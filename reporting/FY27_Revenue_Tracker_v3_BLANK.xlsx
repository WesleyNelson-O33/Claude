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DE92" lockStructure="1"/>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Work Won" sheetId="11" state="visible" r:id="rId11"/>
    <sheet name="Lists" sheetId="12" state="visible" r:id="rId12"/>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Lists!$G$5:$G$13</definedName>
    <definedName name="lst_WIPGL">Lists!$H$5:$H$7</definedName>
    <definedName name="lst_Team">Lists!$I$5:$I$8</definedName>
    <definedName name="lst_RevCost">Lists!$J$5:$J$6</definedName>
    <definedName name="lst_WonSource">Lists!$M$5:$M$8</definedName>
    <definedName name="lst_WonStatus">Lists!$O$5:$O$8</definedName>
    <definedName name="set_GSTRate">Lists!$U$8</definedName>
    <definedName name="set_QwilrBase">Lists!$U$5</definedName>
    <definedName name="set_RMSBase">Lists!$U$6</definedName>
    <definedName name="set_WIPAsset">Lists!$U$9</definedName>
    <definedName name="set_WIPIncome">Lists!$U$10</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Revenue'!$A$5:$T$405</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3E5066"/>
      <sz val="10"/>
    </font>
    <font>
      <b val="1"/>
      <color rgb="00FFFFFF"/>
      <sz val="11"/>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
      <left/>
      <right/>
      <top style="thin">
        <color rgb="00B7B7B7"/>
      </top>
      <bottom style="thin">
        <color rgb="00B7B7B7"/>
      </bottom>
      <diagonal/>
    </border>
  </borders>
  <cellStyleXfs count="1">
    <xf numFmtId="0" fontId="0" fillId="0" borderId="0"/>
  </cellStyleXfs>
  <cellXfs count="77">
    <xf numFmtId="0" fontId="0" fillId="0" borderId="0" pivotButton="0" quotePrefix="0" xfId="0"/>
    <xf numFmtId="0" fontId="16" fillId="0" borderId="0" pivotButton="0" quotePrefix="0" xfId="0"/>
    <xf numFmtId="0" fontId="2" fillId="0" borderId="0" pivotButton="0" quotePrefix="0" xfId="0"/>
    <xf numFmtId="0" fontId="14" fillId="4" borderId="0" applyAlignment="1" pivotButton="0" quotePrefix="0" xfId="0">
      <alignment vertical="center" indent="1"/>
    </xf>
    <xf numFmtId="0" fontId="17" fillId="0" borderId="0" applyAlignment="1" pivotButton="0" quotePrefix="0" xfId="0">
      <alignment vertical="top" wrapText="1"/>
    </xf>
    <xf numFmtId="0" fontId="13" fillId="6" borderId="1" applyAlignment="1" pivotButton="0" quotePrefix="0" xfId="0">
      <alignment vertical="top" wrapText="1" indent="1"/>
    </xf>
    <xf numFmtId="0" fontId="17" fillId="0" borderId="1" applyAlignment="1" pivotButton="0" quotePrefix="0" xfId="0">
      <alignment vertical="top" wrapText="1" indent="1"/>
    </xf>
    <xf numFmtId="0" fontId="14" fillId="7" borderId="0" applyAlignment="1" pivotButton="0" quotePrefix="0" xfId="0">
      <alignment vertical="center" indent="1"/>
    </xf>
    <xf numFmtId="0" fontId="13"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167" fontId="3" fillId="5" borderId="1" pivotButton="0" quotePrefix="0" xfId="0"/>
    <xf numFmtId="167" fontId="6" fillId="5" borderId="1" pivotButton="0" quotePrefix="0" xfId="0"/>
    <xf numFmtId="0" fontId="0" fillId="0" borderId="1" applyAlignment="1" pivotButton="0" quotePrefix="0" xfId="0">
      <alignment horizontal="center"/>
    </xf>
    <xf numFmtId="0" fontId="3" fillId="0" borderId="0" pivotButton="0" quotePrefix="0" xfId="0"/>
    <xf numFmtId="167" fontId="13" fillId="6"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6" fillId="5" borderId="1" pivotButton="0" quotePrefix="0" xfId="0"/>
    <xf numFmtId="0" fontId="3" fillId="5" borderId="1" pivotButton="0" quotePrefix="0" xfId="0"/>
    <xf numFmtId="0" fontId="0" fillId="0" borderId="4" pivotButton="0" quotePrefix="0" xfId="0"/>
    <xf numFmtId="3" fontId="0" fillId="5" borderId="1" pivotButton="0" quotePrefix="0" xfId="0"/>
    <xf numFmtId="0" fontId="6" fillId="0" borderId="1" pivotButton="0" quotePrefix="0" xfId="0"/>
    <xf numFmtId="0" fontId="13" fillId="0" borderId="0" pivotButton="0" quotePrefix="0" xfId="0"/>
    <xf numFmtId="0" fontId="8" fillId="0" borderId="0" pivotButton="0" quotePrefix="0" xfId="0"/>
    <xf numFmtId="167" fontId="8" fillId="6" borderId="1" pivotButton="0" quotePrefix="0" xfId="0"/>
    <xf numFmtId="0" fontId="0" fillId="2" borderId="1" pivotButton="0" quotePrefix="0" xfId="0"/>
    <xf numFmtId="0" fontId="0" fillId="0" borderId="5" pivotButton="0" quotePrefix="0" xfId="0"/>
    <xf numFmtId="17" fontId="10" fillId="5" borderId="1" applyAlignment="1" pivotButton="0" quotePrefix="0" xfId="0">
      <alignment horizontal="center"/>
    </xf>
    <xf numFmtId="167" fontId="13" fillId="5" borderId="1" pivotButton="0" quotePrefix="0" xfId="0"/>
    <xf numFmtId="49" fontId="6" fillId="0"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0" fontId="13" fillId="6" borderId="0"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bl_Finance" displayName="tbl_Finance" ref="A4:AH404" headerRowCount="1">
  <autoFilter ref="A4:AH404"/>
  <tableColumns count="34">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On Dept Sheet"/>
    <tableColumn id="24" name="Job Name (Xero)"/>
    <tableColumn id="25" name="Lines on this Job"/>
    <tableColumn id="26" name="Job Total Ex GST"/>
    <tableColumn id="27" name="Job Invoiced"/>
    <tableColumn id="28" name="Job To Invoice"/>
    <tableColumn id="29" name="Job Quote / Ref"/>
    <tableColumn id="30" name="Open Quote"/>
    <tableColumn id="31" name="Job Expense"/>
    <tableColumn id="32" name="Job Margin"/>
    <tableColumn id="33" name="Job Margin %"/>
    <tableColumn id="34"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S404" headerRowCount="1">
  <autoFilter ref="A4:S404"/>
  <tableColumns count="19">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Expected Revenue Ex GST"/>
    <tableColumn id="12" name="Not Yet on Finance"/>
    <tableColumn id="13" name="Cost Centres"/>
    <tableColumn id="14" name="PO / Reference"/>
    <tableColumn id="15" name="Qwilr Quote"/>
    <tableColumn id="16" name="Open Qwilr"/>
    <tableColumn id="17" name="Billable Hours"/>
    <tableColumn id="18" name="Approved By"/>
    <tableColumn id="19"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Q404" headerRowCount="1">
  <autoFilter ref="A4:AQ404"/>
  <tableColumns count="43">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Expected Revenue Ex GST"/>
    <tableColumn id="12" name="Not Yet on Finance"/>
    <tableColumn id="13" name="Cost Centres"/>
    <tableColumn id="14" name="Total Inc GST"/>
    <tableColumn id="15" name="Company"/>
    <tableColumn id="16" name="Event Name"/>
    <tableColumn id="17" name="Client Email"/>
    <tableColumn id="18" name="Event Grouping"/>
    <tableColumn id="19" name="Event Date"/>
    <tableColumn id="20" name="Current RMS No"/>
    <tableColumn id="21" name="Open in Current RMS"/>
    <tableColumn id="22" name="Qwilr Quote"/>
    <tableColumn id="23" name="Open Qwilr"/>
    <tableColumn id="24" name="Zoho Number"/>
    <tableColumn id="25" name="Job Closed"/>
    <tableColumn id="26" name="Discounts Given"/>
    <tableColumn id="27" name="Value Before Discount"/>
    <tableColumn id="28" name="Discount %"/>
    <tableColumn id="29" name="Cross Hire Expense"/>
    <tableColumn id="30" name="Conf. Call Costs"/>
    <tableColumn id="31" name="Transcription Costs"/>
    <tableColumn id="32" name="Labour Expense (Internal)"/>
    <tableColumn id="33" name="Video Revenue"/>
    <tableColumn id="34" name="Video % of Revenue"/>
    <tableColumn id="35" name="Total Expense"/>
    <tableColumn id="36" name="Margin"/>
    <tableColumn id="37" name="Margin %"/>
    <tableColumn id="38" name="Video Filming Hrs"/>
    <tableColumn id="39" name="Video Editing Hrs"/>
    <tableColumn id="40" name="Project Mgmt Hrs"/>
    <tableColumn id="41" name="Video Project Mgmt Hrs"/>
    <tableColumn id="42" name="Production Labour Hrs"/>
    <tableColumn id="43"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Z404" headerRowCount="1">
  <autoFilter ref="A4:Z404"/>
  <tableColumns count="26">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Expected Revenue Ex GST"/>
    <tableColumn id="12" name="Not Yet on Finance"/>
    <tableColumn id="13" name="Cost Centres"/>
    <tableColumn id="14" name="Qwilr Quote"/>
    <tableColumn id="15" name="Open Qwilr"/>
    <tableColumn id="16" name="Labour Revenue"/>
    <tableColumn id="17" name="Equipment Revenue"/>
    <tableColumn id="18" name="Subscription Revenue"/>
    <tableColumn id="19" name="Revenue Split Check"/>
    <tableColumn id="20" name="Labour Expense (External)"/>
    <tableColumn id="21" name="Equipment Expense (Internal)"/>
    <tableColumn id="22" name="Subscription &amp; Licences Expense"/>
    <tableColumn id="23" name="Total Expense"/>
    <tableColumn id="24" name="Margin"/>
    <tableColumn id="25" name="Margin %"/>
    <tableColumn id="26"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V204" headerRowCount="1">
  <autoFilter ref="A4:V204"/>
  <tableColumns count="22">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Revenue or Cost"/>
    <tableColumn id="11" name="Defer Start"/>
    <tableColumn id="12" name="Defer End"/>
    <tableColumn id="13" name="Spread"/>
    <tableColumn id="14" name="Amount"/>
    <tableColumn id="15" name="P&amp;L Account"/>
    <tableColumn id="16" name="Debit Account"/>
    <tableColumn id="17" name="Credit Account"/>
    <tableColumn id="18" name="Journal Amount"/>
    <tableColumn id="19" name="Journal Narration"/>
    <tableColumn id="20" name="Journal Ref"/>
    <tableColumn id="21" name="Posted to Xero"/>
    <tableColumn id="22" name="Notes"/>
  </tableColumns>
  <tableStyleInfo name="TableStyleLight1" showFirstColumn="0" showLastColumn="0" showRowStripes="1" showColumnStripes="0"/>
</table>
</file>

<file path=xl/tables/table6.xml><?xml version="1.0" encoding="utf-8"?>
<table xmlns="http://schemas.openxmlformats.org/spreadsheetml/2006/main" id="6" name="tbl_Won" displayName="tbl_Won" ref="A4:O604" headerRowCount="1">
  <autoFilter ref="A4:O604"/>
  <tableColumns count="15">
    <tableColumn id="1" name="Month"/>
    <tableColumn id="2" name="Source"/>
    <tableColumn id="3" name="Reference"/>
    <tableColumn id="4" name="Client"/>
    <tableColumn id="5" name="Job Number"/>
    <tableColumn id="6" name="Job in Xero?"/>
    <tableColumn id="7" name="Cost Centre"/>
    <tableColumn id="8" name="Description"/>
    <tableColumn id="9" name="Value Ex GST"/>
    <tableColumn id="10" name="Status"/>
    <tableColumn id="11" name="Date Won"/>
    <tableColumn id="12" name="Expected Invoice Month"/>
    <tableColumn id="13" name="On the Finance Sheet"/>
    <tableColumn id="14" name="Still to Invoice"/>
    <tableColumn id="15"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tabColor rgb="007F7F7F"/>
    <outlinePr summaryBelow="1" summaryRight="1"/>
    <pageSetUpPr/>
  </sheetPr>
  <dimension ref="B2:C83"/>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14" customHeight="1">
      <c r="C7" s="4" t="inlineStr">
        <is>
          <t>Finance types on the Finance sheet. Nowhere else. Every invoice line, every month.</t>
        </is>
      </c>
    </row>
    <row r="8" ht="14" customHeight="1">
      <c r="C8" s="4" t="inlineStr">
        <is>
          <t>Each department types on its own sheet. Nowhere else. One row per job number.</t>
        </is>
      </c>
    </row>
    <row r="9" ht="28" customHeight="1">
      <c r="C9" s="4" t="inlineStr">
        <is>
          <t>The two meet on Job Number, which is a real Xero tracking category and is checked against the live job list as you type. Nothing has to be kept lined up by hand.</t>
        </is>
      </c>
    </row>
    <row r="10" ht="28" customHeight="1">
      <c r="C10" s="4" t="inlineStr">
        <is>
          <t>Type job numbers however you like - as text or as a number, typed or pasted. Every lookup tries both, so a job number that arrives as a number from another system still finds its match.</t>
        </is>
      </c>
    </row>
    <row r="11" ht="56" customHeight="1">
      <c r="C11" s="4" t="inlineStr">
        <is>
          <t>Job Number is the only thing that joins them. The invoice date and invoice number travel from Finance out to the department sheet that holds that job, and the department's own figures - quote, costs, margin, notes - travel back into the job block on Finance. The Team column plays no part in it, so a line with Team blank or set to the wrong department still finds its job.</t>
        </is>
      </c>
    </row>
    <row r="12" ht="28" customHeight="1">
      <c r="C12" s="4" t="inlineStr">
        <is>
          <t>On Dept Sheet on the Finance sheet names which department sheet the job sits on, or says not set up yet when no department has entered it. Month-End counts those, and counts any job set up on two sheets at once.</t>
        </is>
      </c>
    </row>
    <row r="13" ht="10" customHeight="1"/>
    <row r="14" ht="22" customHeight="1">
      <c r="B14" s="3" t="inlineStr">
        <is>
          <t>HOW IT FITS TOGETHER</t>
        </is>
      </c>
    </row>
    <row r="15" ht="28" customHeight="1">
      <c r="B15" s="5" t="inlineStr">
        <is>
          <t>Finance</t>
        </is>
      </c>
      <c r="C15" s="6" t="inlineStr">
        <is>
          <t>The invoice register, and the only source of revenue. One row per invoice LINE, coded to one cost centre, exactly as Xero holds it. Filter the Issue column to see everything that needs fixing.</t>
        </is>
      </c>
    </row>
    <row r="16" ht="56" customHeight="1">
      <c r="B16" s="5" t="inlineStr">
        <is>
          <t>Onsite / Production / Consulting</t>
        </is>
      </c>
      <c r="C16" s="6" t="inlineStr">
        <is>
          <t>One row per job. Client, invoice count and revenue come from Finance automatically; the department fills in its own costs, hours and references. Expected Revenue Ex GST is what the job is worth in total - fill it in and Not Yet on Finance shows the part nobody has invoiced, which is what a job still sitting in WIP looks like. Month-End section 6 adds those up.</t>
        </is>
      </c>
    </row>
    <row r="17" ht="28" customHeight="1">
      <c r="B17" s="5" t="inlineStr">
        <is>
          <t>WIP Movements</t>
        </is>
      </c>
      <c r="C17" s="6" t="inlineStr">
        <is>
          <t>Manual journals between the P&amp;L and GL 11300 Work in Progress. Anything with a defer start and end on Finance does not belong here - it is handled automatically.</t>
        </is>
      </c>
    </row>
    <row r="18" ht="28" customHeight="1">
      <c r="B18" s="5" t="inlineStr">
        <is>
          <t>Deferred Revenue</t>
        </is>
      </c>
      <c r="C18" s="6" t="inlineStr">
        <is>
          <t>The workings behind the automatic deferrals. Nothing is typed here; it mirrors the Finance lines that carry a defer start and end.</t>
        </is>
      </c>
    </row>
    <row r="19" ht="28" customHeight="1">
      <c r="B19" s="5" t="inlineStr">
        <is>
          <t>Month-End</t>
        </is>
      </c>
      <c r="C19" s="6" t="inlineStr">
        <is>
          <t>The close: revenue by cost centre against Xero, the WIP reconciliation, fifteen data checks and a sign-off box.</t>
        </is>
      </c>
    </row>
    <row r="20" ht="14" customHeight="1">
      <c r="B20" s="5" t="inlineStr">
        <is>
          <t>WIP Summary</t>
        </is>
      </c>
      <c r="C20" s="6" t="inlineStr">
        <is>
          <t>WIP opening / movement / closing for every job, to tie job by job back to the WIP Schedule file.</t>
        </is>
      </c>
    </row>
    <row r="21" ht="28" customHeight="1">
      <c r="B21" s="5" t="inlineStr">
        <is>
          <t>Lists</t>
        </is>
      </c>
      <c r="C21" s="6" t="inlineStr">
        <is>
          <t>Every dropdown. Cost centres, job numbers and revenue GL codes came straight out of your Xero organisation, so they already match.</t>
        </is>
      </c>
    </row>
    <row r="22" ht="10" customHeight="1"/>
    <row r="23" ht="22" customHeight="1">
      <c r="B23" s="3" t="inlineStr">
        <is>
          <t>DEFERRED REVENUE  -  it releases itself</t>
        </is>
      </c>
    </row>
    <row r="24" ht="28" customHeight="1">
      <c r="C24" s="4" t="inlineStr">
        <is>
          <t>Put a Defer Start and a Defer End on a Finance line and the revenue spreads evenly across those months instead of landing all in the month you invoiced. Leave both blank for an ordinary one-off invoice.</t>
        </is>
      </c>
    </row>
    <row r="25" ht="14" customHeight="1">
      <c r="C25" s="4" t="inlineStr">
        <is>
          <t xml:space="preserve">   In the month invoiced: one month is recognised, the rest goes to WIP.</t>
        </is>
      </c>
    </row>
    <row r="26" ht="14" customHeight="1">
      <c r="C26" s="4" t="inlineStr">
        <is>
          <t xml:space="preserve">   Every month after: one more month is released, automatically.</t>
        </is>
      </c>
    </row>
    <row r="27" ht="42" customHeight="1">
      <c r="C27" s="4" t="inlineStr">
        <is>
          <t>Worked example - $12,000 invoiced 15 Sep 2025 for Sep 2025 to Aug 2026. September recognises $1,000 and defers $11,000. Each month after releases $1,000. By August 2026 the balance is nil. Nothing is typed each month and no journal is needed.</t>
        </is>
      </c>
    </row>
    <row r="28" ht="42" customHeight="1">
      <c r="C28" s="4" t="inlineStr">
        <is>
          <t>The Deferred Revenue sheet shows the workings line by line, and Month-End and WIP Summary already include it. One warning: a deferred line must not ALSO have a manual row on WIP Movements or it counts twice - Month-End checks for that.</t>
        </is>
      </c>
    </row>
    <row r="29" ht="56" customHeight="1">
      <c r="C29" s="4" t="inlineStr">
        <is>
          <t>A cost can be deferred the same way, and it belongs on WIP Movements rather than Finance because it comes off a supplier bill, not an invoice. Type the bill amount as a positive, set Revenue or Cost to Cost, fill the two defer dates and put the expense account in P&amp;L Account. It then spreads by month in the second block of the Deferred Revenue sheet exactly like revenue does.</t>
        </is>
      </c>
    </row>
    <row r="30" ht="42" customHeight="1">
      <c r="C30" s="4" t="inlineStr">
        <is>
          <t>GL 11300 nets the two against each other, so Xero shows one figure and cannot tell you what it is made of. Month-End section 2 splits it: Total, Deferred / accrued revenue, Deferred / accrued cost. Compare only the Total column to Xero. Deferred cost never counts as revenue - section 1 leaves it out.</t>
        </is>
      </c>
    </row>
    <row r="31" ht="10" customHeight="1"/>
    <row r="32" ht="22" customHeight="1">
      <c r="B32" s="3" t="inlineStr">
        <is>
          <t>VIDEO REVENUE</t>
        </is>
      </c>
    </row>
    <row r="33" ht="56" customHeight="1">
      <c r="C33"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34" ht="28" customHeight="1">
      <c r="C34" s="4" t="inlineStr">
        <is>
          <t>The 26 migrated invoices that carried a video amount were split into two lines each on the way across. Ex GST in total is unchanged.</t>
        </is>
      </c>
    </row>
    <row r="35" ht="42" customHeight="1">
      <c r="C35" s="4" t="inlineStr">
        <is>
          <t>The Production sheet carries a Video Revenue column beside the expenses, and Video % of Revenue next to it. Both read the Finance lines coded VIDEO, so nothing is typed. Job by job they reproduce the old Video Total column to the cent - 38,484.75 in total across 28 jobs.</t>
        </is>
      </c>
    </row>
    <row r="36" ht="10" customHeight="1"/>
    <row r="37" ht="22" customHeight="1">
      <c r="B37" s="3" t="inlineStr">
        <is>
          <t>WHY THIS VERSION IS NOT SLOW, AND WHY IT OPENS</t>
        </is>
      </c>
    </row>
    <row r="38" ht="42" customHeight="1">
      <c r="C38"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9" ht="42" customHeight="1">
      <c r="C39"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40" ht="10" customHeight="1"/>
    <row r="41" ht="22" customHeight="1">
      <c r="B41" s="3" t="inlineStr">
        <is>
          <t>WORK WON  -  ZOHO, CURRENT RMS AND QWILR</t>
        </is>
      </c>
    </row>
    <row r="42" ht="42" customHeight="1">
      <c r="C42" s="4" t="inlineStr">
        <is>
          <t>Paste the month's won opportunities onto the Work Won sheet, one row each, with the source, the value and the job number where you have it. Month-End section 5 totals them by source and puts them next to what was actually invoiced.</t>
        </is>
      </c>
    </row>
    <row r="43" ht="42" customHeight="1">
      <c r="C43" s="4" t="inlineStr">
        <is>
          <t>It is a sense check and nothing else. No revenue ever comes off this sheet. What it catches is work won and never invoiced, and invoicing with no opportunity behind it. Put a job number on a row and it also tells you what has been raised against that job so far.</t>
        </is>
      </c>
    </row>
    <row r="44" ht="70" customHeight="1">
      <c r="C44" s="4" t="inlineStr">
        <is>
          <t>Month-End section 6 turns the same sheet into the forecast. It adds two things that have no invoice against them: a Finance line carrying a value but no invoice number, and work marked Won less everything Finance already holds against that job. Subtracting all of it is what stops the same work being counted twice. Open opportunities and deferred revenue still to release sit underneath as memos, deliberately outside the total.</t>
        </is>
      </c>
    </row>
    <row r="45" ht="10" customHeight="1"/>
    <row r="46" ht="22" customHeight="1">
      <c r="B46" s="3" t="inlineStr">
        <is>
          <t>MONTH-END, IN ORDER</t>
        </is>
      </c>
    </row>
    <row r="47" ht="28" customHeight="1">
      <c r="C47" s="4" t="inlineStr">
        <is>
          <t>1.  Chase the departments until every invoice for the month is on the Finance sheet and Posted to Xero is Y.</t>
        </is>
      </c>
    </row>
    <row r="48" ht="14" customHeight="1">
      <c r="C48" s="4" t="inlineStr">
        <is>
          <t>2.  Open Month-End and set the month.</t>
        </is>
      </c>
    </row>
    <row r="49" ht="28" customHeight="1">
      <c r="C49" s="4" t="inlineStr">
        <is>
          <t>3.  Work section 3 first. Every count must be zero. Fix on the Finance sheet, or filter the Issue column there, which lists the same problems row by row.</t>
        </is>
      </c>
    </row>
    <row r="50" ht="28" customHeight="1">
      <c r="C50" s="4" t="inlineStr">
        <is>
          <t>4.  Section 1: run the Xero P&amp;L for the month by Cost Centre and type the revenue into the yellow column. Each line should read Reconciled.</t>
        </is>
      </c>
    </row>
    <row r="51" ht="14" customHeight="1">
      <c r="C51" s="4" t="inlineStr">
        <is>
          <t>5.  Section 2: type the WIP Schedule closing balance and the Xero GL 11300 balance.</t>
        </is>
      </c>
    </row>
    <row r="52" ht="28" customHeight="1">
      <c r="C52" s="4" t="inlineStr">
        <is>
          <t>6.  Breaks in section 2 - open WIP Summary, paste the WIP Schedule balances into column G and the variance column shows which job is out.</t>
        </is>
      </c>
    </row>
    <row r="53" ht="42" customHeight="1">
      <c r="C53" s="4" t="inlineStr">
        <is>
          <t>7.  Section 4 is the journal. It names the account to debit, the account to credit and the amount, split by cost centre. Key it into Xero as one manual journal, then put the journal reference back on the WIP Movements rows.</t>
        </is>
      </c>
    </row>
    <row r="54" ht="14" customHeight="1">
      <c r="C54" s="4" t="inlineStr">
        <is>
          <t>8.  Section 5 is the Work Won sense check against ZOHO, Current RMS and Qwilr.</t>
        </is>
      </c>
    </row>
    <row r="55" ht="10" customHeight="1"/>
    <row r="56" ht="22" customHeight="1">
      <c r="B56" s="3" t="inlineStr">
        <is>
          <t>THE WIP SIGN RULE</t>
        </is>
      </c>
    </row>
    <row r="57" ht="56" customHeight="1">
      <c r="C57"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58" ht="56" customHeight="1">
      <c r="C58" s="4" t="inlineStr">
        <is>
          <t>Every row on WIP Movements now says which account to debit, which to credit and for how much, and gives you a narration to paste. A positive amount puts revenue back into the month, so WIP goes up: debit 11300 Work in Progress, credit 44200 Closing Work in Progress. A negative amount is the other way round. The old GL Code column is gone - it said 11300 on every row and these two columns replace it.</t>
        </is>
      </c>
    </row>
    <row r="59" ht="42" customHeight="1">
      <c r="C59" s="4" t="inlineStr">
        <is>
          <t>Month-End section 4 adds those rows up with the automatic deferrals and gives you the whole month as one journal, split by cost centre so it can carry tracking in Xero. Debit and credit must agree and the sheet says Balanced when they do. Nothing posts itself - you key it in and put the reference back on the rows.</t>
        </is>
      </c>
    </row>
    <row r="60" ht="28" customHeight="1">
      <c r="C60" s="4" t="inlineStr">
        <is>
          <t>The two accounts are set on the Lists sheet, column U rows 9 and 10. Change them there and every Debit / Credit follows.</t>
        </is>
      </c>
    </row>
    <row r="61" ht="10" customHeight="1"/>
    <row r="62" ht="22" customHeight="1">
      <c r="B62" s="3" t="inlineStr">
        <is>
          <t>LOCKED CELLS, LINKS AND TOTALS</t>
        </is>
      </c>
    </row>
    <row r="63" ht="56" customHeight="1">
      <c r="C63" s="4" t="inlineStr">
        <is>
          <t>Every sheet is protected with the password CTS1234. Only the cells you are meant to fill are open; the grey calculated ones are locked so a stray keystroke cannot wipe a formula. To edit a locked cell: Review, Unprotect Sheet, type CTS1234. Sorting and filtering work without unprotecting anything. The workbook structure uses the same password, so sheets cannot be renamed, reordered or deleted by accident either.</t>
        </is>
      </c>
    </row>
    <row r="64" ht="70" customHeight="1">
      <c r="C64" s="4" t="inlineStr">
        <is>
          <t>Qwilr quotes and Current RMS numbers are clickable. Paste a full web address and it is used as it stands; type a bare number and it is added to the base address on the Lists sheet. The Qwilr base is already set, and Current RMS on the Production sheet now works exactly the same way - paste the whole Current RMS address into the Current RMS No cell and it links straight away. Only fill in Lists column U row 6 if you would rather type the bare opportunity number.</t>
        </is>
      </c>
    </row>
    <row r="65" ht="28" customHeight="1">
      <c r="C65" s="4" t="inlineStr">
        <is>
          <t>Each sheet shows its total ex-GST at the top, and it follows the filter - filter to one client or one month and the total follows. Finance shows Ex GST, GST and Inc GST.</t>
        </is>
      </c>
    </row>
    <row r="66" ht="28" customHeight="1">
      <c r="C66" s="4" t="inlineStr">
        <is>
          <t>The GST rate is no longer buried in the formula. It sits on the Lists sheet, column U row 8, and every GST cell reads it from there.</t>
        </is>
      </c>
    </row>
    <row r="67" ht="10" customHeight="1"/>
    <row r="68" ht="22" customHeight="1">
      <c r="B68" s="3" t="inlineStr">
        <is>
          <t>RULES THAT KEEP IT FAST</t>
        </is>
      </c>
    </row>
    <row r="69" ht="14" customHeight="1">
      <c r="C69" s="4" t="inlineStr">
        <is>
          <t xml:space="preserve">   Never insert or delete rows above the header row.</t>
        </is>
      </c>
    </row>
    <row r="70" ht="28" customHeight="1">
      <c r="C70" s="4" t="inlineStr">
        <is>
          <t xml:space="preserve">   Add rows by typing in the next blank row of the table, or press Tab at the end of the last row and the table grows with the formulas.</t>
        </is>
      </c>
    </row>
    <row r="71" ht="14" customHeight="1">
      <c r="C71" s="4" t="inlineStr">
        <is>
          <t xml:space="preserve">   Paste values only, never whole columns.</t>
        </is>
      </c>
    </row>
    <row r="72" ht="14" customHeight="1">
      <c r="C72" s="4" t="inlineStr">
        <is>
          <t xml:space="preserve">   Leave calculation on Automatic. Nothing here is volatile - no OFFSET, no INDIRECT, no TODAY in bulk.</t>
        </is>
      </c>
    </row>
    <row r="73" ht="28" customHeight="1">
      <c r="C73" s="4" t="inlineStr">
        <is>
          <t xml:space="preserve">   Keep it as .xlsx. The moment someone saves it as .xlsm and adds a macro you are back where you started.</t>
        </is>
      </c>
    </row>
    <row r="74" ht="10" customHeight="1"/>
    <row r="75" ht="22" customHeight="1">
      <c r="B75" s="3" t="inlineStr">
        <is>
          <t>THIS IS THE EMPTY TEST COPY</t>
        </is>
      </c>
    </row>
    <row r="76" ht="28" customHeight="1">
      <c r="C76" s="4" t="inlineStr">
        <is>
          <t>Nothing has been migrated into this file. Every sheet is empty and ready to type into, and every formula, dropdown, lock, hyperlink and month-end check is exactly the same as the live workbook.</t>
        </is>
      </c>
    </row>
    <row r="77" ht="28" customHeight="1">
      <c r="C77" s="4" t="inlineStr">
        <is>
          <t>What is still here is reference data, because the dropdowns and the job checks need it: the Xero job list, the cost centres, the revenue GL codes and the month list on the Lists sheet.</t>
        </is>
      </c>
    </row>
    <row r="78" ht="42" customHeight="1">
      <c r="C78" s="4" t="inlineStr">
        <is>
          <t>To test it end to end: type an invoice line on the Finance sheet, then type the same job number on the matching department sheet, then open Month-End, set the month and work down. Section 3 should go to nil and section 1 should add up to what you typed.</t>
        </is>
      </c>
    </row>
    <row r="79" ht="10" customHeight="1"/>
    <row r="80" ht="22" customHeight="1">
      <c r="B80" s="7" t="inlineStr">
        <is>
          <t>STILL TO CONFIRM</t>
        </is>
      </c>
    </row>
    <row r="81" ht="70" customHeight="1">
      <c r="C81"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83" ht="28" customHeight="1">
      <c r="B83" s="8" t="inlineStr">
        <is>
          <t>Bigger text, shorter lines, one sentence per line: open the Read Me (Easy Read) tab. Same words, easier on the eye.</t>
        </is>
      </c>
    </row>
  </sheetData>
  <mergeCells count="13">
    <mergeCell ref="B6:C6"/>
    <mergeCell ref="B68:C68"/>
    <mergeCell ref="B62:C62"/>
    <mergeCell ref="B80:C80"/>
    <mergeCell ref="B37:C37"/>
    <mergeCell ref="B23:C23"/>
    <mergeCell ref="B46:C46"/>
    <mergeCell ref="B56:C56"/>
    <mergeCell ref="B14:C14"/>
    <mergeCell ref="B32:C32"/>
    <mergeCell ref="B41:C41"/>
    <mergeCell ref="B83:C83"/>
    <mergeCell ref="B75:C75"/>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195"/>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Finance types on the Finance sheet.</t>
        </is>
      </c>
      <c r="D6" s="9" t="n"/>
    </row>
    <row r="7" ht="26.35" customHeight="1">
      <c r="A7" s="9" t="n"/>
      <c r="B7" s="9" t="n"/>
      <c r="C7" s="13" t="inlineStr">
        <is>
          <t>Nowhere else.</t>
        </is>
      </c>
      <c r="D7" s="9" t="n"/>
    </row>
    <row r="8" ht="26.35" customHeight="1">
      <c r="A8" s="9" t="n"/>
      <c r="B8" s="9" t="n"/>
      <c r="C8" s="13" t="inlineStr">
        <is>
          <t>Every invoice line, every month.</t>
        </is>
      </c>
      <c r="D8" s="9" t="n"/>
    </row>
    <row r="9" ht="6" customHeight="1">
      <c r="A9" s="9" t="n"/>
      <c r="B9" s="9" t="n"/>
      <c r="C9" s="9" t="n"/>
      <c r="D9" s="9" t="n"/>
    </row>
    <row r="10" ht="26.35" customHeight="1">
      <c r="A10" s="9" t="n"/>
      <c r="B10" s="9" t="n"/>
      <c r="C10" s="13" t="inlineStr">
        <is>
          <t>Each department types on its own sheet.</t>
        </is>
      </c>
      <c r="D10" s="9" t="n"/>
    </row>
    <row r="11" ht="26.35" customHeight="1">
      <c r="A11" s="9" t="n"/>
      <c r="B11" s="9" t="n"/>
      <c r="C11" s="13" t="inlineStr">
        <is>
          <t>Nowhere else.</t>
        </is>
      </c>
      <c r="D11" s="9" t="n"/>
    </row>
    <row r="12" ht="26.35" customHeight="1">
      <c r="A12" s="9" t="n"/>
      <c r="B12" s="9" t="n"/>
      <c r="C12" s="13" t="inlineStr">
        <is>
          <t>One row per job number.</t>
        </is>
      </c>
      <c r="D12" s="9" t="n"/>
    </row>
    <row r="13" ht="6" customHeight="1">
      <c r="A13" s="9" t="n"/>
      <c r="B13" s="9" t="n"/>
      <c r="C13" s="9" t="n"/>
      <c r="D13" s="9" t="n"/>
    </row>
    <row r="14" ht="52.7" customHeight="1">
      <c r="A14" s="9" t="n"/>
      <c r="B14" s="9" t="n"/>
      <c r="C14" s="13" t="inlineStr">
        <is>
          <t>The two meet on Job Number, which is a real Xero tracking category and is checked against the live job list as you type.</t>
        </is>
      </c>
      <c r="D14" s="9" t="n"/>
    </row>
    <row r="15" ht="26.35" customHeight="1">
      <c r="A15" s="9" t="n"/>
      <c r="B15" s="9" t="n"/>
      <c r="C15" s="13" t="inlineStr">
        <is>
          <t>Nothing has to be kept lined up by hand.</t>
        </is>
      </c>
      <c r="D15" s="9" t="n"/>
    </row>
    <row r="16" ht="6" customHeight="1">
      <c r="A16" s="9" t="n"/>
      <c r="B16" s="9" t="n"/>
      <c r="C16" s="9" t="n"/>
      <c r="D16" s="9" t="n"/>
    </row>
    <row r="17" ht="52.7" customHeight="1">
      <c r="A17" s="9" t="n"/>
      <c r="B17" s="9" t="n"/>
      <c r="C17" s="13" t="inlineStr">
        <is>
          <t>Type job numbers however you like - as text or as a number, typed or pasted.</t>
        </is>
      </c>
      <c r="D17" s="9" t="n"/>
    </row>
    <row r="18" ht="52.7" customHeight="1">
      <c r="A18" s="9" t="n"/>
      <c r="B18" s="9" t="n"/>
      <c r="C18" s="13" t="inlineStr">
        <is>
          <t>Every lookup tries both, so a job number that arrives as a number from another system still finds its match.</t>
        </is>
      </c>
      <c r="D18" s="9" t="n"/>
    </row>
    <row r="19" ht="6" customHeight="1">
      <c r="A19" s="9" t="n"/>
      <c r="B19" s="9" t="n"/>
      <c r="C19" s="9" t="n"/>
      <c r="D19" s="9" t="n"/>
    </row>
    <row r="20" ht="26.35" customHeight="1">
      <c r="A20" s="9" t="n"/>
      <c r="B20" s="9" t="n"/>
      <c r="C20" s="13" t="inlineStr">
        <is>
          <t>Job Number is the only thing that joins them.</t>
        </is>
      </c>
      <c r="D20" s="9" t="n"/>
    </row>
    <row r="21" ht="105.4" customHeight="1">
      <c r="A21" s="9" t="n"/>
      <c r="B21" s="9" t="n"/>
      <c r="C21" s="13" t="inlineStr">
        <is>
          <t>The invoice date and invoice number travel from Finance out to the department sheet that holds that job, and the department's own figures - quote, costs, margin, notes - travel back into the job block on Finance.</t>
        </is>
      </c>
      <c r="D21" s="9" t="n"/>
    </row>
    <row r="22" ht="52.7" customHeight="1">
      <c r="A22" s="9" t="n"/>
      <c r="B22" s="9" t="n"/>
      <c r="C22" s="13" t="inlineStr">
        <is>
          <t>The Team column plays no part in it, so a line with Team blank or set to the wrong department still finds its job.</t>
        </is>
      </c>
      <c r="D22" s="9" t="n"/>
    </row>
    <row r="23" ht="6" customHeight="1">
      <c r="A23" s="9" t="n"/>
      <c r="B23" s="9" t="n"/>
      <c r="C23" s="9" t="n"/>
      <c r="D23" s="9" t="n"/>
    </row>
    <row r="24" ht="79.05000000000001" customHeight="1">
      <c r="A24" s="9" t="n"/>
      <c r="B24" s="9" t="n"/>
      <c r="C24" s="13" t="inlineStr">
        <is>
          <t>On Dept Sheet on the Finance sheet names which department sheet the job sits on, or says not set up yet when no department has entered it.</t>
        </is>
      </c>
      <c r="D24" s="9" t="n"/>
    </row>
    <row r="25" ht="52.7" customHeight="1">
      <c r="A25" s="9" t="n"/>
      <c r="B25" s="9" t="n"/>
      <c r="C25" s="13" t="inlineStr">
        <is>
          <t>Month-End counts those, and counts any job set up on two sheets at once.</t>
        </is>
      </c>
      <c r="D25" s="9" t="n"/>
    </row>
    <row r="26" ht="6" customHeight="1">
      <c r="A26" s="9" t="n"/>
      <c r="B26" s="9" t="n"/>
      <c r="C26" s="9" t="n"/>
      <c r="D26" s="9" t="n"/>
    </row>
    <row r="27" ht="15.5" customHeight="1">
      <c r="A27" s="9" t="n"/>
      <c r="B27" s="9" t="n"/>
      <c r="C27" s="9" t="n"/>
      <c r="D27" s="9" t="n"/>
    </row>
    <row r="28" ht="28" customHeight="1">
      <c r="A28" s="9" t="n"/>
      <c r="B28" s="12" t="inlineStr">
        <is>
          <t>How it fits together</t>
        </is>
      </c>
      <c r="C28" s="9" t="n"/>
      <c r="D28" s="9" t="n"/>
    </row>
    <row r="29" ht="158.1" customHeight="1">
      <c r="A29" s="9" t="n"/>
      <c r="B29" s="14" t="inlineStr">
        <is>
          <t>Finance</t>
        </is>
      </c>
      <c r="C29" s="15" t="inlineStr">
        <is>
          <t>The invoice register, and the only source of revenue.
One row per invoice line, coded to one cost centre, exactly as Xero holds it.
Filter the Issue column to see everything that needs fixing.</t>
        </is>
      </c>
      <c r="D29" s="9" t="n"/>
    </row>
    <row r="30" ht="237.15" customHeight="1">
      <c r="A30" s="9" t="n"/>
      <c r="B30" s="14" t="inlineStr">
        <is>
          <t>Onsite / Production / Consulting</t>
        </is>
      </c>
      <c r="C30" s="15" t="inlineStr">
        <is>
          <t>One row per job.
Client, invoice count and revenue come from Finance automatically; the department fills in its own costs, hours and references.
Expected Revenue Ex GST is what the job is worth in total - fill it in and Not Yet on Finance shows the part nobody has invoiced, which is what a job still sitting in WIP looks like.
Month-End section 6 adds those up.</t>
        </is>
      </c>
      <c r="D30" s="9" t="n"/>
    </row>
    <row r="31" ht="105.4" customHeight="1">
      <c r="A31" s="9" t="n"/>
      <c r="B31" s="14" t="inlineStr">
        <is>
          <t>WIP Movements</t>
        </is>
      </c>
      <c r="C31" s="15" t="inlineStr">
        <is>
          <t>Manual journals between the P&amp;L and GL 11300 Work in Progress.
Anything with a defer start and end on Finance does not belong here - it is handled automatically.</t>
        </is>
      </c>
      <c r="D31" s="9" t="n"/>
    </row>
    <row r="32" ht="105.4" customHeight="1">
      <c r="A32" s="9" t="n"/>
      <c r="B32" s="14" t="inlineStr">
        <is>
          <t>Deferred Revenue</t>
        </is>
      </c>
      <c r="C32" s="15" t="inlineStr">
        <is>
          <t>The workings behind the automatic deferrals.
Nothing is typed here; it mirrors the Finance lines that carry a defer start and end.</t>
        </is>
      </c>
      <c r="D32" s="9" t="n"/>
    </row>
    <row r="33" ht="52.7" customHeight="1">
      <c r="A33" s="9" t="n"/>
      <c r="B33" s="14" t="inlineStr">
        <is>
          <t>Month-End</t>
        </is>
      </c>
      <c r="C33" s="15" t="inlineStr">
        <is>
          <t>The close: revenue by cost centre against Xero, the WIP reconciliation, fifteen data checks and a sign-off box.</t>
        </is>
      </c>
      <c r="D33" s="9" t="n"/>
    </row>
    <row r="34" ht="52.7" customHeight="1">
      <c r="A34" s="9" t="n"/>
      <c r="B34" s="14" t="inlineStr">
        <is>
          <t>WIP Summary</t>
        </is>
      </c>
      <c r="C34" s="15" t="inlineStr">
        <is>
          <t>WIP opening / movement / closing for every job, to tie job by job back to the WIP Schedule file.</t>
        </is>
      </c>
      <c r="D34" s="9" t="n"/>
    </row>
    <row r="35" ht="105.4" customHeight="1">
      <c r="A35" s="9" t="n"/>
      <c r="B35" s="14" t="inlineStr">
        <is>
          <t>Lists</t>
        </is>
      </c>
      <c r="C35" s="15" t="inlineStr">
        <is>
          <t>Every dropdown.
Cost centres, job numbers and revenue GL codes came straight out of your Xero organisation, so they already match.</t>
        </is>
      </c>
      <c r="D35" s="9" t="n"/>
    </row>
    <row r="36" ht="15.5" customHeight="1">
      <c r="A36" s="9" t="n"/>
      <c r="B36" s="9" t="n"/>
      <c r="C36" s="9" t="n"/>
      <c r="D36" s="9" t="n"/>
    </row>
    <row r="37" ht="28" customHeight="1">
      <c r="A37" s="9" t="n"/>
      <c r="B37" s="12" t="inlineStr">
        <is>
          <t>Deferred revenue  -  it releases itself</t>
        </is>
      </c>
      <c r="C37" s="9" t="n"/>
      <c r="D37" s="9" t="n"/>
    </row>
    <row r="38" ht="79.05000000000001" customHeight="1">
      <c r="A38" s="9" t="n"/>
      <c r="B38" s="9" t="n"/>
      <c r="C38" s="13" t="inlineStr">
        <is>
          <t>Put a Defer Start and a Defer End on a Finance line and the revenue spreads evenly across those months instead of landing all in the month you invoiced.</t>
        </is>
      </c>
      <c r="D38" s="9" t="n"/>
    </row>
    <row r="39" ht="26.35" customHeight="1">
      <c r="A39" s="9" t="n"/>
      <c r="B39" s="9" t="n"/>
      <c r="C39" s="13" t="inlineStr">
        <is>
          <t>Leave both blank for an ordinary one-off invoice.</t>
        </is>
      </c>
      <c r="D39" s="9" t="n"/>
    </row>
    <row r="40" ht="6" customHeight="1">
      <c r="A40" s="9" t="n"/>
      <c r="B40" s="9" t="n"/>
      <c r="C40" s="9" t="n"/>
      <c r="D40" s="9" t="n"/>
    </row>
    <row r="41" ht="52.7" customHeight="1">
      <c r="A41" s="9" t="n"/>
      <c r="B41" s="9" t="n"/>
      <c r="C41" s="13" t="inlineStr">
        <is>
          <t>In the month invoiced: one month is recognised, the rest goes to WIP.</t>
        </is>
      </c>
      <c r="D41" s="9" t="n"/>
    </row>
    <row r="42" ht="6" customHeight="1">
      <c r="A42" s="9" t="n"/>
      <c r="B42" s="9" t="n"/>
      <c r="C42" s="9" t="n"/>
      <c r="D42" s="9" t="n"/>
    </row>
    <row r="43" ht="26.35" customHeight="1">
      <c r="A43" s="9" t="n"/>
      <c r="B43" s="9" t="n"/>
      <c r="C43" s="13" t="inlineStr">
        <is>
          <t>Every month after: one more month is released, automatically.</t>
        </is>
      </c>
      <c r="D43" s="9" t="n"/>
    </row>
    <row r="44" ht="6" customHeight="1">
      <c r="A44" s="9" t="n"/>
      <c r="B44" s="9" t="n"/>
      <c r="C44" s="9" t="n"/>
      <c r="D44" s="9" t="n"/>
    </row>
    <row r="45" ht="52.7" customHeight="1">
      <c r="A45" s="9" t="n"/>
      <c r="B45" s="9" t="n"/>
      <c r="C45" s="13" t="inlineStr">
        <is>
          <t>Worked example - $12,000 invoiced 15 Sep 2025 for Sep 2025 to Aug 2026.</t>
        </is>
      </c>
      <c r="D45" s="9" t="n"/>
    </row>
    <row r="46" ht="26.35" customHeight="1">
      <c r="A46" s="9" t="n"/>
      <c r="B46" s="9" t="n"/>
      <c r="C46" s="13" t="inlineStr">
        <is>
          <t>September recognises $1,000 and defers $11,000.</t>
        </is>
      </c>
      <c r="D46" s="9" t="n"/>
    </row>
    <row r="47" ht="26.35" customHeight="1">
      <c r="A47" s="9" t="n"/>
      <c r="B47" s="9" t="n"/>
      <c r="C47" s="13" t="inlineStr">
        <is>
          <t>Each month after releases $1,000.</t>
        </is>
      </c>
      <c r="D47" s="9" t="n"/>
    </row>
    <row r="48" ht="26.35" customHeight="1">
      <c r="A48" s="9" t="n"/>
      <c r="B48" s="9" t="n"/>
      <c r="C48" s="13" t="inlineStr">
        <is>
          <t>By August 2026 the balance is nil.</t>
        </is>
      </c>
      <c r="D48" s="9" t="n"/>
    </row>
    <row r="49" ht="26.35" customHeight="1">
      <c r="A49" s="9" t="n"/>
      <c r="B49" s="9" t="n"/>
      <c r="C49" s="13" t="inlineStr">
        <is>
          <t>Nothing is typed each month and no journal is needed.</t>
        </is>
      </c>
      <c r="D49" s="9" t="n"/>
    </row>
    <row r="50" ht="6" customHeight="1">
      <c r="A50" s="9" t="n"/>
      <c r="B50" s="9" t="n"/>
      <c r="C50" s="9" t="n"/>
      <c r="D50" s="9" t="n"/>
    </row>
    <row r="51" ht="52.7" customHeight="1">
      <c r="A51" s="9" t="n"/>
      <c r="B51" s="9" t="n"/>
      <c r="C51" s="13" t="inlineStr">
        <is>
          <t>The Deferred Revenue sheet shows the workings line by line, and Month-End and WIP Summary already include it.</t>
        </is>
      </c>
      <c r="D51" s="9" t="n"/>
    </row>
    <row r="52" ht="79.05000000000001" customHeight="1">
      <c r="A52" s="9" t="n"/>
      <c r="B52" s="9" t="n"/>
      <c r="C52" s="13" t="inlineStr">
        <is>
          <t>One warning: a deferred line must not also have a manual row on WIP Movements or it counts twice - Month-End checks for that.</t>
        </is>
      </c>
      <c r="D52" s="9" t="n"/>
    </row>
    <row r="53" ht="6" customHeight="1">
      <c r="A53" s="9" t="n"/>
      <c r="B53" s="9" t="n"/>
      <c r="C53" s="9" t="n"/>
      <c r="D53" s="9" t="n"/>
    </row>
    <row r="54" ht="79.05000000000001" customHeight="1">
      <c r="A54" s="9" t="n"/>
      <c r="B54" s="9" t="n"/>
      <c r="C54" s="13" t="inlineStr">
        <is>
          <t>A cost can be deferred the same way, and it belongs on WIP Movements rather than Finance because it comes off a supplier bill, not an invoice.</t>
        </is>
      </c>
      <c r="D54" s="9" t="n"/>
    </row>
    <row r="55" ht="79.05000000000001" customHeight="1">
      <c r="A55" s="9" t="n"/>
      <c r="B55" s="9" t="n"/>
      <c r="C55" s="13" t="inlineStr">
        <is>
          <t>Type the bill amount as a positive, set Revenue or Cost to Cost, fill the two defer dates and put the expense account in P&amp;L Account.</t>
        </is>
      </c>
      <c r="D55" s="9" t="n"/>
    </row>
    <row r="56" ht="52.7" customHeight="1">
      <c r="A56" s="9" t="n"/>
      <c r="B56" s="9" t="n"/>
      <c r="C56" s="13" t="inlineStr">
        <is>
          <t>It then spreads by month in the second block of the Deferred Revenue sheet exactly like revenue does.</t>
        </is>
      </c>
      <c r="D56" s="9" t="n"/>
    </row>
    <row r="57" ht="6" customHeight="1">
      <c r="A57" s="9" t="n"/>
      <c r="B57" s="9" t="n"/>
      <c r="C57" s="9" t="n"/>
      <c r="D57" s="9" t="n"/>
    </row>
    <row r="58" ht="52.7" customHeight="1">
      <c r="A58" s="9" t="n"/>
      <c r="B58" s="9" t="n"/>
      <c r="C58" s="13" t="inlineStr">
        <is>
          <t>GL 11300 nets the two against each other, so Xero shows one figure and cannot tell you what it is made of.</t>
        </is>
      </c>
      <c r="D58" s="9" t="n"/>
    </row>
    <row r="59" ht="52.7" customHeight="1">
      <c r="A59" s="9" t="n"/>
      <c r="B59" s="9" t="n"/>
      <c r="C59" s="13" t="inlineStr">
        <is>
          <t>Month-End section 2 splits it: Total, Deferred / accrued revenue, Deferred / accrued cost.</t>
        </is>
      </c>
      <c r="D59" s="9" t="n"/>
    </row>
    <row r="60" ht="26.35" customHeight="1">
      <c r="A60" s="9" t="n"/>
      <c r="B60" s="9" t="n"/>
      <c r="C60" s="13" t="inlineStr">
        <is>
          <t>Compare only the Total column to Xero.</t>
        </is>
      </c>
      <c r="D60" s="9" t="n"/>
    </row>
    <row r="61" ht="52.7" customHeight="1">
      <c r="A61" s="9" t="n"/>
      <c r="B61" s="9" t="n"/>
      <c r="C61" s="13" t="inlineStr">
        <is>
          <t>Deferred cost never counts as revenue - section 1 leaves it out.</t>
        </is>
      </c>
      <c r="D61" s="9" t="n"/>
    </row>
    <row r="62" ht="6" customHeight="1">
      <c r="A62" s="9" t="n"/>
      <c r="B62" s="9" t="n"/>
      <c r="C62" s="9" t="n"/>
      <c r="D62" s="9" t="n"/>
    </row>
    <row r="63" ht="15.5" customHeight="1">
      <c r="A63" s="9" t="n"/>
      <c r="B63" s="9" t="n"/>
      <c r="C63" s="9" t="n"/>
      <c r="D63" s="9" t="n"/>
    </row>
    <row r="64" ht="28" customHeight="1">
      <c r="A64" s="9" t="n"/>
      <c r="B64" s="12" t="inlineStr">
        <is>
          <t>Video revenue</t>
        </is>
      </c>
      <c r="C64" s="9" t="n"/>
      <c r="D64" s="9" t="n"/>
    </row>
    <row r="65" ht="52.7" customHeight="1">
      <c r="A65" s="9" t="n"/>
      <c r="B65" s="9" t="n"/>
      <c r="C65" s="13" t="inlineStr">
        <is>
          <t>There is no video split column any more, and nothing to keep honest.</t>
        </is>
      </c>
      <c r="D65" s="9" t="n"/>
    </row>
    <row r="66" ht="79.05000000000001" customHeight="1">
      <c r="A66" s="9" t="n"/>
      <c r="B66" s="9" t="n"/>
      <c r="C66" s="13" t="inlineStr">
        <is>
          <t>In Xero a cost centre sits on the invoice line, so a job invoiced part production and part video is simply two lines on the Finance sheet - one coded PRODUCTION, one coded VIDEO.</t>
        </is>
      </c>
      <c r="D66" s="9" t="n"/>
    </row>
    <row r="67" ht="79.05000000000001" customHeight="1">
      <c r="A67" s="9" t="n"/>
      <c r="B67" s="9" t="n"/>
      <c r="C67" s="13" t="inlineStr">
        <is>
          <t>The VIDEO figure at month-end is then a plain sum of the lines coded VIDEO, and it ties to the Xero VIDEO cost centre without any adjustment.</t>
        </is>
      </c>
      <c r="D67" s="9" t="n"/>
    </row>
    <row r="68" ht="6" customHeight="1">
      <c r="A68" s="9" t="n"/>
      <c r="B68" s="9" t="n"/>
      <c r="C68" s="9" t="n"/>
      <c r="D68" s="9" t="n"/>
    </row>
    <row r="69" ht="52.7" customHeight="1">
      <c r="A69" s="9" t="n"/>
      <c r="B69" s="9" t="n"/>
      <c r="C69" s="13" t="inlineStr">
        <is>
          <t>The 26 migrated invoices that carried a video amount were split into two lines each on the way across.</t>
        </is>
      </c>
      <c r="D69" s="9" t="n"/>
    </row>
    <row r="70" ht="26.35" customHeight="1">
      <c r="A70" s="9" t="n"/>
      <c r="B70" s="9" t="n"/>
      <c r="C70" s="13" t="inlineStr">
        <is>
          <t>Ex GST in total is unchanged.</t>
        </is>
      </c>
      <c r="D70" s="9" t="n"/>
    </row>
    <row r="71" ht="6" customHeight="1">
      <c r="A71" s="9" t="n"/>
      <c r="B71" s="9" t="n"/>
      <c r="C71" s="9" t="n"/>
      <c r="D71" s="9" t="n"/>
    </row>
    <row r="72" ht="52.7" customHeight="1">
      <c r="A72" s="9" t="n"/>
      <c r="B72" s="9" t="n"/>
      <c r="C72" s="13" t="inlineStr">
        <is>
          <t>The Production sheet carries a Video Revenue column beside the expenses, and Video % of Revenue next to it.</t>
        </is>
      </c>
      <c r="D72" s="9" t="n"/>
    </row>
    <row r="73" ht="26.35" customHeight="1">
      <c r="A73" s="9" t="n"/>
      <c r="B73" s="9" t="n"/>
      <c r="C73" s="13" t="inlineStr">
        <is>
          <t>Both read the Finance lines coded VIDEO, so nothing is typed.</t>
        </is>
      </c>
      <c r="D73" s="9" t="n"/>
    </row>
    <row r="74" ht="52.7" customHeight="1">
      <c r="A74" s="9" t="n"/>
      <c r="B74" s="9" t="n"/>
      <c r="C74" s="13" t="inlineStr">
        <is>
          <t>Job by job they reproduce the old Video Total column to the cent - 38,484.75 in total across 28 jobs.</t>
        </is>
      </c>
      <c r="D74" s="9" t="n"/>
    </row>
    <row r="75" ht="6" customHeight="1">
      <c r="A75" s="9" t="n"/>
      <c r="B75" s="9" t="n"/>
      <c r="C75" s="9" t="n"/>
      <c r="D75" s="9" t="n"/>
    </row>
    <row r="76" ht="15.5" customHeight="1">
      <c r="A76" s="9" t="n"/>
      <c r="B76" s="9" t="n"/>
      <c r="C76" s="9" t="n"/>
      <c r="D76" s="9" t="n"/>
    </row>
    <row r="77" ht="28" customHeight="1">
      <c r="A77" s="9" t="n"/>
      <c r="B77" s="12" t="inlineStr">
        <is>
          <t>Why this version is not slow, and why it opens</t>
        </is>
      </c>
      <c r="C77" s="9" t="n"/>
      <c r="D77" s="9" t="n"/>
    </row>
    <row r="78" ht="79.05000000000001" customHeight="1">
      <c r="A78" s="9" t="n"/>
      <c r="B78" s="9" t="n"/>
      <c r="C78" s="13" t="inlineStr">
        <is>
          <t>The v2 file was slow because of its macro: every keystroke copied 26 columns by 200 rows into hidden storage, and it was capped at 200 rows per department.</t>
        </is>
      </c>
      <c r="D78" s="9" t="n"/>
    </row>
    <row r="79" ht="52.7" customHeight="1">
      <c r="A79" s="9" t="n"/>
      <c r="B79" s="9" t="n"/>
      <c r="C79" s="13" t="inlineStr">
        <is>
          <t>There are no macros here at all, and it is a .xlsx, so no macro warning and nothing blocked on SharePoint.</t>
        </is>
      </c>
      <c r="D79" s="9" t="n"/>
    </row>
    <row r="80" ht="6" customHeight="1">
      <c r="A80" s="9" t="n"/>
      <c r="B80" s="9" t="n"/>
      <c r="C80" s="9" t="n"/>
      <c r="D80" s="9" t="n"/>
    </row>
    <row r="81" ht="52.7" customHeight="1">
      <c r="A81" s="9" t="n"/>
      <c r="B81" s="9" t="n"/>
      <c r="C81" s="13" t="inlineStr">
        <is>
          <t>There are also no dynamic array formulas - no VSTACK, FILTER, SORT, UNIQUE or XLOOKUP.</t>
        </is>
      </c>
      <c r="D81" s="9" t="n"/>
    </row>
    <row r="82" ht="79.05000000000001" customHeight="1">
      <c r="A82" s="9" t="n"/>
      <c r="B82" s="9" t="n"/>
      <c r="C82" s="13" t="inlineStr">
        <is>
          <t>Every sheet is a real Excel Table or a plain SUMIFS grid, which means the filter buttons, sorting and PivotTables all work normally, and every formula runs in any version of Excel.</t>
        </is>
      </c>
      <c r="D82" s="9" t="n"/>
    </row>
    <row r="83" ht="6" customHeight="1">
      <c r="A83" s="9" t="n"/>
      <c r="B83" s="9" t="n"/>
      <c r="C83" s="9" t="n"/>
      <c r="D83" s="9" t="n"/>
    </row>
    <row r="84" ht="15.5" customHeight="1">
      <c r="A84" s="9" t="n"/>
      <c r="B84" s="9" t="n"/>
      <c r="C84" s="9" t="n"/>
      <c r="D84" s="9" t="n"/>
    </row>
    <row r="85" ht="28" customHeight="1">
      <c r="A85" s="9" t="n"/>
      <c r="B85" s="12" t="inlineStr">
        <is>
          <t>Work won  -  zoho, current rms and qwilr</t>
        </is>
      </c>
      <c r="C85" s="9" t="n"/>
      <c r="D85" s="9" t="n"/>
    </row>
    <row r="86" ht="79.05000000000001" customHeight="1">
      <c r="A86" s="9" t="n"/>
      <c r="B86" s="9" t="n"/>
      <c r="C86" s="13" t="inlineStr">
        <is>
          <t>Paste the month's won opportunities onto the Work Won sheet, one row each, with the source, the value and the job number where you have it.</t>
        </is>
      </c>
      <c r="D86" s="9" t="n"/>
    </row>
    <row r="87" ht="52.7" customHeight="1">
      <c r="A87" s="9" t="n"/>
      <c r="B87" s="9" t="n"/>
      <c r="C87" s="13" t="inlineStr">
        <is>
          <t>Month-End section 5 totals them by source and puts them next to what was actually invoiced.</t>
        </is>
      </c>
      <c r="D87" s="9" t="n"/>
    </row>
    <row r="88" ht="6" customHeight="1">
      <c r="A88" s="9" t="n"/>
      <c r="B88" s="9" t="n"/>
      <c r="C88" s="9" t="n"/>
      <c r="D88" s="9" t="n"/>
    </row>
    <row r="89" ht="26.35" customHeight="1">
      <c r="A89" s="9" t="n"/>
      <c r="B89" s="9" t="n"/>
      <c r="C89" s="13" t="inlineStr">
        <is>
          <t>It is a sense check and nothing else.</t>
        </is>
      </c>
      <c r="D89" s="9" t="n"/>
    </row>
    <row r="90" ht="26.35" customHeight="1">
      <c r="A90" s="9" t="n"/>
      <c r="B90" s="9" t="n"/>
      <c r="C90" s="13" t="inlineStr">
        <is>
          <t>No revenue ever comes off this sheet.</t>
        </is>
      </c>
      <c r="D90" s="9" t="n"/>
    </row>
    <row r="91" ht="52.7" customHeight="1">
      <c r="A91" s="9" t="n"/>
      <c r="B91" s="9" t="n"/>
      <c r="C91" s="13" t="inlineStr">
        <is>
          <t>What it catches is work won and never invoiced, and invoicing with no opportunity behind it.</t>
        </is>
      </c>
      <c r="D91" s="9" t="n"/>
    </row>
    <row r="92" ht="52.7" customHeight="1">
      <c r="A92" s="9" t="n"/>
      <c r="B92" s="9" t="n"/>
      <c r="C92" s="13" t="inlineStr">
        <is>
          <t>Put a job number on a row and it also tells you what has been raised against that job so far.</t>
        </is>
      </c>
      <c r="D92" s="9" t="n"/>
    </row>
    <row r="93" ht="6" customHeight="1">
      <c r="A93" s="9" t="n"/>
      <c r="B93" s="9" t="n"/>
      <c r="C93" s="9" t="n"/>
      <c r="D93" s="9" t="n"/>
    </row>
    <row r="94" ht="26.35" customHeight="1">
      <c r="A94" s="9" t="n"/>
      <c r="B94" s="9" t="n"/>
      <c r="C94" s="13" t="inlineStr">
        <is>
          <t>Month-End section 6 turns the same sheet into the forecast.</t>
        </is>
      </c>
      <c r="D94" s="9" t="n"/>
    </row>
    <row r="95" ht="79.05000000000001" customHeight="1">
      <c r="A95" s="9" t="n"/>
      <c r="B95" s="9" t="n"/>
      <c r="C95" s="13" t="inlineStr">
        <is>
          <t>It adds two things that have no invoice against them: a Finance line carrying a value but no invoice number, and work marked Won less everything Finance already holds against that job.</t>
        </is>
      </c>
      <c r="D95" s="9" t="n"/>
    </row>
    <row r="96" ht="52.7" customHeight="1">
      <c r="A96" s="9" t="n"/>
      <c r="B96" s="9" t="n"/>
      <c r="C96" s="13" t="inlineStr">
        <is>
          <t>Subtracting all of it is what stops the same work being counted twice.</t>
        </is>
      </c>
      <c r="D96" s="9" t="n"/>
    </row>
    <row r="97" ht="52.7" customHeight="1">
      <c r="A97" s="9" t="n"/>
      <c r="B97" s="9" t="n"/>
      <c r="C97" s="13" t="inlineStr">
        <is>
          <t>Open opportunities and deferred revenue still to release sit underneath as memos, deliberately outside the total.</t>
        </is>
      </c>
      <c r="D97" s="9" t="n"/>
    </row>
    <row r="98" ht="6" customHeight="1">
      <c r="A98" s="9" t="n"/>
      <c r="B98" s="9" t="n"/>
      <c r="C98" s="9" t="n"/>
      <c r="D98" s="9" t="n"/>
    </row>
    <row r="99" ht="15.5" customHeight="1">
      <c r="A99" s="9" t="n"/>
      <c r="B99" s="9" t="n"/>
      <c r="C99" s="9" t="n"/>
      <c r="D99" s="9" t="n"/>
    </row>
    <row r="100" ht="28" customHeight="1">
      <c r="A100" s="9" t="n"/>
      <c r="B100" s="12" t="inlineStr">
        <is>
          <t>Month-end, in order</t>
        </is>
      </c>
      <c r="C100" s="9" t="n"/>
      <c r="D100" s="9" t="n"/>
    </row>
    <row r="101" ht="52.7" customHeight="1">
      <c r="A101" s="9" t="n"/>
      <c r="B101" s="9" t="n"/>
      <c r="C101" s="13" t="inlineStr">
        <is>
          <t>1.  Chase the departments until every invoice for the month is on the Finance sheet and Posted to Xero is Y.</t>
        </is>
      </c>
      <c r="D101" s="9" t="n"/>
    </row>
    <row r="102" ht="6" customHeight="1">
      <c r="A102" s="9" t="n"/>
      <c r="B102" s="9" t="n"/>
      <c r="C102" s="9" t="n"/>
      <c r="D102" s="9" t="n"/>
    </row>
    <row r="103" ht="26.35" customHeight="1">
      <c r="A103" s="9" t="n"/>
      <c r="B103" s="9" t="n"/>
      <c r="C103" s="13" t="inlineStr">
        <is>
          <t>2.  Open Month-End and set the month.</t>
        </is>
      </c>
      <c r="D103" s="9" t="n"/>
    </row>
    <row r="104" ht="6" customHeight="1">
      <c r="A104" s="9" t="n"/>
      <c r="B104" s="9" t="n"/>
      <c r="C104" s="9" t="n"/>
      <c r="D104" s="9" t="n"/>
    </row>
    <row r="105" ht="26.35" customHeight="1">
      <c r="A105" s="9" t="n"/>
      <c r="B105" s="9" t="n"/>
      <c r="C105" s="13" t="inlineStr">
        <is>
          <t>3.  Work section 3 first.</t>
        </is>
      </c>
      <c r="D105" s="9" t="n"/>
    </row>
    <row r="106" ht="26.35" customHeight="1">
      <c r="A106" s="9" t="n"/>
      <c r="B106" s="9" t="n"/>
      <c r="C106" s="13" t="inlineStr">
        <is>
          <t>Every count must be zero.</t>
        </is>
      </c>
      <c r="D106" s="9" t="n"/>
    </row>
    <row r="107" ht="52.7" customHeight="1">
      <c r="A107" s="9" t="n"/>
      <c r="B107" s="9" t="n"/>
      <c r="C107" s="13" t="inlineStr">
        <is>
          <t>Fix on the Finance sheet, or filter the Issue column there, which lists the same problems row by row.</t>
        </is>
      </c>
      <c r="D107" s="9" t="n"/>
    </row>
    <row r="108" ht="6" customHeight="1">
      <c r="A108" s="9" t="n"/>
      <c r="B108" s="9" t="n"/>
      <c r="C108" s="9" t="n"/>
      <c r="D108" s="9" t="n"/>
    </row>
    <row r="109" ht="52.7" customHeight="1">
      <c r="A109" s="9" t="n"/>
      <c r="B109" s="9" t="n"/>
      <c r="C109" s="13" t="inlineStr">
        <is>
          <t>4.  Section 1: run the Xero P&amp;L for the month by Cost Centre and type the revenue into the yellow column.</t>
        </is>
      </c>
      <c r="D109" s="9" t="n"/>
    </row>
    <row r="110" ht="26.35" customHeight="1">
      <c r="A110" s="9" t="n"/>
      <c r="B110" s="9" t="n"/>
      <c r="C110" s="13" t="inlineStr">
        <is>
          <t>Each line should read Reconciled.</t>
        </is>
      </c>
      <c r="D110" s="9" t="n"/>
    </row>
    <row r="111" ht="6" customHeight="1">
      <c r="A111" s="9" t="n"/>
      <c r="B111" s="9" t="n"/>
      <c r="C111" s="9" t="n"/>
      <c r="D111" s="9" t="n"/>
    </row>
    <row r="112" ht="52.7" customHeight="1">
      <c r="A112" s="9" t="n"/>
      <c r="B112" s="9" t="n"/>
      <c r="C112" s="13" t="inlineStr">
        <is>
          <t>5.  Section 2: type the WIP Schedule closing balance and the Xero GL 11300 balance.</t>
        </is>
      </c>
      <c r="D112" s="9" t="n"/>
    </row>
    <row r="113" ht="6" customHeight="1">
      <c r="A113" s="9" t="n"/>
      <c r="B113" s="9" t="n"/>
      <c r="C113" s="9" t="n"/>
      <c r="D113" s="9" t="n"/>
    </row>
    <row r="114" ht="79.05000000000001" customHeight="1">
      <c r="A114" s="9" t="n"/>
      <c r="B114" s="9" t="n"/>
      <c r="C114" s="13" t="inlineStr">
        <is>
          <t>6.  Breaks in section 2 - open WIP Summary, paste the WIP Schedule balances into column G and the variance column shows which job is out.</t>
        </is>
      </c>
      <c r="D114" s="9" t="n"/>
    </row>
    <row r="115" ht="6" customHeight="1">
      <c r="A115" s="9" t="n"/>
      <c r="B115" s="9" t="n"/>
      <c r="C115" s="9" t="n"/>
      <c r="D115" s="9" t="n"/>
    </row>
    <row r="116" ht="26.35" customHeight="1">
      <c r="A116" s="9" t="n"/>
      <c r="B116" s="9" t="n"/>
      <c r="C116" s="13" t="inlineStr">
        <is>
          <t>7.  Section 4 is the journal.</t>
        </is>
      </c>
      <c r="D116" s="9" t="n"/>
    </row>
    <row r="117" ht="52.7" customHeight="1">
      <c r="A117" s="9" t="n"/>
      <c r="B117" s="9" t="n"/>
      <c r="C117" s="13" t="inlineStr">
        <is>
          <t>It names the account to debit, the account to credit and the amount, split by cost centre.</t>
        </is>
      </c>
      <c r="D117" s="9" t="n"/>
    </row>
    <row r="118" ht="52.7" customHeight="1">
      <c r="A118" s="9" t="n"/>
      <c r="B118" s="9" t="n"/>
      <c r="C118" s="13" t="inlineStr">
        <is>
          <t>Key it into Xero as one manual journal, then put the journal reference back on the WIP Movements rows.</t>
        </is>
      </c>
      <c r="D118" s="9" t="n"/>
    </row>
    <row r="119" ht="6" customHeight="1">
      <c r="A119" s="9" t="n"/>
      <c r="B119" s="9" t="n"/>
      <c r="C119" s="9" t="n"/>
      <c r="D119" s="9" t="n"/>
    </row>
    <row r="120" ht="52.7" customHeight="1">
      <c r="A120" s="9" t="n"/>
      <c r="B120" s="9" t="n"/>
      <c r="C120" s="13" t="inlineStr">
        <is>
          <t>8.  Section 5 is the Work Won sense check against ZOHO, Current RMS and Qwilr.</t>
        </is>
      </c>
      <c r="D120" s="9" t="n"/>
    </row>
    <row r="121" ht="6" customHeight="1">
      <c r="A121" s="9" t="n"/>
      <c r="B121" s="9" t="n"/>
      <c r="C121" s="9" t="n"/>
      <c r="D121" s="9" t="n"/>
    </row>
    <row r="122" ht="15.5" customHeight="1">
      <c r="A122" s="9" t="n"/>
      <c r="B122" s="9" t="n"/>
      <c r="C122" s="9" t="n"/>
      <c r="D122" s="9" t="n"/>
    </row>
    <row r="123" ht="28" customHeight="1">
      <c r="A123" s="9" t="n"/>
      <c r="B123" s="12" t="inlineStr">
        <is>
          <t>The WIP sign rule</t>
        </is>
      </c>
      <c r="C123" s="9" t="n"/>
      <c r="D123" s="9" t="n"/>
    </row>
    <row r="124" ht="52.7" customHeight="1">
      <c r="A124" s="9" t="n"/>
      <c r="B124" s="9" t="n"/>
      <c r="C124" s="13" t="inlineStr">
        <is>
          <t>One signed Amount column does both jobs, because GL 11300 nets accrued and deferred revenue.</t>
        </is>
      </c>
      <c r="D124" s="9" t="n"/>
    </row>
    <row r="125" ht="52.7" customHeight="1">
      <c r="A125" s="9" t="n"/>
      <c r="B125" s="9" t="n"/>
      <c r="C125" s="13" t="inlineStr">
        <is>
          <t>Positive = revenue recognised this month (work done but not yet invoiced, or a deferral released).</t>
        </is>
      </c>
      <c r="D125" s="9" t="n"/>
    </row>
    <row r="126" ht="52.7" customHeight="1">
      <c r="A126" s="9" t="n"/>
      <c r="B126" s="9" t="n"/>
      <c r="C126" s="13" t="inlineStr">
        <is>
          <t>Negative = revenue pushed out of this month (invoiced in advance).</t>
        </is>
      </c>
      <c r="D126" s="9" t="n"/>
    </row>
    <row r="127" ht="52.7" customHeight="1">
      <c r="A127" s="9" t="n"/>
      <c r="B127" s="9" t="n"/>
      <c r="C127" s="13" t="inlineStr">
        <is>
          <t>So revenue recognised = invoiced Ex GST + WIP movement, and the running total of the Amount column is the GL 11300 balance.</t>
        </is>
      </c>
      <c r="D127" s="9" t="n"/>
    </row>
    <row r="128" ht="6" customHeight="1">
      <c r="A128" s="9" t="n"/>
      <c r="B128" s="9" t="n"/>
      <c r="C128" s="9" t="n"/>
      <c r="D128" s="9" t="n"/>
    </row>
    <row r="129" ht="79.05000000000001" customHeight="1">
      <c r="A129" s="9" t="n"/>
      <c r="B129" s="9" t="n"/>
      <c r="C129" s="13" t="inlineStr">
        <is>
          <t>Every row on WIP Movements now says which account to debit, which to credit and for how much, and gives you a narration to paste.</t>
        </is>
      </c>
      <c r="D129" s="9" t="n"/>
    </row>
    <row r="130" ht="79.05000000000001" customHeight="1">
      <c r="A130" s="9" t="n"/>
      <c r="B130" s="9" t="n"/>
      <c r="C130" s="13" t="inlineStr">
        <is>
          <t>A positive amount puts revenue back into the month, so WIP goes up: debit 11300 Work in Progress, credit 44200 Closing Work in Progress.</t>
        </is>
      </c>
      <c r="D130" s="9" t="n"/>
    </row>
    <row r="131" ht="26.35" customHeight="1">
      <c r="A131" s="9" t="n"/>
      <c r="B131" s="9" t="n"/>
      <c r="C131" s="13" t="inlineStr">
        <is>
          <t>A negative amount is the other way round.</t>
        </is>
      </c>
      <c r="D131" s="9" t="n"/>
    </row>
    <row r="132" ht="52.7" customHeight="1">
      <c r="A132" s="9" t="n"/>
      <c r="B132" s="9" t="n"/>
      <c r="C132" s="13" t="inlineStr">
        <is>
          <t>The old GL Code column is gone - it said 11300 on every row and these two columns replace it.</t>
        </is>
      </c>
      <c r="D132" s="9" t="n"/>
    </row>
    <row r="133" ht="6" customHeight="1">
      <c r="A133" s="9" t="n"/>
      <c r="B133" s="9" t="n"/>
      <c r="C133" s="9" t="n"/>
      <c r="D133" s="9" t="n"/>
    </row>
    <row r="134" ht="79.05000000000001" customHeight="1">
      <c r="A134" s="9" t="n"/>
      <c r="B134" s="9" t="n"/>
      <c r="C134" s="13" t="inlineStr">
        <is>
          <t>Month-End section 4 adds those rows up with the automatic deferrals and gives you the whole month as one journal, split by cost centre so it can carry tracking in Xero.</t>
        </is>
      </c>
      <c r="D134" s="9" t="n"/>
    </row>
    <row r="135" ht="52.7" customHeight="1">
      <c r="A135" s="9" t="n"/>
      <c r="B135" s="9" t="n"/>
      <c r="C135" s="13" t="inlineStr">
        <is>
          <t>Debit and credit must agree and the sheet says Balanced when they do.</t>
        </is>
      </c>
      <c r="D135" s="9" t="n"/>
    </row>
    <row r="136" ht="52.7" customHeight="1">
      <c r="A136" s="9" t="n"/>
      <c r="B136" s="9" t="n"/>
      <c r="C136" s="13" t="inlineStr">
        <is>
          <t>Nothing posts itself - you key it in and put the reference back on the rows.</t>
        </is>
      </c>
      <c r="D136" s="9" t="n"/>
    </row>
    <row r="137" ht="6" customHeight="1">
      <c r="A137" s="9" t="n"/>
      <c r="B137" s="9" t="n"/>
      <c r="C137" s="9" t="n"/>
      <c r="D137" s="9" t="n"/>
    </row>
    <row r="138" ht="52.7" customHeight="1">
      <c r="A138" s="9" t="n"/>
      <c r="B138" s="9" t="n"/>
      <c r="C138" s="13" t="inlineStr">
        <is>
          <t>The two accounts are set on the Lists sheet, column U rows 9 and 10.</t>
        </is>
      </c>
      <c r="D138" s="9" t="n"/>
    </row>
    <row r="139" ht="26.35" customHeight="1">
      <c r="A139" s="9" t="n"/>
      <c r="B139" s="9" t="n"/>
      <c r="C139" s="13" t="inlineStr">
        <is>
          <t>Change them there and every Debit / Credit follows.</t>
        </is>
      </c>
      <c r="D139" s="9" t="n"/>
    </row>
    <row r="140" ht="6" customHeight="1">
      <c r="A140" s="9" t="n"/>
      <c r="B140" s="9" t="n"/>
      <c r="C140" s="9" t="n"/>
      <c r="D140" s="9" t="n"/>
    </row>
    <row r="141" ht="15.5" customHeight="1">
      <c r="A141" s="9" t="n"/>
      <c r="B141" s="9" t="n"/>
      <c r="C141" s="9" t="n"/>
      <c r="D141" s="9" t="n"/>
    </row>
    <row r="142" ht="28" customHeight="1">
      <c r="A142" s="9" t="n"/>
      <c r="B142" s="12" t="inlineStr">
        <is>
          <t>Locked cells, links and totals</t>
        </is>
      </c>
      <c r="C142" s="9" t="n"/>
      <c r="D142" s="9" t="n"/>
    </row>
    <row r="143" ht="26.35" customHeight="1">
      <c r="A143" s="9" t="n"/>
      <c r="B143" s="9" t="n"/>
      <c r="C143" s="13" t="inlineStr">
        <is>
          <t>Every sheet is protected with the password CTS1234.</t>
        </is>
      </c>
      <c r="D143" s="9" t="n"/>
    </row>
    <row r="144" ht="79.05000000000001" customHeight="1">
      <c r="A144" s="9" t="n"/>
      <c r="B144" s="9" t="n"/>
      <c r="C144" s="13" t="inlineStr">
        <is>
          <t>Only the cells you are meant to fill are open; the grey calculated ones are locked so a stray keystroke cannot wipe a formula.</t>
        </is>
      </c>
      <c r="D144" s="9" t="n"/>
    </row>
    <row r="145" ht="26.35" customHeight="1">
      <c r="A145" s="9" t="n"/>
      <c r="B145" s="9" t="n"/>
      <c r="C145" s="13" t="inlineStr">
        <is>
          <t>To edit a locked cell: Review, Unprotect Sheet, type CTS1234.</t>
        </is>
      </c>
      <c r="D145" s="9" t="n"/>
    </row>
    <row r="146" ht="26.35" customHeight="1">
      <c r="A146" s="9" t="n"/>
      <c r="B146" s="9" t="n"/>
      <c r="C146" s="13" t="inlineStr">
        <is>
          <t>Sorting and filtering work without unprotecting anything.</t>
        </is>
      </c>
      <c r="D146" s="9" t="n"/>
    </row>
    <row r="147" ht="52.7" customHeight="1">
      <c r="A147" s="9" t="n"/>
      <c r="B147" s="9" t="n"/>
      <c r="C147" s="13" t="inlineStr">
        <is>
          <t>The workbook structure uses the same password, so sheets cannot be renamed, reordered or deleted by accident either.</t>
        </is>
      </c>
      <c r="D147" s="9" t="n"/>
    </row>
    <row r="148" ht="6" customHeight="1">
      <c r="A148" s="9" t="n"/>
      <c r="B148" s="9" t="n"/>
      <c r="C148" s="9" t="n"/>
      <c r="D148" s="9" t="n"/>
    </row>
    <row r="149" ht="26.35" customHeight="1">
      <c r="A149" s="9" t="n"/>
      <c r="B149" s="9" t="n"/>
      <c r="C149" s="13" t="inlineStr">
        <is>
          <t>Qwilr quotes and Current RMS numbers are clickable.</t>
        </is>
      </c>
      <c r="D149" s="9" t="n"/>
    </row>
    <row r="150" ht="79.05000000000001" customHeight="1">
      <c r="A150" s="9" t="n"/>
      <c r="B150" s="9" t="n"/>
      <c r="C150" s="13" t="inlineStr">
        <is>
          <t>Paste a full web address and it is used as it stands; type a bare number and it is added to the base address on the Lists sheet.</t>
        </is>
      </c>
      <c r="D150" s="9" t="n"/>
    </row>
    <row r="151" ht="105.4" customHeight="1">
      <c r="A151" s="9" t="n"/>
      <c r="B151" s="9" t="n"/>
      <c r="C151" s="13" t="inlineStr">
        <is>
          <t>The Qwilr base is already set, and Current RMS on the Production sheet now works exactly the same way - paste the whole Current RMS address into the Current RMS No cell and it links straight away.</t>
        </is>
      </c>
      <c r="D151" s="9" t="n"/>
    </row>
    <row r="152" ht="52.7" customHeight="1">
      <c r="A152" s="9" t="n"/>
      <c r="B152" s="9" t="n"/>
      <c r="C152" s="13" t="inlineStr">
        <is>
          <t>Only fill in Lists column U row 6 if you would rather type the bare opportunity number.</t>
        </is>
      </c>
      <c r="D152" s="9" t="n"/>
    </row>
    <row r="153" ht="6" customHeight="1">
      <c r="A153" s="9" t="n"/>
      <c r="B153" s="9" t="n"/>
      <c r="C153" s="9" t="n"/>
      <c r="D153" s="9" t="n"/>
    </row>
    <row r="154" ht="79.05000000000001" customHeight="1">
      <c r="A154" s="9" t="n"/>
      <c r="B154" s="9" t="n"/>
      <c r="C154" s="13" t="inlineStr">
        <is>
          <t>Each sheet shows its total ex-GST at the top, and it follows the filter - filter to one client or one month and the total follows.</t>
        </is>
      </c>
      <c r="D154" s="9" t="n"/>
    </row>
    <row r="155" ht="26.35" customHeight="1">
      <c r="A155" s="9" t="n"/>
      <c r="B155" s="9" t="n"/>
      <c r="C155" s="13" t="inlineStr">
        <is>
          <t>Finance shows Ex GST, GST and Inc GST.</t>
        </is>
      </c>
      <c r="D155" s="9" t="n"/>
    </row>
    <row r="156" ht="6" customHeight="1">
      <c r="A156" s="9" t="n"/>
      <c r="B156" s="9" t="n"/>
      <c r="C156" s="9" t="n"/>
      <c r="D156" s="9" t="n"/>
    </row>
    <row r="157" ht="26.35" customHeight="1">
      <c r="A157" s="9" t="n"/>
      <c r="B157" s="9" t="n"/>
      <c r="C157" s="13" t="inlineStr">
        <is>
          <t>The GST rate is no longer buried in the formula.</t>
        </is>
      </c>
      <c r="D157" s="9" t="n"/>
    </row>
    <row r="158" ht="52.7" customHeight="1">
      <c r="A158" s="9" t="n"/>
      <c r="B158" s="9" t="n"/>
      <c r="C158" s="13" t="inlineStr">
        <is>
          <t>It sits on the Lists sheet, column U row 8, and every GST cell reads it from there.</t>
        </is>
      </c>
      <c r="D158" s="9" t="n"/>
    </row>
    <row r="159" ht="6" customHeight="1">
      <c r="A159" s="9" t="n"/>
      <c r="B159" s="9" t="n"/>
      <c r="C159" s="9" t="n"/>
      <c r="D159" s="9" t="n"/>
    </row>
    <row r="160" ht="15.5" customHeight="1">
      <c r="A160" s="9" t="n"/>
      <c r="B160" s="9" t="n"/>
      <c r="C160" s="9" t="n"/>
      <c r="D160" s="9" t="n"/>
    </row>
    <row r="161" ht="28" customHeight="1">
      <c r="A161" s="9" t="n"/>
      <c r="B161" s="12" t="inlineStr">
        <is>
          <t>Rules that keep it fast</t>
        </is>
      </c>
      <c r="C161" s="9" t="n"/>
      <c r="D161" s="9" t="n"/>
    </row>
    <row r="162" ht="26.35" customHeight="1">
      <c r="A162" s="9" t="n"/>
      <c r="B162" s="9" t="n"/>
      <c r="C162" s="13" t="inlineStr">
        <is>
          <t>Never insert or delete rows above the header row.</t>
        </is>
      </c>
      <c r="D162" s="9" t="n"/>
    </row>
    <row r="163" ht="6" customHeight="1">
      <c r="A163" s="9" t="n"/>
      <c r="B163" s="9" t="n"/>
      <c r="C163" s="9" t="n"/>
      <c r="D163" s="9" t="n"/>
    </row>
    <row r="164" ht="79.05000000000001" customHeight="1">
      <c r="A164" s="9" t="n"/>
      <c r="B164" s="9" t="n"/>
      <c r="C164" s="13" t="inlineStr">
        <is>
          <t>Add rows by typing in the next blank row of the table, or press Tab at the end of the last row and the table grows with the formulas.</t>
        </is>
      </c>
      <c r="D164" s="9" t="n"/>
    </row>
    <row r="165" ht="6" customHeight="1">
      <c r="A165" s="9" t="n"/>
      <c r="B165" s="9" t="n"/>
      <c r="C165" s="9" t="n"/>
      <c r="D165" s="9" t="n"/>
    </row>
    <row r="166" ht="26.35" customHeight="1">
      <c r="A166" s="9" t="n"/>
      <c r="B166" s="9" t="n"/>
      <c r="C166" s="13" t="inlineStr">
        <is>
          <t>Paste values only, never whole columns.</t>
        </is>
      </c>
      <c r="D166" s="9" t="n"/>
    </row>
    <row r="167" ht="6" customHeight="1">
      <c r="A167" s="9" t="n"/>
      <c r="B167" s="9" t="n"/>
      <c r="C167" s="9" t="n"/>
      <c r="D167" s="9" t="n"/>
    </row>
    <row r="168" ht="26.35" customHeight="1">
      <c r="A168" s="9" t="n"/>
      <c r="B168" s="9" t="n"/>
      <c r="C168" s="13" t="inlineStr">
        <is>
          <t>Leave calculation on Automatic.</t>
        </is>
      </c>
      <c r="D168" s="9" t="n"/>
    </row>
    <row r="169" ht="52.7" customHeight="1">
      <c r="A169" s="9" t="n"/>
      <c r="B169" s="9" t="n"/>
      <c r="C169" s="13" t="inlineStr">
        <is>
          <t>Nothing here is volatile - no OFFSET, no INDIRECT, no TODAY in bulk.</t>
        </is>
      </c>
      <c r="D169" s="9" t="n"/>
    </row>
    <row r="170" ht="6" customHeight="1">
      <c r="A170" s="9" t="n"/>
      <c r="B170" s="9" t="n"/>
      <c r="C170" s="9" t="n"/>
      <c r="D170" s="9" t="n"/>
    </row>
    <row r="171" ht="26.35" customHeight="1">
      <c r="A171" s="9" t="n"/>
      <c r="B171" s="9" t="n"/>
      <c r="C171" s="13" t="inlineStr">
        <is>
          <t>Keep it as .xlsx.</t>
        </is>
      </c>
      <c r="D171" s="9" t="n"/>
    </row>
    <row r="172" ht="52.7" customHeight="1">
      <c r="A172" s="9" t="n"/>
      <c r="B172" s="9" t="n"/>
      <c r="C172" s="13" t="inlineStr">
        <is>
          <t>The moment someone saves it as .xlsm and adds a macro you are back where you started.</t>
        </is>
      </c>
      <c r="D172" s="9" t="n"/>
    </row>
    <row r="173" ht="6" customHeight="1">
      <c r="A173" s="9" t="n"/>
      <c r="B173" s="9" t="n"/>
      <c r="C173" s="9" t="n"/>
      <c r="D173" s="9" t="n"/>
    </row>
    <row r="174" ht="15.5" customHeight="1">
      <c r="A174" s="9" t="n"/>
      <c r="B174" s="9" t="n"/>
      <c r="C174" s="9" t="n"/>
      <c r="D174" s="9" t="n"/>
    </row>
    <row r="175" ht="28" customHeight="1">
      <c r="A175" s="9" t="n"/>
      <c r="B175" s="12" t="inlineStr">
        <is>
          <t>This is the empty test copy</t>
        </is>
      </c>
      <c r="C175" s="9" t="n"/>
      <c r="D175" s="9" t="n"/>
    </row>
    <row r="176" ht="26.35" customHeight="1">
      <c r="A176" s="9" t="n"/>
      <c r="B176" s="9" t="n"/>
      <c r="C176" s="13" t="inlineStr">
        <is>
          <t>Nothing has been migrated into this file.</t>
        </is>
      </c>
      <c r="D176" s="9" t="n"/>
    </row>
    <row r="177" ht="79.05000000000001" customHeight="1">
      <c r="A177" s="9" t="n"/>
      <c r="B177" s="9" t="n"/>
      <c r="C177" s="13" t="inlineStr">
        <is>
          <t>Every sheet is empty and ready to type into, and every formula, dropdown, lock, hyperlink and month-end check is exactly the same as the live workbook.</t>
        </is>
      </c>
      <c r="D177" s="9" t="n"/>
    </row>
    <row r="178" ht="6" customHeight="1">
      <c r="A178" s="9" t="n"/>
      <c r="B178" s="9" t="n"/>
      <c r="C178" s="9" t="n"/>
      <c r="D178" s="9" t="n"/>
    </row>
    <row r="179" ht="79.05000000000001" customHeight="1">
      <c r="A179" s="9" t="n"/>
      <c r="B179" s="9" t="n"/>
      <c r="C179" s="13" t="inlineStr">
        <is>
          <t>What is still here is reference data, because the dropdowns and the job checks need it: the Xero job list, the cost centres, the revenue GL codes and the month list on the Lists sheet.</t>
        </is>
      </c>
      <c r="D179" s="9" t="n"/>
    </row>
    <row r="180" ht="6" customHeight="1">
      <c r="A180" s="9" t="n"/>
      <c r="B180" s="9" t="n"/>
      <c r="C180" s="9" t="n"/>
      <c r="D180" s="9" t="n"/>
    </row>
    <row r="181" ht="79.05000000000001" customHeight="1">
      <c r="A181" s="9" t="n"/>
      <c r="B181" s="9" t="n"/>
      <c r="C181" s="13" t="inlineStr">
        <is>
          <t>To test it end to end: type an invoice line on the Finance sheet, then type the same job number on the matching department sheet, then open Month-End, set the month and work down.</t>
        </is>
      </c>
      <c r="D181" s="9" t="n"/>
    </row>
    <row r="182" ht="52.7" customHeight="1">
      <c r="A182" s="9" t="n"/>
      <c r="B182" s="9" t="n"/>
      <c r="C182" s="13" t="inlineStr">
        <is>
          <t>Section 3 should go to nil and section 1 should add up to what you typed.</t>
        </is>
      </c>
      <c r="D182" s="9" t="n"/>
    </row>
    <row r="183" ht="6" customHeight="1">
      <c r="A183" s="9" t="n"/>
      <c r="B183" s="9" t="n"/>
      <c r="C183" s="9" t="n"/>
      <c r="D183" s="9" t="n"/>
    </row>
    <row r="184" ht="15.5" customHeight="1">
      <c r="A184" s="9" t="n"/>
      <c r="B184" s="9" t="n"/>
      <c r="C184" s="9" t="n"/>
      <c r="D184" s="9" t="n"/>
    </row>
    <row r="185" ht="28" customHeight="1">
      <c r="A185" s="9" t="n"/>
      <c r="B185" s="16" t="inlineStr">
        <is>
          <t>Still to confirm</t>
        </is>
      </c>
      <c r="C185" s="9" t="n"/>
      <c r="D185" s="9" t="n"/>
    </row>
    <row r="186" ht="26.35" customHeight="1">
      <c r="A186" s="9" t="n"/>
      <c r="B186" s="9" t="n"/>
      <c r="C186" s="13" t="inlineStr">
        <is>
          <t>Discounts.</t>
        </is>
      </c>
      <c r="D186" s="9" t="n"/>
    </row>
    <row r="187" ht="105.4" customHeight="1">
      <c r="A187" s="9" t="n"/>
      <c r="B187" s="9" t="n"/>
      <c r="C187" s="13" t="inlineStr">
        <is>
          <t>Checked against Xero: for all 17 August production invoices carrying a discount, the ex-GST total on the Xero invoice equals Ex GST here exactly, and not one matched Ex GST minus the discount.</t>
        </is>
      </c>
      <c r="D187" s="9" t="n"/>
    </row>
    <row r="188" ht="52.7" customHeight="1">
      <c r="A188" s="9" t="n"/>
      <c r="B188" s="9" t="n"/>
      <c r="C188" s="13" t="inlineStr">
        <is>
          <t>So the discount comes off before the invoice is raised and Ex GST is what reconciles.</t>
        </is>
      </c>
      <c r="D188" s="9" t="n"/>
    </row>
    <row r="189" ht="79.05000000000001" customHeight="1">
      <c r="A189" s="9" t="n"/>
      <c r="B189" s="9" t="n"/>
      <c r="C189" s="13" t="inlineStr">
        <is>
          <t>The old "Net Total" is gone; Discounts Given now sits on the Production sheet at job level with Value Before Discount beside it.</t>
        </is>
      </c>
      <c r="D189" s="9" t="n"/>
    </row>
    <row r="190" ht="52.7" customHeight="1">
      <c r="A190" s="9" t="n"/>
      <c r="B190" s="9" t="n"/>
      <c r="C190" s="13" t="inlineStr">
        <is>
          <t>Assumption: it records what was given away off standard rates.</t>
        </is>
      </c>
      <c r="D190" s="9" t="n"/>
    </row>
    <row r="191" ht="6" customHeight="1">
      <c r="A191" s="9" t="n"/>
      <c r="B191" s="9" t="n"/>
      <c r="C191" s="9" t="n"/>
      <c r="D191" s="9" t="n"/>
    </row>
    <row r="192">
      <c r="A192" s="9" t="n"/>
      <c r="B192" s="9" t="n"/>
      <c r="C192" s="9" t="n"/>
      <c r="D192" s="9" t="n"/>
    </row>
    <row r="193" ht="52.7" customHeight="1">
      <c r="A193" s="9" t="n"/>
      <c r="B193" s="17" t="inlineStr">
        <is>
          <t>This is the easy-read version. The standard, more compact version is on the Read Me tab.</t>
        </is>
      </c>
      <c r="C193" s="9" t="n"/>
      <c r="D193" s="9" t="n"/>
    </row>
    <row r="194">
      <c r="A194" s="9" t="n"/>
      <c r="B194" s="9" t="n"/>
      <c r="C194" s="9" t="n"/>
      <c r="D194" s="9" t="n"/>
    </row>
    <row r="195">
      <c r="A195" s="9" t="n"/>
      <c r="B195" s="9" t="n"/>
      <c r="C195" s="9" t="n"/>
      <c r="D195" s="9" t="n"/>
    </row>
  </sheetData>
  <mergeCells count="13">
    <mergeCell ref="B77:C77"/>
    <mergeCell ref="B100:C100"/>
    <mergeCell ref="B64:C64"/>
    <mergeCell ref="B161:C161"/>
    <mergeCell ref="B185:C185"/>
    <mergeCell ref="B142:C142"/>
    <mergeCell ref="B5:C5"/>
    <mergeCell ref="B37:C37"/>
    <mergeCell ref="B28:C28"/>
    <mergeCell ref="B85:C85"/>
    <mergeCell ref="B123:C123"/>
    <mergeCell ref="B193:C193"/>
    <mergeCell ref="B175:C175"/>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H404"/>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15" customWidth="1" min="23" max="23"/>
    <col width="34" customWidth="1" min="24" max="24"/>
    <col width="12" customWidth="1" min="25" max="25"/>
    <col width="15" customWidth="1" min="26" max="26"/>
    <col width="14" customWidth="1" min="27" max="27"/>
    <col width="14" customWidth="1" min="28" max="28"/>
    <col width="34" customWidth="1" min="29" max="29"/>
    <col width="13" customWidth="1" min="30" max="30"/>
    <col width="14" customWidth="1" min="31" max="31"/>
    <col width="14" customWidth="1" min="32" max="32"/>
    <col width="12" customWidth="1" min="33" max="33"/>
    <col width="34" customWidth="1" min="34" max="34"/>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Date</t>
        </is>
      </c>
      <c r="B4" s="21" t="inlineStr">
        <is>
          <t>Month</t>
        </is>
      </c>
      <c r="C4" s="20" t="inlineStr">
        <is>
          <t>Xero Invoice No</t>
        </is>
      </c>
      <c r="D4" s="20" t="inlineStr">
        <is>
          <t>Client</t>
        </is>
      </c>
      <c r="E4" s="20" t="inlineStr">
        <is>
          <t>Job Number</t>
        </is>
      </c>
      <c r="F4" s="21" t="inlineStr">
        <is>
          <t>Job in Xero?</t>
        </is>
      </c>
      <c r="G4" s="20" t="inlineStr">
        <is>
          <t>Description</t>
        </is>
      </c>
      <c r="H4" s="20" t="inlineStr">
        <is>
          <t>Team</t>
        </is>
      </c>
      <c r="I4" s="20" t="inlineStr">
        <is>
          <t>Cost Centre</t>
        </is>
      </c>
      <c r="J4" s="20" t="inlineStr">
        <is>
          <t>Invoice Type</t>
        </is>
      </c>
      <c r="K4" s="20" t="inlineStr">
        <is>
          <t>Tax Code</t>
        </is>
      </c>
      <c r="L4" s="20" t="inlineStr">
        <is>
          <t>Ex GST</t>
        </is>
      </c>
      <c r="M4" s="21" t="inlineStr">
        <is>
          <t>GST</t>
        </is>
      </c>
      <c r="N4" s="21" t="inlineStr">
        <is>
          <t>Inc GST</t>
        </is>
      </c>
      <c r="O4" s="20" t="inlineStr">
        <is>
          <t>Revenue GL</t>
        </is>
      </c>
      <c r="P4" s="20" t="inlineStr">
        <is>
          <t>Posted to Xero</t>
        </is>
      </c>
      <c r="Q4" s="20" t="inlineStr">
        <is>
          <t>To WIP</t>
        </is>
      </c>
      <c r="R4" s="20" t="inlineStr">
        <is>
          <t>Defer Start</t>
        </is>
      </c>
      <c r="S4" s="20" t="inlineStr">
        <is>
          <t>Defer End</t>
        </is>
      </c>
      <c r="T4" s="20" t="inlineStr">
        <is>
          <t>Status</t>
        </is>
      </c>
      <c r="U4" s="20" t="inlineStr">
        <is>
          <t>Notes</t>
        </is>
      </c>
      <c r="V4" s="21" t="inlineStr">
        <is>
          <t>Issue</t>
        </is>
      </c>
      <c r="W4" s="21" t="inlineStr">
        <is>
          <t>On Dept Sheet</t>
        </is>
      </c>
      <c r="X4" s="21" t="inlineStr">
        <is>
          <t>Job Name (Xero)</t>
        </is>
      </c>
      <c r="Y4" s="21" t="inlineStr">
        <is>
          <t>Lines on this Job</t>
        </is>
      </c>
      <c r="Z4" s="21" t="inlineStr">
        <is>
          <t>Job Total Ex GST</t>
        </is>
      </c>
      <c r="AA4" s="21" t="inlineStr">
        <is>
          <t>Job Invoiced</t>
        </is>
      </c>
      <c r="AB4" s="21" t="inlineStr">
        <is>
          <t>Job To Invoice</t>
        </is>
      </c>
      <c r="AC4" s="21" t="inlineStr">
        <is>
          <t>Job Quote / Ref</t>
        </is>
      </c>
      <c r="AD4" s="21" t="inlineStr">
        <is>
          <t>Open Quote</t>
        </is>
      </c>
      <c r="AE4" s="21" t="inlineStr">
        <is>
          <t>Job Expense</t>
        </is>
      </c>
      <c r="AF4" s="21" t="inlineStr">
        <is>
          <t>Job Margin</t>
        </is>
      </c>
      <c r="AG4" s="21" t="inlineStr">
        <is>
          <t>Job Margin %</t>
        </is>
      </c>
      <c r="AH4" s="21" t="inlineStr">
        <is>
          <t>Dept Notes</t>
        </is>
      </c>
    </row>
    <row r="5" ht="15" customHeight="1">
      <c r="A5" s="22" t="n"/>
      <c r="B5" s="23">
        <f>IF(A5="","",EOMONTH(A5,0))</f>
        <v/>
      </c>
      <c r="C5" s="24" t="n"/>
      <c r="D5" s="24" t="n"/>
      <c r="E5" s="24" t="n"/>
      <c r="F5" s="25">
        <f>IF(E5="","",IF(COUNTIF(lst_Jobs,E5&amp;"")&gt;0,"OK","CHECK"))</f>
        <v/>
      </c>
      <c r="G5" s="24" t="n"/>
      <c r="H5" s="24" t="n"/>
      <c r="I5" s="24" t="n"/>
      <c r="J5" s="24" t="n"/>
      <c r="K5" s="24" t="n"/>
      <c r="L5" s="26" t="n"/>
      <c r="M5" s="27">
        <f>IF(L5="","",IF(K5="GST 10%",ROUND(L5*set_GSTRate,2),0))</f>
        <v/>
      </c>
      <c r="N5" s="27">
        <f>IF(L5="","",L5+M5)</f>
        <v/>
      </c>
      <c r="O5" s="24" t="n"/>
      <c r="P5" s="24" t="n"/>
      <c r="Q5" s="24" t="n"/>
      <c r="R5" s="22" t="n"/>
      <c r="S5" s="22" t="n"/>
      <c r="T5" s="24" t="n"/>
      <c r="U5" s="24" t="n"/>
      <c r="V5" s="25">
        <f>IF(COUNTA(A5,D5,C5,L5)=0,"",IF(A5="","No date - sits outside every month",IF(E5="","No job number",IF(F5="CHECK","Job number is not in the Xero job list",IF(I5="","No cost centre",IF(AND(P5="Y",C5=""),"Marked posted to Xero but has no invoice number",IF(AND(L5&lt;&gt;"",K5=""),"No tax code",IF(AND(L5&lt;&gt;"",O5=""),"No revenue GL code",""))))))))</f>
        <v/>
      </c>
      <c r="W5" s="25">
        <f>IF(E5="","",IF(COUNTIF(tbl_Onsite[Job Number],E5&amp;"")&gt;0,"Onsite",IF(COUNTIF(tbl_Production[Job Number],E5&amp;"")&gt;0,"Production",IF(COUNTIF(tbl_Consulting[Job Number],E5&amp;"")&gt;0,"Consulting","not set up yet"))))</f>
        <v/>
      </c>
      <c r="X5" s="25">
        <f>IF(E5="","",IFERROR(INDEX(lst_JobName,MATCH(E5&amp;"",lst_Jobs,0)),""))</f>
        <v/>
      </c>
      <c r="Y5" s="28">
        <f>IF(E5="","",COUNTIFS(tbl_Finance[Job Number],E5&amp;"",tbl_Finance[Ex GST],"&lt;&gt;"))</f>
        <v/>
      </c>
      <c r="Z5" s="27">
        <f>IF(E5="","",SUMIFS(tbl_Finance[Ex GST],tbl_Finance[Job Number],E5&amp;""))</f>
        <v/>
      </c>
      <c r="AA5" s="27">
        <f>IF(E5="","",SUMIFS(tbl_Finance[Ex GST],tbl_Finance[Job Number],E5&amp;"",tbl_Finance[Xero Invoice No],"&lt;&gt;"))</f>
        <v/>
      </c>
      <c r="AB5" s="27">
        <f>IF(E5="","",Z5-AA5)</f>
        <v/>
      </c>
      <c r="AC5" s="25">
        <f>IF(E5="","",IFERROR(IF(INDEX(tbl_Onsite[Qwilr Quote],IFERROR(MATCH(E5&amp;"",tbl_Onsite[Job Number],0),MATCH(IFERROR(E5+0,E5),tbl_Onsite[Job Number],0)))="","",INDEX(tbl_Onsite[Qwilr Quote],IFERROR(MATCH(E5&amp;"",tbl_Onsite[Job Number],0),MATCH(IFERROR(E5+0,E5),tbl_Onsite[Job Number],0)))),IFERROR(IF(IF(INDEX(tbl_Production[Current RMS No],IFERROR(MATCH(E5&amp;"",tbl_Production[Job Number],0),MATCH(IFERROR(E5+0,E5),tbl_Production[Job Number],0)))="",INDEX(tbl_Production[Qwilr Quote],IFERROR(MATCH(E5&amp;"",tbl_Production[Job Number],0),MATCH(IFERROR(E5+0,E5),tbl_Production[Job Number],0))),INDEX(tbl_Production[Current RMS No],IFERROR(MATCH(E5&amp;"",tbl_Production[Job Number],0),MATCH(IFERROR(E5+0,E5),tbl_Production[Job Number],0))))="","",IF(INDEX(tbl_Production[Current RMS No],IFERROR(MATCH(E5&amp;"",tbl_Production[Job Number],0),MATCH(IFERROR(E5+0,E5),tbl_Production[Job Number],0)))="",INDEX(tbl_Production[Qwilr Quote],IFERROR(MATCH(E5&amp;"",tbl_Production[Job Number],0),MATCH(IFERROR(E5+0,E5),tbl_Production[Job Number],0))),INDEX(tbl_Production[Current RMS No],IFERROR(MATCH(E5&amp;"",tbl_Production[Job Number],0),MATCH(IFERROR(E5+0,E5),tbl_Production[Job Number],0))))),IFERROR(IF(INDEX(tbl_Consulting[Qwilr Quote],IFERROR(MATCH(E5&amp;"",tbl_Consulting[Job Number],0),MATCH(IFERROR(E5+0,E5),tbl_Consulting[Job Number],0)))="","",INDEX(tbl_Consulting[Qwilr Quote],IFERROR(MATCH(E5&amp;"",tbl_Consulting[Job Number],0),MATCH(IFERROR(E5+0,E5),tbl_Consulting[Job Number],0)))),""))))</f>
        <v/>
      </c>
      <c r="AD5" s="25">
        <f>IF(AC5="","",IF(AND(LEFT(AC5,4)&lt;&gt;"http",IF(H5="Production",set_RMSBase,set_QwilrBase)=""),"",HYPERLINK(IF(LEFT(AC5,4)="http",AC5,IF(H5="Production",set_RMSBase,set_QwilrBase)&amp;AC5),"Open")))</f>
        <v/>
      </c>
      <c r="AE5" s="27">
        <f>IF(E5="","",IFERROR(INDEX(tbl_Production[Total Expense],IFERROR(MATCH(E5&amp;"",tbl_Production[Job Number],0),MATCH(IFERROR(E5+0,E5),tbl_Production[Job Number],0))),IFERROR(INDEX(tbl_Consulting[Total Expense],IFERROR(MATCH(E5&amp;"",tbl_Consulting[Job Number],0),MATCH(IFERROR(E5+0,E5),tbl_Consulting[Job Number],0))),0)))</f>
        <v/>
      </c>
      <c r="AF5" s="27">
        <f>IF(E5="","",Z5-N(AE5))</f>
        <v/>
      </c>
      <c r="AG5" s="29">
        <f>IFERROR(AF5/Z5,"")</f>
        <v/>
      </c>
      <c r="AH5" s="25">
        <f>IF(E5="","",IFERROR(IF(INDEX(tbl_Onsite[Notes],IFERROR(MATCH(E5&amp;"",tbl_Onsite[Job Number],0),MATCH(IFERROR(E5+0,E5),tbl_Onsite[Job Number],0)))="","",INDEX(tbl_Onsite[Notes],IFERROR(MATCH(E5&amp;"",tbl_Onsite[Job Number],0),MATCH(IFERROR(E5+0,E5),tbl_Onsite[Job Number],0)))),IFERROR(IF(INDEX(tbl_Production[Notes],IFERROR(MATCH(E5&amp;"",tbl_Production[Job Number],0),MATCH(IFERROR(E5+0,E5),tbl_Production[Job Number],0)))="","",INDEX(tbl_Production[Notes],IFERROR(MATCH(E5&amp;"",tbl_Production[Job Number],0),MATCH(IFERROR(E5+0,E5),tbl_Production[Job Number],0)))),IFERROR(IF(INDEX(tbl_Consulting[Notes],IFERROR(MATCH(E5&amp;"",tbl_Consulting[Job Number],0),MATCH(IFERROR(E5+0,E5),tbl_Consulting[Job Number],0)))="","",INDEX(tbl_Consulting[Notes],IFERROR(MATCH(E5&amp;"",tbl_Consulting[Job Number],0),MATCH(IFERROR(E5+0,E5),tbl_Consulting[Job Number],0)))),""))))</f>
        <v/>
      </c>
    </row>
    <row r="6" ht="15" customHeight="1">
      <c r="A6" s="22" t="n"/>
      <c r="B6" s="23">
        <f>IF(A6="","",EOMONTH(A6,0))</f>
        <v/>
      </c>
      <c r="C6" s="24" t="n"/>
      <c r="D6" s="24" t="n"/>
      <c r="E6" s="24" t="n"/>
      <c r="F6" s="25">
        <f>IF(E6="","",IF(COUNTIF(lst_Jobs,E6&amp;"")&gt;0,"OK","CHECK"))</f>
        <v/>
      </c>
      <c r="G6" s="24" t="n"/>
      <c r="H6" s="24" t="n"/>
      <c r="I6" s="24" t="n"/>
      <c r="J6" s="24" t="n"/>
      <c r="K6" s="24" t="n"/>
      <c r="L6" s="26" t="n"/>
      <c r="M6" s="27">
        <f>IF(L6="","",IF(K6="GST 10%",ROUND(L6*set_GSTRate,2),0))</f>
        <v/>
      </c>
      <c r="N6" s="27">
        <f>IF(L6="","",L6+M6)</f>
        <v/>
      </c>
      <c r="O6" s="24" t="n"/>
      <c r="P6" s="24" t="n"/>
      <c r="Q6" s="24" t="n"/>
      <c r="R6" s="22" t="n"/>
      <c r="S6" s="22" t="n"/>
      <c r="T6" s="24" t="n"/>
      <c r="U6" s="24" t="n"/>
      <c r="V6" s="25">
        <f>IF(COUNTA(A6,D6,C6,L6)=0,"",IF(A6="","No date - sits outside every month",IF(E6="","No job number",IF(F6="CHECK","Job number is not in the Xero job list",IF(I6="","No cost centre",IF(AND(P6="Y",C6=""),"Marked posted to Xero but has no invoice number",IF(AND(L6&lt;&gt;"",K6=""),"No tax code",IF(AND(L6&lt;&gt;"",O6=""),"No revenue GL code",""))))))))</f>
        <v/>
      </c>
      <c r="W6" s="25">
        <f>IF(E6="","",IF(COUNTIF(tbl_Onsite[Job Number],E6&amp;"")&gt;0,"Onsite",IF(COUNTIF(tbl_Production[Job Number],E6&amp;"")&gt;0,"Production",IF(COUNTIF(tbl_Consulting[Job Number],E6&amp;"")&gt;0,"Consulting","not set up yet"))))</f>
        <v/>
      </c>
      <c r="X6" s="25">
        <f>IF(E6="","",IFERROR(INDEX(lst_JobName,MATCH(E6&amp;"",lst_Jobs,0)),""))</f>
        <v/>
      </c>
      <c r="Y6" s="28">
        <f>IF(E6="","",COUNTIFS(tbl_Finance[Job Number],E6&amp;"",tbl_Finance[Ex GST],"&lt;&gt;"))</f>
        <v/>
      </c>
      <c r="Z6" s="27">
        <f>IF(E6="","",SUMIFS(tbl_Finance[Ex GST],tbl_Finance[Job Number],E6&amp;""))</f>
        <v/>
      </c>
      <c r="AA6" s="27">
        <f>IF(E6="","",SUMIFS(tbl_Finance[Ex GST],tbl_Finance[Job Number],E6&amp;"",tbl_Finance[Xero Invoice No],"&lt;&gt;"))</f>
        <v/>
      </c>
      <c r="AB6" s="27">
        <f>IF(E6="","",Z6-AA6)</f>
        <v/>
      </c>
      <c r="AC6" s="25">
        <f>IF(E6="","",IFERROR(IF(INDEX(tbl_Onsite[Qwilr Quote],IFERROR(MATCH(E6&amp;"",tbl_Onsite[Job Number],0),MATCH(IFERROR(E6+0,E6),tbl_Onsite[Job Number],0)))="","",INDEX(tbl_Onsite[Qwilr Quote],IFERROR(MATCH(E6&amp;"",tbl_Onsite[Job Number],0),MATCH(IFERROR(E6+0,E6),tbl_Onsite[Job Number],0)))),IFERROR(IF(IF(INDEX(tbl_Production[Current RMS No],IFERROR(MATCH(E6&amp;"",tbl_Production[Job Number],0),MATCH(IFERROR(E6+0,E6),tbl_Production[Job Number],0)))="",INDEX(tbl_Production[Qwilr Quote],IFERROR(MATCH(E6&amp;"",tbl_Production[Job Number],0),MATCH(IFERROR(E6+0,E6),tbl_Production[Job Number],0))),INDEX(tbl_Production[Current RMS No],IFERROR(MATCH(E6&amp;"",tbl_Production[Job Number],0),MATCH(IFERROR(E6+0,E6),tbl_Production[Job Number],0))))="","",IF(INDEX(tbl_Production[Current RMS No],IFERROR(MATCH(E6&amp;"",tbl_Production[Job Number],0),MATCH(IFERROR(E6+0,E6),tbl_Production[Job Number],0)))="",INDEX(tbl_Production[Qwilr Quote],IFERROR(MATCH(E6&amp;"",tbl_Production[Job Number],0),MATCH(IFERROR(E6+0,E6),tbl_Production[Job Number],0))),INDEX(tbl_Production[Current RMS No],IFERROR(MATCH(E6&amp;"",tbl_Production[Job Number],0),MATCH(IFERROR(E6+0,E6),tbl_Production[Job Number],0))))),IFERROR(IF(INDEX(tbl_Consulting[Qwilr Quote],IFERROR(MATCH(E6&amp;"",tbl_Consulting[Job Number],0),MATCH(IFERROR(E6+0,E6),tbl_Consulting[Job Number],0)))="","",INDEX(tbl_Consulting[Qwilr Quote],IFERROR(MATCH(E6&amp;"",tbl_Consulting[Job Number],0),MATCH(IFERROR(E6+0,E6),tbl_Consulting[Job Number],0)))),""))))</f>
        <v/>
      </c>
      <c r="AD6" s="25">
        <f>IF(AC6="","",IF(AND(LEFT(AC6,4)&lt;&gt;"http",IF(H6="Production",set_RMSBase,set_QwilrBase)=""),"",HYPERLINK(IF(LEFT(AC6,4)="http",AC6,IF(H6="Production",set_RMSBase,set_QwilrBase)&amp;AC6),"Open")))</f>
        <v/>
      </c>
      <c r="AE6" s="27">
        <f>IF(E6="","",IFERROR(INDEX(tbl_Production[Total Expense],IFERROR(MATCH(E6&amp;"",tbl_Production[Job Number],0),MATCH(IFERROR(E6+0,E6),tbl_Production[Job Number],0))),IFERROR(INDEX(tbl_Consulting[Total Expense],IFERROR(MATCH(E6&amp;"",tbl_Consulting[Job Number],0),MATCH(IFERROR(E6+0,E6),tbl_Consulting[Job Number],0))),0)))</f>
        <v/>
      </c>
      <c r="AF6" s="27">
        <f>IF(E6="","",Z6-N(AE6))</f>
        <v/>
      </c>
      <c r="AG6" s="29">
        <f>IFERROR(AF6/Z6,"")</f>
        <v/>
      </c>
      <c r="AH6" s="25">
        <f>IF(E6="","",IFERROR(IF(INDEX(tbl_Onsite[Notes],IFERROR(MATCH(E6&amp;"",tbl_Onsite[Job Number],0),MATCH(IFERROR(E6+0,E6),tbl_Onsite[Job Number],0)))="","",INDEX(tbl_Onsite[Notes],IFERROR(MATCH(E6&amp;"",tbl_Onsite[Job Number],0),MATCH(IFERROR(E6+0,E6),tbl_Onsite[Job Number],0)))),IFERROR(IF(INDEX(tbl_Production[Notes],IFERROR(MATCH(E6&amp;"",tbl_Production[Job Number],0),MATCH(IFERROR(E6+0,E6),tbl_Production[Job Number],0)))="","",INDEX(tbl_Production[Notes],IFERROR(MATCH(E6&amp;"",tbl_Production[Job Number],0),MATCH(IFERROR(E6+0,E6),tbl_Production[Job Number],0)))),IFERROR(IF(INDEX(tbl_Consulting[Notes],IFERROR(MATCH(E6&amp;"",tbl_Consulting[Job Number],0),MATCH(IFERROR(E6+0,E6),tbl_Consulting[Job Number],0)))="","",INDEX(tbl_Consulting[Notes],IFERROR(MATCH(E6&amp;"",tbl_Consulting[Job Number],0),MATCH(IFERROR(E6+0,E6),tbl_Consulting[Job Number],0)))),""))))</f>
        <v/>
      </c>
    </row>
    <row r="7" ht="15" customHeight="1">
      <c r="A7" s="22" t="n"/>
      <c r="B7" s="23">
        <f>IF(A7="","",EOMONTH(A7,0))</f>
        <v/>
      </c>
      <c r="C7" s="24" t="n"/>
      <c r="D7" s="24" t="n"/>
      <c r="E7" s="24" t="n"/>
      <c r="F7" s="25">
        <f>IF(E7="","",IF(COUNTIF(lst_Jobs,E7&amp;"")&gt;0,"OK","CHECK"))</f>
        <v/>
      </c>
      <c r="G7" s="24" t="n"/>
      <c r="H7" s="24" t="n"/>
      <c r="I7" s="24" t="n"/>
      <c r="J7" s="24" t="n"/>
      <c r="K7" s="24" t="n"/>
      <c r="L7" s="26" t="n"/>
      <c r="M7" s="27">
        <f>IF(L7="","",IF(K7="GST 10%",ROUND(L7*set_GSTRate,2),0))</f>
        <v/>
      </c>
      <c r="N7" s="27">
        <f>IF(L7="","",L7+M7)</f>
        <v/>
      </c>
      <c r="O7" s="24" t="n"/>
      <c r="P7" s="24" t="n"/>
      <c r="Q7" s="24" t="n"/>
      <c r="R7" s="22" t="n"/>
      <c r="S7" s="22" t="n"/>
      <c r="T7" s="24" t="n"/>
      <c r="U7" s="24" t="n"/>
      <c r="V7" s="25">
        <f>IF(COUNTA(A7,D7,C7,L7)=0,"",IF(A7="","No date - sits outside every month",IF(E7="","No job number",IF(F7="CHECK","Job number is not in the Xero job list",IF(I7="","No cost centre",IF(AND(P7="Y",C7=""),"Marked posted to Xero but has no invoice number",IF(AND(L7&lt;&gt;"",K7=""),"No tax code",IF(AND(L7&lt;&gt;"",O7=""),"No revenue GL code",""))))))))</f>
        <v/>
      </c>
      <c r="W7" s="25">
        <f>IF(E7="","",IF(COUNTIF(tbl_Onsite[Job Number],E7&amp;"")&gt;0,"Onsite",IF(COUNTIF(tbl_Production[Job Number],E7&amp;"")&gt;0,"Production",IF(COUNTIF(tbl_Consulting[Job Number],E7&amp;"")&gt;0,"Consulting","not set up yet"))))</f>
        <v/>
      </c>
      <c r="X7" s="25">
        <f>IF(E7="","",IFERROR(INDEX(lst_JobName,MATCH(E7&amp;"",lst_Jobs,0)),""))</f>
        <v/>
      </c>
      <c r="Y7" s="28">
        <f>IF(E7="","",COUNTIFS(tbl_Finance[Job Number],E7&amp;"",tbl_Finance[Ex GST],"&lt;&gt;"))</f>
        <v/>
      </c>
      <c r="Z7" s="27">
        <f>IF(E7="","",SUMIFS(tbl_Finance[Ex GST],tbl_Finance[Job Number],E7&amp;""))</f>
        <v/>
      </c>
      <c r="AA7" s="27">
        <f>IF(E7="","",SUMIFS(tbl_Finance[Ex GST],tbl_Finance[Job Number],E7&amp;"",tbl_Finance[Xero Invoice No],"&lt;&gt;"))</f>
        <v/>
      </c>
      <c r="AB7" s="27">
        <f>IF(E7="","",Z7-AA7)</f>
        <v/>
      </c>
      <c r="AC7" s="25">
        <f>IF(E7="","",IFERROR(IF(INDEX(tbl_Onsite[Qwilr Quote],IFERROR(MATCH(E7&amp;"",tbl_Onsite[Job Number],0),MATCH(IFERROR(E7+0,E7),tbl_Onsite[Job Number],0)))="","",INDEX(tbl_Onsite[Qwilr Quote],IFERROR(MATCH(E7&amp;"",tbl_Onsite[Job Number],0),MATCH(IFERROR(E7+0,E7),tbl_Onsite[Job Number],0)))),IFERROR(IF(IF(INDEX(tbl_Production[Current RMS No],IFERROR(MATCH(E7&amp;"",tbl_Production[Job Number],0),MATCH(IFERROR(E7+0,E7),tbl_Production[Job Number],0)))="",INDEX(tbl_Production[Qwilr Quote],IFERROR(MATCH(E7&amp;"",tbl_Production[Job Number],0),MATCH(IFERROR(E7+0,E7),tbl_Production[Job Number],0))),INDEX(tbl_Production[Current RMS No],IFERROR(MATCH(E7&amp;"",tbl_Production[Job Number],0),MATCH(IFERROR(E7+0,E7),tbl_Production[Job Number],0))))="","",IF(INDEX(tbl_Production[Current RMS No],IFERROR(MATCH(E7&amp;"",tbl_Production[Job Number],0),MATCH(IFERROR(E7+0,E7),tbl_Production[Job Number],0)))="",INDEX(tbl_Production[Qwilr Quote],IFERROR(MATCH(E7&amp;"",tbl_Production[Job Number],0),MATCH(IFERROR(E7+0,E7),tbl_Production[Job Number],0))),INDEX(tbl_Production[Current RMS No],IFERROR(MATCH(E7&amp;"",tbl_Production[Job Number],0),MATCH(IFERROR(E7+0,E7),tbl_Production[Job Number],0))))),IFERROR(IF(INDEX(tbl_Consulting[Qwilr Quote],IFERROR(MATCH(E7&amp;"",tbl_Consulting[Job Number],0),MATCH(IFERROR(E7+0,E7),tbl_Consulting[Job Number],0)))="","",INDEX(tbl_Consulting[Qwilr Quote],IFERROR(MATCH(E7&amp;"",tbl_Consulting[Job Number],0),MATCH(IFERROR(E7+0,E7),tbl_Consulting[Job Number],0)))),""))))</f>
        <v/>
      </c>
      <c r="AD7" s="25">
        <f>IF(AC7="","",IF(AND(LEFT(AC7,4)&lt;&gt;"http",IF(H7="Production",set_RMSBase,set_QwilrBase)=""),"",HYPERLINK(IF(LEFT(AC7,4)="http",AC7,IF(H7="Production",set_RMSBase,set_QwilrBase)&amp;AC7),"Open")))</f>
        <v/>
      </c>
      <c r="AE7" s="27">
        <f>IF(E7="","",IFERROR(INDEX(tbl_Production[Total Expense],IFERROR(MATCH(E7&amp;"",tbl_Production[Job Number],0),MATCH(IFERROR(E7+0,E7),tbl_Production[Job Number],0))),IFERROR(INDEX(tbl_Consulting[Total Expense],IFERROR(MATCH(E7&amp;"",tbl_Consulting[Job Number],0),MATCH(IFERROR(E7+0,E7),tbl_Consulting[Job Number],0))),0)))</f>
        <v/>
      </c>
      <c r="AF7" s="27">
        <f>IF(E7="","",Z7-N(AE7))</f>
        <v/>
      </c>
      <c r="AG7" s="29">
        <f>IFERROR(AF7/Z7,"")</f>
        <v/>
      </c>
      <c r="AH7" s="25">
        <f>IF(E7="","",IFERROR(IF(INDEX(tbl_Onsite[Notes],IFERROR(MATCH(E7&amp;"",tbl_Onsite[Job Number],0),MATCH(IFERROR(E7+0,E7),tbl_Onsite[Job Number],0)))="","",INDEX(tbl_Onsite[Notes],IFERROR(MATCH(E7&amp;"",tbl_Onsite[Job Number],0),MATCH(IFERROR(E7+0,E7),tbl_Onsite[Job Number],0)))),IFERROR(IF(INDEX(tbl_Production[Notes],IFERROR(MATCH(E7&amp;"",tbl_Production[Job Number],0),MATCH(IFERROR(E7+0,E7),tbl_Production[Job Number],0)))="","",INDEX(tbl_Production[Notes],IFERROR(MATCH(E7&amp;"",tbl_Production[Job Number],0),MATCH(IFERROR(E7+0,E7),tbl_Production[Job Number],0)))),IFERROR(IF(INDEX(tbl_Consulting[Notes],IFERROR(MATCH(E7&amp;"",tbl_Consulting[Job Number],0),MATCH(IFERROR(E7+0,E7),tbl_Consulting[Job Number],0)))="","",INDEX(tbl_Consulting[Notes],IFERROR(MATCH(E7&amp;"",tbl_Consulting[Job Number],0),MATCH(IFERROR(E7+0,E7),tbl_Consulting[Job Number],0)))),""))))</f>
        <v/>
      </c>
    </row>
    <row r="8" ht="15" customHeight="1">
      <c r="A8" s="22" t="n"/>
      <c r="B8" s="23">
        <f>IF(A8="","",EOMONTH(A8,0))</f>
        <v/>
      </c>
      <c r="C8" s="24" t="n"/>
      <c r="D8" s="24" t="n"/>
      <c r="E8" s="24" t="n"/>
      <c r="F8" s="25">
        <f>IF(E8="","",IF(COUNTIF(lst_Jobs,E8&amp;"")&gt;0,"OK","CHECK"))</f>
        <v/>
      </c>
      <c r="G8" s="24" t="n"/>
      <c r="H8" s="24" t="n"/>
      <c r="I8" s="24" t="n"/>
      <c r="J8" s="24" t="n"/>
      <c r="K8" s="24" t="n"/>
      <c r="L8" s="26" t="n"/>
      <c r="M8" s="27">
        <f>IF(L8="","",IF(K8="GST 10%",ROUND(L8*set_GSTRate,2),0))</f>
        <v/>
      </c>
      <c r="N8" s="27">
        <f>IF(L8="","",L8+M8)</f>
        <v/>
      </c>
      <c r="O8" s="24" t="n"/>
      <c r="P8" s="24" t="n"/>
      <c r="Q8" s="24" t="n"/>
      <c r="R8" s="22" t="n"/>
      <c r="S8" s="22" t="n"/>
      <c r="T8" s="24" t="n"/>
      <c r="U8" s="24" t="n"/>
      <c r="V8" s="25">
        <f>IF(COUNTA(A8,D8,C8,L8)=0,"",IF(A8="","No date - sits outside every month",IF(E8="","No job number",IF(F8="CHECK","Job number is not in the Xero job list",IF(I8="","No cost centre",IF(AND(P8="Y",C8=""),"Marked posted to Xero but has no invoice number",IF(AND(L8&lt;&gt;"",K8=""),"No tax code",IF(AND(L8&lt;&gt;"",O8=""),"No revenue GL code",""))))))))</f>
        <v/>
      </c>
      <c r="W8" s="25">
        <f>IF(E8="","",IF(COUNTIF(tbl_Onsite[Job Number],E8&amp;"")&gt;0,"Onsite",IF(COUNTIF(tbl_Production[Job Number],E8&amp;"")&gt;0,"Production",IF(COUNTIF(tbl_Consulting[Job Number],E8&amp;"")&gt;0,"Consulting","not set up yet"))))</f>
        <v/>
      </c>
      <c r="X8" s="25">
        <f>IF(E8="","",IFERROR(INDEX(lst_JobName,MATCH(E8&amp;"",lst_Jobs,0)),""))</f>
        <v/>
      </c>
      <c r="Y8" s="28">
        <f>IF(E8="","",COUNTIFS(tbl_Finance[Job Number],E8&amp;"",tbl_Finance[Ex GST],"&lt;&gt;"))</f>
        <v/>
      </c>
      <c r="Z8" s="27">
        <f>IF(E8="","",SUMIFS(tbl_Finance[Ex GST],tbl_Finance[Job Number],E8&amp;""))</f>
        <v/>
      </c>
      <c r="AA8" s="27">
        <f>IF(E8="","",SUMIFS(tbl_Finance[Ex GST],tbl_Finance[Job Number],E8&amp;"",tbl_Finance[Xero Invoice No],"&lt;&gt;"))</f>
        <v/>
      </c>
      <c r="AB8" s="27">
        <f>IF(E8="","",Z8-AA8)</f>
        <v/>
      </c>
      <c r="AC8" s="25">
        <f>IF(E8="","",IFERROR(IF(INDEX(tbl_Onsite[Qwilr Quote],IFERROR(MATCH(E8&amp;"",tbl_Onsite[Job Number],0),MATCH(IFERROR(E8+0,E8),tbl_Onsite[Job Number],0)))="","",INDEX(tbl_Onsite[Qwilr Quote],IFERROR(MATCH(E8&amp;"",tbl_Onsite[Job Number],0),MATCH(IFERROR(E8+0,E8),tbl_Onsite[Job Number],0)))),IFERROR(IF(IF(INDEX(tbl_Production[Current RMS No],IFERROR(MATCH(E8&amp;"",tbl_Production[Job Number],0),MATCH(IFERROR(E8+0,E8),tbl_Production[Job Number],0)))="",INDEX(tbl_Production[Qwilr Quote],IFERROR(MATCH(E8&amp;"",tbl_Production[Job Number],0),MATCH(IFERROR(E8+0,E8),tbl_Production[Job Number],0))),INDEX(tbl_Production[Current RMS No],IFERROR(MATCH(E8&amp;"",tbl_Production[Job Number],0),MATCH(IFERROR(E8+0,E8),tbl_Production[Job Number],0))))="","",IF(INDEX(tbl_Production[Current RMS No],IFERROR(MATCH(E8&amp;"",tbl_Production[Job Number],0),MATCH(IFERROR(E8+0,E8),tbl_Production[Job Number],0)))="",INDEX(tbl_Production[Qwilr Quote],IFERROR(MATCH(E8&amp;"",tbl_Production[Job Number],0),MATCH(IFERROR(E8+0,E8),tbl_Production[Job Number],0))),INDEX(tbl_Production[Current RMS No],IFERROR(MATCH(E8&amp;"",tbl_Production[Job Number],0),MATCH(IFERROR(E8+0,E8),tbl_Production[Job Number],0))))),IFERROR(IF(INDEX(tbl_Consulting[Qwilr Quote],IFERROR(MATCH(E8&amp;"",tbl_Consulting[Job Number],0),MATCH(IFERROR(E8+0,E8),tbl_Consulting[Job Number],0)))="","",INDEX(tbl_Consulting[Qwilr Quote],IFERROR(MATCH(E8&amp;"",tbl_Consulting[Job Number],0),MATCH(IFERROR(E8+0,E8),tbl_Consulting[Job Number],0)))),""))))</f>
        <v/>
      </c>
      <c r="AD8" s="25">
        <f>IF(AC8="","",IF(AND(LEFT(AC8,4)&lt;&gt;"http",IF(H8="Production",set_RMSBase,set_QwilrBase)=""),"",HYPERLINK(IF(LEFT(AC8,4)="http",AC8,IF(H8="Production",set_RMSBase,set_QwilrBase)&amp;AC8),"Open")))</f>
        <v/>
      </c>
      <c r="AE8" s="27">
        <f>IF(E8="","",IFERROR(INDEX(tbl_Production[Total Expense],IFERROR(MATCH(E8&amp;"",tbl_Production[Job Number],0),MATCH(IFERROR(E8+0,E8),tbl_Production[Job Number],0))),IFERROR(INDEX(tbl_Consulting[Total Expense],IFERROR(MATCH(E8&amp;"",tbl_Consulting[Job Number],0),MATCH(IFERROR(E8+0,E8),tbl_Consulting[Job Number],0))),0)))</f>
        <v/>
      </c>
      <c r="AF8" s="27">
        <f>IF(E8="","",Z8-N(AE8))</f>
        <v/>
      </c>
      <c r="AG8" s="29">
        <f>IFERROR(AF8/Z8,"")</f>
        <v/>
      </c>
      <c r="AH8" s="25">
        <f>IF(E8="","",IFERROR(IF(INDEX(tbl_Onsite[Notes],IFERROR(MATCH(E8&amp;"",tbl_Onsite[Job Number],0),MATCH(IFERROR(E8+0,E8),tbl_Onsite[Job Number],0)))="","",INDEX(tbl_Onsite[Notes],IFERROR(MATCH(E8&amp;"",tbl_Onsite[Job Number],0),MATCH(IFERROR(E8+0,E8),tbl_Onsite[Job Number],0)))),IFERROR(IF(INDEX(tbl_Production[Notes],IFERROR(MATCH(E8&amp;"",tbl_Production[Job Number],0),MATCH(IFERROR(E8+0,E8),tbl_Production[Job Number],0)))="","",INDEX(tbl_Production[Notes],IFERROR(MATCH(E8&amp;"",tbl_Production[Job Number],0),MATCH(IFERROR(E8+0,E8),tbl_Production[Job Number],0)))),IFERROR(IF(INDEX(tbl_Consulting[Notes],IFERROR(MATCH(E8&amp;"",tbl_Consulting[Job Number],0),MATCH(IFERROR(E8+0,E8),tbl_Consulting[Job Number],0)))="","",INDEX(tbl_Consulting[Notes],IFERROR(MATCH(E8&amp;"",tbl_Consulting[Job Number],0),MATCH(IFERROR(E8+0,E8),tbl_Consulting[Job Number],0)))),""))))</f>
        <v/>
      </c>
    </row>
    <row r="9" ht="15" customHeight="1">
      <c r="A9" s="22" t="n"/>
      <c r="B9" s="23">
        <f>IF(A9="","",EOMONTH(A9,0))</f>
        <v/>
      </c>
      <c r="C9" s="24" t="n"/>
      <c r="D9" s="24" t="n"/>
      <c r="E9" s="24" t="n"/>
      <c r="F9" s="25">
        <f>IF(E9="","",IF(COUNTIF(lst_Jobs,E9&amp;"")&gt;0,"OK","CHECK"))</f>
        <v/>
      </c>
      <c r="G9" s="24" t="n"/>
      <c r="H9" s="24" t="n"/>
      <c r="I9" s="24" t="n"/>
      <c r="J9" s="24" t="n"/>
      <c r="K9" s="24" t="n"/>
      <c r="L9" s="26" t="n"/>
      <c r="M9" s="27">
        <f>IF(L9="","",IF(K9="GST 10%",ROUND(L9*set_GSTRate,2),0))</f>
        <v/>
      </c>
      <c r="N9" s="27">
        <f>IF(L9="","",L9+M9)</f>
        <v/>
      </c>
      <c r="O9" s="24" t="n"/>
      <c r="P9" s="24" t="n"/>
      <c r="Q9" s="24" t="n"/>
      <c r="R9" s="22" t="n"/>
      <c r="S9" s="22" t="n"/>
      <c r="T9" s="24" t="n"/>
      <c r="U9" s="24" t="n"/>
      <c r="V9" s="25">
        <f>IF(COUNTA(A9,D9,C9,L9)=0,"",IF(A9="","No date - sits outside every month",IF(E9="","No job number",IF(F9="CHECK","Job number is not in the Xero job list",IF(I9="","No cost centre",IF(AND(P9="Y",C9=""),"Marked posted to Xero but has no invoice number",IF(AND(L9&lt;&gt;"",K9=""),"No tax code",IF(AND(L9&lt;&gt;"",O9=""),"No revenue GL code",""))))))))</f>
        <v/>
      </c>
      <c r="W9" s="25">
        <f>IF(E9="","",IF(COUNTIF(tbl_Onsite[Job Number],E9&amp;"")&gt;0,"Onsite",IF(COUNTIF(tbl_Production[Job Number],E9&amp;"")&gt;0,"Production",IF(COUNTIF(tbl_Consulting[Job Number],E9&amp;"")&gt;0,"Consulting","not set up yet"))))</f>
        <v/>
      </c>
      <c r="X9" s="25">
        <f>IF(E9="","",IFERROR(INDEX(lst_JobName,MATCH(E9&amp;"",lst_Jobs,0)),""))</f>
        <v/>
      </c>
      <c r="Y9" s="28">
        <f>IF(E9="","",COUNTIFS(tbl_Finance[Job Number],E9&amp;"",tbl_Finance[Ex GST],"&lt;&gt;"))</f>
        <v/>
      </c>
      <c r="Z9" s="27">
        <f>IF(E9="","",SUMIFS(tbl_Finance[Ex GST],tbl_Finance[Job Number],E9&amp;""))</f>
        <v/>
      </c>
      <c r="AA9" s="27">
        <f>IF(E9="","",SUMIFS(tbl_Finance[Ex GST],tbl_Finance[Job Number],E9&amp;"",tbl_Finance[Xero Invoice No],"&lt;&gt;"))</f>
        <v/>
      </c>
      <c r="AB9" s="27">
        <f>IF(E9="","",Z9-AA9)</f>
        <v/>
      </c>
      <c r="AC9" s="25">
        <f>IF(E9="","",IFERROR(IF(INDEX(tbl_Onsite[Qwilr Quote],IFERROR(MATCH(E9&amp;"",tbl_Onsite[Job Number],0),MATCH(IFERROR(E9+0,E9),tbl_Onsite[Job Number],0)))="","",INDEX(tbl_Onsite[Qwilr Quote],IFERROR(MATCH(E9&amp;"",tbl_Onsite[Job Number],0),MATCH(IFERROR(E9+0,E9),tbl_Onsite[Job Number],0)))),IFERROR(IF(IF(INDEX(tbl_Production[Current RMS No],IFERROR(MATCH(E9&amp;"",tbl_Production[Job Number],0),MATCH(IFERROR(E9+0,E9),tbl_Production[Job Number],0)))="",INDEX(tbl_Production[Qwilr Quote],IFERROR(MATCH(E9&amp;"",tbl_Production[Job Number],0),MATCH(IFERROR(E9+0,E9),tbl_Production[Job Number],0))),INDEX(tbl_Production[Current RMS No],IFERROR(MATCH(E9&amp;"",tbl_Production[Job Number],0),MATCH(IFERROR(E9+0,E9),tbl_Production[Job Number],0))))="","",IF(INDEX(tbl_Production[Current RMS No],IFERROR(MATCH(E9&amp;"",tbl_Production[Job Number],0),MATCH(IFERROR(E9+0,E9),tbl_Production[Job Number],0)))="",INDEX(tbl_Production[Qwilr Quote],IFERROR(MATCH(E9&amp;"",tbl_Production[Job Number],0),MATCH(IFERROR(E9+0,E9),tbl_Production[Job Number],0))),INDEX(tbl_Production[Current RMS No],IFERROR(MATCH(E9&amp;"",tbl_Production[Job Number],0),MATCH(IFERROR(E9+0,E9),tbl_Production[Job Number],0))))),IFERROR(IF(INDEX(tbl_Consulting[Qwilr Quote],IFERROR(MATCH(E9&amp;"",tbl_Consulting[Job Number],0),MATCH(IFERROR(E9+0,E9),tbl_Consulting[Job Number],0)))="","",INDEX(tbl_Consulting[Qwilr Quote],IFERROR(MATCH(E9&amp;"",tbl_Consulting[Job Number],0),MATCH(IFERROR(E9+0,E9),tbl_Consulting[Job Number],0)))),""))))</f>
        <v/>
      </c>
      <c r="AD9" s="25">
        <f>IF(AC9="","",IF(AND(LEFT(AC9,4)&lt;&gt;"http",IF(H9="Production",set_RMSBase,set_QwilrBase)=""),"",HYPERLINK(IF(LEFT(AC9,4)="http",AC9,IF(H9="Production",set_RMSBase,set_QwilrBase)&amp;AC9),"Open")))</f>
        <v/>
      </c>
      <c r="AE9" s="27">
        <f>IF(E9="","",IFERROR(INDEX(tbl_Production[Total Expense],IFERROR(MATCH(E9&amp;"",tbl_Production[Job Number],0),MATCH(IFERROR(E9+0,E9),tbl_Production[Job Number],0))),IFERROR(INDEX(tbl_Consulting[Total Expense],IFERROR(MATCH(E9&amp;"",tbl_Consulting[Job Number],0),MATCH(IFERROR(E9+0,E9),tbl_Consulting[Job Number],0))),0)))</f>
        <v/>
      </c>
      <c r="AF9" s="27">
        <f>IF(E9="","",Z9-N(AE9))</f>
        <v/>
      </c>
      <c r="AG9" s="29">
        <f>IFERROR(AF9/Z9,"")</f>
        <v/>
      </c>
      <c r="AH9" s="25">
        <f>IF(E9="","",IFERROR(IF(INDEX(tbl_Onsite[Notes],IFERROR(MATCH(E9&amp;"",tbl_Onsite[Job Number],0),MATCH(IFERROR(E9+0,E9),tbl_Onsite[Job Number],0)))="","",INDEX(tbl_Onsite[Notes],IFERROR(MATCH(E9&amp;"",tbl_Onsite[Job Number],0),MATCH(IFERROR(E9+0,E9),tbl_Onsite[Job Number],0)))),IFERROR(IF(INDEX(tbl_Production[Notes],IFERROR(MATCH(E9&amp;"",tbl_Production[Job Number],0),MATCH(IFERROR(E9+0,E9),tbl_Production[Job Number],0)))="","",INDEX(tbl_Production[Notes],IFERROR(MATCH(E9&amp;"",tbl_Production[Job Number],0),MATCH(IFERROR(E9+0,E9),tbl_Production[Job Number],0)))),IFERROR(IF(INDEX(tbl_Consulting[Notes],IFERROR(MATCH(E9&amp;"",tbl_Consulting[Job Number],0),MATCH(IFERROR(E9+0,E9),tbl_Consulting[Job Number],0)))="","",INDEX(tbl_Consulting[Notes],IFERROR(MATCH(E9&amp;"",tbl_Consulting[Job Number],0),MATCH(IFERROR(E9+0,E9),tbl_Consulting[Job Number],0)))),""))))</f>
        <v/>
      </c>
    </row>
    <row r="10" ht="15" customHeight="1">
      <c r="A10" s="22" t="n"/>
      <c r="B10" s="23">
        <f>IF(A10="","",EOMONTH(A10,0))</f>
        <v/>
      </c>
      <c r="C10" s="24" t="n"/>
      <c r="D10" s="24" t="n"/>
      <c r="E10" s="24" t="n"/>
      <c r="F10" s="25">
        <f>IF(E10="","",IF(COUNTIF(lst_Jobs,E10&amp;"")&gt;0,"OK","CHECK"))</f>
        <v/>
      </c>
      <c r="G10" s="24" t="n"/>
      <c r="H10" s="24" t="n"/>
      <c r="I10" s="24" t="n"/>
      <c r="J10" s="24" t="n"/>
      <c r="K10" s="24" t="n"/>
      <c r="L10" s="26" t="n"/>
      <c r="M10" s="27">
        <f>IF(L10="","",IF(K10="GST 10%",ROUND(L10*set_GSTRate,2),0))</f>
        <v/>
      </c>
      <c r="N10" s="27">
        <f>IF(L10="","",L10+M10)</f>
        <v/>
      </c>
      <c r="O10" s="24" t="n"/>
      <c r="P10" s="24" t="n"/>
      <c r="Q10" s="24" t="n"/>
      <c r="R10" s="22" t="n"/>
      <c r="S10" s="22" t="n"/>
      <c r="T10" s="24" t="n"/>
      <c r="U10" s="24" t="n"/>
      <c r="V10" s="25">
        <f>IF(COUNTA(A10,D10,C10,L10)=0,"",IF(A10="","No date - sits outside every month",IF(E10="","No job number",IF(F10="CHECK","Job number is not in the Xero job list",IF(I10="","No cost centre",IF(AND(P10="Y",C10=""),"Marked posted to Xero but has no invoice number",IF(AND(L10&lt;&gt;"",K10=""),"No tax code",IF(AND(L10&lt;&gt;"",O10=""),"No revenue GL code",""))))))))</f>
        <v/>
      </c>
      <c r="W10" s="25">
        <f>IF(E10="","",IF(COUNTIF(tbl_Onsite[Job Number],E10&amp;"")&gt;0,"Onsite",IF(COUNTIF(tbl_Production[Job Number],E10&amp;"")&gt;0,"Production",IF(COUNTIF(tbl_Consulting[Job Number],E10&amp;"")&gt;0,"Consulting","not set up yet"))))</f>
        <v/>
      </c>
      <c r="X10" s="25">
        <f>IF(E10="","",IFERROR(INDEX(lst_JobName,MATCH(E10&amp;"",lst_Jobs,0)),""))</f>
        <v/>
      </c>
      <c r="Y10" s="28">
        <f>IF(E10="","",COUNTIFS(tbl_Finance[Job Number],E10&amp;"",tbl_Finance[Ex GST],"&lt;&gt;"))</f>
        <v/>
      </c>
      <c r="Z10" s="27">
        <f>IF(E10="","",SUMIFS(tbl_Finance[Ex GST],tbl_Finance[Job Number],E10&amp;""))</f>
        <v/>
      </c>
      <c r="AA10" s="27">
        <f>IF(E10="","",SUMIFS(tbl_Finance[Ex GST],tbl_Finance[Job Number],E10&amp;"",tbl_Finance[Xero Invoice No],"&lt;&gt;"))</f>
        <v/>
      </c>
      <c r="AB10" s="27">
        <f>IF(E10="","",Z10-AA10)</f>
        <v/>
      </c>
      <c r="AC10" s="25">
        <f>IF(E10="","",IFERROR(IF(INDEX(tbl_Onsite[Qwilr Quote],IFERROR(MATCH(E10&amp;"",tbl_Onsite[Job Number],0),MATCH(IFERROR(E10+0,E10),tbl_Onsite[Job Number],0)))="","",INDEX(tbl_Onsite[Qwilr Quote],IFERROR(MATCH(E10&amp;"",tbl_Onsite[Job Number],0),MATCH(IFERROR(E10+0,E10),tbl_Onsite[Job Number],0)))),IFERROR(IF(IF(INDEX(tbl_Production[Current RMS No],IFERROR(MATCH(E10&amp;"",tbl_Production[Job Number],0),MATCH(IFERROR(E10+0,E10),tbl_Production[Job Number],0)))="",INDEX(tbl_Production[Qwilr Quote],IFERROR(MATCH(E10&amp;"",tbl_Production[Job Number],0),MATCH(IFERROR(E10+0,E10),tbl_Production[Job Number],0))),INDEX(tbl_Production[Current RMS No],IFERROR(MATCH(E10&amp;"",tbl_Production[Job Number],0),MATCH(IFERROR(E10+0,E10),tbl_Production[Job Number],0))))="","",IF(INDEX(tbl_Production[Current RMS No],IFERROR(MATCH(E10&amp;"",tbl_Production[Job Number],0),MATCH(IFERROR(E10+0,E10),tbl_Production[Job Number],0)))="",INDEX(tbl_Production[Qwilr Quote],IFERROR(MATCH(E10&amp;"",tbl_Production[Job Number],0),MATCH(IFERROR(E10+0,E10),tbl_Production[Job Number],0))),INDEX(tbl_Production[Current RMS No],IFERROR(MATCH(E10&amp;"",tbl_Production[Job Number],0),MATCH(IFERROR(E10+0,E10),tbl_Production[Job Number],0))))),IFERROR(IF(INDEX(tbl_Consulting[Qwilr Quote],IFERROR(MATCH(E10&amp;"",tbl_Consulting[Job Number],0),MATCH(IFERROR(E10+0,E10),tbl_Consulting[Job Number],0)))="","",INDEX(tbl_Consulting[Qwilr Quote],IFERROR(MATCH(E10&amp;"",tbl_Consulting[Job Number],0),MATCH(IFERROR(E10+0,E10),tbl_Consulting[Job Number],0)))),""))))</f>
        <v/>
      </c>
      <c r="AD10" s="25">
        <f>IF(AC10="","",IF(AND(LEFT(AC10,4)&lt;&gt;"http",IF(H10="Production",set_RMSBase,set_QwilrBase)=""),"",HYPERLINK(IF(LEFT(AC10,4)="http",AC10,IF(H10="Production",set_RMSBase,set_QwilrBase)&amp;AC10),"Open")))</f>
        <v/>
      </c>
      <c r="AE10" s="27">
        <f>IF(E10="","",IFERROR(INDEX(tbl_Production[Total Expense],IFERROR(MATCH(E10&amp;"",tbl_Production[Job Number],0),MATCH(IFERROR(E10+0,E10),tbl_Production[Job Number],0))),IFERROR(INDEX(tbl_Consulting[Total Expense],IFERROR(MATCH(E10&amp;"",tbl_Consulting[Job Number],0),MATCH(IFERROR(E10+0,E10),tbl_Consulting[Job Number],0))),0)))</f>
        <v/>
      </c>
      <c r="AF10" s="27">
        <f>IF(E10="","",Z10-N(AE10))</f>
        <v/>
      </c>
      <c r="AG10" s="29">
        <f>IFERROR(AF10/Z10,"")</f>
        <v/>
      </c>
      <c r="AH10" s="25">
        <f>IF(E10="","",IFERROR(IF(INDEX(tbl_Onsite[Notes],IFERROR(MATCH(E10&amp;"",tbl_Onsite[Job Number],0),MATCH(IFERROR(E10+0,E10),tbl_Onsite[Job Number],0)))="","",INDEX(tbl_Onsite[Notes],IFERROR(MATCH(E10&amp;"",tbl_Onsite[Job Number],0),MATCH(IFERROR(E10+0,E10),tbl_Onsite[Job Number],0)))),IFERROR(IF(INDEX(tbl_Production[Notes],IFERROR(MATCH(E10&amp;"",tbl_Production[Job Number],0),MATCH(IFERROR(E10+0,E10),tbl_Production[Job Number],0)))="","",INDEX(tbl_Production[Notes],IFERROR(MATCH(E10&amp;"",tbl_Production[Job Number],0),MATCH(IFERROR(E10+0,E10),tbl_Production[Job Number],0)))),IFERROR(IF(INDEX(tbl_Consulting[Notes],IFERROR(MATCH(E10&amp;"",tbl_Consulting[Job Number],0),MATCH(IFERROR(E10+0,E10),tbl_Consulting[Job Number],0)))="","",INDEX(tbl_Consulting[Notes],IFERROR(MATCH(E10&amp;"",tbl_Consulting[Job Number],0),MATCH(IFERROR(E10+0,E10),tbl_Consulting[Job Number],0)))),""))))</f>
        <v/>
      </c>
    </row>
    <row r="11" ht="15" customHeight="1">
      <c r="A11" s="22" t="n"/>
      <c r="B11" s="23">
        <f>IF(A11="","",EOMONTH(A11,0))</f>
        <v/>
      </c>
      <c r="C11" s="24" t="n"/>
      <c r="D11" s="24" t="n"/>
      <c r="E11" s="24" t="n"/>
      <c r="F11" s="25">
        <f>IF(E11="","",IF(COUNTIF(lst_Jobs,E11&amp;"")&gt;0,"OK","CHECK"))</f>
        <v/>
      </c>
      <c r="G11" s="24" t="n"/>
      <c r="H11" s="24" t="n"/>
      <c r="I11" s="24" t="n"/>
      <c r="J11" s="24" t="n"/>
      <c r="K11" s="24" t="n"/>
      <c r="L11" s="26" t="n"/>
      <c r="M11" s="27">
        <f>IF(L11="","",IF(K11="GST 10%",ROUND(L11*set_GSTRate,2),0))</f>
        <v/>
      </c>
      <c r="N11" s="27">
        <f>IF(L11="","",L11+M11)</f>
        <v/>
      </c>
      <c r="O11" s="24" t="n"/>
      <c r="P11" s="24" t="n"/>
      <c r="Q11" s="24" t="n"/>
      <c r="R11" s="22" t="n"/>
      <c r="S11" s="22" t="n"/>
      <c r="T11" s="24" t="n"/>
      <c r="U11" s="24" t="n"/>
      <c r="V11" s="25">
        <f>IF(COUNTA(A11,D11,C11,L11)=0,"",IF(A11="","No date - sits outside every month",IF(E11="","No job number",IF(F11="CHECK","Job number is not in the Xero job list",IF(I11="","No cost centre",IF(AND(P11="Y",C11=""),"Marked posted to Xero but has no invoice number",IF(AND(L11&lt;&gt;"",K11=""),"No tax code",IF(AND(L11&lt;&gt;"",O11=""),"No revenue GL code",""))))))))</f>
        <v/>
      </c>
      <c r="W11" s="25">
        <f>IF(E11="","",IF(COUNTIF(tbl_Onsite[Job Number],E11&amp;"")&gt;0,"Onsite",IF(COUNTIF(tbl_Production[Job Number],E11&amp;"")&gt;0,"Production",IF(COUNTIF(tbl_Consulting[Job Number],E11&amp;"")&gt;0,"Consulting","not set up yet"))))</f>
        <v/>
      </c>
      <c r="X11" s="25">
        <f>IF(E11="","",IFERROR(INDEX(lst_JobName,MATCH(E11&amp;"",lst_Jobs,0)),""))</f>
        <v/>
      </c>
      <c r="Y11" s="28">
        <f>IF(E11="","",COUNTIFS(tbl_Finance[Job Number],E11&amp;"",tbl_Finance[Ex GST],"&lt;&gt;"))</f>
        <v/>
      </c>
      <c r="Z11" s="27">
        <f>IF(E11="","",SUMIFS(tbl_Finance[Ex GST],tbl_Finance[Job Number],E11&amp;""))</f>
        <v/>
      </c>
      <c r="AA11" s="27">
        <f>IF(E11="","",SUMIFS(tbl_Finance[Ex GST],tbl_Finance[Job Number],E11&amp;"",tbl_Finance[Xero Invoice No],"&lt;&gt;"))</f>
        <v/>
      </c>
      <c r="AB11" s="27">
        <f>IF(E11="","",Z11-AA11)</f>
        <v/>
      </c>
      <c r="AC11" s="25">
        <f>IF(E11="","",IFERROR(IF(INDEX(tbl_Onsite[Qwilr Quote],IFERROR(MATCH(E11&amp;"",tbl_Onsite[Job Number],0),MATCH(IFERROR(E11+0,E11),tbl_Onsite[Job Number],0)))="","",INDEX(tbl_Onsite[Qwilr Quote],IFERROR(MATCH(E11&amp;"",tbl_Onsite[Job Number],0),MATCH(IFERROR(E11+0,E11),tbl_Onsite[Job Number],0)))),IFERROR(IF(IF(INDEX(tbl_Production[Current RMS No],IFERROR(MATCH(E11&amp;"",tbl_Production[Job Number],0),MATCH(IFERROR(E11+0,E11),tbl_Production[Job Number],0)))="",INDEX(tbl_Production[Qwilr Quote],IFERROR(MATCH(E11&amp;"",tbl_Production[Job Number],0),MATCH(IFERROR(E11+0,E11),tbl_Production[Job Number],0))),INDEX(tbl_Production[Current RMS No],IFERROR(MATCH(E11&amp;"",tbl_Production[Job Number],0),MATCH(IFERROR(E11+0,E11),tbl_Production[Job Number],0))))="","",IF(INDEX(tbl_Production[Current RMS No],IFERROR(MATCH(E11&amp;"",tbl_Production[Job Number],0),MATCH(IFERROR(E11+0,E11),tbl_Production[Job Number],0)))="",INDEX(tbl_Production[Qwilr Quote],IFERROR(MATCH(E11&amp;"",tbl_Production[Job Number],0),MATCH(IFERROR(E11+0,E11),tbl_Production[Job Number],0))),INDEX(tbl_Production[Current RMS No],IFERROR(MATCH(E11&amp;"",tbl_Production[Job Number],0),MATCH(IFERROR(E11+0,E11),tbl_Production[Job Number],0))))),IFERROR(IF(INDEX(tbl_Consulting[Qwilr Quote],IFERROR(MATCH(E11&amp;"",tbl_Consulting[Job Number],0),MATCH(IFERROR(E11+0,E11),tbl_Consulting[Job Number],0)))="","",INDEX(tbl_Consulting[Qwilr Quote],IFERROR(MATCH(E11&amp;"",tbl_Consulting[Job Number],0),MATCH(IFERROR(E11+0,E11),tbl_Consulting[Job Number],0)))),""))))</f>
        <v/>
      </c>
      <c r="AD11" s="25">
        <f>IF(AC11="","",IF(AND(LEFT(AC11,4)&lt;&gt;"http",IF(H11="Production",set_RMSBase,set_QwilrBase)=""),"",HYPERLINK(IF(LEFT(AC11,4)="http",AC11,IF(H11="Production",set_RMSBase,set_QwilrBase)&amp;AC11),"Open")))</f>
        <v/>
      </c>
      <c r="AE11" s="27">
        <f>IF(E11="","",IFERROR(INDEX(tbl_Production[Total Expense],IFERROR(MATCH(E11&amp;"",tbl_Production[Job Number],0),MATCH(IFERROR(E11+0,E11),tbl_Production[Job Number],0))),IFERROR(INDEX(tbl_Consulting[Total Expense],IFERROR(MATCH(E11&amp;"",tbl_Consulting[Job Number],0),MATCH(IFERROR(E11+0,E11),tbl_Consulting[Job Number],0))),0)))</f>
        <v/>
      </c>
      <c r="AF11" s="27">
        <f>IF(E11="","",Z11-N(AE11))</f>
        <v/>
      </c>
      <c r="AG11" s="29">
        <f>IFERROR(AF11/Z11,"")</f>
        <v/>
      </c>
      <c r="AH11" s="25">
        <f>IF(E11="","",IFERROR(IF(INDEX(tbl_Onsite[Notes],IFERROR(MATCH(E11&amp;"",tbl_Onsite[Job Number],0),MATCH(IFERROR(E11+0,E11),tbl_Onsite[Job Number],0)))="","",INDEX(tbl_Onsite[Notes],IFERROR(MATCH(E11&amp;"",tbl_Onsite[Job Number],0),MATCH(IFERROR(E11+0,E11),tbl_Onsite[Job Number],0)))),IFERROR(IF(INDEX(tbl_Production[Notes],IFERROR(MATCH(E11&amp;"",tbl_Production[Job Number],0),MATCH(IFERROR(E11+0,E11),tbl_Production[Job Number],0)))="","",INDEX(tbl_Production[Notes],IFERROR(MATCH(E11&amp;"",tbl_Production[Job Number],0),MATCH(IFERROR(E11+0,E11),tbl_Production[Job Number],0)))),IFERROR(IF(INDEX(tbl_Consulting[Notes],IFERROR(MATCH(E11&amp;"",tbl_Consulting[Job Number],0),MATCH(IFERROR(E11+0,E11),tbl_Consulting[Job Number],0)))="","",INDEX(tbl_Consulting[Notes],IFERROR(MATCH(E11&amp;"",tbl_Consulting[Job Number],0),MATCH(IFERROR(E11+0,E11),tbl_Consulting[Job Number],0)))),""))))</f>
        <v/>
      </c>
    </row>
    <row r="12" ht="15" customHeight="1">
      <c r="A12" s="22" t="n"/>
      <c r="B12" s="23">
        <f>IF(A12="","",EOMONTH(A12,0))</f>
        <v/>
      </c>
      <c r="C12" s="24" t="n"/>
      <c r="D12" s="24" t="n"/>
      <c r="E12" s="24" t="n"/>
      <c r="F12" s="25">
        <f>IF(E12="","",IF(COUNTIF(lst_Jobs,E12&amp;"")&gt;0,"OK","CHECK"))</f>
        <v/>
      </c>
      <c r="G12" s="24" t="n"/>
      <c r="H12" s="24" t="n"/>
      <c r="I12" s="24" t="n"/>
      <c r="J12" s="24" t="n"/>
      <c r="K12" s="24" t="n"/>
      <c r="L12" s="26" t="n"/>
      <c r="M12" s="27">
        <f>IF(L12="","",IF(K12="GST 10%",ROUND(L12*set_GSTRate,2),0))</f>
        <v/>
      </c>
      <c r="N12" s="27">
        <f>IF(L12="","",L12+M12)</f>
        <v/>
      </c>
      <c r="O12" s="24" t="n"/>
      <c r="P12" s="24" t="n"/>
      <c r="Q12" s="24" t="n"/>
      <c r="R12" s="22" t="n"/>
      <c r="S12" s="22" t="n"/>
      <c r="T12" s="24" t="n"/>
      <c r="U12" s="24" t="n"/>
      <c r="V12" s="25">
        <f>IF(COUNTA(A12,D12,C12,L12)=0,"",IF(A12="","No date - sits outside every month",IF(E12="","No job number",IF(F12="CHECK","Job number is not in the Xero job list",IF(I12="","No cost centre",IF(AND(P12="Y",C12=""),"Marked posted to Xero but has no invoice number",IF(AND(L12&lt;&gt;"",K12=""),"No tax code",IF(AND(L12&lt;&gt;"",O12=""),"No revenue GL code",""))))))))</f>
        <v/>
      </c>
      <c r="W12" s="25">
        <f>IF(E12="","",IF(COUNTIF(tbl_Onsite[Job Number],E12&amp;"")&gt;0,"Onsite",IF(COUNTIF(tbl_Production[Job Number],E12&amp;"")&gt;0,"Production",IF(COUNTIF(tbl_Consulting[Job Number],E12&amp;"")&gt;0,"Consulting","not set up yet"))))</f>
        <v/>
      </c>
      <c r="X12" s="25">
        <f>IF(E12="","",IFERROR(INDEX(lst_JobName,MATCH(E12&amp;"",lst_Jobs,0)),""))</f>
        <v/>
      </c>
      <c r="Y12" s="28">
        <f>IF(E12="","",COUNTIFS(tbl_Finance[Job Number],E12&amp;"",tbl_Finance[Ex GST],"&lt;&gt;"))</f>
        <v/>
      </c>
      <c r="Z12" s="27">
        <f>IF(E12="","",SUMIFS(tbl_Finance[Ex GST],tbl_Finance[Job Number],E12&amp;""))</f>
        <v/>
      </c>
      <c r="AA12" s="27">
        <f>IF(E12="","",SUMIFS(tbl_Finance[Ex GST],tbl_Finance[Job Number],E12&amp;"",tbl_Finance[Xero Invoice No],"&lt;&gt;"))</f>
        <v/>
      </c>
      <c r="AB12" s="27">
        <f>IF(E12="","",Z12-AA12)</f>
        <v/>
      </c>
      <c r="AC12" s="25">
        <f>IF(E12="","",IFERROR(IF(INDEX(tbl_Onsite[Qwilr Quote],IFERROR(MATCH(E12&amp;"",tbl_Onsite[Job Number],0),MATCH(IFERROR(E12+0,E12),tbl_Onsite[Job Number],0)))="","",INDEX(tbl_Onsite[Qwilr Quote],IFERROR(MATCH(E12&amp;"",tbl_Onsite[Job Number],0),MATCH(IFERROR(E12+0,E12),tbl_Onsite[Job Number],0)))),IFERROR(IF(IF(INDEX(tbl_Production[Current RMS No],IFERROR(MATCH(E12&amp;"",tbl_Production[Job Number],0),MATCH(IFERROR(E12+0,E12),tbl_Production[Job Number],0)))="",INDEX(tbl_Production[Qwilr Quote],IFERROR(MATCH(E12&amp;"",tbl_Production[Job Number],0),MATCH(IFERROR(E12+0,E12),tbl_Production[Job Number],0))),INDEX(tbl_Production[Current RMS No],IFERROR(MATCH(E12&amp;"",tbl_Production[Job Number],0),MATCH(IFERROR(E12+0,E12),tbl_Production[Job Number],0))))="","",IF(INDEX(tbl_Production[Current RMS No],IFERROR(MATCH(E12&amp;"",tbl_Production[Job Number],0),MATCH(IFERROR(E12+0,E12),tbl_Production[Job Number],0)))="",INDEX(tbl_Production[Qwilr Quote],IFERROR(MATCH(E12&amp;"",tbl_Production[Job Number],0),MATCH(IFERROR(E12+0,E12),tbl_Production[Job Number],0))),INDEX(tbl_Production[Current RMS No],IFERROR(MATCH(E12&amp;"",tbl_Production[Job Number],0),MATCH(IFERROR(E12+0,E12),tbl_Production[Job Number],0))))),IFERROR(IF(INDEX(tbl_Consulting[Qwilr Quote],IFERROR(MATCH(E12&amp;"",tbl_Consulting[Job Number],0),MATCH(IFERROR(E12+0,E12),tbl_Consulting[Job Number],0)))="","",INDEX(tbl_Consulting[Qwilr Quote],IFERROR(MATCH(E12&amp;"",tbl_Consulting[Job Number],0),MATCH(IFERROR(E12+0,E12),tbl_Consulting[Job Number],0)))),""))))</f>
        <v/>
      </c>
      <c r="AD12" s="25">
        <f>IF(AC12="","",IF(AND(LEFT(AC12,4)&lt;&gt;"http",IF(H12="Production",set_RMSBase,set_QwilrBase)=""),"",HYPERLINK(IF(LEFT(AC12,4)="http",AC12,IF(H12="Production",set_RMSBase,set_QwilrBase)&amp;AC12),"Open")))</f>
        <v/>
      </c>
      <c r="AE12" s="27">
        <f>IF(E12="","",IFERROR(INDEX(tbl_Production[Total Expense],IFERROR(MATCH(E12&amp;"",tbl_Production[Job Number],0),MATCH(IFERROR(E12+0,E12),tbl_Production[Job Number],0))),IFERROR(INDEX(tbl_Consulting[Total Expense],IFERROR(MATCH(E12&amp;"",tbl_Consulting[Job Number],0),MATCH(IFERROR(E12+0,E12),tbl_Consulting[Job Number],0))),0)))</f>
        <v/>
      </c>
      <c r="AF12" s="27">
        <f>IF(E12="","",Z12-N(AE12))</f>
        <v/>
      </c>
      <c r="AG12" s="29">
        <f>IFERROR(AF12/Z12,"")</f>
        <v/>
      </c>
      <c r="AH12" s="25">
        <f>IF(E12="","",IFERROR(IF(INDEX(tbl_Onsite[Notes],IFERROR(MATCH(E12&amp;"",tbl_Onsite[Job Number],0),MATCH(IFERROR(E12+0,E12),tbl_Onsite[Job Number],0)))="","",INDEX(tbl_Onsite[Notes],IFERROR(MATCH(E12&amp;"",tbl_Onsite[Job Number],0),MATCH(IFERROR(E12+0,E12),tbl_Onsite[Job Number],0)))),IFERROR(IF(INDEX(tbl_Production[Notes],IFERROR(MATCH(E12&amp;"",tbl_Production[Job Number],0),MATCH(IFERROR(E12+0,E12),tbl_Production[Job Number],0)))="","",INDEX(tbl_Production[Notes],IFERROR(MATCH(E12&amp;"",tbl_Production[Job Number],0),MATCH(IFERROR(E12+0,E12),tbl_Production[Job Number],0)))),IFERROR(IF(INDEX(tbl_Consulting[Notes],IFERROR(MATCH(E12&amp;"",tbl_Consulting[Job Number],0),MATCH(IFERROR(E12+0,E12),tbl_Consulting[Job Number],0)))="","",INDEX(tbl_Consulting[Notes],IFERROR(MATCH(E12&amp;"",tbl_Consulting[Job Number],0),MATCH(IFERROR(E12+0,E12),tbl_Consulting[Job Number],0)))),""))))</f>
        <v/>
      </c>
    </row>
    <row r="13" ht="15" customHeight="1">
      <c r="A13" s="22" t="n"/>
      <c r="B13" s="23">
        <f>IF(A13="","",EOMONTH(A13,0))</f>
        <v/>
      </c>
      <c r="C13" s="24" t="n"/>
      <c r="D13" s="24" t="n"/>
      <c r="E13" s="24" t="n"/>
      <c r="F13" s="25">
        <f>IF(E13="","",IF(COUNTIF(lst_Jobs,E13&amp;"")&gt;0,"OK","CHECK"))</f>
        <v/>
      </c>
      <c r="G13" s="24" t="n"/>
      <c r="H13" s="24" t="n"/>
      <c r="I13" s="24" t="n"/>
      <c r="J13" s="24" t="n"/>
      <c r="K13" s="24" t="n"/>
      <c r="L13" s="26" t="n"/>
      <c r="M13" s="27">
        <f>IF(L13="","",IF(K13="GST 10%",ROUND(L13*set_GSTRate,2),0))</f>
        <v/>
      </c>
      <c r="N13" s="27">
        <f>IF(L13="","",L13+M13)</f>
        <v/>
      </c>
      <c r="O13" s="24" t="n"/>
      <c r="P13" s="24" t="n"/>
      <c r="Q13" s="24" t="n"/>
      <c r="R13" s="22" t="n"/>
      <c r="S13" s="22" t="n"/>
      <c r="T13" s="24" t="n"/>
      <c r="U13" s="24" t="n"/>
      <c r="V13" s="25">
        <f>IF(COUNTA(A13,D13,C13,L13)=0,"",IF(A13="","No date - sits outside every month",IF(E13="","No job number",IF(F13="CHECK","Job number is not in the Xero job list",IF(I13="","No cost centre",IF(AND(P13="Y",C13=""),"Marked posted to Xero but has no invoice number",IF(AND(L13&lt;&gt;"",K13=""),"No tax code",IF(AND(L13&lt;&gt;"",O13=""),"No revenue GL code",""))))))))</f>
        <v/>
      </c>
      <c r="W13" s="25">
        <f>IF(E13="","",IF(COUNTIF(tbl_Onsite[Job Number],E13&amp;"")&gt;0,"Onsite",IF(COUNTIF(tbl_Production[Job Number],E13&amp;"")&gt;0,"Production",IF(COUNTIF(tbl_Consulting[Job Number],E13&amp;"")&gt;0,"Consulting","not set up yet"))))</f>
        <v/>
      </c>
      <c r="X13" s="25">
        <f>IF(E13="","",IFERROR(INDEX(lst_JobName,MATCH(E13&amp;"",lst_Jobs,0)),""))</f>
        <v/>
      </c>
      <c r="Y13" s="28">
        <f>IF(E13="","",COUNTIFS(tbl_Finance[Job Number],E13&amp;"",tbl_Finance[Ex GST],"&lt;&gt;"))</f>
        <v/>
      </c>
      <c r="Z13" s="27">
        <f>IF(E13="","",SUMIFS(tbl_Finance[Ex GST],tbl_Finance[Job Number],E13&amp;""))</f>
        <v/>
      </c>
      <c r="AA13" s="27">
        <f>IF(E13="","",SUMIFS(tbl_Finance[Ex GST],tbl_Finance[Job Number],E13&amp;"",tbl_Finance[Xero Invoice No],"&lt;&gt;"))</f>
        <v/>
      </c>
      <c r="AB13" s="27">
        <f>IF(E13="","",Z13-AA13)</f>
        <v/>
      </c>
      <c r="AC13" s="25">
        <f>IF(E13="","",IFERROR(IF(INDEX(tbl_Onsite[Qwilr Quote],IFERROR(MATCH(E13&amp;"",tbl_Onsite[Job Number],0),MATCH(IFERROR(E13+0,E13),tbl_Onsite[Job Number],0)))="","",INDEX(tbl_Onsite[Qwilr Quote],IFERROR(MATCH(E13&amp;"",tbl_Onsite[Job Number],0),MATCH(IFERROR(E13+0,E13),tbl_Onsite[Job Number],0)))),IFERROR(IF(IF(INDEX(tbl_Production[Current RMS No],IFERROR(MATCH(E13&amp;"",tbl_Production[Job Number],0),MATCH(IFERROR(E13+0,E13),tbl_Production[Job Number],0)))="",INDEX(tbl_Production[Qwilr Quote],IFERROR(MATCH(E13&amp;"",tbl_Production[Job Number],0),MATCH(IFERROR(E13+0,E13),tbl_Production[Job Number],0))),INDEX(tbl_Production[Current RMS No],IFERROR(MATCH(E13&amp;"",tbl_Production[Job Number],0),MATCH(IFERROR(E13+0,E13),tbl_Production[Job Number],0))))="","",IF(INDEX(tbl_Production[Current RMS No],IFERROR(MATCH(E13&amp;"",tbl_Production[Job Number],0),MATCH(IFERROR(E13+0,E13),tbl_Production[Job Number],0)))="",INDEX(tbl_Production[Qwilr Quote],IFERROR(MATCH(E13&amp;"",tbl_Production[Job Number],0),MATCH(IFERROR(E13+0,E13),tbl_Production[Job Number],0))),INDEX(tbl_Production[Current RMS No],IFERROR(MATCH(E13&amp;"",tbl_Production[Job Number],0),MATCH(IFERROR(E13+0,E13),tbl_Production[Job Number],0))))),IFERROR(IF(INDEX(tbl_Consulting[Qwilr Quote],IFERROR(MATCH(E13&amp;"",tbl_Consulting[Job Number],0),MATCH(IFERROR(E13+0,E13),tbl_Consulting[Job Number],0)))="","",INDEX(tbl_Consulting[Qwilr Quote],IFERROR(MATCH(E13&amp;"",tbl_Consulting[Job Number],0),MATCH(IFERROR(E13+0,E13),tbl_Consulting[Job Number],0)))),""))))</f>
        <v/>
      </c>
      <c r="AD13" s="25">
        <f>IF(AC13="","",IF(AND(LEFT(AC13,4)&lt;&gt;"http",IF(H13="Production",set_RMSBase,set_QwilrBase)=""),"",HYPERLINK(IF(LEFT(AC13,4)="http",AC13,IF(H13="Production",set_RMSBase,set_QwilrBase)&amp;AC13),"Open")))</f>
        <v/>
      </c>
      <c r="AE13" s="27">
        <f>IF(E13="","",IFERROR(INDEX(tbl_Production[Total Expense],IFERROR(MATCH(E13&amp;"",tbl_Production[Job Number],0),MATCH(IFERROR(E13+0,E13),tbl_Production[Job Number],0))),IFERROR(INDEX(tbl_Consulting[Total Expense],IFERROR(MATCH(E13&amp;"",tbl_Consulting[Job Number],0),MATCH(IFERROR(E13+0,E13),tbl_Consulting[Job Number],0))),0)))</f>
        <v/>
      </c>
      <c r="AF13" s="27">
        <f>IF(E13="","",Z13-N(AE13))</f>
        <v/>
      </c>
      <c r="AG13" s="29">
        <f>IFERROR(AF13/Z13,"")</f>
        <v/>
      </c>
      <c r="AH13" s="25">
        <f>IF(E13="","",IFERROR(IF(INDEX(tbl_Onsite[Notes],IFERROR(MATCH(E13&amp;"",tbl_Onsite[Job Number],0),MATCH(IFERROR(E13+0,E13),tbl_Onsite[Job Number],0)))="","",INDEX(tbl_Onsite[Notes],IFERROR(MATCH(E13&amp;"",tbl_Onsite[Job Number],0),MATCH(IFERROR(E13+0,E13),tbl_Onsite[Job Number],0)))),IFERROR(IF(INDEX(tbl_Production[Notes],IFERROR(MATCH(E13&amp;"",tbl_Production[Job Number],0),MATCH(IFERROR(E13+0,E13),tbl_Production[Job Number],0)))="","",INDEX(tbl_Production[Notes],IFERROR(MATCH(E13&amp;"",tbl_Production[Job Number],0),MATCH(IFERROR(E13+0,E13),tbl_Production[Job Number],0)))),IFERROR(IF(INDEX(tbl_Consulting[Notes],IFERROR(MATCH(E13&amp;"",tbl_Consulting[Job Number],0),MATCH(IFERROR(E13+0,E13),tbl_Consulting[Job Number],0)))="","",INDEX(tbl_Consulting[Notes],IFERROR(MATCH(E13&amp;"",tbl_Consulting[Job Number],0),MATCH(IFERROR(E13+0,E13),tbl_Consulting[Job Number],0)))),""))))</f>
        <v/>
      </c>
    </row>
    <row r="14" ht="15" customHeight="1">
      <c r="A14" s="22" t="n"/>
      <c r="B14" s="23">
        <f>IF(A14="","",EOMONTH(A14,0))</f>
        <v/>
      </c>
      <c r="C14" s="24" t="n"/>
      <c r="D14" s="24" t="n"/>
      <c r="E14" s="24" t="n"/>
      <c r="F14" s="25">
        <f>IF(E14="","",IF(COUNTIF(lst_Jobs,E14&amp;"")&gt;0,"OK","CHECK"))</f>
        <v/>
      </c>
      <c r="G14" s="24" t="n"/>
      <c r="H14" s="24" t="n"/>
      <c r="I14" s="24" t="n"/>
      <c r="J14" s="24" t="n"/>
      <c r="K14" s="24" t="n"/>
      <c r="L14" s="26" t="n"/>
      <c r="M14" s="27">
        <f>IF(L14="","",IF(K14="GST 10%",ROUND(L14*set_GSTRate,2),0))</f>
        <v/>
      </c>
      <c r="N14" s="27">
        <f>IF(L14="","",L14+M14)</f>
        <v/>
      </c>
      <c r="O14" s="24" t="n"/>
      <c r="P14" s="24" t="n"/>
      <c r="Q14" s="24" t="n"/>
      <c r="R14" s="22" t="n"/>
      <c r="S14" s="22" t="n"/>
      <c r="T14" s="24" t="n"/>
      <c r="U14" s="24" t="n"/>
      <c r="V14" s="25">
        <f>IF(COUNTA(A14,D14,C14,L14)=0,"",IF(A14="","No date - sits outside every month",IF(E14="","No job number",IF(F14="CHECK","Job number is not in the Xero job list",IF(I14="","No cost centre",IF(AND(P14="Y",C14=""),"Marked posted to Xero but has no invoice number",IF(AND(L14&lt;&gt;"",K14=""),"No tax code",IF(AND(L14&lt;&gt;"",O14=""),"No revenue GL code",""))))))))</f>
        <v/>
      </c>
      <c r="W14" s="25">
        <f>IF(E14="","",IF(COUNTIF(tbl_Onsite[Job Number],E14&amp;"")&gt;0,"Onsite",IF(COUNTIF(tbl_Production[Job Number],E14&amp;"")&gt;0,"Production",IF(COUNTIF(tbl_Consulting[Job Number],E14&amp;"")&gt;0,"Consulting","not set up yet"))))</f>
        <v/>
      </c>
      <c r="X14" s="25">
        <f>IF(E14="","",IFERROR(INDEX(lst_JobName,MATCH(E14&amp;"",lst_Jobs,0)),""))</f>
        <v/>
      </c>
      <c r="Y14" s="28">
        <f>IF(E14="","",COUNTIFS(tbl_Finance[Job Number],E14&amp;"",tbl_Finance[Ex GST],"&lt;&gt;"))</f>
        <v/>
      </c>
      <c r="Z14" s="27">
        <f>IF(E14="","",SUMIFS(tbl_Finance[Ex GST],tbl_Finance[Job Number],E14&amp;""))</f>
        <v/>
      </c>
      <c r="AA14" s="27">
        <f>IF(E14="","",SUMIFS(tbl_Finance[Ex GST],tbl_Finance[Job Number],E14&amp;"",tbl_Finance[Xero Invoice No],"&lt;&gt;"))</f>
        <v/>
      </c>
      <c r="AB14" s="27">
        <f>IF(E14="","",Z14-AA14)</f>
        <v/>
      </c>
      <c r="AC14" s="25">
        <f>IF(E14="","",IFERROR(IF(INDEX(tbl_Onsite[Qwilr Quote],IFERROR(MATCH(E14&amp;"",tbl_Onsite[Job Number],0),MATCH(IFERROR(E14+0,E14),tbl_Onsite[Job Number],0)))="","",INDEX(tbl_Onsite[Qwilr Quote],IFERROR(MATCH(E14&amp;"",tbl_Onsite[Job Number],0),MATCH(IFERROR(E14+0,E14),tbl_Onsite[Job Number],0)))),IFERROR(IF(IF(INDEX(tbl_Production[Current RMS No],IFERROR(MATCH(E14&amp;"",tbl_Production[Job Number],0),MATCH(IFERROR(E14+0,E14),tbl_Production[Job Number],0)))="",INDEX(tbl_Production[Qwilr Quote],IFERROR(MATCH(E14&amp;"",tbl_Production[Job Number],0),MATCH(IFERROR(E14+0,E14),tbl_Production[Job Number],0))),INDEX(tbl_Production[Current RMS No],IFERROR(MATCH(E14&amp;"",tbl_Production[Job Number],0),MATCH(IFERROR(E14+0,E14),tbl_Production[Job Number],0))))="","",IF(INDEX(tbl_Production[Current RMS No],IFERROR(MATCH(E14&amp;"",tbl_Production[Job Number],0),MATCH(IFERROR(E14+0,E14),tbl_Production[Job Number],0)))="",INDEX(tbl_Production[Qwilr Quote],IFERROR(MATCH(E14&amp;"",tbl_Production[Job Number],0),MATCH(IFERROR(E14+0,E14),tbl_Production[Job Number],0))),INDEX(tbl_Production[Current RMS No],IFERROR(MATCH(E14&amp;"",tbl_Production[Job Number],0),MATCH(IFERROR(E14+0,E14),tbl_Production[Job Number],0))))),IFERROR(IF(INDEX(tbl_Consulting[Qwilr Quote],IFERROR(MATCH(E14&amp;"",tbl_Consulting[Job Number],0),MATCH(IFERROR(E14+0,E14),tbl_Consulting[Job Number],0)))="","",INDEX(tbl_Consulting[Qwilr Quote],IFERROR(MATCH(E14&amp;"",tbl_Consulting[Job Number],0),MATCH(IFERROR(E14+0,E14),tbl_Consulting[Job Number],0)))),""))))</f>
        <v/>
      </c>
      <c r="AD14" s="25">
        <f>IF(AC14="","",IF(AND(LEFT(AC14,4)&lt;&gt;"http",IF(H14="Production",set_RMSBase,set_QwilrBase)=""),"",HYPERLINK(IF(LEFT(AC14,4)="http",AC14,IF(H14="Production",set_RMSBase,set_QwilrBase)&amp;AC14),"Open")))</f>
        <v/>
      </c>
      <c r="AE14" s="27">
        <f>IF(E14="","",IFERROR(INDEX(tbl_Production[Total Expense],IFERROR(MATCH(E14&amp;"",tbl_Production[Job Number],0),MATCH(IFERROR(E14+0,E14),tbl_Production[Job Number],0))),IFERROR(INDEX(tbl_Consulting[Total Expense],IFERROR(MATCH(E14&amp;"",tbl_Consulting[Job Number],0),MATCH(IFERROR(E14+0,E14),tbl_Consulting[Job Number],0))),0)))</f>
        <v/>
      </c>
      <c r="AF14" s="27">
        <f>IF(E14="","",Z14-N(AE14))</f>
        <v/>
      </c>
      <c r="AG14" s="29">
        <f>IFERROR(AF14/Z14,"")</f>
        <v/>
      </c>
      <c r="AH14" s="25">
        <f>IF(E14="","",IFERROR(IF(INDEX(tbl_Onsite[Notes],IFERROR(MATCH(E14&amp;"",tbl_Onsite[Job Number],0),MATCH(IFERROR(E14+0,E14),tbl_Onsite[Job Number],0)))="","",INDEX(tbl_Onsite[Notes],IFERROR(MATCH(E14&amp;"",tbl_Onsite[Job Number],0),MATCH(IFERROR(E14+0,E14),tbl_Onsite[Job Number],0)))),IFERROR(IF(INDEX(tbl_Production[Notes],IFERROR(MATCH(E14&amp;"",tbl_Production[Job Number],0),MATCH(IFERROR(E14+0,E14),tbl_Production[Job Number],0)))="","",INDEX(tbl_Production[Notes],IFERROR(MATCH(E14&amp;"",tbl_Production[Job Number],0),MATCH(IFERROR(E14+0,E14),tbl_Production[Job Number],0)))),IFERROR(IF(INDEX(tbl_Consulting[Notes],IFERROR(MATCH(E14&amp;"",tbl_Consulting[Job Number],0),MATCH(IFERROR(E14+0,E14),tbl_Consulting[Job Number],0)))="","",INDEX(tbl_Consulting[Notes],IFERROR(MATCH(E14&amp;"",tbl_Consulting[Job Number],0),MATCH(IFERROR(E14+0,E14),tbl_Consulting[Job Number],0)))),""))))</f>
        <v/>
      </c>
    </row>
    <row r="15" ht="15" customHeight="1">
      <c r="A15" s="22" t="n"/>
      <c r="B15" s="23">
        <f>IF(A15="","",EOMONTH(A15,0))</f>
        <v/>
      </c>
      <c r="C15" s="24" t="n"/>
      <c r="D15" s="24" t="n"/>
      <c r="E15" s="24" t="n"/>
      <c r="F15" s="25">
        <f>IF(E15="","",IF(COUNTIF(lst_Jobs,E15&amp;"")&gt;0,"OK","CHECK"))</f>
        <v/>
      </c>
      <c r="G15" s="24" t="n"/>
      <c r="H15" s="24" t="n"/>
      <c r="I15" s="24" t="n"/>
      <c r="J15" s="24" t="n"/>
      <c r="K15" s="24" t="n"/>
      <c r="L15" s="26" t="n"/>
      <c r="M15" s="27">
        <f>IF(L15="","",IF(K15="GST 10%",ROUND(L15*set_GSTRate,2),0))</f>
        <v/>
      </c>
      <c r="N15" s="27">
        <f>IF(L15="","",L15+M15)</f>
        <v/>
      </c>
      <c r="O15" s="24" t="n"/>
      <c r="P15" s="24" t="n"/>
      <c r="Q15" s="24" t="n"/>
      <c r="R15" s="22" t="n"/>
      <c r="S15" s="22" t="n"/>
      <c r="T15" s="24" t="n"/>
      <c r="U15" s="24" t="n"/>
      <c r="V15" s="25">
        <f>IF(COUNTA(A15,D15,C15,L15)=0,"",IF(A15="","No date - sits outside every month",IF(E15="","No job number",IF(F15="CHECK","Job number is not in the Xero job list",IF(I15="","No cost centre",IF(AND(P15="Y",C15=""),"Marked posted to Xero but has no invoice number",IF(AND(L15&lt;&gt;"",K15=""),"No tax code",IF(AND(L15&lt;&gt;"",O15=""),"No revenue GL code",""))))))))</f>
        <v/>
      </c>
      <c r="W15" s="25">
        <f>IF(E15="","",IF(COUNTIF(tbl_Onsite[Job Number],E15&amp;"")&gt;0,"Onsite",IF(COUNTIF(tbl_Production[Job Number],E15&amp;"")&gt;0,"Production",IF(COUNTIF(tbl_Consulting[Job Number],E15&amp;"")&gt;0,"Consulting","not set up yet"))))</f>
        <v/>
      </c>
      <c r="X15" s="25">
        <f>IF(E15="","",IFERROR(INDEX(lst_JobName,MATCH(E15&amp;"",lst_Jobs,0)),""))</f>
        <v/>
      </c>
      <c r="Y15" s="28">
        <f>IF(E15="","",COUNTIFS(tbl_Finance[Job Number],E15&amp;"",tbl_Finance[Ex GST],"&lt;&gt;"))</f>
        <v/>
      </c>
      <c r="Z15" s="27">
        <f>IF(E15="","",SUMIFS(tbl_Finance[Ex GST],tbl_Finance[Job Number],E15&amp;""))</f>
        <v/>
      </c>
      <c r="AA15" s="27">
        <f>IF(E15="","",SUMIFS(tbl_Finance[Ex GST],tbl_Finance[Job Number],E15&amp;"",tbl_Finance[Xero Invoice No],"&lt;&gt;"))</f>
        <v/>
      </c>
      <c r="AB15" s="27">
        <f>IF(E15="","",Z15-AA15)</f>
        <v/>
      </c>
      <c r="AC15" s="25">
        <f>IF(E15="","",IFERROR(IF(INDEX(tbl_Onsite[Qwilr Quote],IFERROR(MATCH(E15&amp;"",tbl_Onsite[Job Number],0),MATCH(IFERROR(E15+0,E15),tbl_Onsite[Job Number],0)))="","",INDEX(tbl_Onsite[Qwilr Quote],IFERROR(MATCH(E15&amp;"",tbl_Onsite[Job Number],0),MATCH(IFERROR(E15+0,E15),tbl_Onsite[Job Number],0)))),IFERROR(IF(IF(INDEX(tbl_Production[Current RMS No],IFERROR(MATCH(E15&amp;"",tbl_Production[Job Number],0),MATCH(IFERROR(E15+0,E15),tbl_Production[Job Number],0)))="",INDEX(tbl_Production[Qwilr Quote],IFERROR(MATCH(E15&amp;"",tbl_Production[Job Number],0),MATCH(IFERROR(E15+0,E15),tbl_Production[Job Number],0))),INDEX(tbl_Production[Current RMS No],IFERROR(MATCH(E15&amp;"",tbl_Production[Job Number],0),MATCH(IFERROR(E15+0,E15),tbl_Production[Job Number],0))))="","",IF(INDEX(tbl_Production[Current RMS No],IFERROR(MATCH(E15&amp;"",tbl_Production[Job Number],0),MATCH(IFERROR(E15+0,E15),tbl_Production[Job Number],0)))="",INDEX(tbl_Production[Qwilr Quote],IFERROR(MATCH(E15&amp;"",tbl_Production[Job Number],0),MATCH(IFERROR(E15+0,E15),tbl_Production[Job Number],0))),INDEX(tbl_Production[Current RMS No],IFERROR(MATCH(E15&amp;"",tbl_Production[Job Number],0),MATCH(IFERROR(E15+0,E15),tbl_Production[Job Number],0))))),IFERROR(IF(INDEX(tbl_Consulting[Qwilr Quote],IFERROR(MATCH(E15&amp;"",tbl_Consulting[Job Number],0),MATCH(IFERROR(E15+0,E15),tbl_Consulting[Job Number],0)))="","",INDEX(tbl_Consulting[Qwilr Quote],IFERROR(MATCH(E15&amp;"",tbl_Consulting[Job Number],0),MATCH(IFERROR(E15+0,E15),tbl_Consulting[Job Number],0)))),""))))</f>
        <v/>
      </c>
      <c r="AD15" s="25">
        <f>IF(AC15="","",IF(AND(LEFT(AC15,4)&lt;&gt;"http",IF(H15="Production",set_RMSBase,set_QwilrBase)=""),"",HYPERLINK(IF(LEFT(AC15,4)="http",AC15,IF(H15="Production",set_RMSBase,set_QwilrBase)&amp;AC15),"Open")))</f>
        <v/>
      </c>
      <c r="AE15" s="27">
        <f>IF(E15="","",IFERROR(INDEX(tbl_Production[Total Expense],IFERROR(MATCH(E15&amp;"",tbl_Production[Job Number],0),MATCH(IFERROR(E15+0,E15),tbl_Production[Job Number],0))),IFERROR(INDEX(tbl_Consulting[Total Expense],IFERROR(MATCH(E15&amp;"",tbl_Consulting[Job Number],0),MATCH(IFERROR(E15+0,E15),tbl_Consulting[Job Number],0))),0)))</f>
        <v/>
      </c>
      <c r="AF15" s="27">
        <f>IF(E15="","",Z15-N(AE15))</f>
        <v/>
      </c>
      <c r="AG15" s="29">
        <f>IFERROR(AF15/Z15,"")</f>
        <v/>
      </c>
      <c r="AH15" s="25">
        <f>IF(E15="","",IFERROR(IF(INDEX(tbl_Onsite[Notes],IFERROR(MATCH(E15&amp;"",tbl_Onsite[Job Number],0),MATCH(IFERROR(E15+0,E15),tbl_Onsite[Job Number],0)))="","",INDEX(tbl_Onsite[Notes],IFERROR(MATCH(E15&amp;"",tbl_Onsite[Job Number],0),MATCH(IFERROR(E15+0,E15),tbl_Onsite[Job Number],0)))),IFERROR(IF(INDEX(tbl_Production[Notes],IFERROR(MATCH(E15&amp;"",tbl_Production[Job Number],0),MATCH(IFERROR(E15+0,E15),tbl_Production[Job Number],0)))="","",INDEX(tbl_Production[Notes],IFERROR(MATCH(E15&amp;"",tbl_Production[Job Number],0),MATCH(IFERROR(E15+0,E15),tbl_Production[Job Number],0)))),IFERROR(IF(INDEX(tbl_Consulting[Notes],IFERROR(MATCH(E15&amp;"",tbl_Consulting[Job Number],0),MATCH(IFERROR(E15+0,E15),tbl_Consulting[Job Number],0)))="","",INDEX(tbl_Consulting[Notes],IFERROR(MATCH(E15&amp;"",tbl_Consulting[Job Number],0),MATCH(IFERROR(E15+0,E15),tbl_Consulting[Job Number],0)))),""))))</f>
        <v/>
      </c>
    </row>
    <row r="16" ht="15" customHeight="1">
      <c r="A16" s="22" t="n"/>
      <c r="B16" s="23">
        <f>IF(A16="","",EOMONTH(A16,0))</f>
        <v/>
      </c>
      <c r="C16" s="24" t="n"/>
      <c r="D16" s="24" t="n"/>
      <c r="E16" s="24" t="n"/>
      <c r="F16" s="25">
        <f>IF(E16="","",IF(COUNTIF(lst_Jobs,E16&amp;"")&gt;0,"OK","CHECK"))</f>
        <v/>
      </c>
      <c r="G16" s="24" t="n"/>
      <c r="H16" s="24" t="n"/>
      <c r="I16" s="24" t="n"/>
      <c r="J16" s="24" t="n"/>
      <c r="K16" s="24" t="n"/>
      <c r="L16" s="26" t="n"/>
      <c r="M16" s="27">
        <f>IF(L16="","",IF(K16="GST 10%",ROUND(L16*set_GSTRate,2),0))</f>
        <v/>
      </c>
      <c r="N16" s="27">
        <f>IF(L16="","",L16+M16)</f>
        <v/>
      </c>
      <c r="O16" s="24" t="n"/>
      <c r="P16" s="24" t="n"/>
      <c r="Q16" s="24" t="n"/>
      <c r="R16" s="22" t="n"/>
      <c r="S16" s="22" t="n"/>
      <c r="T16" s="24" t="n"/>
      <c r="U16" s="24" t="n"/>
      <c r="V16" s="25">
        <f>IF(COUNTA(A16,D16,C16,L16)=0,"",IF(A16="","No date - sits outside every month",IF(E16="","No job number",IF(F16="CHECK","Job number is not in the Xero job list",IF(I16="","No cost centre",IF(AND(P16="Y",C16=""),"Marked posted to Xero but has no invoice number",IF(AND(L16&lt;&gt;"",K16=""),"No tax code",IF(AND(L16&lt;&gt;"",O16=""),"No revenue GL code",""))))))))</f>
        <v/>
      </c>
      <c r="W16" s="25">
        <f>IF(E16="","",IF(COUNTIF(tbl_Onsite[Job Number],E16&amp;"")&gt;0,"Onsite",IF(COUNTIF(tbl_Production[Job Number],E16&amp;"")&gt;0,"Production",IF(COUNTIF(tbl_Consulting[Job Number],E16&amp;"")&gt;0,"Consulting","not set up yet"))))</f>
        <v/>
      </c>
      <c r="X16" s="25">
        <f>IF(E16="","",IFERROR(INDEX(lst_JobName,MATCH(E16&amp;"",lst_Jobs,0)),""))</f>
        <v/>
      </c>
      <c r="Y16" s="28">
        <f>IF(E16="","",COUNTIFS(tbl_Finance[Job Number],E16&amp;"",tbl_Finance[Ex GST],"&lt;&gt;"))</f>
        <v/>
      </c>
      <c r="Z16" s="27">
        <f>IF(E16="","",SUMIFS(tbl_Finance[Ex GST],tbl_Finance[Job Number],E16&amp;""))</f>
        <v/>
      </c>
      <c r="AA16" s="27">
        <f>IF(E16="","",SUMIFS(tbl_Finance[Ex GST],tbl_Finance[Job Number],E16&amp;"",tbl_Finance[Xero Invoice No],"&lt;&gt;"))</f>
        <v/>
      </c>
      <c r="AB16" s="27">
        <f>IF(E16="","",Z16-AA16)</f>
        <v/>
      </c>
      <c r="AC16" s="25">
        <f>IF(E16="","",IFERROR(IF(INDEX(tbl_Onsite[Qwilr Quote],IFERROR(MATCH(E16&amp;"",tbl_Onsite[Job Number],0),MATCH(IFERROR(E16+0,E16),tbl_Onsite[Job Number],0)))="","",INDEX(tbl_Onsite[Qwilr Quote],IFERROR(MATCH(E16&amp;"",tbl_Onsite[Job Number],0),MATCH(IFERROR(E16+0,E16),tbl_Onsite[Job Number],0)))),IFERROR(IF(IF(INDEX(tbl_Production[Current RMS No],IFERROR(MATCH(E16&amp;"",tbl_Production[Job Number],0),MATCH(IFERROR(E16+0,E16),tbl_Production[Job Number],0)))="",INDEX(tbl_Production[Qwilr Quote],IFERROR(MATCH(E16&amp;"",tbl_Production[Job Number],0),MATCH(IFERROR(E16+0,E16),tbl_Production[Job Number],0))),INDEX(tbl_Production[Current RMS No],IFERROR(MATCH(E16&amp;"",tbl_Production[Job Number],0),MATCH(IFERROR(E16+0,E16),tbl_Production[Job Number],0))))="","",IF(INDEX(tbl_Production[Current RMS No],IFERROR(MATCH(E16&amp;"",tbl_Production[Job Number],0),MATCH(IFERROR(E16+0,E16),tbl_Production[Job Number],0)))="",INDEX(tbl_Production[Qwilr Quote],IFERROR(MATCH(E16&amp;"",tbl_Production[Job Number],0),MATCH(IFERROR(E16+0,E16),tbl_Production[Job Number],0))),INDEX(tbl_Production[Current RMS No],IFERROR(MATCH(E16&amp;"",tbl_Production[Job Number],0),MATCH(IFERROR(E16+0,E16),tbl_Production[Job Number],0))))),IFERROR(IF(INDEX(tbl_Consulting[Qwilr Quote],IFERROR(MATCH(E16&amp;"",tbl_Consulting[Job Number],0),MATCH(IFERROR(E16+0,E16),tbl_Consulting[Job Number],0)))="","",INDEX(tbl_Consulting[Qwilr Quote],IFERROR(MATCH(E16&amp;"",tbl_Consulting[Job Number],0),MATCH(IFERROR(E16+0,E16),tbl_Consulting[Job Number],0)))),""))))</f>
        <v/>
      </c>
      <c r="AD16" s="25">
        <f>IF(AC16="","",IF(AND(LEFT(AC16,4)&lt;&gt;"http",IF(H16="Production",set_RMSBase,set_QwilrBase)=""),"",HYPERLINK(IF(LEFT(AC16,4)="http",AC16,IF(H16="Production",set_RMSBase,set_QwilrBase)&amp;AC16),"Open")))</f>
        <v/>
      </c>
      <c r="AE16" s="27">
        <f>IF(E16="","",IFERROR(INDEX(tbl_Production[Total Expense],IFERROR(MATCH(E16&amp;"",tbl_Production[Job Number],0),MATCH(IFERROR(E16+0,E16),tbl_Production[Job Number],0))),IFERROR(INDEX(tbl_Consulting[Total Expense],IFERROR(MATCH(E16&amp;"",tbl_Consulting[Job Number],0),MATCH(IFERROR(E16+0,E16),tbl_Consulting[Job Number],0))),0)))</f>
        <v/>
      </c>
      <c r="AF16" s="27">
        <f>IF(E16="","",Z16-N(AE16))</f>
        <v/>
      </c>
      <c r="AG16" s="29">
        <f>IFERROR(AF16/Z16,"")</f>
        <v/>
      </c>
      <c r="AH16" s="25">
        <f>IF(E16="","",IFERROR(IF(INDEX(tbl_Onsite[Notes],IFERROR(MATCH(E16&amp;"",tbl_Onsite[Job Number],0),MATCH(IFERROR(E16+0,E16),tbl_Onsite[Job Number],0)))="","",INDEX(tbl_Onsite[Notes],IFERROR(MATCH(E16&amp;"",tbl_Onsite[Job Number],0),MATCH(IFERROR(E16+0,E16),tbl_Onsite[Job Number],0)))),IFERROR(IF(INDEX(tbl_Production[Notes],IFERROR(MATCH(E16&amp;"",tbl_Production[Job Number],0),MATCH(IFERROR(E16+0,E16),tbl_Production[Job Number],0)))="","",INDEX(tbl_Production[Notes],IFERROR(MATCH(E16&amp;"",tbl_Production[Job Number],0),MATCH(IFERROR(E16+0,E16),tbl_Production[Job Number],0)))),IFERROR(IF(INDEX(tbl_Consulting[Notes],IFERROR(MATCH(E16&amp;"",tbl_Consulting[Job Number],0),MATCH(IFERROR(E16+0,E16),tbl_Consulting[Job Number],0)))="","",INDEX(tbl_Consulting[Notes],IFERROR(MATCH(E16&amp;"",tbl_Consulting[Job Number],0),MATCH(IFERROR(E16+0,E16),tbl_Consulting[Job Number],0)))),""))))</f>
        <v/>
      </c>
    </row>
    <row r="17" ht="15" customHeight="1">
      <c r="A17" s="22" t="n"/>
      <c r="B17" s="23">
        <f>IF(A17="","",EOMONTH(A17,0))</f>
        <v/>
      </c>
      <c r="C17" s="24" t="n"/>
      <c r="D17" s="24" t="n"/>
      <c r="E17" s="24" t="n"/>
      <c r="F17" s="25">
        <f>IF(E17="","",IF(COUNTIF(lst_Jobs,E17&amp;"")&gt;0,"OK","CHECK"))</f>
        <v/>
      </c>
      <c r="G17" s="24" t="n"/>
      <c r="H17" s="24" t="n"/>
      <c r="I17" s="24" t="n"/>
      <c r="J17" s="24" t="n"/>
      <c r="K17" s="24" t="n"/>
      <c r="L17" s="26" t="n"/>
      <c r="M17" s="27">
        <f>IF(L17="","",IF(K17="GST 10%",ROUND(L17*set_GSTRate,2),0))</f>
        <v/>
      </c>
      <c r="N17" s="27">
        <f>IF(L17="","",L17+M17)</f>
        <v/>
      </c>
      <c r="O17" s="24" t="n"/>
      <c r="P17" s="24" t="n"/>
      <c r="Q17" s="24" t="n"/>
      <c r="R17" s="22" t="n"/>
      <c r="S17" s="22" t="n"/>
      <c r="T17" s="24" t="n"/>
      <c r="U17" s="24" t="n"/>
      <c r="V17" s="25">
        <f>IF(COUNTA(A17,D17,C17,L17)=0,"",IF(A17="","No date - sits outside every month",IF(E17="","No job number",IF(F17="CHECK","Job number is not in the Xero job list",IF(I17="","No cost centre",IF(AND(P17="Y",C17=""),"Marked posted to Xero but has no invoice number",IF(AND(L17&lt;&gt;"",K17=""),"No tax code",IF(AND(L17&lt;&gt;"",O17=""),"No revenue GL code",""))))))))</f>
        <v/>
      </c>
      <c r="W17" s="25">
        <f>IF(E17="","",IF(COUNTIF(tbl_Onsite[Job Number],E17&amp;"")&gt;0,"Onsite",IF(COUNTIF(tbl_Production[Job Number],E17&amp;"")&gt;0,"Production",IF(COUNTIF(tbl_Consulting[Job Number],E17&amp;"")&gt;0,"Consulting","not set up yet"))))</f>
        <v/>
      </c>
      <c r="X17" s="25">
        <f>IF(E17="","",IFERROR(INDEX(lst_JobName,MATCH(E17&amp;"",lst_Jobs,0)),""))</f>
        <v/>
      </c>
      <c r="Y17" s="28">
        <f>IF(E17="","",COUNTIFS(tbl_Finance[Job Number],E17&amp;"",tbl_Finance[Ex GST],"&lt;&gt;"))</f>
        <v/>
      </c>
      <c r="Z17" s="27">
        <f>IF(E17="","",SUMIFS(tbl_Finance[Ex GST],tbl_Finance[Job Number],E17&amp;""))</f>
        <v/>
      </c>
      <c r="AA17" s="27">
        <f>IF(E17="","",SUMIFS(tbl_Finance[Ex GST],tbl_Finance[Job Number],E17&amp;"",tbl_Finance[Xero Invoice No],"&lt;&gt;"))</f>
        <v/>
      </c>
      <c r="AB17" s="27">
        <f>IF(E17="","",Z17-AA17)</f>
        <v/>
      </c>
      <c r="AC17" s="25">
        <f>IF(E17="","",IFERROR(IF(INDEX(tbl_Onsite[Qwilr Quote],IFERROR(MATCH(E17&amp;"",tbl_Onsite[Job Number],0),MATCH(IFERROR(E17+0,E17),tbl_Onsite[Job Number],0)))="","",INDEX(tbl_Onsite[Qwilr Quote],IFERROR(MATCH(E17&amp;"",tbl_Onsite[Job Number],0),MATCH(IFERROR(E17+0,E17),tbl_Onsite[Job Number],0)))),IFERROR(IF(IF(INDEX(tbl_Production[Current RMS No],IFERROR(MATCH(E17&amp;"",tbl_Production[Job Number],0),MATCH(IFERROR(E17+0,E17),tbl_Production[Job Number],0)))="",INDEX(tbl_Production[Qwilr Quote],IFERROR(MATCH(E17&amp;"",tbl_Production[Job Number],0),MATCH(IFERROR(E17+0,E17),tbl_Production[Job Number],0))),INDEX(tbl_Production[Current RMS No],IFERROR(MATCH(E17&amp;"",tbl_Production[Job Number],0),MATCH(IFERROR(E17+0,E17),tbl_Production[Job Number],0))))="","",IF(INDEX(tbl_Production[Current RMS No],IFERROR(MATCH(E17&amp;"",tbl_Production[Job Number],0),MATCH(IFERROR(E17+0,E17),tbl_Production[Job Number],0)))="",INDEX(tbl_Production[Qwilr Quote],IFERROR(MATCH(E17&amp;"",tbl_Production[Job Number],0),MATCH(IFERROR(E17+0,E17),tbl_Production[Job Number],0))),INDEX(tbl_Production[Current RMS No],IFERROR(MATCH(E17&amp;"",tbl_Production[Job Number],0),MATCH(IFERROR(E17+0,E17),tbl_Production[Job Number],0))))),IFERROR(IF(INDEX(tbl_Consulting[Qwilr Quote],IFERROR(MATCH(E17&amp;"",tbl_Consulting[Job Number],0),MATCH(IFERROR(E17+0,E17),tbl_Consulting[Job Number],0)))="","",INDEX(tbl_Consulting[Qwilr Quote],IFERROR(MATCH(E17&amp;"",tbl_Consulting[Job Number],0),MATCH(IFERROR(E17+0,E17),tbl_Consulting[Job Number],0)))),""))))</f>
        <v/>
      </c>
      <c r="AD17" s="25">
        <f>IF(AC17="","",IF(AND(LEFT(AC17,4)&lt;&gt;"http",IF(H17="Production",set_RMSBase,set_QwilrBase)=""),"",HYPERLINK(IF(LEFT(AC17,4)="http",AC17,IF(H17="Production",set_RMSBase,set_QwilrBase)&amp;AC17),"Open")))</f>
        <v/>
      </c>
      <c r="AE17" s="27">
        <f>IF(E17="","",IFERROR(INDEX(tbl_Production[Total Expense],IFERROR(MATCH(E17&amp;"",tbl_Production[Job Number],0),MATCH(IFERROR(E17+0,E17),tbl_Production[Job Number],0))),IFERROR(INDEX(tbl_Consulting[Total Expense],IFERROR(MATCH(E17&amp;"",tbl_Consulting[Job Number],0),MATCH(IFERROR(E17+0,E17),tbl_Consulting[Job Number],0))),0)))</f>
        <v/>
      </c>
      <c r="AF17" s="27">
        <f>IF(E17="","",Z17-N(AE17))</f>
        <v/>
      </c>
      <c r="AG17" s="29">
        <f>IFERROR(AF17/Z17,"")</f>
        <v/>
      </c>
      <c r="AH17" s="25">
        <f>IF(E17="","",IFERROR(IF(INDEX(tbl_Onsite[Notes],IFERROR(MATCH(E17&amp;"",tbl_Onsite[Job Number],0),MATCH(IFERROR(E17+0,E17),tbl_Onsite[Job Number],0)))="","",INDEX(tbl_Onsite[Notes],IFERROR(MATCH(E17&amp;"",tbl_Onsite[Job Number],0),MATCH(IFERROR(E17+0,E17),tbl_Onsite[Job Number],0)))),IFERROR(IF(INDEX(tbl_Production[Notes],IFERROR(MATCH(E17&amp;"",tbl_Production[Job Number],0),MATCH(IFERROR(E17+0,E17),tbl_Production[Job Number],0)))="","",INDEX(tbl_Production[Notes],IFERROR(MATCH(E17&amp;"",tbl_Production[Job Number],0),MATCH(IFERROR(E17+0,E17),tbl_Production[Job Number],0)))),IFERROR(IF(INDEX(tbl_Consulting[Notes],IFERROR(MATCH(E17&amp;"",tbl_Consulting[Job Number],0),MATCH(IFERROR(E17+0,E17),tbl_Consulting[Job Number],0)))="","",INDEX(tbl_Consulting[Notes],IFERROR(MATCH(E17&amp;"",tbl_Consulting[Job Number],0),MATCH(IFERROR(E17+0,E17),tbl_Consulting[Job Number],0)))),""))))</f>
        <v/>
      </c>
    </row>
    <row r="18" ht="15" customHeight="1">
      <c r="A18" s="22" t="n"/>
      <c r="B18" s="23">
        <f>IF(A18="","",EOMONTH(A18,0))</f>
        <v/>
      </c>
      <c r="C18" s="24" t="n"/>
      <c r="D18" s="24" t="n"/>
      <c r="E18" s="24" t="n"/>
      <c r="F18" s="25">
        <f>IF(E18="","",IF(COUNTIF(lst_Jobs,E18&amp;"")&gt;0,"OK","CHECK"))</f>
        <v/>
      </c>
      <c r="G18" s="24" t="n"/>
      <c r="H18" s="24" t="n"/>
      <c r="I18" s="24" t="n"/>
      <c r="J18" s="24" t="n"/>
      <c r="K18" s="24" t="n"/>
      <c r="L18" s="26" t="n"/>
      <c r="M18" s="27">
        <f>IF(L18="","",IF(K18="GST 10%",ROUND(L18*set_GSTRate,2),0))</f>
        <v/>
      </c>
      <c r="N18" s="27">
        <f>IF(L18="","",L18+M18)</f>
        <v/>
      </c>
      <c r="O18" s="24" t="n"/>
      <c r="P18" s="24" t="n"/>
      <c r="Q18" s="24" t="n"/>
      <c r="R18" s="22" t="n"/>
      <c r="S18" s="22" t="n"/>
      <c r="T18" s="24" t="n"/>
      <c r="U18" s="24" t="n"/>
      <c r="V18" s="25">
        <f>IF(COUNTA(A18,D18,C18,L18)=0,"",IF(A18="","No date - sits outside every month",IF(E18="","No job number",IF(F18="CHECK","Job number is not in the Xero job list",IF(I18="","No cost centre",IF(AND(P18="Y",C18=""),"Marked posted to Xero but has no invoice number",IF(AND(L18&lt;&gt;"",K18=""),"No tax code",IF(AND(L18&lt;&gt;"",O18=""),"No revenue GL code",""))))))))</f>
        <v/>
      </c>
      <c r="W18" s="25">
        <f>IF(E18="","",IF(COUNTIF(tbl_Onsite[Job Number],E18&amp;"")&gt;0,"Onsite",IF(COUNTIF(tbl_Production[Job Number],E18&amp;"")&gt;0,"Production",IF(COUNTIF(tbl_Consulting[Job Number],E18&amp;"")&gt;0,"Consulting","not set up yet"))))</f>
        <v/>
      </c>
      <c r="X18" s="25">
        <f>IF(E18="","",IFERROR(INDEX(lst_JobName,MATCH(E18&amp;"",lst_Jobs,0)),""))</f>
        <v/>
      </c>
      <c r="Y18" s="28">
        <f>IF(E18="","",COUNTIFS(tbl_Finance[Job Number],E18&amp;"",tbl_Finance[Ex GST],"&lt;&gt;"))</f>
        <v/>
      </c>
      <c r="Z18" s="27">
        <f>IF(E18="","",SUMIFS(tbl_Finance[Ex GST],tbl_Finance[Job Number],E18&amp;""))</f>
        <v/>
      </c>
      <c r="AA18" s="27">
        <f>IF(E18="","",SUMIFS(tbl_Finance[Ex GST],tbl_Finance[Job Number],E18&amp;"",tbl_Finance[Xero Invoice No],"&lt;&gt;"))</f>
        <v/>
      </c>
      <c r="AB18" s="27">
        <f>IF(E18="","",Z18-AA18)</f>
        <v/>
      </c>
      <c r="AC18" s="25">
        <f>IF(E18="","",IFERROR(IF(INDEX(tbl_Onsite[Qwilr Quote],IFERROR(MATCH(E18&amp;"",tbl_Onsite[Job Number],0),MATCH(IFERROR(E18+0,E18),tbl_Onsite[Job Number],0)))="","",INDEX(tbl_Onsite[Qwilr Quote],IFERROR(MATCH(E18&amp;"",tbl_Onsite[Job Number],0),MATCH(IFERROR(E18+0,E18),tbl_Onsite[Job Number],0)))),IFERROR(IF(IF(INDEX(tbl_Production[Current RMS No],IFERROR(MATCH(E18&amp;"",tbl_Production[Job Number],0),MATCH(IFERROR(E18+0,E18),tbl_Production[Job Number],0)))="",INDEX(tbl_Production[Qwilr Quote],IFERROR(MATCH(E18&amp;"",tbl_Production[Job Number],0),MATCH(IFERROR(E18+0,E18),tbl_Production[Job Number],0))),INDEX(tbl_Production[Current RMS No],IFERROR(MATCH(E18&amp;"",tbl_Production[Job Number],0),MATCH(IFERROR(E18+0,E18),tbl_Production[Job Number],0))))="","",IF(INDEX(tbl_Production[Current RMS No],IFERROR(MATCH(E18&amp;"",tbl_Production[Job Number],0),MATCH(IFERROR(E18+0,E18),tbl_Production[Job Number],0)))="",INDEX(tbl_Production[Qwilr Quote],IFERROR(MATCH(E18&amp;"",tbl_Production[Job Number],0),MATCH(IFERROR(E18+0,E18),tbl_Production[Job Number],0))),INDEX(tbl_Production[Current RMS No],IFERROR(MATCH(E18&amp;"",tbl_Production[Job Number],0),MATCH(IFERROR(E18+0,E18),tbl_Production[Job Number],0))))),IFERROR(IF(INDEX(tbl_Consulting[Qwilr Quote],IFERROR(MATCH(E18&amp;"",tbl_Consulting[Job Number],0),MATCH(IFERROR(E18+0,E18),tbl_Consulting[Job Number],0)))="","",INDEX(tbl_Consulting[Qwilr Quote],IFERROR(MATCH(E18&amp;"",tbl_Consulting[Job Number],0),MATCH(IFERROR(E18+0,E18),tbl_Consulting[Job Number],0)))),""))))</f>
        <v/>
      </c>
      <c r="AD18" s="25">
        <f>IF(AC18="","",IF(AND(LEFT(AC18,4)&lt;&gt;"http",IF(H18="Production",set_RMSBase,set_QwilrBase)=""),"",HYPERLINK(IF(LEFT(AC18,4)="http",AC18,IF(H18="Production",set_RMSBase,set_QwilrBase)&amp;AC18),"Open")))</f>
        <v/>
      </c>
      <c r="AE18" s="27">
        <f>IF(E18="","",IFERROR(INDEX(tbl_Production[Total Expense],IFERROR(MATCH(E18&amp;"",tbl_Production[Job Number],0),MATCH(IFERROR(E18+0,E18),tbl_Production[Job Number],0))),IFERROR(INDEX(tbl_Consulting[Total Expense],IFERROR(MATCH(E18&amp;"",tbl_Consulting[Job Number],0),MATCH(IFERROR(E18+0,E18),tbl_Consulting[Job Number],0))),0)))</f>
        <v/>
      </c>
      <c r="AF18" s="27">
        <f>IF(E18="","",Z18-N(AE18))</f>
        <v/>
      </c>
      <c r="AG18" s="29">
        <f>IFERROR(AF18/Z18,"")</f>
        <v/>
      </c>
      <c r="AH18" s="25">
        <f>IF(E18="","",IFERROR(IF(INDEX(tbl_Onsite[Notes],IFERROR(MATCH(E18&amp;"",tbl_Onsite[Job Number],0),MATCH(IFERROR(E18+0,E18),tbl_Onsite[Job Number],0)))="","",INDEX(tbl_Onsite[Notes],IFERROR(MATCH(E18&amp;"",tbl_Onsite[Job Number],0),MATCH(IFERROR(E18+0,E18),tbl_Onsite[Job Number],0)))),IFERROR(IF(INDEX(tbl_Production[Notes],IFERROR(MATCH(E18&amp;"",tbl_Production[Job Number],0),MATCH(IFERROR(E18+0,E18),tbl_Production[Job Number],0)))="","",INDEX(tbl_Production[Notes],IFERROR(MATCH(E18&amp;"",tbl_Production[Job Number],0),MATCH(IFERROR(E18+0,E18),tbl_Production[Job Number],0)))),IFERROR(IF(INDEX(tbl_Consulting[Notes],IFERROR(MATCH(E18&amp;"",tbl_Consulting[Job Number],0),MATCH(IFERROR(E18+0,E18),tbl_Consulting[Job Number],0)))="","",INDEX(tbl_Consulting[Notes],IFERROR(MATCH(E18&amp;"",tbl_Consulting[Job Number],0),MATCH(IFERROR(E18+0,E18),tbl_Consulting[Job Number],0)))),""))))</f>
        <v/>
      </c>
    </row>
    <row r="19" ht="15" customHeight="1">
      <c r="A19" s="22" t="n"/>
      <c r="B19" s="23">
        <f>IF(A19="","",EOMONTH(A19,0))</f>
        <v/>
      </c>
      <c r="C19" s="24" t="n"/>
      <c r="D19" s="24" t="n"/>
      <c r="E19" s="24" t="n"/>
      <c r="F19" s="25">
        <f>IF(E19="","",IF(COUNTIF(lst_Jobs,E19&amp;"")&gt;0,"OK","CHECK"))</f>
        <v/>
      </c>
      <c r="G19" s="24" t="n"/>
      <c r="H19" s="24" t="n"/>
      <c r="I19" s="24" t="n"/>
      <c r="J19" s="24" t="n"/>
      <c r="K19" s="24" t="n"/>
      <c r="L19" s="26" t="n"/>
      <c r="M19" s="27">
        <f>IF(L19="","",IF(K19="GST 10%",ROUND(L19*set_GSTRate,2),0))</f>
        <v/>
      </c>
      <c r="N19" s="27">
        <f>IF(L19="","",L19+M19)</f>
        <v/>
      </c>
      <c r="O19" s="24" t="n"/>
      <c r="P19" s="24" t="n"/>
      <c r="Q19" s="24" t="n"/>
      <c r="R19" s="22" t="n"/>
      <c r="S19" s="22" t="n"/>
      <c r="T19" s="24" t="n"/>
      <c r="U19" s="24" t="n"/>
      <c r="V19" s="25">
        <f>IF(COUNTA(A19,D19,C19,L19)=0,"",IF(A19="","No date - sits outside every month",IF(E19="","No job number",IF(F19="CHECK","Job number is not in the Xero job list",IF(I19="","No cost centre",IF(AND(P19="Y",C19=""),"Marked posted to Xero but has no invoice number",IF(AND(L19&lt;&gt;"",K19=""),"No tax code",IF(AND(L19&lt;&gt;"",O19=""),"No revenue GL code",""))))))))</f>
        <v/>
      </c>
      <c r="W19" s="25">
        <f>IF(E19="","",IF(COUNTIF(tbl_Onsite[Job Number],E19&amp;"")&gt;0,"Onsite",IF(COUNTIF(tbl_Production[Job Number],E19&amp;"")&gt;0,"Production",IF(COUNTIF(tbl_Consulting[Job Number],E19&amp;"")&gt;0,"Consulting","not set up yet"))))</f>
        <v/>
      </c>
      <c r="X19" s="25">
        <f>IF(E19="","",IFERROR(INDEX(lst_JobName,MATCH(E19&amp;"",lst_Jobs,0)),""))</f>
        <v/>
      </c>
      <c r="Y19" s="28">
        <f>IF(E19="","",COUNTIFS(tbl_Finance[Job Number],E19&amp;"",tbl_Finance[Ex GST],"&lt;&gt;"))</f>
        <v/>
      </c>
      <c r="Z19" s="27">
        <f>IF(E19="","",SUMIFS(tbl_Finance[Ex GST],tbl_Finance[Job Number],E19&amp;""))</f>
        <v/>
      </c>
      <c r="AA19" s="27">
        <f>IF(E19="","",SUMIFS(tbl_Finance[Ex GST],tbl_Finance[Job Number],E19&amp;"",tbl_Finance[Xero Invoice No],"&lt;&gt;"))</f>
        <v/>
      </c>
      <c r="AB19" s="27">
        <f>IF(E19="","",Z19-AA19)</f>
        <v/>
      </c>
      <c r="AC19" s="25">
        <f>IF(E19="","",IFERROR(IF(INDEX(tbl_Onsite[Qwilr Quote],IFERROR(MATCH(E19&amp;"",tbl_Onsite[Job Number],0),MATCH(IFERROR(E19+0,E19),tbl_Onsite[Job Number],0)))="","",INDEX(tbl_Onsite[Qwilr Quote],IFERROR(MATCH(E19&amp;"",tbl_Onsite[Job Number],0),MATCH(IFERROR(E19+0,E19),tbl_Onsite[Job Number],0)))),IFERROR(IF(IF(INDEX(tbl_Production[Current RMS No],IFERROR(MATCH(E19&amp;"",tbl_Production[Job Number],0),MATCH(IFERROR(E19+0,E19),tbl_Production[Job Number],0)))="",INDEX(tbl_Production[Qwilr Quote],IFERROR(MATCH(E19&amp;"",tbl_Production[Job Number],0),MATCH(IFERROR(E19+0,E19),tbl_Production[Job Number],0))),INDEX(tbl_Production[Current RMS No],IFERROR(MATCH(E19&amp;"",tbl_Production[Job Number],0),MATCH(IFERROR(E19+0,E19),tbl_Production[Job Number],0))))="","",IF(INDEX(tbl_Production[Current RMS No],IFERROR(MATCH(E19&amp;"",tbl_Production[Job Number],0),MATCH(IFERROR(E19+0,E19),tbl_Production[Job Number],0)))="",INDEX(tbl_Production[Qwilr Quote],IFERROR(MATCH(E19&amp;"",tbl_Production[Job Number],0),MATCH(IFERROR(E19+0,E19),tbl_Production[Job Number],0))),INDEX(tbl_Production[Current RMS No],IFERROR(MATCH(E19&amp;"",tbl_Production[Job Number],0),MATCH(IFERROR(E19+0,E19),tbl_Production[Job Number],0))))),IFERROR(IF(INDEX(tbl_Consulting[Qwilr Quote],IFERROR(MATCH(E19&amp;"",tbl_Consulting[Job Number],0),MATCH(IFERROR(E19+0,E19),tbl_Consulting[Job Number],0)))="","",INDEX(tbl_Consulting[Qwilr Quote],IFERROR(MATCH(E19&amp;"",tbl_Consulting[Job Number],0),MATCH(IFERROR(E19+0,E19),tbl_Consulting[Job Number],0)))),""))))</f>
        <v/>
      </c>
      <c r="AD19" s="25">
        <f>IF(AC19="","",IF(AND(LEFT(AC19,4)&lt;&gt;"http",IF(H19="Production",set_RMSBase,set_QwilrBase)=""),"",HYPERLINK(IF(LEFT(AC19,4)="http",AC19,IF(H19="Production",set_RMSBase,set_QwilrBase)&amp;AC19),"Open")))</f>
        <v/>
      </c>
      <c r="AE19" s="27">
        <f>IF(E19="","",IFERROR(INDEX(tbl_Production[Total Expense],IFERROR(MATCH(E19&amp;"",tbl_Production[Job Number],0),MATCH(IFERROR(E19+0,E19),tbl_Production[Job Number],0))),IFERROR(INDEX(tbl_Consulting[Total Expense],IFERROR(MATCH(E19&amp;"",tbl_Consulting[Job Number],0),MATCH(IFERROR(E19+0,E19),tbl_Consulting[Job Number],0))),0)))</f>
        <v/>
      </c>
      <c r="AF19" s="27">
        <f>IF(E19="","",Z19-N(AE19))</f>
        <v/>
      </c>
      <c r="AG19" s="29">
        <f>IFERROR(AF19/Z19,"")</f>
        <v/>
      </c>
      <c r="AH19" s="25">
        <f>IF(E19="","",IFERROR(IF(INDEX(tbl_Onsite[Notes],IFERROR(MATCH(E19&amp;"",tbl_Onsite[Job Number],0),MATCH(IFERROR(E19+0,E19),tbl_Onsite[Job Number],0)))="","",INDEX(tbl_Onsite[Notes],IFERROR(MATCH(E19&amp;"",tbl_Onsite[Job Number],0),MATCH(IFERROR(E19+0,E19),tbl_Onsite[Job Number],0)))),IFERROR(IF(INDEX(tbl_Production[Notes],IFERROR(MATCH(E19&amp;"",tbl_Production[Job Number],0),MATCH(IFERROR(E19+0,E19),tbl_Production[Job Number],0)))="","",INDEX(tbl_Production[Notes],IFERROR(MATCH(E19&amp;"",tbl_Production[Job Number],0),MATCH(IFERROR(E19+0,E19),tbl_Production[Job Number],0)))),IFERROR(IF(INDEX(tbl_Consulting[Notes],IFERROR(MATCH(E19&amp;"",tbl_Consulting[Job Number],0),MATCH(IFERROR(E19+0,E19),tbl_Consulting[Job Number],0)))="","",INDEX(tbl_Consulting[Notes],IFERROR(MATCH(E19&amp;"",tbl_Consulting[Job Number],0),MATCH(IFERROR(E19+0,E19),tbl_Consulting[Job Number],0)))),""))))</f>
        <v/>
      </c>
    </row>
    <row r="20" ht="15" customHeight="1">
      <c r="A20" s="22" t="n"/>
      <c r="B20" s="23">
        <f>IF(A20="","",EOMONTH(A20,0))</f>
        <v/>
      </c>
      <c r="C20" s="24" t="n"/>
      <c r="D20" s="24" t="n"/>
      <c r="E20" s="24" t="n"/>
      <c r="F20" s="25">
        <f>IF(E20="","",IF(COUNTIF(lst_Jobs,E20&amp;"")&gt;0,"OK","CHECK"))</f>
        <v/>
      </c>
      <c r="G20" s="24" t="n"/>
      <c r="H20" s="24" t="n"/>
      <c r="I20" s="24" t="n"/>
      <c r="J20" s="24" t="n"/>
      <c r="K20" s="24" t="n"/>
      <c r="L20" s="26" t="n"/>
      <c r="M20" s="27">
        <f>IF(L20="","",IF(K20="GST 10%",ROUND(L20*set_GSTRate,2),0))</f>
        <v/>
      </c>
      <c r="N20" s="27">
        <f>IF(L20="","",L20+M20)</f>
        <v/>
      </c>
      <c r="O20" s="24" t="n"/>
      <c r="P20" s="24" t="n"/>
      <c r="Q20" s="24" t="n"/>
      <c r="R20" s="22" t="n"/>
      <c r="S20" s="22" t="n"/>
      <c r="T20" s="24" t="n"/>
      <c r="U20" s="24" t="n"/>
      <c r="V20" s="25">
        <f>IF(COUNTA(A20,D20,C20,L20)=0,"",IF(A20="","No date - sits outside every month",IF(E20="","No job number",IF(F20="CHECK","Job number is not in the Xero job list",IF(I20="","No cost centre",IF(AND(P20="Y",C20=""),"Marked posted to Xero but has no invoice number",IF(AND(L20&lt;&gt;"",K20=""),"No tax code",IF(AND(L20&lt;&gt;"",O20=""),"No revenue GL code",""))))))))</f>
        <v/>
      </c>
      <c r="W20" s="25">
        <f>IF(E20="","",IF(COUNTIF(tbl_Onsite[Job Number],E20&amp;"")&gt;0,"Onsite",IF(COUNTIF(tbl_Production[Job Number],E20&amp;"")&gt;0,"Production",IF(COUNTIF(tbl_Consulting[Job Number],E20&amp;"")&gt;0,"Consulting","not set up yet"))))</f>
        <v/>
      </c>
      <c r="X20" s="25">
        <f>IF(E20="","",IFERROR(INDEX(lst_JobName,MATCH(E20&amp;"",lst_Jobs,0)),""))</f>
        <v/>
      </c>
      <c r="Y20" s="28">
        <f>IF(E20="","",COUNTIFS(tbl_Finance[Job Number],E20&amp;"",tbl_Finance[Ex GST],"&lt;&gt;"))</f>
        <v/>
      </c>
      <c r="Z20" s="27">
        <f>IF(E20="","",SUMIFS(tbl_Finance[Ex GST],tbl_Finance[Job Number],E20&amp;""))</f>
        <v/>
      </c>
      <c r="AA20" s="27">
        <f>IF(E20="","",SUMIFS(tbl_Finance[Ex GST],tbl_Finance[Job Number],E20&amp;"",tbl_Finance[Xero Invoice No],"&lt;&gt;"))</f>
        <v/>
      </c>
      <c r="AB20" s="27">
        <f>IF(E20="","",Z20-AA20)</f>
        <v/>
      </c>
      <c r="AC20" s="25">
        <f>IF(E20="","",IFERROR(IF(INDEX(tbl_Onsite[Qwilr Quote],IFERROR(MATCH(E20&amp;"",tbl_Onsite[Job Number],0),MATCH(IFERROR(E20+0,E20),tbl_Onsite[Job Number],0)))="","",INDEX(tbl_Onsite[Qwilr Quote],IFERROR(MATCH(E20&amp;"",tbl_Onsite[Job Number],0),MATCH(IFERROR(E20+0,E20),tbl_Onsite[Job Number],0)))),IFERROR(IF(IF(INDEX(tbl_Production[Current RMS No],IFERROR(MATCH(E20&amp;"",tbl_Production[Job Number],0),MATCH(IFERROR(E20+0,E20),tbl_Production[Job Number],0)))="",INDEX(tbl_Production[Qwilr Quote],IFERROR(MATCH(E20&amp;"",tbl_Production[Job Number],0),MATCH(IFERROR(E20+0,E20),tbl_Production[Job Number],0))),INDEX(tbl_Production[Current RMS No],IFERROR(MATCH(E20&amp;"",tbl_Production[Job Number],0),MATCH(IFERROR(E20+0,E20),tbl_Production[Job Number],0))))="","",IF(INDEX(tbl_Production[Current RMS No],IFERROR(MATCH(E20&amp;"",tbl_Production[Job Number],0),MATCH(IFERROR(E20+0,E20),tbl_Production[Job Number],0)))="",INDEX(tbl_Production[Qwilr Quote],IFERROR(MATCH(E20&amp;"",tbl_Production[Job Number],0),MATCH(IFERROR(E20+0,E20),tbl_Production[Job Number],0))),INDEX(tbl_Production[Current RMS No],IFERROR(MATCH(E20&amp;"",tbl_Production[Job Number],0),MATCH(IFERROR(E20+0,E20),tbl_Production[Job Number],0))))),IFERROR(IF(INDEX(tbl_Consulting[Qwilr Quote],IFERROR(MATCH(E20&amp;"",tbl_Consulting[Job Number],0),MATCH(IFERROR(E20+0,E20),tbl_Consulting[Job Number],0)))="","",INDEX(tbl_Consulting[Qwilr Quote],IFERROR(MATCH(E20&amp;"",tbl_Consulting[Job Number],0),MATCH(IFERROR(E20+0,E20),tbl_Consulting[Job Number],0)))),""))))</f>
        <v/>
      </c>
      <c r="AD20" s="25">
        <f>IF(AC20="","",IF(AND(LEFT(AC20,4)&lt;&gt;"http",IF(H20="Production",set_RMSBase,set_QwilrBase)=""),"",HYPERLINK(IF(LEFT(AC20,4)="http",AC20,IF(H20="Production",set_RMSBase,set_QwilrBase)&amp;AC20),"Open")))</f>
        <v/>
      </c>
      <c r="AE20" s="27">
        <f>IF(E20="","",IFERROR(INDEX(tbl_Production[Total Expense],IFERROR(MATCH(E20&amp;"",tbl_Production[Job Number],0),MATCH(IFERROR(E20+0,E20),tbl_Production[Job Number],0))),IFERROR(INDEX(tbl_Consulting[Total Expense],IFERROR(MATCH(E20&amp;"",tbl_Consulting[Job Number],0),MATCH(IFERROR(E20+0,E20),tbl_Consulting[Job Number],0))),0)))</f>
        <v/>
      </c>
      <c r="AF20" s="27">
        <f>IF(E20="","",Z20-N(AE20))</f>
        <v/>
      </c>
      <c r="AG20" s="29">
        <f>IFERROR(AF20/Z20,"")</f>
        <v/>
      </c>
      <c r="AH20" s="25">
        <f>IF(E20="","",IFERROR(IF(INDEX(tbl_Onsite[Notes],IFERROR(MATCH(E20&amp;"",tbl_Onsite[Job Number],0),MATCH(IFERROR(E20+0,E20),tbl_Onsite[Job Number],0)))="","",INDEX(tbl_Onsite[Notes],IFERROR(MATCH(E20&amp;"",tbl_Onsite[Job Number],0),MATCH(IFERROR(E20+0,E20),tbl_Onsite[Job Number],0)))),IFERROR(IF(INDEX(tbl_Production[Notes],IFERROR(MATCH(E20&amp;"",tbl_Production[Job Number],0),MATCH(IFERROR(E20+0,E20),tbl_Production[Job Number],0)))="","",INDEX(tbl_Production[Notes],IFERROR(MATCH(E20&amp;"",tbl_Production[Job Number],0),MATCH(IFERROR(E20+0,E20),tbl_Production[Job Number],0)))),IFERROR(IF(INDEX(tbl_Consulting[Notes],IFERROR(MATCH(E20&amp;"",tbl_Consulting[Job Number],0),MATCH(IFERROR(E20+0,E20),tbl_Consulting[Job Number],0)))="","",INDEX(tbl_Consulting[Notes],IFERROR(MATCH(E20&amp;"",tbl_Consulting[Job Number],0),MATCH(IFERROR(E20+0,E20),tbl_Consulting[Job Number],0)))),""))))</f>
        <v/>
      </c>
    </row>
    <row r="21" ht="15" customHeight="1">
      <c r="A21" s="22" t="n"/>
      <c r="B21" s="23">
        <f>IF(A21="","",EOMONTH(A21,0))</f>
        <v/>
      </c>
      <c r="C21" s="24" t="n"/>
      <c r="D21" s="24" t="n"/>
      <c r="E21" s="24" t="n"/>
      <c r="F21" s="25">
        <f>IF(E21="","",IF(COUNTIF(lst_Jobs,E21&amp;"")&gt;0,"OK","CHECK"))</f>
        <v/>
      </c>
      <c r="G21" s="24" t="n"/>
      <c r="H21" s="24" t="n"/>
      <c r="I21" s="24" t="n"/>
      <c r="J21" s="24" t="n"/>
      <c r="K21" s="24" t="n"/>
      <c r="L21" s="26" t="n"/>
      <c r="M21" s="27">
        <f>IF(L21="","",IF(K21="GST 10%",ROUND(L21*set_GSTRate,2),0))</f>
        <v/>
      </c>
      <c r="N21" s="27">
        <f>IF(L21="","",L21+M21)</f>
        <v/>
      </c>
      <c r="O21" s="24" t="n"/>
      <c r="P21" s="24" t="n"/>
      <c r="Q21" s="24" t="n"/>
      <c r="R21" s="22" t="n"/>
      <c r="S21" s="22" t="n"/>
      <c r="T21" s="24" t="n"/>
      <c r="U21" s="24" t="n"/>
      <c r="V21" s="25">
        <f>IF(COUNTA(A21,D21,C21,L21)=0,"",IF(A21="","No date - sits outside every month",IF(E21="","No job number",IF(F21="CHECK","Job number is not in the Xero job list",IF(I21="","No cost centre",IF(AND(P21="Y",C21=""),"Marked posted to Xero but has no invoice number",IF(AND(L21&lt;&gt;"",K21=""),"No tax code",IF(AND(L21&lt;&gt;"",O21=""),"No revenue GL code",""))))))))</f>
        <v/>
      </c>
      <c r="W21" s="25">
        <f>IF(E21="","",IF(COUNTIF(tbl_Onsite[Job Number],E21&amp;"")&gt;0,"Onsite",IF(COUNTIF(tbl_Production[Job Number],E21&amp;"")&gt;0,"Production",IF(COUNTIF(tbl_Consulting[Job Number],E21&amp;"")&gt;0,"Consulting","not set up yet"))))</f>
        <v/>
      </c>
      <c r="X21" s="25">
        <f>IF(E21="","",IFERROR(INDEX(lst_JobName,MATCH(E21&amp;"",lst_Jobs,0)),""))</f>
        <v/>
      </c>
      <c r="Y21" s="28">
        <f>IF(E21="","",COUNTIFS(tbl_Finance[Job Number],E21&amp;"",tbl_Finance[Ex GST],"&lt;&gt;"))</f>
        <v/>
      </c>
      <c r="Z21" s="27">
        <f>IF(E21="","",SUMIFS(tbl_Finance[Ex GST],tbl_Finance[Job Number],E21&amp;""))</f>
        <v/>
      </c>
      <c r="AA21" s="27">
        <f>IF(E21="","",SUMIFS(tbl_Finance[Ex GST],tbl_Finance[Job Number],E21&amp;"",tbl_Finance[Xero Invoice No],"&lt;&gt;"))</f>
        <v/>
      </c>
      <c r="AB21" s="27">
        <f>IF(E21="","",Z21-AA21)</f>
        <v/>
      </c>
      <c r="AC21" s="25">
        <f>IF(E21="","",IFERROR(IF(INDEX(tbl_Onsite[Qwilr Quote],IFERROR(MATCH(E21&amp;"",tbl_Onsite[Job Number],0),MATCH(IFERROR(E21+0,E21),tbl_Onsite[Job Number],0)))="","",INDEX(tbl_Onsite[Qwilr Quote],IFERROR(MATCH(E21&amp;"",tbl_Onsite[Job Number],0),MATCH(IFERROR(E21+0,E21),tbl_Onsite[Job Number],0)))),IFERROR(IF(IF(INDEX(tbl_Production[Current RMS No],IFERROR(MATCH(E21&amp;"",tbl_Production[Job Number],0),MATCH(IFERROR(E21+0,E21),tbl_Production[Job Number],0)))="",INDEX(tbl_Production[Qwilr Quote],IFERROR(MATCH(E21&amp;"",tbl_Production[Job Number],0),MATCH(IFERROR(E21+0,E21),tbl_Production[Job Number],0))),INDEX(tbl_Production[Current RMS No],IFERROR(MATCH(E21&amp;"",tbl_Production[Job Number],0),MATCH(IFERROR(E21+0,E21),tbl_Production[Job Number],0))))="","",IF(INDEX(tbl_Production[Current RMS No],IFERROR(MATCH(E21&amp;"",tbl_Production[Job Number],0),MATCH(IFERROR(E21+0,E21),tbl_Production[Job Number],0)))="",INDEX(tbl_Production[Qwilr Quote],IFERROR(MATCH(E21&amp;"",tbl_Production[Job Number],0),MATCH(IFERROR(E21+0,E21),tbl_Production[Job Number],0))),INDEX(tbl_Production[Current RMS No],IFERROR(MATCH(E21&amp;"",tbl_Production[Job Number],0),MATCH(IFERROR(E21+0,E21),tbl_Production[Job Number],0))))),IFERROR(IF(INDEX(tbl_Consulting[Qwilr Quote],IFERROR(MATCH(E21&amp;"",tbl_Consulting[Job Number],0),MATCH(IFERROR(E21+0,E21),tbl_Consulting[Job Number],0)))="","",INDEX(tbl_Consulting[Qwilr Quote],IFERROR(MATCH(E21&amp;"",tbl_Consulting[Job Number],0),MATCH(IFERROR(E21+0,E21),tbl_Consulting[Job Number],0)))),""))))</f>
        <v/>
      </c>
      <c r="AD21" s="25">
        <f>IF(AC21="","",IF(AND(LEFT(AC21,4)&lt;&gt;"http",IF(H21="Production",set_RMSBase,set_QwilrBase)=""),"",HYPERLINK(IF(LEFT(AC21,4)="http",AC21,IF(H21="Production",set_RMSBase,set_QwilrBase)&amp;AC21),"Open")))</f>
        <v/>
      </c>
      <c r="AE21" s="27">
        <f>IF(E21="","",IFERROR(INDEX(tbl_Production[Total Expense],IFERROR(MATCH(E21&amp;"",tbl_Production[Job Number],0),MATCH(IFERROR(E21+0,E21),tbl_Production[Job Number],0))),IFERROR(INDEX(tbl_Consulting[Total Expense],IFERROR(MATCH(E21&amp;"",tbl_Consulting[Job Number],0),MATCH(IFERROR(E21+0,E21),tbl_Consulting[Job Number],0))),0)))</f>
        <v/>
      </c>
      <c r="AF21" s="27">
        <f>IF(E21="","",Z21-N(AE21))</f>
        <v/>
      </c>
      <c r="AG21" s="29">
        <f>IFERROR(AF21/Z21,"")</f>
        <v/>
      </c>
      <c r="AH21" s="25">
        <f>IF(E21="","",IFERROR(IF(INDEX(tbl_Onsite[Notes],IFERROR(MATCH(E21&amp;"",tbl_Onsite[Job Number],0),MATCH(IFERROR(E21+0,E21),tbl_Onsite[Job Number],0)))="","",INDEX(tbl_Onsite[Notes],IFERROR(MATCH(E21&amp;"",tbl_Onsite[Job Number],0),MATCH(IFERROR(E21+0,E21),tbl_Onsite[Job Number],0)))),IFERROR(IF(INDEX(tbl_Production[Notes],IFERROR(MATCH(E21&amp;"",tbl_Production[Job Number],0),MATCH(IFERROR(E21+0,E21),tbl_Production[Job Number],0)))="","",INDEX(tbl_Production[Notes],IFERROR(MATCH(E21&amp;"",tbl_Production[Job Number],0),MATCH(IFERROR(E21+0,E21),tbl_Production[Job Number],0)))),IFERROR(IF(INDEX(tbl_Consulting[Notes],IFERROR(MATCH(E21&amp;"",tbl_Consulting[Job Number],0),MATCH(IFERROR(E21+0,E21),tbl_Consulting[Job Number],0)))="","",INDEX(tbl_Consulting[Notes],IFERROR(MATCH(E21&amp;"",tbl_Consulting[Job Number],0),MATCH(IFERROR(E21+0,E21),tbl_Consulting[Job Number],0)))),""))))</f>
        <v/>
      </c>
    </row>
    <row r="22" ht="15" customHeight="1">
      <c r="A22" s="22" t="n"/>
      <c r="B22" s="23">
        <f>IF(A22="","",EOMONTH(A22,0))</f>
        <v/>
      </c>
      <c r="C22" s="24" t="n"/>
      <c r="D22" s="24" t="n"/>
      <c r="E22" s="24" t="n"/>
      <c r="F22" s="25">
        <f>IF(E22="","",IF(COUNTIF(lst_Jobs,E22&amp;"")&gt;0,"OK","CHECK"))</f>
        <v/>
      </c>
      <c r="G22" s="24" t="n"/>
      <c r="H22" s="24" t="n"/>
      <c r="I22" s="24" t="n"/>
      <c r="J22" s="24" t="n"/>
      <c r="K22" s="24" t="n"/>
      <c r="L22" s="26" t="n"/>
      <c r="M22" s="27">
        <f>IF(L22="","",IF(K22="GST 10%",ROUND(L22*set_GSTRate,2),0))</f>
        <v/>
      </c>
      <c r="N22" s="27">
        <f>IF(L22="","",L22+M22)</f>
        <v/>
      </c>
      <c r="O22" s="24" t="n"/>
      <c r="P22" s="24" t="n"/>
      <c r="Q22" s="24" t="n"/>
      <c r="R22" s="22" t="n"/>
      <c r="S22" s="22" t="n"/>
      <c r="T22" s="24" t="n"/>
      <c r="U22" s="24" t="n"/>
      <c r="V22" s="25">
        <f>IF(COUNTA(A22,D22,C22,L22)=0,"",IF(A22="","No date - sits outside every month",IF(E22="","No job number",IF(F22="CHECK","Job number is not in the Xero job list",IF(I22="","No cost centre",IF(AND(P22="Y",C22=""),"Marked posted to Xero but has no invoice number",IF(AND(L22&lt;&gt;"",K22=""),"No tax code",IF(AND(L22&lt;&gt;"",O22=""),"No revenue GL code",""))))))))</f>
        <v/>
      </c>
      <c r="W22" s="25">
        <f>IF(E22="","",IF(COUNTIF(tbl_Onsite[Job Number],E22&amp;"")&gt;0,"Onsite",IF(COUNTIF(tbl_Production[Job Number],E22&amp;"")&gt;0,"Production",IF(COUNTIF(tbl_Consulting[Job Number],E22&amp;"")&gt;0,"Consulting","not set up yet"))))</f>
        <v/>
      </c>
      <c r="X22" s="25">
        <f>IF(E22="","",IFERROR(INDEX(lst_JobName,MATCH(E22&amp;"",lst_Jobs,0)),""))</f>
        <v/>
      </c>
      <c r="Y22" s="28">
        <f>IF(E22="","",COUNTIFS(tbl_Finance[Job Number],E22&amp;"",tbl_Finance[Ex GST],"&lt;&gt;"))</f>
        <v/>
      </c>
      <c r="Z22" s="27">
        <f>IF(E22="","",SUMIFS(tbl_Finance[Ex GST],tbl_Finance[Job Number],E22&amp;""))</f>
        <v/>
      </c>
      <c r="AA22" s="27">
        <f>IF(E22="","",SUMIFS(tbl_Finance[Ex GST],tbl_Finance[Job Number],E22&amp;"",tbl_Finance[Xero Invoice No],"&lt;&gt;"))</f>
        <v/>
      </c>
      <c r="AB22" s="27">
        <f>IF(E22="","",Z22-AA22)</f>
        <v/>
      </c>
      <c r="AC22" s="25">
        <f>IF(E22="","",IFERROR(IF(INDEX(tbl_Onsite[Qwilr Quote],IFERROR(MATCH(E22&amp;"",tbl_Onsite[Job Number],0),MATCH(IFERROR(E22+0,E22),tbl_Onsite[Job Number],0)))="","",INDEX(tbl_Onsite[Qwilr Quote],IFERROR(MATCH(E22&amp;"",tbl_Onsite[Job Number],0),MATCH(IFERROR(E22+0,E22),tbl_Onsite[Job Number],0)))),IFERROR(IF(IF(INDEX(tbl_Production[Current RMS No],IFERROR(MATCH(E22&amp;"",tbl_Production[Job Number],0),MATCH(IFERROR(E22+0,E22),tbl_Production[Job Number],0)))="",INDEX(tbl_Production[Qwilr Quote],IFERROR(MATCH(E22&amp;"",tbl_Production[Job Number],0),MATCH(IFERROR(E22+0,E22),tbl_Production[Job Number],0))),INDEX(tbl_Production[Current RMS No],IFERROR(MATCH(E22&amp;"",tbl_Production[Job Number],0),MATCH(IFERROR(E22+0,E22),tbl_Production[Job Number],0))))="","",IF(INDEX(tbl_Production[Current RMS No],IFERROR(MATCH(E22&amp;"",tbl_Production[Job Number],0),MATCH(IFERROR(E22+0,E22),tbl_Production[Job Number],0)))="",INDEX(tbl_Production[Qwilr Quote],IFERROR(MATCH(E22&amp;"",tbl_Production[Job Number],0),MATCH(IFERROR(E22+0,E22),tbl_Production[Job Number],0))),INDEX(tbl_Production[Current RMS No],IFERROR(MATCH(E22&amp;"",tbl_Production[Job Number],0),MATCH(IFERROR(E22+0,E22),tbl_Production[Job Number],0))))),IFERROR(IF(INDEX(tbl_Consulting[Qwilr Quote],IFERROR(MATCH(E22&amp;"",tbl_Consulting[Job Number],0),MATCH(IFERROR(E22+0,E22),tbl_Consulting[Job Number],0)))="","",INDEX(tbl_Consulting[Qwilr Quote],IFERROR(MATCH(E22&amp;"",tbl_Consulting[Job Number],0),MATCH(IFERROR(E22+0,E22),tbl_Consulting[Job Number],0)))),""))))</f>
        <v/>
      </c>
      <c r="AD22" s="25">
        <f>IF(AC22="","",IF(AND(LEFT(AC22,4)&lt;&gt;"http",IF(H22="Production",set_RMSBase,set_QwilrBase)=""),"",HYPERLINK(IF(LEFT(AC22,4)="http",AC22,IF(H22="Production",set_RMSBase,set_QwilrBase)&amp;AC22),"Open")))</f>
        <v/>
      </c>
      <c r="AE22" s="27">
        <f>IF(E22="","",IFERROR(INDEX(tbl_Production[Total Expense],IFERROR(MATCH(E22&amp;"",tbl_Production[Job Number],0),MATCH(IFERROR(E22+0,E22),tbl_Production[Job Number],0))),IFERROR(INDEX(tbl_Consulting[Total Expense],IFERROR(MATCH(E22&amp;"",tbl_Consulting[Job Number],0),MATCH(IFERROR(E22+0,E22),tbl_Consulting[Job Number],0))),0)))</f>
        <v/>
      </c>
      <c r="AF22" s="27">
        <f>IF(E22="","",Z22-N(AE22))</f>
        <v/>
      </c>
      <c r="AG22" s="29">
        <f>IFERROR(AF22/Z22,"")</f>
        <v/>
      </c>
      <c r="AH22" s="25">
        <f>IF(E22="","",IFERROR(IF(INDEX(tbl_Onsite[Notes],IFERROR(MATCH(E22&amp;"",tbl_Onsite[Job Number],0),MATCH(IFERROR(E22+0,E22),tbl_Onsite[Job Number],0)))="","",INDEX(tbl_Onsite[Notes],IFERROR(MATCH(E22&amp;"",tbl_Onsite[Job Number],0),MATCH(IFERROR(E22+0,E22),tbl_Onsite[Job Number],0)))),IFERROR(IF(INDEX(tbl_Production[Notes],IFERROR(MATCH(E22&amp;"",tbl_Production[Job Number],0),MATCH(IFERROR(E22+0,E22),tbl_Production[Job Number],0)))="","",INDEX(tbl_Production[Notes],IFERROR(MATCH(E22&amp;"",tbl_Production[Job Number],0),MATCH(IFERROR(E22+0,E22),tbl_Production[Job Number],0)))),IFERROR(IF(INDEX(tbl_Consulting[Notes],IFERROR(MATCH(E22&amp;"",tbl_Consulting[Job Number],0),MATCH(IFERROR(E22+0,E22),tbl_Consulting[Job Number],0)))="","",INDEX(tbl_Consulting[Notes],IFERROR(MATCH(E22&amp;"",tbl_Consulting[Job Number],0),MATCH(IFERROR(E22+0,E22),tbl_Consulting[Job Number],0)))),""))))</f>
        <v/>
      </c>
    </row>
    <row r="23" ht="15" customHeight="1">
      <c r="A23" s="22" t="n"/>
      <c r="B23" s="23">
        <f>IF(A23="","",EOMONTH(A23,0))</f>
        <v/>
      </c>
      <c r="C23" s="24" t="n"/>
      <c r="D23" s="24" t="n"/>
      <c r="E23" s="24" t="n"/>
      <c r="F23" s="25">
        <f>IF(E23="","",IF(COUNTIF(lst_Jobs,E23&amp;"")&gt;0,"OK","CHECK"))</f>
        <v/>
      </c>
      <c r="G23" s="24" t="n"/>
      <c r="H23" s="24" t="n"/>
      <c r="I23" s="24" t="n"/>
      <c r="J23" s="24" t="n"/>
      <c r="K23" s="24" t="n"/>
      <c r="L23" s="26" t="n"/>
      <c r="M23" s="27">
        <f>IF(L23="","",IF(K23="GST 10%",ROUND(L23*set_GSTRate,2),0))</f>
        <v/>
      </c>
      <c r="N23" s="27">
        <f>IF(L23="","",L23+M23)</f>
        <v/>
      </c>
      <c r="O23" s="24" t="n"/>
      <c r="P23" s="24" t="n"/>
      <c r="Q23" s="24" t="n"/>
      <c r="R23" s="22" t="n"/>
      <c r="S23" s="22" t="n"/>
      <c r="T23" s="24" t="n"/>
      <c r="U23" s="24" t="n"/>
      <c r="V23" s="25">
        <f>IF(COUNTA(A23,D23,C23,L23)=0,"",IF(A23="","No date - sits outside every month",IF(E23="","No job number",IF(F23="CHECK","Job number is not in the Xero job list",IF(I23="","No cost centre",IF(AND(P23="Y",C23=""),"Marked posted to Xero but has no invoice number",IF(AND(L23&lt;&gt;"",K23=""),"No tax code",IF(AND(L23&lt;&gt;"",O23=""),"No revenue GL code",""))))))))</f>
        <v/>
      </c>
      <c r="W23" s="25">
        <f>IF(E23="","",IF(COUNTIF(tbl_Onsite[Job Number],E23&amp;"")&gt;0,"Onsite",IF(COUNTIF(tbl_Production[Job Number],E23&amp;"")&gt;0,"Production",IF(COUNTIF(tbl_Consulting[Job Number],E23&amp;"")&gt;0,"Consulting","not set up yet"))))</f>
        <v/>
      </c>
      <c r="X23" s="25">
        <f>IF(E23="","",IFERROR(INDEX(lst_JobName,MATCH(E23&amp;"",lst_Jobs,0)),""))</f>
        <v/>
      </c>
      <c r="Y23" s="28">
        <f>IF(E23="","",COUNTIFS(tbl_Finance[Job Number],E23&amp;"",tbl_Finance[Ex GST],"&lt;&gt;"))</f>
        <v/>
      </c>
      <c r="Z23" s="27">
        <f>IF(E23="","",SUMIFS(tbl_Finance[Ex GST],tbl_Finance[Job Number],E23&amp;""))</f>
        <v/>
      </c>
      <c r="AA23" s="27">
        <f>IF(E23="","",SUMIFS(tbl_Finance[Ex GST],tbl_Finance[Job Number],E23&amp;"",tbl_Finance[Xero Invoice No],"&lt;&gt;"))</f>
        <v/>
      </c>
      <c r="AB23" s="27">
        <f>IF(E23="","",Z23-AA23)</f>
        <v/>
      </c>
      <c r="AC23" s="25">
        <f>IF(E23="","",IFERROR(IF(INDEX(tbl_Onsite[Qwilr Quote],IFERROR(MATCH(E23&amp;"",tbl_Onsite[Job Number],0),MATCH(IFERROR(E23+0,E23),tbl_Onsite[Job Number],0)))="","",INDEX(tbl_Onsite[Qwilr Quote],IFERROR(MATCH(E23&amp;"",tbl_Onsite[Job Number],0),MATCH(IFERROR(E23+0,E23),tbl_Onsite[Job Number],0)))),IFERROR(IF(IF(INDEX(tbl_Production[Current RMS No],IFERROR(MATCH(E23&amp;"",tbl_Production[Job Number],0),MATCH(IFERROR(E23+0,E23),tbl_Production[Job Number],0)))="",INDEX(tbl_Production[Qwilr Quote],IFERROR(MATCH(E23&amp;"",tbl_Production[Job Number],0),MATCH(IFERROR(E23+0,E23),tbl_Production[Job Number],0))),INDEX(tbl_Production[Current RMS No],IFERROR(MATCH(E23&amp;"",tbl_Production[Job Number],0),MATCH(IFERROR(E23+0,E23),tbl_Production[Job Number],0))))="","",IF(INDEX(tbl_Production[Current RMS No],IFERROR(MATCH(E23&amp;"",tbl_Production[Job Number],0),MATCH(IFERROR(E23+0,E23),tbl_Production[Job Number],0)))="",INDEX(tbl_Production[Qwilr Quote],IFERROR(MATCH(E23&amp;"",tbl_Production[Job Number],0),MATCH(IFERROR(E23+0,E23),tbl_Production[Job Number],0))),INDEX(tbl_Production[Current RMS No],IFERROR(MATCH(E23&amp;"",tbl_Production[Job Number],0),MATCH(IFERROR(E23+0,E23),tbl_Production[Job Number],0))))),IFERROR(IF(INDEX(tbl_Consulting[Qwilr Quote],IFERROR(MATCH(E23&amp;"",tbl_Consulting[Job Number],0),MATCH(IFERROR(E23+0,E23),tbl_Consulting[Job Number],0)))="","",INDEX(tbl_Consulting[Qwilr Quote],IFERROR(MATCH(E23&amp;"",tbl_Consulting[Job Number],0),MATCH(IFERROR(E23+0,E23),tbl_Consulting[Job Number],0)))),""))))</f>
        <v/>
      </c>
      <c r="AD23" s="25">
        <f>IF(AC23="","",IF(AND(LEFT(AC23,4)&lt;&gt;"http",IF(H23="Production",set_RMSBase,set_QwilrBase)=""),"",HYPERLINK(IF(LEFT(AC23,4)="http",AC23,IF(H23="Production",set_RMSBase,set_QwilrBase)&amp;AC23),"Open")))</f>
        <v/>
      </c>
      <c r="AE23" s="27">
        <f>IF(E23="","",IFERROR(INDEX(tbl_Production[Total Expense],IFERROR(MATCH(E23&amp;"",tbl_Production[Job Number],0),MATCH(IFERROR(E23+0,E23),tbl_Production[Job Number],0))),IFERROR(INDEX(tbl_Consulting[Total Expense],IFERROR(MATCH(E23&amp;"",tbl_Consulting[Job Number],0),MATCH(IFERROR(E23+0,E23),tbl_Consulting[Job Number],0))),0)))</f>
        <v/>
      </c>
      <c r="AF23" s="27">
        <f>IF(E23="","",Z23-N(AE23))</f>
        <v/>
      </c>
      <c r="AG23" s="29">
        <f>IFERROR(AF23/Z23,"")</f>
        <v/>
      </c>
      <c r="AH23" s="25">
        <f>IF(E23="","",IFERROR(IF(INDEX(tbl_Onsite[Notes],IFERROR(MATCH(E23&amp;"",tbl_Onsite[Job Number],0),MATCH(IFERROR(E23+0,E23),tbl_Onsite[Job Number],0)))="","",INDEX(tbl_Onsite[Notes],IFERROR(MATCH(E23&amp;"",tbl_Onsite[Job Number],0),MATCH(IFERROR(E23+0,E23),tbl_Onsite[Job Number],0)))),IFERROR(IF(INDEX(tbl_Production[Notes],IFERROR(MATCH(E23&amp;"",tbl_Production[Job Number],0),MATCH(IFERROR(E23+0,E23),tbl_Production[Job Number],0)))="","",INDEX(tbl_Production[Notes],IFERROR(MATCH(E23&amp;"",tbl_Production[Job Number],0),MATCH(IFERROR(E23+0,E23),tbl_Production[Job Number],0)))),IFERROR(IF(INDEX(tbl_Consulting[Notes],IFERROR(MATCH(E23&amp;"",tbl_Consulting[Job Number],0),MATCH(IFERROR(E23+0,E23),tbl_Consulting[Job Number],0)))="","",INDEX(tbl_Consulting[Notes],IFERROR(MATCH(E23&amp;"",tbl_Consulting[Job Number],0),MATCH(IFERROR(E23+0,E23),tbl_Consulting[Job Number],0)))),""))))</f>
        <v/>
      </c>
    </row>
    <row r="24" ht="15" customHeight="1">
      <c r="A24" s="22" t="n"/>
      <c r="B24" s="23">
        <f>IF(A24="","",EOMONTH(A24,0))</f>
        <v/>
      </c>
      <c r="C24" s="24" t="n"/>
      <c r="D24" s="24" t="n"/>
      <c r="E24" s="24" t="n"/>
      <c r="F24" s="25">
        <f>IF(E24="","",IF(COUNTIF(lst_Jobs,E24&amp;"")&gt;0,"OK","CHECK"))</f>
        <v/>
      </c>
      <c r="G24" s="24" t="n"/>
      <c r="H24" s="24" t="n"/>
      <c r="I24" s="24" t="n"/>
      <c r="J24" s="24" t="n"/>
      <c r="K24" s="24" t="n"/>
      <c r="L24" s="26" t="n"/>
      <c r="M24" s="27">
        <f>IF(L24="","",IF(K24="GST 10%",ROUND(L24*set_GSTRate,2),0))</f>
        <v/>
      </c>
      <c r="N24" s="27">
        <f>IF(L24="","",L24+M24)</f>
        <v/>
      </c>
      <c r="O24" s="24" t="n"/>
      <c r="P24" s="24" t="n"/>
      <c r="Q24" s="24" t="n"/>
      <c r="R24" s="22" t="n"/>
      <c r="S24" s="22" t="n"/>
      <c r="T24" s="24" t="n"/>
      <c r="U24" s="24" t="n"/>
      <c r="V24" s="25">
        <f>IF(COUNTA(A24,D24,C24,L24)=0,"",IF(A24="","No date - sits outside every month",IF(E24="","No job number",IF(F24="CHECK","Job number is not in the Xero job list",IF(I24="","No cost centre",IF(AND(P24="Y",C24=""),"Marked posted to Xero but has no invoice number",IF(AND(L24&lt;&gt;"",K24=""),"No tax code",IF(AND(L24&lt;&gt;"",O24=""),"No revenue GL code",""))))))))</f>
        <v/>
      </c>
      <c r="W24" s="25">
        <f>IF(E24="","",IF(COUNTIF(tbl_Onsite[Job Number],E24&amp;"")&gt;0,"Onsite",IF(COUNTIF(tbl_Production[Job Number],E24&amp;"")&gt;0,"Production",IF(COUNTIF(tbl_Consulting[Job Number],E24&amp;"")&gt;0,"Consulting","not set up yet"))))</f>
        <v/>
      </c>
      <c r="X24" s="25">
        <f>IF(E24="","",IFERROR(INDEX(lst_JobName,MATCH(E24&amp;"",lst_Jobs,0)),""))</f>
        <v/>
      </c>
      <c r="Y24" s="28">
        <f>IF(E24="","",COUNTIFS(tbl_Finance[Job Number],E24&amp;"",tbl_Finance[Ex GST],"&lt;&gt;"))</f>
        <v/>
      </c>
      <c r="Z24" s="27">
        <f>IF(E24="","",SUMIFS(tbl_Finance[Ex GST],tbl_Finance[Job Number],E24&amp;""))</f>
        <v/>
      </c>
      <c r="AA24" s="27">
        <f>IF(E24="","",SUMIFS(tbl_Finance[Ex GST],tbl_Finance[Job Number],E24&amp;"",tbl_Finance[Xero Invoice No],"&lt;&gt;"))</f>
        <v/>
      </c>
      <c r="AB24" s="27">
        <f>IF(E24="","",Z24-AA24)</f>
        <v/>
      </c>
      <c r="AC24" s="25">
        <f>IF(E24="","",IFERROR(IF(INDEX(tbl_Onsite[Qwilr Quote],IFERROR(MATCH(E24&amp;"",tbl_Onsite[Job Number],0),MATCH(IFERROR(E24+0,E24),tbl_Onsite[Job Number],0)))="","",INDEX(tbl_Onsite[Qwilr Quote],IFERROR(MATCH(E24&amp;"",tbl_Onsite[Job Number],0),MATCH(IFERROR(E24+0,E24),tbl_Onsite[Job Number],0)))),IFERROR(IF(IF(INDEX(tbl_Production[Current RMS No],IFERROR(MATCH(E24&amp;"",tbl_Production[Job Number],0),MATCH(IFERROR(E24+0,E24),tbl_Production[Job Number],0)))="",INDEX(tbl_Production[Qwilr Quote],IFERROR(MATCH(E24&amp;"",tbl_Production[Job Number],0),MATCH(IFERROR(E24+0,E24),tbl_Production[Job Number],0))),INDEX(tbl_Production[Current RMS No],IFERROR(MATCH(E24&amp;"",tbl_Production[Job Number],0),MATCH(IFERROR(E24+0,E24),tbl_Production[Job Number],0))))="","",IF(INDEX(tbl_Production[Current RMS No],IFERROR(MATCH(E24&amp;"",tbl_Production[Job Number],0),MATCH(IFERROR(E24+0,E24),tbl_Production[Job Number],0)))="",INDEX(tbl_Production[Qwilr Quote],IFERROR(MATCH(E24&amp;"",tbl_Production[Job Number],0),MATCH(IFERROR(E24+0,E24),tbl_Production[Job Number],0))),INDEX(tbl_Production[Current RMS No],IFERROR(MATCH(E24&amp;"",tbl_Production[Job Number],0),MATCH(IFERROR(E24+0,E24),tbl_Production[Job Number],0))))),IFERROR(IF(INDEX(tbl_Consulting[Qwilr Quote],IFERROR(MATCH(E24&amp;"",tbl_Consulting[Job Number],0),MATCH(IFERROR(E24+0,E24),tbl_Consulting[Job Number],0)))="","",INDEX(tbl_Consulting[Qwilr Quote],IFERROR(MATCH(E24&amp;"",tbl_Consulting[Job Number],0),MATCH(IFERROR(E24+0,E24),tbl_Consulting[Job Number],0)))),""))))</f>
        <v/>
      </c>
      <c r="AD24" s="25">
        <f>IF(AC24="","",IF(AND(LEFT(AC24,4)&lt;&gt;"http",IF(H24="Production",set_RMSBase,set_QwilrBase)=""),"",HYPERLINK(IF(LEFT(AC24,4)="http",AC24,IF(H24="Production",set_RMSBase,set_QwilrBase)&amp;AC24),"Open")))</f>
        <v/>
      </c>
      <c r="AE24" s="27">
        <f>IF(E24="","",IFERROR(INDEX(tbl_Production[Total Expense],IFERROR(MATCH(E24&amp;"",tbl_Production[Job Number],0),MATCH(IFERROR(E24+0,E24),tbl_Production[Job Number],0))),IFERROR(INDEX(tbl_Consulting[Total Expense],IFERROR(MATCH(E24&amp;"",tbl_Consulting[Job Number],0),MATCH(IFERROR(E24+0,E24),tbl_Consulting[Job Number],0))),0)))</f>
        <v/>
      </c>
      <c r="AF24" s="27">
        <f>IF(E24="","",Z24-N(AE24))</f>
        <v/>
      </c>
      <c r="AG24" s="29">
        <f>IFERROR(AF24/Z24,"")</f>
        <v/>
      </c>
      <c r="AH24" s="25">
        <f>IF(E24="","",IFERROR(IF(INDEX(tbl_Onsite[Notes],IFERROR(MATCH(E24&amp;"",tbl_Onsite[Job Number],0),MATCH(IFERROR(E24+0,E24),tbl_Onsite[Job Number],0)))="","",INDEX(tbl_Onsite[Notes],IFERROR(MATCH(E24&amp;"",tbl_Onsite[Job Number],0),MATCH(IFERROR(E24+0,E24),tbl_Onsite[Job Number],0)))),IFERROR(IF(INDEX(tbl_Production[Notes],IFERROR(MATCH(E24&amp;"",tbl_Production[Job Number],0),MATCH(IFERROR(E24+0,E24),tbl_Production[Job Number],0)))="","",INDEX(tbl_Production[Notes],IFERROR(MATCH(E24&amp;"",tbl_Production[Job Number],0),MATCH(IFERROR(E24+0,E24),tbl_Production[Job Number],0)))),IFERROR(IF(INDEX(tbl_Consulting[Notes],IFERROR(MATCH(E24&amp;"",tbl_Consulting[Job Number],0),MATCH(IFERROR(E24+0,E24),tbl_Consulting[Job Number],0)))="","",INDEX(tbl_Consulting[Notes],IFERROR(MATCH(E24&amp;"",tbl_Consulting[Job Number],0),MATCH(IFERROR(E24+0,E24),tbl_Consulting[Job Number],0)))),""))))</f>
        <v/>
      </c>
    </row>
    <row r="25" ht="15" customHeight="1">
      <c r="A25" s="22" t="n"/>
      <c r="B25" s="23">
        <f>IF(A25="","",EOMONTH(A25,0))</f>
        <v/>
      </c>
      <c r="C25" s="24" t="n"/>
      <c r="D25" s="24" t="n"/>
      <c r="E25" s="24" t="n"/>
      <c r="F25" s="25">
        <f>IF(E25="","",IF(COUNTIF(lst_Jobs,E25&amp;"")&gt;0,"OK","CHECK"))</f>
        <v/>
      </c>
      <c r="G25" s="24" t="n"/>
      <c r="H25" s="24" t="n"/>
      <c r="I25" s="24" t="n"/>
      <c r="J25" s="24" t="n"/>
      <c r="K25" s="24" t="n"/>
      <c r="L25" s="26" t="n"/>
      <c r="M25" s="27">
        <f>IF(L25="","",IF(K25="GST 10%",ROUND(L25*set_GSTRate,2),0))</f>
        <v/>
      </c>
      <c r="N25" s="27">
        <f>IF(L25="","",L25+M25)</f>
        <v/>
      </c>
      <c r="O25" s="24" t="n"/>
      <c r="P25" s="24" t="n"/>
      <c r="Q25" s="24" t="n"/>
      <c r="R25" s="22" t="n"/>
      <c r="S25" s="22" t="n"/>
      <c r="T25" s="24" t="n"/>
      <c r="U25" s="24" t="n"/>
      <c r="V25" s="25">
        <f>IF(COUNTA(A25,D25,C25,L25)=0,"",IF(A25="","No date - sits outside every month",IF(E25="","No job number",IF(F25="CHECK","Job number is not in the Xero job list",IF(I25="","No cost centre",IF(AND(P25="Y",C25=""),"Marked posted to Xero but has no invoice number",IF(AND(L25&lt;&gt;"",K25=""),"No tax code",IF(AND(L25&lt;&gt;"",O25=""),"No revenue GL code",""))))))))</f>
        <v/>
      </c>
      <c r="W25" s="25">
        <f>IF(E25="","",IF(COUNTIF(tbl_Onsite[Job Number],E25&amp;"")&gt;0,"Onsite",IF(COUNTIF(tbl_Production[Job Number],E25&amp;"")&gt;0,"Production",IF(COUNTIF(tbl_Consulting[Job Number],E25&amp;"")&gt;0,"Consulting","not set up yet"))))</f>
        <v/>
      </c>
      <c r="X25" s="25">
        <f>IF(E25="","",IFERROR(INDEX(lst_JobName,MATCH(E25&amp;"",lst_Jobs,0)),""))</f>
        <v/>
      </c>
      <c r="Y25" s="28">
        <f>IF(E25="","",COUNTIFS(tbl_Finance[Job Number],E25&amp;"",tbl_Finance[Ex GST],"&lt;&gt;"))</f>
        <v/>
      </c>
      <c r="Z25" s="27">
        <f>IF(E25="","",SUMIFS(tbl_Finance[Ex GST],tbl_Finance[Job Number],E25&amp;""))</f>
        <v/>
      </c>
      <c r="AA25" s="27">
        <f>IF(E25="","",SUMIFS(tbl_Finance[Ex GST],tbl_Finance[Job Number],E25&amp;"",tbl_Finance[Xero Invoice No],"&lt;&gt;"))</f>
        <v/>
      </c>
      <c r="AB25" s="27">
        <f>IF(E25="","",Z25-AA25)</f>
        <v/>
      </c>
      <c r="AC25" s="25">
        <f>IF(E25="","",IFERROR(IF(INDEX(tbl_Onsite[Qwilr Quote],IFERROR(MATCH(E25&amp;"",tbl_Onsite[Job Number],0),MATCH(IFERROR(E25+0,E25),tbl_Onsite[Job Number],0)))="","",INDEX(tbl_Onsite[Qwilr Quote],IFERROR(MATCH(E25&amp;"",tbl_Onsite[Job Number],0),MATCH(IFERROR(E25+0,E25),tbl_Onsite[Job Number],0)))),IFERROR(IF(IF(INDEX(tbl_Production[Current RMS No],IFERROR(MATCH(E25&amp;"",tbl_Production[Job Number],0),MATCH(IFERROR(E25+0,E25),tbl_Production[Job Number],0)))="",INDEX(tbl_Production[Qwilr Quote],IFERROR(MATCH(E25&amp;"",tbl_Production[Job Number],0),MATCH(IFERROR(E25+0,E25),tbl_Production[Job Number],0))),INDEX(tbl_Production[Current RMS No],IFERROR(MATCH(E25&amp;"",tbl_Production[Job Number],0),MATCH(IFERROR(E25+0,E25),tbl_Production[Job Number],0))))="","",IF(INDEX(tbl_Production[Current RMS No],IFERROR(MATCH(E25&amp;"",tbl_Production[Job Number],0),MATCH(IFERROR(E25+0,E25),tbl_Production[Job Number],0)))="",INDEX(tbl_Production[Qwilr Quote],IFERROR(MATCH(E25&amp;"",tbl_Production[Job Number],0),MATCH(IFERROR(E25+0,E25),tbl_Production[Job Number],0))),INDEX(tbl_Production[Current RMS No],IFERROR(MATCH(E25&amp;"",tbl_Production[Job Number],0),MATCH(IFERROR(E25+0,E25),tbl_Production[Job Number],0))))),IFERROR(IF(INDEX(tbl_Consulting[Qwilr Quote],IFERROR(MATCH(E25&amp;"",tbl_Consulting[Job Number],0),MATCH(IFERROR(E25+0,E25),tbl_Consulting[Job Number],0)))="","",INDEX(tbl_Consulting[Qwilr Quote],IFERROR(MATCH(E25&amp;"",tbl_Consulting[Job Number],0),MATCH(IFERROR(E25+0,E25),tbl_Consulting[Job Number],0)))),""))))</f>
        <v/>
      </c>
      <c r="AD25" s="25">
        <f>IF(AC25="","",IF(AND(LEFT(AC25,4)&lt;&gt;"http",IF(H25="Production",set_RMSBase,set_QwilrBase)=""),"",HYPERLINK(IF(LEFT(AC25,4)="http",AC25,IF(H25="Production",set_RMSBase,set_QwilrBase)&amp;AC25),"Open")))</f>
        <v/>
      </c>
      <c r="AE25" s="27">
        <f>IF(E25="","",IFERROR(INDEX(tbl_Production[Total Expense],IFERROR(MATCH(E25&amp;"",tbl_Production[Job Number],0),MATCH(IFERROR(E25+0,E25),tbl_Production[Job Number],0))),IFERROR(INDEX(tbl_Consulting[Total Expense],IFERROR(MATCH(E25&amp;"",tbl_Consulting[Job Number],0),MATCH(IFERROR(E25+0,E25),tbl_Consulting[Job Number],0))),0)))</f>
        <v/>
      </c>
      <c r="AF25" s="27">
        <f>IF(E25="","",Z25-N(AE25))</f>
        <v/>
      </c>
      <c r="AG25" s="29">
        <f>IFERROR(AF25/Z25,"")</f>
        <v/>
      </c>
      <c r="AH25" s="25">
        <f>IF(E25="","",IFERROR(IF(INDEX(tbl_Onsite[Notes],IFERROR(MATCH(E25&amp;"",tbl_Onsite[Job Number],0),MATCH(IFERROR(E25+0,E25),tbl_Onsite[Job Number],0)))="","",INDEX(tbl_Onsite[Notes],IFERROR(MATCH(E25&amp;"",tbl_Onsite[Job Number],0),MATCH(IFERROR(E25+0,E25),tbl_Onsite[Job Number],0)))),IFERROR(IF(INDEX(tbl_Production[Notes],IFERROR(MATCH(E25&amp;"",tbl_Production[Job Number],0),MATCH(IFERROR(E25+0,E25),tbl_Production[Job Number],0)))="","",INDEX(tbl_Production[Notes],IFERROR(MATCH(E25&amp;"",tbl_Production[Job Number],0),MATCH(IFERROR(E25+0,E25),tbl_Production[Job Number],0)))),IFERROR(IF(INDEX(tbl_Consulting[Notes],IFERROR(MATCH(E25&amp;"",tbl_Consulting[Job Number],0),MATCH(IFERROR(E25+0,E25),tbl_Consulting[Job Number],0)))="","",INDEX(tbl_Consulting[Notes],IFERROR(MATCH(E25&amp;"",tbl_Consulting[Job Number],0),MATCH(IFERROR(E25+0,E25),tbl_Consulting[Job Number],0)))),""))))</f>
        <v/>
      </c>
    </row>
    <row r="26" ht="15" customHeight="1">
      <c r="A26" s="22" t="n"/>
      <c r="B26" s="23">
        <f>IF(A26="","",EOMONTH(A26,0))</f>
        <v/>
      </c>
      <c r="C26" s="24" t="n"/>
      <c r="D26" s="24" t="n"/>
      <c r="E26" s="24" t="n"/>
      <c r="F26" s="25">
        <f>IF(E26="","",IF(COUNTIF(lst_Jobs,E26&amp;"")&gt;0,"OK","CHECK"))</f>
        <v/>
      </c>
      <c r="G26" s="24" t="n"/>
      <c r="H26" s="24" t="n"/>
      <c r="I26" s="24" t="n"/>
      <c r="J26" s="24" t="n"/>
      <c r="K26" s="24" t="n"/>
      <c r="L26" s="26" t="n"/>
      <c r="M26" s="27">
        <f>IF(L26="","",IF(K26="GST 10%",ROUND(L26*set_GSTRate,2),0))</f>
        <v/>
      </c>
      <c r="N26" s="27">
        <f>IF(L26="","",L26+M26)</f>
        <v/>
      </c>
      <c r="O26" s="24" t="n"/>
      <c r="P26" s="24" t="n"/>
      <c r="Q26" s="24" t="n"/>
      <c r="R26" s="22" t="n"/>
      <c r="S26" s="22" t="n"/>
      <c r="T26" s="24" t="n"/>
      <c r="U26" s="24" t="n"/>
      <c r="V26" s="25">
        <f>IF(COUNTA(A26,D26,C26,L26)=0,"",IF(A26="","No date - sits outside every month",IF(E26="","No job number",IF(F26="CHECK","Job number is not in the Xero job list",IF(I26="","No cost centre",IF(AND(P26="Y",C26=""),"Marked posted to Xero but has no invoice number",IF(AND(L26&lt;&gt;"",K26=""),"No tax code",IF(AND(L26&lt;&gt;"",O26=""),"No revenue GL code",""))))))))</f>
        <v/>
      </c>
      <c r="W26" s="25">
        <f>IF(E26="","",IF(COUNTIF(tbl_Onsite[Job Number],E26&amp;"")&gt;0,"Onsite",IF(COUNTIF(tbl_Production[Job Number],E26&amp;"")&gt;0,"Production",IF(COUNTIF(tbl_Consulting[Job Number],E26&amp;"")&gt;0,"Consulting","not set up yet"))))</f>
        <v/>
      </c>
      <c r="X26" s="25">
        <f>IF(E26="","",IFERROR(INDEX(lst_JobName,MATCH(E26&amp;"",lst_Jobs,0)),""))</f>
        <v/>
      </c>
      <c r="Y26" s="28">
        <f>IF(E26="","",COUNTIFS(tbl_Finance[Job Number],E26&amp;"",tbl_Finance[Ex GST],"&lt;&gt;"))</f>
        <v/>
      </c>
      <c r="Z26" s="27">
        <f>IF(E26="","",SUMIFS(tbl_Finance[Ex GST],tbl_Finance[Job Number],E26&amp;""))</f>
        <v/>
      </c>
      <c r="AA26" s="27">
        <f>IF(E26="","",SUMIFS(tbl_Finance[Ex GST],tbl_Finance[Job Number],E26&amp;"",tbl_Finance[Xero Invoice No],"&lt;&gt;"))</f>
        <v/>
      </c>
      <c r="AB26" s="27">
        <f>IF(E26="","",Z26-AA26)</f>
        <v/>
      </c>
      <c r="AC26" s="25">
        <f>IF(E26="","",IFERROR(IF(INDEX(tbl_Onsite[Qwilr Quote],IFERROR(MATCH(E26&amp;"",tbl_Onsite[Job Number],0),MATCH(IFERROR(E26+0,E26),tbl_Onsite[Job Number],0)))="","",INDEX(tbl_Onsite[Qwilr Quote],IFERROR(MATCH(E26&amp;"",tbl_Onsite[Job Number],0),MATCH(IFERROR(E26+0,E26),tbl_Onsite[Job Number],0)))),IFERROR(IF(IF(INDEX(tbl_Production[Current RMS No],IFERROR(MATCH(E26&amp;"",tbl_Production[Job Number],0),MATCH(IFERROR(E26+0,E26),tbl_Production[Job Number],0)))="",INDEX(tbl_Production[Qwilr Quote],IFERROR(MATCH(E26&amp;"",tbl_Production[Job Number],0),MATCH(IFERROR(E26+0,E26),tbl_Production[Job Number],0))),INDEX(tbl_Production[Current RMS No],IFERROR(MATCH(E26&amp;"",tbl_Production[Job Number],0),MATCH(IFERROR(E26+0,E26),tbl_Production[Job Number],0))))="","",IF(INDEX(tbl_Production[Current RMS No],IFERROR(MATCH(E26&amp;"",tbl_Production[Job Number],0),MATCH(IFERROR(E26+0,E26),tbl_Production[Job Number],0)))="",INDEX(tbl_Production[Qwilr Quote],IFERROR(MATCH(E26&amp;"",tbl_Production[Job Number],0),MATCH(IFERROR(E26+0,E26),tbl_Production[Job Number],0))),INDEX(tbl_Production[Current RMS No],IFERROR(MATCH(E26&amp;"",tbl_Production[Job Number],0),MATCH(IFERROR(E26+0,E26),tbl_Production[Job Number],0))))),IFERROR(IF(INDEX(tbl_Consulting[Qwilr Quote],IFERROR(MATCH(E26&amp;"",tbl_Consulting[Job Number],0),MATCH(IFERROR(E26+0,E26),tbl_Consulting[Job Number],0)))="","",INDEX(tbl_Consulting[Qwilr Quote],IFERROR(MATCH(E26&amp;"",tbl_Consulting[Job Number],0),MATCH(IFERROR(E26+0,E26),tbl_Consulting[Job Number],0)))),""))))</f>
        <v/>
      </c>
      <c r="AD26" s="25">
        <f>IF(AC26="","",IF(AND(LEFT(AC26,4)&lt;&gt;"http",IF(H26="Production",set_RMSBase,set_QwilrBase)=""),"",HYPERLINK(IF(LEFT(AC26,4)="http",AC26,IF(H26="Production",set_RMSBase,set_QwilrBase)&amp;AC26),"Open")))</f>
        <v/>
      </c>
      <c r="AE26" s="27">
        <f>IF(E26="","",IFERROR(INDEX(tbl_Production[Total Expense],IFERROR(MATCH(E26&amp;"",tbl_Production[Job Number],0),MATCH(IFERROR(E26+0,E26),tbl_Production[Job Number],0))),IFERROR(INDEX(tbl_Consulting[Total Expense],IFERROR(MATCH(E26&amp;"",tbl_Consulting[Job Number],0),MATCH(IFERROR(E26+0,E26),tbl_Consulting[Job Number],0))),0)))</f>
        <v/>
      </c>
      <c r="AF26" s="27">
        <f>IF(E26="","",Z26-N(AE26))</f>
        <v/>
      </c>
      <c r="AG26" s="29">
        <f>IFERROR(AF26/Z26,"")</f>
        <v/>
      </c>
      <c r="AH26" s="25">
        <f>IF(E26="","",IFERROR(IF(INDEX(tbl_Onsite[Notes],IFERROR(MATCH(E26&amp;"",tbl_Onsite[Job Number],0),MATCH(IFERROR(E26+0,E26),tbl_Onsite[Job Number],0)))="","",INDEX(tbl_Onsite[Notes],IFERROR(MATCH(E26&amp;"",tbl_Onsite[Job Number],0),MATCH(IFERROR(E26+0,E26),tbl_Onsite[Job Number],0)))),IFERROR(IF(INDEX(tbl_Production[Notes],IFERROR(MATCH(E26&amp;"",tbl_Production[Job Number],0),MATCH(IFERROR(E26+0,E26),tbl_Production[Job Number],0)))="","",INDEX(tbl_Production[Notes],IFERROR(MATCH(E26&amp;"",tbl_Production[Job Number],0),MATCH(IFERROR(E26+0,E26),tbl_Production[Job Number],0)))),IFERROR(IF(INDEX(tbl_Consulting[Notes],IFERROR(MATCH(E26&amp;"",tbl_Consulting[Job Number],0),MATCH(IFERROR(E26+0,E26),tbl_Consulting[Job Number],0)))="","",INDEX(tbl_Consulting[Notes],IFERROR(MATCH(E26&amp;"",tbl_Consulting[Job Number],0),MATCH(IFERROR(E26+0,E26),tbl_Consulting[Job Number],0)))),""))))</f>
        <v/>
      </c>
    </row>
    <row r="27" ht="15" customHeight="1">
      <c r="A27" s="22" t="n"/>
      <c r="B27" s="23">
        <f>IF(A27="","",EOMONTH(A27,0))</f>
        <v/>
      </c>
      <c r="C27" s="24" t="n"/>
      <c r="D27" s="24" t="n"/>
      <c r="E27" s="24" t="n"/>
      <c r="F27" s="25">
        <f>IF(E27="","",IF(COUNTIF(lst_Jobs,E27&amp;"")&gt;0,"OK","CHECK"))</f>
        <v/>
      </c>
      <c r="G27" s="24" t="n"/>
      <c r="H27" s="24" t="n"/>
      <c r="I27" s="24" t="n"/>
      <c r="J27" s="24" t="n"/>
      <c r="K27" s="24" t="n"/>
      <c r="L27" s="26" t="n"/>
      <c r="M27" s="27">
        <f>IF(L27="","",IF(K27="GST 10%",ROUND(L27*set_GSTRate,2),0))</f>
        <v/>
      </c>
      <c r="N27" s="27">
        <f>IF(L27="","",L27+M27)</f>
        <v/>
      </c>
      <c r="O27" s="24" t="n"/>
      <c r="P27" s="24" t="n"/>
      <c r="Q27" s="24" t="n"/>
      <c r="R27" s="22" t="n"/>
      <c r="S27" s="22" t="n"/>
      <c r="T27" s="24" t="n"/>
      <c r="U27" s="24" t="n"/>
      <c r="V27" s="25">
        <f>IF(COUNTA(A27,D27,C27,L27)=0,"",IF(A27="","No date - sits outside every month",IF(E27="","No job number",IF(F27="CHECK","Job number is not in the Xero job list",IF(I27="","No cost centre",IF(AND(P27="Y",C27=""),"Marked posted to Xero but has no invoice number",IF(AND(L27&lt;&gt;"",K27=""),"No tax code",IF(AND(L27&lt;&gt;"",O27=""),"No revenue GL code",""))))))))</f>
        <v/>
      </c>
      <c r="W27" s="25">
        <f>IF(E27="","",IF(COUNTIF(tbl_Onsite[Job Number],E27&amp;"")&gt;0,"Onsite",IF(COUNTIF(tbl_Production[Job Number],E27&amp;"")&gt;0,"Production",IF(COUNTIF(tbl_Consulting[Job Number],E27&amp;"")&gt;0,"Consulting","not set up yet"))))</f>
        <v/>
      </c>
      <c r="X27" s="25">
        <f>IF(E27="","",IFERROR(INDEX(lst_JobName,MATCH(E27&amp;"",lst_Jobs,0)),""))</f>
        <v/>
      </c>
      <c r="Y27" s="28">
        <f>IF(E27="","",COUNTIFS(tbl_Finance[Job Number],E27&amp;"",tbl_Finance[Ex GST],"&lt;&gt;"))</f>
        <v/>
      </c>
      <c r="Z27" s="27">
        <f>IF(E27="","",SUMIFS(tbl_Finance[Ex GST],tbl_Finance[Job Number],E27&amp;""))</f>
        <v/>
      </c>
      <c r="AA27" s="27">
        <f>IF(E27="","",SUMIFS(tbl_Finance[Ex GST],tbl_Finance[Job Number],E27&amp;"",tbl_Finance[Xero Invoice No],"&lt;&gt;"))</f>
        <v/>
      </c>
      <c r="AB27" s="27">
        <f>IF(E27="","",Z27-AA27)</f>
        <v/>
      </c>
      <c r="AC27" s="25">
        <f>IF(E27="","",IFERROR(IF(INDEX(tbl_Onsite[Qwilr Quote],IFERROR(MATCH(E27&amp;"",tbl_Onsite[Job Number],0),MATCH(IFERROR(E27+0,E27),tbl_Onsite[Job Number],0)))="","",INDEX(tbl_Onsite[Qwilr Quote],IFERROR(MATCH(E27&amp;"",tbl_Onsite[Job Number],0),MATCH(IFERROR(E27+0,E27),tbl_Onsite[Job Number],0)))),IFERROR(IF(IF(INDEX(tbl_Production[Current RMS No],IFERROR(MATCH(E27&amp;"",tbl_Production[Job Number],0),MATCH(IFERROR(E27+0,E27),tbl_Production[Job Number],0)))="",INDEX(tbl_Production[Qwilr Quote],IFERROR(MATCH(E27&amp;"",tbl_Production[Job Number],0),MATCH(IFERROR(E27+0,E27),tbl_Production[Job Number],0))),INDEX(tbl_Production[Current RMS No],IFERROR(MATCH(E27&amp;"",tbl_Production[Job Number],0),MATCH(IFERROR(E27+0,E27),tbl_Production[Job Number],0))))="","",IF(INDEX(tbl_Production[Current RMS No],IFERROR(MATCH(E27&amp;"",tbl_Production[Job Number],0),MATCH(IFERROR(E27+0,E27),tbl_Production[Job Number],0)))="",INDEX(tbl_Production[Qwilr Quote],IFERROR(MATCH(E27&amp;"",tbl_Production[Job Number],0),MATCH(IFERROR(E27+0,E27),tbl_Production[Job Number],0))),INDEX(tbl_Production[Current RMS No],IFERROR(MATCH(E27&amp;"",tbl_Production[Job Number],0),MATCH(IFERROR(E27+0,E27),tbl_Production[Job Number],0))))),IFERROR(IF(INDEX(tbl_Consulting[Qwilr Quote],IFERROR(MATCH(E27&amp;"",tbl_Consulting[Job Number],0),MATCH(IFERROR(E27+0,E27),tbl_Consulting[Job Number],0)))="","",INDEX(tbl_Consulting[Qwilr Quote],IFERROR(MATCH(E27&amp;"",tbl_Consulting[Job Number],0),MATCH(IFERROR(E27+0,E27),tbl_Consulting[Job Number],0)))),""))))</f>
        <v/>
      </c>
      <c r="AD27" s="25">
        <f>IF(AC27="","",IF(AND(LEFT(AC27,4)&lt;&gt;"http",IF(H27="Production",set_RMSBase,set_QwilrBase)=""),"",HYPERLINK(IF(LEFT(AC27,4)="http",AC27,IF(H27="Production",set_RMSBase,set_QwilrBase)&amp;AC27),"Open")))</f>
        <v/>
      </c>
      <c r="AE27" s="27">
        <f>IF(E27="","",IFERROR(INDEX(tbl_Production[Total Expense],IFERROR(MATCH(E27&amp;"",tbl_Production[Job Number],0),MATCH(IFERROR(E27+0,E27),tbl_Production[Job Number],0))),IFERROR(INDEX(tbl_Consulting[Total Expense],IFERROR(MATCH(E27&amp;"",tbl_Consulting[Job Number],0),MATCH(IFERROR(E27+0,E27),tbl_Consulting[Job Number],0))),0)))</f>
        <v/>
      </c>
      <c r="AF27" s="27">
        <f>IF(E27="","",Z27-N(AE27))</f>
        <v/>
      </c>
      <c r="AG27" s="29">
        <f>IFERROR(AF27/Z27,"")</f>
        <v/>
      </c>
      <c r="AH27" s="25">
        <f>IF(E27="","",IFERROR(IF(INDEX(tbl_Onsite[Notes],IFERROR(MATCH(E27&amp;"",tbl_Onsite[Job Number],0),MATCH(IFERROR(E27+0,E27),tbl_Onsite[Job Number],0)))="","",INDEX(tbl_Onsite[Notes],IFERROR(MATCH(E27&amp;"",tbl_Onsite[Job Number],0),MATCH(IFERROR(E27+0,E27),tbl_Onsite[Job Number],0)))),IFERROR(IF(INDEX(tbl_Production[Notes],IFERROR(MATCH(E27&amp;"",tbl_Production[Job Number],0),MATCH(IFERROR(E27+0,E27),tbl_Production[Job Number],0)))="","",INDEX(tbl_Production[Notes],IFERROR(MATCH(E27&amp;"",tbl_Production[Job Number],0),MATCH(IFERROR(E27+0,E27),tbl_Production[Job Number],0)))),IFERROR(IF(INDEX(tbl_Consulting[Notes],IFERROR(MATCH(E27&amp;"",tbl_Consulting[Job Number],0),MATCH(IFERROR(E27+0,E27),tbl_Consulting[Job Number],0)))="","",INDEX(tbl_Consulting[Notes],IFERROR(MATCH(E27&amp;"",tbl_Consulting[Job Number],0),MATCH(IFERROR(E27+0,E27),tbl_Consulting[Job Number],0)))),""))))</f>
        <v/>
      </c>
    </row>
    <row r="28" ht="15" customHeight="1">
      <c r="A28" s="22" t="n"/>
      <c r="B28" s="23">
        <f>IF(A28="","",EOMONTH(A28,0))</f>
        <v/>
      </c>
      <c r="C28" s="24" t="n"/>
      <c r="D28" s="24" t="n"/>
      <c r="E28" s="24" t="n"/>
      <c r="F28" s="25">
        <f>IF(E28="","",IF(COUNTIF(lst_Jobs,E28&amp;"")&gt;0,"OK","CHECK"))</f>
        <v/>
      </c>
      <c r="G28" s="24" t="n"/>
      <c r="H28" s="24" t="n"/>
      <c r="I28" s="24" t="n"/>
      <c r="J28" s="24" t="n"/>
      <c r="K28" s="24" t="n"/>
      <c r="L28" s="26" t="n"/>
      <c r="M28" s="27">
        <f>IF(L28="","",IF(K28="GST 10%",ROUND(L28*set_GSTRate,2),0))</f>
        <v/>
      </c>
      <c r="N28" s="27">
        <f>IF(L28="","",L28+M28)</f>
        <v/>
      </c>
      <c r="O28" s="24" t="n"/>
      <c r="P28" s="24" t="n"/>
      <c r="Q28" s="24" t="n"/>
      <c r="R28" s="22" t="n"/>
      <c r="S28" s="22" t="n"/>
      <c r="T28" s="24" t="n"/>
      <c r="U28" s="24" t="n"/>
      <c r="V28" s="25">
        <f>IF(COUNTA(A28,D28,C28,L28)=0,"",IF(A28="","No date - sits outside every month",IF(E28="","No job number",IF(F28="CHECK","Job number is not in the Xero job list",IF(I28="","No cost centre",IF(AND(P28="Y",C28=""),"Marked posted to Xero but has no invoice number",IF(AND(L28&lt;&gt;"",K28=""),"No tax code",IF(AND(L28&lt;&gt;"",O28=""),"No revenue GL code",""))))))))</f>
        <v/>
      </c>
      <c r="W28" s="25">
        <f>IF(E28="","",IF(COUNTIF(tbl_Onsite[Job Number],E28&amp;"")&gt;0,"Onsite",IF(COUNTIF(tbl_Production[Job Number],E28&amp;"")&gt;0,"Production",IF(COUNTIF(tbl_Consulting[Job Number],E28&amp;"")&gt;0,"Consulting","not set up yet"))))</f>
        <v/>
      </c>
      <c r="X28" s="25">
        <f>IF(E28="","",IFERROR(INDEX(lst_JobName,MATCH(E28&amp;"",lst_Jobs,0)),""))</f>
        <v/>
      </c>
      <c r="Y28" s="28">
        <f>IF(E28="","",COUNTIFS(tbl_Finance[Job Number],E28&amp;"",tbl_Finance[Ex GST],"&lt;&gt;"))</f>
        <v/>
      </c>
      <c r="Z28" s="27">
        <f>IF(E28="","",SUMIFS(tbl_Finance[Ex GST],tbl_Finance[Job Number],E28&amp;""))</f>
        <v/>
      </c>
      <c r="AA28" s="27">
        <f>IF(E28="","",SUMIFS(tbl_Finance[Ex GST],tbl_Finance[Job Number],E28&amp;"",tbl_Finance[Xero Invoice No],"&lt;&gt;"))</f>
        <v/>
      </c>
      <c r="AB28" s="27">
        <f>IF(E28="","",Z28-AA28)</f>
        <v/>
      </c>
      <c r="AC28" s="25">
        <f>IF(E28="","",IFERROR(IF(INDEX(tbl_Onsite[Qwilr Quote],IFERROR(MATCH(E28&amp;"",tbl_Onsite[Job Number],0),MATCH(IFERROR(E28+0,E28),tbl_Onsite[Job Number],0)))="","",INDEX(tbl_Onsite[Qwilr Quote],IFERROR(MATCH(E28&amp;"",tbl_Onsite[Job Number],0),MATCH(IFERROR(E28+0,E28),tbl_Onsite[Job Number],0)))),IFERROR(IF(IF(INDEX(tbl_Production[Current RMS No],IFERROR(MATCH(E28&amp;"",tbl_Production[Job Number],0),MATCH(IFERROR(E28+0,E28),tbl_Production[Job Number],0)))="",INDEX(tbl_Production[Qwilr Quote],IFERROR(MATCH(E28&amp;"",tbl_Production[Job Number],0),MATCH(IFERROR(E28+0,E28),tbl_Production[Job Number],0))),INDEX(tbl_Production[Current RMS No],IFERROR(MATCH(E28&amp;"",tbl_Production[Job Number],0),MATCH(IFERROR(E28+0,E28),tbl_Production[Job Number],0))))="","",IF(INDEX(tbl_Production[Current RMS No],IFERROR(MATCH(E28&amp;"",tbl_Production[Job Number],0),MATCH(IFERROR(E28+0,E28),tbl_Production[Job Number],0)))="",INDEX(tbl_Production[Qwilr Quote],IFERROR(MATCH(E28&amp;"",tbl_Production[Job Number],0),MATCH(IFERROR(E28+0,E28),tbl_Production[Job Number],0))),INDEX(tbl_Production[Current RMS No],IFERROR(MATCH(E28&amp;"",tbl_Production[Job Number],0),MATCH(IFERROR(E28+0,E28),tbl_Production[Job Number],0))))),IFERROR(IF(INDEX(tbl_Consulting[Qwilr Quote],IFERROR(MATCH(E28&amp;"",tbl_Consulting[Job Number],0),MATCH(IFERROR(E28+0,E28),tbl_Consulting[Job Number],0)))="","",INDEX(tbl_Consulting[Qwilr Quote],IFERROR(MATCH(E28&amp;"",tbl_Consulting[Job Number],0),MATCH(IFERROR(E28+0,E28),tbl_Consulting[Job Number],0)))),""))))</f>
        <v/>
      </c>
      <c r="AD28" s="25">
        <f>IF(AC28="","",IF(AND(LEFT(AC28,4)&lt;&gt;"http",IF(H28="Production",set_RMSBase,set_QwilrBase)=""),"",HYPERLINK(IF(LEFT(AC28,4)="http",AC28,IF(H28="Production",set_RMSBase,set_QwilrBase)&amp;AC28),"Open")))</f>
        <v/>
      </c>
      <c r="AE28" s="27">
        <f>IF(E28="","",IFERROR(INDEX(tbl_Production[Total Expense],IFERROR(MATCH(E28&amp;"",tbl_Production[Job Number],0),MATCH(IFERROR(E28+0,E28),tbl_Production[Job Number],0))),IFERROR(INDEX(tbl_Consulting[Total Expense],IFERROR(MATCH(E28&amp;"",tbl_Consulting[Job Number],0),MATCH(IFERROR(E28+0,E28),tbl_Consulting[Job Number],0))),0)))</f>
        <v/>
      </c>
      <c r="AF28" s="27">
        <f>IF(E28="","",Z28-N(AE28))</f>
        <v/>
      </c>
      <c r="AG28" s="29">
        <f>IFERROR(AF28/Z28,"")</f>
        <v/>
      </c>
      <c r="AH28" s="25">
        <f>IF(E28="","",IFERROR(IF(INDEX(tbl_Onsite[Notes],IFERROR(MATCH(E28&amp;"",tbl_Onsite[Job Number],0),MATCH(IFERROR(E28+0,E28),tbl_Onsite[Job Number],0)))="","",INDEX(tbl_Onsite[Notes],IFERROR(MATCH(E28&amp;"",tbl_Onsite[Job Number],0),MATCH(IFERROR(E28+0,E28),tbl_Onsite[Job Number],0)))),IFERROR(IF(INDEX(tbl_Production[Notes],IFERROR(MATCH(E28&amp;"",tbl_Production[Job Number],0),MATCH(IFERROR(E28+0,E28),tbl_Production[Job Number],0)))="","",INDEX(tbl_Production[Notes],IFERROR(MATCH(E28&amp;"",tbl_Production[Job Number],0),MATCH(IFERROR(E28+0,E28),tbl_Production[Job Number],0)))),IFERROR(IF(INDEX(tbl_Consulting[Notes],IFERROR(MATCH(E28&amp;"",tbl_Consulting[Job Number],0),MATCH(IFERROR(E28+0,E28),tbl_Consulting[Job Number],0)))="","",INDEX(tbl_Consulting[Notes],IFERROR(MATCH(E28&amp;"",tbl_Consulting[Job Number],0),MATCH(IFERROR(E28+0,E28),tbl_Consulting[Job Number],0)))),""))))</f>
        <v/>
      </c>
    </row>
    <row r="29" ht="15" customHeight="1">
      <c r="A29" s="22" t="n"/>
      <c r="B29" s="23">
        <f>IF(A29="","",EOMONTH(A29,0))</f>
        <v/>
      </c>
      <c r="C29" s="24" t="n"/>
      <c r="D29" s="24" t="n"/>
      <c r="E29" s="24" t="n"/>
      <c r="F29" s="25">
        <f>IF(E29="","",IF(COUNTIF(lst_Jobs,E29&amp;"")&gt;0,"OK","CHECK"))</f>
        <v/>
      </c>
      <c r="G29" s="24" t="n"/>
      <c r="H29" s="24" t="n"/>
      <c r="I29" s="24" t="n"/>
      <c r="J29" s="24" t="n"/>
      <c r="K29" s="24" t="n"/>
      <c r="L29" s="26" t="n"/>
      <c r="M29" s="27">
        <f>IF(L29="","",IF(K29="GST 10%",ROUND(L29*set_GSTRate,2),0))</f>
        <v/>
      </c>
      <c r="N29" s="27">
        <f>IF(L29="","",L29+M29)</f>
        <v/>
      </c>
      <c r="O29" s="24" t="n"/>
      <c r="P29" s="24" t="n"/>
      <c r="Q29" s="24" t="n"/>
      <c r="R29" s="22" t="n"/>
      <c r="S29" s="22" t="n"/>
      <c r="T29" s="24" t="n"/>
      <c r="U29" s="24" t="n"/>
      <c r="V29" s="25">
        <f>IF(COUNTA(A29,D29,C29,L29)=0,"",IF(A29="","No date - sits outside every month",IF(E29="","No job number",IF(F29="CHECK","Job number is not in the Xero job list",IF(I29="","No cost centre",IF(AND(P29="Y",C29=""),"Marked posted to Xero but has no invoice number",IF(AND(L29&lt;&gt;"",K29=""),"No tax code",IF(AND(L29&lt;&gt;"",O29=""),"No revenue GL code",""))))))))</f>
        <v/>
      </c>
      <c r="W29" s="25">
        <f>IF(E29="","",IF(COUNTIF(tbl_Onsite[Job Number],E29&amp;"")&gt;0,"Onsite",IF(COUNTIF(tbl_Production[Job Number],E29&amp;"")&gt;0,"Production",IF(COUNTIF(tbl_Consulting[Job Number],E29&amp;"")&gt;0,"Consulting","not set up yet"))))</f>
        <v/>
      </c>
      <c r="X29" s="25">
        <f>IF(E29="","",IFERROR(INDEX(lst_JobName,MATCH(E29&amp;"",lst_Jobs,0)),""))</f>
        <v/>
      </c>
      <c r="Y29" s="28">
        <f>IF(E29="","",COUNTIFS(tbl_Finance[Job Number],E29&amp;"",tbl_Finance[Ex GST],"&lt;&gt;"))</f>
        <v/>
      </c>
      <c r="Z29" s="27">
        <f>IF(E29="","",SUMIFS(tbl_Finance[Ex GST],tbl_Finance[Job Number],E29&amp;""))</f>
        <v/>
      </c>
      <c r="AA29" s="27">
        <f>IF(E29="","",SUMIFS(tbl_Finance[Ex GST],tbl_Finance[Job Number],E29&amp;"",tbl_Finance[Xero Invoice No],"&lt;&gt;"))</f>
        <v/>
      </c>
      <c r="AB29" s="27">
        <f>IF(E29="","",Z29-AA29)</f>
        <v/>
      </c>
      <c r="AC29" s="25">
        <f>IF(E29="","",IFERROR(IF(INDEX(tbl_Onsite[Qwilr Quote],IFERROR(MATCH(E29&amp;"",tbl_Onsite[Job Number],0),MATCH(IFERROR(E29+0,E29),tbl_Onsite[Job Number],0)))="","",INDEX(tbl_Onsite[Qwilr Quote],IFERROR(MATCH(E29&amp;"",tbl_Onsite[Job Number],0),MATCH(IFERROR(E29+0,E29),tbl_Onsite[Job Number],0)))),IFERROR(IF(IF(INDEX(tbl_Production[Current RMS No],IFERROR(MATCH(E29&amp;"",tbl_Production[Job Number],0),MATCH(IFERROR(E29+0,E29),tbl_Production[Job Number],0)))="",INDEX(tbl_Production[Qwilr Quote],IFERROR(MATCH(E29&amp;"",tbl_Production[Job Number],0),MATCH(IFERROR(E29+0,E29),tbl_Production[Job Number],0))),INDEX(tbl_Production[Current RMS No],IFERROR(MATCH(E29&amp;"",tbl_Production[Job Number],0),MATCH(IFERROR(E29+0,E29),tbl_Production[Job Number],0))))="","",IF(INDEX(tbl_Production[Current RMS No],IFERROR(MATCH(E29&amp;"",tbl_Production[Job Number],0),MATCH(IFERROR(E29+0,E29),tbl_Production[Job Number],0)))="",INDEX(tbl_Production[Qwilr Quote],IFERROR(MATCH(E29&amp;"",tbl_Production[Job Number],0),MATCH(IFERROR(E29+0,E29),tbl_Production[Job Number],0))),INDEX(tbl_Production[Current RMS No],IFERROR(MATCH(E29&amp;"",tbl_Production[Job Number],0),MATCH(IFERROR(E29+0,E29),tbl_Production[Job Number],0))))),IFERROR(IF(INDEX(tbl_Consulting[Qwilr Quote],IFERROR(MATCH(E29&amp;"",tbl_Consulting[Job Number],0),MATCH(IFERROR(E29+0,E29),tbl_Consulting[Job Number],0)))="","",INDEX(tbl_Consulting[Qwilr Quote],IFERROR(MATCH(E29&amp;"",tbl_Consulting[Job Number],0),MATCH(IFERROR(E29+0,E29),tbl_Consulting[Job Number],0)))),""))))</f>
        <v/>
      </c>
      <c r="AD29" s="25">
        <f>IF(AC29="","",IF(AND(LEFT(AC29,4)&lt;&gt;"http",IF(H29="Production",set_RMSBase,set_QwilrBase)=""),"",HYPERLINK(IF(LEFT(AC29,4)="http",AC29,IF(H29="Production",set_RMSBase,set_QwilrBase)&amp;AC29),"Open")))</f>
        <v/>
      </c>
      <c r="AE29" s="27">
        <f>IF(E29="","",IFERROR(INDEX(tbl_Production[Total Expense],IFERROR(MATCH(E29&amp;"",tbl_Production[Job Number],0),MATCH(IFERROR(E29+0,E29),tbl_Production[Job Number],0))),IFERROR(INDEX(tbl_Consulting[Total Expense],IFERROR(MATCH(E29&amp;"",tbl_Consulting[Job Number],0),MATCH(IFERROR(E29+0,E29),tbl_Consulting[Job Number],0))),0)))</f>
        <v/>
      </c>
      <c r="AF29" s="27">
        <f>IF(E29="","",Z29-N(AE29))</f>
        <v/>
      </c>
      <c r="AG29" s="29">
        <f>IFERROR(AF29/Z29,"")</f>
        <v/>
      </c>
      <c r="AH29" s="25">
        <f>IF(E29="","",IFERROR(IF(INDEX(tbl_Onsite[Notes],IFERROR(MATCH(E29&amp;"",tbl_Onsite[Job Number],0),MATCH(IFERROR(E29+0,E29),tbl_Onsite[Job Number],0)))="","",INDEX(tbl_Onsite[Notes],IFERROR(MATCH(E29&amp;"",tbl_Onsite[Job Number],0),MATCH(IFERROR(E29+0,E29),tbl_Onsite[Job Number],0)))),IFERROR(IF(INDEX(tbl_Production[Notes],IFERROR(MATCH(E29&amp;"",tbl_Production[Job Number],0),MATCH(IFERROR(E29+0,E29),tbl_Production[Job Number],0)))="","",INDEX(tbl_Production[Notes],IFERROR(MATCH(E29&amp;"",tbl_Production[Job Number],0),MATCH(IFERROR(E29+0,E29),tbl_Production[Job Number],0)))),IFERROR(IF(INDEX(tbl_Consulting[Notes],IFERROR(MATCH(E29&amp;"",tbl_Consulting[Job Number],0),MATCH(IFERROR(E29+0,E29),tbl_Consulting[Job Number],0)))="","",INDEX(tbl_Consulting[Notes],IFERROR(MATCH(E29&amp;"",tbl_Consulting[Job Number],0),MATCH(IFERROR(E29+0,E29),tbl_Consulting[Job Number],0)))),""))))</f>
        <v/>
      </c>
    </row>
    <row r="30" ht="15" customHeight="1">
      <c r="A30" s="22" t="n"/>
      <c r="B30" s="23">
        <f>IF(A30="","",EOMONTH(A30,0))</f>
        <v/>
      </c>
      <c r="C30" s="24" t="n"/>
      <c r="D30" s="24" t="n"/>
      <c r="E30" s="24" t="n"/>
      <c r="F30" s="25">
        <f>IF(E30="","",IF(COUNTIF(lst_Jobs,E30&amp;"")&gt;0,"OK","CHECK"))</f>
        <v/>
      </c>
      <c r="G30" s="24" t="n"/>
      <c r="H30" s="24" t="n"/>
      <c r="I30" s="24" t="n"/>
      <c r="J30" s="24" t="n"/>
      <c r="K30" s="24" t="n"/>
      <c r="L30" s="26" t="n"/>
      <c r="M30" s="27">
        <f>IF(L30="","",IF(K30="GST 10%",ROUND(L30*set_GSTRate,2),0))</f>
        <v/>
      </c>
      <c r="N30" s="27">
        <f>IF(L30="","",L30+M30)</f>
        <v/>
      </c>
      <c r="O30" s="24" t="n"/>
      <c r="P30" s="24" t="n"/>
      <c r="Q30" s="24" t="n"/>
      <c r="R30" s="22" t="n"/>
      <c r="S30" s="22" t="n"/>
      <c r="T30" s="24" t="n"/>
      <c r="U30" s="24" t="n"/>
      <c r="V30" s="25">
        <f>IF(COUNTA(A30,D30,C30,L30)=0,"",IF(A30="","No date - sits outside every month",IF(E30="","No job number",IF(F30="CHECK","Job number is not in the Xero job list",IF(I30="","No cost centre",IF(AND(P30="Y",C30=""),"Marked posted to Xero but has no invoice number",IF(AND(L30&lt;&gt;"",K30=""),"No tax code",IF(AND(L30&lt;&gt;"",O30=""),"No revenue GL code",""))))))))</f>
        <v/>
      </c>
      <c r="W30" s="25">
        <f>IF(E30="","",IF(COUNTIF(tbl_Onsite[Job Number],E30&amp;"")&gt;0,"Onsite",IF(COUNTIF(tbl_Production[Job Number],E30&amp;"")&gt;0,"Production",IF(COUNTIF(tbl_Consulting[Job Number],E30&amp;"")&gt;0,"Consulting","not set up yet"))))</f>
        <v/>
      </c>
      <c r="X30" s="25">
        <f>IF(E30="","",IFERROR(INDEX(lst_JobName,MATCH(E30&amp;"",lst_Jobs,0)),""))</f>
        <v/>
      </c>
      <c r="Y30" s="28">
        <f>IF(E30="","",COUNTIFS(tbl_Finance[Job Number],E30&amp;"",tbl_Finance[Ex GST],"&lt;&gt;"))</f>
        <v/>
      </c>
      <c r="Z30" s="27">
        <f>IF(E30="","",SUMIFS(tbl_Finance[Ex GST],tbl_Finance[Job Number],E30&amp;""))</f>
        <v/>
      </c>
      <c r="AA30" s="27">
        <f>IF(E30="","",SUMIFS(tbl_Finance[Ex GST],tbl_Finance[Job Number],E30&amp;"",tbl_Finance[Xero Invoice No],"&lt;&gt;"))</f>
        <v/>
      </c>
      <c r="AB30" s="27">
        <f>IF(E30="","",Z30-AA30)</f>
        <v/>
      </c>
      <c r="AC30" s="25">
        <f>IF(E30="","",IFERROR(IF(INDEX(tbl_Onsite[Qwilr Quote],IFERROR(MATCH(E30&amp;"",tbl_Onsite[Job Number],0),MATCH(IFERROR(E30+0,E30),tbl_Onsite[Job Number],0)))="","",INDEX(tbl_Onsite[Qwilr Quote],IFERROR(MATCH(E30&amp;"",tbl_Onsite[Job Number],0),MATCH(IFERROR(E30+0,E30),tbl_Onsite[Job Number],0)))),IFERROR(IF(IF(INDEX(tbl_Production[Current RMS No],IFERROR(MATCH(E30&amp;"",tbl_Production[Job Number],0),MATCH(IFERROR(E30+0,E30),tbl_Production[Job Number],0)))="",INDEX(tbl_Production[Qwilr Quote],IFERROR(MATCH(E30&amp;"",tbl_Production[Job Number],0),MATCH(IFERROR(E30+0,E30),tbl_Production[Job Number],0))),INDEX(tbl_Production[Current RMS No],IFERROR(MATCH(E30&amp;"",tbl_Production[Job Number],0),MATCH(IFERROR(E30+0,E30),tbl_Production[Job Number],0))))="","",IF(INDEX(tbl_Production[Current RMS No],IFERROR(MATCH(E30&amp;"",tbl_Production[Job Number],0),MATCH(IFERROR(E30+0,E30),tbl_Production[Job Number],0)))="",INDEX(tbl_Production[Qwilr Quote],IFERROR(MATCH(E30&amp;"",tbl_Production[Job Number],0),MATCH(IFERROR(E30+0,E30),tbl_Production[Job Number],0))),INDEX(tbl_Production[Current RMS No],IFERROR(MATCH(E30&amp;"",tbl_Production[Job Number],0),MATCH(IFERROR(E30+0,E30),tbl_Production[Job Number],0))))),IFERROR(IF(INDEX(tbl_Consulting[Qwilr Quote],IFERROR(MATCH(E30&amp;"",tbl_Consulting[Job Number],0),MATCH(IFERROR(E30+0,E30),tbl_Consulting[Job Number],0)))="","",INDEX(tbl_Consulting[Qwilr Quote],IFERROR(MATCH(E30&amp;"",tbl_Consulting[Job Number],0),MATCH(IFERROR(E30+0,E30),tbl_Consulting[Job Number],0)))),""))))</f>
        <v/>
      </c>
      <c r="AD30" s="25">
        <f>IF(AC30="","",IF(AND(LEFT(AC30,4)&lt;&gt;"http",IF(H30="Production",set_RMSBase,set_QwilrBase)=""),"",HYPERLINK(IF(LEFT(AC30,4)="http",AC30,IF(H30="Production",set_RMSBase,set_QwilrBase)&amp;AC30),"Open")))</f>
        <v/>
      </c>
      <c r="AE30" s="27">
        <f>IF(E30="","",IFERROR(INDEX(tbl_Production[Total Expense],IFERROR(MATCH(E30&amp;"",tbl_Production[Job Number],0),MATCH(IFERROR(E30+0,E30),tbl_Production[Job Number],0))),IFERROR(INDEX(tbl_Consulting[Total Expense],IFERROR(MATCH(E30&amp;"",tbl_Consulting[Job Number],0),MATCH(IFERROR(E30+0,E30),tbl_Consulting[Job Number],0))),0)))</f>
        <v/>
      </c>
      <c r="AF30" s="27">
        <f>IF(E30="","",Z30-N(AE30))</f>
        <v/>
      </c>
      <c r="AG30" s="29">
        <f>IFERROR(AF30/Z30,"")</f>
        <v/>
      </c>
      <c r="AH30" s="25">
        <f>IF(E30="","",IFERROR(IF(INDEX(tbl_Onsite[Notes],IFERROR(MATCH(E30&amp;"",tbl_Onsite[Job Number],0),MATCH(IFERROR(E30+0,E30),tbl_Onsite[Job Number],0)))="","",INDEX(tbl_Onsite[Notes],IFERROR(MATCH(E30&amp;"",tbl_Onsite[Job Number],0),MATCH(IFERROR(E30+0,E30),tbl_Onsite[Job Number],0)))),IFERROR(IF(INDEX(tbl_Production[Notes],IFERROR(MATCH(E30&amp;"",tbl_Production[Job Number],0),MATCH(IFERROR(E30+0,E30),tbl_Production[Job Number],0)))="","",INDEX(tbl_Production[Notes],IFERROR(MATCH(E30&amp;"",tbl_Production[Job Number],0),MATCH(IFERROR(E30+0,E30),tbl_Production[Job Number],0)))),IFERROR(IF(INDEX(tbl_Consulting[Notes],IFERROR(MATCH(E30&amp;"",tbl_Consulting[Job Number],0),MATCH(IFERROR(E30+0,E30),tbl_Consulting[Job Number],0)))="","",INDEX(tbl_Consulting[Notes],IFERROR(MATCH(E30&amp;"",tbl_Consulting[Job Number],0),MATCH(IFERROR(E30+0,E30),tbl_Consulting[Job Number],0)))),""))))</f>
        <v/>
      </c>
    </row>
    <row r="31" ht="15" customHeight="1">
      <c r="A31" s="22" t="n"/>
      <c r="B31" s="23">
        <f>IF(A31="","",EOMONTH(A31,0))</f>
        <v/>
      </c>
      <c r="C31" s="24" t="n"/>
      <c r="D31" s="24" t="n"/>
      <c r="E31" s="24" t="n"/>
      <c r="F31" s="25">
        <f>IF(E31="","",IF(COUNTIF(lst_Jobs,E31&amp;"")&gt;0,"OK","CHECK"))</f>
        <v/>
      </c>
      <c r="G31" s="24" t="n"/>
      <c r="H31" s="24" t="n"/>
      <c r="I31" s="24" t="n"/>
      <c r="J31" s="24" t="n"/>
      <c r="K31" s="24" t="n"/>
      <c r="L31" s="26" t="n"/>
      <c r="M31" s="27">
        <f>IF(L31="","",IF(K31="GST 10%",ROUND(L31*set_GSTRate,2),0))</f>
        <v/>
      </c>
      <c r="N31" s="27">
        <f>IF(L31="","",L31+M31)</f>
        <v/>
      </c>
      <c r="O31" s="24" t="n"/>
      <c r="P31" s="24" t="n"/>
      <c r="Q31" s="24" t="n"/>
      <c r="R31" s="22" t="n"/>
      <c r="S31" s="22" t="n"/>
      <c r="T31" s="24" t="n"/>
      <c r="U31" s="24" t="n"/>
      <c r="V31" s="25">
        <f>IF(COUNTA(A31,D31,C31,L31)=0,"",IF(A31="","No date - sits outside every month",IF(E31="","No job number",IF(F31="CHECK","Job number is not in the Xero job list",IF(I31="","No cost centre",IF(AND(P31="Y",C31=""),"Marked posted to Xero but has no invoice number",IF(AND(L31&lt;&gt;"",K31=""),"No tax code",IF(AND(L31&lt;&gt;"",O31=""),"No revenue GL code",""))))))))</f>
        <v/>
      </c>
      <c r="W31" s="25">
        <f>IF(E31="","",IF(COUNTIF(tbl_Onsite[Job Number],E31&amp;"")&gt;0,"Onsite",IF(COUNTIF(tbl_Production[Job Number],E31&amp;"")&gt;0,"Production",IF(COUNTIF(tbl_Consulting[Job Number],E31&amp;"")&gt;0,"Consulting","not set up yet"))))</f>
        <v/>
      </c>
      <c r="X31" s="25">
        <f>IF(E31="","",IFERROR(INDEX(lst_JobName,MATCH(E31&amp;"",lst_Jobs,0)),""))</f>
        <v/>
      </c>
      <c r="Y31" s="28">
        <f>IF(E31="","",COUNTIFS(tbl_Finance[Job Number],E31&amp;"",tbl_Finance[Ex GST],"&lt;&gt;"))</f>
        <v/>
      </c>
      <c r="Z31" s="27">
        <f>IF(E31="","",SUMIFS(tbl_Finance[Ex GST],tbl_Finance[Job Number],E31&amp;""))</f>
        <v/>
      </c>
      <c r="AA31" s="27">
        <f>IF(E31="","",SUMIFS(tbl_Finance[Ex GST],tbl_Finance[Job Number],E31&amp;"",tbl_Finance[Xero Invoice No],"&lt;&gt;"))</f>
        <v/>
      </c>
      <c r="AB31" s="27">
        <f>IF(E31="","",Z31-AA31)</f>
        <v/>
      </c>
      <c r="AC31" s="25">
        <f>IF(E31="","",IFERROR(IF(INDEX(tbl_Onsite[Qwilr Quote],IFERROR(MATCH(E31&amp;"",tbl_Onsite[Job Number],0),MATCH(IFERROR(E31+0,E31),tbl_Onsite[Job Number],0)))="","",INDEX(tbl_Onsite[Qwilr Quote],IFERROR(MATCH(E31&amp;"",tbl_Onsite[Job Number],0),MATCH(IFERROR(E31+0,E31),tbl_Onsite[Job Number],0)))),IFERROR(IF(IF(INDEX(tbl_Production[Current RMS No],IFERROR(MATCH(E31&amp;"",tbl_Production[Job Number],0),MATCH(IFERROR(E31+0,E31),tbl_Production[Job Number],0)))="",INDEX(tbl_Production[Qwilr Quote],IFERROR(MATCH(E31&amp;"",tbl_Production[Job Number],0),MATCH(IFERROR(E31+0,E31),tbl_Production[Job Number],0))),INDEX(tbl_Production[Current RMS No],IFERROR(MATCH(E31&amp;"",tbl_Production[Job Number],0),MATCH(IFERROR(E31+0,E31),tbl_Production[Job Number],0))))="","",IF(INDEX(tbl_Production[Current RMS No],IFERROR(MATCH(E31&amp;"",tbl_Production[Job Number],0),MATCH(IFERROR(E31+0,E31),tbl_Production[Job Number],0)))="",INDEX(tbl_Production[Qwilr Quote],IFERROR(MATCH(E31&amp;"",tbl_Production[Job Number],0),MATCH(IFERROR(E31+0,E31),tbl_Production[Job Number],0))),INDEX(tbl_Production[Current RMS No],IFERROR(MATCH(E31&amp;"",tbl_Production[Job Number],0),MATCH(IFERROR(E31+0,E31),tbl_Production[Job Number],0))))),IFERROR(IF(INDEX(tbl_Consulting[Qwilr Quote],IFERROR(MATCH(E31&amp;"",tbl_Consulting[Job Number],0),MATCH(IFERROR(E31+0,E31),tbl_Consulting[Job Number],0)))="","",INDEX(tbl_Consulting[Qwilr Quote],IFERROR(MATCH(E31&amp;"",tbl_Consulting[Job Number],0),MATCH(IFERROR(E31+0,E31),tbl_Consulting[Job Number],0)))),""))))</f>
        <v/>
      </c>
      <c r="AD31" s="25">
        <f>IF(AC31="","",IF(AND(LEFT(AC31,4)&lt;&gt;"http",IF(H31="Production",set_RMSBase,set_QwilrBase)=""),"",HYPERLINK(IF(LEFT(AC31,4)="http",AC31,IF(H31="Production",set_RMSBase,set_QwilrBase)&amp;AC31),"Open")))</f>
        <v/>
      </c>
      <c r="AE31" s="27">
        <f>IF(E31="","",IFERROR(INDEX(tbl_Production[Total Expense],IFERROR(MATCH(E31&amp;"",tbl_Production[Job Number],0),MATCH(IFERROR(E31+0,E31),tbl_Production[Job Number],0))),IFERROR(INDEX(tbl_Consulting[Total Expense],IFERROR(MATCH(E31&amp;"",tbl_Consulting[Job Number],0),MATCH(IFERROR(E31+0,E31),tbl_Consulting[Job Number],0))),0)))</f>
        <v/>
      </c>
      <c r="AF31" s="27">
        <f>IF(E31="","",Z31-N(AE31))</f>
        <v/>
      </c>
      <c r="AG31" s="29">
        <f>IFERROR(AF31/Z31,"")</f>
        <v/>
      </c>
      <c r="AH31" s="25">
        <f>IF(E31="","",IFERROR(IF(INDEX(tbl_Onsite[Notes],IFERROR(MATCH(E31&amp;"",tbl_Onsite[Job Number],0),MATCH(IFERROR(E31+0,E31),tbl_Onsite[Job Number],0)))="","",INDEX(tbl_Onsite[Notes],IFERROR(MATCH(E31&amp;"",tbl_Onsite[Job Number],0),MATCH(IFERROR(E31+0,E31),tbl_Onsite[Job Number],0)))),IFERROR(IF(INDEX(tbl_Production[Notes],IFERROR(MATCH(E31&amp;"",tbl_Production[Job Number],0),MATCH(IFERROR(E31+0,E31),tbl_Production[Job Number],0)))="","",INDEX(tbl_Production[Notes],IFERROR(MATCH(E31&amp;"",tbl_Production[Job Number],0),MATCH(IFERROR(E31+0,E31),tbl_Production[Job Number],0)))),IFERROR(IF(INDEX(tbl_Consulting[Notes],IFERROR(MATCH(E31&amp;"",tbl_Consulting[Job Number],0),MATCH(IFERROR(E31+0,E31),tbl_Consulting[Job Number],0)))="","",INDEX(tbl_Consulting[Notes],IFERROR(MATCH(E31&amp;"",tbl_Consulting[Job Number],0),MATCH(IFERROR(E31+0,E31),tbl_Consulting[Job Number],0)))),""))))</f>
        <v/>
      </c>
    </row>
    <row r="32" ht="15" customHeight="1">
      <c r="A32" s="22" t="n"/>
      <c r="B32" s="23">
        <f>IF(A32="","",EOMONTH(A32,0))</f>
        <v/>
      </c>
      <c r="C32" s="24" t="n"/>
      <c r="D32" s="24" t="n"/>
      <c r="E32" s="24" t="n"/>
      <c r="F32" s="25">
        <f>IF(E32="","",IF(COUNTIF(lst_Jobs,E32&amp;"")&gt;0,"OK","CHECK"))</f>
        <v/>
      </c>
      <c r="G32" s="24" t="n"/>
      <c r="H32" s="24" t="n"/>
      <c r="I32" s="24" t="n"/>
      <c r="J32" s="24" t="n"/>
      <c r="K32" s="24" t="n"/>
      <c r="L32" s="26" t="n"/>
      <c r="M32" s="27">
        <f>IF(L32="","",IF(K32="GST 10%",ROUND(L32*set_GSTRate,2),0))</f>
        <v/>
      </c>
      <c r="N32" s="27">
        <f>IF(L32="","",L32+M32)</f>
        <v/>
      </c>
      <c r="O32" s="24" t="n"/>
      <c r="P32" s="24" t="n"/>
      <c r="Q32" s="24" t="n"/>
      <c r="R32" s="22" t="n"/>
      <c r="S32" s="22" t="n"/>
      <c r="T32" s="24" t="n"/>
      <c r="U32" s="24" t="n"/>
      <c r="V32" s="25">
        <f>IF(COUNTA(A32,D32,C32,L32)=0,"",IF(A32="","No date - sits outside every month",IF(E32="","No job number",IF(F32="CHECK","Job number is not in the Xero job list",IF(I32="","No cost centre",IF(AND(P32="Y",C32=""),"Marked posted to Xero but has no invoice number",IF(AND(L32&lt;&gt;"",K32=""),"No tax code",IF(AND(L32&lt;&gt;"",O32=""),"No revenue GL code",""))))))))</f>
        <v/>
      </c>
      <c r="W32" s="25">
        <f>IF(E32="","",IF(COUNTIF(tbl_Onsite[Job Number],E32&amp;"")&gt;0,"Onsite",IF(COUNTIF(tbl_Production[Job Number],E32&amp;"")&gt;0,"Production",IF(COUNTIF(tbl_Consulting[Job Number],E32&amp;"")&gt;0,"Consulting","not set up yet"))))</f>
        <v/>
      </c>
      <c r="X32" s="25">
        <f>IF(E32="","",IFERROR(INDEX(lst_JobName,MATCH(E32&amp;"",lst_Jobs,0)),""))</f>
        <v/>
      </c>
      <c r="Y32" s="28">
        <f>IF(E32="","",COUNTIFS(tbl_Finance[Job Number],E32&amp;"",tbl_Finance[Ex GST],"&lt;&gt;"))</f>
        <v/>
      </c>
      <c r="Z32" s="27">
        <f>IF(E32="","",SUMIFS(tbl_Finance[Ex GST],tbl_Finance[Job Number],E32&amp;""))</f>
        <v/>
      </c>
      <c r="AA32" s="27">
        <f>IF(E32="","",SUMIFS(tbl_Finance[Ex GST],tbl_Finance[Job Number],E32&amp;"",tbl_Finance[Xero Invoice No],"&lt;&gt;"))</f>
        <v/>
      </c>
      <c r="AB32" s="27">
        <f>IF(E32="","",Z32-AA32)</f>
        <v/>
      </c>
      <c r="AC32" s="25">
        <f>IF(E32="","",IFERROR(IF(INDEX(tbl_Onsite[Qwilr Quote],IFERROR(MATCH(E32&amp;"",tbl_Onsite[Job Number],0),MATCH(IFERROR(E32+0,E32),tbl_Onsite[Job Number],0)))="","",INDEX(tbl_Onsite[Qwilr Quote],IFERROR(MATCH(E32&amp;"",tbl_Onsite[Job Number],0),MATCH(IFERROR(E32+0,E32),tbl_Onsite[Job Number],0)))),IFERROR(IF(IF(INDEX(tbl_Production[Current RMS No],IFERROR(MATCH(E32&amp;"",tbl_Production[Job Number],0),MATCH(IFERROR(E32+0,E32),tbl_Production[Job Number],0)))="",INDEX(tbl_Production[Qwilr Quote],IFERROR(MATCH(E32&amp;"",tbl_Production[Job Number],0),MATCH(IFERROR(E32+0,E32),tbl_Production[Job Number],0))),INDEX(tbl_Production[Current RMS No],IFERROR(MATCH(E32&amp;"",tbl_Production[Job Number],0),MATCH(IFERROR(E32+0,E32),tbl_Production[Job Number],0))))="","",IF(INDEX(tbl_Production[Current RMS No],IFERROR(MATCH(E32&amp;"",tbl_Production[Job Number],0),MATCH(IFERROR(E32+0,E32),tbl_Production[Job Number],0)))="",INDEX(tbl_Production[Qwilr Quote],IFERROR(MATCH(E32&amp;"",tbl_Production[Job Number],0),MATCH(IFERROR(E32+0,E32),tbl_Production[Job Number],0))),INDEX(tbl_Production[Current RMS No],IFERROR(MATCH(E32&amp;"",tbl_Production[Job Number],0),MATCH(IFERROR(E32+0,E32),tbl_Production[Job Number],0))))),IFERROR(IF(INDEX(tbl_Consulting[Qwilr Quote],IFERROR(MATCH(E32&amp;"",tbl_Consulting[Job Number],0),MATCH(IFERROR(E32+0,E32),tbl_Consulting[Job Number],0)))="","",INDEX(tbl_Consulting[Qwilr Quote],IFERROR(MATCH(E32&amp;"",tbl_Consulting[Job Number],0),MATCH(IFERROR(E32+0,E32),tbl_Consulting[Job Number],0)))),""))))</f>
        <v/>
      </c>
      <c r="AD32" s="25">
        <f>IF(AC32="","",IF(AND(LEFT(AC32,4)&lt;&gt;"http",IF(H32="Production",set_RMSBase,set_QwilrBase)=""),"",HYPERLINK(IF(LEFT(AC32,4)="http",AC32,IF(H32="Production",set_RMSBase,set_QwilrBase)&amp;AC32),"Open")))</f>
        <v/>
      </c>
      <c r="AE32" s="27">
        <f>IF(E32="","",IFERROR(INDEX(tbl_Production[Total Expense],IFERROR(MATCH(E32&amp;"",tbl_Production[Job Number],0),MATCH(IFERROR(E32+0,E32),tbl_Production[Job Number],0))),IFERROR(INDEX(tbl_Consulting[Total Expense],IFERROR(MATCH(E32&amp;"",tbl_Consulting[Job Number],0),MATCH(IFERROR(E32+0,E32),tbl_Consulting[Job Number],0))),0)))</f>
        <v/>
      </c>
      <c r="AF32" s="27">
        <f>IF(E32="","",Z32-N(AE32))</f>
        <v/>
      </c>
      <c r="AG32" s="29">
        <f>IFERROR(AF32/Z32,"")</f>
        <v/>
      </c>
      <c r="AH32" s="25">
        <f>IF(E32="","",IFERROR(IF(INDEX(tbl_Onsite[Notes],IFERROR(MATCH(E32&amp;"",tbl_Onsite[Job Number],0),MATCH(IFERROR(E32+0,E32),tbl_Onsite[Job Number],0)))="","",INDEX(tbl_Onsite[Notes],IFERROR(MATCH(E32&amp;"",tbl_Onsite[Job Number],0),MATCH(IFERROR(E32+0,E32),tbl_Onsite[Job Number],0)))),IFERROR(IF(INDEX(tbl_Production[Notes],IFERROR(MATCH(E32&amp;"",tbl_Production[Job Number],0),MATCH(IFERROR(E32+0,E32),tbl_Production[Job Number],0)))="","",INDEX(tbl_Production[Notes],IFERROR(MATCH(E32&amp;"",tbl_Production[Job Number],0),MATCH(IFERROR(E32+0,E32),tbl_Production[Job Number],0)))),IFERROR(IF(INDEX(tbl_Consulting[Notes],IFERROR(MATCH(E32&amp;"",tbl_Consulting[Job Number],0),MATCH(IFERROR(E32+0,E32),tbl_Consulting[Job Number],0)))="","",INDEX(tbl_Consulting[Notes],IFERROR(MATCH(E32&amp;"",tbl_Consulting[Job Number],0),MATCH(IFERROR(E32+0,E32),tbl_Consulting[Job Number],0)))),""))))</f>
        <v/>
      </c>
    </row>
    <row r="33" ht="15" customHeight="1">
      <c r="A33" s="22" t="n"/>
      <c r="B33" s="23">
        <f>IF(A33="","",EOMONTH(A33,0))</f>
        <v/>
      </c>
      <c r="C33" s="24" t="n"/>
      <c r="D33" s="24" t="n"/>
      <c r="E33" s="24" t="n"/>
      <c r="F33" s="25">
        <f>IF(E33="","",IF(COUNTIF(lst_Jobs,E33&amp;"")&gt;0,"OK","CHECK"))</f>
        <v/>
      </c>
      <c r="G33" s="24" t="n"/>
      <c r="H33" s="24" t="n"/>
      <c r="I33" s="24" t="n"/>
      <c r="J33" s="24" t="n"/>
      <c r="K33" s="24" t="n"/>
      <c r="L33" s="26" t="n"/>
      <c r="M33" s="27">
        <f>IF(L33="","",IF(K33="GST 10%",ROUND(L33*set_GSTRate,2),0))</f>
        <v/>
      </c>
      <c r="N33" s="27">
        <f>IF(L33="","",L33+M33)</f>
        <v/>
      </c>
      <c r="O33" s="24" t="n"/>
      <c r="P33" s="24" t="n"/>
      <c r="Q33" s="24" t="n"/>
      <c r="R33" s="22" t="n"/>
      <c r="S33" s="22" t="n"/>
      <c r="T33" s="24" t="n"/>
      <c r="U33" s="24" t="n"/>
      <c r="V33" s="25">
        <f>IF(COUNTA(A33,D33,C33,L33)=0,"",IF(A33="","No date - sits outside every month",IF(E33="","No job number",IF(F33="CHECK","Job number is not in the Xero job list",IF(I33="","No cost centre",IF(AND(P33="Y",C33=""),"Marked posted to Xero but has no invoice number",IF(AND(L33&lt;&gt;"",K33=""),"No tax code",IF(AND(L33&lt;&gt;"",O33=""),"No revenue GL code",""))))))))</f>
        <v/>
      </c>
      <c r="W33" s="25">
        <f>IF(E33="","",IF(COUNTIF(tbl_Onsite[Job Number],E33&amp;"")&gt;0,"Onsite",IF(COUNTIF(tbl_Production[Job Number],E33&amp;"")&gt;0,"Production",IF(COUNTIF(tbl_Consulting[Job Number],E33&amp;"")&gt;0,"Consulting","not set up yet"))))</f>
        <v/>
      </c>
      <c r="X33" s="25">
        <f>IF(E33="","",IFERROR(INDEX(lst_JobName,MATCH(E33&amp;"",lst_Jobs,0)),""))</f>
        <v/>
      </c>
      <c r="Y33" s="28">
        <f>IF(E33="","",COUNTIFS(tbl_Finance[Job Number],E33&amp;"",tbl_Finance[Ex GST],"&lt;&gt;"))</f>
        <v/>
      </c>
      <c r="Z33" s="27">
        <f>IF(E33="","",SUMIFS(tbl_Finance[Ex GST],tbl_Finance[Job Number],E33&amp;""))</f>
        <v/>
      </c>
      <c r="AA33" s="27">
        <f>IF(E33="","",SUMIFS(tbl_Finance[Ex GST],tbl_Finance[Job Number],E33&amp;"",tbl_Finance[Xero Invoice No],"&lt;&gt;"))</f>
        <v/>
      </c>
      <c r="AB33" s="27">
        <f>IF(E33="","",Z33-AA33)</f>
        <v/>
      </c>
      <c r="AC33" s="25">
        <f>IF(E33="","",IFERROR(IF(INDEX(tbl_Onsite[Qwilr Quote],IFERROR(MATCH(E33&amp;"",tbl_Onsite[Job Number],0),MATCH(IFERROR(E33+0,E33),tbl_Onsite[Job Number],0)))="","",INDEX(tbl_Onsite[Qwilr Quote],IFERROR(MATCH(E33&amp;"",tbl_Onsite[Job Number],0),MATCH(IFERROR(E33+0,E33),tbl_Onsite[Job Number],0)))),IFERROR(IF(IF(INDEX(tbl_Production[Current RMS No],IFERROR(MATCH(E33&amp;"",tbl_Production[Job Number],0),MATCH(IFERROR(E33+0,E33),tbl_Production[Job Number],0)))="",INDEX(tbl_Production[Qwilr Quote],IFERROR(MATCH(E33&amp;"",tbl_Production[Job Number],0),MATCH(IFERROR(E33+0,E33),tbl_Production[Job Number],0))),INDEX(tbl_Production[Current RMS No],IFERROR(MATCH(E33&amp;"",tbl_Production[Job Number],0),MATCH(IFERROR(E33+0,E33),tbl_Production[Job Number],0))))="","",IF(INDEX(tbl_Production[Current RMS No],IFERROR(MATCH(E33&amp;"",tbl_Production[Job Number],0),MATCH(IFERROR(E33+0,E33),tbl_Production[Job Number],0)))="",INDEX(tbl_Production[Qwilr Quote],IFERROR(MATCH(E33&amp;"",tbl_Production[Job Number],0),MATCH(IFERROR(E33+0,E33),tbl_Production[Job Number],0))),INDEX(tbl_Production[Current RMS No],IFERROR(MATCH(E33&amp;"",tbl_Production[Job Number],0),MATCH(IFERROR(E33+0,E33),tbl_Production[Job Number],0))))),IFERROR(IF(INDEX(tbl_Consulting[Qwilr Quote],IFERROR(MATCH(E33&amp;"",tbl_Consulting[Job Number],0),MATCH(IFERROR(E33+0,E33),tbl_Consulting[Job Number],0)))="","",INDEX(tbl_Consulting[Qwilr Quote],IFERROR(MATCH(E33&amp;"",tbl_Consulting[Job Number],0),MATCH(IFERROR(E33+0,E33),tbl_Consulting[Job Number],0)))),""))))</f>
        <v/>
      </c>
      <c r="AD33" s="25">
        <f>IF(AC33="","",IF(AND(LEFT(AC33,4)&lt;&gt;"http",IF(H33="Production",set_RMSBase,set_QwilrBase)=""),"",HYPERLINK(IF(LEFT(AC33,4)="http",AC33,IF(H33="Production",set_RMSBase,set_QwilrBase)&amp;AC33),"Open")))</f>
        <v/>
      </c>
      <c r="AE33" s="27">
        <f>IF(E33="","",IFERROR(INDEX(tbl_Production[Total Expense],IFERROR(MATCH(E33&amp;"",tbl_Production[Job Number],0),MATCH(IFERROR(E33+0,E33),tbl_Production[Job Number],0))),IFERROR(INDEX(tbl_Consulting[Total Expense],IFERROR(MATCH(E33&amp;"",tbl_Consulting[Job Number],0),MATCH(IFERROR(E33+0,E33),tbl_Consulting[Job Number],0))),0)))</f>
        <v/>
      </c>
      <c r="AF33" s="27">
        <f>IF(E33="","",Z33-N(AE33))</f>
        <v/>
      </c>
      <c r="AG33" s="29">
        <f>IFERROR(AF33/Z33,"")</f>
        <v/>
      </c>
      <c r="AH33" s="25">
        <f>IF(E33="","",IFERROR(IF(INDEX(tbl_Onsite[Notes],IFERROR(MATCH(E33&amp;"",tbl_Onsite[Job Number],0),MATCH(IFERROR(E33+0,E33),tbl_Onsite[Job Number],0)))="","",INDEX(tbl_Onsite[Notes],IFERROR(MATCH(E33&amp;"",tbl_Onsite[Job Number],0),MATCH(IFERROR(E33+0,E33),tbl_Onsite[Job Number],0)))),IFERROR(IF(INDEX(tbl_Production[Notes],IFERROR(MATCH(E33&amp;"",tbl_Production[Job Number],0),MATCH(IFERROR(E33+0,E33),tbl_Production[Job Number],0)))="","",INDEX(tbl_Production[Notes],IFERROR(MATCH(E33&amp;"",tbl_Production[Job Number],0),MATCH(IFERROR(E33+0,E33),tbl_Production[Job Number],0)))),IFERROR(IF(INDEX(tbl_Consulting[Notes],IFERROR(MATCH(E33&amp;"",tbl_Consulting[Job Number],0),MATCH(IFERROR(E33+0,E33),tbl_Consulting[Job Number],0)))="","",INDEX(tbl_Consulting[Notes],IFERROR(MATCH(E33&amp;"",tbl_Consulting[Job Number],0),MATCH(IFERROR(E33+0,E33),tbl_Consulting[Job Number],0)))),""))))</f>
        <v/>
      </c>
    </row>
    <row r="34" ht="15" customHeight="1">
      <c r="A34" s="22" t="n"/>
      <c r="B34" s="23">
        <f>IF(A34="","",EOMONTH(A34,0))</f>
        <v/>
      </c>
      <c r="C34" s="24" t="n"/>
      <c r="D34" s="24" t="n"/>
      <c r="E34" s="24" t="n"/>
      <c r="F34" s="25">
        <f>IF(E34="","",IF(COUNTIF(lst_Jobs,E34&amp;"")&gt;0,"OK","CHECK"))</f>
        <v/>
      </c>
      <c r="G34" s="24" t="n"/>
      <c r="H34" s="24" t="n"/>
      <c r="I34" s="24" t="n"/>
      <c r="J34" s="24" t="n"/>
      <c r="K34" s="24" t="n"/>
      <c r="L34" s="26" t="n"/>
      <c r="M34" s="27">
        <f>IF(L34="","",IF(K34="GST 10%",ROUND(L34*set_GSTRate,2),0))</f>
        <v/>
      </c>
      <c r="N34" s="27">
        <f>IF(L34="","",L34+M34)</f>
        <v/>
      </c>
      <c r="O34" s="24" t="n"/>
      <c r="P34" s="24" t="n"/>
      <c r="Q34" s="24" t="n"/>
      <c r="R34" s="22" t="n"/>
      <c r="S34" s="22" t="n"/>
      <c r="T34" s="24" t="n"/>
      <c r="U34" s="24" t="n"/>
      <c r="V34" s="25">
        <f>IF(COUNTA(A34,D34,C34,L34)=0,"",IF(A34="","No date - sits outside every month",IF(E34="","No job number",IF(F34="CHECK","Job number is not in the Xero job list",IF(I34="","No cost centre",IF(AND(P34="Y",C34=""),"Marked posted to Xero but has no invoice number",IF(AND(L34&lt;&gt;"",K34=""),"No tax code",IF(AND(L34&lt;&gt;"",O34=""),"No revenue GL code",""))))))))</f>
        <v/>
      </c>
      <c r="W34" s="25">
        <f>IF(E34="","",IF(COUNTIF(tbl_Onsite[Job Number],E34&amp;"")&gt;0,"Onsite",IF(COUNTIF(tbl_Production[Job Number],E34&amp;"")&gt;0,"Production",IF(COUNTIF(tbl_Consulting[Job Number],E34&amp;"")&gt;0,"Consulting","not set up yet"))))</f>
        <v/>
      </c>
      <c r="X34" s="25">
        <f>IF(E34="","",IFERROR(INDEX(lst_JobName,MATCH(E34&amp;"",lst_Jobs,0)),""))</f>
        <v/>
      </c>
      <c r="Y34" s="28">
        <f>IF(E34="","",COUNTIFS(tbl_Finance[Job Number],E34&amp;"",tbl_Finance[Ex GST],"&lt;&gt;"))</f>
        <v/>
      </c>
      <c r="Z34" s="27">
        <f>IF(E34="","",SUMIFS(tbl_Finance[Ex GST],tbl_Finance[Job Number],E34&amp;""))</f>
        <v/>
      </c>
      <c r="AA34" s="27">
        <f>IF(E34="","",SUMIFS(tbl_Finance[Ex GST],tbl_Finance[Job Number],E34&amp;"",tbl_Finance[Xero Invoice No],"&lt;&gt;"))</f>
        <v/>
      </c>
      <c r="AB34" s="27">
        <f>IF(E34="","",Z34-AA34)</f>
        <v/>
      </c>
      <c r="AC34" s="25">
        <f>IF(E34="","",IFERROR(IF(INDEX(tbl_Onsite[Qwilr Quote],IFERROR(MATCH(E34&amp;"",tbl_Onsite[Job Number],0),MATCH(IFERROR(E34+0,E34),tbl_Onsite[Job Number],0)))="","",INDEX(tbl_Onsite[Qwilr Quote],IFERROR(MATCH(E34&amp;"",tbl_Onsite[Job Number],0),MATCH(IFERROR(E34+0,E34),tbl_Onsite[Job Number],0)))),IFERROR(IF(IF(INDEX(tbl_Production[Current RMS No],IFERROR(MATCH(E34&amp;"",tbl_Production[Job Number],0),MATCH(IFERROR(E34+0,E34),tbl_Production[Job Number],0)))="",INDEX(tbl_Production[Qwilr Quote],IFERROR(MATCH(E34&amp;"",tbl_Production[Job Number],0),MATCH(IFERROR(E34+0,E34),tbl_Production[Job Number],0))),INDEX(tbl_Production[Current RMS No],IFERROR(MATCH(E34&amp;"",tbl_Production[Job Number],0),MATCH(IFERROR(E34+0,E34),tbl_Production[Job Number],0))))="","",IF(INDEX(tbl_Production[Current RMS No],IFERROR(MATCH(E34&amp;"",tbl_Production[Job Number],0),MATCH(IFERROR(E34+0,E34),tbl_Production[Job Number],0)))="",INDEX(tbl_Production[Qwilr Quote],IFERROR(MATCH(E34&amp;"",tbl_Production[Job Number],0),MATCH(IFERROR(E34+0,E34),tbl_Production[Job Number],0))),INDEX(tbl_Production[Current RMS No],IFERROR(MATCH(E34&amp;"",tbl_Production[Job Number],0),MATCH(IFERROR(E34+0,E34),tbl_Production[Job Number],0))))),IFERROR(IF(INDEX(tbl_Consulting[Qwilr Quote],IFERROR(MATCH(E34&amp;"",tbl_Consulting[Job Number],0),MATCH(IFERROR(E34+0,E34),tbl_Consulting[Job Number],0)))="","",INDEX(tbl_Consulting[Qwilr Quote],IFERROR(MATCH(E34&amp;"",tbl_Consulting[Job Number],0),MATCH(IFERROR(E34+0,E34),tbl_Consulting[Job Number],0)))),""))))</f>
        <v/>
      </c>
      <c r="AD34" s="25">
        <f>IF(AC34="","",IF(AND(LEFT(AC34,4)&lt;&gt;"http",IF(H34="Production",set_RMSBase,set_QwilrBase)=""),"",HYPERLINK(IF(LEFT(AC34,4)="http",AC34,IF(H34="Production",set_RMSBase,set_QwilrBase)&amp;AC34),"Open")))</f>
        <v/>
      </c>
      <c r="AE34" s="27">
        <f>IF(E34="","",IFERROR(INDEX(tbl_Production[Total Expense],IFERROR(MATCH(E34&amp;"",tbl_Production[Job Number],0),MATCH(IFERROR(E34+0,E34),tbl_Production[Job Number],0))),IFERROR(INDEX(tbl_Consulting[Total Expense],IFERROR(MATCH(E34&amp;"",tbl_Consulting[Job Number],0),MATCH(IFERROR(E34+0,E34),tbl_Consulting[Job Number],0))),0)))</f>
        <v/>
      </c>
      <c r="AF34" s="27">
        <f>IF(E34="","",Z34-N(AE34))</f>
        <v/>
      </c>
      <c r="AG34" s="29">
        <f>IFERROR(AF34/Z34,"")</f>
        <v/>
      </c>
      <c r="AH34" s="25">
        <f>IF(E34="","",IFERROR(IF(INDEX(tbl_Onsite[Notes],IFERROR(MATCH(E34&amp;"",tbl_Onsite[Job Number],0),MATCH(IFERROR(E34+0,E34),tbl_Onsite[Job Number],0)))="","",INDEX(tbl_Onsite[Notes],IFERROR(MATCH(E34&amp;"",tbl_Onsite[Job Number],0),MATCH(IFERROR(E34+0,E34),tbl_Onsite[Job Number],0)))),IFERROR(IF(INDEX(tbl_Production[Notes],IFERROR(MATCH(E34&amp;"",tbl_Production[Job Number],0),MATCH(IFERROR(E34+0,E34),tbl_Production[Job Number],0)))="","",INDEX(tbl_Production[Notes],IFERROR(MATCH(E34&amp;"",tbl_Production[Job Number],0),MATCH(IFERROR(E34+0,E34),tbl_Production[Job Number],0)))),IFERROR(IF(INDEX(tbl_Consulting[Notes],IFERROR(MATCH(E34&amp;"",tbl_Consulting[Job Number],0),MATCH(IFERROR(E34+0,E34),tbl_Consulting[Job Number],0)))="","",INDEX(tbl_Consulting[Notes],IFERROR(MATCH(E34&amp;"",tbl_Consulting[Job Number],0),MATCH(IFERROR(E34+0,E34),tbl_Consulting[Job Number],0)))),""))))</f>
        <v/>
      </c>
    </row>
    <row r="35" ht="15" customHeight="1">
      <c r="A35" s="22" t="n"/>
      <c r="B35" s="23">
        <f>IF(A35="","",EOMONTH(A35,0))</f>
        <v/>
      </c>
      <c r="C35" s="24" t="n"/>
      <c r="D35" s="24" t="n"/>
      <c r="E35" s="24" t="n"/>
      <c r="F35" s="25">
        <f>IF(E35="","",IF(COUNTIF(lst_Jobs,E35&amp;"")&gt;0,"OK","CHECK"))</f>
        <v/>
      </c>
      <c r="G35" s="24" t="n"/>
      <c r="H35" s="24" t="n"/>
      <c r="I35" s="24" t="n"/>
      <c r="J35" s="24" t="n"/>
      <c r="K35" s="24" t="n"/>
      <c r="L35" s="26" t="n"/>
      <c r="M35" s="27">
        <f>IF(L35="","",IF(K35="GST 10%",ROUND(L35*set_GSTRate,2),0))</f>
        <v/>
      </c>
      <c r="N35" s="27">
        <f>IF(L35="","",L35+M35)</f>
        <v/>
      </c>
      <c r="O35" s="24" t="n"/>
      <c r="P35" s="24" t="n"/>
      <c r="Q35" s="24" t="n"/>
      <c r="R35" s="22" t="n"/>
      <c r="S35" s="22" t="n"/>
      <c r="T35" s="24" t="n"/>
      <c r="U35" s="24" t="n"/>
      <c r="V35" s="25">
        <f>IF(COUNTA(A35,D35,C35,L35)=0,"",IF(A35="","No date - sits outside every month",IF(E35="","No job number",IF(F35="CHECK","Job number is not in the Xero job list",IF(I35="","No cost centre",IF(AND(P35="Y",C35=""),"Marked posted to Xero but has no invoice number",IF(AND(L35&lt;&gt;"",K35=""),"No tax code",IF(AND(L35&lt;&gt;"",O35=""),"No revenue GL code",""))))))))</f>
        <v/>
      </c>
      <c r="W35" s="25">
        <f>IF(E35="","",IF(COUNTIF(tbl_Onsite[Job Number],E35&amp;"")&gt;0,"Onsite",IF(COUNTIF(tbl_Production[Job Number],E35&amp;"")&gt;0,"Production",IF(COUNTIF(tbl_Consulting[Job Number],E35&amp;"")&gt;0,"Consulting","not set up yet"))))</f>
        <v/>
      </c>
      <c r="X35" s="25">
        <f>IF(E35="","",IFERROR(INDEX(lst_JobName,MATCH(E35&amp;"",lst_Jobs,0)),""))</f>
        <v/>
      </c>
      <c r="Y35" s="28">
        <f>IF(E35="","",COUNTIFS(tbl_Finance[Job Number],E35&amp;"",tbl_Finance[Ex GST],"&lt;&gt;"))</f>
        <v/>
      </c>
      <c r="Z35" s="27">
        <f>IF(E35="","",SUMIFS(tbl_Finance[Ex GST],tbl_Finance[Job Number],E35&amp;""))</f>
        <v/>
      </c>
      <c r="AA35" s="27">
        <f>IF(E35="","",SUMIFS(tbl_Finance[Ex GST],tbl_Finance[Job Number],E35&amp;"",tbl_Finance[Xero Invoice No],"&lt;&gt;"))</f>
        <v/>
      </c>
      <c r="AB35" s="27">
        <f>IF(E35="","",Z35-AA35)</f>
        <v/>
      </c>
      <c r="AC35" s="25">
        <f>IF(E35="","",IFERROR(IF(INDEX(tbl_Onsite[Qwilr Quote],IFERROR(MATCH(E35&amp;"",tbl_Onsite[Job Number],0),MATCH(IFERROR(E35+0,E35),tbl_Onsite[Job Number],0)))="","",INDEX(tbl_Onsite[Qwilr Quote],IFERROR(MATCH(E35&amp;"",tbl_Onsite[Job Number],0),MATCH(IFERROR(E35+0,E35),tbl_Onsite[Job Number],0)))),IFERROR(IF(IF(INDEX(tbl_Production[Current RMS No],IFERROR(MATCH(E35&amp;"",tbl_Production[Job Number],0),MATCH(IFERROR(E35+0,E35),tbl_Production[Job Number],0)))="",INDEX(tbl_Production[Qwilr Quote],IFERROR(MATCH(E35&amp;"",tbl_Production[Job Number],0),MATCH(IFERROR(E35+0,E35),tbl_Production[Job Number],0))),INDEX(tbl_Production[Current RMS No],IFERROR(MATCH(E35&amp;"",tbl_Production[Job Number],0),MATCH(IFERROR(E35+0,E35),tbl_Production[Job Number],0))))="","",IF(INDEX(tbl_Production[Current RMS No],IFERROR(MATCH(E35&amp;"",tbl_Production[Job Number],0),MATCH(IFERROR(E35+0,E35),tbl_Production[Job Number],0)))="",INDEX(tbl_Production[Qwilr Quote],IFERROR(MATCH(E35&amp;"",tbl_Production[Job Number],0),MATCH(IFERROR(E35+0,E35),tbl_Production[Job Number],0))),INDEX(tbl_Production[Current RMS No],IFERROR(MATCH(E35&amp;"",tbl_Production[Job Number],0),MATCH(IFERROR(E35+0,E35),tbl_Production[Job Number],0))))),IFERROR(IF(INDEX(tbl_Consulting[Qwilr Quote],IFERROR(MATCH(E35&amp;"",tbl_Consulting[Job Number],0),MATCH(IFERROR(E35+0,E35),tbl_Consulting[Job Number],0)))="","",INDEX(tbl_Consulting[Qwilr Quote],IFERROR(MATCH(E35&amp;"",tbl_Consulting[Job Number],0),MATCH(IFERROR(E35+0,E35),tbl_Consulting[Job Number],0)))),""))))</f>
        <v/>
      </c>
      <c r="AD35" s="25">
        <f>IF(AC35="","",IF(AND(LEFT(AC35,4)&lt;&gt;"http",IF(H35="Production",set_RMSBase,set_QwilrBase)=""),"",HYPERLINK(IF(LEFT(AC35,4)="http",AC35,IF(H35="Production",set_RMSBase,set_QwilrBase)&amp;AC35),"Open")))</f>
        <v/>
      </c>
      <c r="AE35" s="27">
        <f>IF(E35="","",IFERROR(INDEX(tbl_Production[Total Expense],IFERROR(MATCH(E35&amp;"",tbl_Production[Job Number],0),MATCH(IFERROR(E35+0,E35),tbl_Production[Job Number],0))),IFERROR(INDEX(tbl_Consulting[Total Expense],IFERROR(MATCH(E35&amp;"",tbl_Consulting[Job Number],0),MATCH(IFERROR(E35+0,E35),tbl_Consulting[Job Number],0))),0)))</f>
        <v/>
      </c>
      <c r="AF35" s="27">
        <f>IF(E35="","",Z35-N(AE35))</f>
        <v/>
      </c>
      <c r="AG35" s="29">
        <f>IFERROR(AF35/Z35,"")</f>
        <v/>
      </c>
      <c r="AH35" s="25">
        <f>IF(E35="","",IFERROR(IF(INDEX(tbl_Onsite[Notes],IFERROR(MATCH(E35&amp;"",tbl_Onsite[Job Number],0),MATCH(IFERROR(E35+0,E35),tbl_Onsite[Job Number],0)))="","",INDEX(tbl_Onsite[Notes],IFERROR(MATCH(E35&amp;"",tbl_Onsite[Job Number],0),MATCH(IFERROR(E35+0,E35),tbl_Onsite[Job Number],0)))),IFERROR(IF(INDEX(tbl_Production[Notes],IFERROR(MATCH(E35&amp;"",tbl_Production[Job Number],0),MATCH(IFERROR(E35+0,E35),tbl_Production[Job Number],0)))="","",INDEX(tbl_Production[Notes],IFERROR(MATCH(E35&amp;"",tbl_Production[Job Number],0),MATCH(IFERROR(E35+0,E35),tbl_Production[Job Number],0)))),IFERROR(IF(INDEX(tbl_Consulting[Notes],IFERROR(MATCH(E35&amp;"",tbl_Consulting[Job Number],0),MATCH(IFERROR(E35+0,E35),tbl_Consulting[Job Number],0)))="","",INDEX(tbl_Consulting[Notes],IFERROR(MATCH(E35&amp;"",tbl_Consulting[Job Number],0),MATCH(IFERROR(E35+0,E35),tbl_Consulting[Job Number],0)))),""))))</f>
        <v/>
      </c>
    </row>
    <row r="36" ht="15" customHeight="1">
      <c r="A36" s="22" t="n"/>
      <c r="B36" s="23">
        <f>IF(A36="","",EOMONTH(A36,0))</f>
        <v/>
      </c>
      <c r="C36" s="24" t="n"/>
      <c r="D36" s="24" t="n"/>
      <c r="E36" s="24" t="n"/>
      <c r="F36" s="25">
        <f>IF(E36="","",IF(COUNTIF(lst_Jobs,E36&amp;"")&gt;0,"OK","CHECK"))</f>
        <v/>
      </c>
      <c r="G36" s="24" t="n"/>
      <c r="H36" s="24" t="n"/>
      <c r="I36" s="24" t="n"/>
      <c r="J36" s="24" t="n"/>
      <c r="K36" s="24" t="n"/>
      <c r="L36" s="26" t="n"/>
      <c r="M36" s="27">
        <f>IF(L36="","",IF(K36="GST 10%",ROUND(L36*set_GSTRate,2),0))</f>
        <v/>
      </c>
      <c r="N36" s="27">
        <f>IF(L36="","",L36+M36)</f>
        <v/>
      </c>
      <c r="O36" s="24" t="n"/>
      <c r="P36" s="24" t="n"/>
      <c r="Q36" s="24" t="n"/>
      <c r="R36" s="22" t="n"/>
      <c r="S36" s="22" t="n"/>
      <c r="T36" s="24" t="n"/>
      <c r="U36" s="24" t="n"/>
      <c r="V36" s="25">
        <f>IF(COUNTA(A36,D36,C36,L36)=0,"",IF(A36="","No date - sits outside every month",IF(E36="","No job number",IF(F36="CHECK","Job number is not in the Xero job list",IF(I36="","No cost centre",IF(AND(P36="Y",C36=""),"Marked posted to Xero but has no invoice number",IF(AND(L36&lt;&gt;"",K36=""),"No tax code",IF(AND(L36&lt;&gt;"",O36=""),"No revenue GL code",""))))))))</f>
        <v/>
      </c>
      <c r="W36" s="25">
        <f>IF(E36="","",IF(COUNTIF(tbl_Onsite[Job Number],E36&amp;"")&gt;0,"Onsite",IF(COUNTIF(tbl_Production[Job Number],E36&amp;"")&gt;0,"Production",IF(COUNTIF(tbl_Consulting[Job Number],E36&amp;"")&gt;0,"Consulting","not set up yet"))))</f>
        <v/>
      </c>
      <c r="X36" s="25">
        <f>IF(E36="","",IFERROR(INDEX(lst_JobName,MATCH(E36&amp;"",lst_Jobs,0)),""))</f>
        <v/>
      </c>
      <c r="Y36" s="28">
        <f>IF(E36="","",COUNTIFS(tbl_Finance[Job Number],E36&amp;"",tbl_Finance[Ex GST],"&lt;&gt;"))</f>
        <v/>
      </c>
      <c r="Z36" s="27">
        <f>IF(E36="","",SUMIFS(tbl_Finance[Ex GST],tbl_Finance[Job Number],E36&amp;""))</f>
        <v/>
      </c>
      <c r="AA36" s="27">
        <f>IF(E36="","",SUMIFS(tbl_Finance[Ex GST],tbl_Finance[Job Number],E36&amp;"",tbl_Finance[Xero Invoice No],"&lt;&gt;"))</f>
        <v/>
      </c>
      <c r="AB36" s="27">
        <f>IF(E36="","",Z36-AA36)</f>
        <v/>
      </c>
      <c r="AC36" s="25">
        <f>IF(E36="","",IFERROR(IF(INDEX(tbl_Onsite[Qwilr Quote],IFERROR(MATCH(E36&amp;"",tbl_Onsite[Job Number],0),MATCH(IFERROR(E36+0,E36),tbl_Onsite[Job Number],0)))="","",INDEX(tbl_Onsite[Qwilr Quote],IFERROR(MATCH(E36&amp;"",tbl_Onsite[Job Number],0),MATCH(IFERROR(E36+0,E36),tbl_Onsite[Job Number],0)))),IFERROR(IF(IF(INDEX(tbl_Production[Current RMS No],IFERROR(MATCH(E36&amp;"",tbl_Production[Job Number],0),MATCH(IFERROR(E36+0,E36),tbl_Production[Job Number],0)))="",INDEX(tbl_Production[Qwilr Quote],IFERROR(MATCH(E36&amp;"",tbl_Production[Job Number],0),MATCH(IFERROR(E36+0,E36),tbl_Production[Job Number],0))),INDEX(tbl_Production[Current RMS No],IFERROR(MATCH(E36&amp;"",tbl_Production[Job Number],0),MATCH(IFERROR(E36+0,E36),tbl_Production[Job Number],0))))="","",IF(INDEX(tbl_Production[Current RMS No],IFERROR(MATCH(E36&amp;"",tbl_Production[Job Number],0),MATCH(IFERROR(E36+0,E36),tbl_Production[Job Number],0)))="",INDEX(tbl_Production[Qwilr Quote],IFERROR(MATCH(E36&amp;"",tbl_Production[Job Number],0),MATCH(IFERROR(E36+0,E36),tbl_Production[Job Number],0))),INDEX(tbl_Production[Current RMS No],IFERROR(MATCH(E36&amp;"",tbl_Production[Job Number],0),MATCH(IFERROR(E36+0,E36),tbl_Production[Job Number],0))))),IFERROR(IF(INDEX(tbl_Consulting[Qwilr Quote],IFERROR(MATCH(E36&amp;"",tbl_Consulting[Job Number],0),MATCH(IFERROR(E36+0,E36),tbl_Consulting[Job Number],0)))="","",INDEX(tbl_Consulting[Qwilr Quote],IFERROR(MATCH(E36&amp;"",tbl_Consulting[Job Number],0),MATCH(IFERROR(E36+0,E36),tbl_Consulting[Job Number],0)))),""))))</f>
        <v/>
      </c>
      <c r="AD36" s="25">
        <f>IF(AC36="","",IF(AND(LEFT(AC36,4)&lt;&gt;"http",IF(H36="Production",set_RMSBase,set_QwilrBase)=""),"",HYPERLINK(IF(LEFT(AC36,4)="http",AC36,IF(H36="Production",set_RMSBase,set_QwilrBase)&amp;AC36),"Open")))</f>
        <v/>
      </c>
      <c r="AE36" s="27">
        <f>IF(E36="","",IFERROR(INDEX(tbl_Production[Total Expense],IFERROR(MATCH(E36&amp;"",tbl_Production[Job Number],0),MATCH(IFERROR(E36+0,E36),tbl_Production[Job Number],0))),IFERROR(INDEX(tbl_Consulting[Total Expense],IFERROR(MATCH(E36&amp;"",tbl_Consulting[Job Number],0),MATCH(IFERROR(E36+0,E36),tbl_Consulting[Job Number],0))),0)))</f>
        <v/>
      </c>
      <c r="AF36" s="27">
        <f>IF(E36="","",Z36-N(AE36))</f>
        <v/>
      </c>
      <c r="AG36" s="29">
        <f>IFERROR(AF36/Z36,"")</f>
        <v/>
      </c>
      <c r="AH36" s="25">
        <f>IF(E36="","",IFERROR(IF(INDEX(tbl_Onsite[Notes],IFERROR(MATCH(E36&amp;"",tbl_Onsite[Job Number],0),MATCH(IFERROR(E36+0,E36),tbl_Onsite[Job Number],0)))="","",INDEX(tbl_Onsite[Notes],IFERROR(MATCH(E36&amp;"",tbl_Onsite[Job Number],0),MATCH(IFERROR(E36+0,E36),tbl_Onsite[Job Number],0)))),IFERROR(IF(INDEX(tbl_Production[Notes],IFERROR(MATCH(E36&amp;"",tbl_Production[Job Number],0),MATCH(IFERROR(E36+0,E36),tbl_Production[Job Number],0)))="","",INDEX(tbl_Production[Notes],IFERROR(MATCH(E36&amp;"",tbl_Production[Job Number],0),MATCH(IFERROR(E36+0,E36),tbl_Production[Job Number],0)))),IFERROR(IF(INDEX(tbl_Consulting[Notes],IFERROR(MATCH(E36&amp;"",tbl_Consulting[Job Number],0),MATCH(IFERROR(E36+0,E36),tbl_Consulting[Job Number],0)))="","",INDEX(tbl_Consulting[Notes],IFERROR(MATCH(E36&amp;"",tbl_Consulting[Job Number],0),MATCH(IFERROR(E36+0,E36),tbl_Consulting[Job Number],0)))),""))))</f>
        <v/>
      </c>
    </row>
    <row r="37" ht="15" customHeight="1">
      <c r="A37" s="22" t="n"/>
      <c r="B37" s="23">
        <f>IF(A37="","",EOMONTH(A37,0))</f>
        <v/>
      </c>
      <c r="C37" s="24" t="n"/>
      <c r="D37" s="24" t="n"/>
      <c r="E37" s="24" t="n"/>
      <c r="F37" s="25">
        <f>IF(E37="","",IF(COUNTIF(lst_Jobs,E37&amp;"")&gt;0,"OK","CHECK"))</f>
        <v/>
      </c>
      <c r="G37" s="24" t="n"/>
      <c r="H37" s="24" t="n"/>
      <c r="I37" s="24" t="n"/>
      <c r="J37" s="24" t="n"/>
      <c r="K37" s="24" t="n"/>
      <c r="L37" s="26" t="n"/>
      <c r="M37" s="27">
        <f>IF(L37="","",IF(K37="GST 10%",ROUND(L37*set_GSTRate,2),0))</f>
        <v/>
      </c>
      <c r="N37" s="27">
        <f>IF(L37="","",L37+M37)</f>
        <v/>
      </c>
      <c r="O37" s="24" t="n"/>
      <c r="P37" s="24" t="n"/>
      <c r="Q37" s="24" t="n"/>
      <c r="R37" s="22" t="n"/>
      <c r="S37" s="22" t="n"/>
      <c r="T37" s="24" t="n"/>
      <c r="U37" s="24" t="n"/>
      <c r="V37" s="25">
        <f>IF(COUNTA(A37,D37,C37,L37)=0,"",IF(A37="","No date - sits outside every month",IF(E37="","No job number",IF(F37="CHECK","Job number is not in the Xero job list",IF(I37="","No cost centre",IF(AND(P37="Y",C37=""),"Marked posted to Xero but has no invoice number",IF(AND(L37&lt;&gt;"",K37=""),"No tax code",IF(AND(L37&lt;&gt;"",O37=""),"No revenue GL code",""))))))))</f>
        <v/>
      </c>
      <c r="W37" s="25">
        <f>IF(E37="","",IF(COUNTIF(tbl_Onsite[Job Number],E37&amp;"")&gt;0,"Onsite",IF(COUNTIF(tbl_Production[Job Number],E37&amp;"")&gt;0,"Production",IF(COUNTIF(tbl_Consulting[Job Number],E37&amp;"")&gt;0,"Consulting","not set up yet"))))</f>
        <v/>
      </c>
      <c r="X37" s="25">
        <f>IF(E37="","",IFERROR(INDEX(lst_JobName,MATCH(E37&amp;"",lst_Jobs,0)),""))</f>
        <v/>
      </c>
      <c r="Y37" s="28">
        <f>IF(E37="","",COUNTIFS(tbl_Finance[Job Number],E37&amp;"",tbl_Finance[Ex GST],"&lt;&gt;"))</f>
        <v/>
      </c>
      <c r="Z37" s="27">
        <f>IF(E37="","",SUMIFS(tbl_Finance[Ex GST],tbl_Finance[Job Number],E37&amp;""))</f>
        <v/>
      </c>
      <c r="AA37" s="27">
        <f>IF(E37="","",SUMIFS(tbl_Finance[Ex GST],tbl_Finance[Job Number],E37&amp;"",tbl_Finance[Xero Invoice No],"&lt;&gt;"))</f>
        <v/>
      </c>
      <c r="AB37" s="27">
        <f>IF(E37="","",Z37-AA37)</f>
        <v/>
      </c>
      <c r="AC37" s="25">
        <f>IF(E37="","",IFERROR(IF(INDEX(tbl_Onsite[Qwilr Quote],IFERROR(MATCH(E37&amp;"",tbl_Onsite[Job Number],0),MATCH(IFERROR(E37+0,E37),tbl_Onsite[Job Number],0)))="","",INDEX(tbl_Onsite[Qwilr Quote],IFERROR(MATCH(E37&amp;"",tbl_Onsite[Job Number],0),MATCH(IFERROR(E37+0,E37),tbl_Onsite[Job Number],0)))),IFERROR(IF(IF(INDEX(tbl_Production[Current RMS No],IFERROR(MATCH(E37&amp;"",tbl_Production[Job Number],0),MATCH(IFERROR(E37+0,E37),tbl_Production[Job Number],0)))="",INDEX(tbl_Production[Qwilr Quote],IFERROR(MATCH(E37&amp;"",tbl_Production[Job Number],0),MATCH(IFERROR(E37+0,E37),tbl_Production[Job Number],0))),INDEX(tbl_Production[Current RMS No],IFERROR(MATCH(E37&amp;"",tbl_Production[Job Number],0),MATCH(IFERROR(E37+0,E37),tbl_Production[Job Number],0))))="","",IF(INDEX(tbl_Production[Current RMS No],IFERROR(MATCH(E37&amp;"",tbl_Production[Job Number],0),MATCH(IFERROR(E37+0,E37),tbl_Production[Job Number],0)))="",INDEX(tbl_Production[Qwilr Quote],IFERROR(MATCH(E37&amp;"",tbl_Production[Job Number],0),MATCH(IFERROR(E37+0,E37),tbl_Production[Job Number],0))),INDEX(tbl_Production[Current RMS No],IFERROR(MATCH(E37&amp;"",tbl_Production[Job Number],0),MATCH(IFERROR(E37+0,E37),tbl_Production[Job Number],0))))),IFERROR(IF(INDEX(tbl_Consulting[Qwilr Quote],IFERROR(MATCH(E37&amp;"",tbl_Consulting[Job Number],0),MATCH(IFERROR(E37+0,E37),tbl_Consulting[Job Number],0)))="","",INDEX(tbl_Consulting[Qwilr Quote],IFERROR(MATCH(E37&amp;"",tbl_Consulting[Job Number],0),MATCH(IFERROR(E37+0,E37),tbl_Consulting[Job Number],0)))),""))))</f>
        <v/>
      </c>
      <c r="AD37" s="25">
        <f>IF(AC37="","",IF(AND(LEFT(AC37,4)&lt;&gt;"http",IF(H37="Production",set_RMSBase,set_QwilrBase)=""),"",HYPERLINK(IF(LEFT(AC37,4)="http",AC37,IF(H37="Production",set_RMSBase,set_QwilrBase)&amp;AC37),"Open")))</f>
        <v/>
      </c>
      <c r="AE37" s="27">
        <f>IF(E37="","",IFERROR(INDEX(tbl_Production[Total Expense],IFERROR(MATCH(E37&amp;"",tbl_Production[Job Number],0),MATCH(IFERROR(E37+0,E37),tbl_Production[Job Number],0))),IFERROR(INDEX(tbl_Consulting[Total Expense],IFERROR(MATCH(E37&amp;"",tbl_Consulting[Job Number],0),MATCH(IFERROR(E37+0,E37),tbl_Consulting[Job Number],0))),0)))</f>
        <v/>
      </c>
      <c r="AF37" s="27">
        <f>IF(E37="","",Z37-N(AE37))</f>
        <v/>
      </c>
      <c r="AG37" s="29">
        <f>IFERROR(AF37/Z37,"")</f>
        <v/>
      </c>
      <c r="AH37" s="25">
        <f>IF(E37="","",IFERROR(IF(INDEX(tbl_Onsite[Notes],IFERROR(MATCH(E37&amp;"",tbl_Onsite[Job Number],0),MATCH(IFERROR(E37+0,E37),tbl_Onsite[Job Number],0)))="","",INDEX(tbl_Onsite[Notes],IFERROR(MATCH(E37&amp;"",tbl_Onsite[Job Number],0),MATCH(IFERROR(E37+0,E37),tbl_Onsite[Job Number],0)))),IFERROR(IF(INDEX(tbl_Production[Notes],IFERROR(MATCH(E37&amp;"",tbl_Production[Job Number],0),MATCH(IFERROR(E37+0,E37),tbl_Production[Job Number],0)))="","",INDEX(tbl_Production[Notes],IFERROR(MATCH(E37&amp;"",tbl_Production[Job Number],0),MATCH(IFERROR(E37+0,E37),tbl_Production[Job Number],0)))),IFERROR(IF(INDEX(tbl_Consulting[Notes],IFERROR(MATCH(E37&amp;"",tbl_Consulting[Job Number],0),MATCH(IFERROR(E37+0,E37),tbl_Consulting[Job Number],0)))="","",INDEX(tbl_Consulting[Notes],IFERROR(MATCH(E37&amp;"",tbl_Consulting[Job Number],0),MATCH(IFERROR(E37+0,E37),tbl_Consulting[Job Number],0)))),""))))</f>
        <v/>
      </c>
    </row>
    <row r="38" ht="15" customHeight="1">
      <c r="A38" s="22" t="n"/>
      <c r="B38" s="23">
        <f>IF(A38="","",EOMONTH(A38,0))</f>
        <v/>
      </c>
      <c r="C38" s="24" t="n"/>
      <c r="D38" s="24" t="n"/>
      <c r="E38" s="24" t="n"/>
      <c r="F38" s="25">
        <f>IF(E38="","",IF(COUNTIF(lst_Jobs,E38&amp;"")&gt;0,"OK","CHECK"))</f>
        <v/>
      </c>
      <c r="G38" s="24" t="n"/>
      <c r="H38" s="24" t="n"/>
      <c r="I38" s="24" t="n"/>
      <c r="J38" s="24" t="n"/>
      <c r="K38" s="24" t="n"/>
      <c r="L38" s="26" t="n"/>
      <c r="M38" s="27">
        <f>IF(L38="","",IF(K38="GST 10%",ROUND(L38*set_GSTRate,2),0))</f>
        <v/>
      </c>
      <c r="N38" s="27">
        <f>IF(L38="","",L38+M38)</f>
        <v/>
      </c>
      <c r="O38" s="24" t="n"/>
      <c r="P38" s="24" t="n"/>
      <c r="Q38" s="24" t="n"/>
      <c r="R38" s="22" t="n"/>
      <c r="S38" s="22" t="n"/>
      <c r="T38" s="24" t="n"/>
      <c r="U38" s="24" t="n"/>
      <c r="V38" s="25">
        <f>IF(COUNTA(A38,D38,C38,L38)=0,"",IF(A38="","No date - sits outside every month",IF(E38="","No job number",IF(F38="CHECK","Job number is not in the Xero job list",IF(I38="","No cost centre",IF(AND(P38="Y",C38=""),"Marked posted to Xero but has no invoice number",IF(AND(L38&lt;&gt;"",K38=""),"No tax code",IF(AND(L38&lt;&gt;"",O38=""),"No revenue GL code",""))))))))</f>
        <v/>
      </c>
      <c r="W38" s="25">
        <f>IF(E38="","",IF(COUNTIF(tbl_Onsite[Job Number],E38&amp;"")&gt;0,"Onsite",IF(COUNTIF(tbl_Production[Job Number],E38&amp;"")&gt;0,"Production",IF(COUNTIF(tbl_Consulting[Job Number],E38&amp;"")&gt;0,"Consulting","not set up yet"))))</f>
        <v/>
      </c>
      <c r="X38" s="25">
        <f>IF(E38="","",IFERROR(INDEX(lst_JobName,MATCH(E38&amp;"",lst_Jobs,0)),""))</f>
        <v/>
      </c>
      <c r="Y38" s="28">
        <f>IF(E38="","",COUNTIFS(tbl_Finance[Job Number],E38&amp;"",tbl_Finance[Ex GST],"&lt;&gt;"))</f>
        <v/>
      </c>
      <c r="Z38" s="27">
        <f>IF(E38="","",SUMIFS(tbl_Finance[Ex GST],tbl_Finance[Job Number],E38&amp;""))</f>
        <v/>
      </c>
      <c r="AA38" s="27">
        <f>IF(E38="","",SUMIFS(tbl_Finance[Ex GST],tbl_Finance[Job Number],E38&amp;"",tbl_Finance[Xero Invoice No],"&lt;&gt;"))</f>
        <v/>
      </c>
      <c r="AB38" s="27">
        <f>IF(E38="","",Z38-AA38)</f>
        <v/>
      </c>
      <c r="AC38" s="25">
        <f>IF(E38="","",IFERROR(IF(INDEX(tbl_Onsite[Qwilr Quote],IFERROR(MATCH(E38&amp;"",tbl_Onsite[Job Number],0),MATCH(IFERROR(E38+0,E38),tbl_Onsite[Job Number],0)))="","",INDEX(tbl_Onsite[Qwilr Quote],IFERROR(MATCH(E38&amp;"",tbl_Onsite[Job Number],0),MATCH(IFERROR(E38+0,E38),tbl_Onsite[Job Number],0)))),IFERROR(IF(IF(INDEX(tbl_Production[Current RMS No],IFERROR(MATCH(E38&amp;"",tbl_Production[Job Number],0),MATCH(IFERROR(E38+0,E38),tbl_Production[Job Number],0)))="",INDEX(tbl_Production[Qwilr Quote],IFERROR(MATCH(E38&amp;"",tbl_Production[Job Number],0),MATCH(IFERROR(E38+0,E38),tbl_Production[Job Number],0))),INDEX(tbl_Production[Current RMS No],IFERROR(MATCH(E38&amp;"",tbl_Production[Job Number],0),MATCH(IFERROR(E38+0,E38),tbl_Production[Job Number],0))))="","",IF(INDEX(tbl_Production[Current RMS No],IFERROR(MATCH(E38&amp;"",tbl_Production[Job Number],0),MATCH(IFERROR(E38+0,E38),tbl_Production[Job Number],0)))="",INDEX(tbl_Production[Qwilr Quote],IFERROR(MATCH(E38&amp;"",tbl_Production[Job Number],0),MATCH(IFERROR(E38+0,E38),tbl_Production[Job Number],0))),INDEX(tbl_Production[Current RMS No],IFERROR(MATCH(E38&amp;"",tbl_Production[Job Number],0),MATCH(IFERROR(E38+0,E38),tbl_Production[Job Number],0))))),IFERROR(IF(INDEX(tbl_Consulting[Qwilr Quote],IFERROR(MATCH(E38&amp;"",tbl_Consulting[Job Number],0),MATCH(IFERROR(E38+0,E38),tbl_Consulting[Job Number],0)))="","",INDEX(tbl_Consulting[Qwilr Quote],IFERROR(MATCH(E38&amp;"",tbl_Consulting[Job Number],0),MATCH(IFERROR(E38+0,E38),tbl_Consulting[Job Number],0)))),""))))</f>
        <v/>
      </c>
      <c r="AD38" s="25">
        <f>IF(AC38="","",IF(AND(LEFT(AC38,4)&lt;&gt;"http",IF(H38="Production",set_RMSBase,set_QwilrBase)=""),"",HYPERLINK(IF(LEFT(AC38,4)="http",AC38,IF(H38="Production",set_RMSBase,set_QwilrBase)&amp;AC38),"Open")))</f>
        <v/>
      </c>
      <c r="AE38" s="27">
        <f>IF(E38="","",IFERROR(INDEX(tbl_Production[Total Expense],IFERROR(MATCH(E38&amp;"",tbl_Production[Job Number],0),MATCH(IFERROR(E38+0,E38),tbl_Production[Job Number],0))),IFERROR(INDEX(tbl_Consulting[Total Expense],IFERROR(MATCH(E38&amp;"",tbl_Consulting[Job Number],0),MATCH(IFERROR(E38+0,E38),tbl_Consulting[Job Number],0))),0)))</f>
        <v/>
      </c>
      <c r="AF38" s="27">
        <f>IF(E38="","",Z38-N(AE38))</f>
        <v/>
      </c>
      <c r="AG38" s="29">
        <f>IFERROR(AF38/Z38,"")</f>
        <v/>
      </c>
      <c r="AH38" s="25">
        <f>IF(E38="","",IFERROR(IF(INDEX(tbl_Onsite[Notes],IFERROR(MATCH(E38&amp;"",tbl_Onsite[Job Number],0),MATCH(IFERROR(E38+0,E38),tbl_Onsite[Job Number],0)))="","",INDEX(tbl_Onsite[Notes],IFERROR(MATCH(E38&amp;"",tbl_Onsite[Job Number],0),MATCH(IFERROR(E38+0,E38),tbl_Onsite[Job Number],0)))),IFERROR(IF(INDEX(tbl_Production[Notes],IFERROR(MATCH(E38&amp;"",tbl_Production[Job Number],0),MATCH(IFERROR(E38+0,E38),tbl_Production[Job Number],0)))="","",INDEX(tbl_Production[Notes],IFERROR(MATCH(E38&amp;"",tbl_Production[Job Number],0),MATCH(IFERROR(E38+0,E38),tbl_Production[Job Number],0)))),IFERROR(IF(INDEX(tbl_Consulting[Notes],IFERROR(MATCH(E38&amp;"",tbl_Consulting[Job Number],0),MATCH(IFERROR(E38+0,E38),tbl_Consulting[Job Number],0)))="","",INDEX(tbl_Consulting[Notes],IFERROR(MATCH(E38&amp;"",tbl_Consulting[Job Number],0),MATCH(IFERROR(E38+0,E38),tbl_Consulting[Job Number],0)))),""))))</f>
        <v/>
      </c>
    </row>
    <row r="39" ht="15" customHeight="1">
      <c r="A39" s="22" t="n"/>
      <c r="B39" s="23">
        <f>IF(A39="","",EOMONTH(A39,0))</f>
        <v/>
      </c>
      <c r="C39" s="24" t="n"/>
      <c r="D39" s="24" t="n"/>
      <c r="E39" s="24" t="n"/>
      <c r="F39" s="25">
        <f>IF(E39="","",IF(COUNTIF(lst_Jobs,E39&amp;"")&gt;0,"OK","CHECK"))</f>
        <v/>
      </c>
      <c r="G39" s="24" t="n"/>
      <c r="H39" s="24" t="n"/>
      <c r="I39" s="24" t="n"/>
      <c r="J39" s="24" t="n"/>
      <c r="K39" s="24" t="n"/>
      <c r="L39" s="26" t="n"/>
      <c r="M39" s="27">
        <f>IF(L39="","",IF(K39="GST 10%",ROUND(L39*set_GSTRate,2),0))</f>
        <v/>
      </c>
      <c r="N39" s="27">
        <f>IF(L39="","",L39+M39)</f>
        <v/>
      </c>
      <c r="O39" s="24" t="n"/>
      <c r="P39" s="24" t="n"/>
      <c r="Q39" s="24" t="n"/>
      <c r="R39" s="22" t="n"/>
      <c r="S39" s="22" t="n"/>
      <c r="T39" s="24" t="n"/>
      <c r="U39" s="24" t="n"/>
      <c r="V39" s="25">
        <f>IF(COUNTA(A39,D39,C39,L39)=0,"",IF(A39="","No date - sits outside every month",IF(E39="","No job number",IF(F39="CHECK","Job number is not in the Xero job list",IF(I39="","No cost centre",IF(AND(P39="Y",C39=""),"Marked posted to Xero but has no invoice number",IF(AND(L39&lt;&gt;"",K39=""),"No tax code",IF(AND(L39&lt;&gt;"",O39=""),"No revenue GL code",""))))))))</f>
        <v/>
      </c>
      <c r="W39" s="25">
        <f>IF(E39="","",IF(COUNTIF(tbl_Onsite[Job Number],E39&amp;"")&gt;0,"Onsite",IF(COUNTIF(tbl_Production[Job Number],E39&amp;"")&gt;0,"Production",IF(COUNTIF(tbl_Consulting[Job Number],E39&amp;"")&gt;0,"Consulting","not set up yet"))))</f>
        <v/>
      </c>
      <c r="X39" s="25">
        <f>IF(E39="","",IFERROR(INDEX(lst_JobName,MATCH(E39&amp;"",lst_Jobs,0)),""))</f>
        <v/>
      </c>
      <c r="Y39" s="28">
        <f>IF(E39="","",COUNTIFS(tbl_Finance[Job Number],E39&amp;"",tbl_Finance[Ex GST],"&lt;&gt;"))</f>
        <v/>
      </c>
      <c r="Z39" s="27">
        <f>IF(E39="","",SUMIFS(tbl_Finance[Ex GST],tbl_Finance[Job Number],E39&amp;""))</f>
        <v/>
      </c>
      <c r="AA39" s="27">
        <f>IF(E39="","",SUMIFS(tbl_Finance[Ex GST],tbl_Finance[Job Number],E39&amp;"",tbl_Finance[Xero Invoice No],"&lt;&gt;"))</f>
        <v/>
      </c>
      <c r="AB39" s="27">
        <f>IF(E39="","",Z39-AA39)</f>
        <v/>
      </c>
      <c r="AC39" s="25">
        <f>IF(E39="","",IFERROR(IF(INDEX(tbl_Onsite[Qwilr Quote],IFERROR(MATCH(E39&amp;"",tbl_Onsite[Job Number],0),MATCH(IFERROR(E39+0,E39),tbl_Onsite[Job Number],0)))="","",INDEX(tbl_Onsite[Qwilr Quote],IFERROR(MATCH(E39&amp;"",tbl_Onsite[Job Number],0),MATCH(IFERROR(E39+0,E39),tbl_Onsite[Job Number],0)))),IFERROR(IF(IF(INDEX(tbl_Production[Current RMS No],IFERROR(MATCH(E39&amp;"",tbl_Production[Job Number],0),MATCH(IFERROR(E39+0,E39),tbl_Production[Job Number],0)))="",INDEX(tbl_Production[Qwilr Quote],IFERROR(MATCH(E39&amp;"",tbl_Production[Job Number],0),MATCH(IFERROR(E39+0,E39),tbl_Production[Job Number],0))),INDEX(tbl_Production[Current RMS No],IFERROR(MATCH(E39&amp;"",tbl_Production[Job Number],0),MATCH(IFERROR(E39+0,E39),tbl_Production[Job Number],0))))="","",IF(INDEX(tbl_Production[Current RMS No],IFERROR(MATCH(E39&amp;"",tbl_Production[Job Number],0),MATCH(IFERROR(E39+0,E39),tbl_Production[Job Number],0)))="",INDEX(tbl_Production[Qwilr Quote],IFERROR(MATCH(E39&amp;"",tbl_Production[Job Number],0),MATCH(IFERROR(E39+0,E39),tbl_Production[Job Number],0))),INDEX(tbl_Production[Current RMS No],IFERROR(MATCH(E39&amp;"",tbl_Production[Job Number],0),MATCH(IFERROR(E39+0,E39),tbl_Production[Job Number],0))))),IFERROR(IF(INDEX(tbl_Consulting[Qwilr Quote],IFERROR(MATCH(E39&amp;"",tbl_Consulting[Job Number],0),MATCH(IFERROR(E39+0,E39),tbl_Consulting[Job Number],0)))="","",INDEX(tbl_Consulting[Qwilr Quote],IFERROR(MATCH(E39&amp;"",tbl_Consulting[Job Number],0),MATCH(IFERROR(E39+0,E39),tbl_Consulting[Job Number],0)))),""))))</f>
        <v/>
      </c>
      <c r="AD39" s="25">
        <f>IF(AC39="","",IF(AND(LEFT(AC39,4)&lt;&gt;"http",IF(H39="Production",set_RMSBase,set_QwilrBase)=""),"",HYPERLINK(IF(LEFT(AC39,4)="http",AC39,IF(H39="Production",set_RMSBase,set_QwilrBase)&amp;AC39),"Open")))</f>
        <v/>
      </c>
      <c r="AE39" s="27">
        <f>IF(E39="","",IFERROR(INDEX(tbl_Production[Total Expense],IFERROR(MATCH(E39&amp;"",tbl_Production[Job Number],0),MATCH(IFERROR(E39+0,E39),tbl_Production[Job Number],0))),IFERROR(INDEX(tbl_Consulting[Total Expense],IFERROR(MATCH(E39&amp;"",tbl_Consulting[Job Number],0),MATCH(IFERROR(E39+0,E39),tbl_Consulting[Job Number],0))),0)))</f>
        <v/>
      </c>
      <c r="AF39" s="27">
        <f>IF(E39="","",Z39-N(AE39))</f>
        <v/>
      </c>
      <c r="AG39" s="29">
        <f>IFERROR(AF39/Z39,"")</f>
        <v/>
      </c>
      <c r="AH39" s="25">
        <f>IF(E39="","",IFERROR(IF(INDEX(tbl_Onsite[Notes],IFERROR(MATCH(E39&amp;"",tbl_Onsite[Job Number],0),MATCH(IFERROR(E39+0,E39),tbl_Onsite[Job Number],0)))="","",INDEX(tbl_Onsite[Notes],IFERROR(MATCH(E39&amp;"",tbl_Onsite[Job Number],0),MATCH(IFERROR(E39+0,E39),tbl_Onsite[Job Number],0)))),IFERROR(IF(INDEX(tbl_Production[Notes],IFERROR(MATCH(E39&amp;"",tbl_Production[Job Number],0),MATCH(IFERROR(E39+0,E39),tbl_Production[Job Number],0)))="","",INDEX(tbl_Production[Notes],IFERROR(MATCH(E39&amp;"",tbl_Production[Job Number],0),MATCH(IFERROR(E39+0,E39),tbl_Production[Job Number],0)))),IFERROR(IF(INDEX(tbl_Consulting[Notes],IFERROR(MATCH(E39&amp;"",tbl_Consulting[Job Number],0),MATCH(IFERROR(E39+0,E39),tbl_Consulting[Job Number],0)))="","",INDEX(tbl_Consulting[Notes],IFERROR(MATCH(E39&amp;"",tbl_Consulting[Job Number],0),MATCH(IFERROR(E39+0,E39),tbl_Consulting[Job Number],0)))),""))))</f>
        <v/>
      </c>
    </row>
    <row r="40" ht="15" customHeight="1">
      <c r="A40" s="22" t="n"/>
      <c r="B40" s="23">
        <f>IF(A40="","",EOMONTH(A40,0))</f>
        <v/>
      </c>
      <c r="C40" s="24" t="n"/>
      <c r="D40" s="24" t="n"/>
      <c r="E40" s="24" t="n"/>
      <c r="F40" s="25">
        <f>IF(E40="","",IF(COUNTIF(lst_Jobs,E40&amp;"")&gt;0,"OK","CHECK"))</f>
        <v/>
      </c>
      <c r="G40" s="24" t="n"/>
      <c r="H40" s="24" t="n"/>
      <c r="I40" s="24" t="n"/>
      <c r="J40" s="24" t="n"/>
      <c r="K40" s="24" t="n"/>
      <c r="L40" s="26" t="n"/>
      <c r="M40" s="27">
        <f>IF(L40="","",IF(K40="GST 10%",ROUND(L40*set_GSTRate,2),0))</f>
        <v/>
      </c>
      <c r="N40" s="27">
        <f>IF(L40="","",L40+M40)</f>
        <v/>
      </c>
      <c r="O40" s="24" t="n"/>
      <c r="P40" s="24" t="n"/>
      <c r="Q40" s="24" t="n"/>
      <c r="R40" s="22" t="n"/>
      <c r="S40" s="22" t="n"/>
      <c r="T40" s="24" t="n"/>
      <c r="U40" s="24" t="n"/>
      <c r="V40" s="25">
        <f>IF(COUNTA(A40,D40,C40,L40)=0,"",IF(A40="","No date - sits outside every month",IF(E40="","No job number",IF(F40="CHECK","Job number is not in the Xero job list",IF(I40="","No cost centre",IF(AND(P40="Y",C40=""),"Marked posted to Xero but has no invoice number",IF(AND(L40&lt;&gt;"",K40=""),"No tax code",IF(AND(L40&lt;&gt;"",O40=""),"No revenue GL code",""))))))))</f>
        <v/>
      </c>
      <c r="W40" s="25">
        <f>IF(E40="","",IF(COUNTIF(tbl_Onsite[Job Number],E40&amp;"")&gt;0,"Onsite",IF(COUNTIF(tbl_Production[Job Number],E40&amp;"")&gt;0,"Production",IF(COUNTIF(tbl_Consulting[Job Number],E40&amp;"")&gt;0,"Consulting","not set up yet"))))</f>
        <v/>
      </c>
      <c r="X40" s="25">
        <f>IF(E40="","",IFERROR(INDEX(lst_JobName,MATCH(E40&amp;"",lst_Jobs,0)),""))</f>
        <v/>
      </c>
      <c r="Y40" s="28">
        <f>IF(E40="","",COUNTIFS(tbl_Finance[Job Number],E40&amp;"",tbl_Finance[Ex GST],"&lt;&gt;"))</f>
        <v/>
      </c>
      <c r="Z40" s="27">
        <f>IF(E40="","",SUMIFS(tbl_Finance[Ex GST],tbl_Finance[Job Number],E40&amp;""))</f>
        <v/>
      </c>
      <c r="AA40" s="27">
        <f>IF(E40="","",SUMIFS(tbl_Finance[Ex GST],tbl_Finance[Job Number],E40&amp;"",tbl_Finance[Xero Invoice No],"&lt;&gt;"))</f>
        <v/>
      </c>
      <c r="AB40" s="27">
        <f>IF(E40="","",Z40-AA40)</f>
        <v/>
      </c>
      <c r="AC40" s="25">
        <f>IF(E40="","",IFERROR(IF(INDEX(tbl_Onsite[Qwilr Quote],IFERROR(MATCH(E40&amp;"",tbl_Onsite[Job Number],0),MATCH(IFERROR(E40+0,E40),tbl_Onsite[Job Number],0)))="","",INDEX(tbl_Onsite[Qwilr Quote],IFERROR(MATCH(E40&amp;"",tbl_Onsite[Job Number],0),MATCH(IFERROR(E40+0,E40),tbl_Onsite[Job Number],0)))),IFERROR(IF(IF(INDEX(tbl_Production[Current RMS No],IFERROR(MATCH(E40&amp;"",tbl_Production[Job Number],0),MATCH(IFERROR(E40+0,E40),tbl_Production[Job Number],0)))="",INDEX(tbl_Production[Qwilr Quote],IFERROR(MATCH(E40&amp;"",tbl_Production[Job Number],0),MATCH(IFERROR(E40+0,E40),tbl_Production[Job Number],0))),INDEX(tbl_Production[Current RMS No],IFERROR(MATCH(E40&amp;"",tbl_Production[Job Number],0),MATCH(IFERROR(E40+0,E40),tbl_Production[Job Number],0))))="","",IF(INDEX(tbl_Production[Current RMS No],IFERROR(MATCH(E40&amp;"",tbl_Production[Job Number],0),MATCH(IFERROR(E40+0,E40),tbl_Production[Job Number],0)))="",INDEX(tbl_Production[Qwilr Quote],IFERROR(MATCH(E40&amp;"",tbl_Production[Job Number],0),MATCH(IFERROR(E40+0,E40),tbl_Production[Job Number],0))),INDEX(tbl_Production[Current RMS No],IFERROR(MATCH(E40&amp;"",tbl_Production[Job Number],0),MATCH(IFERROR(E40+0,E40),tbl_Production[Job Number],0))))),IFERROR(IF(INDEX(tbl_Consulting[Qwilr Quote],IFERROR(MATCH(E40&amp;"",tbl_Consulting[Job Number],0),MATCH(IFERROR(E40+0,E40),tbl_Consulting[Job Number],0)))="","",INDEX(tbl_Consulting[Qwilr Quote],IFERROR(MATCH(E40&amp;"",tbl_Consulting[Job Number],0),MATCH(IFERROR(E40+0,E40),tbl_Consulting[Job Number],0)))),""))))</f>
        <v/>
      </c>
      <c r="AD40" s="25">
        <f>IF(AC40="","",IF(AND(LEFT(AC40,4)&lt;&gt;"http",IF(H40="Production",set_RMSBase,set_QwilrBase)=""),"",HYPERLINK(IF(LEFT(AC40,4)="http",AC40,IF(H40="Production",set_RMSBase,set_QwilrBase)&amp;AC40),"Open")))</f>
        <v/>
      </c>
      <c r="AE40" s="27">
        <f>IF(E40="","",IFERROR(INDEX(tbl_Production[Total Expense],IFERROR(MATCH(E40&amp;"",tbl_Production[Job Number],0),MATCH(IFERROR(E40+0,E40),tbl_Production[Job Number],0))),IFERROR(INDEX(tbl_Consulting[Total Expense],IFERROR(MATCH(E40&amp;"",tbl_Consulting[Job Number],0),MATCH(IFERROR(E40+0,E40),tbl_Consulting[Job Number],0))),0)))</f>
        <v/>
      </c>
      <c r="AF40" s="27">
        <f>IF(E40="","",Z40-N(AE40))</f>
        <v/>
      </c>
      <c r="AG40" s="29">
        <f>IFERROR(AF40/Z40,"")</f>
        <v/>
      </c>
      <c r="AH40" s="25">
        <f>IF(E40="","",IFERROR(IF(INDEX(tbl_Onsite[Notes],IFERROR(MATCH(E40&amp;"",tbl_Onsite[Job Number],0),MATCH(IFERROR(E40+0,E40),tbl_Onsite[Job Number],0)))="","",INDEX(tbl_Onsite[Notes],IFERROR(MATCH(E40&amp;"",tbl_Onsite[Job Number],0),MATCH(IFERROR(E40+0,E40),tbl_Onsite[Job Number],0)))),IFERROR(IF(INDEX(tbl_Production[Notes],IFERROR(MATCH(E40&amp;"",tbl_Production[Job Number],0),MATCH(IFERROR(E40+0,E40),tbl_Production[Job Number],0)))="","",INDEX(tbl_Production[Notes],IFERROR(MATCH(E40&amp;"",tbl_Production[Job Number],0),MATCH(IFERROR(E40+0,E40),tbl_Production[Job Number],0)))),IFERROR(IF(INDEX(tbl_Consulting[Notes],IFERROR(MATCH(E40&amp;"",tbl_Consulting[Job Number],0),MATCH(IFERROR(E40+0,E40),tbl_Consulting[Job Number],0)))="","",INDEX(tbl_Consulting[Notes],IFERROR(MATCH(E40&amp;"",tbl_Consulting[Job Number],0),MATCH(IFERROR(E40+0,E40),tbl_Consulting[Job Number],0)))),""))))</f>
        <v/>
      </c>
    </row>
    <row r="41" ht="15" customHeight="1">
      <c r="A41" s="22" t="n"/>
      <c r="B41" s="23">
        <f>IF(A41="","",EOMONTH(A41,0))</f>
        <v/>
      </c>
      <c r="C41" s="24" t="n"/>
      <c r="D41" s="24" t="n"/>
      <c r="E41" s="24" t="n"/>
      <c r="F41" s="25">
        <f>IF(E41="","",IF(COUNTIF(lst_Jobs,E41&amp;"")&gt;0,"OK","CHECK"))</f>
        <v/>
      </c>
      <c r="G41" s="24" t="n"/>
      <c r="H41" s="24" t="n"/>
      <c r="I41" s="24" t="n"/>
      <c r="J41" s="24" t="n"/>
      <c r="K41" s="24" t="n"/>
      <c r="L41" s="26" t="n"/>
      <c r="M41" s="27">
        <f>IF(L41="","",IF(K41="GST 10%",ROUND(L41*set_GSTRate,2),0))</f>
        <v/>
      </c>
      <c r="N41" s="27">
        <f>IF(L41="","",L41+M41)</f>
        <v/>
      </c>
      <c r="O41" s="24" t="n"/>
      <c r="P41" s="24" t="n"/>
      <c r="Q41" s="24" t="n"/>
      <c r="R41" s="22" t="n"/>
      <c r="S41" s="22" t="n"/>
      <c r="T41" s="24" t="n"/>
      <c r="U41" s="24" t="n"/>
      <c r="V41" s="25">
        <f>IF(COUNTA(A41,D41,C41,L41)=0,"",IF(A41="","No date - sits outside every month",IF(E41="","No job number",IF(F41="CHECK","Job number is not in the Xero job list",IF(I41="","No cost centre",IF(AND(P41="Y",C41=""),"Marked posted to Xero but has no invoice number",IF(AND(L41&lt;&gt;"",K41=""),"No tax code",IF(AND(L41&lt;&gt;"",O41=""),"No revenue GL code",""))))))))</f>
        <v/>
      </c>
      <c r="W41" s="25">
        <f>IF(E41="","",IF(COUNTIF(tbl_Onsite[Job Number],E41&amp;"")&gt;0,"Onsite",IF(COUNTIF(tbl_Production[Job Number],E41&amp;"")&gt;0,"Production",IF(COUNTIF(tbl_Consulting[Job Number],E41&amp;"")&gt;0,"Consulting","not set up yet"))))</f>
        <v/>
      </c>
      <c r="X41" s="25">
        <f>IF(E41="","",IFERROR(INDEX(lst_JobName,MATCH(E41&amp;"",lst_Jobs,0)),""))</f>
        <v/>
      </c>
      <c r="Y41" s="28">
        <f>IF(E41="","",COUNTIFS(tbl_Finance[Job Number],E41&amp;"",tbl_Finance[Ex GST],"&lt;&gt;"))</f>
        <v/>
      </c>
      <c r="Z41" s="27">
        <f>IF(E41="","",SUMIFS(tbl_Finance[Ex GST],tbl_Finance[Job Number],E41&amp;""))</f>
        <v/>
      </c>
      <c r="AA41" s="27">
        <f>IF(E41="","",SUMIFS(tbl_Finance[Ex GST],tbl_Finance[Job Number],E41&amp;"",tbl_Finance[Xero Invoice No],"&lt;&gt;"))</f>
        <v/>
      </c>
      <c r="AB41" s="27">
        <f>IF(E41="","",Z41-AA41)</f>
        <v/>
      </c>
      <c r="AC41" s="25">
        <f>IF(E41="","",IFERROR(IF(INDEX(tbl_Onsite[Qwilr Quote],IFERROR(MATCH(E41&amp;"",tbl_Onsite[Job Number],0),MATCH(IFERROR(E41+0,E41),tbl_Onsite[Job Number],0)))="","",INDEX(tbl_Onsite[Qwilr Quote],IFERROR(MATCH(E41&amp;"",tbl_Onsite[Job Number],0),MATCH(IFERROR(E41+0,E41),tbl_Onsite[Job Number],0)))),IFERROR(IF(IF(INDEX(tbl_Production[Current RMS No],IFERROR(MATCH(E41&amp;"",tbl_Production[Job Number],0),MATCH(IFERROR(E41+0,E41),tbl_Production[Job Number],0)))="",INDEX(tbl_Production[Qwilr Quote],IFERROR(MATCH(E41&amp;"",tbl_Production[Job Number],0),MATCH(IFERROR(E41+0,E41),tbl_Production[Job Number],0))),INDEX(tbl_Production[Current RMS No],IFERROR(MATCH(E41&amp;"",tbl_Production[Job Number],0),MATCH(IFERROR(E41+0,E41),tbl_Production[Job Number],0))))="","",IF(INDEX(tbl_Production[Current RMS No],IFERROR(MATCH(E41&amp;"",tbl_Production[Job Number],0),MATCH(IFERROR(E41+0,E41),tbl_Production[Job Number],0)))="",INDEX(tbl_Production[Qwilr Quote],IFERROR(MATCH(E41&amp;"",tbl_Production[Job Number],0),MATCH(IFERROR(E41+0,E41),tbl_Production[Job Number],0))),INDEX(tbl_Production[Current RMS No],IFERROR(MATCH(E41&amp;"",tbl_Production[Job Number],0),MATCH(IFERROR(E41+0,E41),tbl_Production[Job Number],0))))),IFERROR(IF(INDEX(tbl_Consulting[Qwilr Quote],IFERROR(MATCH(E41&amp;"",tbl_Consulting[Job Number],0),MATCH(IFERROR(E41+0,E41),tbl_Consulting[Job Number],0)))="","",INDEX(tbl_Consulting[Qwilr Quote],IFERROR(MATCH(E41&amp;"",tbl_Consulting[Job Number],0),MATCH(IFERROR(E41+0,E41),tbl_Consulting[Job Number],0)))),""))))</f>
        <v/>
      </c>
      <c r="AD41" s="25">
        <f>IF(AC41="","",IF(AND(LEFT(AC41,4)&lt;&gt;"http",IF(H41="Production",set_RMSBase,set_QwilrBase)=""),"",HYPERLINK(IF(LEFT(AC41,4)="http",AC41,IF(H41="Production",set_RMSBase,set_QwilrBase)&amp;AC41),"Open")))</f>
        <v/>
      </c>
      <c r="AE41" s="27">
        <f>IF(E41="","",IFERROR(INDEX(tbl_Production[Total Expense],IFERROR(MATCH(E41&amp;"",tbl_Production[Job Number],0),MATCH(IFERROR(E41+0,E41),tbl_Production[Job Number],0))),IFERROR(INDEX(tbl_Consulting[Total Expense],IFERROR(MATCH(E41&amp;"",tbl_Consulting[Job Number],0),MATCH(IFERROR(E41+0,E41),tbl_Consulting[Job Number],0))),0)))</f>
        <v/>
      </c>
      <c r="AF41" s="27">
        <f>IF(E41="","",Z41-N(AE41))</f>
        <v/>
      </c>
      <c r="AG41" s="29">
        <f>IFERROR(AF41/Z41,"")</f>
        <v/>
      </c>
      <c r="AH41" s="25">
        <f>IF(E41="","",IFERROR(IF(INDEX(tbl_Onsite[Notes],IFERROR(MATCH(E41&amp;"",tbl_Onsite[Job Number],0),MATCH(IFERROR(E41+0,E41),tbl_Onsite[Job Number],0)))="","",INDEX(tbl_Onsite[Notes],IFERROR(MATCH(E41&amp;"",tbl_Onsite[Job Number],0),MATCH(IFERROR(E41+0,E41),tbl_Onsite[Job Number],0)))),IFERROR(IF(INDEX(tbl_Production[Notes],IFERROR(MATCH(E41&amp;"",tbl_Production[Job Number],0),MATCH(IFERROR(E41+0,E41),tbl_Production[Job Number],0)))="","",INDEX(tbl_Production[Notes],IFERROR(MATCH(E41&amp;"",tbl_Production[Job Number],0),MATCH(IFERROR(E41+0,E41),tbl_Production[Job Number],0)))),IFERROR(IF(INDEX(tbl_Consulting[Notes],IFERROR(MATCH(E41&amp;"",tbl_Consulting[Job Number],0),MATCH(IFERROR(E41+0,E41),tbl_Consulting[Job Number],0)))="","",INDEX(tbl_Consulting[Notes],IFERROR(MATCH(E41&amp;"",tbl_Consulting[Job Number],0),MATCH(IFERROR(E41+0,E41),tbl_Consulting[Job Number],0)))),""))))</f>
        <v/>
      </c>
    </row>
    <row r="42" ht="15" customHeight="1">
      <c r="A42" s="22" t="n"/>
      <c r="B42" s="23">
        <f>IF(A42="","",EOMONTH(A42,0))</f>
        <v/>
      </c>
      <c r="C42" s="24" t="n"/>
      <c r="D42" s="24" t="n"/>
      <c r="E42" s="24" t="n"/>
      <c r="F42" s="25">
        <f>IF(E42="","",IF(COUNTIF(lst_Jobs,E42&amp;"")&gt;0,"OK","CHECK"))</f>
        <v/>
      </c>
      <c r="G42" s="24" t="n"/>
      <c r="H42" s="24" t="n"/>
      <c r="I42" s="24" t="n"/>
      <c r="J42" s="24" t="n"/>
      <c r="K42" s="24" t="n"/>
      <c r="L42" s="26" t="n"/>
      <c r="M42" s="27">
        <f>IF(L42="","",IF(K42="GST 10%",ROUND(L42*set_GSTRate,2),0))</f>
        <v/>
      </c>
      <c r="N42" s="27">
        <f>IF(L42="","",L42+M42)</f>
        <v/>
      </c>
      <c r="O42" s="24" t="n"/>
      <c r="P42" s="24" t="n"/>
      <c r="Q42" s="24" t="n"/>
      <c r="R42" s="22" t="n"/>
      <c r="S42" s="22" t="n"/>
      <c r="T42" s="24" t="n"/>
      <c r="U42" s="24" t="n"/>
      <c r="V42" s="25">
        <f>IF(COUNTA(A42,D42,C42,L42)=0,"",IF(A42="","No date - sits outside every month",IF(E42="","No job number",IF(F42="CHECK","Job number is not in the Xero job list",IF(I42="","No cost centre",IF(AND(P42="Y",C42=""),"Marked posted to Xero but has no invoice number",IF(AND(L42&lt;&gt;"",K42=""),"No tax code",IF(AND(L42&lt;&gt;"",O42=""),"No revenue GL code",""))))))))</f>
        <v/>
      </c>
      <c r="W42" s="25">
        <f>IF(E42="","",IF(COUNTIF(tbl_Onsite[Job Number],E42&amp;"")&gt;0,"Onsite",IF(COUNTIF(tbl_Production[Job Number],E42&amp;"")&gt;0,"Production",IF(COUNTIF(tbl_Consulting[Job Number],E42&amp;"")&gt;0,"Consulting","not set up yet"))))</f>
        <v/>
      </c>
      <c r="X42" s="25">
        <f>IF(E42="","",IFERROR(INDEX(lst_JobName,MATCH(E42&amp;"",lst_Jobs,0)),""))</f>
        <v/>
      </c>
      <c r="Y42" s="28">
        <f>IF(E42="","",COUNTIFS(tbl_Finance[Job Number],E42&amp;"",tbl_Finance[Ex GST],"&lt;&gt;"))</f>
        <v/>
      </c>
      <c r="Z42" s="27">
        <f>IF(E42="","",SUMIFS(tbl_Finance[Ex GST],tbl_Finance[Job Number],E42&amp;""))</f>
        <v/>
      </c>
      <c r="AA42" s="27">
        <f>IF(E42="","",SUMIFS(tbl_Finance[Ex GST],tbl_Finance[Job Number],E42&amp;"",tbl_Finance[Xero Invoice No],"&lt;&gt;"))</f>
        <v/>
      </c>
      <c r="AB42" s="27">
        <f>IF(E42="","",Z42-AA42)</f>
        <v/>
      </c>
      <c r="AC42" s="25">
        <f>IF(E42="","",IFERROR(IF(INDEX(tbl_Onsite[Qwilr Quote],IFERROR(MATCH(E42&amp;"",tbl_Onsite[Job Number],0),MATCH(IFERROR(E42+0,E42),tbl_Onsite[Job Number],0)))="","",INDEX(tbl_Onsite[Qwilr Quote],IFERROR(MATCH(E42&amp;"",tbl_Onsite[Job Number],0),MATCH(IFERROR(E42+0,E42),tbl_Onsite[Job Number],0)))),IFERROR(IF(IF(INDEX(tbl_Production[Current RMS No],IFERROR(MATCH(E42&amp;"",tbl_Production[Job Number],0),MATCH(IFERROR(E42+0,E42),tbl_Production[Job Number],0)))="",INDEX(tbl_Production[Qwilr Quote],IFERROR(MATCH(E42&amp;"",tbl_Production[Job Number],0),MATCH(IFERROR(E42+0,E42),tbl_Production[Job Number],0))),INDEX(tbl_Production[Current RMS No],IFERROR(MATCH(E42&amp;"",tbl_Production[Job Number],0),MATCH(IFERROR(E42+0,E42),tbl_Production[Job Number],0))))="","",IF(INDEX(tbl_Production[Current RMS No],IFERROR(MATCH(E42&amp;"",tbl_Production[Job Number],0),MATCH(IFERROR(E42+0,E42),tbl_Production[Job Number],0)))="",INDEX(tbl_Production[Qwilr Quote],IFERROR(MATCH(E42&amp;"",tbl_Production[Job Number],0),MATCH(IFERROR(E42+0,E42),tbl_Production[Job Number],0))),INDEX(tbl_Production[Current RMS No],IFERROR(MATCH(E42&amp;"",tbl_Production[Job Number],0),MATCH(IFERROR(E42+0,E42),tbl_Production[Job Number],0))))),IFERROR(IF(INDEX(tbl_Consulting[Qwilr Quote],IFERROR(MATCH(E42&amp;"",tbl_Consulting[Job Number],0),MATCH(IFERROR(E42+0,E42),tbl_Consulting[Job Number],0)))="","",INDEX(tbl_Consulting[Qwilr Quote],IFERROR(MATCH(E42&amp;"",tbl_Consulting[Job Number],0),MATCH(IFERROR(E42+0,E42),tbl_Consulting[Job Number],0)))),""))))</f>
        <v/>
      </c>
      <c r="AD42" s="25">
        <f>IF(AC42="","",IF(AND(LEFT(AC42,4)&lt;&gt;"http",IF(H42="Production",set_RMSBase,set_QwilrBase)=""),"",HYPERLINK(IF(LEFT(AC42,4)="http",AC42,IF(H42="Production",set_RMSBase,set_QwilrBase)&amp;AC42),"Open")))</f>
        <v/>
      </c>
      <c r="AE42" s="27">
        <f>IF(E42="","",IFERROR(INDEX(tbl_Production[Total Expense],IFERROR(MATCH(E42&amp;"",tbl_Production[Job Number],0),MATCH(IFERROR(E42+0,E42),tbl_Production[Job Number],0))),IFERROR(INDEX(tbl_Consulting[Total Expense],IFERROR(MATCH(E42&amp;"",tbl_Consulting[Job Number],0),MATCH(IFERROR(E42+0,E42),tbl_Consulting[Job Number],0))),0)))</f>
        <v/>
      </c>
      <c r="AF42" s="27">
        <f>IF(E42="","",Z42-N(AE42))</f>
        <v/>
      </c>
      <c r="AG42" s="29">
        <f>IFERROR(AF42/Z42,"")</f>
        <v/>
      </c>
      <c r="AH42" s="25">
        <f>IF(E42="","",IFERROR(IF(INDEX(tbl_Onsite[Notes],IFERROR(MATCH(E42&amp;"",tbl_Onsite[Job Number],0),MATCH(IFERROR(E42+0,E42),tbl_Onsite[Job Number],0)))="","",INDEX(tbl_Onsite[Notes],IFERROR(MATCH(E42&amp;"",tbl_Onsite[Job Number],0),MATCH(IFERROR(E42+0,E42),tbl_Onsite[Job Number],0)))),IFERROR(IF(INDEX(tbl_Production[Notes],IFERROR(MATCH(E42&amp;"",tbl_Production[Job Number],0),MATCH(IFERROR(E42+0,E42),tbl_Production[Job Number],0)))="","",INDEX(tbl_Production[Notes],IFERROR(MATCH(E42&amp;"",tbl_Production[Job Number],0),MATCH(IFERROR(E42+0,E42),tbl_Production[Job Number],0)))),IFERROR(IF(INDEX(tbl_Consulting[Notes],IFERROR(MATCH(E42&amp;"",tbl_Consulting[Job Number],0),MATCH(IFERROR(E42+0,E42),tbl_Consulting[Job Number],0)))="","",INDEX(tbl_Consulting[Notes],IFERROR(MATCH(E42&amp;"",tbl_Consulting[Job Number],0),MATCH(IFERROR(E42+0,E42),tbl_Consulting[Job Number],0)))),""))))</f>
        <v/>
      </c>
    </row>
    <row r="43" ht="15" customHeight="1">
      <c r="A43" s="22" t="n"/>
      <c r="B43" s="23">
        <f>IF(A43="","",EOMONTH(A43,0))</f>
        <v/>
      </c>
      <c r="C43" s="24" t="n"/>
      <c r="D43" s="24" t="n"/>
      <c r="E43" s="24" t="n"/>
      <c r="F43" s="25">
        <f>IF(E43="","",IF(COUNTIF(lst_Jobs,E43&amp;"")&gt;0,"OK","CHECK"))</f>
        <v/>
      </c>
      <c r="G43" s="24" t="n"/>
      <c r="H43" s="24" t="n"/>
      <c r="I43" s="24" t="n"/>
      <c r="J43" s="24" t="n"/>
      <c r="K43" s="24" t="n"/>
      <c r="L43" s="26" t="n"/>
      <c r="M43" s="27">
        <f>IF(L43="","",IF(K43="GST 10%",ROUND(L43*set_GSTRate,2),0))</f>
        <v/>
      </c>
      <c r="N43" s="27">
        <f>IF(L43="","",L43+M43)</f>
        <v/>
      </c>
      <c r="O43" s="24" t="n"/>
      <c r="P43" s="24" t="n"/>
      <c r="Q43" s="24" t="n"/>
      <c r="R43" s="22" t="n"/>
      <c r="S43" s="22" t="n"/>
      <c r="T43" s="24" t="n"/>
      <c r="U43" s="24" t="n"/>
      <c r="V43" s="25">
        <f>IF(COUNTA(A43,D43,C43,L43)=0,"",IF(A43="","No date - sits outside every month",IF(E43="","No job number",IF(F43="CHECK","Job number is not in the Xero job list",IF(I43="","No cost centre",IF(AND(P43="Y",C43=""),"Marked posted to Xero but has no invoice number",IF(AND(L43&lt;&gt;"",K43=""),"No tax code",IF(AND(L43&lt;&gt;"",O43=""),"No revenue GL code",""))))))))</f>
        <v/>
      </c>
      <c r="W43" s="25">
        <f>IF(E43="","",IF(COUNTIF(tbl_Onsite[Job Number],E43&amp;"")&gt;0,"Onsite",IF(COUNTIF(tbl_Production[Job Number],E43&amp;"")&gt;0,"Production",IF(COUNTIF(tbl_Consulting[Job Number],E43&amp;"")&gt;0,"Consulting","not set up yet"))))</f>
        <v/>
      </c>
      <c r="X43" s="25">
        <f>IF(E43="","",IFERROR(INDEX(lst_JobName,MATCH(E43&amp;"",lst_Jobs,0)),""))</f>
        <v/>
      </c>
      <c r="Y43" s="28">
        <f>IF(E43="","",COUNTIFS(tbl_Finance[Job Number],E43&amp;"",tbl_Finance[Ex GST],"&lt;&gt;"))</f>
        <v/>
      </c>
      <c r="Z43" s="27">
        <f>IF(E43="","",SUMIFS(tbl_Finance[Ex GST],tbl_Finance[Job Number],E43&amp;""))</f>
        <v/>
      </c>
      <c r="AA43" s="27">
        <f>IF(E43="","",SUMIFS(tbl_Finance[Ex GST],tbl_Finance[Job Number],E43&amp;"",tbl_Finance[Xero Invoice No],"&lt;&gt;"))</f>
        <v/>
      </c>
      <c r="AB43" s="27">
        <f>IF(E43="","",Z43-AA43)</f>
        <v/>
      </c>
      <c r="AC43" s="25">
        <f>IF(E43="","",IFERROR(IF(INDEX(tbl_Onsite[Qwilr Quote],IFERROR(MATCH(E43&amp;"",tbl_Onsite[Job Number],0),MATCH(IFERROR(E43+0,E43),tbl_Onsite[Job Number],0)))="","",INDEX(tbl_Onsite[Qwilr Quote],IFERROR(MATCH(E43&amp;"",tbl_Onsite[Job Number],0),MATCH(IFERROR(E43+0,E43),tbl_Onsite[Job Number],0)))),IFERROR(IF(IF(INDEX(tbl_Production[Current RMS No],IFERROR(MATCH(E43&amp;"",tbl_Production[Job Number],0),MATCH(IFERROR(E43+0,E43),tbl_Production[Job Number],0)))="",INDEX(tbl_Production[Qwilr Quote],IFERROR(MATCH(E43&amp;"",tbl_Production[Job Number],0),MATCH(IFERROR(E43+0,E43),tbl_Production[Job Number],0))),INDEX(tbl_Production[Current RMS No],IFERROR(MATCH(E43&amp;"",tbl_Production[Job Number],0),MATCH(IFERROR(E43+0,E43),tbl_Production[Job Number],0))))="","",IF(INDEX(tbl_Production[Current RMS No],IFERROR(MATCH(E43&amp;"",tbl_Production[Job Number],0),MATCH(IFERROR(E43+0,E43),tbl_Production[Job Number],0)))="",INDEX(tbl_Production[Qwilr Quote],IFERROR(MATCH(E43&amp;"",tbl_Production[Job Number],0),MATCH(IFERROR(E43+0,E43),tbl_Production[Job Number],0))),INDEX(tbl_Production[Current RMS No],IFERROR(MATCH(E43&amp;"",tbl_Production[Job Number],0),MATCH(IFERROR(E43+0,E43),tbl_Production[Job Number],0))))),IFERROR(IF(INDEX(tbl_Consulting[Qwilr Quote],IFERROR(MATCH(E43&amp;"",tbl_Consulting[Job Number],0),MATCH(IFERROR(E43+0,E43),tbl_Consulting[Job Number],0)))="","",INDEX(tbl_Consulting[Qwilr Quote],IFERROR(MATCH(E43&amp;"",tbl_Consulting[Job Number],0),MATCH(IFERROR(E43+0,E43),tbl_Consulting[Job Number],0)))),""))))</f>
        <v/>
      </c>
      <c r="AD43" s="25">
        <f>IF(AC43="","",IF(AND(LEFT(AC43,4)&lt;&gt;"http",IF(H43="Production",set_RMSBase,set_QwilrBase)=""),"",HYPERLINK(IF(LEFT(AC43,4)="http",AC43,IF(H43="Production",set_RMSBase,set_QwilrBase)&amp;AC43),"Open")))</f>
        <v/>
      </c>
      <c r="AE43" s="27">
        <f>IF(E43="","",IFERROR(INDEX(tbl_Production[Total Expense],IFERROR(MATCH(E43&amp;"",tbl_Production[Job Number],0),MATCH(IFERROR(E43+0,E43),tbl_Production[Job Number],0))),IFERROR(INDEX(tbl_Consulting[Total Expense],IFERROR(MATCH(E43&amp;"",tbl_Consulting[Job Number],0),MATCH(IFERROR(E43+0,E43),tbl_Consulting[Job Number],0))),0)))</f>
        <v/>
      </c>
      <c r="AF43" s="27">
        <f>IF(E43="","",Z43-N(AE43))</f>
        <v/>
      </c>
      <c r="AG43" s="29">
        <f>IFERROR(AF43/Z43,"")</f>
        <v/>
      </c>
      <c r="AH43" s="25">
        <f>IF(E43="","",IFERROR(IF(INDEX(tbl_Onsite[Notes],IFERROR(MATCH(E43&amp;"",tbl_Onsite[Job Number],0),MATCH(IFERROR(E43+0,E43),tbl_Onsite[Job Number],0)))="","",INDEX(tbl_Onsite[Notes],IFERROR(MATCH(E43&amp;"",tbl_Onsite[Job Number],0),MATCH(IFERROR(E43+0,E43),tbl_Onsite[Job Number],0)))),IFERROR(IF(INDEX(tbl_Production[Notes],IFERROR(MATCH(E43&amp;"",tbl_Production[Job Number],0),MATCH(IFERROR(E43+0,E43),tbl_Production[Job Number],0)))="","",INDEX(tbl_Production[Notes],IFERROR(MATCH(E43&amp;"",tbl_Production[Job Number],0),MATCH(IFERROR(E43+0,E43),tbl_Production[Job Number],0)))),IFERROR(IF(INDEX(tbl_Consulting[Notes],IFERROR(MATCH(E43&amp;"",tbl_Consulting[Job Number],0),MATCH(IFERROR(E43+0,E43),tbl_Consulting[Job Number],0)))="","",INDEX(tbl_Consulting[Notes],IFERROR(MATCH(E43&amp;"",tbl_Consulting[Job Number],0),MATCH(IFERROR(E43+0,E43),tbl_Consulting[Job Number],0)))),""))))</f>
        <v/>
      </c>
    </row>
    <row r="44" ht="15" customHeight="1">
      <c r="A44" s="22" t="n"/>
      <c r="B44" s="23">
        <f>IF(A44="","",EOMONTH(A44,0))</f>
        <v/>
      </c>
      <c r="C44" s="24" t="n"/>
      <c r="D44" s="24" t="n"/>
      <c r="E44" s="24" t="n"/>
      <c r="F44" s="25">
        <f>IF(E44="","",IF(COUNTIF(lst_Jobs,E44&amp;"")&gt;0,"OK","CHECK"))</f>
        <v/>
      </c>
      <c r="G44" s="24" t="n"/>
      <c r="H44" s="24" t="n"/>
      <c r="I44" s="24" t="n"/>
      <c r="J44" s="24" t="n"/>
      <c r="K44" s="24" t="n"/>
      <c r="L44" s="26" t="n"/>
      <c r="M44" s="27">
        <f>IF(L44="","",IF(K44="GST 10%",ROUND(L44*set_GSTRate,2),0))</f>
        <v/>
      </c>
      <c r="N44" s="27">
        <f>IF(L44="","",L44+M44)</f>
        <v/>
      </c>
      <c r="O44" s="24" t="n"/>
      <c r="P44" s="24" t="n"/>
      <c r="Q44" s="24" t="n"/>
      <c r="R44" s="22" t="n"/>
      <c r="S44" s="22" t="n"/>
      <c r="T44" s="24" t="n"/>
      <c r="U44" s="24" t="n"/>
      <c r="V44" s="25">
        <f>IF(COUNTA(A44,D44,C44,L44)=0,"",IF(A44="","No date - sits outside every month",IF(E44="","No job number",IF(F44="CHECK","Job number is not in the Xero job list",IF(I44="","No cost centre",IF(AND(P44="Y",C44=""),"Marked posted to Xero but has no invoice number",IF(AND(L44&lt;&gt;"",K44=""),"No tax code",IF(AND(L44&lt;&gt;"",O44=""),"No revenue GL code",""))))))))</f>
        <v/>
      </c>
      <c r="W44" s="25">
        <f>IF(E44="","",IF(COUNTIF(tbl_Onsite[Job Number],E44&amp;"")&gt;0,"Onsite",IF(COUNTIF(tbl_Production[Job Number],E44&amp;"")&gt;0,"Production",IF(COUNTIF(tbl_Consulting[Job Number],E44&amp;"")&gt;0,"Consulting","not set up yet"))))</f>
        <v/>
      </c>
      <c r="X44" s="25">
        <f>IF(E44="","",IFERROR(INDEX(lst_JobName,MATCH(E44&amp;"",lst_Jobs,0)),""))</f>
        <v/>
      </c>
      <c r="Y44" s="28">
        <f>IF(E44="","",COUNTIFS(tbl_Finance[Job Number],E44&amp;"",tbl_Finance[Ex GST],"&lt;&gt;"))</f>
        <v/>
      </c>
      <c r="Z44" s="27">
        <f>IF(E44="","",SUMIFS(tbl_Finance[Ex GST],tbl_Finance[Job Number],E44&amp;""))</f>
        <v/>
      </c>
      <c r="AA44" s="27">
        <f>IF(E44="","",SUMIFS(tbl_Finance[Ex GST],tbl_Finance[Job Number],E44&amp;"",tbl_Finance[Xero Invoice No],"&lt;&gt;"))</f>
        <v/>
      </c>
      <c r="AB44" s="27">
        <f>IF(E44="","",Z44-AA44)</f>
        <v/>
      </c>
      <c r="AC44" s="25">
        <f>IF(E44="","",IFERROR(IF(INDEX(tbl_Onsite[Qwilr Quote],IFERROR(MATCH(E44&amp;"",tbl_Onsite[Job Number],0),MATCH(IFERROR(E44+0,E44),tbl_Onsite[Job Number],0)))="","",INDEX(tbl_Onsite[Qwilr Quote],IFERROR(MATCH(E44&amp;"",tbl_Onsite[Job Number],0),MATCH(IFERROR(E44+0,E44),tbl_Onsite[Job Number],0)))),IFERROR(IF(IF(INDEX(tbl_Production[Current RMS No],IFERROR(MATCH(E44&amp;"",tbl_Production[Job Number],0),MATCH(IFERROR(E44+0,E44),tbl_Production[Job Number],0)))="",INDEX(tbl_Production[Qwilr Quote],IFERROR(MATCH(E44&amp;"",tbl_Production[Job Number],0),MATCH(IFERROR(E44+0,E44),tbl_Production[Job Number],0))),INDEX(tbl_Production[Current RMS No],IFERROR(MATCH(E44&amp;"",tbl_Production[Job Number],0),MATCH(IFERROR(E44+0,E44),tbl_Production[Job Number],0))))="","",IF(INDEX(tbl_Production[Current RMS No],IFERROR(MATCH(E44&amp;"",tbl_Production[Job Number],0),MATCH(IFERROR(E44+0,E44),tbl_Production[Job Number],0)))="",INDEX(tbl_Production[Qwilr Quote],IFERROR(MATCH(E44&amp;"",tbl_Production[Job Number],0),MATCH(IFERROR(E44+0,E44),tbl_Production[Job Number],0))),INDEX(tbl_Production[Current RMS No],IFERROR(MATCH(E44&amp;"",tbl_Production[Job Number],0),MATCH(IFERROR(E44+0,E44),tbl_Production[Job Number],0))))),IFERROR(IF(INDEX(tbl_Consulting[Qwilr Quote],IFERROR(MATCH(E44&amp;"",tbl_Consulting[Job Number],0),MATCH(IFERROR(E44+0,E44),tbl_Consulting[Job Number],0)))="","",INDEX(tbl_Consulting[Qwilr Quote],IFERROR(MATCH(E44&amp;"",tbl_Consulting[Job Number],0),MATCH(IFERROR(E44+0,E44),tbl_Consulting[Job Number],0)))),""))))</f>
        <v/>
      </c>
      <c r="AD44" s="25">
        <f>IF(AC44="","",IF(AND(LEFT(AC44,4)&lt;&gt;"http",IF(H44="Production",set_RMSBase,set_QwilrBase)=""),"",HYPERLINK(IF(LEFT(AC44,4)="http",AC44,IF(H44="Production",set_RMSBase,set_QwilrBase)&amp;AC44),"Open")))</f>
        <v/>
      </c>
      <c r="AE44" s="27">
        <f>IF(E44="","",IFERROR(INDEX(tbl_Production[Total Expense],IFERROR(MATCH(E44&amp;"",tbl_Production[Job Number],0),MATCH(IFERROR(E44+0,E44),tbl_Production[Job Number],0))),IFERROR(INDEX(tbl_Consulting[Total Expense],IFERROR(MATCH(E44&amp;"",tbl_Consulting[Job Number],0),MATCH(IFERROR(E44+0,E44),tbl_Consulting[Job Number],0))),0)))</f>
        <v/>
      </c>
      <c r="AF44" s="27">
        <f>IF(E44="","",Z44-N(AE44))</f>
        <v/>
      </c>
      <c r="AG44" s="29">
        <f>IFERROR(AF44/Z44,"")</f>
        <v/>
      </c>
      <c r="AH44" s="25">
        <f>IF(E44="","",IFERROR(IF(INDEX(tbl_Onsite[Notes],IFERROR(MATCH(E44&amp;"",tbl_Onsite[Job Number],0),MATCH(IFERROR(E44+0,E44),tbl_Onsite[Job Number],0)))="","",INDEX(tbl_Onsite[Notes],IFERROR(MATCH(E44&amp;"",tbl_Onsite[Job Number],0),MATCH(IFERROR(E44+0,E44),tbl_Onsite[Job Number],0)))),IFERROR(IF(INDEX(tbl_Production[Notes],IFERROR(MATCH(E44&amp;"",tbl_Production[Job Number],0),MATCH(IFERROR(E44+0,E44),tbl_Production[Job Number],0)))="","",INDEX(tbl_Production[Notes],IFERROR(MATCH(E44&amp;"",tbl_Production[Job Number],0),MATCH(IFERROR(E44+0,E44),tbl_Production[Job Number],0)))),IFERROR(IF(INDEX(tbl_Consulting[Notes],IFERROR(MATCH(E44&amp;"",tbl_Consulting[Job Number],0),MATCH(IFERROR(E44+0,E44),tbl_Consulting[Job Number],0)))="","",INDEX(tbl_Consulting[Notes],IFERROR(MATCH(E44&amp;"",tbl_Consulting[Job Number],0),MATCH(IFERROR(E44+0,E44),tbl_Consulting[Job Number],0)))),""))))</f>
        <v/>
      </c>
    </row>
    <row r="45" ht="15" customHeight="1">
      <c r="A45" s="22" t="n"/>
      <c r="B45" s="23">
        <f>IF(A45="","",EOMONTH(A45,0))</f>
        <v/>
      </c>
      <c r="C45" s="24" t="n"/>
      <c r="D45" s="24" t="n"/>
      <c r="E45" s="24" t="n"/>
      <c r="F45" s="25">
        <f>IF(E45="","",IF(COUNTIF(lst_Jobs,E45&amp;"")&gt;0,"OK","CHECK"))</f>
        <v/>
      </c>
      <c r="G45" s="24" t="n"/>
      <c r="H45" s="24" t="n"/>
      <c r="I45" s="24" t="n"/>
      <c r="J45" s="24" t="n"/>
      <c r="K45" s="24" t="n"/>
      <c r="L45" s="26" t="n"/>
      <c r="M45" s="27">
        <f>IF(L45="","",IF(K45="GST 10%",ROUND(L45*set_GSTRate,2),0))</f>
        <v/>
      </c>
      <c r="N45" s="27">
        <f>IF(L45="","",L45+M45)</f>
        <v/>
      </c>
      <c r="O45" s="24" t="n"/>
      <c r="P45" s="24" t="n"/>
      <c r="Q45" s="24" t="n"/>
      <c r="R45" s="22" t="n"/>
      <c r="S45" s="22" t="n"/>
      <c r="T45" s="24" t="n"/>
      <c r="U45" s="24" t="n"/>
      <c r="V45" s="25">
        <f>IF(COUNTA(A45,D45,C45,L45)=0,"",IF(A45="","No date - sits outside every month",IF(E45="","No job number",IF(F45="CHECK","Job number is not in the Xero job list",IF(I45="","No cost centre",IF(AND(P45="Y",C45=""),"Marked posted to Xero but has no invoice number",IF(AND(L45&lt;&gt;"",K45=""),"No tax code",IF(AND(L45&lt;&gt;"",O45=""),"No revenue GL code",""))))))))</f>
        <v/>
      </c>
      <c r="W45" s="25">
        <f>IF(E45="","",IF(COUNTIF(tbl_Onsite[Job Number],E45&amp;"")&gt;0,"Onsite",IF(COUNTIF(tbl_Production[Job Number],E45&amp;"")&gt;0,"Production",IF(COUNTIF(tbl_Consulting[Job Number],E45&amp;"")&gt;0,"Consulting","not set up yet"))))</f>
        <v/>
      </c>
      <c r="X45" s="25">
        <f>IF(E45="","",IFERROR(INDEX(lst_JobName,MATCH(E45&amp;"",lst_Jobs,0)),""))</f>
        <v/>
      </c>
      <c r="Y45" s="28">
        <f>IF(E45="","",COUNTIFS(tbl_Finance[Job Number],E45&amp;"",tbl_Finance[Ex GST],"&lt;&gt;"))</f>
        <v/>
      </c>
      <c r="Z45" s="27">
        <f>IF(E45="","",SUMIFS(tbl_Finance[Ex GST],tbl_Finance[Job Number],E45&amp;""))</f>
        <v/>
      </c>
      <c r="AA45" s="27">
        <f>IF(E45="","",SUMIFS(tbl_Finance[Ex GST],tbl_Finance[Job Number],E45&amp;"",tbl_Finance[Xero Invoice No],"&lt;&gt;"))</f>
        <v/>
      </c>
      <c r="AB45" s="27">
        <f>IF(E45="","",Z45-AA45)</f>
        <v/>
      </c>
      <c r="AC45" s="25">
        <f>IF(E45="","",IFERROR(IF(INDEX(tbl_Onsite[Qwilr Quote],IFERROR(MATCH(E45&amp;"",tbl_Onsite[Job Number],0),MATCH(IFERROR(E45+0,E45),tbl_Onsite[Job Number],0)))="","",INDEX(tbl_Onsite[Qwilr Quote],IFERROR(MATCH(E45&amp;"",tbl_Onsite[Job Number],0),MATCH(IFERROR(E45+0,E45),tbl_Onsite[Job Number],0)))),IFERROR(IF(IF(INDEX(tbl_Production[Current RMS No],IFERROR(MATCH(E45&amp;"",tbl_Production[Job Number],0),MATCH(IFERROR(E45+0,E45),tbl_Production[Job Number],0)))="",INDEX(tbl_Production[Qwilr Quote],IFERROR(MATCH(E45&amp;"",tbl_Production[Job Number],0),MATCH(IFERROR(E45+0,E45),tbl_Production[Job Number],0))),INDEX(tbl_Production[Current RMS No],IFERROR(MATCH(E45&amp;"",tbl_Production[Job Number],0),MATCH(IFERROR(E45+0,E45),tbl_Production[Job Number],0))))="","",IF(INDEX(tbl_Production[Current RMS No],IFERROR(MATCH(E45&amp;"",tbl_Production[Job Number],0),MATCH(IFERROR(E45+0,E45),tbl_Production[Job Number],0)))="",INDEX(tbl_Production[Qwilr Quote],IFERROR(MATCH(E45&amp;"",tbl_Production[Job Number],0),MATCH(IFERROR(E45+0,E45),tbl_Production[Job Number],0))),INDEX(tbl_Production[Current RMS No],IFERROR(MATCH(E45&amp;"",tbl_Production[Job Number],0),MATCH(IFERROR(E45+0,E45),tbl_Production[Job Number],0))))),IFERROR(IF(INDEX(tbl_Consulting[Qwilr Quote],IFERROR(MATCH(E45&amp;"",tbl_Consulting[Job Number],0),MATCH(IFERROR(E45+0,E45),tbl_Consulting[Job Number],0)))="","",INDEX(tbl_Consulting[Qwilr Quote],IFERROR(MATCH(E45&amp;"",tbl_Consulting[Job Number],0),MATCH(IFERROR(E45+0,E45),tbl_Consulting[Job Number],0)))),""))))</f>
        <v/>
      </c>
      <c r="AD45" s="25">
        <f>IF(AC45="","",IF(AND(LEFT(AC45,4)&lt;&gt;"http",IF(H45="Production",set_RMSBase,set_QwilrBase)=""),"",HYPERLINK(IF(LEFT(AC45,4)="http",AC45,IF(H45="Production",set_RMSBase,set_QwilrBase)&amp;AC45),"Open")))</f>
        <v/>
      </c>
      <c r="AE45" s="27">
        <f>IF(E45="","",IFERROR(INDEX(tbl_Production[Total Expense],IFERROR(MATCH(E45&amp;"",tbl_Production[Job Number],0),MATCH(IFERROR(E45+0,E45),tbl_Production[Job Number],0))),IFERROR(INDEX(tbl_Consulting[Total Expense],IFERROR(MATCH(E45&amp;"",tbl_Consulting[Job Number],0),MATCH(IFERROR(E45+0,E45),tbl_Consulting[Job Number],0))),0)))</f>
        <v/>
      </c>
      <c r="AF45" s="27">
        <f>IF(E45="","",Z45-N(AE45))</f>
        <v/>
      </c>
      <c r="AG45" s="29">
        <f>IFERROR(AF45/Z45,"")</f>
        <v/>
      </c>
      <c r="AH45" s="25">
        <f>IF(E45="","",IFERROR(IF(INDEX(tbl_Onsite[Notes],IFERROR(MATCH(E45&amp;"",tbl_Onsite[Job Number],0),MATCH(IFERROR(E45+0,E45),tbl_Onsite[Job Number],0)))="","",INDEX(tbl_Onsite[Notes],IFERROR(MATCH(E45&amp;"",tbl_Onsite[Job Number],0),MATCH(IFERROR(E45+0,E45),tbl_Onsite[Job Number],0)))),IFERROR(IF(INDEX(tbl_Production[Notes],IFERROR(MATCH(E45&amp;"",tbl_Production[Job Number],0),MATCH(IFERROR(E45+0,E45),tbl_Production[Job Number],0)))="","",INDEX(tbl_Production[Notes],IFERROR(MATCH(E45&amp;"",tbl_Production[Job Number],0),MATCH(IFERROR(E45+0,E45),tbl_Production[Job Number],0)))),IFERROR(IF(INDEX(tbl_Consulting[Notes],IFERROR(MATCH(E45&amp;"",tbl_Consulting[Job Number],0),MATCH(IFERROR(E45+0,E45),tbl_Consulting[Job Number],0)))="","",INDEX(tbl_Consulting[Notes],IFERROR(MATCH(E45&amp;"",tbl_Consulting[Job Number],0),MATCH(IFERROR(E45+0,E45),tbl_Consulting[Job Number],0)))),""))))</f>
        <v/>
      </c>
    </row>
    <row r="46" ht="15" customHeight="1">
      <c r="A46" s="22" t="n"/>
      <c r="B46" s="23">
        <f>IF(A46="","",EOMONTH(A46,0))</f>
        <v/>
      </c>
      <c r="C46" s="24" t="n"/>
      <c r="D46" s="24" t="n"/>
      <c r="E46" s="24" t="n"/>
      <c r="F46" s="25">
        <f>IF(E46="","",IF(COUNTIF(lst_Jobs,E46&amp;"")&gt;0,"OK","CHECK"))</f>
        <v/>
      </c>
      <c r="G46" s="24" t="n"/>
      <c r="H46" s="24" t="n"/>
      <c r="I46" s="24" t="n"/>
      <c r="J46" s="24" t="n"/>
      <c r="K46" s="24" t="n"/>
      <c r="L46" s="26" t="n"/>
      <c r="M46" s="27">
        <f>IF(L46="","",IF(K46="GST 10%",ROUND(L46*set_GSTRate,2),0))</f>
        <v/>
      </c>
      <c r="N46" s="27">
        <f>IF(L46="","",L46+M46)</f>
        <v/>
      </c>
      <c r="O46" s="24" t="n"/>
      <c r="P46" s="24" t="n"/>
      <c r="Q46" s="24" t="n"/>
      <c r="R46" s="22" t="n"/>
      <c r="S46" s="22" t="n"/>
      <c r="T46" s="24" t="n"/>
      <c r="U46" s="24" t="n"/>
      <c r="V46" s="25">
        <f>IF(COUNTA(A46,D46,C46,L46)=0,"",IF(A46="","No date - sits outside every month",IF(E46="","No job number",IF(F46="CHECK","Job number is not in the Xero job list",IF(I46="","No cost centre",IF(AND(P46="Y",C46=""),"Marked posted to Xero but has no invoice number",IF(AND(L46&lt;&gt;"",K46=""),"No tax code",IF(AND(L46&lt;&gt;"",O46=""),"No revenue GL code",""))))))))</f>
        <v/>
      </c>
      <c r="W46" s="25">
        <f>IF(E46="","",IF(COUNTIF(tbl_Onsite[Job Number],E46&amp;"")&gt;0,"Onsite",IF(COUNTIF(tbl_Production[Job Number],E46&amp;"")&gt;0,"Production",IF(COUNTIF(tbl_Consulting[Job Number],E46&amp;"")&gt;0,"Consulting","not set up yet"))))</f>
        <v/>
      </c>
      <c r="X46" s="25">
        <f>IF(E46="","",IFERROR(INDEX(lst_JobName,MATCH(E46&amp;"",lst_Jobs,0)),""))</f>
        <v/>
      </c>
      <c r="Y46" s="28">
        <f>IF(E46="","",COUNTIFS(tbl_Finance[Job Number],E46&amp;"",tbl_Finance[Ex GST],"&lt;&gt;"))</f>
        <v/>
      </c>
      <c r="Z46" s="27">
        <f>IF(E46="","",SUMIFS(tbl_Finance[Ex GST],tbl_Finance[Job Number],E46&amp;""))</f>
        <v/>
      </c>
      <c r="AA46" s="27">
        <f>IF(E46="","",SUMIFS(tbl_Finance[Ex GST],tbl_Finance[Job Number],E46&amp;"",tbl_Finance[Xero Invoice No],"&lt;&gt;"))</f>
        <v/>
      </c>
      <c r="AB46" s="27">
        <f>IF(E46="","",Z46-AA46)</f>
        <v/>
      </c>
      <c r="AC46" s="25">
        <f>IF(E46="","",IFERROR(IF(INDEX(tbl_Onsite[Qwilr Quote],IFERROR(MATCH(E46&amp;"",tbl_Onsite[Job Number],0),MATCH(IFERROR(E46+0,E46),tbl_Onsite[Job Number],0)))="","",INDEX(tbl_Onsite[Qwilr Quote],IFERROR(MATCH(E46&amp;"",tbl_Onsite[Job Number],0),MATCH(IFERROR(E46+0,E46),tbl_Onsite[Job Number],0)))),IFERROR(IF(IF(INDEX(tbl_Production[Current RMS No],IFERROR(MATCH(E46&amp;"",tbl_Production[Job Number],0),MATCH(IFERROR(E46+0,E46),tbl_Production[Job Number],0)))="",INDEX(tbl_Production[Qwilr Quote],IFERROR(MATCH(E46&amp;"",tbl_Production[Job Number],0),MATCH(IFERROR(E46+0,E46),tbl_Production[Job Number],0))),INDEX(tbl_Production[Current RMS No],IFERROR(MATCH(E46&amp;"",tbl_Production[Job Number],0),MATCH(IFERROR(E46+0,E46),tbl_Production[Job Number],0))))="","",IF(INDEX(tbl_Production[Current RMS No],IFERROR(MATCH(E46&amp;"",tbl_Production[Job Number],0),MATCH(IFERROR(E46+0,E46),tbl_Production[Job Number],0)))="",INDEX(tbl_Production[Qwilr Quote],IFERROR(MATCH(E46&amp;"",tbl_Production[Job Number],0),MATCH(IFERROR(E46+0,E46),tbl_Production[Job Number],0))),INDEX(tbl_Production[Current RMS No],IFERROR(MATCH(E46&amp;"",tbl_Production[Job Number],0),MATCH(IFERROR(E46+0,E46),tbl_Production[Job Number],0))))),IFERROR(IF(INDEX(tbl_Consulting[Qwilr Quote],IFERROR(MATCH(E46&amp;"",tbl_Consulting[Job Number],0),MATCH(IFERROR(E46+0,E46),tbl_Consulting[Job Number],0)))="","",INDEX(tbl_Consulting[Qwilr Quote],IFERROR(MATCH(E46&amp;"",tbl_Consulting[Job Number],0),MATCH(IFERROR(E46+0,E46),tbl_Consulting[Job Number],0)))),""))))</f>
        <v/>
      </c>
      <c r="AD46" s="25">
        <f>IF(AC46="","",IF(AND(LEFT(AC46,4)&lt;&gt;"http",IF(H46="Production",set_RMSBase,set_QwilrBase)=""),"",HYPERLINK(IF(LEFT(AC46,4)="http",AC46,IF(H46="Production",set_RMSBase,set_QwilrBase)&amp;AC46),"Open")))</f>
        <v/>
      </c>
      <c r="AE46" s="27">
        <f>IF(E46="","",IFERROR(INDEX(tbl_Production[Total Expense],IFERROR(MATCH(E46&amp;"",tbl_Production[Job Number],0),MATCH(IFERROR(E46+0,E46),tbl_Production[Job Number],0))),IFERROR(INDEX(tbl_Consulting[Total Expense],IFERROR(MATCH(E46&amp;"",tbl_Consulting[Job Number],0),MATCH(IFERROR(E46+0,E46),tbl_Consulting[Job Number],0))),0)))</f>
        <v/>
      </c>
      <c r="AF46" s="27">
        <f>IF(E46="","",Z46-N(AE46))</f>
        <v/>
      </c>
      <c r="AG46" s="29">
        <f>IFERROR(AF46/Z46,"")</f>
        <v/>
      </c>
      <c r="AH46" s="25">
        <f>IF(E46="","",IFERROR(IF(INDEX(tbl_Onsite[Notes],IFERROR(MATCH(E46&amp;"",tbl_Onsite[Job Number],0),MATCH(IFERROR(E46+0,E46),tbl_Onsite[Job Number],0)))="","",INDEX(tbl_Onsite[Notes],IFERROR(MATCH(E46&amp;"",tbl_Onsite[Job Number],0),MATCH(IFERROR(E46+0,E46),tbl_Onsite[Job Number],0)))),IFERROR(IF(INDEX(tbl_Production[Notes],IFERROR(MATCH(E46&amp;"",tbl_Production[Job Number],0),MATCH(IFERROR(E46+0,E46),tbl_Production[Job Number],0)))="","",INDEX(tbl_Production[Notes],IFERROR(MATCH(E46&amp;"",tbl_Production[Job Number],0),MATCH(IFERROR(E46+0,E46),tbl_Production[Job Number],0)))),IFERROR(IF(INDEX(tbl_Consulting[Notes],IFERROR(MATCH(E46&amp;"",tbl_Consulting[Job Number],0),MATCH(IFERROR(E46+0,E46),tbl_Consulting[Job Number],0)))="","",INDEX(tbl_Consulting[Notes],IFERROR(MATCH(E46&amp;"",tbl_Consulting[Job Number],0),MATCH(IFERROR(E46+0,E46),tbl_Consulting[Job Number],0)))),""))))</f>
        <v/>
      </c>
    </row>
    <row r="47" ht="15" customHeight="1">
      <c r="A47" s="22" t="n"/>
      <c r="B47" s="23">
        <f>IF(A47="","",EOMONTH(A47,0))</f>
        <v/>
      </c>
      <c r="C47" s="24" t="n"/>
      <c r="D47" s="24" t="n"/>
      <c r="E47" s="24" t="n"/>
      <c r="F47" s="25">
        <f>IF(E47="","",IF(COUNTIF(lst_Jobs,E47&amp;"")&gt;0,"OK","CHECK"))</f>
        <v/>
      </c>
      <c r="G47" s="24" t="n"/>
      <c r="H47" s="24" t="n"/>
      <c r="I47" s="24" t="n"/>
      <c r="J47" s="24" t="n"/>
      <c r="K47" s="24" t="n"/>
      <c r="L47" s="26" t="n"/>
      <c r="M47" s="27">
        <f>IF(L47="","",IF(K47="GST 10%",ROUND(L47*set_GSTRate,2),0))</f>
        <v/>
      </c>
      <c r="N47" s="27">
        <f>IF(L47="","",L47+M47)</f>
        <v/>
      </c>
      <c r="O47" s="24" t="n"/>
      <c r="P47" s="24" t="n"/>
      <c r="Q47" s="24" t="n"/>
      <c r="R47" s="22" t="n"/>
      <c r="S47" s="22" t="n"/>
      <c r="T47" s="24" t="n"/>
      <c r="U47" s="24" t="n"/>
      <c r="V47" s="25">
        <f>IF(COUNTA(A47,D47,C47,L47)=0,"",IF(A47="","No date - sits outside every month",IF(E47="","No job number",IF(F47="CHECK","Job number is not in the Xero job list",IF(I47="","No cost centre",IF(AND(P47="Y",C47=""),"Marked posted to Xero but has no invoice number",IF(AND(L47&lt;&gt;"",K47=""),"No tax code",IF(AND(L47&lt;&gt;"",O47=""),"No revenue GL code",""))))))))</f>
        <v/>
      </c>
      <c r="W47" s="25">
        <f>IF(E47="","",IF(COUNTIF(tbl_Onsite[Job Number],E47&amp;"")&gt;0,"Onsite",IF(COUNTIF(tbl_Production[Job Number],E47&amp;"")&gt;0,"Production",IF(COUNTIF(tbl_Consulting[Job Number],E47&amp;"")&gt;0,"Consulting","not set up yet"))))</f>
        <v/>
      </c>
      <c r="X47" s="25">
        <f>IF(E47="","",IFERROR(INDEX(lst_JobName,MATCH(E47&amp;"",lst_Jobs,0)),""))</f>
        <v/>
      </c>
      <c r="Y47" s="28">
        <f>IF(E47="","",COUNTIFS(tbl_Finance[Job Number],E47&amp;"",tbl_Finance[Ex GST],"&lt;&gt;"))</f>
        <v/>
      </c>
      <c r="Z47" s="27">
        <f>IF(E47="","",SUMIFS(tbl_Finance[Ex GST],tbl_Finance[Job Number],E47&amp;""))</f>
        <v/>
      </c>
      <c r="AA47" s="27">
        <f>IF(E47="","",SUMIFS(tbl_Finance[Ex GST],tbl_Finance[Job Number],E47&amp;"",tbl_Finance[Xero Invoice No],"&lt;&gt;"))</f>
        <v/>
      </c>
      <c r="AB47" s="27">
        <f>IF(E47="","",Z47-AA47)</f>
        <v/>
      </c>
      <c r="AC47" s="25">
        <f>IF(E47="","",IFERROR(IF(INDEX(tbl_Onsite[Qwilr Quote],IFERROR(MATCH(E47&amp;"",tbl_Onsite[Job Number],0),MATCH(IFERROR(E47+0,E47),tbl_Onsite[Job Number],0)))="","",INDEX(tbl_Onsite[Qwilr Quote],IFERROR(MATCH(E47&amp;"",tbl_Onsite[Job Number],0),MATCH(IFERROR(E47+0,E47),tbl_Onsite[Job Number],0)))),IFERROR(IF(IF(INDEX(tbl_Production[Current RMS No],IFERROR(MATCH(E47&amp;"",tbl_Production[Job Number],0),MATCH(IFERROR(E47+0,E47),tbl_Production[Job Number],0)))="",INDEX(tbl_Production[Qwilr Quote],IFERROR(MATCH(E47&amp;"",tbl_Production[Job Number],0),MATCH(IFERROR(E47+0,E47),tbl_Production[Job Number],0))),INDEX(tbl_Production[Current RMS No],IFERROR(MATCH(E47&amp;"",tbl_Production[Job Number],0),MATCH(IFERROR(E47+0,E47),tbl_Production[Job Number],0))))="","",IF(INDEX(tbl_Production[Current RMS No],IFERROR(MATCH(E47&amp;"",tbl_Production[Job Number],0),MATCH(IFERROR(E47+0,E47),tbl_Production[Job Number],0)))="",INDEX(tbl_Production[Qwilr Quote],IFERROR(MATCH(E47&amp;"",tbl_Production[Job Number],0),MATCH(IFERROR(E47+0,E47),tbl_Production[Job Number],0))),INDEX(tbl_Production[Current RMS No],IFERROR(MATCH(E47&amp;"",tbl_Production[Job Number],0),MATCH(IFERROR(E47+0,E47),tbl_Production[Job Number],0))))),IFERROR(IF(INDEX(tbl_Consulting[Qwilr Quote],IFERROR(MATCH(E47&amp;"",tbl_Consulting[Job Number],0),MATCH(IFERROR(E47+0,E47),tbl_Consulting[Job Number],0)))="","",INDEX(tbl_Consulting[Qwilr Quote],IFERROR(MATCH(E47&amp;"",tbl_Consulting[Job Number],0),MATCH(IFERROR(E47+0,E47),tbl_Consulting[Job Number],0)))),""))))</f>
        <v/>
      </c>
      <c r="AD47" s="25">
        <f>IF(AC47="","",IF(AND(LEFT(AC47,4)&lt;&gt;"http",IF(H47="Production",set_RMSBase,set_QwilrBase)=""),"",HYPERLINK(IF(LEFT(AC47,4)="http",AC47,IF(H47="Production",set_RMSBase,set_QwilrBase)&amp;AC47),"Open")))</f>
        <v/>
      </c>
      <c r="AE47" s="27">
        <f>IF(E47="","",IFERROR(INDEX(tbl_Production[Total Expense],IFERROR(MATCH(E47&amp;"",tbl_Production[Job Number],0),MATCH(IFERROR(E47+0,E47),tbl_Production[Job Number],0))),IFERROR(INDEX(tbl_Consulting[Total Expense],IFERROR(MATCH(E47&amp;"",tbl_Consulting[Job Number],0),MATCH(IFERROR(E47+0,E47),tbl_Consulting[Job Number],0))),0)))</f>
        <v/>
      </c>
      <c r="AF47" s="27">
        <f>IF(E47="","",Z47-N(AE47))</f>
        <v/>
      </c>
      <c r="AG47" s="29">
        <f>IFERROR(AF47/Z47,"")</f>
        <v/>
      </c>
      <c r="AH47" s="25">
        <f>IF(E47="","",IFERROR(IF(INDEX(tbl_Onsite[Notes],IFERROR(MATCH(E47&amp;"",tbl_Onsite[Job Number],0),MATCH(IFERROR(E47+0,E47),tbl_Onsite[Job Number],0)))="","",INDEX(tbl_Onsite[Notes],IFERROR(MATCH(E47&amp;"",tbl_Onsite[Job Number],0),MATCH(IFERROR(E47+0,E47),tbl_Onsite[Job Number],0)))),IFERROR(IF(INDEX(tbl_Production[Notes],IFERROR(MATCH(E47&amp;"",tbl_Production[Job Number],0),MATCH(IFERROR(E47+0,E47),tbl_Production[Job Number],0)))="","",INDEX(tbl_Production[Notes],IFERROR(MATCH(E47&amp;"",tbl_Production[Job Number],0),MATCH(IFERROR(E47+0,E47),tbl_Production[Job Number],0)))),IFERROR(IF(INDEX(tbl_Consulting[Notes],IFERROR(MATCH(E47&amp;"",tbl_Consulting[Job Number],0),MATCH(IFERROR(E47+0,E47),tbl_Consulting[Job Number],0)))="","",INDEX(tbl_Consulting[Notes],IFERROR(MATCH(E47&amp;"",tbl_Consulting[Job Number],0),MATCH(IFERROR(E47+0,E47),tbl_Consulting[Job Number],0)))),""))))</f>
        <v/>
      </c>
    </row>
    <row r="48" ht="15" customHeight="1">
      <c r="A48" s="22" t="n"/>
      <c r="B48" s="23">
        <f>IF(A48="","",EOMONTH(A48,0))</f>
        <v/>
      </c>
      <c r="C48" s="24" t="n"/>
      <c r="D48" s="24" t="n"/>
      <c r="E48" s="24" t="n"/>
      <c r="F48" s="25">
        <f>IF(E48="","",IF(COUNTIF(lst_Jobs,E48&amp;"")&gt;0,"OK","CHECK"))</f>
        <v/>
      </c>
      <c r="G48" s="24" t="n"/>
      <c r="H48" s="24" t="n"/>
      <c r="I48" s="24" t="n"/>
      <c r="J48" s="24" t="n"/>
      <c r="K48" s="24" t="n"/>
      <c r="L48" s="26" t="n"/>
      <c r="M48" s="27">
        <f>IF(L48="","",IF(K48="GST 10%",ROUND(L48*set_GSTRate,2),0))</f>
        <v/>
      </c>
      <c r="N48" s="27">
        <f>IF(L48="","",L48+M48)</f>
        <v/>
      </c>
      <c r="O48" s="24" t="n"/>
      <c r="P48" s="24" t="n"/>
      <c r="Q48" s="24" t="n"/>
      <c r="R48" s="22" t="n"/>
      <c r="S48" s="22" t="n"/>
      <c r="T48" s="24" t="n"/>
      <c r="U48" s="24" t="n"/>
      <c r="V48" s="25">
        <f>IF(COUNTA(A48,D48,C48,L48)=0,"",IF(A48="","No date - sits outside every month",IF(E48="","No job number",IF(F48="CHECK","Job number is not in the Xero job list",IF(I48="","No cost centre",IF(AND(P48="Y",C48=""),"Marked posted to Xero but has no invoice number",IF(AND(L48&lt;&gt;"",K48=""),"No tax code",IF(AND(L48&lt;&gt;"",O48=""),"No revenue GL code",""))))))))</f>
        <v/>
      </c>
      <c r="W48" s="25">
        <f>IF(E48="","",IF(COUNTIF(tbl_Onsite[Job Number],E48&amp;"")&gt;0,"Onsite",IF(COUNTIF(tbl_Production[Job Number],E48&amp;"")&gt;0,"Production",IF(COUNTIF(tbl_Consulting[Job Number],E48&amp;"")&gt;0,"Consulting","not set up yet"))))</f>
        <v/>
      </c>
      <c r="X48" s="25">
        <f>IF(E48="","",IFERROR(INDEX(lst_JobName,MATCH(E48&amp;"",lst_Jobs,0)),""))</f>
        <v/>
      </c>
      <c r="Y48" s="28">
        <f>IF(E48="","",COUNTIFS(tbl_Finance[Job Number],E48&amp;"",tbl_Finance[Ex GST],"&lt;&gt;"))</f>
        <v/>
      </c>
      <c r="Z48" s="27">
        <f>IF(E48="","",SUMIFS(tbl_Finance[Ex GST],tbl_Finance[Job Number],E48&amp;""))</f>
        <v/>
      </c>
      <c r="AA48" s="27">
        <f>IF(E48="","",SUMIFS(tbl_Finance[Ex GST],tbl_Finance[Job Number],E48&amp;"",tbl_Finance[Xero Invoice No],"&lt;&gt;"))</f>
        <v/>
      </c>
      <c r="AB48" s="27">
        <f>IF(E48="","",Z48-AA48)</f>
        <v/>
      </c>
      <c r="AC48" s="25">
        <f>IF(E48="","",IFERROR(IF(INDEX(tbl_Onsite[Qwilr Quote],IFERROR(MATCH(E48&amp;"",tbl_Onsite[Job Number],0),MATCH(IFERROR(E48+0,E48),tbl_Onsite[Job Number],0)))="","",INDEX(tbl_Onsite[Qwilr Quote],IFERROR(MATCH(E48&amp;"",tbl_Onsite[Job Number],0),MATCH(IFERROR(E48+0,E48),tbl_Onsite[Job Number],0)))),IFERROR(IF(IF(INDEX(tbl_Production[Current RMS No],IFERROR(MATCH(E48&amp;"",tbl_Production[Job Number],0),MATCH(IFERROR(E48+0,E48),tbl_Production[Job Number],0)))="",INDEX(tbl_Production[Qwilr Quote],IFERROR(MATCH(E48&amp;"",tbl_Production[Job Number],0),MATCH(IFERROR(E48+0,E48),tbl_Production[Job Number],0))),INDEX(tbl_Production[Current RMS No],IFERROR(MATCH(E48&amp;"",tbl_Production[Job Number],0),MATCH(IFERROR(E48+0,E48),tbl_Production[Job Number],0))))="","",IF(INDEX(tbl_Production[Current RMS No],IFERROR(MATCH(E48&amp;"",tbl_Production[Job Number],0),MATCH(IFERROR(E48+0,E48),tbl_Production[Job Number],0)))="",INDEX(tbl_Production[Qwilr Quote],IFERROR(MATCH(E48&amp;"",tbl_Production[Job Number],0),MATCH(IFERROR(E48+0,E48),tbl_Production[Job Number],0))),INDEX(tbl_Production[Current RMS No],IFERROR(MATCH(E48&amp;"",tbl_Production[Job Number],0),MATCH(IFERROR(E48+0,E48),tbl_Production[Job Number],0))))),IFERROR(IF(INDEX(tbl_Consulting[Qwilr Quote],IFERROR(MATCH(E48&amp;"",tbl_Consulting[Job Number],0),MATCH(IFERROR(E48+0,E48),tbl_Consulting[Job Number],0)))="","",INDEX(tbl_Consulting[Qwilr Quote],IFERROR(MATCH(E48&amp;"",tbl_Consulting[Job Number],0),MATCH(IFERROR(E48+0,E48),tbl_Consulting[Job Number],0)))),""))))</f>
        <v/>
      </c>
      <c r="AD48" s="25">
        <f>IF(AC48="","",IF(AND(LEFT(AC48,4)&lt;&gt;"http",IF(H48="Production",set_RMSBase,set_QwilrBase)=""),"",HYPERLINK(IF(LEFT(AC48,4)="http",AC48,IF(H48="Production",set_RMSBase,set_QwilrBase)&amp;AC48),"Open")))</f>
        <v/>
      </c>
      <c r="AE48" s="27">
        <f>IF(E48="","",IFERROR(INDEX(tbl_Production[Total Expense],IFERROR(MATCH(E48&amp;"",tbl_Production[Job Number],0),MATCH(IFERROR(E48+0,E48),tbl_Production[Job Number],0))),IFERROR(INDEX(tbl_Consulting[Total Expense],IFERROR(MATCH(E48&amp;"",tbl_Consulting[Job Number],0),MATCH(IFERROR(E48+0,E48),tbl_Consulting[Job Number],0))),0)))</f>
        <v/>
      </c>
      <c r="AF48" s="27">
        <f>IF(E48="","",Z48-N(AE48))</f>
        <v/>
      </c>
      <c r="AG48" s="29">
        <f>IFERROR(AF48/Z48,"")</f>
        <v/>
      </c>
      <c r="AH48" s="25">
        <f>IF(E48="","",IFERROR(IF(INDEX(tbl_Onsite[Notes],IFERROR(MATCH(E48&amp;"",tbl_Onsite[Job Number],0),MATCH(IFERROR(E48+0,E48),tbl_Onsite[Job Number],0)))="","",INDEX(tbl_Onsite[Notes],IFERROR(MATCH(E48&amp;"",tbl_Onsite[Job Number],0),MATCH(IFERROR(E48+0,E48),tbl_Onsite[Job Number],0)))),IFERROR(IF(INDEX(tbl_Production[Notes],IFERROR(MATCH(E48&amp;"",tbl_Production[Job Number],0),MATCH(IFERROR(E48+0,E48),tbl_Production[Job Number],0)))="","",INDEX(tbl_Production[Notes],IFERROR(MATCH(E48&amp;"",tbl_Production[Job Number],0),MATCH(IFERROR(E48+0,E48),tbl_Production[Job Number],0)))),IFERROR(IF(INDEX(tbl_Consulting[Notes],IFERROR(MATCH(E48&amp;"",tbl_Consulting[Job Number],0),MATCH(IFERROR(E48+0,E48),tbl_Consulting[Job Number],0)))="","",INDEX(tbl_Consulting[Notes],IFERROR(MATCH(E48&amp;"",tbl_Consulting[Job Number],0),MATCH(IFERROR(E48+0,E48),tbl_Consulting[Job Number],0)))),""))))</f>
        <v/>
      </c>
    </row>
    <row r="49" ht="15" customHeight="1">
      <c r="A49" s="22" t="n"/>
      <c r="B49" s="23">
        <f>IF(A49="","",EOMONTH(A49,0))</f>
        <v/>
      </c>
      <c r="C49" s="24" t="n"/>
      <c r="D49" s="24" t="n"/>
      <c r="E49" s="24" t="n"/>
      <c r="F49" s="25">
        <f>IF(E49="","",IF(COUNTIF(lst_Jobs,E49&amp;"")&gt;0,"OK","CHECK"))</f>
        <v/>
      </c>
      <c r="G49" s="24" t="n"/>
      <c r="H49" s="24" t="n"/>
      <c r="I49" s="24" t="n"/>
      <c r="J49" s="24" t="n"/>
      <c r="K49" s="24" t="n"/>
      <c r="L49" s="26" t="n"/>
      <c r="M49" s="27">
        <f>IF(L49="","",IF(K49="GST 10%",ROUND(L49*set_GSTRate,2),0))</f>
        <v/>
      </c>
      <c r="N49" s="27">
        <f>IF(L49="","",L49+M49)</f>
        <v/>
      </c>
      <c r="O49" s="24" t="n"/>
      <c r="P49" s="24" t="n"/>
      <c r="Q49" s="24" t="n"/>
      <c r="R49" s="22" t="n"/>
      <c r="S49" s="22" t="n"/>
      <c r="T49" s="24" t="n"/>
      <c r="U49" s="24" t="n"/>
      <c r="V49" s="25">
        <f>IF(COUNTA(A49,D49,C49,L49)=0,"",IF(A49="","No date - sits outside every month",IF(E49="","No job number",IF(F49="CHECK","Job number is not in the Xero job list",IF(I49="","No cost centre",IF(AND(P49="Y",C49=""),"Marked posted to Xero but has no invoice number",IF(AND(L49&lt;&gt;"",K49=""),"No tax code",IF(AND(L49&lt;&gt;"",O49=""),"No revenue GL code",""))))))))</f>
        <v/>
      </c>
      <c r="W49" s="25">
        <f>IF(E49="","",IF(COUNTIF(tbl_Onsite[Job Number],E49&amp;"")&gt;0,"Onsite",IF(COUNTIF(tbl_Production[Job Number],E49&amp;"")&gt;0,"Production",IF(COUNTIF(tbl_Consulting[Job Number],E49&amp;"")&gt;0,"Consulting","not set up yet"))))</f>
        <v/>
      </c>
      <c r="X49" s="25">
        <f>IF(E49="","",IFERROR(INDEX(lst_JobName,MATCH(E49&amp;"",lst_Jobs,0)),""))</f>
        <v/>
      </c>
      <c r="Y49" s="28">
        <f>IF(E49="","",COUNTIFS(tbl_Finance[Job Number],E49&amp;"",tbl_Finance[Ex GST],"&lt;&gt;"))</f>
        <v/>
      </c>
      <c r="Z49" s="27">
        <f>IF(E49="","",SUMIFS(tbl_Finance[Ex GST],tbl_Finance[Job Number],E49&amp;""))</f>
        <v/>
      </c>
      <c r="AA49" s="27">
        <f>IF(E49="","",SUMIFS(tbl_Finance[Ex GST],tbl_Finance[Job Number],E49&amp;"",tbl_Finance[Xero Invoice No],"&lt;&gt;"))</f>
        <v/>
      </c>
      <c r="AB49" s="27">
        <f>IF(E49="","",Z49-AA49)</f>
        <v/>
      </c>
      <c r="AC49" s="25">
        <f>IF(E49="","",IFERROR(IF(INDEX(tbl_Onsite[Qwilr Quote],IFERROR(MATCH(E49&amp;"",tbl_Onsite[Job Number],0),MATCH(IFERROR(E49+0,E49),tbl_Onsite[Job Number],0)))="","",INDEX(tbl_Onsite[Qwilr Quote],IFERROR(MATCH(E49&amp;"",tbl_Onsite[Job Number],0),MATCH(IFERROR(E49+0,E49),tbl_Onsite[Job Number],0)))),IFERROR(IF(IF(INDEX(tbl_Production[Current RMS No],IFERROR(MATCH(E49&amp;"",tbl_Production[Job Number],0),MATCH(IFERROR(E49+0,E49),tbl_Production[Job Number],0)))="",INDEX(tbl_Production[Qwilr Quote],IFERROR(MATCH(E49&amp;"",tbl_Production[Job Number],0),MATCH(IFERROR(E49+0,E49),tbl_Production[Job Number],0))),INDEX(tbl_Production[Current RMS No],IFERROR(MATCH(E49&amp;"",tbl_Production[Job Number],0),MATCH(IFERROR(E49+0,E49),tbl_Production[Job Number],0))))="","",IF(INDEX(tbl_Production[Current RMS No],IFERROR(MATCH(E49&amp;"",tbl_Production[Job Number],0),MATCH(IFERROR(E49+0,E49),tbl_Production[Job Number],0)))="",INDEX(tbl_Production[Qwilr Quote],IFERROR(MATCH(E49&amp;"",tbl_Production[Job Number],0),MATCH(IFERROR(E49+0,E49),tbl_Production[Job Number],0))),INDEX(tbl_Production[Current RMS No],IFERROR(MATCH(E49&amp;"",tbl_Production[Job Number],0),MATCH(IFERROR(E49+0,E49),tbl_Production[Job Number],0))))),IFERROR(IF(INDEX(tbl_Consulting[Qwilr Quote],IFERROR(MATCH(E49&amp;"",tbl_Consulting[Job Number],0),MATCH(IFERROR(E49+0,E49),tbl_Consulting[Job Number],0)))="","",INDEX(tbl_Consulting[Qwilr Quote],IFERROR(MATCH(E49&amp;"",tbl_Consulting[Job Number],0),MATCH(IFERROR(E49+0,E49),tbl_Consulting[Job Number],0)))),""))))</f>
        <v/>
      </c>
      <c r="AD49" s="25">
        <f>IF(AC49="","",IF(AND(LEFT(AC49,4)&lt;&gt;"http",IF(H49="Production",set_RMSBase,set_QwilrBase)=""),"",HYPERLINK(IF(LEFT(AC49,4)="http",AC49,IF(H49="Production",set_RMSBase,set_QwilrBase)&amp;AC49),"Open")))</f>
        <v/>
      </c>
      <c r="AE49" s="27">
        <f>IF(E49="","",IFERROR(INDEX(tbl_Production[Total Expense],IFERROR(MATCH(E49&amp;"",tbl_Production[Job Number],0),MATCH(IFERROR(E49+0,E49),tbl_Production[Job Number],0))),IFERROR(INDEX(tbl_Consulting[Total Expense],IFERROR(MATCH(E49&amp;"",tbl_Consulting[Job Number],0),MATCH(IFERROR(E49+0,E49),tbl_Consulting[Job Number],0))),0)))</f>
        <v/>
      </c>
      <c r="AF49" s="27">
        <f>IF(E49="","",Z49-N(AE49))</f>
        <v/>
      </c>
      <c r="AG49" s="29">
        <f>IFERROR(AF49/Z49,"")</f>
        <v/>
      </c>
      <c r="AH49" s="25">
        <f>IF(E49="","",IFERROR(IF(INDEX(tbl_Onsite[Notes],IFERROR(MATCH(E49&amp;"",tbl_Onsite[Job Number],0),MATCH(IFERROR(E49+0,E49),tbl_Onsite[Job Number],0)))="","",INDEX(tbl_Onsite[Notes],IFERROR(MATCH(E49&amp;"",tbl_Onsite[Job Number],0),MATCH(IFERROR(E49+0,E49),tbl_Onsite[Job Number],0)))),IFERROR(IF(INDEX(tbl_Production[Notes],IFERROR(MATCH(E49&amp;"",tbl_Production[Job Number],0),MATCH(IFERROR(E49+0,E49),tbl_Production[Job Number],0)))="","",INDEX(tbl_Production[Notes],IFERROR(MATCH(E49&amp;"",tbl_Production[Job Number],0),MATCH(IFERROR(E49+0,E49),tbl_Production[Job Number],0)))),IFERROR(IF(INDEX(tbl_Consulting[Notes],IFERROR(MATCH(E49&amp;"",tbl_Consulting[Job Number],0),MATCH(IFERROR(E49+0,E49),tbl_Consulting[Job Number],0)))="","",INDEX(tbl_Consulting[Notes],IFERROR(MATCH(E49&amp;"",tbl_Consulting[Job Number],0),MATCH(IFERROR(E49+0,E49),tbl_Consulting[Job Number],0)))),""))))</f>
        <v/>
      </c>
    </row>
    <row r="50" ht="15" customHeight="1">
      <c r="A50" s="22" t="n"/>
      <c r="B50" s="23">
        <f>IF(A50="","",EOMONTH(A50,0))</f>
        <v/>
      </c>
      <c r="C50" s="24" t="n"/>
      <c r="D50" s="24" t="n"/>
      <c r="E50" s="24" t="n"/>
      <c r="F50" s="25">
        <f>IF(E50="","",IF(COUNTIF(lst_Jobs,E50&amp;"")&gt;0,"OK","CHECK"))</f>
        <v/>
      </c>
      <c r="G50" s="24" t="n"/>
      <c r="H50" s="24" t="n"/>
      <c r="I50" s="24" t="n"/>
      <c r="J50" s="24" t="n"/>
      <c r="K50" s="24" t="n"/>
      <c r="L50" s="26" t="n"/>
      <c r="M50" s="27">
        <f>IF(L50="","",IF(K50="GST 10%",ROUND(L50*set_GSTRate,2),0))</f>
        <v/>
      </c>
      <c r="N50" s="27">
        <f>IF(L50="","",L50+M50)</f>
        <v/>
      </c>
      <c r="O50" s="24" t="n"/>
      <c r="P50" s="24" t="n"/>
      <c r="Q50" s="24" t="n"/>
      <c r="R50" s="22" t="n"/>
      <c r="S50" s="22" t="n"/>
      <c r="T50" s="24" t="n"/>
      <c r="U50" s="24" t="n"/>
      <c r="V50" s="25">
        <f>IF(COUNTA(A50,D50,C50,L50)=0,"",IF(A50="","No date - sits outside every month",IF(E50="","No job number",IF(F50="CHECK","Job number is not in the Xero job list",IF(I50="","No cost centre",IF(AND(P50="Y",C50=""),"Marked posted to Xero but has no invoice number",IF(AND(L50&lt;&gt;"",K50=""),"No tax code",IF(AND(L50&lt;&gt;"",O50=""),"No revenue GL code",""))))))))</f>
        <v/>
      </c>
      <c r="W50" s="25">
        <f>IF(E50="","",IF(COUNTIF(tbl_Onsite[Job Number],E50&amp;"")&gt;0,"Onsite",IF(COUNTIF(tbl_Production[Job Number],E50&amp;"")&gt;0,"Production",IF(COUNTIF(tbl_Consulting[Job Number],E50&amp;"")&gt;0,"Consulting","not set up yet"))))</f>
        <v/>
      </c>
      <c r="X50" s="25">
        <f>IF(E50="","",IFERROR(INDEX(lst_JobName,MATCH(E50&amp;"",lst_Jobs,0)),""))</f>
        <v/>
      </c>
      <c r="Y50" s="28">
        <f>IF(E50="","",COUNTIFS(tbl_Finance[Job Number],E50&amp;"",tbl_Finance[Ex GST],"&lt;&gt;"))</f>
        <v/>
      </c>
      <c r="Z50" s="27">
        <f>IF(E50="","",SUMIFS(tbl_Finance[Ex GST],tbl_Finance[Job Number],E50&amp;""))</f>
        <v/>
      </c>
      <c r="AA50" s="27">
        <f>IF(E50="","",SUMIFS(tbl_Finance[Ex GST],tbl_Finance[Job Number],E50&amp;"",tbl_Finance[Xero Invoice No],"&lt;&gt;"))</f>
        <v/>
      </c>
      <c r="AB50" s="27">
        <f>IF(E50="","",Z50-AA50)</f>
        <v/>
      </c>
      <c r="AC50" s="25">
        <f>IF(E50="","",IFERROR(IF(INDEX(tbl_Onsite[Qwilr Quote],IFERROR(MATCH(E50&amp;"",tbl_Onsite[Job Number],0),MATCH(IFERROR(E50+0,E50),tbl_Onsite[Job Number],0)))="","",INDEX(tbl_Onsite[Qwilr Quote],IFERROR(MATCH(E50&amp;"",tbl_Onsite[Job Number],0),MATCH(IFERROR(E50+0,E50),tbl_Onsite[Job Number],0)))),IFERROR(IF(IF(INDEX(tbl_Production[Current RMS No],IFERROR(MATCH(E50&amp;"",tbl_Production[Job Number],0),MATCH(IFERROR(E50+0,E50),tbl_Production[Job Number],0)))="",INDEX(tbl_Production[Qwilr Quote],IFERROR(MATCH(E50&amp;"",tbl_Production[Job Number],0),MATCH(IFERROR(E50+0,E50),tbl_Production[Job Number],0))),INDEX(tbl_Production[Current RMS No],IFERROR(MATCH(E50&amp;"",tbl_Production[Job Number],0),MATCH(IFERROR(E50+0,E50),tbl_Production[Job Number],0))))="","",IF(INDEX(tbl_Production[Current RMS No],IFERROR(MATCH(E50&amp;"",tbl_Production[Job Number],0),MATCH(IFERROR(E50+0,E50),tbl_Production[Job Number],0)))="",INDEX(tbl_Production[Qwilr Quote],IFERROR(MATCH(E50&amp;"",tbl_Production[Job Number],0),MATCH(IFERROR(E50+0,E50),tbl_Production[Job Number],0))),INDEX(tbl_Production[Current RMS No],IFERROR(MATCH(E50&amp;"",tbl_Production[Job Number],0),MATCH(IFERROR(E50+0,E50),tbl_Production[Job Number],0))))),IFERROR(IF(INDEX(tbl_Consulting[Qwilr Quote],IFERROR(MATCH(E50&amp;"",tbl_Consulting[Job Number],0),MATCH(IFERROR(E50+0,E50),tbl_Consulting[Job Number],0)))="","",INDEX(tbl_Consulting[Qwilr Quote],IFERROR(MATCH(E50&amp;"",tbl_Consulting[Job Number],0),MATCH(IFERROR(E50+0,E50),tbl_Consulting[Job Number],0)))),""))))</f>
        <v/>
      </c>
      <c r="AD50" s="25">
        <f>IF(AC50="","",IF(AND(LEFT(AC50,4)&lt;&gt;"http",IF(H50="Production",set_RMSBase,set_QwilrBase)=""),"",HYPERLINK(IF(LEFT(AC50,4)="http",AC50,IF(H50="Production",set_RMSBase,set_QwilrBase)&amp;AC50),"Open")))</f>
        <v/>
      </c>
      <c r="AE50" s="27">
        <f>IF(E50="","",IFERROR(INDEX(tbl_Production[Total Expense],IFERROR(MATCH(E50&amp;"",tbl_Production[Job Number],0),MATCH(IFERROR(E50+0,E50),tbl_Production[Job Number],0))),IFERROR(INDEX(tbl_Consulting[Total Expense],IFERROR(MATCH(E50&amp;"",tbl_Consulting[Job Number],0),MATCH(IFERROR(E50+0,E50),tbl_Consulting[Job Number],0))),0)))</f>
        <v/>
      </c>
      <c r="AF50" s="27">
        <f>IF(E50="","",Z50-N(AE50))</f>
        <v/>
      </c>
      <c r="AG50" s="29">
        <f>IFERROR(AF50/Z50,"")</f>
        <v/>
      </c>
      <c r="AH50" s="25">
        <f>IF(E50="","",IFERROR(IF(INDEX(tbl_Onsite[Notes],IFERROR(MATCH(E50&amp;"",tbl_Onsite[Job Number],0),MATCH(IFERROR(E50+0,E50),tbl_Onsite[Job Number],0)))="","",INDEX(tbl_Onsite[Notes],IFERROR(MATCH(E50&amp;"",tbl_Onsite[Job Number],0),MATCH(IFERROR(E50+0,E50),tbl_Onsite[Job Number],0)))),IFERROR(IF(INDEX(tbl_Production[Notes],IFERROR(MATCH(E50&amp;"",tbl_Production[Job Number],0),MATCH(IFERROR(E50+0,E50),tbl_Production[Job Number],0)))="","",INDEX(tbl_Production[Notes],IFERROR(MATCH(E50&amp;"",tbl_Production[Job Number],0),MATCH(IFERROR(E50+0,E50),tbl_Production[Job Number],0)))),IFERROR(IF(INDEX(tbl_Consulting[Notes],IFERROR(MATCH(E50&amp;"",tbl_Consulting[Job Number],0),MATCH(IFERROR(E50+0,E50),tbl_Consulting[Job Number],0)))="","",INDEX(tbl_Consulting[Notes],IFERROR(MATCH(E50&amp;"",tbl_Consulting[Job Number],0),MATCH(IFERROR(E50+0,E50),tbl_Consulting[Job Number],0)))),""))))</f>
        <v/>
      </c>
    </row>
    <row r="51" ht="15" customHeight="1">
      <c r="A51" s="22" t="n"/>
      <c r="B51" s="23">
        <f>IF(A51="","",EOMONTH(A51,0))</f>
        <v/>
      </c>
      <c r="C51" s="24" t="n"/>
      <c r="D51" s="24" t="n"/>
      <c r="E51" s="24" t="n"/>
      <c r="F51" s="25">
        <f>IF(E51="","",IF(COUNTIF(lst_Jobs,E51&amp;"")&gt;0,"OK","CHECK"))</f>
        <v/>
      </c>
      <c r="G51" s="24" t="n"/>
      <c r="H51" s="24" t="n"/>
      <c r="I51" s="24" t="n"/>
      <c r="J51" s="24" t="n"/>
      <c r="K51" s="24" t="n"/>
      <c r="L51" s="26" t="n"/>
      <c r="M51" s="27">
        <f>IF(L51="","",IF(K51="GST 10%",ROUND(L51*set_GSTRate,2),0))</f>
        <v/>
      </c>
      <c r="N51" s="27">
        <f>IF(L51="","",L51+M51)</f>
        <v/>
      </c>
      <c r="O51" s="24" t="n"/>
      <c r="P51" s="24" t="n"/>
      <c r="Q51" s="24" t="n"/>
      <c r="R51" s="22" t="n"/>
      <c r="S51" s="22" t="n"/>
      <c r="T51" s="24" t="n"/>
      <c r="U51" s="24" t="n"/>
      <c r="V51" s="25">
        <f>IF(COUNTA(A51,D51,C51,L51)=0,"",IF(A51="","No date - sits outside every month",IF(E51="","No job number",IF(F51="CHECK","Job number is not in the Xero job list",IF(I51="","No cost centre",IF(AND(P51="Y",C51=""),"Marked posted to Xero but has no invoice number",IF(AND(L51&lt;&gt;"",K51=""),"No tax code",IF(AND(L51&lt;&gt;"",O51=""),"No revenue GL code",""))))))))</f>
        <v/>
      </c>
      <c r="W51" s="25">
        <f>IF(E51="","",IF(COUNTIF(tbl_Onsite[Job Number],E51&amp;"")&gt;0,"Onsite",IF(COUNTIF(tbl_Production[Job Number],E51&amp;"")&gt;0,"Production",IF(COUNTIF(tbl_Consulting[Job Number],E51&amp;"")&gt;0,"Consulting","not set up yet"))))</f>
        <v/>
      </c>
      <c r="X51" s="25">
        <f>IF(E51="","",IFERROR(INDEX(lst_JobName,MATCH(E51&amp;"",lst_Jobs,0)),""))</f>
        <v/>
      </c>
      <c r="Y51" s="28">
        <f>IF(E51="","",COUNTIFS(tbl_Finance[Job Number],E51&amp;"",tbl_Finance[Ex GST],"&lt;&gt;"))</f>
        <v/>
      </c>
      <c r="Z51" s="27">
        <f>IF(E51="","",SUMIFS(tbl_Finance[Ex GST],tbl_Finance[Job Number],E51&amp;""))</f>
        <v/>
      </c>
      <c r="AA51" s="27">
        <f>IF(E51="","",SUMIFS(tbl_Finance[Ex GST],tbl_Finance[Job Number],E51&amp;"",tbl_Finance[Xero Invoice No],"&lt;&gt;"))</f>
        <v/>
      </c>
      <c r="AB51" s="27">
        <f>IF(E51="","",Z51-AA51)</f>
        <v/>
      </c>
      <c r="AC51" s="25">
        <f>IF(E51="","",IFERROR(IF(INDEX(tbl_Onsite[Qwilr Quote],IFERROR(MATCH(E51&amp;"",tbl_Onsite[Job Number],0),MATCH(IFERROR(E51+0,E51),tbl_Onsite[Job Number],0)))="","",INDEX(tbl_Onsite[Qwilr Quote],IFERROR(MATCH(E51&amp;"",tbl_Onsite[Job Number],0),MATCH(IFERROR(E51+0,E51),tbl_Onsite[Job Number],0)))),IFERROR(IF(IF(INDEX(tbl_Production[Current RMS No],IFERROR(MATCH(E51&amp;"",tbl_Production[Job Number],0),MATCH(IFERROR(E51+0,E51),tbl_Production[Job Number],0)))="",INDEX(tbl_Production[Qwilr Quote],IFERROR(MATCH(E51&amp;"",tbl_Production[Job Number],0),MATCH(IFERROR(E51+0,E51),tbl_Production[Job Number],0))),INDEX(tbl_Production[Current RMS No],IFERROR(MATCH(E51&amp;"",tbl_Production[Job Number],0),MATCH(IFERROR(E51+0,E51),tbl_Production[Job Number],0))))="","",IF(INDEX(tbl_Production[Current RMS No],IFERROR(MATCH(E51&amp;"",tbl_Production[Job Number],0),MATCH(IFERROR(E51+0,E51),tbl_Production[Job Number],0)))="",INDEX(tbl_Production[Qwilr Quote],IFERROR(MATCH(E51&amp;"",tbl_Production[Job Number],0),MATCH(IFERROR(E51+0,E51),tbl_Production[Job Number],0))),INDEX(tbl_Production[Current RMS No],IFERROR(MATCH(E51&amp;"",tbl_Production[Job Number],0),MATCH(IFERROR(E51+0,E51),tbl_Production[Job Number],0))))),IFERROR(IF(INDEX(tbl_Consulting[Qwilr Quote],IFERROR(MATCH(E51&amp;"",tbl_Consulting[Job Number],0),MATCH(IFERROR(E51+0,E51),tbl_Consulting[Job Number],0)))="","",INDEX(tbl_Consulting[Qwilr Quote],IFERROR(MATCH(E51&amp;"",tbl_Consulting[Job Number],0),MATCH(IFERROR(E51+0,E51),tbl_Consulting[Job Number],0)))),""))))</f>
        <v/>
      </c>
      <c r="AD51" s="25">
        <f>IF(AC51="","",IF(AND(LEFT(AC51,4)&lt;&gt;"http",IF(H51="Production",set_RMSBase,set_QwilrBase)=""),"",HYPERLINK(IF(LEFT(AC51,4)="http",AC51,IF(H51="Production",set_RMSBase,set_QwilrBase)&amp;AC51),"Open")))</f>
        <v/>
      </c>
      <c r="AE51" s="27">
        <f>IF(E51="","",IFERROR(INDEX(tbl_Production[Total Expense],IFERROR(MATCH(E51&amp;"",tbl_Production[Job Number],0),MATCH(IFERROR(E51+0,E51),tbl_Production[Job Number],0))),IFERROR(INDEX(tbl_Consulting[Total Expense],IFERROR(MATCH(E51&amp;"",tbl_Consulting[Job Number],0),MATCH(IFERROR(E51+0,E51),tbl_Consulting[Job Number],0))),0)))</f>
        <v/>
      </c>
      <c r="AF51" s="27">
        <f>IF(E51="","",Z51-N(AE51))</f>
        <v/>
      </c>
      <c r="AG51" s="29">
        <f>IFERROR(AF51/Z51,"")</f>
        <v/>
      </c>
      <c r="AH51" s="25">
        <f>IF(E51="","",IFERROR(IF(INDEX(tbl_Onsite[Notes],IFERROR(MATCH(E51&amp;"",tbl_Onsite[Job Number],0),MATCH(IFERROR(E51+0,E51),tbl_Onsite[Job Number],0)))="","",INDEX(tbl_Onsite[Notes],IFERROR(MATCH(E51&amp;"",tbl_Onsite[Job Number],0),MATCH(IFERROR(E51+0,E51),tbl_Onsite[Job Number],0)))),IFERROR(IF(INDEX(tbl_Production[Notes],IFERROR(MATCH(E51&amp;"",tbl_Production[Job Number],0),MATCH(IFERROR(E51+0,E51),tbl_Production[Job Number],0)))="","",INDEX(tbl_Production[Notes],IFERROR(MATCH(E51&amp;"",tbl_Production[Job Number],0),MATCH(IFERROR(E51+0,E51),tbl_Production[Job Number],0)))),IFERROR(IF(INDEX(tbl_Consulting[Notes],IFERROR(MATCH(E51&amp;"",tbl_Consulting[Job Number],0),MATCH(IFERROR(E51+0,E51),tbl_Consulting[Job Number],0)))="","",INDEX(tbl_Consulting[Notes],IFERROR(MATCH(E51&amp;"",tbl_Consulting[Job Number],0),MATCH(IFERROR(E51+0,E51),tbl_Consulting[Job Number],0)))),""))))</f>
        <v/>
      </c>
    </row>
    <row r="52" ht="15" customHeight="1">
      <c r="A52" s="22" t="n"/>
      <c r="B52" s="23">
        <f>IF(A52="","",EOMONTH(A52,0))</f>
        <v/>
      </c>
      <c r="C52" s="24" t="n"/>
      <c r="D52" s="24" t="n"/>
      <c r="E52" s="24" t="n"/>
      <c r="F52" s="25">
        <f>IF(E52="","",IF(COUNTIF(lst_Jobs,E52&amp;"")&gt;0,"OK","CHECK"))</f>
        <v/>
      </c>
      <c r="G52" s="24" t="n"/>
      <c r="H52" s="24" t="n"/>
      <c r="I52" s="24" t="n"/>
      <c r="J52" s="24" t="n"/>
      <c r="K52" s="24" t="n"/>
      <c r="L52" s="26" t="n"/>
      <c r="M52" s="27">
        <f>IF(L52="","",IF(K52="GST 10%",ROUND(L52*set_GSTRate,2),0))</f>
        <v/>
      </c>
      <c r="N52" s="27">
        <f>IF(L52="","",L52+M52)</f>
        <v/>
      </c>
      <c r="O52" s="24" t="n"/>
      <c r="P52" s="24" t="n"/>
      <c r="Q52" s="24" t="n"/>
      <c r="R52" s="22" t="n"/>
      <c r="S52" s="22" t="n"/>
      <c r="T52" s="24" t="n"/>
      <c r="U52" s="24" t="n"/>
      <c r="V52" s="25">
        <f>IF(COUNTA(A52,D52,C52,L52)=0,"",IF(A52="","No date - sits outside every month",IF(E52="","No job number",IF(F52="CHECK","Job number is not in the Xero job list",IF(I52="","No cost centre",IF(AND(P52="Y",C52=""),"Marked posted to Xero but has no invoice number",IF(AND(L52&lt;&gt;"",K52=""),"No tax code",IF(AND(L52&lt;&gt;"",O52=""),"No revenue GL code",""))))))))</f>
        <v/>
      </c>
      <c r="W52" s="25">
        <f>IF(E52="","",IF(COUNTIF(tbl_Onsite[Job Number],E52&amp;"")&gt;0,"Onsite",IF(COUNTIF(tbl_Production[Job Number],E52&amp;"")&gt;0,"Production",IF(COUNTIF(tbl_Consulting[Job Number],E52&amp;"")&gt;0,"Consulting","not set up yet"))))</f>
        <v/>
      </c>
      <c r="X52" s="25">
        <f>IF(E52="","",IFERROR(INDEX(lst_JobName,MATCH(E52&amp;"",lst_Jobs,0)),""))</f>
        <v/>
      </c>
      <c r="Y52" s="28">
        <f>IF(E52="","",COUNTIFS(tbl_Finance[Job Number],E52&amp;"",tbl_Finance[Ex GST],"&lt;&gt;"))</f>
        <v/>
      </c>
      <c r="Z52" s="27">
        <f>IF(E52="","",SUMIFS(tbl_Finance[Ex GST],tbl_Finance[Job Number],E52&amp;""))</f>
        <v/>
      </c>
      <c r="AA52" s="27">
        <f>IF(E52="","",SUMIFS(tbl_Finance[Ex GST],tbl_Finance[Job Number],E52&amp;"",tbl_Finance[Xero Invoice No],"&lt;&gt;"))</f>
        <v/>
      </c>
      <c r="AB52" s="27">
        <f>IF(E52="","",Z52-AA52)</f>
        <v/>
      </c>
      <c r="AC52" s="25">
        <f>IF(E52="","",IFERROR(IF(INDEX(tbl_Onsite[Qwilr Quote],IFERROR(MATCH(E52&amp;"",tbl_Onsite[Job Number],0),MATCH(IFERROR(E52+0,E52),tbl_Onsite[Job Number],0)))="","",INDEX(tbl_Onsite[Qwilr Quote],IFERROR(MATCH(E52&amp;"",tbl_Onsite[Job Number],0),MATCH(IFERROR(E52+0,E52),tbl_Onsite[Job Number],0)))),IFERROR(IF(IF(INDEX(tbl_Production[Current RMS No],IFERROR(MATCH(E52&amp;"",tbl_Production[Job Number],0),MATCH(IFERROR(E52+0,E52),tbl_Production[Job Number],0)))="",INDEX(tbl_Production[Qwilr Quote],IFERROR(MATCH(E52&amp;"",tbl_Production[Job Number],0),MATCH(IFERROR(E52+0,E52),tbl_Production[Job Number],0))),INDEX(tbl_Production[Current RMS No],IFERROR(MATCH(E52&amp;"",tbl_Production[Job Number],0),MATCH(IFERROR(E52+0,E52),tbl_Production[Job Number],0))))="","",IF(INDEX(tbl_Production[Current RMS No],IFERROR(MATCH(E52&amp;"",tbl_Production[Job Number],0),MATCH(IFERROR(E52+0,E52),tbl_Production[Job Number],0)))="",INDEX(tbl_Production[Qwilr Quote],IFERROR(MATCH(E52&amp;"",tbl_Production[Job Number],0),MATCH(IFERROR(E52+0,E52),tbl_Production[Job Number],0))),INDEX(tbl_Production[Current RMS No],IFERROR(MATCH(E52&amp;"",tbl_Production[Job Number],0),MATCH(IFERROR(E52+0,E52),tbl_Production[Job Number],0))))),IFERROR(IF(INDEX(tbl_Consulting[Qwilr Quote],IFERROR(MATCH(E52&amp;"",tbl_Consulting[Job Number],0),MATCH(IFERROR(E52+0,E52),tbl_Consulting[Job Number],0)))="","",INDEX(tbl_Consulting[Qwilr Quote],IFERROR(MATCH(E52&amp;"",tbl_Consulting[Job Number],0),MATCH(IFERROR(E52+0,E52),tbl_Consulting[Job Number],0)))),""))))</f>
        <v/>
      </c>
      <c r="AD52" s="25">
        <f>IF(AC52="","",IF(AND(LEFT(AC52,4)&lt;&gt;"http",IF(H52="Production",set_RMSBase,set_QwilrBase)=""),"",HYPERLINK(IF(LEFT(AC52,4)="http",AC52,IF(H52="Production",set_RMSBase,set_QwilrBase)&amp;AC52),"Open")))</f>
        <v/>
      </c>
      <c r="AE52" s="27">
        <f>IF(E52="","",IFERROR(INDEX(tbl_Production[Total Expense],IFERROR(MATCH(E52&amp;"",tbl_Production[Job Number],0),MATCH(IFERROR(E52+0,E52),tbl_Production[Job Number],0))),IFERROR(INDEX(tbl_Consulting[Total Expense],IFERROR(MATCH(E52&amp;"",tbl_Consulting[Job Number],0),MATCH(IFERROR(E52+0,E52),tbl_Consulting[Job Number],0))),0)))</f>
        <v/>
      </c>
      <c r="AF52" s="27">
        <f>IF(E52="","",Z52-N(AE52))</f>
        <v/>
      </c>
      <c r="AG52" s="29">
        <f>IFERROR(AF52/Z52,"")</f>
        <v/>
      </c>
      <c r="AH52" s="25">
        <f>IF(E52="","",IFERROR(IF(INDEX(tbl_Onsite[Notes],IFERROR(MATCH(E52&amp;"",tbl_Onsite[Job Number],0),MATCH(IFERROR(E52+0,E52),tbl_Onsite[Job Number],0)))="","",INDEX(tbl_Onsite[Notes],IFERROR(MATCH(E52&amp;"",tbl_Onsite[Job Number],0),MATCH(IFERROR(E52+0,E52),tbl_Onsite[Job Number],0)))),IFERROR(IF(INDEX(tbl_Production[Notes],IFERROR(MATCH(E52&amp;"",tbl_Production[Job Number],0),MATCH(IFERROR(E52+0,E52),tbl_Production[Job Number],0)))="","",INDEX(tbl_Production[Notes],IFERROR(MATCH(E52&amp;"",tbl_Production[Job Number],0),MATCH(IFERROR(E52+0,E52),tbl_Production[Job Number],0)))),IFERROR(IF(INDEX(tbl_Consulting[Notes],IFERROR(MATCH(E52&amp;"",tbl_Consulting[Job Number],0),MATCH(IFERROR(E52+0,E52),tbl_Consulting[Job Number],0)))="","",INDEX(tbl_Consulting[Notes],IFERROR(MATCH(E52&amp;"",tbl_Consulting[Job Number],0),MATCH(IFERROR(E52+0,E52),tbl_Consulting[Job Number],0)))),""))))</f>
        <v/>
      </c>
    </row>
    <row r="53" ht="15" customHeight="1">
      <c r="A53" s="22" t="n"/>
      <c r="B53" s="23">
        <f>IF(A53="","",EOMONTH(A53,0))</f>
        <v/>
      </c>
      <c r="C53" s="24" t="n"/>
      <c r="D53" s="24" t="n"/>
      <c r="E53" s="24" t="n"/>
      <c r="F53" s="25">
        <f>IF(E53="","",IF(COUNTIF(lst_Jobs,E53&amp;"")&gt;0,"OK","CHECK"))</f>
        <v/>
      </c>
      <c r="G53" s="24" t="n"/>
      <c r="H53" s="24" t="n"/>
      <c r="I53" s="24" t="n"/>
      <c r="J53" s="24" t="n"/>
      <c r="K53" s="24" t="n"/>
      <c r="L53" s="26" t="n"/>
      <c r="M53" s="27">
        <f>IF(L53="","",IF(K53="GST 10%",ROUND(L53*set_GSTRate,2),0))</f>
        <v/>
      </c>
      <c r="N53" s="27">
        <f>IF(L53="","",L53+M53)</f>
        <v/>
      </c>
      <c r="O53" s="24" t="n"/>
      <c r="P53" s="24" t="n"/>
      <c r="Q53" s="24" t="n"/>
      <c r="R53" s="22" t="n"/>
      <c r="S53" s="22" t="n"/>
      <c r="T53" s="24" t="n"/>
      <c r="U53" s="24" t="n"/>
      <c r="V53" s="25">
        <f>IF(COUNTA(A53,D53,C53,L53)=0,"",IF(A53="","No date - sits outside every month",IF(E53="","No job number",IF(F53="CHECK","Job number is not in the Xero job list",IF(I53="","No cost centre",IF(AND(P53="Y",C53=""),"Marked posted to Xero but has no invoice number",IF(AND(L53&lt;&gt;"",K53=""),"No tax code",IF(AND(L53&lt;&gt;"",O53=""),"No revenue GL code",""))))))))</f>
        <v/>
      </c>
      <c r="W53" s="25">
        <f>IF(E53="","",IF(COUNTIF(tbl_Onsite[Job Number],E53&amp;"")&gt;0,"Onsite",IF(COUNTIF(tbl_Production[Job Number],E53&amp;"")&gt;0,"Production",IF(COUNTIF(tbl_Consulting[Job Number],E53&amp;"")&gt;0,"Consulting","not set up yet"))))</f>
        <v/>
      </c>
      <c r="X53" s="25">
        <f>IF(E53="","",IFERROR(INDEX(lst_JobName,MATCH(E53&amp;"",lst_Jobs,0)),""))</f>
        <v/>
      </c>
      <c r="Y53" s="28">
        <f>IF(E53="","",COUNTIFS(tbl_Finance[Job Number],E53&amp;"",tbl_Finance[Ex GST],"&lt;&gt;"))</f>
        <v/>
      </c>
      <c r="Z53" s="27">
        <f>IF(E53="","",SUMIFS(tbl_Finance[Ex GST],tbl_Finance[Job Number],E53&amp;""))</f>
        <v/>
      </c>
      <c r="AA53" s="27">
        <f>IF(E53="","",SUMIFS(tbl_Finance[Ex GST],tbl_Finance[Job Number],E53&amp;"",tbl_Finance[Xero Invoice No],"&lt;&gt;"))</f>
        <v/>
      </c>
      <c r="AB53" s="27">
        <f>IF(E53="","",Z53-AA53)</f>
        <v/>
      </c>
      <c r="AC53" s="25">
        <f>IF(E53="","",IFERROR(IF(INDEX(tbl_Onsite[Qwilr Quote],IFERROR(MATCH(E53&amp;"",tbl_Onsite[Job Number],0),MATCH(IFERROR(E53+0,E53),tbl_Onsite[Job Number],0)))="","",INDEX(tbl_Onsite[Qwilr Quote],IFERROR(MATCH(E53&amp;"",tbl_Onsite[Job Number],0),MATCH(IFERROR(E53+0,E53),tbl_Onsite[Job Number],0)))),IFERROR(IF(IF(INDEX(tbl_Production[Current RMS No],IFERROR(MATCH(E53&amp;"",tbl_Production[Job Number],0),MATCH(IFERROR(E53+0,E53),tbl_Production[Job Number],0)))="",INDEX(tbl_Production[Qwilr Quote],IFERROR(MATCH(E53&amp;"",tbl_Production[Job Number],0),MATCH(IFERROR(E53+0,E53),tbl_Production[Job Number],0))),INDEX(tbl_Production[Current RMS No],IFERROR(MATCH(E53&amp;"",tbl_Production[Job Number],0),MATCH(IFERROR(E53+0,E53),tbl_Production[Job Number],0))))="","",IF(INDEX(tbl_Production[Current RMS No],IFERROR(MATCH(E53&amp;"",tbl_Production[Job Number],0),MATCH(IFERROR(E53+0,E53),tbl_Production[Job Number],0)))="",INDEX(tbl_Production[Qwilr Quote],IFERROR(MATCH(E53&amp;"",tbl_Production[Job Number],0),MATCH(IFERROR(E53+0,E53),tbl_Production[Job Number],0))),INDEX(tbl_Production[Current RMS No],IFERROR(MATCH(E53&amp;"",tbl_Production[Job Number],0),MATCH(IFERROR(E53+0,E53),tbl_Production[Job Number],0))))),IFERROR(IF(INDEX(tbl_Consulting[Qwilr Quote],IFERROR(MATCH(E53&amp;"",tbl_Consulting[Job Number],0),MATCH(IFERROR(E53+0,E53),tbl_Consulting[Job Number],0)))="","",INDEX(tbl_Consulting[Qwilr Quote],IFERROR(MATCH(E53&amp;"",tbl_Consulting[Job Number],0),MATCH(IFERROR(E53+0,E53),tbl_Consulting[Job Number],0)))),""))))</f>
        <v/>
      </c>
      <c r="AD53" s="25">
        <f>IF(AC53="","",IF(AND(LEFT(AC53,4)&lt;&gt;"http",IF(H53="Production",set_RMSBase,set_QwilrBase)=""),"",HYPERLINK(IF(LEFT(AC53,4)="http",AC53,IF(H53="Production",set_RMSBase,set_QwilrBase)&amp;AC53),"Open")))</f>
        <v/>
      </c>
      <c r="AE53" s="27">
        <f>IF(E53="","",IFERROR(INDEX(tbl_Production[Total Expense],IFERROR(MATCH(E53&amp;"",tbl_Production[Job Number],0),MATCH(IFERROR(E53+0,E53),tbl_Production[Job Number],0))),IFERROR(INDEX(tbl_Consulting[Total Expense],IFERROR(MATCH(E53&amp;"",tbl_Consulting[Job Number],0),MATCH(IFERROR(E53+0,E53),tbl_Consulting[Job Number],0))),0)))</f>
        <v/>
      </c>
      <c r="AF53" s="27">
        <f>IF(E53="","",Z53-N(AE53))</f>
        <v/>
      </c>
      <c r="AG53" s="29">
        <f>IFERROR(AF53/Z53,"")</f>
        <v/>
      </c>
      <c r="AH53" s="25">
        <f>IF(E53="","",IFERROR(IF(INDEX(tbl_Onsite[Notes],IFERROR(MATCH(E53&amp;"",tbl_Onsite[Job Number],0),MATCH(IFERROR(E53+0,E53),tbl_Onsite[Job Number],0)))="","",INDEX(tbl_Onsite[Notes],IFERROR(MATCH(E53&amp;"",tbl_Onsite[Job Number],0),MATCH(IFERROR(E53+0,E53),tbl_Onsite[Job Number],0)))),IFERROR(IF(INDEX(tbl_Production[Notes],IFERROR(MATCH(E53&amp;"",tbl_Production[Job Number],0),MATCH(IFERROR(E53+0,E53),tbl_Production[Job Number],0)))="","",INDEX(tbl_Production[Notes],IFERROR(MATCH(E53&amp;"",tbl_Production[Job Number],0),MATCH(IFERROR(E53+0,E53),tbl_Production[Job Number],0)))),IFERROR(IF(INDEX(tbl_Consulting[Notes],IFERROR(MATCH(E53&amp;"",tbl_Consulting[Job Number],0),MATCH(IFERROR(E53+0,E53),tbl_Consulting[Job Number],0)))="","",INDEX(tbl_Consulting[Notes],IFERROR(MATCH(E53&amp;"",tbl_Consulting[Job Number],0),MATCH(IFERROR(E53+0,E53),tbl_Consulting[Job Number],0)))),""))))</f>
        <v/>
      </c>
    </row>
    <row r="54" ht="15" customHeight="1">
      <c r="A54" s="22" t="n"/>
      <c r="B54" s="23">
        <f>IF(A54="","",EOMONTH(A54,0))</f>
        <v/>
      </c>
      <c r="C54" s="24" t="n"/>
      <c r="D54" s="24" t="n"/>
      <c r="E54" s="24" t="n"/>
      <c r="F54" s="25">
        <f>IF(E54="","",IF(COUNTIF(lst_Jobs,E54&amp;"")&gt;0,"OK","CHECK"))</f>
        <v/>
      </c>
      <c r="G54" s="24" t="n"/>
      <c r="H54" s="24" t="n"/>
      <c r="I54" s="24" t="n"/>
      <c r="J54" s="24" t="n"/>
      <c r="K54" s="24" t="n"/>
      <c r="L54" s="26" t="n"/>
      <c r="M54" s="27">
        <f>IF(L54="","",IF(K54="GST 10%",ROUND(L54*set_GSTRate,2),0))</f>
        <v/>
      </c>
      <c r="N54" s="27">
        <f>IF(L54="","",L54+M54)</f>
        <v/>
      </c>
      <c r="O54" s="24" t="n"/>
      <c r="P54" s="24" t="n"/>
      <c r="Q54" s="24" t="n"/>
      <c r="R54" s="22" t="n"/>
      <c r="S54" s="22" t="n"/>
      <c r="T54" s="24" t="n"/>
      <c r="U54" s="24" t="n"/>
      <c r="V54" s="25">
        <f>IF(COUNTA(A54,D54,C54,L54)=0,"",IF(A54="","No date - sits outside every month",IF(E54="","No job number",IF(F54="CHECK","Job number is not in the Xero job list",IF(I54="","No cost centre",IF(AND(P54="Y",C54=""),"Marked posted to Xero but has no invoice number",IF(AND(L54&lt;&gt;"",K54=""),"No tax code",IF(AND(L54&lt;&gt;"",O54=""),"No revenue GL code",""))))))))</f>
        <v/>
      </c>
      <c r="W54" s="25">
        <f>IF(E54="","",IF(COUNTIF(tbl_Onsite[Job Number],E54&amp;"")&gt;0,"Onsite",IF(COUNTIF(tbl_Production[Job Number],E54&amp;"")&gt;0,"Production",IF(COUNTIF(tbl_Consulting[Job Number],E54&amp;"")&gt;0,"Consulting","not set up yet"))))</f>
        <v/>
      </c>
      <c r="X54" s="25">
        <f>IF(E54="","",IFERROR(INDEX(lst_JobName,MATCH(E54&amp;"",lst_Jobs,0)),""))</f>
        <v/>
      </c>
      <c r="Y54" s="28">
        <f>IF(E54="","",COUNTIFS(tbl_Finance[Job Number],E54&amp;"",tbl_Finance[Ex GST],"&lt;&gt;"))</f>
        <v/>
      </c>
      <c r="Z54" s="27">
        <f>IF(E54="","",SUMIFS(tbl_Finance[Ex GST],tbl_Finance[Job Number],E54&amp;""))</f>
        <v/>
      </c>
      <c r="AA54" s="27">
        <f>IF(E54="","",SUMIFS(tbl_Finance[Ex GST],tbl_Finance[Job Number],E54&amp;"",tbl_Finance[Xero Invoice No],"&lt;&gt;"))</f>
        <v/>
      </c>
      <c r="AB54" s="27">
        <f>IF(E54="","",Z54-AA54)</f>
        <v/>
      </c>
      <c r="AC54" s="25">
        <f>IF(E54="","",IFERROR(IF(INDEX(tbl_Onsite[Qwilr Quote],IFERROR(MATCH(E54&amp;"",tbl_Onsite[Job Number],0),MATCH(IFERROR(E54+0,E54),tbl_Onsite[Job Number],0)))="","",INDEX(tbl_Onsite[Qwilr Quote],IFERROR(MATCH(E54&amp;"",tbl_Onsite[Job Number],0),MATCH(IFERROR(E54+0,E54),tbl_Onsite[Job Number],0)))),IFERROR(IF(IF(INDEX(tbl_Production[Current RMS No],IFERROR(MATCH(E54&amp;"",tbl_Production[Job Number],0),MATCH(IFERROR(E54+0,E54),tbl_Production[Job Number],0)))="",INDEX(tbl_Production[Qwilr Quote],IFERROR(MATCH(E54&amp;"",tbl_Production[Job Number],0),MATCH(IFERROR(E54+0,E54),tbl_Production[Job Number],0))),INDEX(tbl_Production[Current RMS No],IFERROR(MATCH(E54&amp;"",tbl_Production[Job Number],0),MATCH(IFERROR(E54+0,E54),tbl_Production[Job Number],0))))="","",IF(INDEX(tbl_Production[Current RMS No],IFERROR(MATCH(E54&amp;"",tbl_Production[Job Number],0),MATCH(IFERROR(E54+0,E54),tbl_Production[Job Number],0)))="",INDEX(tbl_Production[Qwilr Quote],IFERROR(MATCH(E54&amp;"",tbl_Production[Job Number],0),MATCH(IFERROR(E54+0,E54),tbl_Production[Job Number],0))),INDEX(tbl_Production[Current RMS No],IFERROR(MATCH(E54&amp;"",tbl_Production[Job Number],0),MATCH(IFERROR(E54+0,E54),tbl_Production[Job Number],0))))),IFERROR(IF(INDEX(tbl_Consulting[Qwilr Quote],IFERROR(MATCH(E54&amp;"",tbl_Consulting[Job Number],0),MATCH(IFERROR(E54+0,E54),tbl_Consulting[Job Number],0)))="","",INDEX(tbl_Consulting[Qwilr Quote],IFERROR(MATCH(E54&amp;"",tbl_Consulting[Job Number],0),MATCH(IFERROR(E54+0,E54),tbl_Consulting[Job Number],0)))),""))))</f>
        <v/>
      </c>
      <c r="AD54" s="25">
        <f>IF(AC54="","",IF(AND(LEFT(AC54,4)&lt;&gt;"http",IF(H54="Production",set_RMSBase,set_QwilrBase)=""),"",HYPERLINK(IF(LEFT(AC54,4)="http",AC54,IF(H54="Production",set_RMSBase,set_QwilrBase)&amp;AC54),"Open")))</f>
        <v/>
      </c>
      <c r="AE54" s="27">
        <f>IF(E54="","",IFERROR(INDEX(tbl_Production[Total Expense],IFERROR(MATCH(E54&amp;"",tbl_Production[Job Number],0),MATCH(IFERROR(E54+0,E54),tbl_Production[Job Number],0))),IFERROR(INDEX(tbl_Consulting[Total Expense],IFERROR(MATCH(E54&amp;"",tbl_Consulting[Job Number],0),MATCH(IFERROR(E54+0,E54),tbl_Consulting[Job Number],0))),0)))</f>
        <v/>
      </c>
      <c r="AF54" s="27">
        <f>IF(E54="","",Z54-N(AE54))</f>
        <v/>
      </c>
      <c r="AG54" s="29">
        <f>IFERROR(AF54/Z54,"")</f>
        <v/>
      </c>
      <c r="AH54" s="25">
        <f>IF(E54="","",IFERROR(IF(INDEX(tbl_Onsite[Notes],IFERROR(MATCH(E54&amp;"",tbl_Onsite[Job Number],0),MATCH(IFERROR(E54+0,E54),tbl_Onsite[Job Number],0)))="","",INDEX(tbl_Onsite[Notes],IFERROR(MATCH(E54&amp;"",tbl_Onsite[Job Number],0),MATCH(IFERROR(E54+0,E54),tbl_Onsite[Job Number],0)))),IFERROR(IF(INDEX(tbl_Production[Notes],IFERROR(MATCH(E54&amp;"",tbl_Production[Job Number],0),MATCH(IFERROR(E54+0,E54),tbl_Production[Job Number],0)))="","",INDEX(tbl_Production[Notes],IFERROR(MATCH(E54&amp;"",tbl_Production[Job Number],0),MATCH(IFERROR(E54+0,E54),tbl_Production[Job Number],0)))),IFERROR(IF(INDEX(tbl_Consulting[Notes],IFERROR(MATCH(E54&amp;"",tbl_Consulting[Job Number],0),MATCH(IFERROR(E54+0,E54),tbl_Consulting[Job Number],0)))="","",INDEX(tbl_Consulting[Notes],IFERROR(MATCH(E54&amp;"",tbl_Consulting[Job Number],0),MATCH(IFERROR(E54+0,E54),tbl_Consulting[Job Number],0)))),""))))</f>
        <v/>
      </c>
    </row>
    <row r="55" ht="15" customHeight="1">
      <c r="A55" s="22" t="n"/>
      <c r="B55" s="23">
        <f>IF(A55="","",EOMONTH(A55,0))</f>
        <v/>
      </c>
      <c r="C55" s="24" t="n"/>
      <c r="D55" s="24" t="n"/>
      <c r="E55" s="24" t="n"/>
      <c r="F55" s="25">
        <f>IF(E55="","",IF(COUNTIF(lst_Jobs,E55&amp;"")&gt;0,"OK","CHECK"))</f>
        <v/>
      </c>
      <c r="G55" s="24" t="n"/>
      <c r="H55" s="24" t="n"/>
      <c r="I55" s="24" t="n"/>
      <c r="J55" s="24" t="n"/>
      <c r="K55" s="24" t="n"/>
      <c r="L55" s="26" t="n"/>
      <c r="M55" s="27">
        <f>IF(L55="","",IF(K55="GST 10%",ROUND(L55*set_GSTRate,2),0))</f>
        <v/>
      </c>
      <c r="N55" s="27">
        <f>IF(L55="","",L55+M55)</f>
        <v/>
      </c>
      <c r="O55" s="24" t="n"/>
      <c r="P55" s="24" t="n"/>
      <c r="Q55" s="24" t="n"/>
      <c r="R55" s="22" t="n"/>
      <c r="S55" s="22" t="n"/>
      <c r="T55" s="24" t="n"/>
      <c r="U55" s="24" t="n"/>
      <c r="V55" s="25">
        <f>IF(COUNTA(A55,D55,C55,L55)=0,"",IF(A55="","No date - sits outside every month",IF(E55="","No job number",IF(F55="CHECK","Job number is not in the Xero job list",IF(I55="","No cost centre",IF(AND(P55="Y",C55=""),"Marked posted to Xero but has no invoice number",IF(AND(L55&lt;&gt;"",K55=""),"No tax code",IF(AND(L55&lt;&gt;"",O55=""),"No revenue GL code",""))))))))</f>
        <v/>
      </c>
      <c r="W55" s="25">
        <f>IF(E55="","",IF(COUNTIF(tbl_Onsite[Job Number],E55&amp;"")&gt;0,"Onsite",IF(COUNTIF(tbl_Production[Job Number],E55&amp;"")&gt;0,"Production",IF(COUNTIF(tbl_Consulting[Job Number],E55&amp;"")&gt;0,"Consulting","not set up yet"))))</f>
        <v/>
      </c>
      <c r="X55" s="25">
        <f>IF(E55="","",IFERROR(INDEX(lst_JobName,MATCH(E55&amp;"",lst_Jobs,0)),""))</f>
        <v/>
      </c>
      <c r="Y55" s="28">
        <f>IF(E55="","",COUNTIFS(tbl_Finance[Job Number],E55&amp;"",tbl_Finance[Ex GST],"&lt;&gt;"))</f>
        <v/>
      </c>
      <c r="Z55" s="27">
        <f>IF(E55="","",SUMIFS(tbl_Finance[Ex GST],tbl_Finance[Job Number],E55&amp;""))</f>
        <v/>
      </c>
      <c r="AA55" s="27">
        <f>IF(E55="","",SUMIFS(tbl_Finance[Ex GST],tbl_Finance[Job Number],E55&amp;"",tbl_Finance[Xero Invoice No],"&lt;&gt;"))</f>
        <v/>
      </c>
      <c r="AB55" s="27">
        <f>IF(E55="","",Z55-AA55)</f>
        <v/>
      </c>
      <c r="AC55" s="25">
        <f>IF(E55="","",IFERROR(IF(INDEX(tbl_Onsite[Qwilr Quote],IFERROR(MATCH(E55&amp;"",tbl_Onsite[Job Number],0),MATCH(IFERROR(E55+0,E55),tbl_Onsite[Job Number],0)))="","",INDEX(tbl_Onsite[Qwilr Quote],IFERROR(MATCH(E55&amp;"",tbl_Onsite[Job Number],0),MATCH(IFERROR(E55+0,E55),tbl_Onsite[Job Number],0)))),IFERROR(IF(IF(INDEX(tbl_Production[Current RMS No],IFERROR(MATCH(E55&amp;"",tbl_Production[Job Number],0),MATCH(IFERROR(E55+0,E55),tbl_Production[Job Number],0)))="",INDEX(tbl_Production[Qwilr Quote],IFERROR(MATCH(E55&amp;"",tbl_Production[Job Number],0),MATCH(IFERROR(E55+0,E55),tbl_Production[Job Number],0))),INDEX(tbl_Production[Current RMS No],IFERROR(MATCH(E55&amp;"",tbl_Production[Job Number],0),MATCH(IFERROR(E55+0,E55),tbl_Production[Job Number],0))))="","",IF(INDEX(tbl_Production[Current RMS No],IFERROR(MATCH(E55&amp;"",tbl_Production[Job Number],0),MATCH(IFERROR(E55+0,E55),tbl_Production[Job Number],0)))="",INDEX(tbl_Production[Qwilr Quote],IFERROR(MATCH(E55&amp;"",tbl_Production[Job Number],0),MATCH(IFERROR(E55+0,E55),tbl_Production[Job Number],0))),INDEX(tbl_Production[Current RMS No],IFERROR(MATCH(E55&amp;"",tbl_Production[Job Number],0),MATCH(IFERROR(E55+0,E55),tbl_Production[Job Number],0))))),IFERROR(IF(INDEX(tbl_Consulting[Qwilr Quote],IFERROR(MATCH(E55&amp;"",tbl_Consulting[Job Number],0),MATCH(IFERROR(E55+0,E55),tbl_Consulting[Job Number],0)))="","",INDEX(tbl_Consulting[Qwilr Quote],IFERROR(MATCH(E55&amp;"",tbl_Consulting[Job Number],0),MATCH(IFERROR(E55+0,E55),tbl_Consulting[Job Number],0)))),""))))</f>
        <v/>
      </c>
      <c r="AD55" s="25">
        <f>IF(AC55="","",IF(AND(LEFT(AC55,4)&lt;&gt;"http",IF(H55="Production",set_RMSBase,set_QwilrBase)=""),"",HYPERLINK(IF(LEFT(AC55,4)="http",AC55,IF(H55="Production",set_RMSBase,set_QwilrBase)&amp;AC55),"Open")))</f>
        <v/>
      </c>
      <c r="AE55" s="27">
        <f>IF(E55="","",IFERROR(INDEX(tbl_Production[Total Expense],IFERROR(MATCH(E55&amp;"",tbl_Production[Job Number],0),MATCH(IFERROR(E55+0,E55),tbl_Production[Job Number],0))),IFERROR(INDEX(tbl_Consulting[Total Expense],IFERROR(MATCH(E55&amp;"",tbl_Consulting[Job Number],0),MATCH(IFERROR(E55+0,E55),tbl_Consulting[Job Number],0))),0)))</f>
        <v/>
      </c>
      <c r="AF55" s="27">
        <f>IF(E55="","",Z55-N(AE55))</f>
        <v/>
      </c>
      <c r="AG55" s="29">
        <f>IFERROR(AF55/Z55,"")</f>
        <v/>
      </c>
      <c r="AH55" s="25">
        <f>IF(E55="","",IFERROR(IF(INDEX(tbl_Onsite[Notes],IFERROR(MATCH(E55&amp;"",tbl_Onsite[Job Number],0),MATCH(IFERROR(E55+0,E55),tbl_Onsite[Job Number],0)))="","",INDEX(tbl_Onsite[Notes],IFERROR(MATCH(E55&amp;"",tbl_Onsite[Job Number],0),MATCH(IFERROR(E55+0,E55),tbl_Onsite[Job Number],0)))),IFERROR(IF(INDEX(tbl_Production[Notes],IFERROR(MATCH(E55&amp;"",tbl_Production[Job Number],0),MATCH(IFERROR(E55+0,E55),tbl_Production[Job Number],0)))="","",INDEX(tbl_Production[Notes],IFERROR(MATCH(E55&amp;"",tbl_Production[Job Number],0),MATCH(IFERROR(E55+0,E55),tbl_Production[Job Number],0)))),IFERROR(IF(INDEX(tbl_Consulting[Notes],IFERROR(MATCH(E55&amp;"",tbl_Consulting[Job Number],0),MATCH(IFERROR(E55+0,E55),tbl_Consulting[Job Number],0)))="","",INDEX(tbl_Consulting[Notes],IFERROR(MATCH(E55&amp;"",tbl_Consulting[Job Number],0),MATCH(IFERROR(E55+0,E55),tbl_Consulting[Job Number],0)))),""))))</f>
        <v/>
      </c>
    </row>
    <row r="56" ht="15" customHeight="1">
      <c r="A56" s="22" t="n"/>
      <c r="B56" s="23">
        <f>IF(A56="","",EOMONTH(A56,0))</f>
        <v/>
      </c>
      <c r="C56" s="24" t="n"/>
      <c r="D56" s="24" t="n"/>
      <c r="E56" s="24" t="n"/>
      <c r="F56" s="25">
        <f>IF(E56="","",IF(COUNTIF(lst_Jobs,E56&amp;"")&gt;0,"OK","CHECK"))</f>
        <v/>
      </c>
      <c r="G56" s="24" t="n"/>
      <c r="H56" s="24" t="n"/>
      <c r="I56" s="24" t="n"/>
      <c r="J56" s="24" t="n"/>
      <c r="K56" s="24" t="n"/>
      <c r="L56" s="26" t="n"/>
      <c r="M56" s="27">
        <f>IF(L56="","",IF(K56="GST 10%",ROUND(L56*set_GSTRate,2),0))</f>
        <v/>
      </c>
      <c r="N56" s="27">
        <f>IF(L56="","",L56+M56)</f>
        <v/>
      </c>
      <c r="O56" s="24" t="n"/>
      <c r="P56" s="24" t="n"/>
      <c r="Q56" s="24" t="n"/>
      <c r="R56" s="22" t="n"/>
      <c r="S56" s="22" t="n"/>
      <c r="T56" s="24" t="n"/>
      <c r="U56" s="24" t="n"/>
      <c r="V56" s="25">
        <f>IF(COUNTA(A56,D56,C56,L56)=0,"",IF(A56="","No date - sits outside every month",IF(E56="","No job number",IF(F56="CHECK","Job number is not in the Xero job list",IF(I56="","No cost centre",IF(AND(P56="Y",C56=""),"Marked posted to Xero but has no invoice number",IF(AND(L56&lt;&gt;"",K56=""),"No tax code",IF(AND(L56&lt;&gt;"",O56=""),"No revenue GL code",""))))))))</f>
        <v/>
      </c>
      <c r="W56" s="25">
        <f>IF(E56="","",IF(COUNTIF(tbl_Onsite[Job Number],E56&amp;"")&gt;0,"Onsite",IF(COUNTIF(tbl_Production[Job Number],E56&amp;"")&gt;0,"Production",IF(COUNTIF(tbl_Consulting[Job Number],E56&amp;"")&gt;0,"Consulting","not set up yet"))))</f>
        <v/>
      </c>
      <c r="X56" s="25">
        <f>IF(E56="","",IFERROR(INDEX(lst_JobName,MATCH(E56&amp;"",lst_Jobs,0)),""))</f>
        <v/>
      </c>
      <c r="Y56" s="28">
        <f>IF(E56="","",COUNTIFS(tbl_Finance[Job Number],E56&amp;"",tbl_Finance[Ex GST],"&lt;&gt;"))</f>
        <v/>
      </c>
      <c r="Z56" s="27">
        <f>IF(E56="","",SUMIFS(tbl_Finance[Ex GST],tbl_Finance[Job Number],E56&amp;""))</f>
        <v/>
      </c>
      <c r="AA56" s="27">
        <f>IF(E56="","",SUMIFS(tbl_Finance[Ex GST],tbl_Finance[Job Number],E56&amp;"",tbl_Finance[Xero Invoice No],"&lt;&gt;"))</f>
        <v/>
      </c>
      <c r="AB56" s="27">
        <f>IF(E56="","",Z56-AA56)</f>
        <v/>
      </c>
      <c r="AC56" s="25">
        <f>IF(E56="","",IFERROR(IF(INDEX(tbl_Onsite[Qwilr Quote],IFERROR(MATCH(E56&amp;"",tbl_Onsite[Job Number],0),MATCH(IFERROR(E56+0,E56),tbl_Onsite[Job Number],0)))="","",INDEX(tbl_Onsite[Qwilr Quote],IFERROR(MATCH(E56&amp;"",tbl_Onsite[Job Number],0),MATCH(IFERROR(E56+0,E56),tbl_Onsite[Job Number],0)))),IFERROR(IF(IF(INDEX(tbl_Production[Current RMS No],IFERROR(MATCH(E56&amp;"",tbl_Production[Job Number],0),MATCH(IFERROR(E56+0,E56),tbl_Production[Job Number],0)))="",INDEX(tbl_Production[Qwilr Quote],IFERROR(MATCH(E56&amp;"",tbl_Production[Job Number],0),MATCH(IFERROR(E56+0,E56),tbl_Production[Job Number],0))),INDEX(tbl_Production[Current RMS No],IFERROR(MATCH(E56&amp;"",tbl_Production[Job Number],0),MATCH(IFERROR(E56+0,E56),tbl_Production[Job Number],0))))="","",IF(INDEX(tbl_Production[Current RMS No],IFERROR(MATCH(E56&amp;"",tbl_Production[Job Number],0),MATCH(IFERROR(E56+0,E56),tbl_Production[Job Number],0)))="",INDEX(tbl_Production[Qwilr Quote],IFERROR(MATCH(E56&amp;"",tbl_Production[Job Number],0),MATCH(IFERROR(E56+0,E56),tbl_Production[Job Number],0))),INDEX(tbl_Production[Current RMS No],IFERROR(MATCH(E56&amp;"",tbl_Production[Job Number],0),MATCH(IFERROR(E56+0,E56),tbl_Production[Job Number],0))))),IFERROR(IF(INDEX(tbl_Consulting[Qwilr Quote],IFERROR(MATCH(E56&amp;"",tbl_Consulting[Job Number],0),MATCH(IFERROR(E56+0,E56),tbl_Consulting[Job Number],0)))="","",INDEX(tbl_Consulting[Qwilr Quote],IFERROR(MATCH(E56&amp;"",tbl_Consulting[Job Number],0),MATCH(IFERROR(E56+0,E56),tbl_Consulting[Job Number],0)))),""))))</f>
        <v/>
      </c>
      <c r="AD56" s="25">
        <f>IF(AC56="","",IF(AND(LEFT(AC56,4)&lt;&gt;"http",IF(H56="Production",set_RMSBase,set_QwilrBase)=""),"",HYPERLINK(IF(LEFT(AC56,4)="http",AC56,IF(H56="Production",set_RMSBase,set_QwilrBase)&amp;AC56),"Open")))</f>
        <v/>
      </c>
      <c r="AE56" s="27">
        <f>IF(E56="","",IFERROR(INDEX(tbl_Production[Total Expense],IFERROR(MATCH(E56&amp;"",tbl_Production[Job Number],0),MATCH(IFERROR(E56+0,E56),tbl_Production[Job Number],0))),IFERROR(INDEX(tbl_Consulting[Total Expense],IFERROR(MATCH(E56&amp;"",tbl_Consulting[Job Number],0),MATCH(IFERROR(E56+0,E56),tbl_Consulting[Job Number],0))),0)))</f>
        <v/>
      </c>
      <c r="AF56" s="27">
        <f>IF(E56="","",Z56-N(AE56))</f>
        <v/>
      </c>
      <c r="AG56" s="29">
        <f>IFERROR(AF56/Z56,"")</f>
        <v/>
      </c>
      <c r="AH56" s="25">
        <f>IF(E56="","",IFERROR(IF(INDEX(tbl_Onsite[Notes],IFERROR(MATCH(E56&amp;"",tbl_Onsite[Job Number],0),MATCH(IFERROR(E56+0,E56),tbl_Onsite[Job Number],0)))="","",INDEX(tbl_Onsite[Notes],IFERROR(MATCH(E56&amp;"",tbl_Onsite[Job Number],0),MATCH(IFERROR(E56+0,E56),tbl_Onsite[Job Number],0)))),IFERROR(IF(INDEX(tbl_Production[Notes],IFERROR(MATCH(E56&amp;"",tbl_Production[Job Number],0),MATCH(IFERROR(E56+0,E56),tbl_Production[Job Number],0)))="","",INDEX(tbl_Production[Notes],IFERROR(MATCH(E56&amp;"",tbl_Production[Job Number],0),MATCH(IFERROR(E56+0,E56),tbl_Production[Job Number],0)))),IFERROR(IF(INDEX(tbl_Consulting[Notes],IFERROR(MATCH(E56&amp;"",tbl_Consulting[Job Number],0),MATCH(IFERROR(E56+0,E56),tbl_Consulting[Job Number],0)))="","",INDEX(tbl_Consulting[Notes],IFERROR(MATCH(E56&amp;"",tbl_Consulting[Job Number],0),MATCH(IFERROR(E56+0,E56),tbl_Consulting[Job Number],0)))),""))))</f>
        <v/>
      </c>
    </row>
    <row r="57" ht="15" customHeight="1">
      <c r="A57" s="22" t="n"/>
      <c r="B57" s="23">
        <f>IF(A57="","",EOMONTH(A57,0))</f>
        <v/>
      </c>
      <c r="C57" s="24" t="n"/>
      <c r="D57" s="24" t="n"/>
      <c r="E57" s="24" t="n"/>
      <c r="F57" s="25">
        <f>IF(E57="","",IF(COUNTIF(lst_Jobs,E57&amp;"")&gt;0,"OK","CHECK"))</f>
        <v/>
      </c>
      <c r="G57" s="24" t="n"/>
      <c r="H57" s="24" t="n"/>
      <c r="I57" s="24" t="n"/>
      <c r="J57" s="24" t="n"/>
      <c r="K57" s="24" t="n"/>
      <c r="L57" s="26" t="n"/>
      <c r="M57" s="27">
        <f>IF(L57="","",IF(K57="GST 10%",ROUND(L57*set_GSTRate,2),0))</f>
        <v/>
      </c>
      <c r="N57" s="27">
        <f>IF(L57="","",L57+M57)</f>
        <v/>
      </c>
      <c r="O57" s="24" t="n"/>
      <c r="P57" s="24" t="n"/>
      <c r="Q57" s="24" t="n"/>
      <c r="R57" s="22" t="n"/>
      <c r="S57" s="22" t="n"/>
      <c r="T57" s="24" t="n"/>
      <c r="U57" s="24" t="n"/>
      <c r="V57" s="25">
        <f>IF(COUNTA(A57,D57,C57,L57)=0,"",IF(A57="","No date - sits outside every month",IF(E57="","No job number",IF(F57="CHECK","Job number is not in the Xero job list",IF(I57="","No cost centre",IF(AND(P57="Y",C57=""),"Marked posted to Xero but has no invoice number",IF(AND(L57&lt;&gt;"",K57=""),"No tax code",IF(AND(L57&lt;&gt;"",O57=""),"No revenue GL code",""))))))))</f>
        <v/>
      </c>
      <c r="W57" s="25">
        <f>IF(E57="","",IF(COUNTIF(tbl_Onsite[Job Number],E57&amp;"")&gt;0,"Onsite",IF(COUNTIF(tbl_Production[Job Number],E57&amp;"")&gt;0,"Production",IF(COUNTIF(tbl_Consulting[Job Number],E57&amp;"")&gt;0,"Consulting","not set up yet"))))</f>
        <v/>
      </c>
      <c r="X57" s="25">
        <f>IF(E57="","",IFERROR(INDEX(lst_JobName,MATCH(E57&amp;"",lst_Jobs,0)),""))</f>
        <v/>
      </c>
      <c r="Y57" s="28">
        <f>IF(E57="","",COUNTIFS(tbl_Finance[Job Number],E57&amp;"",tbl_Finance[Ex GST],"&lt;&gt;"))</f>
        <v/>
      </c>
      <c r="Z57" s="27">
        <f>IF(E57="","",SUMIFS(tbl_Finance[Ex GST],tbl_Finance[Job Number],E57&amp;""))</f>
        <v/>
      </c>
      <c r="AA57" s="27">
        <f>IF(E57="","",SUMIFS(tbl_Finance[Ex GST],tbl_Finance[Job Number],E57&amp;"",tbl_Finance[Xero Invoice No],"&lt;&gt;"))</f>
        <v/>
      </c>
      <c r="AB57" s="27">
        <f>IF(E57="","",Z57-AA57)</f>
        <v/>
      </c>
      <c r="AC57" s="25">
        <f>IF(E57="","",IFERROR(IF(INDEX(tbl_Onsite[Qwilr Quote],IFERROR(MATCH(E57&amp;"",tbl_Onsite[Job Number],0),MATCH(IFERROR(E57+0,E57),tbl_Onsite[Job Number],0)))="","",INDEX(tbl_Onsite[Qwilr Quote],IFERROR(MATCH(E57&amp;"",tbl_Onsite[Job Number],0),MATCH(IFERROR(E57+0,E57),tbl_Onsite[Job Number],0)))),IFERROR(IF(IF(INDEX(tbl_Production[Current RMS No],IFERROR(MATCH(E57&amp;"",tbl_Production[Job Number],0),MATCH(IFERROR(E57+0,E57),tbl_Production[Job Number],0)))="",INDEX(tbl_Production[Qwilr Quote],IFERROR(MATCH(E57&amp;"",tbl_Production[Job Number],0),MATCH(IFERROR(E57+0,E57),tbl_Production[Job Number],0))),INDEX(tbl_Production[Current RMS No],IFERROR(MATCH(E57&amp;"",tbl_Production[Job Number],0),MATCH(IFERROR(E57+0,E57),tbl_Production[Job Number],0))))="","",IF(INDEX(tbl_Production[Current RMS No],IFERROR(MATCH(E57&amp;"",tbl_Production[Job Number],0),MATCH(IFERROR(E57+0,E57),tbl_Production[Job Number],0)))="",INDEX(tbl_Production[Qwilr Quote],IFERROR(MATCH(E57&amp;"",tbl_Production[Job Number],0),MATCH(IFERROR(E57+0,E57),tbl_Production[Job Number],0))),INDEX(tbl_Production[Current RMS No],IFERROR(MATCH(E57&amp;"",tbl_Production[Job Number],0),MATCH(IFERROR(E57+0,E57),tbl_Production[Job Number],0))))),IFERROR(IF(INDEX(tbl_Consulting[Qwilr Quote],IFERROR(MATCH(E57&amp;"",tbl_Consulting[Job Number],0),MATCH(IFERROR(E57+0,E57),tbl_Consulting[Job Number],0)))="","",INDEX(tbl_Consulting[Qwilr Quote],IFERROR(MATCH(E57&amp;"",tbl_Consulting[Job Number],0),MATCH(IFERROR(E57+0,E57),tbl_Consulting[Job Number],0)))),""))))</f>
        <v/>
      </c>
      <c r="AD57" s="25">
        <f>IF(AC57="","",IF(AND(LEFT(AC57,4)&lt;&gt;"http",IF(H57="Production",set_RMSBase,set_QwilrBase)=""),"",HYPERLINK(IF(LEFT(AC57,4)="http",AC57,IF(H57="Production",set_RMSBase,set_QwilrBase)&amp;AC57),"Open")))</f>
        <v/>
      </c>
      <c r="AE57" s="27">
        <f>IF(E57="","",IFERROR(INDEX(tbl_Production[Total Expense],IFERROR(MATCH(E57&amp;"",tbl_Production[Job Number],0),MATCH(IFERROR(E57+0,E57),tbl_Production[Job Number],0))),IFERROR(INDEX(tbl_Consulting[Total Expense],IFERROR(MATCH(E57&amp;"",tbl_Consulting[Job Number],0),MATCH(IFERROR(E57+0,E57),tbl_Consulting[Job Number],0))),0)))</f>
        <v/>
      </c>
      <c r="AF57" s="27">
        <f>IF(E57="","",Z57-N(AE57))</f>
        <v/>
      </c>
      <c r="AG57" s="29">
        <f>IFERROR(AF57/Z57,"")</f>
        <v/>
      </c>
      <c r="AH57" s="25">
        <f>IF(E57="","",IFERROR(IF(INDEX(tbl_Onsite[Notes],IFERROR(MATCH(E57&amp;"",tbl_Onsite[Job Number],0),MATCH(IFERROR(E57+0,E57),tbl_Onsite[Job Number],0)))="","",INDEX(tbl_Onsite[Notes],IFERROR(MATCH(E57&amp;"",tbl_Onsite[Job Number],0),MATCH(IFERROR(E57+0,E57),tbl_Onsite[Job Number],0)))),IFERROR(IF(INDEX(tbl_Production[Notes],IFERROR(MATCH(E57&amp;"",tbl_Production[Job Number],0),MATCH(IFERROR(E57+0,E57),tbl_Production[Job Number],0)))="","",INDEX(tbl_Production[Notes],IFERROR(MATCH(E57&amp;"",tbl_Production[Job Number],0),MATCH(IFERROR(E57+0,E57),tbl_Production[Job Number],0)))),IFERROR(IF(INDEX(tbl_Consulting[Notes],IFERROR(MATCH(E57&amp;"",tbl_Consulting[Job Number],0),MATCH(IFERROR(E57+0,E57),tbl_Consulting[Job Number],0)))="","",INDEX(tbl_Consulting[Notes],IFERROR(MATCH(E57&amp;"",tbl_Consulting[Job Number],0),MATCH(IFERROR(E57+0,E57),tbl_Consulting[Job Number],0)))),""))))</f>
        <v/>
      </c>
    </row>
    <row r="58" ht="15" customHeight="1">
      <c r="A58" s="22" t="n"/>
      <c r="B58" s="23">
        <f>IF(A58="","",EOMONTH(A58,0))</f>
        <v/>
      </c>
      <c r="C58" s="24" t="n"/>
      <c r="D58" s="24" t="n"/>
      <c r="E58" s="24" t="n"/>
      <c r="F58" s="25">
        <f>IF(E58="","",IF(COUNTIF(lst_Jobs,E58&amp;"")&gt;0,"OK","CHECK"))</f>
        <v/>
      </c>
      <c r="G58" s="24" t="n"/>
      <c r="H58" s="24" t="n"/>
      <c r="I58" s="24" t="n"/>
      <c r="J58" s="24" t="n"/>
      <c r="K58" s="24" t="n"/>
      <c r="L58" s="26" t="n"/>
      <c r="M58" s="27">
        <f>IF(L58="","",IF(K58="GST 10%",ROUND(L58*set_GSTRate,2),0))</f>
        <v/>
      </c>
      <c r="N58" s="27">
        <f>IF(L58="","",L58+M58)</f>
        <v/>
      </c>
      <c r="O58" s="24" t="n"/>
      <c r="P58" s="24" t="n"/>
      <c r="Q58" s="24" t="n"/>
      <c r="R58" s="22" t="n"/>
      <c r="S58" s="22" t="n"/>
      <c r="T58" s="24" t="n"/>
      <c r="U58" s="24" t="n"/>
      <c r="V58" s="25">
        <f>IF(COUNTA(A58,D58,C58,L58)=0,"",IF(A58="","No date - sits outside every month",IF(E58="","No job number",IF(F58="CHECK","Job number is not in the Xero job list",IF(I58="","No cost centre",IF(AND(P58="Y",C58=""),"Marked posted to Xero but has no invoice number",IF(AND(L58&lt;&gt;"",K58=""),"No tax code",IF(AND(L58&lt;&gt;"",O58=""),"No revenue GL code",""))))))))</f>
        <v/>
      </c>
      <c r="W58" s="25">
        <f>IF(E58="","",IF(COUNTIF(tbl_Onsite[Job Number],E58&amp;"")&gt;0,"Onsite",IF(COUNTIF(tbl_Production[Job Number],E58&amp;"")&gt;0,"Production",IF(COUNTIF(tbl_Consulting[Job Number],E58&amp;"")&gt;0,"Consulting","not set up yet"))))</f>
        <v/>
      </c>
      <c r="X58" s="25">
        <f>IF(E58="","",IFERROR(INDEX(lst_JobName,MATCH(E58&amp;"",lst_Jobs,0)),""))</f>
        <v/>
      </c>
      <c r="Y58" s="28">
        <f>IF(E58="","",COUNTIFS(tbl_Finance[Job Number],E58&amp;"",tbl_Finance[Ex GST],"&lt;&gt;"))</f>
        <v/>
      </c>
      <c r="Z58" s="27">
        <f>IF(E58="","",SUMIFS(tbl_Finance[Ex GST],tbl_Finance[Job Number],E58&amp;""))</f>
        <v/>
      </c>
      <c r="AA58" s="27">
        <f>IF(E58="","",SUMIFS(tbl_Finance[Ex GST],tbl_Finance[Job Number],E58&amp;"",tbl_Finance[Xero Invoice No],"&lt;&gt;"))</f>
        <v/>
      </c>
      <c r="AB58" s="27">
        <f>IF(E58="","",Z58-AA58)</f>
        <v/>
      </c>
      <c r="AC58" s="25">
        <f>IF(E58="","",IFERROR(IF(INDEX(tbl_Onsite[Qwilr Quote],IFERROR(MATCH(E58&amp;"",tbl_Onsite[Job Number],0),MATCH(IFERROR(E58+0,E58),tbl_Onsite[Job Number],0)))="","",INDEX(tbl_Onsite[Qwilr Quote],IFERROR(MATCH(E58&amp;"",tbl_Onsite[Job Number],0),MATCH(IFERROR(E58+0,E58),tbl_Onsite[Job Number],0)))),IFERROR(IF(IF(INDEX(tbl_Production[Current RMS No],IFERROR(MATCH(E58&amp;"",tbl_Production[Job Number],0),MATCH(IFERROR(E58+0,E58),tbl_Production[Job Number],0)))="",INDEX(tbl_Production[Qwilr Quote],IFERROR(MATCH(E58&amp;"",tbl_Production[Job Number],0),MATCH(IFERROR(E58+0,E58),tbl_Production[Job Number],0))),INDEX(tbl_Production[Current RMS No],IFERROR(MATCH(E58&amp;"",tbl_Production[Job Number],0),MATCH(IFERROR(E58+0,E58),tbl_Production[Job Number],0))))="","",IF(INDEX(tbl_Production[Current RMS No],IFERROR(MATCH(E58&amp;"",tbl_Production[Job Number],0),MATCH(IFERROR(E58+0,E58),tbl_Production[Job Number],0)))="",INDEX(tbl_Production[Qwilr Quote],IFERROR(MATCH(E58&amp;"",tbl_Production[Job Number],0),MATCH(IFERROR(E58+0,E58),tbl_Production[Job Number],0))),INDEX(tbl_Production[Current RMS No],IFERROR(MATCH(E58&amp;"",tbl_Production[Job Number],0),MATCH(IFERROR(E58+0,E58),tbl_Production[Job Number],0))))),IFERROR(IF(INDEX(tbl_Consulting[Qwilr Quote],IFERROR(MATCH(E58&amp;"",tbl_Consulting[Job Number],0),MATCH(IFERROR(E58+0,E58),tbl_Consulting[Job Number],0)))="","",INDEX(tbl_Consulting[Qwilr Quote],IFERROR(MATCH(E58&amp;"",tbl_Consulting[Job Number],0),MATCH(IFERROR(E58+0,E58),tbl_Consulting[Job Number],0)))),""))))</f>
        <v/>
      </c>
      <c r="AD58" s="25">
        <f>IF(AC58="","",IF(AND(LEFT(AC58,4)&lt;&gt;"http",IF(H58="Production",set_RMSBase,set_QwilrBase)=""),"",HYPERLINK(IF(LEFT(AC58,4)="http",AC58,IF(H58="Production",set_RMSBase,set_QwilrBase)&amp;AC58),"Open")))</f>
        <v/>
      </c>
      <c r="AE58" s="27">
        <f>IF(E58="","",IFERROR(INDEX(tbl_Production[Total Expense],IFERROR(MATCH(E58&amp;"",tbl_Production[Job Number],0),MATCH(IFERROR(E58+0,E58),tbl_Production[Job Number],0))),IFERROR(INDEX(tbl_Consulting[Total Expense],IFERROR(MATCH(E58&amp;"",tbl_Consulting[Job Number],0),MATCH(IFERROR(E58+0,E58),tbl_Consulting[Job Number],0))),0)))</f>
        <v/>
      </c>
      <c r="AF58" s="27">
        <f>IF(E58="","",Z58-N(AE58))</f>
        <v/>
      </c>
      <c r="AG58" s="29">
        <f>IFERROR(AF58/Z58,"")</f>
        <v/>
      </c>
      <c r="AH58" s="25">
        <f>IF(E58="","",IFERROR(IF(INDEX(tbl_Onsite[Notes],IFERROR(MATCH(E58&amp;"",tbl_Onsite[Job Number],0),MATCH(IFERROR(E58+0,E58),tbl_Onsite[Job Number],0)))="","",INDEX(tbl_Onsite[Notes],IFERROR(MATCH(E58&amp;"",tbl_Onsite[Job Number],0),MATCH(IFERROR(E58+0,E58),tbl_Onsite[Job Number],0)))),IFERROR(IF(INDEX(tbl_Production[Notes],IFERROR(MATCH(E58&amp;"",tbl_Production[Job Number],0),MATCH(IFERROR(E58+0,E58),tbl_Production[Job Number],0)))="","",INDEX(tbl_Production[Notes],IFERROR(MATCH(E58&amp;"",tbl_Production[Job Number],0),MATCH(IFERROR(E58+0,E58),tbl_Production[Job Number],0)))),IFERROR(IF(INDEX(tbl_Consulting[Notes],IFERROR(MATCH(E58&amp;"",tbl_Consulting[Job Number],0),MATCH(IFERROR(E58+0,E58),tbl_Consulting[Job Number],0)))="","",INDEX(tbl_Consulting[Notes],IFERROR(MATCH(E58&amp;"",tbl_Consulting[Job Number],0),MATCH(IFERROR(E58+0,E58),tbl_Consulting[Job Number],0)))),""))))</f>
        <v/>
      </c>
    </row>
    <row r="59" ht="15" customHeight="1">
      <c r="A59" s="22" t="n"/>
      <c r="B59" s="23">
        <f>IF(A59="","",EOMONTH(A59,0))</f>
        <v/>
      </c>
      <c r="C59" s="24" t="n"/>
      <c r="D59" s="24" t="n"/>
      <c r="E59" s="24" t="n"/>
      <c r="F59" s="25">
        <f>IF(E59="","",IF(COUNTIF(lst_Jobs,E59&amp;"")&gt;0,"OK","CHECK"))</f>
        <v/>
      </c>
      <c r="G59" s="24" t="n"/>
      <c r="H59" s="24" t="n"/>
      <c r="I59" s="24" t="n"/>
      <c r="J59" s="24" t="n"/>
      <c r="K59" s="24" t="n"/>
      <c r="L59" s="26" t="n"/>
      <c r="M59" s="27">
        <f>IF(L59="","",IF(K59="GST 10%",ROUND(L59*set_GSTRate,2),0))</f>
        <v/>
      </c>
      <c r="N59" s="27">
        <f>IF(L59="","",L59+M59)</f>
        <v/>
      </c>
      <c r="O59" s="24" t="n"/>
      <c r="P59" s="24" t="n"/>
      <c r="Q59" s="24" t="n"/>
      <c r="R59" s="22" t="n"/>
      <c r="S59" s="22" t="n"/>
      <c r="T59" s="24" t="n"/>
      <c r="U59" s="24" t="n"/>
      <c r="V59" s="25">
        <f>IF(COUNTA(A59,D59,C59,L59)=0,"",IF(A59="","No date - sits outside every month",IF(E59="","No job number",IF(F59="CHECK","Job number is not in the Xero job list",IF(I59="","No cost centre",IF(AND(P59="Y",C59=""),"Marked posted to Xero but has no invoice number",IF(AND(L59&lt;&gt;"",K59=""),"No tax code",IF(AND(L59&lt;&gt;"",O59=""),"No revenue GL code",""))))))))</f>
        <v/>
      </c>
      <c r="W59" s="25">
        <f>IF(E59="","",IF(COUNTIF(tbl_Onsite[Job Number],E59&amp;"")&gt;0,"Onsite",IF(COUNTIF(tbl_Production[Job Number],E59&amp;"")&gt;0,"Production",IF(COUNTIF(tbl_Consulting[Job Number],E59&amp;"")&gt;0,"Consulting","not set up yet"))))</f>
        <v/>
      </c>
      <c r="X59" s="25">
        <f>IF(E59="","",IFERROR(INDEX(lst_JobName,MATCH(E59&amp;"",lst_Jobs,0)),""))</f>
        <v/>
      </c>
      <c r="Y59" s="28">
        <f>IF(E59="","",COUNTIFS(tbl_Finance[Job Number],E59&amp;"",tbl_Finance[Ex GST],"&lt;&gt;"))</f>
        <v/>
      </c>
      <c r="Z59" s="27">
        <f>IF(E59="","",SUMIFS(tbl_Finance[Ex GST],tbl_Finance[Job Number],E59&amp;""))</f>
        <v/>
      </c>
      <c r="AA59" s="27">
        <f>IF(E59="","",SUMIFS(tbl_Finance[Ex GST],tbl_Finance[Job Number],E59&amp;"",tbl_Finance[Xero Invoice No],"&lt;&gt;"))</f>
        <v/>
      </c>
      <c r="AB59" s="27">
        <f>IF(E59="","",Z59-AA59)</f>
        <v/>
      </c>
      <c r="AC59" s="25">
        <f>IF(E59="","",IFERROR(IF(INDEX(tbl_Onsite[Qwilr Quote],IFERROR(MATCH(E59&amp;"",tbl_Onsite[Job Number],0),MATCH(IFERROR(E59+0,E59),tbl_Onsite[Job Number],0)))="","",INDEX(tbl_Onsite[Qwilr Quote],IFERROR(MATCH(E59&amp;"",tbl_Onsite[Job Number],0),MATCH(IFERROR(E59+0,E59),tbl_Onsite[Job Number],0)))),IFERROR(IF(IF(INDEX(tbl_Production[Current RMS No],IFERROR(MATCH(E59&amp;"",tbl_Production[Job Number],0),MATCH(IFERROR(E59+0,E59),tbl_Production[Job Number],0)))="",INDEX(tbl_Production[Qwilr Quote],IFERROR(MATCH(E59&amp;"",tbl_Production[Job Number],0),MATCH(IFERROR(E59+0,E59),tbl_Production[Job Number],0))),INDEX(tbl_Production[Current RMS No],IFERROR(MATCH(E59&amp;"",tbl_Production[Job Number],0),MATCH(IFERROR(E59+0,E59),tbl_Production[Job Number],0))))="","",IF(INDEX(tbl_Production[Current RMS No],IFERROR(MATCH(E59&amp;"",tbl_Production[Job Number],0),MATCH(IFERROR(E59+0,E59),tbl_Production[Job Number],0)))="",INDEX(tbl_Production[Qwilr Quote],IFERROR(MATCH(E59&amp;"",tbl_Production[Job Number],0),MATCH(IFERROR(E59+0,E59),tbl_Production[Job Number],0))),INDEX(tbl_Production[Current RMS No],IFERROR(MATCH(E59&amp;"",tbl_Production[Job Number],0),MATCH(IFERROR(E59+0,E59),tbl_Production[Job Number],0))))),IFERROR(IF(INDEX(tbl_Consulting[Qwilr Quote],IFERROR(MATCH(E59&amp;"",tbl_Consulting[Job Number],0),MATCH(IFERROR(E59+0,E59),tbl_Consulting[Job Number],0)))="","",INDEX(tbl_Consulting[Qwilr Quote],IFERROR(MATCH(E59&amp;"",tbl_Consulting[Job Number],0),MATCH(IFERROR(E59+0,E59),tbl_Consulting[Job Number],0)))),""))))</f>
        <v/>
      </c>
      <c r="AD59" s="25">
        <f>IF(AC59="","",IF(AND(LEFT(AC59,4)&lt;&gt;"http",IF(H59="Production",set_RMSBase,set_QwilrBase)=""),"",HYPERLINK(IF(LEFT(AC59,4)="http",AC59,IF(H59="Production",set_RMSBase,set_QwilrBase)&amp;AC59),"Open")))</f>
        <v/>
      </c>
      <c r="AE59" s="27">
        <f>IF(E59="","",IFERROR(INDEX(tbl_Production[Total Expense],IFERROR(MATCH(E59&amp;"",tbl_Production[Job Number],0),MATCH(IFERROR(E59+0,E59),tbl_Production[Job Number],0))),IFERROR(INDEX(tbl_Consulting[Total Expense],IFERROR(MATCH(E59&amp;"",tbl_Consulting[Job Number],0),MATCH(IFERROR(E59+0,E59),tbl_Consulting[Job Number],0))),0)))</f>
        <v/>
      </c>
      <c r="AF59" s="27">
        <f>IF(E59="","",Z59-N(AE59))</f>
        <v/>
      </c>
      <c r="AG59" s="29">
        <f>IFERROR(AF59/Z59,"")</f>
        <v/>
      </c>
      <c r="AH59" s="25">
        <f>IF(E59="","",IFERROR(IF(INDEX(tbl_Onsite[Notes],IFERROR(MATCH(E59&amp;"",tbl_Onsite[Job Number],0),MATCH(IFERROR(E59+0,E59),tbl_Onsite[Job Number],0)))="","",INDEX(tbl_Onsite[Notes],IFERROR(MATCH(E59&amp;"",tbl_Onsite[Job Number],0),MATCH(IFERROR(E59+0,E59),tbl_Onsite[Job Number],0)))),IFERROR(IF(INDEX(tbl_Production[Notes],IFERROR(MATCH(E59&amp;"",tbl_Production[Job Number],0),MATCH(IFERROR(E59+0,E59),tbl_Production[Job Number],0)))="","",INDEX(tbl_Production[Notes],IFERROR(MATCH(E59&amp;"",tbl_Production[Job Number],0),MATCH(IFERROR(E59+0,E59),tbl_Production[Job Number],0)))),IFERROR(IF(INDEX(tbl_Consulting[Notes],IFERROR(MATCH(E59&amp;"",tbl_Consulting[Job Number],0),MATCH(IFERROR(E59+0,E59),tbl_Consulting[Job Number],0)))="","",INDEX(tbl_Consulting[Notes],IFERROR(MATCH(E59&amp;"",tbl_Consulting[Job Number],0),MATCH(IFERROR(E59+0,E59),tbl_Consulting[Job Number],0)))),""))))</f>
        <v/>
      </c>
    </row>
    <row r="60" ht="15" customHeight="1">
      <c r="A60" s="22" t="n"/>
      <c r="B60" s="23">
        <f>IF(A60="","",EOMONTH(A60,0))</f>
        <v/>
      </c>
      <c r="C60" s="24" t="n"/>
      <c r="D60" s="24" t="n"/>
      <c r="E60" s="24" t="n"/>
      <c r="F60" s="25">
        <f>IF(E60="","",IF(COUNTIF(lst_Jobs,E60&amp;"")&gt;0,"OK","CHECK"))</f>
        <v/>
      </c>
      <c r="G60" s="24" t="n"/>
      <c r="H60" s="24" t="n"/>
      <c r="I60" s="24" t="n"/>
      <c r="J60" s="24" t="n"/>
      <c r="K60" s="24" t="n"/>
      <c r="L60" s="26" t="n"/>
      <c r="M60" s="27">
        <f>IF(L60="","",IF(K60="GST 10%",ROUND(L60*set_GSTRate,2),0))</f>
        <v/>
      </c>
      <c r="N60" s="27">
        <f>IF(L60="","",L60+M60)</f>
        <v/>
      </c>
      <c r="O60" s="24" t="n"/>
      <c r="P60" s="24" t="n"/>
      <c r="Q60" s="24" t="n"/>
      <c r="R60" s="22" t="n"/>
      <c r="S60" s="22" t="n"/>
      <c r="T60" s="24" t="n"/>
      <c r="U60" s="24" t="n"/>
      <c r="V60" s="25">
        <f>IF(COUNTA(A60,D60,C60,L60)=0,"",IF(A60="","No date - sits outside every month",IF(E60="","No job number",IF(F60="CHECK","Job number is not in the Xero job list",IF(I60="","No cost centre",IF(AND(P60="Y",C60=""),"Marked posted to Xero but has no invoice number",IF(AND(L60&lt;&gt;"",K60=""),"No tax code",IF(AND(L60&lt;&gt;"",O60=""),"No revenue GL code",""))))))))</f>
        <v/>
      </c>
      <c r="W60" s="25">
        <f>IF(E60="","",IF(COUNTIF(tbl_Onsite[Job Number],E60&amp;"")&gt;0,"Onsite",IF(COUNTIF(tbl_Production[Job Number],E60&amp;"")&gt;0,"Production",IF(COUNTIF(tbl_Consulting[Job Number],E60&amp;"")&gt;0,"Consulting","not set up yet"))))</f>
        <v/>
      </c>
      <c r="X60" s="25">
        <f>IF(E60="","",IFERROR(INDEX(lst_JobName,MATCH(E60&amp;"",lst_Jobs,0)),""))</f>
        <v/>
      </c>
      <c r="Y60" s="28">
        <f>IF(E60="","",COUNTIFS(tbl_Finance[Job Number],E60&amp;"",tbl_Finance[Ex GST],"&lt;&gt;"))</f>
        <v/>
      </c>
      <c r="Z60" s="27">
        <f>IF(E60="","",SUMIFS(tbl_Finance[Ex GST],tbl_Finance[Job Number],E60&amp;""))</f>
        <v/>
      </c>
      <c r="AA60" s="27">
        <f>IF(E60="","",SUMIFS(tbl_Finance[Ex GST],tbl_Finance[Job Number],E60&amp;"",tbl_Finance[Xero Invoice No],"&lt;&gt;"))</f>
        <v/>
      </c>
      <c r="AB60" s="27">
        <f>IF(E60="","",Z60-AA60)</f>
        <v/>
      </c>
      <c r="AC60" s="25">
        <f>IF(E60="","",IFERROR(IF(INDEX(tbl_Onsite[Qwilr Quote],IFERROR(MATCH(E60&amp;"",tbl_Onsite[Job Number],0),MATCH(IFERROR(E60+0,E60),tbl_Onsite[Job Number],0)))="","",INDEX(tbl_Onsite[Qwilr Quote],IFERROR(MATCH(E60&amp;"",tbl_Onsite[Job Number],0),MATCH(IFERROR(E60+0,E60),tbl_Onsite[Job Number],0)))),IFERROR(IF(IF(INDEX(tbl_Production[Current RMS No],IFERROR(MATCH(E60&amp;"",tbl_Production[Job Number],0),MATCH(IFERROR(E60+0,E60),tbl_Production[Job Number],0)))="",INDEX(tbl_Production[Qwilr Quote],IFERROR(MATCH(E60&amp;"",tbl_Production[Job Number],0),MATCH(IFERROR(E60+0,E60),tbl_Production[Job Number],0))),INDEX(tbl_Production[Current RMS No],IFERROR(MATCH(E60&amp;"",tbl_Production[Job Number],0),MATCH(IFERROR(E60+0,E60),tbl_Production[Job Number],0))))="","",IF(INDEX(tbl_Production[Current RMS No],IFERROR(MATCH(E60&amp;"",tbl_Production[Job Number],0),MATCH(IFERROR(E60+0,E60),tbl_Production[Job Number],0)))="",INDEX(tbl_Production[Qwilr Quote],IFERROR(MATCH(E60&amp;"",tbl_Production[Job Number],0),MATCH(IFERROR(E60+0,E60),tbl_Production[Job Number],0))),INDEX(tbl_Production[Current RMS No],IFERROR(MATCH(E60&amp;"",tbl_Production[Job Number],0),MATCH(IFERROR(E60+0,E60),tbl_Production[Job Number],0))))),IFERROR(IF(INDEX(tbl_Consulting[Qwilr Quote],IFERROR(MATCH(E60&amp;"",tbl_Consulting[Job Number],0),MATCH(IFERROR(E60+0,E60),tbl_Consulting[Job Number],0)))="","",INDEX(tbl_Consulting[Qwilr Quote],IFERROR(MATCH(E60&amp;"",tbl_Consulting[Job Number],0),MATCH(IFERROR(E60+0,E60),tbl_Consulting[Job Number],0)))),""))))</f>
        <v/>
      </c>
      <c r="AD60" s="25">
        <f>IF(AC60="","",IF(AND(LEFT(AC60,4)&lt;&gt;"http",IF(H60="Production",set_RMSBase,set_QwilrBase)=""),"",HYPERLINK(IF(LEFT(AC60,4)="http",AC60,IF(H60="Production",set_RMSBase,set_QwilrBase)&amp;AC60),"Open")))</f>
        <v/>
      </c>
      <c r="AE60" s="27">
        <f>IF(E60="","",IFERROR(INDEX(tbl_Production[Total Expense],IFERROR(MATCH(E60&amp;"",tbl_Production[Job Number],0),MATCH(IFERROR(E60+0,E60),tbl_Production[Job Number],0))),IFERROR(INDEX(tbl_Consulting[Total Expense],IFERROR(MATCH(E60&amp;"",tbl_Consulting[Job Number],0),MATCH(IFERROR(E60+0,E60),tbl_Consulting[Job Number],0))),0)))</f>
        <v/>
      </c>
      <c r="AF60" s="27">
        <f>IF(E60="","",Z60-N(AE60))</f>
        <v/>
      </c>
      <c r="AG60" s="29">
        <f>IFERROR(AF60/Z60,"")</f>
        <v/>
      </c>
      <c r="AH60" s="25">
        <f>IF(E60="","",IFERROR(IF(INDEX(tbl_Onsite[Notes],IFERROR(MATCH(E60&amp;"",tbl_Onsite[Job Number],0),MATCH(IFERROR(E60+0,E60),tbl_Onsite[Job Number],0)))="","",INDEX(tbl_Onsite[Notes],IFERROR(MATCH(E60&amp;"",tbl_Onsite[Job Number],0),MATCH(IFERROR(E60+0,E60),tbl_Onsite[Job Number],0)))),IFERROR(IF(INDEX(tbl_Production[Notes],IFERROR(MATCH(E60&amp;"",tbl_Production[Job Number],0),MATCH(IFERROR(E60+0,E60),tbl_Production[Job Number],0)))="","",INDEX(tbl_Production[Notes],IFERROR(MATCH(E60&amp;"",tbl_Production[Job Number],0),MATCH(IFERROR(E60+0,E60),tbl_Production[Job Number],0)))),IFERROR(IF(INDEX(tbl_Consulting[Notes],IFERROR(MATCH(E60&amp;"",tbl_Consulting[Job Number],0),MATCH(IFERROR(E60+0,E60),tbl_Consulting[Job Number],0)))="","",INDEX(tbl_Consulting[Notes],IFERROR(MATCH(E60&amp;"",tbl_Consulting[Job Number],0),MATCH(IFERROR(E60+0,E60),tbl_Consulting[Job Number],0)))),""))))</f>
        <v/>
      </c>
    </row>
    <row r="61" ht="15" customHeight="1">
      <c r="A61" s="22" t="n"/>
      <c r="B61" s="23">
        <f>IF(A61="","",EOMONTH(A61,0))</f>
        <v/>
      </c>
      <c r="C61" s="24" t="n"/>
      <c r="D61" s="24" t="n"/>
      <c r="E61" s="24" t="n"/>
      <c r="F61" s="25">
        <f>IF(E61="","",IF(COUNTIF(lst_Jobs,E61&amp;"")&gt;0,"OK","CHECK"))</f>
        <v/>
      </c>
      <c r="G61" s="24" t="n"/>
      <c r="H61" s="24" t="n"/>
      <c r="I61" s="24" t="n"/>
      <c r="J61" s="24" t="n"/>
      <c r="K61" s="24" t="n"/>
      <c r="L61" s="26" t="n"/>
      <c r="M61" s="27">
        <f>IF(L61="","",IF(K61="GST 10%",ROUND(L61*set_GSTRate,2),0))</f>
        <v/>
      </c>
      <c r="N61" s="27">
        <f>IF(L61="","",L61+M61)</f>
        <v/>
      </c>
      <c r="O61" s="24" t="n"/>
      <c r="P61" s="24" t="n"/>
      <c r="Q61" s="24" t="n"/>
      <c r="R61" s="22" t="n"/>
      <c r="S61" s="22" t="n"/>
      <c r="T61" s="24" t="n"/>
      <c r="U61" s="24" t="n"/>
      <c r="V61" s="25">
        <f>IF(COUNTA(A61,D61,C61,L61)=0,"",IF(A61="","No date - sits outside every month",IF(E61="","No job number",IF(F61="CHECK","Job number is not in the Xero job list",IF(I61="","No cost centre",IF(AND(P61="Y",C61=""),"Marked posted to Xero but has no invoice number",IF(AND(L61&lt;&gt;"",K61=""),"No tax code",IF(AND(L61&lt;&gt;"",O61=""),"No revenue GL code",""))))))))</f>
        <v/>
      </c>
      <c r="W61" s="25">
        <f>IF(E61="","",IF(COUNTIF(tbl_Onsite[Job Number],E61&amp;"")&gt;0,"Onsite",IF(COUNTIF(tbl_Production[Job Number],E61&amp;"")&gt;0,"Production",IF(COUNTIF(tbl_Consulting[Job Number],E61&amp;"")&gt;0,"Consulting","not set up yet"))))</f>
        <v/>
      </c>
      <c r="X61" s="25">
        <f>IF(E61="","",IFERROR(INDEX(lst_JobName,MATCH(E61&amp;"",lst_Jobs,0)),""))</f>
        <v/>
      </c>
      <c r="Y61" s="28">
        <f>IF(E61="","",COUNTIFS(tbl_Finance[Job Number],E61&amp;"",tbl_Finance[Ex GST],"&lt;&gt;"))</f>
        <v/>
      </c>
      <c r="Z61" s="27">
        <f>IF(E61="","",SUMIFS(tbl_Finance[Ex GST],tbl_Finance[Job Number],E61&amp;""))</f>
        <v/>
      </c>
      <c r="AA61" s="27">
        <f>IF(E61="","",SUMIFS(tbl_Finance[Ex GST],tbl_Finance[Job Number],E61&amp;"",tbl_Finance[Xero Invoice No],"&lt;&gt;"))</f>
        <v/>
      </c>
      <c r="AB61" s="27">
        <f>IF(E61="","",Z61-AA61)</f>
        <v/>
      </c>
      <c r="AC61" s="25">
        <f>IF(E61="","",IFERROR(IF(INDEX(tbl_Onsite[Qwilr Quote],IFERROR(MATCH(E61&amp;"",tbl_Onsite[Job Number],0),MATCH(IFERROR(E61+0,E61),tbl_Onsite[Job Number],0)))="","",INDEX(tbl_Onsite[Qwilr Quote],IFERROR(MATCH(E61&amp;"",tbl_Onsite[Job Number],0),MATCH(IFERROR(E61+0,E61),tbl_Onsite[Job Number],0)))),IFERROR(IF(IF(INDEX(tbl_Production[Current RMS No],IFERROR(MATCH(E61&amp;"",tbl_Production[Job Number],0),MATCH(IFERROR(E61+0,E61),tbl_Production[Job Number],0)))="",INDEX(tbl_Production[Qwilr Quote],IFERROR(MATCH(E61&amp;"",tbl_Production[Job Number],0),MATCH(IFERROR(E61+0,E61),tbl_Production[Job Number],0))),INDEX(tbl_Production[Current RMS No],IFERROR(MATCH(E61&amp;"",tbl_Production[Job Number],0),MATCH(IFERROR(E61+0,E61),tbl_Production[Job Number],0))))="","",IF(INDEX(tbl_Production[Current RMS No],IFERROR(MATCH(E61&amp;"",tbl_Production[Job Number],0),MATCH(IFERROR(E61+0,E61),tbl_Production[Job Number],0)))="",INDEX(tbl_Production[Qwilr Quote],IFERROR(MATCH(E61&amp;"",tbl_Production[Job Number],0),MATCH(IFERROR(E61+0,E61),tbl_Production[Job Number],0))),INDEX(tbl_Production[Current RMS No],IFERROR(MATCH(E61&amp;"",tbl_Production[Job Number],0),MATCH(IFERROR(E61+0,E61),tbl_Production[Job Number],0))))),IFERROR(IF(INDEX(tbl_Consulting[Qwilr Quote],IFERROR(MATCH(E61&amp;"",tbl_Consulting[Job Number],0),MATCH(IFERROR(E61+0,E61),tbl_Consulting[Job Number],0)))="","",INDEX(tbl_Consulting[Qwilr Quote],IFERROR(MATCH(E61&amp;"",tbl_Consulting[Job Number],0),MATCH(IFERROR(E61+0,E61),tbl_Consulting[Job Number],0)))),""))))</f>
        <v/>
      </c>
      <c r="AD61" s="25">
        <f>IF(AC61="","",IF(AND(LEFT(AC61,4)&lt;&gt;"http",IF(H61="Production",set_RMSBase,set_QwilrBase)=""),"",HYPERLINK(IF(LEFT(AC61,4)="http",AC61,IF(H61="Production",set_RMSBase,set_QwilrBase)&amp;AC61),"Open")))</f>
        <v/>
      </c>
      <c r="AE61" s="27">
        <f>IF(E61="","",IFERROR(INDEX(tbl_Production[Total Expense],IFERROR(MATCH(E61&amp;"",tbl_Production[Job Number],0),MATCH(IFERROR(E61+0,E61),tbl_Production[Job Number],0))),IFERROR(INDEX(tbl_Consulting[Total Expense],IFERROR(MATCH(E61&amp;"",tbl_Consulting[Job Number],0),MATCH(IFERROR(E61+0,E61),tbl_Consulting[Job Number],0))),0)))</f>
        <v/>
      </c>
      <c r="AF61" s="27">
        <f>IF(E61="","",Z61-N(AE61))</f>
        <v/>
      </c>
      <c r="AG61" s="29">
        <f>IFERROR(AF61/Z61,"")</f>
        <v/>
      </c>
      <c r="AH61" s="25">
        <f>IF(E61="","",IFERROR(IF(INDEX(tbl_Onsite[Notes],IFERROR(MATCH(E61&amp;"",tbl_Onsite[Job Number],0),MATCH(IFERROR(E61+0,E61),tbl_Onsite[Job Number],0)))="","",INDEX(tbl_Onsite[Notes],IFERROR(MATCH(E61&amp;"",tbl_Onsite[Job Number],0),MATCH(IFERROR(E61+0,E61),tbl_Onsite[Job Number],0)))),IFERROR(IF(INDEX(tbl_Production[Notes],IFERROR(MATCH(E61&amp;"",tbl_Production[Job Number],0),MATCH(IFERROR(E61+0,E61),tbl_Production[Job Number],0)))="","",INDEX(tbl_Production[Notes],IFERROR(MATCH(E61&amp;"",tbl_Production[Job Number],0),MATCH(IFERROR(E61+0,E61),tbl_Production[Job Number],0)))),IFERROR(IF(INDEX(tbl_Consulting[Notes],IFERROR(MATCH(E61&amp;"",tbl_Consulting[Job Number],0),MATCH(IFERROR(E61+0,E61),tbl_Consulting[Job Number],0)))="","",INDEX(tbl_Consulting[Notes],IFERROR(MATCH(E61&amp;"",tbl_Consulting[Job Number],0),MATCH(IFERROR(E61+0,E61),tbl_Consulting[Job Number],0)))),""))))</f>
        <v/>
      </c>
    </row>
    <row r="62" ht="15" customHeight="1">
      <c r="A62" s="22" t="n"/>
      <c r="B62" s="23">
        <f>IF(A62="","",EOMONTH(A62,0))</f>
        <v/>
      </c>
      <c r="C62" s="24" t="n"/>
      <c r="D62" s="24" t="n"/>
      <c r="E62" s="24" t="n"/>
      <c r="F62" s="25">
        <f>IF(E62="","",IF(COUNTIF(lst_Jobs,E62&amp;"")&gt;0,"OK","CHECK"))</f>
        <v/>
      </c>
      <c r="G62" s="24" t="n"/>
      <c r="H62" s="24" t="n"/>
      <c r="I62" s="24" t="n"/>
      <c r="J62" s="24" t="n"/>
      <c r="K62" s="24" t="n"/>
      <c r="L62" s="26" t="n"/>
      <c r="M62" s="27">
        <f>IF(L62="","",IF(K62="GST 10%",ROUND(L62*set_GSTRate,2),0))</f>
        <v/>
      </c>
      <c r="N62" s="27">
        <f>IF(L62="","",L62+M62)</f>
        <v/>
      </c>
      <c r="O62" s="24" t="n"/>
      <c r="P62" s="24" t="n"/>
      <c r="Q62" s="24" t="n"/>
      <c r="R62" s="22" t="n"/>
      <c r="S62" s="22" t="n"/>
      <c r="T62" s="24" t="n"/>
      <c r="U62" s="24" t="n"/>
      <c r="V62" s="25">
        <f>IF(COUNTA(A62,D62,C62,L62)=0,"",IF(A62="","No date - sits outside every month",IF(E62="","No job number",IF(F62="CHECK","Job number is not in the Xero job list",IF(I62="","No cost centre",IF(AND(P62="Y",C62=""),"Marked posted to Xero but has no invoice number",IF(AND(L62&lt;&gt;"",K62=""),"No tax code",IF(AND(L62&lt;&gt;"",O62=""),"No revenue GL code",""))))))))</f>
        <v/>
      </c>
      <c r="W62" s="25">
        <f>IF(E62="","",IF(COUNTIF(tbl_Onsite[Job Number],E62&amp;"")&gt;0,"Onsite",IF(COUNTIF(tbl_Production[Job Number],E62&amp;"")&gt;0,"Production",IF(COUNTIF(tbl_Consulting[Job Number],E62&amp;"")&gt;0,"Consulting","not set up yet"))))</f>
        <v/>
      </c>
      <c r="X62" s="25">
        <f>IF(E62="","",IFERROR(INDEX(lst_JobName,MATCH(E62&amp;"",lst_Jobs,0)),""))</f>
        <v/>
      </c>
      <c r="Y62" s="28">
        <f>IF(E62="","",COUNTIFS(tbl_Finance[Job Number],E62&amp;"",tbl_Finance[Ex GST],"&lt;&gt;"))</f>
        <v/>
      </c>
      <c r="Z62" s="27">
        <f>IF(E62="","",SUMIFS(tbl_Finance[Ex GST],tbl_Finance[Job Number],E62&amp;""))</f>
        <v/>
      </c>
      <c r="AA62" s="27">
        <f>IF(E62="","",SUMIFS(tbl_Finance[Ex GST],tbl_Finance[Job Number],E62&amp;"",tbl_Finance[Xero Invoice No],"&lt;&gt;"))</f>
        <v/>
      </c>
      <c r="AB62" s="27">
        <f>IF(E62="","",Z62-AA62)</f>
        <v/>
      </c>
      <c r="AC62" s="25">
        <f>IF(E62="","",IFERROR(IF(INDEX(tbl_Onsite[Qwilr Quote],IFERROR(MATCH(E62&amp;"",tbl_Onsite[Job Number],0),MATCH(IFERROR(E62+0,E62),tbl_Onsite[Job Number],0)))="","",INDEX(tbl_Onsite[Qwilr Quote],IFERROR(MATCH(E62&amp;"",tbl_Onsite[Job Number],0),MATCH(IFERROR(E62+0,E62),tbl_Onsite[Job Number],0)))),IFERROR(IF(IF(INDEX(tbl_Production[Current RMS No],IFERROR(MATCH(E62&amp;"",tbl_Production[Job Number],0),MATCH(IFERROR(E62+0,E62),tbl_Production[Job Number],0)))="",INDEX(tbl_Production[Qwilr Quote],IFERROR(MATCH(E62&amp;"",tbl_Production[Job Number],0),MATCH(IFERROR(E62+0,E62),tbl_Production[Job Number],0))),INDEX(tbl_Production[Current RMS No],IFERROR(MATCH(E62&amp;"",tbl_Production[Job Number],0),MATCH(IFERROR(E62+0,E62),tbl_Production[Job Number],0))))="","",IF(INDEX(tbl_Production[Current RMS No],IFERROR(MATCH(E62&amp;"",tbl_Production[Job Number],0),MATCH(IFERROR(E62+0,E62),tbl_Production[Job Number],0)))="",INDEX(tbl_Production[Qwilr Quote],IFERROR(MATCH(E62&amp;"",tbl_Production[Job Number],0),MATCH(IFERROR(E62+0,E62),tbl_Production[Job Number],0))),INDEX(tbl_Production[Current RMS No],IFERROR(MATCH(E62&amp;"",tbl_Production[Job Number],0),MATCH(IFERROR(E62+0,E62),tbl_Production[Job Number],0))))),IFERROR(IF(INDEX(tbl_Consulting[Qwilr Quote],IFERROR(MATCH(E62&amp;"",tbl_Consulting[Job Number],0),MATCH(IFERROR(E62+0,E62),tbl_Consulting[Job Number],0)))="","",INDEX(tbl_Consulting[Qwilr Quote],IFERROR(MATCH(E62&amp;"",tbl_Consulting[Job Number],0),MATCH(IFERROR(E62+0,E62),tbl_Consulting[Job Number],0)))),""))))</f>
        <v/>
      </c>
      <c r="AD62" s="25">
        <f>IF(AC62="","",IF(AND(LEFT(AC62,4)&lt;&gt;"http",IF(H62="Production",set_RMSBase,set_QwilrBase)=""),"",HYPERLINK(IF(LEFT(AC62,4)="http",AC62,IF(H62="Production",set_RMSBase,set_QwilrBase)&amp;AC62),"Open")))</f>
        <v/>
      </c>
      <c r="AE62" s="27">
        <f>IF(E62="","",IFERROR(INDEX(tbl_Production[Total Expense],IFERROR(MATCH(E62&amp;"",tbl_Production[Job Number],0),MATCH(IFERROR(E62+0,E62),tbl_Production[Job Number],0))),IFERROR(INDEX(tbl_Consulting[Total Expense],IFERROR(MATCH(E62&amp;"",tbl_Consulting[Job Number],0),MATCH(IFERROR(E62+0,E62),tbl_Consulting[Job Number],0))),0)))</f>
        <v/>
      </c>
      <c r="AF62" s="27">
        <f>IF(E62="","",Z62-N(AE62))</f>
        <v/>
      </c>
      <c r="AG62" s="29">
        <f>IFERROR(AF62/Z62,"")</f>
        <v/>
      </c>
      <c r="AH62" s="25">
        <f>IF(E62="","",IFERROR(IF(INDEX(tbl_Onsite[Notes],IFERROR(MATCH(E62&amp;"",tbl_Onsite[Job Number],0),MATCH(IFERROR(E62+0,E62),tbl_Onsite[Job Number],0)))="","",INDEX(tbl_Onsite[Notes],IFERROR(MATCH(E62&amp;"",tbl_Onsite[Job Number],0),MATCH(IFERROR(E62+0,E62),tbl_Onsite[Job Number],0)))),IFERROR(IF(INDEX(tbl_Production[Notes],IFERROR(MATCH(E62&amp;"",tbl_Production[Job Number],0),MATCH(IFERROR(E62+0,E62),tbl_Production[Job Number],0)))="","",INDEX(tbl_Production[Notes],IFERROR(MATCH(E62&amp;"",tbl_Production[Job Number],0),MATCH(IFERROR(E62+0,E62),tbl_Production[Job Number],0)))),IFERROR(IF(INDEX(tbl_Consulting[Notes],IFERROR(MATCH(E62&amp;"",tbl_Consulting[Job Number],0),MATCH(IFERROR(E62+0,E62),tbl_Consulting[Job Number],0)))="","",INDEX(tbl_Consulting[Notes],IFERROR(MATCH(E62&amp;"",tbl_Consulting[Job Number],0),MATCH(IFERROR(E62+0,E62),tbl_Consulting[Job Number],0)))),""))))</f>
        <v/>
      </c>
    </row>
    <row r="63" ht="15" customHeight="1">
      <c r="A63" s="22" t="n"/>
      <c r="B63" s="23">
        <f>IF(A63="","",EOMONTH(A63,0))</f>
        <v/>
      </c>
      <c r="C63" s="24" t="n"/>
      <c r="D63" s="24" t="n"/>
      <c r="E63" s="24" t="n"/>
      <c r="F63" s="25">
        <f>IF(E63="","",IF(COUNTIF(lst_Jobs,E63&amp;"")&gt;0,"OK","CHECK"))</f>
        <v/>
      </c>
      <c r="G63" s="24" t="n"/>
      <c r="H63" s="24" t="n"/>
      <c r="I63" s="24" t="n"/>
      <c r="J63" s="24" t="n"/>
      <c r="K63" s="24" t="n"/>
      <c r="L63" s="26" t="n"/>
      <c r="M63" s="27">
        <f>IF(L63="","",IF(K63="GST 10%",ROUND(L63*set_GSTRate,2),0))</f>
        <v/>
      </c>
      <c r="N63" s="27">
        <f>IF(L63="","",L63+M63)</f>
        <v/>
      </c>
      <c r="O63" s="24" t="n"/>
      <c r="P63" s="24" t="n"/>
      <c r="Q63" s="24" t="n"/>
      <c r="R63" s="22" t="n"/>
      <c r="S63" s="22" t="n"/>
      <c r="T63" s="24" t="n"/>
      <c r="U63" s="24" t="n"/>
      <c r="V63" s="25">
        <f>IF(COUNTA(A63,D63,C63,L63)=0,"",IF(A63="","No date - sits outside every month",IF(E63="","No job number",IF(F63="CHECK","Job number is not in the Xero job list",IF(I63="","No cost centre",IF(AND(P63="Y",C63=""),"Marked posted to Xero but has no invoice number",IF(AND(L63&lt;&gt;"",K63=""),"No tax code",IF(AND(L63&lt;&gt;"",O63=""),"No revenue GL code",""))))))))</f>
        <v/>
      </c>
      <c r="W63" s="25">
        <f>IF(E63="","",IF(COUNTIF(tbl_Onsite[Job Number],E63&amp;"")&gt;0,"Onsite",IF(COUNTIF(tbl_Production[Job Number],E63&amp;"")&gt;0,"Production",IF(COUNTIF(tbl_Consulting[Job Number],E63&amp;"")&gt;0,"Consulting","not set up yet"))))</f>
        <v/>
      </c>
      <c r="X63" s="25">
        <f>IF(E63="","",IFERROR(INDEX(lst_JobName,MATCH(E63&amp;"",lst_Jobs,0)),""))</f>
        <v/>
      </c>
      <c r="Y63" s="28">
        <f>IF(E63="","",COUNTIFS(tbl_Finance[Job Number],E63&amp;"",tbl_Finance[Ex GST],"&lt;&gt;"))</f>
        <v/>
      </c>
      <c r="Z63" s="27">
        <f>IF(E63="","",SUMIFS(tbl_Finance[Ex GST],tbl_Finance[Job Number],E63&amp;""))</f>
        <v/>
      </c>
      <c r="AA63" s="27">
        <f>IF(E63="","",SUMIFS(tbl_Finance[Ex GST],tbl_Finance[Job Number],E63&amp;"",tbl_Finance[Xero Invoice No],"&lt;&gt;"))</f>
        <v/>
      </c>
      <c r="AB63" s="27">
        <f>IF(E63="","",Z63-AA63)</f>
        <v/>
      </c>
      <c r="AC63" s="25">
        <f>IF(E63="","",IFERROR(IF(INDEX(tbl_Onsite[Qwilr Quote],IFERROR(MATCH(E63&amp;"",tbl_Onsite[Job Number],0),MATCH(IFERROR(E63+0,E63),tbl_Onsite[Job Number],0)))="","",INDEX(tbl_Onsite[Qwilr Quote],IFERROR(MATCH(E63&amp;"",tbl_Onsite[Job Number],0),MATCH(IFERROR(E63+0,E63),tbl_Onsite[Job Number],0)))),IFERROR(IF(IF(INDEX(tbl_Production[Current RMS No],IFERROR(MATCH(E63&amp;"",tbl_Production[Job Number],0),MATCH(IFERROR(E63+0,E63),tbl_Production[Job Number],0)))="",INDEX(tbl_Production[Qwilr Quote],IFERROR(MATCH(E63&amp;"",tbl_Production[Job Number],0),MATCH(IFERROR(E63+0,E63),tbl_Production[Job Number],0))),INDEX(tbl_Production[Current RMS No],IFERROR(MATCH(E63&amp;"",tbl_Production[Job Number],0),MATCH(IFERROR(E63+0,E63),tbl_Production[Job Number],0))))="","",IF(INDEX(tbl_Production[Current RMS No],IFERROR(MATCH(E63&amp;"",tbl_Production[Job Number],0),MATCH(IFERROR(E63+0,E63),tbl_Production[Job Number],0)))="",INDEX(tbl_Production[Qwilr Quote],IFERROR(MATCH(E63&amp;"",tbl_Production[Job Number],0),MATCH(IFERROR(E63+0,E63),tbl_Production[Job Number],0))),INDEX(tbl_Production[Current RMS No],IFERROR(MATCH(E63&amp;"",tbl_Production[Job Number],0),MATCH(IFERROR(E63+0,E63),tbl_Production[Job Number],0))))),IFERROR(IF(INDEX(tbl_Consulting[Qwilr Quote],IFERROR(MATCH(E63&amp;"",tbl_Consulting[Job Number],0),MATCH(IFERROR(E63+0,E63),tbl_Consulting[Job Number],0)))="","",INDEX(tbl_Consulting[Qwilr Quote],IFERROR(MATCH(E63&amp;"",tbl_Consulting[Job Number],0),MATCH(IFERROR(E63+0,E63),tbl_Consulting[Job Number],0)))),""))))</f>
        <v/>
      </c>
      <c r="AD63" s="25">
        <f>IF(AC63="","",IF(AND(LEFT(AC63,4)&lt;&gt;"http",IF(H63="Production",set_RMSBase,set_QwilrBase)=""),"",HYPERLINK(IF(LEFT(AC63,4)="http",AC63,IF(H63="Production",set_RMSBase,set_QwilrBase)&amp;AC63),"Open")))</f>
        <v/>
      </c>
      <c r="AE63" s="27">
        <f>IF(E63="","",IFERROR(INDEX(tbl_Production[Total Expense],IFERROR(MATCH(E63&amp;"",tbl_Production[Job Number],0),MATCH(IFERROR(E63+0,E63),tbl_Production[Job Number],0))),IFERROR(INDEX(tbl_Consulting[Total Expense],IFERROR(MATCH(E63&amp;"",tbl_Consulting[Job Number],0),MATCH(IFERROR(E63+0,E63),tbl_Consulting[Job Number],0))),0)))</f>
        <v/>
      </c>
      <c r="AF63" s="27">
        <f>IF(E63="","",Z63-N(AE63))</f>
        <v/>
      </c>
      <c r="AG63" s="29">
        <f>IFERROR(AF63/Z63,"")</f>
        <v/>
      </c>
      <c r="AH63" s="25">
        <f>IF(E63="","",IFERROR(IF(INDEX(tbl_Onsite[Notes],IFERROR(MATCH(E63&amp;"",tbl_Onsite[Job Number],0),MATCH(IFERROR(E63+0,E63),tbl_Onsite[Job Number],0)))="","",INDEX(tbl_Onsite[Notes],IFERROR(MATCH(E63&amp;"",tbl_Onsite[Job Number],0),MATCH(IFERROR(E63+0,E63),tbl_Onsite[Job Number],0)))),IFERROR(IF(INDEX(tbl_Production[Notes],IFERROR(MATCH(E63&amp;"",tbl_Production[Job Number],0),MATCH(IFERROR(E63+0,E63),tbl_Production[Job Number],0)))="","",INDEX(tbl_Production[Notes],IFERROR(MATCH(E63&amp;"",tbl_Production[Job Number],0),MATCH(IFERROR(E63+0,E63),tbl_Production[Job Number],0)))),IFERROR(IF(INDEX(tbl_Consulting[Notes],IFERROR(MATCH(E63&amp;"",tbl_Consulting[Job Number],0),MATCH(IFERROR(E63+0,E63),tbl_Consulting[Job Number],0)))="","",INDEX(tbl_Consulting[Notes],IFERROR(MATCH(E63&amp;"",tbl_Consulting[Job Number],0),MATCH(IFERROR(E63+0,E63),tbl_Consulting[Job Number],0)))),""))))</f>
        <v/>
      </c>
    </row>
    <row r="64" ht="15" customHeight="1">
      <c r="A64" s="22" t="n"/>
      <c r="B64" s="23">
        <f>IF(A64="","",EOMONTH(A64,0))</f>
        <v/>
      </c>
      <c r="C64" s="24" t="n"/>
      <c r="D64" s="24" t="n"/>
      <c r="E64" s="24" t="n"/>
      <c r="F64" s="25">
        <f>IF(E64="","",IF(COUNTIF(lst_Jobs,E64&amp;"")&gt;0,"OK","CHECK"))</f>
        <v/>
      </c>
      <c r="G64" s="24" t="n"/>
      <c r="H64" s="24" t="n"/>
      <c r="I64" s="24" t="n"/>
      <c r="J64" s="24" t="n"/>
      <c r="K64" s="24" t="n"/>
      <c r="L64" s="26" t="n"/>
      <c r="M64" s="27">
        <f>IF(L64="","",IF(K64="GST 10%",ROUND(L64*set_GSTRate,2),0))</f>
        <v/>
      </c>
      <c r="N64" s="27">
        <f>IF(L64="","",L64+M64)</f>
        <v/>
      </c>
      <c r="O64" s="24" t="n"/>
      <c r="P64" s="24" t="n"/>
      <c r="Q64" s="24" t="n"/>
      <c r="R64" s="22" t="n"/>
      <c r="S64" s="22" t="n"/>
      <c r="T64" s="24" t="n"/>
      <c r="U64" s="24" t="n"/>
      <c r="V64" s="25">
        <f>IF(COUNTA(A64,D64,C64,L64)=0,"",IF(A64="","No date - sits outside every month",IF(E64="","No job number",IF(F64="CHECK","Job number is not in the Xero job list",IF(I64="","No cost centre",IF(AND(P64="Y",C64=""),"Marked posted to Xero but has no invoice number",IF(AND(L64&lt;&gt;"",K64=""),"No tax code",IF(AND(L64&lt;&gt;"",O64=""),"No revenue GL code",""))))))))</f>
        <v/>
      </c>
      <c r="W64" s="25">
        <f>IF(E64="","",IF(COUNTIF(tbl_Onsite[Job Number],E64&amp;"")&gt;0,"Onsite",IF(COUNTIF(tbl_Production[Job Number],E64&amp;"")&gt;0,"Production",IF(COUNTIF(tbl_Consulting[Job Number],E64&amp;"")&gt;0,"Consulting","not set up yet"))))</f>
        <v/>
      </c>
      <c r="X64" s="25">
        <f>IF(E64="","",IFERROR(INDEX(lst_JobName,MATCH(E64&amp;"",lst_Jobs,0)),""))</f>
        <v/>
      </c>
      <c r="Y64" s="28">
        <f>IF(E64="","",COUNTIFS(tbl_Finance[Job Number],E64&amp;"",tbl_Finance[Ex GST],"&lt;&gt;"))</f>
        <v/>
      </c>
      <c r="Z64" s="27">
        <f>IF(E64="","",SUMIFS(tbl_Finance[Ex GST],tbl_Finance[Job Number],E64&amp;""))</f>
        <v/>
      </c>
      <c r="AA64" s="27">
        <f>IF(E64="","",SUMIFS(tbl_Finance[Ex GST],tbl_Finance[Job Number],E64&amp;"",tbl_Finance[Xero Invoice No],"&lt;&gt;"))</f>
        <v/>
      </c>
      <c r="AB64" s="27">
        <f>IF(E64="","",Z64-AA64)</f>
        <v/>
      </c>
      <c r="AC64" s="25">
        <f>IF(E64="","",IFERROR(IF(INDEX(tbl_Onsite[Qwilr Quote],IFERROR(MATCH(E64&amp;"",tbl_Onsite[Job Number],0),MATCH(IFERROR(E64+0,E64),tbl_Onsite[Job Number],0)))="","",INDEX(tbl_Onsite[Qwilr Quote],IFERROR(MATCH(E64&amp;"",tbl_Onsite[Job Number],0),MATCH(IFERROR(E64+0,E64),tbl_Onsite[Job Number],0)))),IFERROR(IF(IF(INDEX(tbl_Production[Current RMS No],IFERROR(MATCH(E64&amp;"",tbl_Production[Job Number],0),MATCH(IFERROR(E64+0,E64),tbl_Production[Job Number],0)))="",INDEX(tbl_Production[Qwilr Quote],IFERROR(MATCH(E64&amp;"",tbl_Production[Job Number],0),MATCH(IFERROR(E64+0,E64),tbl_Production[Job Number],0))),INDEX(tbl_Production[Current RMS No],IFERROR(MATCH(E64&amp;"",tbl_Production[Job Number],0),MATCH(IFERROR(E64+0,E64),tbl_Production[Job Number],0))))="","",IF(INDEX(tbl_Production[Current RMS No],IFERROR(MATCH(E64&amp;"",tbl_Production[Job Number],0),MATCH(IFERROR(E64+0,E64),tbl_Production[Job Number],0)))="",INDEX(tbl_Production[Qwilr Quote],IFERROR(MATCH(E64&amp;"",tbl_Production[Job Number],0),MATCH(IFERROR(E64+0,E64),tbl_Production[Job Number],0))),INDEX(tbl_Production[Current RMS No],IFERROR(MATCH(E64&amp;"",tbl_Production[Job Number],0),MATCH(IFERROR(E64+0,E64),tbl_Production[Job Number],0))))),IFERROR(IF(INDEX(tbl_Consulting[Qwilr Quote],IFERROR(MATCH(E64&amp;"",tbl_Consulting[Job Number],0),MATCH(IFERROR(E64+0,E64),tbl_Consulting[Job Number],0)))="","",INDEX(tbl_Consulting[Qwilr Quote],IFERROR(MATCH(E64&amp;"",tbl_Consulting[Job Number],0),MATCH(IFERROR(E64+0,E64),tbl_Consulting[Job Number],0)))),""))))</f>
        <v/>
      </c>
      <c r="AD64" s="25">
        <f>IF(AC64="","",IF(AND(LEFT(AC64,4)&lt;&gt;"http",IF(H64="Production",set_RMSBase,set_QwilrBase)=""),"",HYPERLINK(IF(LEFT(AC64,4)="http",AC64,IF(H64="Production",set_RMSBase,set_QwilrBase)&amp;AC64),"Open")))</f>
        <v/>
      </c>
      <c r="AE64" s="27">
        <f>IF(E64="","",IFERROR(INDEX(tbl_Production[Total Expense],IFERROR(MATCH(E64&amp;"",tbl_Production[Job Number],0),MATCH(IFERROR(E64+0,E64),tbl_Production[Job Number],0))),IFERROR(INDEX(tbl_Consulting[Total Expense],IFERROR(MATCH(E64&amp;"",tbl_Consulting[Job Number],0),MATCH(IFERROR(E64+0,E64),tbl_Consulting[Job Number],0))),0)))</f>
        <v/>
      </c>
      <c r="AF64" s="27">
        <f>IF(E64="","",Z64-N(AE64))</f>
        <v/>
      </c>
      <c r="AG64" s="29">
        <f>IFERROR(AF64/Z64,"")</f>
        <v/>
      </c>
      <c r="AH64" s="25">
        <f>IF(E64="","",IFERROR(IF(INDEX(tbl_Onsite[Notes],IFERROR(MATCH(E64&amp;"",tbl_Onsite[Job Number],0),MATCH(IFERROR(E64+0,E64),tbl_Onsite[Job Number],0)))="","",INDEX(tbl_Onsite[Notes],IFERROR(MATCH(E64&amp;"",tbl_Onsite[Job Number],0),MATCH(IFERROR(E64+0,E64),tbl_Onsite[Job Number],0)))),IFERROR(IF(INDEX(tbl_Production[Notes],IFERROR(MATCH(E64&amp;"",tbl_Production[Job Number],0),MATCH(IFERROR(E64+0,E64),tbl_Production[Job Number],0)))="","",INDEX(tbl_Production[Notes],IFERROR(MATCH(E64&amp;"",tbl_Production[Job Number],0),MATCH(IFERROR(E64+0,E64),tbl_Production[Job Number],0)))),IFERROR(IF(INDEX(tbl_Consulting[Notes],IFERROR(MATCH(E64&amp;"",tbl_Consulting[Job Number],0),MATCH(IFERROR(E64+0,E64),tbl_Consulting[Job Number],0)))="","",INDEX(tbl_Consulting[Notes],IFERROR(MATCH(E64&amp;"",tbl_Consulting[Job Number],0),MATCH(IFERROR(E64+0,E64),tbl_Consulting[Job Number],0)))),""))))</f>
        <v/>
      </c>
    </row>
    <row r="65" ht="15" customHeight="1">
      <c r="A65" s="22" t="n"/>
      <c r="B65" s="23">
        <f>IF(A65="","",EOMONTH(A65,0))</f>
        <v/>
      </c>
      <c r="C65" s="24" t="n"/>
      <c r="D65" s="24" t="n"/>
      <c r="E65" s="24" t="n"/>
      <c r="F65" s="25">
        <f>IF(E65="","",IF(COUNTIF(lst_Jobs,E65&amp;"")&gt;0,"OK","CHECK"))</f>
        <v/>
      </c>
      <c r="G65" s="24" t="n"/>
      <c r="H65" s="24" t="n"/>
      <c r="I65" s="24" t="n"/>
      <c r="J65" s="24" t="n"/>
      <c r="K65" s="24" t="n"/>
      <c r="L65" s="26" t="n"/>
      <c r="M65" s="27">
        <f>IF(L65="","",IF(K65="GST 10%",ROUND(L65*set_GSTRate,2),0))</f>
        <v/>
      </c>
      <c r="N65" s="27">
        <f>IF(L65="","",L65+M65)</f>
        <v/>
      </c>
      <c r="O65" s="24" t="n"/>
      <c r="P65" s="24" t="n"/>
      <c r="Q65" s="24" t="n"/>
      <c r="R65" s="22" t="n"/>
      <c r="S65" s="22" t="n"/>
      <c r="T65" s="24" t="n"/>
      <c r="U65" s="24" t="n"/>
      <c r="V65" s="25">
        <f>IF(COUNTA(A65,D65,C65,L65)=0,"",IF(A65="","No date - sits outside every month",IF(E65="","No job number",IF(F65="CHECK","Job number is not in the Xero job list",IF(I65="","No cost centre",IF(AND(P65="Y",C65=""),"Marked posted to Xero but has no invoice number",IF(AND(L65&lt;&gt;"",K65=""),"No tax code",IF(AND(L65&lt;&gt;"",O65=""),"No revenue GL code",""))))))))</f>
        <v/>
      </c>
      <c r="W65" s="25">
        <f>IF(E65="","",IF(COUNTIF(tbl_Onsite[Job Number],E65&amp;"")&gt;0,"Onsite",IF(COUNTIF(tbl_Production[Job Number],E65&amp;"")&gt;0,"Production",IF(COUNTIF(tbl_Consulting[Job Number],E65&amp;"")&gt;0,"Consulting","not set up yet"))))</f>
        <v/>
      </c>
      <c r="X65" s="25">
        <f>IF(E65="","",IFERROR(INDEX(lst_JobName,MATCH(E65&amp;"",lst_Jobs,0)),""))</f>
        <v/>
      </c>
      <c r="Y65" s="28">
        <f>IF(E65="","",COUNTIFS(tbl_Finance[Job Number],E65&amp;"",tbl_Finance[Ex GST],"&lt;&gt;"))</f>
        <v/>
      </c>
      <c r="Z65" s="27">
        <f>IF(E65="","",SUMIFS(tbl_Finance[Ex GST],tbl_Finance[Job Number],E65&amp;""))</f>
        <v/>
      </c>
      <c r="AA65" s="27">
        <f>IF(E65="","",SUMIFS(tbl_Finance[Ex GST],tbl_Finance[Job Number],E65&amp;"",tbl_Finance[Xero Invoice No],"&lt;&gt;"))</f>
        <v/>
      </c>
      <c r="AB65" s="27">
        <f>IF(E65="","",Z65-AA65)</f>
        <v/>
      </c>
      <c r="AC65" s="25">
        <f>IF(E65="","",IFERROR(IF(INDEX(tbl_Onsite[Qwilr Quote],IFERROR(MATCH(E65&amp;"",tbl_Onsite[Job Number],0),MATCH(IFERROR(E65+0,E65),tbl_Onsite[Job Number],0)))="","",INDEX(tbl_Onsite[Qwilr Quote],IFERROR(MATCH(E65&amp;"",tbl_Onsite[Job Number],0),MATCH(IFERROR(E65+0,E65),tbl_Onsite[Job Number],0)))),IFERROR(IF(IF(INDEX(tbl_Production[Current RMS No],IFERROR(MATCH(E65&amp;"",tbl_Production[Job Number],0),MATCH(IFERROR(E65+0,E65),tbl_Production[Job Number],0)))="",INDEX(tbl_Production[Qwilr Quote],IFERROR(MATCH(E65&amp;"",tbl_Production[Job Number],0),MATCH(IFERROR(E65+0,E65),tbl_Production[Job Number],0))),INDEX(tbl_Production[Current RMS No],IFERROR(MATCH(E65&amp;"",tbl_Production[Job Number],0),MATCH(IFERROR(E65+0,E65),tbl_Production[Job Number],0))))="","",IF(INDEX(tbl_Production[Current RMS No],IFERROR(MATCH(E65&amp;"",tbl_Production[Job Number],0),MATCH(IFERROR(E65+0,E65),tbl_Production[Job Number],0)))="",INDEX(tbl_Production[Qwilr Quote],IFERROR(MATCH(E65&amp;"",tbl_Production[Job Number],0),MATCH(IFERROR(E65+0,E65),tbl_Production[Job Number],0))),INDEX(tbl_Production[Current RMS No],IFERROR(MATCH(E65&amp;"",tbl_Production[Job Number],0),MATCH(IFERROR(E65+0,E65),tbl_Production[Job Number],0))))),IFERROR(IF(INDEX(tbl_Consulting[Qwilr Quote],IFERROR(MATCH(E65&amp;"",tbl_Consulting[Job Number],0),MATCH(IFERROR(E65+0,E65),tbl_Consulting[Job Number],0)))="","",INDEX(tbl_Consulting[Qwilr Quote],IFERROR(MATCH(E65&amp;"",tbl_Consulting[Job Number],0),MATCH(IFERROR(E65+0,E65),tbl_Consulting[Job Number],0)))),""))))</f>
        <v/>
      </c>
      <c r="AD65" s="25">
        <f>IF(AC65="","",IF(AND(LEFT(AC65,4)&lt;&gt;"http",IF(H65="Production",set_RMSBase,set_QwilrBase)=""),"",HYPERLINK(IF(LEFT(AC65,4)="http",AC65,IF(H65="Production",set_RMSBase,set_QwilrBase)&amp;AC65),"Open")))</f>
        <v/>
      </c>
      <c r="AE65" s="27">
        <f>IF(E65="","",IFERROR(INDEX(tbl_Production[Total Expense],IFERROR(MATCH(E65&amp;"",tbl_Production[Job Number],0),MATCH(IFERROR(E65+0,E65),tbl_Production[Job Number],0))),IFERROR(INDEX(tbl_Consulting[Total Expense],IFERROR(MATCH(E65&amp;"",tbl_Consulting[Job Number],0),MATCH(IFERROR(E65+0,E65),tbl_Consulting[Job Number],0))),0)))</f>
        <v/>
      </c>
      <c r="AF65" s="27">
        <f>IF(E65="","",Z65-N(AE65))</f>
        <v/>
      </c>
      <c r="AG65" s="29">
        <f>IFERROR(AF65/Z65,"")</f>
        <v/>
      </c>
      <c r="AH65" s="25">
        <f>IF(E65="","",IFERROR(IF(INDEX(tbl_Onsite[Notes],IFERROR(MATCH(E65&amp;"",tbl_Onsite[Job Number],0),MATCH(IFERROR(E65+0,E65),tbl_Onsite[Job Number],0)))="","",INDEX(tbl_Onsite[Notes],IFERROR(MATCH(E65&amp;"",tbl_Onsite[Job Number],0),MATCH(IFERROR(E65+0,E65),tbl_Onsite[Job Number],0)))),IFERROR(IF(INDEX(tbl_Production[Notes],IFERROR(MATCH(E65&amp;"",tbl_Production[Job Number],0),MATCH(IFERROR(E65+0,E65),tbl_Production[Job Number],0)))="","",INDEX(tbl_Production[Notes],IFERROR(MATCH(E65&amp;"",tbl_Production[Job Number],0),MATCH(IFERROR(E65+0,E65),tbl_Production[Job Number],0)))),IFERROR(IF(INDEX(tbl_Consulting[Notes],IFERROR(MATCH(E65&amp;"",tbl_Consulting[Job Number],0),MATCH(IFERROR(E65+0,E65),tbl_Consulting[Job Number],0)))="","",INDEX(tbl_Consulting[Notes],IFERROR(MATCH(E65&amp;"",tbl_Consulting[Job Number],0),MATCH(IFERROR(E65+0,E65),tbl_Consulting[Job Number],0)))),""))))</f>
        <v/>
      </c>
    </row>
    <row r="66" ht="15" customHeight="1">
      <c r="A66" s="22" t="n"/>
      <c r="B66" s="23">
        <f>IF(A66="","",EOMONTH(A66,0))</f>
        <v/>
      </c>
      <c r="C66" s="24" t="n"/>
      <c r="D66" s="24" t="n"/>
      <c r="E66" s="24" t="n"/>
      <c r="F66" s="25">
        <f>IF(E66="","",IF(COUNTIF(lst_Jobs,E66&amp;"")&gt;0,"OK","CHECK"))</f>
        <v/>
      </c>
      <c r="G66" s="24" t="n"/>
      <c r="H66" s="24" t="n"/>
      <c r="I66" s="24" t="n"/>
      <c r="J66" s="24" t="n"/>
      <c r="K66" s="24" t="n"/>
      <c r="L66" s="26" t="n"/>
      <c r="M66" s="27">
        <f>IF(L66="","",IF(K66="GST 10%",ROUND(L66*set_GSTRate,2),0))</f>
        <v/>
      </c>
      <c r="N66" s="27">
        <f>IF(L66="","",L66+M66)</f>
        <v/>
      </c>
      <c r="O66" s="24" t="n"/>
      <c r="P66" s="24" t="n"/>
      <c r="Q66" s="24" t="n"/>
      <c r="R66" s="22" t="n"/>
      <c r="S66" s="22" t="n"/>
      <c r="T66" s="24" t="n"/>
      <c r="U66" s="24" t="n"/>
      <c r="V66" s="25">
        <f>IF(COUNTA(A66,D66,C66,L66)=0,"",IF(A66="","No date - sits outside every month",IF(E66="","No job number",IF(F66="CHECK","Job number is not in the Xero job list",IF(I66="","No cost centre",IF(AND(P66="Y",C66=""),"Marked posted to Xero but has no invoice number",IF(AND(L66&lt;&gt;"",K66=""),"No tax code",IF(AND(L66&lt;&gt;"",O66=""),"No revenue GL code",""))))))))</f>
        <v/>
      </c>
      <c r="W66" s="25">
        <f>IF(E66="","",IF(COUNTIF(tbl_Onsite[Job Number],E66&amp;"")&gt;0,"Onsite",IF(COUNTIF(tbl_Production[Job Number],E66&amp;"")&gt;0,"Production",IF(COUNTIF(tbl_Consulting[Job Number],E66&amp;"")&gt;0,"Consulting","not set up yet"))))</f>
        <v/>
      </c>
      <c r="X66" s="25">
        <f>IF(E66="","",IFERROR(INDEX(lst_JobName,MATCH(E66&amp;"",lst_Jobs,0)),""))</f>
        <v/>
      </c>
      <c r="Y66" s="28">
        <f>IF(E66="","",COUNTIFS(tbl_Finance[Job Number],E66&amp;"",tbl_Finance[Ex GST],"&lt;&gt;"))</f>
        <v/>
      </c>
      <c r="Z66" s="27">
        <f>IF(E66="","",SUMIFS(tbl_Finance[Ex GST],tbl_Finance[Job Number],E66&amp;""))</f>
        <v/>
      </c>
      <c r="AA66" s="27">
        <f>IF(E66="","",SUMIFS(tbl_Finance[Ex GST],tbl_Finance[Job Number],E66&amp;"",tbl_Finance[Xero Invoice No],"&lt;&gt;"))</f>
        <v/>
      </c>
      <c r="AB66" s="27">
        <f>IF(E66="","",Z66-AA66)</f>
        <v/>
      </c>
      <c r="AC66" s="25">
        <f>IF(E66="","",IFERROR(IF(INDEX(tbl_Onsite[Qwilr Quote],IFERROR(MATCH(E66&amp;"",tbl_Onsite[Job Number],0),MATCH(IFERROR(E66+0,E66),tbl_Onsite[Job Number],0)))="","",INDEX(tbl_Onsite[Qwilr Quote],IFERROR(MATCH(E66&amp;"",tbl_Onsite[Job Number],0),MATCH(IFERROR(E66+0,E66),tbl_Onsite[Job Number],0)))),IFERROR(IF(IF(INDEX(tbl_Production[Current RMS No],IFERROR(MATCH(E66&amp;"",tbl_Production[Job Number],0),MATCH(IFERROR(E66+0,E66),tbl_Production[Job Number],0)))="",INDEX(tbl_Production[Qwilr Quote],IFERROR(MATCH(E66&amp;"",tbl_Production[Job Number],0),MATCH(IFERROR(E66+0,E66),tbl_Production[Job Number],0))),INDEX(tbl_Production[Current RMS No],IFERROR(MATCH(E66&amp;"",tbl_Production[Job Number],0),MATCH(IFERROR(E66+0,E66),tbl_Production[Job Number],0))))="","",IF(INDEX(tbl_Production[Current RMS No],IFERROR(MATCH(E66&amp;"",tbl_Production[Job Number],0),MATCH(IFERROR(E66+0,E66),tbl_Production[Job Number],0)))="",INDEX(tbl_Production[Qwilr Quote],IFERROR(MATCH(E66&amp;"",tbl_Production[Job Number],0),MATCH(IFERROR(E66+0,E66),tbl_Production[Job Number],0))),INDEX(tbl_Production[Current RMS No],IFERROR(MATCH(E66&amp;"",tbl_Production[Job Number],0),MATCH(IFERROR(E66+0,E66),tbl_Production[Job Number],0))))),IFERROR(IF(INDEX(tbl_Consulting[Qwilr Quote],IFERROR(MATCH(E66&amp;"",tbl_Consulting[Job Number],0),MATCH(IFERROR(E66+0,E66),tbl_Consulting[Job Number],0)))="","",INDEX(tbl_Consulting[Qwilr Quote],IFERROR(MATCH(E66&amp;"",tbl_Consulting[Job Number],0),MATCH(IFERROR(E66+0,E66),tbl_Consulting[Job Number],0)))),""))))</f>
        <v/>
      </c>
      <c r="AD66" s="25">
        <f>IF(AC66="","",IF(AND(LEFT(AC66,4)&lt;&gt;"http",IF(H66="Production",set_RMSBase,set_QwilrBase)=""),"",HYPERLINK(IF(LEFT(AC66,4)="http",AC66,IF(H66="Production",set_RMSBase,set_QwilrBase)&amp;AC66),"Open")))</f>
        <v/>
      </c>
      <c r="AE66" s="27">
        <f>IF(E66="","",IFERROR(INDEX(tbl_Production[Total Expense],IFERROR(MATCH(E66&amp;"",tbl_Production[Job Number],0),MATCH(IFERROR(E66+0,E66),tbl_Production[Job Number],0))),IFERROR(INDEX(tbl_Consulting[Total Expense],IFERROR(MATCH(E66&amp;"",tbl_Consulting[Job Number],0),MATCH(IFERROR(E66+0,E66),tbl_Consulting[Job Number],0))),0)))</f>
        <v/>
      </c>
      <c r="AF66" s="27">
        <f>IF(E66="","",Z66-N(AE66))</f>
        <v/>
      </c>
      <c r="AG66" s="29">
        <f>IFERROR(AF66/Z66,"")</f>
        <v/>
      </c>
      <c r="AH66" s="25">
        <f>IF(E66="","",IFERROR(IF(INDEX(tbl_Onsite[Notes],IFERROR(MATCH(E66&amp;"",tbl_Onsite[Job Number],0),MATCH(IFERROR(E66+0,E66),tbl_Onsite[Job Number],0)))="","",INDEX(tbl_Onsite[Notes],IFERROR(MATCH(E66&amp;"",tbl_Onsite[Job Number],0),MATCH(IFERROR(E66+0,E66),tbl_Onsite[Job Number],0)))),IFERROR(IF(INDEX(tbl_Production[Notes],IFERROR(MATCH(E66&amp;"",tbl_Production[Job Number],0),MATCH(IFERROR(E66+0,E66),tbl_Production[Job Number],0)))="","",INDEX(tbl_Production[Notes],IFERROR(MATCH(E66&amp;"",tbl_Production[Job Number],0),MATCH(IFERROR(E66+0,E66),tbl_Production[Job Number],0)))),IFERROR(IF(INDEX(tbl_Consulting[Notes],IFERROR(MATCH(E66&amp;"",tbl_Consulting[Job Number],0),MATCH(IFERROR(E66+0,E66),tbl_Consulting[Job Number],0)))="","",INDEX(tbl_Consulting[Notes],IFERROR(MATCH(E66&amp;"",tbl_Consulting[Job Number],0),MATCH(IFERROR(E66+0,E66),tbl_Consulting[Job Number],0)))),""))))</f>
        <v/>
      </c>
    </row>
    <row r="67" ht="15" customHeight="1">
      <c r="A67" s="22" t="n"/>
      <c r="B67" s="23">
        <f>IF(A67="","",EOMONTH(A67,0))</f>
        <v/>
      </c>
      <c r="C67" s="24" t="n"/>
      <c r="D67" s="24" t="n"/>
      <c r="E67" s="24" t="n"/>
      <c r="F67" s="25">
        <f>IF(E67="","",IF(COUNTIF(lst_Jobs,E67&amp;"")&gt;0,"OK","CHECK"))</f>
        <v/>
      </c>
      <c r="G67" s="24" t="n"/>
      <c r="H67" s="24" t="n"/>
      <c r="I67" s="24" t="n"/>
      <c r="J67" s="24" t="n"/>
      <c r="K67" s="24" t="n"/>
      <c r="L67" s="26" t="n"/>
      <c r="M67" s="27">
        <f>IF(L67="","",IF(K67="GST 10%",ROUND(L67*set_GSTRate,2),0))</f>
        <v/>
      </c>
      <c r="N67" s="27">
        <f>IF(L67="","",L67+M67)</f>
        <v/>
      </c>
      <c r="O67" s="24" t="n"/>
      <c r="P67" s="24" t="n"/>
      <c r="Q67" s="24" t="n"/>
      <c r="R67" s="22" t="n"/>
      <c r="S67" s="22" t="n"/>
      <c r="T67" s="24" t="n"/>
      <c r="U67" s="24" t="n"/>
      <c r="V67" s="25">
        <f>IF(COUNTA(A67,D67,C67,L67)=0,"",IF(A67="","No date - sits outside every month",IF(E67="","No job number",IF(F67="CHECK","Job number is not in the Xero job list",IF(I67="","No cost centre",IF(AND(P67="Y",C67=""),"Marked posted to Xero but has no invoice number",IF(AND(L67&lt;&gt;"",K67=""),"No tax code",IF(AND(L67&lt;&gt;"",O67=""),"No revenue GL code",""))))))))</f>
        <v/>
      </c>
      <c r="W67" s="25">
        <f>IF(E67="","",IF(COUNTIF(tbl_Onsite[Job Number],E67&amp;"")&gt;0,"Onsite",IF(COUNTIF(tbl_Production[Job Number],E67&amp;"")&gt;0,"Production",IF(COUNTIF(tbl_Consulting[Job Number],E67&amp;"")&gt;0,"Consulting","not set up yet"))))</f>
        <v/>
      </c>
      <c r="X67" s="25">
        <f>IF(E67="","",IFERROR(INDEX(lst_JobName,MATCH(E67&amp;"",lst_Jobs,0)),""))</f>
        <v/>
      </c>
      <c r="Y67" s="28">
        <f>IF(E67="","",COUNTIFS(tbl_Finance[Job Number],E67&amp;"",tbl_Finance[Ex GST],"&lt;&gt;"))</f>
        <v/>
      </c>
      <c r="Z67" s="27">
        <f>IF(E67="","",SUMIFS(tbl_Finance[Ex GST],tbl_Finance[Job Number],E67&amp;""))</f>
        <v/>
      </c>
      <c r="AA67" s="27">
        <f>IF(E67="","",SUMIFS(tbl_Finance[Ex GST],tbl_Finance[Job Number],E67&amp;"",tbl_Finance[Xero Invoice No],"&lt;&gt;"))</f>
        <v/>
      </c>
      <c r="AB67" s="27">
        <f>IF(E67="","",Z67-AA67)</f>
        <v/>
      </c>
      <c r="AC67" s="25">
        <f>IF(E67="","",IFERROR(IF(INDEX(tbl_Onsite[Qwilr Quote],IFERROR(MATCH(E67&amp;"",tbl_Onsite[Job Number],0),MATCH(IFERROR(E67+0,E67),tbl_Onsite[Job Number],0)))="","",INDEX(tbl_Onsite[Qwilr Quote],IFERROR(MATCH(E67&amp;"",tbl_Onsite[Job Number],0),MATCH(IFERROR(E67+0,E67),tbl_Onsite[Job Number],0)))),IFERROR(IF(IF(INDEX(tbl_Production[Current RMS No],IFERROR(MATCH(E67&amp;"",tbl_Production[Job Number],0),MATCH(IFERROR(E67+0,E67),tbl_Production[Job Number],0)))="",INDEX(tbl_Production[Qwilr Quote],IFERROR(MATCH(E67&amp;"",tbl_Production[Job Number],0),MATCH(IFERROR(E67+0,E67),tbl_Production[Job Number],0))),INDEX(tbl_Production[Current RMS No],IFERROR(MATCH(E67&amp;"",tbl_Production[Job Number],0),MATCH(IFERROR(E67+0,E67),tbl_Production[Job Number],0))))="","",IF(INDEX(tbl_Production[Current RMS No],IFERROR(MATCH(E67&amp;"",tbl_Production[Job Number],0),MATCH(IFERROR(E67+0,E67),tbl_Production[Job Number],0)))="",INDEX(tbl_Production[Qwilr Quote],IFERROR(MATCH(E67&amp;"",tbl_Production[Job Number],0),MATCH(IFERROR(E67+0,E67),tbl_Production[Job Number],0))),INDEX(tbl_Production[Current RMS No],IFERROR(MATCH(E67&amp;"",tbl_Production[Job Number],0),MATCH(IFERROR(E67+0,E67),tbl_Production[Job Number],0))))),IFERROR(IF(INDEX(tbl_Consulting[Qwilr Quote],IFERROR(MATCH(E67&amp;"",tbl_Consulting[Job Number],0),MATCH(IFERROR(E67+0,E67),tbl_Consulting[Job Number],0)))="","",INDEX(tbl_Consulting[Qwilr Quote],IFERROR(MATCH(E67&amp;"",tbl_Consulting[Job Number],0),MATCH(IFERROR(E67+0,E67),tbl_Consulting[Job Number],0)))),""))))</f>
        <v/>
      </c>
      <c r="AD67" s="25">
        <f>IF(AC67="","",IF(AND(LEFT(AC67,4)&lt;&gt;"http",IF(H67="Production",set_RMSBase,set_QwilrBase)=""),"",HYPERLINK(IF(LEFT(AC67,4)="http",AC67,IF(H67="Production",set_RMSBase,set_QwilrBase)&amp;AC67),"Open")))</f>
        <v/>
      </c>
      <c r="AE67" s="27">
        <f>IF(E67="","",IFERROR(INDEX(tbl_Production[Total Expense],IFERROR(MATCH(E67&amp;"",tbl_Production[Job Number],0),MATCH(IFERROR(E67+0,E67),tbl_Production[Job Number],0))),IFERROR(INDEX(tbl_Consulting[Total Expense],IFERROR(MATCH(E67&amp;"",tbl_Consulting[Job Number],0),MATCH(IFERROR(E67+0,E67),tbl_Consulting[Job Number],0))),0)))</f>
        <v/>
      </c>
      <c r="AF67" s="27">
        <f>IF(E67="","",Z67-N(AE67))</f>
        <v/>
      </c>
      <c r="AG67" s="29">
        <f>IFERROR(AF67/Z67,"")</f>
        <v/>
      </c>
      <c r="AH67" s="25">
        <f>IF(E67="","",IFERROR(IF(INDEX(tbl_Onsite[Notes],IFERROR(MATCH(E67&amp;"",tbl_Onsite[Job Number],0),MATCH(IFERROR(E67+0,E67),tbl_Onsite[Job Number],0)))="","",INDEX(tbl_Onsite[Notes],IFERROR(MATCH(E67&amp;"",tbl_Onsite[Job Number],0),MATCH(IFERROR(E67+0,E67),tbl_Onsite[Job Number],0)))),IFERROR(IF(INDEX(tbl_Production[Notes],IFERROR(MATCH(E67&amp;"",tbl_Production[Job Number],0),MATCH(IFERROR(E67+0,E67),tbl_Production[Job Number],0)))="","",INDEX(tbl_Production[Notes],IFERROR(MATCH(E67&amp;"",tbl_Production[Job Number],0),MATCH(IFERROR(E67+0,E67),tbl_Production[Job Number],0)))),IFERROR(IF(INDEX(tbl_Consulting[Notes],IFERROR(MATCH(E67&amp;"",tbl_Consulting[Job Number],0),MATCH(IFERROR(E67+0,E67),tbl_Consulting[Job Number],0)))="","",INDEX(tbl_Consulting[Notes],IFERROR(MATCH(E67&amp;"",tbl_Consulting[Job Number],0),MATCH(IFERROR(E67+0,E67),tbl_Consulting[Job Number],0)))),""))))</f>
        <v/>
      </c>
    </row>
    <row r="68" ht="15" customHeight="1">
      <c r="A68" s="22" t="n"/>
      <c r="B68" s="23">
        <f>IF(A68="","",EOMONTH(A68,0))</f>
        <v/>
      </c>
      <c r="C68" s="24" t="n"/>
      <c r="D68" s="24" t="n"/>
      <c r="E68" s="24" t="n"/>
      <c r="F68" s="25">
        <f>IF(E68="","",IF(COUNTIF(lst_Jobs,E68&amp;"")&gt;0,"OK","CHECK"))</f>
        <v/>
      </c>
      <c r="G68" s="24" t="n"/>
      <c r="H68" s="24" t="n"/>
      <c r="I68" s="24" t="n"/>
      <c r="J68" s="24" t="n"/>
      <c r="K68" s="24" t="n"/>
      <c r="L68" s="26" t="n"/>
      <c r="M68" s="27">
        <f>IF(L68="","",IF(K68="GST 10%",ROUND(L68*set_GSTRate,2),0))</f>
        <v/>
      </c>
      <c r="N68" s="27">
        <f>IF(L68="","",L68+M68)</f>
        <v/>
      </c>
      <c r="O68" s="24" t="n"/>
      <c r="P68" s="24" t="n"/>
      <c r="Q68" s="24" t="n"/>
      <c r="R68" s="22" t="n"/>
      <c r="S68" s="22" t="n"/>
      <c r="T68" s="24" t="n"/>
      <c r="U68" s="24" t="n"/>
      <c r="V68" s="25">
        <f>IF(COUNTA(A68,D68,C68,L68)=0,"",IF(A68="","No date - sits outside every month",IF(E68="","No job number",IF(F68="CHECK","Job number is not in the Xero job list",IF(I68="","No cost centre",IF(AND(P68="Y",C68=""),"Marked posted to Xero but has no invoice number",IF(AND(L68&lt;&gt;"",K68=""),"No tax code",IF(AND(L68&lt;&gt;"",O68=""),"No revenue GL code",""))))))))</f>
        <v/>
      </c>
      <c r="W68" s="25">
        <f>IF(E68="","",IF(COUNTIF(tbl_Onsite[Job Number],E68&amp;"")&gt;0,"Onsite",IF(COUNTIF(tbl_Production[Job Number],E68&amp;"")&gt;0,"Production",IF(COUNTIF(tbl_Consulting[Job Number],E68&amp;"")&gt;0,"Consulting","not set up yet"))))</f>
        <v/>
      </c>
      <c r="X68" s="25">
        <f>IF(E68="","",IFERROR(INDEX(lst_JobName,MATCH(E68&amp;"",lst_Jobs,0)),""))</f>
        <v/>
      </c>
      <c r="Y68" s="28">
        <f>IF(E68="","",COUNTIFS(tbl_Finance[Job Number],E68&amp;"",tbl_Finance[Ex GST],"&lt;&gt;"))</f>
        <v/>
      </c>
      <c r="Z68" s="27">
        <f>IF(E68="","",SUMIFS(tbl_Finance[Ex GST],tbl_Finance[Job Number],E68&amp;""))</f>
        <v/>
      </c>
      <c r="AA68" s="27">
        <f>IF(E68="","",SUMIFS(tbl_Finance[Ex GST],tbl_Finance[Job Number],E68&amp;"",tbl_Finance[Xero Invoice No],"&lt;&gt;"))</f>
        <v/>
      </c>
      <c r="AB68" s="27">
        <f>IF(E68="","",Z68-AA68)</f>
        <v/>
      </c>
      <c r="AC68" s="25">
        <f>IF(E68="","",IFERROR(IF(INDEX(tbl_Onsite[Qwilr Quote],IFERROR(MATCH(E68&amp;"",tbl_Onsite[Job Number],0),MATCH(IFERROR(E68+0,E68),tbl_Onsite[Job Number],0)))="","",INDEX(tbl_Onsite[Qwilr Quote],IFERROR(MATCH(E68&amp;"",tbl_Onsite[Job Number],0),MATCH(IFERROR(E68+0,E68),tbl_Onsite[Job Number],0)))),IFERROR(IF(IF(INDEX(tbl_Production[Current RMS No],IFERROR(MATCH(E68&amp;"",tbl_Production[Job Number],0),MATCH(IFERROR(E68+0,E68),tbl_Production[Job Number],0)))="",INDEX(tbl_Production[Qwilr Quote],IFERROR(MATCH(E68&amp;"",tbl_Production[Job Number],0),MATCH(IFERROR(E68+0,E68),tbl_Production[Job Number],0))),INDEX(tbl_Production[Current RMS No],IFERROR(MATCH(E68&amp;"",tbl_Production[Job Number],0),MATCH(IFERROR(E68+0,E68),tbl_Production[Job Number],0))))="","",IF(INDEX(tbl_Production[Current RMS No],IFERROR(MATCH(E68&amp;"",tbl_Production[Job Number],0),MATCH(IFERROR(E68+0,E68),tbl_Production[Job Number],0)))="",INDEX(tbl_Production[Qwilr Quote],IFERROR(MATCH(E68&amp;"",tbl_Production[Job Number],0),MATCH(IFERROR(E68+0,E68),tbl_Production[Job Number],0))),INDEX(tbl_Production[Current RMS No],IFERROR(MATCH(E68&amp;"",tbl_Production[Job Number],0),MATCH(IFERROR(E68+0,E68),tbl_Production[Job Number],0))))),IFERROR(IF(INDEX(tbl_Consulting[Qwilr Quote],IFERROR(MATCH(E68&amp;"",tbl_Consulting[Job Number],0),MATCH(IFERROR(E68+0,E68),tbl_Consulting[Job Number],0)))="","",INDEX(tbl_Consulting[Qwilr Quote],IFERROR(MATCH(E68&amp;"",tbl_Consulting[Job Number],0),MATCH(IFERROR(E68+0,E68),tbl_Consulting[Job Number],0)))),""))))</f>
        <v/>
      </c>
      <c r="AD68" s="25">
        <f>IF(AC68="","",IF(AND(LEFT(AC68,4)&lt;&gt;"http",IF(H68="Production",set_RMSBase,set_QwilrBase)=""),"",HYPERLINK(IF(LEFT(AC68,4)="http",AC68,IF(H68="Production",set_RMSBase,set_QwilrBase)&amp;AC68),"Open")))</f>
        <v/>
      </c>
      <c r="AE68" s="27">
        <f>IF(E68="","",IFERROR(INDEX(tbl_Production[Total Expense],IFERROR(MATCH(E68&amp;"",tbl_Production[Job Number],0),MATCH(IFERROR(E68+0,E68),tbl_Production[Job Number],0))),IFERROR(INDEX(tbl_Consulting[Total Expense],IFERROR(MATCH(E68&amp;"",tbl_Consulting[Job Number],0),MATCH(IFERROR(E68+0,E68),tbl_Consulting[Job Number],0))),0)))</f>
        <v/>
      </c>
      <c r="AF68" s="27">
        <f>IF(E68="","",Z68-N(AE68))</f>
        <v/>
      </c>
      <c r="AG68" s="29">
        <f>IFERROR(AF68/Z68,"")</f>
        <v/>
      </c>
      <c r="AH68" s="25">
        <f>IF(E68="","",IFERROR(IF(INDEX(tbl_Onsite[Notes],IFERROR(MATCH(E68&amp;"",tbl_Onsite[Job Number],0),MATCH(IFERROR(E68+0,E68),tbl_Onsite[Job Number],0)))="","",INDEX(tbl_Onsite[Notes],IFERROR(MATCH(E68&amp;"",tbl_Onsite[Job Number],0),MATCH(IFERROR(E68+0,E68),tbl_Onsite[Job Number],0)))),IFERROR(IF(INDEX(tbl_Production[Notes],IFERROR(MATCH(E68&amp;"",tbl_Production[Job Number],0),MATCH(IFERROR(E68+0,E68),tbl_Production[Job Number],0)))="","",INDEX(tbl_Production[Notes],IFERROR(MATCH(E68&amp;"",tbl_Production[Job Number],0),MATCH(IFERROR(E68+0,E68),tbl_Production[Job Number],0)))),IFERROR(IF(INDEX(tbl_Consulting[Notes],IFERROR(MATCH(E68&amp;"",tbl_Consulting[Job Number],0),MATCH(IFERROR(E68+0,E68),tbl_Consulting[Job Number],0)))="","",INDEX(tbl_Consulting[Notes],IFERROR(MATCH(E68&amp;"",tbl_Consulting[Job Number],0),MATCH(IFERROR(E68+0,E68),tbl_Consulting[Job Number],0)))),""))))</f>
        <v/>
      </c>
    </row>
    <row r="69" ht="15" customHeight="1">
      <c r="A69" s="22" t="n"/>
      <c r="B69" s="23">
        <f>IF(A69="","",EOMONTH(A69,0))</f>
        <v/>
      </c>
      <c r="C69" s="24" t="n"/>
      <c r="D69" s="24" t="n"/>
      <c r="E69" s="24" t="n"/>
      <c r="F69" s="25">
        <f>IF(E69="","",IF(COUNTIF(lst_Jobs,E69&amp;"")&gt;0,"OK","CHECK"))</f>
        <v/>
      </c>
      <c r="G69" s="24" t="n"/>
      <c r="H69" s="24" t="n"/>
      <c r="I69" s="24" t="n"/>
      <c r="J69" s="24" t="n"/>
      <c r="K69" s="24" t="n"/>
      <c r="L69" s="26" t="n"/>
      <c r="M69" s="27">
        <f>IF(L69="","",IF(K69="GST 10%",ROUND(L69*set_GSTRate,2),0))</f>
        <v/>
      </c>
      <c r="N69" s="27">
        <f>IF(L69="","",L69+M69)</f>
        <v/>
      </c>
      <c r="O69" s="24" t="n"/>
      <c r="P69" s="24" t="n"/>
      <c r="Q69" s="24" t="n"/>
      <c r="R69" s="22" t="n"/>
      <c r="S69" s="22" t="n"/>
      <c r="T69" s="24" t="n"/>
      <c r="U69" s="24" t="n"/>
      <c r="V69" s="25">
        <f>IF(COUNTA(A69,D69,C69,L69)=0,"",IF(A69="","No date - sits outside every month",IF(E69="","No job number",IF(F69="CHECK","Job number is not in the Xero job list",IF(I69="","No cost centre",IF(AND(P69="Y",C69=""),"Marked posted to Xero but has no invoice number",IF(AND(L69&lt;&gt;"",K69=""),"No tax code",IF(AND(L69&lt;&gt;"",O69=""),"No revenue GL code",""))))))))</f>
        <v/>
      </c>
      <c r="W69" s="25">
        <f>IF(E69="","",IF(COUNTIF(tbl_Onsite[Job Number],E69&amp;"")&gt;0,"Onsite",IF(COUNTIF(tbl_Production[Job Number],E69&amp;"")&gt;0,"Production",IF(COUNTIF(tbl_Consulting[Job Number],E69&amp;"")&gt;0,"Consulting","not set up yet"))))</f>
        <v/>
      </c>
      <c r="X69" s="25">
        <f>IF(E69="","",IFERROR(INDEX(lst_JobName,MATCH(E69&amp;"",lst_Jobs,0)),""))</f>
        <v/>
      </c>
      <c r="Y69" s="28">
        <f>IF(E69="","",COUNTIFS(tbl_Finance[Job Number],E69&amp;"",tbl_Finance[Ex GST],"&lt;&gt;"))</f>
        <v/>
      </c>
      <c r="Z69" s="27">
        <f>IF(E69="","",SUMIFS(tbl_Finance[Ex GST],tbl_Finance[Job Number],E69&amp;""))</f>
        <v/>
      </c>
      <c r="AA69" s="27">
        <f>IF(E69="","",SUMIFS(tbl_Finance[Ex GST],tbl_Finance[Job Number],E69&amp;"",tbl_Finance[Xero Invoice No],"&lt;&gt;"))</f>
        <v/>
      </c>
      <c r="AB69" s="27">
        <f>IF(E69="","",Z69-AA69)</f>
        <v/>
      </c>
      <c r="AC69" s="25">
        <f>IF(E69="","",IFERROR(IF(INDEX(tbl_Onsite[Qwilr Quote],IFERROR(MATCH(E69&amp;"",tbl_Onsite[Job Number],0),MATCH(IFERROR(E69+0,E69),tbl_Onsite[Job Number],0)))="","",INDEX(tbl_Onsite[Qwilr Quote],IFERROR(MATCH(E69&amp;"",tbl_Onsite[Job Number],0),MATCH(IFERROR(E69+0,E69),tbl_Onsite[Job Number],0)))),IFERROR(IF(IF(INDEX(tbl_Production[Current RMS No],IFERROR(MATCH(E69&amp;"",tbl_Production[Job Number],0),MATCH(IFERROR(E69+0,E69),tbl_Production[Job Number],0)))="",INDEX(tbl_Production[Qwilr Quote],IFERROR(MATCH(E69&amp;"",tbl_Production[Job Number],0),MATCH(IFERROR(E69+0,E69),tbl_Production[Job Number],0))),INDEX(tbl_Production[Current RMS No],IFERROR(MATCH(E69&amp;"",tbl_Production[Job Number],0),MATCH(IFERROR(E69+0,E69),tbl_Production[Job Number],0))))="","",IF(INDEX(tbl_Production[Current RMS No],IFERROR(MATCH(E69&amp;"",tbl_Production[Job Number],0),MATCH(IFERROR(E69+0,E69),tbl_Production[Job Number],0)))="",INDEX(tbl_Production[Qwilr Quote],IFERROR(MATCH(E69&amp;"",tbl_Production[Job Number],0),MATCH(IFERROR(E69+0,E69),tbl_Production[Job Number],0))),INDEX(tbl_Production[Current RMS No],IFERROR(MATCH(E69&amp;"",tbl_Production[Job Number],0),MATCH(IFERROR(E69+0,E69),tbl_Production[Job Number],0))))),IFERROR(IF(INDEX(tbl_Consulting[Qwilr Quote],IFERROR(MATCH(E69&amp;"",tbl_Consulting[Job Number],0),MATCH(IFERROR(E69+0,E69),tbl_Consulting[Job Number],0)))="","",INDEX(tbl_Consulting[Qwilr Quote],IFERROR(MATCH(E69&amp;"",tbl_Consulting[Job Number],0),MATCH(IFERROR(E69+0,E69),tbl_Consulting[Job Number],0)))),""))))</f>
        <v/>
      </c>
      <c r="AD69" s="25">
        <f>IF(AC69="","",IF(AND(LEFT(AC69,4)&lt;&gt;"http",IF(H69="Production",set_RMSBase,set_QwilrBase)=""),"",HYPERLINK(IF(LEFT(AC69,4)="http",AC69,IF(H69="Production",set_RMSBase,set_QwilrBase)&amp;AC69),"Open")))</f>
        <v/>
      </c>
      <c r="AE69" s="27">
        <f>IF(E69="","",IFERROR(INDEX(tbl_Production[Total Expense],IFERROR(MATCH(E69&amp;"",tbl_Production[Job Number],0),MATCH(IFERROR(E69+0,E69),tbl_Production[Job Number],0))),IFERROR(INDEX(tbl_Consulting[Total Expense],IFERROR(MATCH(E69&amp;"",tbl_Consulting[Job Number],0),MATCH(IFERROR(E69+0,E69),tbl_Consulting[Job Number],0))),0)))</f>
        <v/>
      </c>
      <c r="AF69" s="27">
        <f>IF(E69="","",Z69-N(AE69))</f>
        <v/>
      </c>
      <c r="AG69" s="29">
        <f>IFERROR(AF69/Z69,"")</f>
        <v/>
      </c>
      <c r="AH69" s="25">
        <f>IF(E69="","",IFERROR(IF(INDEX(tbl_Onsite[Notes],IFERROR(MATCH(E69&amp;"",tbl_Onsite[Job Number],0),MATCH(IFERROR(E69+0,E69),tbl_Onsite[Job Number],0)))="","",INDEX(tbl_Onsite[Notes],IFERROR(MATCH(E69&amp;"",tbl_Onsite[Job Number],0),MATCH(IFERROR(E69+0,E69),tbl_Onsite[Job Number],0)))),IFERROR(IF(INDEX(tbl_Production[Notes],IFERROR(MATCH(E69&amp;"",tbl_Production[Job Number],0),MATCH(IFERROR(E69+0,E69),tbl_Production[Job Number],0)))="","",INDEX(tbl_Production[Notes],IFERROR(MATCH(E69&amp;"",tbl_Production[Job Number],0),MATCH(IFERROR(E69+0,E69),tbl_Production[Job Number],0)))),IFERROR(IF(INDEX(tbl_Consulting[Notes],IFERROR(MATCH(E69&amp;"",tbl_Consulting[Job Number],0),MATCH(IFERROR(E69+0,E69),tbl_Consulting[Job Number],0)))="","",INDEX(tbl_Consulting[Notes],IFERROR(MATCH(E69&amp;"",tbl_Consulting[Job Number],0),MATCH(IFERROR(E69+0,E69),tbl_Consulting[Job Number],0)))),""))))</f>
        <v/>
      </c>
    </row>
    <row r="70" ht="15" customHeight="1">
      <c r="A70" s="22" t="n"/>
      <c r="B70" s="23">
        <f>IF(A70="","",EOMONTH(A70,0))</f>
        <v/>
      </c>
      <c r="C70" s="24" t="n"/>
      <c r="D70" s="24" t="n"/>
      <c r="E70" s="24" t="n"/>
      <c r="F70" s="25">
        <f>IF(E70="","",IF(COUNTIF(lst_Jobs,E70&amp;"")&gt;0,"OK","CHECK"))</f>
        <v/>
      </c>
      <c r="G70" s="24" t="n"/>
      <c r="H70" s="24" t="n"/>
      <c r="I70" s="24" t="n"/>
      <c r="J70" s="24" t="n"/>
      <c r="K70" s="24" t="n"/>
      <c r="L70" s="26" t="n"/>
      <c r="M70" s="27">
        <f>IF(L70="","",IF(K70="GST 10%",ROUND(L70*set_GSTRate,2),0))</f>
        <v/>
      </c>
      <c r="N70" s="27">
        <f>IF(L70="","",L70+M70)</f>
        <v/>
      </c>
      <c r="O70" s="24" t="n"/>
      <c r="P70" s="24" t="n"/>
      <c r="Q70" s="24" t="n"/>
      <c r="R70" s="22" t="n"/>
      <c r="S70" s="22" t="n"/>
      <c r="T70" s="24" t="n"/>
      <c r="U70" s="24" t="n"/>
      <c r="V70" s="25">
        <f>IF(COUNTA(A70,D70,C70,L70)=0,"",IF(A70="","No date - sits outside every month",IF(E70="","No job number",IF(F70="CHECK","Job number is not in the Xero job list",IF(I70="","No cost centre",IF(AND(P70="Y",C70=""),"Marked posted to Xero but has no invoice number",IF(AND(L70&lt;&gt;"",K70=""),"No tax code",IF(AND(L70&lt;&gt;"",O70=""),"No revenue GL code",""))))))))</f>
        <v/>
      </c>
      <c r="W70" s="25">
        <f>IF(E70="","",IF(COUNTIF(tbl_Onsite[Job Number],E70&amp;"")&gt;0,"Onsite",IF(COUNTIF(tbl_Production[Job Number],E70&amp;"")&gt;0,"Production",IF(COUNTIF(tbl_Consulting[Job Number],E70&amp;"")&gt;0,"Consulting","not set up yet"))))</f>
        <v/>
      </c>
      <c r="X70" s="25">
        <f>IF(E70="","",IFERROR(INDEX(lst_JobName,MATCH(E70&amp;"",lst_Jobs,0)),""))</f>
        <v/>
      </c>
      <c r="Y70" s="28">
        <f>IF(E70="","",COUNTIFS(tbl_Finance[Job Number],E70&amp;"",tbl_Finance[Ex GST],"&lt;&gt;"))</f>
        <v/>
      </c>
      <c r="Z70" s="27">
        <f>IF(E70="","",SUMIFS(tbl_Finance[Ex GST],tbl_Finance[Job Number],E70&amp;""))</f>
        <v/>
      </c>
      <c r="AA70" s="27">
        <f>IF(E70="","",SUMIFS(tbl_Finance[Ex GST],tbl_Finance[Job Number],E70&amp;"",tbl_Finance[Xero Invoice No],"&lt;&gt;"))</f>
        <v/>
      </c>
      <c r="AB70" s="27">
        <f>IF(E70="","",Z70-AA70)</f>
        <v/>
      </c>
      <c r="AC70" s="25">
        <f>IF(E70="","",IFERROR(IF(INDEX(tbl_Onsite[Qwilr Quote],IFERROR(MATCH(E70&amp;"",tbl_Onsite[Job Number],0),MATCH(IFERROR(E70+0,E70),tbl_Onsite[Job Number],0)))="","",INDEX(tbl_Onsite[Qwilr Quote],IFERROR(MATCH(E70&amp;"",tbl_Onsite[Job Number],0),MATCH(IFERROR(E70+0,E70),tbl_Onsite[Job Number],0)))),IFERROR(IF(IF(INDEX(tbl_Production[Current RMS No],IFERROR(MATCH(E70&amp;"",tbl_Production[Job Number],0),MATCH(IFERROR(E70+0,E70),tbl_Production[Job Number],0)))="",INDEX(tbl_Production[Qwilr Quote],IFERROR(MATCH(E70&amp;"",tbl_Production[Job Number],0),MATCH(IFERROR(E70+0,E70),tbl_Production[Job Number],0))),INDEX(tbl_Production[Current RMS No],IFERROR(MATCH(E70&amp;"",tbl_Production[Job Number],0),MATCH(IFERROR(E70+0,E70),tbl_Production[Job Number],0))))="","",IF(INDEX(tbl_Production[Current RMS No],IFERROR(MATCH(E70&amp;"",tbl_Production[Job Number],0),MATCH(IFERROR(E70+0,E70),tbl_Production[Job Number],0)))="",INDEX(tbl_Production[Qwilr Quote],IFERROR(MATCH(E70&amp;"",tbl_Production[Job Number],0),MATCH(IFERROR(E70+0,E70),tbl_Production[Job Number],0))),INDEX(tbl_Production[Current RMS No],IFERROR(MATCH(E70&amp;"",tbl_Production[Job Number],0),MATCH(IFERROR(E70+0,E70),tbl_Production[Job Number],0))))),IFERROR(IF(INDEX(tbl_Consulting[Qwilr Quote],IFERROR(MATCH(E70&amp;"",tbl_Consulting[Job Number],0),MATCH(IFERROR(E70+0,E70),tbl_Consulting[Job Number],0)))="","",INDEX(tbl_Consulting[Qwilr Quote],IFERROR(MATCH(E70&amp;"",tbl_Consulting[Job Number],0),MATCH(IFERROR(E70+0,E70),tbl_Consulting[Job Number],0)))),""))))</f>
        <v/>
      </c>
      <c r="AD70" s="25">
        <f>IF(AC70="","",IF(AND(LEFT(AC70,4)&lt;&gt;"http",IF(H70="Production",set_RMSBase,set_QwilrBase)=""),"",HYPERLINK(IF(LEFT(AC70,4)="http",AC70,IF(H70="Production",set_RMSBase,set_QwilrBase)&amp;AC70),"Open")))</f>
        <v/>
      </c>
      <c r="AE70" s="27">
        <f>IF(E70="","",IFERROR(INDEX(tbl_Production[Total Expense],IFERROR(MATCH(E70&amp;"",tbl_Production[Job Number],0),MATCH(IFERROR(E70+0,E70),tbl_Production[Job Number],0))),IFERROR(INDEX(tbl_Consulting[Total Expense],IFERROR(MATCH(E70&amp;"",tbl_Consulting[Job Number],0),MATCH(IFERROR(E70+0,E70),tbl_Consulting[Job Number],0))),0)))</f>
        <v/>
      </c>
      <c r="AF70" s="27">
        <f>IF(E70="","",Z70-N(AE70))</f>
        <v/>
      </c>
      <c r="AG70" s="29">
        <f>IFERROR(AF70/Z70,"")</f>
        <v/>
      </c>
      <c r="AH70" s="25">
        <f>IF(E70="","",IFERROR(IF(INDEX(tbl_Onsite[Notes],IFERROR(MATCH(E70&amp;"",tbl_Onsite[Job Number],0),MATCH(IFERROR(E70+0,E70),tbl_Onsite[Job Number],0)))="","",INDEX(tbl_Onsite[Notes],IFERROR(MATCH(E70&amp;"",tbl_Onsite[Job Number],0),MATCH(IFERROR(E70+0,E70),tbl_Onsite[Job Number],0)))),IFERROR(IF(INDEX(tbl_Production[Notes],IFERROR(MATCH(E70&amp;"",tbl_Production[Job Number],0),MATCH(IFERROR(E70+0,E70),tbl_Production[Job Number],0)))="","",INDEX(tbl_Production[Notes],IFERROR(MATCH(E70&amp;"",tbl_Production[Job Number],0),MATCH(IFERROR(E70+0,E70),tbl_Production[Job Number],0)))),IFERROR(IF(INDEX(tbl_Consulting[Notes],IFERROR(MATCH(E70&amp;"",tbl_Consulting[Job Number],0),MATCH(IFERROR(E70+0,E70),tbl_Consulting[Job Number],0)))="","",INDEX(tbl_Consulting[Notes],IFERROR(MATCH(E70&amp;"",tbl_Consulting[Job Number],0),MATCH(IFERROR(E70+0,E70),tbl_Consulting[Job Number],0)))),""))))</f>
        <v/>
      </c>
    </row>
    <row r="71" ht="15" customHeight="1">
      <c r="A71" s="22" t="n"/>
      <c r="B71" s="23">
        <f>IF(A71="","",EOMONTH(A71,0))</f>
        <v/>
      </c>
      <c r="C71" s="24" t="n"/>
      <c r="D71" s="24" t="n"/>
      <c r="E71" s="24" t="n"/>
      <c r="F71" s="25">
        <f>IF(E71="","",IF(COUNTIF(lst_Jobs,E71&amp;"")&gt;0,"OK","CHECK"))</f>
        <v/>
      </c>
      <c r="G71" s="24" t="n"/>
      <c r="H71" s="24" t="n"/>
      <c r="I71" s="24" t="n"/>
      <c r="J71" s="24" t="n"/>
      <c r="K71" s="24" t="n"/>
      <c r="L71" s="26" t="n"/>
      <c r="M71" s="27">
        <f>IF(L71="","",IF(K71="GST 10%",ROUND(L71*set_GSTRate,2),0))</f>
        <v/>
      </c>
      <c r="N71" s="27">
        <f>IF(L71="","",L71+M71)</f>
        <v/>
      </c>
      <c r="O71" s="24" t="n"/>
      <c r="P71" s="24" t="n"/>
      <c r="Q71" s="24" t="n"/>
      <c r="R71" s="22" t="n"/>
      <c r="S71" s="22" t="n"/>
      <c r="T71" s="24" t="n"/>
      <c r="U71" s="24" t="n"/>
      <c r="V71" s="25">
        <f>IF(COUNTA(A71,D71,C71,L71)=0,"",IF(A71="","No date - sits outside every month",IF(E71="","No job number",IF(F71="CHECK","Job number is not in the Xero job list",IF(I71="","No cost centre",IF(AND(P71="Y",C71=""),"Marked posted to Xero but has no invoice number",IF(AND(L71&lt;&gt;"",K71=""),"No tax code",IF(AND(L71&lt;&gt;"",O71=""),"No revenue GL code",""))))))))</f>
        <v/>
      </c>
      <c r="W71" s="25">
        <f>IF(E71="","",IF(COUNTIF(tbl_Onsite[Job Number],E71&amp;"")&gt;0,"Onsite",IF(COUNTIF(tbl_Production[Job Number],E71&amp;"")&gt;0,"Production",IF(COUNTIF(tbl_Consulting[Job Number],E71&amp;"")&gt;0,"Consulting","not set up yet"))))</f>
        <v/>
      </c>
      <c r="X71" s="25">
        <f>IF(E71="","",IFERROR(INDEX(lst_JobName,MATCH(E71&amp;"",lst_Jobs,0)),""))</f>
        <v/>
      </c>
      <c r="Y71" s="28">
        <f>IF(E71="","",COUNTIFS(tbl_Finance[Job Number],E71&amp;"",tbl_Finance[Ex GST],"&lt;&gt;"))</f>
        <v/>
      </c>
      <c r="Z71" s="27">
        <f>IF(E71="","",SUMIFS(tbl_Finance[Ex GST],tbl_Finance[Job Number],E71&amp;""))</f>
        <v/>
      </c>
      <c r="AA71" s="27">
        <f>IF(E71="","",SUMIFS(tbl_Finance[Ex GST],tbl_Finance[Job Number],E71&amp;"",tbl_Finance[Xero Invoice No],"&lt;&gt;"))</f>
        <v/>
      </c>
      <c r="AB71" s="27">
        <f>IF(E71="","",Z71-AA71)</f>
        <v/>
      </c>
      <c r="AC71" s="25">
        <f>IF(E71="","",IFERROR(IF(INDEX(tbl_Onsite[Qwilr Quote],IFERROR(MATCH(E71&amp;"",tbl_Onsite[Job Number],0),MATCH(IFERROR(E71+0,E71),tbl_Onsite[Job Number],0)))="","",INDEX(tbl_Onsite[Qwilr Quote],IFERROR(MATCH(E71&amp;"",tbl_Onsite[Job Number],0),MATCH(IFERROR(E71+0,E71),tbl_Onsite[Job Number],0)))),IFERROR(IF(IF(INDEX(tbl_Production[Current RMS No],IFERROR(MATCH(E71&amp;"",tbl_Production[Job Number],0),MATCH(IFERROR(E71+0,E71),tbl_Production[Job Number],0)))="",INDEX(tbl_Production[Qwilr Quote],IFERROR(MATCH(E71&amp;"",tbl_Production[Job Number],0),MATCH(IFERROR(E71+0,E71),tbl_Production[Job Number],0))),INDEX(tbl_Production[Current RMS No],IFERROR(MATCH(E71&amp;"",tbl_Production[Job Number],0),MATCH(IFERROR(E71+0,E71),tbl_Production[Job Number],0))))="","",IF(INDEX(tbl_Production[Current RMS No],IFERROR(MATCH(E71&amp;"",tbl_Production[Job Number],0),MATCH(IFERROR(E71+0,E71),tbl_Production[Job Number],0)))="",INDEX(tbl_Production[Qwilr Quote],IFERROR(MATCH(E71&amp;"",tbl_Production[Job Number],0),MATCH(IFERROR(E71+0,E71),tbl_Production[Job Number],0))),INDEX(tbl_Production[Current RMS No],IFERROR(MATCH(E71&amp;"",tbl_Production[Job Number],0),MATCH(IFERROR(E71+0,E71),tbl_Production[Job Number],0))))),IFERROR(IF(INDEX(tbl_Consulting[Qwilr Quote],IFERROR(MATCH(E71&amp;"",tbl_Consulting[Job Number],0),MATCH(IFERROR(E71+0,E71),tbl_Consulting[Job Number],0)))="","",INDEX(tbl_Consulting[Qwilr Quote],IFERROR(MATCH(E71&amp;"",tbl_Consulting[Job Number],0),MATCH(IFERROR(E71+0,E71),tbl_Consulting[Job Number],0)))),""))))</f>
        <v/>
      </c>
      <c r="AD71" s="25">
        <f>IF(AC71="","",IF(AND(LEFT(AC71,4)&lt;&gt;"http",IF(H71="Production",set_RMSBase,set_QwilrBase)=""),"",HYPERLINK(IF(LEFT(AC71,4)="http",AC71,IF(H71="Production",set_RMSBase,set_QwilrBase)&amp;AC71),"Open")))</f>
        <v/>
      </c>
      <c r="AE71" s="27">
        <f>IF(E71="","",IFERROR(INDEX(tbl_Production[Total Expense],IFERROR(MATCH(E71&amp;"",tbl_Production[Job Number],0),MATCH(IFERROR(E71+0,E71),tbl_Production[Job Number],0))),IFERROR(INDEX(tbl_Consulting[Total Expense],IFERROR(MATCH(E71&amp;"",tbl_Consulting[Job Number],0),MATCH(IFERROR(E71+0,E71),tbl_Consulting[Job Number],0))),0)))</f>
        <v/>
      </c>
      <c r="AF71" s="27">
        <f>IF(E71="","",Z71-N(AE71))</f>
        <v/>
      </c>
      <c r="AG71" s="29">
        <f>IFERROR(AF71/Z71,"")</f>
        <v/>
      </c>
      <c r="AH71" s="25">
        <f>IF(E71="","",IFERROR(IF(INDEX(tbl_Onsite[Notes],IFERROR(MATCH(E71&amp;"",tbl_Onsite[Job Number],0),MATCH(IFERROR(E71+0,E71),tbl_Onsite[Job Number],0)))="","",INDEX(tbl_Onsite[Notes],IFERROR(MATCH(E71&amp;"",tbl_Onsite[Job Number],0),MATCH(IFERROR(E71+0,E71),tbl_Onsite[Job Number],0)))),IFERROR(IF(INDEX(tbl_Production[Notes],IFERROR(MATCH(E71&amp;"",tbl_Production[Job Number],0),MATCH(IFERROR(E71+0,E71),tbl_Production[Job Number],0)))="","",INDEX(tbl_Production[Notes],IFERROR(MATCH(E71&amp;"",tbl_Production[Job Number],0),MATCH(IFERROR(E71+0,E71),tbl_Production[Job Number],0)))),IFERROR(IF(INDEX(tbl_Consulting[Notes],IFERROR(MATCH(E71&amp;"",tbl_Consulting[Job Number],0),MATCH(IFERROR(E71+0,E71),tbl_Consulting[Job Number],0)))="","",INDEX(tbl_Consulting[Notes],IFERROR(MATCH(E71&amp;"",tbl_Consulting[Job Number],0),MATCH(IFERROR(E71+0,E71),tbl_Consulting[Job Number],0)))),""))))</f>
        <v/>
      </c>
    </row>
    <row r="72" ht="15" customHeight="1">
      <c r="A72" s="22" t="n"/>
      <c r="B72" s="23">
        <f>IF(A72="","",EOMONTH(A72,0))</f>
        <v/>
      </c>
      <c r="C72" s="24" t="n"/>
      <c r="D72" s="24" t="n"/>
      <c r="E72" s="24" t="n"/>
      <c r="F72" s="25">
        <f>IF(E72="","",IF(COUNTIF(lst_Jobs,E72&amp;"")&gt;0,"OK","CHECK"))</f>
        <v/>
      </c>
      <c r="G72" s="24" t="n"/>
      <c r="H72" s="24" t="n"/>
      <c r="I72" s="24" t="n"/>
      <c r="J72" s="24" t="n"/>
      <c r="K72" s="24" t="n"/>
      <c r="L72" s="26" t="n"/>
      <c r="M72" s="27">
        <f>IF(L72="","",IF(K72="GST 10%",ROUND(L72*set_GSTRate,2),0))</f>
        <v/>
      </c>
      <c r="N72" s="27">
        <f>IF(L72="","",L72+M72)</f>
        <v/>
      </c>
      <c r="O72" s="24" t="n"/>
      <c r="P72" s="24" t="n"/>
      <c r="Q72" s="24" t="n"/>
      <c r="R72" s="22" t="n"/>
      <c r="S72" s="22" t="n"/>
      <c r="T72" s="24" t="n"/>
      <c r="U72" s="24" t="n"/>
      <c r="V72" s="25">
        <f>IF(COUNTA(A72,D72,C72,L72)=0,"",IF(A72="","No date - sits outside every month",IF(E72="","No job number",IF(F72="CHECK","Job number is not in the Xero job list",IF(I72="","No cost centre",IF(AND(P72="Y",C72=""),"Marked posted to Xero but has no invoice number",IF(AND(L72&lt;&gt;"",K72=""),"No tax code",IF(AND(L72&lt;&gt;"",O72=""),"No revenue GL code",""))))))))</f>
        <v/>
      </c>
      <c r="W72" s="25">
        <f>IF(E72="","",IF(COUNTIF(tbl_Onsite[Job Number],E72&amp;"")&gt;0,"Onsite",IF(COUNTIF(tbl_Production[Job Number],E72&amp;"")&gt;0,"Production",IF(COUNTIF(tbl_Consulting[Job Number],E72&amp;"")&gt;0,"Consulting","not set up yet"))))</f>
        <v/>
      </c>
      <c r="X72" s="25">
        <f>IF(E72="","",IFERROR(INDEX(lst_JobName,MATCH(E72&amp;"",lst_Jobs,0)),""))</f>
        <v/>
      </c>
      <c r="Y72" s="28">
        <f>IF(E72="","",COUNTIFS(tbl_Finance[Job Number],E72&amp;"",tbl_Finance[Ex GST],"&lt;&gt;"))</f>
        <v/>
      </c>
      <c r="Z72" s="27">
        <f>IF(E72="","",SUMIFS(tbl_Finance[Ex GST],tbl_Finance[Job Number],E72&amp;""))</f>
        <v/>
      </c>
      <c r="AA72" s="27">
        <f>IF(E72="","",SUMIFS(tbl_Finance[Ex GST],tbl_Finance[Job Number],E72&amp;"",tbl_Finance[Xero Invoice No],"&lt;&gt;"))</f>
        <v/>
      </c>
      <c r="AB72" s="27">
        <f>IF(E72="","",Z72-AA72)</f>
        <v/>
      </c>
      <c r="AC72" s="25">
        <f>IF(E72="","",IFERROR(IF(INDEX(tbl_Onsite[Qwilr Quote],IFERROR(MATCH(E72&amp;"",tbl_Onsite[Job Number],0),MATCH(IFERROR(E72+0,E72),tbl_Onsite[Job Number],0)))="","",INDEX(tbl_Onsite[Qwilr Quote],IFERROR(MATCH(E72&amp;"",tbl_Onsite[Job Number],0),MATCH(IFERROR(E72+0,E72),tbl_Onsite[Job Number],0)))),IFERROR(IF(IF(INDEX(tbl_Production[Current RMS No],IFERROR(MATCH(E72&amp;"",tbl_Production[Job Number],0),MATCH(IFERROR(E72+0,E72),tbl_Production[Job Number],0)))="",INDEX(tbl_Production[Qwilr Quote],IFERROR(MATCH(E72&amp;"",tbl_Production[Job Number],0),MATCH(IFERROR(E72+0,E72),tbl_Production[Job Number],0))),INDEX(tbl_Production[Current RMS No],IFERROR(MATCH(E72&amp;"",tbl_Production[Job Number],0),MATCH(IFERROR(E72+0,E72),tbl_Production[Job Number],0))))="","",IF(INDEX(tbl_Production[Current RMS No],IFERROR(MATCH(E72&amp;"",tbl_Production[Job Number],0),MATCH(IFERROR(E72+0,E72),tbl_Production[Job Number],0)))="",INDEX(tbl_Production[Qwilr Quote],IFERROR(MATCH(E72&amp;"",tbl_Production[Job Number],0),MATCH(IFERROR(E72+0,E72),tbl_Production[Job Number],0))),INDEX(tbl_Production[Current RMS No],IFERROR(MATCH(E72&amp;"",tbl_Production[Job Number],0),MATCH(IFERROR(E72+0,E72),tbl_Production[Job Number],0))))),IFERROR(IF(INDEX(tbl_Consulting[Qwilr Quote],IFERROR(MATCH(E72&amp;"",tbl_Consulting[Job Number],0),MATCH(IFERROR(E72+0,E72),tbl_Consulting[Job Number],0)))="","",INDEX(tbl_Consulting[Qwilr Quote],IFERROR(MATCH(E72&amp;"",tbl_Consulting[Job Number],0),MATCH(IFERROR(E72+0,E72),tbl_Consulting[Job Number],0)))),""))))</f>
        <v/>
      </c>
      <c r="AD72" s="25">
        <f>IF(AC72="","",IF(AND(LEFT(AC72,4)&lt;&gt;"http",IF(H72="Production",set_RMSBase,set_QwilrBase)=""),"",HYPERLINK(IF(LEFT(AC72,4)="http",AC72,IF(H72="Production",set_RMSBase,set_QwilrBase)&amp;AC72),"Open")))</f>
        <v/>
      </c>
      <c r="AE72" s="27">
        <f>IF(E72="","",IFERROR(INDEX(tbl_Production[Total Expense],IFERROR(MATCH(E72&amp;"",tbl_Production[Job Number],0),MATCH(IFERROR(E72+0,E72),tbl_Production[Job Number],0))),IFERROR(INDEX(tbl_Consulting[Total Expense],IFERROR(MATCH(E72&amp;"",tbl_Consulting[Job Number],0),MATCH(IFERROR(E72+0,E72),tbl_Consulting[Job Number],0))),0)))</f>
        <v/>
      </c>
      <c r="AF72" s="27">
        <f>IF(E72="","",Z72-N(AE72))</f>
        <v/>
      </c>
      <c r="AG72" s="29">
        <f>IFERROR(AF72/Z72,"")</f>
        <v/>
      </c>
      <c r="AH72" s="25">
        <f>IF(E72="","",IFERROR(IF(INDEX(tbl_Onsite[Notes],IFERROR(MATCH(E72&amp;"",tbl_Onsite[Job Number],0),MATCH(IFERROR(E72+0,E72),tbl_Onsite[Job Number],0)))="","",INDEX(tbl_Onsite[Notes],IFERROR(MATCH(E72&amp;"",tbl_Onsite[Job Number],0),MATCH(IFERROR(E72+0,E72),tbl_Onsite[Job Number],0)))),IFERROR(IF(INDEX(tbl_Production[Notes],IFERROR(MATCH(E72&amp;"",tbl_Production[Job Number],0),MATCH(IFERROR(E72+0,E72),tbl_Production[Job Number],0)))="","",INDEX(tbl_Production[Notes],IFERROR(MATCH(E72&amp;"",tbl_Production[Job Number],0),MATCH(IFERROR(E72+0,E72),tbl_Production[Job Number],0)))),IFERROR(IF(INDEX(tbl_Consulting[Notes],IFERROR(MATCH(E72&amp;"",tbl_Consulting[Job Number],0),MATCH(IFERROR(E72+0,E72),tbl_Consulting[Job Number],0)))="","",INDEX(tbl_Consulting[Notes],IFERROR(MATCH(E72&amp;"",tbl_Consulting[Job Number],0),MATCH(IFERROR(E72+0,E72),tbl_Consulting[Job Number],0)))),""))))</f>
        <v/>
      </c>
    </row>
    <row r="73" ht="15" customHeight="1">
      <c r="A73" s="22" t="n"/>
      <c r="B73" s="23">
        <f>IF(A73="","",EOMONTH(A73,0))</f>
        <v/>
      </c>
      <c r="C73" s="24" t="n"/>
      <c r="D73" s="24" t="n"/>
      <c r="E73" s="24" t="n"/>
      <c r="F73" s="25">
        <f>IF(E73="","",IF(COUNTIF(lst_Jobs,E73&amp;"")&gt;0,"OK","CHECK"))</f>
        <v/>
      </c>
      <c r="G73" s="24" t="n"/>
      <c r="H73" s="24" t="n"/>
      <c r="I73" s="24" t="n"/>
      <c r="J73" s="24" t="n"/>
      <c r="K73" s="24" t="n"/>
      <c r="L73" s="26" t="n"/>
      <c r="M73" s="27">
        <f>IF(L73="","",IF(K73="GST 10%",ROUND(L73*set_GSTRate,2),0))</f>
        <v/>
      </c>
      <c r="N73" s="27">
        <f>IF(L73="","",L73+M73)</f>
        <v/>
      </c>
      <c r="O73" s="24" t="n"/>
      <c r="P73" s="24" t="n"/>
      <c r="Q73" s="24" t="n"/>
      <c r="R73" s="22" t="n"/>
      <c r="S73" s="22" t="n"/>
      <c r="T73" s="24" t="n"/>
      <c r="U73" s="24" t="n"/>
      <c r="V73" s="25">
        <f>IF(COUNTA(A73,D73,C73,L73)=0,"",IF(A73="","No date - sits outside every month",IF(E73="","No job number",IF(F73="CHECK","Job number is not in the Xero job list",IF(I73="","No cost centre",IF(AND(P73="Y",C73=""),"Marked posted to Xero but has no invoice number",IF(AND(L73&lt;&gt;"",K73=""),"No tax code",IF(AND(L73&lt;&gt;"",O73=""),"No revenue GL code",""))))))))</f>
        <v/>
      </c>
      <c r="W73" s="25">
        <f>IF(E73="","",IF(COUNTIF(tbl_Onsite[Job Number],E73&amp;"")&gt;0,"Onsite",IF(COUNTIF(tbl_Production[Job Number],E73&amp;"")&gt;0,"Production",IF(COUNTIF(tbl_Consulting[Job Number],E73&amp;"")&gt;0,"Consulting","not set up yet"))))</f>
        <v/>
      </c>
      <c r="X73" s="25">
        <f>IF(E73="","",IFERROR(INDEX(lst_JobName,MATCH(E73&amp;"",lst_Jobs,0)),""))</f>
        <v/>
      </c>
      <c r="Y73" s="28">
        <f>IF(E73="","",COUNTIFS(tbl_Finance[Job Number],E73&amp;"",tbl_Finance[Ex GST],"&lt;&gt;"))</f>
        <v/>
      </c>
      <c r="Z73" s="27">
        <f>IF(E73="","",SUMIFS(tbl_Finance[Ex GST],tbl_Finance[Job Number],E73&amp;""))</f>
        <v/>
      </c>
      <c r="AA73" s="27">
        <f>IF(E73="","",SUMIFS(tbl_Finance[Ex GST],tbl_Finance[Job Number],E73&amp;"",tbl_Finance[Xero Invoice No],"&lt;&gt;"))</f>
        <v/>
      </c>
      <c r="AB73" s="27">
        <f>IF(E73="","",Z73-AA73)</f>
        <v/>
      </c>
      <c r="AC73" s="25">
        <f>IF(E73="","",IFERROR(IF(INDEX(tbl_Onsite[Qwilr Quote],IFERROR(MATCH(E73&amp;"",tbl_Onsite[Job Number],0),MATCH(IFERROR(E73+0,E73),tbl_Onsite[Job Number],0)))="","",INDEX(tbl_Onsite[Qwilr Quote],IFERROR(MATCH(E73&amp;"",tbl_Onsite[Job Number],0),MATCH(IFERROR(E73+0,E73),tbl_Onsite[Job Number],0)))),IFERROR(IF(IF(INDEX(tbl_Production[Current RMS No],IFERROR(MATCH(E73&amp;"",tbl_Production[Job Number],0),MATCH(IFERROR(E73+0,E73),tbl_Production[Job Number],0)))="",INDEX(tbl_Production[Qwilr Quote],IFERROR(MATCH(E73&amp;"",tbl_Production[Job Number],0),MATCH(IFERROR(E73+0,E73),tbl_Production[Job Number],0))),INDEX(tbl_Production[Current RMS No],IFERROR(MATCH(E73&amp;"",tbl_Production[Job Number],0),MATCH(IFERROR(E73+0,E73),tbl_Production[Job Number],0))))="","",IF(INDEX(tbl_Production[Current RMS No],IFERROR(MATCH(E73&amp;"",tbl_Production[Job Number],0),MATCH(IFERROR(E73+0,E73),tbl_Production[Job Number],0)))="",INDEX(tbl_Production[Qwilr Quote],IFERROR(MATCH(E73&amp;"",tbl_Production[Job Number],0),MATCH(IFERROR(E73+0,E73),tbl_Production[Job Number],0))),INDEX(tbl_Production[Current RMS No],IFERROR(MATCH(E73&amp;"",tbl_Production[Job Number],0),MATCH(IFERROR(E73+0,E73),tbl_Production[Job Number],0))))),IFERROR(IF(INDEX(tbl_Consulting[Qwilr Quote],IFERROR(MATCH(E73&amp;"",tbl_Consulting[Job Number],0),MATCH(IFERROR(E73+0,E73),tbl_Consulting[Job Number],0)))="","",INDEX(tbl_Consulting[Qwilr Quote],IFERROR(MATCH(E73&amp;"",tbl_Consulting[Job Number],0),MATCH(IFERROR(E73+0,E73),tbl_Consulting[Job Number],0)))),""))))</f>
        <v/>
      </c>
      <c r="AD73" s="25">
        <f>IF(AC73="","",IF(AND(LEFT(AC73,4)&lt;&gt;"http",IF(H73="Production",set_RMSBase,set_QwilrBase)=""),"",HYPERLINK(IF(LEFT(AC73,4)="http",AC73,IF(H73="Production",set_RMSBase,set_QwilrBase)&amp;AC73),"Open")))</f>
        <v/>
      </c>
      <c r="AE73" s="27">
        <f>IF(E73="","",IFERROR(INDEX(tbl_Production[Total Expense],IFERROR(MATCH(E73&amp;"",tbl_Production[Job Number],0),MATCH(IFERROR(E73+0,E73),tbl_Production[Job Number],0))),IFERROR(INDEX(tbl_Consulting[Total Expense],IFERROR(MATCH(E73&amp;"",tbl_Consulting[Job Number],0),MATCH(IFERROR(E73+0,E73),tbl_Consulting[Job Number],0))),0)))</f>
        <v/>
      </c>
      <c r="AF73" s="27">
        <f>IF(E73="","",Z73-N(AE73))</f>
        <v/>
      </c>
      <c r="AG73" s="29">
        <f>IFERROR(AF73/Z73,"")</f>
        <v/>
      </c>
      <c r="AH73" s="25">
        <f>IF(E73="","",IFERROR(IF(INDEX(tbl_Onsite[Notes],IFERROR(MATCH(E73&amp;"",tbl_Onsite[Job Number],0),MATCH(IFERROR(E73+0,E73),tbl_Onsite[Job Number],0)))="","",INDEX(tbl_Onsite[Notes],IFERROR(MATCH(E73&amp;"",tbl_Onsite[Job Number],0),MATCH(IFERROR(E73+0,E73),tbl_Onsite[Job Number],0)))),IFERROR(IF(INDEX(tbl_Production[Notes],IFERROR(MATCH(E73&amp;"",tbl_Production[Job Number],0),MATCH(IFERROR(E73+0,E73),tbl_Production[Job Number],0)))="","",INDEX(tbl_Production[Notes],IFERROR(MATCH(E73&amp;"",tbl_Production[Job Number],0),MATCH(IFERROR(E73+0,E73),tbl_Production[Job Number],0)))),IFERROR(IF(INDEX(tbl_Consulting[Notes],IFERROR(MATCH(E73&amp;"",tbl_Consulting[Job Number],0),MATCH(IFERROR(E73+0,E73),tbl_Consulting[Job Number],0)))="","",INDEX(tbl_Consulting[Notes],IFERROR(MATCH(E73&amp;"",tbl_Consulting[Job Number],0),MATCH(IFERROR(E73+0,E73),tbl_Consulting[Job Number],0)))),""))))</f>
        <v/>
      </c>
    </row>
    <row r="74" ht="15" customHeight="1">
      <c r="A74" s="22" t="n"/>
      <c r="B74" s="23">
        <f>IF(A74="","",EOMONTH(A74,0))</f>
        <v/>
      </c>
      <c r="C74" s="24" t="n"/>
      <c r="D74" s="24" t="n"/>
      <c r="E74" s="24" t="n"/>
      <c r="F74" s="25">
        <f>IF(E74="","",IF(COUNTIF(lst_Jobs,E74&amp;"")&gt;0,"OK","CHECK"))</f>
        <v/>
      </c>
      <c r="G74" s="24" t="n"/>
      <c r="H74" s="24" t="n"/>
      <c r="I74" s="24" t="n"/>
      <c r="J74" s="24" t="n"/>
      <c r="K74" s="24" t="n"/>
      <c r="L74" s="26" t="n"/>
      <c r="M74" s="27">
        <f>IF(L74="","",IF(K74="GST 10%",ROUND(L74*set_GSTRate,2),0))</f>
        <v/>
      </c>
      <c r="N74" s="27">
        <f>IF(L74="","",L74+M74)</f>
        <v/>
      </c>
      <c r="O74" s="24" t="n"/>
      <c r="P74" s="24" t="n"/>
      <c r="Q74" s="24" t="n"/>
      <c r="R74" s="22" t="n"/>
      <c r="S74" s="22" t="n"/>
      <c r="T74" s="24" t="n"/>
      <c r="U74" s="24" t="n"/>
      <c r="V74" s="25">
        <f>IF(COUNTA(A74,D74,C74,L74)=0,"",IF(A74="","No date - sits outside every month",IF(E74="","No job number",IF(F74="CHECK","Job number is not in the Xero job list",IF(I74="","No cost centre",IF(AND(P74="Y",C74=""),"Marked posted to Xero but has no invoice number",IF(AND(L74&lt;&gt;"",K74=""),"No tax code",IF(AND(L74&lt;&gt;"",O74=""),"No revenue GL code",""))))))))</f>
        <v/>
      </c>
      <c r="W74" s="25">
        <f>IF(E74="","",IF(COUNTIF(tbl_Onsite[Job Number],E74&amp;"")&gt;0,"Onsite",IF(COUNTIF(tbl_Production[Job Number],E74&amp;"")&gt;0,"Production",IF(COUNTIF(tbl_Consulting[Job Number],E74&amp;"")&gt;0,"Consulting","not set up yet"))))</f>
        <v/>
      </c>
      <c r="X74" s="25">
        <f>IF(E74="","",IFERROR(INDEX(lst_JobName,MATCH(E74&amp;"",lst_Jobs,0)),""))</f>
        <v/>
      </c>
      <c r="Y74" s="28">
        <f>IF(E74="","",COUNTIFS(tbl_Finance[Job Number],E74&amp;"",tbl_Finance[Ex GST],"&lt;&gt;"))</f>
        <v/>
      </c>
      <c r="Z74" s="27">
        <f>IF(E74="","",SUMIFS(tbl_Finance[Ex GST],tbl_Finance[Job Number],E74&amp;""))</f>
        <v/>
      </c>
      <c r="AA74" s="27">
        <f>IF(E74="","",SUMIFS(tbl_Finance[Ex GST],tbl_Finance[Job Number],E74&amp;"",tbl_Finance[Xero Invoice No],"&lt;&gt;"))</f>
        <v/>
      </c>
      <c r="AB74" s="27">
        <f>IF(E74="","",Z74-AA74)</f>
        <v/>
      </c>
      <c r="AC74" s="25">
        <f>IF(E74="","",IFERROR(IF(INDEX(tbl_Onsite[Qwilr Quote],IFERROR(MATCH(E74&amp;"",tbl_Onsite[Job Number],0),MATCH(IFERROR(E74+0,E74),tbl_Onsite[Job Number],0)))="","",INDEX(tbl_Onsite[Qwilr Quote],IFERROR(MATCH(E74&amp;"",tbl_Onsite[Job Number],0),MATCH(IFERROR(E74+0,E74),tbl_Onsite[Job Number],0)))),IFERROR(IF(IF(INDEX(tbl_Production[Current RMS No],IFERROR(MATCH(E74&amp;"",tbl_Production[Job Number],0),MATCH(IFERROR(E74+0,E74),tbl_Production[Job Number],0)))="",INDEX(tbl_Production[Qwilr Quote],IFERROR(MATCH(E74&amp;"",tbl_Production[Job Number],0),MATCH(IFERROR(E74+0,E74),tbl_Production[Job Number],0))),INDEX(tbl_Production[Current RMS No],IFERROR(MATCH(E74&amp;"",tbl_Production[Job Number],0),MATCH(IFERROR(E74+0,E74),tbl_Production[Job Number],0))))="","",IF(INDEX(tbl_Production[Current RMS No],IFERROR(MATCH(E74&amp;"",tbl_Production[Job Number],0),MATCH(IFERROR(E74+0,E74),tbl_Production[Job Number],0)))="",INDEX(tbl_Production[Qwilr Quote],IFERROR(MATCH(E74&amp;"",tbl_Production[Job Number],0),MATCH(IFERROR(E74+0,E74),tbl_Production[Job Number],0))),INDEX(tbl_Production[Current RMS No],IFERROR(MATCH(E74&amp;"",tbl_Production[Job Number],0),MATCH(IFERROR(E74+0,E74),tbl_Production[Job Number],0))))),IFERROR(IF(INDEX(tbl_Consulting[Qwilr Quote],IFERROR(MATCH(E74&amp;"",tbl_Consulting[Job Number],0),MATCH(IFERROR(E74+0,E74),tbl_Consulting[Job Number],0)))="","",INDEX(tbl_Consulting[Qwilr Quote],IFERROR(MATCH(E74&amp;"",tbl_Consulting[Job Number],0),MATCH(IFERROR(E74+0,E74),tbl_Consulting[Job Number],0)))),""))))</f>
        <v/>
      </c>
      <c r="AD74" s="25">
        <f>IF(AC74="","",IF(AND(LEFT(AC74,4)&lt;&gt;"http",IF(H74="Production",set_RMSBase,set_QwilrBase)=""),"",HYPERLINK(IF(LEFT(AC74,4)="http",AC74,IF(H74="Production",set_RMSBase,set_QwilrBase)&amp;AC74),"Open")))</f>
        <v/>
      </c>
      <c r="AE74" s="27">
        <f>IF(E74="","",IFERROR(INDEX(tbl_Production[Total Expense],IFERROR(MATCH(E74&amp;"",tbl_Production[Job Number],0),MATCH(IFERROR(E74+0,E74),tbl_Production[Job Number],0))),IFERROR(INDEX(tbl_Consulting[Total Expense],IFERROR(MATCH(E74&amp;"",tbl_Consulting[Job Number],0),MATCH(IFERROR(E74+0,E74),tbl_Consulting[Job Number],0))),0)))</f>
        <v/>
      </c>
      <c r="AF74" s="27">
        <f>IF(E74="","",Z74-N(AE74))</f>
        <v/>
      </c>
      <c r="AG74" s="29">
        <f>IFERROR(AF74/Z74,"")</f>
        <v/>
      </c>
      <c r="AH74" s="25">
        <f>IF(E74="","",IFERROR(IF(INDEX(tbl_Onsite[Notes],IFERROR(MATCH(E74&amp;"",tbl_Onsite[Job Number],0),MATCH(IFERROR(E74+0,E74),tbl_Onsite[Job Number],0)))="","",INDEX(tbl_Onsite[Notes],IFERROR(MATCH(E74&amp;"",tbl_Onsite[Job Number],0),MATCH(IFERROR(E74+0,E74),tbl_Onsite[Job Number],0)))),IFERROR(IF(INDEX(tbl_Production[Notes],IFERROR(MATCH(E74&amp;"",tbl_Production[Job Number],0),MATCH(IFERROR(E74+0,E74),tbl_Production[Job Number],0)))="","",INDEX(tbl_Production[Notes],IFERROR(MATCH(E74&amp;"",tbl_Production[Job Number],0),MATCH(IFERROR(E74+0,E74),tbl_Production[Job Number],0)))),IFERROR(IF(INDEX(tbl_Consulting[Notes],IFERROR(MATCH(E74&amp;"",tbl_Consulting[Job Number],0),MATCH(IFERROR(E74+0,E74),tbl_Consulting[Job Number],0)))="","",INDEX(tbl_Consulting[Notes],IFERROR(MATCH(E74&amp;"",tbl_Consulting[Job Number],0),MATCH(IFERROR(E74+0,E74),tbl_Consulting[Job Number],0)))),""))))</f>
        <v/>
      </c>
    </row>
    <row r="75" ht="15" customHeight="1">
      <c r="A75" s="22" t="n"/>
      <c r="B75" s="23">
        <f>IF(A75="","",EOMONTH(A75,0))</f>
        <v/>
      </c>
      <c r="C75" s="24" t="n"/>
      <c r="D75" s="24" t="n"/>
      <c r="E75" s="24" t="n"/>
      <c r="F75" s="25">
        <f>IF(E75="","",IF(COUNTIF(lst_Jobs,E75&amp;"")&gt;0,"OK","CHECK"))</f>
        <v/>
      </c>
      <c r="G75" s="24" t="n"/>
      <c r="H75" s="24" t="n"/>
      <c r="I75" s="24" t="n"/>
      <c r="J75" s="24" t="n"/>
      <c r="K75" s="24" t="n"/>
      <c r="L75" s="26" t="n"/>
      <c r="M75" s="27">
        <f>IF(L75="","",IF(K75="GST 10%",ROUND(L75*set_GSTRate,2),0))</f>
        <v/>
      </c>
      <c r="N75" s="27">
        <f>IF(L75="","",L75+M75)</f>
        <v/>
      </c>
      <c r="O75" s="24" t="n"/>
      <c r="P75" s="24" t="n"/>
      <c r="Q75" s="24" t="n"/>
      <c r="R75" s="22" t="n"/>
      <c r="S75" s="22" t="n"/>
      <c r="T75" s="24" t="n"/>
      <c r="U75" s="24" t="n"/>
      <c r="V75" s="25">
        <f>IF(COUNTA(A75,D75,C75,L75)=0,"",IF(A75="","No date - sits outside every month",IF(E75="","No job number",IF(F75="CHECK","Job number is not in the Xero job list",IF(I75="","No cost centre",IF(AND(P75="Y",C75=""),"Marked posted to Xero but has no invoice number",IF(AND(L75&lt;&gt;"",K75=""),"No tax code",IF(AND(L75&lt;&gt;"",O75=""),"No revenue GL code",""))))))))</f>
        <v/>
      </c>
      <c r="W75" s="25">
        <f>IF(E75="","",IF(COUNTIF(tbl_Onsite[Job Number],E75&amp;"")&gt;0,"Onsite",IF(COUNTIF(tbl_Production[Job Number],E75&amp;"")&gt;0,"Production",IF(COUNTIF(tbl_Consulting[Job Number],E75&amp;"")&gt;0,"Consulting","not set up yet"))))</f>
        <v/>
      </c>
      <c r="X75" s="25">
        <f>IF(E75="","",IFERROR(INDEX(lst_JobName,MATCH(E75&amp;"",lst_Jobs,0)),""))</f>
        <v/>
      </c>
      <c r="Y75" s="28">
        <f>IF(E75="","",COUNTIFS(tbl_Finance[Job Number],E75&amp;"",tbl_Finance[Ex GST],"&lt;&gt;"))</f>
        <v/>
      </c>
      <c r="Z75" s="27">
        <f>IF(E75="","",SUMIFS(tbl_Finance[Ex GST],tbl_Finance[Job Number],E75&amp;""))</f>
        <v/>
      </c>
      <c r="AA75" s="27">
        <f>IF(E75="","",SUMIFS(tbl_Finance[Ex GST],tbl_Finance[Job Number],E75&amp;"",tbl_Finance[Xero Invoice No],"&lt;&gt;"))</f>
        <v/>
      </c>
      <c r="AB75" s="27">
        <f>IF(E75="","",Z75-AA75)</f>
        <v/>
      </c>
      <c r="AC75" s="25">
        <f>IF(E75="","",IFERROR(IF(INDEX(tbl_Onsite[Qwilr Quote],IFERROR(MATCH(E75&amp;"",tbl_Onsite[Job Number],0),MATCH(IFERROR(E75+0,E75),tbl_Onsite[Job Number],0)))="","",INDEX(tbl_Onsite[Qwilr Quote],IFERROR(MATCH(E75&amp;"",tbl_Onsite[Job Number],0),MATCH(IFERROR(E75+0,E75),tbl_Onsite[Job Number],0)))),IFERROR(IF(IF(INDEX(tbl_Production[Current RMS No],IFERROR(MATCH(E75&amp;"",tbl_Production[Job Number],0),MATCH(IFERROR(E75+0,E75),tbl_Production[Job Number],0)))="",INDEX(tbl_Production[Qwilr Quote],IFERROR(MATCH(E75&amp;"",tbl_Production[Job Number],0),MATCH(IFERROR(E75+0,E75),tbl_Production[Job Number],0))),INDEX(tbl_Production[Current RMS No],IFERROR(MATCH(E75&amp;"",tbl_Production[Job Number],0),MATCH(IFERROR(E75+0,E75),tbl_Production[Job Number],0))))="","",IF(INDEX(tbl_Production[Current RMS No],IFERROR(MATCH(E75&amp;"",tbl_Production[Job Number],0),MATCH(IFERROR(E75+0,E75),tbl_Production[Job Number],0)))="",INDEX(tbl_Production[Qwilr Quote],IFERROR(MATCH(E75&amp;"",tbl_Production[Job Number],0),MATCH(IFERROR(E75+0,E75),tbl_Production[Job Number],0))),INDEX(tbl_Production[Current RMS No],IFERROR(MATCH(E75&amp;"",tbl_Production[Job Number],0),MATCH(IFERROR(E75+0,E75),tbl_Production[Job Number],0))))),IFERROR(IF(INDEX(tbl_Consulting[Qwilr Quote],IFERROR(MATCH(E75&amp;"",tbl_Consulting[Job Number],0),MATCH(IFERROR(E75+0,E75),tbl_Consulting[Job Number],0)))="","",INDEX(tbl_Consulting[Qwilr Quote],IFERROR(MATCH(E75&amp;"",tbl_Consulting[Job Number],0),MATCH(IFERROR(E75+0,E75),tbl_Consulting[Job Number],0)))),""))))</f>
        <v/>
      </c>
      <c r="AD75" s="25">
        <f>IF(AC75="","",IF(AND(LEFT(AC75,4)&lt;&gt;"http",IF(H75="Production",set_RMSBase,set_QwilrBase)=""),"",HYPERLINK(IF(LEFT(AC75,4)="http",AC75,IF(H75="Production",set_RMSBase,set_QwilrBase)&amp;AC75),"Open")))</f>
        <v/>
      </c>
      <c r="AE75" s="27">
        <f>IF(E75="","",IFERROR(INDEX(tbl_Production[Total Expense],IFERROR(MATCH(E75&amp;"",tbl_Production[Job Number],0),MATCH(IFERROR(E75+0,E75),tbl_Production[Job Number],0))),IFERROR(INDEX(tbl_Consulting[Total Expense],IFERROR(MATCH(E75&amp;"",tbl_Consulting[Job Number],0),MATCH(IFERROR(E75+0,E75),tbl_Consulting[Job Number],0))),0)))</f>
        <v/>
      </c>
      <c r="AF75" s="27">
        <f>IF(E75="","",Z75-N(AE75))</f>
        <v/>
      </c>
      <c r="AG75" s="29">
        <f>IFERROR(AF75/Z75,"")</f>
        <v/>
      </c>
      <c r="AH75" s="25">
        <f>IF(E75="","",IFERROR(IF(INDEX(tbl_Onsite[Notes],IFERROR(MATCH(E75&amp;"",tbl_Onsite[Job Number],0),MATCH(IFERROR(E75+0,E75),tbl_Onsite[Job Number],0)))="","",INDEX(tbl_Onsite[Notes],IFERROR(MATCH(E75&amp;"",tbl_Onsite[Job Number],0),MATCH(IFERROR(E75+0,E75),tbl_Onsite[Job Number],0)))),IFERROR(IF(INDEX(tbl_Production[Notes],IFERROR(MATCH(E75&amp;"",tbl_Production[Job Number],0),MATCH(IFERROR(E75+0,E75),tbl_Production[Job Number],0)))="","",INDEX(tbl_Production[Notes],IFERROR(MATCH(E75&amp;"",tbl_Production[Job Number],0),MATCH(IFERROR(E75+0,E75),tbl_Production[Job Number],0)))),IFERROR(IF(INDEX(tbl_Consulting[Notes],IFERROR(MATCH(E75&amp;"",tbl_Consulting[Job Number],0),MATCH(IFERROR(E75+0,E75),tbl_Consulting[Job Number],0)))="","",INDEX(tbl_Consulting[Notes],IFERROR(MATCH(E75&amp;"",tbl_Consulting[Job Number],0),MATCH(IFERROR(E75+0,E75),tbl_Consulting[Job Number],0)))),""))))</f>
        <v/>
      </c>
    </row>
    <row r="76" ht="15" customHeight="1">
      <c r="A76" s="22" t="n"/>
      <c r="B76" s="23">
        <f>IF(A76="","",EOMONTH(A76,0))</f>
        <v/>
      </c>
      <c r="C76" s="24" t="n"/>
      <c r="D76" s="24" t="n"/>
      <c r="E76" s="24" t="n"/>
      <c r="F76" s="25">
        <f>IF(E76="","",IF(COUNTIF(lst_Jobs,E76&amp;"")&gt;0,"OK","CHECK"))</f>
        <v/>
      </c>
      <c r="G76" s="24" t="n"/>
      <c r="H76" s="24" t="n"/>
      <c r="I76" s="24" t="n"/>
      <c r="J76" s="24" t="n"/>
      <c r="K76" s="24" t="n"/>
      <c r="L76" s="26" t="n"/>
      <c r="M76" s="27">
        <f>IF(L76="","",IF(K76="GST 10%",ROUND(L76*set_GSTRate,2),0))</f>
        <v/>
      </c>
      <c r="N76" s="27">
        <f>IF(L76="","",L76+M76)</f>
        <v/>
      </c>
      <c r="O76" s="24" t="n"/>
      <c r="P76" s="24" t="n"/>
      <c r="Q76" s="24" t="n"/>
      <c r="R76" s="22" t="n"/>
      <c r="S76" s="22" t="n"/>
      <c r="T76" s="24" t="n"/>
      <c r="U76" s="24" t="n"/>
      <c r="V76" s="25">
        <f>IF(COUNTA(A76,D76,C76,L76)=0,"",IF(A76="","No date - sits outside every month",IF(E76="","No job number",IF(F76="CHECK","Job number is not in the Xero job list",IF(I76="","No cost centre",IF(AND(P76="Y",C76=""),"Marked posted to Xero but has no invoice number",IF(AND(L76&lt;&gt;"",K76=""),"No tax code",IF(AND(L76&lt;&gt;"",O76=""),"No revenue GL code",""))))))))</f>
        <v/>
      </c>
      <c r="W76" s="25">
        <f>IF(E76="","",IF(COUNTIF(tbl_Onsite[Job Number],E76&amp;"")&gt;0,"Onsite",IF(COUNTIF(tbl_Production[Job Number],E76&amp;"")&gt;0,"Production",IF(COUNTIF(tbl_Consulting[Job Number],E76&amp;"")&gt;0,"Consulting","not set up yet"))))</f>
        <v/>
      </c>
      <c r="X76" s="25">
        <f>IF(E76="","",IFERROR(INDEX(lst_JobName,MATCH(E76&amp;"",lst_Jobs,0)),""))</f>
        <v/>
      </c>
      <c r="Y76" s="28">
        <f>IF(E76="","",COUNTIFS(tbl_Finance[Job Number],E76&amp;"",tbl_Finance[Ex GST],"&lt;&gt;"))</f>
        <v/>
      </c>
      <c r="Z76" s="27">
        <f>IF(E76="","",SUMIFS(tbl_Finance[Ex GST],tbl_Finance[Job Number],E76&amp;""))</f>
        <v/>
      </c>
      <c r="AA76" s="27">
        <f>IF(E76="","",SUMIFS(tbl_Finance[Ex GST],tbl_Finance[Job Number],E76&amp;"",tbl_Finance[Xero Invoice No],"&lt;&gt;"))</f>
        <v/>
      </c>
      <c r="AB76" s="27">
        <f>IF(E76="","",Z76-AA76)</f>
        <v/>
      </c>
      <c r="AC76" s="25">
        <f>IF(E76="","",IFERROR(IF(INDEX(tbl_Onsite[Qwilr Quote],IFERROR(MATCH(E76&amp;"",tbl_Onsite[Job Number],0),MATCH(IFERROR(E76+0,E76),tbl_Onsite[Job Number],0)))="","",INDEX(tbl_Onsite[Qwilr Quote],IFERROR(MATCH(E76&amp;"",tbl_Onsite[Job Number],0),MATCH(IFERROR(E76+0,E76),tbl_Onsite[Job Number],0)))),IFERROR(IF(IF(INDEX(tbl_Production[Current RMS No],IFERROR(MATCH(E76&amp;"",tbl_Production[Job Number],0),MATCH(IFERROR(E76+0,E76),tbl_Production[Job Number],0)))="",INDEX(tbl_Production[Qwilr Quote],IFERROR(MATCH(E76&amp;"",tbl_Production[Job Number],0),MATCH(IFERROR(E76+0,E76),tbl_Production[Job Number],0))),INDEX(tbl_Production[Current RMS No],IFERROR(MATCH(E76&amp;"",tbl_Production[Job Number],0),MATCH(IFERROR(E76+0,E76),tbl_Production[Job Number],0))))="","",IF(INDEX(tbl_Production[Current RMS No],IFERROR(MATCH(E76&amp;"",tbl_Production[Job Number],0),MATCH(IFERROR(E76+0,E76),tbl_Production[Job Number],0)))="",INDEX(tbl_Production[Qwilr Quote],IFERROR(MATCH(E76&amp;"",tbl_Production[Job Number],0),MATCH(IFERROR(E76+0,E76),tbl_Production[Job Number],0))),INDEX(tbl_Production[Current RMS No],IFERROR(MATCH(E76&amp;"",tbl_Production[Job Number],0),MATCH(IFERROR(E76+0,E76),tbl_Production[Job Number],0))))),IFERROR(IF(INDEX(tbl_Consulting[Qwilr Quote],IFERROR(MATCH(E76&amp;"",tbl_Consulting[Job Number],0),MATCH(IFERROR(E76+0,E76),tbl_Consulting[Job Number],0)))="","",INDEX(tbl_Consulting[Qwilr Quote],IFERROR(MATCH(E76&amp;"",tbl_Consulting[Job Number],0),MATCH(IFERROR(E76+0,E76),tbl_Consulting[Job Number],0)))),""))))</f>
        <v/>
      </c>
      <c r="AD76" s="25">
        <f>IF(AC76="","",IF(AND(LEFT(AC76,4)&lt;&gt;"http",IF(H76="Production",set_RMSBase,set_QwilrBase)=""),"",HYPERLINK(IF(LEFT(AC76,4)="http",AC76,IF(H76="Production",set_RMSBase,set_QwilrBase)&amp;AC76),"Open")))</f>
        <v/>
      </c>
      <c r="AE76" s="27">
        <f>IF(E76="","",IFERROR(INDEX(tbl_Production[Total Expense],IFERROR(MATCH(E76&amp;"",tbl_Production[Job Number],0),MATCH(IFERROR(E76+0,E76),tbl_Production[Job Number],0))),IFERROR(INDEX(tbl_Consulting[Total Expense],IFERROR(MATCH(E76&amp;"",tbl_Consulting[Job Number],0),MATCH(IFERROR(E76+0,E76),tbl_Consulting[Job Number],0))),0)))</f>
        <v/>
      </c>
      <c r="AF76" s="27">
        <f>IF(E76="","",Z76-N(AE76))</f>
        <v/>
      </c>
      <c r="AG76" s="29">
        <f>IFERROR(AF76/Z76,"")</f>
        <v/>
      </c>
      <c r="AH76" s="25">
        <f>IF(E76="","",IFERROR(IF(INDEX(tbl_Onsite[Notes],IFERROR(MATCH(E76&amp;"",tbl_Onsite[Job Number],0),MATCH(IFERROR(E76+0,E76),tbl_Onsite[Job Number],0)))="","",INDEX(tbl_Onsite[Notes],IFERROR(MATCH(E76&amp;"",tbl_Onsite[Job Number],0),MATCH(IFERROR(E76+0,E76),tbl_Onsite[Job Number],0)))),IFERROR(IF(INDEX(tbl_Production[Notes],IFERROR(MATCH(E76&amp;"",tbl_Production[Job Number],0),MATCH(IFERROR(E76+0,E76),tbl_Production[Job Number],0)))="","",INDEX(tbl_Production[Notes],IFERROR(MATCH(E76&amp;"",tbl_Production[Job Number],0),MATCH(IFERROR(E76+0,E76),tbl_Production[Job Number],0)))),IFERROR(IF(INDEX(tbl_Consulting[Notes],IFERROR(MATCH(E76&amp;"",tbl_Consulting[Job Number],0),MATCH(IFERROR(E76+0,E76),tbl_Consulting[Job Number],0)))="","",INDEX(tbl_Consulting[Notes],IFERROR(MATCH(E76&amp;"",tbl_Consulting[Job Number],0),MATCH(IFERROR(E76+0,E76),tbl_Consulting[Job Number],0)))),""))))</f>
        <v/>
      </c>
    </row>
    <row r="77" ht="15" customHeight="1">
      <c r="A77" s="22" t="n"/>
      <c r="B77" s="23">
        <f>IF(A77="","",EOMONTH(A77,0))</f>
        <v/>
      </c>
      <c r="C77" s="24" t="n"/>
      <c r="D77" s="24" t="n"/>
      <c r="E77" s="24" t="n"/>
      <c r="F77" s="25">
        <f>IF(E77="","",IF(COUNTIF(lst_Jobs,E77&amp;"")&gt;0,"OK","CHECK"))</f>
        <v/>
      </c>
      <c r="G77" s="24" t="n"/>
      <c r="H77" s="24" t="n"/>
      <c r="I77" s="24" t="n"/>
      <c r="J77" s="24" t="n"/>
      <c r="K77" s="24" t="n"/>
      <c r="L77" s="26" t="n"/>
      <c r="M77" s="27">
        <f>IF(L77="","",IF(K77="GST 10%",ROUND(L77*set_GSTRate,2),0))</f>
        <v/>
      </c>
      <c r="N77" s="27">
        <f>IF(L77="","",L77+M77)</f>
        <v/>
      </c>
      <c r="O77" s="24" t="n"/>
      <c r="P77" s="24" t="n"/>
      <c r="Q77" s="24" t="n"/>
      <c r="R77" s="22" t="n"/>
      <c r="S77" s="22" t="n"/>
      <c r="T77" s="24" t="n"/>
      <c r="U77" s="24" t="n"/>
      <c r="V77" s="25">
        <f>IF(COUNTA(A77,D77,C77,L77)=0,"",IF(A77="","No date - sits outside every month",IF(E77="","No job number",IF(F77="CHECK","Job number is not in the Xero job list",IF(I77="","No cost centre",IF(AND(P77="Y",C77=""),"Marked posted to Xero but has no invoice number",IF(AND(L77&lt;&gt;"",K77=""),"No tax code",IF(AND(L77&lt;&gt;"",O77=""),"No revenue GL code",""))))))))</f>
        <v/>
      </c>
      <c r="W77" s="25">
        <f>IF(E77="","",IF(COUNTIF(tbl_Onsite[Job Number],E77&amp;"")&gt;0,"Onsite",IF(COUNTIF(tbl_Production[Job Number],E77&amp;"")&gt;0,"Production",IF(COUNTIF(tbl_Consulting[Job Number],E77&amp;"")&gt;0,"Consulting","not set up yet"))))</f>
        <v/>
      </c>
      <c r="X77" s="25">
        <f>IF(E77="","",IFERROR(INDEX(lst_JobName,MATCH(E77&amp;"",lst_Jobs,0)),""))</f>
        <v/>
      </c>
      <c r="Y77" s="28">
        <f>IF(E77="","",COUNTIFS(tbl_Finance[Job Number],E77&amp;"",tbl_Finance[Ex GST],"&lt;&gt;"))</f>
        <v/>
      </c>
      <c r="Z77" s="27">
        <f>IF(E77="","",SUMIFS(tbl_Finance[Ex GST],tbl_Finance[Job Number],E77&amp;""))</f>
        <v/>
      </c>
      <c r="AA77" s="27">
        <f>IF(E77="","",SUMIFS(tbl_Finance[Ex GST],tbl_Finance[Job Number],E77&amp;"",tbl_Finance[Xero Invoice No],"&lt;&gt;"))</f>
        <v/>
      </c>
      <c r="AB77" s="27">
        <f>IF(E77="","",Z77-AA77)</f>
        <v/>
      </c>
      <c r="AC77" s="25">
        <f>IF(E77="","",IFERROR(IF(INDEX(tbl_Onsite[Qwilr Quote],IFERROR(MATCH(E77&amp;"",tbl_Onsite[Job Number],0),MATCH(IFERROR(E77+0,E77),tbl_Onsite[Job Number],0)))="","",INDEX(tbl_Onsite[Qwilr Quote],IFERROR(MATCH(E77&amp;"",tbl_Onsite[Job Number],0),MATCH(IFERROR(E77+0,E77),tbl_Onsite[Job Number],0)))),IFERROR(IF(IF(INDEX(tbl_Production[Current RMS No],IFERROR(MATCH(E77&amp;"",tbl_Production[Job Number],0),MATCH(IFERROR(E77+0,E77),tbl_Production[Job Number],0)))="",INDEX(tbl_Production[Qwilr Quote],IFERROR(MATCH(E77&amp;"",tbl_Production[Job Number],0),MATCH(IFERROR(E77+0,E77),tbl_Production[Job Number],0))),INDEX(tbl_Production[Current RMS No],IFERROR(MATCH(E77&amp;"",tbl_Production[Job Number],0),MATCH(IFERROR(E77+0,E77),tbl_Production[Job Number],0))))="","",IF(INDEX(tbl_Production[Current RMS No],IFERROR(MATCH(E77&amp;"",tbl_Production[Job Number],0),MATCH(IFERROR(E77+0,E77),tbl_Production[Job Number],0)))="",INDEX(tbl_Production[Qwilr Quote],IFERROR(MATCH(E77&amp;"",tbl_Production[Job Number],0),MATCH(IFERROR(E77+0,E77),tbl_Production[Job Number],0))),INDEX(tbl_Production[Current RMS No],IFERROR(MATCH(E77&amp;"",tbl_Production[Job Number],0),MATCH(IFERROR(E77+0,E77),tbl_Production[Job Number],0))))),IFERROR(IF(INDEX(tbl_Consulting[Qwilr Quote],IFERROR(MATCH(E77&amp;"",tbl_Consulting[Job Number],0),MATCH(IFERROR(E77+0,E77),tbl_Consulting[Job Number],0)))="","",INDEX(tbl_Consulting[Qwilr Quote],IFERROR(MATCH(E77&amp;"",tbl_Consulting[Job Number],0),MATCH(IFERROR(E77+0,E77),tbl_Consulting[Job Number],0)))),""))))</f>
        <v/>
      </c>
      <c r="AD77" s="25">
        <f>IF(AC77="","",IF(AND(LEFT(AC77,4)&lt;&gt;"http",IF(H77="Production",set_RMSBase,set_QwilrBase)=""),"",HYPERLINK(IF(LEFT(AC77,4)="http",AC77,IF(H77="Production",set_RMSBase,set_QwilrBase)&amp;AC77),"Open")))</f>
        <v/>
      </c>
      <c r="AE77" s="27">
        <f>IF(E77="","",IFERROR(INDEX(tbl_Production[Total Expense],IFERROR(MATCH(E77&amp;"",tbl_Production[Job Number],0),MATCH(IFERROR(E77+0,E77),tbl_Production[Job Number],0))),IFERROR(INDEX(tbl_Consulting[Total Expense],IFERROR(MATCH(E77&amp;"",tbl_Consulting[Job Number],0),MATCH(IFERROR(E77+0,E77),tbl_Consulting[Job Number],0))),0)))</f>
        <v/>
      </c>
      <c r="AF77" s="27">
        <f>IF(E77="","",Z77-N(AE77))</f>
        <v/>
      </c>
      <c r="AG77" s="29">
        <f>IFERROR(AF77/Z77,"")</f>
        <v/>
      </c>
      <c r="AH77" s="25">
        <f>IF(E77="","",IFERROR(IF(INDEX(tbl_Onsite[Notes],IFERROR(MATCH(E77&amp;"",tbl_Onsite[Job Number],0),MATCH(IFERROR(E77+0,E77),tbl_Onsite[Job Number],0)))="","",INDEX(tbl_Onsite[Notes],IFERROR(MATCH(E77&amp;"",tbl_Onsite[Job Number],0),MATCH(IFERROR(E77+0,E77),tbl_Onsite[Job Number],0)))),IFERROR(IF(INDEX(tbl_Production[Notes],IFERROR(MATCH(E77&amp;"",tbl_Production[Job Number],0),MATCH(IFERROR(E77+0,E77),tbl_Production[Job Number],0)))="","",INDEX(tbl_Production[Notes],IFERROR(MATCH(E77&amp;"",tbl_Production[Job Number],0),MATCH(IFERROR(E77+0,E77),tbl_Production[Job Number],0)))),IFERROR(IF(INDEX(tbl_Consulting[Notes],IFERROR(MATCH(E77&amp;"",tbl_Consulting[Job Number],0),MATCH(IFERROR(E77+0,E77),tbl_Consulting[Job Number],0)))="","",INDEX(tbl_Consulting[Notes],IFERROR(MATCH(E77&amp;"",tbl_Consulting[Job Number],0),MATCH(IFERROR(E77+0,E77),tbl_Consulting[Job Number],0)))),""))))</f>
        <v/>
      </c>
    </row>
    <row r="78" ht="15" customHeight="1">
      <c r="A78" s="22" t="n"/>
      <c r="B78" s="23">
        <f>IF(A78="","",EOMONTH(A78,0))</f>
        <v/>
      </c>
      <c r="C78" s="24" t="n"/>
      <c r="D78" s="24" t="n"/>
      <c r="E78" s="24" t="n"/>
      <c r="F78" s="25">
        <f>IF(E78="","",IF(COUNTIF(lst_Jobs,E78&amp;"")&gt;0,"OK","CHECK"))</f>
        <v/>
      </c>
      <c r="G78" s="24" t="n"/>
      <c r="H78" s="24" t="n"/>
      <c r="I78" s="24" t="n"/>
      <c r="J78" s="24" t="n"/>
      <c r="K78" s="24" t="n"/>
      <c r="L78" s="26" t="n"/>
      <c r="M78" s="27">
        <f>IF(L78="","",IF(K78="GST 10%",ROUND(L78*set_GSTRate,2),0))</f>
        <v/>
      </c>
      <c r="N78" s="27">
        <f>IF(L78="","",L78+M78)</f>
        <v/>
      </c>
      <c r="O78" s="24" t="n"/>
      <c r="P78" s="24" t="n"/>
      <c r="Q78" s="24" t="n"/>
      <c r="R78" s="22" t="n"/>
      <c r="S78" s="22" t="n"/>
      <c r="T78" s="24" t="n"/>
      <c r="U78" s="24" t="n"/>
      <c r="V78" s="25">
        <f>IF(COUNTA(A78,D78,C78,L78)=0,"",IF(A78="","No date - sits outside every month",IF(E78="","No job number",IF(F78="CHECK","Job number is not in the Xero job list",IF(I78="","No cost centre",IF(AND(P78="Y",C78=""),"Marked posted to Xero but has no invoice number",IF(AND(L78&lt;&gt;"",K78=""),"No tax code",IF(AND(L78&lt;&gt;"",O78=""),"No revenue GL code",""))))))))</f>
        <v/>
      </c>
      <c r="W78" s="25">
        <f>IF(E78="","",IF(COUNTIF(tbl_Onsite[Job Number],E78&amp;"")&gt;0,"Onsite",IF(COUNTIF(tbl_Production[Job Number],E78&amp;"")&gt;0,"Production",IF(COUNTIF(tbl_Consulting[Job Number],E78&amp;"")&gt;0,"Consulting","not set up yet"))))</f>
        <v/>
      </c>
      <c r="X78" s="25">
        <f>IF(E78="","",IFERROR(INDEX(lst_JobName,MATCH(E78&amp;"",lst_Jobs,0)),""))</f>
        <v/>
      </c>
      <c r="Y78" s="28">
        <f>IF(E78="","",COUNTIFS(tbl_Finance[Job Number],E78&amp;"",tbl_Finance[Ex GST],"&lt;&gt;"))</f>
        <v/>
      </c>
      <c r="Z78" s="27">
        <f>IF(E78="","",SUMIFS(tbl_Finance[Ex GST],tbl_Finance[Job Number],E78&amp;""))</f>
        <v/>
      </c>
      <c r="AA78" s="27">
        <f>IF(E78="","",SUMIFS(tbl_Finance[Ex GST],tbl_Finance[Job Number],E78&amp;"",tbl_Finance[Xero Invoice No],"&lt;&gt;"))</f>
        <v/>
      </c>
      <c r="AB78" s="27">
        <f>IF(E78="","",Z78-AA78)</f>
        <v/>
      </c>
      <c r="AC78" s="25">
        <f>IF(E78="","",IFERROR(IF(INDEX(tbl_Onsite[Qwilr Quote],IFERROR(MATCH(E78&amp;"",tbl_Onsite[Job Number],0),MATCH(IFERROR(E78+0,E78),tbl_Onsite[Job Number],0)))="","",INDEX(tbl_Onsite[Qwilr Quote],IFERROR(MATCH(E78&amp;"",tbl_Onsite[Job Number],0),MATCH(IFERROR(E78+0,E78),tbl_Onsite[Job Number],0)))),IFERROR(IF(IF(INDEX(tbl_Production[Current RMS No],IFERROR(MATCH(E78&amp;"",tbl_Production[Job Number],0),MATCH(IFERROR(E78+0,E78),tbl_Production[Job Number],0)))="",INDEX(tbl_Production[Qwilr Quote],IFERROR(MATCH(E78&amp;"",tbl_Production[Job Number],0),MATCH(IFERROR(E78+0,E78),tbl_Production[Job Number],0))),INDEX(tbl_Production[Current RMS No],IFERROR(MATCH(E78&amp;"",tbl_Production[Job Number],0),MATCH(IFERROR(E78+0,E78),tbl_Production[Job Number],0))))="","",IF(INDEX(tbl_Production[Current RMS No],IFERROR(MATCH(E78&amp;"",tbl_Production[Job Number],0),MATCH(IFERROR(E78+0,E78),tbl_Production[Job Number],0)))="",INDEX(tbl_Production[Qwilr Quote],IFERROR(MATCH(E78&amp;"",tbl_Production[Job Number],0),MATCH(IFERROR(E78+0,E78),tbl_Production[Job Number],0))),INDEX(tbl_Production[Current RMS No],IFERROR(MATCH(E78&amp;"",tbl_Production[Job Number],0),MATCH(IFERROR(E78+0,E78),tbl_Production[Job Number],0))))),IFERROR(IF(INDEX(tbl_Consulting[Qwilr Quote],IFERROR(MATCH(E78&amp;"",tbl_Consulting[Job Number],0),MATCH(IFERROR(E78+0,E78),tbl_Consulting[Job Number],0)))="","",INDEX(tbl_Consulting[Qwilr Quote],IFERROR(MATCH(E78&amp;"",tbl_Consulting[Job Number],0),MATCH(IFERROR(E78+0,E78),tbl_Consulting[Job Number],0)))),""))))</f>
        <v/>
      </c>
      <c r="AD78" s="25">
        <f>IF(AC78="","",IF(AND(LEFT(AC78,4)&lt;&gt;"http",IF(H78="Production",set_RMSBase,set_QwilrBase)=""),"",HYPERLINK(IF(LEFT(AC78,4)="http",AC78,IF(H78="Production",set_RMSBase,set_QwilrBase)&amp;AC78),"Open")))</f>
        <v/>
      </c>
      <c r="AE78" s="27">
        <f>IF(E78="","",IFERROR(INDEX(tbl_Production[Total Expense],IFERROR(MATCH(E78&amp;"",tbl_Production[Job Number],0),MATCH(IFERROR(E78+0,E78),tbl_Production[Job Number],0))),IFERROR(INDEX(tbl_Consulting[Total Expense],IFERROR(MATCH(E78&amp;"",tbl_Consulting[Job Number],0),MATCH(IFERROR(E78+0,E78),tbl_Consulting[Job Number],0))),0)))</f>
        <v/>
      </c>
      <c r="AF78" s="27">
        <f>IF(E78="","",Z78-N(AE78))</f>
        <v/>
      </c>
      <c r="AG78" s="29">
        <f>IFERROR(AF78/Z78,"")</f>
        <v/>
      </c>
      <c r="AH78" s="25">
        <f>IF(E78="","",IFERROR(IF(INDEX(tbl_Onsite[Notes],IFERROR(MATCH(E78&amp;"",tbl_Onsite[Job Number],0),MATCH(IFERROR(E78+0,E78),tbl_Onsite[Job Number],0)))="","",INDEX(tbl_Onsite[Notes],IFERROR(MATCH(E78&amp;"",tbl_Onsite[Job Number],0),MATCH(IFERROR(E78+0,E78),tbl_Onsite[Job Number],0)))),IFERROR(IF(INDEX(tbl_Production[Notes],IFERROR(MATCH(E78&amp;"",tbl_Production[Job Number],0),MATCH(IFERROR(E78+0,E78),tbl_Production[Job Number],0)))="","",INDEX(tbl_Production[Notes],IFERROR(MATCH(E78&amp;"",tbl_Production[Job Number],0),MATCH(IFERROR(E78+0,E78),tbl_Production[Job Number],0)))),IFERROR(IF(INDEX(tbl_Consulting[Notes],IFERROR(MATCH(E78&amp;"",tbl_Consulting[Job Number],0),MATCH(IFERROR(E78+0,E78),tbl_Consulting[Job Number],0)))="","",INDEX(tbl_Consulting[Notes],IFERROR(MATCH(E78&amp;"",tbl_Consulting[Job Number],0),MATCH(IFERROR(E78+0,E78),tbl_Consulting[Job Number],0)))),""))))</f>
        <v/>
      </c>
    </row>
    <row r="79" ht="15" customHeight="1">
      <c r="A79" s="22" t="n"/>
      <c r="B79" s="23">
        <f>IF(A79="","",EOMONTH(A79,0))</f>
        <v/>
      </c>
      <c r="C79" s="24" t="n"/>
      <c r="D79" s="24" t="n"/>
      <c r="E79" s="24" t="n"/>
      <c r="F79" s="25">
        <f>IF(E79="","",IF(COUNTIF(lst_Jobs,E79&amp;"")&gt;0,"OK","CHECK"))</f>
        <v/>
      </c>
      <c r="G79" s="24" t="n"/>
      <c r="H79" s="24" t="n"/>
      <c r="I79" s="24" t="n"/>
      <c r="J79" s="24" t="n"/>
      <c r="K79" s="24" t="n"/>
      <c r="L79" s="26" t="n"/>
      <c r="M79" s="27">
        <f>IF(L79="","",IF(K79="GST 10%",ROUND(L79*set_GSTRate,2),0))</f>
        <v/>
      </c>
      <c r="N79" s="27">
        <f>IF(L79="","",L79+M79)</f>
        <v/>
      </c>
      <c r="O79" s="24" t="n"/>
      <c r="P79" s="24" t="n"/>
      <c r="Q79" s="24" t="n"/>
      <c r="R79" s="22" t="n"/>
      <c r="S79" s="22" t="n"/>
      <c r="T79" s="24" t="n"/>
      <c r="U79" s="24" t="n"/>
      <c r="V79" s="25">
        <f>IF(COUNTA(A79,D79,C79,L79)=0,"",IF(A79="","No date - sits outside every month",IF(E79="","No job number",IF(F79="CHECK","Job number is not in the Xero job list",IF(I79="","No cost centre",IF(AND(P79="Y",C79=""),"Marked posted to Xero but has no invoice number",IF(AND(L79&lt;&gt;"",K79=""),"No tax code",IF(AND(L79&lt;&gt;"",O79=""),"No revenue GL code",""))))))))</f>
        <v/>
      </c>
      <c r="W79" s="25">
        <f>IF(E79="","",IF(COUNTIF(tbl_Onsite[Job Number],E79&amp;"")&gt;0,"Onsite",IF(COUNTIF(tbl_Production[Job Number],E79&amp;"")&gt;0,"Production",IF(COUNTIF(tbl_Consulting[Job Number],E79&amp;"")&gt;0,"Consulting","not set up yet"))))</f>
        <v/>
      </c>
      <c r="X79" s="25">
        <f>IF(E79="","",IFERROR(INDEX(lst_JobName,MATCH(E79&amp;"",lst_Jobs,0)),""))</f>
        <v/>
      </c>
      <c r="Y79" s="28">
        <f>IF(E79="","",COUNTIFS(tbl_Finance[Job Number],E79&amp;"",tbl_Finance[Ex GST],"&lt;&gt;"))</f>
        <v/>
      </c>
      <c r="Z79" s="27">
        <f>IF(E79="","",SUMIFS(tbl_Finance[Ex GST],tbl_Finance[Job Number],E79&amp;""))</f>
        <v/>
      </c>
      <c r="AA79" s="27">
        <f>IF(E79="","",SUMIFS(tbl_Finance[Ex GST],tbl_Finance[Job Number],E79&amp;"",tbl_Finance[Xero Invoice No],"&lt;&gt;"))</f>
        <v/>
      </c>
      <c r="AB79" s="27">
        <f>IF(E79="","",Z79-AA79)</f>
        <v/>
      </c>
      <c r="AC79" s="25">
        <f>IF(E79="","",IFERROR(IF(INDEX(tbl_Onsite[Qwilr Quote],IFERROR(MATCH(E79&amp;"",tbl_Onsite[Job Number],0),MATCH(IFERROR(E79+0,E79),tbl_Onsite[Job Number],0)))="","",INDEX(tbl_Onsite[Qwilr Quote],IFERROR(MATCH(E79&amp;"",tbl_Onsite[Job Number],0),MATCH(IFERROR(E79+0,E79),tbl_Onsite[Job Number],0)))),IFERROR(IF(IF(INDEX(tbl_Production[Current RMS No],IFERROR(MATCH(E79&amp;"",tbl_Production[Job Number],0),MATCH(IFERROR(E79+0,E79),tbl_Production[Job Number],0)))="",INDEX(tbl_Production[Qwilr Quote],IFERROR(MATCH(E79&amp;"",tbl_Production[Job Number],0),MATCH(IFERROR(E79+0,E79),tbl_Production[Job Number],0))),INDEX(tbl_Production[Current RMS No],IFERROR(MATCH(E79&amp;"",tbl_Production[Job Number],0),MATCH(IFERROR(E79+0,E79),tbl_Production[Job Number],0))))="","",IF(INDEX(tbl_Production[Current RMS No],IFERROR(MATCH(E79&amp;"",tbl_Production[Job Number],0),MATCH(IFERROR(E79+0,E79),tbl_Production[Job Number],0)))="",INDEX(tbl_Production[Qwilr Quote],IFERROR(MATCH(E79&amp;"",tbl_Production[Job Number],0),MATCH(IFERROR(E79+0,E79),tbl_Production[Job Number],0))),INDEX(tbl_Production[Current RMS No],IFERROR(MATCH(E79&amp;"",tbl_Production[Job Number],0),MATCH(IFERROR(E79+0,E79),tbl_Production[Job Number],0))))),IFERROR(IF(INDEX(tbl_Consulting[Qwilr Quote],IFERROR(MATCH(E79&amp;"",tbl_Consulting[Job Number],0),MATCH(IFERROR(E79+0,E79),tbl_Consulting[Job Number],0)))="","",INDEX(tbl_Consulting[Qwilr Quote],IFERROR(MATCH(E79&amp;"",tbl_Consulting[Job Number],0),MATCH(IFERROR(E79+0,E79),tbl_Consulting[Job Number],0)))),""))))</f>
        <v/>
      </c>
      <c r="AD79" s="25">
        <f>IF(AC79="","",IF(AND(LEFT(AC79,4)&lt;&gt;"http",IF(H79="Production",set_RMSBase,set_QwilrBase)=""),"",HYPERLINK(IF(LEFT(AC79,4)="http",AC79,IF(H79="Production",set_RMSBase,set_QwilrBase)&amp;AC79),"Open")))</f>
        <v/>
      </c>
      <c r="AE79" s="27">
        <f>IF(E79="","",IFERROR(INDEX(tbl_Production[Total Expense],IFERROR(MATCH(E79&amp;"",tbl_Production[Job Number],0),MATCH(IFERROR(E79+0,E79),tbl_Production[Job Number],0))),IFERROR(INDEX(tbl_Consulting[Total Expense],IFERROR(MATCH(E79&amp;"",tbl_Consulting[Job Number],0),MATCH(IFERROR(E79+0,E79),tbl_Consulting[Job Number],0))),0)))</f>
        <v/>
      </c>
      <c r="AF79" s="27">
        <f>IF(E79="","",Z79-N(AE79))</f>
        <v/>
      </c>
      <c r="AG79" s="29">
        <f>IFERROR(AF79/Z79,"")</f>
        <v/>
      </c>
      <c r="AH79" s="25">
        <f>IF(E79="","",IFERROR(IF(INDEX(tbl_Onsite[Notes],IFERROR(MATCH(E79&amp;"",tbl_Onsite[Job Number],0),MATCH(IFERROR(E79+0,E79),tbl_Onsite[Job Number],0)))="","",INDEX(tbl_Onsite[Notes],IFERROR(MATCH(E79&amp;"",tbl_Onsite[Job Number],0),MATCH(IFERROR(E79+0,E79),tbl_Onsite[Job Number],0)))),IFERROR(IF(INDEX(tbl_Production[Notes],IFERROR(MATCH(E79&amp;"",tbl_Production[Job Number],0),MATCH(IFERROR(E79+0,E79),tbl_Production[Job Number],0)))="","",INDEX(tbl_Production[Notes],IFERROR(MATCH(E79&amp;"",tbl_Production[Job Number],0),MATCH(IFERROR(E79+0,E79),tbl_Production[Job Number],0)))),IFERROR(IF(INDEX(tbl_Consulting[Notes],IFERROR(MATCH(E79&amp;"",tbl_Consulting[Job Number],0),MATCH(IFERROR(E79+0,E79),tbl_Consulting[Job Number],0)))="","",INDEX(tbl_Consulting[Notes],IFERROR(MATCH(E79&amp;"",tbl_Consulting[Job Number],0),MATCH(IFERROR(E79+0,E79),tbl_Consulting[Job Number],0)))),""))))</f>
        <v/>
      </c>
    </row>
    <row r="80" ht="15" customHeight="1">
      <c r="A80" s="22" t="n"/>
      <c r="B80" s="23">
        <f>IF(A80="","",EOMONTH(A80,0))</f>
        <v/>
      </c>
      <c r="C80" s="24" t="n"/>
      <c r="D80" s="24" t="n"/>
      <c r="E80" s="24" t="n"/>
      <c r="F80" s="25">
        <f>IF(E80="","",IF(COUNTIF(lst_Jobs,E80&amp;"")&gt;0,"OK","CHECK"))</f>
        <v/>
      </c>
      <c r="G80" s="24" t="n"/>
      <c r="H80" s="24" t="n"/>
      <c r="I80" s="24" t="n"/>
      <c r="J80" s="24" t="n"/>
      <c r="K80" s="24" t="n"/>
      <c r="L80" s="26" t="n"/>
      <c r="M80" s="27">
        <f>IF(L80="","",IF(K80="GST 10%",ROUND(L80*set_GSTRate,2),0))</f>
        <v/>
      </c>
      <c r="N80" s="27">
        <f>IF(L80="","",L80+M80)</f>
        <v/>
      </c>
      <c r="O80" s="24" t="n"/>
      <c r="P80" s="24" t="n"/>
      <c r="Q80" s="24" t="n"/>
      <c r="R80" s="22" t="n"/>
      <c r="S80" s="22" t="n"/>
      <c r="T80" s="24" t="n"/>
      <c r="U80" s="24" t="n"/>
      <c r="V80" s="25">
        <f>IF(COUNTA(A80,D80,C80,L80)=0,"",IF(A80="","No date - sits outside every month",IF(E80="","No job number",IF(F80="CHECK","Job number is not in the Xero job list",IF(I80="","No cost centre",IF(AND(P80="Y",C80=""),"Marked posted to Xero but has no invoice number",IF(AND(L80&lt;&gt;"",K80=""),"No tax code",IF(AND(L80&lt;&gt;"",O80=""),"No revenue GL code",""))))))))</f>
        <v/>
      </c>
      <c r="W80" s="25">
        <f>IF(E80="","",IF(COUNTIF(tbl_Onsite[Job Number],E80&amp;"")&gt;0,"Onsite",IF(COUNTIF(tbl_Production[Job Number],E80&amp;"")&gt;0,"Production",IF(COUNTIF(tbl_Consulting[Job Number],E80&amp;"")&gt;0,"Consulting","not set up yet"))))</f>
        <v/>
      </c>
      <c r="X80" s="25">
        <f>IF(E80="","",IFERROR(INDEX(lst_JobName,MATCH(E80&amp;"",lst_Jobs,0)),""))</f>
        <v/>
      </c>
      <c r="Y80" s="28">
        <f>IF(E80="","",COUNTIFS(tbl_Finance[Job Number],E80&amp;"",tbl_Finance[Ex GST],"&lt;&gt;"))</f>
        <v/>
      </c>
      <c r="Z80" s="27">
        <f>IF(E80="","",SUMIFS(tbl_Finance[Ex GST],tbl_Finance[Job Number],E80&amp;""))</f>
        <v/>
      </c>
      <c r="AA80" s="27">
        <f>IF(E80="","",SUMIFS(tbl_Finance[Ex GST],tbl_Finance[Job Number],E80&amp;"",tbl_Finance[Xero Invoice No],"&lt;&gt;"))</f>
        <v/>
      </c>
      <c r="AB80" s="27">
        <f>IF(E80="","",Z80-AA80)</f>
        <v/>
      </c>
      <c r="AC80" s="25">
        <f>IF(E80="","",IFERROR(IF(INDEX(tbl_Onsite[Qwilr Quote],IFERROR(MATCH(E80&amp;"",tbl_Onsite[Job Number],0),MATCH(IFERROR(E80+0,E80),tbl_Onsite[Job Number],0)))="","",INDEX(tbl_Onsite[Qwilr Quote],IFERROR(MATCH(E80&amp;"",tbl_Onsite[Job Number],0),MATCH(IFERROR(E80+0,E80),tbl_Onsite[Job Number],0)))),IFERROR(IF(IF(INDEX(tbl_Production[Current RMS No],IFERROR(MATCH(E80&amp;"",tbl_Production[Job Number],0),MATCH(IFERROR(E80+0,E80),tbl_Production[Job Number],0)))="",INDEX(tbl_Production[Qwilr Quote],IFERROR(MATCH(E80&amp;"",tbl_Production[Job Number],0),MATCH(IFERROR(E80+0,E80),tbl_Production[Job Number],0))),INDEX(tbl_Production[Current RMS No],IFERROR(MATCH(E80&amp;"",tbl_Production[Job Number],0),MATCH(IFERROR(E80+0,E80),tbl_Production[Job Number],0))))="","",IF(INDEX(tbl_Production[Current RMS No],IFERROR(MATCH(E80&amp;"",tbl_Production[Job Number],0),MATCH(IFERROR(E80+0,E80),tbl_Production[Job Number],0)))="",INDEX(tbl_Production[Qwilr Quote],IFERROR(MATCH(E80&amp;"",tbl_Production[Job Number],0),MATCH(IFERROR(E80+0,E80),tbl_Production[Job Number],0))),INDEX(tbl_Production[Current RMS No],IFERROR(MATCH(E80&amp;"",tbl_Production[Job Number],0),MATCH(IFERROR(E80+0,E80),tbl_Production[Job Number],0))))),IFERROR(IF(INDEX(tbl_Consulting[Qwilr Quote],IFERROR(MATCH(E80&amp;"",tbl_Consulting[Job Number],0),MATCH(IFERROR(E80+0,E80),tbl_Consulting[Job Number],0)))="","",INDEX(tbl_Consulting[Qwilr Quote],IFERROR(MATCH(E80&amp;"",tbl_Consulting[Job Number],0),MATCH(IFERROR(E80+0,E80),tbl_Consulting[Job Number],0)))),""))))</f>
        <v/>
      </c>
      <c r="AD80" s="25">
        <f>IF(AC80="","",IF(AND(LEFT(AC80,4)&lt;&gt;"http",IF(H80="Production",set_RMSBase,set_QwilrBase)=""),"",HYPERLINK(IF(LEFT(AC80,4)="http",AC80,IF(H80="Production",set_RMSBase,set_QwilrBase)&amp;AC80),"Open")))</f>
        <v/>
      </c>
      <c r="AE80" s="27">
        <f>IF(E80="","",IFERROR(INDEX(tbl_Production[Total Expense],IFERROR(MATCH(E80&amp;"",tbl_Production[Job Number],0),MATCH(IFERROR(E80+0,E80),tbl_Production[Job Number],0))),IFERROR(INDEX(tbl_Consulting[Total Expense],IFERROR(MATCH(E80&amp;"",tbl_Consulting[Job Number],0),MATCH(IFERROR(E80+0,E80),tbl_Consulting[Job Number],0))),0)))</f>
        <v/>
      </c>
      <c r="AF80" s="27">
        <f>IF(E80="","",Z80-N(AE80))</f>
        <v/>
      </c>
      <c r="AG80" s="29">
        <f>IFERROR(AF80/Z80,"")</f>
        <v/>
      </c>
      <c r="AH80" s="25">
        <f>IF(E80="","",IFERROR(IF(INDEX(tbl_Onsite[Notes],IFERROR(MATCH(E80&amp;"",tbl_Onsite[Job Number],0),MATCH(IFERROR(E80+0,E80),tbl_Onsite[Job Number],0)))="","",INDEX(tbl_Onsite[Notes],IFERROR(MATCH(E80&amp;"",tbl_Onsite[Job Number],0),MATCH(IFERROR(E80+0,E80),tbl_Onsite[Job Number],0)))),IFERROR(IF(INDEX(tbl_Production[Notes],IFERROR(MATCH(E80&amp;"",tbl_Production[Job Number],0),MATCH(IFERROR(E80+0,E80),tbl_Production[Job Number],0)))="","",INDEX(tbl_Production[Notes],IFERROR(MATCH(E80&amp;"",tbl_Production[Job Number],0),MATCH(IFERROR(E80+0,E80),tbl_Production[Job Number],0)))),IFERROR(IF(INDEX(tbl_Consulting[Notes],IFERROR(MATCH(E80&amp;"",tbl_Consulting[Job Number],0),MATCH(IFERROR(E80+0,E80),tbl_Consulting[Job Number],0)))="","",INDEX(tbl_Consulting[Notes],IFERROR(MATCH(E80&amp;"",tbl_Consulting[Job Number],0),MATCH(IFERROR(E80+0,E80),tbl_Consulting[Job Number],0)))),""))))</f>
        <v/>
      </c>
    </row>
    <row r="81" ht="15" customHeight="1">
      <c r="A81" s="22" t="n"/>
      <c r="B81" s="23">
        <f>IF(A81="","",EOMONTH(A81,0))</f>
        <v/>
      </c>
      <c r="C81" s="24" t="n"/>
      <c r="D81" s="24" t="n"/>
      <c r="E81" s="24" t="n"/>
      <c r="F81" s="25">
        <f>IF(E81="","",IF(COUNTIF(lst_Jobs,E81&amp;"")&gt;0,"OK","CHECK"))</f>
        <v/>
      </c>
      <c r="G81" s="24" t="n"/>
      <c r="H81" s="24" t="n"/>
      <c r="I81" s="24" t="n"/>
      <c r="J81" s="24" t="n"/>
      <c r="K81" s="24" t="n"/>
      <c r="L81" s="26" t="n"/>
      <c r="M81" s="27">
        <f>IF(L81="","",IF(K81="GST 10%",ROUND(L81*set_GSTRate,2),0))</f>
        <v/>
      </c>
      <c r="N81" s="27">
        <f>IF(L81="","",L81+M81)</f>
        <v/>
      </c>
      <c r="O81" s="24" t="n"/>
      <c r="P81" s="24" t="n"/>
      <c r="Q81" s="24" t="n"/>
      <c r="R81" s="22" t="n"/>
      <c r="S81" s="22" t="n"/>
      <c r="T81" s="24" t="n"/>
      <c r="U81" s="24" t="n"/>
      <c r="V81" s="25">
        <f>IF(COUNTA(A81,D81,C81,L81)=0,"",IF(A81="","No date - sits outside every month",IF(E81="","No job number",IF(F81="CHECK","Job number is not in the Xero job list",IF(I81="","No cost centre",IF(AND(P81="Y",C81=""),"Marked posted to Xero but has no invoice number",IF(AND(L81&lt;&gt;"",K81=""),"No tax code",IF(AND(L81&lt;&gt;"",O81=""),"No revenue GL code",""))))))))</f>
        <v/>
      </c>
      <c r="W81" s="25">
        <f>IF(E81="","",IF(COUNTIF(tbl_Onsite[Job Number],E81&amp;"")&gt;0,"Onsite",IF(COUNTIF(tbl_Production[Job Number],E81&amp;"")&gt;0,"Production",IF(COUNTIF(tbl_Consulting[Job Number],E81&amp;"")&gt;0,"Consulting","not set up yet"))))</f>
        <v/>
      </c>
      <c r="X81" s="25">
        <f>IF(E81="","",IFERROR(INDEX(lst_JobName,MATCH(E81&amp;"",lst_Jobs,0)),""))</f>
        <v/>
      </c>
      <c r="Y81" s="28">
        <f>IF(E81="","",COUNTIFS(tbl_Finance[Job Number],E81&amp;"",tbl_Finance[Ex GST],"&lt;&gt;"))</f>
        <v/>
      </c>
      <c r="Z81" s="27">
        <f>IF(E81="","",SUMIFS(tbl_Finance[Ex GST],tbl_Finance[Job Number],E81&amp;""))</f>
        <v/>
      </c>
      <c r="AA81" s="27">
        <f>IF(E81="","",SUMIFS(tbl_Finance[Ex GST],tbl_Finance[Job Number],E81&amp;"",tbl_Finance[Xero Invoice No],"&lt;&gt;"))</f>
        <v/>
      </c>
      <c r="AB81" s="27">
        <f>IF(E81="","",Z81-AA81)</f>
        <v/>
      </c>
      <c r="AC81" s="25">
        <f>IF(E81="","",IFERROR(IF(INDEX(tbl_Onsite[Qwilr Quote],IFERROR(MATCH(E81&amp;"",tbl_Onsite[Job Number],0),MATCH(IFERROR(E81+0,E81),tbl_Onsite[Job Number],0)))="","",INDEX(tbl_Onsite[Qwilr Quote],IFERROR(MATCH(E81&amp;"",tbl_Onsite[Job Number],0),MATCH(IFERROR(E81+0,E81),tbl_Onsite[Job Number],0)))),IFERROR(IF(IF(INDEX(tbl_Production[Current RMS No],IFERROR(MATCH(E81&amp;"",tbl_Production[Job Number],0),MATCH(IFERROR(E81+0,E81),tbl_Production[Job Number],0)))="",INDEX(tbl_Production[Qwilr Quote],IFERROR(MATCH(E81&amp;"",tbl_Production[Job Number],0),MATCH(IFERROR(E81+0,E81),tbl_Production[Job Number],0))),INDEX(tbl_Production[Current RMS No],IFERROR(MATCH(E81&amp;"",tbl_Production[Job Number],0),MATCH(IFERROR(E81+0,E81),tbl_Production[Job Number],0))))="","",IF(INDEX(tbl_Production[Current RMS No],IFERROR(MATCH(E81&amp;"",tbl_Production[Job Number],0),MATCH(IFERROR(E81+0,E81),tbl_Production[Job Number],0)))="",INDEX(tbl_Production[Qwilr Quote],IFERROR(MATCH(E81&amp;"",tbl_Production[Job Number],0),MATCH(IFERROR(E81+0,E81),tbl_Production[Job Number],0))),INDEX(tbl_Production[Current RMS No],IFERROR(MATCH(E81&amp;"",tbl_Production[Job Number],0),MATCH(IFERROR(E81+0,E81),tbl_Production[Job Number],0))))),IFERROR(IF(INDEX(tbl_Consulting[Qwilr Quote],IFERROR(MATCH(E81&amp;"",tbl_Consulting[Job Number],0),MATCH(IFERROR(E81+0,E81),tbl_Consulting[Job Number],0)))="","",INDEX(tbl_Consulting[Qwilr Quote],IFERROR(MATCH(E81&amp;"",tbl_Consulting[Job Number],0),MATCH(IFERROR(E81+0,E81),tbl_Consulting[Job Number],0)))),""))))</f>
        <v/>
      </c>
      <c r="AD81" s="25">
        <f>IF(AC81="","",IF(AND(LEFT(AC81,4)&lt;&gt;"http",IF(H81="Production",set_RMSBase,set_QwilrBase)=""),"",HYPERLINK(IF(LEFT(AC81,4)="http",AC81,IF(H81="Production",set_RMSBase,set_QwilrBase)&amp;AC81),"Open")))</f>
        <v/>
      </c>
      <c r="AE81" s="27">
        <f>IF(E81="","",IFERROR(INDEX(tbl_Production[Total Expense],IFERROR(MATCH(E81&amp;"",tbl_Production[Job Number],0),MATCH(IFERROR(E81+0,E81),tbl_Production[Job Number],0))),IFERROR(INDEX(tbl_Consulting[Total Expense],IFERROR(MATCH(E81&amp;"",tbl_Consulting[Job Number],0),MATCH(IFERROR(E81+0,E81),tbl_Consulting[Job Number],0))),0)))</f>
        <v/>
      </c>
      <c r="AF81" s="27">
        <f>IF(E81="","",Z81-N(AE81))</f>
        <v/>
      </c>
      <c r="AG81" s="29">
        <f>IFERROR(AF81/Z81,"")</f>
        <v/>
      </c>
      <c r="AH81" s="25">
        <f>IF(E81="","",IFERROR(IF(INDEX(tbl_Onsite[Notes],IFERROR(MATCH(E81&amp;"",tbl_Onsite[Job Number],0),MATCH(IFERROR(E81+0,E81),tbl_Onsite[Job Number],0)))="","",INDEX(tbl_Onsite[Notes],IFERROR(MATCH(E81&amp;"",tbl_Onsite[Job Number],0),MATCH(IFERROR(E81+0,E81),tbl_Onsite[Job Number],0)))),IFERROR(IF(INDEX(tbl_Production[Notes],IFERROR(MATCH(E81&amp;"",tbl_Production[Job Number],0),MATCH(IFERROR(E81+0,E81),tbl_Production[Job Number],0)))="","",INDEX(tbl_Production[Notes],IFERROR(MATCH(E81&amp;"",tbl_Production[Job Number],0),MATCH(IFERROR(E81+0,E81),tbl_Production[Job Number],0)))),IFERROR(IF(INDEX(tbl_Consulting[Notes],IFERROR(MATCH(E81&amp;"",tbl_Consulting[Job Number],0),MATCH(IFERROR(E81+0,E81),tbl_Consulting[Job Number],0)))="","",INDEX(tbl_Consulting[Notes],IFERROR(MATCH(E81&amp;"",tbl_Consulting[Job Number],0),MATCH(IFERROR(E81+0,E81),tbl_Consulting[Job Number],0)))),""))))</f>
        <v/>
      </c>
    </row>
    <row r="82" ht="15" customHeight="1">
      <c r="A82" s="22" t="n"/>
      <c r="B82" s="23">
        <f>IF(A82="","",EOMONTH(A82,0))</f>
        <v/>
      </c>
      <c r="C82" s="24" t="n"/>
      <c r="D82" s="24" t="n"/>
      <c r="E82" s="24" t="n"/>
      <c r="F82" s="25">
        <f>IF(E82="","",IF(COUNTIF(lst_Jobs,E82&amp;"")&gt;0,"OK","CHECK"))</f>
        <v/>
      </c>
      <c r="G82" s="24" t="n"/>
      <c r="H82" s="24" t="n"/>
      <c r="I82" s="24" t="n"/>
      <c r="J82" s="24" t="n"/>
      <c r="K82" s="24" t="n"/>
      <c r="L82" s="26" t="n"/>
      <c r="M82" s="27">
        <f>IF(L82="","",IF(K82="GST 10%",ROUND(L82*set_GSTRate,2),0))</f>
        <v/>
      </c>
      <c r="N82" s="27">
        <f>IF(L82="","",L82+M82)</f>
        <v/>
      </c>
      <c r="O82" s="24" t="n"/>
      <c r="P82" s="24" t="n"/>
      <c r="Q82" s="24" t="n"/>
      <c r="R82" s="22" t="n"/>
      <c r="S82" s="22" t="n"/>
      <c r="T82" s="24" t="n"/>
      <c r="U82" s="24" t="n"/>
      <c r="V82" s="25">
        <f>IF(COUNTA(A82,D82,C82,L82)=0,"",IF(A82="","No date - sits outside every month",IF(E82="","No job number",IF(F82="CHECK","Job number is not in the Xero job list",IF(I82="","No cost centre",IF(AND(P82="Y",C82=""),"Marked posted to Xero but has no invoice number",IF(AND(L82&lt;&gt;"",K82=""),"No tax code",IF(AND(L82&lt;&gt;"",O82=""),"No revenue GL code",""))))))))</f>
        <v/>
      </c>
      <c r="W82" s="25">
        <f>IF(E82="","",IF(COUNTIF(tbl_Onsite[Job Number],E82&amp;"")&gt;0,"Onsite",IF(COUNTIF(tbl_Production[Job Number],E82&amp;"")&gt;0,"Production",IF(COUNTIF(tbl_Consulting[Job Number],E82&amp;"")&gt;0,"Consulting","not set up yet"))))</f>
        <v/>
      </c>
      <c r="X82" s="25">
        <f>IF(E82="","",IFERROR(INDEX(lst_JobName,MATCH(E82&amp;"",lst_Jobs,0)),""))</f>
        <v/>
      </c>
      <c r="Y82" s="28">
        <f>IF(E82="","",COUNTIFS(tbl_Finance[Job Number],E82&amp;"",tbl_Finance[Ex GST],"&lt;&gt;"))</f>
        <v/>
      </c>
      <c r="Z82" s="27">
        <f>IF(E82="","",SUMIFS(tbl_Finance[Ex GST],tbl_Finance[Job Number],E82&amp;""))</f>
        <v/>
      </c>
      <c r="AA82" s="27">
        <f>IF(E82="","",SUMIFS(tbl_Finance[Ex GST],tbl_Finance[Job Number],E82&amp;"",tbl_Finance[Xero Invoice No],"&lt;&gt;"))</f>
        <v/>
      </c>
      <c r="AB82" s="27">
        <f>IF(E82="","",Z82-AA82)</f>
        <v/>
      </c>
      <c r="AC82" s="25">
        <f>IF(E82="","",IFERROR(IF(INDEX(tbl_Onsite[Qwilr Quote],IFERROR(MATCH(E82&amp;"",tbl_Onsite[Job Number],0),MATCH(IFERROR(E82+0,E82),tbl_Onsite[Job Number],0)))="","",INDEX(tbl_Onsite[Qwilr Quote],IFERROR(MATCH(E82&amp;"",tbl_Onsite[Job Number],0),MATCH(IFERROR(E82+0,E82),tbl_Onsite[Job Number],0)))),IFERROR(IF(IF(INDEX(tbl_Production[Current RMS No],IFERROR(MATCH(E82&amp;"",tbl_Production[Job Number],0),MATCH(IFERROR(E82+0,E82),tbl_Production[Job Number],0)))="",INDEX(tbl_Production[Qwilr Quote],IFERROR(MATCH(E82&amp;"",tbl_Production[Job Number],0),MATCH(IFERROR(E82+0,E82),tbl_Production[Job Number],0))),INDEX(tbl_Production[Current RMS No],IFERROR(MATCH(E82&amp;"",tbl_Production[Job Number],0),MATCH(IFERROR(E82+0,E82),tbl_Production[Job Number],0))))="","",IF(INDEX(tbl_Production[Current RMS No],IFERROR(MATCH(E82&amp;"",tbl_Production[Job Number],0),MATCH(IFERROR(E82+0,E82),tbl_Production[Job Number],0)))="",INDEX(tbl_Production[Qwilr Quote],IFERROR(MATCH(E82&amp;"",tbl_Production[Job Number],0),MATCH(IFERROR(E82+0,E82),tbl_Production[Job Number],0))),INDEX(tbl_Production[Current RMS No],IFERROR(MATCH(E82&amp;"",tbl_Production[Job Number],0),MATCH(IFERROR(E82+0,E82),tbl_Production[Job Number],0))))),IFERROR(IF(INDEX(tbl_Consulting[Qwilr Quote],IFERROR(MATCH(E82&amp;"",tbl_Consulting[Job Number],0),MATCH(IFERROR(E82+0,E82),tbl_Consulting[Job Number],0)))="","",INDEX(tbl_Consulting[Qwilr Quote],IFERROR(MATCH(E82&amp;"",tbl_Consulting[Job Number],0),MATCH(IFERROR(E82+0,E82),tbl_Consulting[Job Number],0)))),""))))</f>
        <v/>
      </c>
      <c r="AD82" s="25">
        <f>IF(AC82="","",IF(AND(LEFT(AC82,4)&lt;&gt;"http",IF(H82="Production",set_RMSBase,set_QwilrBase)=""),"",HYPERLINK(IF(LEFT(AC82,4)="http",AC82,IF(H82="Production",set_RMSBase,set_QwilrBase)&amp;AC82),"Open")))</f>
        <v/>
      </c>
      <c r="AE82" s="27">
        <f>IF(E82="","",IFERROR(INDEX(tbl_Production[Total Expense],IFERROR(MATCH(E82&amp;"",tbl_Production[Job Number],0),MATCH(IFERROR(E82+0,E82),tbl_Production[Job Number],0))),IFERROR(INDEX(tbl_Consulting[Total Expense],IFERROR(MATCH(E82&amp;"",tbl_Consulting[Job Number],0),MATCH(IFERROR(E82+0,E82),tbl_Consulting[Job Number],0))),0)))</f>
        <v/>
      </c>
      <c r="AF82" s="27">
        <f>IF(E82="","",Z82-N(AE82))</f>
        <v/>
      </c>
      <c r="AG82" s="29">
        <f>IFERROR(AF82/Z82,"")</f>
        <v/>
      </c>
      <c r="AH82" s="25">
        <f>IF(E82="","",IFERROR(IF(INDEX(tbl_Onsite[Notes],IFERROR(MATCH(E82&amp;"",tbl_Onsite[Job Number],0),MATCH(IFERROR(E82+0,E82),tbl_Onsite[Job Number],0)))="","",INDEX(tbl_Onsite[Notes],IFERROR(MATCH(E82&amp;"",tbl_Onsite[Job Number],0),MATCH(IFERROR(E82+0,E82),tbl_Onsite[Job Number],0)))),IFERROR(IF(INDEX(tbl_Production[Notes],IFERROR(MATCH(E82&amp;"",tbl_Production[Job Number],0),MATCH(IFERROR(E82+0,E82),tbl_Production[Job Number],0)))="","",INDEX(tbl_Production[Notes],IFERROR(MATCH(E82&amp;"",tbl_Production[Job Number],0),MATCH(IFERROR(E82+0,E82),tbl_Production[Job Number],0)))),IFERROR(IF(INDEX(tbl_Consulting[Notes],IFERROR(MATCH(E82&amp;"",tbl_Consulting[Job Number],0),MATCH(IFERROR(E82+0,E82),tbl_Consulting[Job Number],0)))="","",INDEX(tbl_Consulting[Notes],IFERROR(MATCH(E82&amp;"",tbl_Consulting[Job Number],0),MATCH(IFERROR(E82+0,E82),tbl_Consulting[Job Number],0)))),""))))</f>
        <v/>
      </c>
    </row>
    <row r="83" ht="15" customHeight="1">
      <c r="A83" s="22" t="n"/>
      <c r="B83" s="23">
        <f>IF(A83="","",EOMONTH(A83,0))</f>
        <v/>
      </c>
      <c r="C83" s="24" t="n"/>
      <c r="D83" s="24" t="n"/>
      <c r="E83" s="24" t="n"/>
      <c r="F83" s="25">
        <f>IF(E83="","",IF(COUNTIF(lst_Jobs,E83&amp;"")&gt;0,"OK","CHECK"))</f>
        <v/>
      </c>
      <c r="G83" s="24" t="n"/>
      <c r="H83" s="24" t="n"/>
      <c r="I83" s="24" t="n"/>
      <c r="J83" s="24" t="n"/>
      <c r="K83" s="24" t="n"/>
      <c r="L83" s="26" t="n"/>
      <c r="M83" s="27">
        <f>IF(L83="","",IF(K83="GST 10%",ROUND(L83*set_GSTRate,2),0))</f>
        <v/>
      </c>
      <c r="N83" s="27">
        <f>IF(L83="","",L83+M83)</f>
        <v/>
      </c>
      <c r="O83" s="24" t="n"/>
      <c r="P83" s="24" t="n"/>
      <c r="Q83" s="24" t="n"/>
      <c r="R83" s="22" t="n"/>
      <c r="S83" s="22" t="n"/>
      <c r="T83" s="24" t="n"/>
      <c r="U83" s="24" t="n"/>
      <c r="V83" s="25">
        <f>IF(COUNTA(A83,D83,C83,L83)=0,"",IF(A83="","No date - sits outside every month",IF(E83="","No job number",IF(F83="CHECK","Job number is not in the Xero job list",IF(I83="","No cost centre",IF(AND(P83="Y",C83=""),"Marked posted to Xero but has no invoice number",IF(AND(L83&lt;&gt;"",K83=""),"No tax code",IF(AND(L83&lt;&gt;"",O83=""),"No revenue GL code",""))))))))</f>
        <v/>
      </c>
      <c r="W83" s="25">
        <f>IF(E83="","",IF(COUNTIF(tbl_Onsite[Job Number],E83&amp;"")&gt;0,"Onsite",IF(COUNTIF(tbl_Production[Job Number],E83&amp;"")&gt;0,"Production",IF(COUNTIF(tbl_Consulting[Job Number],E83&amp;"")&gt;0,"Consulting","not set up yet"))))</f>
        <v/>
      </c>
      <c r="X83" s="25">
        <f>IF(E83="","",IFERROR(INDEX(lst_JobName,MATCH(E83&amp;"",lst_Jobs,0)),""))</f>
        <v/>
      </c>
      <c r="Y83" s="28">
        <f>IF(E83="","",COUNTIFS(tbl_Finance[Job Number],E83&amp;"",tbl_Finance[Ex GST],"&lt;&gt;"))</f>
        <v/>
      </c>
      <c r="Z83" s="27">
        <f>IF(E83="","",SUMIFS(tbl_Finance[Ex GST],tbl_Finance[Job Number],E83&amp;""))</f>
        <v/>
      </c>
      <c r="AA83" s="27">
        <f>IF(E83="","",SUMIFS(tbl_Finance[Ex GST],tbl_Finance[Job Number],E83&amp;"",tbl_Finance[Xero Invoice No],"&lt;&gt;"))</f>
        <v/>
      </c>
      <c r="AB83" s="27">
        <f>IF(E83="","",Z83-AA83)</f>
        <v/>
      </c>
      <c r="AC83" s="25">
        <f>IF(E83="","",IFERROR(IF(INDEX(tbl_Onsite[Qwilr Quote],IFERROR(MATCH(E83&amp;"",tbl_Onsite[Job Number],0),MATCH(IFERROR(E83+0,E83),tbl_Onsite[Job Number],0)))="","",INDEX(tbl_Onsite[Qwilr Quote],IFERROR(MATCH(E83&amp;"",tbl_Onsite[Job Number],0),MATCH(IFERROR(E83+0,E83),tbl_Onsite[Job Number],0)))),IFERROR(IF(IF(INDEX(tbl_Production[Current RMS No],IFERROR(MATCH(E83&amp;"",tbl_Production[Job Number],0),MATCH(IFERROR(E83+0,E83),tbl_Production[Job Number],0)))="",INDEX(tbl_Production[Qwilr Quote],IFERROR(MATCH(E83&amp;"",tbl_Production[Job Number],0),MATCH(IFERROR(E83+0,E83),tbl_Production[Job Number],0))),INDEX(tbl_Production[Current RMS No],IFERROR(MATCH(E83&amp;"",tbl_Production[Job Number],0),MATCH(IFERROR(E83+0,E83),tbl_Production[Job Number],0))))="","",IF(INDEX(tbl_Production[Current RMS No],IFERROR(MATCH(E83&amp;"",tbl_Production[Job Number],0),MATCH(IFERROR(E83+0,E83),tbl_Production[Job Number],0)))="",INDEX(tbl_Production[Qwilr Quote],IFERROR(MATCH(E83&amp;"",tbl_Production[Job Number],0),MATCH(IFERROR(E83+0,E83),tbl_Production[Job Number],0))),INDEX(tbl_Production[Current RMS No],IFERROR(MATCH(E83&amp;"",tbl_Production[Job Number],0),MATCH(IFERROR(E83+0,E83),tbl_Production[Job Number],0))))),IFERROR(IF(INDEX(tbl_Consulting[Qwilr Quote],IFERROR(MATCH(E83&amp;"",tbl_Consulting[Job Number],0),MATCH(IFERROR(E83+0,E83),tbl_Consulting[Job Number],0)))="","",INDEX(tbl_Consulting[Qwilr Quote],IFERROR(MATCH(E83&amp;"",tbl_Consulting[Job Number],0),MATCH(IFERROR(E83+0,E83),tbl_Consulting[Job Number],0)))),""))))</f>
        <v/>
      </c>
      <c r="AD83" s="25">
        <f>IF(AC83="","",IF(AND(LEFT(AC83,4)&lt;&gt;"http",IF(H83="Production",set_RMSBase,set_QwilrBase)=""),"",HYPERLINK(IF(LEFT(AC83,4)="http",AC83,IF(H83="Production",set_RMSBase,set_QwilrBase)&amp;AC83),"Open")))</f>
        <v/>
      </c>
      <c r="AE83" s="27">
        <f>IF(E83="","",IFERROR(INDEX(tbl_Production[Total Expense],IFERROR(MATCH(E83&amp;"",tbl_Production[Job Number],0),MATCH(IFERROR(E83+0,E83),tbl_Production[Job Number],0))),IFERROR(INDEX(tbl_Consulting[Total Expense],IFERROR(MATCH(E83&amp;"",tbl_Consulting[Job Number],0),MATCH(IFERROR(E83+0,E83),tbl_Consulting[Job Number],0))),0)))</f>
        <v/>
      </c>
      <c r="AF83" s="27">
        <f>IF(E83="","",Z83-N(AE83))</f>
        <v/>
      </c>
      <c r="AG83" s="29">
        <f>IFERROR(AF83/Z83,"")</f>
        <v/>
      </c>
      <c r="AH83" s="25">
        <f>IF(E83="","",IFERROR(IF(INDEX(tbl_Onsite[Notes],IFERROR(MATCH(E83&amp;"",tbl_Onsite[Job Number],0),MATCH(IFERROR(E83+0,E83),tbl_Onsite[Job Number],0)))="","",INDEX(tbl_Onsite[Notes],IFERROR(MATCH(E83&amp;"",tbl_Onsite[Job Number],0),MATCH(IFERROR(E83+0,E83),tbl_Onsite[Job Number],0)))),IFERROR(IF(INDEX(tbl_Production[Notes],IFERROR(MATCH(E83&amp;"",tbl_Production[Job Number],0),MATCH(IFERROR(E83+0,E83),tbl_Production[Job Number],0)))="","",INDEX(tbl_Production[Notes],IFERROR(MATCH(E83&amp;"",tbl_Production[Job Number],0),MATCH(IFERROR(E83+0,E83),tbl_Production[Job Number],0)))),IFERROR(IF(INDEX(tbl_Consulting[Notes],IFERROR(MATCH(E83&amp;"",tbl_Consulting[Job Number],0),MATCH(IFERROR(E83+0,E83),tbl_Consulting[Job Number],0)))="","",INDEX(tbl_Consulting[Notes],IFERROR(MATCH(E83&amp;"",tbl_Consulting[Job Number],0),MATCH(IFERROR(E83+0,E83),tbl_Consulting[Job Number],0)))),""))))</f>
        <v/>
      </c>
    </row>
    <row r="84" ht="15" customHeight="1">
      <c r="A84" s="22" t="n"/>
      <c r="B84" s="23">
        <f>IF(A84="","",EOMONTH(A84,0))</f>
        <v/>
      </c>
      <c r="C84" s="24" t="n"/>
      <c r="D84" s="24" t="n"/>
      <c r="E84" s="24" t="n"/>
      <c r="F84" s="25">
        <f>IF(E84="","",IF(COUNTIF(lst_Jobs,E84&amp;"")&gt;0,"OK","CHECK"))</f>
        <v/>
      </c>
      <c r="G84" s="24" t="n"/>
      <c r="H84" s="24" t="n"/>
      <c r="I84" s="24" t="n"/>
      <c r="J84" s="24" t="n"/>
      <c r="K84" s="24" t="n"/>
      <c r="L84" s="26" t="n"/>
      <c r="M84" s="27">
        <f>IF(L84="","",IF(K84="GST 10%",ROUND(L84*set_GSTRate,2),0))</f>
        <v/>
      </c>
      <c r="N84" s="27">
        <f>IF(L84="","",L84+M84)</f>
        <v/>
      </c>
      <c r="O84" s="24" t="n"/>
      <c r="P84" s="24" t="n"/>
      <c r="Q84" s="24" t="n"/>
      <c r="R84" s="22" t="n"/>
      <c r="S84" s="22" t="n"/>
      <c r="T84" s="24" t="n"/>
      <c r="U84" s="24" t="n"/>
      <c r="V84" s="25">
        <f>IF(COUNTA(A84,D84,C84,L84)=0,"",IF(A84="","No date - sits outside every month",IF(E84="","No job number",IF(F84="CHECK","Job number is not in the Xero job list",IF(I84="","No cost centre",IF(AND(P84="Y",C84=""),"Marked posted to Xero but has no invoice number",IF(AND(L84&lt;&gt;"",K84=""),"No tax code",IF(AND(L84&lt;&gt;"",O84=""),"No revenue GL code",""))))))))</f>
        <v/>
      </c>
      <c r="W84" s="25">
        <f>IF(E84="","",IF(COUNTIF(tbl_Onsite[Job Number],E84&amp;"")&gt;0,"Onsite",IF(COUNTIF(tbl_Production[Job Number],E84&amp;"")&gt;0,"Production",IF(COUNTIF(tbl_Consulting[Job Number],E84&amp;"")&gt;0,"Consulting","not set up yet"))))</f>
        <v/>
      </c>
      <c r="X84" s="25">
        <f>IF(E84="","",IFERROR(INDEX(lst_JobName,MATCH(E84&amp;"",lst_Jobs,0)),""))</f>
        <v/>
      </c>
      <c r="Y84" s="28">
        <f>IF(E84="","",COUNTIFS(tbl_Finance[Job Number],E84&amp;"",tbl_Finance[Ex GST],"&lt;&gt;"))</f>
        <v/>
      </c>
      <c r="Z84" s="27">
        <f>IF(E84="","",SUMIFS(tbl_Finance[Ex GST],tbl_Finance[Job Number],E84&amp;""))</f>
        <v/>
      </c>
      <c r="AA84" s="27">
        <f>IF(E84="","",SUMIFS(tbl_Finance[Ex GST],tbl_Finance[Job Number],E84&amp;"",tbl_Finance[Xero Invoice No],"&lt;&gt;"))</f>
        <v/>
      </c>
      <c r="AB84" s="27">
        <f>IF(E84="","",Z84-AA84)</f>
        <v/>
      </c>
      <c r="AC84" s="25">
        <f>IF(E84="","",IFERROR(IF(INDEX(tbl_Onsite[Qwilr Quote],IFERROR(MATCH(E84&amp;"",tbl_Onsite[Job Number],0),MATCH(IFERROR(E84+0,E84),tbl_Onsite[Job Number],0)))="","",INDEX(tbl_Onsite[Qwilr Quote],IFERROR(MATCH(E84&amp;"",tbl_Onsite[Job Number],0),MATCH(IFERROR(E84+0,E84),tbl_Onsite[Job Number],0)))),IFERROR(IF(IF(INDEX(tbl_Production[Current RMS No],IFERROR(MATCH(E84&amp;"",tbl_Production[Job Number],0),MATCH(IFERROR(E84+0,E84),tbl_Production[Job Number],0)))="",INDEX(tbl_Production[Qwilr Quote],IFERROR(MATCH(E84&amp;"",tbl_Production[Job Number],0),MATCH(IFERROR(E84+0,E84),tbl_Production[Job Number],0))),INDEX(tbl_Production[Current RMS No],IFERROR(MATCH(E84&amp;"",tbl_Production[Job Number],0),MATCH(IFERROR(E84+0,E84),tbl_Production[Job Number],0))))="","",IF(INDEX(tbl_Production[Current RMS No],IFERROR(MATCH(E84&amp;"",tbl_Production[Job Number],0),MATCH(IFERROR(E84+0,E84),tbl_Production[Job Number],0)))="",INDEX(tbl_Production[Qwilr Quote],IFERROR(MATCH(E84&amp;"",tbl_Production[Job Number],0),MATCH(IFERROR(E84+0,E84),tbl_Production[Job Number],0))),INDEX(tbl_Production[Current RMS No],IFERROR(MATCH(E84&amp;"",tbl_Production[Job Number],0),MATCH(IFERROR(E84+0,E84),tbl_Production[Job Number],0))))),IFERROR(IF(INDEX(tbl_Consulting[Qwilr Quote],IFERROR(MATCH(E84&amp;"",tbl_Consulting[Job Number],0),MATCH(IFERROR(E84+0,E84),tbl_Consulting[Job Number],0)))="","",INDEX(tbl_Consulting[Qwilr Quote],IFERROR(MATCH(E84&amp;"",tbl_Consulting[Job Number],0),MATCH(IFERROR(E84+0,E84),tbl_Consulting[Job Number],0)))),""))))</f>
        <v/>
      </c>
      <c r="AD84" s="25">
        <f>IF(AC84="","",IF(AND(LEFT(AC84,4)&lt;&gt;"http",IF(H84="Production",set_RMSBase,set_QwilrBase)=""),"",HYPERLINK(IF(LEFT(AC84,4)="http",AC84,IF(H84="Production",set_RMSBase,set_QwilrBase)&amp;AC84),"Open")))</f>
        <v/>
      </c>
      <c r="AE84" s="27">
        <f>IF(E84="","",IFERROR(INDEX(tbl_Production[Total Expense],IFERROR(MATCH(E84&amp;"",tbl_Production[Job Number],0),MATCH(IFERROR(E84+0,E84),tbl_Production[Job Number],0))),IFERROR(INDEX(tbl_Consulting[Total Expense],IFERROR(MATCH(E84&amp;"",tbl_Consulting[Job Number],0),MATCH(IFERROR(E84+0,E84),tbl_Consulting[Job Number],0))),0)))</f>
        <v/>
      </c>
      <c r="AF84" s="27">
        <f>IF(E84="","",Z84-N(AE84))</f>
        <v/>
      </c>
      <c r="AG84" s="29">
        <f>IFERROR(AF84/Z84,"")</f>
        <v/>
      </c>
      <c r="AH84" s="25">
        <f>IF(E84="","",IFERROR(IF(INDEX(tbl_Onsite[Notes],IFERROR(MATCH(E84&amp;"",tbl_Onsite[Job Number],0),MATCH(IFERROR(E84+0,E84),tbl_Onsite[Job Number],0)))="","",INDEX(tbl_Onsite[Notes],IFERROR(MATCH(E84&amp;"",tbl_Onsite[Job Number],0),MATCH(IFERROR(E84+0,E84),tbl_Onsite[Job Number],0)))),IFERROR(IF(INDEX(tbl_Production[Notes],IFERROR(MATCH(E84&amp;"",tbl_Production[Job Number],0),MATCH(IFERROR(E84+0,E84),tbl_Production[Job Number],0)))="","",INDEX(tbl_Production[Notes],IFERROR(MATCH(E84&amp;"",tbl_Production[Job Number],0),MATCH(IFERROR(E84+0,E84),tbl_Production[Job Number],0)))),IFERROR(IF(INDEX(tbl_Consulting[Notes],IFERROR(MATCH(E84&amp;"",tbl_Consulting[Job Number],0),MATCH(IFERROR(E84+0,E84),tbl_Consulting[Job Number],0)))="","",INDEX(tbl_Consulting[Notes],IFERROR(MATCH(E84&amp;"",tbl_Consulting[Job Number],0),MATCH(IFERROR(E84+0,E84),tbl_Consulting[Job Number],0)))),""))))</f>
        <v/>
      </c>
    </row>
    <row r="85" ht="15" customHeight="1">
      <c r="A85" s="22" t="n"/>
      <c r="B85" s="23">
        <f>IF(A85="","",EOMONTH(A85,0))</f>
        <v/>
      </c>
      <c r="C85" s="24" t="n"/>
      <c r="D85" s="24" t="n"/>
      <c r="E85" s="24" t="n"/>
      <c r="F85" s="25">
        <f>IF(E85="","",IF(COUNTIF(lst_Jobs,E85&amp;"")&gt;0,"OK","CHECK"))</f>
        <v/>
      </c>
      <c r="G85" s="24" t="n"/>
      <c r="H85" s="24" t="n"/>
      <c r="I85" s="24" t="n"/>
      <c r="J85" s="24" t="n"/>
      <c r="K85" s="24" t="n"/>
      <c r="L85" s="26" t="n"/>
      <c r="M85" s="27">
        <f>IF(L85="","",IF(K85="GST 10%",ROUND(L85*set_GSTRate,2),0))</f>
        <v/>
      </c>
      <c r="N85" s="27">
        <f>IF(L85="","",L85+M85)</f>
        <v/>
      </c>
      <c r="O85" s="24" t="n"/>
      <c r="P85" s="24" t="n"/>
      <c r="Q85" s="24" t="n"/>
      <c r="R85" s="22" t="n"/>
      <c r="S85" s="22" t="n"/>
      <c r="T85" s="24" t="n"/>
      <c r="U85" s="24" t="n"/>
      <c r="V85" s="25">
        <f>IF(COUNTA(A85,D85,C85,L85)=0,"",IF(A85="","No date - sits outside every month",IF(E85="","No job number",IF(F85="CHECK","Job number is not in the Xero job list",IF(I85="","No cost centre",IF(AND(P85="Y",C85=""),"Marked posted to Xero but has no invoice number",IF(AND(L85&lt;&gt;"",K85=""),"No tax code",IF(AND(L85&lt;&gt;"",O85=""),"No revenue GL code",""))))))))</f>
        <v/>
      </c>
      <c r="W85" s="25">
        <f>IF(E85="","",IF(COUNTIF(tbl_Onsite[Job Number],E85&amp;"")&gt;0,"Onsite",IF(COUNTIF(tbl_Production[Job Number],E85&amp;"")&gt;0,"Production",IF(COUNTIF(tbl_Consulting[Job Number],E85&amp;"")&gt;0,"Consulting","not set up yet"))))</f>
        <v/>
      </c>
      <c r="X85" s="25">
        <f>IF(E85="","",IFERROR(INDEX(lst_JobName,MATCH(E85&amp;"",lst_Jobs,0)),""))</f>
        <v/>
      </c>
      <c r="Y85" s="28">
        <f>IF(E85="","",COUNTIFS(tbl_Finance[Job Number],E85&amp;"",tbl_Finance[Ex GST],"&lt;&gt;"))</f>
        <v/>
      </c>
      <c r="Z85" s="27">
        <f>IF(E85="","",SUMIFS(tbl_Finance[Ex GST],tbl_Finance[Job Number],E85&amp;""))</f>
        <v/>
      </c>
      <c r="AA85" s="27">
        <f>IF(E85="","",SUMIFS(tbl_Finance[Ex GST],tbl_Finance[Job Number],E85&amp;"",tbl_Finance[Xero Invoice No],"&lt;&gt;"))</f>
        <v/>
      </c>
      <c r="AB85" s="27">
        <f>IF(E85="","",Z85-AA85)</f>
        <v/>
      </c>
      <c r="AC85" s="25">
        <f>IF(E85="","",IFERROR(IF(INDEX(tbl_Onsite[Qwilr Quote],IFERROR(MATCH(E85&amp;"",tbl_Onsite[Job Number],0),MATCH(IFERROR(E85+0,E85),tbl_Onsite[Job Number],0)))="","",INDEX(tbl_Onsite[Qwilr Quote],IFERROR(MATCH(E85&amp;"",tbl_Onsite[Job Number],0),MATCH(IFERROR(E85+0,E85),tbl_Onsite[Job Number],0)))),IFERROR(IF(IF(INDEX(tbl_Production[Current RMS No],IFERROR(MATCH(E85&amp;"",tbl_Production[Job Number],0),MATCH(IFERROR(E85+0,E85),tbl_Production[Job Number],0)))="",INDEX(tbl_Production[Qwilr Quote],IFERROR(MATCH(E85&amp;"",tbl_Production[Job Number],0),MATCH(IFERROR(E85+0,E85),tbl_Production[Job Number],0))),INDEX(tbl_Production[Current RMS No],IFERROR(MATCH(E85&amp;"",tbl_Production[Job Number],0),MATCH(IFERROR(E85+0,E85),tbl_Production[Job Number],0))))="","",IF(INDEX(tbl_Production[Current RMS No],IFERROR(MATCH(E85&amp;"",tbl_Production[Job Number],0),MATCH(IFERROR(E85+0,E85),tbl_Production[Job Number],0)))="",INDEX(tbl_Production[Qwilr Quote],IFERROR(MATCH(E85&amp;"",tbl_Production[Job Number],0),MATCH(IFERROR(E85+0,E85),tbl_Production[Job Number],0))),INDEX(tbl_Production[Current RMS No],IFERROR(MATCH(E85&amp;"",tbl_Production[Job Number],0),MATCH(IFERROR(E85+0,E85),tbl_Production[Job Number],0))))),IFERROR(IF(INDEX(tbl_Consulting[Qwilr Quote],IFERROR(MATCH(E85&amp;"",tbl_Consulting[Job Number],0),MATCH(IFERROR(E85+0,E85),tbl_Consulting[Job Number],0)))="","",INDEX(tbl_Consulting[Qwilr Quote],IFERROR(MATCH(E85&amp;"",tbl_Consulting[Job Number],0),MATCH(IFERROR(E85+0,E85),tbl_Consulting[Job Number],0)))),""))))</f>
        <v/>
      </c>
      <c r="AD85" s="25">
        <f>IF(AC85="","",IF(AND(LEFT(AC85,4)&lt;&gt;"http",IF(H85="Production",set_RMSBase,set_QwilrBase)=""),"",HYPERLINK(IF(LEFT(AC85,4)="http",AC85,IF(H85="Production",set_RMSBase,set_QwilrBase)&amp;AC85),"Open")))</f>
        <v/>
      </c>
      <c r="AE85" s="27">
        <f>IF(E85="","",IFERROR(INDEX(tbl_Production[Total Expense],IFERROR(MATCH(E85&amp;"",tbl_Production[Job Number],0),MATCH(IFERROR(E85+0,E85),tbl_Production[Job Number],0))),IFERROR(INDEX(tbl_Consulting[Total Expense],IFERROR(MATCH(E85&amp;"",tbl_Consulting[Job Number],0),MATCH(IFERROR(E85+0,E85),tbl_Consulting[Job Number],0))),0)))</f>
        <v/>
      </c>
      <c r="AF85" s="27">
        <f>IF(E85="","",Z85-N(AE85))</f>
        <v/>
      </c>
      <c r="AG85" s="29">
        <f>IFERROR(AF85/Z85,"")</f>
        <v/>
      </c>
      <c r="AH85" s="25">
        <f>IF(E85="","",IFERROR(IF(INDEX(tbl_Onsite[Notes],IFERROR(MATCH(E85&amp;"",tbl_Onsite[Job Number],0),MATCH(IFERROR(E85+0,E85),tbl_Onsite[Job Number],0)))="","",INDEX(tbl_Onsite[Notes],IFERROR(MATCH(E85&amp;"",tbl_Onsite[Job Number],0),MATCH(IFERROR(E85+0,E85),tbl_Onsite[Job Number],0)))),IFERROR(IF(INDEX(tbl_Production[Notes],IFERROR(MATCH(E85&amp;"",tbl_Production[Job Number],0),MATCH(IFERROR(E85+0,E85),tbl_Production[Job Number],0)))="","",INDEX(tbl_Production[Notes],IFERROR(MATCH(E85&amp;"",tbl_Production[Job Number],0),MATCH(IFERROR(E85+0,E85),tbl_Production[Job Number],0)))),IFERROR(IF(INDEX(tbl_Consulting[Notes],IFERROR(MATCH(E85&amp;"",tbl_Consulting[Job Number],0),MATCH(IFERROR(E85+0,E85),tbl_Consulting[Job Number],0)))="","",INDEX(tbl_Consulting[Notes],IFERROR(MATCH(E85&amp;"",tbl_Consulting[Job Number],0),MATCH(IFERROR(E85+0,E85),tbl_Consulting[Job Number],0)))),""))))</f>
        <v/>
      </c>
    </row>
    <row r="86" ht="15" customHeight="1">
      <c r="A86" s="22" t="n"/>
      <c r="B86" s="23">
        <f>IF(A86="","",EOMONTH(A86,0))</f>
        <v/>
      </c>
      <c r="C86" s="24" t="n"/>
      <c r="D86" s="24" t="n"/>
      <c r="E86" s="24" t="n"/>
      <c r="F86" s="25">
        <f>IF(E86="","",IF(COUNTIF(lst_Jobs,E86&amp;"")&gt;0,"OK","CHECK"))</f>
        <v/>
      </c>
      <c r="G86" s="24" t="n"/>
      <c r="H86" s="24" t="n"/>
      <c r="I86" s="24" t="n"/>
      <c r="J86" s="24" t="n"/>
      <c r="K86" s="24" t="n"/>
      <c r="L86" s="26" t="n"/>
      <c r="M86" s="27">
        <f>IF(L86="","",IF(K86="GST 10%",ROUND(L86*set_GSTRate,2),0))</f>
        <v/>
      </c>
      <c r="N86" s="27">
        <f>IF(L86="","",L86+M86)</f>
        <v/>
      </c>
      <c r="O86" s="24" t="n"/>
      <c r="P86" s="24" t="n"/>
      <c r="Q86" s="24" t="n"/>
      <c r="R86" s="22" t="n"/>
      <c r="S86" s="22" t="n"/>
      <c r="T86" s="24" t="n"/>
      <c r="U86" s="24" t="n"/>
      <c r="V86" s="25">
        <f>IF(COUNTA(A86,D86,C86,L86)=0,"",IF(A86="","No date - sits outside every month",IF(E86="","No job number",IF(F86="CHECK","Job number is not in the Xero job list",IF(I86="","No cost centre",IF(AND(P86="Y",C86=""),"Marked posted to Xero but has no invoice number",IF(AND(L86&lt;&gt;"",K86=""),"No tax code",IF(AND(L86&lt;&gt;"",O86=""),"No revenue GL code",""))))))))</f>
        <v/>
      </c>
      <c r="W86" s="25">
        <f>IF(E86="","",IF(COUNTIF(tbl_Onsite[Job Number],E86&amp;"")&gt;0,"Onsite",IF(COUNTIF(tbl_Production[Job Number],E86&amp;"")&gt;0,"Production",IF(COUNTIF(tbl_Consulting[Job Number],E86&amp;"")&gt;0,"Consulting","not set up yet"))))</f>
        <v/>
      </c>
      <c r="X86" s="25">
        <f>IF(E86="","",IFERROR(INDEX(lst_JobName,MATCH(E86&amp;"",lst_Jobs,0)),""))</f>
        <v/>
      </c>
      <c r="Y86" s="28">
        <f>IF(E86="","",COUNTIFS(tbl_Finance[Job Number],E86&amp;"",tbl_Finance[Ex GST],"&lt;&gt;"))</f>
        <v/>
      </c>
      <c r="Z86" s="27">
        <f>IF(E86="","",SUMIFS(tbl_Finance[Ex GST],tbl_Finance[Job Number],E86&amp;""))</f>
        <v/>
      </c>
      <c r="AA86" s="27">
        <f>IF(E86="","",SUMIFS(tbl_Finance[Ex GST],tbl_Finance[Job Number],E86&amp;"",tbl_Finance[Xero Invoice No],"&lt;&gt;"))</f>
        <v/>
      </c>
      <c r="AB86" s="27">
        <f>IF(E86="","",Z86-AA86)</f>
        <v/>
      </c>
      <c r="AC86" s="25">
        <f>IF(E86="","",IFERROR(IF(INDEX(tbl_Onsite[Qwilr Quote],IFERROR(MATCH(E86&amp;"",tbl_Onsite[Job Number],0),MATCH(IFERROR(E86+0,E86),tbl_Onsite[Job Number],0)))="","",INDEX(tbl_Onsite[Qwilr Quote],IFERROR(MATCH(E86&amp;"",tbl_Onsite[Job Number],0),MATCH(IFERROR(E86+0,E86),tbl_Onsite[Job Number],0)))),IFERROR(IF(IF(INDEX(tbl_Production[Current RMS No],IFERROR(MATCH(E86&amp;"",tbl_Production[Job Number],0),MATCH(IFERROR(E86+0,E86),tbl_Production[Job Number],0)))="",INDEX(tbl_Production[Qwilr Quote],IFERROR(MATCH(E86&amp;"",tbl_Production[Job Number],0),MATCH(IFERROR(E86+0,E86),tbl_Production[Job Number],0))),INDEX(tbl_Production[Current RMS No],IFERROR(MATCH(E86&amp;"",tbl_Production[Job Number],0),MATCH(IFERROR(E86+0,E86),tbl_Production[Job Number],0))))="","",IF(INDEX(tbl_Production[Current RMS No],IFERROR(MATCH(E86&amp;"",tbl_Production[Job Number],0),MATCH(IFERROR(E86+0,E86),tbl_Production[Job Number],0)))="",INDEX(tbl_Production[Qwilr Quote],IFERROR(MATCH(E86&amp;"",tbl_Production[Job Number],0),MATCH(IFERROR(E86+0,E86),tbl_Production[Job Number],0))),INDEX(tbl_Production[Current RMS No],IFERROR(MATCH(E86&amp;"",tbl_Production[Job Number],0),MATCH(IFERROR(E86+0,E86),tbl_Production[Job Number],0))))),IFERROR(IF(INDEX(tbl_Consulting[Qwilr Quote],IFERROR(MATCH(E86&amp;"",tbl_Consulting[Job Number],0),MATCH(IFERROR(E86+0,E86),tbl_Consulting[Job Number],0)))="","",INDEX(tbl_Consulting[Qwilr Quote],IFERROR(MATCH(E86&amp;"",tbl_Consulting[Job Number],0),MATCH(IFERROR(E86+0,E86),tbl_Consulting[Job Number],0)))),""))))</f>
        <v/>
      </c>
      <c r="AD86" s="25">
        <f>IF(AC86="","",IF(AND(LEFT(AC86,4)&lt;&gt;"http",IF(H86="Production",set_RMSBase,set_QwilrBase)=""),"",HYPERLINK(IF(LEFT(AC86,4)="http",AC86,IF(H86="Production",set_RMSBase,set_QwilrBase)&amp;AC86),"Open")))</f>
        <v/>
      </c>
      <c r="AE86" s="27">
        <f>IF(E86="","",IFERROR(INDEX(tbl_Production[Total Expense],IFERROR(MATCH(E86&amp;"",tbl_Production[Job Number],0),MATCH(IFERROR(E86+0,E86),tbl_Production[Job Number],0))),IFERROR(INDEX(tbl_Consulting[Total Expense],IFERROR(MATCH(E86&amp;"",tbl_Consulting[Job Number],0),MATCH(IFERROR(E86+0,E86),tbl_Consulting[Job Number],0))),0)))</f>
        <v/>
      </c>
      <c r="AF86" s="27">
        <f>IF(E86="","",Z86-N(AE86))</f>
        <v/>
      </c>
      <c r="AG86" s="29">
        <f>IFERROR(AF86/Z86,"")</f>
        <v/>
      </c>
      <c r="AH86" s="25">
        <f>IF(E86="","",IFERROR(IF(INDEX(tbl_Onsite[Notes],IFERROR(MATCH(E86&amp;"",tbl_Onsite[Job Number],0),MATCH(IFERROR(E86+0,E86),tbl_Onsite[Job Number],0)))="","",INDEX(tbl_Onsite[Notes],IFERROR(MATCH(E86&amp;"",tbl_Onsite[Job Number],0),MATCH(IFERROR(E86+0,E86),tbl_Onsite[Job Number],0)))),IFERROR(IF(INDEX(tbl_Production[Notes],IFERROR(MATCH(E86&amp;"",tbl_Production[Job Number],0),MATCH(IFERROR(E86+0,E86),tbl_Production[Job Number],0)))="","",INDEX(tbl_Production[Notes],IFERROR(MATCH(E86&amp;"",tbl_Production[Job Number],0),MATCH(IFERROR(E86+0,E86),tbl_Production[Job Number],0)))),IFERROR(IF(INDEX(tbl_Consulting[Notes],IFERROR(MATCH(E86&amp;"",tbl_Consulting[Job Number],0),MATCH(IFERROR(E86+0,E86),tbl_Consulting[Job Number],0)))="","",INDEX(tbl_Consulting[Notes],IFERROR(MATCH(E86&amp;"",tbl_Consulting[Job Number],0),MATCH(IFERROR(E86+0,E86),tbl_Consulting[Job Number],0)))),""))))</f>
        <v/>
      </c>
    </row>
    <row r="87" ht="15" customHeight="1">
      <c r="A87" s="22" t="n"/>
      <c r="B87" s="23">
        <f>IF(A87="","",EOMONTH(A87,0))</f>
        <v/>
      </c>
      <c r="C87" s="24" t="n"/>
      <c r="D87" s="24" t="n"/>
      <c r="E87" s="24" t="n"/>
      <c r="F87" s="25">
        <f>IF(E87="","",IF(COUNTIF(lst_Jobs,E87&amp;"")&gt;0,"OK","CHECK"))</f>
        <v/>
      </c>
      <c r="G87" s="24" t="n"/>
      <c r="H87" s="24" t="n"/>
      <c r="I87" s="24" t="n"/>
      <c r="J87" s="24" t="n"/>
      <c r="K87" s="24" t="n"/>
      <c r="L87" s="26" t="n"/>
      <c r="M87" s="27">
        <f>IF(L87="","",IF(K87="GST 10%",ROUND(L87*set_GSTRate,2),0))</f>
        <v/>
      </c>
      <c r="N87" s="27">
        <f>IF(L87="","",L87+M87)</f>
        <v/>
      </c>
      <c r="O87" s="24" t="n"/>
      <c r="P87" s="24" t="n"/>
      <c r="Q87" s="24" t="n"/>
      <c r="R87" s="22" t="n"/>
      <c r="S87" s="22" t="n"/>
      <c r="T87" s="24" t="n"/>
      <c r="U87" s="24" t="n"/>
      <c r="V87" s="25">
        <f>IF(COUNTA(A87,D87,C87,L87)=0,"",IF(A87="","No date - sits outside every month",IF(E87="","No job number",IF(F87="CHECK","Job number is not in the Xero job list",IF(I87="","No cost centre",IF(AND(P87="Y",C87=""),"Marked posted to Xero but has no invoice number",IF(AND(L87&lt;&gt;"",K87=""),"No tax code",IF(AND(L87&lt;&gt;"",O87=""),"No revenue GL code",""))))))))</f>
        <v/>
      </c>
      <c r="W87" s="25">
        <f>IF(E87="","",IF(COUNTIF(tbl_Onsite[Job Number],E87&amp;"")&gt;0,"Onsite",IF(COUNTIF(tbl_Production[Job Number],E87&amp;"")&gt;0,"Production",IF(COUNTIF(tbl_Consulting[Job Number],E87&amp;"")&gt;0,"Consulting","not set up yet"))))</f>
        <v/>
      </c>
      <c r="X87" s="25">
        <f>IF(E87="","",IFERROR(INDEX(lst_JobName,MATCH(E87&amp;"",lst_Jobs,0)),""))</f>
        <v/>
      </c>
      <c r="Y87" s="28">
        <f>IF(E87="","",COUNTIFS(tbl_Finance[Job Number],E87&amp;"",tbl_Finance[Ex GST],"&lt;&gt;"))</f>
        <v/>
      </c>
      <c r="Z87" s="27">
        <f>IF(E87="","",SUMIFS(tbl_Finance[Ex GST],tbl_Finance[Job Number],E87&amp;""))</f>
        <v/>
      </c>
      <c r="AA87" s="27">
        <f>IF(E87="","",SUMIFS(tbl_Finance[Ex GST],tbl_Finance[Job Number],E87&amp;"",tbl_Finance[Xero Invoice No],"&lt;&gt;"))</f>
        <v/>
      </c>
      <c r="AB87" s="27">
        <f>IF(E87="","",Z87-AA87)</f>
        <v/>
      </c>
      <c r="AC87" s="25">
        <f>IF(E87="","",IFERROR(IF(INDEX(tbl_Onsite[Qwilr Quote],IFERROR(MATCH(E87&amp;"",tbl_Onsite[Job Number],0),MATCH(IFERROR(E87+0,E87),tbl_Onsite[Job Number],0)))="","",INDEX(tbl_Onsite[Qwilr Quote],IFERROR(MATCH(E87&amp;"",tbl_Onsite[Job Number],0),MATCH(IFERROR(E87+0,E87),tbl_Onsite[Job Number],0)))),IFERROR(IF(IF(INDEX(tbl_Production[Current RMS No],IFERROR(MATCH(E87&amp;"",tbl_Production[Job Number],0),MATCH(IFERROR(E87+0,E87),tbl_Production[Job Number],0)))="",INDEX(tbl_Production[Qwilr Quote],IFERROR(MATCH(E87&amp;"",tbl_Production[Job Number],0),MATCH(IFERROR(E87+0,E87),tbl_Production[Job Number],0))),INDEX(tbl_Production[Current RMS No],IFERROR(MATCH(E87&amp;"",tbl_Production[Job Number],0),MATCH(IFERROR(E87+0,E87),tbl_Production[Job Number],0))))="","",IF(INDEX(tbl_Production[Current RMS No],IFERROR(MATCH(E87&amp;"",tbl_Production[Job Number],0),MATCH(IFERROR(E87+0,E87),tbl_Production[Job Number],0)))="",INDEX(tbl_Production[Qwilr Quote],IFERROR(MATCH(E87&amp;"",tbl_Production[Job Number],0),MATCH(IFERROR(E87+0,E87),tbl_Production[Job Number],0))),INDEX(tbl_Production[Current RMS No],IFERROR(MATCH(E87&amp;"",tbl_Production[Job Number],0),MATCH(IFERROR(E87+0,E87),tbl_Production[Job Number],0))))),IFERROR(IF(INDEX(tbl_Consulting[Qwilr Quote],IFERROR(MATCH(E87&amp;"",tbl_Consulting[Job Number],0),MATCH(IFERROR(E87+0,E87),tbl_Consulting[Job Number],0)))="","",INDEX(tbl_Consulting[Qwilr Quote],IFERROR(MATCH(E87&amp;"",tbl_Consulting[Job Number],0),MATCH(IFERROR(E87+0,E87),tbl_Consulting[Job Number],0)))),""))))</f>
        <v/>
      </c>
      <c r="AD87" s="25">
        <f>IF(AC87="","",IF(AND(LEFT(AC87,4)&lt;&gt;"http",IF(H87="Production",set_RMSBase,set_QwilrBase)=""),"",HYPERLINK(IF(LEFT(AC87,4)="http",AC87,IF(H87="Production",set_RMSBase,set_QwilrBase)&amp;AC87),"Open")))</f>
        <v/>
      </c>
      <c r="AE87" s="27">
        <f>IF(E87="","",IFERROR(INDEX(tbl_Production[Total Expense],IFERROR(MATCH(E87&amp;"",tbl_Production[Job Number],0),MATCH(IFERROR(E87+0,E87),tbl_Production[Job Number],0))),IFERROR(INDEX(tbl_Consulting[Total Expense],IFERROR(MATCH(E87&amp;"",tbl_Consulting[Job Number],0),MATCH(IFERROR(E87+0,E87),tbl_Consulting[Job Number],0))),0)))</f>
        <v/>
      </c>
      <c r="AF87" s="27">
        <f>IF(E87="","",Z87-N(AE87))</f>
        <v/>
      </c>
      <c r="AG87" s="29">
        <f>IFERROR(AF87/Z87,"")</f>
        <v/>
      </c>
      <c r="AH87" s="25">
        <f>IF(E87="","",IFERROR(IF(INDEX(tbl_Onsite[Notes],IFERROR(MATCH(E87&amp;"",tbl_Onsite[Job Number],0),MATCH(IFERROR(E87+0,E87),tbl_Onsite[Job Number],0)))="","",INDEX(tbl_Onsite[Notes],IFERROR(MATCH(E87&amp;"",tbl_Onsite[Job Number],0),MATCH(IFERROR(E87+0,E87),tbl_Onsite[Job Number],0)))),IFERROR(IF(INDEX(tbl_Production[Notes],IFERROR(MATCH(E87&amp;"",tbl_Production[Job Number],0),MATCH(IFERROR(E87+0,E87),tbl_Production[Job Number],0)))="","",INDEX(tbl_Production[Notes],IFERROR(MATCH(E87&amp;"",tbl_Production[Job Number],0),MATCH(IFERROR(E87+0,E87),tbl_Production[Job Number],0)))),IFERROR(IF(INDEX(tbl_Consulting[Notes],IFERROR(MATCH(E87&amp;"",tbl_Consulting[Job Number],0),MATCH(IFERROR(E87+0,E87),tbl_Consulting[Job Number],0)))="","",INDEX(tbl_Consulting[Notes],IFERROR(MATCH(E87&amp;"",tbl_Consulting[Job Number],0),MATCH(IFERROR(E87+0,E87),tbl_Consulting[Job Number],0)))),""))))</f>
        <v/>
      </c>
    </row>
    <row r="88" ht="15" customHeight="1">
      <c r="A88" s="22" t="n"/>
      <c r="B88" s="23">
        <f>IF(A88="","",EOMONTH(A88,0))</f>
        <v/>
      </c>
      <c r="C88" s="24" t="n"/>
      <c r="D88" s="24" t="n"/>
      <c r="E88" s="24" t="n"/>
      <c r="F88" s="25">
        <f>IF(E88="","",IF(COUNTIF(lst_Jobs,E88&amp;"")&gt;0,"OK","CHECK"))</f>
        <v/>
      </c>
      <c r="G88" s="24" t="n"/>
      <c r="H88" s="24" t="n"/>
      <c r="I88" s="24" t="n"/>
      <c r="J88" s="24" t="n"/>
      <c r="K88" s="24" t="n"/>
      <c r="L88" s="26" t="n"/>
      <c r="M88" s="27">
        <f>IF(L88="","",IF(K88="GST 10%",ROUND(L88*set_GSTRate,2),0))</f>
        <v/>
      </c>
      <c r="N88" s="27">
        <f>IF(L88="","",L88+M88)</f>
        <v/>
      </c>
      <c r="O88" s="24" t="n"/>
      <c r="P88" s="24" t="n"/>
      <c r="Q88" s="24" t="n"/>
      <c r="R88" s="22" t="n"/>
      <c r="S88" s="22" t="n"/>
      <c r="T88" s="24" t="n"/>
      <c r="U88" s="24" t="n"/>
      <c r="V88" s="25">
        <f>IF(COUNTA(A88,D88,C88,L88)=0,"",IF(A88="","No date - sits outside every month",IF(E88="","No job number",IF(F88="CHECK","Job number is not in the Xero job list",IF(I88="","No cost centre",IF(AND(P88="Y",C88=""),"Marked posted to Xero but has no invoice number",IF(AND(L88&lt;&gt;"",K88=""),"No tax code",IF(AND(L88&lt;&gt;"",O88=""),"No revenue GL code",""))))))))</f>
        <v/>
      </c>
      <c r="W88" s="25">
        <f>IF(E88="","",IF(COUNTIF(tbl_Onsite[Job Number],E88&amp;"")&gt;0,"Onsite",IF(COUNTIF(tbl_Production[Job Number],E88&amp;"")&gt;0,"Production",IF(COUNTIF(tbl_Consulting[Job Number],E88&amp;"")&gt;0,"Consulting","not set up yet"))))</f>
        <v/>
      </c>
      <c r="X88" s="25">
        <f>IF(E88="","",IFERROR(INDEX(lst_JobName,MATCH(E88&amp;"",lst_Jobs,0)),""))</f>
        <v/>
      </c>
      <c r="Y88" s="28">
        <f>IF(E88="","",COUNTIFS(tbl_Finance[Job Number],E88&amp;"",tbl_Finance[Ex GST],"&lt;&gt;"))</f>
        <v/>
      </c>
      <c r="Z88" s="27">
        <f>IF(E88="","",SUMIFS(tbl_Finance[Ex GST],tbl_Finance[Job Number],E88&amp;""))</f>
        <v/>
      </c>
      <c r="AA88" s="27">
        <f>IF(E88="","",SUMIFS(tbl_Finance[Ex GST],tbl_Finance[Job Number],E88&amp;"",tbl_Finance[Xero Invoice No],"&lt;&gt;"))</f>
        <v/>
      </c>
      <c r="AB88" s="27">
        <f>IF(E88="","",Z88-AA88)</f>
        <v/>
      </c>
      <c r="AC88" s="25">
        <f>IF(E88="","",IFERROR(IF(INDEX(tbl_Onsite[Qwilr Quote],IFERROR(MATCH(E88&amp;"",tbl_Onsite[Job Number],0),MATCH(IFERROR(E88+0,E88),tbl_Onsite[Job Number],0)))="","",INDEX(tbl_Onsite[Qwilr Quote],IFERROR(MATCH(E88&amp;"",tbl_Onsite[Job Number],0),MATCH(IFERROR(E88+0,E88),tbl_Onsite[Job Number],0)))),IFERROR(IF(IF(INDEX(tbl_Production[Current RMS No],IFERROR(MATCH(E88&amp;"",tbl_Production[Job Number],0),MATCH(IFERROR(E88+0,E88),tbl_Production[Job Number],0)))="",INDEX(tbl_Production[Qwilr Quote],IFERROR(MATCH(E88&amp;"",tbl_Production[Job Number],0),MATCH(IFERROR(E88+0,E88),tbl_Production[Job Number],0))),INDEX(tbl_Production[Current RMS No],IFERROR(MATCH(E88&amp;"",tbl_Production[Job Number],0),MATCH(IFERROR(E88+0,E88),tbl_Production[Job Number],0))))="","",IF(INDEX(tbl_Production[Current RMS No],IFERROR(MATCH(E88&amp;"",tbl_Production[Job Number],0),MATCH(IFERROR(E88+0,E88),tbl_Production[Job Number],0)))="",INDEX(tbl_Production[Qwilr Quote],IFERROR(MATCH(E88&amp;"",tbl_Production[Job Number],0),MATCH(IFERROR(E88+0,E88),tbl_Production[Job Number],0))),INDEX(tbl_Production[Current RMS No],IFERROR(MATCH(E88&amp;"",tbl_Production[Job Number],0),MATCH(IFERROR(E88+0,E88),tbl_Production[Job Number],0))))),IFERROR(IF(INDEX(tbl_Consulting[Qwilr Quote],IFERROR(MATCH(E88&amp;"",tbl_Consulting[Job Number],0),MATCH(IFERROR(E88+0,E88),tbl_Consulting[Job Number],0)))="","",INDEX(tbl_Consulting[Qwilr Quote],IFERROR(MATCH(E88&amp;"",tbl_Consulting[Job Number],0),MATCH(IFERROR(E88+0,E88),tbl_Consulting[Job Number],0)))),""))))</f>
        <v/>
      </c>
      <c r="AD88" s="25">
        <f>IF(AC88="","",IF(AND(LEFT(AC88,4)&lt;&gt;"http",IF(H88="Production",set_RMSBase,set_QwilrBase)=""),"",HYPERLINK(IF(LEFT(AC88,4)="http",AC88,IF(H88="Production",set_RMSBase,set_QwilrBase)&amp;AC88),"Open")))</f>
        <v/>
      </c>
      <c r="AE88" s="27">
        <f>IF(E88="","",IFERROR(INDEX(tbl_Production[Total Expense],IFERROR(MATCH(E88&amp;"",tbl_Production[Job Number],0),MATCH(IFERROR(E88+0,E88),tbl_Production[Job Number],0))),IFERROR(INDEX(tbl_Consulting[Total Expense],IFERROR(MATCH(E88&amp;"",tbl_Consulting[Job Number],0),MATCH(IFERROR(E88+0,E88),tbl_Consulting[Job Number],0))),0)))</f>
        <v/>
      </c>
      <c r="AF88" s="27">
        <f>IF(E88="","",Z88-N(AE88))</f>
        <v/>
      </c>
      <c r="AG88" s="29">
        <f>IFERROR(AF88/Z88,"")</f>
        <v/>
      </c>
      <c r="AH88" s="25">
        <f>IF(E88="","",IFERROR(IF(INDEX(tbl_Onsite[Notes],IFERROR(MATCH(E88&amp;"",tbl_Onsite[Job Number],0),MATCH(IFERROR(E88+0,E88),tbl_Onsite[Job Number],0)))="","",INDEX(tbl_Onsite[Notes],IFERROR(MATCH(E88&amp;"",tbl_Onsite[Job Number],0),MATCH(IFERROR(E88+0,E88),tbl_Onsite[Job Number],0)))),IFERROR(IF(INDEX(tbl_Production[Notes],IFERROR(MATCH(E88&amp;"",tbl_Production[Job Number],0),MATCH(IFERROR(E88+0,E88),tbl_Production[Job Number],0)))="","",INDEX(tbl_Production[Notes],IFERROR(MATCH(E88&amp;"",tbl_Production[Job Number],0),MATCH(IFERROR(E88+0,E88),tbl_Production[Job Number],0)))),IFERROR(IF(INDEX(tbl_Consulting[Notes],IFERROR(MATCH(E88&amp;"",tbl_Consulting[Job Number],0),MATCH(IFERROR(E88+0,E88),tbl_Consulting[Job Number],0)))="","",INDEX(tbl_Consulting[Notes],IFERROR(MATCH(E88&amp;"",tbl_Consulting[Job Number],0),MATCH(IFERROR(E88+0,E88),tbl_Consulting[Job Number],0)))),""))))</f>
        <v/>
      </c>
    </row>
    <row r="89" ht="15" customHeight="1">
      <c r="A89" s="22" t="n"/>
      <c r="B89" s="23">
        <f>IF(A89="","",EOMONTH(A89,0))</f>
        <v/>
      </c>
      <c r="C89" s="24" t="n"/>
      <c r="D89" s="24" t="n"/>
      <c r="E89" s="24" t="n"/>
      <c r="F89" s="25">
        <f>IF(E89="","",IF(COUNTIF(lst_Jobs,E89&amp;"")&gt;0,"OK","CHECK"))</f>
        <v/>
      </c>
      <c r="G89" s="24" t="n"/>
      <c r="H89" s="24" t="n"/>
      <c r="I89" s="24" t="n"/>
      <c r="J89" s="24" t="n"/>
      <c r="K89" s="24" t="n"/>
      <c r="L89" s="26" t="n"/>
      <c r="M89" s="27">
        <f>IF(L89="","",IF(K89="GST 10%",ROUND(L89*set_GSTRate,2),0))</f>
        <v/>
      </c>
      <c r="N89" s="27">
        <f>IF(L89="","",L89+M89)</f>
        <v/>
      </c>
      <c r="O89" s="24" t="n"/>
      <c r="P89" s="24" t="n"/>
      <c r="Q89" s="24" t="n"/>
      <c r="R89" s="22" t="n"/>
      <c r="S89" s="22" t="n"/>
      <c r="T89" s="24" t="n"/>
      <c r="U89" s="24" t="n"/>
      <c r="V89" s="25">
        <f>IF(COUNTA(A89,D89,C89,L89)=0,"",IF(A89="","No date - sits outside every month",IF(E89="","No job number",IF(F89="CHECK","Job number is not in the Xero job list",IF(I89="","No cost centre",IF(AND(P89="Y",C89=""),"Marked posted to Xero but has no invoice number",IF(AND(L89&lt;&gt;"",K89=""),"No tax code",IF(AND(L89&lt;&gt;"",O89=""),"No revenue GL code",""))))))))</f>
        <v/>
      </c>
      <c r="W89" s="25">
        <f>IF(E89="","",IF(COUNTIF(tbl_Onsite[Job Number],E89&amp;"")&gt;0,"Onsite",IF(COUNTIF(tbl_Production[Job Number],E89&amp;"")&gt;0,"Production",IF(COUNTIF(tbl_Consulting[Job Number],E89&amp;"")&gt;0,"Consulting","not set up yet"))))</f>
        <v/>
      </c>
      <c r="X89" s="25">
        <f>IF(E89="","",IFERROR(INDEX(lst_JobName,MATCH(E89&amp;"",lst_Jobs,0)),""))</f>
        <v/>
      </c>
      <c r="Y89" s="28">
        <f>IF(E89="","",COUNTIFS(tbl_Finance[Job Number],E89&amp;"",tbl_Finance[Ex GST],"&lt;&gt;"))</f>
        <v/>
      </c>
      <c r="Z89" s="27">
        <f>IF(E89="","",SUMIFS(tbl_Finance[Ex GST],tbl_Finance[Job Number],E89&amp;""))</f>
        <v/>
      </c>
      <c r="AA89" s="27">
        <f>IF(E89="","",SUMIFS(tbl_Finance[Ex GST],tbl_Finance[Job Number],E89&amp;"",tbl_Finance[Xero Invoice No],"&lt;&gt;"))</f>
        <v/>
      </c>
      <c r="AB89" s="27">
        <f>IF(E89="","",Z89-AA89)</f>
        <v/>
      </c>
      <c r="AC89" s="25">
        <f>IF(E89="","",IFERROR(IF(INDEX(tbl_Onsite[Qwilr Quote],IFERROR(MATCH(E89&amp;"",tbl_Onsite[Job Number],0),MATCH(IFERROR(E89+0,E89),tbl_Onsite[Job Number],0)))="","",INDEX(tbl_Onsite[Qwilr Quote],IFERROR(MATCH(E89&amp;"",tbl_Onsite[Job Number],0),MATCH(IFERROR(E89+0,E89),tbl_Onsite[Job Number],0)))),IFERROR(IF(IF(INDEX(tbl_Production[Current RMS No],IFERROR(MATCH(E89&amp;"",tbl_Production[Job Number],0),MATCH(IFERROR(E89+0,E89),tbl_Production[Job Number],0)))="",INDEX(tbl_Production[Qwilr Quote],IFERROR(MATCH(E89&amp;"",tbl_Production[Job Number],0),MATCH(IFERROR(E89+0,E89),tbl_Production[Job Number],0))),INDEX(tbl_Production[Current RMS No],IFERROR(MATCH(E89&amp;"",tbl_Production[Job Number],0),MATCH(IFERROR(E89+0,E89),tbl_Production[Job Number],0))))="","",IF(INDEX(tbl_Production[Current RMS No],IFERROR(MATCH(E89&amp;"",tbl_Production[Job Number],0),MATCH(IFERROR(E89+0,E89),tbl_Production[Job Number],0)))="",INDEX(tbl_Production[Qwilr Quote],IFERROR(MATCH(E89&amp;"",tbl_Production[Job Number],0),MATCH(IFERROR(E89+0,E89),tbl_Production[Job Number],0))),INDEX(tbl_Production[Current RMS No],IFERROR(MATCH(E89&amp;"",tbl_Production[Job Number],0),MATCH(IFERROR(E89+0,E89),tbl_Production[Job Number],0))))),IFERROR(IF(INDEX(tbl_Consulting[Qwilr Quote],IFERROR(MATCH(E89&amp;"",tbl_Consulting[Job Number],0),MATCH(IFERROR(E89+0,E89),tbl_Consulting[Job Number],0)))="","",INDEX(tbl_Consulting[Qwilr Quote],IFERROR(MATCH(E89&amp;"",tbl_Consulting[Job Number],0),MATCH(IFERROR(E89+0,E89),tbl_Consulting[Job Number],0)))),""))))</f>
        <v/>
      </c>
      <c r="AD89" s="25">
        <f>IF(AC89="","",IF(AND(LEFT(AC89,4)&lt;&gt;"http",IF(H89="Production",set_RMSBase,set_QwilrBase)=""),"",HYPERLINK(IF(LEFT(AC89,4)="http",AC89,IF(H89="Production",set_RMSBase,set_QwilrBase)&amp;AC89),"Open")))</f>
        <v/>
      </c>
      <c r="AE89" s="27">
        <f>IF(E89="","",IFERROR(INDEX(tbl_Production[Total Expense],IFERROR(MATCH(E89&amp;"",tbl_Production[Job Number],0),MATCH(IFERROR(E89+0,E89),tbl_Production[Job Number],0))),IFERROR(INDEX(tbl_Consulting[Total Expense],IFERROR(MATCH(E89&amp;"",tbl_Consulting[Job Number],0),MATCH(IFERROR(E89+0,E89),tbl_Consulting[Job Number],0))),0)))</f>
        <v/>
      </c>
      <c r="AF89" s="27">
        <f>IF(E89="","",Z89-N(AE89))</f>
        <v/>
      </c>
      <c r="AG89" s="29">
        <f>IFERROR(AF89/Z89,"")</f>
        <v/>
      </c>
      <c r="AH89" s="25">
        <f>IF(E89="","",IFERROR(IF(INDEX(tbl_Onsite[Notes],IFERROR(MATCH(E89&amp;"",tbl_Onsite[Job Number],0),MATCH(IFERROR(E89+0,E89),tbl_Onsite[Job Number],0)))="","",INDEX(tbl_Onsite[Notes],IFERROR(MATCH(E89&amp;"",tbl_Onsite[Job Number],0),MATCH(IFERROR(E89+0,E89),tbl_Onsite[Job Number],0)))),IFERROR(IF(INDEX(tbl_Production[Notes],IFERROR(MATCH(E89&amp;"",tbl_Production[Job Number],0),MATCH(IFERROR(E89+0,E89),tbl_Production[Job Number],0)))="","",INDEX(tbl_Production[Notes],IFERROR(MATCH(E89&amp;"",tbl_Production[Job Number],0),MATCH(IFERROR(E89+0,E89),tbl_Production[Job Number],0)))),IFERROR(IF(INDEX(tbl_Consulting[Notes],IFERROR(MATCH(E89&amp;"",tbl_Consulting[Job Number],0),MATCH(IFERROR(E89+0,E89),tbl_Consulting[Job Number],0)))="","",INDEX(tbl_Consulting[Notes],IFERROR(MATCH(E89&amp;"",tbl_Consulting[Job Number],0),MATCH(IFERROR(E89+0,E89),tbl_Consulting[Job Number],0)))),""))))</f>
        <v/>
      </c>
    </row>
    <row r="90" ht="15" customHeight="1">
      <c r="A90" s="22" t="n"/>
      <c r="B90" s="23">
        <f>IF(A90="","",EOMONTH(A90,0))</f>
        <v/>
      </c>
      <c r="C90" s="24" t="n"/>
      <c r="D90" s="24" t="n"/>
      <c r="E90" s="24" t="n"/>
      <c r="F90" s="25">
        <f>IF(E90="","",IF(COUNTIF(lst_Jobs,E90&amp;"")&gt;0,"OK","CHECK"))</f>
        <v/>
      </c>
      <c r="G90" s="24" t="n"/>
      <c r="H90" s="24" t="n"/>
      <c r="I90" s="24" t="n"/>
      <c r="J90" s="24" t="n"/>
      <c r="K90" s="24" t="n"/>
      <c r="L90" s="26" t="n"/>
      <c r="M90" s="27">
        <f>IF(L90="","",IF(K90="GST 10%",ROUND(L90*set_GSTRate,2),0))</f>
        <v/>
      </c>
      <c r="N90" s="27">
        <f>IF(L90="","",L90+M90)</f>
        <v/>
      </c>
      <c r="O90" s="24" t="n"/>
      <c r="P90" s="24" t="n"/>
      <c r="Q90" s="24" t="n"/>
      <c r="R90" s="22" t="n"/>
      <c r="S90" s="22" t="n"/>
      <c r="T90" s="24" t="n"/>
      <c r="U90" s="24" t="n"/>
      <c r="V90" s="25">
        <f>IF(COUNTA(A90,D90,C90,L90)=0,"",IF(A90="","No date - sits outside every month",IF(E90="","No job number",IF(F90="CHECK","Job number is not in the Xero job list",IF(I90="","No cost centre",IF(AND(P90="Y",C90=""),"Marked posted to Xero but has no invoice number",IF(AND(L90&lt;&gt;"",K90=""),"No tax code",IF(AND(L90&lt;&gt;"",O90=""),"No revenue GL code",""))))))))</f>
        <v/>
      </c>
      <c r="W90" s="25">
        <f>IF(E90="","",IF(COUNTIF(tbl_Onsite[Job Number],E90&amp;"")&gt;0,"Onsite",IF(COUNTIF(tbl_Production[Job Number],E90&amp;"")&gt;0,"Production",IF(COUNTIF(tbl_Consulting[Job Number],E90&amp;"")&gt;0,"Consulting","not set up yet"))))</f>
        <v/>
      </c>
      <c r="X90" s="25">
        <f>IF(E90="","",IFERROR(INDEX(lst_JobName,MATCH(E90&amp;"",lst_Jobs,0)),""))</f>
        <v/>
      </c>
      <c r="Y90" s="28">
        <f>IF(E90="","",COUNTIFS(tbl_Finance[Job Number],E90&amp;"",tbl_Finance[Ex GST],"&lt;&gt;"))</f>
        <v/>
      </c>
      <c r="Z90" s="27">
        <f>IF(E90="","",SUMIFS(tbl_Finance[Ex GST],tbl_Finance[Job Number],E90&amp;""))</f>
        <v/>
      </c>
      <c r="AA90" s="27">
        <f>IF(E90="","",SUMIFS(tbl_Finance[Ex GST],tbl_Finance[Job Number],E90&amp;"",tbl_Finance[Xero Invoice No],"&lt;&gt;"))</f>
        <v/>
      </c>
      <c r="AB90" s="27">
        <f>IF(E90="","",Z90-AA90)</f>
        <v/>
      </c>
      <c r="AC90" s="25">
        <f>IF(E90="","",IFERROR(IF(INDEX(tbl_Onsite[Qwilr Quote],IFERROR(MATCH(E90&amp;"",tbl_Onsite[Job Number],0),MATCH(IFERROR(E90+0,E90),tbl_Onsite[Job Number],0)))="","",INDEX(tbl_Onsite[Qwilr Quote],IFERROR(MATCH(E90&amp;"",tbl_Onsite[Job Number],0),MATCH(IFERROR(E90+0,E90),tbl_Onsite[Job Number],0)))),IFERROR(IF(IF(INDEX(tbl_Production[Current RMS No],IFERROR(MATCH(E90&amp;"",tbl_Production[Job Number],0),MATCH(IFERROR(E90+0,E90),tbl_Production[Job Number],0)))="",INDEX(tbl_Production[Qwilr Quote],IFERROR(MATCH(E90&amp;"",tbl_Production[Job Number],0),MATCH(IFERROR(E90+0,E90),tbl_Production[Job Number],0))),INDEX(tbl_Production[Current RMS No],IFERROR(MATCH(E90&amp;"",tbl_Production[Job Number],0),MATCH(IFERROR(E90+0,E90),tbl_Production[Job Number],0))))="","",IF(INDEX(tbl_Production[Current RMS No],IFERROR(MATCH(E90&amp;"",tbl_Production[Job Number],0),MATCH(IFERROR(E90+0,E90),tbl_Production[Job Number],0)))="",INDEX(tbl_Production[Qwilr Quote],IFERROR(MATCH(E90&amp;"",tbl_Production[Job Number],0),MATCH(IFERROR(E90+0,E90),tbl_Production[Job Number],0))),INDEX(tbl_Production[Current RMS No],IFERROR(MATCH(E90&amp;"",tbl_Production[Job Number],0),MATCH(IFERROR(E90+0,E90),tbl_Production[Job Number],0))))),IFERROR(IF(INDEX(tbl_Consulting[Qwilr Quote],IFERROR(MATCH(E90&amp;"",tbl_Consulting[Job Number],0),MATCH(IFERROR(E90+0,E90),tbl_Consulting[Job Number],0)))="","",INDEX(tbl_Consulting[Qwilr Quote],IFERROR(MATCH(E90&amp;"",tbl_Consulting[Job Number],0),MATCH(IFERROR(E90+0,E90),tbl_Consulting[Job Number],0)))),""))))</f>
        <v/>
      </c>
      <c r="AD90" s="25">
        <f>IF(AC90="","",IF(AND(LEFT(AC90,4)&lt;&gt;"http",IF(H90="Production",set_RMSBase,set_QwilrBase)=""),"",HYPERLINK(IF(LEFT(AC90,4)="http",AC90,IF(H90="Production",set_RMSBase,set_QwilrBase)&amp;AC90),"Open")))</f>
        <v/>
      </c>
      <c r="AE90" s="27">
        <f>IF(E90="","",IFERROR(INDEX(tbl_Production[Total Expense],IFERROR(MATCH(E90&amp;"",tbl_Production[Job Number],0),MATCH(IFERROR(E90+0,E90),tbl_Production[Job Number],0))),IFERROR(INDEX(tbl_Consulting[Total Expense],IFERROR(MATCH(E90&amp;"",tbl_Consulting[Job Number],0),MATCH(IFERROR(E90+0,E90),tbl_Consulting[Job Number],0))),0)))</f>
        <v/>
      </c>
      <c r="AF90" s="27">
        <f>IF(E90="","",Z90-N(AE90))</f>
        <v/>
      </c>
      <c r="AG90" s="29">
        <f>IFERROR(AF90/Z90,"")</f>
        <v/>
      </c>
      <c r="AH90" s="25">
        <f>IF(E90="","",IFERROR(IF(INDEX(tbl_Onsite[Notes],IFERROR(MATCH(E90&amp;"",tbl_Onsite[Job Number],0),MATCH(IFERROR(E90+0,E90),tbl_Onsite[Job Number],0)))="","",INDEX(tbl_Onsite[Notes],IFERROR(MATCH(E90&amp;"",tbl_Onsite[Job Number],0),MATCH(IFERROR(E90+0,E90),tbl_Onsite[Job Number],0)))),IFERROR(IF(INDEX(tbl_Production[Notes],IFERROR(MATCH(E90&amp;"",tbl_Production[Job Number],0),MATCH(IFERROR(E90+0,E90),tbl_Production[Job Number],0)))="","",INDEX(tbl_Production[Notes],IFERROR(MATCH(E90&amp;"",tbl_Production[Job Number],0),MATCH(IFERROR(E90+0,E90),tbl_Production[Job Number],0)))),IFERROR(IF(INDEX(tbl_Consulting[Notes],IFERROR(MATCH(E90&amp;"",tbl_Consulting[Job Number],0),MATCH(IFERROR(E90+0,E90),tbl_Consulting[Job Number],0)))="","",INDEX(tbl_Consulting[Notes],IFERROR(MATCH(E90&amp;"",tbl_Consulting[Job Number],0),MATCH(IFERROR(E90+0,E90),tbl_Consulting[Job Number],0)))),""))))</f>
        <v/>
      </c>
    </row>
    <row r="91" ht="15" customHeight="1">
      <c r="A91" s="22" t="n"/>
      <c r="B91" s="23">
        <f>IF(A91="","",EOMONTH(A91,0))</f>
        <v/>
      </c>
      <c r="C91" s="24" t="n"/>
      <c r="D91" s="24" t="n"/>
      <c r="E91" s="24" t="n"/>
      <c r="F91" s="25">
        <f>IF(E91="","",IF(COUNTIF(lst_Jobs,E91&amp;"")&gt;0,"OK","CHECK"))</f>
        <v/>
      </c>
      <c r="G91" s="24" t="n"/>
      <c r="H91" s="24" t="n"/>
      <c r="I91" s="24" t="n"/>
      <c r="J91" s="24" t="n"/>
      <c r="K91" s="24" t="n"/>
      <c r="L91" s="26" t="n"/>
      <c r="M91" s="27">
        <f>IF(L91="","",IF(K91="GST 10%",ROUND(L91*set_GSTRate,2),0))</f>
        <v/>
      </c>
      <c r="N91" s="27">
        <f>IF(L91="","",L91+M91)</f>
        <v/>
      </c>
      <c r="O91" s="24" t="n"/>
      <c r="P91" s="24" t="n"/>
      <c r="Q91" s="24" t="n"/>
      <c r="R91" s="22" t="n"/>
      <c r="S91" s="22" t="n"/>
      <c r="T91" s="24" t="n"/>
      <c r="U91" s="24" t="n"/>
      <c r="V91" s="25">
        <f>IF(COUNTA(A91,D91,C91,L91)=0,"",IF(A91="","No date - sits outside every month",IF(E91="","No job number",IF(F91="CHECK","Job number is not in the Xero job list",IF(I91="","No cost centre",IF(AND(P91="Y",C91=""),"Marked posted to Xero but has no invoice number",IF(AND(L91&lt;&gt;"",K91=""),"No tax code",IF(AND(L91&lt;&gt;"",O91=""),"No revenue GL code",""))))))))</f>
        <v/>
      </c>
      <c r="W91" s="25">
        <f>IF(E91="","",IF(COUNTIF(tbl_Onsite[Job Number],E91&amp;"")&gt;0,"Onsite",IF(COUNTIF(tbl_Production[Job Number],E91&amp;"")&gt;0,"Production",IF(COUNTIF(tbl_Consulting[Job Number],E91&amp;"")&gt;0,"Consulting","not set up yet"))))</f>
        <v/>
      </c>
      <c r="X91" s="25">
        <f>IF(E91="","",IFERROR(INDEX(lst_JobName,MATCH(E91&amp;"",lst_Jobs,0)),""))</f>
        <v/>
      </c>
      <c r="Y91" s="28">
        <f>IF(E91="","",COUNTIFS(tbl_Finance[Job Number],E91&amp;"",tbl_Finance[Ex GST],"&lt;&gt;"))</f>
        <v/>
      </c>
      <c r="Z91" s="27">
        <f>IF(E91="","",SUMIFS(tbl_Finance[Ex GST],tbl_Finance[Job Number],E91&amp;""))</f>
        <v/>
      </c>
      <c r="AA91" s="27">
        <f>IF(E91="","",SUMIFS(tbl_Finance[Ex GST],tbl_Finance[Job Number],E91&amp;"",tbl_Finance[Xero Invoice No],"&lt;&gt;"))</f>
        <v/>
      </c>
      <c r="AB91" s="27">
        <f>IF(E91="","",Z91-AA91)</f>
        <v/>
      </c>
      <c r="AC91" s="25">
        <f>IF(E91="","",IFERROR(IF(INDEX(tbl_Onsite[Qwilr Quote],IFERROR(MATCH(E91&amp;"",tbl_Onsite[Job Number],0),MATCH(IFERROR(E91+0,E91),tbl_Onsite[Job Number],0)))="","",INDEX(tbl_Onsite[Qwilr Quote],IFERROR(MATCH(E91&amp;"",tbl_Onsite[Job Number],0),MATCH(IFERROR(E91+0,E91),tbl_Onsite[Job Number],0)))),IFERROR(IF(IF(INDEX(tbl_Production[Current RMS No],IFERROR(MATCH(E91&amp;"",tbl_Production[Job Number],0),MATCH(IFERROR(E91+0,E91),tbl_Production[Job Number],0)))="",INDEX(tbl_Production[Qwilr Quote],IFERROR(MATCH(E91&amp;"",tbl_Production[Job Number],0),MATCH(IFERROR(E91+0,E91),tbl_Production[Job Number],0))),INDEX(tbl_Production[Current RMS No],IFERROR(MATCH(E91&amp;"",tbl_Production[Job Number],0),MATCH(IFERROR(E91+0,E91),tbl_Production[Job Number],0))))="","",IF(INDEX(tbl_Production[Current RMS No],IFERROR(MATCH(E91&amp;"",tbl_Production[Job Number],0),MATCH(IFERROR(E91+0,E91),tbl_Production[Job Number],0)))="",INDEX(tbl_Production[Qwilr Quote],IFERROR(MATCH(E91&amp;"",tbl_Production[Job Number],0),MATCH(IFERROR(E91+0,E91),tbl_Production[Job Number],0))),INDEX(tbl_Production[Current RMS No],IFERROR(MATCH(E91&amp;"",tbl_Production[Job Number],0),MATCH(IFERROR(E91+0,E91),tbl_Production[Job Number],0))))),IFERROR(IF(INDEX(tbl_Consulting[Qwilr Quote],IFERROR(MATCH(E91&amp;"",tbl_Consulting[Job Number],0),MATCH(IFERROR(E91+0,E91),tbl_Consulting[Job Number],0)))="","",INDEX(tbl_Consulting[Qwilr Quote],IFERROR(MATCH(E91&amp;"",tbl_Consulting[Job Number],0),MATCH(IFERROR(E91+0,E91),tbl_Consulting[Job Number],0)))),""))))</f>
        <v/>
      </c>
      <c r="AD91" s="25">
        <f>IF(AC91="","",IF(AND(LEFT(AC91,4)&lt;&gt;"http",IF(H91="Production",set_RMSBase,set_QwilrBase)=""),"",HYPERLINK(IF(LEFT(AC91,4)="http",AC91,IF(H91="Production",set_RMSBase,set_QwilrBase)&amp;AC91),"Open")))</f>
        <v/>
      </c>
      <c r="AE91" s="27">
        <f>IF(E91="","",IFERROR(INDEX(tbl_Production[Total Expense],IFERROR(MATCH(E91&amp;"",tbl_Production[Job Number],0),MATCH(IFERROR(E91+0,E91),tbl_Production[Job Number],0))),IFERROR(INDEX(tbl_Consulting[Total Expense],IFERROR(MATCH(E91&amp;"",tbl_Consulting[Job Number],0),MATCH(IFERROR(E91+0,E91),tbl_Consulting[Job Number],0))),0)))</f>
        <v/>
      </c>
      <c r="AF91" s="27">
        <f>IF(E91="","",Z91-N(AE91))</f>
        <v/>
      </c>
      <c r="AG91" s="29">
        <f>IFERROR(AF91/Z91,"")</f>
        <v/>
      </c>
      <c r="AH91" s="25">
        <f>IF(E91="","",IFERROR(IF(INDEX(tbl_Onsite[Notes],IFERROR(MATCH(E91&amp;"",tbl_Onsite[Job Number],0),MATCH(IFERROR(E91+0,E91),tbl_Onsite[Job Number],0)))="","",INDEX(tbl_Onsite[Notes],IFERROR(MATCH(E91&amp;"",tbl_Onsite[Job Number],0),MATCH(IFERROR(E91+0,E91),tbl_Onsite[Job Number],0)))),IFERROR(IF(INDEX(tbl_Production[Notes],IFERROR(MATCH(E91&amp;"",tbl_Production[Job Number],0),MATCH(IFERROR(E91+0,E91),tbl_Production[Job Number],0)))="","",INDEX(tbl_Production[Notes],IFERROR(MATCH(E91&amp;"",tbl_Production[Job Number],0),MATCH(IFERROR(E91+0,E91),tbl_Production[Job Number],0)))),IFERROR(IF(INDEX(tbl_Consulting[Notes],IFERROR(MATCH(E91&amp;"",tbl_Consulting[Job Number],0),MATCH(IFERROR(E91+0,E91),tbl_Consulting[Job Number],0)))="","",INDEX(tbl_Consulting[Notes],IFERROR(MATCH(E91&amp;"",tbl_Consulting[Job Number],0),MATCH(IFERROR(E91+0,E91),tbl_Consulting[Job Number],0)))),""))))</f>
        <v/>
      </c>
    </row>
    <row r="92" ht="15" customHeight="1">
      <c r="A92" s="22" t="n"/>
      <c r="B92" s="23">
        <f>IF(A92="","",EOMONTH(A92,0))</f>
        <v/>
      </c>
      <c r="C92" s="24" t="n"/>
      <c r="D92" s="24" t="n"/>
      <c r="E92" s="24" t="n"/>
      <c r="F92" s="25">
        <f>IF(E92="","",IF(COUNTIF(lst_Jobs,E92&amp;"")&gt;0,"OK","CHECK"))</f>
        <v/>
      </c>
      <c r="G92" s="24" t="n"/>
      <c r="H92" s="24" t="n"/>
      <c r="I92" s="24" t="n"/>
      <c r="J92" s="24" t="n"/>
      <c r="K92" s="24" t="n"/>
      <c r="L92" s="26" t="n"/>
      <c r="M92" s="27">
        <f>IF(L92="","",IF(K92="GST 10%",ROUND(L92*set_GSTRate,2),0))</f>
        <v/>
      </c>
      <c r="N92" s="27">
        <f>IF(L92="","",L92+M92)</f>
        <v/>
      </c>
      <c r="O92" s="24" t="n"/>
      <c r="P92" s="24" t="n"/>
      <c r="Q92" s="24" t="n"/>
      <c r="R92" s="22" t="n"/>
      <c r="S92" s="22" t="n"/>
      <c r="T92" s="24" t="n"/>
      <c r="U92" s="24" t="n"/>
      <c r="V92" s="25">
        <f>IF(COUNTA(A92,D92,C92,L92)=0,"",IF(A92="","No date - sits outside every month",IF(E92="","No job number",IF(F92="CHECK","Job number is not in the Xero job list",IF(I92="","No cost centre",IF(AND(P92="Y",C92=""),"Marked posted to Xero but has no invoice number",IF(AND(L92&lt;&gt;"",K92=""),"No tax code",IF(AND(L92&lt;&gt;"",O92=""),"No revenue GL code",""))))))))</f>
        <v/>
      </c>
      <c r="W92" s="25">
        <f>IF(E92="","",IF(COUNTIF(tbl_Onsite[Job Number],E92&amp;"")&gt;0,"Onsite",IF(COUNTIF(tbl_Production[Job Number],E92&amp;"")&gt;0,"Production",IF(COUNTIF(tbl_Consulting[Job Number],E92&amp;"")&gt;0,"Consulting","not set up yet"))))</f>
        <v/>
      </c>
      <c r="X92" s="25">
        <f>IF(E92="","",IFERROR(INDEX(lst_JobName,MATCH(E92&amp;"",lst_Jobs,0)),""))</f>
        <v/>
      </c>
      <c r="Y92" s="28">
        <f>IF(E92="","",COUNTIFS(tbl_Finance[Job Number],E92&amp;"",tbl_Finance[Ex GST],"&lt;&gt;"))</f>
        <v/>
      </c>
      <c r="Z92" s="27">
        <f>IF(E92="","",SUMIFS(tbl_Finance[Ex GST],tbl_Finance[Job Number],E92&amp;""))</f>
        <v/>
      </c>
      <c r="AA92" s="27">
        <f>IF(E92="","",SUMIFS(tbl_Finance[Ex GST],tbl_Finance[Job Number],E92&amp;"",tbl_Finance[Xero Invoice No],"&lt;&gt;"))</f>
        <v/>
      </c>
      <c r="AB92" s="27">
        <f>IF(E92="","",Z92-AA92)</f>
        <v/>
      </c>
      <c r="AC92" s="25">
        <f>IF(E92="","",IFERROR(IF(INDEX(tbl_Onsite[Qwilr Quote],IFERROR(MATCH(E92&amp;"",tbl_Onsite[Job Number],0),MATCH(IFERROR(E92+0,E92),tbl_Onsite[Job Number],0)))="","",INDEX(tbl_Onsite[Qwilr Quote],IFERROR(MATCH(E92&amp;"",tbl_Onsite[Job Number],0),MATCH(IFERROR(E92+0,E92),tbl_Onsite[Job Number],0)))),IFERROR(IF(IF(INDEX(tbl_Production[Current RMS No],IFERROR(MATCH(E92&amp;"",tbl_Production[Job Number],0),MATCH(IFERROR(E92+0,E92),tbl_Production[Job Number],0)))="",INDEX(tbl_Production[Qwilr Quote],IFERROR(MATCH(E92&amp;"",tbl_Production[Job Number],0),MATCH(IFERROR(E92+0,E92),tbl_Production[Job Number],0))),INDEX(tbl_Production[Current RMS No],IFERROR(MATCH(E92&amp;"",tbl_Production[Job Number],0),MATCH(IFERROR(E92+0,E92),tbl_Production[Job Number],0))))="","",IF(INDEX(tbl_Production[Current RMS No],IFERROR(MATCH(E92&amp;"",tbl_Production[Job Number],0),MATCH(IFERROR(E92+0,E92),tbl_Production[Job Number],0)))="",INDEX(tbl_Production[Qwilr Quote],IFERROR(MATCH(E92&amp;"",tbl_Production[Job Number],0),MATCH(IFERROR(E92+0,E92),tbl_Production[Job Number],0))),INDEX(tbl_Production[Current RMS No],IFERROR(MATCH(E92&amp;"",tbl_Production[Job Number],0),MATCH(IFERROR(E92+0,E92),tbl_Production[Job Number],0))))),IFERROR(IF(INDEX(tbl_Consulting[Qwilr Quote],IFERROR(MATCH(E92&amp;"",tbl_Consulting[Job Number],0),MATCH(IFERROR(E92+0,E92),tbl_Consulting[Job Number],0)))="","",INDEX(tbl_Consulting[Qwilr Quote],IFERROR(MATCH(E92&amp;"",tbl_Consulting[Job Number],0),MATCH(IFERROR(E92+0,E92),tbl_Consulting[Job Number],0)))),""))))</f>
        <v/>
      </c>
      <c r="AD92" s="25">
        <f>IF(AC92="","",IF(AND(LEFT(AC92,4)&lt;&gt;"http",IF(H92="Production",set_RMSBase,set_QwilrBase)=""),"",HYPERLINK(IF(LEFT(AC92,4)="http",AC92,IF(H92="Production",set_RMSBase,set_QwilrBase)&amp;AC92),"Open")))</f>
        <v/>
      </c>
      <c r="AE92" s="27">
        <f>IF(E92="","",IFERROR(INDEX(tbl_Production[Total Expense],IFERROR(MATCH(E92&amp;"",tbl_Production[Job Number],0),MATCH(IFERROR(E92+0,E92),tbl_Production[Job Number],0))),IFERROR(INDEX(tbl_Consulting[Total Expense],IFERROR(MATCH(E92&amp;"",tbl_Consulting[Job Number],0),MATCH(IFERROR(E92+0,E92),tbl_Consulting[Job Number],0))),0)))</f>
        <v/>
      </c>
      <c r="AF92" s="27">
        <f>IF(E92="","",Z92-N(AE92))</f>
        <v/>
      </c>
      <c r="AG92" s="29">
        <f>IFERROR(AF92/Z92,"")</f>
        <v/>
      </c>
      <c r="AH92" s="25">
        <f>IF(E92="","",IFERROR(IF(INDEX(tbl_Onsite[Notes],IFERROR(MATCH(E92&amp;"",tbl_Onsite[Job Number],0),MATCH(IFERROR(E92+0,E92),tbl_Onsite[Job Number],0)))="","",INDEX(tbl_Onsite[Notes],IFERROR(MATCH(E92&amp;"",tbl_Onsite[Job Number],0),MATCH(IFERROR(E92+0,E92),tbl_Onsite[Job Number],0)))),IFERROR(IF(INDEX(tbl_Production[Notes],IFERROR(MATCH(E92&amp;"",tbl_Production[Job Number],0),MATCH(IFERROR(E92+0,E92),tbl_Production[Job Number],0)))="","",INDEX(tbl_Production[Notes],IFERROR(MATCH(E92&amp;"",tbl_Production[Job Number],0),MATCH(IFERROR(E92+0,E92),tbl_Production[Job Number],0)))),IFERROR(IF(INDEX(tbl_Consulting[Notes],IFERROR(MATCH(E92&amp;"",tbl_Consulting[Job Number],0),MATCH(IFERROR(E92+0,E92),tbl_Consulting[Job Number],0)))="","",INDEX(tbl_Consulting[Notes],IFERROR(MATCH(E92&amp;"",tbl_Consulting[Job Number],0),MATCH(IFERROR(E92+0,E92),tbl_Consulting[Job Number],0)))),""))))</f>
        <v/>
      </c>
    </row>
    <row r="93" ht="15" customHeight="1">
      <c r="A93" s="22" t="n"/>
      <c r="B93" s="23">
        <f>IF(A93="","",EOMONTH(A93,0))</f>
        <v/>
      </c>
      <c r="C93" s="24" t="n"/>
      <c r="D93" s="24" t="n"/>
      <c r="E93" s="24" t="n"/>
      <c r="F93" s="25">
        <f>IF(E93="","",IF(COUNTIF(lst_Jobs,E93&amp;"")&gt;0,"OK","CHECK"))</f>
        <v/>
      </c>
      <c r="G93" s="24" t="n"/>
      <c r="H93" s="24" t="n"/>
      <c r="I93" s="24" t="n"/>
      <c r="J93" s="24" t="n"/>
      <c r="K93" s="24" t="n"/>
      <c r="L93" s="26" t="n"/>
      <c r="M93" s="27">
        <f>IF(L93="","",IF(K93="GST 10%",ROUND(L93*set_GSTRate,2),0))</f>
        <v/>
      </c>
      <c r="N93" s="27">
        <f>IF(L93="","",L93+M93)</f>
        <v/>
      </c>
      <c r="O93" s="24" t="n"/>
      <c r="P93" s="24" t="n"/>
      <c r="Q93" s="24" t="n"/>
      <c r="R93" s="22" t="n"/>
      <c r="S93" s="22" t="n"/>
      <c r="T93" s="24" t="n"/>
      <c r="U93" s="24" t="n"/>
      <c r="V93" s="25">
        <f>IF(COUNTA(A93,D93,C93,L93)=0,"",IF(A93="","No date - sits outside every month",IF(E93="","No job number",IF(F93="CHECK","Job number is not in the Xero job list",IF(I93="","No cost centre",IF(AND(P93="Y",C93=""),"Marked posted to Xero but has no invoice number",IF(AND(L93&lt;&gt;"",K93=""),"No tax code",IF(AND(L93&lt;&gt;"",O93=""),"No revenue GL code",""))))))))</f>
        <v/>
      </c>
      <c r="W93" s="25">
        <f>IF(E93="","",IF(COUNTIF(tbl_Onsite[Job Number],E93&amp;"")&gt;0,"Onsite",IF(COUNTIF(tbl_Production[Job Number],E93&amp;"")&gt;0,"Production",IF(COUNTIF(tbl_Consulting[Job Number],E93&amp;"")&gt;0,"Consulting","not set up yet"))))</f>
        <v/>
      </c>
      <c r="X93" s="25">
        <f>IF(E93="","",IFERROR(INDEX(lst_JobName,MATCH(E93&amp;"",lst_Jobs,0)),""))</f>
        <v/>
      </c>
      <c r="Y93" s="28">
        <f>IF(E93="","",COUNTIFS(tbl_Finance[Job Number],E93&amp;"",tbl_Finance[Ex GST],"&lt;&gt;"))</f>
        <v/>
      </c>
      <c r="Z93" s="27">
        <f>IF(E93="","",SUMIFS(tbl_Finance[Ex GST],tbl_Finance[Job Number],E93&amp;""))</f>
        <v/>
      </c>
      <c r="AA93" s="27">
        <f>IF(E93="","",SUMIFS(tbl_Finance[Ex GST],tbl_Finance[Job Number],E93&amp;"",tbl_Finance[Xero Invoice No],"&lt;&gt;"))</f>
        <v/>
      </c>
      <c r="AB93" s="27">
        <f>IF(E93="","",Z93-AA93)</f>
        <v/>
      </c>
      <c r="AC93" s="25">
        <f>IF(E93="","",IFERROR(IF(INDEX(tbl_Onsite[Qwilr Quote],IFERROR(MATCH(E93&amp;"",tbl_Onsite[Job Number],0),MATCH(IFERROR(E93+0,E93),tbl_Onsite[Job Number],0)))="","",INDEX(tbl_Onsite[Qwilr Quote],IFERROR(MATCH(E93&amp;"",tbl_Onsite[Job Number],0),MATCH(IFERROR(E93+0,E93),tbl_Onsite[Job Number],0)))),IFERROR(IF(IF(INDEX(tbl_Production[Current RMS No],IFERROR(MATCH(E93&amp;"",tbl_Production[Job Number],0),MATCH(IFERROR(E93+0,E93),tbl_Production[Job Number],0)))="",INDEX(tbl_Production[Qwilr Quote],IFERROR(MATCH(E93&amp;"",tbl_Production[Job Number],0),MATCH(IFERROR(E93+0,E93),tbl_Production[Job Number],0))),INDEX(tbl_Production[Current RMS No],IFERROR(MATCH(E93&amp;"",tbl_Production[Job Number],0),MATCH(IFERROR(E93+0,E93),tbl_Production[Job Number],0))))="","",IF(INDEX(tbl_Production[Current RMS No],IFERROR(MATCH(E93&amp;"",tbl_Production[Job Number],0),MATCH(IFERROR(E93+0,E93),tbl_Production[Job Number],0)))="",INDEX(tbl_Production[Qwilr Quote],IFERROR(MATCH(E93&amp;"",tbl_Production[Job Number],0),MATCH(IFERROR(E93+0,E93),tbl_Production[Job Number],0))),INDEX(tbl_Production[Current RMS No],IFERROR(MATCH(E93&amp;"",tbl_Production[Job Number],0),MATCH(IFERROR(E93+0,E93),tbl_Production[Job Number],0))))),IFERROR(IF(INDEX(tbl_Consulting[Qwilr Quote],IFERROR(MATCH(E93&amp;"",tbl_Consulting[Job Number],0),MATCH(IFERROR(E93+0,E93),tbl_Consulting[Job Number],0)))="","",INDEX(tbl_Consulting[Qwilr Quote],IFERROR(MATCH(E93&amp;"",tbl_Consulting[Job Number],0),MATCH(IFERROR(E93+0,E93),tbl_Consulting[Job Number],0)))),""))))</f>
        <v/>
      </c>
      <c r="AD93" s="25">
        <f>IF(AC93="","",IF(AND(LEFT(AC93,4)&lt;&gt;"http",IF(H93="Production",set_RMSBase,set_QwilrBase)=""),"",HYPERLINK(IF(LEFT(AC93,4)="http",AC93,IF(H93="Production",set_RMSBase,set_QwilrBase)&amp;AC93),"Open")))</f>
        <v/>
      </c>
      <c r="AE93" s="27">
        <f>IF(E93="","",IFERROR(INDEX(tbl_Production[Total Expense],IFERROR(MATCH(E93&amp;"",tbl_Production[Job Number],0),MATCH(IFERROR(E93+0,E93),tbl_Production[Job Number],0))),IFERROR(INDEX(tbl_Consulting[Total Expense],IFERROR(MATCH(E93&amp;"",tbl_Consulting[Job Number],0),MATCH(IFERROR(E93+0,E93),tbl_Consulting[Job Number],0))),0)))</f>
        <v/>
      </c>
      <c r="AF93" s="27">
        <f>IF(E93="","",Z93-N(AE93))</f>
        <v/>
      </c>
      <c r="AG93" s="29">
        <f>IFERROR(AF93/Z93,"")</f>
        <v/>
      </c>
      <c r="AH93" s="25">
        <f>IF(E93="","",IFERROR(IF(INDEX(tbl_Onsite[Notes],IFERROR(MATCH(E93&amp;"",tbl_Onsite[Job Number],0),MATCH(IFERROR(E93+0,E93),tbl_Onsite[Job Number],0)))="","",INDEX(tbl_Onsite[Notes],IFERROR(MATCH(E93&amp;"",tbl_Onsite[Job Number],0),MATCH(IFERROR(E93+0,E93),tbl_Onsite[Job Number],0)))),IFERROR(IF(INDEX(tbl_Production[Notes],IFERROR(MATCH(E93&amp;"",tbl_Production[Job Number],0),MATCH(IFERROR(E93+0,E93),tbl_Production[Job Number],0)))="","",INDEX(tbl_Production[Notes],IFERROR(MATCH(E93&amp;"",tbl_Production[Job Number],0),MATCH(IFERROR(E93+0,E93),tbl_Production[Job Number],0)))),IFERROR(IF(INDEX(tbl_Consulting[Notes],IFERROR(MATCH(E93&amp;"",tbl_Consulting[Job Number],0),MATCH(IFERROR(E93+0,E93),tbl_Consulting[Job Number],0)))="","",INDEX(tbl_Consulting[Notes],IFERROR(MATCH(E93&amp;"",tbl_Consulting[Job Number],0),MATCH(IFERROR(E93+0,E93),tbl_Consulting[Job Number],0)))),""))))</f>
        <v/>
      </c>
    </row>
    <row r="94" ht="15" customHeight="1">
      <c r="A94" s="22" t="n"/>
      <c r="B94" s="23">
        <f>IF(A94="","",EOMONTH(A94,0))</f>
        <v/>
      </c>
      <c r="C94" s="24" t="n"/>
      <c r="D94" s="24" t="n"/>
      <c r="E94" s="24" t="n"/>
      <c r="F94" s="25">
        <f>IF(E94="","",IF(COUNTIF(lst_Jobs,E94&amp;"")&gt;0,"OK","CHECK"))</f>
        <v/>
      </c>
      <c r="G94" s="24" t="n"/>
      <c r="H94" s="24" t="n"/>
      <c r="I94" s="24" t="n"/>
      <c r="J94" s="24" t="n"/>
      <c r="K94" s="24" t="n"/>
      <c r="L94" s="26" t="n"/>
      <c r="M94" s="27">
        <f>IF(L94="","",IF(K94="GST 10%",ROUND(L94*set_GSTRate,2),0))</f>
        <v/>
      </c>
      <c r="N94" s="27">
        <f>IF(L94="","",L94+M94)</f>
        <v/>
      </c>
      <c r="O94" s="24" t="n"/>
      <c r="P94" s="24" t="n"/>
      <c r="Q94" s="24" t="n"/>
      <c r="R94" s="22" t="n"/>
      <c r="S94" s="22" t="n"/>
      <c r="T94" s="24" t="n"/>
      <c r="U94" s="24" t="n"/>
      <c r="V94" s="25">
        <f>IF(COUNTA(A94,D94,C94,L94)=0,"",IF(A94="","No date - sits outside every month",IF(E94="","No job number",IF(F94="CHECK","Job number is not in the Xero job list",IF(I94="","No cost centre",IF(AND(P94="Y",C94=""),"Marked posted to Xero but has no invoice number",IF(AND(L94&lt;&gt;"",K94=""),"No tax code",IF(AND(L94&lt;&gt;"",O94=""),"No revenue GL code",""))))))))</f>
        <v/>
      </c>
      <c r="W94" s="25">
        <f>IF(E94="","",IF(COUNTIF(tbl_Onsite[Job Number],E94&amp;"")&gt;0,"Onsite",IF(COUNTIF(tbl_Production[Job Number],E94&amp;"")&gt;0,"Production",IF(COUNTIF(tbl_Consulting[Job Number],E94&amp;"")&gt;0,"Consulting","not set up yet"))))</f>
        <v/>
      </c>
      <c r="X94" s="25">
        <f>IF(E94="","",IFERROR(INDEX(lst_JobName,MATCH(E94&amp;"",lst_Jobs,0)),""))</f>
        <v/>
      </c>
      <c r="Y94" s="28">
        <f>IF(E94="","",COUNTIFS(tbl_Finance[Job Number],E94&amp;"",tbl_Finance[Ex GST],"&lt;&gt;"))</f>
        <v/>
      </c>
      <c r="Z94" s="27">
        <f>IF(E94="","",SUMIFS(tbl_Finance[Ex GST],tbl_Finance[Job Number],E94&amp;""))</f>
        <v/>
      </c>
      <c r="AA94" s="27">
        <f>IF(E94="","",SUMIFS(tbl_Finance[Ex GST],tbl_Finance[Job Number],E94&amp;"",tbl_Finance[Xero Invoice No],"&lt;&gt;"))</f>
        <v/>
      </c>
      <c r="AB94" s="27">
        <f>IF(E94="","",Z94-AA94)</f>
        <v/>
      </c>
      <c r="AC94" s="25">
        <f>IF(E94="","",IFERROR(IF(INDEX(tbl_Onsite[Qwilr Quote],IFERROR(MATCH(E94&amp;"",tbl_Onsite[Job Number],0),MATCH(IFERROR(E94+0,E94),tbl_Onsite[Job Number],0)))="","",INDEX(tbl_Onsite[Qwilr Quote],IFERROR(MATCH(E94&amp;"",tbl_Onsite[Job Number],0),MATCH(IFERROR(E94+0,E94),tbl_Onsite[Job Number],0)))),IFERROR(IF(IF(INDEX(tbl_Production[Current RMS No],IFERROR(MATCH(E94&amp;"",tbl_Production[Job Number],0),MATCH(IFERROR(E94+0,E94),tbl_Production[Job Number],0)))="",INDEX(tbl_Production[Qwilr Quote],IFERROR(MATCH(E94&amp;"",tbl_Production[Job Number],0),MATCH(IFERROR(E94+0,E94),tbl_Production[Job Number],0))),INDEX(tbl_Production[Current RMS No],IFERROR(MATCH(E94&amp;"",tbl_Production[Job Number],0),MATCH(IFERROR(E94+0,E94),tbl_Production[Job Number],0))))="","",IF(INDEX(tbl_Production[Current RMS No],IFERROR(MATCH(E94&amp;"",tbl_Production[Job Number],0),MATCH(IFERROR(E94+0,E94),tbl_Production[Job Number],0)))="",INDEX(tbl_Production[Qwilr Quote],IFERROR(MATCH(E94&amp;"",tbl_Production[Job Number],0),MATCH(IFERROR(E94+0,E94),tbl_Production[Job Number],0))),INDEX(tbl_Production[Current RMS No],IFERROR(MATCH(E94&amp;"",tbl_Production[Job Number],0),MATCH(IFERROR(E94+0,E94),tbl_Production[Job Number],0))))),IFERROR(IF(INDEX(tbl_Consulting[Qwilr Quote],IFERROR(MATCH(E94&amp;"",tbl_Consulting[Job Number],0),MATCH(IFERROR(E94+0,E94),tbl_Consulting[Job Number],0)))="","",INDEX(tbl_Consulting[Qwilr Quote],IFERROR(MATCH(E94&amp;"",tbl_Consulting[Job Number],0),MATCH(IFERROR(E94+0,E94),tbl_Consulting[Job Number],0)))),""))))</f>
        <v/>
      </c>
      <c r="AD94" s="25">
        <f>IF(AC94="","",IF(AND(LEFT(AC94,4)&lt;&gt;"http",IF(H94="Production",set_RMSBase,set_QwilrBase)=""),"",HYPERLINK(IF(LEFT(AC94,4)="http",AC94,IF(H94="Production",set_RMSBase,set_QwilrBase)&amp;AC94),"Open")))</f>
        <v/>
      </c>
      <c r="AE94" s="27">
        <f>IF(E94="","",IFERROR(INDEX(tbl_Production[Total Expense],IFERROR(MATCH(E94&amp;"",tbl_Production[Job Number],0),MATCH(IFERROR(E94+0,E94),tbl_Production[Job Number],0))),IFERROR(INDEX(tbl_Consulting[Total Expense],IFERROR(MATCH(E94&amp;"",tbl_Consulting[Job Number],0),MATCH(IFERROR(E94+0,E94),tbl_Consulting[Job Number],0))),0)))</f>
        <v/>
      </c>
      <c r="AF94" s="27">
        <f>IF(E94="","",Z94-N(AE94))</f>
        <v/>
      </c>
      <c r="AG94" s="29">
        <f>IFERROR(AF94/Z94,"")</f>
        <v/>
      </c>
      <c r="AH94" s="25">
        <f>IF(E94="","",IFERROR(IF(INDEX(tbl_Onsite[Notes],IFERROR(MATCH(E94&amp;"",tbl_Onsite[Job Number],0),MATCH(IFERROR(E94+0,E94),tbl_Onsite[Job Number],0)))="","",INDEX(tbl_Onsite[Notes],IFERROR(MATCH(E94&amp;"",tbl_Onsite[Job Number],0),MATCH(IFERROR(E94+0,E94),tbl_Onsite[Job Number],0)))),IFERROR(IF(INDEX(tbl_Production[Notes],IFERROR(MATCH(E94&amp;"",tbl_Production[Job Number],0),MATCH(IFERROR(E94+0,E94),tbl_Production[Job Number],0)))="","",INDEX(tbl_Production[Notes],IFERROR(MATCH(E94&amp;"",tbl_Production[Job Number],0),MATCH(IFERROR(E94+0,E94),tbl_Production[Job Number],0)))),IFERROR(IF(INDEX(tbl_Consulting[Notes],IFERROR(MATCH(E94&amp;"",tbl_Consulting[Job Number],0),MATCH(IFERROR(E94+0,E94),tbl_Consulting[Job Number],0)))="","",INDEX(tbl_Consulting[Notes],IFERROR(MATCH(E94&amp;"",tbl_Consulting[Job Number],0),MATCH(IFERROR(E94+0,E94),tbl_Consulting[Job Number],0)))),""))))</f>
        <v/>
      </c>
    </row>
    <row r="95" ht="15" customHeight="1">
      <c r="A95" s="22" t="n"/>
      <c r="B95" s="23">
        <f>IF(A95="","",EOMONTH(A95,0))</f>
        <v/>
      </c>
      <c r="C95" s="24" t="n"/>
      <c r="D95" s="24" t="n"/>
      <c r="E95" s="24" t="n"/>
      <c r="F95" s="25">
        <f>IF(E95="","",IF(COUNTIF(lst_Jobs,E95&amp;"")&gt;0,"OK","CHECK"))</f>
        <v/>
      </c>
      <c r="G95" s="24" t="n"/>
      <c r="H95" s="24" t="n"/>
      <c r="I95" s="24" t="n"/>
      <c r="J95" s="24" t="n"/>
      <c r="K95" s="24" t="n"/>
      <c r="L95" s="26" t="n"/>
      <c r="M95" s="27">
        <f>IF(L95="","",IF(K95="GST 10%",ROUND(L95*set_GSTRate,2),0))</f>
        <v/>
      </c>
      <c r="N95" s="27">
        <f>IF(L95="","",L95+M95)</f>
        <v/>
      </c>
      <c r="O95" s="24" t="n"/>
      <c r="P95" s="24" t="n"/>
      <c r="Q95" s="24" t="n"/>
      <c r="R95" s="22" t="n"/>
      <c r="S95" s="22" t="n"/>
      <c r="T95" s="24" t="n"/>
      <c r="U95" s="24" t="n"/>
      <c r="V95" s="25">
        <f>IF(COUNTA(A95,D95,C95,L95)=0,"",IF(A95="","No date - sits outside every month",IF(E95="","No job number",IF(F95="CHECK","Job number is not in the Xero job list",IF(I95="","No cost centre",IF(AND(P95="Y",C95=""),"Marked posted to Xero but has no invoice number",IF(AND(L95&lt;&gt;"",K95=""),"No tax code",IF(AND(L95&lt;&gt;"",O95=""),"No revenue GL code",""))))))))</f>
        <v/>
      </c>
      <c r="W95" s="25">
        <f>IF(E95="","",IF(COUNTIF(tbl_Onsite[Job Number],E95&amp;"")&gt;0,"Onsite",IF(COUNTIF(tbl_Production[Job Number],E95&amp;"")&gt;0,"Production",IF(COUNTIF(tbl_Consulting[Job Number],E95&amp;"")&gt;0,"Consulting","not set up yet"))))</f>
        <v/>
      </c>
      <c r="X95" s="25">
        <f>IF(E95="","",IFERROR(INDEX(lst_JobName,MATCH(E95&amp;"",lst_Jobs,0)),""))</f>
        <v/>
      </c>
      <c r="Y95" s="28">
        <f>IF(E95="","",COUNTIFS(tbl_Finance[Job Number],E95&amp;"",tbl_Finance[Ex GST],"&lt;&gt;"))</f>
        <v/>
      </c>
      <c r="Z95" s="27">
        <f>IF(E95="","",SUMIFS(tbl_Finance[Ex GST],tbl_Finance[Job Number],E95&amp;""))</f>
        <v/>
      </c>
      <c r="AA95" s="27">
        <f>IF(E95="","",SUMIFS(tbl_Finance[Ex GST],tbl_Finance[Job Number],E95&amp;"",tbl_Finance[Xero Invoice No],"&lt;&gt;"))</f>
        <v/>
      </c>
      <c r="AB95" s="27">
        <f>IF(E95="","",Z95-AA95)</f>
        <v/>
      </c>
      <c r="AC95" s="25">
        <f>IF(E95="","",IFERROR(IF(INDEX(tbl_Onsite[Qwilr Quote],IFERROR(MATCH(E95&amp;"",tbl_Onsite[Job Number],0),MATCH(IFERROR(E95+0,E95),tbl_Onsite[Job Number],0)))="","",INDEX(tbl_Onsite[Qwilr Quote],IFERROR(MATCH(E95&amp;"",tbl_Onsite[Job Number],0),MATCH(IFERROR(E95+0,E95),tbl_Onsite[Job Number],0)))),IFERROR(IF(IF(INDEX(tbl_Production[Current RMS No],IFERROR(MATCH(E95&amp;"",tbl_Production[Job Number],0),MATCH(IFERROR(E95+0,E95),tbl_Production[Job Number],0)))="",INDEX(tbl_Production[Qwilr Quote],IFERROR(MATCH(E95&amp;"",tbl_Production[Job Number],0),MATCH(IFERROR(E95+0,E95),tbl_Production[Job Number],0))),INDEX(tbl_Production[Current RMS No],IFERROR(MATCH(E95&amp;"",tbl_Production[Job Number],0),MATCH(IFERROR(E95+0,E95),tbl_Production[Job Number],0))))="","",IF(INDEX(tbl_Production[Current RMS No],IFERROR(MATCH(E95&amp;"",tbl_Production[Job Number],0),MATCH(IFERROR(E95+0,E95),tbl_Production[Job Number],0)))="",INDEX(tbl_Production[Qwilr Quote],IFERROR(MATCH(E95&amp;"",tbl_Production[Job Number],0),MATCH(IFERROR(E95+0,E95),tbl_Production[Job Number],0))),INDEX(tbl_Production[Current RMS No],IFERROR(MATCH(E95&amp;"",tbl_Production[Job Number],0),MATCH(IFERROR(E95+0,E95),tbl_Production[Job Number],0))))),IFERROR(IF(INDEX(tbl_Consulting[Qwilr Quote],IFERROR(MATCH(E95&amp;"",tbl_Consulting[Job Number],0),MATCH(IFERROR(E95+0,E95),tbl_Consulting[Job Number],0)))="","",INDEX(tbl_Consulting[Qwilr Quote],IFERROR(MATCH(E95&amp;"",tbl_Consulting[Job Number],0),MATCH(IFERROR(E95+0,E95),tbl_Consulting[Job Number],0)))),""))))</f>
        <v/>
      </c>
      <c r="AD95" s="25">
        <f>IF(AC95="","",IF(AND(LEFT(AC95,4)&lt;&gt;"http",IF(H95="Production",set_RMSBase,set_QwilrBase)=""),"",HYPERLINK(IF(LEFT(AC95,4)="http",AC95,IF(H95="Production",set_RMSBase,set_QwilrBase)&amp;AC95),"Open")))</f>
        <v/>
      </c>
      <c r="AE95" s="27">
        <f>IF(E95="","",IFERROR(INDEX(tbl_Production[Total Expense],IFERROR(MATCH(E95&amp;"",tbl_Production[Job Number],0),MATCH(IFERROR(E95+0,E95),tbl_Production[Job Number],0))),IFERROR(INDEX(tbl_Consulting[Total Expense],IFERROR(MATCH(E95&amp;"",tbl_Consulting[Job Number],0),MATCH(IFERROR(E95+0,E95),tbl_Consulting[Job Number],0))),0)))</f>
        <v/>
      </c>
      <c r="AF95" s="27">
        <f>IF(E95="","",Z95-N(AE95))</f>
        <v/>
      </c>
      <c r="AG95" s="29">
        <f>IFERROR(AF95/Z95,"")</f>
        <v/>
      </c>
      <c r="AH95" s="25">
        <f>IF(E95="","",IFERROR(IF(INDEX(tbl_Onsite[Notes],IFERROR(MATCH(E95&amp;"",tbl_Onsite[Job Number],0),MATCH(IFERROR(E95+0,E95),tbl_Onsite[Job Number],0)))="","",INDEX(tbl_Onsite[Notes],IFERROR(MATCH(E95&amp;"",tbl_Onsite[Job Number],0),MATCH(IFERROR(E95+0,E95),tbl_Onsite[Job Number],0)))),IFERROR(IF(INDEX(tbl_Production[Notes],IFERROR(MATCH(E95&amp;"",tbl_Production[Job Number],0),MATCH(IFERROR(E95+0,E95),tbl_Production[Job Number],0)))="","",INDEX(tbl_Production[Notes],IFERROR(MATCH(E95&amp;"",tbl_Production[Job Number],0),MATCH(IFERROR(E95+0,E95),tbl_Production[Job Number],0)))),IFERROR(IF(INDEX(tbl_Consulting[Notes],IFERROR(MATCH(E95&amp;"",tbl_Consulting[Job Number],0),MATCH(IFERROR(E95+0,E95),tbl_Consulting[Job Number],0)))="","",INDEX(tbl_Consulting[Notes],IFERROR(MATCH(E95&amp;"",tbl_Consulting[Job Number],0),MATCH(IFERROR(E95+0,E95),tbl_Consulting[Job Number],0)))),""))))</f>
        <v/>
      </c>
    </row>
    <row r="96" ht="15" customHeight="1">
      <c r="A96" s="22" t="n"/>
      <c r="B96" s="23">
        <f>IF(A96="","",EOMONTH(A96,0))</f>
        <v/>
      </c>
      <c r="C96" s="24" t="n"/>
      <c r="D96" s="24" t="n"/>
      <c r="E96" s="24" t="n"/>
      <c r="F96" s="25">
        <f>IF(E96="","",IF(COUNTIF(lst_Jobs,E96&amp;"")&gt;0,"OK","CHECK"))</f>
        <v/>
      </c>
      <c r="G96" s="24" t="n"/>
      <c r="H96" s="24" t="n"/>
      <c r="I96" s="24" t="n"/>
      <c r="J96" s="24" t="n"/>
      <c r="K96" s="24" t="n"/>
      <c r="L96" s="26" t="n"/>
      <c r="M96" s="27">
        <f>IF(L96="","",IF(K96="GST 10%",ROUND(L96*set_GSTRate,2),0))</f>
        <v/>
      </c>
      <c r="N96" s="27">
        <f>IF(L96="","",L96+M96)</f>
        <v/>
      </c>
      <c r="O96" s="24" t="n"/>
      <c r="P96" s="24" t="n"/>
      <c r="Q96" s="24" t="n"/>
      <c r="R96" s="22" t="n"/>
      <c r="S96" s="22" t="n"/>
      <c r="T96" s="24" t="n"/>
      <c r="U96" s="24" t="n"/>
      <c r="V96" s="25">
        <f>IF(COUNTA(A96,D96,C96,L96)=0,"",IF(A96="","No date - sits outside every month",IF(E96="","No job number",IF(F96="CHECK","Job number is not in the Xero job list",IF(I96="","No cost centre",IF(AND(P96="Y",C96=""),"Marked posted to Xero but has no invoice number",IF(AND(L96&lt;&gt;"",K96=""),"No tax code",IF(AND(L96&lt;&gt;"",O96=""),"No revenue GL code",""))))))))</f>
        <v/>
      </c>
      <c r="W96" s="25">
        <f>IF(E96="","",IF(COUNTIF(tbl_Onsite[Job Number],E96&amp;"")&gt;0,"Onsite",IF(COUNTIF(tbl_Production[Job Number],E96&amp;"")&gt;0,"Production",IF(COUNTIF(tbl_Consulting[Job Number],E96&amp;"")&gt;0,"Consulting","not set up yet"))))</f>
        <v/>
      </c>
      <c r="X96" s="25">
        <f>IF(E96="","",IFERROR(INDEX(lst_JobName,MATCH(E96&amp;"",lst_Jobs,0)),""))</f>
        <v/>
      </c>
      <c r="Y96" s="28">
        <f>IF(E96="","",COUNTIFS(tbl_Finance[Job Number],E96&amp;"",tbl_Finance[Ex GST],"&lt;&gt;"))</f>
        <v/>
      </c>
      <c r="Z96" s="27">
        <f>IF(E96="","",SUMIFS(tbl_Finance[Ex GST],tbl_Finance[Job Number],E96&amp;""))</f>
        <v/>
      </c>
      <c r="AA96" s="27">
        <f>IF(E96="","",SUMIFS(tbl_Finance[Ex GST],tbl_Finance[Job Number],E96&amp;"",tbl_Finance[Xero Invoice No],"&lt;&gt;"))</f>
        <v/>
      </c>
      <c r="AB96" s="27">
        <f>IF(E96="","",Z96-AA96)</f>
        <v/>
      </c>
      <c r="AC96" s="25">
        <f>IF(E96="","",IFERROR(IF(INDEX(tbl_Onsite[Qwilr Quote],IFERROR(MATCH(E96&amp;"",tbl_Onsite[Job Number],0),MATCH(IFERROR(E96+0,E96),tbl_Onsite[Job Number],0)))="","",INDEX(tbl_Onsite[Qwilr Quote],IFERROR(MATCH(E96&amp;"",tbl_Onsite[Job Number],0),MATCH(IFERROR(E96+0,E96),tbl_Onsite[Job Number],0)))),IFERROR(IF(IF(INDEX(tbl_Production[Current RMS No],IFERROR(MATCH(E96&amp;"",tbl_Production[Job Number],0),MATCH(IFERROR(E96+0,E96),tbl_Production[Job Number],0)))="",INDEX(tbl_Production[Qwilr Quote],IFERROR(MATCH(E96&amp;"",tbl_Production[Job Number],0),MATCH(IFERROR(E96+0,E96),tbl_Production[Job Number],0))),INDEX(tbl_Production[Current RMS No],IFERROR(MATCH(E96&amp;"",tbl_Production[Job Number],0),MATCH(IFERROR(E96+0,E96),tbl_Production[Job Number],0))))="","",IF(INDEX(tbl_Production[Current RMS No],IFERROR(MATCH(E96&amp;"",tbl_Production[Job Number],0),MATCH(IFERROR(E96+0,E96),tbl_Production[Job Number],0)))="",INDEX(tbl_Production[Qwilr Quote],IFERROR(MATCH(E96&amp;"",tbl_Production[Job Number],0),MATCH(IFERROR(E96+0,E96),tbl_Production[Job Number],0))),INDEX(tbl_Production[Current RMS No],IFERROR(MATCH(E96&amp;"",tbl_Production[Job Number],0),MATCH(IFERROR(E96+0,E96),tbl_Production[Job Number],0))))),IFERROR(IF(INDEX(tbl_Consulting[Qwilr Quote],IFERROR(MATCH(E96&amp;"",tbl_Consulting[Job Number],0),MATCH(IFERROR(E96+0,E96),tbl_Consulting[Job Number],0)))="","",INDEX(tbl_Consulting[Qwilr Quote],IFERROR(MATCH(E96&amp;"",tbl_Consulting[Job Number],0),MATCH(IFERROR(E96+0,E96),tbl_Consulting[Job Number],0)))),""))))</f>
        <v/>
      </c>
      <c r="AD96" s="25">
        <f>IF(AC96="","",IF(AND(LEFT(AC96,4)&lt;&gt;"http",IF(H96="Production",set_RMSBase,set_QwilrBase)=""),"",HYPERLINK(IF(LEFT(AC96,4)="http",AC96,IF(H96="Production",set_RMSBase,set_QwilrBase)&amp;AC96),"Open")))</f>
        <v/>
      </c>
      <c r="AE96" s="27">
        <f>IF(E96="","",IFERROR(INDEX(tbl_Production[Total Expense],IFERROR(MATCH(E96&amp;"",tbl_Production[Job Number],0),MATCH(IFERROR(E96+0,E96),tbl_Production[Job Number],0))),IFERROR(INDEX(tbl_Consulting[Total Expense],IFERROR(MATCH(E96&amp;"",tbl_Consulting[Job Number],0),MATCH(IFERROR(E96+0,E96),tbl_Consulting[Job Number],0))),0)))</f>
        <v/>
      </c>
      <c r="AF96" s="27">
        <f>IF(E96="","",Z96-N(AE96))</f>
        <v/>
      </c>
      <c r="AG96" s="29">
        <f>IFERROR(AF96/Z96,"")</f>
        <v/>
      </c>
      <c r="AH96" s="25">
        <f>IF(E96="","",IFERROR(IF(INDEX(tbl_Onsite[Notes],IFERROR(MATCH(E96&amp;"",tbl_Onsite[Job Number],0),MATCH(IFERROR(E96+0,E96),tbl_Onsite[Job Number],0)))="","",INDEX(tbl_Onsite[Notes],IFERROR(MATCH(E96&amp;"",tbl_Onsite[Job Number],0),MATCH(IFERROR(E96+0,E96),tbl_Onsite[Job Number],0)))),IFERROR(IF(INDEX(tbl_Production[Notes],IFERROR(MATCH(E96&amp;"",tbl_Production[Job Number],0),MATCH(IFERROR(E96+0,E96),tbl_Production[Job Number],0)))="","",INDEX(tbl_Production[Notes],IFERROR(MATCH(E96&amp;"",tbl_Production[Job Number],0),MATCH(IFERROR(E96+0,E96),tbl_Production[Job Number],0)))),IFERROR(IF(INDEX(tbl_Consulting[Notes],IFERROR(MATCH(E96&amp;"",tbl_Consulting[Job Number],0),MATCH(IFERROR(E96+0,E96),tbl_Consulting[Job Number],0)))="","",INDEX(tbl_Consulting[Notes],IFERROR(MATCH(E96&amp;"",tbl_Consulting[Job Number],0),MATCH(IFERROR(E96+0,E96),tbl_Consulting[Job Number],0)))),""))))</f>
        <v/>
      </c>
    </row>
    <row r="97" ht="15" customHeight="1">
      <c r="A97" s="22" t="n"/>
      <c r="B97" s="23">
        <f>IF(A97="","",EOMONTH(A97,0))</f>
        <v/>
      </c>
      <c r="C97" s="24" t="n"/>
      <c r="D97" s="24" t="n"/>
      <c r="E97" s="24" t="n"/>
      <c r="F97" s="25">
        <f>IF(E97="","",IF(COUNTIF(lst_Jobs,E97&amp;"")&gt;0,"OK","CHECK"))</f>
        <v/>
      </c>
      <c r="G97" s="24" t="n"/>
      <c r="H97" s="24" t="n"/>
      <c r="I97" s="24" t="n"/>
      <c r="J97" s="24" t="n"/>
      <c r="K97" s="24" t="n"/>
      <c r="L97" s="26" t="n"/>
      <c r="M97" s="27">
        <f>IF(L97="","",IF(K97="GST 10%",ROUND(L97*set_GSTRate,2),0))</f>
        <v/>
      </c>
      <c r="N97" s="27">
        <f>IF(L97="","",L97+M97)</f>
        <v/>
      </c>
      <c r="O97" s="24" t="n"/>
      <c r="P97" s="24" t="n"/>
      <c r="Q97" s="24" t="n"/>
      <c r="R97" s="22" t="n"/>
      <c r="S97" s="22" t="n"/>
      <c r="T97" s="24" t="n"/>
      <c r="U97" s="24" t="n"/>
      <c r="V97" s="25">
        <f>IF(COUNTA(A97,D97,C97,L97)=0,"",IF(A97="","No date - sits outside every month",IF(E97="","No job number",IF(F97="CHECK","Job number is not in the Xero job list",IF(I97="","No cost centre",IF(AND(P97="Y",C97=""),"Marked posted to Xero but has no invoice number",IF(AND(L97&lt;&gt;"",K97=""),"No tax code",IF(AND(L97&lt;&gt;"",O97=""),"No revenue GL code",""))))))))</f>
        <v/>
      </c>
      <c r="W97" s="25">
        <f>IF(E97="","",IF(COUNTIF(tbl_Onsite[Job Number],E97&amp;"")&gt;0,"Onsite",IF(COUNTIF(tbl_Production[Job Number],E97&amp;"")&gt;0,"Production",IF(COUNTIF(tbl_Consulting[Job Number],E97&amp;"")&gt;0,"Consulting","not set up yet"))))</f>
        <v/>
      </c>
      <c r="X97" s="25">
        <f>IF(E97="","",IFERROR(INDEX(lst_JobName,MATCH(E97&amp;"",lst_Jobs,0)),""))</f>
        <v/>
      </c>
      <c r="Y97" s="28">
        <f>IF(E97="","",COUNTIFS(tbl_Finance[Job Number],E97&amp;"",tbl_Finance[Ex GST],"&lt;&gt;"))</f>
        <v/>
      </c>
      <c r="Z97" s="27">
        <f>IF(E97="","",SUMIFS(tbl_Finance[Ex GST],tbl_Finance[Job Number],E97&amp;""))</f>
        <v/>
      </c>
      <c r="AA97" s="27">
        <f>IF(E97="","",SUMIFS(tbl_Finance[Ex GST],tbl_Finance[Job Number],E97&amp;"",tbl_Finance[Xero Invoice No],"&lt;&gt;"))</f>
        <v/>
      </c>
      <c r="AB97" s="27">
        <f>IF(E97="","",Z97-AA97)</f>
        <v/>
      </c>
      <c r="AC97" s="25">
        <f>IF(E97="","",IFERROR(IF(INDEX(tbl_Onsite[Qwilr Quote],IFERROR(MATCH(E97&amp;"",tbl_Onsite[Job Number],0),MATCH(IFERROR(E97+0,E97),tbl_Onsite[Job Number],0)))="","",INDEX(tbl_Onsite[Qwilr Quote],IFERROR(MATCH(E97&amp;"",tbl_Onsite[Job Number],0),MATCH(IFERROR(E97+0,E97),tbl_Onsite[Job Number],0)))),IFERROR(IF(IF(INDEX(tbl_Production[Current RMS No],IFERROR(MATCH(E97&amp;"",tbl_Production[Job Number],0),MATCH(IFERROR(E97+0,E97),tbl_Production[Job Number],0)))="",INDEX(tbl_Production[Qwilr Quote],IFERROR(MATCH(E97&amp;"",tbl_Production[Job Number],0),MATCH(IFERROR(E97+0,E97),tbl_Production[Job Number],0))),INDEX(tbl_Production[Current RMS No],IFERROR(MATCH(E97&amp;"",tbl_Production[Job Number],0),MATCH(IFERROR(E97+0,E97),tbl_Production[Job Number],0))))="","",IF(INDEX(tbl_Production[Current RMS No],IFERROR(MATCH(E97&amp;"",tbl_Production[Job Number],0),MATCH(IFERROR(E97+0,E97),tbl_Production[Job Number],0)))="",INDEX(tbl_Production[Qwilr Quote],IFERROR(MATCH(E97&amp;"",tbl_Production[Job Number],0),MATCH(IFERROR(E97+0,E97),tbl_Production[Job Number],0))),INDEX(tbl_Production[Current RMS No],IFERROR(MATCH(E97&amp;"",tbl_Production[Job Number],0),MATCH(IFERROR(E97+0,E97),tbl_Production[Job Number],0))))),IFERROR(IF(INDEX(tbl_Consulting[Qwilr Quote],IFERROR(MATCH(E97&amp;"",tbl_Consulting[Job Number],0),MATCH(IFERROR(E97+0,E97),tbl_Consulting[Job Number],0)))="","",INDEX(tbl_Consulting[Qwilr Quote],IFERROR(MATCH(E97&amp;"",tbl_Consulting[Job Number],0),MATCH(IFERROR(E97+0,E97),tbl_Consulting[Job Number],0)))),""))))</f>
        <v/>
      </c>
      <c r="AD97" s="25">
        <f>IF(AC97="","",IF(AND(LEFT(AC97,4)&lt;&gt;"http",IF(H97="Production",set_RMSBase,set_QwilrBase)=""),"",HYPERLINK(IF(LEFT(AC97,4)="http",AC97,IF(H97="Production",set_RMSBase,set_QwilrBase)&amp;AC97),"Open")))</f>
        <v/>
      </c>
      <c r="AE97" s="27">
        <f>IF(E97="","",IFERROR(INDEX(tbl_Production[Total Expense],IFERROR(MATCH(E97&amp;"",tbl_Production[Job Number],0),MATCH(IFERROR(E97+0,E97),tbl_Production[Job Number],0))),IFERROR(INDEX(tbl_Consulting[Total Expense],IFERROR(MATCH(E97&amp;"",tbl_Consulting[Job Number],0),MATCH(IFERROR(E97+0,E97),tbl_Consulting[Job Number],0))),0)))</f>
        <v/>
      </c>
      <c r="AF97" s="27">
        <f>IF(E97="","",Z97-N(AE97))</f>
        <v/>
      </c>
      <c r="AG97" s="29">
        <f>IFERROR(AF97/Z97,"")</f>
        <v/>
      </c>
      <c r="AH97" s="25">
        <f>IF(E97="","",IFERROR(IF(INDEX(tbl_Onsite[Notes],IFERROR(MATCH(E97&amp;"",tbl_Onsite[Job Number],0),MATCH(IFERROR(E97+0,E97),tbl_Onsite[Job Number],0)))="","",INDEX(tbl_Onsite[Notes],IFERROR(MATCH(E97&amp;"",tbl_Onsite[Job Number],0),MATCH(IFERROR(E97+0,E97),tbl_Onsite[Job Number],0)))),IFERROR(IF(INDEX(tbl_Production[Notes],IFERROR(MATCH(E97&amp;"",tbl_Production[Job Number],0),MATCH(IFERROR(E97+0,E97),tbl_Production[Job Number],0)))="","",INDEX(tbl_Production[Notes],IFERROR(MATCH(E97&amp;"",tbl_Production[Job Number],0),MATCH(IFERROR(E97+0,E97),tbl_Production[Job Number],0)))),IFERROR(IF(INDEX(tbl_Consulting[Notes],IFERROR(MATCH(E97&amp;"",tbl_Consulting[Job Number],0),MATCH(IFERROR(E97+0,E97),tbl_Consulting[Job Number],0)))="","",INDEX(tbl_Consulting[Notes],IFERROR(MATCH(E97&amp;"",tbl_Consulting[Job Number],0),MATCH(IFERROR(E97+0,E97),tbl_Consulting[Job Number],0)))),""))))</f>
        <v/>
      </c>
    </row>
    <row r="98" ht="15" customHeight="1">
      <c r="A98" s="22" t="n"/>
      <c r="B98" s="23">
        <f>IF(A98="","",EOMONTH(A98,0))</f>
        <v/>
      </c>
      <c r="C98" s="24" t="n"/>
      <c r="D98" s="24" t="n"/>
      <c r="E98" s="24" t="n"/>
      <c r="F98" s="25">
        <f>IF(E98="","",IF(COUNTIF(lst_Jobs,E98&amp;"")&gt;0,"OK","CHECK"))</f>
        <v/>
      </c>
      <c r="G98" s="24" t="n"/>
      <c r="H98" s="24" t="n"/>
      <c r="I98" s="24" t="n"/>
      <c r="J98" s="24" t="n"/>
      <c r="K98" s="24" t="n"/>
      <c r="L98" s="26" t="n"/>
      <c r="M98" s="27">
        <f>IF(L98="","",IF(K98="GST 10%",ROUND(L98*set_GSTRate,2),0))</f>
        <v/>
      </c>
      <c r="N98" s="27">
        <f>IF(L98="","",L98+M98)</f>
        <v/>
      </c>
      <c r="O98" s="24" t="n"/>
      <c r="P98" s="24" t="n"/>
      <c r="Q98" s="24" t="n"/>
      <c r="R98" s="22" t="n"/>
      <c r="S98" s="22" t="n"/>
      <c r="T98" s="24" t="n"/>
      <c r="U98" s="24" t="n"/>
      <c r="V98" s="25">
        <f>IF(COUNTA(A98,D98,C98,L98)=0,"",IF(A98="","No date - sits outside every month",IF(E98="","No job number",IF(F98="CHECK","Job number is not in the Xero job list",IF(I98="","No cost centre",IF(AND(P98="Y",C98=""),"Marked posted to Xero but has no invoice number",IF(AND(L98&lt;&gt;"",K98=""),"No tax code",IF(AND(L98&lt;&gt;"",O98=""),"No revenue GL code",""))))))))</f>
        <v/>
      </c>
      <c r="W98" s="25">
        <f>IF(E98="","",IF(COUNTIF(tbl_Onsite[Job Number],E98&amp;"")&gt;0,"Onsite",IF(COUNTIF(tbl_Production[Job Number],E98&amp;"")&gt;0,"Production",IF(COUNTIF(tbl_Consulting[Job Number],E98&amp;"")&gt;0,"Consulting","not set up yet"))))</f>
        <v/>
      </c>
      <c r="X98" s="25">
        <f>IF(E98="","",IFERROR(INDEX(lst_JobName,MATCH(E98&amp;"",lst_Jobs,0)),""))</f>
        <v/>
      </c>
      <c r="Y98" s="28">
        <f>IF(E98="","",COUNTIFS(tbl_Finance[Job Number],E98&amp;"",tbl_Finance[Ex GST],"&lt;&gt;"))</f>
        <v/>
      </c>
      <c r="Z98" s="27">
        <f>IF(E98="","",SUMIFS(tbl_Finance[Ex GST],tbl_Finance[Job Number],E98&amp;""))</f>
        <v/>
      </c>
      <c r="AA98" s="27">
        <f>IF(E98="","",SUMIFS(tbl_Finance[Ex GST],tbl_Finance[Job Number],E98&amp;"",tbl_Finance[Xero Invoice No],"&lt;&gt;"))</f>
        <v/>
      </c>
      <c r="AB98" s="27">
        <f>IF(E98="","",Z98-AA98)</f>
        <v/>
      </c>
      <c r="AC98" s="25">
        <f>IF(E98="","",IFERROR(IF(INDEX(tbl_Onsite[Qwilr Quote],IFERROR(MATCH(E98&amp;"",tbl_Onsite[Job Number],0),MATCH(IFERROR(E98+0,E98),tbl_Onsite[Job Number],0)))="","",INDEX(tbl_Onsite[Qwilr Quote],IFERROR(MATCH(E98&amp;"",tbl_Onsite[Job Number],0),MATCH(IFERROR(E98+0,E98),tbl_Onsite[Job Number],0)))),IFERROR(IF(IF(INDEX(tbl_Production[Current RMS No],IFERROR(MATCH(E98&amp;"",tbl_Production[Job Number],0),MATCH(IFERROR(E98+0,E98),tbl_Production[Job Number],0)))="",INDEX(tbl_Production[Qwilr Quote],IFERROR(MATCH(E98&amp;"",tbl_Production[Job Number],0),MATCH(IFERROR(E98+0,E98),tbl_Production[Job Number],0))),INDEX(tbl_Production[Current RMS No],IFERROR(MATCH(E98&amp;"",tbl_Production[Job Number],0),MATCH(IFERROR(E98+0,E98),tbl_Production[Job Number],0))))="","",IF(INDEX(tbl_Production[Current RMS No],IFERROR(MATCH(E98&amp;"",tbl_Production[Job Number],0),MATCH(IFERROR(E98+0,E98),tbl_Production[Job Number],0)))="",INDEX(tbl_Production[Qwilr Quote],IFERROR(MATCH(E98&amp;"",tbl_Production[Job Number],0),MATCH(IFERROR(E98+0,E98),tbl_Production[Job Number],0))),INDEX(tbl_Production[Current RMS No],IFERROR(MATCH(E98&amp;"",tbl_Production[Job Number],0),MATCH(IFERROR(E98+0,E98),tbl_Production[Job Number],0))))),IFERROR(IF(INDEX(tbl_Consulting[Qwilr Quote],IFERROR(MATCH(E98&amp;"",tbl_Consulting[Job Number],0),MATCH(IFERROR(E98+0,E98),tbl_Consulting[Job Number],0)))="","",INDEX(tbl_Consulting[Qwilr Quote],IFERROR(MATCH(E98&amp;"",tbl_Consulting[Job Number],0),MATCH(IFERROR(E98+0,E98),tbl_Consulting[Job Number],0)))),""))))</f>
        <v/>
      </c>
      <c r="AD98" s="25">
        <f>IF(AC98="","",IF(AND(LEFT(AC98,4)&lt;&gt;"http",IF(H98="Production",set_RMSBase,set_QwilrBase)=""),"",HYPERLINK(IF(LEFT(AC98,4)="http",AC98,IF(H98="Production",set_RMSBase,set_QwilrBase)&amp;AC98),"Open")))</f>
        <v/>
      </c>
      <c r="AE98" s="27">
        <f>IF(E98="","",IFERROR(INDEX(tbl_Production[Total Expense],IFERROR(MATCH(E98&amp;"",tbl_Production[Job Number],0),MATCH(IFERROR(E98+0,E98),tbl_Production[Job Number],0))),IFERROR(INDEX(tbl_Consulting[Total Expense],IFERROR(MATCH(E98&amp;"",tbl_Consulting[Job Number],0),MATCH(IFERROR(E98+0,E98),tbl_Consulting[Job Number],0))),0)))</f>
        <v/>
      </c>
      <c r="AF98" s="27">
        <f>IF(E98="","",Z98-N(AE98))</f>
        <v/>
      </c>
      <c r="AG98" s="29">
        <f>IFERROR(AF98/Z98,"")</f>
        <v/>
      </c>
      <c r="AH98" s="25">
        <f>IF(E98="","",IFERROR(IF(INDEX(tbl_Onsite[Notes],IFERROR(MATCH(E98&amp;"",tbl_Onsite[Job Number],0),MATCH(IFERROR(E98+0,E98),tbl_Onsite[Job Number],0)))="","",INDEX(tbl_Onsite[Notes],IFERROR(MATCH(E98&amp;"",tbl_Onsite[Job Number],0),MATCH(IFERROR(E98+0,E98),tbl_Onsite[Job Number],0)))),IFERROR(IF(INDEX(tbl_Production[Notes],IFERROR(MATCH(E98&amp;"",tbl_Production[Job Number],0),MATCH(IFERROR(E98+0,E98),tbl_Production[Job Number],0)))="","",INDEX(tbl_Production[Notes],IFERROR(MATCH(E98&amp;"",tbl_Production[Job Number],0),MATCH(IFERROR(E98+0,E98),tbl_Production[Job Number],0)))),IFERROR(IF(INDEX(tbl_Consulting[Notes],IFERROR(MATCH(E98&amp;"",tbl_Consulting[Job Number],0),MATCH(IFERROR(E98+0,E98),tbl_Consulting[Job Number],0)))="","",INDEX(tbl_Consulting[Notes],IFERROR(MATCH(E98&amp;"",tbl_Consulting[Job Number],0),MATCH(IFERROR(E98+0,E98),tbl_Consulting[Job Number],0)))),""))))</f>
        <v/>
      </c>
    </row>
    <row r="99" ht="15" customHeight="1">
      <c r="A99" s="22" t="n"/>
      <c r="B99" s="23">
        <f>IF(A99="","",EOMONTH(A99,0))</f>
        <v/>
      </c>
      <c r="C99" s="24" t="n"/>
      <c r="D99" s="24" t="n"/>
      <c r="E99" s="24" t="n"/>
      <c r="F99" s="25">
        <f>IF(E99="","",IF(COUNTIF(lst_Jobs,E99&amp;"")&gt;0,"OK","CHECK"))</f>
        <v/>
      </c>
      <c r="G99" s="24" t="n"/>
      <c r="H99" s="24" t="n"/>
      <c r="I99" s="24" t="n"/>
      <c r="J99" s="24" t="n"/>
      <c r="K99" s="24" t="n"/>
      <c r="L99" s="26" t="n"/>
      <c r="M99" s="27">
        <f>IF(L99="","",IF(K99="GST 10%",ROUND(L99*set_GSTRate,2),0))</f>
        <v/>
      </c>
      <c r="N99" s="27">
        <f>IF(L99="","",L99+M99)</f>
        <v/>
      </c>
      <c r="O99" s="24" t="n"/>
      <c r="P99" s="24" t="n"/>
      <c r="Q99" s="24" t="n"/>
      <c r="R99" s="22" t="n"/>
      <c r="S99" s="22" t="n"/>
      <c r="T99" s="24" t="n"/>
      <c r="U99" s="24" t="n"/>
      <c r="V99" s="25">
        <f>IF(COUNTA(A99,D99,C99,L99)=0,"",IF(A99="","No date - sits outside every month",IF(E99="","No job number",IF(F99="CHECK","Job number is not in the Xero job list",IF(I99="","No cost centre",IF(AND(P99="Y",C99=""),"Marked posted to Xero but has no invoice number",IF(AND(L99&lt;&gt;"",K99=""),"No tax code",IF(AND(L99&lt;&gt;"",O99=""),"No revenue GL code",""))))))))</f>
        <v/>
      </c>
      <c r="W99" s="25">
        <f>IF(E99="","",IF(COUNTIF(tbl_Onsite[Job Number],E99&amp;"")&gt;0,"Onsite",IF(COUNTIF(tbl_Production[Job Number],E99&amp;"")&gt;0,"Production",IF(COUNTIF(tbl_Consulting[Job Number],E99&amp;"")&gt;0,"Consulting","not set up yet"))))</f>
        <v/>
      </c>
      <c r="X99" s="25">
        <f>IF(E99="","",IFERROR(INDEX(lst_JobName,MATCH(E99&amp;"",lst_Jobs,0)),""))</f>
        <v/>
      </c>
      <c r="Y99" s="28">
        <f>IF(E99="","",COUNTIFS(tbl_Finance[Job Number],E99&amp;"",tbl_Finance[Ex GST],"&lt;&gt;"))</f>
        <v/>
      </c>
      <c r="Z99" s="27">
        <f>IF(E99="","",SUMIFS(tbl_Finance[Ex GST],tbl_Finance[Job Number],E99&amp;""))</f>
        <v/>
      </c>
      <c r="AA99" s="27">
        <f>IF(E99="","",SUMIFS(tbl_Finance[Ex GST],tbl_Finance[Job Number],E99&amp;"",tbl_Finance[Xero Invoice No],"&lt;&gt;"))</f>
        <v/>
      </c>
      <c r="AB99" s="27">
        <f>IF(E99="","",Z99-AA99)</f>
        <v/>
      </c>
      <c r="AC99" s="25">
        <f>IF(E99="","",IFERROR(IF(INDEX(tbl_Onsite[Qwilr Quote],IFERROR(MATCH(E99&amp;"",tbl_Onsite[Job Number],0),MATCH(IFERROR(E99+0,E99),tbl_Onsite[Job Number],0)))="","",INDEX(tbl_Onsite[Qwilr Quote],IFERROR(MATCH(E99&amp;"",tbl_Onsite[Job Number],0),MATCH(IFERROR(E99+0,E99),tbl_Onsite[Job Number],0)))),IFERROR(IF(IF(INDEX(tbl_Production[Current RMS No],IFERROR(MATCH(E99&amp;"",tbl_Production[Job Number],0),MATCH(IFERROR(E99+0,E99),tbl_Production[Job Number],0)))="",INDEX(tbl_Production[Qwilr Quote],IFERROR(MATCH(E99&amp;"",tbl_Production[Job Number],0),MATCH(IFERROR(E99+0,E99),tbl_Production[Job Number],0))),INDEX(tbl_Production[Current RMS No],IFERROR(MATCH(E99&amp;"",tbl_Production[Job Number],0),MATCH(IFERROR(E99+0,E99),tbl_Production[Job Number],0))))="","",IF(INDEX(tbl_Production[Current RMS No],IFERROR(MATCH(E99&amp;"",tbl_Production[Job Number],0),MATCH(IFERROR(E99+0,E99),tbl_Production[Job Number],0)))="",INDEX(tbl_Production[Qwilr Quote],IFERROR(MATCH(E99&amp;"",tbl_Production[Job Number],0),MATCH(IFERROR(E99+0,E99),tbl_Production[Job Number],0))),INDEX(tbl_Production[Current RMS No],IFERROR(MATCH(E99&amp;"",tbl_Production[Job Number],0),MATCH(IFERROR(E99+0,E99),tbl_Production[Job Number],0))))),IFERROR(IF(INDEX(tbl_Consulting[Qwilr Quote],IFERROR(MATCH(E99&amp;"",tbl_Consulting[Job Number],0),MATCH(IFERROR(E99+0,E99),tbl_Consulting[Job Number],0)))="","",INDEX(tbl_Consulting[Qwilr Quote],IFERROR(MATCH(E99&amp;"",tbl_Consulting[Job Number],0),MATCH(IFERROR(E99+0,E99),tbl_Consulting[Job Number],0)))),""))))</f>
        <v/>
      </c>
      <c r="AD99" s="25">
        <f>IF(AC99="","",IF(AND(LEFT(AC99,4)&lt;&gt;"http",IF(H99="Production",set_RMSBase,set_QwilrBase)=""),"",HYPERLINK(IF(LEFT(AC99,4)="http",AC99,IF(H99="Production",set_RMSBase,set_QwilrBase)&amp;AC99),"Open")))</f>
        <v/>
      </c>
      <c r="AE99" s="27">
        <f>IF(E99="","",IFERROR(INDEX(tbl_Production[Total Expense],IFERROR(MATCH(E99&amp;"",tbl_Production[Job Number],0),MATCH(IFERROR(E99+0,E99),tbl_Production[Job Number],0))),IFERROR(INDEX(tbl_Consulting[Total Expense],IFERROR(MATCH(E99&amp;"",tbl_Consulting[Job Number],0),MATCH(IFERROR(E99+0,E99),tbl_Consulting[Job Number],0))),0)))</f>
        <v/>
      </c>
      <c r="AF99" s="27">
        <f>IF(E99="","",Z99-N(AE99))</f>
        <v/>
      </c>
      <c r="AG99" s="29">
        <f>IFERROR(AF99/Z99,"")</f>
        <v/>
      </c>
      <c r="AH99" s="25">
        <f>IF(E99="","",IFERROR(IF(INDEX(tbl_Onsite[Notes],IFERROR(MATCH(E99&amp;"",tbl_Onsite[Job Number],0),MATCH(IFERROR(E99+0,E99),tbl_Onsite[Job Number],0)))="","",INDEX(tbl_Onsite[Notes],IFERROR(MATCH(E99&amp;"",tbl_Onsite[Job Number],0),MATCH(IFERROR(E99+0,E99),tbl_Onsite[Job Number],0)))),IFERROR(IF(INDEX(tbl_Production[Notes],IFERROR(MATCH(E99&amp;"",tbl_Production[Job Number],0),MATCH(IFERROR(E99+0,E99),tbl_Production[Job Number],0)))="","",INDEX(tbl_Production[Notes],IFERROR(MATCH(E99&amp;"",tbl_Production[Job Number],0),MATCH(IFERROR(E99+0,E99),tbl_Production[Job Number],0)))),IFERROR(IF(INDEX(tbl_Consulting[Notes],IFERROR(MATCH(E99&amp;"",tbl_Consulting[Job Number],0),MATCH(IFERROR(E99+0,E99),tbl_Consulting[Job Number],0)))="","",INDEX(tbl_Consulting[Notes],IFERROR(MATCH(E99&amp;"",tbl_Consulting[Job Number],0),MATCH(IFERROR(E99+0,E99),tbl_Consulting[Job Number],0)))),""))))</f>
        <v/>
      </c>
    </row>
    <row r="100" ht="15" customHeight="1">
      <c r="A100" s="22" t="n"/>
      <c r="B100" s="23">
        <f>IF(A100="","",EOMONTH(A100,0))</f>
        <v/>
      </c>
      <c r="C100" s="24" t="n"/>
      <c r="D100" s="24" t="n"/>
      <c r="E100" s="24" t="n"/>
      <c r="F100" s="25">
        <f>IF(E100="","",IF(COUNTIF(lst_Jobs,E100&amp;"")&gt;0,"OK","CHECK"))</f>
        <v/>
      </c>
      <c r="G100" s="24" t="n"/>
      <c r="H100" s="24" t="n"/>
      <c r="I100" s="24" t="n"/>
      <c r="J100" s="24" t="n"/>
      <c r="K100" s="24" t="n"/>
      <c r="L100" s="26" t="n"/>
      <c r="M100" s="27">
        <f>IF(L100="","",IF(K100="GST 10%",ROUND(L100*set_GSTRate,2),0))</f>
        <v/>
      </c>
      <c r="N100" s="27">
        <f>IF(L100="","",L100+M100)</f>
        <v/>
      </c>
      <c r="O100" s="24" t="n"/>
      <c r="P100" s="24" t="n"/>
      <c r="Q100" s="24" t="n"/>
      <c r="R100" s="22" t="n"/>
      <c r="S100" s="22" t="n"/>
      <c r="T100" s="24" t="n"/>
      <c r="U100" s="24" t="n"/>
      <c r="V100" s="2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25">
        <f>IF(E100="","",IF(COUNTIF(tbl_Onsite[Job Number],E100&amp;"")&gt;0,"Onsite",IF(COUNTIF(tbl_Production[Job Number],E100&amp;"")&gt;0,"Production",IF(COUNTIF(tbl_Consulting[Job Number],E100&amp;"")&gt;0,"Consulting","not set up yet"))))</f>
        <v/>
      </c>
      <c r="X100" s="25">
        <f>IF(E100="","",IFERROR(INDEX(lst_JobName,MATCH(E100&amp;"",lst_Jobs,0)),""))</f>
        <v/>
      </c>
      <c r="Y100" s="28">
        <f>IF(E100="","",COUNTIFS(tbl_Finance[Job Number],E100&amp;"",tbl_Finance[Ex GST],"&lt;&gt;"))</f>
        <v/>
      </c>
      <c r="Z100" s="27">
        <f>IF(E100="","",SUMIFS(tbl_Finance[Ex GST],tbl_Finance[Job Number],E100&amp;""))</f>
        <v/>
      </c>
      <c r="AA100" s="27">
        <f>IF(E100="","",SUMIFS(tbl_Finance[Ex GST],tbl_Finance[Job Number],E100&amp;"",tbl_Finance[Xero Invoice No],"&lt;&gt;"))</f>
        <v/>
      </c>
      <c r="AB100" s="27">
        <f>IF(E100="","",Z100-AA100)</f>
        <v/>
      </c>
      <c r="AC100" s="25">
        <f>IF(E100="","",IFERROR(IF(INDEX(tbl_Onsite[Qwilr Quote],IFERROR(MATCH(E100&amp;"",tbl_Onsite[Job Number],0),MATCH(IFERROR(E100+0,E100),tbl_Onsite[Job Number],0)))="","",INDEX(tbl_Onsite[Qwilr Quote],IFERROR(MATCH(E100&amp;"",tbl_Onsite[Job Number],0),MATCH(IFERROR(E100+0,E100),tbl_Onsite[Job Number],0)))),IFERROR(IF(IF(INDEX(tbl_Production[Current RMS No],IFERROR(MATCH(E100&amp;"",tbl_Production[Job Number],0),MATCH(IFERROR(E100+0,E100),tbl_Production[Job Number],0)))="",INDEX(tbl_Production[Qwilr Quote],IFERROR(MATCH(E100&amp;"",tbl_Production[Job Number],0),MATCH(IFERROR(E100+0,E100),tbl_Production[Job Number],0))),INDEX(tbl_Production[Current RMS No],IFERROR(MATCH(E100&amp;"",tbl_Production[Job Number],0),MATCH(IFERROR(E100+0,E100),tbl_Production[Job Number],0))))="","",IF(INDEX(tbl_Production[Current RMS No],IFERROR(MATCH(E100&amp;"",tbl_Production[Job Number],0),MATCH(IFERROR(E100+0,E100),tbl_Production[Job Number],0)))="",INDEX(tbl_Production[Qwilr Quote],IFERROR(MATCH(E100&amp;"",tbl_Production[Job Number],0),MATCH(IFERROR(E100+0,E100),tbl_Production[Job Number],0))),INDEX(tbl_Production[Current RMS No],IFERROR(MATCH(E100&amp;"",tbl_Production[Job Number],0),MATCH(IFERROR(E100+0,E100),tbl_Production[Job Number],0))))),IFERROR(IF(INDEX(tbl_Consulting[Qwilr Quote],IFERROR(MATCH(E100&amp;"",tbl_Consulting[Job Number],0),MATCH(IFERROR(E100+0,E100),tbl_Consulting[Job Number],0)))="","",INDEX(tbl_Consulting[Qwilr Quote],IFERROR(MATCH(E100&amp;"",tbl_Consulting[Job Number],0),MATCH(IFERROR(E100+0,E100),tbl_Consulting[Job Number],0)))),""))))</f>
        <v/>
      </c>
      <c r="AD100" s="25">
        <f>IF(AC100="","",IF(AND(LEFT(AC100,4)&lt;&gt;"http",IF(H100="Production",set_RMSBase,set_QwilrBase)=""),"",HYPERLINK(IF(LEFT(AC100,4)="http",AC100,IF(H100="Production",set_RMSBase,set_QwilrBase)&amp;AC100),"Open")))</f>
        <v/>
      </c>
      <c r="AE100" s="27">
        <f>IF(E100="","",IFERROR(INDEX(tbl_Production[Total Expense],IFERROR(MATCH(E100&amp;"",tbl_Production[Job Number],0),MATCH(IFERROR(E100+0,E100),tbl_Production[Job Number],0))),IFERROR(INDEX(tbl_Consulting[Total Expense],IFERROR(MATCH(E100&amp;"",tbl_Consulting[Job Number],0),MATCH(IFERROR(E100+0,E100),tbl_Consulting[Job Number],0))),0)))</f>
        <v/>
      </c>
      <c r="AF100" s="27">
        <f>IF(E100="","",Z100-N(AE100))</f>
        <v/>
      </c>
      <c r="AG100" s="29">
        <f>IFERROR(AF100/Z100,"")</f>
        <v/>
      </c>
      <c r="AH100" s="25">
        <f>IF(E100="","",IFERROR(IF(INDEX(tbl_Onsite[Notes],IFERROR(MATCH(E100&amp;"",tbl_Onsite[Job Number],0),MATCH(IFERROR(E100+0,E100),tbl_Onsite[Job Number],0)))="","",INDEX(tbl_Onsite[Notes],IFERROR(MATCH(E100&amp;"",tbl_Onsite[Job Number],0),MATCH(IFERROR(E100+0,E100),tbl_Onsite[Job Number],0)))),IFERROR(IF(INDEX(tbl_Production[Notes],IFERROR(MATCH(E100&amp;"",tbl_Production[Job Number],0),MATCH(IFERROR(E100+0,E100),tbl_Production[Job Number],0)))="","",INDEX(tbl_Production[Notes],IFERROR(MATCH(E100&amp;"",tbl_Production[Job Number],0),MATCH(IFERROR(E100+0,E100),tbl_Production[Job Number],0)))),IFERROR(IF(INDEX(tbl_Consulting[Notes],IFERROR(MATCH(E100&amp;"",tbl_Consulting[Job Number],0),MATCH(IFERROR(E100+0,E100),tbl_Consulting[Job Number],0)))="","",INDEX(tbl_Consulting[Notes],IFERROR(MATCH(E100&amp;"",tbl_Consulting[Job Number],0),MATCH(IFERROR(E100+0,E100),tbl_Consulting[Job Number],0)))),""))))</f>
        <v/>
      </c>
    </row>
    <row r="101" ht="15" customHeight="1">
      <c r="A101" s="22" t="n"/>
      <c r="B101" s="23">
        <f>IF(A101="","",EOMONTH(A101,0))</f>
        <v/>
      </c>
      <c r="C101" s="24" t="n"/>
      <c r="D101" s="24" t="n"/>
      <c r="E101" s="24" t="n"/>
      <c r="F101" s="25">
        <f>IF(E101="","",IF(COUNTIF(lst_Jobs,E101&amp;"")&gt;0,"OK","CHECK"))</f>
        <v/>
      </c>
      <c r="G101" s="24" t="n"/>
      <c r="H101" s="24" t="n"/>
      <c r="I101" s="24" t="n"/>
      <c r="J101" s="24" t="n"/>
      <c r="K101" s="24" t="n"/>
      <c r="L101" s="26" t="n"/>
      <c r="M101" s="27">
        <f>IF(L101="","",IF(K101="GST 10%",ROUND(L101*set_GSTRate,2),0))</f>
        <v/>
      </c>
      <c r="N101" s="27">
        <f>IF(L101="","",L101+M101)</f>
        <v/>
      </c>
      <c r="O101" s="24" t="n"/>
      <c r="P101" s="24" t="n"/>
      <c r="Q101" s="24" t="n"/>
      <c r="R101" s="22" t="n"/>
      <c r="S101" s="22" t="n"/>
      <c r="T101" s="24" t="n"/>
      <c r="U101" s="24" t="n"/>
      <c r="V101" s="2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25">
        <f>IF(E101="","",IF(COUNTIF(tbl_Onsite[Job Number],E101&amp;"")&gt;0,"Onsite",IF(COUNTIF(tbl_Production[Job Number],E101&amp;"")&gt;0,"Production",IF(COUNTIF(tbl_Consulting[Job Number],E101&amp;"")&gt;0,"Consulting","not set up yet"))))</f>
        <v/>
      </c>
      <c r="X101" s="25">
        <f>IF(E101="","",IFERROR(INDEX(lst_JobName,MATCH(E101&amp;"",lst_Jobs,0)),""))</f>
        <v/>
      </c>
      <c r="Y101" s="28">
        <f>IF(E101="","",COUNTIFS(tbl_Finance[Job Number],E101&amp;"",tbl_Finance[Ex GST],"&lt;&gt;"))</f>
        <v/>
      </c>
      <c r="Z101" s="27">
        <f>IF(E101="","",SUMIFS(tbl_Finance[Ex GST],tbl_Finance[Job Number],E101&amp;""))</f>
        <v/>
      </c>
      <c r="AA101" s="27">
        <f>IF(E101="","",SUMIFS(tbl_Finance[Ex GST],tbl_Finance[Job Number],E101&amp;"",tbl_Finance[Xero Invoice No],"&lt;&gt;"))</f>
        <v/>
      </c>
      <c r="AB101" s="27">
        <f>IF(E101="","",Z101-AA101)</f>
        <v/>
      </c>
      <c r="AC101" s="25">
        <f>IF(E101="","",IFERROR(IF(INDEX(tbl_Onsite[Qwilr Quote],IFERROR(MATCH(E101&amp;"",tbl_Onsite[Job Number],0),MATCH(IFERROR(E101+0,E101),tbl_Onsite[Job Number],0)))="","",INDEX(tbl_Onsite[Qwilr Quote],IFERROR(MATCH(E101&amp;"",tbl_Onsite[Job Number],0),MATCH(IFERROR(E101+0,E101),tbl_Onsite[Job Number],0)))),IFERROR(IF(IF(INDEX(tbl_Production[Current RMS No],IFERROR(MATCH(E101&amp;"",tbl_Production[Job Number],0),MATCH(IFERROR(E101+0,E101),tbl_Production[Job Number],0)))="",INDEX(tbl_Production[Qwilr Quote],IFERROR(MATCH(E101&amp;"",tbl_Production[Job Number],0),MATCH(IFERROR(E101+0,E101),tbl_Production[Job Number],0))),INDEX(tbl_Production[Current RMS No],IFERROR(MATCH(E101&amp;"",tbl_Production[Job Number],0),MATCH(IFERROR(E101+0,E101),tbl_Production[Job Number],0))))="","",IF(INDEX(tbl_Production[Current RMS No],IFERROR(MATCH(E101&amp;"",tbl_Production[Job Number],0),MATCH(IFERROR(E101+0,E101),tbl_Production[Job Number],0)))="",INDEX(tbl_Production[Qwilr Quote],IFERROR(MATCH(E101&amp;"",tbl_Production[Job Number],0),MATCH(IFERROR(E101+0,E101),tbl_Production[Job Number],0))),INDEX(tbl_Production[Current RMS No],IFERROR(MATCH(E101&amp;"",tbl_Production[Job Number],0),MATCH(IFERROR(E101+0,E101),tbl_Production[Job Number],0))))),IFERROR(IF(INDEX(tbl_Consulting[Qwilr Quote],IFERROR(MATCH(E101&amp;"",tbl_Consulting[Job Number],0),MATCH(IFERROR(E101+0,E101),tbl_Consulting[Job Number],0)))="","",INDEX(tbl_Consulting[Qwilr Quote],IFERROR(MATCH(E101&amp;"",tbl_Consulting[Job Number],0),MATCH(IFERROR(E101+0,E101),tbl_Consulting[Job Number],0)))),""))))</f>
        <v/>
      </c>
      <c r="AD101" s="25">
        <f>IF(AC101="","",IF(AND(LEFT(AC101,4)&lt;&gt;"http",IF(H101="Production",set_RMSBase,set_QwilrBase)=""),"",HYPERLINK(IF(LEFT(AC101,4)="http",AC101,IF(H101="Production",set_RMSBase,set_QwilrBase)&amp;AC101),"Open")))</f>
        <v/>
      </c>
      <c r="AE101" s="27">
        <f>IF(E101="","",IFERROR(INDEX(tbl_Production[Total Expense],IFERROR(MATCH(E101&amp;"",tbl_Production[Job Number],0),MATCH(IFERROR(E101+0,E101),tbl_Production[Job Number],0))),IFERROR(INDEX(tbl_Consulting[Total Expense],IFERROR(MATCH(E101&amp;"",tbl_Consulting[Job Number],0),MATCH(IFERROR(E101+0,E101),tbl_Consulting[Job Number],0))),0)))</f>
        <v/>
      </c>
      <c r="AF101" s="27">
        <f>IF(E101="","",Z101-N(AE101))</f>
        <v/>
      </c>
      <c r="AG101" s="29">
        <f>IFERROR(AF101/Z101,"")</f>
        <v/>
      </c>
      <c r="AH101" s="25">
        <f>IF(E101="","",IFERROR(IF(INDEX(tbl_Onsite[Notes],IFERROR(MATCH(E101&amp;"",tbl_Onsite[Job Number],0),MATCH(IFERROR(E101+0,E101),tbl_Onsite[Job Number],0)))="","",INDEX(tbl_Onsite[Notes],IFERROR(MATCH(E101&amp;"",tbl_Onsite[Job Number],0),MATCH(IFERROR(E101+0,E101),tbl_Onsite[Job Number],0)))),IFERROR(IF(INDEX(tbl_Production[Notes],IFERROR(MATCH(E101&amp;"",tbl_Production[Job Number],0),MATCH(IFERROR(E101+0,E101),tbl_Production[Job Number],0)))="","",INDEX(tbl_Production[Notes],IFERROR(MATCH(E101&amp;"",tbl_Production[Job Number],0),MATCH(IFERROR(E101+0,E101),tbl_Production[Job Number],0)))),IFERROR(IF(INDEX(tbl_Consulting[Notes],IFERROR(MATCH(E101&amp;"",tbl_Consulting[Job Number],0),MATCH(IFERROR(E101+0,E101),tbl_Consulting[Job Number],0)))="","",INDEX(tbl_Consulting[Notes],IFERROR(MATCH(E101&amp;"",tbl_Consulting[Job Number],0),MATCH(IFERROR(E101+0,E101),tbl_Consulting[Job Number],0)))),""))))</f>
        <v/>
      </c>
    </row>
    <row r="102" ht="15" customHeight="1">
      <c r="A102" s="22" t="n"/>
      <c r="B102" s="23">
        <f>IF(A102="","",EOMONTH(A102,0))</f>
        <v/>
      </c>
      <c r="C102" s="24" t="n"/>
      <c r="D102" s="24" t="n"/>
      <c r="E102" s="24" t="n"/>
      <c r="F102" s="25">
        <f>IF(E102="","",IF(COUNTIF(lst_Jobs,E102&amp;"")&gt;0,"OK","CHECK"))</f>
        <v/>
      </c>
      <c r="G102" s="24" t="n"/>
      <c r="H102" s="24" t="n"/>
      <c r="I102" s="24" t="n"/>
      <c r="J102" s="24" t="n"/>
      <c r="K102" s="24" t="n"/>
      <c r="L102" s="26" t="n"/>
      <c r="M102" s="27">
        <f>IF(L102="","",IF(K102="GST 10%",ROUND(L102*set_GSTRate,2),0))</f>
        <v/>
      </c>
      <c r="N102" s="27">
        <f>IF(L102="","",L102+M102)</f>
        <v/>
      </c>
      <c r="O102" s="24" t="n"/>
      <c r="P102" s="24" t="n"/>
      <c r="Q102" s="24" t="n"/>
      <c r="R102" s="22" t="n"/>
      <c r="S102" s="22" t="n"/>
      <c r="T102" s="24" t="n"/>
      <c r="U102" s="24" t="n"/>
      <c r="V102" s="2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25">
        <f>IF(E102="","",IF(COUNTIF(tbl_Onsite[Job Number],E102&amp;"")&gt;0,"Onsite",IF(COUNTIF(tbl_Production[Job Number],E102&amp;"")&gt;0,"Production",IF(COUNTIF(tbl_Consulting[Job Number],E102&amp;"")&gt;0,"Consulting","not set up yet"))))</f>
        <v/>
      </c>
      <c r="X102" s="25">
        <f>IF(E102="","",IFERROR(INDEX(lst_JobName,MATCH(E102&amp;"",lst_Jobs,0)),""))</f>
        <v/>
      </c>
      <c r="Y102" s="28">
        <f>IF(E102="","",COUNTIFS(tbl_Finance[Job Number],E102&amp;"",tbl_Finance[Ex GST],"&lt;&gt;"))</f>
        <v/>
      </c>
      <c r="Z102" s="27">
        <f>IF(E102="","",SUMIFS(tbl_Finance[Ex GST],tbl_Finance[Job Number],E102&amp;""))</f>
        <v/>
      </c>
      <c r="AA102" s="27">
        <f>IF(E102="","",SUMIFS(tbl_Finance[Ex GST],tbl_Finance[Job Number],E102&amp;"",tbl_Finance[Xero Invoice No],"&lt;&gt;"))</f>
        <v/>
      </c>
      <c r="AB102" s="27">
        <f>IF(E102="","",Z102-AA102)</f>
        <v/>
      </c>
      <c r="AC102" s="25">
        <f>IF(E102="","",IFERROR(IF(INDEX(tbl_Onsite[Qwilr Quote],IFERROR(MATCH(E102&amp;"",tbl_Onsite[Job Number],0),MATCH(IFERROR(E102+0,E102),tbl_Onsite[Job Number],0)))="","",INDEX(tbl_Onsite[Qwilr Quote],IFERROR(MATCH(E102&amp;"",tbl_Onsite[Job Number],0),MATCH(IFERROR(E102+0,E102),tbl_Onsite[Job Number],0)))),IFERROR(IF(IF(INDEX(tbl_Production[Current RMS No],IFERROR(MATCH(E102&amp;"",tbl_Production[Job Number],0),MATCH(IFERROR(E102+0,E102),tbl_Production[Job Number],0)))="",INDEX(tbl_Production[Qwilr Quote],IFERROR(MATCH(E102&amp;"",tbl_Production[Job Number],0),MATCH(IFERROR(E102+0,E102),tbl_Production[Job Number],0))),INDEX(tbl_Production[Current RMS No],IFERROR(MATCH(E102&amp;"",tbl_Production[Job Number],0),MATCH(IFERROR(E102+0,E102),tbl_Production[Job Number],0))))="","",IF(INDEX(tbl_Production[Current RMS No],IFERROR(MATCH(E102&amp;"",tbl_Production[Job Number],0),MATCH(IFERROR(E102+0,E102),tbl_Production[Job Number],0)))="",INDEX(tbl_Production[Qwilr Quote],IFERROR(MATCH(E102&amp;"",tbl_Production[Job Number],0),MATCH(IFERROR(E102+0,E102),tbl_Production[Job Number],0))),INDEX(tbl_Production[Current RMS No],IFERROR(MATCH(E102&amp;"",tbl_Production[Job Number],0),MATCH(IFERROR(E102+0,E102),tbl_Production[Job Number],0))))),IFERROR(IF(INDEX(tbl_Consulting[Qwilr Quote],IFERROR(MATCH(E102&amp;"",tbl_Consulting[Job Number],0),MATCH(IFERROR(E102+0,E102),tbl_Consulting[Job Number],0)))="","",INDEX(tbl_Consulting[Qwilr Quote],IFERROR(MATCH(E102&amp;"",tbl_Consulting[Job Number],0),MATCH(IFERROR(E102+0,E102),tbl_Consulting[Job Number],0)))),""))))</f>
        <v/>
      </c>
      <c r="AD102" s="25">
        <f>IF(AC102="","",IF(AND(LEFT(AC102,4)&lt;&gt;"http",IF(H102="Production",set_RMSBase,set_QwilrBase)=""),"",HYPERLINK(IF(LEFT(AC102,4)="http",AC102,IF(H102="Production",set_RMSBase,set_QwilrBase)&amp;AC102),"Open")))</f>
        <v/>
      </c>
      <c r="AE102" s="27">
        <f>IF(E102="","",IFERROR(INDEX(tbl_Production[Total Expense],IFERROR(MATCH(E102&amp;"",tbl_Production[Job Number],0),MATCH(IFERROR(E102+0,E102),tbl_Production[Job Number],0))),IFERROR(INDEX(tbl_Consulting[Total Expense],IFERROR(MATCH(E102&amp;"",tbl_Consulting[Job Number],0),MATCH(IFERROR(E102+0,E102),tbl_Consulting[Job Number],0))),0)))</f>
        <v/>
      </c>
      <c r="AF102" s="27">
        <f>IF(E102="","",Z102-N(AE102))</f>
        <v/>
      </c>
      <c r="AG102" s="29">
        <f>IFERROR(AF102/Z102,"")</f>
        <v/>
      </c>
      <c r="AH102" s="25">
        <f>IF(E102="","",IFERROR(IF(INDEX(tbl_Onsite[Notes],IFERROR(MATCH(E102&amp;"",tbl_Onsite[Job Number],0),MATCH(IFERROR(E102+0,E102),tbl_Onsite[Job Number],0)))="","",INDEX(tbl_Onsite[Notes],IFERROR(MATCH(E102&amp;"",tbl_Onsite[Job Number],0),MATCH(IFERROR(E102+0,E102),tbl_Onsite[Job Number],0)))),IFERROR(IF(INDEX(tbl_Production[Notes],IFERROR(MATCH(E102&amp;"",tbl_Production[Job Number],0),MATCH(IFERROR(E102+0,E102),tbl_Production[Job Number],0)))="","",INDEX(tbl_Production[Notes],IFERROR(MATCH(E102&amp;"",tbl_Production[Job Number],0),MATCH(IFERROR(E102+0,E102),tbl_Production[Job Number],0)))),IFERROR(IF(INDEX(tbl_Consulting[Notes],IFERROR(MATCH(E102&amp;"",tbl_Consulting[Job Number],0),MATCH(IFERROR(E102+0,E102),tbl_Consulting[Job Number],0)))="","",INDEX(tbl_Consulting[Notes],IFERROR(MATCH(E102&amp;"",tbl_Consulting[Job Number],0),MATCH(IFERROR(E102+0,E102),tbl_Consulting[Job Number],0)))),""))))</f>
        <v/>
      </c>
    </row>
    <row r="103" ht="15" customHeight="1">
      <c r="A103" s="22" t="n"/>
      <c r="B103" s="23">
        <f>IF(A103="","",EOMONTH(A103,0))</f>
        <v/>
      </c>
      <c r="C103" s="24" t="n"/>
      <c r="D103" s="24" t="n"/>
      <c r="E103" s="24" t="n"/>
      <c r="F103" s="25">
        <f>IF(E103="","",IF(COUNTIF(lst_Jobs,E103&amp;"")&gt;0,"OK","CHECK"))</f>
        <v/>
      </c>
      <c r="G103" s="24" t="n"/>
      <c r="H103" s="24" t="n"/>
      <c r="I103" s="24" t="n"/>
      <c r="J103" s="24" t="n"/>
      <c r="K103" s="24" t="n"/>
      <c r="L103" s="26" t="n"/>
      <c r="M103" s="27">
        <f>IF(L103="","",IF(K103="GST 10%",ROUND(L103*set_GSTRate,2),0))</f>
        <v/>
      </c>
      <c r="N103" s="27">
        <f>IF(L103="","",L103+M103)</f>
        <v/>
      </c>
      <c r="O103" s="24" t="n"/>
      <c r="P103" s="24" t="n"/>
      <c r="Q103" s="24" t="n"/>
      <c r="R103" s="22" t="n"/>
      <c r="S103" s="22" t="n"/>
      <c r="T103" s="24" t="n"/>
      <c r="U103" s="24" t="n"/>
      <c r="V103" s="2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25">
        <f>IF(E103="","",IF(COUNTIF(tbl_Onsite[Job Number],E103&amp;"")&gt;0,"Onsite",IF(COUNTIF(tbl_Production[Job Number],E103&amp;"")&gt;0,"Production",IF(COUNTIF(tbl_Consulting[Job Number],E103&amp;"")&gt;0,"Consulting","not set up yet"))))</f>
        <v/>
      </c>
      <c r="X103" s="25">
        <f>IF(E103="","",IFERROR(INDEX(lst_JobName,MATCH(E103&amp;"",lst_Jobs,0)),""))</f>
        <v/>
      </c>
      <c r="Y103" s="28">
        <f>IF(E103="","",COUNTIFS(tbl_Finance[Job Number],E103&amp;"",tbl_Finance[Ex GST],"&lt;&gt;"))</f>
        <v/>
      </c>
      <c r="Z103" s="27">
        <f>IF(E103="","",SUMIFS(tbl_Finance[Ex GST],tbl_Finance[Job Number],E103&amp;""))</f>
        <v/>
      </c>
      <c r="AA103" s="27">
        <f>IF(E103="","",SUMIFS(tbl_Finance[Ex GST],tbl_Finance[Job Number],E103&amp;"",tbl_Finance[Xero Invoice No],"&lt;&gt;"))</f>
        <v/>
      </c>
      <c r="AB103" s="27">
        <f>IF(E103="","",Z103-AA103)</f>
        <v/>
      </c>
      <c r="AC103" s="25">
        <f>IF(E103="","",IFERROR(IF(INDEX(tbl_Onsite[Qwilr Quote],IFERROR(MATCH(E103&amp;"",tbl_Onsite[Job Number],0),MATCH(IFERROR(E103+0,E103),tbl_Onsite[Job Number],0)))="","",INDEX(tbl_Onsite[Qwilr Quote],IFERROR(MATCH(E103&amp;"",tbl_Onsite[Job Number],0),MATCH(IFERROR(E103+0,E103),tbl_Onsite[Job Number],0)))),IFERROR(IF(IF(INDEX(tbl_Production[Current RMS No],IFERROR(MATCH(E103&amp;"",tbl_Production[Job Number],0),MATCH(IFERROR(E103+0,E103),tbl_Production[Job Number],0)))="",INDEX(tbl_Production[Qwilr Quote],IFERROR(MATCH(E103&amp;"",tbl_Production[Job Number],0),MATCH(IFERROR(E103+0,E103),tbl_Production[Job Number],0))),INDEX(tbl_Production[Current RMS No],IFERROR(MATCH(E103&amp;"",tbl_Production[Job Number],0),MATCH(IFERROR(E103+0,E103),tbl_Production[Job Number],0))))="","",IF(INDEX(tbl_Production[Current RMS No],IFERROR(MATCH(E103&amp;"",tbl_Production[Job Number],0),MATCH(IFERROR(E103+0,E103),tbl_Production[Job Number],0)))="",INDEX(tbl_Production[Qwilr Quote],IFERROR(MATCH(E103&amp;"",tbl_Production[Job Number],0),MATCH(IFERROR(E103+0,E103),tbl_Production[Job Number],0))),INDEX(tbl_Production[Current RMS No],IFERROR(MATCH(E103&amp;"",tbl_Production[Job Number],0),MATCH(IFERROR(E103+0,E103),tbl_Production[Job Number],0))))),IFERROR(IF(INDEX(tbl_Consulting[Qwilr Quote],IFERROR(MATCH(E103&amp;"",tbl_Consulting[Job Number],0),MATCH(IFERROR(E103+0,E103),tbl_Consulting[Job Number],0)))="","",INDEX(tbl_Consulting[Qwilr Quote],IFERROR(MATCH(E103&amp;"",tbl_Consulting[Job Number],0),MATCH(IFERROR(E103+0,E103),tbl_Consulting[Job Number],0)))),""))))</f>
        <v/>
      </c>
      <c r="AD103" s="25">
        <f>IF(AC103="","",IF(AND(LEFT(AC103,4)&lt;&gt;"http",IF(H103="Production",set_RMSBase,set_QwilrBase)=""),"",HYPERLINK(IF(LEFT(AC103,4)="http",AC103,IF(H103="Production",set_RMSBase,set_QwilrBase)&amp;AC103),"Open")))</f>
        <v/>
      </c>
      <c r="AE103" s="27">
        <f>IF(E103="","",IFERROR(INDEX(tbl_Production[Total Expense],IFERROR(MATCH(E103&amp;"",tbl_Production[Job Number],0),MATCH(IFERROR(E103+0,E103),tbl_Production[Job Number],0))),IFERROR(INDEX(tbl_Consulting[Total Expense],IFERROR(MATCH(E103&amp;"",tbl_Consulting[Job Number],0),MATCH(IFERROR(E103+0,E103),tbl_Consulting[Job Number],0))),0)))</f>
        <v/>
      </c>
      <c r="AF103" s="27">
        <f>IF(E103="","",Z103-N(AE103))</f>
        <v/>
      </c>
      <c r="AG103" s="29">
        <f>IFERROR(AF103/Z103,"")</f>
        <v/>
      </c>
      <c r="AH103" s="25">
        <f>IF(E103="","",IFERROR(IF(INDEX(tbl_Onsite[Notes],IFERROR(MATCH(E103&amp;"",tbl_Onsite[Job Number],0),MATCH(IFERROR(E103+0,E103),tbl_Onsite[Job Number],0)))="","",INDEX(tbl_Onsite[Notes],IFERROR(MATCH(E103&amp;"",tbl_Onsite[Job Number],0),MATCH(IFERROR(E103+0,E103),tbl_Onsite[Job Number],0)))),IFERROR(IF(INDEX(tbl_Production[Notes],IFERROR(MATCH(E103&amp;"",tbl_Production[Job Number],0),MATCH(IFERROR(E103+0,E103),tbl_Production[Job Number],0)))="","",INDEX(tbl_Production[Notes],IFERROR(MATCH(E103&amp;"",tbl_Production[Job Number],0),MATCH(IFERROR(E103+0,E103),tbl_Production[Job Number],0)))),IFERROR(IF(INDEX(tbl_Consulting[Notes],IFERROR(MATCH(E103&amp;"",tbl_Consulting[Job Number],0),MATCH(IFERROR(E103+0,E103),tbl_Consulting[Job Number],0)))="","",INDEX(tbl_Consulting[Notes],IFERROR(MATCH(E103&amp;"",tbl_Consulting[Job Number],0),MATCH(IFERROR(E103+0,E103),tbl_Consulting[Job Number],0)))),""))))</f>
        <v/>
      </c>
    </row>
    <row r="104" ht="15" customHeight="1">
      <c r="A104" s="22" t="n"/>
      <c r="B104" s="23">
        <f>IF(A104="","",EOMONTH(A104,0))</f>
        <v/>
      </c>
      <c r="C104" s="24" t="n"/>
      <c r="D104" s="24" t="n"/>
      <c r="E104" s="24" t="n"/>
      <c r="F104" s="25">
        <f>IF(E104="","",IF(COUNTIF(lst_Jobs,E104&amp;"")&gt;0,"OK","CHECK"))</f>
        <v/>
      </c>
      <c r="G104" s="24" t="n"/>
      <c r="H104" s="24" t="n"/>
      <c r="I104" s="24" t="n"/>
      <c r="J104" s="24" t="n"/>
      <c r="K104" s="24" t="n"/>
      <c r="L104" s="26" t="n"/>
      <c r="M104" s="27">
        <f>IF(L104="","",IF(K104="GST 10%",ROUND(L104*set_GSTRate,2),0))</f>
        <v/>
      </c>
      <c r="N104" s="27">
        <f>IF(L104="","",L104+M104)</f>
        <v/>
      </c>
      <c r="O104" s="24" t="n"/>
      <c r="P104" s="24" t="n"/>
      <c r="Q104" s="24" t="n"/>
      <c r="R104" s="22" t="n"/>
      <c r="S104" s="22" t="n"/>
      <c r="T104" s="24" t="n"/>
      <c r="U104" s="24" t="n"/>
      <c r="V104" s="2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25">
        <f>IF(E104="","",IF(COUNTIF(tbl_Onsite[Job Number],E104&amp;"")&gt;0,"Onsite",IF(COUNTIF(tbl_Production[Job Number],E104&amp;"")&gt;0,"Production",IF(COUNTIF(tbl_Consulting[Job Number],E104&amp;"")&gt;0,"Consulting","not set up yet"))))</f>
        <v/>
      </c>
      <c r="X104" s="25">
        <f>IF(E104="","",IFERROR(INDEX(lst_JobName,MATCH(E104&amp;"",lst_Jobs,0)),""))</f>
        <v/>
      </c>
      <c r="Y104" s="28">
        <f>IF(E104="","",COUNTIFS(tbl_Finance[Job Number],E104&amp;"",tbl_Finance[Ex GST],"&lt;&gt;"))</f>
        <v/>
      </c>
      <c r="Z104" s="27">
        <f>IF(E104="","",SUMIFS(tbl_Finance[Ex GST],tbl_Finance[Job Number],E104&amp;""))</f>
        <v/>
      </c>
      <c r="AA104" s="27">
        <f>IF(E104="","",SUMIFS(tbl_Finance[Ex GST],tbl_Finance[Job Number],E104&amp;"",tbl_Finance[Xero Invoice No],"&lt;&gt;"))</f>
        <v/>
      </c>
      <c r="AB104" s="27">
        <f>IF(E104="","",Z104-AA104)</f>
        <v/>
      </c>
      <c r="AC104" s="25">
        <f>IF(E104="","",IFERROR(IF(INDEX(tbl_Onsite[Qwilr Quote],IFERROR(MATCH(E104&amp;"",tbl_Onsite[Job Number],0),MATCH(IFERROR(E104+0,E104),tbl_Onsite[Job Number],0)))="","",INDEX(tbl_Onsite[Qwilr Quote],IFERROR(MATCH(E104&amp;"",tbl_Onsite[Job Number],0),MATCH(IFERROR(E104+0,E104),tbl_Onsite[Job Number],0)))),IFERROR(IF(IF(INDEX(tbl_Production[Current RMS No],IFERROR(MATCH(E104&amp;"",tbl_Production[Job Number],0),MATCH(IFERROR(E104+0,E104),tbl_Production[Job Number],0)))="",INDEX(tbl_Production[Qwilr Quote],IFERROR(MATCH(E104&amp;"",tbl_Production[Job Number],0),MATCH(IFERROR(E104+0,E104),tbl_Production[Job Number],0))),INDEX(tbl_Production[Current RMS No],IFERROR(MATCH(E104&amp;"",tbl_Production[Job Number],0),MATCH(IFERROR(E104+0,E104),tbl_Production[Job Number],0))))="","",IF(INDEX(tbl_Production[Current RMS No],IFERROR(MATCH(E104&amp;"",tbl_Production[Job Number],0),MATCH(IFERROR(E104+0,E104),tbl_Production[Job Number],0)))="",INDEX(tbl_Production[Qwilr Quote],IFERROR(MATCH(E104&amp;"",tbl_Production[Job Number],0),MATCH(IFERROR(E104+0,E104),tbl_Production[Job Number],0))),INDEX(tbl_Production[Current RMS No],IFERROR(MATCH(E104&amp;"",tbl_Production[Job Number],0),MATCH(IFERROR(E104+0,E104),tbl_Production[Job Number],0))))),IFERROR(IF(INDEX(tbl_Consulting[Qwilr Quote],IFERROR(MATCH(E104&amp;"",tbl_Consulting[Job Number],0),MATCH(IFERROR(E104+0,E104),tbl_Consulting[Job Number],0)))="","",INDEX(tbl_Consulting[Qwilr Quote],IFERROR(MATCH(E104&amp;"",tbl_Consulting[Job Number],0),MATCH(IFERROR(E104+0,E104),tbl_Consulting[Job Number],0)))),""))))</f>
        <v/>
      </c>
      <c r="AD104" s="25">
        <f>IF(AC104="","",IF(AND(LEFT(AC104,4)&lt;&gt;"http",IF(H104="Production",set_RMSBase,set_QwilrBase)=""),"",HYPERLINK(IF(LEFT(AC104,4)="http",AC104,IF(H104="Production",set_RMSBase,set_QwilrBase)&amp;AC104),"Open")))</f>
        <v/>
      </c>
      <c r="AE104" s="27">
        <f>IF(E104="","",IFERROR(INDEX(tbl_Production[Total Expense],IFERROR(MATCH(E104&amp;"",tbl_Production[Job Number],0),MATCH(IFERROR(E104+0,E104),tbl_Production[Job Number],0))),IFERROR(INDEX(tbl_Consulting[Total Expense],IFERROR(MATCH(E104&amp;"",tbl_Consulting[Job Number],0),MATCH(IFERROR(E104+0,E104),tbl_Consulting[Job Number],0))),0)))</f>
        <v/>
      </c>
      <c r="AF104" s="27">
        <f>IF(E104="","",Z104-N(AE104))</f>
        <v/>
      </c>
      <c r="AG104" s="29">
        <f>IFERROR(AF104/Z104,"")</f>
        <v/>
      </c>
      <c r="AH104" s="25">
        <f>IF(E104="","",IFERROR(IF(INDEX(tbl_Onsite[Notes],IFERROR(MATCH(E104&amp;"",tbl_Onsite[Job Number],0),MATCH(IFERROR(E104+0,E104),tbl_Onsite[Job Number],0)))="","",INDEX(tbl_Onsite[Notes],IFERROR(MATCH(E104&amp;"",tbl_Onsite[Job Number],0),MATCH(IFERROR(E104+0,E104),tbl_Onsite[Job Number],0)))),IFERROR(IF(INDEX(tbl_Production[Notes],IFERROR(MATCH(E104&amp;"",tbl_Production[Job Number],0),MATCH(IFERROR(E104+0,E104),tbl_Production[Job Number],0)))="","",INDEX(tbl_Production[Notes],IFERROR(MATCH(E104&amp;"",tbl_Production[Job Number],0),MATCH(IFERROR(E104+0,E104),tbl_Production[Job Number],0)))),IFERROR(IF(INDEX(tbl_Consulting[Notes],IFERROR(MATCH(E104&amp;"",tbl_Consulting[Job Number],0),MATCH(IFERROR(E104+0,E104),tbl_Consulting[Job Number],0)))="","",INDEX(tbl_Consulting[Notes],IFERROR(MATCH(E104&amp;"",tbl_Consulting[Job Number],0),MATCH(IFERROR(E104+0,E104),tbl_Consulting[Job Number],0)))),""))))</f>
        <v/>
      </c>
    </row>
    <row r="105" ht="15" customHeight="1">
      <c r="A105" s="22" t="n"/>
      <c r="B105" s="23">
        <f>IF(A105="","",EOMONTH(A105,0))</f>
        <v/>
      </c>
      <c r="C105" s="24" t="n"/>
      <c r="D105" s="24" t="n"/>
      <c r="E105" s="24" t="n"/>
      <c r="F105" s="25">
        <f>IF(E105="","",IF(COUNTIF(lst_Jobs,E105&amp;"")&gt;0,"OK","CHECK"))</f>
        <v/>
      </c>
      <c r="G105" s="24" t="n"/>
      <c r="H105" s="24" t="n"/>
      <c r="I105" s="24" t="n"/>
      <c r="J105" s="24" t="n"/>
      <c r="K105" s="24" t="n"/>
      <c r="L105" s="26" t="n"/>
      <c r="M105" s="27">
        <f>IF(L105="","",IF(K105="GST 10%",ROUND(L105*set_GSTRate,2),0))</f>
        <v/>
      </c>
      <c r="N105" s="27">
        <f>IF(L105="","",L105+M105)</f>
        <v/>
      </c>
      <c r="O105" s="24" t="n"/>
      <c r="P105" s="24" t="n"/>
      <c r="Q105" s="24" t="n"/>
      <c r="R105" s="22" t="n"/>
      <c r="S105" s="22" t="n"/>
      <c r="T105" s="24" t="n"/>
      <c r="U105" s="24" t="n"/>
      <c r="V105" s="2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25">
        <f>IF(E105="","",IF(COUNTIF(tbl_Onsite[Job Number],E105&amp;"")&gt;0,"Onsite",IF(COUNTIF(tbl_Production[Job Number],E105&amp;"")&gt;0,"Production",IF(COUNTIF(tbl_Consulting[Job Number],E105&amp;"")&gt;0,"Consulting","not set up yet"))))</f>
        <v/>
      </c>
      <c r="X105" s="25">
        <f>IF(E105="","",IFERROR(INDEX(lst_JobName,MATCH(E105&amp;"",lst_Jobs,0)),""))</f>
        <v/>
      </c>
      <c r="Y105" s="28">
        <f>IF(E105="","",COUNTIFS(tbl_Finance[Job Number],E105&amp;"",tbl_Finance[Ex GST],"&lt;&gt;"))</f>
        <v/>
      </c>
      <c r="Z105" s="27">
        <f>IF(E105="","",SUMIFS(tbl_Finance[Ex GST],tbl_Finance[Job Number],E105&amp;""))</f>
        <v/>
      </c>
      <c r="AA105" s="27">
        <f>IF(E105="","",SUMIFS(tbl_Finance[Ex GST],tbl_Finance[Job Number],E105&amp;"",tbl_Finance[Xero Invoice No],"&lt;&gt;"))</f>
        <v/>
      </c>
      <c r="AB105" s="27">
        <f>IF(E105="","",Z105-AA105)</f>
        <v/>
      </c>
      <c r="AC105" s="25">
        <f>IF(E105="","",IFERROR(IF(INDEX(tbl_Onsite[Qwilr Quote],IFERROR(MATCH(E105&amp;"",tbl_Onsite[Job Number],0),MATCH(IFERROR(E105+0,E105),tbl_Onsite[Job Number],0)))="","",INDEX(tbl_Onsite[Qwilr Quote],IFERROR(MATCH(E105&amp;"",tbl_Onsite[Job Number],0),MATCH(IFERROR(E105+0,E105),tbl_Onsite[Job Number],0)))),IFERROR(IF(IF(INDEX(tbl_Production[Current RMS No],IFERROR(MATCH(E105&amp;"",tbl_Production[Job Number],0),MATCH(IFERROR(E105+0,E105),tbl_Production[Job Number],0)))="",INDEX(tbl_Production[Qwilr Quote],IFERROR(MATCH(E105&amp;"",tbl_Production[Job Number],0),MATCH(IFERROR(E105+0,E105),tbl_Production[Job Number],0))),INDEX(tbl_Production[Current RMS No],IFERROR(MATCH(E105&amp;"",tbl_Production[Job Number],0),MATCH(IFERROR(E105+0,E105),tbl_Production[Job Number],0))))="","",IF(INDEX(tbl_Production[Current RMS No],IFERROR(MATCH(E105&amp;"",tbl_Production[Job Number],0),MATCH(IFERROR(E105+0,E105),tbl_Production[Job Number],0)))="",INDEX(tbl_Production[Qwilr Quote],IFERROR(MATCH(E105&amp;"",tbl_Production[Job Number],0),MATCH(IFERROR(E105+0,E105),tbl_Production[Job Number],0))),INDEX(tbl_Production[Current RMS No],IFERROR(MATCH(E105&amp;"",tbl_Production[Job Number],0),MATCH(IFERROR(E105+0,E105),tbl_Production[Job Number],0))))),IFERROR(IF(INDEX(tbl_Consulting[Qwilr Quote],IFERROR(MATCH(E105&amp;"",tbl_Consulting[Job Number],0),MATCH(IFERROR(E105+0,E105),tbl_Consulting[Job Number],0)))="","",INDEX(tbl_Consulting[Qwilr Quote],IFERROR(MATCH(E105&amp;"",tbl_Consulting[Job Number],0),MATCH(IFERROR(E105+0,E105),tbl_Consulting[Job Number],0)))),""))))</f>
        <v/>
      </c>
      <c r="AD105" s="25">
        <f>IF(AC105="","",IF(AND(LEFT(AC105,4)&lt;&gt;"http",IF(H105="Production",set_RMSBase,set_QwilrBase)=""),"",HYPERLINK(IF(LEFT(AC105,4)="http",AC105,IF(H105="Production",set_RMSBase,set_QwilrBase)&amp;AC105),"Open")))</f>
        <v/>
      </c>
      <c r="AE105" s="27">
        <f>IF(E105="","",IFERROR(INDEX(tbl_Production[Total Expense],IFERROR(MATCH(E105&amp;"",tbl_Production[Job Number],0),MATCH(IFERROR(E105+0,E105),tbl_Production[Job Number],0))),IFERROR(INDEX(tbl_Consulting[Total Expense],IFERROR(MATCH(E105&amp;"",tbl_Consulting[Job Number],0),MATCH(IFERROR(E105+0,E105),tbl_Consulting[Job Number],0))),0)))</f>
        <v/>
      </c>
      <c r="AF105" s="27">
        <f>IF(E105="","",Z105-N(AE105))</f>
        <v/>
      </c>
      <c r="AG105" s="29">
        <f>IFERROR(AF105/Z105,"")</f>
        <v/>
      </c>
      <c r="AH105" s="25">
        <f>IF(E105="","",IFERROR(IF(INDEX(tbl_Onsite[Notes],IFERROR(MATCH(E105&amp;"",tbl_Onsite[Job Number],0),MATCH(IFERROR(E105+0,E105),tbl_Onsite[Job Number],0)))="","",INDEX(tbl_Onsite[Notes],IFERROR(MATCH(E105&amp;"",tbl_Onsite[Job Number],0),MATCH(IFERROR(E105+0,E105),tbl_Onsite[Job Number],0)))),IFERROR(IF(INDEX(tbl_Production[Notes],IFERROR(MATCH(E105&amp;"",tbl_Production[Job Number],0),MATCH(IFERROR(E105+0,E105),tbl_Production[Job Number],0)))="","",INDEX(tbl_Production[Notes],IFERROR(MATCH(E105&amp;"",tbl_Production[Job Number],0),MATCH(IFERROR(E105+0,E105),tbl_Production[Job Number],0)))),IFERROR(IF(INDEX(tbl_Consulting[Notes],IFERROR(MATCH(E105&amp;"",tbl_Consulting[Job Number],0),MATCH(IFERROR(E105+0,E105),tbl_Consulting[Job Number],0)))="","",INDEX(tbl_Consulting[Notes],IFERROR(MATCH(E105&amp;"",tbl_Consulting[Job Number],0),MATCH(IFERROR(E105+0,E105),tbl_Consulting[Job Number],0)))),""))))</f>
        <v/>
      </c>
    </row>
    <row r="106" ht="15" customHeight="1">
      <c r="A106" s="22" t="n"/>
      <c r="B106" s="23">
        <f>IF(A106="","",EOMONTH(A106,0))</f>
        <v/>
      </c>
      <c r="C106" s="24" t="n"/>
      <c r="D106" s="24" t="n"/>
      <c r="E106" s="24" t="n"/>
      <c r="F106" s="25">
        <f>IF(E106="","",IF(COUNTIF(lst_Jobs,E106&amp;"")&gt;0,"OK","CHECK"))</f>
        <v/>
      </c>
      <c r="G106" s="24" t="n"/>
      <c r="H106" s="24" t="n"/>
      <c r="I106" s="24" t="n"/>
      <c r="J106" s="24" t="n"/>
      <c r="K106" s="24" t="n"/>
      <c r="L106" s="26" t="n"/>
      <c r="M106" s="27">
        <f>IF(L106="","",IF(K106="GST 10%",ROUND(L106*set_GSTRate,2),0))</f>
        <v/>
      </c>
      <c r="N106" s="27">
        <f>IF(L106="","",L106+M106)</f>
        <v/>
      </c>
      <c r="O106" s="24" t="n"/>
      <c r="P106" s="24" t="n"/>
      <c r="Q106" s="24" t="n"/>
      <c r="R106" s="22" t="n"/>
      <c r="S106" s="22" t="n"/>
      <c r="T106" s="24" t="n"/>
      <c r="U106" s="24" t="n"/>
      <c r="V106" s="2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25">
        <f>IF(E106="","",IF(COUNTIF(tbl_Onsite[Job Number],E106&amp;"")&gt;0,"Onsite",IF(COUNTIF(tbl_Production[Job Number],E106&amp;"")&gt;0,"Production",IF(COUNTIF(tbl_Consulting[Job Number],E106&amp;"")&gt;0,"Consulting","not set up yet"))))</f>
        <v/>
      </c>
      <c r="X106" s="25">
        <f>IF(E106="","",IFERROR(INDEX(lst_JobName,MATCH(E106&amp;"",lst_Jobs,0)),""))</f>
        <v/>
      </c>
      <c r="Y106" s="28">
        <f>IF(E106="","",COUNTIFS(tbl_Finance[Job Number],E106&amp;"",tbl_Finance[Ex GST],"&lt;&gt;"))</f>
        <v/>
      </c>
      <c r="Z106" s="27">
        <f>IF(E106="","",SUMIFS(tbl_Finance[Ex GST],tbl_Finance[Job Number],E106&amp;""))</f>
        <v/>
      </c>
      <c r="AA106" s="27">
        <f>IF(E106="","",SUMIFS(tbl_Finance[Ex GST],tbl_Finance[Job Number],E106&amp;"",tbl_Finance[Xero Invoice No],"&lt;&gt;"))</f>
        <v/>
      </c>
      <c r="AB106" s="27">
        <f>IF(E106="","",Z106-AA106)</f>
        <v/>
      </c>
      <c r="AC106" s="25">
        <f>IF(E106="","",IFERROR(IF(INDEX(tbl_Onsite[Qwilr Quote],IFERROR(MATCH(E106&amp;"",tbl_Onsite[Job Number],0),MATCH(IFERROR(E106+0,E106),tbl_Onsite[Job Number],0)))="","",INDEX(tbl_Onsite[Qwilr Quote],IFERROR(MATCH(E106&amp;"",tbl_Onsite[Job Number],0),MATCH(IFERROR(E106+0,E106),tbl_Onsite[Job Number],0)))),IFERROR(IF(IF(INDEX(tbl_Production[Current RMS No],IFERROR(MATCH(E106&amp;"",tbl_Production[Job Number],0),MATCH(IFERROR(E106+0,E106),tbl_Production[Job Number],0)))="",INDEX(tbl_Production[Qwilr Quote],IFERROR(MATCH(E106&amp;"",tbl_Production[Job Number],0),MATCH(IFERROR(E106+0,E106),tbl_Production[Job Number],0))),INDEX(tbl_Production[Current RMS No],IFERROR(MATCH(E106&amp;"",tbl_Production[Job Number],0),MATCH(IFERROR(E106+0,E106),tbl_Production[Job Number],0))))="","",IF(INDEX(tbl_Production[Current RMS No],IFERROR(MATCH(E106&amp;"",tbl_Production[Job Number],0),MATCH(IFERROR(E106+0,E106),tbl_Production[Job Number],0)))="",INDEX(tbl_Production[Qwilr Quote],IFERROR(MATCH(E106&amp;"",tbl_Production[Job Number],0),MATCH(IFERROR(E106+0,E106),tbl_Production[Job Number],0))),INDEX(tbl_Production[Current RMS No],IFERROR(MATCH(E106&amp;"",tbl_Production[Job Number],0),MATCH(IFERROR(E106+0,E106),tbl_Production[Job Number],0))))),IFERROR(IF(INDEX(tbl_Consulting[Qwilr Quote],IFERROR(MATCH(E106&amp;"",tbl_Consulting[Job Number],0),MATCH(IFERROR(E106+0,E106),tbl_Consulting[Job Number],0)))="","",INDEX(tbl_Consulting[Qwilr Quote],IFERROR(MATCH(E106&amp;"",tbl_Consulting[Job Number],0),MATCH(IFERROR(E106+0,E106),tbl_Consulting[Job Number],0)))),""))))</f>
        <v/>
      </c>
      <c r="AD106" s="25">
        <f>IF(AC106="","",IF(AND(LEFT(AC106,4)&lt;&gt;"http",IF(H106="Production",set_RMSBase,set_QwilrBase)=""),"",HYPERLINK(IF(LEFT(AC106,4)="http",AC106,IF(H106="Production",set_RMSBase,set_QwilrBase)&amp;AC106),"Open")))</f>
        <v/>
      </c>
      <c r="AE106" s="27">
        <f>IF(E106="","",IFERROR(INDEX(tbl_Production[Total Expense],IFERROR(MATCH(E106&amp;"",tbl_Production[Job Number],0),MATCH(IFERROR(E106+0,E106),tbl_Production[Job Number],0))),IFERROR(INDEX(tbl_Consulting[Total Expense],IFERROR(MATCH(E106&amp;"",tbl_Consulting[Job Number],0),MATCH(IFERROR(E106+0,E106),tbl_Consulting[Job Number],0))),0)))</f>
        <v/>
      </c>
      <c r="AF106" s="27">
        <f>IF(E106="","",Z106-N(AE106))</f>
        <v/>
      </c>
      <c r="AG106" s="29">
        <f>IFERROR(AF106/Z106,"")</f>
        <v/>
      </c>
      <c r="AH106" s="25">
        <f>IF(E106="","",IFERROR(IF(INDEX(tbl_Onsite[Notes],IFERROR(MATCH(E106&amp;"",tbl_Onsite[Job Number],0),MATCH(IFERROR(E106+0,E106),tbl_Onsite[Job Number],0)))="","",INDEX(tbl_Onsite[Notes],IFERROR(MATCH(E106&amp;"",tbl_Onsite[Job Number],0),MATCH(IFERROR(E106+0,E106),tbl_Onsite[Job Number],0)))),IFERROR(IF(INDEX(tbl_Production[Notes],IFERROR(MATCH(E106&amp;"",tbl_Production[Job Number],0),MATCH(IFERROR(E106+0,E106),tbl_Production[Job Number],0)))="","",INDEX(tbl_Production[Notes],IFERROR(MATCH(E106&amp;"",tbl_Production[Job Number],0),MATCH(IFERROR(E106+0,E106),tbl_Production[Job Number],0)))),IFERROR(IF(INDEX(tbl_Consulting[Notes],IFERROR(MATCH(E106&amp;"",tbl_Consulting[Job Number],0),MATCH(IFERROR(E106+0,E106),tbl_Consulting[Job Number],0)))="","",INDEX(tbl_Consulting[Notes],IFERROR(MATCH(E106&amp;"",tbl_Consulting[Job Number],0),MATCH(IFERROR(E106+0,E106),tbl_Consulting[Job Number],0)))),""))))</f>
        <v/>
      </c>
    </row>
    <row r="107" ht="15" customHeight="1">
      <c r="A107" s="22" t="n"/>
      <c r="B107" s="23">
        <f>IF(A107="","",EOMONTH(A107,0))</f>
        <v/>
      </c>
      <c r="C107" s="24" t="n"/>
      <c r="D107" s="24" t="n"/>
      <c r="E107" s="24" t="n"/>
      <c r="F107" s="25">
        <f>IF(E107="","",IF(COUNTIF(lst_Jobs,E107&amp;"")&gt;0,"OK","CHECK"))</f>
        <v/>
      </c>
      <c r="G107" s="24" t="n"/>
      <c r="H107" s="24" t="n"/>
      <c r="I107" s="24" t="n"/>
      <c r="J107" s="24" t="n"/>
      <c r="K107" s="24" t="n"/>
      <c r="L107" s="26" t="n"/>
      <c r="M107" s="27">
        <f>IF(L107="","",IF(K107="GST 10%",ROUND(L107*set_GSTRate,2),0))</f>
        <v/>
      </c>
      <c r="N107" s="27">
        <f>IF(L107="","",L107+M107)</f>
        <v/>
      </c>
      <c r="O107" s="24" t="n"/>
      <c r="P107" s="24" t="n"/>
      <c r="Q107" s="24" t="n"/>
      <c r="R107" s="22" t="n"/>
      <c r="S107" s="22" t="n"/>
      <c r="T107" s="24" t="n"/>
      <c r="U107" s="24" t="n"/>
      <c r="V107" s="2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25">
        <f>IF(E107="","",IF(COUNTIF(tbl_Onsite[Job Number],E107&amp;"")&gt;0,"Onsite",IF(COUNTIF(tbl_Production[Job Number],E107&amp;"")&gt;0,"Production",IF(COUNTIF(tbl_Consulting[Job Number],E107&amp;"")&gt;0,"Consulting","not set up yet"))))</f>
        <v/>
      </c>
      <c r="X107" s="25">
        <f>IF(E107="","",IFERROR(INDEX(lst_JobName,MATCH(E107&amp;"",lst_Jobs,0)),""))</f>
        <v/>
      </c>
      <c r="Y107" s="28">
        <f>IF(E107="","",COUNTIFS(tbl_Finance[Job Number],E107&amp;"",tbl_Finance[Ex GST],"&lt;&gt;"))</f>
        <v/>
      </c>
      <c r="Z107" s="27">
        <f>IF(E107="","",SUMIFS(tbl_Finance[Ex GST],tbl_Finance[Job Number],E107&amp;""))</f>
        <v/>
      </c>
      <c r="AA107" s="27">
        <f>IF(E107="","",SUMIFS(tbl_Finance[Ex GST],tbl_Finance[Job Number],E107&amp;"",tbl_Finance[Xero Invoice No],"&lt;&gt;"))</f>
        <v/>
      </c>
      <c r="AB107" s="27">
        <f>IF(E107="","",Z107-AA107)</f>
        <v/>
      </c>
      <c r="AC107" s="25">
        <f>IF(E107="","",IFERROR(IF(INDEX(tbl_Onsite[Qwilr Quote],IFERROR(MATCH(E107&amp;"",tbl_Onsite[Job Number],0),MATCH(IFERROR(E107+0,E107),tbl_Onsite[Job Number],0)))="","",INDEX(tbl_Onsite[Qwilr Quote],IFERROR(MATCH(E107&amp;"",tbl_Onsite[Job Number],0),MATCH(IFERROR(E107+0,E107),tbl_Onsite[Job Number],0)))),IFERROR(IF(IF(INDEX(tbl_Production[Current RMS No],IFERROR(MATCH(E107&amp;"",tbl_Production[Job Number],0),MATCH(IFERROR(E107+0,E107),tbl_Production[Job Number],0)))="",INDEX(tbl_Production[Qwilr Quote],IFERROR(MATCH(E107&amp;"",tbl_Production[Job Number],0),MATCH(IFERROR(E107+0,E107),tbl_Production[Job Number],0))),INDEX(tbl_Production[Current RMS No],IFERROR(MATCH(E107&amp;"",tbl_Production[Job Number],0),MATCH(IFERROR(E107+0,E107),tbl_Production[Job Number],0))))="","",IF(INDEX(tbl_Production[Current RMS No],IFERROR(MATCH(E107&amp;"",tbl_Production[Job Number],0),MATCH(IFERROR(E107+0,E107),tbl_Production[Job Number],0)))="",INDEX(tbl_Production[Qwilr Quote],IFERROR(MATCH(E107&amp;"",tbl_Production[Job Number],0),MATCH(IFERROR(E107+0,E107),tbl_Production[Job Number],0))),INDEX(tbl_Production[Current RMS No],IFERROR(MATCH(E107&amp;"",tbl_Production[Job Number],0),MATCH(IFERROR(E107+0,E107),tbl_Production[Job Number],0))))),IFERROR(IF(INDEX(tbl_Consulting[Qwilr Quote],IFERROR(MATCH(E107&amp;"",tbl_Consulting[Job Number],0),MATCH(IFERROR(E107+0,E107),tbl_Consulting[Job Number],0)))="","",INDEX(tbl_Consulting[Qwilr Quote],IFERROR(MATCH(E107&amp;"",tbl_Consulting[Job Number],0),MATCH(IFERROR(E107+0,E107),tbl_Consulting[Job Number],0)))),""))))</f>
        <v/>
      </c>
      <c r="AD107" s="25">
        <f>IF(AC107="","",IF(AND(LEFT(AC107,4)&lt;&gt;"http",IF(H107="Production",set_RMSBase,set_QwilrBase)=""),"",HYPERLINK(IF(LEFT(AC107,4)="http",AC107,IF(H107="Production",set_RMSBase,set_QwilrBase)&amp;AC107),"Open")))</f>
        <v/>
      </c>
      <c r="AE107" s="27">
        <f>IF(E107="","",IFERROR(INDEX(tbl_Production[Total Expense],IFERROR(MATCH(E107&amp;"",tbl_Production[Job Number],0),MATCH(IFERROR(E107+0,E107),tbl_Production[Job Number],0))),IFERROR(INDEX(tbl_Consulting[Total Expense],IFERROR(MATCH(E107&amp;"",tbl_Consulting[Job Number],0),MATCH(IFERROR(E107+0,E107),tbl_Consulting[Job Number],0))),0)))</f>
        <v/>
      </c>
      <c r="AF107" s="27">
        <f>IF(E107="","",Z107-N(AE107))</f>
        <v/>
      </c>
      <c r="AG107" s="29">
        <f>IFERROR(AF107/Z107,"")</f>
        <v/>
      </c>
      <c r="AH107" s="25">
        <f>IF(E107="","",IFERROR(IF(INDEX(tbl_Onsite[Notes],IFERROR(MATCH(E107&amp;"",tbl_Onsite[Job Number],0),MATCH(IFERROR(E107+0,E107),tbl_Onsite[Job Number],0)))="","",INDEX(tbl_Onsite[Notes],IFERROR(MATCH(E107&amp;"",tbl_Onsite[Job Number],0),MATCH(IFERROR(E107+0,E107),tbl_Onsite[Job Number],0)))),IFERROR(IF(INDEX(tbl_Production[Notes],IFERROR(MATCH(E107&amp;"",tbl_Production[Job Number],0),MATCH(IFERROR(E107+0,E107),tbl_Production[Job Number],0)))="","",INDEX(tbl_Production[Notes],IFERROR(MATCH(E107&amp;"",tbl_Production[Job Number],0),MATCH(IFERROR(E107+0,E107),tbl_Production[Job Number],0)))),IFERROR(IF(INDEX(tbl_Consulting[Notes],IFERROR(MATCH(E107&amp;"",tbl_Consulting[Job Number],0),MATCH(IFERROR(E107+0,E107),tbl_Consulting[Job Number],0)))="","",INDEX(tbl_Consulting[Notes],IFERROR(MATCH(E107&amp;"",tbl_Consulting[Job Number],0),MATCH(IFERROR(E107+0,E107),tbl_Consulting[Job Number],0)))),""))))</f>
        <v/>
      </c>
    </row>
    <row r="108" ht="15" customHeight="1">
      <c r="A108" s="22" t="n"/>
      <c r="B108" s="23">
        <f>IF(A108="","",EOMONTH(A108,0))</f>
        <v/>
      </c>
      <c r="C108" s="24" t="n"/>
      <c r="D108" s="24" t="n"/>
      <c r="E108" s="24" t="n"/>
      <c r="F108" s="25">
        <f>IF(E108="","",IF(COUNTIF(lst_Jobs,E108&amp;"")&gt;0,"OK","CHECK"))</f>
        <v/>
      </c>
      <c r="G108" s="24" t="n"/>
      <c r="H108" s="24" t="n"/>
      <c r="I108" s="24" t="n"/>
      <c r="J108" s="24" t="n"/>
      <c r="K108" s="24" t="n"/>
      <c r="L108" s="26" t="n"/>
      <c r="M108" s="27">
        <f>IF(L108="","",IF(K108="GST 10%",ROUND(L108*set_GSTRate,2),0))</f>
        <v/>
      </c>
      <c r="N108" s="27">
        <f>IF(L108="","",L108+M108)</f>
        <v/>
      </c>
      <c r="O108" s="24" t="n"/>
      <c r="P108" s="24" t="n"/>
      <c r="Q108" s="24" t="n"/>
      <c r="R108" s="22" t="n"/>
      <c r="S108" s="22" t="n"/>
      <c r="T108" s="24" t="n"/>
      <c r="U108" s="24" t="n"/>
      <c r="V108" s="2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25">
        <f>IF(E108="","",IF(COUNTIF(tbl_Onsite[Job Number],E108&amp;"")&gt;0,"Onsite",IF(COUNTIF(tbl_Production[Job Number],E108&amp;"")&gt;0,"Production",IF(COUNTIF(tbl_Consulting[Job Number],E108&amp;"")&gt;0,"Consulting","not set up yet"))))</f>
        <v/>
      </c>
      <c r="X108" s="25">
        <f>IF(E108="","",IFERROR(INDEX(lst_JobName,MATCH(E108&amp;"",lst_Jobs,0)),""))</f>
        <v/>
      </c>
      <c r="Y108" s="28">
        <f>IF(E108="","",COUNTIFS(tbl_Finance[Job Number],E108&amp;"",tbl_Finance[Ex GST],"&lt;&gt;"))</f>
        <v/>
      </c>
      <c r="Z108" s="27">
        <f>IF(E108="","",SUMIFS(tbl_Finance[Ex GST],tbl_Finance[Job Number],E108&amp;""))</f>
        <v/>
      </c>
      <c r="AA108" s="27">
        <f>IF(E108="","",SUMIFS(tbl_Finance[Ex GST],tbl_Finance[Job Number],E108&amp;"",tbl_Finance[Xero Invoice No],"&lt;&gt;"))</f>
        <v/>
      </c>
      <c r="AB108" s="27">
        <f>IF(E108="","",Z108-AA108)</f>
        <v/>
      </c>
      <c r="AC108" s="25">
        <f>IF(E108="","",IFERROR(IF(INDEX(tbl_Onsite[Qwilr Quote],IFERROR(MATCH(E108&amp;"",tbl_Onsite[Job Number],0),MATCH(IFERROR(E108+0,E108),tbl_Onsite[Job Number],0)))="","",INDEX(tbl_Onsite[Qwilr Quote],IFERROR(MATCH(E108&amp;"",tbl_Onsite[Job Number],0),MATCH(IFERROR(E108+0,E108),tbl_Onsite[Job Number],0)))),IFERROR(IF(IF(INDEX(tbl_Production[Current RMS No],IFERROR(MATCH(E108&amp;"",tbl_Production[Job Number],0),MATCH(IFERROR(E108+0,E108),tbl_Production[Job Number],0)))="",INDEX(tbl_Production[Qwilr Quote],IFERROR(MATCH(E108&amp;"",tbl_Production[Job Number],0),MATCH(IFERROR(E108+0,E108),tbl_Production[Job Number],0))),INDEX(tbl_Production[Current RMS No],IFERROR(MATCH(E108&amp;"",tbl_Production[Job Number],0),MATCH(IFERROR(E108+0,E108),tbl_Production[Job Number],0))))="","",IF(INDEX(tbl_Production[Current RMS No],IFERROR(MATCH(E108&amp;"",tbl_Production[Job Number],0),MATCH(IFERROR(E108+0,E108),tbl_Production[Job Number],0)))="",INDEX(tbl_Production[Qwilr Quote],IFERROR(MATCH(E108&amp;"",tbl_Production[Job Number],0),MATCH(IFERROR(E108+0,E108),tbl_Production[Job Number],0))),INDEX(tbl_Production[Current RMS No],IFERROR(MATCH(E108&amp;"",tbl_Production[Job Number],0),MATCH(IFERROR(E108+0,E108),tbl_Production[Job Number],0))))),IFERROR(IF(INDEX(tbl_Consulting[Qwilr Quote],IFERROR(MATCH(E108&amp;"",tbl_Consulting[Job Number],0),MATCH(IFERROR(E108+0,E108),tbl_Consulting[Job Number],0)))="","",INDEX(tbl_Consulting[Qwilr Quote],IFERROR(MATCH(E108&amp;"",tbl_Consulting[Job Number],0),MATCH(IFERROR(E108+0,E108),tbl_Consulting[Job Number],0)))),""))))</f>
        <v/>
      </c>
      <c r="AD108" s="25">
        <f>IF(AC108="","",IF(AND(LEFT(AC108,4)&lt;&gt;"http",IF(H108="Production",set_RMSBase,set_QwilrBase)=""),"",HYPERLINK(IF(LEFT(AC108,4)="http",AC108,IF(H108="Production",set_RMSBase,set_QwilrBase)&amp;AC108),"Open")))</f>
        <v/>
      </c>
      <c r="AE108" s="27">
        <f>IF(E108="","",IFERROR(INDEX(tbl_Production[Total Expense],IFERROR(MATCH(E108&amp;"",tbl_Production[Job Number],0),MATCH(IFERROR(E108+0,E108),tbl_Production[Job Number],0))),IFERROR(INDEX(tbl_Consulting[Total Expense],IFERROR(MATCH(E108&amp;"",tbl_Consulting[Job Number],0),MATCH(IFERROR(E108+0,E108),tbl_Consulting[Job Number],0))),0)))</f>
        <v/>
      </c>
      <c r="AF108" s="27">
        <f>IF(E108="","",Z108-N(AE108))</f>
        <v/>
      </c>
      <c r="AG108" s="29">
        <f>IFERROR(AF108/Z108,"")</f>
        <v/>
      </c>
      <c r="AH108" s="25">
        <f>IF(E108="","",IFERROR(IF(INDEX(tbl_Onsite[Notes],IFERROR(MATCH(E108&amp;"",tbl_Onsite[Job Number],0),MATCH(IFERROR(E108+0,E108),tbl_Onsite[Job Number],0)))="","",INDEX(tbl_Onsite[Notes],IFERROR(MATCH(E108&amp;"",tbl_Onsite[Job Number],0),MATCH(IFERROR(E108+0,E108),tbl_Onsite[Job Number],0)))),IFERROR(IF(INDEX(tbl_Production[Notes],IFERROR(MATCH(E108&amp;"",tbl_Production[Job Number],0),MATCH(IFERROR(E108+0,E108),tbl_Production[Job Number],0)))="","",INDEX(tbl_Production[Notes],IFERROR(MATCH(E108&amp;"",tbl_Production[Job Number],0),MATCH(IFERROR(E108+0,E108),tbl_Production[Job Number],0)))),IFERROR(IF(INDEX(tbl_Consulting[Notes],IFERROR(MATCH(E108&amp;"",tbl_Consulting[Job Number],0),MATCH(IFERROR(E108+0,E108),tbl_Consulting[Job Number],0)))="","",INDEX(tbl_Consulting[Notes],IFERROR(MATCH(E108&amp;"",tbl_Consulting[Job Number],0),MATCH(IFERROR(E108+0,E108),tbl_Consulting[Job Number],0)))),""))))</f>
        <v/>
      </c>
    </row>
    <row r="109" ht="15" customHeight="1">
      <c r="A109" s="22" t="n"/>
      <c r="B109" s="23">
        <f>IF(A109="","",EOMONTH(A109,0))</f>
        <v/>
      </c>
      <c r="C109" s="24" t="n"/>
      <c r="D109" s="24" t="n"/>
      <c r="E109" s="24" t="n"/>
      <c r="F109" s="25">
        <f>IF(E109="","",IF(COUNTIF(lst_Jobs,E109&amp;"")&gt;0,"OK","CHECK"))</f>
        <v/>
      </c>
      <c r="G109" s="24" t="n"/>
      <c r="H109" s="24" t="n"/>
      <c r="I109" s="24" t="n"/>
      <c r="J109" s="24" t="n"/>
      <c r="K109" s="24" t="n"/>
      <c r="L109" s="26" t="n"/>
      <c r="M109" s="27">
        <f>IF(L109="","",IF(K109="GST 10%",ROUND(L109*set_GSTRate,2),0))</f>
        <v/>
      </c>
      <c r="N109" s="27">
        <f>IF(L109="","",L109+M109)</f>
        <v/>
      </c>
      <c r="O109" s="24" t="n"/>
      <c r="P109" s="24" t="n"/>
      <c r="Q109" s="24" t="n"/>
      <c r="R109" s="22" t="n"/>
      <c r="S109" s="22" t="n"/>
      <c r="T109" s="24" t="n"/>
      <c r="U109" s="24" t="n"/>
      <c r="V109" s="2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25">
        <f>IF(E109="","",IF(COUNTIF(tbl_Onsite[Job Number],E109&amp;"")&gt;0,"Onsite",IF(COUNTIF(tbl_Production[Job Number],E109&amp;"")&gt;0,"Production",IF(COUNTIF(tbl_Consulting[Job Number],E109&amp;"")&gt;0,"Consulting","not set up yet"))))</f>
        <v/>
      </c>
      <c r="X109" s="25">
        <f>IF(E109="","",IFERROR(INDEX(lst_JobName,MATCH(E109&amp;"",lst_Jobs,0)),""))</f>
        <v/>
      </c>
      <c r="Y109" s="28">
        <f>IF(E109="","",COUNTIFS(tbl_Finance[Job Number],E109&amp;"",tbl_Finance[Ex GST],"&lt;&gt;"))</f>
        <v/>
      </c>
      <c r="Z109" s="27">
        <f>IF(E109="","",SUMIFS(tbl_Finance[Ex GST],tbl_Finance[Job Number],E109&amp;""))</f>
        <v/>
      </c>
      <c r="AA109" s="27">
        <f>IF(E109="","",SUMIFS(tbl_Finance[Ex GST],tbl_Finance[Job Number],E109&amp;"",tbl_Finance[Xero Invoice No],"&lt;&gt;"))</f>
        <v/>
      </c>
      <c r="AB109" s="27">
        <f>IF(E109="","",Z109-AA109)</f>
        <v/>
      </c>
      <c r="AC109" s="25">
        <f>IF(E109="","",IFERROR(IF(INDEX(tbl_Onsite[Qwilr Quote],IFERROR(MATCH(E109&amp;"",tbl_Onsite[Job Number],0),MATCH(IFERROR(E109+0,E109),tbl_Onsite[Job Number],0)))="","",INDEX(tbl_Onsite[Qwilr Quote],IFERROR(MATCH(E109&amp;"",tbl_Onsite[Job Number],0),MATCH(IFERROR(E109+0,E109),tbl_Onsite[Job Number],0)))),IFERROR(IF(IF(INDEX(tbl_Production[Current RMS No],IFERROR(MATCH(E109&amp;"",tbl_Production[Job Number],0),MATCH(IFERROR(E109+0,E109),tbl_Production[Job Number],0)))="",INDEX(tbl_Production[Qwilr Quote],IFERROR(MATCH(E109&amp;"",tbl_Production[Job Number],0),MATCH(IFERROR(E109+0,E109),tbl_Production[Job Number],0))),INDEX(tbl_Production[Current RMS No],IFERROR(MATCH(E109&amp;"",tbl_Production[Job Number],0),MATCH(IFERROR(E109+0,E109),tbl_Production[Job Number],0))))="","",IF(INDEX(tbl_Production[Current RMS No],IFERROR(MATCH(E109&amp;"",tbl_Production[Job Number],0),MATCH(IFERROR(E109+0,E109),tbl_Production[Job Number],0)))="",INDEX(tbl_Production[Qwilr Quote],IFERROR(MATCH(E109&amp;"",tbl_Production[Job Number],0),MATCH(IFERROR(E109+0,E109),tbl_Production[Job Number],0))),INDEX(tbl_Production[Current RMS No],IFERROR(MATCH(E109&amp;"",tbl_Production[Job Number],0),MATCH(IFERROR(E109+0,E109),tbl_Production[Job Number],0))))),IFERROR(IF(INDEX(tbl_Consulting[Qwilr Quote],IFERROR(MATCH(E109&amp;"",tbl_Consulting[Job Number],0),MATCH(IFERROR(E109+0,E109),tbl_Consulting[Job Number],0)))="","",INDEX(tbl_Consulting[Qwilr Quote],IFERROR(MATCH(E109&amp;"",tbl_Consulting[Job Number],0),MATCH(IFERROR(E109+0,E109),tbl_Consulting[Job Number],0)))),""))))</f>
        <v/>
      </c>
      <c r="AD109" s="25">
        <f>IF(AC109="","",IF(AND(LEFT(AC109,4)&lt;&gt;"http",IF(H109="Production",set_RMSBase,set_QwilrBase)=""),"",HYPERLINK(IF(LEFT(AC109,4)="http",AC109,IF(H109="Production",set_RMSBase,set_QwilrBase)&amp;AC109),"Open")))</f>
        <v/>
      </c>
      <c r="AE109" s="27">
        <f>IF(E109="","",IFERROR(INDEX(tbl_Production[Total Expense],IFERROR(MATCH(E109&amp;"",tbl_Production[Job Number],0),MATCH(IFERROR(E109+0,E109),tbl_Production[Job Number],0))),IFERROR(INDEX(tbl_Consulting[Total Expense],IFERROR(MATCH(E109&amp;"",tbl_Consulting[Job Number],0),MATCH(IFERROR(E109+0,E109),tbl_Consulting[Job Number],0))),0)))</f>
        <v/>
      </c>
      <c r="AF109" s="27">
        <f>IF(E109="","",Z109-N(AE109))</f>
        <v/>
      </c>
      <c r="AG109" s="29">
        <f>IFERROR(AF109/Z109,"")</f>
        <v/>
      </c>
      <c r="AH109" s="25">
        <f>IF(E109="","",IFERROR(IF(INDEX(tbl_Onsite[Notes],IFERROR(MATCH(E109&amp;"",tbl_Onsite[Job Number],0),MATCH(IFERROR(E109+0,E109),tbl_Onsite[Job Number],0)))="","",INDEX(tbl_Onsite[Notes],IFERROR(MATCH(E109&amp;"",tbl_Onsite[Job Number],0),MATCH(IFERROR(E109+0,E109),tbl_Onsite[Job Number],0)))),IFERROR(IF(INDEX(tbl_Production[Notes],IFERROR(MATCH(E109&amp;"",tbl_Production[Job Number],0),MATCH(IFERROR(E109+0,E109),tbl_Production[Job Number],0)))="","",INDEX(tbl_Production[Notes],IFERROR(MATCH(E109&amp;"",tbl_Production[Job Number],0),MATCH(IFERROR(E109+0,E109),tbl_Production[Job Number],0)))),IFERROR(IF(INDEX(tbl_Consulting[Notes],IFERROR(MATCH(E109&amp;"",tbl_Consulting[Job Number],0),MATCH(IFERROR(E109+0,E109),tbl_Consulting[Job Number],0)))="","",INDEX(tbl_Consulting[Notes],IFERROR(MATCH(E109&amp;"",tbl_Consulting[Job Number],0),MATCH(IFERROR(E109+0,E109),tbl_Consulting[Job Number],0)))),""))))</f>
        <v/>
      </c>
    </row>
    <row r="110" ht="15" customHeight="1">
      <c r="A110" s="22" t="n"/>
      <c r="B110" s="23">
        <f>IF(A110="","",EOMONTH(A110,0))</f>
        <v/>
      </c>
      <c r="C110" s="24" t="n"/>
      <c r="D110" s="24" t="n"/>
      <c r="E110" s="24" t="n"/>
      <c r="F110" s="25">
        <f>IF(E110="","",IF(COUNTIF(lst_Jobs,E110&amp;"")&gt;0,"OK","CHECK"))</f>
        <v/>
      </c>
      <c r="G110" s="24" t="n"/>
      <c r="H110" s="24" t="n"/>
      <c r="I110" s="24" t="n"/>
      <c r="J110" s="24" t="n"/>
      <c r="K110" s="24" t="n"/>
      <c r="L110" s="26" t="n"/>
      <c r="M110" s="27">
        <f>IF(L110="","",IF(K110="GST 10%",ROUND(L110*set_GSTRate,2),0))</f>
        <v/>
      </c>
      <c r="N110" s="27">
        <f>IF(L110="","",L110+M110)</f>
        <v/>
      </c>
      <c r="O110" s="24" t="n"/>
      <c r="P110" s="24" t="n"/>
      <c r="Q110" s="24" t="n"/>
      <c r="R110" s="22" t="n"/>
      <c r="S110" s="22" t="n"/>
      <c r="T110" s="24" t="n"/>
      <c r="U110" s="24" t="n"/>
      <c r="V110" s="2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25">
        <f>IF(E110="","",IF(COUNTIF(tbl_Onsite[Job Number],E110&amp;"")&gt;0,"Onsite",IF(COUNTIF(tbl_Production[Job Number],E110&amp;"")&gt;0,"Production",IF(COUNTIF(tbl_Consulting[Job Number],E110&amp;"")&gt;0,"Consulting","not set up yet"))))</f>
        <v/>
      </c>
      <c r="X110" s="25">
        <f>IF(E110="","",IFERROR(INDEX(lst_JobName,MATCH(E110&amp;"",lst_Jobs,0)),""))</f>
        <v/>
      </c>
      <c r="Y110" s="28">
        <f>IF(E110="","",COUNTIFS(tbl_Finance[Job Number],E110&amp;"",tbl_Finance[Ex GST],"&lt;&gt;"))</f>
        <v/>
      </c>
      <c r="Z110" s="27">
        <f>IF(E110="","",SUMIFS(tbl_Finance[Ex GST],tbl_Finance[Job Number],E110&amp;""))</f>
        <v/>
      </c>
      <c r="AA110" s="27">
        <f>IF(E110="","",SUMIFS(tbl_Finance[Ex GST],tbl_Finance[Job Number],E110&amp;"",tbl_Finance[Xero Invoice No],"&lt;&gt;"))</f>
        <v/>
      </c>
      <c r="AB110" s="27">
        <f>IF(E110="","",Z110-AA110)</f>
        <v/>
      </c>
      <c r="AC110" s="25">
        <f>IF(E110="","",IFERROR(IF(INDEX(tbl_Onsite[Qwilr Quote],IFERROR(MATCH(E110&amp;"",tbl_Onsite[Job Number],0),MATCH(IFERROR(E110+0,E110),tbl_Onsite[Job Number],0)))="","",INDEX(tbl_Onsite[Qwilr Quote],IFERROR(MATCH(E110&amp;"",tbl_Onsite[Job Number],0),MATCH(IFERROR(E110+0,E110),tbl_Onsite[Job Number],0)))),IFERROR(IF(IF(INDEX(tbl_Production[Current RMS No],IFERROR(MATCH(E110&amp;"",tbl_Production[Job Number],0),MATCH(IFERROR(E110+0,E110),tbl_Production[Job Number],0)))="",INDEX(tbl_Production[Qwilr Quote],IFERROR(MATCH(E110&amp;"",tbl_Production[Job Number],0),MATCH(IFERROR(E110+0,E110),tbl_Production[Job Number],0))),INDEX(tbl_Production[Current RMS No],IFERROR(MATCH(E110&amp;"",tbl_Production[Job Number],0),MATCH(IFERROR(E110+0,E110),tbl_Production[Job Number],0))))="","",IF(INDEX(tbl_Production[Current RMS No],IFERROR(MATCH(E110&amp;"",tbl_Production[Job Number],0),MATCH(IFERROR(E110+0,E110),tbl_Production[Job Number],0)))="",INDEX(tbl_Production[Qwilr Quote],IFERROR(MATCH(E110&amp;"",tbl_Production[Job Number],0),MATCH(IFERROR(E110+0,E110),tbl_Production[Job Number],0))),INDEX(tbl_Production[Current RMS No],IFERROR(MATCH(E110&amp;"",tbl_Production[Job Number],0),MATCH(IFERROR(E110+0,E110),tbl_Production[Job Number],0))))),IFERROR(IF(INDEX(tbl_Consulting[Qwilr Quote],IFERROR(MATCH(E110&amp;"",tbl_Consulting[Job Number],0),MATCH(IFERROR(E110+0,E110),tbl_Consulting[Job Number],0)))="","",INDEX(tbl_Consulting[Qwilr Quote],IFERROR(MATCH(E110&amp;"",tbl_Consulting[Job Number],0),MATCH(IFERROR(E110+0,E110),tbl_Consulting[Job Number],0)))),""))))</f>
        <v/>
      </c>
      <c r="AD110" s="25">
        <f>IF(AC110="","",IF(AND(LEFT(AC110,4)&lt;&gt;"http",IF(H110="Production",set_RMSBase,set_QwilrBase)=""),"",HYPERLINK(IF(LEFT(AC110,4)="http",AC110,IF(H110="Production",set_RMSBase,set_QwilrBase)&amp;AC110),"Open")))</f>
        <v/>
      </c>
      <c r="AE110" s="27">
        <f>IF(E110="","",IFERROR(INDEX(tbl_Production[Total Expense],IFERROR(MATCH(E110&amp;"",tbl_Production[Job Number],0),MATCH(IFERROR(E110+0,E110),tbl_Production[Job Number],0))),IFERROR(INDEX(tbl_Consulting[Total Expense],IFERROR(MATCH(E110&amp;"",tbl_Consulting[Job Number],0),MATCH(IFERROR(E110+0,E110),tbl_Consulting[Job Number],0))),0)))</f>
        <v/>
      </c>
      <c r="AF110" s="27">
        <f>IF(E110="","",Z110-N(AE110))</f>
        <v/>
      </c>
      <c r="AG110" s="29">
        <f>IFERROR(AF110/Z110,"")</f>
        <v/>
      </c>
      <c r="AH110" s="25">
        <f>IF(E110="","",IFERROR(IF(INDEX(tbl_Onsite[Notes],IFERROR(MATCH(E110&amp;"",tbl_Onsite[Job Number],0),MATCH(IFERROR(E110+0,E110),tbl_Onsite[Job Number],0)))="","",INDEX(tbl_Onsite[Notes],IFERROR(MATCH(E110&amp;"",tbl_Onsite[Job Number],0),MATCH(IFERROR(E110+0,E110),tbl_Onsite[Job Number],0)))),IFERROR(IF(INDEX(tbl_Production[Notes],IFERROR(MATCH(E110&amp;"",tbl_Production[Job Number],0),MATCH(IFERROR(E110+0,E110),tbl_Production[Job Number],0)))="","",INDEX(tbl_Production[Notes],IFERROR(MATCH(E110&amp;"",tbl_Production[Job Number],0),MATCH(IFERROR(E110+0,E110),tbl_Production[Job Number],0)))),IFERROR(IF(INDEX(tbl_Consulting[Notes],IFERROR(MATCH(E110&amp;"",tbl_Consulting[Job Number],0),MATCH(IFERROR(E110+0,E110),tbl_Consulting[Job Number],0)))="","",INDEX(tbl_Consulting[Notes],IFERROR(MATCH(E110&amp;"",tbl_Consulting[Job Number],0),MATCH(IFERROR(E110+0,E110),tbl_Consulting[Job Number],0)))),""))))</f>
        <v/>
      </c>
    </row>
    <row r="111" ht="15" customHeight="1">
      <c r="A111" s="22" t="n"/>
      <c r="B111" s="23">
        <f>IF(A111="","",EOMONTH(A111,0))</f>
        <v/>
      </c>
      <c r="C111" s="24" t="n"/>
      <c r="D111" s="24" t="n"/>
      <c r="E111" s="24" t="n"/>
      <c r="F111" s="25">
        <f>IF(E111="","",IF(COUNTIF(lst_Jobs,E111&amp;"")&gt;0,"OK","CHECK"))</f>
        <v/>
      </c>
      <c r="G111" s="24" t="n"/>
      <c r="H111" s="24" t="n"/>
      <c r="I111" s="24" t="n"/>
      <c r="J111" s="24" t="n"/>
      <c r="K111" s="24" t="n"/>
      <c r="L111" s="26" t="n"/>
      <c r="M111" s="27">
        <f>IF(L111="","",IF(K111="GST 10%",ROUND(L111*set_GSTRate,2),0))</f>
        <v/>
      </c>
      <c r="N111" s="27">
        <f>IF(L111="","",L111+M111)</f>
        <v/>
      </c>
      <c r="O111" s="24" t="n"/>
      <c r="P111" s="24" t="n"/>
      <c r="Q111" s="24" t="n"/>
      <c r="R111" s="22" t="n"/>
      <c r="S111" s="22" t="n"/>
      <c r="T111" s="24" t="n"/>
      <c r="U111" s="24" t="n"/>
      <c r="V111" s="2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25">
        <f>IF(E111="","",IF(COUNTIF(tbl_Onsite[Job Number],E111&amp;"")&gt;0,"Onsite",IF(COUNTIF(tbl_Production[Job Number],E111&amp;"")&gt;0,"Production",IF(COUNTIF(tbl_Consulting[Job Number],E111&amp;"")&gt;0,"Consulting","not set up yet"))))</f>
        <v/>
      </c>
      <c r="X111" s="25">
        <f>IF(E111="","",IFERROR(INDEX(lst_JobName,MATCH(E111&amp;"",lst_Jobs,0)),""))</f>
        <v/>
      </c>
      <c r="Y111" s="28">
        <f>IF(E111="","",COUNTIFS(tbl_Finance[Job Number],E111&amp;"",tbl_Finance[Ex GST],"&lt;&gt;"))</f>
        <v/>
      </c>
      <c r="Z111" s="27">
        <f>IF(E111="","",SUMIFS(tbl_Finance[Ex GST],tbl_Finance[Job Number],E111&amp;""))</f>
        <v/>
      </c>
      <c r="AA111" s="27">
        <f>IF(E111="","",SUMIFS(tbl_Finance[Ex GST],tbl_Finance[Job Number],E111&amp;"",tbl_Finance[Xero Invoice No],"&lt;&gt;"))</f>
        <v/>
      </c>
      <c r="AB111" s="27">
        <f>IF(E111="","",Z111-AA111)</f>
        <v/>
      </c>
      <c r="AC111" s="25">
        <f>IF(E111="","",IFERROR(IF(INDEX(tbl_Onsite[Qwilr Quote],IFERROR(MATCH(E111&amp;"",tbl_Onsite[Job Number],0),MATCH(IFERROR(E111+0,E111),tbl_Onsite[Job Number],0)))="","",INDEX(tbl_Onsite[Qwilr Quote],IFERROR(MATCH(E111&amp;"",tbl_Onsite[Job Number],0),MATCH(IFERROR(E111+0,E111),tbl_Onsite[Job Number],0)))),IFERROR(IF(IF(INDEX(tbl_Production[Current RMS No],IFERROR(MATCH(E111&amp;"",tbl_Production[Job Number],0),MATCH(IFERROR(E111+0,E111),tbl_Production[Job Number],0)))="",INDEX(tbl_Production[Qwilr Quote],IFERROR(MATCH(E111&amp;"",tbl_Production[Job Number],0),MATCH(IFERROR(E111+0,E111),tbl_Production[Job Number],0))),INDEX(tbl_Production[Current RMS No],IFERROR(MATCH(E111&amp;"",tbl_Production[Job Number],0),MATCH(IFERROR(E111+0,E111),tbl_Production[Job Number],0))))="","",IF(INDEX(tbl_Production[Current RMS No],IFERROR(MATCH(E111&amp;"",tbl_Production[Job Number],0),MATCH(IFERROR(E111+0,E111),tbl_Production[Job Number],0)))="",INDEX(tbl_Production[Qwilr Quote],IFERROR(MATCH(E111&amp;"",tbl_Production[Job Number],0),MATCH(IFERROR(E111+0,E111),tbl_Production[Job Number],0))),INDEX(tbl_Production[Current RMS No],IFERROR(MATCH(E111&amp;"",tbl_Production[Job Number],0),MATCH(IFERROR(E111+0,E111),tbl_Production[Job Number],0))))),IFERROR(IF(INDEX(tbl_Consulting[Qwilr Quote],IFERROR(MATCH(E111&amp;"",tbl_Consulting[Job Number],0),MATCH(IFERROR(E111+0,E111),tbl_Consulting[Job Number],0)))="","",INDEX(tbl_Consulting[Qwilr Quote],IFERROR(MATCH(E111&amp;"",tbl_Consulting[Job Number],0),MATCH(IFERROR(E111+0,E111),tbl_Consulting[Job Number],0)))),""))))</f>
        <v/>
      </c>
      <c r="AD111" s="25">
        <f>IF(AC111="","",IF(AND(LEFT(AC111,4)&lt;&gt;"http",IF(H111="Production",set_RMSBase,set_QwilrBase)=""),"",HYPERLINK(IF(LEFT(AC111,4)="http",AC111,IF(H111="Production",set_RMSBase,set_QwilrBase)&amp;AC111),"Open")))</f>
        <v/>
      </c>
      <c r="AE111" s="27">
        <f>IF(E111="","",IFERROR(INDEX(tbl_Production[Total Expense],IFERROR(MATCH(E111&amp;"",tbl_Production[Job Number],0),MATCH(IFERROR(E111+0,E111),tbl_Production[Job Number],0))),IFERROR(INDEX(tbl_Consulting[Total Expense],IFERROR(MATCH(E111&amp;"",tbl_Consulting[Job Number],0),MATCH(IFERROR(E111+0,E111),tbl_Consulting[Job Number],0))),0)))</f>
        <v/>
      </c>
      <c r="AF111" s="27">
        <f>IF(E111="","",Z111-N(AE111))</f>
        <v/>
      </c>
      <c r="AG111" s="29">
        <f>IFERROR(AF111/Z111,"")</f>
        <v/>
      </c>
      <c r="AH111" s="25">
        <f>IF(E111="","",IFERROR(IF(INDEX(tbl_Onsite[Notes],IFERROR(MATCH(E111&amp;"",tbl_Onsite[Job Number],0),MATCH(IFERROR(E111+0,E111),tbl_Onsite[Job Number],0)))="","",INDEX(tbl_Onsite[Notes],IFERROR(MATCH(E111&amp;"",tbl_Onsite[Job Number],0),MATCH(IFERROR(E111+0,E111),tbl_Onsite[Job Number],0)))),IFERROR(IF(INDEX(tbl_Production[Notes],IFERROR(MATCH(E111&amp;"",tbl_Production[Job Number],0),MATCH(IFERROR(E111+0,E111),tbl_Production[Job Number],0)))="","",INDEX(tbl_Production[Notes],IFERROR(MATCH(E111&amp;"",tbl_Production[Job Number],0),MATCH(IFERROR(E111+0,E111),tbl_Production[Job Number],0)))),IFERROR(IF(INDEX(tbl_Consulting[Notes],IFERROR(MATCH(E111&amp;"",tbl_Consulting[Job Number],0),MATCH(IFERROR(E111+0,E111),tbl_Consulting[Job Number],0)))="","",INDEX(tbl_Consulting[Notes],IFERROR(MATCH(E111&amp;"",tbl_Consulting[Job Number],0),MATCH(IFERROR(E111+0,E111),tbl_Consulting[Job Number],0)))),""))))</f>
        <v/>
      </c>
    </row>
    <row r="112" ht="15" customHeight="1">
      <c r="A112" s="22" t="n"/>
      <c r="B112" s="23">
        <f>IF(A112="","",EOMONTH(A112,0))</f>
        <v/>
      </c>
      <c r="C112" s="24" t="n"/>
      <c r="D112" s="24" t="n"/>
      <c r="E112" s="24" t="n"/>
      <c r="F112" s="25">
        <f>IF(E112="","",IF(COUNTIF(lst_Jobs,E112&amp;"")&gt;0,"OK","CHECK"))</f>
        <v/>
      </c>
      <c r="G112" s="24" t="n"/>
      <c r="H112" s="24" t="n"/>
      <c r="I112" s="24" t="n"/>
      <c r="J112" s="24" t="n"/>
      <c r="K112" s="24" t="n"/>
      <c r="L112" s="26" t="n"/>
      <c r="M112" s="27">
        <f>IF(L112="","",IF(K112="GST 10%",ROUND(L112*set_GSTRate,2),0))</f>
        <v/>
      </c>
      <c r="N112" s="27">
        <f>IF(L112="","",L112+M112)</f>
        <v/>
      </c>
      <c r="O112" s="24" t="n"/>
      <c r="P112" s="24" t="n"/>
      <c r="Q112" s="24" t="n"/>
      <c r="R112" s="22" t="n"/>
      <c r="S112" s="22" t="n"/>
      <c r="T112" s="24" t="n"/>
      <c r="U112" s="24" t="n"/>
      <c r="V112" s="2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25">
        <f>IF(E112="","",IF(COUNTIF(tbl_Onsite[Job Number],E112&amp;"")&gt;0,"Onsite",IF(COUNTIF(tbl_Production[Job Number],E112&amp;"")&gt;0,"Production",IF(COUNTIF(tbl_Consulting[Job Number],E112&amp;"")&gt;0,"Consulting","not set up yet"))))</f>
        <v/>
      </c>
      <c r="X112" s="25">
        <f>IF(E112="","",IFERROR(INDEX(lst_JobName,MATCH(E112&amp;"",lst_Jobs,0)),""))</f>
        <v/>
      </c>
      <c r="Y112" s="28">
        <f>IF(E112="","",COUNTIFS(tbl_Finance[Job Number],E112&amp;"",tbl_Finance[Ex GST],"&lt;&gt;"))</f>
        <v/>
      </c>
      <c r="Z112" s="27">
        <f>IF(E112="","",SUMIFS(tbl_Finance[Ex GST],tbl_Finance[Job Number],E112&amp;""))</f>
        <v/>
      </c>
      <c r="AA112" s="27">
        <f>IF(E112="","",SUMIFS(tbl_Finance[Ex GST],tbl_Finance[Job Number],E112&amp;"",tbl_Finance[Xero Invoice No],"&lt;&gt;"))</f>
        <v/>
      </c>
      <c r="AB112" s="27">
        <f>IF(E112="","",Z112-AA112)</f>
        <v/>
      </c>
      <c r="AC112" s="25">
        <f>IF(E112="","",IFERROR(IF(INDEX(tbl_Onsite[Qwilr Quote],IFERROR(MATCH(E112&amp;"",tbl_Onsite[Job Number],0),MATCH(IFERROR(E112+0,E112),tbl_Onsite[Job Number],0)))="","",INDEX(tbl_Onsite[Qwilr Quote],IFERROR(MATCH(E112&amp;"",tbl_Onsite[Job Number],0),MATCH(IFERROR(E112+0,E112),tbl_Onsite[Job Number],0)))),IFERROR(IF(IF(INDEX(tbl_Production[Current RMS No],IFERROR(MATCH(E112&amp;"",tbl_Production[Job Number],0),MATCH(IFERROR(E112+0,E112),tbl_Production[Job Number],0)))="",INDEX(tbl_Production[Qwilr Quote],IFERROR(MATCH(E112&amp;"",tbl_Production[Job Number],0),MATCH(IFERROR(E112+0,E112),tbl_Production[Job Number],0))),INDEX(tbl_Production[Current RMS No],IFERROR(MATCH(E112&amp;"",tbl_Production[Job Number],0),MATCH(IFERROR(E112+0,E112),tbl_Production[Job Number],0))))="","",IF(INDEX(tbl_Production[Current RMS No],IFERROR(MATCH(E112&amp;"",tbl_Production[Job Number],0),MATCH(IFERROR(E112+0,E112),tbl_Production[Job Number],0)))="",INDEX(tbl_Production[Qwilr Quote],IFERROR(MATCH(E112&amp;"",tbl_Production[Job Number],0),MATCH(IFERROR(E112+0,E112),tbl_Production[Job Number],0))),INDEX(tbl_Production[Current RMS No],IFERROR(MATCH(E112&amp;"",tbl_Production[Job Number],0),MATCH(IFERROR(E112+0,E112),tbl_Production[Job Number],0))))),IFERROR(IF(INDEX(tbl_Consulting[Qwilr Quote],IFERROR(MATCH(E112&amp;"",tbl_Consulting[Job Number],0),MATCH(IFERROR(E112+0,E112),tbl_Consulting[Job Number],0)))="","",INDEX(tbl_Consulting[Qwilr Quote],IFERROR(MATCH(E112&amp;"",tbl_Consulting[Job Number],0),MATCH(IFERROR(E112+0,E112),tbl_Consulting[Job Number],0)))),""))))</f>
        <v/>
      </c>
      <c r="AD112" s="25">
        <f>IF(AC112="","",IF(AND(LEFT(AC112,4)&lt;&gt;"http",IF(H112="Production",set_RMSBase,set_QwilrBase)=""),"",HYPERLINK(IF(LEFT(AC112,4)="http",AC112,IF(H112="Production",set_RMSBase,set_QwilrBase)&amp;AC112),"Open")))</f>
        <v/>
      </c>
      <c r="AE112" s="27">
        <f>IF(E112="","",IFERROR(INDEX(tbl_Production[Total Expense],IFERROR(MATCH(E112&amp;"",tbl_Production[Job Number],0),MATCH(IFERROR(E112+0,E112),tbl_Production[Job Number],0))),IFERROR(INDEX(tbl_Consulting[Total Expense],IFERROR(MATCH(E112&amp;"",tbl_Consulting[Job Number],0),MATCH(IFERROR(E112+0,E112),tbl_Consulting[Job Number],0))),0)))</f>
        <v/>
      </c>
      <c r="AF112" s="27">
        <f>IF(E112="","",Z112-N(AE112))</f>
        <v/>
      </c>
      <c r="AG112" s="29">
        <f>IFERROR(AF112/Z112,"")</f>
        <v/>
      </c>
      <c r="AH112" s="25">
        <f>IF(E112="","",IFERROR(IF(INDEX(tbl_Onsite[Notes],IFERROR(MATCH(E112&amp;"",tbl_Onsite[Job Number],0),MATCH(IFERROR(E112+0,E112),tbl_Onsite[Job Number],0)))="","",INDEX(tbl_Onsite[Notes],IFERROR(MATCH(E112&amp;"",tbl_Onsite[Job Number],0),MATCH(IFERROR(E112+0,E112),tbl_Onsite[Job Number],0)))),IFERROR(IF(INDEX(tbl_Production[Notes],IFERROR(MATCH(E112&amp;"",tbl_Production[Job Number],0),MATCH(IFERROR(E112+0,E112),tbl_Production[Job Number],0)))="","",INDEX(tbl_Production[Notes],IFERROR(MATCH(E112&amp;"",tbl_Production[Job Number],0),MATCH(IFERROR(E112+0,E112),tbl_Production[Job Number],0)))),IFERROR(IF(INDEX(tbl_Consulting[Notes],IFERROR(MATCH(E112&amp;"",tbl_Consulting[Job Number],0),MATCH(IFERROR(E112+0,E112),tbl_Consulting[Job Number],0)))="","",INDEX(tbl_Consulting[Notes],IFERROR(MATCH(E112&amp;"",tbl_Consulting[Job Number],0),MATCH(IFERROR(E112+0,E112),tbl_Consulting[Job Number],0)))),""))))</f>
        <v/>
      </c>
    </row>
    <row r="113" ht="15" customHeight="1">
      <c r="A113" s="22" t="n"/>
      <c r="B113" s="23">
        <f>IF(A113="","",EOMONTH(A113,0))</f>
        <v/>
      </c>
      <c r="C113" s="24" t="n"/>
      <c r="D113" s="24" t="n"/>
      <c r="E113" s="24" t="n"/>
      <c r="F113" s="25">
        <f>IF(E113="","",IF(COUNTIF(lst_Jobs,E113&amp;"")&gt;0,"OK","CHECK"))</f>
        <v/>
      </c>
      <c r="G113" s="24" t="n"/>
      <c r="H113" s="24" t="n"/>
      <c r="I113" s="24" t="n"/>
      <c r="J113" s="24" t="n"/>
      <c r="K113" s="24" t="n"/>
      <c r="L113" s="26" t="n"/>
      <c r="M113" s="27">
        <f>IF(L113="","",IF(K113="GST 10%",ROUND(L113*set_GSTRate,2),0))</f>
        <v/>
      </c>
      <c r="N113" s="27">
        <f>IF(L113="","",L113+M113)</f>
        <v/>
      </c>
      <c r="O113" s="24" t="n"/>
      <c r="P113" s="24" t="n"/>
      <c r="Q113" s="24" t="n"/>
      <c r="R113" s="22" t="n"/>
      <c r="S113" s="22" t="n"/>
      <c r="T113" s="24" t="n"/>
      <c r="U113" s="24" t="n"/>
      <c r="V113" s="2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25">
        <f>IF(E113="","",IF(COUNTIF(tbl_Onsite[Job Number],E113&amp;"")&gt;0,"Onsite",IF(COUNTIF(tbl_Production[Job Number],E113&amp;"")&gt;0,"Production",IF(COUNTIF(tbl_Consulting[Job Number],E113&amp;"")&gt;0,"Consulting","not set up yet"))))</f>
        <v/>
      </c>
      <c r="X113" s="25">
        <f>IF(E113="","",IFERROR(INDEX(lst_JobName,MATCH(E113&amp;"",lst_Jobs,0)),""))</f>
        <v/>
      </c>
      <c r="Y113" s="28">
        <f>IF(E113="","",COUNTIFS(tbl_Finance[Job Number],E113&amp;"",tbl_Finance[Ex GST],"&lt;&gt;"))</f>
        <v/>
      </c>
      <c r="Z113" s="27">
        <f>IF(E113="","",SUMIFS(tbl_Finance[Ex GST],tbl_Finance[Job Number],E113&amp;""))</f>
        <v/>
      </c>
      <c r="AA113" s="27">
        <f>IF(E113="","",SUMIFS(tbl_Finance[Ex GST],tbl_Finance[Job Number],E113&amp;"",tbl_Finance[Xero Invoice No],"&lt;&gt;"))</f>
        <v/>
      </c>
      <c r="AB113" s="27">
        <f>IF(E113="","",Z113-AA113)</f>
        <v/>
      </c>
      <c r="AC113" s="25">
        <f>IF(E113="","",IFERROR(IF(INDEX(tbl_Onsite[Qwilr Quote],IFERROR(MATCH(E113&amp;"",tbl_Onsite[Job Number],0),MATCH(IFERROR(E113+0,E113),tbl_Onsite[Job Number],0)))="","",INDEX(tbl_Onsite[Qwilr Quote],IFERROR(MATCH(E113&amp;"",tbl_Onsite[Job Number],0),MATCH(IFERROR(E113+0,E113),tbl_Onsite[Job Number],0)))),IFERROR(IF(IF(INDEX(tbl_Production[Current RMS No],IFERROR(MATCH(E113&amp;"",tbl_Production[Job Number],0),MATCH(IFERROR(E113+0,E113),tbl_Production[Job Number],0)))="",INDEX(tbl_Production[Qwilr Quote],IFERROR(MATCH(E113&amp;"",tbl_Production[Job Number],0),MATCH(IFERROR(E113+0,E113),tbl_Production[Job Number],0))),INDEX(tbl_Production[Current RMS No],IFERROR(MATCH(E113&amp;"",tbl_Production[Job Number],0),MATCH(IFERROR(E113+0,E113),tbl_Production[Job Number],0))))="","",IF(INDEX(tbl_Production[Current RMS No],IFERROR(MATCH(E113&amp;"",tbl_Production[Job Number],0),MATCH(IFERROR(E113+0,E113),tbl_Production[Job Number],0)))="",INDEX(tbl_Production[Qwilr Quote],IFERROR(MATCH(E113&amp;"",tbl_Production[Job Number],0),MATCH(IFERROR(E113+0,E113),tbl_Production[Job Number],0))),INDEX(tbl_Production[Current RMS No],IFERROR(MATCH(E113&amp;"",tbl_Production[Job Number],0),MATCH(IFERROR(E113+0,E113),tbl_Production[Job Number],0))))),IFERROR(IF(INDEX(tbl_Consulting[Qwilr Quote],IFERROR(MATCH(E113&amp;"",tbl_Consulting[Job Number],0),MATCH(IFERROR(E113+0,E113),tbl_Consulting[Job Number],0)))="","",INDEX(tbl_Consulting[Qwilr Quote],IFERROR(MATCH(E113&amp;"",tbl_Consulting[Job Number],0),MATCH(IFERROR(E113+0,E113),tbl_Consulting[Job Number],0)))),""))))</f>
        <v/>
      </c>
      <c r="AD113" s="25">
        <f>IF(AC113="","",IF(AND(LEFT(AC113,4)&lt;&gt;"http",IF(H113="Production",set_RMSBase,set_QwilrBase)=""),"",HYPERLINK(IF(LEFT(AC113,4)="http",AC113,IF(H113="Production",set_RMSBase,set_QwilrBase)&amp;AC113),"Open")))</f>
        <v/>
      </c>
      <c r="AE113" s="27">
        <f>IF(E113="","",IFERROR(INDEX(tbl_Production[Total Expense],IFERROR(MATCH(E113&amp;"",tbl_Production[Job Number],0),MATCH(IFERROR(E113+0,E113),tbl_Production[Job Number],0))),IFERROR(INDEX(tbl_Consulting[Total Expense],IFERROR(MATCH(E113&amp;"",tbl_Consulting[Job Number],0),MATCH(IFERROR(E113+0,E113),tbl_Consulting[Job Number],0))),0)))</f>
        <v/>
      </c>
      <c r="AF113" s="27">
        <f>IF(E113="","",Z113-N(AE113))</f>
        <v/>
      </c>
      <c r="AG113" s="29">
        <f>IFERROR(AF113/Z113,"")</f>
        <v/>
      </c>
      <c r="AH113" s="25">
        <f>IF(E113="","",IFERROR(IF(INDEX(tbl_Onsite[Notes],IFERROR(MATCH(E113&amp;"",tbl_Onsite[Job Number],0),MATCH(IFERROR(E113+0,E113),tbl_Onsite[Job Number],0)))="","",INDEX(tbl_Onsite[Notes],IFERROR(MATCH(E113&amp;"",tbl_Onsite[Job Number],0),MATCH(IFERROR(E113+0,E113),tbl_Onsite[Job Number],0)))),IFERROR(IF(INDEX(tbl_Production[Notes],IFERROR(MATCH(E113&amp;"",tbl_Production[Job Number],0),MATCH(IFERROR(E113+0,E113),tbl_Production[Job Number],0)))="","",INDEX(tbl_Production[Notes],IFERROR(MATCH(E113&amp;"",tbl_Production[Job Number],0),MATCH(IFERROR(E113+0,E113),tbl_Production[Job Number],0)))),IFERROR(IF(INDEX(tbl_Consulting[Notes],IFERROR(MATCH(E113&amp;"",tbl_Consulting[Job Number],0),MATCH(IFERROR(E113+0,E113),tbl_Consulting[Job Number],0)))="","",INDEX(tbl_Consulting[Notes],IFERROR(MATCH(E113&amp;"",tbl_Consulting[Job Number],0),MATCH(IFERROR(E113+0,E113),tbl_Consulting[Job Number],0)))),""))))</f>
        <v/>
      </c>
    </row>
    <row r="114" ht="15" customHeight="1">
      <c r="A114" s="22" t="n"/>
      <c r="B114" s="23">
        <f>IF(A114="","",EOMONTH(A114,0))</f>
        <v/>
      </c>
      <c r="C114" s="24" t="n"/>
      <c r="D114" s="24" t="n"/>
      <c r="E114" s="24" t="n"/>
      <c r="F114" s="25">
        <f>IF(E114="","",IF(COUNTIF(lst_Jobs,E114&amp;"")&gt;0,"OK","CHECK"))</f>
        <v/>
      </c>
      <c r="G114" s="24" t="n"/>
      <c r="H114" s="24" t="n"/>
      <c r="I114" s="24" t="n"/>
      <c r="J114" s="24" t="n"/>
      <c r="K114" s="24" t="n"/>
      <c r="L114" s="26" t="n"/>
      <c r="M114" s="27">
        <f>IF(L114="","",IF(K114="GST 10%",ROUND(L114*set_GSTRate,2),0))</f>
        <v/>
      </c>
      <c r="N114" s="27">
        <f>IF(L114="","",L114+M114)</f>
        <v/>
      </c>
      <c r="O114" s="24" t="n"/>
      <c r="P114" s="24" t="n"/>
      <c r="Q114" s="24" t="n"/>
      <c r="R114" s="22" t="n"/>
      <c r="S114" s="22" t="n"/>
      <c r="T114" s="24" t="n"/>
      <c r="U114" s="24" t="n"/>
      <c r="V114" s="2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25">
        <f>IF(E114="","",IF(COUNTIF(tbl_Onsite[Job Number],E114&amp;"")&gt;0,"Onsite",IF(COUNTIF(tbl_Production[Job Number],E114&amp;"")&gt;0,"Production",IF(COUNTIF(tbl_Consulting[Job Number],E114&amp;"")&gt;0,"Consulting","not set up yet"))))</f>
        <v/>
      </c>
      <c r="X114" s="25">
        <f>IF(E114="","",IFERROR(INDEX(lst_JobName,MATCH(E114&amp;"",lst_Jobs,0)),""))</f>
        <v/>
      </c>
      <c r="Y114" s="28">
        <f>IF(E114="","",COUNTIFS(tbl_Finance[Job Number],E114&amp;"",tbl_Finance[Ex GST],"&lt;&gt;"))</f>
        <v/>
      </c>
      <c r="Z114" s="27">
        <f>IF(E114="","",SUMIFS(tbl_Finance[Ex GST],tbl_Finance[Job Number],E114&amp;""))</f>
        <v/>
      </c>
      <c r="AA114" s="27">
        <f>IF(E114="","",SUMIFS(tbl_Finance[Ex GST],tbl_Finance[Job Number],E114&amp;"",tbl_Finance[Xero Invoice No],"&lt;&gt;"))</f>
        <v/>
      </c>
      <c r="AB114" s="27">
        <f>IF(E114="","",Z114-AA114)</f>
        <v/>
      </c>
      <c r="AC114" s="25">
        <f>IF(E114="","",IFERROR(IF(INDEX(tbl_Onsite[Qwilr Quote],IFERROR(MATCH(E114&amp;"",tbl_Onsite[Job Number],0),MATCH(IFERROR(E114+0,E114),tbl_Onsite[Job Number],0)))="","",INDEX(tbl_Onsite[Qwilr Quote],IFERROR(MATCH(E114&amp;"",tbl_Onsite[Job Number],0),MATCH(IFERROR(E114+0,E114),tbl_Onsite[Job Number],0)))),IFERROR(IF(IF(INDEX(tbl_Production[Current RMS No],IFERROR(MATCH(E114&amp;"",tbl_Production[Job Number],0),MATCH(IFERROR(E114+0,E114),tbl_Production[Job Number],0)))="",INDEX(tbl_Production[Qwilr Quote],IFERROR(MATCH(E114&amp;"",tbl_Production[Job Number],0),MATCH(IFERROR(E114+0,E114),tbl_Production[Job Number],0))),INDEX(tbl_Production[Current RMS No],IFERROR(MATCH(E114&amp;"",tbl_Production[Job Number],0),MATCH(IFERROR(E114+0,E114),tbl_Production[Job Number],0))))="","",IF(INDEX(tbl_Production[Current RMS No],IFERROR(MATCH(E114&amp;"",tbl_Production[Job Number],0),MATCH(IFERROR(E114+0,E114),tbl_Production[Job Number],0)))="",INDEX(tbl_Production[Qwilr Quote],IFERROR(MATCH(E114&amp;"",tbl_Production[Job Number],0),MATCH(IFERROR(E114+0,E114),tbl_Production[Job Number],0))),INDEX(tbl_Production[Current RMS No],IFERROR(MATCH(E114&amp;"",tbl_Production[Job Number],0),MATCH(IFERROR(E114+0,E114),tbl_Production[Job Number],0))))),IFERROR(IF(INDEX(tbl_Consulting[Qwilr Quote],IFERROR(MATCH(E114&amp;"",tbl_Consulting[Job Number],0),MATCH(IFERROR(E114+0,E114),tbl_Consulting[Job Number],0)))="","",INDEX(tbl_Consulting[Qwilr Quote],IFERROR(MATCH(E114&amp;"",tbl_Consulting[Job Number],0),MATCH(IFERROR(E114+0,E114),tbl_Consulting[Job Number],0)))),""))))</f>
        <v/>
      </c>
      <c r="AD114" s="25">
        <f>IF(AC114="","",IF(AND(LEFT(AC114,4)&lt;&gt;"http",IF(H114="Production",set_RMSBase,set_QwilrBase)=""),"",HYPERLINK(IF(LEFT(AC114,4)="http",AC114,IF(H114="Production",set_RMSBase,set_QwilrBase)&amp;AC114),"Open")))</f>
        <v/>
      </c>
      <c r="AE114" s="27">
        <f>IF(E114="","",IFERROR(INDEX(tbl_Production[Total Expense],IFERROR(MATCH(E114&amp;"",tbl_Production[Job Number],0),MATCH(IFERROR(E114+0,E114),tbl_Production[Job Number],0))),IFERROR(INDEX(tbl_Consulting[Total Expense],IFERROR(MATCH(E114&amp;"",tbl_Consulting[Job Number],0),MATCH(IFERROR(E114+0,E114),tbl_Consulting[Job Number],0))),0)))</f>
        <v/>
      </c>
      <c r="AF114" s="27">
        <f>IF(E114="","",Z114-N(AE114))</f>
        <v/>
      </c>
      <c r="AG114" s="29">
        <f>IFERROR(AF114/Z114,"")</f>
        <v/>
      </c>
      <c r="AH114" s="25">
        <f>IF(E114="","",IFERROR(IF(INDEX(tbl_Onsite[Notes],IFERROR(MATCH(E114&amp;"",tbl_Onsite[Job Number],0),MATCH(IFERROR(E114+0,E114),tbl_Onsite[Job Number],0)))="","",INDEX(tbl_Onsite[Notes],IFERROR(MATCH(E114&amp;"",tbl_Onsite[Job Number],0),MATCH(IFERROR(E114+0,E114),tbl_Onsite[Job Number],0)))),IFERROR(IF(INDEX(tbl_Production[Notes],IFERROR(MATCH(E114&amp;"",tbl_Production[Job Number],0),MATCH(IFERROR(E114+0,E114),tbl_Production[Job Number],0)))="","",INDEX(tbl_Production[Notes],IFERROR(MATCH(E114&amp;"",tbl_Production[Job Number],0),MATCH(IFERROR(E114+0,E114),tbl_Production[Job Number],0)))),IFERROR(IF(INDEX(tbl_Consulting[Notes],IFERROR(MATCH(E114&amp;"",tbl_Consulting[Job Number],0),MATCH(IFERROR(E114+0,E114),tbl_Consulting[Job Number],0)))="","",INDEX(tbl_Consulting[Notes],IFERROR(MATCH(E114&amp;"",tbl_Consulting[Job Number],0),MATCH(IFERROR(E114+0,E114),tbl_Consulting[Job Number],0)))),""))))</f>
        <v/>
      </c>
    </row>
    <row r="115" ht="15" customHeight="1">
      <c r="A115" s="22" t="n"/>
      <c r="B115" s="23">
        <f>IF(A115="","",EOMONTH(A115,0))</f>
        <v/>
      </c>
      <c r="C115" s="24" t="n"/>
      <c r="D115" s="24" t="n"/>
      <c r="E115" s="24" t="n"/>
      <c r="F115" s="25">
        <f>IF(E115="","",IF(COUNTIF(lst_Jobs,E115&amp;"")&gt;0,"OK","CHECK"))</f>
        <v/>
      </c>
      <c r="G115" s="24" t="n"/>
      <c r="H115" s="24" t="n"/>
      <c r="I115" s="24" t="n"/>
      <c r="J115" s="24" t="n"/>
      <c r="K115" s="24" t="n"/>
      <c r="L115" s="26" t="n"/>
      <c r="M115" s="27">
        <f>IF(L115="","",IF(K115="GST 10%",ROUND(L115*set_GSTRate,2),0))</f>
        <v/>
      </c>
      <c r="N115" s="27">
        <f>IF(L115="","",L115+M115)</f>
        <v/>
      </c>
      <c r="O115" s="24" t="n"/>
      <c r="P115" s="24" t="n"/>
      <c r="Q115" s="24" t="n"/>
      <c r="R115" s="22" t="n"/>
      <c r="S115" s="22" t="n"/>
      <c r="T115" s="24" t="n"/>
      <c r="U115" s="24" t="n"/>
      <c r="V115" s="2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25">
        <f>IF(E115="","",IF(COUNTIF(tbl_Onsite[Job Number],E115&amp;"")&gt;0,"Onsite",IF(COUNTIF(tbl_Production[Job Number],E115&amp;"")&gt;0,"Production",IF(COUNTIF(tbl_Consulting[Job Number],E115&amp;"")&gt;0,"Consulting","not set up yet"))))</f>
        <v/>
      </c>
      <c r="X115" s="25">
        <f>IF(E115="","",IFERROR(INDEX(lst_JobName,MATCH(E115&amp;"",lst_Jobs,0)),""))</f>
        <v/>
      </c>
      <c r="Y115" s="28">
        <f>IF(E115="","",COUNTIFS(tbl_Finance[Job Number],E115&amp;"",tbl_Finance[Ex GST],"&lt;&gt;"))</f>
        <v/>
      </c>
      <c r="Z115" s="27">
        <f>IF(E115="","",SUMIFS(tbl_Finance[Ex GST],tbl_Finance[Job Number],E115&amp;""))</f>
        <v/>
      </c>
      <c r="AA115" s="27">
        <f>IF(E115="","",SUMIFS(tbl_Finance[Ex GST],tbl_Finance[Job Number],E115&amp;"",tbl_Finance[Xero Invoice No],"&lt;&gt;"))</f>
        <v/>
      </c>
      <c r="AB115" s="27">
        <f>IF(E115="","",Z115-AA115)</f>
        <v/>
      </c>
      <c r="AC115" s="25">
        <f>IF(E115="","",IFERROR(IF(INDEX(tbl_Onsite[Qwilr Quote],IFERROR(MATCH(E115&amp;"",tbl_Onsite[Job Number],0),MATCH(IFERROR(E115+0,E115),tbl_Onsite[Job Number],0)))="","",INDEX(tbl_Onsite[Qwilr Quote],IFERROR(MATCH(E115&amp;"",tbl_Onsite[Job Number],0),MATCH(IFERROR(E115+0,E115),tbl_Onsite[Job Number],0)))),IFERROR(IF(IF(INDEX(tbl_Production[Current RMS No],IFERROR(MATCH(E115&amp;"",tbl_Production[Job Number],0),MATCH(IFERROR(E115+0,E115),tbl_Production[Job Number],0)))="",INDEX(tbl_Production[Qwilr Quote],IFERROR(MATCH(E115&amp;"",tbl_Production[Job Number],0),MATCH(IFERROR(E115+0,E115),tbl_Production[Job Number],0))),INDEX(tbl_Production[Current RMS No],IFERROR(MATCH(E115&amp;"",tbl_Production[Job Number],0),MATCH(IFERROR(E115+0,E115),tbl_Production[Job Number],0))))="","",IF(INDEX(tbl_Production[Current RMS No],IFERROR(MATCH(E115&amp;"",tbl_Production[Job Number],0),MATCH(IFERROR(E115+0,E115),tbl_Production[Job Number],0)))="",INDEX(tbl_Production[Qwilr Quote],IFERROR(MATCH(E115&amp;"",tbl_Production[Job Number],0),MATCH(IFERROR(E115+0,E115),tbl_Production[Job Number],0))),INDEX(tbl_Production[Current RMS No],IFERROR(MATCH(E115&amp;"",tbl_Production[Job Number],0),MATCH(IFERROR(E115+0,E115),tbl_Production[Job Number],0))))),IFERROR(IF(INDEX(tbl_Consulting[Qwilr Quote],IFERROR(MATCH(E115&amp;"",tbl_Consulting[Job Number],0),MATCH(IFERROR(E115+0,E115),tbl_Consulting[Job Number],0)))="","",INDEX(tbl_Consulting[Qwilr Quote],IFERROR(MATCH(E115&amp;"",tbl_Consulting[Job Number],0),MATCH(IFERROR(E115+0,E115),tbl_Consulting[Job Number],0)))),""))))</f>
        <v/>
      </c>
      <c r="AD115" s="25">
        <f>IF(AC115="","",IF(AND(LEFT(AC115,4)&lt;&gt;"http",IF(H115="Production",set_RMSBase,set_QwilrBase)=""),"",HYPERLINK(IF(LEFT(AC115,4)="http",AC115,IF(H115="Production",set_RMSBase,set_QwilrBase)&amp;AC115),"Open")))</f>
        <v/>
      </c>
      <c r="AE115" s="27">
        <f>IF(E115="","",IFERROR(INDEX(tbl_Production[Total Expense],IFERROR(MATCH(E115&amp;"",tbl_Production[Job Number],0),MATCH(IFERROR(E115+0,E115),tbl_Production[Job Number],0))),IFERROR(INDEX(tbl_Consulting[Total Expense],IFERROR(MATCH(E115&amp;"",tbl_Consulting[Job Number],0),MATCH(IFERROR(E115+0,E115),tbl_Consulting[Job Number],0))),0)))</f>
        <v/>
      </c>
      <c r="AF115" s="27">
        <f>IF(E115="","",Z115-N(AE115))</f>
        <v/>
      </c>
      <c r="AG115" s="29">
        <f>IFERROR(AF115/Z115,"")</f>
        <v/>
      </c>
      <c r="AH115" s="25">
        <f>IF(E115="","",IFERROR(IF(INDEX(tbl_Onsite[Notes],IFERROR(MATCH(E115&amp;"",tbl_Onsite[Job Number],0),MATCH(IFERROR(E115+0,E115),tbl_Onsite[Job Number],0)))="","",INDEX(tbl_Onsite[Notes],IFERROR(MATCH(E115&amp;"",tbl_Onsite[Job Number],0),MATCH(IFERROR(E115+0,E115),tbl_Onsite[Job Number],0)))),IFERROR(IF(INDEX(tbl_Production[Notes],IFERROR(MATCH(E115&amp;"",tbl_Production[Job Number],0),MATCH(IFERROR(E115+0,E115),tbl_Production[Job Number],0)))="","",INDEX(tbl_Production[Notes],IFERROR(MATCH(E115&amp;"",tbl_Production[Job Number],0),MATCH(IFERROR(E115+0,E115),tbl_Production[Job Number],0)))),IFERROR(IF(INDEX(tbl_Consulting[Notes],IFERROR(MATCH(E115&amp;"",tbl_Consulting[Job Number],0),MATCH(IFERROR(E115+0,E115),tbl_Consulting[Job Number],0)))="","",INDEX(tbl_Consulting[Notes],IFERROR(MATCH(E115&amp;"",tbl_Consulting[Job Number],0),MATCH(IFERROR(E115+0,E115),tbl_Consulting[Job Number],0)))),""))))</f>
        <v/>
      </c>
    </row>
    <row r="116" ht="15" customHeight="1">
      <c r="A116" s="22" t="n"/>
      <c r="B116" s="23">
        <f>IF(A116="","",EOMONTH(A116,0))</f>
        <v/>
      </c>
      <c r="C116" s="24" t="n"/>
      <c r="D116" s="24" t="n"/>
      <c r="E116" s="24" t="n"/>
      <c r="F116" s="25">
        <f>IF(E116="","",IF(COUNTIF(lst_Jobs,E116&amp;"")&gt;0,"OK","CHECK"))</f>
        <v/>
      </c>
      <c r="G116" s="24" t="n"/>
      <c r="H116" s="24" t="n"/>
      <c r="I116" s="24" t="n"/>
      <c r="J116" s="24" t="n"/>
      <c r="K116" s="24" t="n"/>
      <c r="L116" s="26" t="n"/>
      <c r="M116" s="27">
        <f>IF(L116="","",IF(K116="GST 10%",ROUND(L116*set_GSTRate,2),0))</f>
        <v/>
      </c>
      <c r="N116" s="27">
        <f>IF(L116="","",L116+M116)</f>
        <v/>
      </c>
      <c r="O116" s="24" t="n"/>
      <c r="P116" s="24" t="n"/>
      <c r="Q116" s="24" t="n"/>
      <c r="R116" s="22" t="n"/>
      <c r="S116" s="22" t="n"/>
      <c r="T116" s="24" t="n"/>
      <c r="U116" s="24" t="n"/>
      <c r="V116" s="2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25">
        <f>IF(E116="","",IF(COUNTIF(tbl_Onsite[Job Number],E116&amp;"")&gt;0,"Onsite",IF(COUNTIF(tbl_Production[Job Number],E116&amp;"")&gt;0,"Production",IF(COUNTIF(tbl_Consulting[Job Number],E116&amp;"")&gt;0,"Consulting","not set up yet"))))</f>
        <v/>
      </c>
      <c r="X116" s="25">
        <f>IF(E116="","",IFERROR(INDEX(lst_JobName,MATCH(E116&amp;"",lst_Jobs,0)),""))</f>
        <v/>
      </c>
      <c r="Y116" s="28">
        <f>IF(E116="","",COUNTIFS(tbl_Finance[Job Number],E116&amp;"",tbl_Finance[Ex GST],"&lt;&gt;"))</f>
        <v/>
      </c>
      <c r="Z116" s="27">
        <f>IF(E116="","",SUMIFS(tbl_Finance[Ex GST],tbl_Finance[Job Number],E116&amp;""))</f>
        <v/>
      </c>
      <c r="AA116" s="27">
        <f>IF(E116="","",SUMIFS(tbl_Finance[Ex GST],tbl_Finance[Job Number],E116&amp;"",tbl_Finance[Xero Invoice No],"&lt;&gt;"))</f>
        <v/>
      </c>
      <c r="AB116" s="27">
        <f>IF(E116="","",Z116-AA116)</f>
        <v/>
      </c>
      <c r="AC116" s="25">
        <f>IF(E116="","",IFERROR(IF(INDEX(tbl_Onsite[Qwilr Quote],IFERROR(MATCH(E116&amp;"",tbl_Onsite[Job Number],0),MATCH(IFERROR(E116+0,E116),tbl_Onsite[Job Number],0)))="","",INDEX(tbl_Onsite[Qwilr Quote],IFERROR(MATCH(E116&amp;"",tbl_Onsite[Job Number],0),MATCH(IFERROR(E116+0,E116),tbl_Onsite[Job Number],0)))),IFERROR(IF(IF(INDEX(tbl_Production[Current RMS No],IFERROR(MATCH(E116&amp;"",tbl_Production[Job Number],0),MATCH(IFERROR(E116+0,E116),tbl_Production[Job Number],0)))="",INDEX(tbl_Production[Qwilr Quote],IFERROR(MATCH(E116&amp;"",tbl_Production[Job Number],0),MATCH(IFERROR(E116+0,E116),tbl_Production[Job Number],0))),INDEX(tbl_Production[Current RMS No],IFERROR(MATCH(E116&amp;"",tbl_Production[Job Number],0),MATCH(IFERROR(E116+0,E116),tbl_Production[Job Number],0))))="","",IF(INDEX(tbl_Production[Current RMS No],IFERROR(MATCH(E116&amp;"",tbl_Production[Job Number],0),MATCH(IFERROR(E116+0,E116),tbl_Production[Job Number],0)))="",INDEX(tbl_Production[Qwilr Quote],IFERROR(MATCH(E116&amp;"",tbl_Production[Job Number],0),MATCH(IFERROR(E116+0,E116),tbl_Production[Job Number],0))),INDEX(tbl_Production[Current RMS No],IFERROR(MATCH(E116&amp;"",tbl_Production[Job Number],0),MATCH(IFERROR(E116+0,E116),tbl_Production[Job Number],0))))),IFERROR(IF(INDEX(tbl_Consulting[Qwilr Quote],IFERROR(MATCH(E116&amp;"",tbl_Consulting[Job Number],0),MATCH(IFERROR(E116+0,E116),tbl_Consulting[Job Number],0)))="","",INDEX(tbl_Consulting[Qwilr Quote],IFERROR(MATCH(E116&amp;"",tbl_Consulting[Job Number],0),MATCH(IFERROR(E116+0,E116),tbl_Consulting[Job Number],0)))),""))))</f>
        <v/>
      </c>
      <c r="AD116" s="25">
        <f>IF(AC116="","",IF(AND(LEFT(AC116,4)&lt;&gt;"http",IF(H116="Production",set_RMSBase,set_QwilrBase)=""),"",HYPERLINK(IF(LEFT(AC116,4)="http",AC116,IF(H116="Production",set_RMSBase,set_QwilrBase)&amp;AC116),"Open")))</f>
        <v/>
      </c>
      <c r="AE116" s="27">
        <f>IF(E116="","",IFERROR(INDEX(tbl_Production[Total Expense],IFERROR(MATCH(E116&amp;"",tbl_Production[Job Number],0),MATCH(IFERROR(E116+0,E116),tbl_Production[Job Number],0))),IFERROR(INDEX(tbl_Consulting[Total Expense],IFERROR(MATCH(E116&amp;"",tbl_Consulting[Job Number],0),MATCH(IFERROR(E116+0,E116),tbl_Consulting[Job Number],0))),0)))</f>
        <v/>
      </c>
      <c r="AF116" s="27">
        <f>IF(E116="","",Z116-N(AE116))</f>
        <v/>
      </c>
      <c r="AG116" s="29">
        <f>IFERROR(AF116/Z116,"")</f>
        <v/>
      </c>
      <c r="AH116" s="25">
        <f>IF(E116="","",IFERROR(IF(INDEX(tbl_Onsite[Notes],IFERROR(MATCH(E116&amp;"",tbl_Onsite[Job Number],0),MATCH(IFERROR(E116+0,E116),tbl_Onsite[Job Number],0)))="","",INDEX(tbl_Onsite[Notes],IFERROR(MATCH(E116&amp;"",tbl_Onsite[Job Number],0),MATCH(IFERROR(E116+0,E116),tbl_Onsite[Job Number],0)))),IFERROR(IF(INDEX(tbl_Production[Notes],IFERROR(MATCH(E116&amp;"",tbl_Production[Job Number],0),MATCH(IFERROR(E116+0,E116),tbl_Production[Job Number],0)))="","",INDEX(tbl_Production[Notes],IFERROR(MATCH(E116&amp;"",tbl_Production[Job Number],0),MATCH(IFERROR(E116+0,E116),tbl_Production[Job Number],0)))),IFERROR(IF(INDEX(tbl_Consulting[Notes],IFERROR(MATCH(E116&amp;"",tbl_Consulting[Job Number],0),MATCH(IFERROR(E116+0,E116),tbl_Consulting[Job Number],0)))="","",INDEX(tbl_Consulting[Notes],IFERROR(MATCH(E116&amp;"",tbl_Consulting[Job Number],0),MATCH(IFERROR(E116+0,E116),tbl_Consulting[Job Number],0)))),""))))</f>
        <v/>
      </c>
    </row>
    <row r="117" ht="15" customHeight="1">
      <c r="A117" s="22" t="n"/>
      <c r="B117" s="23">
        <f>IF(A117="","",EOMONTH(A117,0))</f>
        <v/>
      </c>
      <c r="C117" s="24" t="n"/>
      <c r="D117" s="24" t="n"/>
      <c r="E117" s="24" t="n"/>
      <c r="F117" s="25">
        <f>IF(E117="","",IF(COUNTIF(lst_Jobs,E117&amp;"")&gt;0,"OK","CHECK"))</f>
        <v/>
      </c>
      <c r="G117" s="24" t="n"/>
      <c r="H117" s="24" t="n"/>
      <c r="I117" s="24" t="n"/>
      <c r="J117" s="24" t="n"/>
      <c r="K117" s="24" t="n"/>
      <c r="L117" s="26" t="n"/>
      <c r="M117" s="27">
        <f>IF(L117="","",IF(K117="GST 10%",ROUND(L117*set_GSTRate,2),0))</f>
        <v/>
      </c>
      <c r="N117" s="27">
        <f>IF(L117="","",L117+M117)</f>
        <v/>
      </c>
      <c r="O117" s="24" t="n"/>
      <c r="P117" s="24" t="n"/>
      <c r="Q117" s="24" t="n"/>
      <c r="R117" s="22" t="n"/>
      <c r="S117" s="22" t="n"/>
      <c r="T117" s="24" t="n"/>
      <c r="U117" s="24" t="n"/>
      <c r="V117" s="2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25">
        <f>IF(E117="","",IF(COUNTIF(tbl_Onsite[Job Number],E117&amp;"")&gt;0,"Onsite",IF(COUNTIF(tbl_Production[Job Number],E117&amp;"")&gt;0,"Production",IF(COUNTIF(tbl_Consulting[Job Number],E117&amp;"")&gt;0,"Consulting","not set up yet"))))</f>
        <v/>
      </c>
      <c r="X117" s="25">
        <f>IF(E117="","",IFERROR(INDEX(lst_JobName,MATCH(E117&amp;"",lst_Jobs,0)),""))</f>
        <v/>
      </c>
      <c r="Y117" s="28">
        <f>IF(E117="","",COUNTIFS(tbl_Finance[Job Number],E117&amp;"",tbl_Finance[Ex GST],"&lt;&gt;"))</f>
        <v/>
      </c>
      <c r="Z117" s="27">
        <f>IF(E117="","",SUMIFS(tbl_Finance[Ex GST],tbl_Finance[Job Number],E117&amp;""))</f>
        <v/>
      </c>
      <c r="AA117" s="27">
        <f>IF(E117="","",SUMIFS(tbl_Finance[Ex GST],tbl_Finance[Job Number],E117&amp;"",tbl_Finance[Xero Invoice No],"&lt;&gt;"))</f>
        <v/>
      </c>
      <c r="AB117" s="27">
        <f>IF(E117="","",Z117-AA117)</f>
        <v/>
      </c>
      <c r="AC117" s="25">
        <f>IF(E117="","",IFERROR(IF(INDEX(tbl_Onsite[Qwilr Quote],IFERROR(MATCH(E117&amp;"",tbl_Onsite[Job Number],0),MATCH(IFERROR(E117+0,E117),tbl_Onsite[Job Number],0)))="","",INDEX(tbl_Onsite[Qwilr Quote],IFERROR(MATCH(E117&amp;"",tbl_Onsite[Job Number],0),MATCH(IFERROR(E117+0,E117),tbl_Onsite[Job Number],0)))),IFERROR(IF(IF(INDEX(tbl_Production[Current RMS No],IFERROR(MATCH(E117&amp;"",tbl_Production[Job Number],0),MATCH(IFERROR(E117+0,E117),tbl_Production[Job Number],0)))="",INDEX(tbl_Production[Qwilr Quote],IFERROR(MATCH(E117&amp;"",tbl_Production[Job Number],0),MATCH(IFERROR(E117+0,E117),tbl_Production[Job Number],0))),INDEX(tbl_Production[Current RMS No],IFERROR(MATCH(E117&amp;"",tbl_Production[Job Number],0),MATCH(IFERROR(E117+0,E117),tbl_Production[Job Number],0))))="","",IF(INDEX(tbl_Production[Current RMS No],IFERROR(MATCH(E117&amp;"",tbl_Production[Job Number],0),MATCH(IFERROR(E117+0,E117),tbl_Production[Job Number],0)))="",INDEX(tbl_Production[Qwilr Quote],IFERROR(MATCH(E117&amp;"",tbl_Production[Job Number],0),MATCH(IFERROR(E117+0,E117),tbl_Production[Job Number],0))),INDEX(tbl_Production[Current RMS No],IFERROR(MATCH(E117&amp;"",tbl_Production[Job Number],0),MATCH(IFERROR(E117+0,E117),tbl_Production[Job Number],0))))),IFERROR(IF(INDEX(tbl_Consulting[Qwilr Quote],IFERROR(MATCH(E117&amp;"",tbl_Consulting[Job Number],0),MATCH(IFERROR(E117+0,E117),tbl_Consulting[Job Number],0)))="","",INDEX(tbl_Consulting[Qwilr Quote],IFERROR(MATCH(E117&amp;"",tbl_Consulting[Job Number],0),MATCH(IFERROR(E117+0,E117),tbl_Consulting[Job Number],0)))),""))))</f>
        <v/>
      </c>
      <c r="AD117" s="25">
        <f>IF(AC117="","",IF(AND(LEFT(AC117,4)&lt;&gt;"http",IF(H117="Production",set_RMSBase,set_QwilrBase)=""),"",HYPERLINK(IF(LEFT(AC117,4)="http",AC117,IF(H117="Production",set_RMSBase,set_QwilrBase)&amp;AC117),"Open")))</f>
        <v/>
      </c>
      <c r="AE117" s="27">
        <f>IF(E117="","",IFERROR(INDEX(tbl_Production[Total Expense],IFERROR(MATCH(E117&amp;"",tbl_Production[Job Number],0),MATCH(IFERROR(E117+0,E117),tbl_Production[Job Number],0))),IFERROR(INDEX(tbl_Consulting[Total Expense],IFERROR(MATCH(E117&amp;"",tbl_Consulting[Job Number],0),MATCH(IFERROR(E117+0,E117),tbl_Consulting[Job Number],0))),0)))</f>
        <v/>
      </c>
      <c r="AF117" s="27">
        <f>IF(E117="","",Z117-N(AE117))</f>
        <v/>
      </c>
      <c r="AG117" s="29">
        <f>IFERROR(AF117/Z117,"")</f>
        <v/>
      </c>
      <c r="AH117" s="25">
        <f>IF(E117="","",IFERROR(IF(INDEX(tbl_Onsite[Notes],IFERROR(MATCH(E117&amp;"",tbl_Onsite[Job Number],0),MATCH(IFERROR(E117+0,E117),tbl_Onsite[Job Number],0)))="","",INDEX(tbl_Onsite[Notes],IFERROR(MATCH(E117&amp;"",tbl_Onsite[Job Number],0),MATCH(IFERROR(E117+0,E117),tbl_Onsite[Job Number],0)))),IFERROR(IF(INDEX(tbl_Production[Notes],IFERROR(MATCH(E117&amp;"",tbl_Production[Job Number],0),MATCH(IFERROR(E117+0,E117),tbl_Production[Job Number],0)))="","",INDEX(tbl_Production[Notes],IFERROR(MATCH(E117&amp;"",tbl_Production[Job Number],0),MATCH(IFERROR(E117+0,E117),tbl_Production[Job Number],0)))),IFERROR(IF(INDEX(tbl_Consulting[Notes],IFERROR(MATCH(E117&amp;"",tbl_Consulting[Job Number],0),MATCH(IFERROR(E117+0,E117),tbl_Consulting[Job Number],0)))="","",INDEX(tbl_Consulting[Notes],IFERROR(MATCH(E117&amp;"",tbl_Consulting[Job Number],0),MATCH(IFERROR(E117+0,E117),tbl_Consulting[Job Number],0)))),""))))</f>
        <v/>
      </c>
    </row>
    <row r="118" ht="15" customHeight="1">
      <c r="A118" s="22" t="n"/>
      <c r="B118" s="23">
        <f>IF(A118="","",EOMONTH(A118,0))</f>
        <v/>
      </c>
      <c r="C118" s="24" t="n"/>
      <c r="D118" s="24" t="n"/>
      <c r="E118" s="24" t="n"/>
      <c r="F118" s="25">
        <f>IF(E118="","",IF(COUNTIF(lst_Jobs,E118&amp;"")&gt;0,"OK","CHECK"))</f>
        <v/>
      </c>
      <c r="G118" s="24" t="n"/>
      <c r="H118" s="24" t="n"/>
      <c r="I118" s="24" t="n"/>
      <c r="J118" s="24" t="n"/>
      <c r="K118" s="24" t="n"/>
      <c r="L118" s="26" t="n"/>
      <c r="M118" s="27">
        <f>IF(L118="","",IF(K118="GST 10%",ROUND(L118*set_GSTRate,2),0))</f>
        <v/>
      </c>
      <c r="N118" s="27">
        <f>IF(L118="","",L118+M118)</f>
        <v/>
      </c>
      <c r="O118" s="24" t="n"/>
      <c r="P118" s="24" t="n"/>
      <c r="Q118" s="24" t="n"/>
      <c r="R118" s="22" t="n"/>
      <c r="S118" s="22" t="n"/>
      <c r="T118" s="24" t="n"/>
      <c r="U118" s="24" t="n"/>
      <c r="V118" s="2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25">
        <f>IF(E118="","",IF(COUNTIF(tbl_Onsite[Job Number],E118&amp;"")&gt;0,"Onsite",IF(COUNTIF(tbl_Production[Job Number],E118&amp;"")&gt;0,"Production",IF(COUNTIF(tbl_Consulting[Job Number],E118&amp;"")&gt;0,"Consulting","not set up yet"))))</f>
        <v/>
      </c>
      <c r="X118" s="25">
        <f>IF(E118="","",IFERROR(INDEX(lst_JobName,MATCH(E118&amp;"",lst_Jobs,0)),""))</f>
        <v/>
      </c>
      <c r="Y118" s="28">
        <f>IF(E118="","",COUNTIFS(tbl_Finance[Job Number],E118&amp;"",tbl_Finance[Ex GST],"&lt;&gt;"))</f>
        <v/>
      </c>
      <c r="Z118" s="27">
        <f>IF(E118="","",SUMIFS(tbl_Finance[Ex GST],tbl_Finance[Job Number],E118&amp;""))</f>
        <v/>
      </c>
      <c r="AA118" s="27">
        <f>IF(E118="","",SUMIFS(tbl_Finance[Ex GST],tbl_Finance[Job Number],E118&amp;"",tbl_Finance[Xero Invoice No],"&lt;&gt;"))</f>
        <v/>
      </c>
      <c r="AB118" s="27">
        <f>IF(E118="","",Z118-AA118)</f>
        <v/>
      </c>
      <c r="AC118" s="25">
        <f>IF(E118="","",IFERROR(IF(INDEX(tbl_Onsite[Qwilr Quote],IFERROR(MATCH(E118&amp;"",tbl_Onsite[Job Number],0),MATCH(IFERROR(E118+0,E118),tbl_Onsite[Job Number],0)))="","",INDEX(tbl_Onsite[Qwilr Quote],IFERROR(MATCH(E118&amp;"",tbl_Onsite[Job Number],0),MATCH(IFERROR(E118+0,E118),tbl_Onsite[Job Number],0)))),IFERROR(IF(IF(INDEX(tbl_Production[Current RMS No],IFERROR(MATCH(E118&amp;"",tbl_Production[Job Number],0),MATCH(IFERROR(E118+0,E118),tbl_Production[Job Number],0)))="",INDEX(tbl_Production[Qwilr Quote],IFERROR(MATCH(E118&amp;"",tbl_Production[Job Number],0),MATCH(IFERROR(E118+0,E118),tbl_Production[Job Number],0))),INDEX(tbl_Production[Current RMS No],IFERROR(MATCH(E118&amp;"",tbl_Production[Job Number],0),MATCH(IFERROR(E118+0,E118),tbl_Production[Job Number],0))))="","",IF(INDEX(tbl_Production[Current RMS No],IFERROR(MATCH(E118&amp;"",tbl_Production[Job Number],0),MATCH(IFERROR(E118+0,E118),tbl_Production[Job Number],0)))="",INDEX(tbl_Production[Qwilr Quote],IFERROR(MATCH(E118&amp;"",tbl_Production[Job Number],0),MATCH(IFERROR(E118+0,E118),tbl_Production[Job Number],0))),INDEX(tbl_Production[Current RMS No],IFERROR(MATCH(E118&amp;"",tbl_Production[Job Number],0),MATCH(IFERROR(E118+0,E118),tbl_Production[Job Number],0))))),IFERROR(IF(INDEX(tbl_Consulting[Qwilr Quote],IFERROR(MATCH(E118&amp;"",tbl_Consulting[Job Number],0),MATCH(IFERROR(E118+0,E118),tbl_Consulting[Job Number],0)))="","",INDEX(tbl_Consulting[Qwilr Quote],IFERROR(MATCH(E118&amp;"",tbl_Consulting[Job Number],0),MATCH(IFERROR(E118+0,E118),tbl_Consulting[Job Number],0)))),""))))</f>
        <v/>
      </c>
      <c r="AD118" s="25">
        <f>IF(AC118="","",IF(AND(LEFT(AC118,4)&lt;&gt;"http",IF(H118="Production",set_RMSBase,set_QwilrBase)=""),"",HYPERLINK(IF(LEFT(AC118,4)="http",AC118,IF(H118="Production",set_RMSBase,set_QwilrBase)&amp;AC118),"Open")))</f>
        <v/>
      </c>
      <c r="AE118" s="27">
        <f>IF(E118="","",IFERROR(INDEX(tbl_Production[Total Expense],IFERROR(MATCH(E118&amp;"",tbl_Production[Job Number],0),MATCH(IFERROR(E118+0,E118),tbl_Production[Job Number],0))),IFERROR(INDEX(tbl_Consulting[Total Expense],IFERROR(MATCH(E118&amp;"",tbl_Consulting[Job Number],0),MATCH(IFERROR(E118+0,E118),tbl_Consulting[Job Number],0))),0)))</f>
        <v/>
      </c>
      <c r="AF118" s="27">
        <f>IF(E118="","",Z118-N(AE118))</f>
        <v/>
      </c>
      <c r="AG118" s="29">
        <f>IFERROR(AF118/Z118,"")</f>
        <v/>
      </c>
      <c r="AH118" s="25">
        <f>IF(E118="","",IFERROR(IF(INDEX(tbl_Onsite[Notes],IFERROR(MATCH(E118&amp;"",tbl_Onsite[Job Number],0),MATCH(IFERROR(E118+0,E118),tbl_Onsite[Job Number],0)))="","",INDEX(tbl_Onsite[Notes],IFERROR(MATCH(E118&amp;"",tbl_Onsite[Job Number],0),MATCH(IFERROR(E118+0,E118),tbl_Onsite[Job Number],0)))),IFERROR(IF(INDEX(tbl_Production[Notes],IFERROR(MATCH(E118&amp;"",tbl_Production[Job Number],0),MATCH(IFERROR(E118+0,E118),tbl_Production[Job Number],0)))="","",INDEX(tbl_Production[Notes],IFERROR(MATCH(E118&amp;"",tbl_Production[Job Number],0),MATCH(IFERROR(E118+0,E118),tbl_Production[Job Number],0)))),IFERROR(IF(INDEX(tbl_Consulting[Notes],IFERROR(MATCH(E118&amp;"",tbl_Consulting[Job Number],0),MATCH(IFERROR(E118+0,E118),tbl_Consulting[Job Number],0)))="","",INDEX(tbl_Consulting[Notes],IFERROR(MATCH(E118&amp;"",tbl_Consulting[Job Number],0),MATCH(IFERROR(E118+0,E118),tbl_Consulting[Job Number],0)))),""))))</f>
        <v/>
      </c>
    </row>
    <row r="119" ht="15" customHeight="1">
      <c r="A119" s="22" t="n"/>
      <c r="B119" s="23">
        <f>IF(A119="","",EOMONTH(A119,0))</f>
        <v/>
      </c>
      <c r="C119" s="24" t="n"/>
      <c r="D119" s="24" t="n"/>
      <c r="E119" s="24" t="n"/>
      <c r="F119" s="25">
        <f>IF(E119="","",IF(COUNTIF(lst_Jobs,E119&amp;"")&gt;0,"OK","CHECK"))</f>
        <v/>
      </c>
      <c r="G119" s="24" t="n"/>
      <c r="H119" s="24" t="n"/>
      <c r="I119" s="24" t="n"/>
      <c r="J119" s="24" t="n"/>
      <c r="K119" s="24" t="n"/>
      <c r="L119" s="26" t="n"/>
      <c r="M119" s="27">
        <f>IF(L119="","",IF(K119="GST 10%",ROUND(L119*set_GSTRate,2),0))</f>
        <v/>
      </c>
      <c r="N119" s="27">
        <f>IF(L119="","",L119+M119)</f>
        <v/>
      </c>
      <c r="O119" s="24" t="n"/>
      <c r="P119" s="24" t="n"/>
      <c r="Q119" s="24" t="n"/>
      <c r="R119" s="22" t="n"/>
      <c r="S119" s="22" t="n"/>
      <c r="T119" s="24" t="n"/>
      <c r="U119" s="24" t="n"/>
      <c r="V119" s="2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25">
        <f>IF(E119="","",IF(COUNTIF(tbl_Onsite[Job Number],E119&amp;"")&gt;0,"Onsite",IF(COUNTIF(tbl_Production[Job Number],E119&amp;"")&gt;0,"Production",IF(COUNTIF(tbl_Consulting[Job Number],E119&amp;"")&gt;0,"Consulting","not set up yet"))))</f>
        <v/>
      </c>
      <c r="X119" s="25">
        <f>IF(E119="","",IFERROR(INDEX(lst_JobName,MATCH(E119&amp;"",lst_Jobs,0)),""))</f>
        <v/>
      </c>
      <c r="Y119" s="28">
        <f>IF(E119="","",COUNTIFS(tbl_Finance[Job Number],E119&amp;"",tbl_Finance[Ex GST],"&lt;&gt;"))</f>
        <v/>
      </c>
      <c r="Z119" s="27">
        <f>IF(E119="","",SUMIFS(tbl_Finance[Ex GST],tbl_Finance[Job Number],E119&amp;""))</f>
        <v/>
      </c>
      <c r="AA119" s="27">
        <f>IF(E119="","",SUMIFS(tbl_Finance[Ex GST],tbl_Finance[Job Number],E119&amp;"",tbl_Finance[Xero Invoice No],"&lt;&gt;"))</f>
        <v/>
      </c>
      <c r="AB119" s="27">
        <f>IF(E119="","",Z119-AA119)</f>
        <v/>
      </c>
      <c r="AC119" s="25">
        <f>IF(E119="","",IFERROR(IF(INDEX(tbl_Onsite[Qwilr Quote],IFERROR(MATCH(E119&amp;"",tbl_Onsite[Job Number],0),MATCH(IFERROR(E119+0,E119),tbl_Onsite[Job Number],0)))="","",INDEX(tbl_Onsite[Qwilr Quote],IFERROR(MATCH(E119&amp;"",tbl_Onsite[Job Number],0),MATCH(IFERROR(E119+0,E119),tbl_Onsite[Job Number],0)))),IFERROR(IF(IF(INDEX(tbl_Production[Current RMS No],IFERROR(MATCH(E119&amp;"",tbl_Production[Job Number],0),MATCH(IFERROR(E119+0,E119),tbl_Production[Job Number],0)))="",INDEX(tbl_Production[Qwilr Quote],IFERROR(MATCH(E119&amp;"",tbl_Production[Job Number],0),MATCH(IFERROR(E119+0,E119),tbl_Production[Job Number],0))),INDEX(tbl_Production[Current RMS No],IFERROR(MATCH(E119&amp;"",tbl_Production[Job Number],0),MATCH(IFERROR(E119+0,E119),tbl_Production[Job Number],0))))="","",IF(INDEX(tbl_Production[Current RMS No],IFERROR(MATCH(E119&amp;"",tbl_Production[Job Number],0),MATCH(IFERROR(E119+0,E119),tbl_Production[Job Number],0)))="",INDEX(tbl_Production[Qwilr Quote],IFERROR(MATCH(E119&amp;"",tbl_Production[Job Number],0),MATCH(IFERROR(E119+0,E119),tbl_Production[Job Number],0))),INDEX(tbl_Production[Current RMS No],IFERROR(MATCH(E119&amp;"",tbl_Production[Job Number],0),MATCH(IFERROR(E119+0,E119),tbl_Production[Job Number],0))))),IFERROR(IF(INDEX(tbl_Consulting[Qwilr Quote],IFERROR(MATCH(E119&amp;"",tbl_Consulting[Job Number],0),MATCH(IFERROR(E119+0,E119),tbl_Consulting[Job Number],0)))="","",INDEX(tbl_Consulting[Qwilr Quote],IFERROR(MATCH(E119&amp;"",tbl_Consulting[Job Number],0),MATCH(IFERROR(E119+0,E119),tbl_Consulting[Job Number],0)))),""))))</f>
        <v/>
      </c>
      <c r="AD119" s="25">
        <f>IF(AC119="","",IF(AND(LEFT(AC119,4)&lt;&gt;"http",IF(H119="Production",set_RMSBase,set_QwilrBase)=""),"",HYPERLINK(IF(LEFT(AC119,4)="http",AC119,IF(H119="Production",set_RMSBase,set_QwilrBase)&amp;AC119),"Open")))</f>
        <v/>
      </c>
      <c r="AE119" s="27">
        <f>IF(E119="","",IFERROR(INDEX(tbl_Production[Total Expense],IFERROR(MATCH(E119&amp;"",tbl_Production[Job Number],0),MATCH(IFERROR(E119+0,E119),tbl_Production[Job Number],0))),IFERROR(INDEX(tbl_Consulting[Total Expense],IFERROR(MATCH(E119&amp;"",tbl_Consulting[Job Number],0),MATCH(IFERROR(E119+0,E119),tbl_Consulting[Job Number],0))),0)))</f>
        <v/>
      </c>
      <c r="AF119" s="27">
        <f>IF(E119="","",Z119-N(AE119))</f>
        <v/>
      </c>
      <c r="AG119" s="29">
        <f>IFERROR(AF119/Z119,"")</f>
        <v/>
      </c>
      <c r="AH119" s="25">
        <f>IF(E119="","",IFERROR(IF(INDEX(tbl_Onsite[Notes],IFERROR(MATCH(E119&amp;"",tbl_Onsite[Job Number],0),MATCH(IFERROR(E119+0,E119),tbl_Onsite[Job Number],0)))="","",INDEX(tbl_Onsite[Notes],IFERROR(MATCH(E119&amp;"",tbl_Onsite[Job Number],0),MATCH(IFERROR(E119+0,E119),tbl_Onsite[Job Number],0)))),IFERROR(IF(INDEX(tbl_Production[Notes],IFERROR(MATCH(E119&amp;"",tbl_Production[Job Number],0),MATCH(IFERROR(E119+0,E119),tbl_Production[Job Number],0)))="","",INDEX(tbl_Production[Notes],IFERROR(MATCH(E119&amp;"",tbl_Production[Job Number],0),MATCH(IFERROR(E119+0,E119),tbl_Production[Job Number],0)))),IFERROR(IF(INDEX(tbl_Consulting[Notes],IFERROR(MATCH(E119&amp;"",tbl_Consulting[Job Number],0),MATCH(IFERROR(E119+0,E119),tbl_Consulting[Job Number],0)))="","",INDEX(tbl_Consulting[Notes],IFERROR(MATCH(E119&amp;"",tbl_Consulting[Job Number],0),MATCH(IFERROR(E119+0,E119),tbl_Consulting[Job Number],0)))),""))))</f>
        <v/>
      </c>
    </row>
    <row r="120" ht="15" customHeight="1">
      <c r="A120" s="22" t="n"/>
      <c r="B120" s="23">
        <f>IF(A120="","",EOMONTH(A120,0))</f>
        <v/>
      </c>
      <c r="C120" s="24" t="n"/>
      <c r="D120" s="24" t="n"/>
      <c r="E120" s="24" t="n"/>
      <c r="F120" s="25">
        <f>IF(E120="","",IF(COUNTIF(lst_Jobs,E120&amp;"")&gt;0,"OK","CHECK"))</f>
        <v/>
      </c>
      <c r="G120" s="24" t="n"/>
      <c r="H120" s="24" t="n"/>
      <c r="I120" s="24" t="n"/>
      <c r="J120" s="24" t="n"/>
      <c r="K120" s="24" t="n"/>
      <c r="L120" s="26" t="n"/>
      <c r="M120" s="27">
        <f>IF(L120="","",IF(K120="GST 10%",ROUND(L120*set_GSTRate,2),0))</f>
        <v/>
      </c>
      <c r="N120" s="27">
        <f>IF(L120="","",L120+M120)</f>
        <v/>
      </c>
      <c r="O120" s="24" t="n"/>
      <c r="P120" s="24" t="n"/>
      <c r="Q120" s="24" t="n"/>
      <c r="R120" s="22" t="n"/>
      <c r="S120" s="22" t="n"/>
      <c r="T120" s="24" t="n"/>
      <c r="U120" s="24" t="n"/>
      <c r="V120" s="2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25">
        <f>IF(E120="","",IF(COUNTIF(tbl_Onsite[Job Number],E120&amp;"")&gt;0,"Onsite",IF(COUNTIF(tbl_Production[Job Number],E120&amp;"")&gt;0,"Production",IF(COUNTIF(tbl_Consulting[Job Number],E120&amp;"")&gt;0,"Consulting","not set up yet"))))</f>
        <v/>
      </c>
      <c r="X120" s="25">
        <f>IF(E120="","",IFERROR(INDEX(lst_JobName,MATCH(E120&amp;"",lst_Jobs,0)),""))</f>
        <v/>
      </c>
      <c r="Y120" s="28">
        <f>IF(E120="","",COUNTIFS(tbl_Finance[Job Number],E120&amp;"",tbl_Finance[Ex GST],"&lt;&gt;"))</f>
        <v/>
      </c>
      <c r="Z120" s="27">
        <f>IF(E120="","",SUMIFS(tbl_Finance[Ex GST],tbl_Finance[Job Number],E120&amp;""))</f>
        <v/>
      </c>
      <c r="AA120" s="27">
        <f>IF(E120="","",SUMIFS(tbl_Finance[Ex GST],tbl_Finance[Job Number],E120&amp;"",tbl_Finance[Xero Invoice No],"&lt;&gt;"))</f>
        <v/>
      </c>
      <c r="AB120" s="27">
        <f>IF(E120="","",Z120-AA120)</f>
        <v/>
      </c>
      <c r="AC120" s="25">
        <f>IF(E120="","",IFERROR(IF(INDEX(tbl_Onsite[Qwilr Quote],IFERROR(MATCH(E120&amp;"",tbl_Onsite[Job Number],0),MATCH(IFERROR(E120+0,E120),tbl_Onsite[Job Number],0)))="","",INDEX(tbl_Onsite[Qwilr Quote],IFERROR(MATCH(E120&amp;"",tbl_Onsite[Job Number],0),MATCH(IFERROR(E120+0,E120),tbl_Onsite[Job Number],0)))),IFERROR(IF(IF(INDEX(tbl_Production[Current RMS No],IFERROR(MATCH(E120&amp;"",tbl_Production[Job Number],0),MATCH(IFERROR(E120+0,E120),tbl_Production[Job Number],0)))="",INDEX(tbl_Production[Qwilr Quote],IFERROR(MATCH(E120&amp;"",tbl_Production[Job Number],0),MATCH(IFERROR(E120+0,E120),tbl_Production[Job Number],0))),INDEX(tbl_Production[Current RMS No],IFERROR(MATCH(E120&amp;"",tbl_Production[Job Number],0),MATCH(IFERROR(E120+0,E120),tbl_Production[Job Number],0))))="","",IF(INDEX(tbl_Production[Current RMS No],IFERROR(MATCH(E120&amp;"",tbl_Production[Job Number],0),MATCH(IFERROR(E120+0,E120),tbl_Production[Job Number],0)))="",INDEX(tbl_Production[Qwilr Quote],IFERROR(MATCH(E120&amp;"",tbl_Production[Job Number],0),MATCH(IFERROR(E120+0,E120),tbl_Production[Job Number],0))),INDEX(tbl_Production[Current RMS No],IFERROR(MATCH(E120&amp;"",tbl_Production[Job Number],0),MATCH(IFERROR(E120+0,E120),tbl_Production[Job Number],0))))),IFERROR(IF(INDEX(tbl_Consulting[Qwilr Quote],IFERROR(MATCH(E120&amp;"",tbl_Consulting[Job Number],0),MATCH(IFERROR(E120+0,E120),tbl_Consulting[Job Number],0)))="","",INDEX(tbl_Consulting[Qwilr Quote],IFERROR(MATCH(E120&amp;"",tbl_Consulting[Job Number],0),MATCH(IFERROR(E120+0,E120),tbl_Consulting[Job Number],0)))),""))))</f>
        <v/>
      </c>
      <c r="AD120" s="25">
        <f>IF(AC120="","",IF(AND(LEFT(AC120,4)&lt;&gt;"http",IF(H120="Production",set_RMSBase,set_QwilrBase)=""),"",HYPERLINK(IF(LEFT(AC120,4)="http",AC120,IF(H120="Production",set_RMSBase,set_QwilrBase)&amp;AC120),"Open")))</f>
        <v/>
      </c>
      <c r="AE120" s="27">
        <f>IF(E120="","",IFERROR(INDEX(tbl_Production[Total Expense],IFERROR(MATCH(E120&amp;"",tbl_Production[Job Number],0),MATCH(IFERROR(E120+0,E120),tbl_Production[Job Number],0))),IFERROR(INDEX(tbl_Consulting[Total Expense],IFERROR(MATCH(E120&amp;"",tbl_Consulting[Job Number],0),MATCH(IFERROR(E120+0,E120),tbl_Consulting[Job Number],0))),0)))</f>
        <v/>
      </c>
      <c r="AF120" s="27">
        <f>IF(E120="","",Z120-N(AE120))</f>
        <v/>
      </c>
      <c r="AG120" s="29">
        <f>IFERROR(AF120/Z120,"")</f>
        <v/>
      </c>
      <c r="AH120" s="25">
        <f>IF(E120="","",IFERROR(IF(INDEX(tbl_Onsite[Notes],IFERROR(MATCH(E120&amp;"",tbl_Onsite[Job Number],0),MATCH(IFERROR(E120+0,E120),tbl_Onsite[Job Number],0)))="","",INDEX(tbl_Onsite[Notes],IFERROR(MATCH(E120&amp;"",tbl_Onsite[Job Number],0),MATCH(IFERROR(E120+0,E120),tbl_Onsite[Job Number],0)))),IFERROR(IF(INDEX(tbl_Production[Notes],IFERROR(MATCH(E120&amp;"",tbl_Production[Job Number],0),MATCH(IFERROR(E120+0,E120),tbl_Production[Job Number],0)))="","",INDEX(tbl_Production[Notes],IFERROR(MATCH(E120&amp;"",tbl_Production[Job Number],0),MATCH(IFERROR(E120+0,E120),tbl_Production[Job Number],0)))),IFERROR(IF(INDEX(tbl_Consulting[Notes],IFERROR(MATCH(E120&amp;"",tbl_Consulting[Job Number],0),MATCH(IFERROR(E120+0,E120),tbl_Consulting[Job Number],0)))="","",INDEX(tbl_Consulting[Notes],IFERROR(MATCH(E120&amp;"",tbl_Consulting[Job Number],0),MATCH(IFERROR(E120+0,E120),tbl_Consulting[Job Number],0)))),""))))</f>
        <v/>
      </c>
    </row>
    <row r="121" ht="15" customHeight="1">
      <c r="A121" s="22" t="n"/>
      <c r="B121" s="23">
        <f>IF(A121="","",EOMONTH(A121,0))</f>
        <v/>
      </c>
      <c r="C121" s="24" t="n"/>
      <c r="D121" s="24" t="n"/>
      <c r="E121" s="24" t="n"/>
      <c r="F121" s="25">
        <f>IF(E121="","",IF(COUNTIF(lst_Jobs,E121&amp;"")&gt;0,"OK","CHECK"))</f>
        <v/>
      </c>
      <c r="G121" s="24" t="n"/>
      <c r="H121" s="24" t="n"/>
      <c r="I121" s="24" t="n"/>
      <c r="J121" s="24" t="n"/>
      <c r="K121" s="24" t="n"/>
      <c r="L121" s="26" t="n"/>
      <c r="M121" s="27">
        <f>IF(L121="","",IF(K121="GST 10%",ROUND(L121*set_GSTRate,2),0))</f>
        <v/>
      </c>
      <c r="N121" s="27">
        <f>IF(L121="","",L121+M121)</f>
        <v/>
      </c>
      <c r="O121" s="24" t="n"/>
      <c r="P121" s="24" t="n"/>
      <c r="Q121" s="24" t="n"/>
      <c r="R121" s="22" t="n"/>
      <c r="S121" s="22" t="n"/>
      <c r="T121" s="24" t="n"/>
      <c r="U121" s="24" t="n"/>
      <c r="V121" s="2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25">
        <f>IF(E121="","",IF(COUNTIF(tbl_Onsite[Job Number],E121&amp;"")&gt;0,"Onsite",IF(COUNTIF(tbl_Production[Job Number],E121&amp;"")&gt;0,"Production",IF(COUNTIF(tbl_Consulting[Job Number],E121&amp;"")&gt;0,"Consulting","not set up yet"))))</f>
        <v/>
      </c>
      <c r="X121" s="25">
        <f>IF(E121="","",IFERROR(INDEX(lst_JobName,MATCH(E121&amp;"",lst_Jobs,0)),""))</f>
        <v/>
      </c>
      <c r="Y121" s="28">
        <f>IF(E121="","",COUNTIFS(tbl_Finance[Job Number],E121&amp;"",tbl_Finance[Ex GST],"&lt;&gt;"))</f>
        <v/>
      </c>
      <c r="Z121" s="27">
        <f>IF(E121="","",SUMIFS(tbl_Finance[Ex GST],tbl_Finance[Job Number],E121&amp;""))</f>
        <v/>
      </c>
      <c r="AA121" s="27">
        <f>IF(E121="","",SUMIFS(tbl_Finance[Ex GST],tbl_Finance[Job Number],E121&amp;"",tbl_Finance[Xero Invoice No],"&lt;&gt;"))</f>
        <v/>
      </c>
      <c r="AB121" s="27">
        <f>IF(E121="","",Z121-AA121)</f>
        <v/>
      </c>
      <c r="AC121" s="25">
        <f>IF(E121="","",IFERROR(IF(INDEX(tbl_Onsite[Qwilr Quote],IFERROR(MATCH(E121&amp;"",tbl_Onsite[Job Number],0),MATCH(IFERROR(E121+0,E121),tbl_Onsite[Job Number],0)))="","",INDEX(tbl_Onsite[Qwilr Quote],IFERROR(MATCH(E121&amp;"",tbl_Onsite[Job Number],0),MATCH(IFERROR(E121+0,E121),tbl_Onsite[Job Number],0)))),IFERROR(IF(IF(INDEX(tbl_Production[Current RMS No],IFERROR(MATCH(E121&amp;"",tbl_Production[Job Number],0),MATCH(IFERROR(E121+0,E121),tbl_Production[Job Number],0)))="",INDEX(tbl_Production[Qwilr Quote],IFERROR(MATCH(E121&amp;"",tbl_Production[Job Number],0),MATCH(IFERROR(E121+0,E121),tbl_Production[Job Number],0))),INDEX(tbl_Production[Current RMS No],IFERROR(MATCH(E121&amp;"",tbl_Production[Job Number],0),MATCH(IFERROR(E121+0,E121),tbl_Production[Job Number],0))))="","",IF(INDEX(tbl_Production[Current RMS No],IFERROR(MATCH(E121&amp;"",tbl_Production[Job Number],0),MATCH(IFERROR(E121+0,E121),tbl_Production[Job Number],0)))="",INDEX(tbl_Production[Qwilr Quote],IFERROR(MATCH(E121&amp;"",tbl_Production[Job Number],0),MATCH(IFERROR(E121+0,E121),tbl_Production[Job Number],0))),INDEX(tbl_Production[Current RMS No],IFERROR(MATCH(E121&amp;"",tbl_Production[Job Number],0),MATCH(IFERROR(E121+0,E121),tbl_Production[Job Number],0))))),IFERROR(IF(INDEX(tbl_Consulting[Qwilr Quote],IFERROR(MATCH(E121&amp;"",tbl_Consulting[Job Number],0),MATCH(IFERROR(E121+0,E121),tbl_Consulting[Job Number],0)))="","",INDEX(tbl_Consulting[Qwilr Quote],IFERROR(MATCH(E121&amp;"",tbl_Consulting[Job Number],0),MATCH(IFERROR(E121+0,E121),tbl_Consulting[Job Number],0)))),""))))</f>
        <v/>
      </c>
      <c r="AD121" s="25">
        <f>IF(AC121="","",IF(AND(LEFT(AC121,4)&lt;&gt;"http",IF(H121="Production",set_RMSBase,set_QwilrBase)=""),"",HYPERLINK(IF(LEFT(AC121,4)="http",AC121,IF(H121="Production",set_RMSBase,set_QwilrBase)&amp;AC121),"Open")))</f>
        <v/>
      </c>
      <c r="AE121" s="27">
        <f>IF(E121="","",IFERROR(INDEX(tbl_Production[Total Expense],IFERROR(MATCH(E121&amp;"",tbl_Production[Job Number],0),MATCH(IFERROR(E121+0,E121),tbl_Production[Job Number],0))),IFERROR(INDEX(tbl_Consulting[Total Expense],IFERROR(MATCH(E121&amp;"",tbl_Consulting[Job Number],0),MATCH(IFERROR(E121+0,E121),tbl_Consulting[Job Number],0))),0)))</f>
        <v/>
      </c>
      <c r="AF121" s="27">
        <f>IF(E121="","",Z121-N(AE121))</f>
        <v/>
      </c>
      <c r="AG121" s="29">
        <f>IFERROR(AF121/Z121,"")</f>
        <v/>
      </c>
      <c r="AH121" s="25">
        <f>IF(E121="","",IFERROR(IF(INDEX(tbl_Onsite[Notes],IFERROR(MATCH(E121&amp;"",tbl_Onsite[Job Number],0),MATCH(IFERROR(E121+0,E121),tbl_Onsite[Job Number],0)))="","",INDEX(tbl_Onsite[Notes],IFERROR(MATCH(E121&amp;"",tbl_Onsite[Job Number],0),MATCH(IFERROR(E121+0,E121),tbl_Onsite[Job Number],0)))),IFERROR(IF(INDEX(tbl_Production[Notes],IFERROR(MATCH(E121&amp;"",tbl_Production[Job Number],0),MATCH(IFERROR(E121+0,E121),tbl_Production[Job Number],0)))="","",INDEX(tbl_Production[Notes],IFERROR(MATCH(E121&amp;"",tbl_Production[Job Number],0),MATCH(IFERROR(E121+0,E121),tbl_Production[Job Number],0)))),IFERROR(IF(INDEX(tbl_Consulting[Notes],IFERROR(MATCH(E121&amp;"",tbl_Consulting[Job Number],0),MATCH(IFERROR(E121+0,E121),tbl_Consulting[Job Number],0)))="","",INDEX(tbl_Consulting[Notes],IFERROR(MATCH(E121&amp;"",tbl_Consulting[Job Number],0),MATCH(IFERROR(E121+0,E121),tbl_Consulting[Job Number],0)))),""))))</f>
        <v/>
      </c>
    </row>
    <row r="122" ht="15" customHeight="1">
      <c r="A122" s="22" t="n"/>
      <c r="B122" s="23">
        <f>IF(A122="","",EOMONTH(A122,0))</f>
        <v/>
      </c>
      <c r="C122" s="24" t="n"/>
      <c r="D122" s="24" t="n"/>
      <c r="E122" s="24" t="n"/>
      <c r="F122" s="25">
        <f>IF(E122="","",IF(COUNTIF(lst_Jobs,E122&amp;"")&gt;0,"OK","CHECK"))</f>
        <v/>
      </c>
      <c r="G122" s="24" t="n"/>
      <c r="H122" s="24" t="n"/>
      <c r="I122" s="24" t="n"/>
      <c r="J122" s="24" t="n"/>
      <c r="K122" s="24" t="n"/>
      <c r="L122" s="26" t="n"/>
      <c r="M122" s="27">
        <f>IF(L122="","",IF(K122="GST 10%",ROUND(L122*set_GSTRate,2),0))</f>
        <v/>
      </c>
      <c r="N122" s="27">
        <f>IF(L122="","",L122+M122)</f>
        <v/>
      </c>
      <c r="O122" s="24" t="n"/>
      <c r="P122" s="24" t="n"/>
      <c r="Q122" s="24" t="n"/>
      <c r="R122" s="22" t="n"/>
      <c r="S122" s="22" t="n"/>
      <c r="T122" s="24" t="n"/>
      <c r="U122" s="24" t="n"/>
      <c r="V122" s="2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25">
        <f>IF(E122="","",IF(COUNTIF(tbl_Onsite[Job Number],E122&amp;"")&gt;0,"Onsite",IF(COUNTIF(tbl_Production[Job Number],E122&amp;"")&gt;0,"Production",IF(COUNTIF(tbl_Consulting[Job Number],E122&amp;"")&gt;0,"Consulting","not set up yet"))))</f>
        <v/>
      </c>
      <c r="X122" s="25">
        <f>IF(E122="","",IFERROR(INDEX(lst_JobName,MATCH(E122&amp;"",lst_Jobs,0)),""))</f>
        <v/>
      </c>
      <c r="Y122" s="28">
        <f>IF(E122="","",COUNTIFS(tbl_Finance[Job Number],E122&amp;"",tbl_Finance[Ex GST],"&lt;&gt;"))</f>
        <v/>
      </c>
      <c r="Z122" s="27">
        <f>IF(E122="","",SUMIFS(tbl_Finance[Ex GST],tbl_Finance[Job Number],E122&amp;""))</f>
        <v/>
      </c>
      <c r="AA122" s="27">
        <f>IF(E122="","",SUMIFS(tbl_Finance[Ex GST],tbl_Finance[Job Number],E122&amp;"",tbl_Finance[Xero Invoice No],"&lt;&gt;"))</f>
        <v/>
      </c>
      <c r="AB122" s="27">
        <f>IF(E122="","",Z122-AA122)</f>
        <v/>
      </c>
      <c r="AC122" s="25">
        <f>IF(E122="","",IFERROR(IF(INDEX(tbl_Onsite[Qwilr Quote],IFERROR(MATCH(E122&amp;"",tbl_Onsite[Job Number],0),MATCH(IFERROR(E122+0,E122),tbl_Onsite[Job Number],0)))="","",INDEX(tbl_Onsite[Qwilr Quote],IFERROR(MATCH(E122&amp;"",tbl_Onsite[Job Number],0),MATCH(IFERROR(E122+0,E122),tbl_Onsite[Job Number],0)))),IFERROR(IF(IF(INDEX(tbl_Production[Current RMS No],IFERROR(MATCH(E122&amp;"",tbl_Production[Job Number],0),MATCH(IFERROR(E122+0,E122),tbl_Production[Job Number],0)))="",INDEX(tbl_Production[Qwilr Quote],IFERROR(MATCH(E122&amp;"",tbl_Production[Job Number],0),MATCH(IFERROR(E122+0,E122),tbl_Production[Job Number],0))),INDEX(tbl_Production[Current RMS No],IFERROR(MATCH(E122&amp;"",tbl_Production[Job Number],0),MATCH(IFERROR(E122+0,E122),tbl_Production[Job Number],0))))="","",IF(INDEX(tbl_Production[Current RMS No],IFERROR(MATCH(E122&amp;"",tbl_Production[Job Number],0),MATCH(IFERROR(E122+0,E122),tbl_Production[Job Number],0)))="",INDEX(tbl_Production[Qwilr Quote],IFERROR(MATCH(E122&amp;"",tbl_Production[Job Number],0),MATCH(IFERROR(E122+0,E122),tbl_Production[Job Number],0))),INDEX(tbl_Production[Current RMS No],IFERROR(MATCH(E122&amp;"",tbl_Production[Job Number],0),MATCH(IFERROR(E122+0,E122),tbl_Production[Job Number],0))))),IFERROR(IF(INDEX(tbl_Consulting[Qwilr Quote],IFERROR(MATCH(E122&amp;"",tbl_Consulting[Job Number],0),MATCH(IFERROR(E122+0,E122),tbl_Consulting[Job Number],0)))="","",INDEX(tbl_Consulting[Qwilr Quote],IFERROR(MATCH(E122&amp;"",tbl_Consulting[Job Number],0),MATCH(IFERROR(E122+0,E122),tbl_Consulting[Job Number],0)))),""))))</f>
        <v/>
      </c>
      <c r="AD122" s="25">
        <f>IF(AC122="","",IF(AND(LEFT(AC122,4)&lt;&gt;"http",IF(H122="Production",set_RMSBase,set_QwilrBase)=""),"",HYPERLINK(IF(LEFT(AC122,4)="http",AC122,IF(H122="Production",set_RMSBase,set_QwilrBase)&amp;AC122),"Open")))</f>
        <v/>
      </c>
      <c r="AE122" s="27">
        <f>IF(E122="","",IFERROR(INDEX(tbl_Production[Total Expense],IFERROR(MATCH(E122&amp;"",tbl_Production[Job Number],0),MATCH(IFERROR(E122+0,E122),tbl_Production[Job Number],0))),IFERROR(INDEX(tbl_Consulting[Total Expense],IFERROR(MATCH(E122&amp;"",tbl_Consulting[Job Number],0),MATCH(IFERROR(E122+0,E122),tbl_Consulting[Job Number],0))),0)))</f>
        <v/>
      </c>
      <c r="AF122" s="27">
        <f>IF(E122="","",Z122-N(AE122))</f>
        <v/>
      </c>
      <c r="AG122" s="29">
        <f>IFERROR(AF122/Z122,"")</f>
        <v/>
      </c>
      <c r="AH122" s="25">
        <f>IF(E122="","",IFERROR(IF(INDEX(tbl_Onsite[Notes],IFERROR(MATCH(E122&amp;"",tbl_Onsite[Job Number],0),MATCH(IFERROR(E122+0,E122),tbl_Onsite[Job Number],0)))="","",INDEX(tbl_Onsite[Notes],IFERROR(MATCH(E122&amp;"",tbl_Onsite[Job Number],0),MATCH(IFERROR(E122+0,E122),tbl_Onsite[Job Number],0)))),IFERROR(IF(INDEX(tbl_Production[Notes],IFERROR(MATCH(E122&amp;"",tbl_Production[Job Number],0),MATCH(IFERROR(E122+0,E122),tbl_Production[Job Number],0)))="","",INDEX(tbl_Production[Notes],IFERROR(MATCH(E122&amp;"",tbl_Production[Job Number],0),MATCH(IFERROR(E122+0,E122),tbl_Production[Job Number],0)))),IFERROR(IF(INDEX(tbl_Consulting[Notes],IFERROR(MATCH(E122&amp;"",tbl_Consulting[Job Number],0),MATCH(IFERROR(E122+0,E122),tbl_Consulting[Job Number],0)))="","",INDEX(tbl_Consulting[Notes],IFERROR(MATCH(E122&amp;"",tbl_Consulting[Job Number],0),MATCH(IFERROR(E122+0,E122),tbl_Consulting[Job Number],0)))),""))))</f>
        <v/>
      </c>
    </row>
    <row r="123" ht="15" customHeight="1">
      <c r="A123" s="22" t="n"/>
      <c r="B123" s="23">
        <f>IF(A123="","",EOMONTH(A123,0))</f>
        <v/>
      </c>
      <c r="C123" s="24" t="n"/>
      <c r="D123" s="24" t="n"/>
      <c r="E123" s="24" t="n"/>
      <c r="F123" s="25">
        <f>IF(E123="","",IF(COUNTIF(lst_Jobs,E123&amp;"")&gt;0,"OK","CHECK"))</f>
        <v/>
      </c>
      <c r="G123" s="24" t="n"/>
      <c r="H123" s="24" t="n"/>
      <c r="I123" s="24" t="n"/>
      <c r="J123" s="24" t="n"/>
      <c r="K123" s="24" t="n"/>
      <c r="L123" s="26" t="n"/>
      <c r="M123" s="27">
        <f>IF(L123="","",IF(K123="GST 10%",ROUND(L123*set_GSTRate,2),0))</f>
        <v/>
      </c>
      <c r="N123" s="27">
        <f>IF(L123="","",L123+M123)</f>
        <v/>
      </c>
      <c r="O123" s="24" t="n"/>
      <c r="P123" s="24" t="n"/>
      <c r="Q123" s="24" t="n"/>
      <c r="R123" s="22" t="n"/>
      <c r="S123" s="22" t="n"/>
      <c r="T123" s="24" t="n"/>
      <c r="U123" s="24" t="n"/>
      <c r="V123" s="2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25">
        <f>IF(E123="","",IF(COUNTIF(tbl_Onsite[Job Number],E123&amp;"")&gt;0,"Onsite",IF(COUNTIF(tbl_Production[Job Number],E123&amp;"")&gt;0,"Production",IF(COUNTIF(tbl_Consulting[Job Number],E123&amp;"")&gt;0,"Consulting","not set up yet"))))</f>
        <v/>
      </c>
      <c r="X123" s="25">
        <f>IF(E123="","",IFERROR(INDEX(lst_JobName,MATCH(E123&amp;"",lst_Jobs,0)),""))</f>
        <v/>
      </c>
      <c r="Y123" s="28">
        <f>IF(E123="","",COUNTIFS(tbl_Finance[Job Number],E123&amp;"",tbl_Finance[Ex GST],"&lt;&gt;"))</f>
        <v/>
      </c>
      <c r="Z123" s="27">
        <f>IF(E123="","",SUMIFS(tbl_Finance[Ex GST],tbl_Finance[Job Number],E123&amp;""))</f>
        <v/>
      </c>
      <c r="AA123" s="27">
        <f>IF(E123="","",SUMIFS(tbl_Finance[Ex GST],tbl_Finance[Job Number],E123&amp;"",tbl_Finance[Xero Invoice No],"&lt;&gt;"))</f>
        <v/>
      </c>
      <c r="AB123" s="27">
        <f>IF(E123="","",Z123-AA123)</f>
        <v/>
      </c>
      <c r="AC123" s="25">
        <f>IF(E123="","",IFERROR(IF(INDEX(tbl_Onsite[Qwilr Quote],IFERROR(MATCH(E123&amp;"",tbl_Onsite[Job Number],0),MATCH(IFERROR(E123+0,E123),tbl_Onsite[Job Number],0)))="","",INDEX(tbl_Onsite[Qwilr Quote],IFERROR(MATCH(E123&amp;"",tbl_Onsite[Job Number],0),MATCH(IFERROR(E123+0,E123),tbl_Onsite[Job Number],0)))),IFERROR(IF(IF(INDEX(tbl_Production[Current RMS No],IFERROR(MATCH(E123&amp;"",tbl_Production[Job Number],0),MATCH(IFERROR(E123+0,E123),tbl_Production[Job Number],0)))="",INDEX(tbl_Production[Qwilr Quote],IFERROR(MATCH(E123&amp;"",tbl_Production[Job Number],0),MATCH(IFERROR(E123+0,E123),tbl_Production[Job Number],0))),INDEX(tbl_Production[Current RMS No],IFERROR(MATCH(E123&amp;"",tbl_Production[Job Number],0),MATCH(IFERROR(E123+0,E123),tbl_Production[Job Number],0))))="","",IF(INDEX(tbl_Production[Current RMS No],IFERROR(MATCH(E123&amp;"",tbl_Production[Job Number],0),MATCH(IFERROR(E123+0,E123),tbl_Production[Job Number],0)))="",INDEX(tbl_Production[Qwilr Quote],IFERROR(MATCH(E123&amp;"",tbl_Production[Job Number],0),MATCH(IFERROR(E123+0,E123),tbl_Production[Job Number],0))),INDEX(tbl_Production[Current RMS No],IFERROR(MATCH(E123&amp;"",tbl_Production[Job Number],0),MATCH(IFERROR(E123+0,E123),tbl_Production[Job Number],0))))),IFERROR(IF(INDEX(tbl_Consulting[Qwilr Quote],IFERROR(MATCH(E123&amp;"",tbl_Consulting[Job Number],0),MATCH(IFERROR(E123+0,E123),tbl_Consulting[Job Number],0)))="","",INDEX(tbl_Consulting[Qwilr Quote],IFERROR(MATCH(E123&amp;"",tbl_Consulting[Job Number],0),MATCH(IFERROR(E123+0,E123),tbl_Consulting[Job Number],0)))),""))))</f>
        <v/>
      </c>
      <c r="AD123" s="25">
        <f>IF(AC123="","",IF(AND(LEFT(AC123,4)&lt;&gt;"http",IF(H123="Production",set_RMSBase,set_QwilrBase)=""),"",HYPERLINK(IF(LEFT(AC123,4)="http",AC123,IF(H123="Production",set_RMSBase,set_QwilrBase)&amp;AC123),"Open")))</f>
        <v/>
      </c>
      <c r="AE123" s="27">
        <f>IF(E123="","",IFERROR(INDEX(tbl_Production[Total Expense],IFERROR(MATCH(E123&amp;"",tbl_Production[Job Number],0),MATCH(IFERROR(E123+0,E123),tbl_Production[Job Number],0))),IFERROR(INDEX(tbl_Consulting[Total Expense],IFERROR(MATCH(E123&amp;"",tbl_Consulting[Job Number],0),MATCH(IFERROR(E123+0,E123),tbl_Consulting[Job Number],0))),0)))</f>
        <v/>
      </c>
      <c r="AF123" s="27">
        <f>IF(E123="","",Z123-N(AE123))</f>
        <v/>
      </c>
      <c r="AG123" s="29">
        <f>IFERROR(AF123/Z123,"")</f>
        <v/>
      </c>
      <c r="AH123" s="25">
        <f>IF(E123="","",IFERROR(IF(INDEX(tbl_Onsite[Notes],IFERROR(MATCH(E123&amp;"",tbl_Onsite[Job Number],0),MATCH(IFERROR(E123+0,E123),tbl_Onsite[Job Number],0)))="","",INDEX(tbl_Onsite[Notes],IFERROR(MATCH(E123&amp;"",tbl_Onsite[Job Number],0),MATCH(IFERROR(E123+0,E123),tbl_Onsite[Job Number],0)))),IFERROR(IF(INDEX(tbl_Production[Notes],IFERROR(MATCH(E123&amp;"",tbl_Production[Job Number],0),MATCH(IFERROR(E123+0,E123),tbl_Production[Job Number],0)))="","",INDEX(tbl_Production[Notes],IFERROR(MATCH(E123&amp;"",tbl_Production[Job Number],0),MATCH(IFERROR(E123+0,E123),tbl_Production[Job Number],0)))),IFERROR(IF(INDEX(tbl_Consulting[Notes],IFERROR(MATCH(E123&amp;"",tbl_Consulting[Job Number],0),MATCH(IFERROR(E123+0,E123),tbl_Consulting[Job Number],0)))="","",INDEX(tbl_Consulting[Notes],IFERROR(MATCH(E123&amp;"",tbl_Consulting[Job Number],0),MATCH(IFERROR(E123+0,E123),tbl_Consulting[Job Number],0)))),""))))</f>
        <v/>
      </c>
    </row>
    <row r="124" ht="15" customHeight="1">
      <c r="A124" s="22" t="n"/>
      <c r="B124" s="23">
        <f>IF(A124="","",EOMONTH(A124,0))</f>
        <v/>
      </c>
      <c r="C124" s="24" t="n"/>
      <c r="D124" s="24" t="n"/>
      <c r="E124" s="24" t="n"/>
      <c r="F124" s="25">
        <f>IF(E124="","",IF(COUNTIF(lst_Jobs,E124&amp;"")&gt;0,"OK","CHECK"))</f>
        <v/>
      </c>
      <c r="G124" s="24" t="n"/>
      <c r="H124" s="24" t="n"/>
      <c r="I124" s="24" t="n"/>
      <c r="J124" s="24" t="n"/>
      <c r="K124" s="24" t="n"/>
      <c r="L124" s="26" t="n"/>
      <c r="M124" s="27">
        <f>IF(L124="","",IF(K124="GST 10%",ROUND(L124*set_GSTRate,2),0))</f>
        <v/>
      </c>
      <c r="N124" s="27">
        <f>IF(L124="","",L124+M124)</f>
        <v/>
      </c>
      <c r="O124" s="24" t="n"/>
      <c r="P124" s="24" t="n"/>
      <c r="Q124" s="24" t="n"/>
      <c r="R124" s="22" t="n"/>
      <c r="S124" s="22" t="n"/>
      <c r="T124" s="24" t="n"/>
      <c r="U124" s="24" t="n"/>
      <c r="V124" s="2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25">
        <f>IF(E124="","",IF(COUNTIF(tbl_Onsite[Job Number],E124&amp;"")&gt;0,"Onsite",IF(COUNTIF(tbl_Production[Job Number],E124&amp;"")&gt;0,"Production",IF(COUNTIF(tbl_Consulting[Job Number],E124&amp;"")&gt;0,"Consulting","not set up yet"))))</f>
        <v/>
      </c>
      <c r="X124" s="25">
        <f>IF(E124="","",IFERROR(INDEX(lst_JobName,MATCH(E124&amp;"",lst_Jobs,0)),""))</f>
        <v/>
      </c>
      <c r="Y124" s="28">
        <f>IF(E124="","",COUNTIFS(tbl_Finance[Job Number],E124&amp;"",tbl_Finance[Ex GST],"&lt;&gt;"))</f>
        <v/>
      </c>
      <c r="Z124" s="27">
        <f>IF(E124="","",SUMIFS(tbl_Finance[Ex GST],tbl_Finance[Job Number],E124&amp;""))</f>
        <v/>
      </c>
      <c r="AA124" s="27">
        <f>IF(E124="","",SUMIFS(tbl_Finance[Ex GST],tbl_Finance[Job Number],E124&amp;"",tbl_Finance[Xero Invoice No],"&lt;&gt;"))</f>
        <v/>
      </c>
      <c r="AB124" s="27">
        <f>IF(E124="","",Z124-AA124)</f>
        <v/>
      </c>
      <c r="AC124" s="25">
        <f>IF(E124="","",IFERROR(IF(INDEX(tbl_Onsite[Qwilr Quote],IFERROR(MATCH(E124&amp;"",tbl_Onsite[Job Number],0),MATCH(IFERROR(E124+0,E124),tbl_Onsite[Job Number],0)))="","",INDEX(tbl_Onsite[Qwilr Quote],IFERROR(MATCH(E124&amp;"",tbl_Onsite[Job Number],0),MATCH(IFERROR(E124+0,E124),tbl_Onsite[Job Number],0)))),IFERROR(IF(IF(INDEX(tbl_Production[Current RMS No],IFERROR(MATCH(E124&amp;"",tbl_Production[Job Number],0),MATCH(IFERROR(E124+0,E124),tbl_Production[Job Number],0)))="",INDEX(tbl_Production[Qwilr Quote],IFERROR(MATCH(E124&amp;"",tbl_Production[Job Number],0),MATCH(IFERROR(E124+0,E124),tbl_Production[Job Number],0))),INDEX(tbl_Production[Current RMS No],IFERROR(MATCH(E124&amp;"",tbl_Production[Job Number],0),MATCH(IFERROR(E124+0,E124),tbl_Production[Job Number],0))))="","",IF(INDEX(tbl_Production[Current RMS No],IFERROR(MATCH(E124&amp;"",tbl_Production[Job Number],0),MATCH(IFERROR(E124+0,E124),tbl_Production[Job Number],0)))="",INDEX(tbl_Production[Qwilr Quote],IFERROR(MATCH(E124&amp;"",tbl_Production[Job Number],0),MATCH(IFERROR(E124+0,E124),tbl_Production[Job Number],0))),INDEX(tbl_Production[Current RMS No],IFERROR(MATCH(E124&amp;"",tbl_Production[Job Number],0),MATCH(IFERROR(E124+0,E124),tbl_Production[Job Number],0))))),IFERROR(IF(INDEX(tbl_Consulting[Qwilr Quote],IFERROR(MATCH(E124&amp;"",tbl_Consulting[Job Number],0),MATCH(IFERROR(E124+0,E124),tbl_Consulting[Job Number],0)))="","",INDEX(tbl_Consulting[Qwilr Quote],IFERROR(MATCH(E124&amp;"",tbl_Consulting[Job Number],0),MATCH(IFERROR(E124+0,E124),tbl_Consulting[Job Number],0)))),""))))</f>
        <v/>
      </c>
      <c r="AD124" s="25">
        <f>IF(AC124="","",IF(AND(LEFT(AC124,4)&lt;&gt;"http",IF(H124="Production",set_RMSBase,set_QwilrBase)=""),"",HYPERLINK(IF(LEFT(AC124,4)="http",AC124,IF(H124="Production",set_RMSBase,set_QwilrBase)&amp;AC124),"Open")))</f>
        <v/>
      </c>
      <c r="AE124" s="27">
        <f>IF(E124="","",IFERROR(INDEX(tbl_Production[Total Expense],IFERROR(MATCH(E124&amp;"",tbl_Production[Job Number],0),MATCH(IFERROR(E124+0,E124),tbl_Production[Job Number],0))),IFERROR(INDEX(tbl_Consulting[Total Expense],IFERROR(MATCH(E124&amp;"",tbl_Consulting[Job Number],0),MATCH(IFERROR(E124+0,E124),tbl_Consulting[Job Number],0))),0)))</f>
        <v/>
      </c>
      <c r="AF124" s="27">
        <f>IF(E124="","",Z124-N(AE124))</f>
        <v/>
      </c>
      <c r="AG124" s="29">
        <f>IFERROR(AF124/Z124,"")</f>
        <v/>
      </c>
      <c r="AH124" s="25">
        <f>IF(E124="","",IFERROR(IF(INDEX(tbl_Onsite[Notes],IFERROR(MATCH(E124&amp;"",tbl_Onsite[Job Number],0),MATCH(IFERROR(E124+0,E124),tbl_Onsite[Job Number],0)))="","",INDEX(tbl_Onsite[Notes],IFERROR(MATCH(E124&amp;"",tbl_Onsite[Job Number],0),MATCH(IFERROR(E124+0,E124),tbl_Onsite[Job Number],0)))),IFERROR(IF(INDEX(tbl_Production[Notes],IFERROR(MATCH(E124&amp;"",tbl_Production[Job Number],0),MATCH(IFERROR(E124+0,E124),tbl_Production[Job Number],0)))="","",INDEX(tbl_Production[Notes],IFERROR(MATCH(E124&amp;"",tbl_Production[Job Number],0),MATCH(IFERROR(E124+0,E124),tbl_Production[Job Number],0)))),IFERROR(IF(INDEX(tbl_Consulting[Notes],IFERROR(MATCH(E124&amp;"",tbl_Consulting[Job Number],0),MATCH(IFERROR(E124+0,E124),tbl_Consulting[Job Number],0)))="","",INDEX(tbl_Consulting[Notes],IFERROR(MATCH(E124&amp;"",tbl_Consulting[Job Number],0),MATCH(IFERROR(E124+0,E124),tbl_Consulting[Job Number],0)))),""))))</f>
        <v/>
      </c>
    </row>
    <row r="125" ht="15" customHeight="1">
      <c r="A125" s="22" t="n"/>
      <c r="B125" s="23">
        <f>IF(A125="","",EOMONTH(A125,0))</f>
        <v/>
      </c>
      <c r="C125" s="24" t="n"/>
      <c r="D125" s="24" t="n"/>
      <c r="E125" s="24" t="n"/>
      <c r="F125" s="25">
        <f>IF(E125="","",IF(COUNTIF(lst_Jobs,E125&amp;"")&gt;0,"OK","CHECK"))</f>
        <v/>
      </c>
      <c r="G125" s="24" t="n"/>
      <c r="H125" s="24" t="n"/>
      <c r="I125" s="24" t="n"/>
      <c r="J125" s="24" t="n"/>
      <c r="K125" s="24" t="n"/>
      <c r="L125" s="26" t="n"/>
      <c r="M125" s="27">
        <f>IF(L125="","",IF(K125="GST 10%",ROUND(L125*set_GSTRate,2),0))</f>
        <v/>
      </c>
      <c r="N125" s="27">
        <f>IF(L125="","",L125+M125)</f>
        <v/>
      </c>
      <c r="O125" s="24" t="n"/>
      <c r="P125" s="24" t="n"/>
      <c r="Q125" s="24" t="n"/>
      <c r="R125" s="22" t="n"/>
      <c r="S125" s="22" t="n"/>
      <c r="T125" s="24" t="n"/>
      <c r="U125" s="24" t="n"/>
      <c r="V125" s="2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25">
        <f>IF(E125="","",IF(COUNTIF(tbl_Onsite[Job Number],E125&amp;"")&gt;0,"Onsite",IF(COUNTIF(tbl_Production[Job Number],E125&amp;"")&gt;0,"Production",IF(COUNTIF(tbl_Consulting[Job Number],E125&amp;"")&gt;0,"Consulting","not set up yet"))))</f>
        <v/>
      </c>
      <c r="X125" s="25">
        <f>IF(E125="","",IFERROR(INDEX(lst_JobName,MATCH(E125&amp;"",lst_Jobs,0)),""))</f>
        <v/>
      </c>
      <c r="Y125" s="28">
        <f>IF(E125="","",COUNTIFS(tbl_Finance[Job Number],E125&amp;"",tbl_Finance[Ex GST],"&lt;&gt;"))</f>
        <v/>
      </c>
      <c r="Z125" s="27">
        <f>IF(E125="","",SUMIFS(tbl_Finance[Ex GST],tbl_Finance[Job Number],E125&amp;""))</f>
        <v/>
      </c>
      <c r="AA125" s="27">
        <f>IF(E125="","",SUMIFS(tbl_Finance[Ex GST],tbl_Finance[Job Number],E125&amp;"",tbl_Finance[Xero Invoice No],"&lt;&gt;"))</f>
        <v/>
      </c>
      <c r="AB125" s="27">
        <f>IF(E125="","",Z125-AA125)</f>
        <v/>
      </c>
      <c r="AC125" s="25">
        <f>IF(E125="","",IFERROR(IF(INDEX(tbl_Onsite[Qwilr Quote],IFERROR(MATCH(E125&amp;"",tbl_Onsite[Job Number],0),MATCH(IFERROR(E125+0,E125),tbl_Onsite[Job Number],0)))="","",INDEX(tbl_Onsite[Qwilr Quote],IFERROR(MATCH(E125&amp;"",tbl_Onsite[Job Number],0),MATCH(IFERROR(E125+0,E125),tbl_Onsite[Job Number],0)))),IFERROR(IF(IF(INDEX(tbl_Production[Current RMS No],IFERROR(MATCH(E125&amp;"",tbl_Production[Job Number],0),MATCH(IFERROR(E125+0,E125),tbl_Production[Job Number],0)))="",INDEX(tbl_Production[Qwilr Quote],IFERROR(MATCH(E125&amp;"",tbl_Production[Job Number],0),MATCH(IFERROR(E125+0,E125),tbl_Production[Job Number],0))),INDEX(tbl_Production[Current RMS No],IFERROR(MATCH(E125&amp;"",tbl_Production[Job Number],0),MATCH(IFERROR(E125+0,E125),tbl_Production[Job Number],0))))="","",IF(INDEX(tbl_Production[Current RMS No],IFERROR(MATCH(E125&amp;"",tbl_Production[Job Number],0),MATCH(IFERROR(E125+0,E125),tbl_Production[Job Number],0)))="",INDEX(tbl_Production[Qwilr Quote],IFERROR(MATCH(E125&amp;"",tbl_Production[Job Number],0),MATCH(IFERROR(E125+0,E125),tbl_Production[Job Number],0))),INDEX(tbl_Production[Current RMS No],IFERROR(MATCH(E125&amp;"",tbl_Production[Job Number],0),MATCH(IFERROR(E125+0,E125),tbl_Production[Job Number],0))))),IFERROR(IF(INDEX(tbl_Consulting[Qwilr Quote],IFERROR(MATCH(E125&amp;"",tbl_Consulting[Job Number],0),MATCH(IFERROR(E125+0,E125),tbl_Consulting[Job Number],0)))="","",INDEX(tbl_Consulting[Qwilr Quote],IFERROR(MATCH(E125&amp;"",tbl_Consulting[Job Number],0),MATCH(IFERROR(E125+0,E125),tbl_Consulting[Job Number],0)))),""))))</f>
        <v/>
      </c>
      <c r="AD125" s="25">
        <f>IF(AC125="","",IF(AND(LEFT(AC125,4)&lt;&gt;"http",IF(H125="Production",set_RMSBase,set_QwilrBase)=""),"",HYPERLINK(IF(LEFT(AC125,4)="http",AC125,IF(H125="Production",set_RMSBase,set_QwilrBase)&amp;AC125),"Open")))</f>
        <v/>
      </c>
      <c r="AE125" s="27">
        <f>IF(E125="","",IFERROR(INDEX(tbl_Production[Total Expense],IFERROR(MATCH(E125&amp;"",tbl_Production[Job Number],0),MATCH(IFERROR(E125+0,E125),tbl_Production[Job Number],0))),IFERROR(INDEX(tbl_Consulting[Total Expense],IFERROR(MATCH(E125&amp;"",tbl_Consulting[Job Number],0),MATCH(IFERROR(E125+0,E125),tbl_Consulting[Job Number],0))),0)))</f>
        <v/>
      </c>
      <c r="AF125" s="27">
        <f>IF(E125="","",Z125-N(AE125))</f>
        <v/>
      </c>
      <c r="AG125" s="29">
        <f>IFERROR(AF125/Z125,"")</f>
        <v/>
      </c>
      <c r="AH125" s="25">
        <f>IF(E125="","",IFERROR(IF(INDEX(tbl_Onsite[Notes],IFERROR(MATCH(E125&amp;"",tbl_Onsite[Job Number],0),MATCH(IFERROR(E125+0,E125),tbl_Onsite[Job Number],0)))="","",INDEX(tbl_Onsite[Notes],IFERROR(MATCH(E125&amp;"",tbl_Onsite[Job Number],0),MATCH(IFERROR(E125+0,E125),tbl_Onsite[Job Number],0)))),IFERROR(IF(INDEX(tbl_Production[Notes],IFERROR(MATCH(E125&amp;"",tbl_Production[Job Number],0),MATCH(IFERROR(E125+0,E125),tbl_Production[Job Number],0)))="","",INDEX(tbl_Production[Notes],IFERROR(MATCH(E125&amp;"",tbl_Production[Job Number],0),MATCH(IFERROR(E125+0,E125),tbl_Production[Job Number],0)))),IFERROR(IF(INDEX(tbl_Consulting[Notes],IFERROR(MATCH(E125&amp;"",tbl_Consulting[Job Number],0),MATCH(IFERROR(E125+0,E125),tbl_Consulting[Job Number],0)))="","",INDEX(tbl_Consulting[Notes],IFERROR(MATCH(E125&amp;"",tbl_Consulting[Job Number],0),MATCH(IFERROR(E125+0,E125),tbl_Consulting[Job Number],0)))),""))))</f>
        <v/>
      </c>
    </row>
    <row r="126" ht="15" customHeight="1">
      <c r="A126" s="22" t="n"/>
      <c r="B126" s="23">
        <f>IF(A126="","",EOMONTH(A126,0))</f>
        <v/>
      </c>
      <c r="C126" s="24" t="n"/>
      <c r="D126" s="24" t="n"/>
      <c r="E126" s="24" t="n"/>
      <c r="F126" s="25">
        <f>IF(E126="","",IF(COUNTIF(lst_Jobs,E126&amp;"")&gt;0,"OK","CHECK"))</f>
        <v/>
      </c>
      <c r="G126" s="24" t="n"/>
      <c r="H126" s="24" t="n"/>
      <c r="I126" s="24" t="n"/>
      <c r="J126" s="24" t="n"/>
      <c r="K126" s="24" t="n"/>
      <c r="L126" s="26" t="n"/>
      <c r="M126" s="27">
        <f>IF(L126="","",IF(K126="GST 10%",ROUND(L126*set_GSTRate,2),0))</f>
        <v/>
      </c>
      <c r="N126" s="27">
        <f>IF(L126="","",L126+M126)</f>
        <v/>
      </c>
      <c r="O126" s="24" t="n"/>
      <c r="P126" s="24" t="n"/>
      <c r="Q126" s="24" t="n"/>
      <c r="R126" s="22" t="n"/>
      <c r="S126" s="22" t="n"/>
      <c r="T126" s="24" t="n"/>
      <c r="U126" s="24" t="n"/>
      <c r="V126" s="2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25">
        <f>IF(E126="","",IF(COUNTIF(tbl_Onsite[Job Number],E126&amp;"")&gt;0,"Onsite",IF(COUNTIF(tbl_Production[Job Number],E126&amp;"")&gt;0,"Production",IF(COUNTIF(tbl_Consulting[Job Number],E126&amp;"")&gt;0,"Consulting","not set up yet"))))</f>
        <v/>
      </c>
      <c r="X126" s="25">
        <f>IF(E126="","",IFERROR(INDEX(lst_JobName,MATCH(E126&amp;"",lst_Jobs,0)),""))</f>
        <v/>
      </c>
      <c r="Y126" s="28">
        <f>IF(E126="","",COUNTIFS(tbl_Finance[Job Number],E126&amp;"",tbl_Finance[Ex GST],"&lt;&gt;"))</f>
        <v/>
      </c>
      <c r="Z126" s="27">
        <f>IF(E126="","",SUMIFS(tbl_Finance[Ex GST],tbl_Finance[Job Number],E126&amp;""))</f>
        <v/>
      </c>
      <c r="AA126" s="27">
        <f>IF(E126="","",SUMIFS(tbl_Finance[Ex GST],tbl_Finance[Job Number],E126&amp;"",tbl_Finance[Xero Invoice No],"&lt;&gt;"))</f>
        <v/>
      </c>
      <c r="AB126" s="27">
        <f>IF(E126="","",Z126-AA126)</f>
        <v/>
      </c>
      <c r="AC126" s="25">
        <f>IF(E126="","",IFERROR(IF(INDEX(tbl_Onsite[Qwilr Quote],IFERROR(MATCH(E126&amp;"",tbl_Onsite[Job Number],0),MATCH(IFERROR(E126+0,E126),tbl_Onsite[Job Number],0)))="","",INDEX(tbl_Onsite[Qwilr Quote],IFERROR(MATCH(E126&amp;"",tbl_Onsite[Job Number],0),MATCH(IFERROR(E126+0,E126),tbl_Onsite[Job Number],0)))),IFERROR(IF(IF(INDEX(tbl_Production[Current RMS No],IFERROR(MATCH(E126&amp;"",tbl_Production[Job Number],0),MATCH(IFERROR(E126+0,E126),tbl_Production[Job Number],0)))="",INDEX(tbl_Production[Qwilr Quote],IFERROR(MATCH(E126&amp;"",tbl_Production[Job Number],0),MATCH(IFERROR(E126+0,E126),tbl_Production[Job Number],0))),INDEX(tbl_Production[Current RMS No],IFERROR(MATCH(E126&amp;"",tbl_Production[Job Number],0),MATCH(IFERROR(E126+0,E126),tbl_Production[Job Number],0))))="","",IF(INDEX(tbl_Production[Current RMS No],IFERROR(MATCH(E126&amp;"",tbl_Production[Job Number],0),MATCH(IFERROR(E126+0,E126),tbl_Production[Job Number],0)))="",INDEX(tbl_Production[Qwilr Quote],IFERROR(MATCH(E126&amp;"",tbl_Production[Job Number],0),MATCH(IFERROR(E126+0,E126),tbl_Production[Job Number],0))),INDEX(tbl_Production[Current RMS No],IFERROR(MATCH(E126&amp;"",tbl_Production[Job Number],0),MATCH(IFERROR(E126+0,E126),tbl_Production[Job Number],0))))),IFERROR(IF(INDEX(tbl_Consulting[Qwilr Quote],IFERROR(MATCH(E126&amp;"",tbl_Consulting[Job Number],0),MATCH(IFERROR(E126+0,E126),tbl_Consulting[Job Number],0)))="","",INDEX(tbl_Consulting[Qwilr Quote],IFERROR(MATCH(E126&amp;"",tbl_Consulting[Job Number],0),MATCH(IFERROR(E126+0,E126),tbl_Consulting[Job Number],0)))),""))))</f>
        <v/>
      </c>
      <c r="AD126" s="25">
        <f>IF(AC126="","",IF(AND(LEFT(AC126,4)&lt;&gt;"http",IF(H126="Production",set_RMSBase,set_QwilrBase)=""),"",HYPERLINK(IF(LEFT(AC126,4)="http",AC126,IF(H126="Production",set_RMSBase,set_QwilrBase)&amp;AC126),"Open")))</f>
        <v/>
      </c>
      <c r="AE126" s="27">
        <f>IF(E126="","",IFERROR(INDEX(tbl_Production[Total Expense],IFERROR(MATCH(E126&amp;"",tbl_Production[Job Number],0),MATCH(IFERROR(E126+0,E126),tbl_Production[Job Number],0))),IFERROR(INDEX(tbl_Consulting[Total Expense],IFERROR(MATCH(E126&amp;"",tbl_Consulting[Job Number],0),MATCH(IFERROR(E126+0,E126),tbl_Consulting[Job Number],0))),0)))</f>
        <v/>
      </c>
      <c r="AF126" s="27">
        <f>IF(E126="","",Z126-N(AE126))</f>
        <v/>
      </c>
      <c r="AG126" s="29">
        <f>IFERROR(AF126/Z126,"")</f>
        <v/>
      </c>
      <c r="AH126" s="25">
        <f>IF(E126="","",IFERROR(IF(INDEX(tbl_Onsite[Notes],IFERROR(MATCH(E126&amp;"",tbl_Onsite[Job Number],0),MATCH(IFERROR(E126+0,E126),tbl_Onsite[Job Number],0)))="","",INDEX(tbl_Onsite[Notes],IFERROR(MATCH(E126&amp;"",tbl_Onsite[Job Number],0),MATCH(IFERROR(E126+0,E126),tbl_Onsite[Job Number],0)))),IFERROR(IF(INDEX(tbl_Production[Notes],IFERROR(MATCH(E126&amp;"",tbl_Production[Job Number],0),MATCH(IFERROR(E126+0,E126),tbl_Production[Job Number],0)))="","",INDEX(tbl_Production[Notes],IFERROR(MATCH(E126&amp;"",tbl_Production[Job Number],0),MATCH(IFERROR(E126+0,E126),tbl_Production[Job Number],0)))),IFERROR(IF(INDEX(tbl_Consulting[Notes],IFERROR(MATCH(E126&amp;"",tbl_Consulting[Job Number],0),MATCH(IFERROR(E126+0,E126),tbl_Consulting[Job Number],0)))="","",INDEX(tbl_Consulting[Notes],IFERROR(MATCH(E126&amp;"",tbl_Consulting[Job Number],0),MATCH(IFERROR(E126+0,E126),tbl_Consulting[Job Number],0)))),""))))</f>
        <v/>
      </c>
    </row>
    <row r="127" ht="15" customHeight="1">
      <c r="A127" s="22" t="n"/>
      <c r="B127" s="23">
        <f>IF(A127="","",EOMONTH(A127,0))</f>
        <v/>
      </c>
      <c r="C127" s="24" t="n"/>
      <c r="D127" s="24" t="n"/>
      <c r="E127" s="24" t="n"/>
      <c r="F127" s="25">
        <f>IF(E127="","",IF(COUNTIF(lst_Jobs,E127&amp;"")&gt;0,"OK","CHECK"))</f>
        <v/>
      </c>
      <c r="G127" s="24" t="n"/>
      <c r="H127" s="24" t="n"/>
      <c r="I127" s="24" t="n"/>
      <c r="J127" s="24" t="n"/>
      <c r="K127" s="24" t="n"/>
      <c r="L127" s="26" t="n"/>
      <c r="M127" s="27">
        <f>IF(L127="","",IF(K127="GST 10%",ROUND(L127*set_GSTRate,2),0))</f>
        <v/>
      </c>
      <c r="N127" s="27">
        <f>IF(L127="","",L127+M127)</f>
        <v/>
      </c>
      <c r="O127" s="24" t="n"/>
      <c r="P127" s="24" t="n"/>
      <c r="Q127" s="24" t="n"/>
      <c r="R127" s="22" t="n"/>
      <c r="S127" s="22" t="n"/>
      <c r="T127" s="24" t="n"/>
      <c r="U127" s="24" t="n"/>
      <c r="V127" s="2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25">
        <f>IF(E127="","",IF(COUNTIF(tbl_Onsite[Job Number],E127&amp;"")&gt;0,"Onsite",IF(COUNTIF(tbl_Production[Job Number],E127&amp;"")&gt;0,"Production",IF(COUNTIF(tbl_Consulting[Job Number],E127&amp;"")&gt;0,"Consulting","not set up yet"))))</f>
        <v/>
      </c>
      <c r="X127" s="25">
        <f>IF(E127="","",IFERROR(INDEX(lst_JobName,MATCH(E127&amp;"",lst_Jobs,0)),""))</f>
        <v/>
      </c>
      <c r="Y127" s="28">
        <f>IF(E127="","",COUNTIFS(tbl_Finance[Job Number],E127&amp;"",tbl_Finance[Ex GST],"&lt;&gt;"))</f>
        <v/>
      </c>
      <c r="Z127" s="27">
        <f>IF(E127="","",SUMIFS(tbl_Finance[Ex GST],tbl_Finance[Job Number],E127&amp;""))</f>
        <v/>
      </c>
      <c r="AA127" s="27">
        <f>IF(E127="","",SUMIFS(tbl_Finance[Ex GST],tbl_Finance[Job Number],E127&amp;"",tbl_Finance[Xero Invoice No],"&lt;&gt;"))</f>
        <v/>
      </c>
      <c r="AB127" s="27">
        <f>IF(E127="","",Z127-AA127)</f>
        <v/>
      </c>
      <c r="AC127" s="25">
        <f>IF(E127="","",IFERROR(IF(INDEX(tbl_Onsite[Qwilr Quote],IFERROR(MATCH(E127&amp;"",tbl_Onsite[Job Number],0),MATCH(IFERROR(E127+0,E127),tbl_Onsite[Job Number],0)))="","",INDEX(tbl_Onsite[Qwilr Quote],IFERROR(MATCH(E127&amp;"",tbl_Onsite[Job Number],0),MATCH(IFERROR(E127+0,E127),tbl_Onsite[Job Number],0)))),IFERROR(IF(IF(INDEX(tbl_Production[Current RMS No],IFERROR(MATCH(E127&amp;"",tbl_Production[Job Number],0),MATCH(IFERROR(E127+0,E127),tbl_Production[Job Number],0)))="",INDEX(tbl_Production[Qwilr Quote],IFERROR(MATCH(E127&amp;"",tbl_Production[Job Number],0),MATCH(IFERROR(E127+0,E127),tbl_Production[Job Number],0))),INDEX(tbl_Production[Current RMS No],IFERROR(MATCH(E127&amp;"",tbl_Production[Job Number],0),MATCH(IFERROR(E127+0,E127),tbl_Production[Job Number],0))))="","",IF(INDEX(tbl_Production[Current RMS No],IFERROR(MATCH(E127&amp;"",tbl_Production[Job Number],0),MATCH(IFERROR(E127+0,E127),tbl_Production[Job Number],0)))="",INDEX(tbl_Production[Qwilr Quote],IFERROR(MATCH(E127&amp;"",tbl_Production[Job Number],0),MATCH(IFERROR(E127+0,E127),tbl_Production[Job Number],0))),INDEX(tbl_Production[Current RMS No],IFERROR(MATCH(E127&amp;"",tbl_Production[Job Number],0),MATCH(IFERROR(E127+0,E127),tbl_Production[Job Number],0))))),IFERROR(IF(INDEX(tbl_Consulting[Qwilr Quote],IFERROR(MATCH(E127&amp;"",tbl_Consulting[Job Number],0),MATCH(IFERROR(E127+0,E127),tbl_Consulting[Job Number],0)))="","",INDEX(tbl_Consulting[Qwilr Quote],IFERROR(MATCH(E127&amp;"",tbl_Consulting[Job Number],0),MATCH(IFERROR(E127+0,E127),tbl_Consulting[Job Number],0)))),""))))</f>
        <v/>
      </c>
      <c r="AD127" s="25">
        <f>IF(AC127="","",IF(AND(LEFT(AC127,4)&lt;&gt;"http",IF(H127="Production",set_RMSBase,set_QwilrBase)=""),"",HYPERLINK(IF(LEFT(AC127,4)="http",AC127,IF(H127="Production",set_RMSBase,set_QwilrBase)&amp;AC127),"Open")))</f>
        <v/>
      </c>
      <c r="AE127" s="27">
        <f>IF(E127="","",IFERROR(INDEX(tbl_Production[Total Expense],IFERROR(MATCH(E127&amp;"",tbl_Production[Job Number],0),MATCH(IFERROR(E127+0,E127),tbl_Production[Job Number],0))),IFERROR(INDEX(tbl_Consulting[Total Expense],IFERROR(MATCH(E127&amp;"",tbl_Consulting[Job Number],0),MATCH(IFERROR(E127+0,E127),tbl_Consulting[Job Number],0))),0)))</f>
        <v/>
      </c>
      <c r="AF127" s="27">
        <f>IF(E127="","",Z127-N(AE127))</f>
        <v/>
      </c>
      <c r="AG127" s="29">
        <f>IFERROR(AF127/Z127,"")</f>
        <v/>
      </c>
      <c r="AH127" s="25">
        <f>IF(E127="","",IFERROR(IF(INDEX(tbl_Onsite[Notes],IFERROR(MATCH(E127&amp;"",tbl_Onsite[Job Number],0),MATCH(IFERROR(E127+0,E127),tbl_Onsite[Job Number],0)))="","",INDEX(tbl_Onsite[Notes],IFERROR(MATCH(E127&amp;"",tbl_Onsite[Job Number],0),MATCH(IFERROR(E127+0,E127),tbl_Onsite[Job Number],0)))),IFERROR(IF(INDEX(tbl_Production[Notes],IFERROR(MATCH(E127&amp;"",tbl_Production[Job Number],0),MATCH(IFERROR(E127+0,E127),tbl_Production[Job Number],0)))="","",INDEX(tbl_Production[Notes],IFERROR(MATCH(E127&amp;"",tbl_Production[Job Number],0),MATCH(IFERROR(E127+0,E127),tbl_Production[Job Number],0)))),IFERROR(IF(INDEX(tbl_Consulting[Notes],IFERROR(MATCH(E127&amp;"",tbl_Consulting[Job Number],0),MATCH(IFERROR(E127+0,E127),tbl_Consulting[Job Number],0)))="","",INDEX(tbl_Consulting[Notes],IFERROR(MATCH(E127&amp;"",tbl_Consulting[Job Number],0),MATCH(IFERROR(E127+0,E127),tbl_Consulting[Job Number],0)))),""))))</f>
        <v/>
      </c>
    </row>
    <row r="128" ht="15" customHeight="1">
      <c r="A128" s="22" t="n"/>
      <c r="B128" s="23">
        <f>IF(A128="","",EOMONTH(A128,0))</f>
        <v/>
      </c>
      <c r="C128" s="24" t="n"/>
      <c r="D128" s="24" t="n"/>
      <c r="E128" s="24" t="n"/>
      <c r="F128" s="25">
        <f>IF(E128="","",IF(COUNTIF(lst_Jobs,E128&amp;"")&gt;0,"OK","CHECK"))</f>
        <v/>
      </c>
      <c r="G128" s="24" t="n"/>
      <c r="H128" s="24" t="n"/>
      <c r="I128" s="24" t="n"/>
      <c r="J128" s="24" t="n"/>
      <c r="K128" s="24" t="n"/>
      <c r="L128" s="26" t="n"/>
      <c r="M128" s="27">
        <f>IF(L128="","",IF(K128="GST 10%",ROUND(L128*set_GSTRate,2),0))</f>
        <v/>
      </c>
      <c r="N128" s="27">
        <f>IF(L128="","",L128+M128)</f>
        <v/>
      </c>
      <c r="O128" s="24" t="n"/>
      <c r="P128" s="24" t="n"/>
      <c r="Q128" s="24" t="n"/>
      <c r="R128" s="22" t="n"/>
      <c r="S128" s="22" t="n"/>
      <c r="T128" s="24" t="n"/>
      <c r="U128" s="24" t="n"/>
      <c r="V128" s="2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25">
        <f>IF(E128="","",IF(COUNTIF(tbl_Onsite[Job Number],E128&amp;"")&gt;0,"Onsite",IF(COUNTIF(tbl_Production[Job Number],E128&amp;"")&gt;0,"Production",IF(COUNTIF(tbl_Consulting[Job Number],E128&amp;"")&gt;0,"Consulting","not set up yet"))))</f>
        <v/>
      </c>
      <c r="X128" s="25">
        <f>IF(E128="","",IFERROR(INDEX(lst_JobName,MATCH(E128&amp;"",lst_Jobs,0)),""))</f>
        <v/>
      </c>
      <c r="Y128" s="28">
        <f>IF(E128="","",COUNTIFS(tbl_Finance[Job Number],E128&amp;"",tbl_Finance[Ex GST],"&lt;&gt;"))</f>
        <v/>
      </c>
      <c r="Z128" s="27">
        <f>IF(E128="","",SUMIFS(tbl_Finance[Ex GST],tbl_Finance[Job Number],E128&amp;""))</f>
        <v/>
      </c>
      <c r="AA128" s="27">
        <f>IF(E128="","",SUMIFS(tbl_Finance[Ex GST],tbl_Finance[Job Number],E128&amp;"",tbl_Finance[Xero Invoice No],"&lt;&gt;"))</f>
        <v/>
      </c>
      <c r="AB128" s="27">
        <f>IF(E128="","",Z128-AA128)</f>
        <v/>
      </c>
      <c r="AC128" s="25">
        <f>IF(E128="","",IFERROR(IF(INDEX(tbl_Onsite[Qwilr Quote],IFERROR(MATCH(E128&amp;"",tbl_Onsite[Job Number],0),MATCH(IFERROR(E128+0,E128),tbl_Onsite[Job Number],0)))="","",INDEX(tbl_Onsite[Qwilr Quote],IFERROR(MATCH(E128&amp;"",tbl_Onsite[Job Number],0),MATCH(IFERROR(E128+0,E128),tbl_Onsite[Job Number],0)))),IFERROR(IF(IF(INDEX(tbl_Production[Current RMS No],IFERROR(MATCH(E128&amp;"",tbl_Production[Job Number],0),MATCH(IFERROR(E128+0,E128),tbl_Production[Job Number],0)))="",INDEX(tbl_Production[Qwilr Quote],IFERROR(MATCH(E128&amp;"",tbl_Production[Job Number],0),MATCH(IFERROR(E128+0,E128),tbl_Production[Job Number],0))),INDEX(tbl_Production[Current RMS No],IFERROR(MATCH(E128&amp;"",tbl_Production[Job Number],0),MATCH(IFERROR(E128+0,E128),tbl_Production[Job Number],0))))="","",IF(INDEX(tbl_Production[Current RMS No],IFERROR(MATCH(E128&amp;"",tbl_Production[Job Number],0),MATCH(IFERROR(E128+0,E128),tbl_Production[Job Number],0)))="",INDEX(tbl_Production[Qwilr Quote],IFERROR(MATCH(E128&amp;"",tbl_Production[Job Number],0),MATCH(IFERROR(E128+0,E128),tbl_Production[Job Number],0))),INDEX(tbl_Production[Current RMS No],IFERROR(MATCH(E128&amp;"",tbl_Production[Job Number],0),MATCH(IFERROR(E128+0,E128),tbl_Production[Job Number],0))))),IFERROR(IF(INDEX(tbl_Consulting[Qwilr Quote],IFERROR(MATCH(E128&amp;"",tbl_Consulting[Job Number],0),MATCH(IFERROR(E128+0,E128),tbl_Consulting[Job Number],0)))="","",INDEX(tbl_Consulting[Qwilr Quote],IFERROR(MATCH(E128&amp;"",tbl_Consulting[Job Number],0),MATCH(IFERROR(E128+0,E128),tbl_Consulting[Job Number],0)))),""))))</f>
        <v/>
      </c>
      <c r="AD128" s="25">
        <f>IF(AC128="","",IF(AND(LEFT(AC128,4)&lt;&gt;"http",IF(H128="Production",set_RMSBase,set_QwilrBase)=""),"",HYPERLINK(IF(LEFT(AC128,4)="http",AC128,IF(H128="Production",set_RMSBase,set_QwilrBase)&amp;AC128),"Open")))</f>
        <v/>
      </c>
      <c r="AE128" s="27">
        <f>IF(E128="","",IFERROR(INDEX(tbl_Production[Total Expense],IFERROR(MATCH(E128&amp;"",tbl_Production[Job Number],0),MATCH(IFERROR(E128+0,E128),tbl_Production[Job Number],0))),IFERROR(INDEX(tbl_Consulting[Total Expense],IFERROR(MATCH(E128&amp;"",tbl_Consulting[Job Number],0),MATCH(IFERROR(E128+0,E128),tbl_Consulting[Job Number],0))),0)))</f>
        <v/>
      </c>
      <c r="AF128" s="27">
        <f>IF(E128="","",Z128-N(AE128))</f>
        <v/>
      </c>
      <c r="AG128" s="29">
        <f>IFERROR(AF128/Z128,"")</f>
        <v/>
      </c>
      <c r="AH128" s="25">
        <f>IF(E128="","",IFERROR(IF(INDEX(tbl_Onsite[Notes],IFERROR(MATCH(E128&amp;"",tbl_Onsite[Job Number],0),MATCH(IFERROR(E128+0,E128),tbl_Onsite[Job Number],0)))="","",INDEX(tbl_Onsite[Notes],IFERROR(MATCH(E128&amp;"",tbl_Onsite[Job Number],0),MATCH(IFERROR(E128+0,E128),tbl_Onsite[Job Number],0)))),IFERROR(IF(INDEX(tbl_Production[Notes],IFERROR(MATCH(E128&amp;"",tbl_Production[Job Number],0),MATCH(IFERROR(E128+0,E128),tbl_Production[Job Number],0)))="","",INDEX(tbl_Production[Notes],IFERROR(MATCH(E128&amp;"",tbl_Production[Job Number],0),MATCH(IFERROR(E128+0,E128),tbl_Production[Job Number],0)))),IFERROR(IF(INDEX(tbl_Consulting[Notes],IFERROR(MATCH(E128&amp;"",tbl_Consulting[Job Number],0),MATCH(IFERROR(E128+0,E128),tbl_Consulting[Job Number],0)))="","",INDEX(tbl_Consulting[Notes],IFERROR(MATCH(E128&amp;"",tbl_Consulting[Job Number],0),MATCH(IFERROR(E128+0,E128),tbl_Consulting[Job Number],0)))),""))))</f>
        <v/>
      </c>
    </row>
    <row r="129" ht="15" customHeight="1">
      <c r="A129" s="22" t="n"/>
      <c r="B129" s="23">
        <f>IF(A129="","",EOMONTH(A129,0))</f>
        <v/>
      </c>
      <c r="C129" s="24" t="n"/>
      <c r="D129" s="24" t="n"/>
      <c r="E129" s="24" t="n"/>
      <c r="F129" s="25">
        <f>IF(E129="","",IF(COUNTIF(lst_Jobs,E129&amp;"")&gt;0,"OK","CHECK"))</f>
        <v/>
      </c>
      <c r="G129" s="24" t="n"/>
      <c r="H129" s="24" t="n"/>
      <c r="I129" s="24" t="n"/>
      <c r="J129" s="24" t="n"/>
      <c r="K129" s="24" t="n"/>
      <c r="L129" s="26" t="n"/>
      <c r="M129" s="27">
        <f>IF(L129="","",IF(K129="GST 10%",ROUND(L129*set_GSTRate,2),0))</f>
        <v/>
      </c>
      <c r="N129" s="27">
        <f>IF(L129="","",L129+M129)</f>
        <v/>
      </c>
      <c r="O129" s="24" t="n"/>
      <c r="P129" s="24" t="n"/>
      <c r="Q129" s="24" t="n"/>
      <c r="R129" s="22" t="n"/>
      <c r="S129" s="22" t="n"/>
      <c r="T129" s="24" t="n"/>
      <c r="U129" s="24" t="n"/>
      <c r="V129" s="2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25">
        <f>IF(E129="","",IF(COUNTIF(tbl_Onsite[Job Number],E129&amp;"")&gt;0,"Onsite",IF(COUNTIF(tbl_Production[Job Number],E129&amp;"")&gt;0,"Production",IF(COUNTIF(tbl_Consulting[Job Number],E129&amp;"")&gt;0,"Consulting","not set up yet"))))</f>
        <v/>
      </c>
      <c r="X129" s="25">
        <f>IF(E129="","",IFERROR(INDEX(lst_JobName,MATCH(E129&amp;"",lst_Jobs,0)),""))</f>
        <v/>
      </c>
      <c r="Y129" s="28">
        <f>IF(E129="","",COUNTIFS(tbl_Finance[Job Number],E129&amp;"",tbl_Finance[Ex GST],"&lt;&gt;"))</f>
        <v/>
      </c>
      <c r="Z129" s="27">
        <f>IF(E129="","",SUMIFS(tbl_Finance[Ex GST],tbl_Finance[Job Number],E129&amp;""))</f>
        <v/>
      </c>
      <c r="AA129" s="27">
        <f>IF(E129="","",SUMIFS(tbl_Finance[Ex GST],tbl_Finance[Job Number],E129&amp;"",tbl_Finance[Xero Invoice No],"&lt;&gt;"))</f>
        <v/>
      </c>
      <c r="AB129" s="27">
        <f>IF(E129="","",Z129-AA129)</f>
        <v/>
      </c>
      <c r="AC129" s="25">
        <f>IF(E129="","",IFERROR(IF(INDEX(tbl_Onsite[Qwilr Quote],IFERROR(MATCH(E129&amp;"",tbl_Onsite[Job Number],0),MATCH(IFERROR(E129+0,E129),tbl_Onsite[Job Number],0)))="","",INDEX(tbl_Onsite[Qwilr Quote],IFERROR(MATCH(E129&amp;"",tbl_Onsite[Job Number],0),MATCH(IFERROR(E129+0,E129),tbl_Onsite[Job Number],0)))),IFERROR(IF(IF(INDEX(tbl_Production[Current RMS No],IFERROR(MATCH(E129&amp;"",tbl_Production[Job Number],0),MATCH(IFERROR(E129+0,E129),tbl_Production[Job Number],0)))="",INDEX(tbl_Production[Qwilr Quote],IFERROR(MATCH(E129&amp;"",tbl_Production[Job Number],0),MATCH(IFERROR(E129+0,E129),tbl_Production[Job Number],0))),INDEX(tbl_Production[Current RMS No],IFERROR(MATCH(E129&amp;"",tbl_Production[Job Number],0),MATCH(IFERROR(E129+0,E129),tbl_Production[Job Number],0))))="","",IF(INDEX(tbl_Production[Current RMS No],IFERROR(MATCH(E129&amp;"",tbl_Production[Job Number],0),MATCH(IFERROR(E129+0,E129),tbl_Production[Job Number],0)))="",INDEX(tbl_Production[Qwilr Quote],IFERROR(MATCH(E129&amp;"",tbl_Production[Job Number],0),MATCH(IFERROR(E129+0,E129),tbl_Production[Job Number],0))),INDEX(tbl_Production[Current RMS No],IFERROR(MATCH(E129&amp;"",tbl_Production[Job Number],0),MATCH(IFERROR(E129+0,E129),tbl_Production[Job Number],0))))),IFERROR(IF(INDEX(tbl_Consulting[Qwilr Quote],IFERROR(MATCH(E129&amp;"",tbl_Consulting[Job Number],0),MATCH(IFERROR(E129+0,E129),tbl_Consulting[Job Number],0)))="","",INDEX(tbl_Consulting[Qwilr Quote],IFERROR(MATCH(E129&amp;"",tbl_Consulting[Job Number],0),MATCH(IFERROR(E129+0,E129),tbl_Consulting[Job Number],0)))),""))))</f>
        <v/>
      </c>
      <c r="AD129" s="25">
        <f>IF(AC129="","",IF(AND(LEFT(AC129,4)&lt;&gt;"http",IF(H129="Production",set_RMSBase,set_QwilrBase)=""),"",HYPERLINK(IF(LEFT(AC129,4)="http",AC129,IF(H129="Production",set_RMSBase,set_QwilrBase)&amp;AC129),"Open")))</f>
        <v/>
      </c>
      <c r="AE129" s="27">
        <f>IF(E129="","",IFERROR(INDEX(tbl_Production[Total Expense],IFERROR(MATCH(E129&amp;"",tbl_Production[Job Number],0),MATCH(IFERROR(E129+0,E129),tbl_Production[Job Number],0))),IFERROR(INDEX(tbl_Consulting[Total Expense],IFERROR(MATCH(E129&amp;"",tbl_Consulting[Job Number],0),MATCH(IFERROR(E129+0,E129),tbl_Consulting[Job Number],0))),0)))</f>
        <v/>
      </c>
      <c r="AF129" s="27">
        <f>IF(E129="","",Z129-N(AE129))</f>
        <v/>
      </c>
      <c r="AG129" s="29">
        <f>IFERROR(AF129/Z129,"")</f>
        <v/>
      </c>
      <c r="AH129" s="25">
        <f>IF(E129="","",IFERROR(IF(INDEX(tbl_Onsite[Notes],IFERROR(MATCH(E129&amp;"",tbl_Onsite[Job Number],0),MATCH(IFERROR(E129+0,E129),tbl_Onsite[Job Number],0)))="","",INDEX(tbl_Onsite[Notes],IFERROR(MATCH(E129&amp;"",tbl_Onsite[Job Number],0),MATCH(IFERROR(E129+0,E129),tbl_Onsite[Job Number],0)))),IFERROR(IF(INDEX(tbl_Production[Notes],IFERROR(MATCH(E129&amp;"",tbl_Production[Job Number],0),MATCH(IFERROR(E129+0,E129),tbl_Production[Job Number],0)))="","",INDEX(tbl_Production[Notes],IFERROR(MATCH(E129&amp;"",tbl_Production[Job Number],0),MATCH(IFERROR(E129+0,E129),tbl_Production[Job Number],0)))),IFERROR(IF(INDEX(tbl_Consulting[Notes],IFERROR(MATCH(E129&amp;"",tbl_Consulting[Job Number],0),MATCH(IFERROR(E129+0,E129),tbl_Consulting[Job Number],0)))="","",INDEX(tbl_Consulting[Notes],IFERROR(MATCH(E129&amp;"",tbl_Consulting[Job Number],0),MATCH(IFERROR(E129+0,E129),tbl_Consulting[Job Number],0)))),""))))</f>
        <v/>
      </c>
    </row>
    <row r="130" ht="15" customHeight="1">
      <c r="A130" s="22" t="n"/>
      <c r="B130" s="23">
        <f>IF(A130="","",EOMONTH(A130,0))</f>
        <v/>
      </c>
      <c r="C130" s="24" t="n"/>
      <c r="D130" s="24" t="n"/>
      <c r="E130" s="24" t="n"/>
      <c r="F130" s="25">
        <f>IF(E130="","",IF(COUNTIF(lst_Jobs,E130&amp;"")&gt;0,"OK","CHECK"))</f>
        <v/>
      </c>
      <c r="G130" s="24" t="n"/>
      <c r="H130" s="24" t="n"/>
      <c r="I130" s="24" t="n"/>
      <c r="J130" s="24" t="n"/>
      <c r="K130" s="24" t="n"/>
      <c r="L130" s="26" t="n"/>
      <c r="M130" s="27">
        <f>IF(L130="","",IF(K130="GST 10%",ROUND(L130*set_GSTRate,2),0))</f>
        <v/>
      </c>
      <c r="N130" s="27">
        <f>IF(L130="","",L130+M130)</f>
        <v/>
      </c>
      <c r="O130" s="24" t="n"/>
      <c r="P130" s="24" t="n"/>
      <c r="Q130" s="24" t="n"/>
      <c r="R130" s="22" t="n"/>
      <c r="S130" s="22" t="n"/>
      <c r="T130" s="24" t="n"/>
      <c r="U130" s="24" t="n"/>
      <c r="V130" s="2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25">
        <f>IF(E130="","",IF(COUNTIF(tbl_Onsite[Job Number],E130&amp;"")&gt;0,"Onsite",IF(COUNTIF(tbl_Production[Job Number],E130&amp;"")&gt;0,"Production",IF(COUNTIF(tbl_Consulting[Job Number],E130&amp;"")&gt;0,"Consulting","not set up yet"))))</f>
        <v/>
      </c>
      <c r="X130" s="25">
        <f>IF(E130="","",IFERROR(INDEX(lst_JobName,MATCH(E130&amp;"",lst_Jobs,0)),""))</f>
        <v/>
      </c>
      <c r="Y130" s="28">
        <f>IF(E130="","",COUNTIFS(tbl_Finance[Job Number],E130&amp;"",tbl_Finance[Ex GST],"&lt;&gt;"))</f>
        <v/>
      </c>
      <c r="Z130" s="27">
        <f>IF(E130="","",SUMIFS(tbl_Finance[Ex GST],tbl_Finance[Job Number],E130&amp;""))</f>
        <v/>
      </c>
      <c r="AA130" s="27">
        <f>IF(E130="","",SUMIFS(tbl_Finance[Ex GST],tbl_Finance[Job Number],E130&amp;"",tbl_Finance[Xero Invoice No],"&lt;&gt;"))</f>
        <v/>
      </c>
      <c r="AB130" s="27">
        <f>IF(E130="","",Z130-AA130)</f>
        <v/>
      </c>
      <c r="AC130" s="25">
        <f>IF(E130="","",IFERROR(IF(INDEX(tbl_Onsite[Qwilr Quote],IFERROR(MATCH(E130&amp;"",tbl_Onsite[Job Number],0),MATCH(IFERROR(E130+0,E130),tbl_Onsite[Job Number],0)))="","",INDEX(tbl_Onsite[Qwilr Quote],IFERROR(MATCH(E130&amp;"",tbl_Onsite[Job Number],0),MATCH(IFERROR(E130+0,E130),tbl_Onsite[Job Number],0)))),IFERROR(IF(IF(INDEX(tbl_Production[Current RMS No],IFERROR(MATCH(E130&amp;"",tbl_Production[Job Number],0),MATCH(IFERROR(E130+0,E130),tbl_Production[Job Number],0)))="",INDEX(tbl_Production[Qwilr Quote],IFERROR(MATCH(E130&amp;"",tbl_Production[Job Number],0),MATCH(IFERROR(E130+0,E130),tbl_Production[Job Number],0))),INDEX(tbl_Production[Current RMS No],IFERROR(MATCH(E130&amp;"",tbl_Production[Job Number],0),MATCH(IFERROR(E130+0,E130),tbl_Production[Job Number],0))))="","",IF(INDEX(tbl_Production[Current RMS No],IFERROR(MATCH(E130&amp;"",tbl_Production[Job Number],0),MATCH(IFERROR(E130+0,E130),tbl_Production[Job Number],0)))="",INDEX(tbl_Production[Qwilr Quote],IFERROR(MATCH(E130&amp;"",tbl_Production[Job Number],0),MATCH(IFERROR(E130+0,E130),tbl_Production[Job Number],0))),INDEX(tbl_Production[Current RMS No],IFERROR(MATCH(E130&amp;"",tbl_Production[Job Number],0),MATCH(IFERROR(E130+0,E130),tbl_Production[Job Number],0))))),IFERROR(IF(INDEX(tbl_Consulting[Qwilr Quote],IFERROR(MATCH(E130&amp;"",tbl_Consulting[Job Number],0),MATCH(IFERROR(E130+0,E130),tbl_Consulting[Job Number],0)))="","",INDEX(tbl_Consulting[Qwilr Quote],IFERROR(MATCH(E130&amp;"",tbl_Consulting[Job Number],0),MATCH(IFERROR(E130+0,E130),tbl_Consulting[Job Number],0)))),""))))</f>
        <v/>
      </c>
      <c r="AD130" s="25">
        <f>IF(AC130="","",IF(AND(LEFT(AC130,4)&lt;&gt;"http",IF(H130="Production",set_RMSBase,set_QwilrBase)=""),"",HYPERLINK(IF(LEFT(AC130,4)="http",AC130,IF(H130="Production",set_RMSBase,set_QwilrBase)&amp;AC130),"Open")))</f>
        <v/>
      </c>
      <c r="AE130" s="27">
        <f>IF(E130="","",IFERROR(INDEX(tbl_Production[Total Expense],IFERROR(MATCH(E130&amp;"",tbl_Production[Job Number],0),MATCH(IFERROR(E130+0,E130),tbl_Production[Job Number],0))),IFERROR(INDEX(tbl_Consulting[Total Expense],IFERROR(MATCH(E130&amp;"",tbl_Consulting[Job Number],0),MATCH(IFERROR(E130+0,E130),tbl_Consulting[Job Number],0))),0)))</f>
        <v/>
      </c>
      <c r="AF130" s="27">
        <f>IF(E130="","",Z130-N(AE130))</f>
        <v/>
      </c>
      <c r="AG130" s="29">
        <f>IFERROR(AF130/Z130,"")</f>
        <v/>
      </c>
      <c r="AH130" s="25">
        <f>IF(E130="","",IFERROR(IF(INDEX(tbl_Onsite[Notes],IFERROR(MATCH(E130&amp;"",tbl_Onsite[Job Number],0),MATCH(IFERROR(E130+0,E130),tbl_Onsite[Job Number],0)))="","",INDEX(tbl_Onsite[Notes],IFERROR(MATCH(E130&amp;"",tbl_Onsite[Job Number],0),MATCH(IFERROR(E130+0,E130),tbl_Onsite[Job Number],0)))),IFERROR(IF(INDEX(tbl_Production[Notes],IFERROR(MATCH(E130&amp;"",tbl_Production[Job Number],0),MATCH(IFERROR(E130+0,E130),tbl_Production[Job Number],0)))="","",INDEX(tbl_Production[Notes],IFERROR(MATCH(E130&amp;"",tbl_Production[Job Number],0),MATCH(IFERROR(E130+0,E130),tbl_Production[Job Number],0)))),IFERROR(IF(INDEX(tbl_Consulting[Notes],IFERROR(MATCH(E130&amp;"",tbl_Consulting[Job Number],0),MATCH(IFERROR(E130+0,E130),tbl_Consulting[Job Number],0)))="","",INDEX(tbl_Consulting[Notes],IFERROR(MATCH(E130&amp;"",tbl_Consulting[Job Number],0),MATCH(IFERROR(E130+0,E130),tbl_Consulting[Job Number],0)))),""))))</f>
        <v/>
      </c>
    </row>
    <row r="131" ht="15" customHeight="1">
      <c r="A131" s="22" t="n"/>
      <c r="B131" s="23">
        <f>IF(A131="","",EOMONTH(A131,0))</f>
        <v/>
      </c>
      <c r="C131" s="24" t="n"/>
      <c r="D131" s="24" t="n"/>
      <c r="E131" s="24" t="n"/>
      <c r="F131" s="25">
        <f>IF(E131="","",IF(COUNTIF(lst_Jobs,E131&amp;"")&gt;0,"OK","CHECK"))</f>
        <v/>
      </c>
      <c r="G131" s="24" t="n"/>
      <c r="H131" s="24" t="n"/>
      <c r="I131" s="24" t="n"/>
      <c r="J131" s="24" t="n"/>
      <c r="K131" s="24" t="n"/>
      <c r="L131" s="26" t="n"/>
      <c r="M131" s="27">
        <f>IF(L131="","",IF(K131="GST 10%",ROUND(L131*set_GSTRate,2),0))</f>
        <v/>
      </c>
      <c r="N131" s="27">
        <f>IF(L131="","",L131+M131)</f>
        <v/>
      </c>
      <c r="O131" s="24" t="n"/>
      <c r="P131" s="24" t="n"/>
      <c r="Q131" s="24" t="n"/>
      <c r="R131" s="22" t="n"/>
      <c r="S131" s="22" t="n"/>
      <c r="T131" s="24" t="n"/>
      <c r="U131" s="24" t="n"/>
      <c r="V131" s="2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25">
        <f>IF(E131="","",IF(COUNTIF(tbl_Onsite[Job Number],E131&amp;"")&gt;0,"Onsite",IF(COUNTIF(tbl_Production[Job Number],E131&amp;"")&gt;0,"Production",IF(COUNTIF(tbl_Consulting[Job Number],E131&amp;"")&gt;0,"Consulting","not set up yet"))))</f>
        <v/>
      </c>
      <c r="X131" s="25">
        <f>IF(E131="","",IFERROR(INDEX(lst_JobName,MATCH(E131&amp;"",lst_Jobs,0)),""))</f>
        <v/>
      </c>
      <c r="Y131" s="28">
        <f>IF(E131="","",COUNTIFS(tbl_Finance[Job Number],E131&amp;"",tbl_Finance[Ex GST],"&lt;&gt;"))</f>
        <v/>
      </c>
      <c r="Z131" s="27">
        <f>IF(E131="","",SUMIFS(tbl_Finance[Ex GST],tbl_Finance[Job Number],E131&amp;""))</f>
        <v/>
      </c>
      <c r="AA131" s="27">
        <f>IF(E131="","",SUMIFS(tbl_Finance[Ex GST],tbl_Finance[Job Number],E131&amp;"",tbl_Finance[Xero Invoice No],"&lt;&gt;"))</f>
        <v/>
      </c>
      <c r="AB131" s="27">
        <f>IF(E131="","",Z131-AA131)</f>
        <v/>
      </c>
      <c r="AC131" s="25">
        <f>IF(E131="","",IFERROR(IF(INDEX(tbl_Onsite[Qwilr Quote],IFERROR(MATCH(E131&amp;"",tbl_Onsite[Job Number],0),MATCH(IFERROR(E131+0,E131),tbl_Onsite[Job Number],0)))="","",INDEX(tbl_Onsite[Qwilr Quote],IFERROR(MATCH(E131&amp;"",tbl_Onsite[Job Number],0),MATCH(IFERROR(E131+0,E131),tbl_Onsite[Job Number],0)))),IFERROR(IF(IF(INDEX(tbl_Production[Current RMS No],IFERROR(MATCH(E131&amp;"",tbl_Production[Job Number],0),MATCH(IFERROR(E131+0,E131),tbl_Production[Job Number],0)))="",INDEX(tbl_Production[Qwilr Quote],IFERROR(MATCH(E131&amp;"",tbl_Production[Job Number],0),MATCH(IFERROR(E131+0,E131),tbl_Production[Job Number],0))),INDEX(tbl_Production[Current RMS No],IFERROR(MATCH(E131&amp;"",tbl_Production[Job Number],0),MATCH(IFERROR(E131+0,E131),tbl_Production[Job Number],0))))="","",IF(INDEX(tbl_Production[Current RMS No],IFERROR(MATCH(E131&amp;"",tbl_Production[Job Number],0),MATCH(IFERROR(E131+0,E131),tbl_Production[Job Number],0)))="",INDEX(tbl_Production[Qwilr Quote],IFERROR(MATCH(E131&amp;"",tbl_Production[Job Number],0),MATCH(IFERROR(E131+0,E131),tbl_Production[Job Number],0))),INDEX(tbl_Production[Current RMS No],IFERROR(MATCH(E131&amp;"",tbl_Production[Job Number],0),MATCH(IFERROR(E131+0,E131),tbl_Production[Job Number],0))))),IFERROR(IF(INDEX(tbl_Consulting[Qwilr Quote],IFERROR(MATCH(E131&amp;"",tbl_Consulting[Job Number],0),MATCH(IFERROR(E131+0,E131),tbl_Consulting[Job Number],0)))="","",INDEX(tbl_Consulting[Qwilr Quote],IFERROR(MATCH(E131&amp;"",tbl_Consulting[Job Number],0),MATCH(IFERROR(E131+0,E131),tbl_Consulting[Job Number],0)))),""))))</f>
        <v/>
      </c>
      <c r="AD131" s="25">
        <f>IF(AC131="","",IF(AND(LEFT(AC131,4)&lt;&gt;"http",IF(H131="Production",set_RMSBase,set_QwilrBase)=""),"",HYPERLINK(IF(LEFT(AC131,4)="http",AC131,IF(H131="Production",set_RMSBase,set_QwilrBase)&amp;AC131),"Open")))</f>
        <v/>
      </c>
      <c r="AE131" s="27">
        <f>IF(E131="","",IFERROR(INDEX(tbl_Production[Total Expense],IFERROR(MATCH(E131&amp;"",tbl_Production[Job Number],0),MATCH(IFERROR(E131+0,E131),tbl_Production[Job Number],0))),IFERROR(INDEX(tbl_Consulting[Total Expense],IFERROR(MATCH(E131&amp;"",tbl_Consulting[Job Number],0),MATCH(IFERROR(E131+0,E131),tbl_Consulting[Job Number],0))),0)))</f>
        <v/>
      </c>
      <c r="AF131" s="27">
        <f>IF(E131="","",Z131-N(AE131))</f>
        <v/>
      </c>
      <c r="AG131" s="29">
        <f>IFERROR(AF131/Z131,"")</f>
        <v/>
      </c>
      <c r="AH131" s="25">
        <f>IF(E131="","",IFERROR(IF(INDEX(tbl_Onsite[Notes],IFERROR(MATCH(E131&amp;"",tbl_Onsite[Job Number],0),MATCH(IFERROR(E131+0,E131),tbl_Onsite[Job Number],0)))="","",INDEX(tbl_Onsite[Notes],IFERROR(MATCH(E131&amp;"",tbl_Onsite[Job Number],0),MATCH(IFERROR(E131+0,E131),tbl_Onsite[Job Number],0)))),IFERROR(IF(INDEX(tbl_Production[Notes],IFERROR(MATCH(E131&amp;"",tbl_Production[Job Number],0),MATCH(IFERROR(E131+0,E131),tbl_Production[Job Number],0)))="","",INDEX(tbl_Production[Notes],IFERROR(MATCH(E131&amp;"",tbl_Production[Job Number],0),MATCH(IFERROR(E131+0,E131),tbl_Production[Job Number],0)))),IFERROR(IF(INDEX(tbl_Consulting[Notes],IFERROR(MATCH(E131&amp;"",tbl_Consulting[Job Number],0),MATCH(IFERROR(E131+0,E131),tbl_Consulting[Job Number],0)))="","",INDEX(tbl_Consulting[Notes],IFERROR(MATCH(E131&amp;"",tbl_Consulting[Job Number],0),MATCH(IFERROR(E131+0,E131),tbl_Consulting[Job Number],0)))),""))))</f>
        <v/>
      </c>
    </row>
    <row r="132" ht="15" customHeight="1">
      <c r="A132" s="22" t="n"/>
      <c r="B132" s="23">
        <f>IF(A132="","",EOMONTH(A132,0))</f>
        <v/>
      </c>
      <c r="C132" s="24" t="n"/>
      <c r="D132" s="24" t="n"/>
      <c r="E132" s="24" t="n"/>
      <c r="F132" s="25">
        <f>IF(E132="","",IF(COUNTIF(lst_Jobs,E132&amp;"")&gt;0,"OK","CHECK"))</f>
        <v/>
      </c>
      <c r="G132" s="24" t="n"/>
      <c r="H132" s="24" t="n"/>
      <c r="I132" s="24" t="n"/>
      <c r="J132" s="24" t="n"/>
      <c r="K132" s="24" t="n"/>
      <c r="L132" s="26" t="n"/>
      <c r="M132" s="27">
        <f>IF(L132="","",IF(K132="GST 10%",ROUND(L132*set_GSTRate,2),0))</f>
        <v/>
      </c>
      <c r="N132" s="27">
        <f>IF(L132="","",L132+M132)</f>
        <v/>
      </c>
      <c r="O132" s="24" t="n"/>
      <c r="P132" s="24" t="n"/>
      <c r="Q132" s="24" t="n"/>
      <c r="R132" s="22" t="n"/>
      <c r="S132" s="22" t="n"/>
      <c r="T132" s="24" t="n"/>
      <c r="U132" s="24" t="n"/>
      <c r="V132" s="2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25">
        <f>IF(E132="","",IF(COUNTIF(tbl_Onsite[Job Number],E132&amp;"")&gt;0,"Onsite",IF(COUNTIF(tbl_Production[Job Number],E132&amp;"")&gt;0,"Production",IF(COUNTIF(tbl_Consulting[Job Number],E132&amp;"")&gt;0,"Consulting","not set up yet"))))</f>
        <v/>
      </c>
      <c r="X132" s="25">
        <f>IF(E132="","",IFERROR(INDEX(lst_JobName,MATCH(E132&amp;"",lst_Jobs,0)),""))</f>
        <v/>
      </c>
      <c r="Y132" s="28">
        <f>IF(E132="","",COUNTIFS(tbl_Finance[Job Number],E132&amp;"",tbl_Finance[Ex GST],"&lt;&gt;"))</f>
        <v/>
      </c>
      <c r="Z132" s="27">
        <f>IF(E132="","",SUMIFS(tbl_Finance[Ex GST],tbl_Finance[Job Number],E132&amp;""))</f>
        <v/>
      </c>
      <c r="AA132" s="27">
        <f>IF(E132="","",SUMIFS(tbl_Finance[Ex GST],tbl_Finance[Job Number],E132&amp;"",tbl_Finance[Xero Invoice No],"&lt;&gt;"))</f>
        <v/>
      </c>
      <c r="AB132" s="27">
        <f>IF(E132="","",Z132-AA132)</f>
        <v/>
      </c>
      <c r="AC132" s="25">
        <f>IF(E132="","",IFERROR(IF(INDEX(tbl_Onsite[Qwilr Quote],IFERROR(MATCH(E132&amp;"",tbl_Onsite[Job Number],0),MATCH(IFERROR(E132+0,E132),tbl_Onsite[Job Number],0)))="","",INDEX(tbl_Onsite[Qwilr Quote],IFERROR(MATCH(E132&amp;"",tbl_Onsite[Job Number],0),MATCH(IFERROR(E132+0,E132),tbl_Onsite[Job Number],0)))),IFERROR(IF(IF(INDEX(tbl_Production[Current RMS No],IFERROR(MATCH(E132&amp;"",tbl_Production[Job Number],0),MATCH(IFERROR(E132+0,E132),tbl_Production[Job Number],0)))="",INDEX(tbl_Production[Qwilr Quote],IFERROR(MATCH(E132&amp;"",tbl_Production[Job Number],0),MATCH(IFERROR(E132+0,E132),tbl_Production[Job Number],0))),INDEX(tbl_Production[Current RMS No],IFERROR(MATCH(E132&amp;"",tbl_Production[Job Number],0),MATCH(IFERROR(E132+0,E132),tbl_Production[Job Number],0))))="","",IF(INDEX(tbl_Production[Current RMS No],IFERROR(MATCH(E132&amp;"",tbl_Production[Job Number],0),MATCH(IFERROR(E132+0,E132),tbl_Production[Job Number],0)))="",INDEX(tbl_Production[Qwilr Quote],IFERROR(MATCH(E132&amp;"",tbl_Production[Job Number],0),MATCH(IFERROR(E132+0,E132),tbl_Production[Job Number],0))),INDEX(tbl_Production[Current RMS No],IFERROR(MATCH(E132&amp;"",tbl_Production[Job Number],0),MATCH(IFERROR(E132+0,E132),tbl_Production[Job Number],0))))),IFERROR(IF(INDEX(tbl_Consulting[Qwilr Quote],IFERROR(MATCH(E132&amp;"",tbl_Consulting[Job Number],0),MATCH(IFERROR(E132+0,E132),tbl_Consulting[Job Number],0)))="","",INDEX(tbl_Consulting[Qwilr Quote],IFERROR(MATCH(E132&amp;"",tbl_Consulting[Job Number],0),MATCH(IFERROR(E132+0,E132),tbl_Consulting[Job Number],0)))),""))))</f>
        <v/>
      </c>
      <c r="AD132" s="25">
        <f>IF(AC132="","",IF(AND(LEFT(AC132,4)&lt;&gt;"http",IF(H132="Production",set_RMSBase,set_QwilrBase)=""),"",HYPERLINK(IF(LEFT(AC132,4)="http",AC132,IF(H132="Production",set_RMSBase,set_QwilrBase)&amp;AC132),"Open")))</f>
        <v/>
      </c>
      <c r="AE132" s="27">
        <f>IF(E132="","",IFERROR(INDEX(tbl_Production[Total Expense],IFERROR(MATCH(E132&amp;"",tbl_Production[Job Number],0),MATCH(IFERROR(E132+0,E132),tbl_Production[Job Number],0))),IFERROR(INDEX(tbl_Consulting[Total Expense],IFERROR(MATCH(E132&amp;"",tbl_Consulting[Job Number],0),MATCH(IFERROR(E132+0,E132),tbl_Consulting[Job Number],0))),0)))</f>
        <v/>
      </c>
      <c r="AF132" s="27">
        <f>IF(E132="","",Z132-N(AE132))</f>
        <v/>
      </c>
      <c r="AG132" s="29">
        <f>IFERROR(AF132/Z132,"")</f>
        <v/>
      </c>
      <c r="AH132" s="25">
        <f>IF(E132="","",IFERROR(IF(INDEX(tbl_Onsite[Notes],IFERROR(MATCH(E132&amp;"",tbl_Onsite[Job Number],0),MATCH(IFERROR(E132+0,E132),tbl_Onsite[Job Number],0)))="","",INDEX(tbl_Onsite[Notes],IFERROR(MATCH(E132&amp;"",tbl_Onsite[Job Number],0),MATCH(IFERROR(E132+0,E132),tbl_Onsite[Job Number],0)))),IFERROR(IF(INDEX(tbl_Production[Notes],IFERROR(MATCH(E132&amp;"",tbl_Production[Job Number],0),MATCH(IFERROR(E132+0,E132),tbl_Production[Job Number],0)))="","",INDEX(tbl_Production[Notes],IFERROR(MATCH(E132&amp;"",tbl_Production[Job Number],0),MATCH(IFERROR(E132+0,E132),tbl_Production[Job Number],0)))),IFERROR(IF(INDEX(tbl_Consulting[Notes],IFERROR(MATCH(E132&amp;"",tbl_Consulting[Job Number],0),MATCH(IFERROR(E132+0,E132),tbl_Consulting[Job Number],0)))="","",INDEX(tbl_Consulting[Notes],IFERROR(MATCH(E132&amp;"",tbl_Consulting[Job Number],0),MATCH(IFERROR(E132+0,E132),tbl_Consulting[Job Number],0)))),""))))</f>
        <v/>
      </c>
    </row>
    <row r="133" ht="15" customHeight="1">
      <c r="A133" s="22" t="n"/>
      <c r="B133" s="23">
        <f>IF(A133="","",EOMONTH(A133,0))</f>
        <v/>
      </c>
      <c r="C133" s="24" t="n"/>
      <c r="D133" s="24" t="n"/>
      <c r="E133" s="24" t="n"/>
      <c r="F133" s="25">
        <f>IF(E133="","",IF(COUNTIF(lst_Jobs,E133&amp;"")&gt;0,"OK","CHECK"))</f>
        <v/>
      </c>
      <c r="G133" s="24" t="n"/>
      <c r="H133" s="24" t="n"/>
      <c r="I133" s="24" t="n"/>
      <c r="J133" s="24" t="n"/>
      <c r="K133" s="24" t="n"/>
      <c r="L133" s="26" t="n"/>
      <c r="M133" s="27">
        <f>IF(L133="","",IF(K133="GST 10%",ROUND(L133*set_GSTRate,2),0))</f>
        <v/>
      </c>
      <c r="N133" s="27">
        <f>IF(L133="","",L133+M133)</f>
        <v/>
      </c>
      <c r="O133" s="24" t="n"/>
      <c r="P133" s="24" t="n"/>
      <c r="Q133" s="24" t="n"/>
      <c r="R133" s="22" t="n"/>
      <c r="S133" s="22" t="n"/>
      <c r="T133" s="24" t="n"/>
      <c r="U133" s="24" t="n"/>
      <c r="V133" s="2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25">
        <f>IF(E133="","",IF(COUNTIF(tbl_Onsite[Job Number],E133&amp;"")&gt;0,"Onsite",IF(COUNTIF(tbl_Production[Job Number],E133&amp;"")&gt;0,"Production",IF(COUNTIF(tbl_Consulting[Job Number],E133&amp;"")&gt;0,"Consulting","not set up yet"))))</f>
        <v/>
      </c>
      <c r="X133" s="25">
        <f>IF(E133="","",IFERROR(INDEX(lst_JobName,MATCH(E133&amp;"",lst_Jobs,0)),""))</f>
        <v/>
      </c>
      <c r="Y133" s="28">
        <f>IF(E133="","",COUNTIFS(tbl_Finance[Job Number],E133&amp;"",tbl_Finance[Ex GST],"&lt;&gt;"))</f>
        <v/>
      </c>
      <c r="Z133" s="27">
        <f>IF(E133="","",SUMIFS(tbl_Finance[Ex GST],tbl_Finance[Job Number],E133&amp;""))</f>
        <v/>
      </c>
      <c r="AA133" s="27">
        <f>IF(E133="","",SUMIFS(tbl_Finance[Ex GST],tbl_Finance[Job Number],E133&amp;"",tbl_Finance[Xero Invoice No],"&lt;&gt;"))</f>
        <v/>
      </c>
      <c r="AB133" s="27">
        <f>IF(E133="","",Z133-AA133)</f>
        <v/>
      </c>
      <c r="AC133" s="25">
        <f>IF(E133="","",IFERROR(IF(INDEX(tbl_Onsite[Qwilr Quote],IFERROR(MATCH(E133&amp;"",tbl_Onsite[Job Number],0),MATCH(IFERROR(E133+0,E133),tbl_Onsite[Job Number],0)))="","",INDEX(tbl_Onsite[Qwilr Quote],IFERROR(MATCH(E133&amp;"",tbl_Onsite[Job Number],0),MATCH(IFERROR(E133+0,E133),tbl_Onsite[Job Number],0)))),IFERROR(IF(IF(INDEX(tbl_Production[Current RMS No],IFERROR(MATCH(E133&amp;"",tbl_Production[Job Number],0),MATCH(IFERROR(E133+0,E133),tbl_Production[Job Number],0)))="",INDEX(tbl_Production[Qwilr Quote],IFERROR(MATCH(E133&amp;"",tbl_Production[Job Number],0),MATCH(IFERROR(E133+0,E133),tbl_Production[Job Number],0))),INDEX(tbl_Production[Current RMS No],IFERROR(MATCH(E133&amp;"",tbl_Production[Job Number],0),MATCH(IFERROR(E133+0,E133),tbl_Production[Job Number],0))))="","",IF(INDEX(tbl_Production[Current RMS No],IFERROR(MATCH(E133&amp;"",tbl_Production[Job Number],0),MATCH(IFERROR(E133+0,E133),tbl_Production[Job Number],0)))="",INDEX(tbl_Production[Qwilr Quote],IFERROR(MATCH(E133&amp;"",tbl_Production[Job Number],0),MATCH(IFERROR(E133+0,E133),tbl_Production[Job Number],0))),INDEX(tbl_Production[Current RMS No],IFERROR(MATCH(E133&amp;"",tbl_Production[Job Number],0),MATCH(IFERROR(E133+0,E133),tbl_Production[Job Number],0))))),IFERROR(IF(INDEX(tbl_Consulting[Qwilr Quote],IFERROR(MATCH(E133&amp;"",tbl_Consulting[Job Number],0),MATCH(IFERROR(E133+0,E133),tbl_Consulting[Job Number],0)))="","",INDEX(tbl_Consulting[Qwilr Quote],IFERROR(MATCH(E133&amp;"",tbl_Consulting[Job Number],0),MATCH(IFERROR(E133+0,E133),tbl_Consulting[Job Number],0)))),""))))</f>
        <v/>
      </c>
      <c r="AD133" s="25">
        <f>IF(AC133="","",IF(AND(LEFT(AC133,4)&lt;&gt;"http",IF(H133="Production",set_RMSBase,set_QwilrBase)=""),"",HYPERLINK(IF(LEFT(AC133,4)="http",AC133,IF(H133="Production",set_RMSBase,set_QwilrBase)&amp;AC133),"Open")))</f>
        <v/>
      </c>
      <c r="AE133" s="27">
        <f>IF(E133="","",IFERROR(INDEX(tbl_Production[Total Expense],IFERROR(MATCH(E133&amp;"",tbl_Production[Job Number],0),MATCH(IFERROR(E133+0,E133),tbl_Production[Job Number],0))),IFERROR(INDEX(tbl_Consulting[Total Expense],IFERROR(MATCH(E133&amp;"",tbl_Consulting[Job Number],0),MATCH(IFERROR(E133+0,E133),tbl_Consulting[Job Number],0))),0)))</f>
        <v/>
      </c>
      <c r="AF133" s="27">
        <f>IF(E133="","",Z133-N(AE133))</f>
        <v/>
      </c>
      <c r="AG133" s="29">
        <f>IFERROR(AF133/Z133,"")</f>
        <v/>
      </c>
      <c r="AH133" s="25">
        <f>IF(E133="","",IFERROR(IF(INDEX(tbl_Onsite[Notes],IFERROR(MATCH(E133&amp;"",tbl_Onsite[Job Number],0),MATCH(IFERROR(E133+0,E133),tbl_Onsite[Job Number],0)))="","",INDEX(tbl_Onsite[Notes],IFERROR(MATCH(E133&amp;"",tbl_Onsite[Job Number],0),MATCH(IFERROR(E133+0,E133),tbl_Onsite[Job Number],0)))),IFERROR(IF(INDEX(tbl_Production[Notes],IFERROR(MATCH(E133&amp;"",tbl_Production[Job Number],0),MATCH(IFERROR(E133+0,E133),tbl_Production[Job Number],0)))="","",INDEX(tbl_Production[Notes],IFERROR(MATCH(E133&amp;"",tbl_Production[Job Number],0),MATCH(IFERROR(E133+0,E133),tbl_Production[Job Number],0)))),IFERROR(IF(INDEX(tbl_Consulting[Notes],IFERROR(MATCH(E133&amp;"",tbl_Consulting[Job Number],0),MATCH(IFERROR(E133+0,E133),tbl_Consulting[Job Number],0)))="","",INDEX(tbl_Consulting[Notes],IFERROR(MATCH(E133&amp;"",tbl_Consulting[Job Number],0),MATCH(IFERROR(E133+0,E133),tbl_Consulting[Job Number],0)))),""))))</f>
        <v/>
      </c>
    </row>
    <row r="134" ht="15" customHeight="1">
      <c r="A134" s="22" t="n"/>
      <c r="B134" s="23">
        <f>IF(A134="","",EOMONTH(A134,0))</f>
        <v/>
      </c>
      <c r="C134" s="24" t="n"/>
      <c r="D134" s="24" t="n"/>
      <c r="E134" s="24" t="n"/>
      <c r="F134" s="25">
        <f>IF(E134="","",IF(COUNTIF(lst_Jobs,E134&amp;"")&gt;0,"OK","CHECK"))</f>
        <v/>
      </c>
      <c r="G134" s="24" t="n"/>
      <c r="H134" s="24" t="n"/>
      <c r="I134" s="24" t="n"/>
      <c r="J134" s="24" t="n"/>
      <c r="K134" s="24" t="n"/>
      <c r="L134" s="26" t="n"/>
      <c r="M134" s="27">
        <f>IF(L134="","",IF(K134="GST 10%",ROUND(L134*set_GSTRate,2),0))</f>
        <v/>
      </c>
      <c r="N134" s="27">
        <f>IF(L134="","",L134+M134)</f>
        <v/>
      </c>
      <c r="O134" s="24" t="n"/>
      <c r="P134" s="24" t="n"/>
      <c r="Q134" s="24" t="n"/>
      <c r="R134" s="22" t="n"/>
      <c r="S134" s="22" t="n"/>
      <c r="T134" s="24" t="n"/>
      <c r="U134" s="24" t="n"/>
      <c r="V134" s="2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25">
        <f>IF(E134="","",IF(COUNTIF(tbl_Onsite[Job Number],E134&amp;"")&gt;0,"Onsite",IF(COUNTIF(tbl_Production[Job Number],E134&amp;"")&gt;0,"Production",IF(COUNTIF(tbl_Consulting[Job Number],E134&amp;"")&gt;0,"Consulting","not set up yet"))))</f>
        <v/>
      </c>
      <c r="X134" s="25">
        <f>IF(E134="","",IFERROR(INDEX(lst_JobName,MATCH(E134&amp;"",lst_Jobs,0)),""))</f>
        <v/>
      </c>
      <c r="Y134" s="28">
        <f>IF(E134="","",COUNTIFS(tbl_Finance[Job Number],E134&amp;"",tbl_Finance[Ex GST],"&lt;&gt;"))</f>
        <v/>
      </c>
      <c r="Z134" s="27">
        <f>IF(E134="","",SUMIFS(tbl_Finance[Ex GST],tbl_Finance[Job Number],E134&amp;""))</f>
        <v/>
      </c>
      <c r="AA134" s="27">
        <f>IF(E134="","",SUMIFS(tbl_Finance[Ex GST],tbl_Finance[Job Number],E134&amp;"",tbl_Finance[Xero Invoice No],"&lt;&gt;"))</f>
        <v/>
      </c>
      <c r="AB134" s="27">
        <f>IF(E134="","",Z134-AA134)</f>
        <v/>
      </c>
      <c r="AC134" s="25">
        <f>IF(E134="","",IFERROR(IF(INDEX(tbl_Onsite[Qwilr Quote],IFERROR(MATCH(E134&amp;"",tbl_Onsite[Job Number],0),MATCH(IFERROR(E134+0,E134),tbl_Onsite[Job Number],0)))="","",INDEX(tbl_Onsite[Qwilr Quote],IFERROR(MATCH(E134&amp;"",tbl_Onsite[Job Number],0),MATCH(IFERROR(E134+0,E134),tbl_Onsite[Job Number],0)))),IFERROR(IF(IF(INDEX(tbl_Production[Current RMS No],IFERROR(MATCH(E134&amp;"",tbl_Production[Job Number],0),MATCH(IFERROR(E134+0,E134),tbl_Production[Job Number],0)))="",INDEX(tbl_Production[Qwilr Quote],IFERROR(MATCH(E134&amp;"",tbl_Production[Job Number],0),MATCH(IFERROR(E134+0,E134),tbl_Production[Job Number],0))),INDEX(tbl_Production[Current RMS No],IFERROR(MATCH(E134&amp;"",tbl_Production[Job Number],0),MATCH(IFERROR(E134+0,E134),tbl_Production[Job Number],0))))="","",IF(INDEX(tbl_Production[Current RMS No],IFERROR(MATCH(E134&amp;"",tbl_Production[Job Number],0),MATCH(IFERROR(E134+0,E134),tbl_Production[Job Number],0)))="",INDEX(tbl_Production[Qwilr Quote],IFERROR(MATCH(E134&amp;"",tbl_Production[Job Number],0),MATCH(IFERROR(E134+0,E134),tbl_Production[Job Number],0))),INDEX(tbl_Production[Current RMS No],IFERROR(MATCH(E134&amp;"",tbl_Production[Job Number],0),MATCH(IFERROR(E134+0,E134),tbl_Production[Job Number],0))))),IFERROR(IF(INDEX(tbl_Consulting[Qwilr Quote],IFERROR(MATCH(E134&amp;"",tbl_Consulting[Job Number],0),MATCH(IFERROR(E134+0,E134),tbl_Consulting[Job Number],0)))="","",INDEX(tbl_Consulting[Qwilr Quote],IFERROR(MATCH(E134&amp;"",tbl_Consulting[Job Number],0),MATCH(IFERROR(E134+0,E134),tbl_Consulting[Job Number],0)))),""))))</f>
        <v/>
      </c>
      <c r="AD134" s="25">
        <f>IF(AC134="","",IF(AND(LEFT(AC134,4)&lt;&gt;"http",IF(H134="Production",set_RMSBase,set_QwilrBase)=""),"",HYPERLINK(IF(LEFT(AC134,4)="http",AC134,IF(H134="Production",set_RMSBase,set_QwilrBase)&amp;AC134),"Open")))</f>
        <v/>
      </c>
      <c r="AE134" s="27">
        <f>IF(E134="","",IFERROR(INDEX(tbl_Production[Total Expense],IFERROR(MATCH(E134&amp;"",tbl_Production[Job Number],0),MATCH(IFERROR(E134+0,E134),tbl_Production[Job Number],0))),IFERROR(INDEX(tbl_Consulting[Total Expense],IFERROR(MATCH(E134&amp;"",tbl_Consulting[Job Number],0),MATCH(IFERROR(E134+0,E134),tbl_Consulting[Job Number],0))),0)))</f>
        <v/>
      </c>
      <c r="AF134" s="27">
        <f>IF(E134="","",Z134-N(AE134))</f>
        <v/>
      </c>
      <c r="AG134" s="29">
        <f>IFERROR(AF134/Z134,"")</f>
        <v/>
      </c>
      <c r="AH134" s="25">
        <f>IF(E134="","",IFERROR(IF(INDEX(tbl_Onsite[Notes],IFERROR(MATCH(E134&amp;"",tbl_Onsite[Job Number],0),MATCH(IFERROR(E134+0,E134),tbl_Onsite[Job Number],0)))="","",INDEX(tbl_Onsite[Notes],IFERROR(MATCH(E134&amp;"",tbl_Onsite[Job Number],0),MATCH(IFERROR(E134+0,E134),tbl_Onsite[Job Number],0)))),IFERROR(IF(INDEX(tbl_Production[Notes],IFERROR(MATCH(E134&amp;"",tbl_Production[Job Number],0),MATCH(IFERROR(E134+0,E134),tbl_Production[Job Number],0)))="","",INDEX(tbl_Production[Notes],IFERROR(MATCH(E134&amp;"",tbl_Production[Job Number],0),MATCH(IFERROR(E134+0,E134),tbl_Production[Job Number],0)))),IFERROR(IF(INDEX(tbl_Consulting[Notes],IFERROR(MATCH(E134&amp;"",tbl_Consulting[Job Number],0),MATCH(IFERROR(E134+0,E134),tbl_Consulting[Job Number],0)))="","",INDEX(tbl_Consulting[Notes],IFERROR(MATCH(E134&amp;"",tbl_Consulting[Job Number],0),MATCH(IFERROR(E134+0,E134),tbl_Consulting[Job Number],0)))),""))))</f>
        <v/>
      </c>
    </row>
    <row r="135" ht="15" customHeight="1">
      <c r="A135" s="22" t="n"/>
      <c r="B135" s="23">
        <f>IF(A135="","",EOMONTH(A135,0))</f>
        <v/>
      </c>
      <c r="C135" s="24" t="n"/>
      <c r="D135" s="24" t="n"/>
      <c r="E135" s="24" t="n"/>
      <c r="F135" s="25">
        <f>IF(E135="","",IF(COUNTIF(lst_Jobs,E135&amp;"")&gt;0,"OK","CHECK"))</f>
        <v/>
      </c>
      <c r="G135" s="24" t="n"/>
      <c r="H135" s="24" t="n"/>
      <c r="I135" s="24" t="n"/>
      <c r="J135" s="24" t="n"/>
      <c r="K135" s="24" t="n"/>
      <c r="L135" s="26" t="n"/>
      <c r="M135" s="27">
        <f>IF(L135="","",IF(K135="GST 10%",ROUND(L135*set_GSTRate,2),0))</f>
        <v/>
      </c>
      <c r="N135" s="27">
        <f>IF(L135="","",L135+M135)</f>
        <v/>
      </c>
      <c r="O135" s="24" t="n"/>
      <c r="P135" s="24" t="n"/>
      <c r="Q135" s="24" t="n"/>
      <c r="R135" s="22" t="n"/>
      <c r="S135" s="22" t="n"/>
      <c r="T135" s="24" t="n"/>
      <c r="U135" s="24" t="n"/>
      <c r="V135" s="2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25">
        <f>IF(E135="","",IF(COUNTIF(tbl_Onsite[Job Number],E135&amp;"")&gt;0,"Onsite",IF(COUNTIF(tbl_Production[Job Number],E135&amp;"")&gt;0,"Production",IF(COUNTIF(tbl_Consulting[Job Number],E135&amp;"")&gt;0,"Consulting","not set up yet"))))</f>
        <v/>
      </c>
      <c r="X135" s="25">
        <f>IF(E135="","",IFERROR(INDEX(lst_JobName,MATCH(E135&amp;"",lst_Jobs,0)),""))</f>
        <v/>
      </c>
      <c r="Y135" s="28">
        <f>IF(E135="","",COUNTIFS(tbl_Finance[Job Number],E135&amp;"",tbl_Finance[Ex GST],"&lt;&gt;"))</f>
        <v/>
      </c>
      <c r="Z135" s="27">
        <f>IF(E135="","",SUMIFS(tbl_Finance[Ex GST],tbl_Finance[Job Number],E135&amp;""))</f>
        <v/>
      </c>
      <c r="AA135" s="27">
        <f>IF(E135="","",SUMIFS(tbl_Finance[Ex GST],tbl_Finance[Job Number],E135&amp;"",tbl_Finance[Xero Invoice No],"&lt;&gt;"))</f>
        <v/>
      </c>
      <c r="AB135" s="27">
        <f>IF(E135="","",Z135-AA135)</f>
        <v/>
      </c>
      <c r="AC135" s="25">
        <f>IF(E135="","",IFERROR(IF(INDEX(tbl_Onsite[Qwilr Quote],IFERROR(MATCH(E135&amp;"",tbl_Onsite[Job Number],0),MATCH(IFERROR(E135+0,E135),tbl_Onsite[Job Number],0)))="","",INDEX(tbl_Onsite[Qwilr Quote],IFERROR(MATCH(E135&amp;"",tbl_Onsite[Job Number],0),MATCH(IFERROR(E135+0,E135),tbl_Onsite[Job Number],0)))),IFERROR(IF(IF(INDEX(tbl_Production[Current RMS No],IFERROR(MATCH(E135&amp;"",tbl_Production[Job Number],0),MATCH(IFERROR(E135+0,E135),tbl_Production[Job Number],0)))="",INDEX(tbl_Production[Qwilr Quote],IFERROR(MATCH(E135&amp;"",tbl_Production[Job Number],0),MATCH(IFERROR(E135+0,E135),tbl_Production[Job Number],0))),INDEX(tbl_Production[Current RMS No],IFERROR(MATCH(E135&amp;"",tbl_Production[Job Number],0),MATCH(IFERROR(E135+0,E135),tbl_Production[Job Number],0))))="","",IF(INDEX(tbl_Production[Current RMS No],IFERROR(MATCH(E135&amp;"",tbl_Production[Job Number],0),MATCH(IFERROR(E135+0,E135),tbl_Production[Job Number],0)))="",INDEX(tbl_Production[Qwilr Quote],IFERROR(MATCH(E135&amp;"",tbl_Production[Job Number],0),MATCH(IFERROR(E135+0,E135),tbl_Production[Job Number],0))),INDEX(tbl_Production[Current RMS No],IFERROR(MATCH(E135&amp;"",tbl_Production[Job Number],0),MATCH(IFERROR(E135+0,E135),tbl_Production[Job Number],0))))),IFERROR(IF(INDEX(tbl_Consulting[Qwilr Quote],IFERROR(MATCH(E135&amp;"",tbl_Consulting[Job Number],0),MATCH(IFERROR(E135+0,E135),tbl_Consulting[Job Number],0)))="","",INDEX(tbl_Consulting[Qwilr Quote],IFERROR(MATCH(E135&amp;"",tbl_Consulting[Job Number],0),MATCH(IFERROR(E135+0,E135),tbl_Consulting[Job Number],0)))),""))))</f>
        <v/>
      </c>
      <c r="AD135" s="25">
        <f>IF(AC135="","",IF(AND(LEFT(AC135,4)&lt;&gt;"http",IF(H135="Production",set_RMSBase,set_QwilrBase)=""),"",HYPERLINK(IF(LEFT(AC135,4)="http",AC135,IF(H135="Production",set_RMSBase,set_QwilrBase)&amp;AC135),"Open")))</f>
        <v/>
      </c>
      <c r="AE135" s="27">
        <f>IF(E135="","",IFERROR(INDEX(tbl_Production[Total Expense],IFERROR(MATCH(E135&amp;"",tbl_Production[Job Number],0),MATCH(IFERROR(E135+0,E135),tbl_Production[Job Number],0))),IFERROR(INDEX(tbl_Consulting[Total Expense],IFERROR(MATCH(E135&amp;"",tbl_Consulting[Job Number],0),MATCH(IFERROR(E135+0,E135),tbl_Consulting[Job Number],0))),0)))</f>
        <v/>
      </c>
      <c r="AF135" s="27">
        <f>IF(E135="","",Z135-N(AE135))</f>
        <v/>
      </c>
      <c r="AG135" s="29">
        <f>IFERROR(AF135/Z135,"")</f>
        <v/>
      </c>
      <c r="AH135" s="25">
        <f>IF(E135="","",IFERROR(IF(INDEX(tbl_Onsite[Notes],IFERROR(MATCH(E135&amp;"",tbl_Onsite[Job Number],0),MATCH(IFERROR(E135+0,E135),tbl_Onsite[Job Number],0)))="","",INDEX(tbl_Onsite[Notes],IFERROR(MATCH(E135&amp;"",tbl_Onsite[Job Number],0),MATCH(IFERROR(E135+0,E135),tbl_Onsite[Job Number],0)))),IFERROR(IF(INDEX(tbl_Production[Notes],IFERROR(MATCH(E135&amp;"",tbl_Production[Job Number],0),MATCH(IFERROR(E135+0,E135),tbl_Production[Job Number],0)))="","",INDEX(tbl_Production[Notes],IFERROR(MATCH(E135&amp;"",tbl_Production[Job Number],0),MATCH(IFERROR(E135+0,E135),tbl_Production[Job Number],0)))),IFERROR(IF(INDEX(tbl_Consulting[Notes],IFERROR(MATCH(E135&amp;"",tbl_Consulting[Job Number],0),MATCH(IFERROR(E135+0,E135),tbl_Consulting[Job Number],0)))="","",INDEX(tbl_Consulting[Notes],IFERROR(MATCH(E135&amp;"",tbl_Consulting[Job Number],0),MATCH(IFERROR(E135+0,E135),tbl_Consulting[Job Number],0)))),""))))</f>
        <v/>
      </c>
    </row>
    <row r="136" ht="15" customHeight="1">
      <c r="A136" s="22" t="n"/>
      <c r="B136" s="23">
        <f>IF(A136="","",EOMONTH(A136,0))</f>
        <v/>
      </c>
      <c r="C136" s="24" t="n"/>
      <c r="D136" s="24" t="n"/>
      <c r="E136" s="24" t="n"/>
      <c r="F136" s="25">
        <f>IF(E136="","",IF(COUNTIF(lst_Jobs,E136&amp;"")&gt;0,"OK","CHECK"))</f>
        <v/>
      </c>
      <c r="G136" s="24" t="n"/>
      <c r="H136" s="24" t="n"/>
      <c r="I136" s="24" t="n"/>
      <c r="J136" s="24" t="n"/>
      <c r="K136" s="24" t="n"/>
      <c r="L136" s="26" t="n"/>
      <c r="M136" s="27">
        <f>IF(L136="","",IF(K136="GST 10%",ROUND(L136*set_GSTRate,2),0))</f>
        <v/>
      </c>
      <c r="N136" s="27">
        <f>IF(L136="","",L136+M136)</f>
        <v/>
      </c>
      <c r="O136" s="24" t="n"/>
      <c r="P136" s="24" t="n"/>
      <c r="Q136" s="24" t="n"/>
      <c r="R136" s="22" t="n"/>
      <c r="S136" s="22" t="n"/>
      <c r="T136" s="24" t="n"/>
      <c r="U136" s="24" t="n"/>
      <c r="V136" s="2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25">
        <f>IF(E136="","",IF(COUNTIF(tbl_Onsite[Job Number],E136&amp;"")&gt;0,"Onsite",IF(COUNTIF(tbl_Production[Job Number],E136&amp;"")&gt;0,"Production",IF(COUNTIF(tbl_Consulting[Job Number],E136&amp;"")&gt;0,"Consulting","not set up yet"))))</f>
        <v/>
      </c>
      <c r="X136" s="25">
        <f>IF(E136="","",IFERROR(INDEX(lst_JobName,MATCH(E136&amp;"",lst_Jobs,0)),""))</f>
        <v/>
      </c>
      <c r="Y136" s="28">
        <f>IF(E136="","",COUNTIFS(tbl_Finance[Job Number],E136&amp;"",tbl_Finance[Ex GST],"&lt;&gt;"))</f>
        <v/>
      </c>
      <c r="Z136" s="27">
        <f>IF(E136="","",SUMIFS(tbl_Finance[Ex GST],tbl_Finance[Job Number],E136&amp;""))</f>
        <v/>
      </c>
      <c r="AA136" s="27">
        <f>IF(E136="","",SUMIFS(tbl_Finance[Ex GST],tbl_Finance[Job Number],E136&amp;"",tbl_Finance[Xero Invoice No],"&lt;&gt;"))</f>
        <v/>
      </c>
      <c r="AB136" s="27">
        <f>IF(E136="","",Z136-AA136)</f>
        <v/>
      </c>
      <c r="AC136" s="25">
        <f>IF(E136="","",IFERROR(IF(INDEX(tbl_Onsite[Qwilr Quote],IFERROR(MATCH(E136&amp;"",tbl_Onsite[Job Number],0),MATCH(IFERROR(E136+0,E136),tbl_Onsite[Job Number],0)))="","",INDEX(tbl_Onsite[Qwilr Quote],IFERROR(MATCH(E136&amp;"",tbl_Onsite[Job Number],0),MATCH(IFERROR(E136+0,E136),tbl_Onsite[Job Number],0)))),IFERROR(IF(IF(INDEX(tbl_Production[Current RMS No],IFERROR(MATCH(E136&amp;"",tbl_Production[Job Number],0),MATCH(IFERROR(E136+0,E136),tbl_Production[Job Number],0)))="",INDEX(tbl_Production[Qwilr Quote],IFERROR(MATCH(E136&amp;"",tbl_Production[Job Number],0),MATCH(IFERROR(E136+0,E136),tbl_Production[Job Number],0))),INDEX(tbl_Production[Current RMS No],IFERROR(MATCH(E136&amp;"",tbl_Production[Job Number],0),MATCH(IFERROR(E136+0,E136),tbl_Production[Job Number],0))))="","",IF(INDEX(tbl_Production[Current RMS No],IFERROR(MATCH(E136&amp;"",tbl_Production[Job Number],0),MATCH(IFERROR(E136+0,E136),tbl_Production[Job Number],0)))="",INDEX(tbl_Production[Qwilr Quote],IFERROR(MATCH(E136&amp;"",tbl_Production[Job Number],0),MATCH(IFERROR(E136+0,E136),tbl_Production[Job Number],0))),INDEX(tbl_Production[Current RMS No],IFERROR(MATCH(E136&amp;"",tbl_Production[Job Number],0),MATCH(IFERROR(E136+0,E136),tbl_Production[Job Number],0))))),IFERROR(IF(INDEX(tbl_Consulting[Qwilr Quote],IFERROR(MATCH(E136&amp;"",tbl_Consulting[Job Number],0),MATCH(IFERROR(E136+0,E136),tbl_Consulting[Job Number],0)))="","",INDEX(tbl_Consulting[Qwilr Quote],IFERROR(MATCH(E136&amp;"",tbl_Consulting[Job Number],0),MATCH(IFERROR(E136+0,E136),tbl_Consulting[Job Number],0)))),""))))</f>
        <v/>
      </c>
      <c r="AD136" s="25">
        <f>IF(AC136="","",IF(AND(LEFT(AC136,4)&lt;&gt;"http",IF(H136="Production",set_RMSBase,set_QwilrBase)=""),"",HYPERLINK(IF(LEFT(AC136,4)="http",AC136,IF(H136="Production",set_RMSBase,set_QwilrBase)&amp;AC136),"Open")))</f>
        <v/>
      </c>
      <c r="AE136" s="27">
        <f>IF(E136="","",IFERROR(INDEX(tbl_Production[Total Expense],IFERROR(MATCH(E136&amp;"",tbl_Production[Job Number],0),MATCH(IFERROR(E136+0,E136),tbl_Production[Job Number],0))),IFERROR(INDEX(tbl_Consulting[Total Expense],IFERROR(MATCH(E136&amp;"",tbl_Consulting[Job Number],0),MATCH(IFERROR(E136+0,E136),tbl_Consulting[Job Number],0))),0)))</f>
        <v/>
      </c>
      <c r="AF136" s="27">
        <f>IF(E136="","",Z136-N(AE136))</f>
        <v/>
      </c>
      <c r="AG136" s="29">
        <f>IFERROR(AF136/Z136,"")</f>
        <v/>
      </c>
      <c r="AH136" s="25">
        <f>IF(E136="","",IFERROR(IF(INDEX(tbl_Onsite[Notes],IFERROR(MATCH(E136&amp;"",tbl_Onsite[Job Number],0),MATCH(IFERROR(E136+0,E136),tbl_Onsite[Job Number],0)))="","",INDEX(tbl_Onsite[Notes],IFERROR(MATCH(E136&amp;"",tbl_Onsite[Job Number],0),MATCH(IFERROR(E136+0,E136),tbl_Onsite[Job Number],0)))),IFERROR(IF(INDEX(tbl_Production[Notes],IFERROR(MATCH(E136&amp;"",tbl_Production[Job Number],0),MATCH(IFERROR(E136+0,E136),tbl_Production[Job Number],0)))="","",INDEX(tbl_Production[Notes],IFERROR(MATCH(E136&amp;"",tbl_Production[Job Number],0),MATCH(IFERROR(E136+0,E136),tbl_Production[Job Number],0)))),IFERROR(IF(INDEX(tbl_Consulting[Notes],IFERROR(MATCH(E136&amp;"",tbl_Consulting[Job Number],0),MATCH(IFERROR(E136+0,E136),tbl_Consulting[Job Number],0)))="","",INDEX(tbl_Consulting[Notes],IFERROR(MATCH(E136&amp;"",tbl_Consulting[Job Number],0),MATCH(IFERROR(E136+0,E136),tbl_Consulting[Job Number],0)))),""))))</f>
        <v/>
      </c>
    </row>
    <row r="137" ht="15" customHeight="1">
      <c r="A137" s="22" t="n"/>
      <c r="B137" s="23">
        <f>IF(A137="","",EOMONTH(A137,0))</f>
        <v/>
      </c>
      <c r="C137" s="24" t="n"/>
      <c r="D137" s="24" t="n"/>
      <c r="E137" s="24" t="n"/>
      <c r="F137" s="25">
        <f>IF(E137="","",IF(COUNTIF(lst_Jobs,E137&amp;"")&gt;0,"OK","CHECK"))</f>
        <v/>
      </c>
      <c r="G137" s="24" t="n"/>
      <c r="H137" s="24" t="n"/>
      <c r="I137" s="24" t="n"/>
      <c r="J137" s="24" t="n"/>
      <c r="K137" s="24" t="n"/>
      <c r="L137" s="26" t="n"/>
      <c r="M137" s="27">
        <f>IF(L137="","",IF(K137="GST 10%",ROUND(L137*set_GSTRate,2),0))</f>
        <v/>
      </c>
      <c r="N137" s="27">
        <f>IF(L137="","",L137+M137)</f>
        <v/>
      </c>
      <c r="O137" s="24" t="n"/>
      <c r="P137" s="24" t="n"/>
      <c r="Q137" s="24" t="n"/>
      <c r="R137" s="22" t="n"/>
      <c r="S137" s="22" t="n"/>
      <c r="T137" s="24" t="n"/>
      <c r="U137" s="24" t="n"/>
      <c r="V137" s="2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25">
        <f>IF(E137="","",IF(COUNTIF(tbl_Onsite[Job Number],E137&amp;"")&gt;0,"Onsite",IF(COUNTIF(tbl_Production[Job Number],E137&amp;"")&gt;0,"Production",IF(COUNTIF(tbl_Consulting[Job Number],E137&amp;"")&gt;0,"Consulting","not set up yet"))))</f>
        <v/>
      </c>
      <c r="X137" s="25">
        <f>IF(E137="","",IFERROR(INDEX(lst_JobName,MATCH(E137&amp;"",lst_Jobs,0)),""))</f>
        <v/>
      </c>
      <c r="Y137" s="28">
        <f>IF(E137="","",COUNTIFS(tbl_Finance[Job Number],E137&amp;"",tbl_Finance[Ex GST],"&lt;&gt;"))</f>
        <v/>
      </c>
      <c r="Z137" s="27">
        <f>IF(E137="","",SUMIFS(tbl_Finance[Ex GST],tbl_Finance[Job Number],E137&amp;""))</f>
        <v/>
      </c>
      <c r="AA137" s="27">
        <f>IF(E137="","",SUMIFS(tbl_Finance[Ex GST],tbl_Finance[Job Number],E137&amp;"",tbl_Finance[Xero Invoice No],"&lt;&gt;"))</f>
        <v/>
      </c>
      <c r="AB137" s="27">
        <f>IF(E137="","",Z137-AA137)</f>
        <v/>
      </c>
      <c r="AC137" s="25">
        <f>IF(E137="","",IFERROR(IF(INDEX(tbl_Onsite[Qwilr Quote],IFERROR(MATCH(E137&amp;"",tbl_Onsite[Job Number],0),MATCH(IFERROR(E137+0,E137),tbl_Onsite[Job Number],0)))="","",INDEX(tbl_Onsite[Qwilr Quote],IFERROR(MATCH(E137&amp;"",tbl_Onsite[Job Number],0),MATCH(IFERROR(E137+0,E137),tbl_Onsite[Job Number],0)))),IFERROR(IF(IF(INDEX(tbl_Production[Current RMS No],IFERROR(MATCH(E137&amp;"",tbl_Production[Job Number],0),MATCH(IFERROR(E137+0,E137),tbl_Production[Job Number],0)))="",INDEX(tbl_Production[Qwilr Quote],IFERROR(MATCH(E137&amp;"",tbl_Production[Job Number],0),MATCH(IFERROR(E137+0,E137),tbl_Production[Job Number],0))),INDEX(tbl_Production[Current RMS No],IFERROR(MATCH(E137&amp;"",tbl_Production[Job Number],0),MATCH(IFERROR(E137+0,E137),tbl_Production[Job Number],0))))="","",IF(INDEX(tbl_Production[Current RMS No],IFERROR(MATCH(E137&amp;"",tbl_Production[Job Number],0),MATCH(IFERROR(E137+0,E137),tbl_Production[Job Number],0)))="",INDEX(tbl_Production[Qwilr Quote],IFERROR(MATCH(E137&amp;"",tbl_Production[Job Number],0),MATCH(IFERROR(E137+0,E137),tbl_Production[Job Number],0))),INDEX(tbl_Production[Current RMS No],IFERROR(MATCH(E137&amp;"",tbl_Production[Job Number],0),MATCH(IFERROR(E137+0,E137),tbl_Production[Job Number],0))))),IFERROR(IF(INDEX(tbl_Consulting[Qwilr Quote],IFERROR(MATCH(E137&amp;"",tbl_Consulting[Job Number],0),MATCH(IFERROR(E137+0,E137),tbl_Consulting[Job Number],0)))="","",INDEX(tbl_Consulting[Qwilr Quote],IFERROR(MATCH(E137&amp;"",tbl_Consulting[Job Number],0),MATCH(IFERROR(E137+0,E137),tbl_Consulting[Job Number],0)))),""))))</f>
        <v/>
      </c>
      <c r="AD137" s="25">
        <f>IF(AC137="","",IF(AND(LEFT(AC137,4)&lt;&gt;"http",IF(H137="Production",set_RMSBase,set_QwilrBase)=""),"",HYPERLINK(IF(LEFT(AC137,4)="http",AC137,IF(H137="Production",set_RMSBase,set_QwilrBase)&amp;AC137),"Open")))</f>
        <v/>
      </c>
      <c r="AE137" s="27">
        <f>IF(E137="","",IFERROR(INDEX(tbl_Production[Total Expense],IFERROR(MATCH(E137&amp;"",tbl_Production[Job Number],0),MATCH(IFERROR(E137+0,E137),tbl_Production[Job Number],0))),IFERROR(INDEX(tbl_Consulting[Total Expense],IFERROR(MATCH(E137&amp;"",tbl_Consulting[Job Number],0),MATCH(IFERROR(E137+0,E137),tbl_Consulting[Job Number],0))),0)))</f>
        <v/>
      </c>
      <c r="AF137" s="27">
        <f>IF(E137="","",Z137-N(AE137))</f>
        <v/>
      </c>
      <c r="AG137" s="29">
        <f>IFERROR(AF137/Z137,"")</f>
        <v/>
      </c>
      <c r="AH137" s="25">
        <f>IF(E137="","",IFERROR(IF(INDEX(tbl_Onsite[Notes],IFERROR(MATCH(E137&amp;"",tbl_Onsite[Job Number],0),MATCH(IFERROR(E137+0,E137),tbl_Onsite[Job Number],0)))="","",INDEX(tbl_Onsite[Notes],IFERROR(MATCH(E137&amp;"",tbl_Onsite[Job Number],0),MATCH(IFERROR(E137+0,E137),tbl_Onsite[Job Number],0)))),IFERROR(IF(INDEX(tbl_Production[Notes],IFERROR(MATCH(E137&amp;"",tbl_Production[Job Number],0),MATCH(IFERROR(E137+0,E137),tbl_Production[Job Number],0)))="","",INDEX(tbl_Production[Notes],IFERROR(MATCH(E137&amp;"",tbl_Production[Job Number],0),MATCH(IFERROR(E137+0,E137),tbl_Production[Job Number],0)))),IFERROR(IF(INDEX(tbl_Consulting[Notes],IFERROR(MATCH(E137&amp;"",tbl_Consulting[Job Number],0),MATCH(IFERROR(E137+0,E137),tbl_Consulting[Job Number],0)))="","",INDEX(tbl_Consulting[Notes],IFERROR(MATCH(E137&amp;"",tbl_Consulting[Job Number],0),MATCH(IFERROR(E137+0,E137),tbl_Consulting[Job Number],0)))),""))))</f>
        <v/>
      </c>
    </row>
    <row r="138" ht="15" customHeight="1">
      <c r="A138" s="22" t="n"/>
      <c r="B138" s="23">
        <f>IF(A138="","",EOMONTH(A138,0))</f>
        <v/>
      </c>
      <c r="C138" s="24" t="n"/>
      <c r="D138" s="24" t="n"/>
      <c r="E138" s="24" t="n"/>
      <c r="F138" s="25">
        <f>IF(E138="","",IF(COUNTIF(lst_Jobs,E138&amp;"")&gt;0,"OK","CHECK"))</f>
        <v/>
      </c>
      <c r="G138" s="24" t="n"/>
      <c r="H138" s="24" t="n"/>
      <c r="I138" s="24" t="n"/>
      <c r="J138" s="24" t="n"/>
      <c r="K138" s="24" t="n"/>
      <c r="L138" s="26" t="n"/>
      <c r="M138" s="27">
        <f>IF(L138="","",IF(K138="GST 10%",ROUND(L138*set_GSTRate,2),0))</f>
        <v/>
      </c>
      <c r="N138" s="27">
        <f>IF(L138="","",L138+M138)</f>
        <v/>
      </c>
      <c r="O138" s="24" t="n"/>
      <c r="P138" s="24" t="n"/>
      <c r="Q138" s="24" t="n"/>
      <c r="R138" s="22" t="n"/>
      <c r="S138" s="22" t="n"/>
      <c r="T138" s="24" t="n"/>
      <c r="U138" s="24" t="n"/>
      <c r="V138" s="2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25">
        <f>IF(E138="","",IF(COUNTIF(tbl_Onsite[Job Number],E138&amp;"")&gt;0,"Onsite",IF(COUNTIF(tbl_Production[Job Number],E138&amp;"")&gt;0,"Production",IF(COUNTIF(tbl_Consulting[Job Number],E138&amp;"")&gt;0,"Consulting","not set up yet"))))</f>
        <v/>
      </c>
      <c r="X138" s="25">
        <f>IF(E138="","",IFERROR(INDEX(lst_JobName,MATCH(E138&amp;"",lst_Jobs,0)),""))</f>
        <v/>
      </c>
      <c r="Y138" s="28">
        <f>IF(E138="","",COUNTIFS(tbl_Finance[Job Number],E138&amp;"",tbl_Finance[Ex GST],"&lt;&gt;"))</f>
        <v/>
      </c>
      <c r="Z138" s="27">
        <f>IF(E138="","",SUMIFS(tbl_Finance[Ex GST],tbl_Finance[Job Number],E138&amp;""))</f>
        <v/>
      </c>
      <c r="AA138" s="27">
        <f>IF(E138="","",SUMIFS(tbl_Finance[Ex GST],tbl_Finance[Job Number],E138&amp;"",tbl_Finance[Xero Invoice No],"&lt;&gt;"))</f>
        <v/>
      </c>
      <c r="AB138" s="27">
        <f>IF(E138="","",Z138-AA138)</f>
        <v/>
      </c>
      <c r="AC138" s="25">
        <f>IF(E138="","",IFERROR(IF(INDEX(tbl_Onsite[Qwilr Quote],IFERROR(MATCH(E138&amp;"",tbl_Onsite[Job Number],0),MATCH(IFERROR(E138+0,E138),tbl_Onsite[Job Number],0)))="","",INDEX(tbl_Onsite[Qwilr Quote],IFERROR(MATCH(E138&amp;"",tbl_Onsite[Job Number],0),MATCH(IFERROR(E138+0,E138),tbl_Onsite[Job Number],0)))),IFERROR(IF(IF(INDEX(tbl_Production[Current RMS No],IFERROR(MATCH(E138&amp;"",tbl_Production[Job Number],0),MATCH(IFERROR(E138+0,E138),tbl_Production[Job Number],0)))="",INDEX(tbl_Production[Qwilr Quote],IFERROR(MATCH(E138&amp;"",tbl_Production[Job Number],0),MATCH(IFERROR(E138+0,E138),tbl_Production[Job Number],0))),INDEX(tbl_Production[Current RMS No],IFERROR(MATCH(E138&amp;"",tbl_Production[Job Number],0),MATCH(IFERROR(E138+0,E138),tbl_Production[Job Number],0))))="","",IF(INDEX(tbl_Production[Current RMS No],IFERROR(MATCH(E138&amp;"",tbl_Production[Job Number],0),MATCH(IFERROR(E138+0,E138),tbl_Production[Job Number],0)))="",INDEX(tbl_Production[Qwilr Quote],IFERROR(MATCH(E138&amp;"",tbl_Production[Job Number],0),MATCH(IFERROR(E138+0,E138),tbl_Production[Job Number],0))),INDEX(tbl_Production[Current RMS No],IFERROR(MATCH(E138&amp;"",tbl_Production[Job Number],0),MATCH(IFERROR(E138+0,E138),tbl_Production[Job Number],0))))),IFERROR(IF(INDEX(tbl_Consulting[Qwilr Quote],IFERROR(MATCH(E138&amp;"",tbl_Consulting[Job Number],0),MATCH(IFERROR(E138+0,E138),tbl_Consulting[Job Number],0)))="","",INDEX(tbl_Consulting[Qwilr Quote],IFERROR(MATCH(E138&amp;"",tbl_Consulting[Job Number],0),MATCH(IFERROR(E138+0,E138),tbl_Consulting[Job Number],0)))),""))))</f>
        <v/>
      </c>
      <c r="AD138" s="25">
        <f>IF(AC138="","",IF(AND(LEFT(AC138,4)&lt;&gt;"http",IF(H138="Production",set_RMSBase,set_QwilrBase)=""),"",HYPERLINK(IF(LEFT(AC138,4)="http",AC138,IF(H138="Production",set_RMSBase,set_QwilrBase)&amp;AC138),"Open")))</f>
        <v/>
      </c>
      <c r="AE138" s="27">
        <f>IF(E138="","",IFERROR(INDEX(tbl_Production[Total Expense],IFERROR(MATCH(E138&amp;"",tbl_Production[Job Number],0),MATCH(IFERROR(E138+0,E138),tbl_Production[Job Number],0))),IFERROR(INDEX(tbl_Consulting[Total Expense],IFERROR(MATCH(E138&amp;"",tbl_Consulting[Job Number],0),MATCH(IFERROR(E138+0,E138),tbl_Consulting[Job Number],0))),0)))</f>
        <v/>
      </c>
      <c r="AF138" s="27">
        <f>IF(E138="","",Z138-N(AE138))</f>
        <v/>
      </c>
      <c r="AG138" s="29">
        <f>IFERROR(AF138/Z138,"")</f>
        <v/>
      </c>
      <c r="AH138" s="25">
        <f>IF(E138="","",IFERROR(IF(INDEX(tbl_Onsite[Notes],IFERROR(MATCH(E138&amp;"",tbl_Onsite[Job Number],0),MATCH(IFERROR(E138+0,E138),tbl_Onsite[Job Number],0)))="","",INDEX(tbl_Onsite[Notes],IFERROR(MATCH(E138&amp;"",tbl_Onsite[Job Number],0),MATCH(IFERROR(E138+0,E138),tbl_Onsite[Job Number],0)))),IFERROR(IF(INDEX(tbl_Production[Notes],IFERROR(MATCH(E138&amp;"",tbl_Production[Job Number],0),MATCH(IFERROR(E138+0,E138),tbl_Production[Job Number],0)))="","",INDEX(tbl_Production[Notes],IFERROR(MATCH(E138&amp;"",tbl_Production[Job Number],0),MATCH(IFERROR(E138+0,E138),tbl_Production[Job Number],0)))),IFERROR(IF(INDEX(tbl_Consulting[Notes],IFERROR(MATCH(E138&amp;"",tbl_Consulting[Job Number],0),MATCH(IFERROR(E138+0,E138),tbl_Consulting[Job Number],0)))="","",INDEX(tbl_Consulting[Notes],IFERROR(MATCH(E138&amp;"",tbl_Consulting[Job Number],0),MATCH(IFERROR(E138+0,E138),tbl_Consulting[Job Number],0)))),""))))</f>
        <v/>
      </c>
    </row>
    <row r="139" ht="15" customHeight="1">
      <c r="A139" s="22" t="n"/>
      <c r="B139" s="23">
        <f>IF(A139="","",EOMONTH(A139,0))</f>
        <v/>
      </c>
      <c r="C139" s="24" t="n"/>
      <c r="D139" s="24" t="n"/>
      <c r="E139" s="24" t="n"/>
      <c r="F139" s="25">
        <f>IF(E139="","",IF(COUNTIF(lst_Jobs,E139&amp;"")&gt;0,"OK","CHECK"))</f>
        <v/>
      </c>
      <c r="G139" s="24" t="n"/>
      <c r="H139" s="24" t="n"/>
      <c r="I139" s="24" t="n"/>
      <c r="J139" s="24" t="n"/>
      <c r="K139" s="24" t="n"/>
      <c r="L139" s="26" t="n"/>
      <c r="M139" s="27">
        <f>IF(L139="","",IF(K139="GST 10%",ROUND(L139*set_GSTRate,2),0))</f>
        <v/>
      </c>
      <c r="N139" s="27">
        <f>IF(L139="","",L139+M139)</f>
        <v/>
      </c>
      <c r="O139" s="24" t="n"/>
      <c r="P139" s="24" t="n"/>
      <c r="Q139" s="24" t="n"/>
      <c r="R139" s="22" t="n"/>
      <c r="S139" s="22" t="n"/>
      <c r="T139" s="24" t="n"/>
      <c r="U139" s="24" t="n"/>
      <c r="V139" s="2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25">
        <f>IF(E139="","",IF(COUNTIF(tbl_Onsite[Job Number],E139&amp;"")&gt;0,"Onsite",IF(COUNTIF(tbl_Production[Job Number],E139&amp;"")&gt;0,"Production",IF(COUNTIF(tbl_Consulting[Job Number],E139&amp;"")&gt;0,"Consulting","not set up yet"))))</f>
        <v/>
      </c>
      <c r="X139" s="25">
        <f>IF(E139="","",IFERROR(INDEX(lst_JobName,MATCH(E139&amp;"",lst_Jobs,0)),""))</f>
        <v/>
      </c>
      <c r="Y139" s="28">
        <f>IF(E139="","",COUNTIFS(tbl_Finance[Job Number],E139&amp;"",tbl_Finance[Ex GST],"&lt;&gt;"))</f>
        <v/>
      </c>
      <c r="Z139" s="27">
        <f>IF(E139="","",SUMIFS(tbl_Finance[Ex GST],tbl_Finance[Job Number],E139&amp;""))</f>
        <v/>
      </c>
      <c r="AA139" s="27">
        <f>IF(E139="","",SUMIFS(tbl_Finance[Ex GST],tbl_Finance[Job Number],E139&amp;"",tbl_Finance[Xero Invoice No],"&lt;&gt;"))</f>
        <v/>
      </c>
      <c r="AB139" s="27">
        <f>IF(E139="","",Z139-AA139)</f>
        <v/>
      </c>
      <c r="AC139" s="25">
        <f>IF(E139="","",IFERROR(IF(INDEX(tbl_Onsite[Qwilr Quote],IFERROR(MATCH(E139&amp;"",tbl_Onsite[Job Number],0),MATCH(IFERROR(E139+0,E139),tbl_Onsite[Job Number],0)))="","",INDEX(tbl_Onsite[Qwilr Quote],IFERROR(MATCH(E139&amp;"",tbl_Onsite[Job Number],0),MATCH(IFERROR(E139+0,E139),tbl_Onsite[Job Number],0)))),IFERROR(IF(IF(INDEX(tbl_Production[Current RMS No],IFERROR(MATCH(E139&amp;"",tbl_Production[Job Number],0),MATCH(IFERROR(E139+0,E139),tbl_Production[Job Number],0)))="",INDEX(tbl_Production[Qwilr Quote],IFERROR(MATCH(E139&amp;"",tbl_Production[Job Number],0),MATCH(IFERROR(E139+0,E139),tbl_Production[Job Number],0))),INDEX(tbl_Production[Current RMS No],IFERROR(MATCH(E139&amp;"",tbl_Production[Job Number],0),MATCH(IFERROR(E139+0,E139),tbl_Production[Job Number],0))))="","",IF(INDEX(tbl_Production[Current RMS No],IFERROR(MATCH(E139&amp;"",tbl_Production[Job Number],0),MATCH(IFERROR(E139+0,E139),tbl_Production[Job Number],0)))="",INDEX(tbl_Production[Qwilr Quote],IFERROR(MATCH(E139&amp;"",tbl_Production[Job Number],0),MATCH(IFERROR(E139+0,E139),tbl_Production[Job Number],0))),INDEX(tbl_Production[Current RMS No],IFERROR(MATCH(E139&amp;"",tbl_Production[Job Number],0),MATCH(IFERROR(E139+0,E139),tbl_Production[Job Number],0))))),IFERROR(IF(INDEX(tbl_Consulting[Qwilr Quote],IFERROR(MATCH(E139&amp;"",tbl_Consulting[Job Number],0),MATCH(IFERROR(E139+0,E139),tbl_Consulting[Job Number],0)))="","",INDEX(tbl_Consulting[Qwilr Quote],IFERROR(MATCH(E139&amp;"",tbl_Consulting[Job Number],0),MATCH(IFERROR(E139+0,E139),tbl_Consulting[Job Number],0)))),""))))</f>
        <v/>
      </c>
      <c r="AD139" s="25">
        <f>IF(AC139="","",IF(AND(LEFT(AC139,4)&lt;&gt;"http",IF(H139="Production",set_RMSBase,set_QwilrBase)=""),"",HYPERLINK(IF(LEFT(AC139,4)="http",AC139,IF(H139="Production",set_RMSBase,set_QwilrBase)&amp;AC139),"Open")))</f>
        <v/>
      </c>
      <c r="AE139" s="27">
        <f>IF(E139="","",IFERROR(INDEX(tbl_Production[Total Expense],IFERROR(MATCH(E139&amp;"",tbl_Production[Job Number],0),MATCH(IFERROR(E139+0,E139),tbl_Production[Job Number],0))),IFERROR(INDEX(tbl_Consulting[Total Expense],IFERROR(MATCH(E139&amp;"",tbl_Consulting[Job Number],0),MATCH(IFERROR(E139+0,E139),tbl_Consulting[Job Number],0))),0)))</f>
        <v/>
      </c>
      <c r="AF139" s="27">
        <f>IF(E139="","",Z139-N(AE139))</f>
        <v/>
      </c>
      <c r="AG139" s="29">
        <f>IFERROR(AF139/Z139,"")</f>
        <v/>
      </c>
      <c r="AH139" s="25">
        <f>IF(E139="","",IFERROR(IF(INDEX(tbl_Onsite[Notes],IFERROR(MATCH(E139&amp;"",tbl_Onsite[Job Number],0),MATCH(IFERROR(E139+0,E139),tbl_Onsite[Job Number],0)))="","",INDEX(tbl_Onsite[Notes],IFERROR(MATCH(E139&amp;"",tbl_Onsite[Job Number],0),MATCH(IFERROR(E139+0,E139),tbl_Onsite[Job Number],0)))),IFERROR(IF(INDEX(tbl_Production[Notes],IFERROR(MATCH(E139&amp;"",tbl_Production[Job Number],0),MATCH(IFERROR(E139+0,E139),tbl_Production[Job Number],0)))="","",INDEX(tbl_Production[Notes],IFERROR(MATCH(E139&amp;"",tbl_Production[Job Number],0),MATCH(IFERROR(E139+0,E139),tbl_Production[Job Number],0)))),IFERROR(IF(INDEX(tbl_Consulting[Notes],IFERROR(MATCH(E139&amp;"",tbl_Consulting[Job Number],0),MATCH(IFERROR(E139+0,E139),tbl_Consulting[Job Number],0)))="","",INDEX(tbl_Consulting[Notes],IFERROR(MATCH(E139&amp;"",tbl_Consulting[Job Number],0),MATCH(IFERROR(E139+0,E139),tbl_Consulting[Job Number],0)))),""))))</f>
        <v/>
      </c>
    </row>
    <row r="140" ht="15" customHeight="1">
      <c r="A140" s="22" t="n"/>
      <c r="B140" s="23">
        <f>IF(A140="","",EOMONTH(A140,0))</f>
        <v/>
      </c>
      <c r="C140" s="24" t="n"/>
      <c r="D140" s="24" t="n"/>
      <c r="E140" s="24" t="n"/>
      <c r="F140" s="25">
        <f>IF(E140="","",IF(COUNTIF(lst_Jobs,E140&amp;"")&gt;0,"OK","CHECK"))</f>
        <v/>
      </c>
      <c r="G140" s="24" t="n"/>
      <c r="H140" s="24" t="n"/>
      <c r="I140" s="24" t="n"/>
      <c r="J140" s="24" t="n"/>
      <c r="K140" s="24" t="n"/>
      <c r="L140" s="26" t="n"/>
      <c r="M140" s="27">
        <f>IF(L140="","",IF(K140="GST 10%",ROUND(L140*set_GSTRate,2),0))</f>
        <v/>
      </c>
      <c r="N140" s="27">
        <f>IF(L140="","",L140+M140)</f>
        <v/>
      </c>
      <c r="O140" s="24" t="n"/>
      <c r="P140" s="24" t="n"/>
      <c r="Q140" s="24" t="n"/>
      <c r="R140" s="22" t="n"/>
      <c r="S140" s="22" t="n"/>
      <c r="T140" s="24" t="n"/>
      <c r="U140" s="24" t="n"/>
      <c r="V140" s="2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25">
        <f>IF(E140="","",IF(COUNTIF(tbl_Onsite[Job Number],E140&amp;"")&gt;0,"Onsite",IF(COUNTIF(tbl_Production[Job Number],E140&amp;"")&gt;0,"Production",IF(COUNTIF(tbl_Consulting[Job Number],E140&amp;"")&gt;0,"Consulting","not set up yet"))))</f>
        <v/>
      </c>
      <c r="X140" s="25">
        <f>IF(E140="","",IFERROR(INDEX(lst_JobName,MATCH(E140&amp;"",lst_Jobs,0)),""))</f>
        <v/>
      </c>
      <c r="Y140" s="28">
        <f>IF(E140="","",COUNTIFS(tbl_Finance[Job Number],E140&amp;"",tbl_Finance[Ex GST],"&lt;&gt;"))</f>
        <v/>
      </c>
      <c r="Z140" s="27">
        <f>IF(E140="","",SUMIFS(tbl_Finance[Ex GST],tbl_Finance[Job Number],E140&amp;""))</f>
        <v/>
      </c>
      <c r="AA140" s="27">
        <f>IF(E140="","",SUMIFS(tbl_Finance[Ex GST],tbl_Finance[Job Number],E140&amp;"",tbl_Finance[Xero Invoice No],"&lt;&gt;"))</f>
        <v/>
      </c>
      <c r="AB140" s="27">
        <f>IF(E140="","",Z140-AA140)</f>
        <v/>
      </c>
      <c r="AC140" s="25">
        <f>IF(E140="","",IFERROR(IF(INDEX(tbl_Onsite[Qwilr Quote],IFERROR(MATCH(E140&amp;"",tbl_Onsite[Job Number],0),MATCH(IFERROR(E140+0,E140),tbl_Onsite[Job Number],0)))="","",INDEX(tbl_Onsite[Qwilr Quote],IFERROR(MATCH(E140&amp;"",tbl_Onsite[Job Number],0),MATCH(IFERROR(E140+0,E140),tbl_Onsite[Job Number],0)))),IFERROR(IF(IF(INDEX(tbl_Production[Current RMS No],IFERROR(MATCH(E140&amp;"",tbl_Production[Job Number],0),MATCH(IFERROR(E140+0,E140),tbl_Production[Job Number],0)))="",INDEX(tbl_Production[Qwilr Quote],IFERROR(MATCH(E140&amp;"",tbl_Production[Job Number],0),MATCH(IFERROR(E140+0,E140),tbl_Production[Job Number],0))),INDEX(tbl_Production[Current RMS No],IFERROR(MATCH(E140&amp;"",tbl_Production[Job Number],0),MATCH(IFERROR(E140+0,E140),tbl_Production[Job Number],0))))="","",IF(INDEX(tbl_Production[Current RMS No],IFERROR(MATCH(E140&amp;"",tbl_Production[Job Number],0),MATCH(IFERROR(E140+0,E140),tbl_Production[Job Number],0)))="",INDEX(tbl_Production[Qwilr Quote],IFERROR(MATCH(E140&amp;"",tbl_Production[Job Number],0),MATCH(IFERROR(E140+0,E140),tbl_Production[Job Number],0))),INDEX(tbl_Production[Current RMS No],IFERROR(MATCH(E140&amp;"",tbl_Production[Job Number],0),MATCH(IFERROR(E140+0,E140),tbl_Production[Job Number],0))))),IFERROR(IF(INDEX(tbl_Consulting[Qwilr Quote],IFERROR(MATCH(E140&amp;"",tbl_Consulting[Job Number],0),MATCH(IFERROR(E140+0,E140),tbl_Consulting[Job Number],0)))="","",INDEX(tbl_Consulting[Qwilr Quote],IFERROR(MATCH(E140&amp;"",tbl_Consulting[Job Number],0),MATCH(IFERROR(E140+0,E140),tbl_Consulting[Job Number],0)))),""))))</f>
        <v/>
      </c>
      <c r="AD140" s="25">
        <f>IF(AC140="","",IF(AND(LEFT(AC140,4)&lt;&gt;"http",IF(H140="Production",set_RMSBase,set_QwilrBase)=""),"",HYPERLINK(IF(LEFT(AC140,4)="http",AC140,IF(H140="Production",set_RMSBase,set_QwilrBase)&amp;AC140),"Open")))</f>
        <v/>
      </c>
      <c r="AE140" s="27">
        <f>IF(E140="","",IFERROR(INDEX(tbl_Production[Total Expense],IFERROR(MATCH(E140&amp;"",tbl_Production[Job Number],0),MATCH(IFERROR(E140+0,E140),tbl_Production[Job Number],0))),IFERROR(INDEX(tbl_Consulting[Total Expense],IFERROR(MATCH(E140&amp;"",tbl_Consulting[Job Number],0),MATCH(IFERROR(E140+0,E140),tbl_Consulting[Job Number],0))),0)))</f>
        <v/>
      </c>
      <c r="AF140" s="27">
        <f>IF(E140="","",Z140-N(AE140))</f>
        <v/>
      </c>
      <c r="AG140" s="29">
        <f>IFERROR(AF140/Z140,"")</f>
        <v/>
      </c>
      <c r="AH140" s="25">
        <f>IF(E140="","",IFERROR(IF(INDEX(tbl_Onsite[Notes],IFERROR(MATCH(E140&amp;"",tbl_Onsite[Job Number],0),MATCH(IFERROR(E140+0,E140),tbl_Onsite[Job Number],0)))="","",INDEX(tbl_Onsite[Notes],IFERROR(MATCH(E140&amp;"",tbl_Onsite[Job Number],0),MATCH(IFERROR(E140+0,E140),tbl_Onsite[Job Number],0)))),IFERROR(IF(INDEX(tbl_Production[Notes],IFERROR(MATCH(E140&amp;"",tbl_Production[Job Number],0),MATCH(IFERROR(E140+0,E140),tbl_Production[Job Number],0)))="","",INDEX(tbl_Production[Notes],IFERROR(MATCH(E140&amp;"",tbl_Production[Job Number],0),MATCH(IFERROR(E140+0,E140),tbl_Production[Job Number],0)))),IFERROR(IF(INDEX(tbl_Consulting[Notes],IFERROR(MATCH(E140&amp;"",tbl_Consulting[Job Number],0),MATCH(IFERROR(E140+0,E140),tbl_Consulting[Job Number],0)))="","",INDEX(tbl_Consulting[Notes],IFERROR(MATCH(E140&amp;"",tbl_Consulting[Job Number],0),MATCH(IFERROR(E140+0,E140),tbl_Consulting[Job Number],0)))),""))))</f>
        <v/>
      </c>
    </row>
    <row r="141" ht="15" customHeight="1">
      <c r="A141" s="22" t="n"/>
      <c r="B141" s="23">
        <f>IF(A141="","",EOMONTH(A141,0))</f>
        <v/>
      </c>
      <c r="C141" s="24" t="n"/>
      <c r="D141" s="24" t="n"/>
      <c r="E141" s="24" t="n"/>
      <c r="F141" s="25">
        <f>IF(E141="","",IF(COUNTIF(lst_Jobs,E141&amp;"")&gt;0,"OK","CHECK"))</f>
        <v/>
      </c>
      <c r="G141" s="24" t="n"/>
      <c r="H141" s="24" t="n"/>
      <c r="I141" s="24" t="n"/>
      <c r="J141" s="24" t="n"/>
      <c r="K141" s="24" t="n"/>
      <c r="L141" s="26" t="n"/>
      <c r="M141" s="27">
        <f>IF(L141="","",IF(K141="GST 10%",ROUND(L141*set_GSTRate,2),0))</f>
        <v/>
      </c>
      <c r="N141" s="27">
        <f>IF(L141="","",L141+M141)</f>
        <v/>
      </c>
      <c r="O141" s="24" t="n"/>
      <c r="P141" s="24" t="n"/>
      <c r="Q141" s="24" t="n"/>
      <c r="R141" s="22" t="n"/>
      <c r="S141" s="22" t="n"/>
      <c r="T141" s="24" t="n"/>
      <c r="U141" s="24" t="n"/>
      <c r="V141" s="2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25">
        <f>IF(E141="","",IF(COUNTIF(tbl_Onsite[Job Number],E141&amp;"")&gt;0,"Onsite",IF(COUNTIF(tbl_Production[Job Number],E141&amp;"")&gt;0,"Production",IF(COUNTIF(tbl_Consulting[Job Number],E141&amp;"")&gt;0,"Consulting","not set up yet"))))</f>
        <v/>
      </c>
      <c r="X141" s="25">
        <f>IF(E141="","",IFERROR(INDEX(lst_JobName,MATCH(E141&amp;"",lst_Jobs,0)),""))</f>
        <v/>
      </c>
      <c r="Y141" s="28">
        <f>IF(E141="","",COUNTIFS(tbl_Finance[Job Number],E141&amp;"",tbl_Finance[Ex GST],"&lt;&gt;"))</f>
        <v/>
      </c>
      <c r="Z141" s="27">
        <f>IF(E141="","",SUMIFS(tbl_Finance[Ex GST],tbl_Finance[Job Number],E141&amp;""))</f>
        <v/>
      </c>
      <c r="AA141" s="27">
        <f>IF(E141="","",SUMIFS(tbl_Finance[Ex GST],tbl_Finance[Job Number],E141&amp;"",tbl_Finance[Xero Invoice No],"&lt;&gt;"))</f>
        <v/>
      </c>
      <c r="AB141" s="27">
        <f>IF(E141="","",Z141-AA141)</f>
        <v/>
      </c>
      <c r="AC141" s="25">
        <f>IF(E141="","",IFERROR(IF(INDEX(tbl_Onsite[Qwilr Quote],IFERROR(MATCH(E141&amp;"",tbl_Onsite[Job Number],0),MATCH(IFERROR(E141+0,E141),tbl_Onsite[Job Number],0)))="","",INDEX(tbl_Onsite[Qwilr Quote],IFERROR(MATCH(E141&amp;"",tbl_Onsite[Job Number],0),MATCH(IFERROR(E141+0,E141),tbl_Onsite[Job Number],0)))),IFERROR(IF(IF(INDEX(tbl_Production[Current RMS No],IFERROR(MATCH(E141&amp;"",tbl_Production[Job Number],0),MATCH(IFERROR(E141+0,E141),tbl_Production[Job Number],0)))="",INDEX(tbl_Production[Qwilr Quote],IFERROR(MATCH(E141&amp;"",tbl_Production[Job Number],0),MATCH(IFERROR(E141+0,E141),tbl_Production[Job Number],0))),INDEX(tbl_Production[Current RMS No],IFERROR(MATCH(E141&amp;"",tbl_Production[Job Number],0),MATCH(IFERROR(E141+0,E141),tbl_Production[Job Number],0))))="","",IF(INDEX(tbl_Production[Current RMS No],IFERROR(MATCH(E141&amp;"",tbl_Production[Job Number],0),MATCH(IFERROR(E141+0,E141),tbl_Production[Job Number],0)))="",INDEX(tbl_Production[Qwilr Quote],IFERROR(MATCH(E141&amp;"",tbl_Production[Job Number],0),MATCH(IFERROR(E141+0,E141),tbl_Production[Job Number],0))),INDEX(tbl_Production[Current RMS No],IFERROR(MATCH(E141&amp;"",tbl_Production[Job Number],0),MATCH(IFERROR(E141+0,E141),tbl_Production[Job Number],0))))),IFERROR(IF(INDEX(tbl_Consulting[Qwilr Quote],IFERROR(MATCH(E141&amp;"",tbl_Consulting[Job Number],0),MATCH(IFERROR(E141+0,E141),tbl_Consulting[Job Number],0)))="","",INDEX(tbl_Consulting[Qwilr Quote],IFERROR(MATCH(E141&amp;"",tbl_Consulting[Job Number],0),MATCH(IFERROR(E141+0,E141),tbl_Consulting[Job Number],0)))),""))))</f>
        <v/>
      </c>
      <c r="AD141" s="25">
        <f>IF(AC141="","",IF(AND(LEFT(AC141,4)&lt;&gt;"http",IF(H141="Production",set_RMSBase,set_QwilrBase)=""),"",HYPERLINK(IF(LEFT(AC141,4)="http",AC141,IF(H141="Production",set_RMSBase,set_QwilrBase)&amp;AC141),"Open")))</f>
        <v/>
      </c>
      <c r="AE141" s="27">
        <f>IF(E141="","",IFERROR(INDEX(tbl_Production[Total Expense],IFERROR(MATCH(E141&amp;"",tbl_Production[Job Number],0),MATCH(IFERROR(E141+0,E141),tbl_Production[Job Number],0))),IFERROR(INDEX(tbl_Consulting[Total Expense],IFERROR(MATCH(E141&amp;"",tbl_Consulting[Job Number],0),MATCH(IFERROR(E141+0,E141),tbl_Consulting[Job Number],0))),0)))</f>
        <v/>
      </c>
      <c r="AF141" s="27">
        <f>IF(E141="","",Z141-N(AE141))</f>
        <v/>
      </c>
      <c r="AG141" s="29">
        <f>IFERROR(AF141/Z141,"")</f>
        <v/>
      </c>
      <c r="AH141" s="25">
        <f>IF(E141="","",IFERROR(IF(INDEX(tbl_Onsite[Notes],IFERROR(MATCH(E141&amp;"",tbl_Onsite[Job Number],0),MATCH(IFERROR(E141+0,E141),tbl_Onsite[Job Number],0)))="","",INDEX(tbl_Onsite[Notes],IFERROR(MATCH(E141&amp;"",tbl_Onsite[Job Number],0),MATCH(IFERROR(E141+0,E141),tbl_Onsite[Job Number],0)))),IFERROR(IF(INDEX(tbl_Production[Notes],IFERROR(MATCH(E141&amp;"",tbl_Production[Job Number],0),MATCH(IFERROR(E141+0,E141),tbl_Production[Job Number],0)))="","",INDEX(tbl_Production[Notes],IFERROR(MATCH(E141&amp;"",tbl_Production[Job Number],0),MATCH(IFERROR(E141+0,E141),tbl_Production[Job Number],0)))),IFERROR(IF(INDEX(tbl_Consulting[Notes],IFERROR(MATCH(E141&amp;"",tbl_Consulting[Job Number],0),MATCH(IFERROR(E141+0,E141),tbl_Consulting[Job Number],0)))="","",INDEX(tbl_Consulting[Notes],IFERROR(MATCH(E141&amp;"",tbl_Consulting[Job Number],0),MATCH(IFERROR(E141+0,E141),tbl_Consulting[Job Number],0)))),""))))</f>
        <v/>
      </c>
    </row>
    <row r="142" ht="15" customHeight="1">
      <c r="A142" s="22" t="n"/>
      <c r="B142" s="23">
        <f>IF(A142="","",EOMONTH(A142,0))</f>
        <v/>
      </c>
      <c r="C142" s="24" t="n"/>
      <c r="D142" s="24" t="n"/>
      <c r="E142" s="24" t="n"/>
      <c r="F142" s="25">
        <f>IF(E142="","",IF(COUNTIF(lst_Jobs,E142&amp;"")&gt;0,"OK","CHECK"))</f>
        <v/>
      </c>
      <c r="G142" s="24" t="n"/>
      <c r="H142" s="24" t="n"/>
      <c r="I142" s="24" t="n"/>
      <c r="J142" s="24" t="n"/>
      <c r="K142" s="24" t="n"/>
      <c r="L142" s="26" t="n"/>
      <c r="M142" s="27">
        <f>IF(L142="","",IF(K142="GST 10%",ROUND(L142*set_GSTRate,2),0))</f>
        <v/>
      </c>
      <c r="N142" s="27">
        <f>IF(L142="","",L142+M142)</f>
        <v/>
      </c>
      <c r="O142" s="24" t="n"/>
      <c r="P142" s="24" t="n"/>
      <c r="Q142" s="24" t="n"/>
      <c r="R142" s="22" t="n"/>
      <c r="S142" s="22" t="n"/>
      <c r="T142" s="24" t="n"/>
      <c r="U142" s="24" t="n"/>
      <c r="V142" s="2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25">
        <f>IF(E142="","",IF(COUNTIF(tbl_Onsite[Job Number],E142&amp;"")&gt;0,"Onsite",IF(COUNTIF(tbl_Production[Job Number],E142&amp;"")&gt;0,"Production",IF(COUNTIF(tbl_Consulting[Job Number],E142&amp;"")&gt;0,"Consulting","not set up yet"))))</f>
        <v/>
      </c>
      <c r="X142" s="25">
        <f>IF(E142="","",IFERROR(INDEX(lst_JobName,MATCH(E142&amp;"",lst_Jobs,0)),""))</f>
        <v/>
      </c>
      <c r="Y142" s="28">
        <f>IF(E142="","",COUNTIFS(tbl_Finance[Job Number],E142&amp;"",tbl_Finance[Ex GST],"&lt;&gt;"))</f>
        <v/>
      </c>
      <c r="Z142" s="27">
        <f>IF(E142="","",SUMIFS(tbl_Finance[Ex GST],tbl_Finance[Job Number],E142&amp;""))</f>
        <v/>
      </c>
      <c r="AA142" s="27">
        <f>IF(E142="","",SUMIFS(tbl_Finance[Ex GST],tbl_Finance[Job Number],E142&amp;"",tbl_Finance[Xero Invoice No],"&lt;&gt;"))</f>
        <v/>
      </c>
      <c r="AB142" s="27">
        <f>IF(E142="","",Z142-AA142)</f>
        <v/>
      </c>
      <c r="AC142" s="25">
        <f>IF(E142="","",IFERROR(IF(INDEX(tbl_Onsite[Qwilr Quote],IFERROR(MATCH(E142&amp;"",tbl_Onsite[Job Number],0),MATCH(IFERROR(E142+0,E142),tbl_Onsite[Job Number],0)))="","",INDEX(tbl_Onsite[Qwilr Quote],IFERROR(MATCH(E142&amp;"",tbl_Onsite[Job Number],0),MATCH(IFERROR(E142+0,E142),tbl_Onsite[Job Number],0)))),IFERROR(IF(IF(INDEX(tbl_Production[Current RMS No],IFERROR(MATCH(E142&amp;"",tbl_Production[Job Number],0),MATCH(IFERROR(E142+0,E142),tbl_Production[Job Number],0)))="",INDEX(tbl_Production[Qwilr Quote],IFERROR(MATCH(E142&amp;"",tbl_Production[Job Number],0),MATCH(IFERROR(E142+0,E142),tbl_Production[Job Number],0))),INDEX(tbl_Production[Current RMS No],IFERROR(MATCH(E142&amp;"",tbl_Production[Job Number],0),MATCH(IFERROR(E142+0,E142),tbl_Production[Job Number],0))))="","",IF(INDEX(tbl_Production[Current RMS No],IFERROR(MATCH(E142&amp;"",tbl_Production[Job Number],0),MATCH(IFERROR(E142+0,E142),tbl_Production[Job Number],0)))="",INDEX(tbl_Production[Qwilr Quote],IFERROR(MATCH(E142&amp;"",tbl_Production[Job Number],0),MATCH(IFERROR(E142+0,E142),tbl_Production[Job Number],0))),INDEX(tbl_Production[Current RMS No],IFERROR(MATCH(E142&amp;"",tbl_Production[Job Number],0),MATCH(IFERROR(E142+0,E142),tbl_Production[Job Number],0))))),IFERROR(IF(INDEX(tbl_Consulting[Qwilr Quote],IFERROR(MATCH(E142&amp;"",tbl_Consulting[Job Number],0),MATCH(IFERROR(E142+0,E142),tbl_Consulting[Job Number],0)))="","",INDEX(tbl_Consulting[Qwilr Quote],IFERROR(MATCH(E142&amp;"",tbl_Consulting[Job Number],0),MATCH(IFERROR(E142+0,E142),tbl_Consulting[Job Number],0)))),""))))</f>
        <v/>
      </c>
      <c r="AD142" s="25">
        <f>IF(AC142="","",IF(AND(LEFT(AC142,4)&lt;&gt;"http",IF(H142="Production",set_RMSBase,set_QwilrBase)=""),"",HYPERLINK(IF(LEFT(AC142,4)="http",AC142,IF(H142="Production",set_RMSBase,set_QwilrBase)&amp;AC142),"Open")))</f>
        <v/>
      </c>
      <c r="AE142" s="27">
        <f>IF(E142="","",IFERROR(INDEX(tbl_Production[Total Expense],IFERROR(MATCH(E142&amp;"",tbl_Production[Job Number],0),MATCH(IFERROR(E142+0,E142),tbl_Production[Job Number],0))),IFERROR(INDEX(tbl_Consulting[Total Expense],IFERROR(MATCH(E142&amp;"",tbl_Consulting[Job Number],0),MATCH(IFERROR(E142+0,E142),tbl_Consulting[Job Number],0))),0)))</f>
        <v/>
      </c>
      <c r="AF142" s="27">
        <f>IF(E142="","",Z142-N(AE142))</f>
        <v/>
      </c>
      <c r="AG142" s="29">
        <f>IFERROR(AF142/Z142,"")</f>
        <v/>
      </c>
      <c r="AH142" s="25">
        <f>IF(E142="","",IFERROR(IF(INDEX(tbl_Onsite[Notes],IFERROR(MATCH(E142&amp;"",tbl_Onsite[Job Number],0),MATCH(IFERROR(E142+0,E142),tbl_Onsite[Job Number],0)))="","",INDEX(tbl_Onsite[Notes],IFERROR(MATCH(E142&amp;"",tbl_Onsite[Job Number],0),MATCH(IFERROR(E142+0,E142),tbl_Onsite[Job Number],0)))),IFERROR(IF(INDEX(tbl_Production[Notes],IFERROR(MATCH(E142&amp;"",tbl_Production[Job Number],0),MATCH(IFERROR(E142+0,E142),tbl_Production[Job Number],0)))="","",INDEX(tbl_Production[Notes],IFERROR(MATCH(E142&amp;"",tbl_Production[Job Number],0),MATCH(IFERROR(E142+0,E142),tbl_Production[Job Number],0)))),IFERROR(IF(INDEX(tbl_Consulting[Notes],IFERROR(MATCH(E142&amp;"",tbl_Consulting[Job Number],0),MATCH(IFERROR(E142+0,E142),tbl_Consulting[Job Number],0)))="","",INDEX(tbl_Consulting[Notes],IFERROR(MATCH(E142&amp;"",tbl_Consulting[Job Number],0),MATCH(IFERROR(E142+0,E142),tbl_Consulting[Job Number],0)))),""))))</f>
        <v/>
      </c>
    </row>
    <row r="143" ht="15" customHeight="1">
      <c r="A143" s="22" t="n"/>
      <c r="B143" s="23">
        <f>IF(A143="","",EOMONTH(A143,0))</f>
        <v/>
      </c>
      <c r="C143" s="24" t="n"/>
      <c r="D143" s="24" t="n"/>
      <c r="E143" s="24" t="n"/>
      <c r="F143" s="25">
        <f>IF(E143="","",IF(COUNTIF(lst_Jobs,E143&amp;"")&gt;0,"OK","CHECK"))</f>
        <v/>
      </c>
      <c r="G143" s="24" t="n"/>
      <c r="H143" s="24" t="n"/>
      <c r="I143" s="24" t="n"/>
      <c r="J143" s="24" t="n"/>
      <c r="K143" s="24" t="n"/>
      <c r="L143" s="26" t="n"/>
      <c r="M143" s="27">
        <f>IF(L143="","",IF(K143="GST 10%",ROUND(L143*set_GSTRate,2),0))</f>
        <v/>
      </c>
      <c r="N143" s="27">
        <f>IF(L143="","",L143+M143)</f>
        <v/>
      </c>
      <c r="O143" s="24" t="n"/>
      <c r="P143" s="24" t="n"/>
      <c r="Q143" s="24" t="n"/>
      <c r="R143" s="22" t="n"/>
      <c r="S143" s="22" t="n"/>
      <c r="T143" s="24" t="n"/>
      <c r="U143" s="24" t="n"/>
      <c r="V143" s="2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25">
        <f>IF(E143="","",IF(COUNTIF(tbl_Onsite[Job Number],E143&amp;"")&gt;0,"Onsite",IF(COUNTIF(tbl_Production[Job Number],E143&amp;"")&gt;0,"Production",IF(COUNTIF(tbl_Consulting[Job Number],E143&amp;"")&gt;0,"Consulting","not set up yet"))))</f>
        <v/>
      </c>
      <c r="X143" s="25">
        <f>IF(E143="","",IFERROR(INDEX(lst_JobName,MATCH(E143&amp;"",lst_Jobs,0)),""))</f>
        <v/>
      </c>
      <c r="Y143" s="28">
        <f>IF(E143="","",COUNTIFS(tbl_Finance[Job Number],E143&amp;"",tbl_Finance[Ex GST],"&lt;&gt;"))</f>
        <v/>
      </c>
      <c r="Z143" s="27">
        <f>IF(E143="","",SUMIFS(tbl_Finance[Ex GST],tbl_Finance[Job Number],E143&amp;""))</f>
        <v/>
      </c>
      <c r="AA143" s="27">
        <f>IF(E143="","",SUMIFS(tbl_Finance[Ex GST],tbl_Finance[Job Number],E143&amp;"",tbl_Finance[Xero Invoice No],"&lt;&gt;"))</f>
        <v/>
      </c>
      <c r="AB143" s="27">
        <f>IF(E143="","",Z143-AA143)</f>
        <v/>
      </c>
      <c r="AC143" s="25">
        <f>IF(E143="","",IFERROR(IF(INDEX(tbl_Onsite[Qwilr Quote],IFERROR(MATCH(E143&amp;"",tbl_Onsite[Job Number],0),MATCH(IFERROR(E143+0,E143),tbl_Onsite[Job Number],0)))="","",INDEX(tbl_Onsite[Qwilr Quote],IFERROR(MATCH(E143&amp;"",tbl_Onsite[Job Number],0),MATCH(IFERROR(E143+0,E143),tbl_Onsite[Job Number],0)))),IFERROR(IF(IF(INDEX(tbl_Production[Current RMS No],IFERROR(MATCH(E143&amp;"",tbl_Production[Job Number],0),MATCH(IFERROR(E143+0,E143),tbl_Production[Job Number],0)))="",INDEX(tbl_Production[Qwilr Quote],IFERROR(MATCH(E143&amp;"",tbl_Production[Job Number],0),MATCH(IFERROR(E143+0,E143),tbl_Production[Job Number],0))),INDEX(tbl_Production[Current RMS No],IFERROR(MATCH(E143&amp;"",tbl_Production[Job Number],0),MATCH(IFERROR(E143+0,E143),tbl_Production[Job Number],0))))="","",IF(INDEX(tbl_Production[Current RMS No],IFERROR(MATCH(E143&amp;"",tbl_Production[Job Number],0),MATCH(IFERROR(E143+0,E143),tbl_Production[Job Number],0)))="",INDEX(tbl_Production[Qwilr Quote],IFERROR(MATCH(E143&amp;"",tbl_Production[Job Number],0),MATCH(IFERROR(E143+0,E143),tbl_Production[Job Number],0))),INDEX(tbl_Production[Current RMS No],IFERROR(MATCH(E143&amp;"",tbl_Production[Job Number],0),MATCH(IFERROR(E143+0,E143),tbl_Production[Job Number],0))))),IFERROR(IF(INDEX(tbl_Consulting[Qwilr Quote],IFERROR(MATCH(E143&amp;"",tbl_Consulting[Job Number],0),MATCH(IFERROR(E143+0,E143),tbl_Consulting[Job Number],0)))="","",INDEX(tbl_Consulting[Qwilr Quote],IFERROR(MATCH(E143&amp;"",tbl_Consulting[Job Number],0),MATCH(IFERROR(E143+0,E143),tbl_Consulting[Job Number],0)))),""))))</f>
        <v/>
      </c>
      <c r="AD143" s="25">
        <f>IF(AC143="","",IF(AND(LEFT(AC143,4)&lt;&gt;"http",IF(H143="Production",set_RMSBase,set_QwilrBase)=""),"",HYPERLINK(IF(LEFT(AC143,4)="http",AC143,IF(H143="Production",set_RMSBase,set_QwilrBase)&amp;AC143),"Open")))</f>
        <v/>
      </c>
      <c r="AE143" s="27">
        <f>IF(E143="","",IFERROR(INDEX(tbl_Production[Total Expense],IFERROR(MATCH(E143&amp;"",tbl_Production[Job Number],0),MATCH(IFERROR(E143+0,E143),tbl_Production[Job Number],0))),IFERROR(INDEX(tbl_Consulting[Total Expense],IFERROR(MATCH(E143&amp;"",tbl_Consulting[Job Number],0),MATCH(IFERROR(E143+0,E143),tbl_Consulting[Job Number],0))),0)))</f>
        <v/>
      </c>
      <c r="AF143" s="27">
        <f>IF(E143="","",Z143-N(AE143))</f>
        <v/>
      </c>
      <c r="AG143" s="29">
        <f>IFERROR(AF143/Z143,"")</f>
        <v/>
      </c>
      <c r="AH143" s="25">
        <f>IF(E143="","",IFERROR(IF(INDEX(tbl_Onsite[Notes],IFERROR(MATCH(E143&amp;"",tbl_Onsite[Job Number],0),MATCH(IFERROR(E143+0,E143),tbl_Onsite[Job Number],0)))="","",INDEX(tbl_Onsite[Notes],IFERROR(MATCH(E143&amp;"",tbl_Onsite[Job Number],0),MATCH(IFERROR(E143+0,E143),tbl_Onsite[Job Number],0)))),IFERROR(IF(INDEX(tbl_Production[Notes],IFERROR(MATCH(E143&amp;"",tbl_Production[Job Number],0),MATCH(IFERROR(E143+0,E143),tbl_Production[Job Number],0)))="","",INDEX(tbl_Production[Notes],IFERROR(MATCH(E143&amp;"",tbl_Production[Job Number],0),MATCH(IFERROR(E143+0,E143),tbl_Production[Job Number],0)))),IFERROR(IF(INDEX(tbl_Consulting[Notes],IFERROR(MATCH(E143&amp;"",tbl_Consulting[Job Number],0),MATCH(IFERROR(E143+0,E143),tbl_Consulting[Job Number],0)))="","",INDEX(tbl_Consulting[Notes],IFERROR(MATCH(E143&amp;"",tbl_Consulting[Job Number],0),MATCH(IFERROR(E143+0,E143),tbl_Consulting[Job Number],0)))),""))))</f>
        <v/>
      </c>
    </row>
    <row r="144" ht="15" customHeight="1">
      <c r="A144" s="22" t="n"/>
      <c r="B144" s="23">
        <f>IF(A144="","",EOMONTH(A144,0))</f>
        <v/>
      </c>
      <c r="C144" s="24" t="n"/>
      <c r="D144" s="24" t="n"/>
      <c r="E144" s="24" t="n"/>
      <c r="F144" s="25">
        <f>IF(E144="","",IF(COUNTIF(lst_Jobs,E144&amp;"")&gt;0,"OK","CHECK"))</f>
        <v/>
      </c>
      <c r="G144" s="24" t="n"/>
      <c r="H144" s="24" t="n"/>
      <c r="I144" s="24" t="n"/>
      <c r="J144" s="24" t="n"/>
      <c r="K144" s="24" t="n"/>
      <c r="L144" s="26" t="n"/>
      <c r="M144" s="27">
        <f>IF(L144="","",IF(K144="GST 10%",ROUND(L144*set_GSTRate,2),0))</f>
        <v/>
      </c>
      <c r="N144" s="27">
        <f>IF(L144="","",L144+M144)</f>
        <v/>
      </c>
      <c r="O144" s="24" t="n"/>
      <c r="P144" s="24" t="n"/>
      <c r="Q144" s="24" t="n"/>
      <c r="R144" s="22" t="n"/>
      <c r="S144" s="22" t="n"/>
      <c r="T144" s="24" t="n"/>
      <c r="U144" s="24" t="n"/>
      <c r="V144" s="2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25">
        <f>IF(E144="","",IF(COUNTIF(tbl_Onsite[Job Number],E144&amp;"")&gt;0,"Onsite",IF(COUNTIF(tbl_Production[Job Number],E144&amp;"")&gt;0,"Production",IF(COUNTIF(tbl_Consulting[Job Number],E144&amp;"")&gt;0,"Consulting","not set up yet"))))</f>
        <v/>
      </c>
      <c r="X144" s="25">
        <f>IF(E144="","",IFERROR(INDEX(lst_JobName,MATCH(E144&amp;"",lst_Jobs,0)),""))</f>
        <v/>
      </c>
      <c r="Y144" s="28">
        <f>IF(E144="","",COUNTIFS(tbl_Finance[Job Number],E144&amp;"",tbl_Finance[Ex GST],"&lt;&gt;"))</f>
        <v/>
      </c>
      <c r="Z144" s="27">
        <f>IF(E144="","",SUMIFS(tbl_Finance[Ex GST],tbl_Finance[Job Number],E144&amp;""))</f>
        <v/>
      </c>
      <c r="AA144" s="27">
        <f>IF(E144="","",SUMIFS(tbl_Finance[Ex GST],tbl_Finance[Job Number],E144&amp;"",tbl_Finance[Xero Invoice No],"&lt;&gt;"))</f>
        <v/>
      </c>
      <c r="AB144" s="27">
        <f>IF(E144="","",Z144-AA144)</f>
        <v/>
      </c>
      <c r="AC144" s="25">
        <f>IF(E144="","",IFERROR(IF(INDEX(tbl_Onsite[Qwilr Quote],IFERROR(MATCH(E144&amp;"",tbl_Onsite[Job Number],0),MATCH(IFERROR(E144+0,E144),tbl_Onsite[Job Number],0)))="","",INDEX(tbl_Onsite[Qwilr Quote],IFERROR(MATCH(E144&amp;"",tbl_Onsite[Job Number],0),MATCH(IFERROR(E144+0,E144),tbl_Onsite[Job Number],0)))),IFERROR(IF(IF(INDEX(tbl_Production[Current RMS No],IFERROR(MATCH(E144&amp;"",tbl_Production[Job Number],0),MATCH(IFERROR(E144+0,E144),tbl_Production[Job Number],0)))="",INDEX(tbl_Production[Qwilr Quote],IFERROR(MATCH(E144&amp;"",tbl_Production[Job Number],0),MATCH(IFERROR(E144+0,E144),tbl_Production[Job Number],0))),INDEX(tbl_Production[Current RMS No],IFERROR(MATCH(E144&amp;"",tbl_Production[Job Number],0),MATCH(IFERROR(E144+0,E144),tbl_Production[Job Number],0))))="","",IF(INDEX(tbl_Production[Current RMS No],IFERROR(MATCH(E144&amp;"",tbl_Production[Job Number],0),MATCH(IFERROR(E144+0,E144),tbl_Production[Job Number],0)))="",INDEX(tbl_Production[Qwilr Quote],IFERROR(MATCH(E144&amp;"",tbl_Production[Job Number],0),MATCH(IFERROR(E144+0,E144),tbl_Production[Job Number],0))),INDEX(tbl_Production[Current RMS No],IFERROR(MATCH(E144&amp;"",tbl_Production[Job Number],0),MATCH(IFERROR(E144+0,E144),tbl_Production[Job Number],0))))),IFERROR(IF(INDEX(tbl_Consulting[Qwilr Quote],IFERROR(MATCH(E144&amp;"",tbl_Consulting[Job Number],0),MATCH(IFERROR(E144+0,E144),tbl_Consulting[Job Number],0)))="","",INDEX(tbl_Consulting[Qwilr Quote],IFERROR(MATCH(E144&amp;"",tbl_Consulting[Job Number],0),MATCH(IFERROR(E144+0,E144),tbl_Consulting[Job Number],0)))),""))))</f>
        <v/>
      </c>
      <c r="AD144" s="25">
        <f>IF(AC144="","",IF(AND(LEFT(AC144,4)&lt;&gt;"http",IF(H144="Production",set_RMSBase,set_QwilrBase)=""),"",HYPERLINK(IF(LEFT(AC144,4)="http",AC144,IF(H144="Production",set_RMSBase,set_QwilrBase)&amp;AC144),"Open")))</f>
        <v/>
      </c>
      <c r="AE144" s="27">
        <f>IF(E144="","",IFERROR(INDEX(tbl_Production[Total Expense],IFERROR(MATCH(E144&amp;"",tbl_Production[Job Number],0),MATCH(IFERROR(E144+0,E144),tbl_Production[Job Number],0))),IFERROR(INDEX(tbl_Consulting[Total Expense],IFERROR(MATCH(E144&amp;"",tbl_Consulting[Job Number],0),MATCH(IFERROR(E144+0,E144),tbl_Consulting[Job Number],0))),0)))</f>
        <v/>
      </c>
      <c r="AF144" s="27">
        <f>IF(E144="","",Z144-N(AE144))</f>
        <v/>
      </c>
      <c r="AG144" s="29">
        <f>IFERROR(AF144/Z144,"")</f>
        <v/>
      </c>
      <c r="AH144" s="25">
        <f>IF(E144="","",IFERROR(IF(INDEX(tbl_Onsite[Notes],IFERROR(MATCH(E144&amp;"",tbl_Onsite[Job Number],0),MATCH(IFERROR(E144+0,E144),tbl_Onsite[Job Number],0)))="","",INDEX(tbl_Onsite[Notes],IFERROR(MATCH(E144&amp;"",tbl_Onsite[Job Number],0),MATCH(IFERROR(E144+0,E144),tbl_Onsite[Job Number],0)))),IFERROR(IF(INDEX(tbl_Production[Notes],IFERROR(MATCH(E144&amp;"",tbl_Production[Job Number],0),MATCH(IFERROR(E144+0,E144),tbl_Production[Job Number],0)))="","",INDEX(tbl_Production[Notes],IFERROR(MATCH(E144&amp;"",tbl_Production[Job Number],0),MATCH(IFERROR(E144+0,E144),tbl_Production[Job Number],0)))),IFERROR(IF(INDEX(tbl_Consulting[Notes],IFERROR(MATCH(E144&amp;"",tbl_Consulting[Job Number],0),MATCH(IFERROR(E144+0,E144),tbl_Consulting[Job Number],0)))="","",INDEX(tbl_Consulting[Notes],IFERROR(MATCH(E144&amp;"",tbl_Consulting[Job Number],0),MATCH(IFERROR(E144+0,E144),tbl_Consulting[Job Number],0)))),""))))</f>
        <v/>
      </c>
    </row>
    <row r="145" ht="15" customHeight="1">
      <c r="A145" s="22" t="n"/>
      <c r="B145" s="23">
        <f>IF(A145="","",EOMONTH(A145,0))</f>
        <v/>
      </c>
      <c r="C145" s="24" t="n"/>
      <c r="D145" s="24" t="n"/>
      <c r="E145" s="24" t="n"/>
      <c r="F145" s="25">
        <f>IF(E145="","",IF(COUNTIF(lst_Jobs,E145&amp;"")&gt;0,"OK","CHECK"))</f>
        <v/>
      </c>
      <c r="G145" s="24" t="n"/>
      <c r="H145" s="24" t="n"/>
      <c r="I145" s="24" t="n"/>
      <c r="J145" s="24" t="n"/>
      <c r="K145" s="24" t="n"/>
      <c r="L145" s="26" t="n"/>
      <c r="M145" s="27">
        <f>IF(L145="","",IF(K145="GST 10%",ROUND(L145*set_GSTRate,2),0))</f>
        <v/>
      </c>
      <c r="N145" s="27">
        <f>IF(L145="","",L145+M145)</f>
        <v/>
      </c>
      <c r="O145" s="24" t="n"/>
      <c r="P145" s="24" t="n"/>
      <c r="Q145" s="24" t="n"/>
      <c r="R145" s="22" t="n"/>
      <c r="S145" s="22" t="n"/>
      <c r="T145" s="24" t="n"/>
      <c r="U145" s="24" t="n"/>
      <c r="V145" s="2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25">
        <f>IF(E145="","",IF(COUNTIF(tbl_Onsite[Job Number],E145&amp;"")&gt;0,"Onsite",IF(COUNTIF(tbl_Production[Job Number],E145&amp;"")&gt;0,"Production",IF(COUNTIF(tbl_Consulting[Job Number],E145&amp;"")&gt;0,"Consulting","not set up yet"))))</f>
        <v/>
      </c>
      <c r="X145" s="25">
        <f>IF(E145="","",IFERROR(INDEX(lst_JobName,MATCH(E145&amp;"",lst_Jobs,0)),""))</f>
        <v/>
      </c>
      <c r="Y145" s="28">
        <f>IF(E145="","",COUNTIFS(tbl_Finance[Job Number],E145&amp;"",tbl_Finance[Ex GST],"&lt;&gt;"))</f>
        <v/>
      </c>
      <c r="Z145" s="27">
        <f>IF(E145="","",SUMIFS(tbl_Finance[Ex GST],tbl_Finance[Job Number],E145&amp;""))</f>
        <v/>
      </c>
      <c r="AA145" s="27">
        <f>IF(E145="","",SUMIFS(tbl_Finance[Ex GST],tbl_Finance[Job Number],E145&amp;"",tbl_Finance[Xero Invoice No],"&lt;&gt;"))</f>
        <v/>
      </c>
      <c r="AB145" s="27">
        <f>IF(E145="","",Z145-AA145)</f>
        <v/>
      </c>
      <c r="AC145" s="25">
        <f>IF(E145="","",IFERROR(IF(INDEX(tbl_Onsite[Qwilr Quote],IFERROR(MATCH(E145&amp;"",tbl_Onsite[Job Number],0),MATCH(IFERROR(E145+0,E145),tbl_Onsite[Job Number],0)))="","",INDEX(tbl_Onsite[Qwilr Quote],IFERROR(MATCH(E145&amp;"",tbl_Onsite[Job Number],0),MATCH(IFERROR(E145+0,E145),tbl_Onsite[Job Number],0)))),IFERROR(IF(IF(INDEX(tbl_Production[Current RMS No],IFERROR(MATCH(E145&amp;"",tbl_Production[Job Number],0),MATCH(IFERROR(E145+0,E145),tbl_Production[Job Number],0)))="",INDEX(tbl_Production[Qwilr Quote],IFERROR(MATCH(E145&amp;"",tbl_Production[Job Number],0),MATCH(IFERROR(E145+0,E145),tbl_Production[Job Number],0))),INDEX(tbl_Production[Current RMS No],IFERROR(MATCH(E145&amp;"",tbl_Production[Job Number],0),MATCH(IFERROR(E145+0,E145),tbl_Production[Job Number],0))))="","",IF(INDEX(tbl_Production[Current RMS No],IFERROR(MATCH(E145&amp;"",tbl_Production[Job Number],0),MATCH(IFERROR(E145+0,E145),tbl_Production[Job Number],0)))="",INDEX(tbl_Production[Qwilr Quote],IFERROR(MATCH(E145&amp;"",tbl_Production[Job Number],0),MATCH(IFERROR(E145+0,E145),tbl_Production[Job Number],0))),INDEX(tbl_Production[Current RMS No],IFERROR(MATCH(E145&amp;"",tbl_Production[Job Number],0),MATCH(IFERROR(E145+0,E145),tbl_Production[Job Number],0))))),IFERROR(IF(INDEX(tbl_Consulting[Qwilr Quote],IFERROR(MATCH(E145&amp;"",tbl_Consulting[Job Number],0),MATCH(IFERROR(E145+0,E145),tbl_Consulting[Job Number],0)))="","",INDEX(tbl_Consulting[Qwilr Quote],IFERROR(MATCH(E145&amp;"",tbl_Consulting[Job Number],0),MATCH(IFERROR(E145+0,E145),tbl_Consulting[Job Number],0)))),""))))</f>
        <v/>
      </c>
      <c r="AD145" s="25">
        <f>IF(AC145="","",IF(AND(LEFT(AC145,4)&lt;&gt;"http",IF(H145="Production",set_RMSBase,set_QwilrBase)=""),"",HYPERLINK(IF(LEFT(AC145,4)="http",AC145,IF(H145="Production",set_RMSBase,set_QwilrBase)&amp;AC145),"Open")))</f>
        <v/>
      </c>
      <c r="AE145" s="27">
        <f>IF(E145="","",IFERROR(INDEX(tbl_Production[Total Expense],IFERROR(MATCH(E145&amp;"",tbl_Production[Job Number],0),MATCH(IFERROR(E145+0,E145),tbl_Production[Job Number],0))),IFERROR(INDEX(tbl_Consulting[Total Expense],IFERROR(MATCH(E145&amp;"",tbl_Consulting[Job Number],0),MATCH(IFERROR(E145+0,E145),tbl_Consulting[Job Number],0))),0)))</f>
        <v/>
      </c>
      <c r="AF145" s="27">
        <f>IF(E145="","",Z145-N(AE145))</f>
        <v/>
      </c>
      <c r="AG145" s="29">
        <f>IFERROR(AF145/Z145,"")</f>
        <v/>
      </c>
      <c r="AH145" s="25">
        <f>IF(E145="","",IFERROR(IF(INDEX(tbl_Onsite[Notes],IFERROR(MATCH(E145&amp;"",tbl_Onsite[Job Number],0),MATCH(IFERROR(E145+0,E145),tbl_Onsite[Job Number],0)))="","",INDEX(tbl_Onsite[Notes],IFERROR(MATCH(E145&amp;"",tbl_Onsite[Job Number],0),MATCH(IFERROR(E145+0,E145),tbl_Onsite[Job Number],0)))),IFERROR(IF(INDEX(tbl_Production[Notes],IFERROR(MATCH(E145&amp;"",tbl_Production[Job Number],0),MATCH(IFERROR(E145+0,E145),tbl_Production[Job Number],0)))="","",INDEX(tbl_Production[Notes],IFERROR(MATCH(E145&amp;"",tbl_Production[Job Number],0),MATCH(IFERROR(E145+0,E145),tbl_Production[Job Number],0)))),IFERROR(IF(INDEX(tbl_Consulting[Notes],IFERROR(MATCH(E145&amp;"",tbl_Consulting[Job Number],0),MATCH(IFERROR(E145+0,E145),tbl_Consulting[Job Number],0)))="","",INDEX(tbl_Consulting[Notes],IFERROR(MATCH(E145&amp;"",tbl_Consulting[Job Number],0),MATCH(IFERROR(E145+0,E145),tbl_Consulting[Job Number],0)))),""))))</f>
        <v/>
      </c>
    </row>
    <row r="146" ht="15" customHeight="1">
      <c r="A146" s="22" t="n"/>
      <c r="B146" s="23">
        <f>IF(A146="","",EOMONTH(A146,0))</f>
        <v/>
      </c>
      <c r="C146" s="24" t="n"/>
      <c r="D146" s="24" t="n"/>
      <c r="E146" s="24" t="n"/>
      <c r="F146" s="25">
        <f>IF(E146="","",IF(COUNTIF(lst_Jobs,E146&amp;"")&gt;0,"OK","CHECK"))</f>
        <v/>
      </c>
      <c r="G146" s="24" t="n"/>
      <c r="H146" s="24" t="n"/>
      <c r="I146" s="24" t="n"/>
      <c r="J146" s="24" t="n"/>
      <c r="K146" s="24" t="n"/>
      <c r="L146" s="26" t="n"/>
      <c r="M146" s="27">
        <f>IF(L146="","",IF(K146="GST 10%",ROUND(L146*set_GSTRate,2),0))</f>
        <v/>
      </c>
      <c r="N146" s="27">
        <f>IF(L146="","",L146+M146)</f>
        <v/>
      </c>
      <c r="O146" s="24" t="n"/>
      <c r="P146" s="24" t="n"/>
      <c r="Q146" s="24" t="n"/>
      <c r="R146" s="22" t="n"/>
      <c r="S146" s="22" t="n"/>
      <c r="T146" s="24" t="n"/>
      <c r="U146" s="24" t="n"/>
      <c r="V146" s="2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25">
        <f>IF(E146="","",IF(COUNTIF(tbl_Onsite[Job Number],E146&amp;"")&gt;0,"Onsite",IF(COUNTIF(tbl_Production[Job Number],E146&amp;"")&gt;0,"Production",IF(COUNTIF(tbl_Consulting[Job Number],E146&amp;"")&gt;0,"Consulting","not set up yet"))))</f>
        <v/>
      </c>
      <c r="X146" s="25">
        <f>IF(E146="","",IFERROR(INDEX(lst_JobName,MATCH(E146&amp;"",lst_Jobs,0)),""))</f>
        <v/>
      </c>
      <c r="Y146" s="28">
        <f>IF(E146="","",COUNTIFS(tbl_Finance[Job Number],E146&amp;"",tbl_Finance[Ex GST],"&lt;&gt;"))</f>
        <v/>
      </c>
      <c r="Z146" s="27">
        <f>IF(E146="","",SUMIFS(tbl_Finance[Ex GST],tbl_Finance[Job Number],E146&amp;""))</f>
        <v/>
      </c>
      <c r="AA146" s="27">
        <f>IF(E146="","",SUMIFS(tbl_Finance[Ex GST],tbl_Finance[Job Number],E146&amp;"",tbl_Finance[Xero Invoice No],"&lt;&gt;"))</f>
        <v/>
      </c>
      <c r="AB146" s="27">
        <f>IF(E146="","",Z146-AA146)</f>
        <v/>
      </c>
      <c r="AC146" s="25">
        <f>IF(E146="","",IFERROR(IF(INDEX(tbl_Onsite[Qwilr Quote],IFERROR(MATCH(E146&amp;"",tbl_Onsite[Job Number],0),MATCH(IFERROR(E146+0,E146),tbl_Onsite[Job Number],0)))="","",INDEX(tbl_Onsite[Qwilr Quote],IFERROR(MATCH(E146&amp;"",tbl_Onsite[Job Number],0),MATCH(IFERROR(E146+0,E146),tbl_Onsite[Job Number],0)))),IFERROR(IF(IF(INDEX(tbl_Production[Current RMS No],IFERROR(MATCH(E146&amp;"",tbl_Production[Job Number],0),MATCH(IFERROR(E146+0,E146),tbl_Production[Job Number],0)))="",INDEX(tbl_Production[Qwilr Quote],IFERROR(MATCH(E146&amp;"",tbl_Production[Job Number],0),MATCH(IFERROR(E146+0,E146),tbl_Production[Job Number],0))),INDEX(tbl_Production[Current RMS No],IFERROR(MATCH(E146&amp;"",tbl_Production[Job Number],0),MATCH(IFERROR(E146+0,E146),tbl_Production[Job Number],0))))="","",IF(INDEX(tbl_Production[Current RMS No],IFERROR(MATCH(E146&amp;"",tbl_Production[Job Number],0),MATCH(IFERROR(E146+0,E146),tbl_Production[Job Number],0)))="",INDEX(tbl_Production[Qwilr Quote],IFERROR(MATCH(E146&amp;"",tbl_Production[Job Number],0),MATCH(IFERROR(E146+0,E146),tbl_Production[Job Number],0))),INDEX(tbl_Production[Current RMS No],IFERROR(MATCH(E146&amp;"",tbl_Production[Job Number],0),MATCH(IFERROR(E146+0,E146),tbl_Production[Job Number],0))))),IFERROR(IF(INDEX(tbl_Consulting[Qwilr Quote],IFERROR(MATCH(E146&amp;"",tbl_Consulting[Job Number],0),MATCH(IFERROR(E146+0,E146),tbl_Consulting[Job Number],0)))="","",INDEX(tbl_Consulting[Qwilr Quote],IFERROR(MATCH(E146&amp;"",tbl_Consulting[Job Number],0),MATCH(IFERROR(E146+0,E146),tbl_Consulting[Job Number],0)))),""))))</f>
        <v/>
      </c>
      <c r="AD146" s="25">
        <f>IF(AC146="","",IF(AND(LEFT(AC146,4)&lt;&gt;"http",IF(H146="Production",set_RMSBase,set_QwilrBase)=""),"",HYPERLINK(IF(LEFT(AC146,4)="http",AC146,IF(H146="Production",set_RMSBase,set_QwilrBase)&amp;AC146),"Open")))</f>
        <v/>
      </c>
      <c r="AE146" s="27">
        <f>IF(E146="","",IFERROR(INDEX(tbl_Production[Total Expense],IFERROR(MATCH(E146&amp;"",tbl_Production[Job Number],0),MATCH(IFERROR(E146+0,E146),tbl_Production[Job Number],0))),IFERROR(INDEX(tbl_Consulting[Total Expense],IFERROR(MATCH(E146&amp;"",tbl_Consulting[Job Number],0),MATCH(IFERROR(E146+0,E146),tbl_Consulting[Job Number],0))),0)))</f>
        <v/>
      </c>
      <c r="AF146" s="27">
        <f>IF(E146="","",Z146-N(AE146))</f>
        <v/>
      </c>
      <c r="AG146" s="29">
        <f>IFERROR(AF146/Z146,"")</f>
        <v/>
      </c>
      <c r="AH146" s="25">
        <f>IF(E146="","",IFERROR(IF(INDEX(tbl_Onsite[Notes],IFERROR(MATCH(E146&amp;"",tbl_Onsite[Job Number],0),MATCH(IFERROR(E146+0,E146),tbl_Onsite[Job Number],0)))="","",INDEX(tbl_Onsite[Notes],IFERROR(MATCH(E146&amp;"",tbl_Onsite[Job Number],0),MATCH(IFERROR(E146+0,E146),tbl_Onsite[Job Number],0)))),IFERROR(IF(INDEX(tbl_Production[Notes],IFERROR(MATCH(E146&amp;"",tbl_Production[Job Number],0),MATCH(IFERROR(E146+0,E146),tbl_Production[Job Number],0)))="","",INDEX(tbl_Production[Notes],IFERROR(MATCH(E146&amp;"",tbl_Production[Job Number],0),MATCH(IFERROR(E146+0,E146),tbl_Production[Job Number],0)))),IFERROR(IF(INDEX(tbl_Consulting[Notes],IFERROR(MATCH(E146&amp;"",tbl_Consulting[Job Number],0),MATCH(IFERROR(E146+0,E146),tbl_Consulting[Job Number],0)))="","",INDEX(tbl_Consulting[Notes],IFERROR(MATCH(E146&amp;"",tbl_Consulting[Job Number],0),MATCH(IFERROR(E146+0,E146),tbl_Consulting[Job Number],0)))),""))))</f>
        <v/>
      </c>
    </row>
    <row r="147" ht="15" customHeight="1">
      <c r="A147" s="22" t="n"/>
      <c r="B147" s="23">
        <f>IF(A147="","",EOMONTH(A147,0))</f>
        <v/>
      </c>
      <c r="C147" s="24" t="n"/>
      <c r="D147" s="24" t="n"/>
      <c r="E147" s="24" t="n"/>
      <c r="F147" s="25">
        <f>IF(E147="","",IF(COUNTIF(lst_Jobs,E147&amp;"")&gt;0,"OK","CHECK"))</f>
        <v/>
      </c>
      <c r="G147" s="24" t="n"/>
      <c r="H147" s="24" t="n"/>
      <c r="I147" s="24" t="n"/>
      <c r="J147" s="24" t="n"/>
      <c r="K147" s="24" t="n"/>
      <c r="L147" s="26" t="n"/>
      <c r="M147" s="27">
        <f>IF(L147="","",IF(K147="GST 10%",ROUND(L147*set_GSTRate,2),0))</f>
        <v/>
      </c>
      <c r="N147" s="27">
        <f>IF(L147="","",L147+M147)</f>
        <v/>
      </c>
      <c r="O147" s="24" t="n"/>
      <c r="P147" s="24" t="n"/>
      <c r="Q147" s="24" t="n"/>
      <c r="R147" s="22" t="n"/>
      <c r="S147" s="22" t="n"/>
      <c r="T147" s="24" t="n"/>
      <c r="U147" s="24" t="n"/>
      <c r="V147" s="2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25">
        <f>IF(E147="","",IF(COUNTIF(tbl_Onsite[Job Number],E147&amp;"")&gt;0,"Onsite",IF(COUNTIF(tbl_Production[Job Number],E147&amp;"")&gt;0,"Production",IF(COUNTIF(tbl_Consulting[Job Number],E147&amp;"")&gt;0,"Consulting","not set up yet"))))</f>
        <v/>
      </c>
      <c r="X147" s="25">
        <f>IF(E147="","",IFERROR(INDEX(lst_JobName,MATCH(E147&amp;"",lst_Jobs,0)),""))</f>
        <v/>
      </c>
      <c r="Y147" s="28">
        <f>IF(E147="","",COUNTIFS(tbl_Finance[Job Number],E147&amp;"",tbl_Finance[Ex GST],"&lt;&gt;"))</f>
        <v/>
      </c>
      <c r="Z147" s="27">
        <f>IF(E147="","",SUMIFS(tbl_Finance[Ex GST],tbl_Finance[Job Number],E147&amp;""))</f>
        <v/>
      </c>
      <c r="AA147" s="27">
        <f>IF(E147="","",SUMIFS(tbl_Finance[Ex GST],tbl_Finance[Job Number],E147&amp;"",tbl_Finance[Xero Invoice No],"&lt;&gt;"))</f>
        <v/>
      </c>
      <c r="AB147" s="27">
        <f>IF(E147="","",Z147-AA147)</f>
        <v/>
      </c>
      <c r="AC147" s="25">
        <f>IF(E147="","",IFERROR(IF(INDEX(tbl_Onsite[Qwilr Quote],IFERROR(MATCH(E147&amp;"",tbl_Onsite[Job Number],0),MATCH(IFERROR(E147+0,E147),tbl_Onsite[Job Number],0)))="","",INDEX(tbl_Onsite[Qwilr Quote],IFERROR(MATCH(E147&amp;"",tbl_Onsite[Job Number],0),MATCH(IFERROR(E147+0,E147),tbl_Onsite[Job Number],0)))),IFERROR(IF(IF(INDEX(tbl_Production[Current RMS No],IFERROR(MATCH(E147&amp;"",tbl_Production[Job Number],0),MATCH(IFERROR(E147+0,E147),tbl_Production[Job Number],0)))="",INDEX(tbl_Production[Qwilr Quote],IFERROR(MATCH(E147&amp;"",tbl_Production[Job Number],0),MATCH(IFERROR(E147+0,E147),tbl_Production[Job Number],0))),INDEX(tbl_Production[Current RMS No],IFERROR(MATCH(E147&amp;"",tbl_Production[Job Number],0),MATCH(IFERROR(E147+0,E147),tbl_Production[Job Number],0))))="","",IF(INDEX(tbl_Production[Current RMS No],IFERROR(MATCH(E147&amp;"",tbl_Production[Job Number],0),MATCH(IFERROR(E147+0,E147),tbl_Production[Job Number],0)))="",INDEX(tbl_Production[Qwilr Quote],IFERROR(MATCH(E147&amp;"",tbl_Production[Job Number],0),MATCH(IFERROR(E147+0,E147),tbl_Production[Job Number],0))),INDEX(tbl_Production[Current RMS No],IFERROR(MATCH(E147&amp;"",tbl_Production[Job Number],0),MATCH(IFERROR(E147+0,E147),tbl_Production[Job Number],0))))),IFERROR(IF(INDEX(tbl_Consulting[Qwilr Quote],IFERROR(MATCH(E147&amp;"",tbl_Consulting[Job Number],0),MATCH(IFERROR(E147+0,E147),tbl_Consulting[Job Number],0)))="","",INDEX(tbl_Consulting[Qwilr Quote],IFERROR(MATCH(E147&amp;"",tbl_Consulting[Job Number],0),MATCH(IFERROR(E147+0,E147),tbl_Consulting[Job Number],0)))),""))))</f>
        <v/>
      </c>
      <c r="AD147" s="25">
        <f>IF(AC147="","",IF(AND(LEFT(AC147,4)&lt;&gt;"http",IF(H147="Production",set_RMSBase,set_QwilrBase)=""),"",HYPERLINK(IF(LEFT(AC147,4)="http",AC147,IF(H147="Production",set_RMSBase,set_QwilrBase)&amp;AC147),"Open")))</f>
        <v/>
      </c>
      <c r="AE147" s="27">
        <f>IF(E147="","",IFERROR(INDEX(tbl_Production[Total Expense],IFERROR(MATCH(E147&amp;"",tbl_Production[Job Number],0),MATCH(IFERROR(E147+0,E147),tbl_Production[Job Number],0))),IFERROR(INDEX(tbl_Consulting[Total Expense],IFERROR(MATCH(E147&amp;"",tbl_Consulting[Job Number],0),MATCH(IFERROR(E147+0,E147),tbl_Consulting[Job Number],0))),0)))</f>
        <v/>
      </c>
      <c r="AF147" s="27">
        <f>IF(E147="","",Z147-N(AE147))</f>
        <v/>
      </c>
      <c r="AG147" s="29">
        <f>IFERROR(AF147/Z147,"")</f>
        <v/>
      </c>
      <c r="AH147" s="25">
        <f>IF(E147="","",IFERROR(IF(INDEX(tbl_Onsite[Notes],IFERROR(MATCH(E147&amp;"",tbl_Onsite[Job Number],0),MATCH(IFERROR(E147+0,E147),tbl_Onsite[Job Number],0)))="","",INDEX(tbl_Onsite[Notes],IFERROR(MATCH(E147&amp;"",tbl_Onsite[Job Number],0),MATCH(IFERROR(E147+0,E147),tbl_Onsite[Job Number],0)))),IFERROR(IF(INDEX(tbl_Production[Notes],IFERROR(MATCH(E147&amp;"",tbl_Production[Job Number],0),MATCH(IFERROR(E147+0,E147),tbl_Production[Job Number],0)))="","",INDEX(tbl_Production[Notes],IFERROR(MATCH(E147&amp;"",tbl_Production[Job Number],0),MATCH(IFERROR(E147+0,E147),tbl_Production[Job Number],0)))),IFERROR(IF(INDEX(tbl_Consulting[Notes],IFERROR(MATCH(E147&amp;"",tbl_Consulting[Job Number],0),MATCH(IFERROR(E147+0,E147),tbl_Consulting[Job Number],0)))="","",INDEX(tbl_Consulting[Notes],IFERROR(MATCH(E147&amp;"",tbl_Consulting[Job Number],0),MATCH(IFERROR(E147+0,E147),tbl_Consulting[Job Number],0)))),""))))</f>
        <v/>
      </c>
    </row>
    <row r="148" ht="15" customHeight="1">
      <c r="A148" s="22" t="n"/>
      <c r="B148" s="23">
        <f>IF(A148="","",EOMONTH(A148,0))</f>
        <v/>
      </c>
      <c r="C148" s="24" t="n"/>
      <c r="D148" s="24" t="n"/>
      <c r="E148" s="24" t="n"/>
      <c r="F148" s="25">
        <f>IF(E148="","",IF(COUNTIF(lst_Jobs,E148&amp;"")&gt;0,"OK","CHECK"))</f>
        <v/>
      </c>
      <c r="G148" s="24" t="n"/>
      <c r="H148" s="24" t="n"/>
      <c r="I148" s="24" t="n"/>
      <c r="J148" s="24" t="n"/>
      <c r="K148" s="24" t="n"/>
      <c r="L148" s="26" t="n"/>
      <c r="M148" s="27">
        <f>IF(L148="","",IF(K148="GST 10%",ROUND(L148*set_GSTRate,2),0))</f>
        <v/>
      </c>
      <c r="N148" s="27">
        <f>IF(L148="","",L148+M148)</f>
        <v/>
      </c>
      <c r="O148" s="24" t="n"/>
      <c r="P148" s="24" t="n"/>
      <c r="Q148" s="24" t="n"/>
      <c r="R148" s="22" t="n"/>
      <c r="S148" s="22" t="n"/>
      <c r="T148" s="24" t="n"/>
      <c r="U148" s="24" t="n"/>
      <c r="V148" s="2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25">
        <f>IF(E148="","",IF(COUNTIF(tbl_Onsite[Job Number],E148&amp;"")&gt;0,"Onsite",IF(COUNTIF(tbl_Production[Job Number],E148&amp;"")&gt;0,"Production",IF(COUNTIF(tbl_Consulting[Job Number],E148&amp;"")&gt;0,"Consulting","not set up yet"))))</f>
        <v/>
      </c>
      <c r="X148" s="25">
        <f>IF(E148="","",IFERROR(INDEX(lst_JobName,MATCH(E148&amp;"",lst_Jobs,0)),""))</f>
        <v/>
      </c>
      <c r="Y148" s="28">
        <f>IF(E148="","",COUNTIFS(tbl_Finance[Job Number],E148&amp;"",tbl_Finance[Ex GST],"&lt;&gt;"))</f>
        <v/>
      </c>
      <c r="Z148" s="27">
        <f>IF(E148="","",SUMIFS(tbl_Finance[Ex GST],tbl_Finance[Job Number],E148&amp;""))</f>
        <v/>
      </c>
      <c r="AA148" s="27">
        <f>IF(E148="","",SUMIFS(tbl_Finance[Ex GST],tbl_Finance[Job Number],E148&amp;"",tbl_Finance[Xero Invoice No],"&lt;&gt;"))</f>
        <v/>
      </c>
      <c r="AB148" s="27">
        <f>IF(E148="","",Z148-AA148)</f>
        <v/>
      </c>
      <c r="AC148" s="25">
        <f>IF(E148="","",IFERROR(IF(INDEX(tbl_Onsite[Qwilr Quote],IFERROR(MATCH(E148&amp;"",tbl_Onsite[Job Number],0),MATCH(IFERROR(E148+0,E148),tbl_Onsite[Job Number],0)))="","",INDEX(tbl_Onsite[Qwilr Quote],IFERROR(MATCH(E148&amp;"",tbl_Onsite[Job Number],0),MATCH(IFERROR(E148+0,E148),tbl_Onsite[Job Number],0)))),IFERROR(IF(IF(INDEX(tbl_Production[Current RMS No],IFERROR(MATCH(E148&amp;"",tbl_Production[Job Number],0),MATCH(IFERROR(E148+0,E148),tbl_Production[Job Number],0)))="",INDEX(tbl_Production[Qwilr Quote],IFERROR(MATCH(E148&amp;"",tbl_Production[Job Number],0),MATCH(IFERROR(E148+0,E148),tbl_Production[Job Number],0))),INDEX(tbl_Production[Current RMS No],IFERROR(MATCH(E148&amp;"",tbl_Production[Job Number],0),MATCH(IFERROR(E148+0,E148),tbl_Production[Job Number],0))))="","",IF(INDEX(tbl_Production[Current RMS No],IFERROR(MATCH(E148&amp;"",tbl_Production[Job Number],0),MATCH(IFERROR(E148+0,E148),tbl_Production[Job Number],0)))="",INDEX(tbl_Production[Qwilr Quote],IFERROR(MATCH(E148&amp;"",tbl_Production[Job Number],0),MATCH(IFERROR(E148+0,E148),tbl_Production[Job Number],0))),INDEX(tbl_Production[Current RMS No],IFERROR(MATCH(E148&amp;"",tbl_Production[Job Number],0),MATCH(IFERROR(E148+0,E148),tbl_Production[Job Number],0))))),IFERROR(IF(INDEX(tbl_Consulting[Qwilr Quote],IFERROR(MATCH(E148&amp;"",tbl_Consulting[Job Number],0),MATCH(IFERROR(E148+0,E148),tbl_Consulting[Job Number],0)))="","",INDEX(tbl_Consulting[Qwilr Quote],IFERROR(MATCH(E148&amp;"",tbl_Consulting[Job Number],0),MATCH(IFERROR(E148+0,E148),tbl_Consulting[Job Number],0)))),""))))</f>
        <v/>
      </c>
      <c r="AD148" s="25">
        <f>IF(AC148="","",IF(AND(LEFT(AC148,4)&lt;&gt;"http",IF(H148="Production",set_RMSBase,set_QwilrBase)=""),"",HYPERLINK(IF(LEFT(AC148,4)="http",AC148,IF(H148="Production",set_RMSBase,set_QwilrBase)&amp;AC148),"Open")))</f>
        <v/>
      </c>
      <c r="AE148" s="27">
        <f>IF(E148="","",IFERROR(INDEX(tbl_Production[Total Expense],IFERROR(MATCH(E148&amp;"",tbl_Production[Job Number],0),MATCH(IFERROR(E148+0,E148),tbl_Production[Job Number],0))),IFERROR(INDEX(tbl_Consulting[Total Expense],IFERROR(MATCH(E148&amp;"",tbl_Consulting[Job Number],0),MATCH(IFERROR(E148+0,E148),tbl_Consulting[Job Number],0))),0)))</f>
        <v/>
      </c>
      <c r="AF148" s="27">
        <f>IF(E148="","",Z148-N(AE148))</f>
        <v/>
      </c>
      <c r="AG148" s="29">
        <f>IFERROR(AF148/Z148,"")</f>
        <v/>
      </c>
      <c r="AH148" s="25">
        <f>IF(E148="","",IFERROR(IF(INDEX(tbl_Onsite[Notes],IFERROR(MATCH(E148&amp;"",tbl_Onsite[Job Number],0),MATCH(IFERROR(E148+0,E148),tbl_Onsite[Job Number],0)))="","",INDEX(tbl_Onsite[Notes],IFERROR(MATCH(E148&amp;"",tbl_Onsite[Job Number],0),MATCH(IFERROR(E148+0,E148),tbl_Onsite[Job Number],0)))),IFERROR(IF(INDEX(tbl_Production[Notes],IFERROR(MATCH(E148&amp;"",tbl_Production[Job Number],0),MATCH(IFERROR(E148+0,E148),tbl_Production[Job Number],0)))="","",INDEX(tbl_Production[Notes],IFERROR(MATCH(E148&amp;"",tbl_Production[Job Number],0),MATCH(IFERROR(E148+0,E148),tbl_Production[Job Number],0)))),IFERROR(IF(INDEX(tbl_Consulting[Notes],IFERROR(MATCH(E148&amp;"",tbl_Consulting[Job Number],0),MATCH(IFERROR(E148+0,E148),tbl_Consulting[Job Number],0)))="","",INDEX(tbl_Consulting[Notes],IFERROR(MATCH(E148&amp;"",tbl_Consulting[Job Number],0),MATCH(IFERROR(E148+0,E148),tbl_Consulting[Job Number],0)))),""))))</f>
        <v/>
      </c>
    </row>
    <row r="149" ht="15" customHeight="1">
      <c r="A149" s="22" t="n"/>
      <c r="B149" s="23">
        <f>IF(A149="","",EOMONTH(A149,0))</f>
        <v/>
      </c>
      <c r="C149" s="24" t="n"/>
      <c r="D149" s="24" t="n"/>
      <c r="E149" s="24" t="n"/>
      <c r="F149" s="25">
        <f>IF(E149="","",IF(COUNTIF(lst_Jobs,E149&amp;"")&gt;0,"OK","CHECK"))</f>
        <v/>
      </c>
      <c r="G149" s="24" t="n"/>
      <c r="H149" s="24" t="n"/>
      <c r="I149" s="24" t="n"/>
      <c r="J149" s="24" t="n"/>
      <c r="K149" s="24" t="n"/>
      <c r="L149" s="26" t="n"/>
      <c r="M149" s="27">
        <f>IF(L149="","",IF(K149="GST 10%",ROUND(L149*set_GSTRate,2),0))</f>
        <v/>
      </c>
      <c r="N149" s="27">
        <f>IF(L149="","",L149+M149)</f>
        <v/>
      </c>
      <c r="O149" s="24" t="n"/>
      <c r="P149" s="24" t="n"/>
      <c r="Q149" s="24" t="n"/>
      <c r="R149" s="22" t="n"/>
      <c r="S149" s="22" t="n"/>
      <c r="T149" s="24" t="n"/>
      <c r="U149" s="24" t="n"/>
      <c r="V149" s="2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25">
        <f>IF(E149="","",IF(COUNTIF(tbl_Onsite[Job Number],E149&amp;"")&gt;0,"Onsite",IF(COUNTIF(tbl_Production[Job Number],E149&amp;"")&gt;0,"Production",IF(COUNTIF(tbl_Consulting[Job Number],E149&amp;"")&gt;0,"Consulting","not set up yet"))))</f>
        <v/>
      </c>
      <c r="X149" s="25">
        <f>IF(E149="","",IFERROR(INDEX(lst_JobName,MATCH(E149&amp;"",lst_Jobs,0)),""))</f>
        <v/>
      </c>
      <c r="Y149" s="28">
        <f>IF(E149="","",COUNTIFS(tbl_Finance[Job Number],E149&amp;"",tbl_Finance[Ex GST],"&lt;&gt;"))</f>
        <v/>
      </c>
      <c r="Z149" s="27">
        <f>IF(E149="","",SUMIFS(tbl_Finance[Ex GST],tbl_Finance[Job Number],E149&amp;""))</f>
        <v/>
      </c>
      <c r="AA149" s="27">
        <f>IF(E149="","",SUMIFS(tbl_Finance[Ex GST],tbl_Finance[Job Number],E149&amp;"",tbl_Finance[Xero Invoice No],"&lt;&gt;"))</f>
        <v/>
      </c>
      <c r="AB149" s="27">
        <f>IF(E149="","",Z149-AA149)</f>
        <v/>
      </c>
      <c r="AC149" s="25">
        <f>IF(E149="","",IFERROR(IF(INDEX(tbl_Onsite[Qwilr Quote],IFERROR(MATCH(E149&amp;"",tbl_Onsite[Job Number],0),MATCH(IFERROR(E149+0,E149),tbl_Onsite[Job Number],0)))="","",INDEX(tbl_Onsite[Qwilr Quote],IFERROR(MATCH(E149&amp;"",tbl_Onsite[Job Number],0),MATCH(IFERROR(E149+0,E149),tbl_Onsite[Job Number],0)))),IFERROR(IF(IF(INDEX(tbl_Production[Current RMS No],IFERROR(MATCH(E149&amp;"",tbl_Production[Job Number],0),MATCH(IFERROR(E149+0,E149),tbl_Production[Job Number],0)))="",INDEX(tbl_Production[Qwilr Quote],IFERROR(MATCH(E149&amp;"",tbl_Production[Job Number],0),MATCH(IFERROR(E149+0,E149),tbl_Production[Job Number],0))),INDEX(tbl_Production[Current RMS No],IFERROR(MATCH(E149&amp;"",tbl_Production[Job Number],0),MATCH(IFERROR(E149+0,E149),tbl_Production[Job Number],0))))="","",IF(INDEX(tbl_Production[Current RMS No],IFERROR(MATCH(E149&amp;"",tbl_Production[Job Number],0),MATCH(IFERROR(E149+0,E149),tbl_Production[Job Number],0)))="",INDEX(tbl_Production[Qwilr Quote],IFERROR(MATCH(E149&amp;"",tbl_Production[Job Number],0),MATCH(IFERROR(E149+0,E149),tbl_Production[Job Number],0))),INDEX(tbl_Production[Current RMS No],IFERROR(MATCH(E149&amp;"",tbl_Production[Job Number],0),MATCH(IFERROR(E149+0,E149),tbl_Production[Job Number],0))))),IFERROR(IF(INDEX(tbl_Consulting[Qwilr Quote],IFERROR(MATCH(E149&amp;"",tbl_Consulting[Job Number],0),MATCH(IFERROR(E149+0,E149),tbl_Consulting[Job Number],0)))="","",INDEX(tbl_Consulting[Qwilr Quote],IFERROR(MATCH(E149&amp;"",tbl_Consulting[Job Number],0),MATCH(IFERROR(E149+0,E149),tbl_Consulting[Job Number],0)))),""))))</f>
        <v/>
      </c>
      <c r="AD149" s="25">
        <f>IF(AC149="","",IF(AND(LEFT(AC149,4)&lt;&gt;"http",IF(H149="Production",set_RMSBase,set_QwilrBase)=""),"",HYPERLINK(IF(LEFT(AC149,4)="http",AC149,IF(H149="Production",set_RMSBase,set_QwilrBase)&amp;AC149),"Open")))</f>
        <v/>
      </c>
      <c r="AE149" s="27">
        <f>IF(E149="","",IFERROR(INDEX(tbl_Production[Total Expense],IFERROR(MATCH(E149&amp;"",tbl_Production[Job Number],0),MATCH(IFERROR(E149+0,E149),tbl_Production[Job Number],0))),IFERROR(INDEX(tbl_Consulting[Total Expense],IFERROR(MATCH(E149&amp;"",tbl_Consulting[Job Number],0),MATCH(IFERROR(E149+0,E149),tbl_Consulting[Job Number],0))),0)))</f>
        <v/>
      </c>
      <c r="AF149" s="27">
        <f>IF(E149="","",Z149-N(AE149))</f>
        <v/>
      </c>
      <c r="AG149" s="29">
        <f>IFERROR(AF149/Z149,"")</f>
        <v/>
      </c>
      <c r="AH149" s="25">
        <f>IF(E149="","",IFERROR(IF(INDEX(tbl_Onsite[Notes],IFERROR(MATCH(E149&amp;"",tbl_Onsite[Job Number],0),MATCH(IFERROR(E149+0,E149),tbl_Onsite[Job Number],0)))="","",INDEX(tbl_Onsite[Notes],IFERROR(MATCH(E149&amp;"",tbl_Onsite[Job Number],0),MATCH(IFERROR(E149+0,E149),tbl_Onsite[Job Number],0)))),IFERROR(IF(INDEX(tbl_Production[Notes],IFERROR(MATCH(E149&amp;"",tbl_Production[Job Number],0),MATCH(IFERROR(E149+0,E149),tbl_Production[Job Number],0)))="","",INDEX(tbl_Production[Notes],IFERROR(MATCH(E149&amp;"",tbl_Production[Job Number],0),MATCH(IFERROR(E149+0,E149),tbl_Production[Job Number],0)))),IFERROR(IF(INDEX(tbl_Consulting[Notes],IFERROR(MATCH(E149&amp;"",tbl_Consulting[Job Number],0),MATCH(IFERROR(E149+0,E149),tbl_Consulting[Job Number],0)))="","",INDEX(tbl_Consulting[Notes],IFERROR(MATCH(E149&amp;"",tbl_Consulting[Job Number],0),MATCH(IFERROR(E149+0,E149),tbl_Consulting[Job Number],0)))),""))))</f>
        <v/>
      </c>
    </row>
    <row r="150" ht="15" customHeight="1">
      <c r="A150" s="22" t="n"/>
      <c r="B150" s="23">
        <f>IF(A150="","",EOMONTH(A150,0))</f>
        <v/>
      </c>
      <c r="C150" s="24" t="n"/>
      <c r="D150" s="24" t="n"/>
      <c r="E150" s="24" t="n"/>
      <c r="F150" s="25">
        <f>IF(E150="","",IF(COUNTIF(lst_Jobs,E150&amp;"")&gt;0,"OK","CHECK"))</f>
        <v/>
      </c>
      <c r="G150" s="24" t="n"/>
      <c r="H150" s="24" t="n"/>
      <c r="I150" s="24" t="n"/>
      <c r="J150" s="24" t="n"/>
      <c r="K150" s="24" t="n"/>
      <c r="L150" s="26" t="n"/>
      <c r="M150" s="27">
        <f>IF(L150="","",IF(K150="GST 10%",ROUND(L150*set_GSTRate,2),0))</f>
        <v/>
      </c>
      <c r="N150" s="27">
        <f>IF(L150="","",L150+M150)</f>
        <v/>
      </c>
      <c r="O150" s="24" t="n"/>
      <c r="P150" s="24" t="n"/>
      <c r="Q150" s="24" t="n"/>
      <c r="R150" s="22" t="n"/>
      <c r="S150" s="22" t="n"/>
      <c r="T150" s="24" t="n"/>
      <c r="U150" s="24" t="n"/>
      <c r="V150" s="2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25">
        <f>IF(E150="","",IF(COUNTIF(tbl_Onsite[Job Number],E150&amp;"")&gt;0,"Onsite",IF(COUNTIF(tbl_Production[Job Number],E150&amp;"")&gt;0,"Production",IF(COUNTIF(tbl_Consulting[Job Number],E150&amp;"")&gt;0,"Consulting","not set up yet"))))</f>
        <v/>
      </c>
      <c r="X150" s="25">
        <f>IF(E150="","",IFERROR(INDEX(lst_JobName,MATCH(E150&amp;"",lst_Jobs,0)),""))</f>
        <v/>
      </c>
      <c r="Y150" s="28">
        <f>IF(E150="","",COUNTIFS(tbl_Finance[Job Number],E150&amp;"",tbl_Finance[Ex GST],"&lt;&gt;"))</f>
        <v/>
      </c>
      <c r="Z150" s="27">
        <f>IF(E150="","",SUMIFS(tbl_Finance[Ex GST],tbl_Finance[Job Number],E150&amp;""))</f>
        <v/>
      </c>
      <c r="AA150" s="27">
        <f>IF(E150="","",SUMIFS(tbl_Finance[Ex GST],tbl_Finance[Job Number],E150&amp;"",tbl_Finance[Xero Invoice No],"&lt;&gt;"))</f>
        <v/>
      </c>
      <c r="AB150" s="27">
        <f>IF(E150="","",Z150-AA150)</f>
        <v/>
      </c>
      <c r="AC150" s="25">
        <f>IF(E150="","",IFERROR(IF(INDEX(tbl_Onsite[Qwilr Quote],IFERROR(MATCH(E150&amp;"",tbl_Onsite[Job Number],0),MATCH(IFERROR(E150+0,E150),tbl_Onsite[Job Number],0)))="","",INDEX(tbl_Onsite[Qwilr Quote],IFERROR(MATCH(E150&amp;"",tbl_Onsite[Job Number],0),MATCH(IFERROR(E150+0,E150),tbl_Onsite[Job Number],0)))),IFERROR(IF(IF(INDEX(tbl_Production[Current RMS No],IFERROR(MATCH(E150&amp;"",tbl_Production[Job Number],0),MATCH(IFERROR(E150+0,E150),tbl_Production[Job Number],0)))="",INDEX(tbl_Production[Qwilr Quote],IFERROR(MATCH(E150&amp;"",tbl_Production[Job Number],0),MATCH(IFERROR(E150+0,E150),tbl_Production[Job Number],0))),INDEX(tbl_Production[Current RMS No],IFERROR(MATCH(E150&amp;"",tbl_Production[Job Number],0),MATCH(IFERROR(E150+0,E150),tbl_Production[Job Number],0))))="","",IF(INDEX(tbl_Production[Current RMS No],IFERROR(MATCH(E150&amp;"",tbl_Production[Job Number],0),MATCH(IFERROR(E150+0,E150),tbl_Production[Job Number],0)))="",INDEX(tbl_Production[Qwilr Quote],IFERROR(MATCH(E150&amp;"",tbl_Production[Job Number],0),MATCH(IFERROR(E150+0,E150),tbl_Production[Job Number],0))),INDEX(tbl_Production[Current RMS No],IFERROR(MATCH(E150&amp;"",tbl_Production[Job Number],0),MATCH(IFERROR(E150+0,E150),tbl_Production[Job Number],0))))),IFERROR(IF(INDEX(tbl_Consulting[Qwilr Quote],IFERROR(MATCH(E150&amp;"",tbl_Consulting[Job Number],0),MATCH(IFERROR(E150+0,E150),tbl_Consulting[Job Number],0)))="","",INDEX(tbl_Consulting[Qwilr Quote],IFERROR(MATCH(E150&amp;"",tbl_Consulting[Job Number],0),MATCH(IFERROR(E150+0,E150),tbl_Consulting[Job Number],0)))),""))))</f>
        <v/>
      </c>
      <c r="AD150" s="25">
        <f>IF(AC150="","",IF(AND(LEFT(AC150,4)&lt;&gt;"http",IF(H150="Production",set_RMSBase,set_QwilrBase)=""),"",HYPERLINK(IF(LEFT(AC150,4)="http",AC150,IF(H150="Production",set_RMSBase,set_QwilrBase)&amp;AC150),"Open")))</f>
        <v/>
      </c>
      <c r="AE150" s="27">
        <f>IF(E150="","",IFERROR(INDEX(tbl_Production[Total Expense],IFERROR(MATCH(E150&amp;"",tbl_Production[Job Number],0),MATCH(IFERROR(E150+0,E150),tbl_Production[Job Number],0))),IFERROR(INDEX(tbl_Consulting[Total Expense],IFERROR(MATCH(E150&amp;"",tbl_Consulting[Job Number],0),MATCH(IFERROR(E150+0,E150),tbl_Consulting[Job Number],0))),0)))</f>
        <v/>
      </c>
      <c r="AF150" s="27">
        <f>IF(E150="","",Z150-N(AE150))</f>
        <v/>
      </c>
      <c r="AG150" s="29">
        <f>IFERROR(AF150/Z150,"")</f>
        <v/>
      </c>
      <c r="AH150" s="25">
        <f>IF(E150="","",IFERROR(IF(INDEX(tbl_Onsite[Notes],IFERROR(MATCH(E150&amp;"",tbl_Onsite[Job Number],0),MATCH(IFERROR(E150+0,E150),tbl_Onsite[Job Number],0)))="","",INDEX(tbl_Onsite[Notes],IFERROR(MATCH(E150&amp;"",tbl_Onsite[Job Number],0),MATCH(IFERROR(E150+0,E150),tbl_Onsite[Job Number],0)))),IFERROR(IF(INDEX(tbl_Production[Notes],IFERROR(MATCH(E150&amp;"",tbl_Production[Job Number],0),MATCH(IFERROR(E150+0,E150),tbl_Production[Job Number],0)))="","",INDEX(tbl_Production[Notes],IFERROR(MATCH(E150&amp;"",tbl_Production[Job Number],0),MATCH(IFERROR(E150+0,E150),tbl_Production[Job Number],0)))),IFERROR(IF(INDEX(tbl_Consulting[Notes],IFERROR(MATCH(E150&amp;"",tbl_Consulting[Job Number],0),MATCH(IFERROR(E150+0,E150),tbl_Consulting[Job Number],0)))="","",INDEX(tbl_Consulting[Notes],IFERROR(MATCH(E150&amp;"",tbl_Consulting[Job Number],0),MATCH(IFERROR(E150+0,E150),tbl_Consulting[Job Number],0)))),""))))</f>
        <v/>
      </c>
    </row>
    <row r="151" ht="15" customHeight="1">
      <c r="A151" s="22" t="n"/>
      <c r="B151" s="23">
        <f>IF(A151="","",EOMONTH(A151,0))</f>
        <v/>
      </c>
      <c r="C151" s="24" t="n"/>
      <c r="D151" s="24" t="n"/>
      <c r="E151" s="24" t="n"/>
      <c r="F151" s="25">
        <f>IF(E151="","",IF(COUNTIF(lst_Jobs,E151&amp;"")&gt;0,"OK","CHECK"))</f>
        <v/>
      </c>
      <c r="G151" s="24" t="n"/>
      <c r="H151" s="24" t="n"/>
      <c r="I151" s="24" t="n"/>
      <c r="J151" s="24" t="n"/>
      <c r="K151" s="24" t="n"/>
      <c r="L151" s="26" t="n"/>
      <c r="M151" s="27">
        <f>IF(L151="","",IF(K151="GST 10%",ROUND(L151*set_GSTRate,2),0))</f>
        <v/>
      </c>
      <c r="N151" s="27">
        <f>IF(L151="","",L151+M151)</f>
        <v/>
      </c>
      <c r="O151" s="24" t="n"/>
      <c r="P151" s="24" t="n"/>
      <c r="Q151" s="24" t="n"/>
      <c r="R151" s="22" t="n"/>
      <c r="S151" s="22" t="n"/>
      <c r="T151" s="24" t="n"/>
      <c r="U151" s="24" t="n"/>
      <c r="V151" s="2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25">
        <f>IF(E151="","",IF(COUNTIF(tbl_Onsite[Job Number],E151&amp;"")&gt;0,"Onsite",IF(COUNTIF(tbl_Production[Job Number],E151&amp;"")&gt;0,"Production",IF(COUNTIF(tbl_Consulting[Job Number],E151&amp;"")&gt;0,"Consulting","not set up yet"))))</f>
        <v/>
      </c>
      <c r="X151" s="25">
        <f>IF(E151="","",IFERROR(INDEX(lst_JobName,MATCH(E151&amp;"",lst_Jobs,0)),""))</f>
        <v/>
      </c>
      <c r="Y151" s="28">
        <f>IF(E151="","",COUNTIFS(tbl_Finance[Job Number],E151&amp;"",tbl_Finance[Ex GST],"&lt;&gt;"))</f>
        <v/>
      </c>
      <c r="Z151" s="27">
        <f>IF(E151="","",SUMIFS(tbl_Finance[Ex GST],tbl_Finance[Job Number],E151&amp;""))</f>
        <v/>
      </c>
      <c r="AA151" s="27">
        <f>IF(E151="","",SUMIFS(tbl_Finance[Ex GST],tbl_Finance[Job Number],E151&amp;"",tbl_Finance[Xero Invoice No],"&lt;&gt;"))</f>
        <v/>
      </c>
      <c r="AB151" s="27">
        <f>IF(E151="","",Z151-AA151)</f>
        <v/>
      </c>
      <c r="AC151" s="25">
        <f>IF(E151="","",IFERROR(IF(INDEX(tbl_Onsite[Qwilr Quote],IFERROR(MATCH(E151&amp;"",tbl_Onsite[Job Number],0),MATCH(IFERROR(E151+0,E151),tbl_Onsite[Job Number],0)))="","",INDEX(tbl_Onsite[Qwilr Quote],IFERROR(MATCH(E151&amp;"",tbl_Onsite[Job Number],0),MATCH(IFERROR(E151+0,E151),tbl_Onsite[Job Number],0)))),IFERROR(IF(IF(INDEX(tbl_Production[Current RMS No],IFERROR(MATCH(E151&amp;"",tbl_Production[Job Number],0),MATCH(IFERROR(E151+0,E151),tbl_Production[Job Number],0)))="",INDEX(tbl_Production[Qwilr Quote],IFERROR(MATCH(E151&amp;"",tbl_Production[Job Number],0),MATCH(IFERROR(E151+0,E151),tbl_Production[Job Number],0))),INDEX(tbl_Production[Current RMS No],IFERROR(MATCH(E151&amp;"",tbl_Production[Job Number],0),MATCH(IFERROR(E151+0,E151),tbl_Production[Job Number],0))))="","",IF(INDEX(tbl_Production[Current RMS No],IFERROR(MATCH(E151&amp;"",tbl_Production[Job Number],0),MATCH(IFERROR(E151+0,E151),tbl_Production[Job Number],0)))="",INDEX(tbl_Production[Qwilr Quote],IFERROR(MATCH(E151&amp;"",tbl_Production[Job Number],0),MATCH(IFERROR(E151+0,E151),tbl_Production[Job Number],0))),INDEX(tbl_Production[Current RMS No],IFERROR(MATCH(E151&amp;"",tbl_Production[Job Number],0),MATCH(IFERROR(E151+0,E151),tbl_Production[Job Number],0))))),IFERROR(IF(INDEX(tbl_Consulting[Qwilr Quote],IFERROR(MATCH(E151&amp;"",tbl_Consulting[Job Number],0),MATCH(IFERROR(E151+0,E151),tbl_Consulting[Job Number],0)))="","",INDEX(tbl_Consulting[Qwilr Quote],IFERROR(MATCH(E151&amp;"",tbl_Consulting[Job Number],0),MATCH(IFERROR(E151+0,E151),tbl_Consulting[Job Number],0)))),""))))</f>
        <v/>
      </c>
      <c r="AD151" s="25">
        <f>IF(AC151="","",IF(AND(LEFT(AC151,4)&lt;&gt;"http",IF(H151="Production",set_RMSBase,set_QwilrBase)=""),"",HYPERLINK(IF(LEFT(AC151,4)="http",AC151,IF(H151="Production",set_RMSBase,set_QwilrBase)&amp;AC151),"Open")))</f>
        <v/>
      </c>
      <c r="AE151" s="27">
        <f>IF(E151="","",IFERROR(INDEX(tbl_Production[Total Expense],IFERROR(MATCH(E151&amp;"",tbl_Production[Job Number],0),MATCH(IFERROR(E151+0,E151),tbl_Production[Job Number],0))),IFERROR(INDEX(tbl_Consulting[Total Expense],IFERROR(MATCH(E151&amp;"",tbl_Consulting[Job Number],0),MATCH(IFERROR(E151+0,E151),tbl_Consulting[Job Number],0))),0)))</f>
        <v/>
      </c>
      <c r="AF151" s="27">
        <f>IF(E151="","",Z151-N(AE151))</f>
        <v/>
      </c>
      <c r="AG151" s="29">
        <f>IFERROR(AF151/Z151,"")</f>
        <v/>
      </c>
      <c r="AH151" s="25">
        <f>IF(E151="","",IFERROR(IF(INDEX(tbl_Onsite[Notes],IFERROR(MATCH(E151&amp;"",tbl_Onsite[Job Number],0),MATCH(IFERROR(E151+0,E151),tbl_Onsite[Job Number],0)))="","",INDEX(tbl_Onsite[Notes],IFERROR(MATCH(E151&amp;"",tbl_Onsite[Job Number],0),MATCH(IFERROR(E151+0,E151),tbl_Onsite[Job Number],0)))),IFERROR(IF(INDEX(tbl_Production[Notes],IFERROR(MATCH(E151&amp;"",tbl_Production[Job Number],0),MATCH(IFERROR(E151+0,E151),tbl_Production[Job Number],0)))="","",INDEX(tbl_Production[Notes],IFERROR(MATCH(E151&amp;"",tbl_Production[Job Number],0),MATCH(IFERROR(E151+0,E151),tbl_Production[Job Number],0)))),IFERROR(IF(INDEX(tbl_Consulting[Notes],IFERROR(MATCH(E151&amp;"",tbl_Consulting[Job Number],0),MATCH(IFERROR(E151+0,E151),tbl_Consulting[Job Number],0)))="","",INDEX(tbl_Consulting[Notes],IFERROR(MATCH(E151&amp;"",tbl_Consulting[Job Number],0),MATCH(IFERROR(E151+0,E151),tbl_Consulting[Job Number],0)))),""))))</f>
        <v/>
      </c>
    </row>
    <row r="152" ht="15" customHeight="1">
      <c r="A152" s="22" t="n"/>
      <c r="B152" s="23">
        <f>IF(A152="","",EOMONTH(A152,0))</f>
        <v/>
      </c>
      <c r="C152" s="24" t="n"/>
      <c r="D152" s="24" t="n"/>
      <c r="E152" s="24" t="n"/>
      <c r="F152" s="25">
        <f>IF(E152="","",IF(COUNTIF(lst_Jobs,E152&amp;"")&gt;0,"OK","CHECK"))</f>
        <v/>
      </c>
      <c r="G152" s="24" t="n"/>
      <c r="H152" s="24" t="n"/>
      <c r="I152" s="24" t="n"/>
      <c r="J152" s="24" t="n"/>
      <c r="K152" s="24" t="n"/>
      <c r="L152" s="26" t="n"/>
      <c r="M152" s="27">
        <f>IF(L152="","",IF(K152="GST 10%",ROUND(L152*set_GSTRate,2),0))</f>
        <v/>
      </c>
      <c r="N152" s="27">
        <f>IF(L152="","",L152+M152)</f>
        <v/>
      </c>
      <c r="O152" s="24" t="n"/>
      <c r="P152" s="24" t="n"/>
      <c r="Q152" s="24" t="n"/>
      <c r="R152" s="22" t="n"/>
      <c r="S152" s="22" t="n"/>
      <c r="T152" s="24" t="n"/>
      <c r="U152" s="24" t="n"/>
      <c r="V152" s="2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25">
        <f>IF(E152="","",IF(COUNTIF(tbl_Onsite[Job Number],E152&amp;"")&gt;0,"Onsite",IF(COUNTIF(tbl_Production[Job Number],E152&amp;"")&gt;0,"Production",IF(COUNTIF(tbl_Consulting[Job Number],E152&amp;"")&gt;0,"Consulting","not set up yet"))))</f>
        <v/>
      </c>
      <c r="X152" s="25">
        <f>IF(E152="","",IFERROR(INDEX(lst_JobName,MATCH(E152&amp;"",lst_Jobs,0)),""))</f>
        <v/>
      </c>
      <c r="Y152" s="28">
        <f>IF(E152="","",COUNTIFS(tbl_Finance[Job Number],E152&amp;"",tbl_Finance[Ex GST],"&lt;&gt;"))</f>
        <v/>
      </c>
      <c r="Z152" s="27">
        <f>IF(E152="","",SUMIFS(tbl_Finance[Ex GST],tbl_Finance[Job Number],E152&amp;""))</f>
        <v/>
      </c>
      <c r="AA152" s="27">
        <f>IF(E152="","",SUMIFS(tbl_Finance[Ex GST],tbl_Finance[Job Number],E152&amp;"",tbl_Finance[Xero Invoice No],"&lt;&gt;"))</f>
        <v/>
      </c>
      <c r="AB152" s="27">
        <f>IF(E152="","",Z152-AA152)</f>
        <v/>
      </c>
      <c r="AC152" s="25">
        <f>IF(E152="","",IFERROR(IF(INDEX(tbl_Onsite[Qwilr Quote],IFERROR(MATCH(E152&amp;"",tbl_Onsite[Job Number],0),MATCH(IFERROR(E152+0,E152),tbl_Onsite[Job Number],0)))="","",INDEX(tbl_Onsite[Qwilr Quote],IFERROR(MATCH(E152&amp;"",tbl_Onsite[Job Number],0),MATCH(IFERROR(E152+0,E152),tbl_Onsite[Job Number],0)))),IFERROR(IF(IF(INDEX(tbl_Production[Current RMS No],IFERROR(MATCH(E152&amp;"",tbl_Production[Job Number],0),MATCH(IFERROR(E152+0,E152),tbl_Production[Job Number],0)))="",INDEX(tbl_Production[Qwilr Quote],IFERROR(MATCH(E152&amp;"",tbl_Production[Job Number],0),MATCH(IFERROR(E152+0,E152),tbl_Production[Job Number],0))),INDEX(tbl_Production[Current RMS No],IFERROR(MATCH(E152&amp;"",tbl_Production[Job Number],0),MATCH(IFERROR(E152+0,E152),tbl_Production[Job Number],0))))="","",IF(INDEX(tbl_Production[Current RMS No],IFERROR(MATCH(E152&amp;"",tbl_Production[Job Number],0),MATCH(IFERROR(E152+0,E152),tbl_Production[Job Number],0)))="",INDEX(tbl_Production[Qwilr Quote],IFERROR(MATCH(E152&amp;"",tbl_Production[Job Number],0),MATCH(IFERROR(E152+0,E152),tbl_Production[Job Number],0))),INDEX(tbl_Production[Current RMS No],IFERROR(MATCH(E152&amp;"",tbl_Production[Job Number],0),MATCH(IFERROR(E152+0,E152),tbl_Production[Job Number],0))))),IFERROR(IF(INDEX(tbl_Consulting[Qwilr Quote],IFERROR(MATCH(E152&amp;"",tbl_Consulting[Job Number],0),MATCH(IFERROR(E152+0,E152),tbl_Consulting[Job Number],0)))="","",INDEX(tbl_Consulting[Qwilr Quote],IFERROR(MATCH(E152&amp;"",tbl_Consulting[Job Number],0),MATCH(IFERROR(E152+0,E152),tbl_Consulting[Job Number],0)))),""))))</f>
        <v/>
      </c>
      <c r="AD152" s="25">
        <f>IF(AC152="","",IF(AND(LEFT(AC152,4)&lt;&gt;"http",IF(H152="Production",set_RMSBase,set_QwilrBase)=""),"",HYPERLINK(IF(LEFT(AC152,4)="http",AC152,IF(H152="Production",set_RMSBase,set_QwilrBase)&amp;AC152),"Open")))</f>
        <v/>
      </c>
      <c r="AE152" s="27">
        <f>IF(E152="","",IFERROR(INDEX(tbl_Production[Total Expense],IFERROR(MATCH(E152&amp;"",tbl_Production[Job Number],0),MATCH(IFERROR(E152+0,E152),tbl_Production[Job Number],0))),IFERROR(INDEX(tbl_Consulting[Total Expense],IFERROR(MATCH(E152&amp;"",tbl_Consulting[Job Number],0),MATCH(IFERROR(E152+0,E152),tbl_Consulting[Job Number],0))),0)))</f>
        <v/>
      </c>
      <c r="AF152" s="27">
        <f>IF(E152="","",Z152-N(AE152))</f>
        <v/>
      </c>
      <c r="AG152" s="29">
        <f>IFERROR(AF152/Z152,"")</f>
        <v/>
      </c>
      <c r="AH152" s="25">
        <f>IF(E152="","",IFERROR(IF(INDEX(tbl_Onsite[Notes],IFERROR(MATCH(E152&amp;"",tbl_Onsite[Job Number],0),MATCH(IFERROR(E152+0,E152),tbl_Onsite[Job Number],0)))="","",INDEX(tbl_Onsite[Notes],IFERROR(MATCH(E152&amp;"",tbl_Onsite[Job Number],0),MATCH(IFERROR(E152+0,E152),tbl_Onsite[Job Number],0)))),IFERROR(IF(INDEX(tbl_Production[Notes],IFERROR(MATCH(E152&amp;"",tbl_Production[Job Number],0),MATCH(IFERROR(E152+0,E152),tbl_Production[Job Number],0)))="","",INDEX(tbl_Production[Notes],IFERROR(MATCH(E152&amp;"",tbl_Production[Job Number],0),MATCH(IFERROR(E152+0,E152),tbl_Production[Job Number],0)))),IFERROR(IF(INDEX(tbl_Consulting[Notes],IFERROR(MATCH(E152&amp;"",tbl_Consulting[Job Number],0),MATCH(IFERROR(E152+0,E152),tbl_Consulting[Job Number],0)))="","",INDEX(tbl_Consulting[Notes],IFERROR(MATCH(E152&amp;"",tbl_Consulting[Job Number],0),MATCH(IFERROR(E152+0,E152),tbl_Consulting[Job Number],0)))),""))))</f>
        <v/>
      </c>
    </row>
    <row r="153" ht="15" customHeight="1">
      <c r="A153" s="22" t="n"/>
      <c r="B153" s="23">
        <f>IF(A153="","",EOMONTH(A153,0))</f>
        <v/>
      </c>
      <c r="C153" s="24" t="n"/>
      <c r="D153" s="24" t="n"/>
      <c r="E153" s="24" t="n"/>
      <c r="F153" s="25">
        <f>IF(E153="","",IF(COUNTIF(lst_Jobs,E153&amp;"")&gt;0,"OK","CHECK"))</f>
        <v/>
      </c>
      <c r="G153" s="24" t="n"/>
      <c r="H153" s="24" t="n"/>
      <c r="I153" s="24" t="n"/>
      <c r="J153" s="24" t="n"/>
      <c r="K153" s="24" t="n"/>
      <c r="L153" s="26" t="n"/>
      <c r="M153" s="27">
        <f>IF(L153="","",IF(K153="GST 10%",ROUND(L153*set_GSTRate,2),0))</f>
        <v/>
      </c>
      <c r="N153" s="27">
        <f>IF(L153="","",L153+M153)</f>
        <v/>
      </c>
      <c r="O153" s="24" t="n"/>
      <c r="P153" s="24" t="n"/>
      <c r="Q153" s="24" t="n"/>
      <c r="R153" s="22" t="n"/>
      <c r="S153" s="22" t="n"/>
      <c r="T153" s="24" t="n"/>
      <c r="U153" s="24" t="n"/>
      <c r="V153" s="2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25">
        <f>IF(E153="","",IF(COUNTIF(tbl_Onsite[Job Number],E153&amp;"")&gt;0,"Onsite",IF(COUNTIF(tbl_Production[Job Number],E153&amp;"")&gt;0,"Production",IF(COUNTIF(tbl_Consulting[Job Number],E153&amp;"")&gt;0,"Consulting","not set up yet"))))</f>
        <v/>
      </c>
      <c r="X153" s="25">
        <f>IF(E153="","",IFERROR(INDEX(lst_JobName,MATCH(E153&amp;"",lst_Jobs,0)),""))</f>
        <v/>
      </c>
      <c r="Y153" s="28">
        <f>IF(E153="","",COUNTIFS(tbl_Finance[Job Number],E153&amp;"",tbl_Finance[Ex GST],"&lt;&gt;"))</f>
        <v/>
      </c>
      <c r="Z153" s="27">
        <f>IF(E153="","",SUMIFS(tbl_Finance[Ex GST],tbl_Finance[Job Number],E153&amp;""))</f>
        <v/>
      </c>
      <c r="AA153" s="27">
        <f>IF(E153="","",SUMIFS(tbl_Finance[Ex GST],tbl_Finance[Job Number],E153&amp;"",tbl_Finance[Xero Invoice No],"&lt;&gt;"))</f>
        <v/>
      </c>
      <c r="AB153" s="27">
        <f>IF(E153="","",Z153-AA153)</f>
        <v/>
      </c>
      <c r="AC153" s="25">
        <f>IF(E153="","",IFERROR(IF(INDEX(tbl_Onsite[Qwilr Quote],IFERROR(MATCH(E153&amp;"",tbl_Onsite[Job Number],0),MATCH(IFERROR(E153+0,E153),tbl_Onsite[Job Number],0)))="","",INDEX(tbl_Onsite[Qwilr Quote],IFERROR(MATCH(E153&amp;"",tbl_Onsite[Job Number],0),MATCH(IFERROR(E153+0,E153),tbl_Onsite[Job Number],0)))),IFERROR(IF(IF(INDEX(tbl_Production[Current RMS No],IFERROR(MATCH(E153&amp;"",tbl_Production[Job Number],0),MATCH(IFERROR(E153+0,E153),tbl_Production[Job Number],0)))="",INDEX(tbl_Production[Qwilr Quote],IFERROR(MATCH(E153&amp;"",tbl_Production[Job Number],0),MATCH(IFERROR(E153+0,E153),tbl_Production[Job Number],0))),INDEX(tbl_Production[Current RMS No],IFERROR(MATCH(E153&amp;"",tbl_Production[Job Number],0),MATCH(IFERROR(E153+0,E153),tbl_Production[Job Number],0))))="","",IF(INDEX(tbl_Production[Current RMS No],IFERROR(MATCH(E153&amp;"",tbl_Production[Job Number],0),MATCH(IFERROR(E153+0,E153),tbl_Production[Job Number],0)))="",INDEX(tbl_Production[Qwilr Quote],IFERROR(MATCH(E153&amp;"",tbl_Production[Job Number],0),MATCH(IFERROR(E153+0,E153),tbl_Production[Job Number],0))),INDEX(tbl_Production[Current RMS No],IFERROR(MATCH(E153&amp;"",tbl_Production[Job Number],0),MATCH(IFERROR(E153+0,E153),tbl_Production[Job Number],0))))),IFERROR(IF(INDEX(tbl_Consulting[Qwilr Quote],IFERROR(MATCH(E153&amp;"",tbl_Consulting[Job Number],0),MATCH(IFERROR(E153+0,E153),tbl_Consulting[Job Number],0)))="","",INDEX(tbl_Consulting[Qwilr Quote],IFERROR(MATCH(E153&amp;"",tbl_Consulting[Job Number],0),MATCH(IFERROR(E153+0,E153),tbl_Consulting[Job Number],0)))),""))))</f>
        <v/>
      </c>
      <c r="AD153" s="25">
        <f>IF(AC153="","",IF(AND(LEFT(AC153,4)&lt;&gt;"http",IF(H153="Production",set_RMSBase,set_QwilrBase)=""),"",HYPERLINK(IF(LEFT(AC153,4)="http",AC153,IF(H153="Production",set_RMSBase,set_QwilrBase)&amp;AC153),"Open")))</f>
        <v/>
      </c>
      <c r="AE153" s="27">
        <f>IF(E153="","",IFERROR(INDEX(tbl_Production[Total Expense],IFERROR(MATCH(E153&amp;"",tbl_Production[Job Number],0),MATCH(IFERROR(E153+0,E153),tbl_Production[Job Number],0))),IFERROR(INDEX(tbl_Consulting[Total Expense],IFERROR(MATCH(E153&amp;"",tbl_Consulting[Job Number],0),MATCH(IFERROR(E153+0,E153),tbl_Consulting[Job Number],0))),0)))</f>
        <v/>
      </c>
      <c r="AF153" s="27">
        <f>IF(E153="","",Z153-N(AE153))</f>
        <v/>
      </c>
      <c r="AG153" s="29">
        <f>IFERROR(AF153/Z153,"")</f>
        <v/>
      </c>
      <c r="AH153" s="25">
        <f>IF(E153="","",IFERROR(IF(INDEX(tbl_Onsite[Notes],IFERROR(MATCH(E153&amp;"",tbl_Onsite[Job Number],0),MATCH(IFERROR(E153+0,E153),tbl_Onsite[Job Number],0)))="","",INDEX(tbl_Onsite[Notes],IFERROR(MATCH(E153&amp;"",tbl_Onsite[Job Number],0),MATCH(IFERROR(E153+0,E153),tbl_Onsite[Job Number],0)))),IFERROR(IF(INDEX(tbl_Production[Notes],IFERROR(MATCH(E153&amp;"",tbl_Production[Job Number],0),MATCH(IFERROR(E153+0,E153),tbl_Production[Job Number],0)))="","",INDEX(tbl_Production[Notes],IFERROR(MATCH(E153&amp;"",tbl_Production[Job Number],0),MATCH(IFERROR(E153+0,E153),tbl_Production[Job Number],0)))),IFERROR(IF(INDEX(tbl_Consulting[Notes],IFERROR(MATCH(E153&amp;"",tbl_Consulting[Job Number],0),MATCH(IFERROR(E153+0,E153),tbl_Consulting[Job Number],0)))="","",INDEX(tbl_Consulting[Notes],IFERROR(MATCH(E153&amp;"",tbl_Consulting[Job Number],0),MATCH(IFERROR(E153+0,E153),tbl_Consulting[Job Number],0)))),""))))</f>
        <v/>
      </c>
    </row>
    <row r="154" ht="15" customHeight="1">
      <c r="A154" s="22" t="n"/>
      <c r="B154" s="23">
        <f>IF(A154="","",EOMONTH(A154,0))</f>
        <v/>
      </c>
      <c r="C154" s="24" t="n"/>
      <c r="D154" s="24" t="n"/>
      <c r="E154" s="24" t="n"/>
      <c r="F154" s="25">
        <f>IF(E154="","",IF(COUNTIF(lst_Jobs,E154&amp;"")&gt;0,"OK","CHECK"))</f>
        <v/>
      </c>
      <c r="G154" s="24" t="n"/>
      <c r="H154" s="24" t="n"/>
      <c r="I154" s="24" t="n"/>
      <c r="J154" s="24" t="n"/>
      <c r="K154" s="24" t="n"/>
      <c r="L154" s="26" t="n"/>
      <c r="M154" s="27">
        <f>IF(L154="","",IF(K154="GST 10%",ROUND(L154*set_GSTRate,2),0))</f>
        <v/>
      </c>
      <c r="N154" s="27">
        <f>IF(L154="","",L154+M154)</f>
        <v/>
      </c>
      <c r="O154" s="24" t="n"/>
      <c r="P154" s="24" t="n"/>
      <c r="Q154" s="24" t="n"/>
      <c r="R154" s="22" t="n"/>
      <c r="S154" s="22" t="n"/>
      <c r="T154" s="24" t="n"/>
      <c r="U154" s="24" t="n"/>
      <c r="V154" s="2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25">
        <f>IF(E154="","",IF(COUNTIF(tbl_Onsite[Job Number],E154&amp;"")&gt;0,"Onsite",IF(COUNTIF(tbl_Production[Job Number],E154&amp;"")&gt;0,"Production",IF(COUNTIF(tbl_Consulting[Job Number],E154&amp;"")&gt;0,"Consulting","not set up yet"))))</f>
        <v/>
      </c>
      <c r="X154" s="25">
        <f>IF(E154="","",IFERROR(INDEX(lst_JobName,MATCH(E154&amp;"",lst_Jobs,0)),""))</f>
        <v/>
      </c>
      <c r="Y154" s="28">
        <f>IF(E154="","",COUNTIFS(tbl_Finance[Job Number],E154&amp;"",tbl_Finance[Ex GST],"&lt;&gt;"))</f>
        <v/>
      </c>
      <c r="Z154" s="27">
        <f>IF(E154="","",SUMIFS(tbl_Finance[Ex GST],tbl_Finance[Job Number],E154&amp;""))</f>
        <v/>
      </c>
      <c r="AA154" s="27">
        <f>IF(E154="","",SUMIFS(tbl_Finance[Ex GST],tbl_Finance[Job Number],E154&amp;"",tbl_Finance[Xero Invoice No],"&lt;&gt;"))</f>
        <v/>
      </c>
      <c r="AB154" s="27">
        <f>IF(E154="","",Z154-AA154)</f>
        <v/>
      </c>
      <c r="AC154" s="25">
        <f>IF(E154="","",IFERROR(IF(INDEX(tbl_Onsite[Qwilr Quote],IFERROR(MATCH(E154&amp;"",tbl_Onsite[Job Number],0),MATCH(IFERROR(E154+0,E154),tbl_Onsite[Job Number],0)))="","",INDEX(tbl_Onsite[Qwilr Quote],IFERROR(MATCH(E154&amp;"",tbl_Onsite[Job Number],0),MATCH(IFERROR(E154+0,E154),tbl_Onsite[Job Number],0)))),IFERROR(IF(IF(INDEX(tbl_Production[Current RMS No],IFERROR(MATCH(E154&amp;"",tbl_Production[Job Number],0),MATCH(IFERROR(E154+0,E154),tbl_Production[Job Number],0)))="",INDEX(tbl_Production[Qwilr Quote],IFERROR(MATCH(E154&amp;"",tbl_Production[Job Number],0),MATCH(IFERROR(E154+0,E154),tbl_Production[Job Number],0))),INDEX(tbl_Production[Current RMS No],IFERROR(MATCH(E154&amp;"",tbl_Production[Job Number],0),MATCH(IFERROR(E154+0,E154),tbl_Production[Job Number],0))))="","",IF(INDEX(tbl_Production[Current RMS No],IFERROR(MATCH(E154&amp;"",tbl_Production[Job Number],0),MATCH(IFERROR(E154+0,E154),tbl_Production[Job Number],0)))="",INDEX(tbl_Production[Qwilr Quote],IFERROR(MATCH(E154&amp;"",tbl_Production[Job Number],0),MATCH(IFERROR(E154+0,E154),tbl_Production[Job Number],0))),INDEX(tbl_Production[Current RMS No],IFERROR(MATCH(E154&amp;"",tbl_Production[Job Number],0),MATCH(IFERROR(E154+0,E154),tbl_Production[Job Number],0))))),IFERROR(IF(INDEX(tbl_Consulting[Qwilr Quote],IFERROR(MATCH(E154&amp;"",tbl_Consulting[Job Number],0),MATCH(IFERROR(E154+0,E154),tbl_Consulting[Job Number],0)))="","",INDEX(tbl_Consulting[Qwilr Quote],IFERROR(MATCH(E154&amp;"",tbl_Consulting[Job Number],0),MATCH(IFERROR(E154+0,E154),tbl_Consulting[Job Number],0)))),""))))</f>
        <v/>
      </c>
      <c r="AD154" s="25">
        <f>IF(AC154="","",IF(AND(LEFT(AC154,4)&lt;&gt;"http",IF(H154="Production",set_RMSBase,set_QwilrBase)=""),"",HYPERLINK(IF(LEFT(AC154,4)="http",AC154,IF(H154="Production",set_RMSBase,set_QwilrBase)&amp;AC154),"Open")))</f>
        <v/>
      </c>
      <c r="AE154" s="27">
        <f>IF(E154="","",IFERROR(INDEX(tbl_Production[Total Expense],IFERROR(MATCH(E154&amp;"",tbl_Production[Job Number],0),MATCH(IFERROR(E154+0,E154),tbl_Production[Job Number],0))),IFERROR(INDEX(tbl_Consulting[Total Expense],IFERROR(MATCH(E154&amp;"",tbl_Consulting[Job Number],0),MATCH(IFERROR(E154+0,E154),tbl_Consulting[Job Number],0))),0)))</f>
        <v/>
      </c>
      <c r="AF154" s="27">
        <f>IF(E154="","",Z154-N(AE154))</f>
        <v/>
      </c>
      <c r="AG154" s="29">
        <f>IFERROR(AF154/Z154,"")</f>
        <v/>
      </c>
      <c r="AH154" s="25">
        <f>IF(E154="","",IFERROR(IF(INDEX(tbl_Onsite[Notes],IFERROR(MATCH(E154&amp;"",tbl_Onsite[Job Number],0),MATCH(IFERROR(E154+0,E154),tbl_Onsite[Job Number],0)))="","",INDEX(tbl_Onsite[Notes],IFERROR(MATCH(E154&amp;"",tbl_Onsite[Job Number],0),MATCH(IFERROR(E154+0,E154),tbl_Onsite[Job Number],0)))),IFERROR(IF(INDEX(tbl_Production[Notes],IFERROR(MATCH(E154&amp;"",tbl_Production[Job Number],0),MATCH(IFERROR(E154+0,E154),tbl_Production[Job Number],0)))="","",INDEX(tbl_Production[Notes],IFERROR(MATCH(E154&amp;"",tbl_Production[Job Number],0),MATCH(IFERROR(E154+0,E154),tbl_Production[Job Number],0)))),IFERROR(IF(INDEX(tbl_Consulting[Notes],IFERROR(MATCH(E154&amp;"",tbl_Consulting[Job Number],0),MATCH(IFERROR(E154+0,E154),tbl_Consulting[Job Number],0)))="","",INDEX(tbl_Consulting[Notes],IFERROR(MATCH(E154&amp;"",tbl_Consulting[Job Number],0),MATCH(IFERROR(E154+0,E154),tbl_Consulting[Job Number],0)))),""))))</f>
        <v/>
      </c>
    </row>
    <row r="155" ht="15" customHeight="1">
      <c r="A155" s="22" t="n"/>
      <c r="B155" s="23">
        <f>IF(A155="","",EOMONTH(A155,0))</f>
        <v/>
      </c>
      <c r="C155" s="24" t="n"/>
      <c r="D155" s="24" t="n"/>
      <c r="E155" s="24" t="n"/>
      <c r="F155" s="25">
        <f>IF(E155="","",IF(COUNTIF(lst_Jobs,E155&amp;"")&gt;0,"OK","CHECK"))</f>
        <v/>
      </c>
      <c r="G155" s="24" t="n"/>
      <c r="H155" s="24" t="n"/>
      <c r="I155" s="24" t="n"/>
      <c r="J155" s="24" t="n"/>
      <c r="K155" s="24" t="n"/>
      <c r="L155" s="26" t="n"/>
      <c r="M155" s="27">
        <f>IF(L155="","",IF(K155="GST 10%",ROUND(L155*set_GSTRate,2),0))</f>
        <v/>
      </c>
      <c r="N155" s="27">
        <f>IF(L155="","",L155+M155)</f>
        <v/>
      </c>
      <c r="O155" s="24" t="n"/>
      <c r="P155" s="24" t="n"/>
      <c r="Q155" s="24" t="n"/>
      <c r="R155" s="22" t="n"/>
      <c r="S155" s="22" t="n"/>
      <c r="T155" s="24" t="n"/>
      <c r="U155" s="24" t="n"/>
      <c r="V155" s="2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25">
        <f>IF(E155="","",IF(COUNTIF(tbl_Onsite[Job Number],E155&amp;"")&gt;0,"Onsite",IF(COUNTIF(tbl_Production[Job Number],E155&amp;"")&gt;0,"Production",IF(COUNTIF(tbl_Consulting[Job Number],E155&amp;"")&gt;0,"Consulting","not set up yet"))))</f>
        <v/>
      </c>
      <c r="X155" s="25">
        <f>IF(E155="","",IFERROR(INDEX(lst_JobName,MATCH(E155&amp;"",lst_Jobs,0)),""))</f>
        <v/>
      </c>
      <c r="Y155" s="28">
        <f>IF(E155="","",COUNTIFS(tbl_Finance[Job Number],E155&amp;"",tbl_Finance[Ex GST],"&lt;&gt;"))</f>
        <v/>
      </c>
      <c r="Z155" s="27">
        <f>IF(E155="","",SUMIFS(tbl_Finance[Ex GST],tbl_Finance[Job Number],E155&amp;""))</f>
        <v/>
      </c>
      <c r="AA155" s="27">
        <f>IF(E155="","",SUMIFS(tbl_Finance[Ex GST],tbl_Finance[Job Number],E155&amp;"",tbl_Finance[Xero Invoice No],"&lt;&gt;"))</f>
        <v/>
      </c>
      <c r="AB155" s="27">
        <f>IF(E155="","",Z155-AA155)</f>
        <v/>
      </c>
      <c r="AC155" s="25">
        <f>IF(E155="","",IFERROR(IF(INDEX(tbl_Onsite[Qwilr Quote],IFERROR(MATCH(E155&amp;"",tbl_Onsite[Job Number],0),MATCH(IFERROR(E155+0,E155),tbl_Onsite[Job Number],0)))="","",INDEX(tbl_Onsite[Qwilr Quote],IFERROR(MATCH(E155&amp;"",tbl_Onsite[Job Number],0),MATCH(IFERROR(E155+0,E155),tbl_Onsite[Job Number],0)))),IFERROR(IF(IF(INDEX(tbl_Production[Current RMS No],IFERROR(MATCH(E155&amp;"",tbl_Production[Job Number],0),MATCH(IFERROR(E155+0,E155),tbl_Production[Job Number],0)))="",INDEX(tbl_Production[Qwilr Quote],IFERROR(MATCH(E155&amp;"",tbl_Production[Job Number],0),MATCH(IFERROR(E155+0,E155),tbl_Production[Job Number],0))),INDEX(tbl_Production[Current RMS No],IFERROR(MATCH(E155&amp;"",tbl_Production[Job Number],0),MATCH(IFERROR(E155+0,E155),tbl_Production[Job Number],0))))="","",IF(INDEX(tbl_Production[Current RMS No],IFERROR(MATCH(E155&amp;"",tbl_Production[Job Number],0),MATCH(IFERROR(E155+0,E155),tbl_Production[Job Number],0)))="",INDEX(tbl_Production[Qwilr Quote],IFERROR(MATCH(E155&amp;"",tbl_Production[Job Number],0),MATCH(IFERROR(E155+0,E155),tbl_Production[Job Number],0))),INDEX(tbl_Production[Current RMS No],IFERROR(MATCH(E155&amp;"",tbl_Production[Job Number],0),MATCH(IFERROR(E155+0,E155),tbl_Production[Job Number],0))))),IFERROR(IF(INDEX(tbl_Consulting[Qwilr Quote],IFERROR(MATCH(E155&amp;"",tbl_Consulting[Job Number],0),MATCH(IFERROR(E155+0,E155),tbl_Consulting[Job Number],0)))="","",INDEX(tbl_Consulting[Qwilr Quote],IFERROR(MATCH(E155&amp;"",tbl_Consulting[Job Number],0),MATCH(IFERROR(E155+0,E155),tbl_Consulting[Job Number],0)))),""))))</f>
        <v/>
      </c>
      <c r="AD155" s="25">
        <f>IF(AC155="","",IF(AND(LEFT(AC155,4)&lt;&gt;"http",IF(H155="Production",set_RMSBase,set_QwilrBase)=""),"",HYPERLINK(IF(LEFT(AC155,4)="http",AC155,IF(H155="Production",set_RMSBase,set_QwilrBase)&amp;AC155),"Open")))</f>
        <v/>
      </c>
      <c r="AE155" s="27">
        <f>IF(E155="","",IFERROR(INDEX(tbl_Production[Total Expense],IFERROR(MATCH(E155&amp;"",tbl_Production[Job Number],0),MATCH(IFERROR(E155+0,E155),tbl_Production[Job Number],0))),IFERROR(INDEX(tbl_Consulting[Total Expense],IFERROR(MATCH(E155&amp;"",tbl_Consulting[Job Number],0),MATCH(IFERROR(E155+0,E155),tbl_Consulting[Job Number],0))),0)))</f>
        <v/>
      </c>
      <c r="AF155" s="27">
        <f>IF(E155="","",Z155-N(AE155))</f>
        <v/>
      </c>
      <c r="AG155" s="29">
        <f>IFERROR(AF155/Z155,"")</f>
        <v/>
      </c>
      <c r="AH155" s="25">
        <f>IF(E155="","",IFERROR(IF(INDEX(tbl_Onsite[Notes],IFERROR(MATCH(E155&amp;"",tbl_Onsite[Job Number],0),MATCH(IFERROR(E155+0,E155),tbl_Onsite[Job Number],0)))="","",INDEX(tbl_Onsite[Notes],IFERROR(MATCH(E155&amp;"",tbl_Onsite[Job Number],0),MATCH(IFERROR(E155+0,E155),tbl_Onsite[Job Number],0)))),IFERROR(IF(INDEX(tbl_Production[Notes],IFERROR(MATCH(E155&amp;"",tbl_Production[Job Number],0),MATCH(IFERROR(E155+0,E155),tbl_Production[Job Number],0)))="","",INDEX(tbl_Production[Notes],IFERROR(MATCH(E155&amp;"",tbl_Production[Job Number],0),MATCH(IFERROR(E155+0,E155),tbl_Production[Job Number],0)))),IFERROR(IF(INDEX(tbl_Consulting[Notes],IFERROR(MATCH(E155&amp;"",tbl_Consulting[Job Number],0),MATCH(IFERROR(E155+0,E155),tbl_Consulting[Job Number],0)))="","",INDEX(tbl_Consulting[Notes],IFERROR(MATCH(E155&amp;"",tbl_Consulting[Job Number],0),MATCH(IFERROR(E155+0,E155),tbl_Consulting[Job Number],0)))),""))))</f>
        <v/>
      </c>
    </row>
    <row r="156" ht="15" customHeight="1">
      <c r="A156" s="22" t="n"/>
      <c r="B156" s="23">
        <f>IF(A156="","",EOMONTH(A156,0))</f>
        <v/>
      </c>
      <c r="C156" s="24" t="n"/>
      <c r="D156" s="24" t="n"/>
      <c r="E156" s="24" t="n"/>
      <c r="F156" s="25">
        <f>IF(E156="","",IF(COUNTIF(lst_Jobs,E156&amp;"")&gt;0,"OK","CHECK"))</f>
        <v/>
      </c>
      <c r="G156" s="24" t="n"/>
      <c r="H156" s="24" t="n"/>
      <c r="I156" s="24" t="n"/>
      <c r="J156" s="24" t="n"/>
      <c r="K156" s="24" t="n"/>
      <c r="L156" s="26" t="n"/>
      <c r="M156" s="27">
        <f>IF(L156="","",IF(K156="GST 10%",ROUND(L156*set_GSTRate,2),0))</f>
        <v/>
      </c>
      <c r="N156" s="27">
        <f>IF(L156="","",L156+M156)</f>
        <v/>
      </c>
      <c r="O156" s="24" t="n"/>
      <c r="P156" s="24" t="n"/>
      <c r="Q156" s="24" t="n"/>
      <c r="R156" s="22" t="n"/>
      <c r="S156" s="22" t="n"/>
      <c r="T156" s="24" t="n"/>
      <c r="U156" s="24" t="n"/>
      <c r="V156" s="2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25">
        <f>IF(E156="","",IF(COUNTIF(tbl_Onsite[Job Number],E156&amp;"")&gt;0,"Onsite",IF(COUNTIF(tbl_Production[Job Number],E156&amp;"")&gt;0,"Production",IF(COUNTIF(tbl_Consulting[Job Number],E156&amp;"")&gt;0,"Consulting","not set up yet"))))</f>
        <v/>
      </c>
      <c r="X156" s="25">
        <f>IF(E156="","",IFERROR(INDEX(lst_JobName,MATCH(E156&amp;"",lst_Jobs,0)),""))</f>
        <v/>
      </c>
      <c r="Y156" s="28">
        <f>IF(E156="","",COUNTIFS(tbl_Finance[Job Number],E156&amp;"",tbl_Finance[Ex GST],"&lt;&gt;"))</f>
        <v/>
      </c>
      <c r="Z156" s="27">
        <f>IF(E156="","",SUMIFS(tbl_Finance[Ex GST],tbl_Finance[Job Number],E156&amp;""))</f>
        <v/>
      </c>
      <c r="AA156" s="27">
        <f>IF(E156="","",SUMIFS(tbl_Finance[Ex GST],tbl_Finance[Job Number],E156&amp;"",tbl_Finance[Xero Invoice No],"&lt;&gt;"))</f>
        <v/>
      </c>
      <c r="AB156" s="27">
        <f>IF(E156="","",Z156-AA156)</f>
        <v/>
      </c>
      <c r="AC156" s="25">
        <f>IF(E156="","",IFERROR(IF(INDEX(tbl_Onsite[Qwilr Quote],IFERROR(MATCH(E156&amp;"",tbl_Onsite[Job Number],0),MATCH(IFERROR(E156+0,E156),tbl_Onsite[Job Number],0)))="","",INDEX(tbl_Onsite[Qwilr Quote],IFERROR(MATCH(E156&amp;"",tbl_Onsite[Job Number],0),MATCH(IFERROR(E156+0,E156),tbl_Onsite[Job Number],0)))),IFERROR(IF(IF(INDEX(tbl_Production[Current RMS No],IFERROR(MATCH(E156&amp;"",tbl_Production[Job Number],0),MATCH(IFERROR(E156+0,E156),tbl_Production[Job Number],0)))="",INDEX(tbl_Production[Qwilr Quote],IFERROR(MATCH(E156&amp;"",tbl_Production[Job Number],0),MATCH(IFERROR(E156+0,E156),tbl_Production[Job Number],0))),INDEX(tbl_Production[Current RMS No],IFERROR(MATCH(E156&amp;"",tbl_Production[Job Number],0),MATCH(IFERROR(E156+0,E156),tbl_Production[Job Number],0))))="","",IF(INDEX(tbl_Production[Current RMS No],IFERROR(MATCH(E156&amp;"",tbl_Production[Job Number],0),MATCH(IFERROR(E156+0,E156),tbl_Production[Job Number],0)))="",INDEX(tbl_Production[Qwilr Quote],IFERROR(MATCH(E156&amp;"",tbl_Production[Job Number],0),MATCH(IFERROR(E156+0,E156),tbl_Production[Job Number],0))),INDEX(tbl_Production[Current RMS No],IFERROR(MATCH(E156&amp;"",tbl_Production[Job Number],0),MATCH(IFERROR(E156+0,E156),tbl_Production[Job Number],0))))),IFERROR(IF(INDEX(tbl_Consulting[Qwilr Quote],IFERROR(MATCH(E156&amp;"",tbl_Consulting[Job Number],0),MATCH(IFERROR(E156+0,E156),tbl_Consulting[Job Number],0)))="","",INDEX(tbl_Consulting[Qwilr Quote],IFERROR(MATCH(E156&amp;"",tbl_Consulting[Job Number],0),MATCH(IFERROR(E156+0,E156),tbl_Consulting[Job Number],0)))),""))))</f>
        <v/>
      </c>
      <c r="AD156" s="25">
        <f>IF(AC156="","",IF(AND(LEFT(AC156,4)&lt;&gt;"http",IF(H156="Production",set_RMSBase,set_QwilrBase)=""),"",HYPERLINK(IF(LEFT(AC156,4)="http",AC156,IF(H156="Production",set_RMSBase,set_QwilrBase)&amp;AC156),"Open")))</f>
        <v/>
      </c>
      <c r="AE156" s="27">
        <f>IF(E156="","",IFERROR(INDEX(tbl_Production[Total Expense],IFERROR(MATCH(E156&amp;"",tbl_Production[Job Number],0),MATCH(IFERROR(E156+0,E156),tbl_Production[Job Number],0))),IFERROR(INDEX(tbl_Consulting[Total Expense],IFERROR(MATCH(E156&amp;"",tbl_Consulting[Job Number],0),MATCH(IFERROR(E156+0,E156),tbl_Consulting[Job Number],0))),0)))</f>
        <v/>
      </c>
      <c r="AF156" s="27">
        <f>IF(E156="","",Z156-N(AE156))</f>
        <v/>
      </c>
      <c r="AG156" s="29">
        <f>IFERROR(AF156/Z156,"")</f>
        <v/>
      </c>
      <c r="AH156" s="25">
        <f>IF(E156="","",IFERROR(IF(INDEX(tbl_Onsite[Notes],IFERROR(MATCH(E156&amp;"",tbl_Onsite[Job Number],0),MATCH(IFERROR(E156+0,E156),tbl_Onsite[Job Number],0)))="","",INDEX(tbl_Onsite[Notes],IFERROR(MATCH(E156&amp;"",tbl_Onsite[Job Number],0),MATCH(IFERROR(E156+0,E156),tbl_Onsite[Job Number],0)))),IFERROR(IF(INDEX(tbl_Production[Notes],IFERROR(MATCH(E156&amp;"",tbl_Production[Job Number],0),MATCH(IFERROR(E156+0,E156),tbl_Production[Job Number],0)))="","",INDEX(tbl_Production[Notes],IFERROR(MATCH(E156&amp;"",tbl_Production[Job Number],0),MATCH(IFERROR(E156+0,E156),tbl_Production[Job Number],0)))),IFERROR(IF(INDEX(tbl_Consulting[Notes],IFERROR(MATCH(E156&amp;"",tbl_Consulting[Job Number],0),MATCH(IFERROR(E156+0,E156),tbl_Consulting[Job Number],0)))="","",INDEX(tbl_Consulting[Notes],IFERROR(MATCH(E156&amp;"",tbl_Consulting[Job Number],0),MATCH(IFERROR(E156+0,E156),tbl_Consulting[Job Number],0)))),""))))</f>
        <v/>
      </c>
    </row>
    <row r="157" ht="15" customHeight="1">
      <c r="A157" s="22" t="n"/>
      <c r="B157" s="23">
        <f>IF(A157="","",EOMONTH(A157,0))</f>
        <v/>
      </c>
      <c r="C157" s="24" t="n"/>
      <c r="D157" s="24" t="n"/>
      <c r="E157" s="24" t="n"/>
      <c r="F157" s="25">
        <f>IF(E157="","",IF(COUNTIF(lst_Jobs,E157&amp;"")&gt;0,"OK","CHECK"))</f>
        <v/>
      </c>
      <c r="G157" s="24" t="n"/>
      <c r="H157" s="24" t="n"/>
      <c r="I157" s="24" t="n"/>
      <c r="J157" s="24" t="n"/>
      <c r="K157" s="24" t="n"/>
      <c r="L157" s="26" t="n"/>
      <c r="M157" s="27">
        <f>IF(L157="","",IF(K157="GST 10%",ROUND(L157*set_GSTRate,2),0))</f>
        <v/>
      </c>
      <c r="N157" s="27">
        <f>IF(L157="","",L157+M157)</f>
        <v/>
      </c>
      <c r="O157" s="24" t="n"/>
      <c r="P157" s="24" t="n"/>
      <c r="Q157" s="24" t="n"/>
      <c r="R157" s="22" t="n"/>
      <c r="S157" s="22" t="n"/>
      <c r="T157" s="24" t="n"/>
      <c r="U157" s="24" t="n"/>
      <c r="V157" s="2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25">
        <f>IF(E157="","",IF(COUNTIF(tbl_Onsite[Job Number],E157&amp;"")&gt;0,"Onsite",IF(COUNTIF(tbl_Production[Job Number],E157&amp;"")&gt;0,"Production",IF(COUNTIF(tbl_Consulting[Job Number],E157&amp;"")&gt;0,"Consulting","not set up yet"))))</f>
        <v/>
      </c>
      <c r="X157" s="25">
        <f>IF(E157="","",IFERROR(INDEX(lst_JobName,MATCH(E157&amp;"",lst_Jobs,0)),""))</f>
        <v/>
      </c>
      <c r="Y157" s="28">
        <f>IF(E157="","",COUNTIFS(tbl_Finance[Job Number],E157&amp;"",tbl_Finance[Ex GST],"&lt;&gt;"))</f>
        <v/>
      </c>
      <c r="Z157" s="27">
        <f>IF(E157="","",SUMIFS(tbl_Finance[Ex GST],tbl_Finance[Job Number],E157&amp;""))</f>
        <v/>
      </c>
      <c r="AA157" s="27">
        <f>IF(E157="","",SUMIFS(tbl_Finance[Ex GST],tbl_Finance[Job Number],E157&amp;"",tbl_Finance[Xero Invoice No],"&lt;&gt;"))</f>
        <v/>
      </c>
      <c r="AB157" s="27">
        <f>IF(E157="","",Z157-AA157)</f>
        <v/>
      </c>
      <c r="AC157" s="25">
        <f>IF(E157="","",IFERROR(IF(INDEX(tbl_Onsite[Qwilr Quote],IFERROR(MATCH(E157&amp;"",tbl_Onsite[Job Number],0),MATCH(IFERROR(E157+0,E157),tbl_Onsite[Job Number],0)))="","",INDEX(tbl_Onsite[Qwilr Quote],IFERROR(MATCH(E157&amp;"",tbl_Onsite[Job Number],0),MATCH(IFERROR(E157+0,E157),tbl_Onsite[Job Number],0)))),IFERROR(IF(IF(INDEX(tbl_Production[Current RMS No],IFERROR(MATCH(E157&amp;"",tbl_Production[Job Number],0),MATCH(IFERROR(E157+0,E157),tbl_Production[Job Number],0)))="",INDEX(tbl_Production[Qwilr Quote],IFERROR(MATCH(E157&amp;"",tbl_Production[Job Number],0),MATCH(IFERROR(E157+0,E157),tbl_Production[Job Number],0))),INDEX(tbl_Production[Current RMS No],IFERROR(MATCH(E157&amp;"",tbl_Production[Job Number],0),MATCH(IFERROR(E157+0,E157),tbl_Production[Job Number],0))))="","",IF(INDEX(tbl_Production[Current RMS No],IFERROR(MATCH(E157&amp;"",tbl_Production[Job Number],0),MATCH(IFERROR(E157+0,E157),tbl_Production[Job Number],0)))="",INDEX(tbl_Production[Qwilr Quote],IFERROR(MATCH(E157&amp;"",tbl_Production[Job Number],0),MATCH(IFERROR(E157+0,E157),tbl_Production[Job Number],0))),INDEX(tbl_Production[Current RMS No],IFERROR(MATCH(E157&amp;"",tbl_Production[Job Number],0),MATCH(IFERROR(E157+0,E157),tbl_Production[Job Number],0))))),IFERROR(IF(INDEX(tbl_Consulting[Qwilr Quote],IFERROR(MATCH(E157&amp;"",tbl_Consulting[Job Number],0),MATCH(IFERROR(E157+0,E157),tbl_Consulting[Job Number],0)))="","",INDEX(tbl_Consulting[Qwilr Quote],IFERROR(MATCH(E157&amp;"",tbl_Consulting[Job Number],0),MATCH(IFERROR(E157+0,E157),tbl_Consulting[Job Number],0)))),""))))</f>
        <v/>
      </c>
      <c r="AD157" s="25">
        <f>IF(AC157="","",IF(AND(LEFT(AC157,4)&lt;&gt;"http",IF(H157="Production",set_RMSBase,set_QwilrBase)=""),"",HYPERLINK(IF(LEFT(AC157,4)="http",AC157,IF(H157="Production",set_RMSBase,set_QwilrBase)&amp;AC157),"Open")))</f>
        <v/>
      </c>
      <c r="AE157" s="27">
        <f>IF(E157="","",IFERROR(INDEX(tbl_Production[Total Expense],IFERROR(MATCH(E157&amp;"",tbl_Production[Job Number],0),MATCH(IFERROR(E157+0,E157),tbl_Production[Job Number],0))),IFERROR(INDEX(tbl_Consulting[Total Expense],IFERROR(MATCH(E157&amp;"",tbl_Consulting[Job Number],0),MATCH(IFERROR(E157+0,E157),tbl_Consulting[Job Number],0))),0)))</f>
        <v/>
      </c>
      <c r="AF157" s="27">
        <f>IF(E157="","",Z157-N(AE157))</f>
        <v/>
      </c>
      <c r="AG157" s="29">
        <f>IFERROR(AF157/Z157,"")</f>
        <v/>
      </c>
      <c r="AH157" s="25">
        <f>IF(E157="","",IFERROR(IF(INDEX(tbl_Onsite[Notes],IFERROR(MATCH(E157&amp;"",tbl_Onsite[Job Number],0),MATCH(IFERROR(E157+0,E157),tbl_Onsite[Job Number],0)))="","",INDEX(tbl_Onsite[Notes],IFERROR(MATCH(E157&amp;"",tbl_Onsite[Job Number],0),MATCH(IFERROR(E157+0,E157),tbl_Onsite[Job Number],0)))),IFERROR(IF(INDEX(tbl_Production[Notes],IFERROR(MATCH(E157&amp;"",tbl_Production[Job Number],0),MATCH(IFERROR(E157+0,E157),tbl_Production[Job Number],0)))="","",INDEX(tbl_Production[Notes],IFERROR(MATCH(E157&amp;"",tbl_Production[Job Number],0),MATCH(IFERROR(E157+0,E157),tbl_Production[Job Number],0)))),IFERROR(IF(INDEX(tbl_Consulting[Notes],IFERROR(MATCH(E157&amp;"",tbl_Consulting[Job Number],0),MATCH(IFERROR(E157+0,E157),tbl_Consulting[Job Number],0)))="","",INDEX(tbl_Consulting[Notes],IFERROR(MATCH(E157&amp;"",tbl_Consulting[Job Number],0),MATCH(IFERROR(E157+0,E157),tbl_Consulting[Job Number],0)))),""))))</f>
        <v/>
      </c>
    </row>
    <row r="158" ht="15" customHeight="1">
      <c r="A158" s="22" t="n"/>
      <c r="B158" s="23">
        <f>IF(A158="","",EOMONTH(A158,0))</f>
        <v/>
      </c>
      <c r="C158" s="24" t="n"/>
      <c r="D158" s="24" t="n"/>
      <c r="E158" s="24" t="n"/>
      <c r="F158" s="25">
        <f>IF(E158="","",IF(COUNTIF(lst_Jobs,E158&amp;"")&gt;0,"OK","CHECK"))</f>
        <v/>
      </c>
      <c r="G158" s="24" t="n"/>
      <c r="H158" s="24" t="n"/>
      <c r="I158" s="24" t="n"/>
      <c r="J158" s="24" t="n"/>
      <c r="K158" s="24" t="n"/>
      <c r="L158" s="26" t="n"/>
      <c r="M158" s="27">
        <f>IF(L158="","",IF(K158="GST 10%",ROUND(L158*set_GSTRate,2),0))</f>
        <v/>
      </c>
      <c r="N158" s="27">
        <f>IF(L158="","",L158+M158)</f>
        <v/>
      </c>
      <c r="O158" s="24" t="n"/>
      <c r="P158" s="24" t="n"/>
      <c r="Q158" s="24" t="n"/>
      <c r="R158" s="22" t="n"/>
      <c r="S158" s="22" t="n"/>
      <c r="T158" s="24" t="n"/>
      <c r="U158" s="24" t="n"/>
      <c r="V158" s="2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25">
        <f>IF(E158="","",IF(COUNTIF(tbl_Onsite[Job Number],E158&amp;"")&gt;0,"Onsite",IF(COUNTIF(tbl_Production[Job Number],E158&amp;"")&gt;0,"Production",IF(COUNTIF(tbl_Consulting[Job Number],E158&amp;"")&gt;0,"Consulting","not set up yet"))))</f>
        <v/>
      </c>
      <c r="X158" s="25">
        <f>IF(E158="","",IFERROR(INDEX(lst_JobName,MATCH(E158&amp;"",lst_Jobs,0)),""))</f>
        <v/>
      </c>
      <c r="Y158" s="28">
        <f>IF(E158="","",COUNTIFS(tbl_Finance[Job Number],E158&amp;"",tbl_Finance[Ex GST],"&lt;&gt;"))</f>
        <v/>
      </c>
      <c r="Z158" s="27">
        <f>IF(E158="","",SUMIFS(tbl_Finance[Ex GST],tbl_Finance[Job Number],E158&amp;""))</f>
        <v/>
      </c>
      <c r="AA158" s="27">
        <f>IF(E158="","",SUMIFS(tbl_Finance[Ex GST],tbl_Finance[Job Number],E158&amp;"",tbl_Finance[Xero Invoice No],"&lt;&gt;"))</f>
        <v/>
      </c>
      <c r="AB158" s="27">
        <f>IF(E158="","",Z158-AA158)</f>
        <v/>
      </c>
      <c r="AC158" s="25">
        <f>IF(E158="","",IFERROR(IF(INDEX(tbl_Onsite[Qwilr Quote],IFERROR(MATCH(E158&amp;"",tbl_Onsite[Job Number],0),MATCH(IFERROR(E158+0,E158),tbl_Onsite[Job Number],0)))="","",INDEX(tbl_Onsite[Qwilr Quote],IFERROR(MATCH(E158&amp;"",tbl_Onsite[Job Number],0),MATCH(IFERROR(E158+0,E158),tbl_Onsite[Job Number],0)))),IFERROR(IF(IF(INDEX(tbl_Production[Current RMS No],IFERROR(MATCH(E158&amp;"",tbl_Production[Job Number],0),MATCH(IFERROR(E158+0,E158),tbl_Production[Job Number],0)))="",INDEX(tbl_Production[Qwilr Quote],IFERROR(MATCH(E158&amp;"",tbl_Production[Job Number],0),MATCH(IFERROR(E158+0,E158),tbl_Production[Job Number],0))),INDEX(tbl_Production[Current RMS No],IFERROR(MATCH(E158&amp;"",tbl_Production[Job Number],0),MATCH(IFERROR(E158+0,E158),tbl_Production[Job Number],0))))="","",IF(INDEX(tbl_Production[Current RMS No],IFERROR(MATCH(E158&amp;"",tbl_Production[Job Number],0),MATCH(IFERROR(E158+0,E158),tbl_Production[Job Number],0)))="",INDEX(tbl_Production[Qwilr Quote],IFERROR(MATCH(E158&amp;"",tbl_Production[Job Number],0),MATCH(IFERROR(E158+0,E158),tbl_Production[Job Number],0))),INDEX(tbl_Production[Current RMS No],IFERROR(MATCH(E158&amp;"",tbl_Production[Job Number],0),MATCH(IFERROR(E158+0,E158),tbl_Production[Job Number],0))))),IFERROR(IF(INDEX(tbl_Consulting[Qwilr Quote],IFERROR(MATCH(E158&amp;"",tbl_Consulting[Job Number],0),MATCH(IFERROR(E158+0,E158),tbl_Consulting[Job Number],0)))="","",INDEX(tbl_Consulting[Qwilr Quote],IFERROR(MATCH(E158&amp;"",tbl_Consulting[Job Number],0),MATCH(IFERROR(E158+0,E158),tbl_Consulting[Job Number],0)))),""))))</f>
        <v/>
      </c>
      <c r="AD158" s="25">
        <f>IF(AC158="","",IF(AND(LEFT(AC158,4)&lt;&gt;"http",IF(H158="Production",set_RMSBase,set_QwilrBase)=""),"",HYPERLINK(IF(LEFT(AC158,4)="http",AC158,IF(H158="Production",set_RMSBase,set_QwilrBase)&amp;AC158),"Open")))</f>
        <v/>
      </c>
      <c r="AE158" s="27">
        <f>IF(E158="","",IFERROR(INDEX(tbl_Production[Total Expense],IFERROR(MATCH(E158&amp;"",tbl_Production[Job Number],0),MATCH(IFERROR(E158+0,E158),tbl_Production[Job Number],0))),IFERROR(INDEX(tbl_Consulting[Total Expense],IFERROR(MATCH(E158&amp;"",tbl_Consulting[Job Number],0),MATCH(IFERROR(E158+0,E158),tbl_Consulting[Job Number],0))),0)))</f>
        <v/>
      </c>
      <c r="AF158" s="27">
        <f>IF(E158="","",Z158-N(AE158))</f>
        <v/>
      </c>
      <c r="AG158" s="29">
        <f>IFERROR(AF158/Z158,"")</f>
        <v/>
      </c>
      <c r="AH158" s="25">
        <f>IF(E158="","",IFERROR(IF(INDEX(tbl_Onsite[Notes],IFERROR(MATCH(E158&amp;"",tbl_Onsite[Job Number],0),MATCH(IFERROR(E158+0,E158),tbl_Onsite[Job Number],0)))="","",INDEX(tbl_Onsite[Notes],IFERROR(MATCH(E158&amp;"",tbl_Onsite[Job Number],0),MATCH(IFERROR(E158+0,E158),tbl_Onsite[Job Number],0)))),IFERROR(IF(INDEX(tbl_Production[Notes],IFERROR(MATCH(E158&amp;"",tbl_Production[Job Number],0),MATCH(IFERROR(E158+0,E158),tbl_Production[Job Number],0)))="","",INDEX(tbl_Production[Notes],IFERROR(MATCH(E158&amp;"",tbl_Production[Job Number],0),MATCH(IFERROR(E158+0,E158),tbl_Production[Job Number],0)))),IFERROR(IF(INDEX(tbl_Consulting[Notes],IFERROR(MATCH(E158&amp;"",tbl_Consulting[Job Number],0),MATCH(IFERROR(E158+0,E158),tbl_Consulting[Job Number],0)))="","",INDEX(tbl_Consulting[Notes],IFERROR(MATCH(E158&amp;"",tbl_Consulting[Job Number],0),MATCH(IFERROR(E158+0,E158),tbl_Consulting[Job Number],0)))),""))))</f>
        <v/>
      </c>
    </row>
    <row r="159" ht="15" customHeight="1">
      <c r="A159" s="22" t="n"/>
      <c r="B159" s="23">
        <f>IF(A159="","",EOMONTH(A159,0))</f>
        <v/>
      </c>
      <c r="C159" s="24" t="n"/>
      <c r="D159" s="24" t="n"/>
      <c r="E159" s="24" t="n"/>
      <c r="F159" s="25">
        <f>IF(E159="","",IF(COUNTIF(lst_Jobs,E159&amp;"")&gt;0,"OK","CHECK"))</f>
        <v/>
      </c>
      <c r="G159" s="24" t="n"/>
      <c r="H159" s="24" t="n"/>
      <c r="I159" s="24" t="n"/>
      <c r="J159" s="24" t="n"/>
      <c r="K159" s="24" t="n"/>
      <c r="L159" s="26" t="n"/>
      <c r="M159" s="27">
        <f>IF(L159="","",IF(K159="GST 10%",ROUND(L159*set_GSTRate,2),0))</f>
        <v/>
      </c>
      <c r="N159" s="27">
        <f>IF(L159="","",L159+M159)</f>
        <v/>
      </c>
      <c r="O159" s="24" t="n"/>
      <c r="P159" s="24" t="n"/>
      <c r="Q159" s="24" t="n"/>
      <c r="R159" s="22" t="n"/>
      <c r="S159" s="22" t="n"/>
      <c r="T159" s="24" t="n"/>
      <c r="U159" s="24" t="n"/>
      <c r="V159" s="2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25">
        <f>IF(E159="","",IF(COUNTIF(tbl_Onsite[Job Number],E159&amp;"")&gt;0,"Onsite",IF(COUNTIF(tbl_Production[Job Number],E159&amp;"")&gt;0,"Production",IF(COUNTIF(tbl_Consulting[Job Number],E159&amp;"")&gt;0,"Consulting","not set up yet"))))</f>
        <v/>
      </c>
      <c r="X159" s="25">
        <f>IF(E159="","",IFERROR(INDEX(lst_JobName,MATCH(E159&amp;"",lst_Jobs,0)),""))</f>
        <v/>
      </c>
      <c r="Y159" s="28">
        <f>IF(E159="","",COUNTIFS(tbl_Finance[Job Number],E159&amp;"",tbl_Finance[Ex GST],"&lt;&gt;"))</f>
        <v/>
      </c>
      <c r="Z159" s="27">
        <f>IF(E159="","",SUMIFS(tbl_Finance[Ex GST],tbl_Finance[Job Number],E159&amp;""))</f>
        <v/>
      </c>
      <c r="AA159" s="27">
        <f>IF(E159="","",SUMIFS(tbl_Finance[Ex GST],tbl_Finance[Job Number],E159&amp;"",tbl_Finance[Xero Invoice No],"&lt;&gt;"))</f>
        <v/>
      </c>
      <c r="AB159" s="27">
        <f>IF(E159="","",Z159-AA159)</f>
        <v/>
      </c>
      <c r="AC159" s="25">
        <f>IF(E159="","",IFERROR(IF(INDEX(tbl_Onsite[Qwilr Quote],IFERROR(MATCH(E159&amp;"",tbl_Onsite[Job Number],0),MATCH(IFERROR(E159+0,E159),tbl_Onsite[Job Number],0)))="","",INDEX(tbl_Onsite[Qwilr Quote],IFERROR(MATCH(E159&amp;"",tbl_Onsite[Job Number],0),MATCH(IFERROR(E159+0,E159),tbl_Onsite[Job Number],0)))),IFERROR(IF(IF(INDEX(tbl_Production[Current RMS No],IFERROR(MATCH(E159&amp;"",tbl_Production[Job Number],0),MATCH(IFERROR(E159+0,E159),tbl_Production[Job Number],0)))="",INDEX(tbl_Production[Qwilr Quote],IFERROR(MATCH(E159&amp;"",tbl_Production[Job Number],0),MATCH(IFERROR(E159+0,E159),tbl_Production[Job Number],0))),INDEX(tbl_Production[Current RMS No],IFERROR(MATCH(E159&amp;"",tbl_Production[Job Number],0),MATCH(IFERROR(E159+0,E159),tbl_Production[Job Number],0))))="","",IF(INDEX(tbl_Production[Current RMS No],IFERROR(MATCH(E159&amp;"",tbl_Production[Job Number],0),MATCH(IFERROR(E159+0,E159),tbl_Production[Job Number],0)))="",INDEX(tbl_Production[Qwilr Quote],IFERROR(MATCH(E159&amp;"",tbl_Production[Job Number],0),MATCH(IFERROR(E159+0,E159),tbl_Production[Job Number],0))),INDEX(tbl_Production[Current RMS No],IFERROR(MATCH(E159&amp;"",tbl_Production[Job Number],0),MATCH(IFERROR(E159+0,E159),tbl_Production[Job Number],0))))),IFERROR(IF(INDEX(tbl_Consulting[Qwilr Quote],IFERROR(MATCH(E159&amp;"",tbl_Consulting[Job Number],0),MATCH(IFERROR(E159+0,E159),tbl_Consulting[Job Number],0)))="","",INDEX(tbl_Consulting[Qwilr Quote],IFERROR(MATCH(E159&amp;"",tbl_Consulting[Job Number],0),MATCH(IFERROR(E159+0,E159),tbl_Consulting[Job Number],0)))),""))))</f>
        <v/>
      </c>
      <c r="AD159" s="25">
        <f>IF(AC159="","",IF(AND(LEFT(AC159,4)&lt;&gt;"http",IF(H159="Production",set_RMSBase,set_QwilrBase)=""),"",HYPERLINK(IF(LEFT(AC159,4)="http",AC159,IF(H159="Production",set_RMSBase,set_QwilrBase)&amp;AC159),"Open")))</f>
        <v/>
      </c>
      <c r="AE159" s="27">
        <f>IF(E159="","",IFERROR(INDEX(tbl_Production[Total Expense],IFERROR(MATCH(E159&amp;"",tbl_Production[Job Number],0),MATCH(IFERROR(E159+0,E159),tbl_Production[Job Number],0))),IFERROR(INDEX(tbl_Consulting[Total Expense],IFERROR(MATCH(E159&amp;"",tbl_Consulting[Job Number],0),MATCH(IFERROR(E159+0,E159),tbl_Consulting[Job Number],0))),0)))</f>
        <v/>
      </c>
      <c r="AF159" s="27">
        <f>IF(E159="","",Z159-N(AE159))</f>
        <v/>
      </c>
      <c r="AG159" s="29">
        <f>IFERROR(AF159/Z159,"")</f>
        <v/>
      </c>
      <c r="AH159" s="25">
        <f>IF(E159="","",IFERROR(IF(INDEX(tbl_Onsite[Notes],IFERROR(MATCH(E159&amp;"",tbl_Onsite[Job Number],0),MATCH(IFERROR(E159+0,E159),tbl_Onsite[Job Number],0)))="","",INDEX(tbl_Onsite[Notes],IFERROR(MATCH(E159&amp;"",tbl_Onsite[Job Number],0),MATCH(IFERROR(E159+0,E159),tbl_Onsite[Job Number],0)))),IFERROR(IF(INDEX(tbl_Production[Notes],IFERROR(MATCH(E159&amp;"",tbl_Production[Job Number],0),MATCH(IFERROR(E159+0,E159),tbl_Production[Job Number],0)))="","",INDEX(tbl_Production[Notes],IFERROR(MATCH(E159&amp;"",tbl_Production[Job Number],0),MATCH(IFERROR(E159+0,E159),tbl_Production[Job Number],0)))),IFERROR(IF(INDEX(tbl_Consulting[Notes],IFERROR(MATCH(E159&amp;"",tbl_Consulting[Job Number],0),MATCH(IFERROR(E159+0,E159),tbl_Consulting[Job Number],0)))="","",INDEX(tbl_Consulting[Notes],IFERROR(MATCH(E159&amp;"",tbl_Consulting[Job Number],0),MATCH(IFERROR(E159+0,E159),tbl_Consulting[Job Number],0)))),""))))</f>
        <v/>
      </c>
    </row>
    <row r="160" ht="15" customHeight="1">
      <c r="A160" s="22" t="n"/>
      <c r="B160" s="23">
        <f>IF(A160="","",EOMONTH(A160,0))</f>
        <v/>
      </c>
      <c r="C160" s="24" t="n"/>
      <c r="D160" s="24" t="n"/>
      <c r="E160" s="24" t="n"/>
      <c r="F160" s="25">
        <f>IF(E160="","",IF(COUNTIF(lst_Jobs,E160&amp;"")&gt;0,"OK","CHECK"))</f>
        <v/>
      </c>
      <c r="G160" s="24" t="n"/>
      <c r="H160" s="24" t="n"/>
      <c r="I160" s="24" t="n"/>
      <c r="J160" s="24" t="n"/>
      <c r="K160" s="24" t="n"/>
      <c r="L160" s="26" t="n"/>
      <c r="M160" s="27">
        <f>IF(L160="","",IF(K160="GST 10%",ROUND(L160*set_GSTRate,2),0))</f>
        <v/>
      </c>
      <c r="N160" s="27">
        <f>IF(L160="","",L160+M160)</f>
        <v/>
      </c>
      <c r="O160" s="24" t="n"/>
      <c r="P160" s="24" t="n"/>
      <c r="Q160" s="24" t="n"/>
      <c r="R160" s="22" t="n"/>
      <c r="S160" s="22" t="n"/>
      <c r="T160" s="24" t="n"/>
      <c r="U160" s="24" t="n"/>
      <c r="V160" s="2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25">
        <f>IF(E160="","",IF(COUNTIF(tbl_Onsite[Job Number],E160&amp;"")&gt;0,"Onsite",IF(COUNTIF(tbl_Production[Job Number],E160&amp;"")&gt;0,"Production",IF(COUNTIF(tbl_Consulting[Job Number],E160&amp;"")&gt;0,"Consulting","not set up yet"))))</f>
        <v/>
      </c>
      <c r="X160" s="25">
        <f>IF(E160="","",IFERROR(INDEX(lst_JobName,MATCH(E160&amp;"",lst_Jobs,0)),""))</f>
        <v/>
      </c>
      <c r="Y160" s="28">
        <f>IF(E160="","",COUNTIFS(tbl_Finance[Job Number],E160&amp;"",tbl_Finance[Ex GST],"&lt;&gt;"))</f>
        <v/>
      </c>
      <c r="Z160" s="27">
        <f>IF(E160="","",SUMIFS(tbl_Finance[Ex GST],tbl_Finance[Job Number],E160&amp;""))</f>
        <v/>
      </c>
      <c r="AA160" s="27">
        <f>IF(E160="","",SUMIFS(tbl_Finance[Ex GST],tbl_Finance[Job Number],E160&amp;"",tbl_Finance[Xero Invoice No],"&lt;&gt;"))</f>
        <v/>
      </c>
      <c r="AB160" s="27">
        <f>IF(E160="","",Z160-AA160)</f>
        <v/>
      </c>
      <c r="AC160" s="25">
        <f>IF(E160="","",IFERROR(IF(INDEX(tbl_Onsite[Qwilr Quote],IFERROR(MATCH(E160&amp;"",tbl_Onsite[Job Number],0),MATCH(IFERROR(E160+0,E160),tbl_Onsite[Job Number],0)))="","",INDEX(tbl_Onsite[Qwilr Quote],IFERROR(MATCH(E160&amp;"",tbl_Onsite[Job Number],0),MATCH(IFERROR(E160+0,E160),tbl_Onsite[Job Number],0)))),IFERROR(IF(IF(INDEX(tbl_Production[Current RMS No],IFERROR(MATCH(E160&amp;"",tbl_Production[Job Number],0),MATCH(IFERROR(E160+0,E160),tbl_Production[Job Number],0)))="",INDEX(tbl_Production[Qwilr Quote],IFERROR(MATCH(E160&amp;"",tbl_Production[Job Number],0),MATCH(IFERROR(E160+0,E160),tbl_Production[Job Number],0))),INDEX(tbl_Production[Current RMS No],IFERROR(MATCH(E160&amp;"",tbl_Production[Job Number],0),MATCH(IFERROR(E160+0,E160),tbl_Production[Job Number],0))))="","",IF(INDEX(tbl_Production[Current RMS No],IFERROR(MATCH(E160&amp;"",tbl_Production[Job Number],0),MATCH(IFERROR(E160+0,E160),tbl_Production[Job Number],0)))="",INDEX(tbl_Production[Qwilr Quote],IFERROR(MATCH(E160&amp;"",tbl_Production[Job Number],0),MATCH(IFERROR(E160+0,E160),tbl_Production[Job Number],0))),INDEX(tbl_Production[Current RMS No],IFERROR(MATCH(E160&amp;"",tbl_Production[Job Number],0),MATCH(IFERROR(E160+0,E160),tbl_Production[Job Number],0))))),IFERROR(IF(INDEX(tbl_Consulting[Qwilr Quote],IFERROR(MATCH(E160&amp;"",tbl_Consulting[Job Number],0),MATCH(IFERROR(E160+0,E160),tbl_Consulting[Job Number],0)))="","",INDEX(tbl_Consulting[Qwilr Quote],IFERROR(MATCH(E160&amp;"",tbl_Consulting[Job Number],0),MATCH(IFERROR(E160+0,E160),tbl_Consulting[Job Number],0)))),""))))</f>
        <v/>
      </c>
      <c r="AD160" s="25">
        <f>IF(AC160="","",IF(AND(LEFT(AC160,4)&lt;&gt;"http",IF(H160="Production",set_RMSBase,set_QwilrBase)=""),"",HYPERLINK(IF(LEFT(AC160,4)="http",AC160,IF(H160="Production",set_RMSBase,set_QwilrBase)&amp;AC160),"Open")))</f>
        <v/>
      </c>
      <c r="AE160" s="27">
        <f>IF(E160="","",IFERROR(INDEX(tbl_Production[Total Expense],IFERROR(MATCH(E160&amp;"",tbl_Production[Job Number],0),MATCH(IFERROR(E160+0,E160),tbl_Production[Job Number],0))),IFERROR(INDEX(tbl_Consulting[Total Expense],IFERROR(MATCH(E160&amp;"",tbl_Consulting[Job Number],0),MATCH(IFERROR(E160+0,E160),tbl_Consulting[Job Number],0))),0)))</f>
        <v/>
      </c>
      <c r="AF160" s="27">
        <f>IF(E160="","",Z160-N(AE160))</f>
        <v/>
      </c>
      <c r="AG160" s="29">
        <f>IFERROR(AF160/Z160,"")</f>
        <v/>
      </c>
      <c r="AH160" s="25">
        <f>IF(E160="","",IFERROR(IF(INDEX(tbl_Onsite[Notes],IFERROR(MATCH(E160&amp;"",tbl_Onsite[Job Number],0),MATCH(IFERROR(E160+0,E160),tbl_Onsite[Job Number],0)))="","",INDEX(tbl_Onsite[Notes],IFERROR(MATCH(E160&amp;"",tbl_Onsite[Job Number],0),MATCH(IFERROR(E160+0,E160),tbl_Onsite[Job Number],0)))),IFERROR(IF(INDEX(tbl_Production[Notes],IFERROR(MATCH(E160&amp;"",tbl_Production[Job Number],0),MATCH(IFERROR(E160+0,E160),tbl_Production[Job Number],0)))="","",INDEX(tbl_Production[Notes],IFERROR(MATCH(E160&amp;"",tbl_Production[Job Number],0),MATCH(IFERROR(E160+0,E160),tbl_Production[Job Number],0)))),IFERROR(IF(INDEX(tbl_Consulting[Notes],IFERROR(MATCH(E160&amp;"",tbl_Consulting[Job Number],0),MATCH(IFERROR(E160+0,E160),tbl_Consulting[Job Number],0)))="","",INDEX(tbl_Consulting[Notes],IFERROR(MATCH(E160&amp;"",tbl_Consulting[Job Number],0),MATCH(IFERROR(E160+0,E160),tbl_Consulting[Job Number],0)))),""))))</f>
        <v/>
      </c>
    </row>
    <row r="161" ht="15" customHeight="1">
      <c r="A161" s="22" t="n"/>
      <c r="B161" s="23">
        <f>IF(A161="","",EOMONTH(A161,0))</f>
        <v/>
      </c>
      <c r="C161" s="24" t="n"/>
      <c r="D161" s="24" t="n"/>
      <c r="E161" s="24" t="n"/>
      <c r="F161" s="25">
        <f>IF(E161="","",IF(COUNTIF(lst_Jobs,E161&amp;"")&gt;0,"OK","CHECK"))</f>
        <v/>
      </c>
      <c r="G161" s="24" t="n"/>
      <c r="H161" s="24" t="n"/>
      <c r="I161" s="24" t="n"/>
      <c r="J161" s="24" t="n"/>
      <c r="K161" s="24" t="n"/>
      <c r="L161" s="26" t="n"/>
      <c r="M161" s="27">
        <f>IF(L161="","",IF(K161="GST 10%",ROUND(L161*set_GSTRate,2),0))</f>
        <v/>
      </c>
      <c r="N161" s="27">
        <f>IF(L161="","",L161+M161)</f>
        <v/>
      </c>
      <c r="O161" s="24" t="n"/>
      <c r="P161" s="24" t="n"/>
      <c r="Q161" s="24" t="n"/>
      <c r="R161" s="22" t="n"/>
      <c r="S161" s="22" t="n"/>
      <c r="T161" s="24" t="n"/>
      <c r="U161" s="24" t="n"/>
      <c r="V161" s="2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25">
        <f>IF(E161="","",IF(COUNTIF(tbl_Onsite[Job Number],E161&amp;"")&gt;0,"Onsite",IF(COUNTIF(tbl_Production[Job Number],E161&amp;"")&gt;0,"Production",IF(COUNTIF(tbl_Consulting[Job Number],E161&amp;"")&gt;0,"Consulting","not set up yet"))))</f>
        <v/>
      </c>
      <c r="X161" s="25">
        <f>IF(E161="","",IFERROR(INDEX(lst_JobName,MATCH(E161&amp;"",lst_Jobs,0)),""))</f>
        <v/>
      </c>
      <c r="Y161" s="28">
        <f>IF(E161="","",COUNTIFS(tbl_Finance[Job Number],E161&amp;"",tbl_Finance[Ex GST],"&lt;&gt;"))</f>
        <v/>
      </c>
      <c r="Z161" s="27">
        <f>IF(E161="","",SUMIFS(tbl_Finance[Ex GST],tbl_Finance[Job Number],E161&amp;""))</f>
        <v/>
      </c>
      <c r="AA161" s="27">
        <f>IF(E161="","",SUMIFS(tbl_Finance[Ex GST],tbl_Finance[Job Number],E161&amp;"",tbl_Finance[Xero Invoice No],"&lt;&gt;"))</f>
        <v/>
      </c>
      <c r="AB161" s="27">
        <f>IF(E161="","",Z161-AA161)</f>
        <v/>
      </c>
      <c r="AC161" s="25">
        <f>IF(E161="","",IFERROR(IF(INDEX(tbl_Onsite[Qwilr Quote],IFERROR(MATCH(E161&amp;"",tbl_Onsite[Job Number],0),MATCH(IFERROR(E161+0,E161),tbl_Onsite[Job Number],0)))="","",INDEX(tbl_Onsite[Qwilr Quote],IFERROR(MATCH(E161&amp;"",tbl_Onsite[Job Number],0),MATCH(IFERROR(E161+0,E161),tbl_Onsite[Job Number],0)))),IFERROR(IF(IF(INDEX(tbl_Production[Current RMS No],IFERROR(MATCH(E161&amp;"",tbl_Production[Job Number],0),MATCH(IFERROR(E161+0,E161),tbl_Production[Job Number],0)))="",INDEX(tbl_Production[Qwilr Quote],IFERROR(MATCH(E161&amp;"",tbl_Production[Job Number],0),MATCH(IFERROR(E161+0,E161),tbl_Production[Job Number],0))),INDEX(tbl_Production[Current RMS No],IFERROR(MATCH(E161&amp;"",tbl_Production[Job Number],0),MATCH(IFERROR(E161+0,E161),tbl_Production[Job Number],0))))="","",IF(INDEX(tbl_Production[Current RMS No],IFERROR(MATCH(E161&amp;"",tbl_Production[Job Number],0),MATCH(IFERROR(E161+0,E161),tbl_Production[Job Number],0)))="",INDEX(tbl_Production[Qwilr Quote],IFERROR(MATCH(E161&amp;"",tbl_Production[Job Number],0),MATCH(IFERROR(E161+0,E161),tbl_Production[Job Number],0))),INDEX(tbl_Production[Current RMS No],IFERROR(MATCH(E161&amp;"",tbl_Production[Job Number],0),MATCH(IFERROR(E161+0,E161),tbl_Production[Job Number],0))))),IFERROR(IF(INDEX(tbl_Consulting[Qwilr Quote],IFERROR(MATCH(E161&amp;"",tbl_Consulting[Job Number],0),MATCH(IFERROR(E161+0,E161),tbl_Consulting[Job Number],0)))="","",INDEX(tbl_Consulting[Qwilr Quote],IFERROR(MATCH(E161&amp;"",tbl_Consulting[Job Number],0),MATCH(IFERROR(E161+0,E161),tbl_Consulting[Job Number],0)))),""))))</f>
        <v/>
      </c>
      <c r="AD161" s="25">
        <f>IF(AC161="","",IF(AND(LEFT(AC161,4)&lt;&gt;"http",IF(H161="Production",set_RMSBase,set_QwilrBase)=""),"",HYPERLINK(IF(LEFT(AC161,4)="http",AC161,IF(H161="Production",set_RMSBase,set_QwilrBase)&amp;AC161),"Open")))</f>
        <v/>
      </c>
      <c r="AE161" s="27">
        <f>IF(E161="","",IFERROR(INDEX(tbl_Production[Total Expense],IFERROR(MATCH(E161&amp;"",tbl_Production[Job Number],0),MATCH(IFERROR(E161+0,E161),tbl_Production[Job Number],0))),IFERROR(INDEX(tbl_Consulting[Total Expense],IFERROR(MATCH(E161&amp;"",tbl_Consulting[Job Number],0),MATCH(IFERROR(E161+0,E161),tbl_Consulting[Job Number],0))),0)))</f>
        <v/>
      </c>
      <c r="AF161" s="27">
        <f>IF(E161="","",Z161-N(AE161))</f>
        <v/>
      </c>
      <c r="AG161" s="29">
        <f>IFERROR(AF161/Z161,"")</f>
        <v/>
      </c>
      <c r="AH161" s="25">
        <f>IF(E161="","",IFERROR(IF(INDEX(tbl_Onsite[Notes],IFERROR(MATCH(E161&amp;"",tbl_Onsite[Job Number],0),MATCH(IFERROR(E161+0,E161),tbl_Onsite[Job Number],0)))="","",INDEX(tbl_Onsite[Notes],IFERROR(MATCH(E161&amp;"",tbl_Onsite[Job Number],0),MATCH(IFERROR(E161+0,E161),tbl_Onsite[Job Number],0)))),IFERROR(IF(INDEX(tbl_Production[Notes],IFERROR(MATCH(E161&amp;"",tbl_Production[Job Number],0),MATCH(IFERROR(E161+0,E161),tbl_Production[Job Number],0)))="","",INDEX(tbl_Production[Notes],IFERROR(MATCH(E161&amp;"",tbl_Production[Job Number],0),MATCH(IFERROR(E161+0,E161),tbl_Production[Job Number],0)))),IFERROR(IF(INDEX(tbl_Consulting[Notes],IFERROR(MATCH(E161&amp;"",tbl_Consulting[Job Number],0),MATCH(IFERROR(E161+0,E161),tbl_Consulting[Job Number],0)))="","",INDEX(tbl_Consulting[Notes],IFERROR(MATCH(E161&amp;"",tbl_Consulting[Job Number],0),MATCH(IFERROR(E161+0,E161),tbl_Consulting[Job Number],0)))),""))))</f>
        <v/>
      </c>
    </row>
    <row r="162" ht="15" customHeight="1">
      <c r="A162" s="22" t="n"/>
      <c r="B162" s="23">
        <f>IF(A162="","",EOMONTH(A162,0))</f>
        <v/>
      </c>
      <c r="C162" s="24" t="n"/>
      <c r="D162" s="24" t="n"/>
      <c r="E162" s="24" t="n"/>
      <c r="F162" s="25">
        <f>IF(E162="","",IF(COUNTIF(lst_Jobs,E162&amp;"")&gt;0,"OK","CHECK"))</f>
        <v/>
      </c>
      <c r="G162" s="24" t="n"/>
      <c r="H162" s="24" t="n"/>
      <c r="I162" s="24" t="n"/>
      <c r="J162" s="24" t="n"/>
      <c r="K162" s="24" t="n"/>
      <c r="L162" s="26" t="n"/>
      <c r="M162" s="27">
        <f>IF(L162="","",IF(K162="GST 10%",ROUND(L162*set_GSTRate,2),0))</f>
        <v/>
      </c>
      <c r="N162" s="27">
        <f>IF(L162="","",L162+M162)</f>
        <v/>
      </c>
      <c r="O162" s="24" t="n"/>
      <c r="P162" s="24" t="n"/>
      <c r="Q162" s="24" t="n"/>
      <c r="R162" s="22" t="n"/>
      <c r="S162" s="22" t="n"/>
      <c r="T162" s="24" t="n"/>
      <c r="U162" s="24" t="n"/>
      <c r="V162" s="2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25">
        <f>IF(E162="","",IF(COUNTIF(tbl_Onsite[Job Number],E162&amp;"")&gt;0,"Onsite",IF(COUNTIF(tbl_Production[Job Number],E162&amp;"")&gt;0,"Production",IF(COUNTIF(tbl_Consulting[Job Number],E162&amp;"")&gt;0,"Consulting","not set up yet"))))</f>
        <v/>
      </c>
      <c r="X162" s="25">
        <f>IF(E162="","",IFERROR(INDEX(lst_JobName,MATCH(E162&amp;"",lst_Jobs,0)),""))</f>
        <v/>
      </c>
      <c r="Y162" s="28">
        <f>IF(E162="","",COUNTIFS(tbl_Finance[Job Number],E162&amp;"",tbl_Finance[Ex GST],"&lt;&gt;"))</f>
        <v/>
      </c>
      <c r="Z162" s="27">
        <f>IF(E162="","",SUMIFS(tbl_Finance[Ex GST],tbl_Finance[Job Number],E162&amp;""))</f>
        <v/>
      </c>
      <c r="AA162" s="27">
        <f>IF(E162="","",SUMIFS(tbl_Finance[Ex GST],tbl_Finance[Job Number],E162&amp;"",tbl_Finance[Xero Invoice No],"&lt;&gt;"))</f>
        <v/>
      </c>
      <c r="AB162" s="27">
        <f>IF(E162="","",Z162-AA162)</f>
        <v/>
      </c>
      <c r="AC162" s="25">
        <f>IF(E162="","",IFERROR(IF(INDEX(tbl_Onsite[Qwilr Quote],IFERROR(MATCH(E162&amp;"",tbl_Onsite[Job Number],0),MATCH(IFERROR(E162+0,E162),tbl_Onsite[Job Number],0)))="","",INDEX(tbl_Onsite[Qwilr Quote],IFERROR(MATCH(E162&amp;"",tbl_Onsite[Job Number],0),MATCH(IFERROR(E162+0,E162),tbl_Onsite[Job Number],0)))),IFERROR(IF(IF(INDEX(tbl_Production[Current RMS No],IFERROR(MATCH(E162&amp;"",tbl_Production[Job Number],0),MATCH(IFERROR(E162+0,E162),tbl_Production[Job Number],0)))="",INDEX(tbl_Production[Qwilr Quote],IFERROR(MATCH(E162&amp;"",tbl_Production[Job Number],0),MATCH(IFERROR(E162+0,E162),tbl_Production[Job Number],0))),INDEX(tbl_Production[Current RMS No],IFERROR(MATCH(E162&amp;"",tbl_Production[Job Number],0),MATCH(IFERROR(E162+0,E162),tbl_Production[Job Number],0))))="","",IF(INDEX(tbl_Production[Current RMS No],IFERROR(MATCH(E162&amp;"",tbl_Production[Job Number],0),MATCH(IFERROR(E162+0,E162),tbl_Production[Job Number],0)))="",INDEX(tbl_Production[Qwilr Quote],IFERROR(MATCH(E162&amp;"",tbl_Production[Job Number],0),MATCH(IFERROR(E162+0,E162),tbl_Production[Job Number],0))),INDEX(tbl_Production[Current RMS No],IFERROR(MATCH(E162&amp;"",tbl_Production[Job Number],0),MATCH(IFERROR(E162+0,E162),tbl_Production[Job Number],0))))),IFERROR(IF(INDEX(tbl_Consulting[Qwilr Quote],IFERROR(MATCH(E162&amp;"",tbl_Consulting[Job Number],0),MATCH(IFERROR(E162+0,E162),tbl_Consulting[Job Number],0)))="","",INDEX(tbl_Consulting[Qwilr Quote],IFERROR(MATCH(E162&amp;"",tbl_Consulting[Job Number],0),MATCH(IFERROR(E162+0,E162),tbl_Consulting[Job Number],0)))),""))))</f>
        <v/>
      </c>
      <c r="AD162" s="25">
        <f>IF(AC162="","",IF(AND(LEFT(AC162,4)&lt;&gt;"http",IF(H162="Production",set_RMSBase,set_QwilrBase)=""),"",HYPERLINK(IF(LEFT(AC162,4)="http",AC162,IF(H162="Production",set_RMSBase,set_QwilrBase)&amp;AC162),"Open")))</f>
        <v/>
      </c>
      <c r="AE162" s="27">
        <f>IF(E162="","",IFERROR(INDEX(tbl_Production[Total Expense],IFERROR(MATCH(E162&amp;"",tbl_Production[Job Number],0),MATCH(IFERROR(E162+0,E162),tbl_Production[Job Number],0))),IFERROR(INDEX(tbl_Consulting[Total Expense],IFERROR(MATCH(E162&amp;"",tbl_Consulting[Job Number],0),MATCH(IFERROR(E162+0,E162),tbl_Consulting[Job Number],0))),0)))</f>
        <v/>
      </c>
      <c r="AF162" s="27">
        <f>IF(E162="","",Z162-N(AE162))</f>
        <v/>
      </c>
      <c r="AG162" s="29">
        <f>IFERROR(AF162/Z162,"")</f>
        <v/>
      </c>
      <c r="AH162" s="25">
        <f>IF(E162="","",IFERROR(IF(INDEX(tbl_Onsite[Notes],IFERROR(MATCH(E162&amp;"",tbl_Onsite[Job Number],0),MATCH(IFERROR(E162+0,E162),tbl_Onsite[Job Number],0)))="","",INDEX(tbl_Onsite[Notes],IFERROR(MATCH(E162&amp;"",tbl_Onsite[Job Number],0),MATCH(IFERROR(E162+0,E162),tbl_Onsite[Job Number],0)))),IFERROR(IF(INDEX(tbl_Production[Notes],IFERROR(MATCH(E162&amp;"",tbl_Production[Job Number],0),MATCH(IFERROR(E162+0,E162),tbl_Production[Job Number],0)))="","",INDEX(tbl_Production[Notes],IFERROR(MATCH(E162&amp;"",tbl_Production[Job Number],0),MATCH(IFERROR(E162+0,E162),tbl_Production[Job Number],0)))),IFERROR(IF(INDEX(tbl_Consulting[Notes],IFERROR(MATCH(E162&amp;"",tbl_Consulting[Job Number],0),MATCH(IFERROR(E162+0,E162),tbl_Consulting[Job Number],0)))="","",INDEX(tbl_Consulting[Notes],IFERROR(MATCH(E162&amp;"",tbl_Consulting[Job Number],0),MATCH(IFERROR(E162+0,E162),tbl_Consulting[Job Number],0)))),""))))</f>
        <v/>
      </c>
    </row>
    <row r="163" ht="15" customHeight="1">
      <c r="A163" s="22" t="n"/>
      <c r="B163" s="23">
        <f>IF(A163="","",EOMONTH(A163,0))</f>
        <v/>
      </c>
      <c r="C163" s="24" t="n"/>
      <c r="D163" s="24" t="n"/>
      <c r="E163" s="24" t="n"/>
      <c r="F163" s="25">
        <f>IF(E163="","",IF(COUNTIF(lst_Jobs,E163&amp;"")&gt;0,"OK","CHECK"))</f>
        <v/>
      </c>
      <c r="G163" s="24" t="n"/>
      <c r="H163" s="24" t="n"/>
      <c r="I163" s="24" t="n"/>
      <c r="J163" s="24" t="n"/>
      <c r="K163" s="24" t="n"/>
      <c r="L163" s="26" t="n"/>
      <c r="M163" s="27">
        <f>IF(L163="","",IF(K163="GST 10%",ROUND(L163*set_GSTRate,2),0))</f>
        <v/>
      </c>
      <c r="N163" s="27">
        <f>IF(L163="","",L163+M163)</f>
        <v/>
      </c>
      <c r="O163" s="24" t="n"/>
      <c r="P163" s="24" t="n"/>
      <c r="Q163" s="24" t="n"/>
      <c r="R163" s="22" t="n"/>
      <c r="S163" s="22" t="n"/>
      <c r="T163" s="24" t="n"/>
      <c r="U163" s="24" t="n"/>
      <c r="V163" s="2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25">
        <f>IF(E163="","",IF(COUNTIF(tbl_Onsite[Job Number],E163&amp;"")&gt;0,"Onsite",IF(COUNTIF(tbl_Production[Job Number],E163&amp;"")&gt;0,"Production",IF(COUNTIF(tbl_Consulting[Job Number],E163&amp;"")&gt;0,"Consulting","not set up yet"))))</f>
        <v/>
      </c>
      <c r="X163" s="25">
        <f>IF(E163="","",IFERROR(INDEX(lst_JobName,MATCH(E163&amp;"",lst_Jobs,0)),""))</f>
        <v/>
      </c>
      <c r="Y163" s="28">
        <f>IF(E163="","",COUNTIFS(tbl_Finance[Job Number],E163&amp;"",tbl_Finance[Ex GST],"&lt;&gt;"))</f>
        <v/>
      </c>
      <c r="Z163" s="27">
        <f>IF(E163="","",SUMIFS(tbl_Finance[Ex GST],tbl_Finance[Job Number],E163&amp;""))</f>
        <v/>
      </c>
      <c r="AA163" s="27">
        <f>IF(E163="","",SUMIFS(tbl_Finance[Ex GST],tbl_Finance[Job Number],E163&amp;"",tbl_Finance[Xero Invoice No],"&lt;&gt;"))</f>
        <v/>
      </c>
      <c r="AB163" s="27">
        <f>IF(E163="","",Z163-AA163)</f>
        <v/>
      </c>
      <c r="AC163" s="25">
        <f>IF(E163="","",IFERROR(IF(INDEX(tbl_Onsite[Qwilr Quote],IFERROR(MATCH(E163&amp;"",tbl_Onsite[Job Number],0),MATCH(IFERROR(E163+0,E163),tbl_Onsite[Job Number],0)))="","",INDEX(tbl_Onsite[Qwilr Quote],IFERROR(MATCH(E163&amp;"",tbl_Onsite[Job Number],0),MATCH(IFERROR(E163+0,E163),tbl_Onsite[Job Number],0)))),IFERROR(IF(IF(INDEX(tbl_Production[Current RMS No],IFERROR(MATCH(E163&amp;"",tbl_Production[Job Number],0),MATCH(IFERROR(E163+0,E163),tbl_Production[Job Number],0)))="",INDEX(tbl_Production[Qwilr Quote],IFERROR(MATCH(E163&amp;"",tbl_Production[Job Number],0),MATCH(IFERROR(E163+0,E163),tbl_Production[Job Number],0))),INDEX(tbl_Production[Current RMS No],IFERROR(MATCH(E163&amp;"",tbl_Production[Job Number],0),MATCH(IFERROR(E163+0,E163),tbl_Production[Job Number],0))))="","",IF(INDEX(tbl_Production[Current RMS No],IFERROR(MATCH(E163&amp;"",tbl_Production[Job Number],0),MATCH(IFERROR(E163+0,E163),tbl_Production[Job Number],0)))="",INDEX(tbl_Production[Qwilr Quote],IFERROR(MATCH(E163&amp;"",tbl_Production[Job Number],0),MATCH(IFERROR(E163+0,E163),tbl_Production[Job Number],0))),INDEX(tbl_Production[Current RMS No],IFERROR(MATCH(E163&amp;"",tbl_Production[Job Number],0),MATCH(IFERROR(E163+0,E163),tbl_Production[Job Number],0))))),IFERROR(IF(INDEX(tbl_Consulting[Qwilr Quote],IFERROR(MATCH(E163&amp;"",tbl_Consulting[Job Number],0),MATCH(IFERROR(E163+0,E163),tbl_Consulting[Job Number],0)))="","",INDEX(tbl_Consulting[Qwilr Quote],IFERROR(MATCH(E163&amp;"",tbl_Consulting[Job Number],0),MATCH(IFERROR(E163+0,E163),tbl_Consulting[Job Number],0)))),""))))</f>
        <v/>
      </c>
      <c r="AD163" s="25">
        <f>IF(AC163="","",IF(AND(LEFT(AC163,4)&lt;&gt;"http",IF(H163="Production",set_RMSBase,set_QwilrBase)=""),"",HYPERLINK(IF(LEFT(AC163,4)="http",AC163,IF(H163="Production",set_RMSBase,set_QwilrBase)&amp;AC163),"Open")))</f>
        <v/>
      </c>
      <c r="AE163" s="27">
        <f>IF(E163="","",IFERROR(INDEX(tbl_Production[Total Expense],IFERROR(MATCH(E163&amp;"",tbl_Production[Job Number],0),MATCH(IFERROR(E163+0,E163),tbl_Production[Job Number],0))),IFERROR(INDEX(tbl_Consulting[Total Expense],IFERROR(MATCH(E163&amp;"",tbl_Consulting[Job Number],0),MATCH(IFERROR(E163+0,E163),tbl_Consulting[Job Number],0))),0)))</f>
        <v/>
      </c>
      <c r="AF163" s="27">
        <f>IF(E163="","",Z163-N(AE163))</f>
        <v/>
      </c>
      <c r="AG163" s="29">
        <f>IFERROR(AF163/Z163,"")</f>
        <v/>
      </c>
      <c r="AH163" s="25">
        <f>IF(E163="","",IFERROR(IF(INDEX(tbl_Onsite[Notes],IFERROR(MATCH(E163&amp;"",tbl_Onsite[Job Number],0),MATCH(IFERROR(E163+0,E163),tbl_Onsite[Job Number],0)))="","",INDEX(tbl_Onsite[Notes],IFERROR(MATCH(E163&amp;"",tbl_Onsite[Job Number],0),MATCH(IFERROR(E163+0,E163),tbl_Onsite[Job Number],0)))),IFERROR(IF(INDEX(tbl_Production[Notes],IFERROR(MATCH(E163&amp;"",tbl_Production[Job Number],0),MATCH(IFERROR(E163+0,E163),tbl_Production[Job Number],0)))="","",INDEX(tbl_Production[Notes],IFERROR(MATCH(E163&amp;"",tbl_Production[Job Number],0),MATCH(IFERROR(E163+0,E163),tbl_Production[Job Number],0)))),IFERROR(IF(INDEX(tbl_Consulting[Notes],IFERROR(MATCH(E163&amp;"",tbl_Consulting[Job Number],0),MATCH(IFERROR(E163+0,E163),tbl_Consulting[Job Number],0)))="","",INDEX(tbl_Consulting[Notes],IFERROR(MATCH(E163&amp;"",tbl_Consulting[Job Number],0),MATCH(IFERROR(E163+0,E163),tbl_Consulting[Job Number],0)))),""))))</f>
        <v/>
      </c>
    </row>
    <row r="164" ht="15" customHeight="1">
      <c r="A164" s="22" t="n"/>
      <c r="B164" s="23">
        <f>IF(A164="","",EOMONTH(A164,0))</f>
        <v/>
      </c>
      <c r="C164" s="24" t="n"/>
      <c r="D164" s="24" t="n"/>
      <c r="E164" s="24" t="n"/>
      <c r="F164" s="25">
        <f>IF(E164="","",IF(COUNTIF(lst_Jobs,E164&amp;"")&gt;0,"OK","CHECK"))</f>
        <v/>
      </c>
      <c r="G164" s="24" t="n"/>
      <c r="H164" s="24" t="n"/>
      <c r="I164" s="24" t="n"/>
      <c r="J164" s="24" t="n"/>
      <c r="K164" s="24" t="n"/>
      <c r="L164" s="26" t="n"/>
      <c r="M164" s="27">
        <f>IF(L164="","",IF(K164="GST 10%",ROUND(L164*set_GSTRate,2),0))</f>
        <v/>
      </c>
      <c r="N164" s="27">
        <f>IF(L164="","",L164+M164)</f>
        <v/>
      </c>
      <c r="O164" s="24" t="n"/>
      <c r="P164" s="24" t="n"/>
      <c r="Q164" s="24" t="n"/>
      <c r="R164" s="22" t="n"/>
      <c r="S164" s="22" t="n"/>
      <c r="T164" s="24" t="n"/>
      <c r="U164" s="24" t="n"/>
      <c r="V164" s="2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25">
        <f>IF(E164="","",IF(COUNTIF(tbl_Onsite[Job Number],E164&amp;"")&gt;0,"Onsite",IF(COUNTIF(tbl_Production[Job Number],E164&amp;"")&gt;0,"Production",IF(COUNTIF(tbl_Consulting[Job Number],E164&amp;"")&gt;0,"Consulting","not set up yet"))))</f>
        <v/>
      </c>
      <c r="X164" s="25">
        <f>IF(E164="","",IFERROR(INDEX(lst_JobName,MATCH(E164&amp;"",lst_Jobs,0)),""))</f>
        <v/>
      </c>
      <c r="Y164" s="28">
        <f>IF(E164="","",COUNTIFS(tbl_Finance[Job Number],E164&amp;"",tbl_Finance[Ex GST],"&lt;&gt;"))</f>
        <v/>
      </c>
      <c r="Z164" s="27">
        <f>IF(E164="","",SUMIFS(tbl_Finance[Ex GST],tbl_Finance[Job Number],E164&amp;""))</f>
        <v/>
      </c>
      <c r="AA164" s="27">
        <f>IF(E164="","",SUMIFS(tbl_Finance[Ex GST],tbl_Finance[Job Number],E164&amp;"",tbl_Finance[Xero Invoice No],"&lt;&gt;"))</f>
        <v/>
      </c>
      <c r="AB164" s="27">
        <f>IF(E164="","",Z164-AA164)</f>
        <v/>
      </c>
      <c r="AC164" s="25">
        <f>IF(E164="","",IFERROR(IF(INDEX(tbl_Onsite[Qwilr Quote],IFERROR(MATCH(E164&amp;"",tbl_Onsite[Job Number],0),MATCH(IFERROR(E164+0,E164),tbl_Onsite[Job Number],0)))="","",INDEX(tbl_Onsite[Qwilr Quote],IFERROR(MATCH(E164&amp;"",tbl_Onsite[Job Number],0),MATCH(IFERROR(E164+0,E164),tbl_Onsite[Job Number],0)))),IFERROR(IF(IF(INDEX(tbl_Production[Current RMS No],IFERROR(MATCH(E164&amp;"",tbl_Production[Job Number],0),MATCH(IFERROR(E164+0,E164),tbl_Production[Job Number],0)))="",INDEX(tbl_Production[Qwilr Quote],IFERROR(MATCH(E164&amp;"",tbl_Production[Job Number],0),MATCH(IFERROR(E164+0,E164),tbl_Production[Job Number],0))),INDEX(tbl_Production[Current RMS No],IFERROR(MATCH(E164&amp;"",tbl_Production[Job Number],0),MATCH(IFERROR(E164+0,E164),tbl_Production[Job Number],0))))="","",IF(INDEX(tbl_Production[Current RMS No],IFERROR(MATCH(E164&amp;"",tbl_Production[Job Number],0),MATCH(IFERROR(E164+0,E164),tbl_Production[Job Number],0)))="",INDEX(tbl_Production[Qwilr Quote],IFERROR(MATCH(E164&amp;"",tbl_Production[Job Number],0),MATCH(IFERROR(E164+0,E164),tbl_Production[Job Number],0))),INDEX(tbl_Production[Current RMS No],IFERROR(MATCH(E164&amp;"",tbl_Production[Job Number],0),MATCH(IFERROR(E164+0,E164),tbl_Production[Job Number],0))))),IFERROR(IF(INDEX(tbl_Consulting[Qwilr Quote],IFERROR(MATCH(E164&amp;"",tbl_Consulting[Job Number],0),MATCH(IFERROR(E164+0,E164),tbl_Consulting[Job Number],0)))="","",INDEX(tbl_Consulting[Qwilr Quote],IFERROR(MATCH(E164&amp;"",tbl_Consulting[Job Number],0),MATCH(IFERROR(E164+0,E164),tbl_Consulting[Job Number],0)))),""))))</f>
        <v/>
      </c>
      <c r="AD164" s="25">
        <f>IF(AC164="","",IF(AND(LEFT(AC164,4)&lt;&gt;"http",IF(H164="Production",set_RMSBase,set_QwilrBase)=""),"",HYPERLINK(IF(LEFT(AC164,4)="http",AC164,IF(H164="Production",set_RMSBase,set_QwilrBase)&amp;AC164),"Open")))</f>
        <v/>
      </c>
      <c r="AE164" s="27">
        <f>IF(E164="","",IFERROR(INDEX(tbl_Production[Total Expense],IFERROR(MATCH(E164&amp;"",tbl_Production[Job Number],0),MATCH(IFERROR(E164+0,E164),tbl_Production[Job Number],0))),IFERROR(INDEX(tbl_Consulting[Total Expense],IFERROR(MATCH(E164&amp;"",tbl_Consulting[Job Number],0),MATCH(IFERROR(E164+0,E164),tbl_Consulting[Job Number],0))),0)))</f>
        <v/>
      </c>
      <c r="AF164" s="27">
        <f>IF(E164="","",Z164-N(AE164))</f>
        <v/>
      </c>
      <c r="AG164" s="29">
        <f>IFERROR(AF164/Z164,"")</f>
        <v/>
      </c>
      <c r="AH164" s="25">
        <f>IF(E164="","",IFERROR(IF(INDEX(tbl_Onsite[Notes],IFERROR(MATCH(E164&amp;"",tbl_Onsite[Job Number],0),MATCH(IFERROR(E164+0,E164),tbl_Onsite[Job Number],0)))="","",INDEX(tbl_Onsite[Notes],IFERROR(MATCH(E164&amp;"",tbl_Onsite[Job Number],0),MATCH(IFERROR(E164+0,E164),tbl_Onsite[Job Number],0)))),IFERROR(IF(INDEX(tbl_Production[Notes],IFERROR(MATCH(E164&amp;"",tbl_Production[Job Number],0),MATCH(IFERROR(E164+0,E164),tbl_Production[Job Number],0)))="","",INDEX(tbl_Production[Notes],IFERROR(MATCH(E164&amp;"",tbl_Production[Job Number],0),MATCH(IFERROR(E164+0,E164),tbl_Production[Job Number],0)))),IFERROR(IF(INDEX(tbl_Consulting[Notes],IFERROR(MATCH(E164&amp;"",tbl_Consulting[Job Number],0),MATCH(IFERROR(E164+0,E164),tbl_Consulting[Job Number],0)))="","",INDEX(tbl_Consulting[Notes],IFERROR(MATCH(E164&amp;"",tbl_Consulting[Job Number],0),MATCH(IFERROR(E164+0,E164),tbl_Consulting[Job Number],0)))),""))))</f>
        <v/>
      </c>
    </row>
    <row r="165" ht="15" customHeight="1">
      <c r="A165" s="22" t="n"/>
      <c r="B165" s="23">
        <f>IF(A165="","",EOMONTH(A165,0))</f>
        <v/>
      </c>
      <c r="C165" s="24" t="n"/>
      <c r="D165" s="24" t="n"/>
      <c r="E165" s="24" t="n"/>
      <c r="F165" s="25">
        <f>IF(E165="","",IF(COUNTIF(lst_Jobs,E165&amp;"")&gt;0,"OK","CHECK"))</f>
        <v/>
      </c>
      <c r="G165" s="24" t="n"/>
      <c r="H165" s="24" t="n"/>
      <c r="I165" s="24" t="n"/>
      <c r="J165" s="24" t="n"/>
      <c r="K165" s="24" t="n"/>
      <c r="L165" s="26" t="n"/>
      <c r="M165" s="27">
        <f>IF(L165="","",IF(K165="GST 10%",ROUND(L165*set_GSTRate,2),0))</f>
        <v/>
      </c>
      <c r="N165" s="27">
        <f>IF(L165="","",L165+M165)</f>
        <v/>
      </c>
      <c r="O165" s="24" t="n"/>
      <c r="P165" s="24" t="n"/>
      <c r="Q165" s="24" t="n"/>
      <c r="R165" s="22" t="n"/>
      <c r="S165" s="22" t="n"/>
      <c r="T165" s="24" t="n"/>
      <c r="U165" s="24" t="n"/>
      <c r="V165" s="2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25">
        <f>IF(E165="","",IF(COUNTIF(tbl_Onsite[Job Number],E165&amp;"")&gt;0,"Onsite",IF(COUNTIF(tbl_Production[Job Number],E165&amp;"")&gt;0,"Production",IF(COUNTIF(tbl_Consulting[Job Number],E165&amp;"")&gt;0,"Consulting","not set up yet"))))</f>
        <v/>
      </c>
      <c r="X165" s="25">
        <f>IF(E165="","",IFERROR(INDEX(lst_JobName,MATCH(E165&amp;"",lst_Jobs,0)),""))</f>
        <v/>
      </c>
      <c r="Y165" s="28">
        <f>IF(E165="","",COUNTIFS(tbl_Finance[Job Number],E165&amp;"",tbl_Finance[Ex GST],"&lt;&gt;"))</f>
        <v/>
      </c>
      <c r="Z165" s="27">
        <f>IF(E165="","",SUMIFS(tbl_Finance[Ex GST],tbl_Finance[Job Number],E165&amp;""))</f>
        <v/>
      </c>
      <c r="AA165" s="27">
        <f>IF(E165="","",SUMIFS(tbl_Finance[Ex GST],tbl_Finance[Job Number],E165&amp;"",tbl_Finance[Xero Invoice No],"&lt;&gt;"))</f>
        <v/>
      </c>
      <c r="AB165" s="27">
        <f>IF(E165="","",Z165-AA165)</f>
        <v/>
      </c>
      <c r="AC165" s="25">
        <f>IF(E165="","",IFERROR(IF(INDEX(tbl_Onsite[Qwilr Quote],IFERROR(MATCH(E165&amp;"",tbl_Onsite[Job Number],0),MATCH(IFERROR(E165+0,E165),tbl_Onsite[Job Number],0)))="","",INDEX(tbl_Onsite[Qwilr Quote],IFERROR(MATCH(E165&amp;"",tbl_Onsite[Job Number],0),MATCH(IFERROR(E165+0,E165),tbl_Onsite[Job Number],0)))),IFERROR(IF(IF(INDEX(tbl_Production[Current RMS No],IFERROR(MATCH(E165&amp;"",tbl_Production[Job Number],0),MATCH(IFERROR(E165+0,E165),tbl_Production[Job Number],0)))="",INDEX(tbl_Production[Qwilr Quote],IFERROR(MATCH(E165&amp;"",tbl_Production[Job Number],0),MATCH(IFERROR(E165+0,E165),tbl_Production[Job Number],0))),INDEX(tbl_Production[Current RMS No],IFERROR(MATCH(E165&amp;"",tbl_Production[Job Number],0),MATCH(IFERROR(E165+0,E165),tbl_Production[Job Number],0))))="","",IF(INDEX(tbl_Production[Current RMS No],IFERROR(MATCH(E165&amp;"",tbl_Production[Job Number],0),MATCH(IFERROR(E165+0,E165),tbl_Production[Job Number],0)))="",INDEX(tbl_Production[Qwilr Quote],IFERROR(MATCH(E165&amp;"",tbl_Production[Job Number],0),MATCH(IFERROR(E165+0,E165),tbl_Production[Job Number],0))),INDEX(tbl_Production[Current RMS No],IFERROR(MATCH(E165&amp;"",tbl_Production[Job Number],0),MATCH(IFERROR(E165+0,E165),tbl_Production[Job Number],0))))),IFERROR(IF(INDEX(tbl_Consulting[Qwilr Quote],IFERROR(MATCH(E165&amp;"",tbl_Consulting[Job Number],0),MATCH(IFERROR(E165+0,E165),tbl_Consulting[Job Number],0)))="","",INDEX(tbl_Consulting[Qwilr Quote],IFERROR(MATCH(E165&amp;"",tbl_Consulting[Job Number],0),MATCH(IFERROR(E165+0,E165),tbl_Consulting[Job Number],0)))),""))))</f>
        <v/>
      </c>
      <c r="AD165" s="25">
        <f>IF(AC165="","",IF(AND(LEFT(AC165,4)&lt;&gt;"http",IF(H165="Production",set_RMSBase,set_QwilrBase)=""),"",HYPERLINK(IF(LEFT(AC165,4)="http",AC165,IF(H165="Production",set_RMSBase,set_QwilrBase)&amp;AC165),"Open")))</f>
        <v/>
      </c>
      <c r="AE165" s="27">
        <f>IF(E165="","",IFERROR(INDEX(tbl_Production[Total Expense],IFERROR(MATCH(E165&amp;"",tbl_Production[Job Number],0),MATCH(IFERROR(E165+0,E165),tbl_Production[Job Number],0))),IFERROR(INDEX(tbl_Consulting[Total Expense],IFERROR(MATCH(E165&amp;"",tbl_Consulting[Job Number],0),MATCH(IFERROR(E165+0,E165),tbl_Consulting[Job Number],0))),0)))</f>
        <v/>
      </c>
      <c r="AF165" s="27">
        <f>IF(E165="","",Z165-N(AE165))</f>
        <v/>
      </c>
      <c r="AG165" s="29">
        <f>IFERROR(AF165/Z165,"")</f>
        <v/>
      </c>
      <c r="AH165" s="25">
        <f>IF(E165="","",IFERROR(IF(INDEX(tbl_Onsite[Notes],IFERROR(MATCH(E165&amp;"",tbl_Onsite[Job Number],0),MATCH(IFERROR(E165+0,E165),tbl_Onsite[Job Number],0)))="","",INDEX(tbl_Onsite[Notes],IFERROR(MATCH(E165&amp;"",tbl_Onsite[Job Number],0),MATCH(IFERROR(E165+0,E165),tbl_Onsite[Job Number],0)))),IFERROR(IF(INDEX(tbl_Production[Notes],IFERROR(MATCH(E165&amp;"",tbl_Production[Job Number],0),MATCH(IFERROR(E165+0,E165),tbl_Production[Job Number],0)))="","",INDEX(tbl_Production[Notes],IFERROR(MATCH(E165&amp;"",tbl_Production[Job Number],0),MATCH(IFERROR(E165+0,E165),tbl_Production[Job Number],0)))),IFERROR(IF(INDEX(tbl_Consulting[Notes],IFERROR(MATCH(E165&amp;"",tbl_Consulting[Job Number],0),MATCH(IFERROR(E165+0,E165),tbl_Consulting[Job Number],0)))="","",INDEX(tbl_Consulting[Notes],IFERROR(MATCH(E165&amp;"",tbl_Consulting[Job Number],0),MATCH(IFERROR(E165+0,E165),tbl_Consulting[Job Number],0)))),""))))</f>
        <v/>
      </c>
    </row>
    <row r="166" ht="15" customHeight="1">
      <c r="A166" s="22" t="n"/>
      <c r="B166" s="23">
        <f>IF(A166="","",EOMONTH(A166,0))</f>
        <v/>
      </c>
      <c r="C166" s="24" t="n"/>
      <c r="D166" s="24" t="n"/>
      <c r="E166" s="24" t="n"/>
      <c r="F166" s="25">
        <f>IF(E166="","",IF(COUNTIF(lst_Jobs,E166&amp;"")&gt;0,"OK","CHECK"))</f>
        <v/>
      </c>
      <c r="G166" s="24" t="n"/>
      <c r="H166" s="24" t="n"/>
      <c r="I166" s="24" t="n"/>
      <c r="J166" s="24" t="n"/>
      <c r="K166" s="24" t="n"/>
      <c r="L166" s="26" t="n"/>
      <c r="M166" s="27">
        <f>IF(L166="","",IF(K166="GST 10%",ROUND(L166*set_GSTRate,2),0))</f>
        <v/>
      </c>
      <c r="N166" s="27">
        <f>IF(L166="","",L166+M166)</f>
        <v/>
      </c>
      <c r="O166" s="24" t="n"/>
      <c r="P166" s="24" t="n"/>
      <c r="Q166" s="24" t="n"/>
      <c r="R166" s="22" t="n"/>
      <c r="S166" s="22" t="n"/>
      <c r="T166" s="24" t="n"/>
      <c r="U166" s="24" t="n"/>
      <c r="V166" s="2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25">
        <f>IF(E166="","",IF(COUNTIF(tbl_Onsite[Job Number],E166&amp;"")&gt;0,"Onsite",IF(COUNTIF(tbl_Production[Job Number],E166&amp;"")&gt;0,"Production",IF(COUNTIF(tbl_Consulting[Job Number],E166&amp;"")&gt;0,"Consulting","not set up yet"))))</f>
        <v/>
      </c>
      <c r="X166" s="25">
        <f>IF(E166="","",IFERROR(INDEX(lst_JobName,MATCH(E166&amp;"",lst_Jobs,0)),""))</f>
        <v/>
      </c>
      <c r="Y166" s="28">
        <f>IF(E166="","",COUNTIFS(tbl_Finance[Job Number],E166&amp;"",tbl_Finance[Ex GST],"&lt;&gt;"))</f>
        <v/>
      </c>
      <c r="Z166" s="27">
        <f>IF(E166="","",SUMIFS(tbl_Finance[Ex GST],tbl_Finance[Job Number],E166&amp;""))</f>
        <v/>
      </c>
      <c r="AA166" s="27">
        <f>IF(E166="","",SUMIFS(tbl_Finance[Ex GST],tbl_Finance[Job Number],E166&amp;"",tbl_Finance[Xero Invoice No],"&lt;&gt;"))</f>
        <v/>
      </c>
      <c r="AB166" s="27">
        <f>IF(E166="","",Z166-AA166)</f>
        <v/>
      </c>
      <c r="AC166" s="25">
        <f>IF(E166="","",IFERROR(IF(INDEX(tbl_Onsite[Qwilr Quote],IFERROR(MATCH(E166&amp;"",tbl_Onsite[Job Number],0),MATCH(IFERROR(E166+0,E166),tbl_Onsite[Job Number],0)))="","",INDEX(tbl_Onsite[Qwilr Quote],IFERROR(MATCH(E166&amp;"",tbl_Onsite[Job Number],0),MATCH(IFERROR(E166+0,E166),tbl_Onsite[Job Number],0)))),IFERROR(IF(IF(INDEX(tbl_Production[Current RMS No],IFERROR(MATCH(E166&amp;"",tbl_Production[Job Number],0),MATCH(IFERROR(E166+0,E166),tbl_Production[Job Number],0)))="",INDEX(tbl_Production[Qwilr Quote],IFERROR(MATCH(E166&amp;"",tbl_Production[Job Number],0),MATCH(IFERROR(E166+0,E166),tbl_Production[Job Number],0))),INDEX(tbl_Production[Current RMS No],IFERROR(MATCH(E166&amp;"",tbl_Production[Job Number],0),MATCH(IFERROR(E166+0,E166),tbl_Production[Job Number],0))))="","",IF(INDEX(tbl_Production[Current RMS No],IFERROR(MATCH(E166&amp;"",tbl_Production[Job Number],0),MATCH(IFERROR(E166+0,E166),tbl_Production[Job Number],0)))="",INDEX(tbl_Production[Qwilr Quote],IFERROR(MATCH(E166&amp;"",tbl_Production[Job Number],0),MATCH(IFERROR(E166+0,E166),tbl_Production[Job Number],0))),INDEX(tbl_Production[Current RMS No],IFERROR(MATCH(E166&amp;"",tbl_Production[Job Number],0),MATCH(IFERROR(E166+0,E166),tbl_Production[Job Number],0))))),IFERROR(IF(INDEX(tbl_Consulting[Qwilr Quote],IFERROR(MATCH(E166&amp;"",tbl_Consulting[Job Number],0),MATCH(IFERROR(E166+0,E166),tbl_Consulting[Job Number],0)))="","",INDEX(tbl_Consulting[Qwilr Quote],IFERROR(MATCH(E166&amp;"",tbl_Consulting[Job Number],0),MATCH(IFERROR(E166+0,E166),tbl_Consulting[Job Number],0)))),""))))</f>
        <v/>
      </c>
      <c r="AD166" s="25">
        <f>IF(AC166="","",IF(AND(LEFT(AC166,4)&lt;&gt;"http",IF(H166="Production",set_RMSBase,set_QwilrBase)=""),"",HYPERLINK(IF(LEFT(AC166,4)="http",AC166,IF(H166="Production",set_RMSBase,set_QwilrBase)&amp;AC166),"Open")))</f>
        <v/>
      </c>
      <c r="AE166" s="27">
        <f>IF(E166="","",IFERROR(INDEX(tbl_Production[Total Expense],IFERROR(MATCH(E166&amp;"",tbl_Production[Job Number],0),MATCH(IFERROR(E166+0,E166),tbl_Production[Job Number],0))),IFERROR(INDEX(tbl_Consulting[Total Expense],IFERROR(MATCH(E166&amp;"",tbl_Consulting[Job Number],0),MATCH(IFERROR(E166+0,E166),tbl_Consulting[Job Number],0))),0)))</f>
        <v/>
      </c>
      <c r="AF166" s="27">
        <f>IF(E166="","",Z166-N(AE166))</f>
        <v/>
      </c>
      <c r="AG166" s="29">
        <f>IFERROR(AF166/Z166,"")</f>
        <v/>
      </c>
      <c r="AH166" s="25">
        <f>IF(E166="","",IFERROR(IF(INDEX(tbl_Onsite[Notes],IFERROR(MATCH(E166&amp;"",tbl_Onsite[Job Number],0),MATCH(IFERROR(E166+0,E166),tbl_Onsite[Job Number],0)))="","",INDEX(tbl_Onsite[Notes],IFERROR(MATCH(E166&amp;"",tbl_Onsite[Job Number],0),MATCH(IFERROR(E166+0,E166),tbl_Onsite[Job Number],0)))),IFERROR(IF(INDEX(tbl_Production[Notes],IFERROR(MATCH(E166&amp;"",tbl_Production[Job Number],0),MATCH(IFERROR(E166+0,E166),tbl_Production[Job Number],0)))="","",INDEX(tbl_Production[Notes],IFERROR(MATCH(E166&amp;"",tbl_Production[Job Number],0),MATCH(IFERROR(E166+0,E166),tbl_Production[Job Number],0)))),IFERROR(IF(INDEX(tbl_Consulting[Notes],IFERROR(MATCH(E166&amp;"",tbl_Consulting[Job Number],0),MATCH(IFERROR(E166+0,E166),tbl_Consulting[Job Number],0)))="","",INDEX(tbl_Consulting[Notes],IFERROR(MATCH(E166&amp;"",tbl_Consulting[Job Number],0),MATCH(IFERROR(E166+0,E166),tbl_Consulting[Job Number],0)))),""))))</f>
        <v/>
      </c>
    </row>
    <row r="167" ht="15" customHeight="1">
      <c r="A167" s="22" t="n"/>
      <c r="B167" s="23">
        <f>IF(A167="","",EOMONTH(A167,0))</f>
        <v/>
      </c>
      <c r="C167" s="24" t="n"/>
      <c r="D167" s="24" t="n"/>
      <c r="E167" s="24" t="n"/>
      <c r="F167" s="25">
        <f>IF(E167="","",IF(COUNTIF(lst_Jobs,E167&amp;"")&gt;0,"OK","CHECK"))</f>
        <v/>
      </c>
      <c r="G167" s="24" t="n"/>
      <c r="H167" s="24" t="n"/>
      <c r="I167" s="24" t="n"/>
      <c r="J167" s="24" t="n"/>
      <c r="K167" s="24" t="n"/>
      <c r="L167" s="26" t="n"/>
      <c r="M167" s="27">
        <f>IF(L167="","",IF(K167="GST 10%",ROUND(L167*set_GSTRate,2),0))</f>
        <v/>
      </c>
      <c r="N167" s="27">
        <f>IF(L167="","",L167+M167)</f>
        <v/>
      </c>
      <c r="O167" s="24" t="n"/>
      <c r="P167" s="24" t="n"/>
      <c r="Q167" s="24" t="n"/>
      <c r="R167" s="22" t="n"/>
      <c r="S167" s="22" t="n"/>
      <c r="T167" s="24" t="n"/>
      <c r="U167" s="24" t="n"/>
      <c r="V167" s="2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25">
        <f>IF(E167="","",IF(COUNTIF(tbl_Onsite[Job Number],E167&amp;"")&gt;0,"Onsite",IF(COUNTIF(tbl_Production[Job Number],E167&amp;"")&gt;0,"Production",IF(COUNTIF(tbl_Consulting[Job Number],E167&amp;"")&gt;0,"Consulting","not set up yet"))))</f>
        <v/>
      </c>
      <c r="X167" s="25">
        <f>IF(E167="","",IFERROR(INDEX(lst_JobName,MATCH(E167&amp;"",lst_Jobs,0)),""))</f>
        <v/>
      </c>
      <c r="Y167" s="28">
        <f>IF(E167="","",COUNTIFS(tbl_Finance[Job Number],E167&amp;"",tbl_Finance[Ex GST],"&lt;&gt;"))</f>
        <v/>
      </c>
      <c r="Z167" s="27">
        <f>IF(E167="","",SUMIFS(tbl_Finance[Ex GST],tbl_Finance[Job Number],E167&amp;""))</f>
        <v/>
      </c>
      <c r="AA167" s="27">
        <f>IF(E167="","",SUMIFS(tbl_Finance[Ex GST],tbl_Finance[Job Number],E167&amp;"",tbl_Finance[Xero Invoice No],"&lt;&gt;"))</f>
        <v/>
      </c>
      <c r="AB167" s="27">
        <f>IF(E167="","",Z167-AA167)</f>
        <v/>
      </c>
      <c r="AC167" s="25">
        <f>IF(E167="","",IFERROR(IF(INDEX(tbl_Onsite[Qwilr Quote],IFERROR(MATCH(E167&amp;"",tbl_Onsite[Job Number],0),MATCH(IFERROR(E167+0,E167),tbl_Onsite[Job Number],0)))="","",INDEX(tbl_Onsite[Qwilr Quote],IFERROR(MATCH(E167&amp;"",tbl_Onsite[Job Number],0),MATCH(IFERROR(E167+0,E167),tbl_Onsite[Job Number],0)))),IFERROR(IF(IF(INDEX(tbl_Production[Current RMS No],IFERROR(MATCH(E167&amp;"",tbl_Production[Job Number],0),MATCH(IFERROR(E167+0,E167),tbl_Production[Job Number],0)))="",INDEX(tbl_Production[Qwilr Quote],IFERROR(MATCH(E167&amp;"",tbl_Production[Job Number],0),MATCH(IFERROR(E167+0,E167),tbl_Production[Job Number],0))),INDEX(tbl_Production[Current RMS No],IFERROR(MATCH(E167&amp;"",tbl_Production[Job Number],0),MATCH(IFERROR(E167+0,E167),tbl_Production[Job Number],0))))="","",IF(INDEX(tbl_Production[Current RMS No],IFERROR(MATCH(E167&amp;"",tbl_Production[Job Number],0),MATCH(IFERROR(E167+0,E167),tbl_Production[Job Number],0)))="",INDEX(tbl_Production[Qwilr Quote],IFERROR(MATCH(E167&amp;"",tbl_Production[Job Number],0),MATCH(IFERROR(E167+0,E167),tbl_Production[Job Number],0))),INDEX(tbl_Production[Current RMS No],IFERROR(MATCH(E167&amp;"",tbl_Production[Job Number],0),MATCH(IFERROR(E167+0,E167),tbl_Production[Job Number],0))))),IFERROR(IF(INDEX(tbl_Consulting[Qwilr Quote],IFERROR(MATCH(E167&amp;"",tbl_Consulting[Job Number],0),MATCH(IFERROR(E167+0,E167),tbl_Consulting[Job Number],0)))="","",INDEX(tbl_Consulting[Qwilr Quote],IFERROR(MATCH(E167&amp;"",tbl_Consulting[Job Number],0),MATCH(IFERROR(E167+0,E167),tbl_Consulting[Job Number],0)))),""))))</f>
        <v/>
      </c>
      <c r="AD167" s="25">
        <f>IF(AC167="","",IF(AND(LEFT(AC167,4)&lt;&gt;"http",IF(H167="Production",set_RMSBase,set_QwilrBase)=""),"",HYPERLINK(IF(LEFT(AC167,4)="http",AC167,IF(H167="Production",set_RMSBase,set_QwilrBase)&amp;AC167),"Open")))</f>
        <v/>
      </c>
      <c r="AE167" s="27">
        <f>IF(E167="","",IFERROR(INDEX(tbl_Production[Total Expense],IFERROR(MATCH(E167&amp;"",tbl_Production[Job Number],0),MATCH(IFERROR(E167+0,E167),tbl_Production[Job Number],0))),IFERROR(INDEX(tbl_Consulting[Total Expense],IFERROR(MATCH(E167&amp;"",tbl_Consulting[Job Number],0),MATCH(IFERROR(E167+0,E167),tbl_Consulting[Job Number],0))),0)))</f>
        <v/>
      </c>
      <c r="AF167" s="27">
        <f>IF(E167="","",Z167-N(AE167))</f>
        <v/>
      </c>
      <c r="AG167" s="29">
        <f>IFERROR(AF167/Z167,"")</f>
        <v/>
      </c>
      <c r="AH167" s="25">
        <f>IF(E167="","",IFERROR(IF(INDEX(tbl_Onsite[Notes],IFERROR(MATCH(E167&amp;"",tbl_Onsite[Job Number],0),MATCH(IFERROR(E167+0,E167),tbl_Onsite[Job Number],0)))="","",INDEX(tbl_Onsite[Notes],IFERROR(MATCH(E167&amp;"",tbl_Onsite[Job Number],0),MATCH(IFERROR(E167+0,E167),tbl_Onsite[Job Number],0)))),IFERROR(IF(INDEX(tbl_Production[Notes],IFERROR(MATCH(E167&amp;"",tbl_Production[Job Number],0),MATCH(IFERROR(E167+0,E167),tbl_Production[Job Number],0)))="","",INDEX(tbl_Production[Notes],IFERROR(MATCH(E167&amp;"",tbl_Production[Job Number],0),MATCH(IFERROR(E167+0,E167),tbl_Production[Job Number],0)))),IFERROR(IF(INDEX(tbl_Consulting[Notes],IFERROR(MATCH(E167&amp;"",tbl_Consulting[Job Number],0),MATCH(IFERROR(E167+0,E167),tbl_Consulting[Job Number],0)))="","",INDEX(tbl_Consulting[Notes],IFERROR(MATCH(E167&amp;"",tbl_Consulting[Job Number],0),MATCH(IFERROR(E167+0,E167),tbl_Consulting[Job Number],0)))),""))))</f>
        <v/>
      </c>
    </row>
    <row r="168" ht="15" customHeight="1">
      <c r="A168" s="22" t="n"/>
      <c r="B168" s="23">
        <f>IF(A168="","",EOMONTH(A168,0))</f>
        <v/>
      </c>
      <c r="C168" s="24" t="n"/>
      <c r="D168" s="24" t="n"/>
      <c r="E168" s="24" t="n"/>
      <c r="F168" s="25">
        <f>IF(E168="","",IF(COUNTIF(lst_Jobs,E168&amp;"")&gt;0,"OK","CHECK"))</f>
        <v/>
      </c>
      <c r="G168" s="24" t="n"/>
      <c r="H168" s="24" t="n"/>
      <c r="I168" s="24" t="n"/>
      <c r="J168" s="24" t="n"/>
      <c r="K168" s="24" t="n"/>
      <c r="L168" s="26" t="n"/>
      <c r="M168" s="27">
        <f>IF(L168="","",IF(K168="GST 10%",ROUND(L168*set_GSTRate,2),0))</f>
        <v/>
      </c>
      <c r="N168" s="27">
        <f>IF(L168="","",L168+M168)</f>
        <v/>
      </c>
      <c r="O168" s="24" t="n"/>
      <c r="P168" s="24" t="n"/>
      <c r="Q168" s="24" t="n"/>
      <c r="R168" s="22" t="n"/>
      <c r="S168" s="22" t="n"/>
      <c r="T168" s="24" t="n"/>
      <c r="U168" s="24" t="n"/>
      <c r="V168" s="2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25">
        <f>IF(E168="","",IF(COUNTIF(tbl_Onsite[Job Number],E168&amp;"")&gt;0,"Onsite",IF(COUNTIF(tbl_Production[Job Number],E168&amp;"")&gt;0,"Production",IF(COUNTIF(tbl_Consulting[Job Number],E168&amp;"")&gt;0,"Consulting","not set up yet"))))</f>
        <v/>
      </c>
      <c r="X168" s="25">
        <f>IF(E168="","",IFERROR(INDEX(lst_JobName,MATCH(E168&amp;"",lst_Jobs,0)),""))</f>
        <v/>
      </c>
      <c r="Y168" s="28">
        <f>IF(E168="","",COUNTIFS(tbl_Finance[Job Number],E168&amp;"",tbl_Finance[Ex GST],"&lt;&gt;"))</f>
        <v/>
      </c>
      <c r="Z168" s="27">
        <f>IF(E168="","",SUMIFS(tbl_Finance[Ex GST],tbl_Finance[Job Number],E168&amp;""))</f>
        <v/>
      </c>
      <c r="AA168" s="27">
        <f>IF(E168="","",SUMIFS(tbl_Finance[Ex GST],tbl_Finance[Job Number],E168&amp;"",tbl_Finance[Xero Invoice No],"&lt;&gt;"))</f>
        <v/>
      </c>
      <c r="AB168" s="27">
        <f>IF(E168="","",Z168-AA168)</f>
        <v/>
      </c>
      <c r="AC168" s="25">
        <f>IF(E168="","",IFERROR(IF(INDEX(tbl_Onsite[Qwilr Quote],IFERROR(MATCH(E168&amp;"",tbl_Onsite[Job Number],0),MATCH(IFERROR(E168+0,E168),tbl_Onsite[Job Number],0)))="","",INDEX(tbl_Onsite[Qwilr Quote],IFERROR(MATCH(E168&amp;"",tbl_Onsite[Job Number],0),MATCH(IFERROR(E168+0,E168),tbl_Onsite[Job Number],0)))),IFERROR(IF(IF(INDEX(tbl_Production[Current RMS No],IFERROR(MATCH(E168&amp;"",tbl_Production[Job Number],0),MATCH(IFERROR(E168+0,E168),tbl_Production[Job Number],0)))="",INDEX(tbl_Production[Qwilr Quote],IFERROR(MATCH(E168&amp;"",tbl_Production[Job Number],0),MATCH(IFERROR(E168+0,E168),tbl_Production[Job Number],0))),INDEX(tbl_Production[Current RMS No],IFERROR(MATCH(E168&amp;"",tbl_Production[Job Number],0),MATCH(IFERROR(E168+0,E168),tbl_Production[Job Number],0))))="","",IF(INDEX(tbl_Production[Current RMS No],IFERROR(MATCH(E168&amp;"",tbl_Production[Job Number],0),MATCH(IFERROR(E168+0,E168),tbl_Production[Job Number],0)))="",INDEX(tbl_Production[Qwilr Quote],IFERROR(MATCH(E168&amp;"",tbl_Production[Job Number],0),MATCH(IFERROR(E168+0,E168),tbl_Production[Job Number],0))),INDEX(tbl_Production[Current RMS No],IFERROR(MATCH(E168&amp;"",tbl_Production[Job Number],0),MATCH(IFERROR(E168+0,E168),tbl_Production[Job Number],0))))),IFERROR(IF(INDEX(tbl_Consulting[Qwilr Quote],IFERROR(MATCH(E168&amp;"",tbl_Consulting[Job Number],0),MATCH(IFERROR(E168+0,E168),tbl_Consulting[Job Number],0)))="","",INDEX(tbl_Consulting[Qwilr Quote],IFERROR(MATCH(E168&amp;"",tbl_Consulting[Job Number],0),MATCH(IFERROR(E168+0,E168),tbl_Consulting[Job Number],0)))),""))))</f>
        <v/>
      </c>
      <c r="AD168" s="25">
        <f>IF(AC168="","",IF(AND(LEFT(AC168,4)&lt;&gt;"http",IF(H168="Production",set_RMSBase,set_QwilrBase)=""),"",HYPERLINK(IF(LEFT(AC168,4)="http",AC168,IF(H168="Production",set_RMSBase,set_QwilrBase)&amp;AC168),"Open")))</f>
        <v/>
      </c>
      <c r="AE168" s="27">
        <f>IF(E168="","",IFERROR(INDEX(tbl_Production[Total Expense],IFERROR(MATCH(E168&amp;"",tbl_Production[Job Number],0),MATCH(IFERROR(E168+0,E168),tbl_Production[Job Number],0))),IFERROR(INDEX(tbl_Consulting[Total Expense],IFERROR(MATCH(E168&amp;"",tbl_Consulting[Job Number],0),MATCH(IFERROR(E168+0,E168),tbl_Consulting[Job Number],0))),0)))</f>
        <v/>
      </c>
      <c r="AF168" s="27">
        <f>IF(E168="","",Z168-N(AE168))</f>
        <v/>
      </c>
      <c r="AG168" s="29">
        <f>IFERROR(AF168/Z168,"")</f>
        <v/>
      </c>
      <c r="AH168" s="25">
        <f>IF(E168="","",IFERROR(IF(INDEX(tbl_Onsite[Notes],IFERROR(MATCH(E168&amp;"",tbl_Onsite[Job Number],0),MATCH(IFERROR(E168+0,E168),tbl_Onsite[Job Number],0)))="","",INDEX(tbl_Onsite[Notes],IFERROR(MATCH(E168&amp;"",tbl_Onsite[Job Number],0),MATCH(IFERROR(E168+0,E168),tbl_Onsite[Job Number],0)))),IFERROR(IF(INDEX(tbl_Production[Notes],IFERROR(MATCH(E168&amp;"",tbl_Production[Job Number],0),MATCH(IFERROR(E168+0,E168),tbl_Production[Job Number],0)))="","",INDEX(tbl_Production[Notes],IFERROR(MATCH(E168&amp;"",tbl_Production[Job Number],0),MATCH(IFERROR(E168+0,E168),tbl_Production[Job Number],0)))),IFERROR(IF(INDEX(tbl_Consulting[Notes],IFERROR(MATCH(E168&amp;"",tbl_Consulting[Job Number],0),MATCH(IFERROR(E168+0,E168),tbl_Consulting[Job Number],0)))="","",INDEX(tbl_Consulting[Notes],IFERROR(MATCH(E168&amp;"",tbl_Consulting[Job Number],0),MATCH(IFERROR(E168+0,E168),tbl_Consulting[Job Number],0)))),""))))</f>
        <v/>
      </c>
    </row>
    <row r="169" ht="15" customHeight="1">
      <c r="A169" s="22" t="n"/>
      <c r="B169" s="23">
        <f>IF(A169="","",EOMONTH(A169,0))</f>
        <v/>
      </c>
      <c r="C169" s="24" t="n"/>
      <c r="D169" s="24" t="n"/>
      <c r="E169" s="24" t="n"/>
      <c r="F169" s="25">
        <f>IF(E169="","",IF(COUNTIF(lst_Jobs,E169&amp;"")&gt;0,"OK","CHECK"))</f>
        <v/>
      </c>
      <c r="G169" s="24" t="n"/>
      <c r="H169" s="24" t="n"/>
      <c r="I169" s="24" t="n"/>
      <c r="J169" s="24" t="n"/>
      <c r="K169" s="24" t="n"/>
      <c r="L169" s="26" t="n"/>
      <c r="M169" s="27">
        <f>IF(L169="","",IF(K169="GST 10%",ROUND(L169*set_GSTRate,2),0))</f>
        <v/>
      </c>
      <c r="N169" s="27">
        <f>IF(L169="","",L169+M169)</f>
        <v/>
      </c>
      <c r="O169" s="24" t="n"/>
      <c r="P169" s="24" t="n"/>
      <c r="Q169" s="24" t="n"/>
      <c r="R169" s="22" t="n"/>
      <c r="S169" s="22" t="n"/>
      <c r="T169" s="24" t="n"/>
      <c r="U169" s="24" t="n"/>
      <c r="V169" s="2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25">
        <f>IF(E169="","",IF(COUNTIF(tbl_Onsite[Job Number],E169&amp;"")&gt;0,"Onsite",IF(COUNTIF(tbl_Production[Job Number],E169&amp;"")&gt;0,"Production",IF(COUNTIF(tbl_Consulting[Job Number],E169&amp;"")&gt;0,"Consulting","not set up yet"))))</f>
        <v/>
      </c>
      <c r="X169" s="25">
        <f>IF(E169="","",IFERROR(INDEX(lst_JobName,MATCH(E169&amp;"",lst_Jobs,0)),""))</f>
        <v/>
      </c>
      <c r="Y169" s="28">
        <f>IF(E169="","",COUNTIFS(tbl_Finance[Job Number],E169&amp;"",tbl_Finance[Ex GST],"&lt;&gt;"))</f>
        <v/>
      </c>
      <c r="Z169" s="27">
        <f>IF(E169="","",SUMIFS(tbl_Finance[Ex GST],tbl_Finance[Job Number],E169&amp;""))</f>
        <v/>
      </c>
      <c r="AA169" s="27">
        <f>IF(E169="","",SUMIFS(tbl_Finance[Ex GST],tbl_Finance[Job Number],E169&amp;"",tbl_Finance[Xero Invoice No],"&lt;&gt;"))</f>
        <v/>
      </c>
      <c r="AB169" s="27">
        <f>IF(E169="","",Z169-AA169)</f>
        <v/>
      </c>
      <c r="AC169" s="25">
        <f>IF(E169="","",IFERROR(IF(INDEX(tbl_Onsite[Qwilr Quote],IFERROR(MATCH(E169&amp;"",tbl_Onsite[Job Number],0),MATCH(IFERROR(E169+0,E169),tbl_Onsite[Job Number],0)))="","",INDEX(tbl_Onsite[Qwilr Quote],IFERROR(MATCH(E169&amp;"",tbl_Onsite[Job Number],0),MATCH(IFERROR(E169+0,E169),tbl_Onsite[Job Number],0)))),IFERROR(IF(IF(INDEX(tbl_Production[Current RMS No],IFERROR(MATCH(E169&amp;"",tbl_Production[Job Number],0),MATCH(IFERROR(E169+0,E169),tbl_Production[Job Number],0)))="",INDEX(tbl_Production[Qwilr Quote],IFERROR(MATCH(E169&amp;"",tbl_Production[Job Number],0),MATCH(IFERROR(E169+0,E169),tbl_Production[Job Number],0))),INDEX(tbl_Production[Current RMS No],IFERROR(MATCH(E169&amp;"",tbl_Production[Job Number],0),MATCH(IFERROR(E169+0,E169),tbl_Production[Job Number],0))))="","",IF(INDEX(tbl_Production[Current RMS No],IFERROR(MATCH(E169&amp;"",tbl_Production[Job Number],0),MATCH(IFERROR(E169+0,E169),tbl_Production[Job Number],0)))="",INDEX(tbl_Production[Qwilr Quote],IFERROR(MATCH(E169&amp;"",tbl_Production[Job Number],0),MATCH(IFERROR(E169+0,E169),tbl_Production[Job Number],0))),INDEX(tbl_Production[Current RMS No],IFERROR(MATCH(E169&amp;"",tbl_Production[Job Number],0),MATCH(IFERROR(E169+0,E169),tbl_Production[Job Number],0))))),IFERROR(IF(INDEX(tbl_Consulting[Qwilr Quote],IFERROR(MATCH(E169&amp;"",tbl_Consulting[Job Number],0),MATCH(IFERROR(E169+0,E169),tbl_Consulting[Job Number],0)))="","",INDEX(tbl_Consulting[Qwilr Quote],IFERROR(MATCH(E169&amp;"",tbl_Consulting[Job Number],0),MATCH(IFERROR(E169+0,E169),tbl_Consulting[Job Number],0)))),""))))</f>
        <v/>
      </c>
      <c r="AD169" s="25">
        <f>IF(AC169="","",IF(AND(LEFT(AC169,4)&lt;&gt;"http",IF(H169="Production",set_RMSBase,set_QwilrBase)=""),"",HYPERLINK(IF(LEFT(AC169,4)="http",AC169,IF(H169="Production",set_RMSBase,set_QwilrBase)&amp;AC169),"Open")))</f>
        <v/>
      </c>
      <c r="AE169" s="27">
        <f>IF(E169="","",IFERROR(INDEX(tbl_Production[Total Expense],IFERROR(MATCH(E169&amp;"",tbl_Production[Job Number],0),MATCH(IFERROR(E169+0,E169),tbl_Production[Job Number],0))),IFERROR(INDEX(tbl_Consulting[Total Expense],IFERROR(MATCH(E169&amp;"",tbl_Consulting[Job Number],0),MATCH(IFERROR(E169+0,E169),tbl_Consulting[Job Number],0))),0)))</f>
        <v/>
      </c>
      <c r="AF169" s="27">
        <f>IF(E169="","",Z169-N(AE169))</f>
        <v/>
      </c>
      <c r="AG169" s="29">
        <f>IFERROR(AF169/Z169,"")</f>
        <v/>
      </c>
      <c r="AH169" s="25">
        <f>IF(E169="","",IFERROR(IF(INDEX(tbl_Onsite[Notes],IFERROR(MATCH(E169&amp;"",tbl_Onsite[Job Number],0),MATCH(IFERROR(E169+0,E169),tbl_Onsite[Job Number],0)))="","",INDEX(tbl_Onsite[Notes],IFERROR(MATCH(E169&amp;"",tbl_Onsite[Job Number],0),MATCH(IFERROR(E169+0,E169),tbl_Onsite[Job Number],0)))),IFERROR(IF(INDEX(tbl_Production[Notes],IFERROR(MATCH(E169&amp;"",tbl_Production[Job Number],0),MATCH(IFERROR(E169+0,E169),tbl_Production[Job Number],0)))="","",INDEX(tbl_Production[Notes],IFERROR(MATCH(E169&amp;"",tbl_Production[Job Number],0),MATCH(IFERROR(E169+0,E169),tbl_Production[Job Number],0)))),IFERROR(IF(INDEX(tbl_Consulting[Notes],IFERROR(MATCH(E169&amp;"",tbl_Consulting[Job Number],0),MATCH(IFERROR(E169+0,E169),tbl_Consulting[Job Number],0)))="","",INDEX(tbl_Consulting[Notes],IFERROR(MATCH(E169&amp;"",tbl_Consulting[Job Number],0),MATCH(IFERROR(E169+0,E169),tbl_Consulting[Job Number],0)))),""))))</f>
        <v/>
      </c>
    </row>
    <row r="170" ht="15" customHeight="1">
      <c r="A170" s="22" t="n"/>
      <c r="B170" s="23">
        <f>IF(A170="","",EOMONTH(A170,0))</f>
        <v/>
      </c>
      <c r="C170" s="24" t="n"/>
      <c r="D170" s="24" t="n"/>
      <c r="E170" s="24" t="n"/>
      <c r="F170" s="25">
        <f>IF(E170="","",IF(COUNTIF(lst_Jobs,E170&amp;"")&gt;0,"OK","CHECK"))</f>
        <v/>
      </c>
      <c r="G170" s="24" t="n"/>
      <c r="H170" s="24" t="n"/>
      <c r="I170" s="24" t="n"/>
      <c r="J170" s="24" t="n"/>
      <c r="K170" s="24" t="n"/>
      <c r="L170" s="26" t="n"/>
      <c r="M170" s="27">
        <f>IF(L170="","",IF(K170="GST 10%",ROUND(L170*set_GSTRate,2),0))</f>
        <v/>
      </c>
      <c r="N170" s="27">
        <f>IF(L170="","",L170+M170)</f>
        <v/>
      </c>
      <c r="O170" s="24" t="n"/>
      <c r="P170" s="24" t="n"/>
      <c r="Q170" s="24" t="n"/>
      <c r="R170" s="22" t="n"/>
      <c r="S170" s="22" t="n"/>
      <c r="T170" s="24" t="n"/>
      <c r="U170" s="24" t="n"/>
      <c r="V170" s="2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25">
        <f>IF(E170="","",IF(COUNTIF(tbl_Onsite[Job Number],E170&amp;"")&gt;0,"Onsite",IF(COUNTIF(tbl_Production[Job Number],E170&amp;"")&gt;0,"Production",IF(COUNTIF(tbl_Consulting[Job Number],E170&amp;"")&gt;0,"Consulting","not set up yet"))))</f>
        <v/>
      </c>
      <c r="X170" s="25">
        <f>IF(E170="","",IFERROR(INDEX(lst_JobName,MATCH(E170&amp;"",lst_Jobs,0)),""))</f>
        <v/>
      </c>
      <c r="Y170" s="28">
        <f>IF(E170="","",COUNTIFS(tbl_Finance[Job Number],E170&amp;"",tbl_Finance[Ex GST],"&lt;&gt;"))</f>
        <v/>
      </c>
      <c r="Z170" s="27">
        <f>IF(E170="","",SUMIFS(tbl_Finance[Ex GST],tbl_Finance[Job Number],E170&amp;""))</f>
        <v/>
      </c>
      <c r="AA170" s="27">
        <f>IF(E170="","",SUMIFS(tbl_Finance[Ex GST],tbl_Finance[Job Number],E170&amp;"",tbl_Finance[Xero Invoice No],"&lt;&gt;"))</f>
        <v/>
      </c>
      <c r="AB170" s="27">
        <f>IF(E170="","",Z170-AA170)</f>
        <v/>
      </c>
      <c r="AC170" s="25">
        <f>IF(E170="","",IFERROR(IF(INDEX(tbl_Onsite[Qwilr Quote],IFERROR(MATCH(E170&amp;"",tbl_Onsite[Job Number],0),MATCH(IFERROR(E170+0,E170),tbl_Onsite[Job Number],0)))="","",INDEX(tbl_Onsite[Qwilr Quote],IFERROR(MATCH(E170&amp;"",tbl_Onsite[Job Number],0),MATCH(IFERROR(E170+0,E170),tbl_Onsite[Job Number],0)))),IFERROR(IF(IF(INDEX(tbl_Production[Current RMS No],IFERROR(MATCH(E170&amp;"",tbl_Production[Job Number],0),MATCH(IFERROR(E170+0,E170),tbl_Production[Job Number],0)))="",INDEX(tbl_Production[Qwilr Quote],IFERROR(MATCH(E170&amp;"",tbl_Production[Job Number],0),MATCH(IFERROR(E170+0,E170),tbl_Production[Job Number],0))),INDEX(tbl_Production[Current RMS No],IFERROR(MATCH(E170&amp;"",tbl_Production[Job Number],0),MATCH(IFERROR(E170+0,E170),tbl_Production[Job Number],0))))="","",IF(INDEX(tbl_Production[Current RMS No],IFERROR(MATCH(E170&amp;"",tbl_Production[Job Number],0),MATCH(IFERROR(E170+0,E170),tbl_Production[Job Number],0)))="",INDEX(tbl_Production[Qwilr Quote],IFERROR(MATCH(E170&amp;"",tbl_Production[Job Number],0),MATCH(IFERROR(E170+0,E170),tbl_Production[Job Number],0))),INDEX(tbl_Production[Current RMS No],IFERROR(MATCH(E170&amp;"",tbl_Production[Job Number],0),MATCH(IFERROR(E170+0,E170),tbl_Production[Job Number],0))))),IFERROR(IF(INDEX(tbl_Consulting[Qwilr Quote],IFERROR(MATCH(E170&amp;"",tbl_Consulting[Job Number],0),MATCH(IFERROR(E170+0,E170),tbl_Consulting[Job Number],0)))="","",INDEX(tbl_Consulting[Qwilr Quote],IFERROR(MATCH(E170&amp;"",tbl_Consulting[Job Number],0),MATCH(IFERROR(E170+0,E170),tbl_Consulting[Job Number],0)))),""))))</f>
        <v/>
      </c>
      <c r="AD170" s="25">
        <f>IF(AC170="","",IF(AND(LEFT(AC170,4)&lt;&gt;"http",IF(H170="Production",set_RMSBase,set_QwilrBase)=""),"",HYPERLINK(IF(LEFT(AC170,4)="http",AC170,IF(H170="Production",set_RMSBase,set_QwilrBase)&amp;AC170),"Open")))</f>
        <v/>
      </c>
      <c r="AE170" s="27">
        <f>IF(E170="","",IFERROR(INDEX(tbl_Production[Total Expense],IFERROR(MATCH(E170&amp;"",tbl_Production[Job Number],0),MATCH(IFERROR(E170+0,E170),tbl_Production[Job Number],0))),IFERROR(INDEX(tbl_Consulting[Total Expense],IFERROR(MATCH(E170&amp;"",tbl_Consulting[Job Number],0),MATCH(IFERROR(E170+0,E170),tbl_Consulting[Job Number],0))),0)))</f>
        <v/>
      </c>
      <c r="AF170" s="27">
        <f>IF(E170="","",Z170-N(AE170))</f>
        <v/>
      </c>
      <c r="AG170" s="29">
        <f>IFERROR(AF170/Z170,"")</f>
        <v/>
      </c>
      <c r="AH170" s="25">
        <f>IF(E170="","",IFERROR(IF(INDEX(tbl_Onsite[Notes],IFERROR(MATCH(E170&amp;"",tbl_Onsite[Job Number],0),MATCH(IFERROR(E170+0,E170),tbl_Onsite[Job Number],0)))="","",INDEX(tbl_Onsite[Notes],IFERROR(MATCH(E170&amp;"",tbl_Onsite[Job Number],0),MATCH(IFERROR(E170+0,E170),tbl_Onsite[Job Number],0)))),IFERROR(IF(INDEX(tbl_Production[Notes],IFERROR(MATCH(E170&amp;"",tbl_Production[Job Number],0),MATCH(IFERROR(E170+0,E170),tbl_Production[Job Number],0)))="","",INDEX(tbl_Production[Notes],IFERROR(MATCH(E170&amp;"",tbl_Production[Job Number],0),MATCH(IFERROR(E170+0,E170),tbl_Production[Job Number],0)))),IFERROR(IF(INDEX(tbl_Consulting[Notes],IFERROR(MATCH(E170&amp;"",tbl_Consulting[Job Number],0),MATCH(IFERROR(E170+0,E170),tbl_Consulting[Job Number],0)))="","",INDEX(tbl_Consulting[Notes],IFERROR(MATCH(E170&amp;"",tbl_Consulting[Job Number],0),MATCH(IFERROR(E170+0,E170),tbl_Consulting[Job Number],0)))),""))))</f>
        <v/>
      </c>
    </row>
    <row r="171" ht="15" customHeight="1">
      <c r="A171" s="22" t="n"/>
      <c r="B171" s="23">
        <f>IF(A171="","",EOMONTH(A171,0))</f>
        <v/>
      </c>
      <c r="C171" s="24" t="n"/>
      <c r="D171" s="24" t="n"/>
      <c r="E171" s="24" t="n"/>
      <c r="F171" s="25">
        <f>IF(E171="","",IF(COUNTIF(lst_Jobs,E171&amp;"")&gt;0,"OK","CHECK"))</f>
        <v/>
      </c>
      <c r="G171" s="24" t="n"/>
      <c r="H171" s="24" t="n"/>
      <c r="I171" s="24" t="n"/>
      <c r="J171" s="24" t="n"/>
      <c r="K171" s="24" t="n"/>
      <c r="L171" s="26" t="n"/>
      <c r="M171" s="27">
        <f>IF(L171="","",IF(K171="GST 10%",ROUND(L171*set_GSTRate,2),0))</f>
        <v/>
      </c>
      <c r="N171" s="27">
        <f>IF(L171="","",L171+M171)</f>
        <v/>
      </c>
      <c r="O171" s="24" t="n"/>
      <c r="P171" s="24" t="n"/>
      <c r="Q171" s="24" t="n"/>
      <c r="R171" s="22" t="n"/>
      <c r="S171" s="22" t="n"/>
      <c r="T171" s="24" t="n"/>
      <c r="U171" s="24" t="n"/>
      <c r="V171" s="2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25">
        <f>IF(E171="","",IF(COUNTIF(tbl_Onsite[Job Number],E171&amp;"")&gt;0,"Onsite",IF(COUNTIF(tbl_Production[Job Number],E171&amp;"")&gt;0,"Production",IF(COUNTIF(tbl_Consulting[Job Number],E171&amp;"")&gt;0,"Consulting","not set up yet"))))</f>
        <v/>
      </c>
      <c r="X171" s="25">
        <f>IF(E171="","",IFERROR(INDEX(lst_JobName,MATCH(E171&amp;"",lst_Jobs,0)),""))</f>
        <v/>
      </c>
      <c r="Y171" s="28">
        <f>IF(E171="","",COUNTIFS(tbl_Finance[Job Number],E171&amp;"",tbl_Finance[Ex GST],"&lt;&gt;"))</f>
        <v/>
      </c>
      <c r="Z171" s="27">
        <f>IF(E171="","",SUMIFS(tbl_Finance[Ex GST],tbl_Finance[Job Number],E171&amp;""))</f>
        <v/>
      </c>
      <c r="AA171" s="27">
        <f>IF(E171="","",SUMIFS(tbl_Finance[Ex GST],tbl_Finance[Job Number],E171&amp;"",tbl_Finance[Xero Invoice No],"&lt;&gt;"))</f>
        <v/>
      </c>
      <c r="AB171" s="27">
        <f>IF(E171="","",Z171-AA171)</f>
        <v/>
      </c>
      <c r="AC171" s="25">
        <f>IF(E171="","",IFERROR(IF(INDEX(tbl_Onsite[Qwilr Quote],IFERROR(MATCH(E171&amp;"",tbl_Onsite[Job Number],0),MATCH(IFERROR(E171+0,E171),tbl_Onsite[Job Number],0)))="","",INDEX(tbl_Onsite[Qwilr Quote],IFERROR(MATCH(E171&amp;"",tbl_Onsite[Job Number],0),MATCH(IFERROR(E171+0,E171),tbl_Onsite[Job Number],0)))),IFERROR(IF(IF(INDEX(tbl_Production[Current RMS No],IFERROR(MATCH(E171&amp;"",tbl_Production[Job Number],0),MATCH(IFERROR(E171+0,E171),tbl_Production[Job Number],0)))="",INDEX(tbl_Production[Qwilr Quote],IFERROR(MATCH(E171&amp;"",tbl_Production[Job Number],0),MATCH(IFERROR(E171+0,E171),tbl_Production[Job Number],0))),INDEX(tbl_Production[Current RMS No],IFERROR(MATCH(E171&amp;"",tbl_Production[Job Number],0),MATCH(IFERROR(E171+0,E171),tbl_Production[Job Number],0))))="","",IF(INDEX(tbl_Production[Current RMS No],IFERROR(MATCH(E171&amp;"",tbl_Production[Job Number],0),MATCH(IFERROR(E171+0,E171),tbl_Production[Job Number],0)))="",INDEX(tbl_Production[Qwilr Quote],IFERROR(MATCH(E171&amp;"",tbl_Production[Job Number],0),MATCH(IFERROR(E171+0,E171),tbl_Production[Job Number],0))),INDEX(tbl_Production[Current RMS No],IFERROR(MATCH(E171&amp;"",tbl_Production[Job Number],0),MATCH(IFERROR(E171+0,E171),tbl_Production[Job Number],0))))),IFERROR(IF(INDEX(tbl_Consulting[Qwilr Quote],IFERROR(MATCH(E171&amp;"",tbl_Consulting[Job Number],0),MATCH(IFERROR(E171+0,E171),tbl_Consulting[Job Number],0)))="","",INDEX(tbl_Consulting[Qwilr Quote],IFERROR(MATCH(E171&amp;"",tbl_Consulting[Job Number],0),MATCH(IFERROR(E171+0,E171),tbl_Consulting[Job Number],0)))),""))))</f>
        <v/>
      </c>
      <c r="AD171" s="25">
        <f>IF(AC171="","",IF(AND(LEFT(AC171,4)&lt;&gt;"http",IF(H171="Production",set_RMSBase,set_QwilrBase)=""),"",HYPERLINK(IF(LEFT(AC171,4)="http",AC171,IF(H171="Production",set_RMSBase,set_QwilrBase)&amp;AC171),"Open")))</f>
        <v/>
      </c>
      <c r="AE171" s="27">
        <f>IF(E171="","",IFERROR(INDEX(tbl_Production[Total Expense],IFERROR(MATCH(E171&amp;"",tbl_Production[Job Number],0),MATCH(IFERROR(E171+0,E171),tbl_Production[Job Number],0))),IFERROR(INDEX(tbl_Consulting[Total Expense],IFERROR(MATCH(E171&amp;"",tbl_Consulting[Job Number],0),MATCH(IFERROR(E171+0,E171),tbl_Consulting[Job Number],0))),0)))</f>
        <v/>
      </c>
      <c r="AF171" s="27">
        <f>IF(E171="","",Z171-N(AE171))</f>
        <v/>
      </c>
      <c r="AG171" s="29">
        <f>IFERROR(AF171/Z171,"")</f>
        <v/>
      </c>
      <c r="AH171" s="25">
        <f>IF(E171="","",IFERROR(IF(INDEX(tbl_Onsite[Notes],IFERROR(MATCH(E171&amp;"",tbl_Onsite[Job Number],0),MATCH(IFERROR(E171+0,E171),tbl_Onsite[Job Number],0)))="","",INDEX(tbl_Onsite[Notes],IFERROR(MATCH(E171&amp;"",tbl_Onsite[Job Number],0),MATCH(IFERROR(E171+0,E171),tbl_Onsite[Job Number],0)))),IFERROR(IF(INDEX(tbl_Production[Notes],IFERROR(MATCH(E171&amp;"",tbl_Production[Job Number],0),MATCH(IFERROR(E171+0,E171),tbl_Production[Job Number],0)))="","",INDEX(tbl_Production[Notes],IFERROR(MATCH(E171&amp;"",tbl_Production[Job Number],0),MATCH(IFERROR(E171+0,E171),tbl_Production[Job Number],0)))),IFERROR(IF(INDEX(tbl_Consulting[Notes],IFERROR(MATCH(E171&amp;"",tbl_Consulting[Job Number],0),MATCH(IFERROR(E171+0,E171),tbl_Consulting[Job Number],0)))="","",INDEX(tbl_Consulting[Notes],IFERROR(MATCH(E171&amp;"",tbl_Consulting[Job Number],0),MATCH(IFERROR(E171+0,E171),tbl_Consulting[Job Number],0)))),""))))</f>
        <v/>
      </c>
    </row>
    <row r="172" ht="15" customHeight="1">
      <c r="A172" s="22" t="n"/>
      <c r="B172" s="23">
        <f>IF(A172="","",EOMONTH(A172,0))</f>
        <v/>
      </c>
      <c r="C172" s="24" t="n"/>
      <c r="D172" s="24" t="n"/>
      <c r="E172" s="24" t="n"/>
      <c r="F172" s="25">
        <f>IF(E172="","",IF(COUNTIF(lst_Jobs,E172&amp;"")&gt;0,"OK","CHECK"))</f>
        <v/>
      </c>
      <c r="G172" s="24" t="n"/>
      <c r="H172" s="24" t="n"/>
      <c r="I172" s="24" t="n"/>
      <c r="J172" s="24" t="n"/>
      <c r="K172" s="24" t="n"/>
      <c r="L172" s="26" t="n"/>
      <c r="M172" s="27">
        <f>IF(L172="","",IF(K172="GST 10%",ROUND(L172*set_GSTRate,2),0))</f>
        <v/>
      </c>
      <c r="N172" s="27">
        <f>IF(L172="","",L172+M172)</f>
        <v/>
      </c>
      <c r="O172" s="24" t="n"/>
      <c r="P172" s="24" t="n"/>
      <c r="Q172" s="24" t="n"/>
      <c r="R172" s="22" t="n"/>
      <c r="S172" s="22" t="n"/>
      <c r="T172" s="24" t="n"/>
      <c r="U172" s="24" t="n"/>
      <c r="V172" s="2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25">
        <f>IF(E172="","",IF(COUNTIF(tbl_Onsite[Job Number],E172&amp;"")&gt;0,"Onsite",IF(COUNTIF(tbl_Production[Job Number],E172&amp;"")&gt;0,"Production",IF(COUNTIF(tbl_Consulting[Job Number],E172&amp;"")&gt;0,"Consulting","not set up yet"))))</f>
        <v/>
      </c>
      <c r="X172" s="25">
        <f>IF(E172="","",IFERROR(INDEX(lst_JobName,MATCH(E172&amp;"",lst_Jobs,0)),""))</f>
        <v/>
      </c>
      <c r="Y172" s="28">
        <f>IF(E172="","",COUNTIFS(tbl_Finance[Job Number],E172&amp;"",tbl_Finance[Ex GST],"&lt;&gt;"))</f>
        <v/>
      </c>
      <c r="Z172" s="27">
        <f>IF(E172="","",SUMIFS(tbl_Finance[Ex GST],tbl_Finance[Job Number],E172&amp;""))</f>
        <v/>
      </c>
      <c r="AA172" s="27">
        <f>IF(E172="","",SUMIFS(tbl_Finance[Ex GST],tbl_Finance[Job Number],E172&amp;"",tbl_Finance[Xero Invoice No],"&lt;&gt;"))</f>
        <v/>
      </c>
      <c r="AB172" s="27">
        <f>IF(E172="","",Z172-AA172)</f>
        <v/>
      </c>
      <c r="AC172" s="25">
        <f>IF(E172="","",IFERROR(IF(INDEX(tbl_Onsite[Qwilr Quote],IFERROR(MATCH(E172&amp;"",tbl_Onsite[Job Number],0),MATCH(IFERROR(E172+0,E172),tbl_Onsite[Job Number],0)))="","",INDEX(tbl_Onsite[Qwilr Quote],IFERROR(MATCH(E172&amp;"",tbl_Onsite[Job Number],0),MATCH(IFERROR(E172+0,E172),tbl_Onsite[Job Number],0)))),IFERROR(IF(IF(INDEX(tbl_Production[Current RMS No],IFERROR(MATCH(E172&amp;"",tbl_Production[Job Number],0),MATCH(IFERROR(E172+0,E172),tbl_Production[Job Number],0)))="",INDEX(tbl_Production[Qwilr Quote],IFERROR(MATCH(E172&amp;"",tbl_Production[Job Number],0),MATCH(IFERROR(E172+0,E172),tbl_Production[Job Number],0))),INDEX(tbl_Production[Current RMS No],IFERROR(MATCH(E172&amp;"",tbl_Production[Job Number],0),MATCH(IFERROR(E172+0,E172),tbl_Production[Job Number],0))))="","",IF(INDEX(tbl_Production[Current RMS No],IFERROR(MATCH(E172&amp;"",tbl_Production[Job Number],0),MATCH(IFERROR(E172+0,E172),tbl_Production[Job Number],0)))="",INDEX(tbl_Production[Qwilr Quote],IFERROR(MATCH(E172&amp;"",tbl_Production[Job Number],0),MATCH(IFERROR(E172+0,E172),tbl_Production[Job Number],0))),INDEX(tbl_Production[Current RMS No],IFERROR(MATCH(E172&amp;"",tbl_Production[Job Number],0),MATCH(IFERROR(E172+0,E172),tbl_Production[Job Number],0))))),IFERROR(IF(INDEX(tbl_Consulting[Qwilr Quote],IFERROR(MATCH(E172&amp;"",tbl_Consulting[Job Number],0),MATCH(IFERROR(E172+0,E172),tbl_Consulting[Job Number],0)))="","",INDEX(tbl_Consulting[Qwilr Quote],IFERROR(MATCH(E172&amp;"",tbl_Consulting[Job Number],0),MATCH(IFERROR(E172+0,E172),tbl_Consulting[Job Number],0)))),""))))</f>
        <v/>
      </c>
      <c r="AD172" s="25">
        <f>IF(AC172="","",IF(AND(LEFT(AC172,4)&lt;&gt;"http",IF(H172="Production",set_RMSBase,set_QwilrBase)=""),"",HYPERLINK(IF(LEFT(AC172,4)="http",AC172,IF(H172="Production",set_RMSBase,set_QwilrBase)&amp;AC172),"Open")))</f>
        <v/>
      </c>
      <c r="AE172" s="27">
        <f>IF(E172="","",IFERROR(INDEX(tbl_Production[Total Expense],IFERROR(MATCH(E172&amp;"",tbl_Production[Job Number],0),MATCH(IFERROR(E172+0,E172),tbl_Production[Job Number],0))),IFERROR(INDEX(tbl_Consulting[Total Expense],IFERROR(MATCH(E172&amp;"",tbl_Consulting[Job Number],0),MATCH(IFERROR(E172+0,E172),tbl_Consulting[Job Number],0))),0)))</f>
        <v/>
      </c>
      <c r="AF172" s="27">
        <f>IF(E172="","",Z172-N(AE172))</f>
        <v/>
      </c>
      <c r="AG172" s="29">
        <f>IFERROR(AF172/Z172,"")</f>
        <v/>
      </c>
      <c r="AH172" s="25">
        <f>IF(E172="","",IFERROR(IF(INDEX(tbl_Onsite[Notes],IFERROR(MATCH(E172&amp;"",tbl_Onsite[Job Number],0),MATCH(IFERROR(E172+0,E172),tbl_Onsite[Job Number],0)))="","",INDEX(tbl_Onsite[Notes],IFERROR(MATCH(E172&amp;"",tbl_Onsite[Job Number],0),MATCH(IFERROR(E172+0,E172),tbl_Onsite[Job Number],0)))),IFERROR(IF(INDEX(tbl_Production[Notes],IFERROR(MATCH(E172&amp;"",tbl_Production[Job Number],0),MATCH(IFERROR(E172+0,E172),tbl_Production[Job Number],0)))="","",INDEX(tbl_Production[Notes],IFERROR(MATCH(E172&amp;"",tbl_Production[Job Number],0),MATCH(IFERROR(E172+0,E172),tbl_Production[Job Number],0)))),IFERROR(IF(INDEX(tbl_Consulting[Notes],IFERROR(MATCH(E172&amp;"",tbl_Consulting[Job Number],0),MATCH(IFERROR(E172+0,E172),tbl_Consulting[Job Number],0)))="","",INDEX(tbl_Consulting[Notes],IFERROR(MATCH(E172&amp;"",tbl_Consulting[Job Number],0),MATCH(IFERROR(E172+0,E172),tbl_Consulting[Job Number],0)))),""))))</f>
        <v/>
      </c>
    </row>
    <row r="173" ht="15" customHeight="1">
      <c r="A173" s="22" t="n"/>
      <c r="B173" s="23">
        <f>IF(A173="","",EOMONTH(A173,0))</f>
        <v/>
      </c>
      <c r="C173" s="24" t="n"/>
      <c r="D173" s="24" t="n"/>
      <c r="E173" s="24" t="n"/>
      <c r="F173" s="25">
        <f>IF(E173="","",IF(COUNTIF(lst_Jobs,E173&amp;"")&gt;0,"OK","CHECK"))</f>
        <v/>
      </c>
      <c r="G173" s="24" t="n"/>
      <c r="H173" s="24" t="n"/>
      <c r="I173" s="24" t="n"/>
      <c r="J173" s="24" t="n"/>
      <c r="K173" s="24" t="n"/>
      <c r="L173" s="26" t="n"/>
      <c r="M173" s="27">
        <f>IF(L173="","",IF(K173="GST 10%",ROUND(L173*set_GSTRate,2),0))</f>
        <v/>
      </c>
      <c r="N173" s="27">
        <f>IF(L173="","",L173+M173)</f>
        <v/>
      </c>
      <c r="O173" s="24" t="n"/>
      <c r="P173" s="24" t="n"/>
      <c r="Q173" s="24" t="n"/>
      <c r="R173" s="22" t="n"/>
      <c r="S173" s="22" t="n"/>
      <c r="T173" s="24" t="n"/>
      <c r="U173" s="24" t="n"/>
      <c r="V173" s="2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25">
        <f>IF(E173="","",IF(COUNTIF(tbl_Onsite[Job Number],E173&amp;"")&gt;0,"Onsite",IF(COUNTIF(tbl_Production[Job Number],E173&amp;"")&gt;0,"Production",IF(COUNTIF(tbl_Consulting[Job Number],E173&amp;"")&gt;0,"Consulting","not set up yet"))))</f>
        <v/>
      </c>
      <c r="X173" s="25">
        <f>IF(E173="","",IFERROR(INDEX(lst_JobName,MATCH(E173&amp;"",lst_Jobs,0)),""))</f>
        <v/>
      </c>
      <c r="Y173" s="28">
        <f>IF(E173="","",COUNTIFS(tbl_Finance[Job Number],E173&amp;"",tbl_Finance[Ex GST],"&lt;&gt;"))</f>
        <v/>
      </c>
      <c r="Z173" s="27">
        <f>IF(E173="","",SUMIFS(tbl_Finance[Ex GST],tbl_Finance[Job Number],E173&amp;""))</f>
        <v/>
      </c>
      <c r="AA173" s="27">
        <f>IF(E173="","",SUMIFS(tbl_Finance[Ex GST],tbl_Finance[Job Number],E173&amp;"",tbl_Finance[Xero Invoice No],"&lt;&gt;"))</f>
        <v/>
      </c>
      <c r="AB173" s="27">
        <f>IF(E173="","",Z173-AA173)</f>
        <v/>
      </c>
      <c r="AC173" s="25">
        <f>IF(E173="","",IFERROR(IF(INDEX(tbl_Onsite[Qwilr Quote],IFERROR(MATCH(E173&amp;"",tbl_Onsite[Job Number],0),MATCH(IFERROR(E173+0,E173),tbl_Onsite[Job Number],0)))="","",INDEX(tbl_Onsite[Qwilr Quote],IFERROR(MATCH(E173&amp;"",tbl_Onsite[Job Number],0),MATCH(IFERROR(E173+0,E173),tbl_Onsite[Job Number],0)))),IFERROR(IF(IF(INDEX(tbl_Production[Current RMS No],IFERROR(MATCH(E173&amp;"",tbl_Production[Job Number],0),MATCH(IFERROR(E173+0,E173),tbl_Production[Job Number],0)))="",INDEX(tbl_Production[Qwilr Quote],IFERROR(MATCH(E173&amp;"",tbl_Production[Job Number],0),MATCH(IFERROR(E173+0,E173),tbl_Production[Job Number],0))),INDEX(tbl_Production[Current RMS No],IFERROR(MATCH(E173&amp;"",tbl_Production[Job Number],0),MATCH(IFERROR(E173+0,E173),tbl_Production[Job Number],0))))="","",IF(INDEX(tbl_Production[Current RMS No],IFERROR(MATCH(E173&amp;"",tbl_Production[Job Number],0),MATCH(IFERROR(E173+0,E173),tbl_Production[Job Number],0)))="",INDEX(tbl_Production[Qwilr Quote],IFERROR(MATCH(E173&amp;"",tbl_Production[Job Number],0),MATCH(IFERROR(E173+0,E173),tbl_Production[Job Number],0))),INDEX(tbl_Production[Current RMS No],IFERROR(MATCH(E173&amp;"",tbl_Production[Job Number],0),MATCH(IFERROR(E173+0,E173),tbl_Production[Job Number],0))))),IFERROR(IF(INDEX(tbl_Consulting[Qwilr Quote],IFERROR(MATCH(E173&amp;"",tbl_Consulting[Job Number],0),MATCH(IFERROR(E173+0,E173),tbl_Consulting[Job Number],0)))="","",INDEX(tbl_Consulting[Qwilr Quote],IFERROR(MATCH(E173&amp;"",tbl_Consulting[Job Number],0),MATCH(IFERROR(E173+0,E173),tbl_Consulting[Job Number],0)))),""))))</f>
        <v/>
      </c>
      <c r="AD173" s="25">
        <f>IF(AC173="","",IF(AND(LEFT(AC173,4)&lt;&gt;"http",IF(H173="Production",set_RMSBase,set_QwilrBase)=""),"",HYPERLINK(IF(LEFT(AC173,4)="http",AC173,IF(H173="Production",set_RMSBase,set_QwilrBase)&amp;AC173),"Open")))</f>
        <v/>
      </c>
      <c r="AE173" s="27">
        <f>IF(E173="","",IFERROR(INDEX(tbl_Production[Total Expense],IFERROR(MATCH(E173&amp;"",tbl_Production[Job Number],0),MATCH(IFERROR(E173+0,E173),tbl_Production[Job Number],0))),IFERROR(INDEX(tbl_Consulting[Total Expense],IFERROR(MATCH(E173&amp;"",tbl_Consulting[Job Number],0),MATCH(IFERROR(E173+0,E173),tbl_Consulting[Job Number],0))),0)))</f>
        <v/>
      </c>
      <c r="AF173" s="27">
        <f>IF(E173="","",Z173-N(AE173))</f>
        <v/>
      </c>
      <c r="AG173" s="29">
        <f>IFERROR(AF173/Z173,"")</f>
        <v/>
      </c>
      <c r="AH173" s="25">
        <f>IF(E173="","",IFERROR(IF(INDEX(tbl_Onsite[Notes],IFERROR(MATCH(E173&amp;"",tbl_Onsite[Job Number],0),MATCH(IFERROR(E173+0,E173),tbl_Onsite[Job Number],0)))="","",INDEX(tbl_Onsite[Notes],IFERROR(MATCH(E173&amp;"",tbl_Onsite[Job Number],0),MATCH(IFERROR(E173+0,E173),tbl_Onsite[Job Number],0)))),IFERROR(IF(INDEX(tbl_Production[Notes],IFERROR(MATCH(E173&amp;"",tbl_Production[Job Number],0),MATCH(IFERROR(E173+0,E173),tbl_Production[Job Number],0)))="","",INDEX(tbl_Production[Notes],IFERROR(MATCH(E173&amp;"",tbl_Production[Job Number],0),MATCH(IFERROR(E173+0,E173),tbl_Production[Job Number],0)))),IFERROR(IF(INDEX(tbl_Consulting[Notes],IFERROR(MATCH(E173&amp;"",tbl_Consulting[Job Number],0),MATCH(IFERROR(E173+0,E173),tbl_Consulting[Job Number],0)))="","",INDEX(tbl_Consulting[Notes],IFERROR(MATCH(E173&amp;"",tbl_Consulting[Job Number],0),MATCH(IFERROR(E173+0,E173),tbl_Consulting[Job Number],0)))),""))))</f>
        <v/>
      </c>
    </row>
    <row r="174" ht="15" customHeight="1">
      <c r="A174" s="22" t="n"/>
      <c r="B174" s="23">
        <f>IF(A174="","",EOMONTH(A174,0))</f>
        <v/>
      </c>
      <c r="C174" s="24" t="n"/>
      <c r="D174" s="24" t="n"/>
      <c r="E174" s="24" t="n"/>
      <c r="F174" s="25">
        <f>IF(E174="","",IF(COUNTIF(lst_Jobs,E174&amp;"")&gt;0,"OK","CHECK"))</f>
        <v/>
      </c>
      <c r="G174" s="24" t="n"/>
      <c r="H174" s="24" t="n"/>
      <c r="I174" s="24" t="n"/>
      <c r="J174" s="24" t="n"/>
      <c r="K174" s="24" t="n"/>
      <c r="L174" s="26" t="n"/>
      <c r="M174" s="27">
        <f>IF(L174="","",IF(K174="GST 10%",ROUND(L174*set_GSTRate,2),0))</f>
        <v/>
      </c>
      <c r="N174" s="27">
        <f>IF(L174="","",L174+M174)</f>
        <v/>
      </c>
      <c r="O174" s="24" t="n"/>
      <c r="P174" s="24" t="n"/>
      <c r="Q174" s="24" t="n"/>
      <c r="R174" s="22" t="n"/>
      <c r="S174" s="22" t="n"/>
      <c r="T174" s="24" t="n"/>
      <c r="U174" s="24" t="n"/>
      <c r="V174" s="2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25">
        <f>IF(E174="","",IF(COUNTIF(tbl_Onsite[Job Number],E174&amp;"")&gt;0,"Onsite",IF(COUNTIF(tbl_Production[Job Number],E174&amp;"")&gt;0,"Production",IF(COUNTIF(tbl_Consulting[Job Number],E174&amp;"")&gt;0,"Consulting","not set up yet"))))</f>
        <v/>
      </c>
      <c r="X174" s="25">
        <f>IF(E174="","",IFERROR(INDEX(lst_JobName,MATCH(E174&amp;"",lst_Jobs,0)),""))</f>
        <v/>
      </c>
      <c r="Y174" s="28">
        <f>IF(E174="","",COUNTIFS(tbl_Finance[Job Number],E174&amp;"",tbl_Finance[Ex GST],"&lt;&gt;"))</f>
        <v/>
      </c>
      <c r="Z174" s="27">
        <f>IF(E174="","",SUMIFS(tbl_Finance[Ex GST],tbl_Finance[Job Number],E174&amp;""))</f>
        <v/>
      </c>
      <c r="AA174" s="27">
        <f>IF(E174="","",SUMIFS(tbl_Finance[Ex GST],tbl_Finance[Job Number],E174&amp;"",tbl_Finance[Xero Invoice No],"&lt;&gt;"))</f>
        <v/>
      </c>
      <c r="AB174" s="27">
        <f>IF(E174="","",Z174-AA174)</f>
        <v/>
      </c>
      <c r="AC174" s="25">
        <f>IF(E174="","",IFERROR(IF(INDEX(tbl_Onsite[Qwilr Quote],IFERROR(MATCH(E174&amp;"",tbl_Onsite[Job Number],0),MATCH(IFERROR(E174+0,E174),tbl_Onsite[Job Number],0)))="","",INDEX(tbl_Onsite[Qwilr Quote],IFERROR(MATCH(E174&amp;"",tbl_Onsite[Job Number],0),MATCH(IFERROR(E174+0,E174),tbl_Onsite[Job Number],0)))),IFERROR(IF(IF(INDEX(tbl_Production[Current RMS No],IFERROR(MATCH(E174&amp;"",tbl_Production[Job Number],0),MATCH(IFERROR(E174+0,E174),tbl_Production[Job Number],0)))="",INDEX(tbl_Production[Qwilr Quote],IFERROR(MATCH(E174&amp;"",tbl_Production[Job Number],0),MATCH(IFERROR(E174+0,E174),tbl_Production[Job Number],0))),INDEX(tbl_Production[Current RMS No],IFERROR(MATCH(E174&amp;"",tbl_Production[Job Number],0),MATCH(IFERROR(E174+0,E174),tbl_Production[Job Number],0))))="","",IF(INDEX(tbl_Production[Current RMS No],IFERROR(MATCH(E174&amp;"",tbl_Production[Job Number],0),MATCH(IFERROR(E174+0,E174),tbl_Production[Job Number],0)))="",INDEX(tbl_Production[Qwilr Quote],IFERROR(MATCH(E174&amp;"",tbl_Production[Job Number],0),MATCH(IFERROR(E174+0,E174),tbl_Production[Job Number],0))),INDEX(tbl_Production[Current RMS No],IFERROR(MATCH(E174&amp;"",tbl_Production[Job Number],0),MATCH(IFERROR(E174+0,E174),tbl_Production[Job Number],0))))),IFERROR(IF(INDEX(tbl_Consulting[Qwilr Quote],IFERROR(MATCH(E174&amp;"",tbl_Consulting[Job Number],0),MATCH(IFERROR(E174+0,E174),tbl_Consulting[Job Number],0)))="","",INDEX(tbl_Consulting[Qwilr Quote],IFERROR(MATCH(E174&amp;"",tbl_Consulting[Job Number],0),MATCH(IFERROR(E174+0,E174),tbl_Consulting[Job Number],0)))),""))))</f>
        <v/>
      </c>
      <c r="AD174" s="25">
        <f>IF(AC174="","",IF(AND(LEFT(AC174,4)&lt;&gt;"http",IF(H174="Production",set_RMSBase,set_QwilrBase)=""),"",HYPERLINK(IF(LEFT(AC174,4)="http",AC174,IF(H174="Production",set_RMSBase,set_QwilrBase)&amp;AC174),"Open")))</f>
        <v/>
      </c>
      <c r="AE174" s="27">
        <f>IF(E174="","",IFERROR(INDEX(tbl_Production[Total Expense],IFERROR(MATCH(E174&amp;"",tbl_Production[Job Number],0),MATCH(IFERROR(E174+0,E174),tbl_Production[Job Number],0))),IFERROR(INDEX(tbl_Consulting[Total Expense],IFERROR(MATCH(E174&amp;"",tbl_Consulting[Job Number],0),MATCH(IFERROR(E174+0,E174),tbl_Consulting[Job Number],0))),0)))</f>
        <v/>
      </c>
      <c r="AF174" s="27">
        <f>IF(E174="","",Z174-N(AE174))</f>
        <v/>
      </c>
      <c r="AG174" s="29">
        <f>IFERROR(AF174/Z174,"")</f>
        <v/>
      </c>
      <c r="AH174" s="25">
        <f>IF(E174="","",IFERROR(IF(INDEX(tbl_Onsite[Notes],IFERROR(MATCH(E174&amp;"",tbl_Onsite[Job Number],0),MATCH(IFERROR(E174+0,E174),tbl_Onsite[Job Number],0)))="","",INDEX(tbl_Onsite[Notes],IFERROR(MATCH(E174&amp;"",tbl_Onsite[Job Number],0),MATCH(IFERROR(E174+0,E174),tbl_Onsite[Job Number],0)))),IFERROR(IF(INDEX(tbl_Production[Notes],IFERROR(MATCH(E174&amp;"",tbl_Production[Job Number],0),MATCH(IFERROR(E174+0,E174),tbl_Production[Job Number],0)))="","",INDEX(tbl_Production[Notes],IFERROR(MATCH(E174&amp;"",tbl_Production[Job Number],0),MATCH(IFERROR(E174+0,E174),tbl_Production[Job Number],0)))),IFERROR(IF(INDEX(tbl_Consulting[Notes],IFERROR(MATCH(E174&amp;"",tbl_Consulting[Job Number],0),MATCH(IFERROR(E174+0,E174),tbl_Consulting[Job Number],0)))="","",INDEX(tbl_Consulting[Notes],IFERROR(MATCH(E174&amp;"",tbl_Consulting[Job Number],0),MATCH(IFERROR(E174+0,E174),tbl_Consulting[Job Number],0)))),""))))</f>
        <v/>
      </c>
    </row>
    <row r="175" ht="15" customHeight="1">
      <c r="A175" s="22" t="n"/>
      <c r="B175" s="23">
        <f>IF(A175="","",EOMONTH(A175,0))</f>
        <v/>
      </c>
      <c r="C175" s="24" t="n"/>
      <c r="D175" s="24" t="n"/>
      <c r="E175" s="24" t="n"/>
      <c r="F175" s="25">
        <f>IF(E175="","",IF(COUNTIF(lst_Jobs,E175&amp;"")&gt;0,"OK","CHECK"))</f>
        <v/>
      </c>
      <c r="G175" s="24" t="n"/>
      <c r="H175" s="24" t="n"/>
      <c r="I175" s="24" t="n"/>
      <c r="J175" s="24" t="n"/>
      <c r="K175" s="24" t="n"/>
      <c r="L175" s="26" t="n"/>
      <c r="M175" s="27">
        <f>IF(L175="","",IF(K175="GST 10%",ROUND(L175*set_GSTRate,2),0))</f>
        <v/>
      </c>
      <c r="N175" s="27">
        <f>IF(L175="","",L175+M175)</f>
        <v/>
      </c>
      <c r="O175" s="24" t="n"/>
      <c r="P175" s="24" t="n"/>
      <c r="Q175" s="24" t="n"/>
      <c r="R175" s="22" t="n"/>
      <c r="S175" s="22" t="n"/>
      <c r="T175" s="24" t="n"/>
      <c r="U175" s="24" t="n"/>
      <c r="V175" s="2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25">
        <f>IF(E175="","",IF(COUNTIF(tbl_Onsite[Job Number],E175&amp;"")&gt;0,"Onsite",IF(COUNTIF(tbl_Production[Job Number],E175&amp;"")&gt;0,"Production",IF(COUNTIF(tbl_Consulting[Job Number],E175&amp;"")&gt;0,"Consulting","not set up yet"))))</f>
        <v/>
      </c>
      <c r="X175" s="25">
        <f>IF(E175="","",IFERROR(INDEX(lst_JobName,MATCH(E175&amp;"",lst_Jobs,0)),""))</f>
        <v/>
      </c>
      <c r="Y175" s="28">
        <f>IF(E175="","",COUNTIFS(tbl_Finance[Job Number],E175&amp;"",tbl_Finance[Ex GST],"&lt;&gt;"))</f>
        <v/>
      </c>
      <c r="Z175" s="27">
        <f>IF(E175="","",SUMIFS(tbl_Finance[Ex GST],tbl_Finance[Job Number],E175&amp;""))</f>
        <v/>
      </c>
      <c r="AA175" s="27">
        <f>IF(E175="","",SUMIFS(tbl_Finance[Ex GST],tbl_Finance[Job Number],E175&amp;"",tbl_Finance[Xero Invoice No],"&lt;&gt;"))</f>
        <v/>
      </c>
      <c r="AB175" s="27">
        <f>IF(E175="","",Z175-AA175)</f>
        <v/>
      </c>
      <c r="AC175" s="25">
        <f>IF(E175="","",IFERROR(IF(INDEX(tbl_Onsite[Qwilr Quote],IFERROR(MATCH(E175&amp;"",tbl_Onsite[Job Number],0),MATCH(IFERROR(E175+0,E175),tbl_Onsite[Job Number],0)))="","",INDEX(tbl_Onsite[Qwilr Quote],IFERROR(MATCH(E175&amp;"",tbl_Onsite[Job Number],0),MATCH(IFERROR(E175+0,E175),tbl_Onsite[Job Number],0)))),IFERROR(IF(IF(INDEX(tbl_Production[Current RMS No],IFERROR(MATCH(E175&amp;"",tbl_Production[Job Number],0),MATCH(IFERROR(E175+0,E175),tbl_Production[Job Number],0)))="",INDEX(tbl_Production[Qwilr Quote],IFERROR(MATCH(E175&amp;"",tbl_Production[Job Number],0),MATCH(IFERROR(E175+0,E175),tbl_Production[Job Number],0))),INDEX(tbl_Production[Current RMS No],IFERROR(MATCH(E175&amp;"",tbl_Production[Job Number],0),MATCH(IFERROR(E175+0,E175),tbl_Production[Job Number],0))))="","",IF(INDEX(tbl_Production[Current RMS No],IFERROR(MATCH(E175&amp;"",tbl_Production[Job Number],0),MATCH(IFERROR(E175+0,E175),tbl_Production[Job Number],0)))="",INDEX(tbl_Production[Qwilr Quote],IFERROR(MATCH(E175&amp;"",tbl_Production[Job Number],0),MATCH(IFERROR(E175+0,E175),tbl_Production[Job Number],0))),INDEX(tbl_Production[Current RMS No],IFERROR(MATCH(E175&amp;"",tbl_Production[Job Number],0),MATCH(IFERROR(E175+0,E175),tbl_Production[Job Number],0))))),IFERROR(IF(INDEX(tbl_Consulting[Qwilr Quote],IFERROR(MATCH(E175&amp;"",tbl_Consulting[Job Number],0),MATCH(IFERROR(E175+0,E175),tbl_Consulting[Job Number],0)))="","",INDEX(tbl_Consulting[Qwilr Quote],IFERROR(MATCH(E175&amp;"",tbl_Consulting[Job Number],0),MATCH(IFERROR(E175+0,E175),tbl_Consulting[Job Number],0)))),""))))</f>
        <v/>
      </c>
      <c r="AD175" s="25">
        <f>IF(AC175="","",IF(AND(LEFT(AC175,4)&lt;&gt;"http",IF(H175="Production",set_RMSBase,set_QwilrBase)=""),"",HYPERLINK(IF(LEFT(AC175,4)="http",AC175,IF(H175="Production",set_RMSBase,set_QwilrBase)&amp;AC175),"Open")))</f>
        <v/>
      </c>
      <c r="AE175" s="27">
        <f>IF(E175="","",IFERROR(INDEX(tbl_Production[Total Expense],IFERROR(MATCH(E175&amp;"",tbl_Production[Job Number],0),MATCH(IFERROR(E175+0,E175),tbl_Production[Job Number],0))),IFERROR(INDEX(tbl_Consulting[Total Expense],IFERROR(MATCH(E175&amp;"",tbl_Consulting[Job Number],0),MATCH(IFERROR(E175+0,E175),tbl_Consulting[Job Number],0))),0)))</f>
        <v/>
      </c>
      <c r="AF175" s="27">
        <f>IF(E175="","",Z175-N(AE175))</f>
        <v/>
      </c>
      <c r="AG175" s="29">
        <f>IFERROR(AF175/Z175,"")</f>
        <v/>
      </c>
      <c r="AH175" s="25">
        <f>IF(E175="","",IFERROR(IF(INDEX(tbl_Onsite[Notes],IFERROR(MATCH(E175&amp;"",tbl_Onsite[Job Number],0),MATCH(IFERROR(E175+0,E175),tbl_Onsite[Job Number],0)))="","",INDEX(tbl_Onsite[Notes],IFERROR(MATCH(E175&amp;"",tbl_Onsite[Job Number],0),MATCH(IFERROR(E175+0,E175),tbl_Onsite[Job Number],0)))),IFERROR(IF(INDEX(tbl_Production[Notes],IFERROR(MATCH(E175&amp;"",tbl_Production[Job Number],0),MATCH(IFERROR(E175+0,E175),tbl_Production[Job Number],0)))="","",INDEX(tbl_Production[Notes],IFERROR(MATCH(E175&amp;"",tbl_Production[Job Number],0),MATCH(IFERROR(E175+0,E175),tbl_Production[Job Number],0)))),IFERROR(IF(INDEX(tbl_Consulting[Notes],IFERROR(MATCH(E175&amp;"",tbl_Consulting[Job Number],0),MATCH(IFERROR(E175+0,E175),tbl_Consulting[Job Number],0)))="","",INDEX(tbl_Consulting[Notes],IFERROR(MATCH(E175&amp;"",tbl_Consulting[Job Number],0),MATCH(IFERROR(E175+0,E175),tbl_Consulting[Job Number],0)))),""))))</f>
        <v/>
      </c>
    </row>
    <row r="176" ht="15" customHeight="1">
      <c r="A176" s="22" t="n"/>
      <c r="B176" s="23">
        <f>IF(A176="","",EOMONTH(A176,0))</f>
        <v/>
      </c>
      <c r="C176" s="24" t="n"/>
      <c r="D176" s="24" t="n"/>
      <c r="E176" s="24" t="n"/>
      <c r="F176" s="25">
        <f>IF(E176="","",IF(COUNTIF(lst_Jobs,E176&amp;"")&gt;0,"OK","CHECK"))</f>
        <v/>
      </c>
      <c r="G176" s="24" t="n"/>
      <c r="H176" s="24" t="n"/>
      <c r="I176" s="24" t="n"/>
      <c r="J176" s="24" t="n"/>
      <c r="K176" s="24" t="n"/>
      <c r="L176" s="26" t="n"/>
      <c r="M176" s="27">
        <f>IF(L176="","",IF(K176="GST 10%",ROUND(L176*set_GSTRate,2),0))</f>
        <v/>
      </c>
      <c r="N176" s="27">
        <f>IF(L176="","",L176+M176)</f>
        <v/>
      </c>
      <c r="O176" s="24" t="n"/>
      <c r="P176" s="24" t="n"/>
      <c r="Q176" s="24" t="n"/>
      <c r="R176" s="22" t="n"/>
      <c r="S176" s="22" t="n"/>
      <c r="T176" s="24" t="n"/>
      <c r="U176" s="24" t="n"/>
      <c r="V176" s="2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25">
        <f>IF(E176="","",IF(COUNTIF(tbl_Onsite[Job Number],E176&amp;"")&gt;0,"Onsite",IF(COUNTIF(tbl_Production[Job Number],E176&amp;"")&gt;0,"Production",IF(COUNTIF(tbl_Consulting[Job Number],E176&amp;"")&gt;0,"Consulting","not set up yet"))))</f>
        <v/>
      </c>
      <c r="X176" s="25">
        <f>IF(E176="","",IFERROR(INDEX(lst_JobName,MATCH(E176&amp;"",lst_Jobs,0)),""))</f>
        <v/>
      </c>
      <c r="Y176" s="28">
        <f>IF(E176="","",COUNTIFS(tbl_Finance[Job Number],E176&amp;"",tbl_Finance[Ex GST],"&lt;&gt;"))</f>
        <v/>
      </c>
      <c r="Z176" s="27">
        <f>IF(E176="","",SUMIFS(tbl_Finance[Ex GST],tbl_Finance[Job Number],E176&amp;""))</f>
        <v/>
      </c>
      <c r="AA176" s="27">
        <f>IF(E176="","",SUMIFS(tbl_Finance[Ex GST],tbl_Finance[Job Number],E176&amp;"",tbl_Finance[Xero Invoice No],"&lt;&gt;"))</f>
        <v/>
      </c>
      <c r="AB176" s="27">
        <f>IF(E176="","",Z176-AA176)</f>
        <v/>
      </c>
      <c r="AC176" s="25">
        <f>IF(E176="","",IFERROR(IF(INDEX(tbl_Onsite[Qwilr Quote],IFERROR(MATCH(E176&amp;"",tbl_Onsite[Job Number],0),MATCH(IFERROR(E176+0,E176),tbl_Onsite[Job Number],0)))="","",INDEX(tbl_Onsite[Qwilr Quote],IFERROR(MATCH(E176&amp;"",tbl_Onsite[Job Number],0),MATCH(IFERROR(E176+0,E176),tbl_Onsite[Job Number],0)))),IFERROR(IF(IF(INDEX(tbl_Production[Current RMS No],IFERROR(MATCH(E176&amp;"",tbl_Production[Job Number],0),MATCH(IFERROR(E176+0,E176),tbl_Production[Job Number],0)))="",INDEX(tbl_Production[Qwilr Quote],IFERROR(MATCH(E176&amp;"",tbl_Production[Job Number],0),MATCH(IFERROR(E176+0,E176),tbl_Production[Job Number],0))),INDEX(tbl_Production[Current RMS No],IFERROR(MATCH(E176&amp;"",tbl_Production[Job Number],0),MATCH(IFERROR(E176+0,E176),tbl_Production[Job Number],0))))="","",IF(INDEX(tbl_Production[Current RMS No],IFERROR(MATCH(E176&amp;"",tbl_Production[Job Number],0),MATCH(IFERROR(E176+0,E176),tbl_Production[Job Number],0)))="",INDEX(tbl_Production[Qwilr Quote],IFERROR(MATCH(E176&amp;"",tbl_Production[Job Number],0),MATCH(IFERROR(E176+0,E176),tbl_Production[Job Number],0))),INDEX(tbl_Production[Current RMS No],IFERROR(MATCH(E176&amp;"",tbl_Production[Job Number],0),MATCH(IFERROR(E176+0,E176),tbl_Production[Job Number],0))))),IFERROR(IF(INDEX(tbl_Consulting[Qwilr Quote],IFERROR(MATCH(E176&amp;"",tbl_Consulting[Job Number],0),MATCH(IFERROR(E176+0,E176),tbl_Consulting[Job Number],0)))="","",INDEX(tbl_Consulting[Qwilr Quote],IFERROR(MATCH(E176&amp;"",tbl_Consulting[Job Number],0),MATCH(IFERROR(E176+0,E176),tbl_Consulting[Job Number],0)))),""))))</f>
        <v/>
      </c>
      <c r="AD176" s="25">
        <f>IF(AC176="","",IF(AND(LEFT(AC176,4)&lt;&gt;"http",IF(H176="Production",set_RMSBase,set_QwilrBase)=""),"",HYPERLINK(IF(LEFT(AC176,4)="http",AC176,IF(H176="Production",set_RMSBase,set_QwilrBase)&amp;AC176),"Open")))</f>
        <v/>
      </c>
      <c r="AE176" s="27">
        <f>IF(E176="","",IFERROR(INDEX(tbl_Production[Total Expense],IFERROR(MATCH(E176&amp;"",tbl_Production[Job Number],0),MATCH(IFERROR(E176+0,E176),tbl_Production[Job Number],0))),IFERROR(INDEX(tbl_Consulting[Total Expense],IFERROR(MATCH(E176&amp;"",tbl_Consulting[Job Number],0),MATCH(IFERROR(E176+0,E176),tbl_Consulting[Job Number],0))),0)))</f>
        <v/>
      </c>
      <c r="AF176" s="27">
        <f>IF(E176="","",Z176-N(AE176))</f>
        <v/>
      </c>
      <c r="AG176" s="29">
        <f>IFERROR(AF176/Z176,"")</f>
        <v/>
      </c>
      <c r="AH176" s="25">
        <f>IF(E176="","",IFERROR(IF(INDEX(tbl_Onsite[Notes],IFERROR(MATCH(E176&amp;"",tbl_Onsite[Job Number],0),MATCH(IFERROR(E176+0,E176),tbl_Onsite[Job Number],0)))="","",INDEX(tbl_Onsite[Notes],IFERROR(MATCH(E176&amp;"",tbl_Onsite[Job Number],0),MATCH(IFERROR(E176+0,E176),tbl_Onsite[Job Number],0)))),IFERROR(IF(INDEX(tbl_Production[Notes],IFERROR(MATCH(E176&amp;"",tbl_Production[Job Number],0),MATCH(IFERROR(E176+0,E176),tbl_Production[Job Number],0)))="","",INDEX(tbl_Production[Notes],IFERROR(MATCH(E176&amp;"",tbl_Production[Job Number],0),MATCH(IFERROR(E176+0,E176),tbl_Production[Job Number],0)))),IFERROR(IF(INDEX(tbl_Consulting[Notes],IFERROR(MATCH(E176&amp;"",tbl_Consulting[Job Number],0),MATCH(IFERROR(E176+0,E176),tbl_Consulting[Job Number],0)))="","",INDEX(tbl_Consulting[Notes],IFERROR(MATCH(E176&amp;"",tbl_Consulting[Job Number],0),MATCH(IFERROR(E176+0,E176),tbl_Consulting[Job Number],0)))),""))))</f>
        <v/>
      </c>
    </row>
    <row r="177" ht="15" customHeight="1">
      <c r="A177" s="22" t="n"/>
      <c r="B177" s="23">
        <f>IF(A177="","",EOMONTH(A177,0))</f>
        <v/>
      </c>
      <c r="C177" s="24" t="n"/>
      <c r="D177" s="24" t="n"/>
      <c r="E177" s="24" t="n"/>
      <c r="F177" s="25">
        <f>IF(E177="","",IF(COUNTIF(lst_Jobs,E177&amp;"")&gt;0,"OK","CHECK"))</f>
        <v/>
      </c>
      <c r="G177" s="24" t="n"/>
      <c r="H177" s="24" t="n"/>
      <c r="I177" s="24" t="n"/>
      <c r="J177" s="24" t="n"/>
      <c r="K177" s="24" t="n"/>
      <c r="L177" s="26" t="n"/>
      <c r="M177" s="27">
        <f>IF(L177="","",IF(K177="GST 10%",ROUND(L177*set_GSTRate,2),0))</f>
        <v/>
      </c>
      <c r="N177" s="27">
        <f>IF(L177="","",L177+M177)</f>
        <v/>
      </c>
      <c r="O177" s="24" t="n"/>
      <c r="P177" s="24" t="n"/>
      <c r="Q177" s="24" t="n"/>
      <c r="R177" s="22" t="n"/>
      <c r="S177" s="22" t="n"/>
      <c r="T177" s="24" t="n"/>
      <c r="U177" s="24" t="n"/>
      <c r="V177" s="2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25">
        <f>IF(E177="","",IF(COUNTIF(tbl_Onsite[Job Number],E177&amp;"")&gt;0,"Onsite",IF(COUNTIF(tbl_Production[Job Number],E177&amp;"")&gt;0,"Production",IF(COUNTIF(tbl_Consulting[Job Number],E177&amp;"")&gt;0,"Consulting","not set up yet"))))</f>
        <v/>
      </c>
      <c r="X177" s="25">
        <f>IF(E177="","",IFERROR(INDEX(lst_JobName,MATCH(E177&amp;"",lst_Jobs,0)),""))</f>
        <v/>
      </c>
      <c r="Y177" s="28">
        <f>IF(E177="","",COUNTIFS(tbl_Finance[Job Number],E177&amp;"",tbl_Finance[Ex GST],"&lt;&gt;"))</f>
        <v/>
      </c>
      <c r="Z177" s="27">
        <f>IF(E177="","",SUMIFS(tbl_Finance[Ex GST],tbl_Finance[Job Number],E177&amp;""))</f>
        <v/>
      </c>
      <c r="AA177" s="27">
        <f>IF(E177="","",SUMIFS(tbl_Finance[Ex GST],tbl_Finance[Job Number],E177&amp;"",tbl_Finance[Xero Invoice No],"&lt;&gt;"))</f>
        <v/>
      </c>
      <c r="AB177" s="27">
        <f>IF(E177="","",Z177-AA177)</f>
        <v/>
      </c>
      <c r="AC177" s="25">
        <f>IF(E177="","",IFERROR(IF(INDEX(tbl_Onsite[Qwilr Quote],IFERROR(MATCH(E177&amp;"",tbl_Onsite[Job Number],0),MATCH(IFERROR(E177+0,E177),tbl_Onsite[Job Number],0)))="","",INDEX(tbl_Onsite[Qwilr Quote],IFERROR(MATCH(E177&amp;"",tbl_Onsite[Job Number],0),MATCH(IFERROR(E177+0,E177),tbl_Onsite[Job Number],0)))),IFERROR(IF(IF(INDEX(tbl_Production[Current RMS No],IFERROR(MATCH(E177&amp;"",tbl_Production[Job Number],0),MATCH(IFERROR(E177+0,E177),tbl_Production[Job Number],0)))="",INDEX(tbl_Production[Qwilr Quote],IFERROR(MATCH(E177&amp;"",tbl_Production[Job Number],0),MATCH(IFERROR(E177+0,E177),tbl_Production[Job Number],0))),INDEX(tbl_Production[Current RMS No],IFERROR(MATCH(E177&amp;"",tbl_Production[Job Number],0),MATCH(IFERROR(E177+0,E177),tbl_Production[Job Number],0))))="","",IF(INDEX(tbl_Production[Current RMS No],IFERROR(MATCH(E177&amp;"",tbl_Production[Job Number],0),MATCH(IFERROR(E177+0,E177),tbl_Production[Job Number],0)))="",INDEX(tbl_Production[Qwilr Quote],IFERROR(MATCH(E177&amp;"",tbl_Production[Job Number],0),MATCH(IFERROR(E177+0,E177),tbl_Production[Job Number],0))),INDEX(tbl_Production[Current RMS No],IFERROR(MATCH(E177&amp;"",tbl_Production[Job Number],0),MATCH(IFERROR(E177+0,E177),tbl_Production[Job Number],0))))),IFERROR(IF(INDEX(tbl_Consulting[Qwilr Quote],IFERROR(MATCH(E177&amp;"",tbl_Consulting[Job Number],0),MATCH(IFERROR(E177+0,E177),tbl_Consulting[Job Number],0)))="","",INDEX(tbl_Consulting[Qwilr Quote],IFERROR(MATCH(E177&amp;"",tbl_Consulting[Job Number],0),MATCH(IFERROR(E177+0,E177),tbl_Consulting[Job Number],0)))),""))))</f>
        <v/>
      </c>
      <c r="AD177" s="25">
        <f>IF(AC177="","",IF(AND(LEFT(AC177,4)&lt;&gt;"http",IF(H177="Production",set_RMSBase,set_QwilrBase)=""),"",HYPERLINK(IF(LEFT(AC177,4)="http",AC177,IF(H177="Production",set_RMSBase,set_QwilrBase)&amp;AC177),"Open")))</f>
        <v/>
      </c>
      <c r="AE177" s="27">
        <f>IF(E177="","",IFERROR(INDEX(tbl_Production[Total Expense],IFERROR(MATCH(E177&amp;"",tbl_Production[Job Number],0),MATCH(IFERROR(E177+0,E177),tbl_Production[Job Number],0))),IFERROR(INDEX(tbl_Consulting[Total Expense],IFERROR(MATCH(E177&amp;"",tbl_Consulting[Job Number],0),MATCH(IFERROR(E177+0,E177),tbl_Consulting[Job Number],0))),0)))</f>
        <v/>
      </c>
      <c r="AF177" s="27">
        <f>IF(E177="","",Z177-N(AE177))</f>
        <v/>
      </c>
      <c r="AG177" s="29">
        <f>IFERROR(AF177/Z177,"")</f>
        <v/>
      </c>
      <c r="AH177" s="25">
        <f>IF(E177="","",IFERROR(IF(INDEX(tbl_Onsite[Notes],IFERROR(MATCH(E177&amp;"",tbl_Onsite[Job Number],0),MATCH(IFERROR(E177+0,E177),tbl_Onsite[Job Number],0)))="","",INDEX(tbl_Onsite[Notes],IFERROR(MATCH(E177&amp;"",tbl_Onsite[Job Number],0),MATCH(IFERROR(E177+0,E177),tbl_Onsite[Job Number],0)))),IFERROR(IF(INDEX(tbl_Production[Notes],IFERROR(MATCH(E177&amp;"",tbl_Production[Job Number],0),MATCH(IFERROR(E177+0,E177),tbl_Production[Job Number],0)))="","",INDEX(tbl_Production[Notes],IFERROR(MATCH(E177&amp;"",tbl_Production[Job Number],0),MATCH(IFERROR(E177+0,E177),tbl_Production[Job Number],0)))),IFERROR(IF(INDEX(tbl_Consulting[Notes],IFERROR(MATCH(E177&amp;"",tbl_Consulting[Job Number],0),MATCH(IFERROR(E177+0,E177),tbl_Consulting[Job Number],0)))="","",INDEX(tbl_Consulting[Notes],IFERROR(MATCH(E177&amp;"",tbl_Consulting[Job Number],0),MATCH(IFERROR(E177+0,E177),tbl_Consulting[Job Number],0)))),""))))</f>
        <v/>
      </c>
    </row>
    <row r="178" ht="15" customHeight="1">
      <c r="A178" s="22" t="n"/>
      <c r="B178" s="23">
        <f>IF(A178="","",EOMONTH(A178,0))</f>
        <v/>
      </c>
      <c r="C178" s="24" t="n"/>
      <c r="D178" s="24" t="n"/>
      <c r="E178" s="24" t="n"/>
      <c r="F178" s="25">
        <f>IF(E178="","",IF(COUNTIF(lst_Jobs,E178&amp;"")&gt;0,"OK","CHECK"))</f>
        <v/>
      </c>
      <c r="G178" s="24" t="n"/>
      <c r="H178" s="24" t="n"/>
      <c r="I178" s="24" t="n"/>
      <c r="J178" s="24" t="n"/>
      <c r="K178" s="24" t="n"/>
      <c r="L178" s="26" t="n"/>
      <c r="M178" s="27">
        <f>IF(L178="","",IF(K178="GST 10%",ROUND(L178*set_GSTRate,2),0))</f>
        <v/>
      </c>
      <c r="N178" s="27">
        <f>IF(L178="","",L178+M178)</f>
        <v/>
      </c>
      <c r="O178" s="24" t="n"/>
      <c r="P178" s="24" t="n"/>
      <c r="Q178" s="24" t="n"/>
      <c r="R178" s="22" t="n"/>
      <c r="S178" s="22" t="n"/>
      <c r="T178" s="24" t="n"/>
      <c r="U178" s="24" t="n"/>
      <c r="V178" s="2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25">
        <f>IF(E178="","",IF(COUNTIF(tbl_Onsite[Job Number],E178&amp;"")&gt;0,"Onsite",IF(COUNTIF(tbl_Production[Job Number],E178&amp;"")&gt;0,"Production",IF(COUNTIF(tbl_Consulting[Job Number],E178&amp;"")&gt;0,"Consulting","not set up yet"))))</f>
        <v/>
      </c>
      <c r="X178" s="25">
        <f>IF(E178="","",IFERROR(INDEX(lst_JobName,MATCH(E178&amp;"",lst_Jobs,0)),""))</f>
        <v/>
      </c>
      <c r="Y178" s="28">
        <f>IF(E178="","",COUNTIFS(tbl_Finance[Job Number],E178&amp;"",tbl_Finance[Ex GST],"&lt;&gt;"))</f>
        <v/>
      </c>
      <c r="Z178" s="27">
        <f>IF(E178="","",SUMIFS(tbl_Finance[Ex GST],tbl_Finance[Job Number],E178&amp;""))</f>
        <v/>
      </c>
      <c r="AA178" s="27">
        <f>IF(E178="","",SUMIFS(tbl_Finance[Ex GST],tbl_Finance[Job Number],E178&amp;"",tbl_Finance[Xero Invoice No],"&lt;&gt;"))</f>
        <v/>
      </c>
      <c r="AB178" s="27">
        <f>IF(E178="","",Z178-AA178)</f>
        <v/>
      </c>
      <c r="AC178" s="25">
        <f>IF(E178="","",IFERROR(IF(INDEX(tbl_Onsite[Qwilr Quote],IFERROR(MATCH(E178&amp;"",tbl_Onsite[Job Number],0),MATCH(IFERROR(E178+0,E178),tbl_Onsite[Job Number],0)))="","",INDEX(tbl_Onsite[Qwilr Quote],IFERROR(MATCH(E178&amp;"",tbl_Onsite[Job Number],0),MATCH(IFERROR(E178+0,E178),tbl_Onsite[Job Number],0)))),IFERROR(IF(IF(INDEX(tbl_Production[Current RMS No],IFERROR(MATCH(E178&amp;"",tbl_Production[Job Number],0),MATCH(IFERROR(E178+0,E178),tbl_Production[Job Number],0)))="",INDEX(tbl_Production[Qwilr Quote],IFERROR(MATCH(E178&amp;"",tbl_Production[Job Number],0),MATCH(IFERROR(E178+0,E178),tbl_Production[Job Number],0))),INDEX(tbl_Production[Current RMS No],IFERROR(MATCH(E178&amp;"",tbl_Production[Job Number],0),MATCH(IFERROR(E178+0,E178),tbl_Production[Job Number],0))))="","",IF(INDEX(tbl_Production[Current RMS No],IFERROR(MATCH(E178&amp;"",tbl_Production[Job Number],0),MATCH(IFERROR(E178+0,E178),tbl_Production[Job Number],0)))="",INDEX(tbl_Production[Qwilr Quote],IFERROR(MATCH(E178&amp;"",tbl_Production[Job Number],0),MATCH(IFERROR(E178+0,E178),tbl_Production[Job Number],0))),INDEX(tbl_Production[Current RMS No],IFERROR(MATCH(E178&amp;"",tbl_Production[Job Number],0),MATCH(IFERROR(E178+0,E178),tbl_Production[Job Number],0))))),IFERROR(IF(INDEX(tbl_Consulting[Qwilr Quote],IFERROR(MATCH(E178&amp;"",tbl_Consulting[Job Number],0),MATCH(IFERROR(E178+0,E178),tbl_Consulting[Job Number],0)))="","",INDEX(tbl_Consulting[Qwilr Quote],IFERROR(MATCH(E178&amp;"",tbl_Consulting[Job Number],0),MATCH(IFERROR(E178+0,E178),tbl_Consulting[Job Number],0)))),""))))</f>
        <v/>
      </c>
      <c r="AD178" s="25">
        <f>IF(AC178="","",IF(AND(LEFT(AC178,4)&lt;&gt;"http",IF(H178="Production",set_RMSBase,set_QwilrBase)=""),"",HYPERLINK(IF(LEFT(AC178,4)="http",AC178,IF(H178="Production",set_RMSBase,set_QwilrBase)&amp;AC178),"Open")))</f>
        <v/>
      </c>
      <c r="AE178" s="27">
        <f>IF(E178="","",IFERROR(INDEX(tbl_Production[Total Expense],IFERROR(MATCH(E178&amp;"",tbl_Production[Job Number],0),MATCH(IFERROR(E178+0,E178),tbl_Production[Job Number],0))),IFERROR(INDEX(tbl_Consulting[Total Expense],IFERROR(MATCH(E178&amp;"",tbl_Consulting[Job Number],0),MATCH(IFERROR(E178+0,E178),tbl_Consulting[Job Number],0))),0)))</f>
        <v/>
      </c>
      <c r="AF178" s="27">
        <f>IF(E178="","",Z178-N(AE178))</f>
        <v/>
      </c>
      <c r="AG178" s="29">
        <f>IFERROR(AF178/Z178,"")</f>
        <v/>
      </c>
      <c r="AH178" s="25">
        <f>IF(E178="","",IFERROR(IF(INDEX(tbl_Onsite[Notes],IFERROR(MATCH(E178&amp;"",tbl_Onsite[Job Number],0),MATCH(IFERROR(E178+0,E178),tbl_Onsite[Job Number],0)))="","",INDEX(tbl_Onsite[Notes],IFERROR(MATCH(E178&amp;"",tbl_Onsite[Job Number],0),MATCH(IFERROR(E178+0,E178),tbl_Onsite[Job Number],0)))),IFERROR(IF(INDEX(tbl_Production[Notes],IFERROR(MATCH(E178&amp;"",tbl_Production[Job Number],0),MATCH(IFERROR(E178+0,E178),tbl_Production[Job Number],0)))="","",INDEX(tbl_Production[Notes],IFERROR(MATCH(E178&amp;"",tbl_Production[Job Number],0),MATCH(IFERROR(E178+0,E178),tbl_Production[Job Number],0)))),IFERROR(IF(INDEX(tbl_Consulting[Notes],IFERROR(MATCH(E178&amp;"",tbl_Consulting[Job Number],0),MATCH(IFERROR(E178+0,E178),tbl_Consulting[Job Number],0)))="","",INDEX(tbl_Consulting[Notes],IFERROR(MATCH(E178&amp;"",tbl_Consulting[Job Number],0),MATCH(IFERROR(E178+0,E178),tbl_Consulting[Job Number],0)))),""))))</f>
        <v/>
      </c>
    </row>
    <row r="179" ht="15" customHeight="1">
      <c r="A179" s="22" t="n"/>
      <c r="B179" s="23">
        <f>IF(A179="","",EOMONTH(A179,0))</f>
        <v/>
      </c>
      <c r="C179" s="24" t="n"/>
      <c r="D179" s="24" t="n"/>
      <c r="E179" s="24" t="n"/>
      <c r="F179" s="25">
        <f>IF(E179="","",IF(COUNTIF(lst_Jobs,E179&amp;"")&gt;0,"OK","CHECK"))</f>
        <v/>
      </c>
      <c r="G179" s="24" t="n"/>
      <c r="H179" s="24" t="n"/>
      <c r="I179" s="24" t="n"/>
      <c r="J179" s="24" t="n"/>
      <c r="K179" s="24" t="n"/>
      <c r="L179" s="26" t="n"/>
      <c r="M179" s="27">
        <f>IF(L179="","",IF(K179="GST 10%",ROUND(L179*set_GSTRate,2),0))</f>
        <v/>
      </c>
      <c r="N179" s="27">
        <f>IF(L179="","",L179+M179)</f>
        <v/>
      </c>
      <c r="O179" s="24" t="n"/>
      <c r="P179" s="24" t="n"/>
      <c r="Q179" s="24" t="n"/>
      <c r="R179" s="22" t="n"/>
      <c r="S179" s="22" t="n"/>
      <c r="T179" s="24" t="n"/>
      <c r="U179" s="24" t="n"/>
      <c r="V179" s="2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25">
        <f>IF(E179="","",IF(COUNTIF(tbl_Onsite[Job Number],E179&amp;"")&gt;0,"Onsite",IF(COUNTIF(tbl_Production[Job Number],E179&amp;"")&gt;0,"Production",IF(COUNTIF(tbl_Consulting[Job Number],E179&amp;"")&gt;0,"Consulting","not set up yet"))))</f>
        <v/>
      </c>
      <c r="X179" s="25">
        <f>IF(E179="","",IFERROR(INDEX(lst_JobName,MATCH(E179&amp;"",lst_Jobs,0)),""))</f>
        <v/>
      </c>
      <c r="Y179" s="28">
        <f>IF(E179="","",COUNTIFS(tbl_Finance[Job Number],E179&amp;"",tbl_Finance[Ex GST],"&lt;&gt;"))</f>
        <v/>
      </c>
      <c r="Z179" s="27">
        <f>IF(E179="","",SUMIFS(tbl_Finance[Ex GST],tbl_Finance[Job Number],E179&amp;""))</f>
        <v/>
      </c>
      <c r="AA179" s="27">
        <f>IF(E179="","",SUMIFS(tbl_Finance[Ex GST],tbl_Finance[Job Number],E179&amp;"",tbl_Finance[Xero Invoice No],"&lt;&gt;"))</f>
        <v/>
      </c>
      <c r="AB179" s="27">
        <f>IF(E179="","",Z179-AA179)</f>
        <v/>
      </c>
      <c r="AC179" s="25">
        <f>IF(E179="","",IFERROR(IF(INDEX(tbl_Onsite[Qwilr Quote],IFERROR(MATCH(E179&amp;"",tbl_Onsite[Job Number],0),MATCH(IFERROR(E179+0,E179),tbl_Onsite[Job Number],0)))="","",INDEX(tbl_Onsite[Qwilr Quote],IFERROR(MATCH(E179&amp;"",tbl_Onsite[Job Number],0),MATCH(IFERROR(E179+0,E179),tbl_Onsite[Job Number],0)))),IFERROR(IF(IF(INDEX(tbl_Production[Current RMS No],IFERROR(MATCH(E179&amp;"",tbl_Production[Job Number],0),MATCH(IFERROR(E179+0,E179),tbl_Production[Job Number],0)))="",INDEX(tbl_Production[Qwilr Quote],IFERROR(MATCH(E179&amp;"",tbl_Production[Job Number],0),MATCH(IFERROR(E179+0,E179),tbl_Production[Job Number],0))),INDEX(tbl_Production[Current RMS No],IFERROR(MATCH(E179&amp;"",tbl_Production[Job Number],0),MATCH(IFERROR(E179+0,E179),tbl_Production[Job Number],0))))="","",IF(INDEX(tbl_Production[Current RMS No],IFERROR(MATCH(E179&amp;"",tbl_Production[Job Number],0),MATCH(IFERROR(E179+0,E179),tbl_Production[Job Number],0)))="",INDEX(tbl_Production[Qwilr Quote],IFERROR(MATCH(E179&amp;"",tbl_Production[Job Number],0),MATCH(IFERROR(E179+0,E179),tbl_Production[Job Number],0))),INDEX(tbl_Production[Current RMS No],IFERROR(MATCH(E179&amp;"",tbl_Production[Job Number],0),MATCH(IFERROR(E179+0,E179),tbl_Production[Job Number],0))))),IFERROR(IF(INDEX(tbl_Consulting[Qwilr Quote],IFERROR(MATCH(E179&amp;"",tbl_Consulting[Job Number],0),MATCH(IFERROR(E179+0,E179),tbl_Consulting[Job Number],0)))="","",INDEX(tbl_Consulting[Qwilr Quote],IFERROR(MATCH(E179&amp;"",tbl_Consulting[Job Number],0),MATCH(IFERROR(E179+0,E179),tbl_Consulting[Job Number],0)))),""))))</f>
        <v/>
      </c>
      <c r="AD179" s="25">
        <f>IF(AC179="","",IF(AND(LEFT(AC179,4)&lt;&gt;"http",IF(H179="Production",set_RMSBase,set_QwilrBase)=""),"",HYPERLINK(IF(LEFT(AC179,4)="http",AC179,IF(H179="Production",set_RMSBase,set_QwilrBase)&amp;AC179),"Open")))</f>
        <v/>
      </c>
      <c r="AE179" s="27">
        <f>IF(E179="","",IFERROR(INDEX(tbl_Production[Total Expense],IFERROR(MATCH(E179&amp;"",tbl_Production[Job Number],0),MATCH(IFERROR(E179+0,E179),tbl_Production[Job Number],0))),IFERROR(INDEX(tbl_Consulting[Total Expense],IFERROR(MATCH(E179&amp;"",tbl_Consulting[Job Number],0),MATCH(IFERROR(E179+0,E179),tbl_Consulting[Job Number],0))),0)))</f>
        <v/>
      </c>
      <c r="AF179" s="27">
        <f>IF(E179="","",Z179-N(AE179))</f>
        <v/>
      </c>
      <c r="AG179" s="29">
        <f>IFERROR(AF179/Z179,"")</f>
        <v/>
      </c>
      <c r="AH179" s="25">
        <f>IF(E179="","",IFERROR(IF(INDEX(tbl_Onsite[Notes],IFERROR(MATCH(E179&amp;"",tbl_Onsite[Job Number],0),MATCH(IFERROR(E179+0,E179),tbl_Onsite[Job Number],0)))="","",INDEX(tbl_Onsite[Notes],IFERROR(MATCH(E179&amp;"",tbl_Onsite[Job Number],0),MATCH(IFERROR(E179+0,E179),tbl_Onsite[Job Number],0)))),IFERROR(IF(INDEX(tbl_Production[Notes],IFERROR(MATCH(E179&amp;"",tbl_Production[Job Number],0),MATCH(IFERROR(E179+0,E179),tbl_Production[Job Number],0)))="","",INDEX(tbl_Production[Notes],IFERROR(MATCH(E179&amp;"",tbl_Production[Job Number],0),MATCH(IFERROR(E179+0,E179),tbl_Production[Job Number],0)))),IFERROR(IF(INDEX(tbl_Consulting[Notes],IFERROR(MATCH(E179&amp;"",tbl_Consulting[Job Number],0),MATCH(IFERROR(E179+0,E179),tbl_Consulting[Job Number],0)))="","",INDEX(tbl_Consulting[Notes],IFERROR(MATCH(E179&amp;"",tbl_Consulting[Job Number],0),MATCH(IFERROR(E179+0,E179),tbl_Consulting[Job Number],0)))),""))))</f>
        <v/>
      </c>
    </row>
    <row r="180" ht="15" customHeight="1">
      <c r="A180" s="22" t="n"/>
      <c r="B180" s="23">
        <f>IF(A180="","",EOMONTH(A180,0))</f>
        <v/>
      </c>
      <c r="C180" s="24" t="n"/>
      <c r="D180" s="24" t="n"/>
      <c r="E180" s="24" t="n"/>
      <c r="F180" s="25">
        <f>IF(E180="","",IF(COUNTIF(lst_Jobs,E180&amp;"")&gt;0,"OK","CHECK"))</f>
        <v/>
      </c>
      <c r="G180" s="24" t="n"/>
      <c r="H180" s="24" t="n"/>
      <c r="I180" s="24" t="n"/>
      <c r="J180" s="24" t="n"/>
      <c r="K180" s="24" t="n"/>
      <c r="L180" s="26" t="n"/>
      <c r="M180" s="27">
        <f>IF(L180="","",IF(K180="GST 10%",ROUND(L180*set_GSTRate,2),0))</f>
        <v/>
      </c>
      <c r="N180" s="27">
        <f>IF(L180="","",L180+M180)</f>
        <v/>
      </c>
      <c r="O180" s="24" t="n"/>
      <c r="P180" s="24" t="n"/>
      <c r="Q180" s="24" t="n"/>
      <c r="R180" s="22" t="n"/>
      <c r="S180" s="22" t="n"/>
      <c r="T180" s="24" t="n"/>
      <c r="U180" s="24" t="n"/>
      <c r="V180" s="2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25">
        <f>IF(E180="","",IF(COUNTIF(tbl_Onsite[Job Number],E180&amp;"")&gt;0,"Onsite",IF(COUNTIF(tbl_Production[Job Number],E180&amp;"")&gt;0,"Production",IF(COUNTIF(tbl_Consulting[Job Number],E180&amp;"")&gt;0,"Consulting","not set up yet"))))</f>
        <v/>
      </c>
      <c r="X180" s="25">
        <f>IF(E180="","",IFERROR(INDEX(lst_JobName,MATCH(E180&amp;"",lst_Jobs,0)),""))</f>
        <v/>
      </c>
      <c r="Y180" s="28">
        <f>IF(E180="","",COUNTIFS(tbl_Finance[Job Number],E180&amp;"",tbl_Finance[Ex GST],"&lt;&gt;"))</f>
        <v/>
      </c>
      <c r="Z180" s="27">
        <f>IF(E180="","",SUMIFS(tbl_Finance[Ex GST],tbl_Finance[Job Number],E180&amp;""))</f>
        <v/>
      </c>
      <c r="AA180" s="27">
        <f>IF(E180="","",SUMIFS(tbl_Finance[Ex GST],tbl_Finance[Job Number],E180&amp;"",tbl_Finance[Xero Invoice No],"&lt;&gt;"))</f>
        <v/>
      </c>
      <c r="AB180" s="27">
        <f>IF(E180="","",Z180-AA180)</f>
        <v/>
      </c>
      <c r="AC180" s="25">
        <f>IF(E180="","",IFERROR(IF(INDEX(tbl_Onsite[Qwilr Quote],IFERROR(MATCH(E180&amp;"",tbl_Onsite[Job Number],0),MATCH(IFERROR(E180+0,E180),tbl_Onsite[Job Number],0)))="","",INDEX(tbl_Onsite[Qwilr Quote],IFERROR(MATCH(E180&amp;"",tbl_Onsite[Job Number],0),MATCH(IFERROR(E180+0,E180),tbl_Onsite[Job Number],0)))),IFERROR(IF(IF(INDEX(tbl_Production[Current RMS No],IFERROR(MATCH(E180&amp;"",tbl_Production[Job Number],0),MATCH(IFERROR(E180+0,E180),tbl_Production[Job Number],0)))="",INDEX(tbl_Production[Qwilr Quote],IFERROR(MATCH(E180&amp;"",tbl_Production[Job Number],0),MATCH(IFERROR(E180+0,E180),tbl_Production[Job Number],0))),INDEX(tbl_Production[Current RMS No],IFERROR(MATCH(E180&amp;"",tbl_Production[Job Number],0),MATCH(IFERROR(E180+0,E180),tbl_Production[Job Number],0))))="","",IF(INDEX(tbl_Production[Current RMS No],IFERROR(MATCH(E180&amp;"",tbl_Production[Job Number],0),MATCH(IFERROR(E180+0,E180),tbl_Production[Job Number],0)))="",INDEX(tbl_Production[Qwilr Quote],IFERROR(MATCH(E180&amp;"",tbl_Production[Job Number],0),MATCH(IFERROR(E180+0,E180),tbl_Production[Job Number],0))),INDEX(tbl_Production[Current RMS No],IFERROR(MATCH(E180&amp;"",tbl_Production[Job Number],0),MATCH(IFERROR(E180+0,E180),tbl_Production[Job Number],0))))),IFERROR(IF(INDEX(tbl_Consulting[Qwilr Quote],IFERROR(MATCH(E180&amp;"",tbl_Consulting[Job Number],0),MATCH(IFERROR(E180+0,E180),tbl_Consulting[Job Number],0)))="","",INDEX(tbl_Consulting[Qwilr Quote],IFERROR(MATCH(E180&amp;"",tbl_Consulting[Job Number],0),MATCH(IFERROR(E180+0,E180),tbl_Consulting[Job Number],0)))),""))))</f>
        <v/>
      </c>
      <c r="AD180" s="25">
        <f>IF(AC180="","",IF(AND(LEFT(AC180,4)&lt;&gt;"http",IF(H180="Production",set_RMSBase,set_QwilrBase)=""),"",HYPERLINK(IF(LEFT(AC180,4)="http",AC180,IF(H180="Production",set_RMSBase,set_QwilrBase)&amp;AC180),"Open")))</f>
        <v/>
      </c>
      <c r="AE180" s="27">
        <f>IF(E180="","",IFERROR(INDEX(tbl_Production[Total Expense],IFERROR(MATCH(E180&amp;"",tbl_Production[Job Number],0),MATCH(IFERROR(E180+0,E180),tbl_Production[Job Number],0))),IFERROR(INDEX(tbl_Consulting[Total Expense],IFERROR(MATCH(E180&amp;"",tbl_Consulting[Job Number],0),MATCH(IFERROR(E180+0,E180),tbl_Consulting[Job Number],0))),0)))</f>
        <v/>
      </c>
      <c r="AF180" s="27">
        <f>IF(E180="","",Z180-N(AE180))</f>
        <v/>
      </c>
      <c r="AG180" s="29">
        <f>IFERROR(AF180/Z180,"")</f>
        <v/>
      </c>
      <c r="AH180" s="25">
        <f>IF(E180="","",IFERROR(IF(INDEX(tbl_Onsite[Notes],IFERROR(MATCH(E180&amp;"",tbl_Onsite[Job Number],0),MATCH(IFERROR(E180+0,E180),tbl_Onsite[Job Number],0)))="","",INDEX(tbl_Onsite[Notes],IFERROR(MATCH(E180&amp;"",tbl_Onsite[Job Number],0),MATCH(IFERROR(E180+0,E180),tbl_Onsite[Job Number],0)))),IFERROR(IF(INDEX(tbl_Production[Notes],IFERROR(MATCH(E180&amp;"",tbl_Production[Job Number],0),MATCH(IFERROR(E180+0,E180),tbl_Production[Job Number],0)))="","",INDEX(tbl_Production[Notes],IFERROR(MATCH(E180&amp;"",tbl_Production[Job Number],0),MATCH(IFERROR(E180+0,E180),tbl_Production[Job Number],0)))),IFERROR(IF(INDEX(tbl_Consulting[Notes],IFERROR(MATCH(E180&amp;"",tbl_Consulting[Job Number],0),MATCH(IFERROR(E180+0,E180),tbl_Consulting[Job Number],0)))="","",INDEX(tbl_Consulting[Notes],IFERROR(MATCH(E180&amp;"",tbl_Consulting[Job Number],0),MATCH(IFERROR(E180+0,E180),tbl_Consulting[Job Number],0)))),""))))</f>
        <v/>
      </c>
    </row>
    <row r="181" ht="15" customHeight="1">
      <c r="A181" s="22" t="n"/>
      <c r="B181" s="23">
        <f>IF(A181="","",EOMONTH(A181,0))</f>
        <v/>
      </c>
      <c r="C181" s="24" t="n"/>
      <c r="D181" s="24" t="n"/>
      <c r="E181" s="24" t="n"/>
      <c r="F181" s="25">
        <f>IF(E181="","",IF(COUNTIF(lst_Jobs,E181&amp;"")&gt;0,"OK","CHECK"))</f>
        <v/>
      </c>
      <c r="G181" s="24" t="n"/>
      <c r="H181" s="24" t="n"/>
      <c r="I181" s="24" t="n"/>
      <c r="J181" s="24" t="n"/>
      <c r="K181" s="24" t="n"/>
      <c r="L181" s="26" t="n"/>
      <c r="M181" s="27">
        <f>IF(L181="","",IF(K181="GST 10%",ROUND(L181*set_GSTRate,2),0))</f>
        <v/>
      </c>
      <c r="N181" s="27">
        <f>IF(L181="","",L181+M181)</f>
        <v/>
      </c>
      <c r="O181" s="24" t="n"/>
      <c r="P181" s="24" t="n"/>
      <c r="Q181" s="24" t="n"/>
      <c r="R181" s="22" t="n"/>
      <c r="S181" s="22" t="n"/>
      <c r="T181" s="24" t="n"/>
      <c r="U181" s="24" t="n"/>
      <c r="V181" s="2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25">
        <f>IF(E181="","",IF(COUNTIF(tbl_Onsite[Job Number],E181&amp;"")&gt;0,"Onsite",IF(COUNTIF(tbl_Production[Job Number],E181&amp;"")&gt;0,"Production",IF(COUNTIF(tbl_Consulting[Job Number],E181&amp;"")&gt;0,"Consulting","not set up yet"))))</f>
        <v/>
      </c>
      <c r="X181" s="25">
        <f>IF(E181="","",IFERROR(INDEX(lst_JobName,MATCH(E181&amp;"",lst_Jobs,0)),""))</f>
        <v/>
      </c>
      <c r="Y181" s="28">
        <f>IF(E181="","",COUNTIFS(tbl_Finance[Job Number],E181&amp;"",tbl_Finance[Ex GST],"&lt;&gt;"))</f>
        <v/>
      </c>
      <c r="Z181" s="27">
        <f>IF(E181="","",SUMIFS(tbl_Finance[Ex GST],tbl_Finance[Job Number],E181&amp;""))</f>
        <v/>
      </c>
      <c r="AA181" s="27">
        <f>IF(E181="","",SUMIFS(tbl_Finance[Ex GST],tbl_Finance[Job Number],E181&amp;"",tbl_Finance[Xero Invoice No],"&lt;&gt;"))</f>
        <v/>
      </c>
      <c r="AB181" s="27">
        <f>IF(E181="","",Z181-AA181)</f>
        <v/>
      </c>
      <c r="AC181" s="25">
        <f>IF(E181="","",IFERROR(IF(INDEX(tbl_Onsite[Qwilr Quote],IFERROR(MATCH(E181&amp;"",tbl_Onsite[Job Number],0),MATCH(IFERROR(E181+0,E181),tbl_Onsite[Job Number],0)))="","",INDEX(tbl_Onsite[Qwilr Quote],IFERROR(MATCH(E181&amp;"",tbl_Onsite[Job Number],0),MATCH(IFERROR(E181+0,E181),tbl_Onsite[Job Number],0)))),IFERROR(IF(IF(INDEX(tbl_Production[Current RMS No],IFERROR(MATCH(E181&amp;"",tbl_Production[Job Number],0),MATCH(IFERROR(E181+0,E181),tbl_Production[Job Number],0)))="",INDEX(tbl_Production[Qwilr Quote],IFERROR(MATCH(E181&amp;"",tbl_Production[Job Number],0),MATCH(IFERROR(E181+0,E181),tbl_Production[Job Number],0))),INDEX(tbl_Production[Current RMS No],IFERROR(MATCH(E181&amp;"",tbl_Production[Job Number],0),MATCH(IFERROR(E181+0,E181),tbl_Production[Job Number],0))))="","",IF(INDEX(tbl_Production[Current RMS No],IFERROR(MATCH(E181&amp;"",tbl_Production[Job Number],0),MATCH(IFERROR(E181+0,E181),tbl_Production[Job Number],0)))="",INDEX(tbl_Production[Qwilr Quote],IFERROR(MATCH(E181&amp;"",tbl_Production[Job Number],0),MATCH(IFERROR(E181+0,E181),tbl_Production[Job Number],0))),INDEX(tbl_Production[Current RMS No],IFERROR(MATCH(E181&amp;"",tbl_Production[Job Number],0),MATCH(IFERROR(E181+0,E181),tbl_Production[Job Number],0))))),IFERROR(IF(INDEX(tbl_Consulting[Qwilr Quote],IFERROR(MATCH(E181&amp;"",tbl_Consulting[Job Number],0),MATCH(IFERROR(E181+0,E181),tbl_Consulting[Job Number],0)))="","",INDEX(tbl_Consulting[Qwilr Quote],IFERROR(MATCH(E181&amp;"",tbl_Consulting[Job Number],0),MATCH(IFERROR(E181+0,E181),tbl_Consulting[Job Number],0)))),""))))</f>
        <v/>
      </c>
      <c r="AD181" s="25">
        <f>IF(AC181="","",IF(AND(LEFT(AC181,4)&lt;&gt;"http",IF(H181="Production",set_RMSBase,set_QwilrBase)=""),"",HYPERLINK(IF(LEFT(AC181,4)="http",AC181,IF(H181="Production",set_RMSBase,set_QwilrBase)&amp;AC181),"Open")))</f>
        <v/>
      </c>
      <c r="AE181" s="27">
        <f>IF(E181="","",IFERROR(INDEX(tbl_Production[Total Expense],IFERROR(MATCH(E181&amp;"",tbl_Production[Job Number],0),MATCH(IFERROR(E181+0,E181),tbl_Production[Job Number],0))),IFERROR(INDEX(tbl_Consulting[Total Expense],IFERROR(MATCH(E181&amp;"",tbl_Consulting[Job Number],0),MATCH(IFERROR(E181+0,E181),tbl_Consulting[Job Number],0))),0)))</f>
        <v/>
      </c>
      <c r="AF181" s="27">
        <f>IF(E181="","",Z181-N(AE181))</f>
        <v/>
      </c>
      <c r="AG181" s="29">
        <f>IFERROR(AF181/Z181,"")</f>
        <v/>
      </c>
      <c r="AH181" s="25">
        <f>IF(E181="","",IFERROR(IF(INDEX(tbl_Onsite[Notes],IFERROR(MATCH(E181&amp;"",tbl_Onsite[Job Number],0),MATCH(IFERROR(E181+0,E181),tbl_Onsite[Job Number],0)))="","",INDEX(tbl_Onsite[Notes],IFERROR(MATCH(E181&amp;"",tbl_Onsite[Job Number],0),MATCH(IFERROR(E181+0,E181),tbl_Onsite[Job Number],0)))),IFERROR(IF(INDEX(tbl_Production[Notes],IFERROR(MATCH(E181&amp;"",tbl_Production[Job Number],0),MATCH(IFERROR(E181+0,E181),tbl_Production[Job Number],0)))="","",INDEX(tbl_Production[Notes],IFERROR(MATCH(E181&amp;"",tbl_Production[Job Number],0),MATCH(IFERROR(E181+0,E181),tbl_Production[Job Number],0)))),IFERROR(IF(INDEX(tbl_Consulting[Notes],IFERROR(MATCH(E181&amp;"",tbl_Consulting[Job Number],0),MATCH(IFERROR(E181+0,E181),tbl_Consulting[Job Number],0)))="","",INDEX(tbl_Consulting[Notes],IFERROR(MATCH(E181&amp;"",tbl_Consulting[Job Number],0),MATCH(IFERROR(E181+0,E181),tbl_Consulting[Job Number],0)))),""))))</f>
        <v/>
      </c>
    </row>
    <row r="182" ht="15" customHeight="1">
      <c r="A182" s="22" t="n"/>
      <c r="B182" s="23">
        <f>IF(A182="","",EOMONTH(A182,0))</f>
        <v/>
      </c>
      <c r="C182" s="24" t="n"/>
      <c r="D182" s="24" t="n"/>
      <c r="E182" s="24" t="n"/>
      <c r="F182" s="25">
        <f>IF(E182="","",IF(COUNTIF(lst_Jobs,E182&amp;"")&gt;0,"OK","CHECK"))</f>
        <v/>
      </c>
      <c r="G182" s="24" t="n"/>
      <c r="H182" s="24" t="n"/>
      <c r="I182" s="24" t="n"/>
      <c r="J182" s="24" t="n"/>
      <c r="K182" s="24" t="n"/>
      <c r="L182" s="26" t="n"/>
      <c r="M182" s="27">
        <f>IF(L182="","",IF(K182="GST 10%",ROUND(L182*set_GSTRate,2),0))</f>
        <v/>
      </c>
      <c r="N182" s="27">
        <f>IF(L182="","",L182+M182)</f>
        <v/>
      </c>
      <c r="O182" s="24" t="n"/>
      <c r="P182" s="24" t="n"/>
      <c r="Q182" s="24" t="n"/>
      <c r="R182" s="22" t="n"/>
      <c r="S182" s="22" t="n"/>
      <c r="T182" s="24" t="n"/>
      <c r="U182" s="24" t="n"/>
      <c r="V182" s="2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25">
        <f>IF(E182="","",IF(COUNTIF(tbl_Onsite[Job Number],E182&amp;"")&gt;0,"Onsite",IF(COUNTIF(tbl_Production[Job Number],E182&amp;"")&gt;0,"Production",IF(COUNTIF(tbl_Consulting[Job Number],E182&amp;"")&gt;0,"Consulting","not set up yet"))))</f>
        <v/>
      </c>
      <c r="X182" s="25">
        <f>IF(E182="","",IFERROR(INDEX(lst_JobName,MATCH(E182&amp;"",lst_Jobs,0)),""))</f>
        <v/>
      </c>
      <c r="Y182" s="28">
        <f>IF(E182="","",COUNTIFS(tbl_Finance[Job Number],E182&amp;"",tbl_Finance[Ex GST],"&lt;&gt;"))</f>
        <v/>
      </c>
      <c r="Z182" s="27">
        <f>IF(E182="","",SUMIFS(tbl_Finance[Ex GST],tbl_Finance[Job Number],E182&amp;""))</f>
        <v/>
      </c>
      <c r="AA182" s="27">
        <f>IF(E182="","",SUMIFS(tbl_Finance[Ex GST],tbl_Finance[Job Number],E182&amp;"",tbl_Finance[Xero Invoice No],"&lt;&gt;"))</f>
        <v/>
      </c>
      <c r="AB182" s="27">
        <f>IF(E182="","",Z182-AA182)</f>
        <v/>
      </c>
      <c r="AC182" s="25">
        <f>IF(E182="","",IFERROR(IF(INDEX(tbl_Onsite[Qwilr Quote],IFERROR(MATCH(E182&amp;"",tbl_Onsite[Job Number],0),MATCH(IFERROR(E182+0,E182),tbl_Onsite[Job Number],0)))="","",INDEX(tbl_Onsite[Qwilr Quote],IFERROR(MATCH(E182&amp;"",tbl_Onsite[Job Number],0),MATCH(IFERROR(E182+0,E182),tbl_Onsite[Job Number],0)))),IFERROR(IF(IF(INDEX(tbl_Production[Current RMS No],IFERROR(MATCH(E182&amp;"",tbl_Production[Job Number],0),MATCH(IFERROR(E182+0,E182),tbl_Production[Job Number],0)))="",INDEX(tbl_Production[Qwilr Quote],IFERROR(MATCH(E182&amp;"",tbl_Production[Job Number],0),MATCH(IFERROR(E182+0,E182),tbl_Production[Job Number],0))),INDEX(tbl_Production[Current RMS No],IFERROR(MATCH(E182&amp;"",tbl_Production[Job Number],0),MATCH(IFERROR(E182+0,E182),tbl_Production[Job Number],0))))="","",IF(INDEX(tbl_Production[Current RMS No],IFERROR(MATCH(E182&amp;"",tbl_Production[Job Number],0),MATCH(IFERROR(E182+0,E182),tbl_Production[Job Number],0)))="",INDEX(tbl_Production[Qwilr Quote],IFERROR(MATCH(E182&amp;"",tbl_Production[Job Number],0),MATCH(IFERROR(E182+0,E182),tbl_Production[Job Number],0))),INDEX(tbl_Production[Current RMS No],IFERROR(MATCH(E182&amp;"",tbl_Production[Job Number],0),MATCH(IFERROR(E182+0,E182),tbl_Production[Job Number],0))))),IFERROR(IF(INDEX(tbl_Consulting[Qwilr Quote],IFERROR(MATCH(E182&amp;"",tbl_Consulting[Job Number],0),MATCH(IFERROR(E182+0,E182),tbl_Consulting[Job Number],0)))="","",INDEX(tbl_Consulting[Qwilr Quote],IFERROR(MATCH(E182&amp;"",tbl_Consulting[Job Number],0),MATCH(IFERROR(E182+0,E182),tbl_Consulting[Job Number],0)))),""))))</f>
        <v/>
      </c>
      <c r="AD182" s="25">
        <f>IF(AC182="","",IF(AND(LEFT(AC182,4)&lt;&gt;"http",IF(H182="Production",set_RMSBase,set_QwilrBase)=""),"",HYPERLINK(IF(LEFT(AC182,4)="http",AC182,IF(H182="Production",set_RMSBase,set_QwilrBase)&amp;AC182),"Open")))</f>
        <v/>
      </c>
      <c r="AE182" s="27">
        <f>IF(E182="","",IFERROR(INDEX(tbl_Production[Total Expense],IFERROR(MATCH(E182&amp;"",tbl_Production[Job Number],0),MATCH(IFERROR(E182+0,E182),tbl_Production[Job Number],0))),IFERROR(INDEX(tbl_Consulting[Total Expense],IFERROR(MATCH(E182&amp;"",tbl_Consulting[Job Number],0),MATCH(IFERROR(E182+0,E182),tbl_Consulting[Job Number],0))),0)))</f>
        <v/>
      </c>
      <c r="AF182" s="27">
        <f>IF(E182="","",Z182-N(AE182))</f>
        <v/>
      </c>
      <c r="AG182" s="29">
        <f>IFERROR(AF182/Z182,"")</f>
        <v/>
      </c>
      <c r="AH182" s="25">
        <f>IF(E182="","",IFERROR(IF(INDEX(tbl_Onsite[Notes],IFERROR(MATCH(E182&amp;"",tbl_Onsite[Job Number],0),MATCH(IFERROR(E182+0,E182),tbl_Onsite[Job Number],0)))="","",INDEX(tbl_Onsite[Notes],IFERROR(MATCH(E182&amp;"",tbl_Onsite[Job Number],0),MATCH(IFERROR(E182+0,E182),tbl_Onsite[Job Number],0)))),IFERROR(IF(INDEX(tbl_Production[Notes],IFERROR(MATCH(E182&amp;"",tbl_Production[Job Number],0),MATCH(IFERROR(E182+0,E182),tbl_Production[Job Number],0)))="","",INDEX(tbl_Production[Notes],IFERROR(MATCH(E182&amp;"",tbl_Production[Job Number],0),MATCH(IFERROR(E182+0,E182),tbl_Production[Job Number],0)))),IFERROR(IF(INDEX(tbl_Consulting[Notes],IFERROR(MATCH(E182&amp;"",tbl_Consulting[Job Number],0),MATCH(IFERROR(E182+0,E182),tbl_Consulting[Job Number],0)))="","",INDEX(tbl_Consulting[Notes],IFERROR(MATCH(E182&amp;"",tbl_Consulting[Job Number],0),MATCH(IFERROR(E182+0,E182),tbl_Consulting[Job Number],0)))),""))))</f>
        <v/>
      </c>
    </row>
    <row r="183" ht="15" customHeight="1">
      <c r="A183" s="22" t="n"/>
      <c r="B183" s="23">
        <f>IF(A183="","",EOMONTH(A183,0))</f>
        <v/>
      </c>
      <c r="C183" s="24" t="n"/>
      <c r="D183" s="24" t="n"/>
      <c r="E183" s="24" t="n"/>
      <c r="F183" s="25">
        <f>IF(E183="","",IF(COUNTIF(lst_Jobs,E183&amp;"")&gt;0,"OK","CHECK"))</f>
        <v/>
      </c>
      <c r="G183" s="24" t="n"/>
      <c r="H183" s="24" t="n"/>
      <c r="I183" s="24" t="n"/>
      <c r="J183" s="24" t="n"/>
      <c r="K183" s="24" t="n"/>
      <c r="L183" s="26" t="n"/>
      <c r="M183" s="27">
        <f>IF(L183="","",IF(K183="GST 10%",ROUND(L183*set_GSTRate,2),0))</f>
        <v/>
      </c>
      <c r="N183" s="27">
        <f>IF(L183="","",L183+M183)</f>
        <v/>
      </c>
      <c r="O183" s="24" t="n"/>
      <c r="P183" s="24" t="n"/>
      <c r="Q183" s="24" t="n"/>
      <c r="R183" s="22" t="n"/>
      <c r="S183" s="22" t="n"/>
      <c r="T183" s="24" t="n"/>
      <c r="U183" s="24" t="n"/>
      <c r="V183" s="2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25">
        <f>IF(E183="","",IF(COUNTIF(tbl_Onsite[Job Number],E183&amp;"")&gt;0,"Onsite",IF(COUNTIF(tbl_Production[Job Number],E183&amp;"")&gt;0,"Production",IF(COUNTIF(tbl_Consulting[Job Number],E183&amp;"")&gt;0,"Consulting","not set up yet"))))</f>
        <v/>
      </c>
      <c r="X183" s="25">
        <f>IF(E183="","",IFERROR(INDEX(lst_JobName,MATCH(E183&amp;"",lst_Jobs,0)),""))</f>
        <v/>
      </c>
      <c r="Y183" s="28">
        <f>IF(E183="","",COUNTIFS(tbl_Finance[Job Number],E183&amp;"",tbl_Finance[Ex GST],"&lt;&gt;"))</f>
        <v/>
      </c>
      <c r="Z183" s="27">
        <f>IF(E183="","",SUMIFS(tbl_Finance[Ex GST],tbl_Finance[Job Number],E183&amp;""))</f>
        <v/>
      </c>
      <c r="AA183" s="27">
        <f>IF(E183="","",SUMIFS(tbl_Finance[Ex GST],tbl_Finance[Job Number],E183&amp;"",tbl_Finance[Xero Invoice No],"&lt;&gt;"))</f>
        <v/>
      </c>
      <c r="AB183" s="27">
        <f>IF(E183="","",Z183-AA183)</f>
        <v/>
      </c>
      <c r="AC183" s="25">
        <f>IF(E183="","",IFERROR(IF(INDEX(tbl_Onsite[Qwilr Quote],IFERROR(MATCH(E183&amp;"",tbl_Onsite[Job Number],0),MATCH(IFERROR(E183+0,E183),tbl_Onsite[Job Number],0)))="","",INDEX(tbl_Onsite[Qwilr Quote],IFERROR(MATCH(E183&amp;"",tbl_Onsite[Job Number],0),MATCH(IFERROR(E183+0,E183),tbl_Onsite[Job Number],0)))),IFERROR(IF(IF(INDEX(tbl_Production[Current RMS No],IFERROR(MATCH(E183&amp;"",tbl_Production[Job Number],0),MATCH(IFERROR(E183+0,E183),tbl_Production[Job Number],0)))="",INDEX(tbl_Production[Qwilr Quote],IFERROR(MATCH(E183&amp;"",tbl_Production[Job Number],0),MATCH(IFERROR(E183+0,E183),tbl_Production[Job Number],0))),INDEX(tbl_Production[Current RMS No],IFERROR(MATCH(E183&amp;"",tbl_Production[Job Number],0),MATCH(IFERROR(E183+0,E183),tbl_Production[Job Number],0))))="","",IF(INDEX(tbl_Production[Current RMS No],IFERROR(MATCH(E183&amp;"",tbl_Production[Job Number],0),MATCH(IFERROR(E183+0,E183),tbl_Production[Job Number],0)))="",INDEX(tbl_Production[Qwilr Quote],IFERROR(MATCH(E183&amp;"",tbl_Production[Job Number],0),MATCH(IFERROR(E183+0,E183),tbl_Production[Job Number],0))),INDEX(tbl_Production[Current RMS No],IFERROR(MATCH(E183&amp;"",tbl_Production[Job Number],0),MATCH(IFERROR(E183+0,E183),tbl_Production[Job Number],0))))),IFERROR(IF(INDEX(tbl_Consulting[Qwilr Quote],IFERROR(MATCH(E183&amp;"",tbl_Consulting[Job Number],0),MATCH(IFERROR(E183+0,E183),tbl_Consulting[Job Number],0)))="","",INDEX(tbl_Consulting[Qwilr Quote],IFERROR(MATCH(E183&amp;"",tbl_Consulting[Job Number],0),MATCH(IFERROR(E183+0,E183),tbl_Consulting[Job Number],0)))),""))))</f>
        <v/>
      </c>
      <c r="AD183" s="25">
        <f>IF(AC183="","",IF(AND(LEFT(AC183,4)&lt;&gt;"http",IF(H183="Production",set_RMSBase,set_QwilrBase)=""),"",HYPERLINK(IF(LEFT(AC183,4)="http",AC183,IF(H183="Production",set_RMSBase,set_QwilrBase)&amp;AC183),"Open")))</f>
        <v/>
      </c>
      <c r="AE183" s="27">
        <f>IF(E183="","",IFERROR(INDEX(tbl_Production[Total Expense],IFERROR(MATCH(E183&amp;"",tbl_Production[Job Number],0),MATCH(IFERROR(E183+0,E183),tbl_Production[Job Number],0))),IFERROR(INDEX(tbl_Consulting[Total Expense],IFERROR(MATCH(E183&amp;"",tbl_Consulting[Job Number],0),MATCH(IFERROR(E183+0,E183),tbl_Consulting[Job Number],0))),0)))</f>
        <v/>
      </c>
      <c r="AF183" s="27">
        <f>IF(E183="","",Z183-N(AE183))</f>
        <v/>
      </c>
      <c r="AG183" s="29">
        <f>IFERROR(AF183/Z183,"")</f>
        <v/>
      </c>
      <c r="AH183" s="25">
        <f>IF(E183="","",IFERROR(IF(INDEX(tbl_Onsite[Notes],IFERROR(MATCH(E183&amp;"",tbl_Onsite[Job Number],0),MATCH(IFERROR(E183+0,E183),tbl_Onsite[Job Number],0)))="","",INDEX(tbl_Onsite[Notes],IFERROR(MATCH(E183&amp;"",tbl_Onsite[Job Number],0),MATCH(IFERROR(E183+0,E183),tbl_Onsite[Job Number],0)))),IFERROR(IF(INDEX(tbl_Production[Notes],IFERROR(MATCH(E183&amp;"",tbl_Production[Job Number],0),MATCH(IFERROR(E183+0,E183),tbl_Production[Job Number],0)))="","",INDEX(tbl_Production[Notes],IFERROR(MATCH(E183&amp;"",tbl_Production[Job Number],0),MATCH(IFERROR(E183+0,E183),tbl_Production[Job Number],0)))),IFERROR(IF(INDEX(tbl_Consulting[Notes],IFERROR(MATCH(E183&amp;"",tbl_Consulting[Job Number],0),MATCH(IFERROR(E183+0,E183),tbl_Consulting[Job Number],0)))="","",INDEX(tbl_Consulting[Notes],IFERROR(MATCH(E183&amp;"",tbl_Consulting[Job Number],0),MATCH(IFERROR(E183+0,E183),tbl_Consulting[Job Number],0)))),""))))</f>
        <v/>
      </c>
    </row>
    <row r="184" ht="15" customHeight="1">
      <c r="A184" s="22" t="n"/>
      <c r="B184" s="23">
        <f>IF(A184="","",EOMONTH(A184,0))</f>
        <v/>
      </c>
      <c r="C184" s="24" t="n"/>
      <c r="D184" s="24" t="n"/>
      <c r="E184" s="24" t="n"/>
      <c r="F184" s="25">
        <f>IF(E184="","",IF(COUNTIF(lst_Jobs,E184&amp;"")&gt;0,"OK","CHECK"))</f>
        <v/>
      </c>
      <c r="G184" s="24" t="n"/>
      <c r="H184" s="24" t="n"/>
      <c r="I184" s="24" t="n"/>
      <c r="J184" s="24" t="n"/>
      <c r="K184" s="24" t="n"/>
      <c r="L184" s="26" t="n"/>
      <c r="M184" s="27">
        <f>IF(L184="","",IF(K184="GST 10%",ROUND(L184*set_GSTRate,2),0))</f>
        <v/>
      </c>
      <c r="N184" s="27">
        <f>IF(L184="","",L184+M184)</f>
        <v/>
      </c>
      <c r="O184" s="24" t="n"/>
      <c r="P184" s="24" t="n"/>
      <c r="Q184" s="24" t="n"/>
      <c r="R184" s="22" t="n"/>
      <c r="S184" s="22" t="n"/>
      <c r="T184" s="24" t="n"/>
      <c r="U184" s="24" t="n"/>
      <c r="V184" s="2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25">
        <f>IF(E184="","",IF(COUNTIF(tbl_Onsite[Job Number],E184&amp;"")&gt;0,"Onsite",IF(COUNTIF(tbl_Production[Job Number],E184&amp;"")&gt;0,"Production",IF(COUNTIF(tbl_Consulting[Job Number],E184&amp;"")&gt;0,"Consulting","not set up yet"))))</f>
        <v/>
      </c>
      <c r="X184" s="25">
        <f>IF(E184="","",IFERROR(INDEX(lst_JobName,MATCH(E184&amp;"",lst_Jobs,0)),""))</f>
        <v/>
      </c>
      <c r="Y184" s="28">
        <f>IF(E184="","",COUNTIFS(tbl_Finance[Job Number],E184&amp;"",tbl_Finance[Ex GST],"&lt;&gt;"))</f>
        <v/>
      </c>
      <c r="Z184" s="27">
        <f>IF(E184="","",SUMIFS(tbl_Finance[Ex GST],tbl_Finance[Job Number],E184&amp;""))</f>
        <v/>
      </c>
      <c r="AA184" s="27">
        <f>IF(E184="","",SUMIFS(tbl_Finance[Ex GST],tbl_Finance[Job Number],E184&amp;"",tbl_Finance[Xero Invoice No],"&lt;&gt;"))</f>
        <v/>
      </c>
      <c r="AB184" s="27">
        <f>IF(E184="","",Z184-AA184)</f>
        <v/>
      </c>
      <c r="AC184" s="25">
        <f>IF(E184="","",IFERROR(IF(INDEX(tbl_Onsite[Qwilr Quote],IFERROR(MATCH(E184&amp;"",tbl_Onsite[Job Number],0),MATCH(IFERROR(E184+0,E184),tbl_Onsite[Job Number],0)))="","",INDEX(tbl_Onsite[Qwilr Quote],IFERROR(MATCH(E184&amp;"",tbl_Onsite[Job Number],0),MATCH(IFERROR(E184+0,E184),tbl_Onsite[Job Number],0)))),IFERROR(IF(IF(INDEX(tbl_Production[Current RMS No],IFERROR(MATCH(E184&amp;"",tbl_Production[Job Number],0),MATCH(IFERROR(E184+0,E184),tbl_Production[Job Number],0)))="",INDEX(tbl_Production[Qwilr Quote],IFERROR(MATCH(E184&amp;"",tbl_Production[Job Number],0),MATCH(IFERROR(E184+0,E184),tbl_Production[Job Number],0))),INDEX(tbl_Production[Current RMS No],IFERROR(MATCH(E184&amp;"",tbl_Production[Job Number],0),MATCH(IFERROR(E184+0,E184),tbl_Production[Job Number],0))))="","",IF(INDEX(tbl_Production[Current RMS No],IFERROR(MATCH(E184&amp;"",tbl_Production[Job Number],0),MATCH(IFERROR(E184+0,E184),tbl_Production[Job Number],0)))="",INDEX(tbl_Production[Qwilr Quote],IFERROR(MATCH(E184&amp;"",tbl_Production[Job Number],0),MATCH(IFERROR(E184+0,E184),tbl_Production[Job Number],0))),INDEX(tbl_Production[Current RMS No],IFERROR(MATCH(E184&amp;"",tbl_Production[Job Number],0),MATCH(IFERROR(E184+0,E184),tbl_Production[Job Number],0))))),IFERROR(IF(INDEX(tbl_Consulting[Qwilr Quote],IFERROR(MATCH(E184&amp;"",tbl_Consulting[Job Number],0),MATCH(IFERROR(E184+0,E184),tbl_Consulting[Job Number],0)))="","",INDEX(tbl_Consulting[Qwilr Quote],IFERROR(MATCH(E184&amp;"",tbl_Consulting[Job Number],0),MATCH(IFERROR(E184+0,E184),tbl_Consulting[Job Number],0)))),""))))</f>
        <v/>
      </c>
      <c r="AD184" s="25">
        <f>IF(AC184="","",IF(AND(LEFT(AC184,4)&lt;&gt;"http",IF(H184="Production",set_RMSBase,set_QwilrBase)=""),"",HYPERLINK(IF(LEFT(AC184,4)="http",AC184,IF(H184="Production",set_RMSBase,set_QwilrBase)&amp;AC184),"Open")))</f>
        <v/>
      </c>
      <c r="AE184" s="27">
        <f>IF(E184="","",IFERROR(INDEX(tbl_Production[Total Expense],IFERROR(MATCH(E184&amp;"",tbl_Production[Job Number],0),MATCH(IFERROR(E184+0,E184),tbl_Production[Job Number],0))),IFERROR(INDEX(tbl_Consulting[Total Expense],IFERROR(MATCH(E184&amp;"",tbl_Consulting[Job Number],0),MATCH(IFERROR(E184+0,E184),tbl_Consulting[Job Number],0))),0)))</f>
        <v/>
      </c>
      <c r="AF184" s="27">
        <f>IF(E184="","",Z184-N(AE184))</f>
        <v/>
      </c>
      <c r="AG184" s="29">
        <f>IFERROR(AF184/Z184,"")</f>
        <v/>
      </c>
      <c r="AH184" s="25">
        <f>IF(E184="","",IFERROR(IF(INDEX(tbl_Onsite[Notes],IFERROR(MATCH(E184&amp;"",tbl_Onsite[Job Number],0),MATCH(IFERROR(E184+0,E184),tbl_Onsite[Job Number],0)))="","",INDEX(tbl_Onsite[Notes],IFERROR(MATCH(E184&amp;"",tbl_Onsite[Job Number],0),MATCH(IFERROR(E184+0,E184),tbl_Onsite[Job Number],0)))),IFERROR(IF(INDEX(tbl_Production[Notes],IFERROR(MATCH(E184&amp;"",tbl_Production[Job Number],0),MATCH(IFERROR(E184+0,E184),tbl_Production[Job Number],0)))="","",INDEX(tbl_Production[Notes],IFERROR(MATCH(E184&amp;"",tbl_Production[Job Number],0),MATCH(IFERROR(E184+0,E184),tbl_Production[Job Number],0)))),IFERROR(IF(INDEX(tbl_Consulting[Notes],IFERROR(MATCH(E184&amp;"",tbl_Consulting[Job Number],0),MATCH(IFERROR(E184+0,E184),tbl_Consulting[Job Number],0)))="","",INDEX(tbl_Consulting[Notes],IFERROR(MATCH(E184&amp;"",tbl_Consulting[Job Number],0),MATCH(IFERROR(E184+0,E184),tbl_Consulting[Job Number],0)))),""))))</f>
        <v/>
      </c>
    </row>
    <row r="185" ht="15" customHeight="1">
      <c r="A185" s="22" t="n"/>
      <c r="B185" s="23">
        <f>IF(A185="","",EOMONTH(A185,0))</f>
        <v/>
      </c>
      <c r="C185" s="24" t="n"/>
      <c r="D185" s="24" t="n"/>
      <c r="E185" s="24" t="n"/>
      <c r="F185" s="25">
        <f>IF(E185="","",IF(COUNTIF(lst_Jobs,E185&amp;"")&gt;0,"OK","CHECK"))</f>
        <v/>
      </c>
      <c r="G185" s="24" t="n"/>
      <c r="H185" s="24" t="n"/>
      <c r="I185" s="24" t="n"/>
      <c r="J185" s="24" t="n"/>
      <c r="K185" s="24" t="n"/>
      <c r="L185" s="26" t="n"/>
      <c r="M185" s="27">
        <f>IF(L185="","",IF(K185="GST 10%",ROUND(L185*set_GSTRate,2),0))</f>
        <v/>
      </c>
      <c r="N185" s="27">
        <f>IF(L185="","",L185+M185)</f>
        <v/>
      </c>
      <c r="O185" s="24" t="n"/>
      <c r="P185" s="24" t="n"/>
      <c r="Q185" s="24" t="n"/>
      <c r="R185" s="22" t="n"/>
      <c r="S185" s="22" t="n"/>
      <c r="T185" s="24" t="n"/>
      <c r="U185" s="24" t="n"/>
      <c r="V185" s="2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25">
        <f>IF(E185="","",IF(COUNTIF(tbl_Onsite[Job Number],E185&amp;"")&gt;0,"Onsite",IF(COUNTIF(tbl_Production[Job Number],E185&amp;"")&gt;0,"Production",IF(COUNTIF(tbl_Consulting[Job Number],E185&amp;"")&gt;0,"Consulting","not set up yet"))))</f>
        <v/>
      </c>
      <c r="X185" s="25">
        <f>IF(E185="","",IFERROR(INDEX(lst_JobName,MATCH(E185&amp;"",lst_Jobs,0)),""))</f>
        <v/>
      </c>
      <c r="Y185" s="28">
        <f>IF(E185="","",COUNTIFS(tbl_Finance[Job Number],E185&amp;"",tbl_Finance[Ex GST],"&lt;&gt;"))</f>
        <v/>
      </c>
      <c r="Z185" s="27">
        <f>IF(E185="","",SUMIFS(tbl_Finance[Ex GST],tbl_Finance[Job Number],E185&amp;""))</f>
        <v/>
      </c>
      <c r="AA185" s="27">
        <f>IF(E185="","",SUMIFS(tbl_Finance[Ex GST],tbl_Finance[Job Number],E185&amp;"",tbl_Finance[Xero Invoice No],"&lt;&gt;"))</f>
        <v/>
      </c>
      <c r="AB185" s="27">
        <f>IF(E185="","",Z185-AA185)</f>
        <v/>
      </c>
      <c r="AC185" s="25">
        <f>IF(E185="","",IFERROR(IF(INDEX(tbl_Onsite[Qwilr Quote],IFERROR(MATCH(E185&amp;"",tbl_Onsite[Job Number],0),MATCH(IFERROR(E185+0,E185),tbl_Onsite[Job Number],0)))="","",INDEX(tbl_Onsite[Qwilr Quote],IFERROR(MATCH(E185&amp;"",tbl_Onsite[Job Number],0),MATCH(IFERROR(E185+0,E185),tbl_Onsite[Job Number],0)))),IFERROR(IF(IF(INDEX(tbl_Production[Current RMS No],IFERROR(MATCH(E185&amp;"",tbl_Production[Job Number],0),MATCH(IFERROR(E185+0,E185),tbl_Production[Job Number],0)))="",INDEX(tbl_Production[Qwilr Quote],IFERROR(MATCH(E185&amp;"",tbl_Production[Job Number],0),MATCH(IFERROR(E185+0,E185),tbl_Production[Job Number],0))),INDEX(tbl_Production[Current RMS No],IFERROR(MATCH(E185&amp;"",tbl_Production[Job Number],0),MATCH(IFERROR(E185+0,E185),tbl_Production[Job Number],0))))="","",IF(INDEX(tbl_Production[Current RMS No],IFERROR(MATCH(E185&amp;"",tbl_Production[Job Number],0),MATCH(IFERROR(E185+0,E185),tbl_Production[Job Number],0)))="",INDEX(tbl_Production[Qwilr Quote],IFERROR(MATCH(E185&amp;"",tbl_Production[Job Number],0),MATCH(IFERROR(E185+0,E185),tbl_Production[Job Number],0))),INDEX(tbl_Production[Current RMS No],IFERROR(MATCH(E185&amp;"",tbl_Production[Job Number],0),MATCH(IFERROR(E185+0,E185),tbl_Production[Job Number],0))))),IFERROR(IF(INDEX(tbl_Consulting[Qwilr Quote],IFERROR(MATCH(E185&amp;"",tbl_Consulting[Job Number],0),MATCH(IFERROR(E185+0,E185),tbl_Consulting[Job Number],0)))="","",INDEX(tbl_Consulting[Qwilr Quote],IFERROR(MATCH(E185&amp;"",tbl_Consulting[Job Number],0),MATCH(IFERROR(E185+0,E185),tbl_Consulting[Job Number],0)))),""))))</f>
        <v/>
      </c>
      <c r="AD185" s="25">
        <f>IF(AC185="","",IF(AND(LEFT(AC185,4)&lt;&gt;"http",IF(H185="Production",set_RMSBase,set_QwilrBase)=""),"",HYPERLINK(IF(LEFT(AC185,4)="http",AC185,IF(H185="Production",set_RMSBase,set_QwilrBase)&amp;AC185),"Open")))</f>
        <v/>
      </c>
      <c r="AE185" s="27">
        <f>IF(E185="","",IFERROR(INDEX(tbl_Production[Total Expense],IFERROR(MATCH(E185&amp;"",tbl_Production[Job Number],0),MATCH(IFERROR(E185+0,E185),tbl_Production[Job Number],0))),IFERROR(INDEX(tbl_Consulting[Total Expense],IFERROR(MATCH(E185&amp;"",tbl_Consulting[Job Number],0),MATCH(IFERROR(E185+0,E185),tbl_Consulting[Job Number],0))),0)))</f>
        <v/>
      </c>
      <c r="AF185" s="27">
        <f>IF(E185="","",Z185-N(AE185))</f>
        <v/>
      </c>
      <c r="AG185" s="29">
        <f>IFERROR(AF185/Z185,"")</f>
        <v/>
      </c>
      <c r="AH185" s="25">
        <f>IF(E185="","",IFERROR(IF(INDEX(tbl_Onsite[Notes],IFERROR(MATCH(E185&amp;"",tbl_Onsite[Job Number],0),MATCH(IFERROR(E185+0,E185),tbl_Onsite[Job Number],0)))="","",INDEX(tbl_Onsite[Notes],IFERROR(MATCH(E185&amp;"",tbl_Onsite[Job Number],0),MATCH(IFERROR(E185+0,E185),tbl_Onsite[Job Number],0)))),IFERROR(IF(INDEX(tbl_Production[Notes],IFERROR(MATCH(E185&amp;"",tbl_Production[Job Number],0),MATCH(IFERROR(E185+0,E185),tbl_Production[Job Number],0)))="","",INDEX(tbl_Production[Notes],IFERROR(MATCH(E185&amp;"",tbl_Production[Job Number],0),MATCH(IFERROR(E185+0,E185),tbl_Production[Job Number],0)))),IFERROR(IF(INDEX(tbl_Consulting[Notes],IFERROR(MATCH(E185&amp;"",tbl_Consulting[Job Number],0),MATCH(IFERROR(E185+0,E185),tbl_Consulting[Job Number],0)))="","",INDEX(tbl_Consulting[Notes],IFERROR(MATCH(E185&amp;"",tbl_Consulting[Job Number],0),MATCH(IFERROR(E185+0,E185),tbl_Consulting[Job Number],0)))),""))))</f>
        <v/>
      </c>
    </row>
    <row r="186" ht="15" customHeight="1">
      <c r="A186" s="22" t="n"/>
      <c r="B186" s="23">
        <f>IF(A186="","",EOMONTH(A186,0))</f>
        <v/>
      </c>
      <c r="C186" s="24" t="n"/>
      <c r="D186" s="24" t="n"/>
      <c r="E186" s="24" t="n"/>
      <c r="F186" s="25">
        <f>IF(E186="","",IF(COUNTIF(lst_Jobs,E186&amp;"")&gt;0,"OK","CHECK"))</f>
        <v/>
      </c>
      <c r="G186" s="24" t="n"/>
      <c r="H186" s="24" t="n"/>
      <c r="I186" s="24" t="n"/>
      <c r="J186" s="24" t="n"/>
      <c r="K186" s="24" t="n"/>
      <c r="L186" s="26" t="n"/>
      <c r="M186" s="27">
        <f>IF(L186="","",IF(K186="GST 10%",ROUND(L186*set_GSTRate,2),0))</f>
        <v/>
      </c>
      <c r="N186" s="27">
        <f>IF(L186="","",L186+M186)</f>
        <v/>
      </c>
      <c r="O186" s="24" t="n"/>
      <c r="P186" s="24" t="n"/>
      <c r="Q186" s="24" t="n"/>
      <c r="R186" s="22" t="n"/>
      <c r="S186" s="22" t="n"/>
      <c r="T186" s="24" t="n"/>
      <c r="U186" s="24" t="n"/>
      <c r="V186" s="2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25">
        <f>IF(E186="","",IF(COUNTIF(tbl_Onsite[Job Number],E186&amp;"")&gt;0,"Onsite",IF(COUNTIF(tbl_Production[Job Number],E186&amp;"")&gt;0,"Production",IF(COUNTIF(tbl_Consulting[Job Number],E186&amp;"")&gt;0,"Consulting","not set up yet"))))</f>
        <v/>
      </c>
      <c r="X186" s="25">
        <f>IF(E186="","",IFERROR(INDEX(lst_JobName,MATCH(E186&amp;"",lst_Jobs,0)),""))</f>
        <v/>
      </c>
      <c r="Y186" s="28">
        <f>IF(E186="","",COUNTIFS(tbl_Finance[Job Number],E186&amp;"",tbl_Finance[Ex GST],"&lt;&gt;"))</f>
        <v/>
      </c>
      <c r="Z186" s="27">
        <f>IF(E186="","",SUMIFS(tbl_Finance[Ex GST],tbl_Finance[Job Number],E186&amp;""))</f>
        <v/>
      </c>
      <c r="AA186" s="27">
        <f>IF(E186="","",SUMIFS(tbl_Finance[Ex GST],tbl_Finance[Job Number],E186&amp;"",tbl_Finance[Xero Invoice No],"&lt;&gt;"))</f>
        <v/>
      </c>
      <c r="AB186" s="27">
        <f>IF(E186="","",Z186-AA186)</f>
        <v/>
      </c>
      <c r="AC186" s="25">
        <f>IF(E186="","",IFERROR(IF(INDEX(tbl_Onsite[Qwilr Quote],IFERROR(MATCH(E186&amp;"",tbl_Onsite[Job Number],0),MATCH(IFERROR(E186+0,E186),tbl_Onsite[Job Number],0)))="","",INDEX(tbl_Onsite[Qwilr Quote],IFERROR(MATCH(E186&amp;"",tbl_Onsite[Job Number],0),MATCH(IFERROR(E186+0,E186),tbl_Onsite[Job Number],0)))),IFERROR(IF(IF(INDEX(tbl_Production[Current RMS No],IFERROR(MATCH(E186&amp;"",tbl_Production[Job Number],0),MATCH(IFERROR(E186+0,E186),tbl_Production[Job Number],0)))="",INDEX(tbl_Production[Qwilr Quote],IFERROR(MATCH(E186&amp;"",tbl_Production[Job Number],0),MATCH(IFERROR(E186+0,E186),tbl_Production[Job Number],0))),INDEX(tbl_Production[Current RMS No],IFERROR(MATCH(E186&amp;"",tbl_Production[Job Number],0),MATCH(IFERROR(E186+0,E186),tbl_Production[Job Number],0))))="","",IF(INDEX(tbl_Production[Current RMS No],IFERROR(MATCH(E186&amp;"",tbl_Production[Job Number],0),MATCH(IFERROR(E186+0,E186),tbl_Production[Job Number],0)))="",INDEX(tbl_Production[Qwilr Quote],IFERROR(MATCH(E186&amp;"",tbl_Production[Job Number],0),MATCH(IFERROR(E186+0,E186),tbl_Production[Job Number],0))),INDEX(tbl_Production[Current RMS No],IFERROR(MATCH(E186&amp;"",tbl_Production[Job Number],0),MATCH(IFERROR(E186+0,E186),tbl_Production[Job Number],0))))),IFERROR(IF(INDEX(tbl_Consulting[Qwilr Quote],IFERROR(MATCH(E186&amp;"",tbl_Consulting[Job Number],0),MATCH(IFERROR(E186+0,E186),tbl_Consulting[Job Number],0)))="","",INDEX(tbl_Consulting[Qwilr Quote],IFERROR(MATCH(E186&amp;"",tbl_Consulting[Job Number],0),MATCH(IFERROR(E186+0,E186),tbl_Consulting[Job Number],0)))),""))))</f>
        <v/>
      </c>
      <c r="AD186" s="25">
        <f>IF(AC186="","",IF(AND(LEFT(AC186,4)&lt;&gt;"http",IF(H186="Production",set_RMSBase,set_QwilrBase)=""),"",HYPERLINK(IF(LEFT(AC186,4)="http",AC186,IF(H186="Production",set_RMSBase,set_QwilrBase)&amp;AC186),"Open")))</f>
        <v/>
      </c>
      <c r="AE186" s="27">
        <f>IF(E186="","",IFERROR(INDEX(tbl_Production[Total Expense],IFERROR(MATCH(E186&amp;"",tbl_Production[Job Number],0),MATCH(IFERROR(E186+0,E186),tbl_Production[Job Number],0))),IFERROR(INDEX(tbl_Consulting[Total Expense],IFERROR(MATCH(E186&amp;"",tbl_Consulting[Job Number],0),MATCH(IFERROR(E186+0,E186),tbl_Consulting[Job Number],0))),0)))</f>
        <v/>
      </c>
      <c r="AF186" s="27">
        <f>IF(E186="","",Z186-N(AE186))</f>
        <v/>
      </c>
      <c r="AG186" s="29">
        <f>IFERROR(AF186/Z186,"")</f>
        <v/>
      </c>
      <c r="AH186" s="25">
        <f>IF(E186="","",IFERROR(IF(INDEX(tbl_Onsite[Notes],IFERROR(MATCH(E186&amp;"",tbl_Onsite[Job Number],0),MATCH(IFERROR(E186+0,E186),tbl_Onsite[Job Number],0)))="","",INDEX(tbl_Onsite[Notes],IFERROR(MATCH(E186&amp;"",tbl_Onsite[Job Number],0),MATCH(IFERROR(E186+0,E186),tbl_Onsite[Job Number],0)))),IFERROR(IF(INDEX(tbl_Production[Notes],IFERROR(MATCH(E186&amp;"",tbl_Production[Job Number],0),MATCH(IFERROR(E186+0,E186),tbl_Production[Job Number],0)))="","",INDEX(tbl_Production[Notes],IFERROR(MATCH(E186&amp;"",tbl_Production[Job Number],0),MATCH(IFERROR(E186+0,E186),tbl_Production[Job Number],0)))),IFERROR(IF(INDEX(tbl_Consulting[Notes],IFERROR(MATCH(E186&amp;"",tbl_Consulting[Job Number],0),MATCH(IFERROR(E186+0,E186),tbl_Consulting[Job Number],0)))="","",INDEX(tbl_Consulting[Notes],IFERROR(MATCH(E186&amp;"",tbl_Consulting[Job Number],0),MATCH(IFERROR(E186+0,E186),tbl_Consulting[Job Number],0)))),""))))</f>
        <v/>
      </c>
    </row>
    <row r="187" ht="15" customHeight="1">
      <c r="A187" s="22" t="n"/>
      <c r="B187" s="23">
        <f>IF(A187="","",EOMONTH(A187,0))</f>
        <v/>
      </c>
      <c r="C187" s="24" t="n"/>
      <c r="D187" s="24" t="n"/>
      <c r="E187" s="24" t="n"/>
      <c r="F187" s="25">
        <f>IF(E187="","",IF(COUNTIF(lst_Jobs,E187&amp;"")&gt;0,"OK","CHECK"))</f>
        <v/>
      </c>
      <c r="G187" s="24" t="n"/>
      <c r="H187" s="24" t="n"/>
      <c r="I187" s="24" t="n"/>
      <c r="J187" s="24" t="n"/>
      <c r="K187" s="24" t="n"/>
      <c r="L187" s="26" t="n"/>
      <c r="M187" s="27">
        <f>IF(L187="","",IF(K187="GST 10%",ROUND(L187*set_GSTRate,2),0))</f>
        <v/>
      </c>
      <c r="N187" s="27">
        <f>IF(L187="","",L187+M187)</f>
        <v/>
      </c>
      <c r="O187" s="24" t="n"/>
      <c r="P187" s="24" t="n"/>
      <c r="Q187" s="24" t="n"/>
      <c r="R187" s="22" t="n"/>
      <c r="S187" s="22" t="n"/>
      <c r="T187" s="24" t="n"/>
      <c r="U187" s="24" t="n"/>
      <c r="V187" s="2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25">
        <f>IF(E187="","",IF(COUNTIF(tbl_Onsite[Job Number],E187&amp;"")&gt;0,"Onsite",IF(COUNTIF(tbl_Production[Job Number],E187&amp;"")&gt;0,"Production",IF(COUNTIF(tbl_Consulting[Job Number],E187&amp;"")&gt;0,"Consulting","not set up yet"))))</f>
        <v/>
      </c>
      <c r="X187" s="25">
        <f>IF(E187="","",IFERROR(INDEX(lst_JobName,MATCH(E187&amp;"",lst_Jobs,0)),""))</f>
        <v/>
      </c>
      <c r="Y187" s="28">
        <f>IF(E187="","",COUNTIFS(tbl_Finance[Job Number],E187&amp;"",tbl_Finance[Ex GST],"&lt;&gt;"))</f>
        <v/>
      </c>
      <c r="Z187" s="27">
        <f>IF(E187="","",SUMIFS(tbl_Finance[Ex GST],tbl_Finance[Job Number],E187&amp;""))</f>
        <v/>
      </c>
      <c r="AA187" s="27">
        <f>IF(E187="","",SUMIFS(tbl_Finance[Ex GST],tbl_Finance[Job Number],E187&amp;"",tbl_Finance[Xero Invoice No],"&lt;&gt;"))</f>
        <v/>
      </c>
      <c r="AB187" s="27">
        <f>IF(E187="","",Z187-AA187)</f>
        <v/>
      </c>
      <c r="AC187" s="25">
        <f>IF(E187="","",IFERROR(IF(INDEX(tbl_Onsite[Qwilr Quote],IFERROR(MATCH(E187&amp;"",tbl_Onsite[Job Number],0),MATCH(IFERROR(E187+0,E187),tbl_Onsite[Job Number],0)))="","",INDEX(tbl_Onsite[Qwilr Quote],IFERROR(MATCH(E187&amp;"",tbl_Onsite[Job Number],0),MATCH(IFERROR(E187+0,E187),tbl_Onsite[Job Number],0)))),IFERROR(IF(IF(INDEX(tbl_Production[Current RMS No],IFERROR(MATCH(E187&amp;"",tbl_Production[Job Number],0),MATCH(IFERROR(E187+0,E187),tbl_Production[Job Number],0)))="",INDEX(tbl_Production[Qwilr Quote],IFERROR(MATCH(E187&amp;"",tbl_Production[Job Number],0),MATCH(IFERROR(E187+0,E187),tbl_Production[Job Number],0))),INDEX(tbl_Production[Current RMS No],IFERROR(MATCH(E187&amp;"",tbl_Production[Job Number],0),MATCH(IFERROR(E187+0,E187),tbl_Production[Job Number],0))))="","",IF(INDEX(tbl_Production[Current RMS No],IFERROR(MATCH(E187&amp;"",tbl_Production[Job Number],0),MATCH(IFERROR(E187+0,E187),tbl_Production[Job Number],0)))="",INDEX(tbl_Production[Qwilr Quote],IFERROR(MATCH(E187&amp;"",tbl_Production[Job Number],0),MATCH(IFERROR(E187+0,E187),tbl_Production[Job Number],0))),INDEX(tbl_Production[Current RMS No],IFERROR(MATCH(E187&amp;"",tbl_Production[Job Number],0),MATCH(IFERROR(E187+0,E187),tbl_Production[Job Number],0))))),IFERROR(IF(INDEX(tbl_Consulting[Qwilr Quote],IFERROR(MATCH(E187&amp;"",tbl_Consulting[Job Number],0),MATCH(IFERROR(E187+0,E187),tbl_Consulting[Job Number],0)))="","",INDEX(tbl_Consulting[Qwilr Quote],IFERROR(MATCH(E187&amp;"",tbl_Consulting[Job Number],0),MATCH(IFERROR(E187+0,E187),tbl_Consulting[Job Number],0)))),""))))</f>
        <v/>
      </c>
      <c r="AD187" s="25">
        <f>IF(AC187="","",IF(AND(LEFT(AC187,4)&lt;&gt;"http",IF(H187="Production",set_RMSBase,set_QwilrBase)=""),"",HYPERLINK(IF(LEFT(AC187,4)="http",AC187,IF(H187="Production",set_RMSBase,set_QwilrBase)&amp;AC187),"Open")))</f>
        <v/>
      </c>
      <c r="AE187" s="27">
        <f>IF(E187="","",IFERROR(INDEX(tbl_Production[Total Expense],IFERROR(MATCH(E187&amp;"",tbl_Production[Job Number],0),MATCH(IFERROR(E187+0,E187),tbl_Production[Job Number],0))),IFERROR(INDEX(tbl_Consulting[Total Expense],IFERROR(MATCH(E187&amp;"",tbl_Consulting[Job Number],0),MATCH(IFERROR(E187+0,E187),tbl_Consulting[Job Number],0))),0)))</f>
        <v/>
      </c>
      <c r="AF187" s="27">
        <f>IF(E187="","",Z187-N(AE187))</f>
        <v/>
      </c>
      <c r="AG187" s="29">
        <f>IFERROR(AF187/Z187,"")</f>
        <v/>
      </c>
      <c r="AH187" s="25">
        <f>IF(E187="","",IFERROR(IF(INDEX(tbl_Onsite[Notes],IFERROR(MATCH(E187&amp;"",tbl_Onsite[Job Number],0),MATCH(IFERROR(E187+0,E187),tbl_Onsite[Job Number],0)))="","",INDEX(tbl_Onsite[Notes],IFERROR(MATCH(E187&amp;"",tbl_Onsite[Job Number],0),MATCH(IFERROR(E187+0,E187),tbl_Onsite[Job Number],0)))),IFERROR(IF(INDEX(tbl_Production[Notes],IFERROR(MATCH(E187&amp;"",tbl_Production[Job Number],0),MATCH(IFERROR(E187+0,E187),tbl_Production[Job Number],0)))="","",INDEX(tbl_Production[Notes],IFERROR(MATCH(E187&amp;"",tbl_Production[Job Number],0),MATCH(IFERROR(E187+0,E187),tbl_Production[Job Number],0)))),IFERROR(IF(INDEX(tbl_Consulting[Notes],IFERROR(MATCH(E187&amp;"",tbl_Consulting[Job Number],0),MATCH(IFERROR(E187+0,E187),tbl_Consulting[Job Number],0)))="","",INDEX(tbl_Consulting[Notes],IFERROR(MATCH(E187&amp;"",tbl_Consulting[Job Number],0),MATCH(IFERROR(E187+0,E187),tbl_Consulting[Job Number],0)))),""))))</f>
        <v/>
      </c>
    </row>
    <row r="188" ht="15" customHeight="1">
      <c r="A188" s="22" t="n"/>
      <c r="B188" s="23">
        <f>IF(A188="","",EOMONTH(A188,0))</f>
        <v/>
      </c>
      <c r="C188" s="24" t="n"/>
      <c r="D188" s="24" t="n"/>
      <c r="E188" s="24" t="n"/>
      <c r="F188" s="25">
        <f>IF(E188="","",IF(COUNTIF(lst_Jobs,E188&amp;"")&gt;0,"OK","CHECK"))</f>
        <v/>
      </c>
      <c r="G188" s="24" t="n"/>
      <c r="H188" s="24" t="n"/>
      <c r="I188" s="24" t="n"/>
      <c r="J188" s="24" t="n"/>
      <c r="K188" s="24" t="n"/>
      <c r="L188" s="26" t="n"/>
      <c r="M188" s="27">
        <f>IF(L188="","",IF(K188="GST 10%",ROUND(L188*set_GSTRate,2),0))</f>
        <v/>
      </c>
      <c r="N188" s="27">
        <f>IF(L188="","",L188+M188)</f>
        <v/>
      </c>
      <c r="O188" s="24" t="n"/>
      <c r="P188" s="24" t="n"/>
      <c r="Q188" s="24" t="n"/>
      <c r="R188" s="22" t="n"/>
      <c r="S188" s="22" t="n"/>
      <c r="T188" s="24" t="n"/>
      <c r="U188" s="24" t="n"/>
      <c r="V188" s="2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25">
        <f>IF(E188="","",IF(COUNTIF(tbl_Onsite[Job Number],E188&amp;"")&gt;0,"Onsite",IF(COUNTIF(tbl_Production[Job Number],E188&amp;"")&gt;0,"Production",IF(COUNTIF(tbl_Consulting[Job Number],E188&amp;"")&gt;0,"Consulting","not set up yet"))))</f>
        <v/>
      </c>
      <c r="X188" s="25">
        <f>IF(E188="","",IFERROR(INDEX(lst_JobName,MATCH(E188&amp;"",lst_Jobs,0)),""))</f>
        <v/>
      </c>
      <c r="Y188" s="28">
        <f>IF(E188="","",COUNTIFS(tbl_Finance[Job Number],E188&amp;"",tbl_Finance[Ex GST],"&lt;&gt;"))</f>
        <v/>
      </c>
      <c r="Z188" s="27">
        <f>IF(E188="","",SUMIFS(tbl_Finance[Ex GST],tbl_Finance[Job Number],E188&amp;""))</f>
        <v/>
      </c>
      <c r="AA188" s="27">
        <f>IF(E188="","",SUMIFS(tbl_Finance[Ex GST],tbl_Finance[Job Number],E188&amp;"",tbl_Finance[Xero Invoice No],"&lt;&gt;"))</f>
        <v/>
      </c>
      <c r="AB188" s="27">
        <f>IF(E188="","",Z188-AA188)</f>
        <v/>
      </c>
      <c r="AC188" s="25">
        <f>IF(E188="","",IFERROR(IF(INDEX(tbl_Onsite[Qwilr Quote],IFERROR(MATCH(E188&amp;"",tbl_Onsite[Job Number],0),MATCH(IFERROR(E188+0,E188),tbl_Onsite[Job Number],0)))="","",INDEX(tbl_Onsite[Qwilr Quote],IFERROR(MATCH(E188&amp;"",tbl_Onsite[Job Number],0),MATCH(IFERROR(E188+0,E188),tbl_Onsite[Job Number],0)))),IFERROR(IF(IF(INDEX(tbl_Production[Current RMS No],IFERROR(MATCH(E188&amp;"",tbl_Production[Job Number],0),MATCH(IFERROR(E188+0,E188),tbl_Production[Job Number],0)))="",INDEX(tbl_Production[Qwilr Quote],IFERROR(MATCH(E188&amp;"",tbl_Production[Job Number],0),MATCH(IFERROR(E188+0,E188),tbl_Production[Job Number],0))),INDEX(tbl_Production[Current RMS No],IFERROR(MATCH(E188&amp;"",tbl_Production[Job Number],0),MATCH(IFERROR(E188+0,E188),tbl_Production[Job Number],0))))="","",IF(INDEX(tbl_Production[Current RMS No],IFERROR(MATCH(E188&amp;"",tbl_Production[Job Number],0),MATCH(IFERROR(E188+0,E188),tbl_Production[Job Number],0)))="",INDEX(tbl_Production[Qwilr Quote],IFERROR(MATCH(E188&amp;"",tbl_Production[Job Number],0),MATCH(IFERROR(E188+0,E188),tbl_Production[Job Number],0))),INDEX(tbl_Production[Current RMS No],IFERROR(MATCH(E188&amp;"",tbl_Production[Job Number],0),MATCH(IFERROR(E188+0,E188),tbl_Production[Job Number],0))))),IFERROR(IF(INDEX(tbl_Consulting[Qwilr Quote],IFERROR(MATCH(E188&amp;"",tbl_Consulting[Job Number],0),MATCH(IFERROR(E188+0,E188),tbl_Consulting[Job Number],0)))="","",INDEX(tbl_Consulting[Qwilr Quote],IFERROR(MATCH(E188&amp;"",tbl_Consulting[Job Number],0),MATCH(IFERROR(E188+0,E188),tbl_Consulting[Job Number],0)))),""))))</f>
        <v/>
      </c>
      <c r="AD188" s="25">
        <f>IF(AC188="","",IF(AND(LEFT(AC188,4)&lt;&gt;"http",IF(H188="Production",set_RMSBase,set_QwilrBase)=""),"",HYPERLINK(IF(LEFT(AC188,4)="http",AC188,IF(H188="Production",set_RMSBase,set_QwilrBase)&amp;AC188),"Open")))</f>
        <v/>
      </c>
      <c r="AE188" s="27">
        <f>IF(E188="","",IFERROR(INDEX(tbl_Production[Total Expense],IFERROR(MATCH(E188&amp;"",tbl_Production[Job Number],0),MATCH(IFERROR(E188+0,E188),tbl_Production[Job Number],0))),IFERROR(INDEX(tbl_Consulting[Total Expense],IFERROR(MATCH(E188&amp;"",tbl_Consulting[Job Number],0),MATCH(IFERROR(E188+0,E188),tbl_Consulting[Job Number],0))),0)))</f>
        <v/>
      </c>
      <c r="AF188" s="27">
        <f>IF(E188="","",Z188-N(AE188))</f>
        <v/>
      </c>
      <c r="AG188" s="29">
        <f>IFERROR(AF188/Z188,"")</f>
        <v/>
      </c>
      <c r="AH188" s="25">
        <f>IF(E188="","",IFERROR(IF(INDEX(tbl_Onsite[Notes],IFERROR(MATCH(E188&amp;"",tbl_Onsite[Job Number],0),MATCH(IFERROR(E188+0,E188),tbl_Onsite[Job Number],0)))="","",INDEX(tbl_Onsite[Notes],IFERROR(MATCH(E188&amp;"",tbl_Onsite[Job Number],0),MATCH(IFERROR(E188+0,E188),tbl_Onsite[Job Number],0)))),IFERROR(IF(INDEX(tbl_Production[Notes],IFERROR(MATCH(E188&amp;"",tbl_Production[Job Number],0),MATCH(IFERROR(E188+0,E188),tbl_Production[Job Number],0)))="","",INDEX(tbl_Production[Notes],IFERROR(MATCH(E188&amp;"",tbl_Production[Job Number],0),MATCH(IFERROR(E188+0,E188),tbl_Production[Job Number],0)))),IFERROR(IF(INDEX(tbl_Consulting[Notes],IFERROR(MATCH(E188&amp;"",tbl_Consulting[Job Number],0),MATCH(IFERROR(E188+0,E188),tbl_Consulting[Job Number],0)))="","",INDEX(tbl_Consulting[Notes],IFERROR(MATCH(E188&amp;"",tbl_Consulting[Job Number],0),MATCH(IFERROR(E188+0,E188),tbl_Consulting[Job Number],0)))),""))))</f>
        <v/>
      </c>
    </row>
    <row r="189" ht="15" customHeight="1">
      <c r="A189" s="22" t="n"/>
      <c r="B189" s="23">
        <f>IF(A189="","",EOMONTH(A189,0))</f>
        <v/>
      </c>
      <c r="C189" s="24" t="n"/>
      <c r="D189" s="24" t="n"/>
      <c r="E189" s="24" t="n"/>
      <c r="F189" s="25">
        <f>IF(E189="","",IF(COUNTIF(lst_Jobs,E189&amp;"")&gt;0,"OK","CHECK"))</f>
        <v/>
      </c>
      <c r="G189" s="24" t="n"/>
      <c r="H189" s="24" t="n"/>
      <c r="I189" s="24" t="n"/>
      <c r="J189" s="24" t="n"/>
      <c r="K189" s="24" t="n"/>
      <c r="L189" s="26" t="n"/>
      <c r="M189" s="27">
        <f>IF(L189="","",IF(K189="GST 10%",ROUND(L189*set_GSTRate,2),0))</f>
        <v/>
      </c>
      <c r="N189" s="27">
        <f>IF(L189="","",L189+M189)</f>
        <v/>
      </c>
      <c r="O189" s="24" t="n"/>
      <c r="P189" s="24" t="n"/>
      <c r="Q189" s="24" t="n"/>
      <c r="R189" s="22" t="n"/>
      <c r="S189" s="22" t="n"/>
      <c r="T189" s="24" t="n"/>
      <c r="U189" s="24" t="n"/>
      <c r="V189" s="2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25">
        <f>IF(E189="","",IF(COUNTIF(tbl_Onsite[Job Number],E189&amp;"")&gt;0,"Onsite",IF(COUNTIF(tbl_Production[Job Number],E189&amp;"")&gt;0,"Production",IF(COUNTIF(tbl_Consulting[Job Number],E189&amp;"")&gt;0,"Consulting","not set up yet"))))</f>
        <v/>
      </c>
      <c r="X189" s="25">
        <f>IF(E189="","",IFERROR(INDEX(lst_JobName,MATCH(E189&amp;"",lst_Jobs,0)),""))</f>
        <v/>
      </c>
      <c r="Y189" s="28">
        <f>IF(E189="","",COUNTIFS(tbl_Finance[Job Number],E189&amp;"",tbl_Finance[Ex GST],"&lt;&gt;"))</f>
        <v/>
      </c>
      <c r="Z189" s="27">
        <f>IF(E189="","",SUMIFS(tbl_Finance[Ex GST],tbl_Finance[Job Number],E189&amp;""))</f>
        <v/>
      </c>
      <c r="AA189" s="27">
        <f>IF(E189="","",SUMIFS(tbl_Finance[Ex GST],tbl_Finance[Job Number],E189&amp;"",tbl_Finance[Xero Invoice No],"&lt;&gt;"))</f>
        <v/>
      </c>
      <c r="AB189" s="27">
        <f>IF(E189="","",Z189-AA189)</f>
        <v/>
      </c>
      <c r="AC189" s="25">
        <f>IF(E189="","",IFERROR(IF(INDEX(tbl_Onsite[Qwilr Quote],IFERROR(MATCH(E189&amp;"",tbl_Onsite[Job Number],0),MATCH(IFERROR(E189+0,E189),tbl_Onsite[Job Number],0)))="","",INDEX(tbl_Onsite[Qwilr Quote],IFERROR(MATCH(E189&amp;"",tbl_Onsite[Job Number],0),MATCH(IFERROR(E189+0,E189),tbl_Onsite[Job Number],0)))),IFERROR(IF(IF(INDEX(tbl_Production[Current RMS No],IFERROR(MATCH(E189&amp;"",tbl_Production[Job Number],0),MATCH(IFERROR(E189+0,E189),tbl_Production[Job Number],0)))="",INDEX(tbl_Production[Qwilr Quote],IFERROR(MATCH(E189&amp;"",tbl_Production[Job Number],0),MATCH(IFERROR(E189+0,E189),tbl_Production[Job Number],0))),INDEX(tbl_Production[Current RMS No],IFERROR(MATCH(E189&amp;"",tbl_Production[Job Number],0),MATCH(IFERROR(E189+0,E189),tbl_Production[Job Number],0))))="","",IF(INDEX(tbl_Production[Current RMS No],IFERROR(MATCH(E189&amp;"",tbl_Production[Job Number],0),MATCH(IFERROR(E189+0,E189),tbl_Production[Job Number],0)))="",INDEX(tbl_Production[Qwilr Quote],IFERROR(MATCH(E189&amp;"",tbl_Production[Job Number],0),MATCH(IFERROR(E189+0,E189),tbl_Production[Job Number],0))),INDEX(tbl_Production[Current RMS No],IFERROR(MATCH(E189&amp;"",tbl_Production[Job Number],0),MATCH(IFERROR(E189+0,E189),tbl_Production[Job Number],0))))),IFERROR(IF(INDEX(tbl_Consulting[Qwilr Quote],IFERROR(MATCH(E189&amp;"",tbl_Consulting[Job Number],0),MATCH(IFERROR(E189+0,E189),tbl_Consulting[Job Number],0)))="","",INDEX(tbl_Consulting[Qwilr Quote],IFERROR(MATCH(E189&amp;"",tbl_Consulting[Job Number],0),MATCH(IFERROR(E189+0,E189),tbl_Consulting[Job Number],0)))),""))))</f>
        <v/>
      </c>
      <c r="AD189" s="25">
        <f>IF(AC189="","",IF(AND(LEFT(AC189,4)&lt;&gt;"http",IF(H189="Production",set_RMSBase,set_QwilrBase)=""),"",HYPERLINK(IF(LEFT(AC189,4)="http",AC189,IF(H189="Production",set_RMSBase,set_QwilrBase)&amp;AC189),"Open")))</f>
        <v/>
      </c>
      <c r="AE189" s="27">
        <f>IF(E189="","",IFERROR(INDEX(tbl_Production[Total Expense],IFERROR(MATCH(E189&amp;"",tbl_Production[Job Number],0),MATCH(IFERROR(E189+0,E189),tbl_Production[Job Number],0))),IFERROR(INDEX(tbl_Consulting[Total Expense],IFERROR(MATCH(E189&amp;"",tbl_Consulting[Job Number],0),MATCH(IFERROR(E189+0,E189),tbl_Consulting[Job Number],0))),0)))</f>
        <v/>
      </c>
      <c r="AF189" s="27">
        <f>IF(E189="","",Z189-N(AE189))</f>
        <v/>
      </c>
      <c r="AG189" s="29">
        <f>IFERROR(AF189/Z189,"")</f>
        <v/>
      </c>
      <c r="AH189" s="25">
        <f>IF(E189="","",IFERROR(IF(INDEX(tbl_Onsite[Notes],IFERROR(MATCH(E189&amp;"",tbl_Onsite[Job Number],0),MATCH(IFERROR(E189+0,E189),tbl_Onsite[Job Number],0)))="","",INDEX(tbl_Onsite[Notes],IFERROR(MATCH(E189&amp;"",tbl_Onsite[Job Number],0),MATCH(IFERROR(E189+0,E189),tbl_Onsite[Job Number],0)))),IFERROR(IF(INDEX(tbl_Production[Notes],IFERROR(MATCH(E189&amp;"",tbl_Production[Job Number],0),MATCH(IFERROR(E189+0,E189),tbl_Production[Job Number],0)))="","",INDEX(tbl_Production[Notes],IFERROR(MATCH(E189&amp;"",tbl_Production[Job Number],0),MATCH(IFERROR(E189+0,E189),tbl_Production[Job Number],0)))),IFERROR(IF(INDEX(tbl_Consulting[Notes],IFERROR(MATCH(E189&amp;"",tbl_Consulting[Job Number],0),MATCH(IFERROR(E189+0,E189),tbl_Consulting[Job Number],0)))="","",INDEX(tbl_Consulting[Notes],IFERROR(MATCH(E189&amp;"",tbl_Consulting[Job Number],0),MATCH(IFERROR(E189+0,E189),tbl_Consulting[Job Number],0)))),""))))</f>
        <v/>
      </c>
    </row>
    <row r="190" ht="15" customHeight="1">
      <c r="A190" s="22" t="n"/>
      <c r="B190" s="23">
        <f>IF(A190="","",EOMONTH(A190,0))</f>
        <v/>
      </c>
      <c r="C190" s="24" t="n"/>
      <c r="D190" s="24" t="n"/>
      <c r="E190" s="24" t="n"/>
      <c r="F190" s="25">
        <f>IF(E190="","",IF(COUNTIF(lst_Jobs,E190&amp;"")&gt;0,"OK","CHECK"))</f>
        <v/>
      </c>
      <c r="G190" s="24" t="n"/>
      <c r="H190" s="24" t="n"/>
      <c r="I190" s="24" t="n"/>
      <c r="J190" s="24" t="n"/>
      <c r="K190" s="24" t="n"/>
      <c r="L190" s="26" t="n"/>
      <c r="M190" s="27">
        <f>IF(L190="","",IF(K190="GST 10%",ROUND(L190*set_GSTRate,2),0))</f>
        <v/>
      </c>
      <c r="N190" s="27">
        <f>IF(L190="","",L190+M190)</f>
        <v/>
      </c>
      <c r="O190" s="24" t="n"/>
      <c r="P190" s="24" t="n"/>
      <c r="Q190" s="24" t="n"/>
      <c r="R190" s="22" t="n"/>
      <c r="S190" s="22" t="n"/>
      <c r="T190" s="24" t="n"/>
      <c r="U190" s="24" t="n"/>
      <c r="V190" s="2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25">
        <f>IF(E190="","",IF(COUNTIF(tbl_Onsite[Job Number],E190&amp;"")&gt;0,"Onsite",IF(COUNTIF(tbl_Production[Job Number],E190&amp;"")&gt;0,"Production",IF(COUNTIF(tbl_Consulting[Job Number],E190&amp;"")&gt;0,"Consulting","not set up yet"))))</f>
        <v/>
      </c>
      <c r="X190" s="25">
        <f>IF(E190="","",IFERROR(INDEX(lst_JobName,MATCH(E190&amp;"",lst_Jobs,0)),""))</f>
        <v/>
      </c>
      <c r="Y190" s="28">
        <f>IF(E190="","",COUNTIFS(tbl_Finance[Job Number],E190&amp;"",tbl_Finance[Ex GST],"&lt;&gt;"))</f>
        <v/>
      </c>
      <c r="Z190" s="27">
        <f>IF(E190="","",SUMIFS(tbl_Finance[Ex GST],tbl_Finance[Job Number],E190&amp;""))</f>
        <v/>
      </c>
      <c r="AA190" s="27">
        <f>IF(E190="","",SUMIFS(tbl_Finance[Ex GST],tbl_Finance[Job Number],E190&amp;"",tbl_Finance[Xero Invoice No],"&lt;&gt;"))</f>
        <v/>
      </c>
      <c r="AB190" s="27">
        <f>IF(E190="","",Z190-AA190)</f>
        <v/>
      </c>
      <c r="AC190" s="25">
        <f>IF(E190="","",IFERROR(IF(INDEX(tbl_Onsite[Qwilr Quote],IFERROR(MATCH(E190&amp;"",tbl_Onsite[Job Number],0),MATCH(IFERROR(E190+0,E190),tbl_Onsite[Job Number],0)))="","",INDEX(tbl_Onsite[Qwilr Quote],IFERROR(MATCH(E190&amp;"",tbl_Onsite[Job Number],0),MATCH(IFERROR(E190+0,E190),tbl_Onsite[Job Number],0)))),IFERROR(IF(IF(INDEX(tbl_Production[Current RMS No],IFERROR(MATCH(E190&amp;"",tbl_Production[Job Number],0),MATCH(IFERROR(E190+0,E190),tbl_Production[Job Number],0)))="",INDEX(tbl_Production[Qwilr Quote],IFERROR(MATCH(E190&amp;"",tbl_Production[Job Number],0),MATCH(IFERROR(E190+0,E190),tbl_Production[Job Number],0))),INDEX(tbl_Production[Current RMS No],IFERROR(MATCH(E190&amp;"",tbl_Production[Job Number],0),MATCH(IFERROR(E190+0,E190),tbl_Production[Job Number],0))))="","",IF(INDEX(tbl_Production[Current RMS No],IFERROR(MATCH(E190&amp;"",tbl_Production[Job Number],0),MATCH(IFERROR(E190+0,E190),tbl_Production[Job Number],0)))="",INDEX(tbl_Production[Qwilr Quote],IFERROR(MATCH(E190&amp;"",tbl_Production[Job Number],0),MATCH(IFERROR(E190+0,E190),tbl_Production[Job Number],0))),INDEX(tbl_Production[Current RMS No],IFERROR(MATCH(E190&amp;"",tbl_Production[Job Number],0),MATCH(IFERROR(E190+0,E190),tbl_Production[Job Number],0))))),IFERROR(IF(INDEX(tbl_Consulting[Qwilr Quote],IFERROR(MATCH(E190&amp;"",tbl_Consulting[Job Number],0),MATCH(IFERROR(E190+0,E190),tbl_Consulting[Job Number],0)))="","",INDEX(tbl_Consulting[Qwilr Quote],IFERROR(MATCH(E190&amp;"",tbl_Consulting[Job Number],0),MATCH(IFERROR(E190+0,E190),tbl_Consulting[Job Number],0)))),""))))</f>
        <v/>
      </c>
      <c r="AD190" s="25">
        <f>IF(AC190="","",IF(AND(LEFT(AC190,4)&lt;&gt;"http",IF(H190="Production",set_RMSBase,set_QwilrBase)=""),"",HYPERLINK(IF(LEFT(AC190,4)="http",AC190,IF(H190="Production",set_RMSBase,set_QwilrBase)&amp;AC190),"Open")))</f>
        <v/>
      </c>
      <c r="AE190" s="27">
        <f>IF(E190="","",IFERROR(INDEX(tbl_Production[Total Expense],IFERROR(MATCH(E190&amp;"",tbl_Production[Job Number],0),MATCH(IFERROR(E190+0,E190),tbl_Production[Job Number],0))),IFERROR(INDEX(tbl_Consulting[Total Expense],IFERROR(MATCH(E190&amp;"",tbl_Consulting[Job Number],0),MATCH(IFERROR(E190+0,E190),tbl_Consulting[Job Number],0))),0)))</f>
        <v/>
      </c>
      <c r="AF190" s="27">
        <f>IF(E190="","",Z190-N(AE190))</f>
        <v/>
      </c>
      <c r="AG190" s="29">
        <f>IFERROR(AF190/Z190,"")</f>
        <v/>
      </c>
      <c r="AH190" s="25">
        <f>IF(E190="","",IFERROR(IF(INDEX(tbl_Onsite[Notes],IFERROR(MATCH(E190&amp;"",tbl_Onsite[Job Number],0),MATCH(IFERROR(E190+0,E190),tbl_Onsite[Job Number],0)))="","",INDEX(tbl_Onsite[Notes],IFERROR(MATCH(E190&amp;"",tbl_Onsite[Job Number],0),MATCH(IFERROR(E190+0,E190),tbl_Onsite[Job Number],0)))),IFERROR(IF(INDEX(tbl_Production[Notes],IFERROR(MATCH(E190&amp;"",tbl_Production[Job Number],0),MATCH(IFERROR(E190+0,E190),tbl_Production[Job Number],0)))="","",INDEX(tbl_Production[Notes],IFERROR(MATCH(E190&amp;"",tbl_Production[Job Number],0),MATCH(IFERROR(E190+0,E190),tbl_Production[Job Number],0)))),IFERROR(IF(INDEX(tbl_Consulting[Notes],IFERROR(MATCH(E190&amp;"",tbl_Consulting[Job Number],0),MATCH(IFERROR(E190+0,E190),tbl_Consulting[Job Number],0)))="","",INDEX(tbl_Consulting[Notes],IFERROR(MATCH(E190&amp;"",tbl_Consulting[Job Number],0),MATCH(IFERROR(E190+0,E190),tbl_Consulting[Job Number],0)))),""))))</f>
        <v/>
      </c>
    </row>
    <row r="191" ht="15" customHeight="1">
      <c r="A191" s="22" t="n"/>
      <c r="B191" s="23">
        <f>IF(A191="","",EOMONTH(A191,0))</f>
        <v/>
      </c>
      <c r="C191" s="24" t="n"/>
      <c r="D191" s="24" t="n"/>
      <c r="E191" s="24" t="n"/>
      <c r="F191" s="25">
        <f>IF(E191="","",IF(COUNTIF(lst_Jobs,E191&amp;"")&gt;0,"OK","CHECK"))</f>
        <v/>
      </c>
      <c r="G191" s="24" t="n"/>
      <c r="H191" s="24" t="n"/>
      <c r="I191" s="24" t="n"/>
      <c r="J191" s="24" t="n"/>
      <c r="K191" s="24" t="n"/>
      <c r="L191" s="26" t="n"/>
      <c r="M191" s="27">
        <f>IF(L191="","",IF(K191="GST 10%",ROUND(L191*set_GSTRate,2),0))</f>
        <v/>
      </c>
      <c r="N191" s="27">
        <f>IF(L191="","",L191+M191)</f>
        <v/>
      </c>
      <c r="O191" s="24" t="n"/>
      <c r="P191" s="24" t="n"/>
      <c r="Q191" s="24" t="n"/>
      <c r="R191" s="22" t="n"/>
      <c r="S191" s="22" t="n"/>
      <c r="T191" s="24" t="n"/>
      <c r="U191" s="24" t="n"/>
      <c r="V191" s="2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25">
        <f>IF(E191="","",IF(COUNTIF(tbl_Onsite[Job Number],E191&amp;"")&gt;0,"Onsite",IF(COUNTIF(tbl_Production[Job Number],E191&amp;"")&gt;0,"Production",IF(COUNTIF(tbl_Consulting[Job Number],E191&amp;"")&gt;0,"Consulting","not set up yet"))))</f>
        <v/>
      </c>
      <c r="X191" s="25">
        <f>IF(E191="","",IFERROR(INDEX(lst_JobName,MATCH(E191&amp;"",lst_Jobs,0)),""))</f>
        <v/>
      </c>
      <c r="Y191" s="28">
        <f>IF(E191="","",COUNTIFS(tbl_Finance[Job Number],E191&amp;"",tbl_Finance[Ex GST],"&lt;&gt;"))</f>
        <v/>
      </c>
      <c r="Z191" s="27">
        <f>IF(E191="","",SUMIFS(tbl_Finance[Ex GST],tbl_Finance[Job Number],E191&amp;""))</f>
        <v/>
      </c>
      <c r="AA191" s="27">
        <f>IF(E191="","",SUMIFS(tbl_Finance[Ex GST],tbl_Finance[Job Number],E191&amp;"",tbl_Finance[Xero Invoice No],"&lt;&gt;"))</f>
        <v/>
      </c>
      <c r="AB191" s="27">
        <f>IF(E191="","",Z191-AA191)</f>
        <v/>
      </c>
      <c r="AC191" s="25">
        <f>IF(E191="","",IFERROR(IF(INDEX(tbl_Onsite[Qwilr Quote],IFERROR(MATCH(E191&amp;"",tbl_Onsite[Job Number],0),MATCH(IFERROR(E191+0,E191),tbl_Onsite[Job Number],0)))="","",INDEX(tbl_Onsite[Qwilr Quote],IFERROR(MATCH(E191&amp;"",tbl_Onsite[Job Number],0),MATCH(IFERROR(E191+0,E191),tbl_Onsite[Job Number],0)))),IFERROR(IF(IF(INDEX(tbl_Production[Current RMS No],IFERROR(MATCH(E191&amp;"",tbl_Production[Job Number],0),MATCH(IFERROR(E191+0,E191),tbl_Production[Job Number],0)))="",INDEX(tbl_Production[Qwilr Quote],IFERROR(MATCH(E191&amp;"",tbl_Production[Job Number],0),MATCH(IFERROR(E191+0,E191),tbl_Production[Job Number],0))),INDEX(tbl_Production[Current RMS No],IFERROR(MATCH(E191&amp;"",tbl_Production[Job Number],0),MATCH(IFERROR(E191+0,E191),tbl_Production[Job Number],0))))="","",IF(INDEX(tbl_Production[Current RMS No],IFERROR(MATCH(E191&amp;"",tbl_Production[Job Number],0),MATCH(IFERROR(E191+0,E191),tbl_Production[Job Number],0)))="",INDEX(tbl_Production[Qwilr Quote],IFERROR(MATCH(E191&amp;"",tbl_Production[Job Number],0),MATCH(IFERROR(E191+0,E191),tbl_Production[Job Number],0))),INDEX(tbl_Production[Current RMS No],IFERROR(MATCH(E191&amp;"",tbl_Production[Job Number],0),MATCH(IFERROR(E191+0,E191),tbl_Production[Job Number],0))))),IFERROR(IF(INDEX(tbl_Consulting[Qwilr Quote],IFERROR(MATCH(E191&amp;"",tbl_Consulting[Job Number],0),MATCH(IFERROR(E191+0,E191),tbl_Consulting[Job Number],0)))="","",INDEX(tbl_Consulting[Qwilr Quote],IFERROR(MATCH(E191&amp;"",tbl_Consulting[Job Number],0),MATCH(IFERROR(E191+0,E191),tbl_Consulting[Job Number],0)))),""))))</f>
        <v/>
      </c>
      <c r="AD191" s="25">
        <f>IF(AC191="","",IF(AND(LEFT(AC191,4)&lt;&gt;"http",IF(H191="Production",set_RMSBase,set_QwilrBase)=""),"",HYPERLINK(IF(LEFT(AC191,4)="http",AC191,IF(H191="Production",set_RMSBase,set_QwilrBase)&amp;AC191),"Open")))</f>
        <v/>
      </c>
      <c r="AE191" s="27">
        <f>IF(E191="","",IFERROR(INDEX(tbl_Production[Total Expense],IFERROR(MATCH(E191&amp;"",tbl_Production[Job Number],0),MATCH(IFERROR(E191+0,E191),tbl_Production[Job Number],0))),IFERROR(INDEX(tbl_Consulting[Total Expense],IFERROR(MATCH(E191&amp;"",tbl_Consulting[Job Number],0),MATCH(IFERROR(E191+0,E191),tbl_Consulting[Job Number],0))),0)))</f>
        <v/>
      </c>
      <c r="AF191" s="27">
        <f>IF(E191="","",Z191-N(AE191))</f>
        <v/>
      </c>
      <c r="AG191" s="29">
        <f>IFERROR(AF191/Z191,"")</f>
        <v/>
      </c>
      <c r="AH191" s="25">
        <f>IF(E191="","",IFERROR(IF(INDEX(tbl_Onsite[Notes],IFERROR(MATCH(E191&amp;"",tbl_Onsite[Job Number],0),MATCH(IFERROR(E191+0,E191),tbl_Onsite[Job Number],0)))="","",INDEX(tbl_Onsite[Notes],IFERROR(MATCH(E191&amp;"",tbl_Onsite[Job Number],0),MATCH(IFERROR(E191+0,E191),tbl_Onsite[Job Number],0)))),IFERROR(IF(INDEX(tbl_Production[Notes],IFERROR(MATCH(E191&amp;"",tbl_Production[Job Number],0),MATCH(IFERROR(E191+0,E191),tbl_Production[Job Number],0)))="","",INDEX(tbl_Production[Notes],IFERROR(MATCH(E191&amp;"",tbl_Production[Job Number],0),MATCH(IFERROR(E191+0,E191),tbl_Production[Job Number],0)))),IFERROR(IF(INDEX(tbl_Consulting[Notes],IFERROR(MATCH(E191&amp;"",tbl_Consulting[Job Number],0),MATCH(IFERROR(E191+0,E191),tbl_Consulting[Job Number],0)))="","",INDEX(tbl_Consulting[Notes],IFERROR(MATCH(E191&amp;"",tbl_Consulting[Job Number],0),MATCH(IFERROR(E191+0,E191),tbl_Consulting[Job Number],0)))),""))))</f>
        <v/>
      </c>
    </row>
    <row r="192" ht="15" customHeight="1">
      <c r="A192" s="22" t="n"/>
      <c r="B192" s="23">
        <f>IF(A192="","",EOMONTH(A192,0))</f>
        <v/>
      </c>
      <c r="C192" s="24" t="n"/>
      <c r="D192" s="24" t="n"/>
      <c r="E192" s="24" t="n"/>
      <c r="F192" s="25">
        <f>IF(E192="","",IF(COUNTIF(lst_Jobs,E192&amp;"")&gt;0,"OK","CHECK"))</f>
        <v/>
      </c>
      <c r="G192" s="24" t="n"/>
      <c r="H192" s="24" t="n"/>
      <c r="I192" s="24" t="n"/>
      <c r="J192" s="24" t="n"/>
      <c r="K192" s="24" t="n"/>
      <c r="L192" s="26" t="n"/>
      <c r="M192" s="27">
        <f>IF(L192="","",IF(K192="GST 10%",ROUND(L192*set_GSTRate,2),0))</f>
        <v/>
      </c>
      <c r="N192" s="27">
        <f>IF(L192="","",L192+M192)</f>
        <v/>
      </c>
      <c r="O192" s="24" t="n"/>
      <c r="P192" s="24" t="n"/>
      <c r="Q192" s="24" t="n"/>
      <c r="R192" s="22" t="n"/>
      <c r="S192" s="22" t="n"/>
      <c r="T192" s="24" t="n"/>
      <c r="U192" s="24" t="n"/>
      <c r="V192" s="2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25">
        <f>IF(E192="","",IF(COUNTIF(tbl_Onsite[Job Number],E192&amp;"")&gt;0,"Onsite",IF(COUNTIF(tbl_Production[Job Number],E192&amp;"")&gt;0,"Production",IF(COUNTIF(tbl_Consulting[Job Number],E192&amp;"")&gt;0,"Consulting","not set up yet"))))</f>
        <v/>
      </c>
      <c r="X192" s="25">
        <f>IF(E192="","",IFERROR(INDEX(lst_JobName,MATCH(E192&amp;"",lst_Jobs,0)),""))</f>
        <v/>
      </c>
      <c r="Y192" s="28">
        <f>IF(E192="","",COUNTIFS(tbl_Finance[Job Number],E192&amp;"",tbl_Finance[Ex GST],"&lt;&gt;"))</f>
        <v/>
      </c>
      <c r="Z192" s="27">
        <f>IF(E192="","",SUMIFS(tbl_Finance[Ex GST],tbl_Finance[Job Number],E192&amp;""))</f>
        <v/>
      </c>
      <c r="AA192" s="27">
        <f>IF(E192="","",SUMIFS(tbl_Finance[Ex GST],tbl_Finance[Job Number],E192&amp;"",tbl_Finance[Xero Invoice No],"&lt;&gt;"))</f>
        <v/>
      </c>
      <c r="AB192" s="27">
        <f>IF(E192="","",Z192-AA192)</f>
        <v/>
      </c>
      <c r="AC192" s="25">
        <f>IF(E192="","",IFERROR(IF(INDEX(tbl_Onsite[Qwilr Quote],IFERROR(MATCH(E192&amp;"",tbl_Onsite[Job Number],0),MATCH(IFERROR(E192+0,E192),tbl_Onsite[Job Number],0)))="","",INDEX(tbl_Onsite[Qwilr Quote],IFERROR(MATCH(E192&amp;"",tbl_Onsite[Job Number],0),MATCH(IFERROR(E192+0,E192),tbl_Onsite[Job Number],0)))),IFERROR(IF(IF(INDEX(tbl_Production[Current RMS No],IFERROR(MATCH(E192&amp;"",tbl_Production[Job Number],0),MATCH(IFERROR(E192+0,E192),tbl_Production[Job Number],0)))="",INDEX(tbl_Production[Qwilr Quote],IFERROR(MATCH(E192&amp;"",tbl_Production[Job Number],0),MATCH(IFERROR(E192+0,E192),tbl_Production[Job Number],0))),INDEX(tbl_Production[Current RMS No],IFERROR(MATCH(E192&amp;"",tbl_Production[Job Number],0),MATCH(IFERROR(E192+0,E192),tbl_Production[Job Number],0))))="","",IF(INDEX(tbl_Production[Current RMS No],IFERROR(MATCH(E192&amp;"",tbl_Production[Job Number],0),MATCH(IFERROR(E192+0,E192),tbl_Production[Job Number],0)))="",INDEX(tbl_Production[Qwilr Quote],IFERROR(MATCH(E192&amp;"",tbl_Production[Job Number],0),MATCH(IFERROR(E192+0,E192),tbl_Production[Job Number],0))),INDEX(tbl_Production[Current RMS No],IFERROR(MATCH(E192&amp;"",tbl_Production[Job Number],0),MATCH(IFERROR(E192+0,E192),tbl_Production[Job Number],0))))),IFERROR(IF(INDEX(tbl_Consulting[Qwilr Quote],IFERROR(MATCH(E192&amp;"",tbl_Consulting[Job Number],0),MATCH(IFERROR(E192+0,E192),tbl_Consulting[Job Number],0)))="","",INDEX(tbl_Consulting[Qwilr Quote],IFERROR(MATCH(E192&amp;"",tbl_Consulting[Job Number],0),MATCH(IFERROR(E192+0,E192),tbl_Consulting[Job Number],0)))),""))))</f>
        <v/>
      </c>
      <c r="AD192" s="25">
        <f>IF(AC192="","",IF(AND(LEFT(AC192,4)&lt;&gt;"http",IF(H192="Production",set_RMSBase,set_QwilrBase)=""),"",HYPERLINK(IF(LEFT(AC192,4)="http",AC192,IF(H192="Production",set_RMSBase,set_QwilrBase)&amp;AC192),"Open")))</f>
        <v/>
      </c>
      <c r="AE192" s="27">
        <f>IF(E192="","",IFERROR(INDEX(tbl_Production[Total Expense],IFERROR(MATCH(E192&amp;"",tbl_Production[Job Number],0),MATCH(IFERROR(E192+0,E192),tbl_Production[Job Number],0))),IFERROR(INDEX(tbl_Consulting[Total Expense],IFERROR(MATCH(E192&amp;"",tbl_Consulting[Job Number],0),MATCH(IFERROR(E192+0,E192),tbl_Consulting[Job Number],0))),0)))</f>
        <v/>
      </c>
      <c r="AF192" s="27">
        <f>IF(E192="","",Z192-N(AE192))</f>
        <v/>
      </c>
      <c r="AG192" s="29">
        <f>IFERROR(AF192/Z192,"")</f>
        <v/>
      </c>
      <c r="AH192" s="25">
        <f>IF(E192="","",IFERROR(IF(INDEX(tbl_Onsite[Notes],IFERROR(MATCH(E192&amp;"",tbl_Onsite[Job Number],0),MATCH(IFERROR(E192+0,E192),tbl_Onsite[Job Number],0)))="","",INDEX(tbl_Onsite[Notes],IFERROR(MATCH(E192&amp;"",tbl_Onsite[Job Number],0),MATCH(IFERROR(E192+0,E192),tbl_Onsite[Job Number],0)))),IFERROR(IF(INDEX(tbl_Production[Notes],IFERROR(MATCH(E192&amp;"",tbl_Production[Job Number],0),MATCH(IFERROR(E192+0,E192),tbl_Production[Job Number],0)))="","",INDEX(tbl_Production[Notes],IFERROR(MATCH(E192&amp;"",tbl_Production[Job Number],0),MATCH(IFERROR(E192+0,E192),tbl_Production[Job Number],0)))),IFERROR(IF(INDEX(tbl_Consulting[Notes],IFERROR(MATCH(E192&amp;"",tbl_Consulting[Job Number],0),MATCH(IFERROR(E192+0,E192),tbl_Consulting[Job Number],0)))="","",INDEX(tbl_Consulting[Notes],IFERROR(MATCH(E192&amp;"",tbl_Consulting[Job Number],0),MATCH(IFERROR(E192+0,E192),tbl_Consulting[Job Number],0)))),""))))</f>
        <v/>
      </c>
    </row>
    <row r="193" ht="15" customHeight="1">
      <c r="A193" s="22" t="n"/>
      <c r="B193" s="23">
        <f>IF(A193="","",EOMONTH(A193,0))</f>
        <v/>
      </c>
      <c r="C193" s="24" t="n"/>
      <c r="D193" s="24" t="n"/>
      <c r="E193" s="24" t="n"/>
      <c r="F193" s="25">
        <f>IF(E193="","",IF(COUNTIF(lst_Jobs,E193&amp;"")&gt;0,"OK","CHECK"))</f>
        <v/>
      </c>
      <c r="G193" s="24" t="n"/>
      <c r="H193" s="24" t="n"/>
      <c r="I193" s="24" t="n"/>
      <c r="J193" s="24" t="n"/>
      <c r="K193" s="24" t="n"/>
      <c r="L193" s="26" t="n"/>
      <c r="M193" s="27">
        <f>IF(L193="","",IF(K193="GST 10%",ROUND(L193*set_GSTRate,2),0))</f>
        <v/>
      </c>
      <c r="N193" s="27">
        <f>IF(L193="","",L193+M193)</f>
        <v/>
      </c>
      <c r="O193" s="24" t="n"/>
      <c r="P193" s="24" t="n"/>
      <c r="Q193" s="24" t="n"/>
      <c r="R193" s="22" t="n"/>
      <c r="S193" s="22" t="n"/>
      <c r="T193" s="24" t="n"/>
      <c r="U193" s="24" t="n"/>
      <c r="V193" s="2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25">
        <f>IF(E193="","",IF(COUNTIF(tbl_Onsite[Job Number],E193&amp;"")&gt;0,"Onsite",IF(COUNTIF(tbl_Production[Job Number],E193&amp;"")&gt;0,"Production",IF(COUNTIF(tbl_Consulting[Job Number],E193&amp;"")&gt;0,"Consulting","not set up yet"))))</f>
        <v/>
      </c>
      <c r="X193" s="25">
        <f>IF(E193="","",IFERROR(INDEX(lst_JobName,MATCH(E193&amp;"",lst_Jobs,0)),""))</f>
        <v/>
      </c>
      <c r="Y193" s="28">
        <f>IF(E193="","",COUNTIFS(tbl_Finance[Job Number],E193&amp;"",tbl_Finance[Ex GST],"&lt;&gt;"))</f>
        <v/>
      </c>
      <c r="Z193" s="27">
        <f>IF(E193="","",SUMIFS(tbl_Finance[Ex GST],tbl_Finance[Job Number],E193&amp;""))</f>
        <v/>
      </c>
      <c r="AA193" s="27">
        <f>IF(E193="","",SUMIFS(tbl_Finance[Ex GST],tbl_Finance[Job Number],E193&amp;"",tbl_Finance[Xero Invoice No],"&lt;&gt;"))</f>
        <v/>
      </c>
      <c r="AB193" s="27">
        <f>IF(E193="","",Z193-AA193)</f>
        <v/>
      </c>
      <c r="AC193" s="25">
        <f>IF(E193="","",IFERROR(IF(INDEX(tbl_Onsite[Qwilr Quote],IFERROR(MATCH(E193&amp;"",tbl_Onsite[Job Number],0),MATCH(IFERROR(E193+0,E193),tbl_Onsite[Job Number],0)))="","",INDEX(tbl_Onsite[Qwilr Quote],IFERROR(MATCH(E193&amp;"",tbl_Onsite[Job Number],0),MATCH(IFERROR(E193+0,E193),tbl_Onsite[Job Number],0)))),IFERROR(IF(IF(INDEX(tbl_Production[Current RMS No],IFERROR(MATCH(E193&amp;"",tbl_Production[Job Number],0),MATCH(IFERROR(E193+0,E193),tbl_Production[Job Number],0)))="",INDEX(tbl_Production[Qwilr Quote],IFERROR(MATCH(E193&amp;"",tbl_Production[Job Number],0),MATCH(IFERROR(E193+0,E193),tbl_Production[Job Number],0))),INDEX(tbl_Production[Current RMS No],IFERROR(MATCH(E193&amp;"",tbl_Production[Job Number],0),MATCH(IFERROR(E193+0,E193),tbl_Production[Job Number],0))))="","",IF(INDEX(tbl_Production[Current RMS No],IFERROR(MATCH(E193&amp;"",tbl_Production[Job Number],0),MATCH(IFERROR(E193+0,E193),tbl_Production[Job Number],0)))="",INDEX(tbl_Production[Qwilr Quote],IFERROR(MATCH(E193&amp;"",tbl_Production[Job Number],0),MATCH(IFERROR(E193+0,E193),tbl_Production[Job Number],0))),INDEX(tbl_Production[Current RMS No],IFERROR(MATCH(E193&amp;"",tbl_Production[Job Number],0),MATCH(IFERROR(E193+0,E193),tbl_Production[Job Number],0))))),IFERROR(IF(INDEX(tbl_Consulting[Qwilr Quote],IFERROR(MATCH(E193&amp;"",tbl_Consulting[Job Number],0),MATCH(IFERROR(E193+0,E193),tbl_Consulting[Job Number],0)))="","",INDEX(tbl_Consulting[Qwilr Quote],IFERROR(MATCH(E193&amp;"",tbl_Consulting[Job Number],0),MATCH(IFERROR(E193+0,E193),tbl_Consulting[Job Number],0)))),""))))</f>
        <v/>
      </c>
      <c r="AD193" s="25">
        <f>IF(AC193="","",IF(AND(LEFT(AC193,4)&lt;&gt;"http",IF(H193="Production",set_RMSBase,set_QwilrBase)=""),"",HYPERLINK(IF(LEFT(AC193,4)="http",AC193,IF(H193="Production",set_RMSBase,set_QwilrBase)&amp;AC193),"Open")))</f>
        <v/>
      </c>
      <c r="AE193" s="27">
        <f>IF(E193="","",IFERROR(INDEX(tbl_Production[Total Expense],IFERROR(MATCH(E193&amp;"",tbl_Production[Job Number],0),MATCH(IFERROR(E193+0,E193),tbl_Production[Job Number],0))),IFERROR(INDEX(tbl_Consulting[Total Expense],IFERROR(MATCH(E193&amp;"",tbl_Consulting[Job Number],0),MATCH(IFERROR(E193+0,E193),tbl_Consulting[Job Number],0))),0)))</f>
        <v/>
      </c>
      <c r="AF193" s="27">
        <f>IF(E193="","",Z193-N(AE193))</f>
        <v/>
      </c>
      <c r="AG193" s="29">
        <f>IFERROR(AF193/Z193,"")</f>
        <v/>
      </c>
      <c r="AH193" s="25">
        <f>IF(E193="","",IFERROR(IF(INDEX(tbl_Onsite[Notes],IFERROR(MATCH(E193&amp;"",tbl_Onsite[Job Number],0),MATCH(IFERROR(E193+0,E193),tbl_Onsite[Job Number],0)))="","",INDEX(tbl_Onsite[Notes],IFERROR(MATCH(E193&amp;"",tbl_Onsite[Job Number],0),MATCH(IFERROR(E193+0,E193),tbl_Onsite[Job Number],0)))),IFERROR(IF(INDEX(tbl_Production[Notes],IFERROR(MATCH(E193&amp;"",tbl_Production[Job Number],0),MATCH(IFERROR(E193+0,E193),tbl_Production[Job Number],0)))="","",INDEX(tbl_Production[Notes],IFERROR(MATCH(E193&amp;"",tbl_Production[Job Number],0),MATCH(IFERROR(E193+0,E193),tbl_Production[Job Number],0)))),IFERROR(IF(INDEX(tbl_Consulting[Notes],IFERROR(MATCH(E193&amp;"",tbl_Consulting[Job Number],0),MATCH(IFERROR(E193+0,E193),tbl_Consulting[Job Number],0)))="","",INDEX(tbl_Consulting[Notes],IFERROR(MATCH(E193&amp;"",tbl_Consulting[Job Number],0),MATCH(IFERROR(E193+0,E193),tbl_Consulting[Job Number],0)))),""))))</f>
        <v/>
      </c>
    </row>
    <row r="194" ht="15" customHeight="1">
      <c r="A194" s="22" t="n"/>
      <c r="B194" s="23">
        <f>IF(A194="","",EOMONTH(A194,0))</f>
        <v/>
      </c>
      <c r="C194" s="24" t="n"/>
      <c r="D194" s="24" t="n"/>
      <c r="E194" s="24" t="n"/>
      <c r="F194" s="25">
        <f>IF(E194="","",IF(COUNTIF(lst_Jobs,E194&amp;"")&gt;0,"OK","CHECK"))</f>
        <v/>
      </c>
      <c r="G194" s="24" t="n"/>
      <c r="H194" s="24" t="n"/>
      <c r="I194" s="24" t="n"/>
      <c r="J194" s="24" t="n"/>
      <c r="K194" s="24" t="n"/>
      <c r="L194" s="26" t="n"/>
      <c r="M194" s="27">
        <f>IF(L194="","",IF(K194="GST 10%",ROUND(L194*set_GSTRate,2),0))</f>
        <v/>
      </c>
      <c r="N194" s="27">
        <f>IF(L194="","",L194+M194)</f>
        <v/>
      </c>
      <c r="O194" s="24" t="n"/>
      <c r="P194" s="24" t="n"/>
      <c r="Q194" s="24" t="n"/>
      <c r="R194" s="22" t="n"/>
      <c r="S194" s="22" t="n"/>
      <c r="T194" s="24" t="n"/>
      <c r="U194" s="24" t="n"/>
      <c r="V194" s="2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25">
        <f>IF(E194="","",IF(COUNTIF(tbl_Onsite[Job Number],E194&amp;"")&gt;0,"Onsite",IF(COUNTIF(tbl_Production[Job Number],E194&amp;"")&gt;0,"Production",IF(COUNTIF(tbl_Consulting[Job Number],E194&amp;"")&gt;0,"Consulting","not set up yet"))))</f>
        <v/>
      </c>
      <c r="X194" s="25">
        <f>IF(E194="","",IFERROR(INDEX(lst_JobName,MATCH(E194&amp;"",lst_Jobs,0)),""))</f>
        <v/>
      </c>
      <c r="Y194" s="28">
        <f>IF(E194="","",COUNTIFS(tbl_Finance[Job Number],E194&amp;"",tbl_Finance[Ex GST],"&lt;&gt;"))</f>
        <v/>
      </c>
      <c r="Z194" s="27">
        <f>IF(E194="","",SUMIFS(tbl_Finance[Ex GST],tbl_Finance[Job Number],E194&amp;""))</f>
        <v/>
      </c>
      <c r="AA194" s="27">
        <f>IF(E194="","",SUMIFS(tbl_Finance[Ex GST],tbl_Finance[Job Number],E194&amp;"",tbl_Finance[Xero Invoice No],"&lt;&gt;"))</f>
        <v/>
      </c>
      <c r="AB194" s="27">
        <f>IF(E194="","",Z194-AA194)</f>
        <v/>
      </c>
      <c r="AC194" s="25">
        <f>IF(E194="","",IFERROR(IF(INDEX(tbl_Onsite[Qwilr Quote],IFERROR(MATCH(E194&amp;"",tbl_Onsite[Job Number],0),MATCH(IFERROR(E194+0,E194),tbl_Onsite[Job Number],0)))="","",INDEX(tbl_Onsite[Qwilr Quote],IFERROR(MATCH(E194&amp;"",tbl_Onsite[Job Number],0),MATCH(IFERROR(E194+0,E194),tbl_Onsite[Job Number],0)))),IFERROR(IF(IF(INDEX(tbl_Production[Current RMS No],IFERROR(MATCH(E194&amp;"",tbl_Production[Job Number],0),MATCH(IFERROR(E194+0,E194),tbl_Production[Job Number],0)))="",INDEX(tbl_Production[Qwilr Quote],IFERROR(MATCH(E194&amp;"",tbl_Production[Job Number],0),MATCH(IFERROR(E194+0,E194),tbl_Production[Job Number],0))),INDEX(tbl_Production[Current RMS No],IFERROR(MATCH(E194&amp;"",tbl_Production[Job Number],0),MATCH(IFERROR(E194+0,E194),tbl_Production[Job Number],0))))="","",IF(INDEX(tbl_Production[Current RMS No],IFERROR(MATCH(E194&amp;"",tbl_Production[Job Number],0),MATCH(IFERROR(E194+0,E194),tbl_Production[Job Number],0)))="",INDEX(tbl_Production[Qwilr Quote],IFERROR(MATCH(E194&amp;"",tbl_Production[Job Number],0),MATCH(IFERROR(E194+0,E194),tbl_Production[Job Number],0))),INDEX(tbl_Production[Current RMS No],IFERROR(MATCH(E194&amp;"",tbl_Production[Job Number],0),MATCH(IFERROR(E194+0,E194),tbl_Production[Job Number],0))))),IFERROR(IF(INDEX(tbl_Consulting[Qwilr Quote],IFERROR(MATCH(E194&amp;"",tbl_Consulting[Job Number],0),MATCH(IFERROR(E194+0,E194),tbl_Consulting[Job Number],0)))="","",INDEX(tbl_Consulting[Qwilr Quote],IFERROR(MATCH(E194&amp;"",tbl_Consulting[Job Number],0),MATCH(IFERROR(E194+0,E194),tbl_Consulting[Job Number],0)))),""))))</f>
        <v/>
      </c>
      <c r="AD194" s="25">
        <f>IF(AC194="","",IF(AND(LEFT(AC194,4)&lt;&gt;"http",IF(H194="Production",set_RMSBase,set_QwilrBase)=""),"",HYPERLINK(IF(LEFT(AC194,4)="http",AC194,IF(H194="Production",set_RMSBase,set_QwilrBase)&amp;AC194),"Open")))</f>
        <v/>
      </c>
      <c r="AE194" s="27">
        <f>IF(E194="","",IFERROR(INDEX(tbl_Production[Total Expense],IFERROR(MATCH(E194&amp;"",tbl_Production[Job Number],0),MATCH(IFERROR(E194+0,E194),tbl_Production[Job Number],0))),IFERROR(INDEX(tbl_Consulting[Total Expense],IFERROR(MATCH(E194&amp;"",tbl_Consulting[Job Number],0),MATCH(IFERROR(E194+0,E194),tbl_Consulting[Job Number],0))),0)))</f>
        <v/>
      </c>
      <c r="AF194" s="27">
        <f>IF(E194="","",Z194-N(AE194))</f>
        <v/>
      </c>
      <c r="AG194" s="29">
        <f>IFERROR(AF194/Z194,"")</f>
        <v/>
      </c>
      <c r="AH194" s="25">
        <f>IF(E194="","",IFERROR(IF(INDEX(tbl_Onsite[Notes],IFERROR(MATCH(E194&amp;"",tbl_Onsite[Job Number],0),MATCH(IFERROR(E194+0,E194),tbl_Onsite[Job Number],0)))="","",INDEX(tbl_Onsite[Notes],IFERROR(MATCH(E194&amp;"",tbl_Onsite[Job Number],0),MATCH(IFERROR(E194+0,E194),tbl_Onsite[Job Number],0)))),IFERROR(IF(INDEX(tbl_Production[Notes],IFERROR(MATCH(E194&amp;"",tbl_Production[Job Number],0),MATCH(IFERROR(E194+0,E194),tbl_Production[Job Number],0)))="","",INDEX(tbl_Production[Notes],IFERROR(MATCH(E194&amp;"",tbl_Production[Job Number],0),MATCH(IFERROR(E194+0,E194),tbl_Production[Job Number],0)))),IFERROR(IF(INDEX(tbl_Consulting[Notes],IFERROR(MATCH(E194&amp;"",tbl_Consulting[Job Number],0),MATCH(IFERROR(E194+0,E194),tbl_Consulting[Job Number],0)))="","",INDEX(tbl_Consulting[Notes],IFERROR(MATCH(E194&amp;"",tbl_Consulting[Job Number],0),MATCH(IFERROR(E194+0,E194),tbl_Consulting[Job Number],0)))),""))))</f>
        <v/>
      </c>
    </row>
    <row r="195" ht="15" customHeight="1">
      <c r="A195" s="22" t="n"/>
      <c r="B195" s="23">
        <f>IF(A195="","",EOMONTH(A195,0))</f>
        <v/>
      </c>
      <c r="C195" s="24" t="n"/>
      <c r="D195" s="24" t="n"/>
      <c r="E195" s="24" t="n"/>
      <c r="F195" s="25">
        <f>IF(E195="","",IF(COUNTIF(lst_Jobs,E195&amp;"")&gt;0,"OK","CHECK"))</f>
        <v/>
      </c>
      <c r="G195" s="24" t="n"/>
      <c r="H195" s="24" t="n"/>
      <c r="I195" s="24" t="n"/>
      <c r="J195" s="24" t="n"/>
      <c r="K195" s="24" t="n"/>
      <c r="L195" s="26" t="n"/>
      <c r="M195" s="27">
        <f>IF(L195="","",IF(K195="GST 10%",ROUND(L195*set_GSTRate,2),0))</f>
        <v/>
      </c>
      <c r="N195" s="27">
        <f>IF(L195="","",L195+M195)</f>
        <v/>
      </c>
      <c r="O195" s="24" t="n"/>
      <c r="P195" s="24" t="n"/>
      <c r="Q195" s="24" t="n"/>
      <c r="R195" s="22" t="n"/>
      <c r="S195" s="22" t="n"/>
      <c r="T195" s="24" t="n"/>
      <c r="U195" s="24" t="n"/>
      <c r="V195" s="2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25">
        <f>IF(E195="","",IF(COUNTIF(tbl_Onsite[Job Number],E195&amp;"")&gt;0,"Onsite",IF(COUNTIF(tbl_Production[Job Number],E195&amp;"")&gt;0,"Production",IF(COUNTIF(tbl_Consulting[Job Number],E195&amp;"")&gt;0,"Consulting","not set up yet"))))</f>
        <v/>
      </c>
      <c r="X195" s="25">
        <f>IF(E195="","",IFERROR(INDEX(lst_JobName,MATCH(E195&amp;"",lst_Jobs,0)),""))</f>
        <v/>
      </c>
      <c r="Y195" s="28">
        <f>IF(E195="","",COUNTIFS(tbl_Finance[Job Number],E195&amp;"",tbl_Finance[Ex GST],"&lt;&gt;"))</f>
        <v/>
      </c>
      <c r="Z195" s="27">
        <f>IF(E195="","",SUMIFS(tbl_Finance[Ex GST],tbl_Finance[Job Number],E195&amp;""))</f>
        <v/>
      </c>
      <c r="AA195" s="27">
        <f>IF(E195="","",SUMIFS(tbl_Finance[Ex GST],tbl_Finance[Job Number],E195&amp;"",tbl_Finance[Xero Invoice No],"&lt;&gt;"))</f>
        <v/>
      </c>
      <c r="AB195" s="27">
        <f>IF(E195="","",Z195-AA195)</f>
        <v/>
      </c>
      <c r="AC195" s="25">
        <f>IF(E195="","",IFERROR(IF(INDEX(tbl_Onsite[Qwilr Quote],IFERROR(MATCH(E195&amp;"",tbl_Onsite[Job Number],0),MATCH(IFERROR(E195+0,E195),tbl_Onsite[Job Number],0)))="","",INDEX(tbl_Onsite[Qwilr Quote],IFERROR(MATCH(E195&amp;"",tbl_Onsite[Job Number],0),MATCH(IFERROR(E195+0,E195),tbl_Onsite[Job Number],0)))),IFERROR(IF(IF(INDEX(tbl_Production[Current RMS No],IFERROR(MATCH(E195&amp;"",tbl_Production[Job Number],0),MATCH(IFERROR(E195+0,E195),tbl_Production[Job Number],0)))="",INDEX(tbl_Production[Qwilr Quote],IFERROR(MATCH(E195&amp;"",tbl_Production[Job Number],0),MATCH(IFERROR(E195+0,E195),tbl_Production[Job Number],0))),INDEX(tbl_Production[Current RMS No],IFERROR(MATCH(E195&amp;"",tbl_Production[Job Number],0),MATCH(IFERROR(E195+0,E195),tbl_Production[Job Number],0))))="","",IF(INDEX(tbl_Production[Current RMS No],IFERROR(MATCH(E195&amp;"",tbl_Production[Job Number],0),MATCH(IFERROR(E195+0,E195),tbl_Production[Job Number],0)))="",INDEX(tbl_Production[Qwilr Quote],IFERROR(MATCH(E195&amp;"",tbl_Production[Job Number],0),MATCH(IFERROR(E195+0,E195),tbl_Production[Job Number],0))),INDEX(tbl_Production[Current RMS No],IFERROR(MATCH(E195&amp;"",tbl_Production[Job Number],0),MATCH(IFERROR(E195+0,E195),tbl_Production[Job Number],0))))),IFERROR(IF(INDEX(tbl_Consulting[Qwilr Quote],IFERROR(MATCH(E195&amp;"",tbl_Consulting[Job Number],0),MATCH(IFERROR(E195+0,E195),tbl_Consulting[Job Number],0)))="","",INDEX(tbl_Consulting[Qwilr Quote],IFERROR(MATCH(E195&amp;"",tbl_Consulting[Job Number],0),MATCH(IFERROR(E195+0,E195),tbl_Consulting[Job Number],0)))),""))))</f>
        <v/>
      </c>
      <c r="AD195" s="25">
        <f>IF(AC195="","",IF(AND(LEFT(AC195,4)&lt;&gt;"http",IF(H195="Production",set_RMSBase,set_QwilrBase)=""),"",HYPERLINK(IF(LEFT(AC195,4)="http",AC195,IF(H195="Production",set_RMSBase,set_QwilrBase)&amp;AC195),"Open")))</f>
        <v/>
      </c>
      <c r="AE195" s="27">
        <f>IF(E195="","",IFERROR(INDEX(tbl_Production[Total Expense],IFERROR(MATCH(E195&amp;"",tbl_Production[Job Number],0),MATCH(IFERROR(E195+0,E195),tbl_Production[Job Number],0))),IFERROR(INDEX(tbl_Consulting[Total Expense],IFERROR(MATCH(E195&amp;"",tbl_Consulting[Job Number],0),MATCH(IFERROR(E195+0,E195),tbl_Consulting[Job Number],0))),0)))</f>
        <v/>
      </c>
      <c r="AF195" s="27">
        <f>IF(E195="","",Z195-N(AE195))</f>
        <v/>
      </c>
      <c r="AG195" s="29">
        <f>IFERROR(AF195/Z195,"")</f>
        <v/>
      </c>
      <c r="AH195" s="25">
        <f>IF(E195="","",IFERROR(IF(INDEX(tbl_Onsite[Notes],IFERROR(MATCH(E195&amp;"",tbl_Onsite[Job Number],0),MATCH(IFERROR(E195+0,E195),tbl_Onsite[Job Number],0)))="","",INDEX(tbl_Onsite[Notes],IFERROR(MATCH(E195&amp;"",tbl_Onsite[Job Number],0),MATCH(IFERROR(E195+0,E195),tbl_Onsite[Job Number],0)))),IFERROR(IF(INDEX(tbl_Production[Notes],IFERROR(MATCH(E195&amp;"",tbl_Production[Job Number],0),MATCH(IFERROR(E195+0,E195),tbl_Production[Job Number],0)))="","",INDEX(tbl_Production[Notes],IFERROR(MATCH(E195&amp;"",tbl_Production[Job Number],0),MATCH(IFERROR(E195+0,E195),tbl_Production[Job Number],0)))),IFERROR(IF(INDEX(tbl_Consulting[Notes],IFERROR(MATCH(E195&amp;"",tbl_Consulting[Job Number],0),MATCH(IFERROR(E195+0,E195),tbl_Consulting[Job Number],0)))="","",INDEX(tbl_Consulting[Notes],IFERROR(MATCH(E195&amp;"",tbl_Consulting[Job Number],0),MATCH(IFERROR(E195+0,E195),tbl_Consulting[Job Number],0)))),""))))</f>
        <v/>
      </c>
    </row>
    <row r="196" ht="15" customHeight="1">
      <c r="A196" s="22" t="n"/>
      <c r="B196" s="23">
        <f>IF(A196="","",EOMONTH(A196,0))</f>
        <v/>
      </c>
      <c r="C196" s="24" t="n"/>
      <c r="D196" s="24" t="n"/>
      <c r="E196" s="24" t="n"/>
      <c r="F196" s="25">
        <f>IF(E196="","",IF(COUNTIF(lst_Jobs,E196&amp;"")&gt;0,"OK","CHECK"))</f>
        <v/>
      </c>
      <c r="G196" s="24" t="n"/>
      <c r="H196" s="24" t="n"/>
      <c r="I196" s="24" t="n"/>
      <c r="J196" s="24" t="n"/>
      <c r="K196" s="24" t="n"/>
      <c r="L196" s="26" t="n"/>
      <c r="M196" s="27">
        <f>IF(L196="","",IF(K196="GST 10%",ROUND(L196*set_GSTRate,2),0))</f>
        <v/>
      </c>
      <c r="N196" s="27">
        <f>IF(L196="","",L196+M196)</f>
        <v/>
      </c>
      <c r="O196" s="24" t="n"/>
      <c r="P196" s="24" t="n"/>
      <c r="Q196" s="24" t="n"/>
      <c r="R196" s="22" t="n"/>
      <c r="S196" s="22" t="n"/>
      <c r="T196" s="24" t="n"/>
      <c r="U196" s="24" t="n"/>
      <c r="V196" s="2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25">
        <f>IF(E196="","",IF(COUNTIF(tbl_Onsite[Job Number],E196&amp;"")&gt;0,"Onsite",IF(COUNTIF(tbl_Production[Job Number],E196&amp;"")&gt;0,"Production",IF(COUNTIF(tbl_Consulting[Job Number],E196&amp;"")&gt;0,"Consulting","not set up yet"))))</f>
        <v/>
      </c>
      <c r="X196" s="25">
        <f>IF(E196="","",IFERROR(INDEX(lst_JobName,MATCH(E196&amp;"",lst_Jobs,0)),""))</f>
        <v/>
      </c>
      <c r="Y196" s="28">
        <f>IF(E196="","",COUNTIFS(tbl_Finance[Job Number],E196&amp;"",tbl_Finance[Ex GST],"&lt;&gt;"))</f>
        <v/>
      </c>
      <c r="Z196" s="27">
        <f>IF(E196="","",SUMIFS(tbl_Finance[Ex GST],tbl_Finance[Job Number],E196&amp;""))</f>
        <v/>
      </c>
      <c r="AA196" s="27">
        <f>IF(E196="","",SUMIFS(tbl_Finance[Ex GST],tbl_Finance[Job Number],E196&amp;"",tbl_Finance[Xero Invoice No],"&lt;&gt;"))</f>
        <v/>
      </c>
      <c r="AB196" s="27">
        <f>IF(E196="","",Z196-AA196)</f>
        <v/>
      </c>
      <c r="AC196" s="25">
        <f>IF(E196="","",IFERROR(IF(INDEX(tbl_Onsite[Qwilr Quote],IFERROR(MATCH(E196&amp;"",tbl_Onsite[Job Number],0),MATCH(IFERROR(E196+0,E196),tbl_Onsite[Job Number],0)))="","",INDEX(tbl_Onsite[Qwilr Quote],IFERROR(MATCH(E196&amp;"",tbl_Onsite[Job Number],0),MATCH(IFERROR(E196+0,E196),tbl_Onsite[Job Number],0)))),IFERROR(IF(IF(INDEX(tbl_Production[Current RMS No],IFERROR(MATCH(E196&amp;"",tbl_Production[Job Number],0),MATCH(IFERROR(E196+0,E196),tbl_Production[Job Number],0)))="",INDEX(tbl_Production[Qwilr Quote],IFERROR(MATCH(E196&amp;"",tbl_Production[Job Number],0),MATCH(IFERROR(E196+0,E196),tbl_Production[Job Number],0))),INDEX(tbl_Production[Current RMS No],IFERROR(MATCH(E196&amp;"",tbl_Production[Job Number],0),MATCH(IFERROR(E196+0,E196),tbl_Production[Job Number],0))))="","",IF(INDEX(tbl_Production[Current RMS No],IFERROR(MATCH(E196&amp;"",tbl_Production[Job Number],0),MATCH(IFERROR(E196+0,E196),tbl_Production[Job Number],0)))="",INDEX(tbl_Production[Qwilr Quote],IFERROR(MATCH(E196&amp;"",tbl_Production[Job Number],0),MATCH(IFERROR(E196+0,E196),tbl_Production[Job Number],0))),INDEX(tbl_Production[Current RMS No],IFERROR(MATCH(E196&amp;"",tbl_Production[Job Number],0),MATCH(IFERROR(E196+0,E196),tbl_Production[Job Number],0))))),IFERROR(IF(INDEX(tbl_Consulting[Qwilr Quote],IFERROR(MATCH(E196&amp;"",tbl_Consulting[Job Number],0),MATCH(IFERROR(E196+0,E196),tbl_Consulting[Job Number],0)))="","",INDEX(tbl_Consulting[Qwilr Quote],IFERROR(MATCH(E196&amp;"",tbl_Consulting[Job Number],0),MATCH(IFERROR(E196+0,E196),tbl_Consulting[Job Number],0)))),""))))</f>
        <v/>
      </c>
      <c r="AD196" s="25">
        <f>IF(AC196="","",IF(AND(LEFT(AC196,4)&lt;&gt;"http",IF(H196="Production",set_RMSBase,set_QwilrBase)=""),"",HYPERLINK(IF(LEFT(AC196,4)="http",AC196,IF(H196="Production",set_RMSBase,set_QwilrBase)&amp;AC196),"Open")))</f>
        <v/>
      </c>
      <c r="AE196" s="27">
        <f>IF(E196="","",IFERROR(INDEX(tbl_Production[Total Expense],IFERROR(MATCH(E196&amp;"",tbl_Production[Job Number],0),MATCH(IFERROR(E196+0,E196),tbl_Production[Job Number],0))),IFERROR(INDEX(tbl_Consulting[Total Expense],IFERROR(MATCH(E196&amp;"",tbl_Consulting[Job Number],0),MATCH(IFERROR(E196+0,E196),tbl_Consulting[Job Number],0))),0)))</f>
        <v/>
      </c>
      <c r="AF196" s="27">
        <f>IF(E196="","",Z196-N(AE196))</f>
        <v/>
      </c>
      <c r="AG196" s="29">
        <f>IFERROR(AF196/Z196,"")</f>
        <v/>
      </c>
      <c r="AH196" s="25">
        <f>IF(E196="","",IFERROR(IF(INDEX(tbl_Onsite[Notes],IFERROR(MATCH(E196&amp;"",tbl_Onsite[Job Number],0),MATCH(IFERROR(E196+0,E196),tbl_Onsite[Job Number],0)))="","",INDEX(tbl_Onsite[Notes],IFERROR(MATCH(E196&amp;"",tbl_Onsite[Job Number],0),MATCH(IFERROR(E196+0,E196),tbl_Onsite[Job Number],0)))),IFERROR(IF(INDEX(tbl_Production[Notes],IFERROR(MATCH(E196&amp;"",tbl_Production[Job Number],0),MATCH(IFERROR(E196+0,E196),tbl_Production[Job Number],0)))="","",INDEX(tbl_Production[Notes],IFERROR(MATCH(E196&amp;"",tbl_Production[Job Number],0),MATCH(IFERROR(E196+0,E196),tbl_Production[Job Number],0)))),IFERROR(IF(INDEX(tbl_Consulting[Notes],IFERROR(MATCH(E196&amp;"",tbl_Consulting[Job Number],0),MATCH(IFERROR(E196+0,E196),tbl_Consulting[Job Number],0)))="","",INDEX(tbl_Consulting[Notes],IFERROR(MATCH(E196&amp;"",tbl_Consulting[Job Number],0),MATCH(IFERROR(E196+0,E196),tbl_Consulting[Job Number],0)))),""))))</f>
        <v/>
      </c>
    </row>
    <row r="197" ht="15" customHeight="1">
      <c r="A197" s="22" t="n"/>
      <c r="B197" s="23">
        <f>IF(A197="","",EOMONTH(A197,0))</f>
        <v/>
      </c>
      <c r="C197" s="24" t="n"/>
      <c r="D197" s="24" t="n"/>
      <c r="E197" s="24" t="n"/>
      <c r="F197" s="25">
        <f>IF(E197="","",IF(COUNTIF(lst_Jobs,E197&amp;"")&gt;0,"OK","CHECK"))</f>
        <v/>
      </c>
      <c r="G197" s="24" t="n"/>
      <c r="H197" s="24" t="n"/>
      <c r="I197" s="24" t="n"/>
      <c r="J197" s="24" t="n"/>
      <c r="K197" s="24" t="n"/>
      <c r="L197" s="26" t="n"/>
      <c r="M197" s="27">
        <f>IF(L197="","",IF(K197="GST 10%",ROUND(L197*set_GSTRate,2),0))</f>
        <v/>
      </c>
      <c r="N197" s="27">
        <f>IF(L197="","",L197+M197)</f>
        <v/>
      </c>
      <c r="O197" s="24" t="n"/>
      <c r="P197" s="24" t="n"/>
      <c r="Q197" s="24" t="n"/>
      <c r="R197" s="22" t="n"/>
      <c r="S197" s="22" t="n"/>
      <c r="T197" s="24" t="n"/>
      <c r="U197" s="24" t="n"/>
      <c r="V197" s="2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25">
        <f>IF(E197="","",IF(COUNTIF(tbl_Onsite[Job Number],E197&amp;"")&gt;0,"Onsite",IF(COUNTIF(tbl_Production[Job Number],E197&amp;"")&gt;0,"Production",IF(COUNTIF(tbl_Consulting[Job Number],E197&amp;"")&gt;0,"Consulting","not set up yet"))))</f>
        <v/>
      </c>
      <c r="X197" s="25">
        <f>IF(E197="","",IFERROR(INDEX(lst_JobName,MATCH(E197&amp;"",lst_Jobs,0)),""))</f>
        <v/>
      </c>
      <c r="Y197" s="28">
        <f>IF(E197="","",COUNTIFS(tbl_Finance[Job Number],E197&amp;"",tbl_Finance[Ex GST],"&lt;&gt;"))</f>
        <v/>
      </c>
      <c r="Z197" s="27">
        <f>IF(E197="","",SUMIFS(tbl_Finance[Ex GST],tbl_Finance[Job Number],E197&amp;""))</f>
        <v/>
      </c>
      <c r="AA197" s="27">
        <f>IF(E197="","",SUMIFS(tbl_Finance[Ex GST],tbl_Finance[Job Number],E197&amp;"",tbl_Finance[Xero Invoice No],"&lt;&gt;"))</f>
        <v/>
      </c>
      <c r="AB197" s="27">
        <f>IF(E197="","",Z197-AA197)</f>
        <v/>
      </c>
      <c r="AC197" s="25">
        <f>IF(E197="","",IFERROR(IF(INDEX(tbl_Onsite[Qwilr Quote],IFERROR(MATCH(E197&amp;"",tbl_Onsite[Job Number],0),MATCH(IFERROR(E197+0,E197),tbl_Onsite[Job Number],0)))="","",INDEX(tbl_Onsite[Qwilr Quote],IFERROR(MATCH(E197&amp;"",tbl_Onsite[Job Number],0),MATCH(IFERROR(E197+0,E197),tbl_Onsite[Job Number],0)))),IFERROR(IF(IF(INDEX(tbl_Production[Current RMS No],IFERROR(MATCH(E197&amp;"",tbl_Production[Job Number],0),MATCH(IFERROR(E197+0,E197),tbl_Production[Job Number],0)))="",INDEX(tbl_Production[Qwilr Quote],IFERROR(MATCH(E197&amp;"",tbl_Production[Job Number],0),MATCH(IFERROR(E197+0,E197),tbl_Production[Job Number],0))),INDEX(tbl_Production[Current RMS No],IFERROR(MATCH(E197&amp;"",tbl_Production[Job Number],0),MATCH(IFERROR(E197+0,E197),tbl_Production[Job Number],0))))="","",IF(INDEX(tbl_Production[Current RMS No],IFERROR(MATCH(E197&amp;"",tbl_Production[Job Number],0),MATCH(IFERROR(E197+0,E197),tbl_Production[Job Number],0)))="",INDEX(tbl_Production[Qwilr Quote],IFERROR(MATCH(E197&amp;"",tbl_Production[Job Number],0),MATCH(IFERROR(E197+0,E197),tbl_Production[Job Number],0))),INDEX(tbl_Production[Current RMS No],IFERROR(MATCH(E197&amp;"",tbl_Production[Job Number],0),MATCH(IFERROR(E197+0,E197),tbl_Production[Job Number],0))))),IFERROR(IF(INDEX(tbl_Consulting[Qwilr Quote],IFERROR(MATCH(E197&amp;"",tbl_Consulting[Job Number],0),MATCH(IFERROR(E197+0,E197),tbl_Consulting[Job Number],0)))="","",INDEX(tbl_Consulting[Qwilr Quote],IFERROR(MATCH(E197&amp;"",tbl_Consulting[Job Number],0),MATCH(IFERROR(E197+0,E197),tbl_Consulting[Job Number],0)))),""))))</f>
        <v/>
      </c>
      <c r="AD197" s="25">
        <f>IF(AC197="","",IF(AND(LEFT(AC197,4)&lt;&gt;"http",IF(H197="Production",set_RMSBase,set_QwilrBase)=""),"",HYPERLINK(IF(LEFT(AC197,4)="http",AC197,IF(H197="Production",set_RMSBase,set_QwilrBase)&amp;AC197),"Open")))</f>
        <v/>
      </c>
      <c r="AE197" s="27">
        <f>IF(E197="","",IFERROR(INDEX(tbl_Production[Total Expense],IFERROR(MATCH(E197&amp;"",tbl_Production[Job Number],0),MATCH(IFERROR(E197+0,E197),tbl_Production[Job Number],0))),IFERROR(INDEX(tbl_Consulting[Total Expense],IFERROR(MATCH(E197&amp;"",tbl_Consulting[Job Number],0),MATCH(IFERROR(E197+0,E197),tbl_Consulting[Job Number],0))),0)))</f>
        <v/>
      </c>
      <c r="AF197" s="27">
        <f>IF(E197="","",Z197-N(AE197))</f>
        <v/>
      </c>
      <c r="AG197" s="29">
        <f>IFERROR(AF197/Z197,"")</f>
        <v/>
      </c>
      <c r="AH197" s="25">
        <f>IF(E197="","",IFERROR(IF(INDEX(tbl_Onsite[Notes],IFERROR(MATCH(E197&amp;"",tbl_Onsite[Job Number],0),MATCH(IFERROR(E197+0,E197),tbl_Onsite[Job Number],0)))="","",INDEX(tbl_Onsite[Notes],IFERROR(MATCH(E197&amp;"",tbl_Onsite[Job Number],0),MATCH(IFERROR(E197+0,E197),tbl_Onsite[Job Number],0)))),IFERROR(IF(INDEX(tbl_Production[Notes],IFERROR(MATCH(E197&amp;"",tbl_Production[Job Number],0),MATCH(IFERROR(E197+0,E197),tbl_Production[Job Number],0)))="","",INDEX(tbl_Production[Notes],IFERROR(MATCH(E197&amp;"",tbl_Production[Job Number],0),MATCH(IFERROR(E197+0,E197),tbl_Production[Job Number],0)))),IFERROR(IF(INDEX(tbl_Consulting[Notes],IFERROR(MATCH(E197&amp;"",tbl_Consulting[Job Number],0),MATCH(IFERROR(E197+0,E197),tbl_Consulting[Job Number],0)))="","",INDEX(tbl_Consulting[Notes],IFERROR(MATCH(E197&amp;"",tbl_Consulting[Job Number],0),MATCH(IFERROR(E197+0,E197),tbl_Consulting[Job Number],0)))),""))))</f>
        <v/>
      </c>
    </row>
    <row r="198" ht="15" customHeight="1">
      <c r="A198" s="22" t="n"/>
      <c r="B198" s="23">
        <f>IF(A198="","",EOMONTH(A198,0))</f>
        <v/>
      </c>
      <c r="C198" s="24" t="n"/>
      <c r="D198" s="24" t="n"/>
      <c r="E198" s="24" t="n"/>
      <c r="F198" s="25">
        <f>IF(E198="","",IF(COUNTIF(lst_Jobs,E198&amp;"")&gt;0,"OK","CHECK"))</f>
        <v/>
      </c>
      <c r="G198" s="24" t="n"/>
      <c r="H198" s="24" t="n"/>
      <c r="I198" s="24" t="n"/>
      <c r="J198" s="24" t="n"/>
      <c r="K198" s="24" t="n"/>
      <c r="L198" s="26" t="n"/>
      <c r="M198" s="27">
        <f>IF(L198="","",IF(K198="GST 10%",ROUND(L198*set_GSTRate,2),0))</f>
        <v/>
      </c>
      <c r="N198" s="27">
        <f>IF(L198="","",L198+M198)</f>
        <v/>
      </c>
      <c r="O198" s="24" t="n"/>
      <c r="P198" s="24" t="n"/>
      <c r="Q198" s="24" t="n"/>
      <c r="R198" s="22" t="n"/>
      <c r="S198" s="22" t="n"/>
      <c r="T198" s="24" t="n"/>
      <c r="U198" s="24" t="n"/>
      <c r="V198" s="2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25">
        <f>IF(E198="","",IF(COUNTIF(tbl_Onsite[Job Number],E198&amp;"")&gt;0,"Onsite",IF(COUNTIF(tbl_Production[Job Number],E198&amp;"")&gt;0,"Production",IF(COUNTIF(tbl_Consulting[Job Number],E198&amp;"")&gt;0,"Consulting","not set up yet"))))</f>
        <v/>
      </c>
      <c r="X198" s="25">
        <f>IF(E198="","",IFERROR(INDEX(lst_JobName,MATCH(E198&amp;"",lst_Jobs,0)),""))</f>
        <v/>
      </c>
      <c r="Y198" s="28">
        <f>IF(E198="","",COUNTIFS(tbl_Finance[Job Number],E198&amp;"",tbl_Finance[Ex GST],"&lt;&gt;"))</f>
        <v/>
      </c>
      <c r="Z198" s="27">
        <f>IF(E198="","",SUMIFS(tbl_Finance[Ex GST],tbl_Finance[Job Number],E198&amp;""))</f>
        <v/>
      </c>
      <c r="AA198" s="27">
        <f>IF(E198="","",SUMIFS(tbl_Finance[Ex GST],tbl_Finance[Job Number],E198&amp;"",tbl_Finance[Xero Invoice No],"&lt;&gt;"))</f>
        <v/>
      </c>
      <c r="AB198" s="27">
        <f>IF(E198="","",Z198-AA198)</f>
        <v/>
      </c>
      <c r="AC198" s="25">
        <f>IF(E198="","",IFERROR(IF(INDEX(tbl_Onsite[Qwilr Quote],IFERROR(MATCH(E198&amp;"",tbl_Onsite[Job Number],0),MATCH(IFERROR(E198+0,E198),tbl_Onsite[Job Number],0)))="","",INDEX(tbl_Onsite[Qwilr Quote],IFERROR(MATCH(E198&amp;"",tbl_Onsite[Job Number],0),MATCH(IFERROR(E198+0,E198),tbl_Onsite[Job Number],0)))),IFERROR(IF(IF(INDEX(tbl_Production[Current RMS No],IFERROR(MATCH(E198&amp;"",tbl_Production[Job Number],0),MATCH(IFERROR(E198+0,E198),tbl_Production[Job Number],0)))="",INDEX(tbl_Production[Qwilr Quote],IFERROR(MATCH(E198&amp;"",tbl_Production[Job Number],0),MATCH(IFERROR(E198+0,E198),tbl_Production[Job Number],0))),INDEX(tbl_Production[Current RMS No],IFERROR(MATCH(E198&amp;"",tbl_Production[Job Number],0),MATCH(IFERROR(E198+0,E198),tbl_Production[Job Number],0))))="","",IF(INDEX(tbl_Production[Current RMS No],IFERROR(MATCH(E198&amp;"",tbl_Production[Job Number],0),MATCH(IFERROR(E198+0,E198),tbl_Production[Job Number],0)))="",INDEX(tbl_Production[Qwilr Quote],IFERROR(MATCH(E198&amp;"",tbl_Production[Job Number],0),MATCH(IFERROR(E198+0,E198),tbl_Production[Job Number],0))),INDEX(tbl_Production[Current RMS No],IFERROR(MATCH(E198&amp;"",tbl_Production[Job Number],0),MATCH(IFERROR(E198+0,E198),tbl_Production[Job Number],0))))),IFERROR(IF(INDEX(tbl_Consulting[Qwilr Quote],IFERROR(MATCH(E198&amp;"",tbl_Consulting[Job Number],0),MATCH(IFERROR(E198+0,E198),tbl_Consulting[Job Number],0)))="","",INDEX(tbl_Consulting[Qwilr Quote],IFERROR(MATCH(E198&amp;"",tbl_Consulting[Job Number],0),MATCH(IFERROR(E198+0,E198),tbl_Consulting[Job Number],0)))),""))))</f>
        <v/>
      </c>
      <c r="AD198" s="25">
        <f>IF(AC198="","",IF(AND(LEFT(AC198,4)&lt;&gt;"http",IF(H198="Production",set_RMSBase,set_QwilrBase)=""),"",HYPERLINK(IF(LEFT(AC198,4)="http",AC198,IF(H198="Production",set_RMSBase,set_QwilrBase)&amp;AC198),"Open")))</f>
        <v/>
      </c>
      <c r="AE198" s="27">
        <f>IF(E198="","",IFERROR(INDEX(tbl_Production[Total Expense],IFERROR(MATCH(E198&amp;"",tbl_Production[Job Number],0),MATCH(IFERROR(E198+0,E198),tbl_Production[Job Number],0))),IFERROR(INDEX(tbl_Consulting[Total Expense],IFERROR(MATCH(E198&amp;"",tbl_Consulting[Job Number],0),MATCH(IFERROR(E198+0,E198),tbl_Consulting[Job Number],0))),0)))</f>
        <v/>
      </c>
      <c r="AF198" s="27">
        <f>IF(E198="","",Z198-N(AE198))</f>
        <v/>
      </c>
      <c r="AG198" s="29">
        <f>IFERROR(AF198/Z198,"")</f>
        <v/>
      </c>
      <c r="AH198" s="25">
        <f>IF(E198="","",IFERROR(IF(INDEX(tbl_Onsite[Notes],IFERROR(MATCH(E198&amp;"",tbl_Onsite[Job Number],0),MATCH(IFERROR(E198+0,E198),tbl_Onsite[Job Number],0)))="","",INDEX(tbl_Onsite[Notes],IFERROR(MATCH(E198&amp;"",tbl_Onsite[Job Number],0),MATCH(IFERROR(E198+0,E198),tbl_Onsite[Job Number],0)))),IFERROR(IF(INDEX(tbl_Production[Notes],IFERROR(MATCH(E198&amp;"",tbl_Production[Job Number],0),MATCH(IFERROR(E198+0,E198),tbl_Production[Job Number],0)))="","",INDEX(tbl_Production[Notes],IFERROR(MATCH(E198&amp;"",tbl_Production[Job Number],0),MATCH(IFERROR(E198+0,E198),tbl_Production[Job Number],0)))),IFERROR(IF(INDEX(tbl_Consulting[Notes],IFERROR(MATCH(E198&amp;"",tbl_Consulting[Job Number],0),MATCH(IFERROR(E198+0,E198),tbl_Consulting[Job Number],0)))="","",INDEX(tbl_Consulting[Notes],IFERROR(MATCH(E198&amp;"",tbl_Consulting[Job Number],0),MATCH(IFERROR(E198+0,E198),tbl_Consulting[Job Number],0)))),""))))</f>
        <v/>
      </c>
    </row>
    <row r="199" ht="15" customHeight="1">
      <c r="A199" s="22" t="n"/>
      <c r="B199" s="23">
        <f>IF(A199="","",EOMONTH(A199,0))</f>
        <v/>
      </c>
      <c r="C199" s="24" t="n"/>
      <c r="D199" s="24" t="n"/>
      <c r="E199" s="24" t="n"/>
      <c r="F199" s="25">
        <f>IF(E199="","",IF(COUNTIF(lst_Jobs,E199&amp;"")&gt;0,"OK","CHECK"))</f>
        <v/>
      </c>
      <c r="G199" s="24" t="n"/>
      <c r="H199" s="24" t="n"/>
      <c r="I199" s="24" t="n"/>
      <c r="J199" s="24" t="n"/>
      <c r="K199" s="24" t="n"/>
      <c r="L199" s="26" t="n"/>
      <c r="M199" s="27">
        <f>IF(L199="","",IF(K199="GST 10%",ROUND(L199*set_GSTRate,2),0))</f>
        <v/>
      </c>
      <c r="N199" s="27">
        <f>IF(L199="","",L199+M199)</f>
        <v/>
      </c>
      <c r="O199" s="24" t="n"/>
      <c r="P199" s="24" t="n"/>
      <c r="Q199" s="24" t="n"/>
      <c r="R199" s="22" t="n"/>
      <c r="S199" s="22" t="n"/>
      <c r="T199" s="24" t="n"/>
      <c r="U199" s="24" t="n"/>
      <c r="V199" s="2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25">
        <f>IF(E199="","",IF(COUNTIF(tbl_Onsite[Job Number],E199&amp;"")&gt;0,"Onsite",IF(COUNTIF(tbl_Production[Job Number],E199&amp;"")&gt;0,"Production",IF(COUNTIF(tbl_Consulting[Job Number],E199&amp;"")&gt;0,"Consulting","not set up yet"))))</f>
        <v/>
      </c>
      <c r="X199" s="25">
        <f>IF(E199="","",IFERROR(INDEX(lst_JobName,MATCH(E199&amp;"",lst_Jobs,0)),""))</f>
        <v/>
      </c>
      <c r="Y199" s="28">
        <f>IF(E199="","",COUNTIFS(tbl_Finance[Job Number],E199&amp;"",tbl_Finance[Ex GST],"&lt;&gt;"))</f>
        <v/>
      </c>
      <c r="Z199" s="27">
        <f>IF(E199="","",SUMIFS(tbl_Finance[Ex GST],tbl_Finance[Job Number],E199&amp;""))</f>
        <v/>
      </c>
      <c r="AA199" s="27">
        <f>IF(E199="","",SUMIFS(tbl_Finance[Ex GST],tbl_Finance[Job Number],E199&amp;"",tbl_Finance[Xero Invoice No],"&lt;&gt;"))</f>
        <v/>
      </c>
      <c r="AB199" s="27">
        <f>IF(E199="","",Z199-AA199)</f>
        <v/>
      </c>
      <c r="AC199" s="25">
        <f>IF(E199="","",IFERROR(IF(INDEX(tbl_Onsite[Qwilr Quote],IFERROR(MATCH(E199&amp;"",tbl_Onsite[Job Number],0),MATCH(IFERROR(E199+0,E199),tbl_Onsite[Job Number],0)))="","",INDEX(tbl_Onsite[Qwilr Quote],IFERROR(MATCH(E199&amp;"",tbl_Onsite[Job Number],0),MATCH(IFERROR(E199+0,E199),tbl_Onsite[Job Number],0)))),IFERROR(IF(IF(INDEX(tbl_Production[Current RMS No],IFERROR(MATCH(E199&amp;"",tbl_Production[Job Number],0),MATCH(IFERROR(E199+0,E199),tbl_Production[Job Number],0)))="",INDEX(tbl_Production[Qwilr Quote],IFERROR(MATCH(E199&amp;"",tbl_Production[Job Number],0),MATCH(IFERROR(E199+0,E199),tbl_Production[Job Number],0))),INDEX(tbl_Production[Current RMS No],IFERROR(MATCH(E199&amp;"",tbl_Production[Job Number],0),MATCH(IFERROR(E199+0,E199),tbl_Production[Job Number],0))))="","",IF(INDEX(tbl_Production[Current RMS No],IFERROR(MATCH(E199&amp;"",tbl_Production[Job Number],0),MATCH(IFERROR(E199+0,E199),tbl_Production[Job Number],0)))="",INDEX(tbl_Production[Qwilr Quote],IFERROR(MATCH(E199&amp;"",tbl_Production[Job Number],0),MATCH(IFERROR(E199+0,E199),tbl_Production[Job Number],0))),INDEX(tbl_Production[Current RMS No],IFERROR(MATCH(E199&amp;"",tbl_Production[Job Number],0),MATCH(IFERROR(E199+0,E199),tbl_Production[Job Number],0))))),IFERROR(IF(INDEX(tbl_Consulting[Qwilr Quote],IFERROR(MATCH(E199&amp;"",tbl_Consulting[Job Number],0),MATCH(IFERROR(E199+0,E199),tbl_Consulting[Job Number],0)))="","",INDEX(tbl_Consulting[Qwilr Quote],IFERROR(MATCH(E199&amp;"",tbl_Consulting[Job Number],0),MATCH(IFERROR(E199+0,E199),tbl_Consulting[Job Number],0)))),""))))</f>
        <v/>
      </c>
      <c r="AD199" s="25">
        <f>IF(AC199="","",IF(AND(LEFT(AC199,4)&lt;&gt;"http",IF(H199="Production",set_RMSBase,set_QwilrBase)=""),"",HYPERLINK(IF(LEFT(AC199,4)="http",AC199,IF(H199="Production",set_RMSBase,set_QwilrBase)&amp;AC199),"Open")))</f>
        <v/>
      </c>
      <c r="AE199" s="27">
        <f>IF(E199="","",IFERROR(INDEX(tbl_Production[Total Expense],IFERROR(MATCH(E199&amp;"",tbl_Production[Job Number],0),MATCH(IFERROR(E199+0,E199),tbl_Production[Job Number],0))),IFERROR(INDEX(tbl_Consulting[Total Expense],IFERROR(MATCH(E199&amp;"",tbl_Consulting[Job Number],0),MATCH(IFERROR(E199+0,E199),tbl_Consulting[Job Number],0))),0)))</f>
        <v/>
      </c>
      <c r="AF199" s="27">
        <f>IF(E199="","",Z199-N(AE199))</f>
        <v/>
      </c>
      <c r="AG199" s="29">
        <f>IFERROR(AF199/Z199,"")</f>
        <v/>
      </c>
      <c r="AH199" s="25">
        <f>IF(E199="","",IFERROR(IF(INDEX(tbl_Onsite[Notes],IFERROR(MATCH(E199&amp;"",tbl_Onsite[Job Number],0),MATCH(IFERROR(E199+0,E199),tbl_Onsite[Job Number],0)))="","",INDEX(tbl_Onsite[Notes],IFERROR(MATCH(E199&amp;"",tbl_Onsite[Job Number],0),MATCH(IFERROR(E199+0,E199),tbl_Onsite[Job Number],0)))),IFERROR(IF(INDEX(tbl_Production[Notes],IFERROR(MATCH(E199&amp;"",tbl_Production[Job Number],0),MATCH(IFERROR(E199+0,E199),tbl_Production[Job Number],0)))="","",INDEX(tbl_Production[Notes],IFERROR(MATCH(E199&amp;"",tbl_Production[Job Number],0),MATCH(IFERROR(E199+0,E199),tbl_Production[Job Number],0)))),IFERROR(IF(INDEX(tbl_Consulting[Notes],IFERROR(MATCH(E199&amp;"",tbl_Consulting[Job Number],0),MATCH(IFERROR(E199+0,E199),tbl_Consulting[Job Number],0)))="","",INDEX(tbl_Consulting[Notes],IFERROR(MATCH(E199&amp;"",tbl_Consulting[Job Number],0),MATCH(IFERROR(E199+0,E199),tbl_Consulting[Job Number],0)))),""))))</f>
        <v/>
      </c>
    </row>
    <row r="200" ht="15" customHeight="1">
      <c r="A200" s="22" t="n"/>
      <c r="B200" s="23">
        <f>IF(A200="","",EOMONTH(A200,0))</f>
        <v/>
      </c>
      <c r="C200" s="24" t="n"/>
      <c r="D200" s="24" t="n"/>
      <c r="E200" s="24" t="n"/>
      <c r="F200" s="25">
        <f>IF(E200="","",IF(COUNTIF(lst_Jobs,E200&amp;"")&gt;0,"OK","CHECK"))</f>
        <v/>
      </c>
      <c r="G200" s="24" t="n"/>
      <c r="H200" s="24" t="n"/>
      <c r="I200" s="24" t="n"/>
      <c r="J200" s="24" t="n"/>
      <c r="K200" s="24" t="n"/>
      <c r="L200" s="26" t="n"/>
      <c r="M200" s="27">
        <f>IF(L200="","",IF(K200="GST 10%",ROUND(L200*set_GSTRate,2),0))</f>
        <v/>
      </c>
      <c r="N200" s="27">
        <f>IF(L200="","",L200+M200)</f>
        <v/>
      </c>
      <c r="O200" s="24" t="n"/>
      <c r="P200" s="24" t="n"/>
      <c r="Q200" s="24" t="n"/>
      <c r="R200" s="22" t="n"/>
      <c r="S200" s="22" t="n"/>
      <c r="T200" s="24" t="n"/>
      <c r="U200" s="24" t="n"/>
      <c r="V200" s="2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25">
        <f>IF(E200="","",IF(COUNTIF(tbl_Onsite[Job Number],E200&amp;"")&gt;0,"Onsite",IF(COUNTIF(tbl_Production[Job Number],E200&amp;"")&gt;0,"Production",IF(COUNTIF(tbl_Consulting[Job Number],E200&amp;"")&gt;0,"Consulting","not set up yet"))))</f>
        <v/>
      </c>
      <c r="X200" s="25">
        <f>IF(E200="","",IFERROR(INDEX(lst_JobName,MATCH(E200&amp;"",lst_Jobs,0)),""))</f>
        <v/>
      </c>
      <c r="Y200" s="28">
        <f>IF(E200="","",COUNTIFS(tbl_Finance[Job Number],E200&amp;"",tbl_Finance[Ex GST],"&lt;&gt;"))</f>
        <v/>
      </c>
      <c r="Z200" s="27">
        <f>IF(E200="","",SUMIFS(tbl_Finance[Ex GST],tbl_Finance[Job Number],E200&amp;""))</f>
        <v/>
      </c>
      <c r="AA200" s="27">
        <f>IF(E200="","",SUMIFS(tbl_Finance[Ex GST],tbl_Finance[Job Number],E200&amp;"",tbl_Finance[Xero Invoice No],"&lt;&gt;"))</f>
        <v/>
      </c>
      <c r="AB200" s="27">
        <f>IF(E200="","",Z200-AA200)</f>
        <v/>
      </c>
      <c r="AC200" s="25">
        <f>IF(E200="","",IFERROR(IF(INDEX(tbl_Onsite[Qwilr Quote],IFERROR(MATCH(E200&amp;"",tbl_Onsite[Job Number],0),MATCH(IFERROR(E200+0,E200),tbl_Onsite[Job Number],0)))="","",INDEX(tbl_Onsite[Qwilr Quote],IFERROR(MATCH(E200&amp;"",tbl_Onsite[Job Number],0),MATCH(IFERROR(E200+0,E200),tbl_Onsite[Job Number],0)))),IFERROR(IF(IF(INDEX(tbl_Production[Current RMS No],IFERROR(MATCH(E200&amp;"",tbl_Production[Job Number],0),MATCH(IFERROR(E200+0,E200),tbl_Production[Job Number],0)))="",INDEX(tbl_Production[Qwilr Quote],IFERROR(MATCH(E200&amp;"",tbl_Production[Job Number],0),MATCH(IFERROR(E200+0,E200),tbl_Production[Job Number],0))),INDEX(tbl_Production[Current RMS No],IFERROR(MATCH(E200&amp;"",tbl_Production[Job Number],0),MATCH(IFERROR(E200+0,E200),tbl_Production[Job Number],0))))="","",IF(INDEX(tbl_Production[Current RMS No],IFERROR(MATCH(E200&amp;"",tbl_Production[Job Number],0),MATCH(IFERROR(E200+0,E200),tbl_Production[Job Number],0)))="",INDEX(tbl_Production[Qwilr Quote],IFERROR(MATCH(E200&amp;"",tbl_Production[Job Number],0),MATCH(IFERROR(E200+0,E200),tbl_Production[Job Number],0))),INDEX(tbl_Production[Current RMS No],IFERROR(MATCH(E200&amp;"",tbl_Production[Job Number],0),MATCH(IFERROR(E200+0,E200),tbl_Production[Job Number],0))))),IFERROR(IF(INDEX(tbl_Consulting[Qwilr Quote],IFERROR(MATCH(E200&amp;"",tbl_Consulting[Job Number],0),MATCH(IFERROR(E200+0,E200),tbl_Consulting[Job Number],0)))="","",INDEX(tbl_Consulting[Qwilr Quote],IFERROR(MATCH(E200&amp;"",tbl_Consulting[Job Number],0),MATCH(IFERROR(E200+0,E200),tbl_Consulting[Job Number],0)))),""))))</f>
        <v/>
      </c>
      <c r="AD200" s="25">
        <f>IF(AC200="","",IF(AND(LEFT(AC200,4)&lt;&gt;"http",IF(H200="Production",set_RMSBase,set_QwilrBase)=""),"",HYPERLINK(IF(LEFT(AC200,4)="http",AC200,IF(H200="Production",set_RMSBase,set_QwilrBase)&amp;AC200),"Open")))</f>
        <v/>
      </c>
      <c r="AE200" s="27">
        <f>IF(E200="","",IFERROR(INDEX(tbl_Production[Total Expense],IFERROR(MATCH(E200&amp;"",tbl_Production[Job Number],0),MATCH(IFERROR(E200+0,E200),tbl_Production[Job Number],0))),IFERROR(INDEX(tbl_Consulting[Total Expense],IFERROR(MATCH(E200&amp;"",tbl_Consulting[Job Number],0),MATCH(IFERROR(E200+0,E200),tbl_Consulting[Job Number],0))),0)))</f>
        <v/>
      </c>
      <c r="AF200" s="27">
        <f>IF(E200="","",Z200-N(AE200))</f>
        <v/>
      </c>
      <c r="AG200" s="29">
        <f>IFERROR(AF200/Z200,"")</f>
        <v/>
      </c>
      <c r="AH200" s="25">
        <f>IF(E200="","",IFERROR(IF(INDEX(tbl_Onsite[Notes],IFERROR(MATCH(E200&amp;"",tbl_Onsite[Job Number],0),MATCH(IFERROR(E200+0,E200),tbl_Onsite[Job Number],0)))="","",INDEX(tbl_Onsite[Notes],IFERROR(MATCH(E200&amp;"",tbl_Onsite[Job Number],0),MATCH(IFERROR(E200+0,E200),tbl_Onsite[Job Number],0)))),IFERROR(IF(INDEX(tbl_Production[Notes],IFERROR(MATCH(E200&amp;"",tbl_Production[Job Number],0),MATCH(IFERROR(E200+0,E200),tbl_Production[Job Number],0)))="","",INDEX(tbl_Production[Notes],IFERROR(MATCH(E200&amp;"",tbl_Production[Job Number],0),MATCH(IFERROR(E200+0,E200),tbl_Production[Job Number],0)))),IFERROR(IF(INDEX(tbl_Consulting[Notes],IFERROR(MATCH(E200&amp;"",tbl_Consulting[Job Number],0),MATCH(IFERROR(E200+0,E200),tbl_Consulting[Job Number],0)))="","",INDEX(tbl_Consulting[Notes],IFERROR(MATCH(E200&amp;"",tbl_Consulting[Job Number],0),MATCH(IFERROR(E200+0,E200),tbl_Consulting[Job Number],0)))),""))))</f>
        <v/>
      </c>
    </row>
    <row r="201" ht="15" customHeight="1">
      <c r="A201" s="22" t="n"/>
      <c r="B201" s="23">
        <f>IF(A201="","",EOMONTH(A201,0))</f>
        <v/>
      </c>
      <c r="C201" s="24" t="n"/>
      <c r="D201" s="24" t="n"/>
      <c r="E201" s="24" t="n"/>
      <c r="F201" s="25">
        <f>IF(E201="","",IF(COUNTIF(lst_Jobs,E201&amp;"")&gt;0,"OK","CHECK"))</f>
        <v/>
      </c>
      <c r="G201" s="24" t="n"/>
      <c r="H201" s="24" t="n"/>
      <c r="I201" s="24" t="n"/>
      <c r="J201" s="24" t="n"/>
      <c r="K201" s="24" t="n"/>
      <c r="L201" s="26" t="n"/>
      <c r="M201" s="27">
        <f>IF(L201="","",IF(K201="GST 10%",ROUND(L201*set_GSTRate,2),0))</f>
        <v/>
      </c>
      <c r="N201" s="27">
        <f>IF(L201="","",L201+M201)</f>
        <v/>
      </c>
      <c r="O201" s="24" t="n"/>
      <c r="P201" s="24" t="n"/>
      <c r="Q201" s="24" t="n"/>
      <c r="R201" s="22" t="n"/>
      <c r="S201" s="22" t="n"/>
      <c r="T201" s="24" t="n"/>
      <c r="U201" s="24" t="n"/>
      <c r="V201" s="2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25">
        <f>IF(E201="","",IF(COUNTIF(tbl_Onsite[Job Number],E201&amp;"")&gt;0,"Onsite",IF(COUNTIF(tbl_Production[Job Number],E201&amp;"")&gt;0,"Production",IF(COUNTIF(tbl_Consulting[Job Number],E201&amp;"")&gt;0,"Consulting","not set up yet"))))</f>
        <v/>
      </c>
      <c r="X201" s="25">
        <f>IF(E201="","",IFERROR(INDEX(lst_JobName,MATCH(E201&amp;"",lst_Jobs,0)),""))</f>
        <v/>
      </c>
      <c r="Y201" s="28">
        <f>IF(E201="","",COUNTIFS(tbl_Finance[Job Number],E201&amp;"",tbl_Finance[Ex GST],"&lt;&gt;"))</f>
        <v/>
      </c>
      <c r="Z201" s="27">
        <f>IF(E201="","",SUMIFS(tbl_Finance[Ex GST],tbl_Finance[Job Number],E201&amp;""))</f>
        <v/>
      </c>
      <c r="AA201" s="27">
        <f>IF(E201="","",SUMIFS(tbl_Finance[Ex GST],tbl_Finance[Job Number],E201&amp;"",tbl_Finance[Xero Invoice No],"&lt;&gt;"))</f>
        <v/>
      </c>
      <c r="AB201" s="27">
        <f>IF(E201="","",Z201-AA201)</f>
        <v/>
      </c>
      <c r="AC201" s="25">
        <f>IF(E201="","",IFERROR(IF(INDEX(tbl_Onsite[Qwilr Quote],IFERROR(MATCH(E201&amp;"",tbl_Onsite[Job Number],0),MATCH(IFERROR(E201+0,E201),tbl_Onsite[Job Number],0)))="","",INDEX(tbl_Onsite[Qwilr Quote],IFERROR(MATCH(E201&amp;"",tbl_Onsite[Job Number],0),MATCH(IFERROR(E201+0,E201),tbl_Onsite[Job Number],0)))),IFERROR(IF(IF(INDEX(tbl_Production[Current RMS No],IFERROR(MATCH(E201&amp;"",tbl_Production[Job Number],0),MATCH(IFERROR(E201+0,E201),tbl_Production[Job Number],0)))="",INDEX(tbl_Production[Qwilr Quote],IFERROR(MATCH(E201&amp;"",tbl_Production[Job Number],0),MATCH(IFERROR(E201+0,E201),tbl_Production[Job Number],0))),INDEX(tbl_Production[Current RMS No],IFERROR(MATCH(E201&amp;"",tbl_Production[Job Number],0),MATCH(IFERROR(E201+0,E201),tbl_Production[Job Number],0))))="","",IF(INDEX(tbl_Production[Current RMS No],IFERROR(MATCH(E201&amp;"",tbl_Production[Job Number],0),MATCH(IFERROR(E201+0,E201),tbl_Production[Job Number],0)))="",INDEX(tbl_Production[Qwilr Quote],IFERROR(MATCH(E201&amp;"",tbl_Production[Job Number],0),MATCH(IFERROR(E201+0,E201),tbl_Production[Job Number],0))),INDEX(tbl_Production[Current RMS No],IFERROR(MATCH(E201&amp;"",tbl_Production[Job Number],0),MATCH(IFERROR(E201+0,E201),tbl_Production[Job Number],0))))),IFERROR(IF(INDEX(tbl_Consulting[Qwilr Quote],IFERROR(MATCH(E201&amp;"",tbl_Consulting[Job Number],0),MATCH(IFERROR(E201+0,E201),tbl_Consulting[Job Number],0)))="","",INDEX(tbl_Consulting[Qwilr Quote],IFERROR(MATCH(E201&amp;"",tbl_Consulting[Job Number],0),MATCH(IFERROR(E201+0,E201),tbl_Consulting[Job Number],0)))),""))))</f>
        <v/>
      </c>
      <c r="AD201" s="25">
        <f>IF(AC201="","",IF(AND(LEFT(AC201,4)&lt;&gt;"http",IF(H201="Production",set_RMSBase,set_QwilrBase)=""),"",HYPERLINK(IF(LEFT(AC201,4)="http",AC201,IF(H201="Production",set_RMSBase,set_QwilrBase)&amp;AC201),"Open")))</f>
        <v/>
      </c>
      <c r="AE201" s="27">
        <f>IF(E201="","",IFERROR(INDEX(tbl_Production[Total Expense],IFERROR(MATCH(E201&amp;"",tbl_Production[Job Number],0),MATCH(IFERROR(E201+0,E201),tbl_Production[Job Number],0))),IFERROR(INDEX(tbl_Consulting[Total Expense],IFERROR(MATCH(E201&amp;"",tbl_Consulting[Job Number],0),MATCH(IFERROR(E201+0,E201),tbl_Consulting[Job Number],0))),0)))</f>
        <v/>
      </c>
      <c r="AF201" s="27">
        <f>IF(E201="","",Z201-N(AE201))</f>
        <v/>
      </c>
      <c r="AG201" s="29">
        <f>IFERROR(AF201/Z201,"")</f>
        <v/>
      </c>
      <c r="AH201" s="25">
        <f>IF(E201="","",IFERROR(IF(INDEX(tbl_Onsite[Notes],IFERROR(MATCH(E201&amp;"",tbl_Onsite[Job Number],0),MATCH(IFERROR(E201+0,E201),tbl_Onsite[Job Number],0)))="","",INDEX(tbl_Onsite[Notes],IFERROR(MATCH(E201&amp;"",tbl_Onsite[Job Number],0),MATCH(IFERROR(E201+0,E201),tbl_Onsite[Job Number],0)))),IFERROR(IF(INDEX(tbl_Production[Notes],IFERROR(MATCH(E201&amp;"",tbl_Production[Job Number],0),MATCH(IFERROR(E201+0,E201),tbl_Production[Job Number],0)))="","",INDEX(tbl_Production[Notes],IFERROR(MATCH(E201&amp;"",tbl_Production[Job Number],0),MATCH(IFERROR(E201+0,E201),tbl_Production[Job Number],0)))),IFERROR(IF(INDEX(tbl_Consulting[Notes],IFERROR(MATCH(E201&amp;"",tbl_Consulting[Job Number],0),MATCH(IFERROR(E201+0,E201),tbl_Consulting[Job Number],0)))="","",INDEX(tbl_Consulting[Notes],IFERROR(MATCH(E201&amp;"",tbl_Consulting[Job Number],0),MATCH(IFERROR(E201+0,E201),tbl_Consulting[Job Number],0)))),""))))</f>
        <v/>
      </c>
    </row>
    <row r="202" ht="15" customHeight="1">
      <c r="A202" s="22" t="n"/>
      <c r="B202" s="23">
        <f>IF(A202="","",EOMONTH(A202,0))</f>
        <v/>
      </c>
      <c r="C202" s="24" t="n"/>
      <c r="D202" s="24" t="n"/>
      <c r="E202" s="24" t="n"/>
      <c r="F202" s="25">
        <f>IF(E202="","",IF(COUNTIF(lst_Jobs,E202&amp;"")&gt;0,"OK","CHECK"))</f>
        <v/>
      </c>
      <c r="G202" s="24" t="n"/>
      <c r="H202" s="24" t="n"/>
      <c r="I202" s="24" t="n"/>
      <c r="J202" s="24" t="n"/>
      <c r="K202" s="24" t="n"/>
      <c r="L202" s="26" t="n"/>
      <c r="M202" s="27">
        <f>IF(L202="","",IF(K202="GST 10%",ROUND(L202*set_GSTRate,2),0))</f>
        <v/>
      </c>
      <c r="N202" s="27">
        <f>IF(L202="","",L202+M202)</f>
        <v/>
      </c>
      <c r="O202" s="24" t="n"/>
      <c r="P202" s="24" t="n"/>
      <c r="Q202" s="24" t="n"/>
      <c r="R202" s="22" t="n"/>
      <c r="S202" s="22" t="n"/>
      <c r="T202" s="24" t="n"/>
      <c r="U202" s="24" t="n"/>
      <c r="V202" s="2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25">
        <f>IF(E202="","",IF(COUNTIF(tbl_Onsite[Job Number],E202&amp;"")&gt;0,"Onsite",IF(COUNTIF(tbl_Production[Job Number],E202&amp;"")&gt;0,"Production",IF(COUNTIF(tbl_Consulting[Job Number],E202&amp;"")&gt;0,"Consulting","not set up yet"))))</f>
        <v/>
      </c>
      <c r="X202" s="25">
        <f>IF(E202="","",IFERROR(INDEX(lst_JobName,MATCH(E202&amp;"",lst_Jobs,0)),""))</f>
        <v/>
      </c>
      <c r="Y202" s="28">
        <f>IF(E202="","",COUNTIFS(tbl_Finance[Job Number],E202&amp;"",tbl_Finance[Ex GST],"&lt;&gt;"))</f>
        <v/>
      </c>
      <c r="Z202" s="27">
        <f>IF(E202="","",SUMIFS(tbl_Finance[Ex GST],tbl_Finance[Job Number],E202&amp;""))</f>
        <v/>
      </c>
      <c r="AA202" s="27">
        <f>IF(E202="","",SUMIFS(tbl_Finance[Ex GST],tbl_Finance[Job Number],E202&amp;"",tbl_Finance[Xero Invoice No],"&lt;&gt;"))</f>
        <v/>
      </c>
      <c r="AB202" s="27">
        <f>IF(E202="","",Z202-AA202)</f>
        <v/>
      </c>
      <c r="AC202" s="25">
        <f>IF(E202="","",IFERROR(IF(INDEX(tbl_Onsite[Qwilr Quote],IFERROR(MATCH(E202&amp;"",tbl_Onsite[Job Number],0),MATCH(IFERROR(E202+0,E202),tbl_Onsite[Job Number],0)))="","",INDEX(tbl_Onsite[Qwilr Quote],IFERROR(MATCH(E202&amp;"",tbl_Onsite[Job Number],0),MATCH(IFERROR(E202+0,E202),tbl_Onsite[Job Number],0)))),IFERROR(IF(IF(INDEX(tbl_Production[Current RMS No],IFERROR(MATCH(E202&amp;"",tbl_Production[Job Number],0),MATCH(IFERROR(E202+0,E202),tbl_Production[Job Number],0)))="",INDEX(tbl_Production[Qwilr Quote],IFERROR(MATCH(E202&amp;"",tbl_Production[Job Number],0),MATCH(IFERROR(E202+0,E202),tbl_Production[Job Number],0))),INDEX(tbl_Production[Current RMS No],IFERROR(MATCH(E202&amp;"",tbl_Production[Job Number],0),MATCH(IFERROR(E202+0,E202),tbl_Production[Job Number],0))))="","",IF(INDEX(tbl_Production[Current RMS No],IFERROR(MATCH(E202&amp;"",tbl_Production[Job Number],0),MATCH(IFERROR(E202+0,E202),tbl_Production[Job Number],0)))="",INDEX(tbl_Production[Qwilr Quote],IFERROR(MATCH(E202&amp;"",tbl_Production[Job Number],0),MATCH(IFERROR(E202+0,E202),tbl_Production[Job Number],0))),INDEX(tbl_Production[Current RMS No],IFERROR(MATCH(E202&amp;"",tbl_Production[Job Number],0),MATCH(IFERROR(E202+0,E202),tbl_Production[Job Number],0))))),IFERROR(IF(INDEX(tbl_Consulting[Qwilr Quote],IFERROR(MATCH(E202&amp;"",tbl_Consulting[Job Number],0),MATCH(IFERROR(E202+0,E202),tbl_Consulting[Job Number],0)))="","",INDEX(tbl_Consulting[Qwilr Quote],IFERROR(MATCH(E202&amp;"",tbl_Consulting[Job Number],0),MATCH(IFERROR(E202+0,E202),tbl_Consulting[Job Number],0)))),""))))</f>
        <v/>
      </c>
      <c r="AD202" s="25">
        <f>IF(AC202="","",IF(AND(LEFT(AC202,4)&lt;&gt;"http",IF(H202="Production",set_RMSBase,set_QwilrBase)=""),"",HYPERLINK(IF(LEFT(AC202,4)="http",AC202,IF(H202="Production",set_RMSBase,set_QwilrBase)&amp;AC202),"Open")))</f>
        <v/>
      </c>
      <c r="AE202" s="27">
        <f>IF(E202="","",IFERROR(INDEX(tbl_Production[Total Expense],IFERROR(MATCH(E202&amp;"",tbl_Production[Job Number],0),MATCH(IFERROR(E202+0,E202),tbl_Production[Job Number],0))),IFERROR(INDEX(tbl_Consulting[Total Expense],IFERROR(MATCH(E202&amp;"",tbl_Consulting[Job Number],0),MATCH(IFERROR(E202+0,E202),tbl_Consulting[Job Number],0))),0)))</f>
        <v/>
      </c>
      <c r="AF202" s="27">
        <f>IF(E202="","",Z202-N(AE202))</f>
        <v/>
      </c>
      <c r="AG202" s="29">
        <f>IFERROR(AF202/Z202,"")</f>
        <v/>
      </c>
      <c r="AH202" s="25">
        <f>IF(E202="","",IFERROR(IF(INDEX(tbl_Onsite[Notes],IFERROR(MATCH(E202&amp;"",tbl_Onsite[Job Number],0),MATCH(IFERROR(E202+0,E202),tbl_Onsite[Job Number],0)))="","",INDEX(tbl_Onsite[Notes],IFERROR(MATCH(E202&amp;"",tbl_Onsite[Job Number],0),MATCH(IFERROR(E202+0,E202),tbl_Onsite[Job Number],0)))),IFERROR(IF(INDEX(tbl_Production[Notes],IFERROR(MATCH(E202&amp;"",tbl_Production[Job Number],0),MATCH(IFERROR(E202+0,E202),tbl_Production[Job Number],0)))="","",INDEX(tbl_Production[Notes],IFERROR(MATCH(E202&amp;"",tbl_Production[Job Number],0),MATCH(IFERROR(E202+0,E202),tbl_Production[Job Number],0)))),IFERROR(IF(INDEX(tbl_Consulting[Notes],IFERROR(MATCH(E202&amp;"",tbl_Consulting[Job Number],0),MATCH(IFERROR(E202+0,E202),tbl_Consulting[Job Number],0)))="","",INDEX(tbl_Consulting[Notes],IFERROR(MATCH(E202&amp;"",tbl_Consulting[Job Number],0),MATCH(IFERROR(E202+0,E202),tbl_Consulting[Job Number],0)))),""))))</f>
        <v/>
      </c>
    </row>
    <row r="203" ht="15" customHeight="1">
      <c r="A203" s="22" t="n"/>
      <c r="B203" s="23">
        <f>IF(A203="","",EOMONTH(A203,0))</f>
        <v/>
      </c>
      <c r="C203" s="24" t="n"/>
      <c r="D203" s="24" t="n"/>
      <c r="E203" s="24" t="n"/>
      <c r="F203" s="25">
        <f>IF(E203="","",IF(COUNTIF(lst_Jobs,E203&amp;"")&gt;0,"OK","CHECK"))</f>
        <v/>
      </c>
      <c r="G203" s="24" t="n"/>
      <c r="H203" s="24" t="n"/>
      <c r="I203" s="24" t="n"/>
      <c r="J203" s="24" t="n"/>
      <c r="K203" s="24" t="n"/>
      <c r="L203" s="26" t="n"/>
      <c r="M203" s="27">
        <f>IF(L203="","",IF(K203="GST 10%",ROUND(L203*set_GSTRate,2),0))</f>
        <v/>
      </c>
      <c r="N203" s="27">
        <f>IF(L203="","",L203+M203)</f>
        <v/>
      </c>
      <c r="O203" s="24" t="n"/>
      <c r="P203" s="24" t="n"/>
      <c r="Q203" s="24" t="n"/>
      <c r="R203" s="22" t="n"/>
      <c r="S203" s="22" t="n"/>
      <c r="T203" s="24" t="n"/>
      <c r="U203" s="24" t="n"/>
      <c r="V203" s="2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25">
        <f>IF(E203="","",IF(COUNTIF(tbl_Onsite[Job Number],E203&amp;"")&gt;0,"Onsite",IF(COUNTIF(tbl_Production[Job Number],E203&amp;"")&gt;0,"Production",IF(COUNTIF(tbl_Consulting[Job Number],E203&amp;"")&gt;0,"Consulting","not set up yet"))))</f>
        <v/>
      </c>
      <c r="X203" s="25">
        <f>IF(E203="","",IFERROR(INDEX(lst_JobName,MATCH(E203&amp;"",lst_Jobs,0)),""))</f>
        <v/>
      </c>
      <c r="Y203" s="28">
        <f>IF(E203="","",COUNTIFS(tbl_Finance[Job Number],E203&amp;"",tbl_Finance[Ex GST],"&lt;&gt;"))</f>
        <v/>
      </c>
      <c r="Z203" s="27">
        <f>IF(E203="","",SUMIFS(tbl_Finance[Ex GST],tbl_Finance[Job Number],E203&amp;""))</f>
        <v/>
      </c>
      <c r="AA203" s="27">
        <f>IF(E203="","",SUMIFS(tbl_Finance[Ex GST],tbl_Finance[Job Number],E203&amp;"",tbl_Finance[Xero Invoice No],"&lt;&gt;"))</f>
        <v/>
      </c>
      <c r="AB203" s="27">
        <f>IF(E203="","",Z203-AA203)</f>
        <v/>
      </c>
      <c r="AC203" s="25">
        <f>IF(E203="","",IFERROR(IF(INDEX(tbl_Onsite[Qwilr Quote],IFERROR(MATCH(E203&amp;"",tbl_Onsite[Job Number],0),MATCH(IFERROR(E203+0,E203),tbl_Onsite[Job Number],0)))="","",INDEX(tbl_Onsite[Qwilr Quote],IFERROR(MATCH(E203&amp;"",tbl_Onsite[Job Number],0),MATCH(IFERROR(E203+0,E203),tbl_Onsite[Job Number],0)))),IFERROR(IF(IF(INDEX(tbl_Production[Current RMS No],IFERROR(MATCH(E203&amp;"",tbl_Production[Job Number],0),MATCH(IFERROR(E203+0,E203),tbl_Production[Job Number],0)))="",INDEX(tbl_Production[Qwilr Quote],IFERROR(MATCH(E203&amp;"",tbl_Production[Job Number],0),MATCH(IFERROR(E203+0,E203),tbl_Production[Job Number],0))),INDEX(tbl_Production[Current RMS No],IFERROR(MATCH(E203&amp;"",tbl_Production[Job Number],0),MATCH(IFERROR(E203+0,E203),tbl_Production[Job Number],0))))="","",IF(INDEX(tbl_Production[Current RMS No],IFERROR(MATCH(E203&amp;"",tbl_Production[Job Number],0),MATCH(IFERROR(E203+0,E203),tbl_Production[Job Number],0)))="",INDEX(tbl_Production[Qwilr Quote],IFERROR(MATCH(E203&amp;"",tbl_Production[Job Number],0),MATCH(IFERROR(E203+0,E203),tbl_Production[Job Number],0))),INDEX(tbl_Production[Current RMS No],IFERROR(MATCH(E203&amp;"",tbl_Production[Job Number],0),MATCH(IFERROR(E203+0,E203),tbl_Production[Job Number],0))))),IFERROR(IF(INDEX(tbl_Consulting[Qwilr Quote],IFERROR(MATCH(E203&amp;"",tbl_Consulting[Job Number],0),MATCH(IFERROR(E203+0,E203),tbl_Consulting[Job Number],0)))="","",INDEX(tbl_Consulting[Qwilr Quote],IFERROR(MATCH(E203&amp;"",tbl_Consulting[Job Number],0),MATCH(IFERROR(E203+0,E203),tbl_Consulting[Job Number],0)))),""))))</f>
        <v/>
      </c>
      <c r="AD203" s="25">
        <f>IF(AC203="","",IF(AND(LEFT(AC203,4)&lt;&gt;"http",IF(H203="Production",set_RMSBase,set_QwilrBase)=""),"",HYPERLINK(IF(LEFT(AC203,4)="http",AC203,IF(H203="Production",set_RMSBase,set_QwilrBase)&amp;AC203),"Open")))</f>
        <v/>
      </c>
      <c r="AE203" s="27">
        <f>IF(E203="","",IFERROR(INDEX(tbl_Production[Total Expense],IFERROR(MATCH(E203&amp;"",tbl_Production[Job Number],0),MATCH(IFERROR(E203+0,E203),tbl_Production[Job Number],0))),IFERROR(INDEX(tbl_Consulting[Total Expense],IFERROR(MATCH(E203&amp;"",tbl_Consulting[Job Number],0),MATCH(IFERROR(E203+0,E203),tbl_Consulting[Job Number],0))),0)))</f>
        <v/>
      </c>
      <c r="AF203" s="27">
        <f>IF(E203="","",Z203-N(AE203))</f>
        <v/>
      </c>
      <c r="AG203" s="29">
        <f>IFERROR(AF203/Z203,"")</f>
        <v/>
      </c>
      <c r="AH203" s="25">
        <f>IF(E203="","",IFERROR(IF(INDEX(tbl_Onsite[Notes],IFERROR(MATCH(E203&amp;"",tbl_Onsite[Job Number],0),MATCH(IFERROR(E203+0,E203),tbl_Onsite[Job Number],0)))="","",INDEX(tbl_Onsite[Notes],IFERROR(MATCH(E203&amp;"",tbl_Onsite[Job Number],0),MATCH(IFERROR(E203+0,E203),tbl_Onsite[Job Number],0)))),IFERROR(IF(INDEX(tbl_Production[Notes],IFERROR(MATCH(E203&amp;"",tbl_Production[Job Number],0),MATCH(IFERROR(E203+0,E203),tbl_Production[Job Number],0)))="","",INDEX(tbl_Production[Notes],IFERROR(MATCH(E203&amp;"",tbl_Production[Job Number],0),MATCH(IFERROR(E203+0,E203),tbl_Production[Job Number],0)))),IFERROR(IF(INDEX(tbl_Consulting[Notes],IFERROR(MATCH(E203&amp;"",tbl_Consulting[Job Number],0),MATCH(IFERROR(E203+0,E203),tbl_Consulting[Job Number],0)))="","",INDEX(tbl_Consulting[Notes],IFERROR(MATCH(E203&amp;"",tbl_Consulting[Job Number],0),MATCH(IFERROR(E203+0,E203),tbl_Consulting[Job Number],0)))),""))))</f>
        <v/>
      </c>
    </row>
    <row r="204" ht="15" customHeight="1">
      <c r="A204" s="22" t="n"/>
      <c r="B204" s="23">
        <f>IF(A204="","",EOMONTH(A204,0))</f>
        <v/>
      </c>
      <c r="C204" s="24" t="n"/>
      <c r="D204" s="24" t="n"/>
      <c r="E204" s="24" t="n"/>
      <c r="F204" s="25">
        <f>IF(E204="","",IF(COUNTIF(lst_Jobs,E204&amp;"")&gt;0,"OK","CHECK"))</f>
        <v/>
      </c>
      <c r="G204" s="24" t="n"/>
      <c r="H204" s="24" t="n"/>
      <c r="I204" s="24" t="n"/>
      <c r="J204" s="24" t="n"/>
      <c r="K204" s="24" t="n"/>
      <c r="L204" s="26" t="n"/>
      <c r="M204" s="27">
        <f>IF(L204="","",IF(K204="GST 10%",ROUND(L204*set_GSTRate,2),0))</f>
        <v/>
      </c>
      <c r="N204" s="27">
        <f>IF(L204="","",L204+M204)</f>
        <v/>
      </c>
      <c r="O204" s="24" t="n"/>
      <c r="P204" s="24" t="n"/>
      <c r="Q204" s="24" t="n"/>
      <c r="R204" s="22" t="n"/>
      <c r="S204" s="22" t="n"/>
      <c r="T204" s="24" t="n"/>
      <c r="U204" s="24" t="n"/>
      <c r="V204" s="2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25">
        <f>IF(E204="","",IF(COUNTIF(tbl_Onsite[Job Number],E204&amp;"")&gt;0,"Onsite",IF(COUNTIF(tbl_Production[Job Number],E204&amp;"")&gt;0,"Production",IF(COUNTIF(tbl_Consulting[Job Number],E204&amp;"")&gt;0,"Consulting","not set up yet"))))</f>
        <v/>
      </c>
      <c r="X204" s="25">
        <f>IF(E204="","",IFERROR(INDEX(lst_JobName,MATCH(E204&amp;"",lst_Jobs,0)),""))</f>
        <v/>
      </c>
      <c r="Y204" s="28">
        <f>IF(E204="","",COUNTIFS(tbl_Finance[Job Number],E204&amp;"",tbl_Finance[Ex GST],"&lt;&gt;"))</f>
        <v/>
      </c>
      <c r="Z204" s="27">
        <f>IF(E204="","",SUMIFS(tbl_Finance[Ex GST],tbl_Finance[Job Number],E204&amp;""))</f>
        <v/>
      </c>
      <c r="AA204" s="27">
        <f>IF(E204="","",SUMIFS(tbl_Finance[Ex GST],tbl_Finance[Job Number],E204&amp;"",tbl_Finance[Xero Invoice No],"&lt;&gt;"))</f>
        <v/>
      </c>
      <c r="AB204" s="27">
        <f>IF(E204="","",Z204-AA204)</f>
        <v/>
      </c>
      <c r="AC204" s="25">
        <f>IF(E204="","",IFERROR(IF(INDEX(tbl_Onsite[Qwilr Quote],IFERROR(MATCH(E204&amp;"",tbl_Onsite[Job Number],0),MATCH(IFERROR(E204+0,E204),tbl_Onsite[Job Number],0)))="","",INDEX(tbl_Onsite[Qwilr Quote],IFERROR(MATCH(E204&amp;"",tbl_Onsite[Job Number],0),MATCH(IFERROR(E204+0,E204),tbl_Onsite[Job Number],0)))),IFERROR(IF(IF(INDEX(tbl_Production[Current RMS No],IFERROR(MATCH(E204&amp;"",tbl_Production[Job Number],0),MATCH(IFERROR(E204+0,E204),tbl_Production[Job Number],0)))="",INDEX(tbl_Production[Qwilr Quote],IFERROR(MATCH(E204&amp;"",tbl_Production[Job Number],0),MATCH(IFERROR(E204+0,E204),tbl_Production[Job Number],0))),INDEX(tbl_Production[Current RMS No],IFERROR(MATCH(E204&amp;"",tbl_Production[Job Number],0),MATCH(IFERROR(E204+0,E204),tbl_Production[Job Number],0))))="","",IF(INDEX(tbl_Production[Current RMS No],IFERROR(MATCH(E204&amp;"",tbl_Production[Job Number],0),MATCH(IFERROR(E204+0,E204),tbl_Production[Job Number],0)))="",INDEX(tbl_Production[Qwilr Quote],IFERROR(MATCH(E204&amp;"",tbl_Production[Job Number],0),MATCH(IFERROR(E204+0,E204),tbl_Production[Job Number],0))),INDEX(tbl_Production[Current RMS No],IFERROR(MATCH(E204&amp;"",tbl_Production[Job Number],0),MATCH(IFERROR(E204+0,E204),tbl_Production[Job Number],0))))),IFERROR(IF(INDEX(tbl_Consulting[Qwilr Quote],IFERROR(MATCH(E204&amp;"",tbl_Consulting[Job Number],0),MATCH(IFERROR(E204+0,E204),tbl_Consulting[Job Number],0)))="","",INDEX(tbl_Consulting[Qwilr Quote],IFERROR(MATCH(E204&amp;"",tbl_Consulting[Job Number],0),MATCH(IFERROR(E204+0,E204),tbl_Consulting[Job Number],0)))),""))))</f>
        <v/>
      </c>
      <c r="AD204" s="25">
        <f>IF(AC204="","",IF(AND(LEFT(AC204,4)&lt;&gt;"http",IF(H204="Production",set_RMSBase,set_QwilrBase)=""),"",HYPERLINK(IF(LEFT(AC204,4)="http",AC204,IF(H204="Production",set_RMSBase,set_QwilrBase)&amp;AC204),"Open")))</f>
        <v/>
      </c>
      <c r="AE204" s="27">
        <f>IF(E204="","",IFERROR(INDEX(tbl_Production[Total Expense],IFERROR(MATCH(E204&amp;"",tbl_Production[Job Number],0),MATCH(IFERROR(E204+0,E204),tbl_Production[Job Number],0))),IFERROR(INDEX(tbl_Consulting[Total Expense],IFERROR(MATCH(E204&amp;"",tbl_Consulting[Job Number],0),MATCH(IFERROR(E204+0,E204),tbl_Consulting[Job Number],0))),0)))</f>
        <v/>
      </c>
      <c r="AF204" s="27">
        <f>IF(E204="","",Z204-N(AE204))</f>
        <v/>
      </c>
      <c r="AG204" s="29">
        <f>IFERROR(AF204/Z204,"")</f>
        <v/>
      </c>
      <c r="AH204" s="25">
        <f>IF(E204="","",IFERROR(IF(INDEX(tbl_Onsite[Notes],IFERROR(MATCH(E204&amp;"",tbl_Onsite[Job Number],0),MATCH(IFERROR(E204+0,E204),tbl_Onsite[Job Number],0)))="","",INDEX(tbl_Onsite[Notes],IFERROR(MATCH(E204&amp;"",tbl_Onsite[Job Number],0),MATCH(IFERROR(E204+0,E204),tbl_Onsite[Job Number],0)))),IFERROR(IF(INDEX(tbl_Production[Notes],IFERROR(MATCH(E204&amp;"",tbl_Production[Job Number],0),MATCH(IFERROR(E204+0,E204),tbl_Production[Job Number],0)))="","",INDEX(tbl_Production[Notes],IFERROR(MATCH(E204&amp;"",tbl_Production[Job Number],0),MATCH(IFERROR(E204+0,E204),tbl_Production[Job Number],0)))),IFERROR(IF(INDEX(tbl_Consulting[Notes],IFERROR(MATCH(E204&amp;"",tbl_Consulting[Job Number],0),MATCH(IFERROR(E204+0,E204),tbl_Consulting[Job Number],0)))="","",INDEX(tbl_Consulting[Notes],IFERROR(MATCH(E204&amp;"",tbl_Consulting[Job Number],0),MATCH(IFERROR(E204+0,E204),tbl_Consulting[Job Number],0)))),""))))</f>
        <v/>
      </c>
    </row>
    <row r="205" ht="15" customHeight="1">
      <c r="A205" s="22" t="n"/>
      <c r="B205" s="23">
        <f>IF(A205="","",EOMONTH(A205,0))</f>
        <v/>
      </c>
      <c r="C205" s="24" t="n"/>
      <c r="D205" s="24" t="n"/>
      <c r="E205" s="24" t="n"/>
      <c r="F205" s="25">
        <f>IF(E205="","",IF(COUNTIF(lst_Jobs,E205&amp;"")&gt;0,"OK","CHECK"))</f>
        <v/>
      </c>
      <c r="G205" s="24" t="n"/>
      <c r="H205" s="24" t="n"/>
      <c r="I205" s="24" t="n"/>
      <c r="J205" s="24" t="n"/>
      <c r="K205" s="24" t="n"/>
      <c r="L205" s="26" t="n"/>
      <c r="M205" s="27">
        <f>IF(L205="","",IF(K205="GST 10%",ROUND(L205*set_GSTRate,2),0))</f>
        <v/>
      </c>
      <c r="N205" s="27">
        <f>IF(L205="","",L205+M205)</f>
        <v/>
      </c>
      <c r="O205" s="24" t="n"/>
      <c r="P205" s="24" t="n"/>
      <c r="Q205" s="24" t="n"/>
      <c r="R205" s="22" t="n"/>
      <c r="S205" s="22" t="n"/>
      <c r="T205" s="24" t="n"/>
      <c r="U205" s="24" t="n"/>
      <c r="V205" s="2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25">
        <f>IF(E205="","",IF(COUNTIF(tbl_Onsite[Job Number],E205&amp;"")&gt;0,"Onsite",IF(COUNTIF(tbl_Production[Job Number],E205&amp;"")&gt;0,"Production",IF(COUNTIF(tbl_Consulting[Job Number],E205&amp;"")&gt;0,"Consulting","not set up yet"))))</f>
        <v/>
      </c>
      <c r="X205" s="25">
        <f>IF(E205="","",IFERROR(INDEX(lst_JobName,MATCH(E205&amp;"",lst_Jobs,0)),""))</f>
        <v/>
      </c>
      <c r="Y205" s="28">
        <f>IF(E205="","",COUNTIFS(tbl_Finance[Job Number],E205&amp;"",tbl_Finance[Ex GST],"&lt;&gt;"))</f>
        <v/>
      </c>
      <c r="Z205" s="27">
        <f>IF(E205="","",SUMIFS(tbl_Finance[Ex GST],tbl_Finance[Job Number],E205&amp;""))</f>
        <v/>
      </c>
      <c r="AA205" s="27">
        <f>IF(E205="","",SUMIFS(tbl_Finance[Ex GST],tbl_Finance[Job Number],E205&amp;"",tbl_Finance[Xero Invoice No],"&lt;&gt;"))</f>
        <v/>
      </c>
      <c r="AB205" s="27">
        <f>IF(E205="","",Z205-AA205)</f>
        <v/>
      </c>
      <c r="AC205" s="25">
        <f>IF(E205="","",IFERROR(IF(INDEX(tbl_Onsite[Qwilr Quote],IFERROR(MATCH(E205&amp;"",tbl_Onsite[Job Number],0),MATCH(IFERROR(E205+0,E205),tbl_Onsite[Job Number],0)))="","",INDEX(tbl_Onsite[Qwilr Quote],IFERROR(MATCH(E205&amp;"",tbl_Onsite[Job Number],0),MATCH(IFERROR(E205+0,E205),tbl_Onsite[Job Number],0)))),IFERROR(IF(IF(INDEX(tbl_Production[Current RMS No],IFERROR(MATCH(E205&amp;"",tbl_Production[Job Number],0),MATCH(IFERROR(E205+0,E205),tbl_Production[Job Number],0)))="",INDEX(tbl_Production[Qwilr Quote],IFERROR(MATCH(E205&amp;"",tbl_Production[Job Number],0),MATCH(IFERROR(E205+0,E205),tbl_Production[Job Number],0))),INDEX(tbl_Production[Current RMS No],IFERROR(MATCH(E205&amp;"",tbl_Production[Job Number],0),MATCH(IFERROR(E205+0,E205),tbl_Production[Job Number],0))))="","",IF(INDEX(tbl_Production[Current RMS No],IFERROR(MATCH(E205&amp;"",tbl_Production[Job Number],0),MATCH(IFERROR(E205+0,E205),tbl_Production[Job Number],0)))="",INDEX(tbl_Production[Qwilr Quote],IFERROR(MATCH(E205&amp;"",tbl_Production[Job Number],0),MATCH(IFERROR(E205+0,E205),tbl_Production[Job Number],0))),INDEX(tbl_Production[Current RMS No],IFERROR(MATCH(E205&amp;"",tbl_Production[Job Number],0),MATCH(IFERROR(E205+0,E205),tbl_Production[Job Number],0))))),IFERROR(IF(INDEX(tbl_Consulting[Qwilr Quote],IFERROR(MATCH(E205&amp;"",tbl_Consulting[Job Number],0),MATCH(IFERROR(E205+0,E205),tbl_Consulting[Job Number],0)))="","",INDEX(tbl_Consulting[Qwilr Quote],IFERROR(MATCH(E205&amp;"",tbl_Consulting[Job Number],0),MATCH(IFERROR(E205+0,E205),tbl_Consulting[Job Number],0)))),""))))</f>
        <v/>
      </c>
      <c r="AD205" s="25">
        <f>IF(AC205="","",IF(AND(LEFT(AC205,4)&lt;&gt;"http",IF(H205="Production",set_RMSBase,set_QwilrBase)=""),"",HYPERLINK(IF(LEFT(AC205,4)="http",AC205,IF(H205="Production",set_RMSBase,set_QwilrBase)&amp;AC205),"Open")))</f>
        <v/>
      </c>
      <c r="AE205" s="27">
        <f>IF(E205="","",IFERROR(INDEX(tbl_Production[Total Expense],IFERROR(MATCH(E205&amp;"",tbl_Production[Job Number],0),MATCH(IFERROR(E205+0,E205),tbl_Production[Job Number],0))),IFERROR(INDEX(tbl_Consulting[Total Expense],IFERROR(MATCH(E205&amp;"",tbl_Consulting[Job Number],0),MATCH(IFERROR(E205+0,E205),tbl_Consulting[Job Number],0))),0)))</f>
        <v/>
      </c>
      <c r="AF205" s="27">
        <f>IF(E205="","",Z205-N(AE205))</f>
        <v/>
      </c>
      <c r="AG205" s="29">
        <f>IFERROR(AF205/Z205,"")</f>
        <v/>
      </c>
      <c r="AH205" s="25">
        <f>IF(E205="","",IFERROR(IF(INDEX(tbl_Onsite[Notes],IFERROR(MATCH(E205&amp;"",tbl_Onsite[Job Number],0),MATCH(IFERROR(E205+0,E205),tbl_Onsite[Job Number],0)))="","",INDEX(tbl_Onsite[Notes],IFERROR(MATCH(E205&amp;"",tbl_Onsite[Job Number],0),MATCH(IFERROR(E205+0,E205),tbl_Onsite[Job Number],0)))),IFERROR(IF(INDEX(tbl_Production[Notes],IFERROR(MATCH(E205&amp;"",tbl_Production[Job Number],0),MATCH(IFERROR(E205+0,E205),tbl_Production[Job Number],0)))="","",INDEX(tbl_Production[Notes],IFERROR(MATCH(E205&amp;"",tbl_Production[Job Number],0),MATCH(IFERROR(E205+0,E205),tbl_Production[Job Number],0)))),IFERROR(IF(INDEX(tbl_Consulting[Notes],IFERROR(MATCH(E205&amp;"",tbl_Consulting[Job Number],0),MATCH(IFERROR(E205+0,E205),tbl_Consulting[Job Number],0)))="","",INDEX(tbl_Consulting[Notes],IFERROR(MATCH(E205&amp;"",tbl_Consulting[Job Number],0),MATCH(IFERROR(E205+0,E205),tbl_Consulting[Job Number],0)))),""))))</f>
        <v/>
      </c>
    </row>
    <row r="206" ht="15" customHeight="1">
      <c r="A206" s="22" t="n"/>
      <c r="B206" s="23">
        <f>IF(A206="","",EOMONTH(A206,0))</f>
        <v/>
      </c>
      <c r="C206" s="24" t="n"/>
      <c r="D206" s="24" t="n"/>
      <c r="E206" s="24" t="n"/>
      <c r="F206" s="25">
        <f>IF(E206="","",IF(COUNTIF(lst_Jobs,E206&amp;"")&gt;0,"OK","CHECK"))</f>
        <v/>
      </c>
      <c r="G206" s="24" t="n"/>
      <c r="H206" s="24" t="n"/>
      <c r="I206" s="24" t="n"/>
      <c r="J206" s="24" t="n"/>
      <c r="K206" s="24" t="n"/>
      <c r="L206" s="26" t="n"/>
      <c r="M206" s="27">
        <f>IF(L206="","",IF(K206="GST 10%",ROUND(L206*set_GSTRate,2),0))</f>
        <v/>
      </c>
      <c r="N206" s="27">
        <f>IF(L206="","",L206+M206)</f>
        <v/>
      </c>
      <c r="O206" s="24" t="n"/>
      <c r="P206" s="24" t="n"/>
      <c r="Q206" s="24" t="n"/>
      <c r="R206" s="22" t="n"/>
      <c r="S206" s="22" t="n"/>
      <c r="T206" s="24" t="n"/>
      <c r="U206" s="24" t="n"/>
      <c r="V206" s="2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25">
        <f>IF(E206="","",IF(COUNTIF(tbl_Onsite[Job Number],E206&amp;"")&gt;0,"Onsite",IF(COUNTIF(tbl_Production[Job Number],E206&amp;"")&gt;0,"Production",IF(COUNTIF(tbl_Consulting[Job Number],E206&amp;"")&gt;0,"Consulting","not set up yet"))))</f>
        <v/>
      </c>
      <c r="X206" s="25">
        <f>IF(E206="","",IFERROR(INDEX(lst_JobName,MATCH(E206&amp;"",lst_Jobs,0)),""))</f>
        <v/>
      </c>
      <c r="Y206" s="28">
        <f>IF(E206="","",COUNTIFS(tbl_Finance[Job Number],E206&amp;"",tbl_Finance[Ex GST],"&lt;&gt;"))</f>
        <v/>
      </c>
      <c r="Z206" s="27">
        <f>IF(E206="","",SUMIFS(tbl_Finance[Ex GST],tbl_Finance[Job Number],E206&amp;""))</f>
        <v/>
      </c>
      <c r="AA206" s="27">
        <f>IF(E206="","",SUMIFS(tbl_Finance[Ex GST],tbl_Finance[Job Number],E206&amp;"",tbl_Finance[Xero Invoice No],"&lt;&gt;"))</f>
        <v/>
      </c>
      <c r="AB206" s="27">
        <f>IF(E206="","",Z206-AA206)</f>
        <v/>
      </c>
      <c r="AC206" s="25">
        <f>IF(E206="","",IFERROR(IF(INDEX(tbl_Onsite[Qwilr Quote],IFERROR(MATCH(E206&amp;"",tbl_Onsite[Job Number],0),MATCH(IFERROR(E206+0,E206),tbl_Onsite[Job Number],0)))="","",INDEX(tbl_Onsite[Qwilr Quote],IFERROR(MATCH(E206&amp;"",tbl_Onsite[Job Number],0),MATCH(IFERROR(E206+0,E206),tbl_Onsite[Job Number],0)))),IFERROR(IF(IF(INDEX(tbl_Production[Current RMS No],IFERROR(MATCH(E206&amp;"",tbl_Production[Job Number],0),MATCH(IFERROR(E206+0,E206),tbl_Production[Job Number],0)))="",INDEX(tbl_Production[Qwilr Quote],IFERROR(MATCH(E206&amp;"",tbl_Production[Job Number],0),MATCH(IFERROR(E206+0,E206),tbl_Production[Job Number],0))),INDEX(tbl_Production[Current RMS No],IFERROR(MATCH(E206&amp;"",tbl_Production[Job Number],0),MATCH(IFERROR(E206+0,E206),tbl_Production[Job Number],0))))="","",IF(INDEX(tbl_Production[Current RMS No],IFERROR(MATCH(E206&amp;"",tbl_Production[Job Number],0),MATCH(IFERROR(E206+0,E206),tbl_Production[Job Number],0)))="",INDEX(tbl_Production[Qwilr Quote],IFERROR(MATCH(E206&amp;"",tbl_Production[Job Number],0),MATCH(IFERROR(E206+0,E206),tbl_Production[Job Number],0))),INDEX(tbl_Production[Current RMS No],IFERROR(MATCH(E206&amp;"",tbl_Production[Job Number],0),MATCH(IFERROR(E206+0,E206),tbl_Production[Job Number],0))))),IFERROR(IF(INDEX(tbl_Consulting[Qwilr Quote],IFERROR(MATCH(E206&amp;"",tbl_Consulting[Job Number],0),MATCH(IFERROR(E206+0,E206),tbl_Consulting[Job Number],0)))="","",INDEX(tbl_Consulting[Qwilr Quote],IFERROR(MATCH(E206&amp;"",tbl_Consulting[Job Number],0),MATCH(IFERROR(E206+0,E206),tbl_Consulting[Job Number],0)))),""))))</f>
        <v/>
      </c>
      <c r="AD206" s="25">
        <f>IF(AC206="","",IF(AND(LEFT(AC206,4)&lt;&gt;"http",IF(H206="Production",set_RMSBase,set_QwilrBase)=""),"",HYPERLINK(IF(LEFT(AC206,4)="http",AC206,IF(H206="Production",set_RMSBase,set_QwilrBase)&amp;AC206),"Open")))</f>
        <v/>
      </c>
      <c r="AE206" s="27">
        <f>IF(E206="","",IFERROR(INDEX(tbl_Production[Total Expense],IFERROR(MATCH(E206&amp;"",tbl_Production[Job Number],0),MATCH(IFERROR(E206+0,E206),tbl_Production[Job Number],0))),IFERROR(INDEX(tbl_Consulting[Total Expense],IFERROR(MATCH(E206&amp;"",tbl_Consulting[Job Number],0),MATCH(IFERROR(E206+0,E206),tbl_Consulting[Job Number],0))),0)))</f>
        <v/>
      </c>
      <c r="AF206" s="27">
        <f>IF(E206="","",Z206-N(AE206))</f>
        <v/>
      </c>
      <c r="AG206" s="29">
        <f>IFERROR(AF206/Z206,"")</f>
        <v/>
      </c>
      <c r="AH206" s="25">
        <f>IF(E206="","",IFERROR(IF(INDEX(tbl_Onsite[Notes],IFERROR(MATCH(E206&amp;"",tbl_Onsite[Job Number],0),MATCH(IFERROR(E206+0,E206),tbl_Onsite[Job Number],0)))="","",INDEX(tbl_Onsite[Notes],IFERROR(MATCH(E206&amp;"",tbl_Onsite[Job Number],0),MATCH(IFERROR(E206+0,E206),tbl_Onsite[Job Number],0)))),IFERROR(IF(INDEX(tbl_Production[Notes],IFERROR(MATCH(E206&amp;"",tbl_Production[Job Number],0),MATCH(IFERROR(E206+0,E206),tbl_Production[Job Number],0)))="","",INDEX(tbl_Production[Notes],IFERROR(MATCH(E206&amp;"",tbl_Production[Job Number],0),MATCH(IFERROR(E206+0,E206),tbl_Production[Job Number],0)))),IFERROR(IF(INDEX(tbl_Consulting[Notes],IFERROR(MATCH(E206&amp;"",tbl_Consulting[Job Number],0),MATCH(IFERROR(E206+0,E206),tbl_Consulting[Job Number],0)))="","",INDEX(tbl_Consulting[Notes],IFERROR(MATCH(E206&amp;"",tbl_Consulting[Job Number],0),MATCH(IFERROR(E206+0,E206),tbl_Consulting[Job Number],0)))),""))))</f>
        <v/>
      </c>
    </row>
    <row r="207" ht="15" customHeight="1">
      <c r="A207" s="22" t="n"/>
      <c r="B207" s="23">
        <f>IF(A207="","",EOMONTH(A207,0))</f>
        <v/>
      </c>
      <c r="C207" s="24" t="n"/>
      <c r="D207" s="24" t="n"/>
      <c r="E207" s="24" t="n"/>
      <c r="F207" s="25">
        <f>IF(E207="","",IF(COUNTIF(lst_Jobs,E207&amp;"")&gt;0,"OK","CHECK"))</f>
        <v/>
      </c>
      <c r="G207" s="24" t="n"/>
      <c r="H207" s="24" t="n"/>
      <c r="I207" s="24" t="n"/>
      <c r="J207" s="24" t="n"/>
      <c r="K207" s="24" t="n"/>
      <c r="L207" s="26" t="n"/>
      <c r="M207" s="27">
        <f>IF(L207="","",IF(K207="GST 10%",ROUND(L207*set_GSTRate,2),0))</f>
        <v/>
      </c>
      <c r="N207" s="27">
        <f>IF(L207="","",L207+M207)</f>
        <v/>
      </c>
      <c r="O207" s="24" t="n"/>
      <c r="P207" s="24" t="n"/>
      <c r="Q207" s="24" t="n"/>
      <c r="R207" s="22" t="n"/>
      <c r="S207" s="22" t="n"/>
      <c r="T207" s="24" t="n"/>
      <c r="U207" s="24" t="n"/>
      <c r="V207" s="2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25">
        <f>IF(E207="","",IF(COUNTIF(tbl_Onsite[Job Number],E207&amp;"")&gt;0,"Onsite",IF(COUNTIF(tbl_Production[Job Number],E207&amp;"")&gt;0,"Production",IF(COUNTIF(tbl_Consulting[Job Number],E207&amp;"")&gt;0,"Consulting","not set up yet"))))</f>
        <v/>
      </c>
      <c r="X207" s="25">
        <f>IF(E207="","",IFERROR(INDEX(lst_JobName,MATCH(E207&amp;"",lst_Jobs,0)),""))</f>
        <v/>
      </c>
      <c r="Y207" s="28">
        <f>IF(E207="","",COUNTIFS(tbl_Finance[Job Number],E207&amp;"",tbl_Finance[Ex GST],"&lt;&gt;"))</f>
        <v/>
      </c>
      <c r="Z207" s="27">
        <f>IF(E207="","",SUMIFS(tbl_Finance[Ex GST],tbl_Finance[Job Number],E207&amp;""))</f>
        <v/>
      </c>
      <c r="AA207" s="27">
        <f>IF(E207="","",SUMIFS(tbl_Finance[Ex GST],tbl_Finance[Job Number],E207&amp;"",tbl_Finance[Xero Invoice No],"&lt;&gt;"))</f>
        <v/>
      </c>
      <c r="AB207" s="27">
        <f>IF(E207="","",Z207-AA207)</f>
        <v/>
      </c>
      <c r="AC207" s="25">
        <f>IF(E207="","",IFERROR(IF(INDEX(tbl_Onsite[Qwilr Quote],IFERROR(MATCH(E207&amp;"",tbl_Onsite[Job Number],0),MATCH(IFERROR(E207+0,E207),tbl_Onsite[Job Number],0)))="","",INDEX(tbl_Onsite[Qwilr Quote],IFERROR(MATCH(E207&amp;"",tbl_Onsite[Job Number],0),MATCH(IFERROR(E207+0,E207),tbl_Onsite[Job Number],0)))),IFERROR(IF(IF(INDEX(tbl_Production[Current RMS No],IFERROR(MATCH(E207&amp;"",tbl_Production[Job Number],0),MATCH(IFERROR(E207+0,E207),tbl_Production[Job Number],0)))="",INDEX(tbl_Production[Qwilr Quote],IFERROR(MATCH(E207&amp;"",tbl_Production[Job Number],0),MATCH(IFERROR(E207+0,E207),tbl_Production[Job Number],0))),INDEX(tbl_Production[Current RMS No],IFERROR(MATCH(E207&amp;"",tbl_Production[Job Number],0),MATCH(IFERROR(E207+0,E207),tbl_Production[Job Number],0))))="","",IF(INDEX(tbl_Production[Current RMS No],IFERROR(MATCH(E207&amp;"",tbl_Production[Job Number],0),MATCH(IFERROR(E207+0,E207),tbl_Production[Job Number],0)))="",INDEX(tbl_Production[Qwilr Quote],IFERROR(MATCH(E207&amp;"",tbl_Production[Job Number],0),MATCH(IFERROR(E207+0,E207),tbl_Production[Job Number],0))),INDEX(tbl_Production[Current RMS No],IFERROR(MATCH(E207&amp;"",tbl_Production[Job Number],0),MATCH(IFERROR(E207+0,E207),tbl_Production[Job Number],0))))),IFERROR(IF(INDEX(tbl_Consulting[Qwilr Quote],IFERROR(MATCH(E207&amp;"",tbl_Consulting[Job Number],0),MATCH(IFERROR(E207+0,E207),tbl_Consulting[Job Number],0)))="","",INDEX(tbl_Consulting[Qwilr Quote],IFERROR(MATCH(E207&amp;"",tbl_Consulting[Job Number],0),MATCH(IFERROR(E207+0,E207),tbl_Consulting[Job Number],0)))),""))))</f>
        <v/>
      </c>
      <c r="AD207" s="25">
        <f>IF(AC207="","",IF(AND(LEFT(AC207,4)&lt;&gt;"http",IF(H207="Production",set_RMSBase,set_QwilrBase)=""),"",HYPERLINK(IF(LEFT(AC207,4)="http",AC207,IF(H207="Production",set_RMSBase,set_QwilrBase)&amp;AC207),"Open")))</f>
        <v/>
      </c>
      <c r="AE207" s="27">
        <f>IF(E207="","",IFERROR(INDEX(tbl_Production[Total Expense],IFERROR(MATCH(E207&amp;"",tbl_Production[Job Number],0),MATCH(IFERROR(E207+0,E207),tbl_Production[Job Number],0))),IFERROR(INDEX(tbl_Consulting[Total Expense],IFERROR(MATCH(E207&amp;"",tbl_Consulting[Job Number],0),MATCH(IFERROR(E207+0,E207),tbl_Consulting[Job Number],0))),0)))</f>
        <v/>
      </c>
      <c r="AF207" s="27">
        <f>IF(E207="","",Z207-N(AE207))</f>
        <v/>
      </c>
      <c r="AG207" s="29">
        <f>IFERROR(AF207/Z207,"")</f>
        <v/>
      </c>
      <c r="AH207" s="25">
        <f>IF(E207="","",IFERROR(IF(INDEX(tbl_Onsite[Notes],IFERROR(MATCH(E207&amp;"",tbl_Onsite[Job Number],0),MATCH(IFERROR(E207+0,E207),tbl_Onsite[Job Number],0)))="","",INDEX(tbl_Onsite[Notes],IFERROR(MATCH(E207&amp;"",tbl_Onsite[Job Number],0),MATCH(IFERROR(E207+0,E207),tbl_Onsite[Job Number],0)))),IFERROR(IF(INDEX(tbl_Production[Notes],IFERROR(MATCH(E207&amp;"",tbl_Production[Job Number],0),MATCH(IFERROR(E207+0,E207),tbl_Production[Job Number],0)))="","",INDEX(tbl_Production[Notes],IFERROR(MATCH(E207&amp;"",tbl_Production[Job Number],0),MATCH(IFERROR(E207+0,E207),tbl_Production[Job Number],0)))),IFERROR(IF(INDEX(tbl_Consulting[Notes],IFERROR(MATCH(E207&amp;"",tbl_Consulting[Job Number],0),MATCH(IFERROR(E207+0,E207),tbl_Consulting[Job Number],0)))="","",INDEX(tbl_Consulting[Notes],IFERROR(MATCH(E207&amp;"",tbl_Consulting[Job Number],0),MATCH(IFERROR(E207+0,E207),tbl_Consulting[Job Number],0)))),""))))</f>
        <v/>
      </c>
    </row>
    <row r="208" ht="15" customHeight="1">
      <c r="A208" s="22" t="n"/>
      <c r="B208" s="23">
        <f>IF(A208="","",EOMONTH(A208,0))</f>
        <v/>
      </c>
      <c r="C208" s="24" t="n"/>
      <c r="D208" s="24" t="n"/>
      <c r="E208" s="24" t="n"/>
      <c r="F208" s="25">
        <f>IF(E208="","",IF(COUNTIF(lst_Jobs,E208&amp;"")&gt;0,"OK","CHECK"))</f>
        <v/>
      </c>
      <c r="G208" s="24" t="n"/>
      <c r="H208" s="24" t="n"/>
      <c r="I208" s="24" t="n"/>
      <c r="J208" s="24" t="n"/>
      <c r="K208" s="24" t="n"/>
      <c r="L208" s="26" t="n"/>
      <c r="M208" s="27">
        <f>IF(L208="","",IF(K208="GST 10%",ROUND(L208*set_GSTRate,2),0))</f>
        <v/>
      </c>
      <c r="N208" s="27">
        <f>IF(L208="","",L208+M208)</f>
        <v/>
      </c>
      <c r="O208" s="24" t="n"/>
      <c r="P208" s="24" t="n"/>
      <c r="Q208" s="24" t="n"/>
      <c r="R208" s="22" t="n"/>
      <c r="S208" s="22" t="n"/>
      <c r="T208" s="24" t="n"/>
      <c r="U208" s="24" t="n"/>
      <c r="V208" s="2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25">
        <f>IF(E208="","",IF(COUNTIF(tbl_Onsite[Job Number],E208&amp;"")&gt;0,"Onsite",IF(COUNTIF(tbl_Production[Job Number],E208&amp;"")&gt;0,"Production",IF(COUNTIF(tbl_Consulting[Job Number],E208&amp;"")&gt;0,"Consulting","not set up yet"))))</f>
        <v/>
      </c>
      <c r="X208" s="25">
        <f>IF(E208="","",IFERROR(INDEX(lst_JobName,MATCH(E208&amp;"",lst_Jobs,0)),""))</f>
        <v/>
      </c>
      <c r="Y208" s="28">
        <f>IF(E208="","",COUNTIFS(tbl_Finance[Job Number],E208&amp;"",tbl_Finance[Ex GST],"&lt;&gt;"))</f>
        <v/>
      </c>
      <c r="Z208" s="27">
        <f>IF(E208="","",SUMIFS(tbl_Finance[Ex GST],tbl_Finance[Job Number],E208&amp;""))</f>
        <v/>
      </c>
      <c r="AA208" s="27">
        <f>IF(E208="","",SUMIFS(tbl_Finance[Ex GST],tbl_Finance[Job Number],E208&amp;"",tbl_Finance[Xero Invoice No],"&lt;&gt;"))</f>
        <v/>
      </c>
      <c r="AB208" s="27">
        <f>IF(E208="","",Z208-AA208)</f>
        <v/>
      </c>
      <c r="AC208" s="25">
        <f>IF(E208="","",IFERROR(IF(INDEX(tbl_Onsite[Qwilr Quote],IFERROR(MATCH(E208&amp;"",tbl_Onsite[Job Number],0),MATCH(IFERROR(E208+0,E208),tbl_Onsite[Job Number],0)))="","",INDEX(tbl_Onsite[Qwilr Quote],IFERROR(MATCH(E208&amp;"",tbl_Onsite[Job Number],0),MATCH(IFERROR(E208+0,E208),tbl_Onsite[Job Number],0)))),IFERROR(IF(IF(INDEX(tbl_Production[Current RMS No],IFERROR(MATCH(E208&amp;"",tbl_Production[Job Number],0),MATCH(IFERROR(E208+0,E208),tbl_Production[Job Number],0)))="",INDEX(tbl_Production[Qwilr Quote],IFERROR(MATCH(E208&amp;"",tbl_Production[Job Number],0),MATCH(IFERROR(E208+0,E208),tbl_Production[Job Number],0))),INDEX(tbl_Production[Current RMS No],IFERROR(MATCH(E208&amp;"",tbl_Production[Job Number],0),MATCH(IFERROR(E208+0,E208),tbl_Production[Job Number],0))))="","",IF(INDEX(tbl_Production[Current RMS No],IFERROR(MATCH(E208&amp;"",tbl_Production[Job Number],0),MATCH(IFERROR(E208+0,E208),tbl_Production[Job Number],0)))="",INDEX(tbl_Production[Qwilr Quote],IFERROR(MATCH(E208&amp;"",tbl_Production[Job Number],0),MATCH(IFERROR(E208+0,E208),tbl_Production[Job Number],0))),INDEX(tbl_Production[Current RMS No],IFERROR(MATCH(E208&amp;"",tbl_Production[Job Number],0),MATCH(IFERROR(E208+0,E208),tbl_Production[Job Number],0))))),IFERROR(IF(INDEX(tbl_Consulting[Qwilr Quote],IFERROR(MATCH(E208&amp;"",tbl_Consulting[Job Number],0),MATCH(IFERROR(E208+0,E208),tbl_Consulting[Job Number],0)))="","",INDEX(tbl_Consulting[Qwilr Quote],IFERROR(MATCH(E208&amp;"",tbl_Consulting[Job Number],0),MATCH(IFERROR(E208+0,E208),tbl_Consulting[Job Number],0)))),""))))</f>
        <v/>
      </c>
      <c r="AD208" s="25">
        <f>IF(AC208="","",IF(AND(LEFT(AC208,4)&lt;&gt;"http",IF(H208="Production",set_RMSBase,set_QwilrBase)=""),"",HYPERLINK(IF(LEFT(AC208,4)="http",AC208,IF(H208="Production",set_RMSBase,set_QwilrBase)&amp;AC208),"Open")))</f>
        <v/>
      </c>
      <c r="AE208" s="27">
        <f>IF(E208="","",IFERROR(INDEX(tbl_Production[Total Expense],IFERROR(MATCH(E208&amp;"",tbl_Production[Job Number],0),MATCH(IFERROR(E208+0,E208),tbl_Production[Job Number],0))),IFERROR(INDEX(tbl_Consulting[Total Expense],IFERROR(MATCH(E208&amp;"",tbl_Consulting[Job Number],0),MATCH(IFERROR(E208+0,E208),tbl_Consulting[Job Number],0))),0)))</f>
        <v/>
      </c>
      <c r="AF208" s="27">
        <f>IF(E208="","",Z208-N(AE208))</f>
        <v/>
      </c>
      <c r="AG208" s="29">
        <f>IFERROR(AF208/Z208,"")</f>
        <v/>
      </c>
      <c r="AH208" s="25">
        <f>IF(E208="","",IFERROR(IF(INDEX(tbl_Onsite[Notes],IFERROR(MATCH(E208&amp;"",tbl_Onsite[Job Number],0),MATCH(IFERROR(E208+0,E208),tbl_Onsite[Job Number],0)))="","",INDEX(tbl_Onsite[Notes],IFERROR(MATCH(E208&amp;"",tbl_Onsite[Job Number],0),MATCH(IFERROR(E208+0,E208),tbl_Onsite[Job Number],0)))),IFERROR(IF(INDEX(tbl_Production[Notes],IFERROR(MATCH(E208&amp;"",tbl_Production[Job Number],0),MATCH(IFERROR(E208+0,E208),tbl_Production[Job Number],0)))="","",INDEX(tbl_Production[Notes],IFERROR(MATCH(E208&amp;"",tbl_Production[Job Number],0),MATCH(IFERROR(E208+0,E208),tbl_Production[Job Number],0)))),IFERROR(IF(INDEX(tbl_Consulting[Notes],IFERROR(MATCH(E208&amp;"",tbl_Consulting[Job Number],0),MATCH(IFERROR(E208+0,E208),tbl_Consulting[Job Number],0)))="","",INDEX(tbl_Consulting[Notes],IFERROR(MATCH(E208&amp;"",tbl_Consulting[Job Number],0),MATCH(IFERROR(E208+0,E208),tbl_Consulting[Job Number],0)))),""))))</f>
        <v/>
      </c>
    </row>
    <row r="209" ht="15" customHeight="1">
      <c r="A209" s="22" t="n"/>
      <c r="B209" s="23">
        <f>IF(A209="","",EOMONTH(A209,0))</f>
        <v/>
      </c>
      <c r="C209" s="24" t="n"/>
      <c r="D209" s="24" t="n"/>
      <c r="E209" s="24" t="n"/>
      <c r="F209" s="25">
        <f>IF(E209="","",IF(COUNTIF(lst_Jobs,E209&amp;"")&gt;0,"OK","CHECK"))</f>
        <v/>
      </c>
      <c r="G209" s="24" t="n"/>
      <c r="H209" s="24" t="n"/>
      <c r="I209" s="24" t="n"/>
      <c r="J209" s="24" t="n"/>
      <c r="K209" s="24" t="n"/>
      <c r="L209" s="26" t="n"/>
      <c r="M209" s="27">
        <f>IF(L209="","",IF(K209="GST 10%",ROUND(L209*set_GSTRate,2),0))</f>
        <v/>
      </c>
      <c r="N209" s="27">
        <f>IF(L209="","",L209+M209)</f>
        <v/>
      </c>
      <c r="O209" s="24" t="n"/>
      <c r="P209" s="24" t="n"/>
      <c r="Q209" s="24" t="n"/>
      <c r="R209" s="22" t="n"/>
      <c r="S209" s="22" t="n"/>
      <c r="T209" s="24" t="n"/>
      <c r="U209" s="24" t="n"/>
      <c r="V209" s="2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25">
        <f>IF(E209="","",IF(COUNTIF(tbl_Onsite[Job Number],E209&amp;"")&gt;0,"Onsite",IF(COUNTIF(tbl_Production[Job Number],E209&amp;"")&gt;0,"Production",IF(COUNTIF(tbl_Consulting[Job Number],E209&amp;"")&gt;0,"Consulting","not set up yet"))))</f>
        <v/>
      </c>
      <c r="X209" s="25">
        <f>IF(E209="","",IFERROR(INDEX(lst_JobName,MATCH(E209&amp;"",lst_Jobs,0)),""))</f>
        <v/>
      </c>
      <c r="Y209" s="28">
        <f>IF(E209="","",COUNTIFS(tbl_Finance[Job Number],E209&amp;"",tbl_Finance[Ex GST],"&lt;&gt;"))</f>
        <v/>
      </c>
      <c r="Z209" s="27">
        <f>IF(E209="","",SUMIFS(tbl_Finance[Ex GST],tbl_Finance[Job Number],E209&amp;""))</f>
        <v/>
      </c>
      <c r="AA209" s="27">
        <f>IF(E209="","",SUMIFS(tbl_Finance[Ex GST],tbl_Finance[Job Number],E209&amp;"",tbl_Finance[Xero Invoice No],"&lt;&gt;"))</f>
        <v/>
      </c>
      <c r="AB209" s="27">
        <f>IF(E209="","",Z209-AA209)</f>
        <v/>
      </c>
      <c r="AC209" s="25">
        <f>IF(E209="","",IFERROR(IF(INDEX(tbl_Onsite[Qwilr Quote],IFERROR(MATCH(E209&amp;"",tbl_Onsite[Job Number],0),MATCH(IFERROR(E209+0,E209),tbl_Onsite[Job Number],0)))="","",INDEX(tbl_Onsite[Qwilr Quote],IFERROR(MATCH(E209&amp;"",tbl_Onsite[Job Number],0),MATCH(IFERROR(E209+0,E209),tbl_Onsite[Job Number],0)))),IFERROR(IF(IF(INDEX(tbl_Production[Current RMS No],IFERROR(MATCH(E209&amp;"",tbl_Production[Job Number],0),MATCH(IFERROR(E209+0,E209),tbl_Production[Job Number],0)))="",INDEX(tbl_Production[Qwilr Quote],IFERROR(MATCH(E209&amp;"",tbl_Production[Job Number],0),MATCH(IFERROR(E209+0,E209),tbl_Production[Job Number],0))),INDEX(tbl_Production[Current RMS No],IFERROR(MATCH(E209&amp;"",tbl_Production[Job Number],0),MATCH(IFERROR(E209+0,E209),tbl_Production[Job Number],0))))="","",IF(INDEX(tbl_Production[Current RMS No],IFERROR(MATCH(E209&amp;"",tbl_Production[Job Number],0),MATCH(IFERROR(E209+0,E209),tbl_Production[Job Number],0)))="",INDEX(tbl_Production[Qwilr Quote],IFERROR(MATCH(E209&amp;"",tbl_Production[Job Number],0),MATCH(IFERROR(E209+0,E209),tbl_Production[Job Number],0))),INDEX(tbl_Production[Current RMS No],IFERROR(MATCH(E209&amp;"",tbl_Production[Job Number],0),MATCH(IFERROR(E209+0,E209),tbl_Production[Job Number],0))))),IFERROR(IF(INDEX(tbl_Consulting[Qwilr Quote],IFERROR(MATCH(E209&amp;"",tbl_Consulting[Job Number],0),MATCH(IFERROR(E209+0,E209),tbl_Consulting[Job Number],0)))="","",INDEX(tbl_Consulting[Qwilr Quote],IFERROR(MATCH(E209&amp;"",tbl_Consulting[Job Number],0),MATCH(IFERROR(E209+0,E209),tbl_Consulting[Job Number],0)))),""))))</f>
        <v/>
      </c>
      <c r="AD209" s="25">
        <f>IF(AC209="","",IF(AND(LEFT(AC209,4)&lt;&gt;"http",IF(H209="Production",set_RMSBase,set_QwilrBase)=""),"",HYPERLINK(IF(LEFT(AC209,4)="http",AC209,IF(H209="Production",set_RMSBase,set_QwilrBase)&amp;AC209),"Open")))</f>
        <v/>
      </c>
      <c r="AE209" s="27">
        <f>IF(E209="","",IFERROR(INDEX(tbl_Production[Total Expense],IFERROR(MATCH(E209&amp;"",tbl_Production[Job Number],0),MATCH(IFERROR(E209+0,E209),tbl_Production[Job Number],0))),IFERROR(INDEX(tbl_Consulting[Total Expense],IFERROR(MATCH(E209&amp;"",tbl_Consulting[Job Number],0),MATCH(IFERROR(E209+0,E209),tbl_Consulting[Job Number],0))),0)))</f>
        <v/>
      </c>
      <c r="AF209" s="27">
        <f>IF(E209="","",Z209-N(AE209))</f>
        <v/>
      </c>
      <c r="AG209" s="29">
        <f>IFERROR(AF209/Z209,"")</f>
        <v/>
      </c>
      <c r="AH209" s="25">
        <f>IF(E209="","",IFERROR(IF(INDEX(tbl_Onsite[Notes],IFERROR(MATCH(E209&amp;"",tbl_Onsite[Job Number],0),MATCH(IFERROR(E209+0,E209),tbl_Onsite[Job Number],0)))="","",INDEX(tbl_Onsite[Notes],IFERROR(MATCH(E209&amp;"",tbl_Onsite[Job Number],0),MATCH(IFERROR(E209+0,E209),tbl_Onsite[Job Number],0)))),IFERROR(IF(INDEX(tbl_Production[Notes],IFERROR(MATCH(E209&amp;"",tbl_Production[Job Number],0),MATCH(IFERROR(E209+0,E209),tbl_Production[Job Number],0)))="","",INDEX(tbl_Production[Notes],IFERROR(MATCH(E209&amp;"",tbl_Production[Job Number],0),MATCH(IFERROR(E209+0,E209),tbl_Production[Job Number],0)))),IFERROR(IF(INDEX(tbl_Consulting[Notes],IFERROR(MATCH(E209&amp;"",tbl_Consulting[Job Number],0),MATCH(IFERROR(E209+0,E209),tbl_Consulting[Job Number],0)))="","",INDEX(tbl_Consulting[Notes],IFERROR(MATCH(E209&amp;"",tbl_Consulting[Job Number],0),MATCH(IFERROR(E209+0,E209),tbl_Consulting[Job Number],0)))),""))))</f>
        <v/>
      </c>
    </row>
    <row r="210" ht="15" customHeight="1">
      <c r="A210" s="22" t="n"/>
      <c r="B210" s="23">
        <f>IF(A210="","",EOMONTH(A210,0))</f>
        <v/>
      </c>
      <c r="C210" s="24" t="n"/>
      <c r="D210" s="24" t="n"/>
      <c r="E210" s="24" t="n"/>
      <c r="F210" s="25">
        <f>IF(E210="","",IF(COUNTIF(lst_Jobs,E210&amp;"")&gt;0,"OK","CHECK"))</f>
        <v/>
      </c>
      <c r="G210" s="24" t="n"/>
      <c r="H210" s="24" t="n"/>
      <c r="I210" s="24" t="n"/>
      <c r="J210" s="24" t="n"/>
      <c r="K210" s="24" t="n"/>
      <c r="L210" s="26" t="n"/>
      <c r="M210" s="27">
        <f>IF(L210="","",IF(K210="GST 10%",ROUND(L210*set_GSTRate,2),0))</f>
        <v/>
      </c>
      <c r="N210" s="27">
        <f>IF(L210="","",L210+M210)</f>
        <v/>
      </c>
      <c r="O210" s="24" t="n"/>
      <c r="P210" s="24" t="n"/>
      <c r="Q210" s="24" t="n"/>
      <c r="R210" s="22" t="n"/>
      <c r="S210" s="22" t="n"/>
      <c r="T210" s="24" t="n"/>
      <c r="U210" s="24" t="n"/>
      <c r="V210" s="2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25">
        <f>IF(E210="","",IF(COUNTIF(tbl_Onsite[Job Number],E210&amp;"")&gt;0,"Onsite",IF(COUNTIF(tbl_Production[Job Number],E210&amp;"")&gt;0,"Production",IF(COUNTIF(tbl_Consulting[Job Number],E210&amp;"")&gt;0,"Consulting","not set up yet"))))</f>
        <v/>
      </c>
      <c r="X210" s="25">
        <f>IF(E210="","",IFERROR(INDEX(lst_JobName,MATCH(E210&amp;"",lst_Jobs,0)),""))</f>
        <v/>
      </c>
      <c r="Y210" s="28">
        <f>IF(E210="","",COUNTIFS(tbl_Finance[Job Number],E210&amp;"",tbl_Finance[Ex GST],"&lt;&gt;"))</f>
        <v/>
      </c>
      <c r="Z210" s="27">
        <f>IF(E210="","",SUMIFS(tbl_Finance[Ex GST],tbl_Finance[Job Number],E210&amp;""))</f>
        <v/>
      </c>
      <c r="AA210" s="27">
        <f>IF(E210="","",SUMIFS(tbl_Finance[Ex GST],tbl_Finance[Job Number],E210&amp;"",tbl_Finance[Xero Invoice No],"&lt;&gt;"))</f>
        <v/>
      </c>
      <c r="AB210" s="27">
        <f>IF(E210="","",Z210-AA210)</f>
        <v/>
      </c>
      <c r="AC210" s="25">
        <f>IF(E210="","",IFERROR(IF(INDEX(tbl_Onsite[Qwilr Quote],IFERROR(MATCH(E210&amp;"",tbl_Onsite[Job Number],0),MATCH(IFERROR(E210+0,E210),tbl_Onsite[Job Number],0)))="","",INDEX(tbl_Onsite[Qwilr Quote],IFERROR(MATCH(E210&amp;"",tbl_Onsite[Job Number],0),MATCH(IFERROR(E210+0,E210),tbl_Onsite[Job Number],0)))),IFERROR(IF(IF(INDEX(tbl_Production[Current RMS No],IFERROR(MATCH(E210&amp;"",tbl_Production[Job Number],0),MATCH(IFERROR(E210+0,E210),tbl_Production[Job Number],0)))="",INDEX(tbl_Production[Qwilr Quote],IFERROR(MATCH(E210&amp;"",tbl_Production[Job Number],0),MATCH(IFERROR(E210+0,E210),tbl_Production[Job Number],0))),INDEX(tbl_Production[Current RMS No],IFERROR(MATCH(E210&amp;"",tbl_Production[Job Number],0),MATCH(IFERROR(E210+0,E210),tbl_Production[Job Number],0))))="","",IF(INDEX(tbl_Production[Current RMS No],IFERROR(MATCH(E210&amp;"",tbl_Production[Job Number],0),MATCH(IFERROR(E210+0,E210),tbl_Production[Job Number],0)))="",INDEX(tbl_Production[Qwilr Quote],IFERROR(MATCH(E210&amp;"",tbl_Production[Job Number],0),MATCH(IFERROR(E210+0,E210),tbl_Production[Job Number],0))),INDEX(tbl_Production[Current RMS No],IFERROR(MATCH(E210&amp;"",tbl_Production[Job Number],0),MATCH(IFERROR(E210+0,E210),tbl_Production[Job Number],0))))),IFERROR(IF(INDEX(tbl_Consulting[Qwilr Quote],IFERROR(MATCH(E210&amp;"",tbl_Consulting[Job Number],0),MATCH(IFERROR(E210+0,E210),tbl_Consulting[Job Number],0)))="","",INDEX(tbl_Consulting[Qwilr Quote],IFERROR(MATCH(E210&amp;"",tbl_Consulting[Job Number],0),MATCH(IFERROR(E210+0,E210),tbl_Consulting[Job Number],0)))),""))))</f>
        <v/>
      </c>
      <c r="AD210" s="25">
        <f>IF(AC210="","",IF(AND(LEFT(AC210,4)&lt;&gt;"http",IF(H210="Production",set_RMSBase,set_QwilrBase)=""),"",HYPERLINK(IF(LEFT(AC210,4)="http",AC210,IF(H210="Production",set_RMSBase,set_QwilrBase)&amp;AC210),"Open")))</f>
        <v/>
      </c>
      <c r="AE210" s="27">
        <f>IF(E210="","",IFERROR(INDEX(tbl_Production[Total Expense],IFERROR(MATCH(E210&amp;"",tbl_Production[Job Number],0),MATCH(IFERROR(E210+0,E210),tbl_Production[Job Number],0))),IFERROR(INDEX(tbl_Consulting[Total Expense],IFERROR(MATCH(E210&amp;"",tbl_Consulting[Job Number],0),MATCH(IFERROR(E210+0,E210),tbl_Consulting[Job Number],0))),0)))</f>
        <v/>
      </c>
      <c r="AF210" s="27">
        <f>IF(E210="","",Z210-N(AE210))</f>
        <v/>
      </c>
      <c r="AG210" s="29">
        <f>IFERROR(AF210/Z210,"")</f>
        <v/>
      </c>
      <c r="AH210" s="25">
        <f>IF(E210="","",IFERROR(IF(INDEX(tbl_Onsite[Notes],IFERROR(MATCH(E210&amp;"",tbl_Onsite[Job Number],0),MATCH(IFERROR(E210+0,E210),tbl_Onsite[Job Number],0)))="","",INDEX(tbl_Onsite[Notes],IFERROR(MATCH(E210&amp;"",tbl_Onsite[Job Number],0),MATCH(IFERROR(E210+0,E210),tbl_Onsite[Job Number],0)))),IFERROR(IF(INDEX(tbl_Production[Notes],IFERROR(MATCH(E210&amp;"",tbl_Production[Job Number],0),MATCH(IFERROR(E210+0,E210),tbl_Production[Job Number],0)))="","",INDEX(tbl_Production[Notes],IFERROR(MATCH(E210&amp;"",tbl_Production[Job Number],0),MATCH(IFERROR(E210+0,E210),tbl_Production[Job Number],0)))),IFERROR(IF(INDEX(tbl_Consulting[Notes],IFERROR(MATCH(E210&amp;"",tbl_Consulting[Job Number],0),MATCH(IFERROR(E210+0,E210),tbl_Consulting[Job Number],0)))="","",INDEX(tbl_Consulting[Notes],IFERROR(MATCH(E210&amp;"",tbl_Consulting[Job Number],0),MATCH(IFERROR(E210+0,E210),tbl_Consulting[Job Number],0)))),""))))</f>
        <v/>
      </c>
    </row>
    <row r="211" ht="15" customHeight="1">
      <c r="A211" s="22" t="n"/>
      <c r="B211" s="23">
        <f>IF(A211="","",EOMONTH(A211,0))</f>
        <v/>
      </c>
      <c r="C211" s="24" t="n"/>
      <c r="D211" s="24" t="n"/>
      <c r="E211" s="24" t="n"/>
      <c r="F211" s="25">
        <f>IF(E211="","",IF(COUNTIF(lst_Jobs,E211&amp;"")&gt;0,"OK","CHECK"))</f>
        <v/>
      </c>
      <c r="G211" s="24" t="n"/>
      <c r="H211" s="24" t="n"/>
      <c r="I211" s="24" t="n"/>
      <c r="J211" s="24" t="n"/>
      <c r="K211" s="24" t="n"/>
      <c r="L211" s="26" t="n"/>
      <c r="M211" s="27">
        <f>IF(L211="","",IF(K211="GST 10%",ROUND(L211*set_GSTRate,2),0))</f>
        <v/>
      </c>
      <c r="N211" s="27">
        <f>IF(L211="","",L211+M211)</f>
        <v/>
      </c>
      <c r="O211" s="24" t="n"/>
      <c r="P211" s="24" t="n"/>
      <c r="Q211" s="24" t="n"/>
      <c r="R211" s="22" t="n"/>
      <c r="S211" s="22" t="n"/>
      <c r="T211" s="24" t="n"/>
      <c r="U211" s="24" t="n"/>
      <c r="V211" s="2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25">
        <f>IF(E211="","",IF(COUNTIF(tbl_Onsite[Job Number],E211&amp;"")&gt;0,"Onsite",IF(COUNTIF(tbl_Production[Job Number],E211&amp;"")&gt;0,"Production",IF(COUNTIF(tbl_Consulting[Job Number],E211&amp;"")&gt;0,"Consulting","not set up yet"))))</f>
        <v/>
      </c>
      <c r="X211" s="25">
        <f>IF(E211="","",IFERROR(INDEX(lst_JobName,MATCH(E211&amp;"",lst_Jobs,0)),""))</f>
        <v/>
      </c>
      <c r="Y211" s="28">
        <f>IF(E211="","",COUNTIFS(tbl_Finance[Job Number],E211&amp;"",tbl_Finance[Ex GST],"&lt;&gt;"))</f>
        <v/>
      </c>
      <c r="Z211" s="27">
        <f>IF(E211="","",SUMIFS(tbl_Finance[Ex GST],tbl_Finance[Job Number],E211&amp;""))</f>
        <v/>
      </c>
      <c r="AA211" s="27">
        <f>IF(E211="","",SUMIFS(tbl_Finance[Ex GST],tbl_Finance[Job Number],E211&amp;"",tbl_Finance[Xero Invoice No],"&lt;&gt;"))</f>
        <v/>
      </c>
      <c r="AB211" s="27">
        <f>IF(E211="","",Z211-AA211)</f>
        <v/>
      </c>
      <c r="AC211" s="25">
        <f>IF(E211="","",IFERROR(IF(INDEX(tbl_Onsite[Qwilr Quote],IFERROR(MATCH(E211&amp;"",tbl_Onsite[Job Number],0),MATCH(IFERROR(E211+0,E211),tbl_Onsite[Job Number],0)))="","",INDEX(tbl_Onsite[Qwilr Quote],IFERROR(MATCH(E211&amp;"",tbl_Onsite[Job Number],0),MATCH(IFERROR(E211+0,E211),tbl_Onsite[Job Number],0)))),IFERROR(IF(IF(INDEX(tbl_Production[Current RMS No],IFERROR(MATCH(E211&amp;"",tbl_Production[Job Number],0),MATCH(IFERROR(E211+0,E211),tbl_Production[Job Number],0)))="",INDEX(tbl_Production[Qwilr Quote],IFERROR(MATCH(E211&amp;"",tbl_Production[Job Number],0),MATCH(IFERROR(E211+0,E211),tbl_Production[Job Number],0))),INDEX(tbl_Production[Current RMS No],IFERROR(MATCH(E211&amp;"",tbl_Production[Job Number],0),MATCH(IFERROR(E211+0,E211),tbl_Production[Job Number],0))))="","",IF(INDEX(tbl_Production[Current RMS No],IFERROR(MATCH(E211&amp;"",tbl_Production[Job Number],0),MATCH(IFERROR(E211+0,E211),tbl_Production[Job Number],0)))="",INDEX(tbl_Production[Qwilr Quote],IFERROR(MATCH(E211&amp;"",tbl_Production[Job Number],0),MATCH(IFERROR(E211+0,E211),tbl_Production[Job Number],0))),INDEX(tbl_Production[Current RMS No],IFERROR(MATCH(E211&amp;"",tbl_Production[Job Number],0),MATCH(IFERROR(E211+0,E211),tbl_Production[Job Number],0))))),IFERROR(IF(INDEX(tbl_Consulting[Qwilr Quote],IFERROR(MATCH(E211&amp;"",tbl_Consulting[Job Number],0),MATCH(IFERROR(E211+0,E211),tbl_Consulting[Job Number],0)))="","",INDEX(tbl_Consulting[Qwilr Quote],IFERROR(MATCH(E211&amp;"",tbl_Consulting[Job Number],0),MATCH(IFERROR(E211+0,E211),tbl_Consulting[Job Number],0)))),""))))</f>
        <v/>
      </c>
      <c r="AD211" s="25">
        <f>IF(AC211="","",IF(AND(LEFT(AC211,4)&lt;&gt;"http",IF(H211="Production",set_RMSBase,set_QwilrBase)=""),"",HYPERLINK(IF(LEFT(AC211,4)="http",AC211,IF(H211="Production",set_RMSBase,set_QwilrBase)&amp;AC211),"Open")))</f>
        <v/>
      </c>
      <c r="AE211" s="27">
        <f>IF(E211="","",IFERROR(INDEX(tbl_Production[Total Expense],IFERROR(MATCH(E211&amp;"",tbl_Production[Job Number],0),MATCH(IFERROR(E211+0,E211),tbl_Production[Job Number],0))),IFERROR(INDEX(tbl_Consulting[Total Expense],IFERROR(MATCH(E211&amp;"",tbl_Consulting[Job Number],0),MATCH(IFERROR(E211+0,E211),tbl_Consulting[Job Number],0))),0)))</f>
        <v/>
      </c>
      <c r="AF211" s="27">
        <f>IF(E211="","",Z211-N(AE211))</f>
        <v/>
      </c>
      <c r="AG211" s="29">
        <f>IFERROR(AF211/Z211,"")</f>
        <v/>
      </c>
      <c r="AH211" s="25">
        <f>IF(E211="","",IFERROR(IF(INDEX(tbl_Onsite[Notes],IFERROR(MATCH(E211&amp;"",tbl_Onsite[Job Number],0),MATCH(IFERROR(E211+0,E211),tbl_Onsite[Job Number],0)))="","",INDEX(tbl_Onsite[Notes],IFERROR(MATCH(E211&amp;"",tbl_Onsite[Job Number],0),MATCH(IFERROR(E211+0,E211),tbl_Onsite[Job Number],0)))),IFERROR(IF(INDEX(tbl_Production[Notes],IFERROR(MATCH(E211&amp;"",tbl_Production[Job Number],0),MATCH(IFERROR(E211+0,E211),tbl_Production[Job Number],0)))="","",INDEX(tbl_Production[Notes],IFERROR(MATCH(E211&amp;"",tbl_Production[Job Number],0),MATCH(IFERROR(E211+0,E211),tbl_Production[Job Number],0)))),IFERROR(IF(INDEX(tbl_Consulting[Notes],IFERROR(MATCH(E211&amp;"",tbl_Consulting[Job Number],0),MATCH(IFERROR(E211+0,E211),tbl_Consulting[Job Number],0)))="","",INDEX(tbl_Consulting[Notes],IFERROR(MATCH(E211&amp;"",tbl_Consulting[Job Number],0),MATCH(IFERROR(E211+0,E211),tbl_Consulting[Job Number],0)))),""))))</f>
        <v/>
      </c>
    </row>
    <row r="212" ht="15" customHeight="1">
      <c r="A212" s="22" t="n"/>
      <c r="B212" s="23">
        <f>IF(A212="","",EOMONTH(A212,0))</f>
        <v/>
      </c>
      <c r="C212" s="24" t="n"/>
      <c r="D212" s="24" t="n"/>
      <c r="E212" s="24" t="n"/>
      <c r="F212" s="25">
        <f>IF(E212="","",IF(COUNTIF(lst_Jobs,E212&amp;"")&gt;0,"OK","CHECK"))</f>
        <v/>
      </c>
      <c r="G212" s="24" t="n"/>
      <c r="H212" s="24" t="n"/>
      <c r="I212" s="24" t="n"/>
      <c r="J212" s="24" t="n"/>
      <c r="K212" s="24" t="n"/>
      <c r="L212" s="26" t="n"/>
      <c r="M212" s="27">
        <f>IF(L212="","",IF(K212="GST 10%",ROUND(L212*set_GSTRate,2),0))</f>
        <v/>
      </c>
      <c r="N212" s="27">
        <f>IF(L212="","",L212+M212)</f>
        <v/>
      </c>
      <c r="O212" s="24" t="n"/>
      <c r="P212" s="24" t="n"/>
      <c r="Q212" s="24" t="n"/>
      <c r="R212" s="22" t="n"/>
      <c r="S212" s="22" t="n"/>
      <c r="T212" s="24" t="n"/>
      <c r="U212" s="24" t="n"/>
      <c r="V212" s="2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25">
        <f>IF(E212="","",IF(COUNTIF(tbl_Onsite[Job Number],E212&amp;"")&gt;0,"Onsite",IF(COUNTIF(tbl_Production[Job Number],E212&amp;"")&gt;0,"Production",IF(COUNTIF(tbl_Consulting[Job Number],E212&amp;"")&gt;0,"Consulting","not set up yet"))))</f>
        <v/>
      </c>
      <c r="X212" s="25">
        <f>IF(E212="","",IFERROR(INDEX(lst_JobName,MATCH(E212&amp;"",lst_Jobs,0)),""))</f>
        <v/>
      </c>
      <c r="Y212" s="28">
        <f>IF(E212="","",COUNTIFS(tbl_Finance[Job Number],E212&amp;"",tbl_Finance[Ex GST],"&lt;&gt;"))</f>
        <v/>
      </c>
      <c r="Z212" s="27">
        <f>IF(E212="","",SUMIFS(tbl_Finance[Ex GST],tbl_Finance[Job Number],E212&amp;""))</f>
        <v/>
      </c>
      <c r="AA212" s="27">
        <f>IF(E212="","",SUMIFS(tbl_Finance[Ex GST],tbl_Finance[Job Number],E212&amp;"",tbl_Finance[Xero Invoice No],"&lt;&gt;"))</f>
        <v/>
      </c>
      <c r="AB212" s="27">
        <f>IF(E212="","",Z212-AA212)</f>
        <v/>
      </c>
      <c r="AC212" s="25">
        <f>IF(E212="","",IFERROR(IF(INDEX(tbl_Onsite[Qwilr Quote],IFERROR(MATCH(E212&amp;"",tbl_Onsite[Job Number],0),MATCH(IFERROR(E212+0,E212),tbl_Onsite[Job Number],0)))="","",INDEX(tbl_Onsite[Qwilr Quote],IFERROR(MATCH(E212&amp;"",tbl_Onsite[Job Number],0),MATCH(IFERROR(E212+0,E212),tbl_Onsite[Job Number],0)))),IFERROR(IF(IF(INDEX(tbl_Production[Current RMS No],IFERROR(MATCH(E212&amp;"",tbl_Production[Job Number],0),MATCH(IFERROR(E212+0,E212),tbl_Production[Job Number],0)))="",INDEX(tbl_Production[Qwilr Quote],IFERROR(MATCH(E212&amp;"",tbl_Production[Job Number],0),MATCH(IFERROR(E212+0,E212),tbl_Production[Job Number],0))),INDEX(tbl_Production[Current RMS No],IFERROR(MATCH(E212&amp;"",tbl_Production[Job Number],0),MATCH(IFERROR(E212+0,E212),tbl_Production[Job Number],0))))="","",IF(INDEX(tbl_Production[Current RMS No],IFERROR(MATCH(E212&amp;"",tbl_Production[Job Number],0),MATCH(IFERROR(E212+0,E212),tbl_Production[Job Number],0)))="",INDEX(tbl_Production[Qwilr Quote],IFERROR(MATCH(E212&amp;"",tbl_Production[Job Number],0),MATCH(IFERROR(E212+0,E212),tbl_Production[Job Number],0))),INDEX(tbl_Production[Current RMS No],IFERROR(MATCH(E212&amp;"",tbl_Production[Job Number],0),MATCH(IFERROR(E212+0,E212),tbl_Production[Job Number],0))))),IFERROR(IF(INDEX(tbl_Consulting[Qwilr Quote],IFERROR(MATCH(E212&amp;"",tbl_Consulting[Job Number],0),MATCH(IFERROR(E212+0,E212),tbl_Consulting[Job Number],0)))="","",INDEX(tbl_Consulting[Qwilr Quote],IFERROR(MATCH(E212&amp;"",tbl_Consulting[Job Number],0),MATCH(IFERROR(E212+0,E212),tbl_Consulting[Job Number],0)))),""))))</f>
        <v/>
      </c>
      <c r="AD212" s="25">
        <f>IF(AC212="","",IF(AND(LEFT(AC212,4)&lt;&gt;"http",IF(H212="Production",set_RMSBase,set_QwilrBase)=""),"",HYPERLINK(IF(LEFT(AC212,4)="http",AC212,IF(H212="Production",set_RMSBase,set_QwilrBase)&amp;AC212),"Open")))</f>
        <v/>
      </c>
      <c r="AE212" s="27">
        <f>IF(E212="","",IFERROR(INDEX(tbl_Production[Total Expense],IFERROR(MATCH(E212&amp;"",tbl_Production[Job Number],0),MATCH(IFERROR(E212+0,E212),tbl_Production[Job Number],0))),IFERROR(INDEX(tbl_Consulting[Total Expense],IFERROR(MATCH(E212&amp;"",tbl_Consulting[Job Number],0),MATCH(IFERROR(E212+0,E212),tbl_Consulting[Job Number],0))),0)))</f>
        <v/>
      </c>
      <c r="AF212" s="27">
        <f>IF(E212="","",Z212-N(AE212))</f>
        <v/>
      </c>
      <c r="AG212" s="29">
        <f>IFERROR(AF212/Z212,"")</f>
        <v/>
      </c>
      <c r="AH212" s="25">
        <f>IF(E212="","",IFERROR(IF(INDEX(tbl_Onsite[Notes],IFERROR(MATCH(E212&amp;"",tbl_Onsite[Job Number],0),MATCH(IFERROR(E212+0,E212),tbl_Onsite[Job Number],0)))="","",INDEX(tbl_Onsite[Notes],IFERROR(MATCH(E212&amp;"",tbl_Onsite[Job Number],0),MATCH(IFERROR(E212+0,E212),tbl_Onsite[Job Number],0)))),IFERROR(IF(INDEX(tbl_Production[Notes],IFERROR(MATCH(E212&amp;"",tbl_Production[Job Number],0),MATCH(IFERROR(E212+0,E212),tbl_Production[Job Number],0)))="","",INDEX(tbl_Production[Notes],IFERROR(MATCH(E212&amp;"",tbl_Production[Job Number],0),MATCH(IFERROR(E212+0,E212),tbl_Production[Job Number],0)))),IFERROR(IF(INDEX(tbl_Consulting[Notes],IFERROR(MATCH(E212&amp;"",tbl_Consulting[Job Number],0),MATCH(IFERROR(E212+0,E212),tbl_Consulting[Job Number],0)))="","",INDEX(tbl_Consulting[Notes],IFERROR(MATCH(E212&amp;"",tbl_Consulting[Job Number],0),MATCH(IFERROR(E212+0,E212),tbl_Consulting[Job Number],0)))),""))))</f>
        <v/>
      </c>
    </row>
    <row r="213" ht="15" customHeight="1">
      <c r="A213" s="22" t="n"/>
      <c r="B213" s="23">
        <f>IF(A213="","",EOMONTH(A213,0))</f>
        <v/>
      </c>
      <c r="C213" s="24" t="n"/>
      <c r="D213" s="24" t="n"/>
      <c r="E213" s="24" t="n"/>
      <c r="F213" s="25">
        <f>IF(E213="","",IF(COUNTIF(lst_Jobs,E213&amp;"")&gt;0,"OK","CHECK"))</f>
        <v/>
      </c>
      <c r="G213" s="24" t="n"/>
      <c r="H213" s="24" t="n"/>
      <c r="I213" s="24" t="n"/>
      <c r="J213" s="24" t="n"/>
      <c r="K213" s="24" t="n"/>
      <c r="L213" s="26" t="n"/>
      <c r="M213" s="27">
        <f>IF(L213="","",IF(K213="GST 10%",ROUND(L213*set_GSTRate,2),0))</f>
        <v/>
      </c>
      <c r="N213" s="27">
        <f>IF(L213="","",L213+M213)</f>
        <v/>
      </c>
      <c r="O213" s="24" t="n"/>
      <c r="P213" s="24" t="n"/>
      <c r="Q213" s="24" t="n"/>
      <c r="R213" s="22" t="n"/>
      <c r="S213" s="22" t="n"/>
      <c r="T213" s="24" t="n"/>
      <c r="U213" s="24" t="n"/>
      <c r="V213" s="2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25">
        <f>IF(E213="","",IF(COUNTIF(tbl_Onsite[Job Number],E213&amp;"")&gt;0,"Onsite",IF(COUNTIF(tbl_Production[Job Number],E213&amp;"")&gt;0,"Production",IF(COUNTIF(tbl_Consulting[Job Number],E213&amp;"")&gt;0,"Consulting","not set up yet"))))</f>
        <v/>
      </c>
      <c r="X213" s="25">
        <f>IF(E213="","",IFERROR(INDEX(lst_JobName,MATCH(E213&amp;"",lst_Jobs,0)),""))</f>
        <v/>
      </c>
      <c r="Y213" s="28">
        <f>IF(E213="","",COUNTIFS(tbl_Finance[Job Number],E213&amp;"",tbl_Finance[Ex GST],"&lt;&gt;"))</f>
        <v/>
      </c>
      <c r="Z213" s="27">
        <f>IF(E213="","",SUMIFS(tbl_Finance[Ex GST],tbl_Finance[Job Number],E213&amp;""))</f>
        <v/>
      </c>
      <c r="AA213" s="27">
        <f>IF(E213="","",SUMIFS(tbl_Finance[Ex GST],tbl_Finance[Job Number],E213&amp;"",tbl_Finance[Xero Invoice No],"&lt;&gt;"))</f>
        <v/>
      </c>
      <c r="AB213" s="27">
        <f>IF(E213="","",Z213-AA213)</f>
        <v/>
      </c>
      <c r="AC213" s="25">
        <f>IF(E213="","",IFERROR(IF(INDEX(tbl_Onsite[Qwilr Quote],IFERROR(MATCH(E213&amp;"",tbl_Onsite[Job Number],0),MATCH(IFERROR(E213+0,E213),tbl_Onsite[Job Number],0)))="","",INDEX(tbl_Onsite[Qwilr Quote],IFERROR(MATCH(E213&amp;"",tbl_Onsite[Job Number],0),MATCH(IFERROR(E213+0,E213),tbl_Onsite[Job Number],0)))),IFERROR(IF(IF(INDEX(tbl_Production[Current RMS No],IFERROR(MATCH(E213&amp;"",tbl_Production[Job Number],0),MATCH(IFERROR(E213+0,E213),tbl_Production[Job Number],0)))="",INDEX(tbl_Production[Qwilr Quote],IFERROR(MATCH(E213&amp;"",tbl_Production[Job Number],0),MATCH(IFERROR(E213+0,E213),tbl_Production[Job Number],0))),INDEX(tbl_Production[Current RMS No],IFERROR(MATCH(E213&amp;"",tbl_Production[Job Number],0),MATCH(IFERROR(E213+0,E213),tbl_Production[Job Number],0))))="","",IF(INDEX(tbl_Production[Current RMS No],IFERROR(MATCH(E213&amp;"",tbl_Production[Job Number],0),MATCH(IFERROR(E213+0,E213),tbl_Production[Job Number],0)))="",INDEX(tbl_Production[Qwilr Quote],IFERROR(MATCH(E213&amp;"",tbl_Production[Job Number],0),MATCH(IFERROR(E213+0,E213),tbl_Production[Job Number],0))),INDEX(tbl_Production[Current RMS No],IFERROR(MATCH(E213&amp;"",tbl_Production[Job Number],0),MATCH(IFERROR(E213+0,E213),tbl_Production[Job Number],0))))),IFERROR(IF(INDEX(tbl_Consulting[Qwilr Quote],IFERROR(MATCH(E213&amp;"",tbl_Consulting[Job Number],0),MATCH(IFERROR(E213+0,E213),tbl_Consulting[Job Number],0)))="","",INDEX(tbl_Consulting[Qwilr Quote],IFERROR(MATCH(E213&amp;"",tbl_Consulting[Job Number],0),MATCH(IFERROR(E213+0,E213),tbl_Consulting[Job Number],0)))),""))))</f>
        <v/>
      </c>
      <c r="AD213" s="25">
        <f>IF(AC213="","",IF(AND(LEFT(AC213,4)&lt;&gt;"http",IF(H213="Production",set_RMSBase,set_QwilrBase)=""),"",HYPERLINK(IF(LEFT(AC213,4)="http",AC213,IF(H213="Production",set_RMSBase,set_QwilrBase)&amp;AC213),"Open")))</f>
        <v/>
      </c>
      <c r="AE213" s="27">
        <f>IF(E213="","",IFERROR(INDEX(tbl_Production[Total Expense],IFERROR(MATCH(E213&amp;"",tbl_Production[Job Number],0),MATCH(IFERROR(E213+0,E213),tbl_Production[Job Number],0))),IFERROR(INDEX(tbl_Consulting[Total Expense],IFERROR(MATCH(E213&amp;"",tbl_Consulting[Job Number],0),MATCH(IFERROR(E213+0,E213),tbl_Consulting[Job Number],0))),0)))</f>
        <v/>
      </c>
      <c r="AF213" s="27">
        <f>IF(E213="","",Z213-N(AE213))</f>
        <v/>
      </c>
      <c r="AG213" s="29">
        <f>IFERROR(AF213/Z213,"")</f>
        <v/>
      </c>
      <c r="AH213" s="25">
        <f>IF(E213="","",IFERROR(IF(INDEX(tbl_Onsite[Notes],IFERROR(MATCH(E213&amp;"",tbl_Onsite[Job Number],0),MATCH(IFERROR(E213+0,E213),tbl_Onsite[Job Number],0)))="","",INDEX(tbl_Onsite[Notes],IFERROR(MATCH(E213&amp;"",tbl_Onsite[Job Number],0),MATCH(IFERROR(E213+0,E213),tbl_Onsite[Job Number],0)))),IFERROR(IF(INDEX(tbl_Production[Notes],IFERROR(MATCH(E213&amp;"",tbl_Production[Job Number],0),MATCH(IFERROR(E213+0,E213),tbl_Production[Job Number],0)))="","",INDEX(tbl_Production[Notes],IFERROR(MATCH(E213&amp;"",tbl_Production[Job Number],0),MATCH(IFERROR(E213+0,E213),tbl_Production[Job Number],0)))),IFERROR(IF(INDEX(tbl_Consulting[Notes],IFERROR(MATCH(E213&amp;"",tbl_Consulting[Job Number],0),MATCH(IFERROR(E213+0,E213),tbl_Consulting[Job Number],0)))="","",INDEX(tbl_Consulting[Notes],IFERROR(MATCH(E213&amp;"",tbl_Consulting[Job Number],0),MATCH(IFERROR(E213+0,E213),tbl_Consulting[Job Number],0)))),""))))</f>
        <v/>
      </c>
    </row>
    <row r="214" ht="15" customHeight="1">
      <c r="A214" s="22" t="n"/>
      <c r="B214" s="23">
        <f>IF(A214="","",EOMONTH(A214,0))</f>
        <v/>
      </c>
      <c r="C214" s="24" t="n"/>
      <c r="D214" s="24" t="n"/>
      <c r="E214" s="24" t="n"/>
      <c r="F214" s="25">
        <f>IF(E214="","",IF(COUNTIF(lst_Jobs,E214&amp;"")&gt;0,"OK","CHECK"))</f>
        <v/>
      </c>
      <c r="G214" s="24" t="n"/>
      <c r="H214" s="24" t="n"/>
      <c r="I214" s="24" t="n"/>
      <c r="J214" s="24" t="n"/>
      <c r="K214" s="24" t="n"/>
      <c r="L214" s="26" t="n"/>
      <c r="M214" s="27">
        <f>IF(L214="","",IF(K214="GST 10%",ROUND(L214*set_GSTRate,2),0))</f>
        <v/>
      </c>
      <c r="N214" s="27">
        <f>IF(L214="","",L214+M214)</f>
        <v/>
      </c>
      <c r="O214" s="24" t="n"/>
      <c r="P214" s="24" t="n"/>
      <c r="Q214" s="24" t="n"/>
      <c r="R214" s="22" t="n"/>
      <c r="S214" s="22" t="n"/>
      <c r="T214" s="24" t="n"/>
      <c r="U214" s="24" t="n"/>
      <c r="V214" s="2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25">
        <f>IF(E214="","",IF(COUNTIF(tbl_Onsite[Job Number],E214&amp;"")&gt;0,"Onsite",IF(COUNTIF(tbl_Production[Job Number],E214&amp;"")&gt;0,"Production",IF(COUNTIF(tbl_Consulting[Job Number],E214&amp;"")&gt;0,"Consulting","not set up yet"))))</f>
        <v/>
      </c>
      <c r="X214" s="25">
        <f>IF(E214="","",IFERROR(INDEX(lst_JobName,MATCH(E214&amp;"",lst_Jobs,0)),""))</f>
        <v/>
      </c>
      <c r="Y214" s="28">
        <f>IF(E214="","",COUNTIFS(tbl_Finance[Job Number],E214&amp;"",tbl_Finance[Ex GST],"&lt;&gt;"))</f>
        <v/>
      </c>
      <c r="Z214" s="27">
        <f>IF(E214="","",SUMIFS(tbl_Finance[Ex GST],tbl_Finance[Job Number],E214&amp;""))</f>
        <v/>
      </c>
      <c r="AA214" s="27">
        <f>IF(E214="","",SUMIFS(tbl_Finance[Ex GST],tbl_Finance[Job Number],E214&amp;"",tbl_Finance[Xero Invoice No],"&lt;&gt;"))</f>
        <v/>
      </c>
      <c r="AB214" s="27">
        <f>IF(E214="","",Z214-AA214)</f>
        <v/>
      </c>
      <c r="AC214" s="25">
        <f>IF(E214="","",IFERROR(IF(INDEX(tbl_Onsite[Qwilr Quote],IFERROR(MATCH(E214&amp;"",tbl_Onsite[Job Number],0),MATCH(IFERROR(E214+0,E214),tbl_Onsite[Job Number],0)))="","",INDEX(tbl_Onsite[Qwilr Quote],IFERROR(MATCH(E214&amp;"",tbl_Onsite[Job Number],0),MATCH(IFERROR(E214+0,E214),tbl_Onsite[Job Number],0)))),IFERROR(IF(IF(INDEX(tbl_Production[Current RMS No],IFERROR(MATCH(E214&amp;"",tbl_Production[Job Number],0),MATCH(IFERROR(E214+0,E214),tbl_Production[Job Number],0)))="",INDEX(tbl_Production[Qwilr Quote],IFERROR(MATCH(E214&amp;"",tbl_Production[Job Number],0),MATCH(IFERROR(E214+0,E214),tbl_Production[Job Number],0))),INDEX(tbl_Production[Current RMS No],IFERROR(MATCH(E214&amp;"",tbl_Production[Job Number],0),MATCH(IFERROR(E214+0,E214),tbl_Production[Job Number],0))))="","",IF(INDEX(tbl_Production[Current RMS No],IFERROR(MATCH(E214&amp;"",tbl_Production[Job Number],0),MATCH(IFERROR(E214+0,E214),tbl_Production[Job Number],0)))="",INDEX(tbl_Production[Qwilr Quote],IFERROR(MATCH(E214&amp;"",tbl_Production[Job Number],0),MATCH(IFERROR(E214+0,E214),tbl_Production[Job Number],0))),INDEX(tbl_Production[Current RMS No],IFERROR(MATCH(E214&amp;"",tbl_Production[Job Number],0),MATCH(IFERROR(E214+0,E214),tbl_Production[Job Number],0))))),IFERROR(IF(INDEX(tbl_Consulting[Qwilr Quote],IFERROR(MATCH(E214&amp;"",tbl_Consulting[Job Number],0),MATCH(IFERROR(E214+0,E214),tbl_Consulting[Job Number],0)))="","",INDEX(tbl_Consulting[Qwilr Quote],IFERROR(MATCH(E214&amp;"",tbl_Consulting[Job Number],0),MATCH(IFERROR(E214+0,E214),tbl_Consulting[Job Number],0)))),""))))</f>
        <v/>
      </c>
      <c r="AD214" s="25">
        <f>IF(AC214="","",IF(AND(LEFT(AC214,4)&lt;&gt;"http",IF(H214="Production",set_RMSBase,set_QwilrBase)=""),"",HYPERLINK(IF(LEFT(AC214,4)="http",AC214,IF(H214="Production",set_RMSBase,set_QwilrBase)&amp;AC214),"Open")))</f>
        <v/>
      </c>
      <c r="AE214" s="27">
        <f>IF(E214="","",IFERROR(INDEX(tbl_Production[Total Expense],IFERROR(MATCH(E214&amp;"",tbl_Production[Job Number],0),MATCH(IFERROR(E214+0,E214),tbl_Production[Job Number],0))),IFERROR(INDEX(tbl_Consulting[Total Expense],IFERROR(MATCH(E214&amp;"",tbl_Consulting[Job Number],0),MATCH(IFERROR(E214+0,E214),tbl_Consulting[Job Number],0))),0)))</f>
        <v/>
      </c>
      <c r="AF214" s="27">
        <f>IF(E214="","",Z214-N(AE214))</f>
        <v/>
      </c>
      <c r="AG214" s="29">
        <f>IFERROR(AF214/Z214,"")</f>
        <v/>
      </c>
      <c r="AH214" s="25">
        <f>IF(E214="","",IFERROR(IF(INDEX(tbl_Onsite[Notes],IFERROR(MATCH(E214&amp;"",tbl_Onsite[Job Number],0),MATCH(IFERROR(E214+0,E214),tbl_Onsite[Job Number],0)))="","",INDEX(tbl_Onsite[Notes],IFERROR(MATCH(E214&amp;"",tbl_Onsite[Job Number],0),MATCH(IFERROR(E214+0,E214),tbl_Onsite[Job Number],0)))),IFERROR(IF(INDEX(tbl_Production[Notes],IFERROR(MATCH(E214&amp;"",tbl_Production[Job Number],0),MATCH(IFERROR(E214+0,E214),tbl_Production[Job Number],0)))="","",INDEX(tbl_Production[Notes],IFERROR(MATCH(E214&amp;"",tbl_Production[Job Number],0),MATCH(IFERROR(E214+0,E214),tbl_Production[Job Number],0)))),IFERROR(IF(INDEX(tbl_Consulting[Notes],IFERROR(MATCH(E214&amp;"",tbl_Consulting[Job Number],0),MATCH(IFERROR(E214+0,E214),tbl_Consulting[Job Number],0)))="","",INDEX(tbl_Consulting[Notes],IFERROR(MATCH(E214&amp;"",tbl_Consulting[Job Number],0),MATCH(IFERROR(E214+0,E214),tbl_Consulting[Job Number],0)))),""))))</f>
        <v/>
      </c>
    </row>
    <row r="215" ht="15" customHeight="1">
      <c r="A215" s="22" t="n"/>
      <c r="B215" s="23">
        <f>IF(A215="","",EOMONTH(A215,0))</f>
        <v/>
      </c>
      <c r="C215" s="24" t="n"/>
      <c r="D215" s="24" t="n"/>
      <c r="E215" s="24" t="n"/>
      <c r="F215" s="25">
        <f>IF(E215="","",IF(COUNTIF(lst_Jobs,E215&amp;"")&gt;0,"OK","CHECK"))</f>
        <v/>
      </c>
      <c r="G215" s="24" t="n"/>
      <c r="H215" s="24" t="n"/>
      <c r="I215" s="24" t="n"/>
      <c r="J215" s="24" t="n"/>
      <c r="K215" s="24" t="n"/>
      <c r="L215" s="26" t="n"/>
      <c r="M215" s="27">
        <f>IF(L215="","",IF(K215="GST 10%",ROUND(L215*set_GSTRate,2),0))</f>
        <v/>
      </c>
      <c r="N215" s="27">
        <f>IF(L215="","",L215+M215)</f>
        <v/>
      </c>
      <c r="O215" s="24" t="n"/>
      <c r="P215" s="24" t="n"/>
      <c r="Q215" s="24" t="n"/>
      <c r="R215" s="22" t="n"/>
      <c r="S215" s="22" t="n"/>
      <c r="T215" s="24" t="n"/>
      <c r="U215" s="24" t="n"/>
      <c r="V215" s="2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25">
        <f>IF(E215="","",IF(COUNTIF(tbl_Onsite[Job Number],E215&amp;"")&gt;0,"Onsite",IF(COUNTIF(tbl_Production[Job Number],E215&amp;"")&gt;0,"Production",IF(COUNTIF(tbl_Consulting[Job Number],E215&amp;"")&gt;0,"Consulting","not set up yet"))))</f>
        <v/>
      </c>
      <c r="X215" s="25">
        <f>IF(E215="","",IFERROR(INDEX(lst_JobName,MATCH(E215&amp;"",lst_Jobs,0)),""))</f>
        <v/>
      </c>
      <c r="Y215" s="28">
        <f>IF(E215="","",COUNTIFS(tbl_Finance[Job Number],E215&amp;"",tbl_Finance[Ex GST],"&lt;&gt;"))</f>
        <v/>
      </c>
      <c r="Z215" s="27">
        <f>IF(E215="","",SUMIFS(tbl_Finance[Ex GST],tbl_Finance[Job Number],E215&amp;""))</f>
        <v/>
      </c>
      <c r="AA215" s="27">
        <f>IF(E215="","",SUMIFS(tbl_Finance[Ex GST],tbl_Finance[Job Number],E215&amp;"",tbl_Finance[Xero Invoice No],"&lt;&gt;"))</f>
        <v/>
      </c>
      <c r="AB215" s="27">
        <f>IF(E215="","",Z215-AA215)</f>
        <v/>
      </c>
      <c r="AC215" s="25">
        <f>IF(E215="","",IFERROR(IF(INDEX(tbl_Onsite[Qwilr Quote],IFERROR(MATCH(E215&amp;"",tbl_Onsite[Job Number],0),MATCH(IFERROR(E215+0,E215),tbl_Onsite[Job Number],0)))="","",INDEX(tbl_Onsite[Qwilr Quote],IFERROR(MATCH(E215&amp;"",tbl_Onsite[Job Number],0),MATCH(IFERROR(E215+0,E215),tbl_Onsite[Job Number],0)))),IFERROR(IF(IF(INDEX(tbl_Production[Current RMS No],IFERROR(MATCH(E215&amp;"",tbl_Production[Job Number],0),MATCH(IFERROR(E215+0,E215),tbl_Production[Job Number],0)))="",INDEX(tbl_Production[Qwilr Quote],IFERROR(MATCH(E215&amp;"",tbl_Production[Job Number],0),MATCH(IFERROR(E215+0,E215),tbl_Production[Job Number],0))),INDEX(tbl_Production[Current RMS No],IFERROR(MATCH(E215&amp;"",tbl_Production[Job Number],0),MATCH(IFERROR(E215+0,E215),tbl_Production[Job Number],0))))="","",IF(INDEX(tbl_Production[Current RMS No],IFERROR(MATCH(E215&amp;"",tbl_Production[Job Number],0),MATCH(IFERROR(E215+0,E215),tbl_Production[Job Number],0)))="",INDEX(tbl_Production[Qwilr Quote],IFERROR(MATCH(E215&amp;"",tbl_Production[Job Number],0),MATCH(IFERROR(E215+0,E215),tbl_Production[Job Number],0))),INDEX(tbl_Production[Current RMS No],IFERROR(MATCH(E215&amp;"",tbl_Production[Job Number],0),MATCH(IFERROR(E215+0,E215),tbl_Production[Job Number],0))))),IFERROR(IF(INDEX(tbl_Consulting[Qwilr Quote],IFERROR(MATCH(E215&amp;"",tbl_Consulting[Job Number],0),MATCH(IFERROR(E215+0,E215),tbl_Consulting[Job Number],0)))="","",INDEX(tbl_Consulting[Qwilr Quote],IFERROR(MATCH(E215&amp;"",tbl_Consulting[Job Number],0),MATCH(IFERROR(E215+0,E215),tbl_Consulting[Job Number],0)))),""))))</f>
        <v/>
      </c>
      <c r="AD215" s="25">
        <f>IF(AC215="","",IF(AND(LEFT(AC215,4)&lt;&gt;"http",IF(H215="Production",set_RMSBase,set_QwilrBase)=""),"",HYPERLINK(IF(LEFT(AC215,4)="http",AC215,IF(H215="Production",set_RMSBase,set_QwilrBase)&amp;AC215),"Open")))</f>
        <v/>
      </c>
      <c r="AE215" s="27">
        <f>IF(E215="","",IFERROR(INDEX(tbl_Production[Total Expense],IFERROR(MATCH(E215&amp;"",tbl_Production[Job Number],0),MATCH(IFERROR(E215+0,E215),tbl_Production[Job Number],0))),IFERROR(INDEX(tbl_Consulting[Total Expense],IFERROR(MATCH(E215&amp;"",tbl_Consulting[Job Number],0),MATCH(IFERROR(E215+0,E215),tbl_Consulting[Job Number],0))),0)))</f>
        <v/>
      </c>
      <c r="AF215" s="27">
        <f>IF(E215="","",Z215-N(AE215))</f>
        <v/>
      </c>
      <c r="AG215" s="29">
        <f>IFERROR(AF215/Z215,"")</f>
        <v/>
      </c>
      <c r="AH215" s="25">
        <f>IF(E215="","",IFERROR(IF(INDEX(tbl_Onsite[Notes],IFERROR(MATCH(E215&amp;"",tbl_Onsite[Job Number],0),MATCH(IFERROR(E215+0,E215),tbl_Onsite[Job Number],0)))="","",INDEX(tbl_Onsite[Notes],IFERROR(MATCH(E215&amp;"",tbl_Onsite[Job Number],0),MATCH(IFERROR(E215+0,E215),tbl_Onsite[Job Number],0)))),IFERROR(IF(INDEX(tbl_Production[Notes],IFERROR(MATCH(E215&amp;"",tbl_Production[Job Number],0),MATCH(IFERROR(E215+0,E215),tbl_Production[Job Number],0)))="","",INDEX(tbl_Production[Notes],IFERROR(MATCH(E215&amp;"",tbl_Production[Job Number],0),MATCH(IFERROR(E215+0,E215),tbl_Production[Job Number],0)))),IFERROR(IF(INDEX(tbl_Consulting[Notes],IFERROR(MATCH(E215&amp;"",tbl_Consulting[Job Number],0),MATCH(IFERROR(E215+0,E215),tbl_Consulting[Job Number],0)))="","",INDEX(tbl_Consulting[Notes],IFERROR(MATCH(E215&amp;"",tbl_Consulting[Job Number],0),MATCH(IFERROR(E215+0,E215),tbl_Consulting[Job Number],0)))),""))))</f>
        <v/>
      </c>
    </row>
    <row r="216" ht="15" customHeight="1">
      <c r="A216" s="22" t="n"/>
      <c r="B216" s="23">
        <f>IF(A216="","",EOMONTH(A216,0))</f>
        <v/>
      </c>
      <c r="C216" s="24" t="n"/>
      <c r="D216" s="24" t="n"/>
      <c r="E216" s="24" t="n"/>
      <c r="F216" s="25">
        <f>IF(E216="","",IF(COUNTIF(lst_Jobs,E216&amp;"")&gt;0,"OK","CHECK"))</f>
        <v/>
      </c>
      <c r="G216" s="24" t="n"/>
      <c r="H216" s="24" t="n"/>
      <c r="I216" s="24" t="n"/>
      <c r="J216" s="24" t="n"/>
      <c r="K216" s="24" t="n"/>
      <c r="L216" s="26" t="n"/>
      <c r="M216" s="27">
        <f>IF(L216="","",IF(K216="GST 10%",ROUND(L216*set_GSTRate,2),0))</f>
        <v/>
      </c>
      <c r="N216" s="27">
        <f>IF(L216="","",L216+M216)</f>
        <v/>
      </c>
      <c r="O216" s="24" t="n"/>
      <c r="P216" s="24" t="n"/>
      <c r="Q216" s="24" t="n"/>
      <c r="R216" s="22" t="n"/>
      <c r="S216" s="22" t="n"/>
      <c r="T216" s="24" t="n"/>
      <c r="U216" s="24" t="n"/>
      <c r="V216" s="2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25">
        <f>IF(E216="","",IF(COUNTIF(tbl_Onsite[Job Number],E216&amp;"")&gt;0,"Onsite",IF(COUNTIF(tbl_Production[Job Number],E216&amp;"")&gt;0,"Production",IF(COUNTIF(tbl_Consulting[Job Number],E216&amp;"")&gt;0,"Consulting","not set up yet"))))</f>
        <v/>
      </c>
      <c r="X216" s="25">
        <f>IF(E216="","",IFERROR(INDEX(lst_JobName,MATCH(E216&amp;"",lst_Jobs,0)),""))</f>
        <v/>
      </c>
      <c r="Y216" s="28">
        <f>IF(E216="","",COUNTIFS(tbl_Finance[Job Number],E216&amp;"",tbl_Finance[Ex GST],"&lt;&gt;"))</f>
        <v/>
      </c>
      <c r="Z216" s="27">
        <f>IF(E216="","",SUMIFS(tbl_Finance[Ex GST],tbl_Finance[Job Number],E216&amp;""))</f>
        <v/>
      </c>
      <c r="AA216" s="27">
        <f>IF(E216="","",SUMIFS(tbl_Finance[Ex GST],tbl_Finance[Job Number],E216&amp;"",tbl_Finance[Xero Invoice No],"&lt;&gt;"))</f>
        <v/>
      </c>
      <c r="AB216" s="27">
        <f>IF(E216="","",Z216-AA216)</f>
        <v/>
      </c>
      <c r="AC216" s="25">
        <f>IF(E216="","",IFERROR(IF(INDEX(tbl_Onsite[Qwilr Quote],IFERROR(MATCH(E216&amp;"",tbl_Onsite[Job Number],0),MATCH(IFERROR(E216+0,E216),tbl_Onsite[Job Number],0)))="","",INDEX(tbl_Onsite[Qwilr Quote],IFERROR(MATCH(E216&amp;"",tbl_Onsite[Job Number],0),MATCH(IFERROR(E216+0,E216),tbl_Onsite[Job Number],0)))),IFERROR(IF(IF(INDEX(tbl_Production[Current RMS No],IFERROR(MATCH(E216&amp;"",tbl_Production[Job Number],0),MATCH(IFERROR(E216+0,E216),tbl_Production[Job Number],0)))="",INDEX(tbl_Production[Qwilr Quote],IFERROR(MATCH(E216&amp;"",tbl_Production[Job Number],0),MATCH(IFERROR(E216+0,E216),tbl_Production[Job Number],0))),INDEX(tbl_Production[Current RMS No],IFERROR(MATCH(E216&amp;"",tbl_Production[Job Number],0),MATCH(IFERROR(E216+0,E216),tbl_Production[Job Number],0))))="","",IF(INDEX(tbl_Production[Current RMS No],IFERROR(MATCH(E216&amp;"",tbl_Production[Job Number],0),MATCH(IFERROR(E216+0,E216),tbl_Production[Job Number],0)))="",INDEX(tbl_Production[Qwilr Quote],IFERROR(MATCH(E216&amp;"",tbl_Production[Job Number],0),MATCH(IFERROR(E216+0,E216),tbl_Production[Job Number],0))),INDEX(tbl_Production[Current RMS No],IFERROR(MATCH(E216&amp;"",tbl_Production[Job Number],0),MATCH(IFERROR(E216+0,E216),tbl_Production[Job Number],0))))),IFERROR(IF(INDEX(tbl_Consulting[Qwilr Quote],IFERROR(MATCH(E216&amp;"",tbl_Consulting[Job Number],0),MATCH(IFERROR(E216+0,E216),tbl_Consulting[Job Number],0)))="","",INDEX(tbl_Consulting[Qwilr Quote],IFERROR(MATCH(E216&amp;"",tbl_Consulting[Job Number],0),MATCH(IFERROR(E216+0,E216),tbl_Consulting[Job Number],0)))),""))))</f>
        <v/>
      </c>
      <c r="AD216" s="25">
        <f>IF(AC216="","",IF(AND(LEFT(AC216,4)&lt;&gt;"http",IF(H216="Production",set_RMSBase,set_QwilrBase)=""),"",HYPERLINK(IF(LEFT(AC216,4)="http",AC216,IF(H216="Production",set_RMSBase,set_QwilrBase)&amp;AC216),"Open")))</f>
        <v/>
      </c>
      <c r="AE216" s="27">
        <f>IF(E216="","",IFERROR(INDEX(tbl_Production[Total Expense],IFERROR(MATCH(E216&amp;"",tbl_Production[Job Number],0),MATCH(IFERROR(E216+0,E216),tbl_Production[Job Number],0))),IFERROR(INDEX(tbl_Consulting[Total Expense],IFERROR(MATCH(E216&amp;"",tbl_Consulting[Job Number],0),MATCH(IFERROR(E216+0,E216),tbl_Consulting[Job Number],0))),0)))</f>
        <v/>
      </c>
      <c r="AF216" s="27">
        <f>IF(E216="","",Z216-N(AE216))</f>
        <v/>
      </c>
      <c r="AG216" s="29">
        <f>IFERROR(AF216/Z216,"")</f>
        <v/>
      </c>
      <c r="AH216" s="25">
        <f>IF(E216="","",IFERROR(IF(INDEX(tbl_Onsite[Notes],IFERROR(MATCH(E216&amp;"",tbl_Onsite[Job Number],0),MATCH(IFERROR(E216+0,E216),tbl_Onsite[Job Number],0)))="","",INDEX(tbl_Onsite[Notes],IFERROR(MATCH(E216&amp;"",tbl_Onsite[Job Number],0),MATCH(IFERROR(E216+0,E216),tbl_Onsite[Job Number],0)))),IFERROR(IF(INDEX(tbl_Production[Notes],IFERROR(MATCH(E216&amp;"",tbl_Production[Job Number],0),MATCH(IFERROR(E216+0,E216),tbl_Production[Job Number],0)))="","",INDEX(tbl_Production[Notes],IFERROR(MATCH(E216&amp;"",tbl_Production[Job Number],0),MATCH(IFERROR(E216+0,E216),tbl_Production[Job Number],0)))),IFERROR(IF(INDEX(tbl_Consulting[Notes],IFERROR(MATCH(E216&amp;"",tbl_Consulting[Job Number],0),MATCH(IFERROR(E216+0,E216),tbl_Consulting[Job Number],0)))="","",INDEX(tbl_Consulting[Notes],IFERROR(MATCH(E216&amp;"",tbl_Consulting[Job Number],0),MATCH(IFERROR(E216+0,E216),tbl_Consulting[Job Number],0)))),""))))</f>
        <v/>
      </c>
    </row>
    <row r="217" ht="15" customHeight="1">
      <c r="A217" s="22" t="n"/>
      <c r="B217" s="23">
        <f>IF(A217="","",EOMONTH(A217,0))</f>
        <v/>
      </c>
      <c r="C217" s="24" t="n"/>
      <c r="D217" s="24" t="n"/>
      <c r="E217" s="24" t="n"/>
      <c r="F217" s="25">
        <f>IF(E217="","",IF(COUNTIF(lst_Jobs,E217&amp;"")&gt;0,"OK","CHECK"))</f>
        <v/>
      </c>
      <c r="G217" s="24" t="n"/>
      <c r="H217" s="24" t="n"/>
      <c r="I217" s="24" t="n"/>
      <c r="J217" s="24" t="n"/>
      <c r="K217" s="24" t="n"/>
      <c r="L217" s="26" t="n"/>
      <c r="M217" s="27">
        <f>IF(L217="","",IF(K217="GST 10%",ROUND(L217*set_GSTRate,2),0))</f>
        <v/>
      </c>
      <c r="N217" s="27">
        <f>IF(L217="","",L217+M217)</f>
        <v/>
      </c>
      <c r="O217" s="24" t="n"/>
      <c r="P217" s="24" t="n"/>
      <c r="Q217" s="24" t="n"/>
      <c r="R217" s="22" t="n"/>
      <c r="S217" s="22" t="n"/>
      <c r="T217" s="24" t="n"/>
      <c r="U217" s="24" t="n"/>
      <c r="V217" s="2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25">
        <f>IF(E217="","",IF(COUNTIF(tbl_Onsite[Job Number],E217&amp;"")&gt;0,"Onsite",IF(COUNTIF(tbl_Production[Job Number],E217&amp;"")&gt;0,"Production",IF(COUNTIF(tbl_Consulting[Job Number],E217&amp;"")&gt;0,"Consulting","not set up yet"))))</f>
        <v/>
      </c>
      <c r="X217" s="25">
        <f>IF(E217="","",IFERROR(INDEX(lst_JobName,MATCH(E217&amp;"",lst_Jobs,0)),""))</f>
        <v/>
      </c>
      <c r="Y217" s="28">
        <f>IF(E217="","",COUNTIFS(tbl_Finance[Job Number],E217&amp;"",tbl_Finance[Ex GST],"&lt;&gt;"))</f>
        <v/>
      </c>
      <c r="Z217" s="27">
        <f>IF(E217="","",SUMIFS(tbl_Finance[Ex GST],tbl_Finance[Job Number],E217&amp;""))</f>
        <v/>
      </c>
      <c r="AA217" s="27">
        <f>IF(E217="","",SUMIFS(tbl_Finance[Ex GST],tbl_Finance[Job Number],E217&amp;"",tbl_Finance[Xero Invoice No],"&lt;&gt;"))</f>
        <v/>
      </c>
      <c r="AB217" s="27">
        <f>IF(E217="","",Z217-AA217)</f>
        <v/>
      </c>
      <c r="AC217" s="25">
        <f>IF(E217="","",IFERROR(IF(INDEX(tbl_Onsite[Qwilr Quote],IFERROR(MATCH(E217&amp;"",tbl_Onsite[Job Number],0),MATCH(IFERROR(E217+0,E217),tbl_Onsite[Job Number],0)))="","",INDEX(tbl_Onsite[Qwilr Quote],IFERROR(MATCH(E217&amp;"",tbl_Onsite[Job Number],0),MATCH(IFERROR(E217+0,E217),tbl_Onsite[Job Number],0)))),IFERROR(IF(IF(INDEX(tbl_Production[Current RMS No],IFERROR(MATCH(E217&amp;"",tbl_Production[Job Number],0),MATCH(IFERROR(E217+0,E217),tbl_Production[Job Number],0)))="",INDEX(tbl_Production[Qwilr Quote],IFERROR(MATCH(E217&amp;"",tbl_Production[Job Number],0),MATCH(IFERROR(E217+0,E217),tbl_Production[Job Number],0))),INDEX(tbl_Production[Current RMS No],IFERROR(MATCH(E217&amp;"",tbl_Production[Job Number],0),MATCH(IFERROR(E217+0,E217),tbl_Production[Job Number],0))))="","",IF(INDEX(tbl_Production[Current RMS No],IFERROR(MATCH(E217&amp;"",tbl_Production[Job Number],0),MATCH(IFERROR(E217+0,E217),tbl_Production[Job Number],0)))="",INDEX(tbl_Production[Qwilr Quote],IFERROR(MATCH(E217&amp;"",tbl_Production[Job Number],0),MATCH(IFERROR(E217+0,E217),tbl_Production[Job Number],0))),INDEX(tbl_Production[Current RMS No],IFERROR(MATCH(E217&amp;"",tbl_Production[Job Number],0),MATCH(IFERROR(E217+0,E217),tbl_Production[Job Number],0))))),IFERROR(IF(INDEX(tbl_Consulting[Qwilr Quote],IFERROR(MATCH(E217&amp;"",tbl_Consulting[Job Number],0),MATCH(IFERROR(E217+0,E217),tbl_Consulting[Job Number],0)))="","",INDEX(tbl_Consulting[Qwilr Quote],IFERROR(MATCH(E217&amp;"",tbl_Consulting[Job Number],0),MATCH(IFERROR(E217+0,E217),tbl_Consulting[Job Number],0)))),""))))</f>
        <v/>
      </c>
      <c r="AD217" s="25">
        <f>IF(AC217="","",IF(AND(LEFT(AC217,4)&lt;&gt;"http",IF(H217="Production",set_RMSBase,set_QwilrBase)=""),"",HYPERLINK(IF(LEFT(AC217,4)="http",AC217,IF(H217="Production",set_RMSBase,set_QwilrBase)&amp;AC217),"Open")))</f>
        <v/>
      </c>
      <c r="AE217" s="27">
        <f>IF(E217="","",IFERROR(INDEX(tbl_Production[Total Expense],IFERROR(MATCH(E217&amp;"",tbl_Production[Job Number],0),MATCH(IFERROR(E217+0,E217),tbl_Production[Job Number],0))),IFERROR(INDEX(tbl_Consulting[Total Expense],IFERROR(MATCH(E217&amp;"",tbl_Consulting[Job Number],0),MATCH(IFERROR(E217+0,E217),tbl_Consulting[Job Number],0))),0)))</f>
        <v/>
      </c>
      <c r="AF217" s="27">
        <f>IF(E217="","",Z217-N(AE217))</f>
        <v/>
      </c>
      <c r="AG217" s="29">
        <f>IFERROR(AF217/Z217,"")</f>
        <v/>
      </c>
      <c r="AH217" s="25">
        <f>IF(E217="","",IFERROR(IF(INDEX(tbl_Onsite[Notes],IFERROR(MATCH(E217&amp;"",tbl_Onsite[Job Number],0),MATCH(IFERROR(E217+0,E217),tbl_Onsite[Job Number],0)))="","",INDEX(tbl_Onsite[Notes],IFERROR(MATCH(E217&amp;"",tbl_Onsite[Job Number],0),MATCH(IFERROR(E217+0,E217),tbl_Onsite[Job Number],0)))),IFERROR(IF(INDEX(tbl_Production[Notes],IFERROR(MATCH(E217&amp;"",tbl_Production[Job Number],0),MATCH(IFERROR(E217+0,E217),tbl_Production[Job Number],0)))="","",INDEX(tbl_Production[Notes],IFERROR(MATCH(E217&amp;"",tbl_Production[Job Number],0),MATCH(IFERROR(E217+0,E217),tbl_Production[Job Number],0)))),IFERROR(IF(INDEX(tbl_Consulting[Notes],IFERROR(MATCH(E217&amp;"",tbl_Consulting[Job Number],0),MATCH(IFERROR(E217+0,E217),tbl_Consulting[Job Number],0)))="","",INDEX(tbl_Consulting[Notes],IFERROR(MATCH(E217&amp;"",tbl_Consulting[Job Number],0),MATCH(IFERROR(E217+0,E217),tbl_Consulting[Job Number],0)))),""))))</f>
        <v/>
      </c>
    </row>
    <row r="218" ht="15" customHeight="1">
      <c r="A218" s="22" t="n"/>
      <c r="B218" s="23">
        <f>IF(A218="","",EOMONTH(A218,0))</f>
        <v/>
      </c>
      <c r="C218" s="24" t="n"/>
      <c r="D218" s="24" t="n"/>
      <c r="E218" s="24" t="n"/>
      <c r="F218" s="25">
        <f>IF(E218="","",IF(COUNTIF(lst_Jobs,E218&amp;"")&gt;0,"OK","CHECK"))</f>
        <v/>
      </c>
      <c r="G218" s="24" t="n"/>
      <c r="H218" s="24" t="n"/>
      <c r="I218" s="24" t="n"/>
      <c r="J218" s="24" t="n"/>
      <c r="K218" s="24" t="n"/>
      <c r="L218" s="26" t="n"/>
      <c r="M218" s="27">
        <f>IF(L218="","",IF(K218="GST 10%",ROUND(L218*set_GSTRate,2),0))</f>
        <v/>
      </c>
      <c r="N218" s="27">
        <f>IF(L218="","",L218+M218)</f>
        <v/>
      </c>
      <c r="O218" s="24" t="n"/>
      <c r="P218" s="24" t="n"/>
      <c r="Q218" s="24" t="n"/>
      <c r="R218" s="22" t="n"/>
      <c r="S218" s="22" t="n"/>
      <c r="T218" s="24" t="n"/>
      <c r="U218" s="24" t="n"/>
      <c r="V218" s="2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25">
        <f>IF(E218="","",IF(COUNTIF(tbl_Onsite[Job Number],E218&amp;"")&gt;0,"Onsite",IF(COUNTIF(tbl_Production[Job Number],E218&amp;"")&gt;0,"Production",IF(COUNTIF(tbl_Consulting[Job Number],E218&amp;"")&gt;0,"Consulting","not set up yet"))))</f>
        <v/>
      </c>
      <c r="X218" s="25">
        <f>IF(E218="","",IFERROR(INDEX(lst_JobName,MATCH(E218&amp;"",lst_Jobs,0)),""))</f>
        <v/>
      </c>
      <c r="Y218" s="28">
        <f>IF(E218="","",COUNTIFS(tbl_Finance[Job Number],E218&amp;"",tbl_Finance[Ex GST],"&lt;&gt;"))</f>
        <v/>
      </c>
      <c r="Z218" s="27">
        <f>IF(E218="","",SUMIFS(tbl_Finance[Ex GST],tbl_Finance[Job Number],E218&amp;""))</f>
        <v/>
      </c>
      <c r="AA218" s="27">
        <f>IF(E218="","",SUMIFS(tbl_Finance[Ex GST],tbl_Finance[Job Number],E218&amp;"",tbl_Finance[Xero Invoice No],"&lt;&gt;"))</f>
        <v/>
      </c>
      <c r="AB218" s="27">
        <f>IF(E218="","",Z218-AA218)</f>
        <v/>
      </c>
      <c r="AC218" s="25">
        <f>IF(E218="","",IFERROR(IF(INDEX(tbl_Onsite[Qwilr Quote],IFERROR(MATCH(E218&amp;"",tbl_Onsite[Job Number],0),MATCH(IFERROR(E218+0,E218),tbl_Onsite[Job Number],0)))="","",INDEX(tbl_Onsite[Qwilr Quote],IFERROR(MATCH(E218&amp;"",tbl_Onsite[Job Number],0),MATCH(IFERROR(E218+0,E218),tbl_Onsite[Job Number],0)))),IFERROR(IF(IF(INDEX(tbl_Production[Current RMS No],IFERROR(MATCH(E218&amp;"",tbl_Production[Job Number],0),MATCH(IFERROR(E218+0,E218),tbl_Production[Job Number],0)))="",INDEX(tbl_Production[Qwilr Quote],IFERROR(MATCH(E218&amp;"",tbl_Production[Job Number],0),MATCH(IFERROR(E218+0,E218),tbl_Production[Job Number],0))),INDEX(tbl_Production[Current RMS No],IFERROR(MATCH(E218&amp;"",tbl_Production[Job Number],0),MATCH(IFERROR(E218+0,E218),tbl_Production[Job Number],0))))="","",IF(INDEX(tbl_Production[Current RMS No],IFERROR(MATCH(E218&amp;"",tbl_Production[Job Number],0),MATCH(IFERROR(E218+0,E218),tbl_Production[Job Number],0)))="",INDEX(tbl_Production[Qwilr Quote],IFERROR(MATCH(E218&amp;"",tbl_Production[Job Number],0),MATCH(IFERROR(E218+0,E218),tbl_Production[Job Number],0))),INDEX(tbl_Production[Current RMS No],IFERROR(MATCH(E218&amp;"",tbl_Production[Job Number],0),MATCH(IFERROR(E218+0,E218),tbl_Production[Job Number],0))))),IFERROR(IF(INDEX(tbl_Consulting[Qwilr Quote],IFERROR(MATCH(E218&amp;"",tbl_Consulting[Job Number],0),MATCH(IFERROR(E218+0,E218),tbl_Consulting[Job Number],0)))="","",INDEX(tbl_Consulting[Qwilr Quote],IFERROR(MATCH(E218&amp;"",tbl_Consulting[Job Number],0),MATCH(IFERROR(E218+0,E218),tbl_Consulting[Job Number],0)))),""))))</f>
        <v/>
      </c>
      <c r="AD218" s="25">
        <f>IF(AC218="","",IF(AND(LEFT(AC218,4)&lt;&gt;"http",IF(H218="Production",set_RMSBase,set_QwilrBase)=""),"",HYPERLINK(IF(LEFT(AC218,4)="http",AC218,IF(H218="Production",set_RMSBase,set_QwilrBase)&amp;AC218),"Open")))</f>
        <v/>
      </c>
      <c r="AE218" s="27">
        <f>IF(E218="","",IFERROR(INDEX(tbl_Production[Total Expense],IFERROR(MATCH(E218&amp;"",tbl_Production[Job Number],0),MATCH(IFERROR(E218+0,E218),tbl_Production[Job Number],0))),IFERROR(INDEX(tbl_Consulting[Total Expense],IFERROR(MATCH(E218&amp;"",tbl_Consulting[Job Number],0),MATCH(IFERROR(E218+0,E218),tbl_Consulting[Job Number],0))),0)))</f>
        <v/>
      </c>
      <c r="AF218" s="27">
        <f>IF(E218="","",Z218-N(AE218))</f>
        <v/>
      </c>
      <c r="AG218" s="29">
        <f>IFERROR(AF218/Z218,"")</f>
        <v/>
      </c>
      <c r="AH218" s="25">
        <f>IF(E218="","",IFERROR(IF(INDEX(tbl_Onsite[Notes],IFERROR(MATCH(E218&amp;"",tbl_Onsite[Job Number],0),MATCH(IFERROR(E218+0,E218),tbl_Onsite[Job Number],0)))="","",INDEX(tbl_Onsite[Notes],IFERROR(MATCH(E218&amp;"",tbl_Onsite[Job Number],0),MATCH(IFERROR(E218+0,E218),tbl_Onsite[Job Number],0)))),IFERROR(IF(INDEX(tbl_Production[Notes],IFERROR(MATCH(E218&amp;"",tbl_Production[Job Number],0),MATCH(IFERROR(E218+0,E218),tbl_Production[Job Number],0)))="","",INDEX(tbl_Production[Notes],IFERROR(MATCH(E218&amp;"",tbl_Production[Job Number],0),MATCH(IFERROR(E218+0,E218),tbl_Production[Job Number],0)))),IFERROR(IF(INDEX(tbl_Consulting[Notes],IFERROR(MATCH(E218&amp;"",tbl_Consulting[Job Number],0),MATCH(IFERROR(E218+0,E218),tbl_Consulting[Job Number],0)))="","",INDEX(tbl_Consulting[Notes],IFERROR(MATCH(E218&amp;"",tbl_Consulting[Job Number],0),MATCH(IFERROR(E218+0,E218),tbl_Consulting[Job Number],0)))),""))))</f>
        <v/>
      </c>
    </row>
    <row r="219" ht="15" customHeight="1">
      <c r="A219" s="22" t="n"/>
      <c r="B219" s="23">
        <f>IF(A219="","",EOMONTH(A219,0))</f>
        <v/>
      </c>
      <c r="C219" s="24" t="n"/>
      <c r="D219" s="24" t="n"/>
      <c r="E219" s="24" t="n"/>
      <c r="F219" s="25">
        <f>IF(E219="","",IF(COUNTIF(lst_Jobs,E219&amp;"")&gt;0,"OK","CHECK"))</f>
        <v/>
      </c>
      <c r="G219" s="24" t="n"/>
      <c r="H219" s="24" t="n"/>
      <c r="I219" s="24" t="n"/>
      <c r="J219" s="24" t="n"/>
      <c r="K219" s="24" t="n"/>
      <c r="L219" s="26" t="n"/>
      <c r="M219" s="27">
        <f>IF(L219="","",IF(K219="GST 10%",ROUND(L219*set_GSTRate,2),0))</f>
        <v/>
      </c>
      <c r="N219" s="27">
        <f>IF(L219="","",L219+M219)</f>
        <v/>
      </c>
      <c r="O219" s="24" t="n"/>
      <c r="P219" s="24" t="n"/>
      <c r="Q219" s="24" t="n"/>
      <c r="R219" s="22" t="n"/>
      <c r="S219" s="22" t="n"/>
      <c r="T219" s="24" t="n"/>
      <c r="U219" s="24" t="n"/>
      <c r="V219" s="2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25">
        <f>IF(E219="","",IF(COUNTIF(tbl_Onsite[Job Number],E219&amp;"")&gt;0,"Onsite",IF(COUNTIF(tbl_Production[Job Number],E219&amp;"")&gt;0,"Production",IF(COUNTIF(tbl_Consulting[Job Number],E219&amp;"")&gt;0,"Consulting","not set up yet"))))</f>
        <v/>
      </c>
      <c r="X219" s="25">
        <f>IF(E219="","",IFERROR(INDEX(lst_JobName,MATCH(E219&amp;"",lst_Jobs,0)),""))</f>
        <v/>
      </c>
      <c r="Y219" s="28">
        <f>IF(E219="","",COUNTIFS(tbl_Finance[Job Number],E219&amp;"",tbl_Finance[Ex GST],"&lt;&gt;"))</f>
        <v/>
      </c>
      <c r="Z219" s="27">
        <f>IF(E219="","",SUMIFS(tbl_Finance[Ex GST],tbl_Finance[Job Number],E219&amp;""))</f>
        <v/>
      </c>
      <c r="AA219" s="27">
        <f>IF(E219="","",SUMIFS(tbl_Finance[Ex GST],tbl_Finance[Job Number],E219&amp;"",tbl_Finance[Xero Invoice No],"&lt;&gt;"))</f>
        <v/>
      </c>
      <c r="AB219" s="27">
        <f>IF(E219="","",Z219-AA219)</f>
        <v/>
      </c>
      <c r="AC219" s="25">
        <f>IF(E219="","",IFERROR(IF(INDEX(tbl_Onsite[Qwilr Quote],IFERROR(MATCH(E219&amp;"",tbl_Onsite[Job Number],0),MATCH(IFERROR(E219+0,E219),tbl_Onsite[Job Number],0)))="","",INDEX(tbl_Onsite[Qwilr Quote],IFERROR(MATCH(E219&amp;"",tbl_Onsite[Job Number],0),MATCH(IFERROR(E219+0,E219),tbl_Onsite[Job Number],0)))),IFERROR(IF(IF(INDEX(tbl_Production[Current RMS No],IFERROR(MATCH(E219&amp;"",tbl_Production[Job Number],0),MATCH(IFERROR(E219+0,E219),tbl_Production[Job Number],0)))="",INDEX(tbl_Production[Qwilr Quote],IFERROR(MATCH(E219&amp;"",tbl_Production[Job Number],0),MATCH(IFERROR(E219+0,E219),tbl_Production[Job Number],0))),INDEX(tbl_Production[Current RMS No],IFERROR(MATCH(E219&amp;"",tbl_Production[Job Number],0),MATCH(IFERROR(E219+0,E219),tbl_Production[Job Number],0))))="","",IF(INDEX(tbl_Production[Current RMS No],IFERROR(MATCH(E219&amp;"",tbl_Production[Job Number],0),MATCH(IFERROR(E219+0,E219),tbl_Production[Job Number],0)))="",INDEX(tbl_Production[Qwilr Quote],IFERROR(MATCH(E219&amp;"",tbl_Production[Job Number],0),MATCH(IFERROR(E219+0,E219),tbl_Production[Job Number],0))),INDEX(tbl_Production[Current RMS No],IFERROR(MATCH(E219&amp;"",tbl_Production[Job Number],0),MATCH(IFERROR(E219+0,E219),tbl_Production[Job Number],0))))),IFERROR(IF(INDEX(tbl_Consulting[Qwilr Quote],IFERROR(MATCH(E219&amp;"",tbl_Consulting[Job Number],0),MATCH(IFERROR(E219+0,E219),tbl_Consulting[Job Number],0)))="","",INDEX(tbl_Consulting[Qwilr Quote],IFERROR(MATCH(E219&amp;"",tbl_Consulting[Job Number],0),MATCH(IFERROR(E219+0,E219),tbl_Consulting[Job Number],0)))),""))))</f>
        <v/>
      </c>
      <c r="AD219" s="25">
        <f>IF(AC219="","",IF(AND(LEFT(AC219,4)&lt;&gt;"http",IF(H219="Production",set_RMSBase,set_QwilrBase)=""),"",HYPERLINK(IF(LEFT(AC219,4)="http",AC219,IF(H219="Production",set_RMSBase,set_QwilrBase)&amp;AC219),"Open")))</f>
        <v/>
      </c>
      <c r="AE219" s="27">
        <f>IF(E219="","",IFERROR(INDEX(tbl_Production[Total Expense],IFERROR(MATCH(E219&amp;"",tbl_Production[Job Number],0),MATCH(IFERROR(E219+0,E219),tbl_Production[Job Number],0))),IFERROR(INDEX(tbl_Consulting[Total Expense],IFERROR(MATCH(E219&amp;"",tbl_Consulting[Job Number],0),MATCH(IFERROR(E219+0,E219),tbl_Consulting[Job Number],0))),0)))</f>
        <v/>
      </c>
      <c r="AF219" s="27">
        <f>IF(E219="","",Z219-N(AE219))</f>
        <v/>
      </c>
      <c r="AG219" s="29">
        <f>IFERROR(AF219/Z219,"")</f>
        <v/>
      </c>
      <c r="AH219" s="25">
        <f>IF(E219="","",IFERROR(IF(INDEX(tbl_Onsite[Notes],IFERROR(MATCH(E219&amp;"",tbl_Onsite[Job Number],0),MATCH(IFERROR(E219+0,E219),tbl_Onsite[Job Number],0)))="","",INDEX(tbl_Onsite[Notes],IFERROR(MATCH(E219&amp;"",tbl_Onsite[Job Number],0),MATCH(IFERROR(E219+0,E219),tbl_Onsite[Job Number],0)))),IFERROR(IF(INDEX(tbl_Production[Notes],IFERROR(MATCH(E219&amp;"",tbl_Production[Job Number],0),MATCH(IFERROR(E219+0,E219),tbl_Production[Job Number],0)))="","",INDEX(tbl_Production[Notes],IFERROR(MATCH(E219&amp;"",tbl_Production[Job Number],0),MATCH(IFERROR(E219+0,E219),tbl_Production[Job Number],0)))),IFERROR(IF(INDEX(tbl_Consulting[Notes],IFERROR(MATCH(E219&amp;"",tbl_Consulting[Job Number],0),MATCH(IFERROR(E219+0,E219),tbl_Consulting[Job Number],0)))="","",INDEX(tbl_Consulting[Notes],IFERROR(MATCH(E219&amp;"",tbl_Consulting[Job Number],0),MATCH(IFERROR(E219+0,E219),tbl_Consulting[Job Number],0)))),""))))</f>
        <v/>
      </c>
    </row>
    <row r="220" ht="15" customHeight="1">
      <c r="A220" s="22" t="n"/>
      <c r="B220" s="23">
        <f>IF(A220="","",EOMONTH(A220,0))</f>
        <v/>
      </c>
      <c r="C220" s="24" t="n"/>
      <c r="D220" s="24" t="n"/>
      <c r="E220" s="24" t="n"/>
      <c r="F220" s="25">
        <f>IF(E220="","",IF(COUNTIF(lst_Jobs,E220&amp;"")&gt;0,"OK","CHECK"))</f>
        <v/>
      </c>
      <c r="G220" s="24" t="n"/>
      <c r="H220" s="24" t="n"/>
      <c r="I220" s="24" t="n"/>
      <c r="J220" s="24" t="n"/>
      <c r="K220" s="24" t="n"/>
      <c r="L220" s="26" t="n"/>
      <c r="M220" s="27">
        <f>IF(L220="","",IF(K220="GST 10%",ROUND(L220*set_GSTRate,2),0))</f>
        <v/>
      </c>
      <c r="N220" s="27">
        <f>IF(L220="","",L220+M220)</f>
        <v/>
      </c>
      <c r="O220" s="24" t="n"/>
      <c r="P220" s="24" t="n"/>
      <c r="Q220" s="24" t="n"/>
      <c r="R220" s="22" t="n"/>
      <c r="S220" s="22" t="n"/>
      <c r="T220" s="24" t="n"/>
      <c r="U220" s="24" t="n"/>
      <c r="V220" s="2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25">
        <f>IF(E220="","",IF(COUNTIF(tbl_Onsite[Job Number],E220&amp;"")&gt;0,"Onsite",IF(COUNTIF(tbl_Production[Job Number],E220&amp;"")&gt;0,"Production",IF(COUNTIF(tbl_Consulting[Job Number],E220&amp;"")&gt;0,"Consulting","not set up yet"))))</f>
        <v/>
      </c>
      <c r="X220" s="25">
        <f>IF(E220="","",IFERROR(INDEX(lst_JobName,MATCH(E220&amp;"",lst_Jobs,0)),""))</f>
        <v/>
      </c>
      <c r="Y220" s="28">
        <f>IF(E220="","",COUNTIFS(tbl_Finance[Job Number],E220&amp;"",tbl_Finance[Ex GST],"&lt;&gt;"))</f>
        <v/>
      </c>
      <c r="Z220" s="27">
        <f>IF(E220="","",SUMIFS(tbl_Finance[Ex GST],tbl_Finance[Job Number],E220&amp;""))</f>
        <v/>
      </c>
      <c r="AA220" s="27">
        <f>IF(E220="","",SUMIFS(tbl_Finance[Ex GST],tbl_Finance[Job Number],E220&amp;"",tbl_Finance[Xero Invoice No],"&lt;&gt;"))</f>
        <v/>
      </c>
      <c r="AB220" s="27">
        <f>IF(E220="","",Z220-AA220)</f>
        <v/>
      </c>
      <c r="AC220" s="25">
        <f>IF(E220="","",IFERROR(IF(INDEX(tbl_Onsite[Qwilr Quote],IFERROR(MATCH(E220&amp;"",tbl_Onsite[Job Number],0),MATCH(IFERROR(E220+0,E220),tbl_Onsite[Job Number],0)))="","",INDEX(tbl_Onsite[Qwilr Quote],IFERROR(MATCH(E220&amp;"",tbl_Onsite[Job Number],0),MATCH(IFERROR(E220+0,E220),tbl_Onsite[Job Number],0)))),IFERROR(IF(IF(INDEX(tbl_Production[Current RMS No],IFERROR(MATCH(E220&amp;"",tbl_Production[Job Number],0),MATCH(IFERROR(E220+0,E220),tbl_Production[Job Number],0)))="",INDEX(tbl_Production[Qwilr Quote],IFERROR(MATCH(E220&amp;"",tbl_Production[Job Number],0),MATCH(IFERROR(E220+0,E220),tbl_Production[Job Number],0))),INDEX(tbl_Production[Current RMS No],IFERROR(MATCH(E220&amp;"",tbl_Production[Job Number],0),MATCH(IFERROR(E220+0,E220),tbl_Production[Job Number],0))))="","",IF(INDEX(tbl_Production[Current RMS No],IFERROR(MATCH(E220&amp;"",tbl_Production[Job Number],0),MATCH(IFERROR(E220+0,E220),tbl_Production[Job Number],0)))="",INDEX(tbl_Production[Qwilr Quote],IFERROR(MATCH(E220&amp;"",tbl_Production[Job Number],0),MATCH(IFERROR(E220+0,E220),tbl_Production[Job Number],0))),INDEX(tbl_Production[Current RMS No],IFERROR(MATCH(E220&amp;"",tbl_Production[Job Number],0),MATCH(IFERROR(E220+0,E220),tbl_Production[Job Number],0))))),IFERROR(IF(INDEX(tbl_Consulting[Qwilr Quote],IFERROR(MATCH(E220&amp;"",tbl_Consulting[Job Number],0),MATCH(IFERROR(E220+0,E220),tbl_Consulting[Job Number],0)))="","",INDEX(tbl_Consulting[Qwilr Quote],IFERROR(MATCH(E220&amp;"",tbl_Consulting[Job Number],0),MATCH(IFERROR(E220+0,E220),tbl_Consulting[Job Number],0)))),""))))</f>
        <v/>
      </c>
      <c r="AD220" s="25">
        <f>IF(AC220="","",IF(AND(LEFT(AC220,4)&lt;&gt;"http",IF(H220="Production",set_RMSBase,set_QwilrBase)=""),"",HYPERLINK(IF(LEFT(AC220,4)="http",AC220,IF(H220="Production",set_RMSBase,set_QwilrBase)&amp;AC220),"Open")))</f>
        <v/>
      </c>
      <c r="AE220" s="27">
        <f>IF(E220="","",IFERROR(INDEX(tbl_Production[Total Expense],IFERROR(MATCH(E220&amp;"",tbl_Production[Job Number],0),MATCH(IFERROR(E220+0,E220),tbl_Production[Job Number],0))),IFERROR(INDEX(tbl_Consulting[Total Expense],IFERROR(MATCH(E220&amp;"",tbl_Consulting[Job Number],0),MATCH(IFERROR(E220+0,E220),tbl_Consulting[Job Number],0))),0)))</f>
        <v/>
      </c>
      <c r="AF220" s="27">
        <f>IF(E220="","",Z220-N(AE220))</f>
        <v/>
      </c>
      <c r="AG220" s="29">
        <f>IFERROR(AF220/Z220,"")</f>
        <v/>
      </c>
      <c r="AH220" s="25">
        <f>IF(E220="","",IFERROR(IF(INDEX(tbl_Onsite[Notes],IFERROR(MATCH(E220&amp;"",tbl_Onsite[Job Number],0),MATCH(IFERROR(E220+0,E220),tbl_Onsite[Job Number],0)))="","",INDEX(tbl_Onsite[Notes],IFERROR(MATCH(E220&amp;"",tbl_Onsite[Job Number],0),MATCH(IFERROR(E220+0,E220),tbl_Onsite[Job Number],0)))),IFERROR(IF(INDEX(tbl_Production[Notes],IFERROR(MATCH(E220&amp;"",tbl_Production[Job Number],0),MATCH(IFERROR(E220+0,E220),tbl_Production[Job Number],0)))="","",INDEX(tbl_Production[Notes],IFERROR(MATCH(E220&amp;"",tbl_Production[Job Number],0),MATCH(IFERROR(E220+0,E220),tbl_Production[Job Number],0)))),IFERROR(IF(INDEX(tbl_Consulting[Notes],IFERROR(MATCH(E220&amp;"",tbl_Consulting[Job Number],0),MATCH(IFERROR(E220+0,E220),tbl_Consulting[Job Number],0)))="","",INDEX(tbl_Consulting[Notes],IFERROR(MATCH(E220&amp;"",tbl_Consulting[Job Number],0),MATCH(IFERROR(E220+0,E220),tbl_Consulting[Job Number],0)))),""))))</f>
        <v/>
      </c>
    </row>
    <row r="221" ht="15" customHeight="1">
      <c r="A221" s="22" t="n"/>
      <c r="B221" s="23">
        <f>IF(A221="","",EOMONTH(A221,0))</f>
        <v/>
      </c>
      <c r="C221" s="24" t="n"/>
      <c r="D221" s="24" t="n"/>
      <c r="E221" s="24" t="n"/>
      <c r="F221" s="25">
        <f>IF(E221="","",IF(COUNTIF(lst_Jobs,E221&amp;"")&gt;0,"OK","CHECK"))</f>
        <v/>
      </c>
      <c r="G221" s="24" t="n"/>
      <c r="H221" s="24" t="n"/>
      <c r="I221" s="24" t="n"/>
      <c r="J221" s="24" t="n"/>
      <c r="K221" s="24" t="n"/>
      <c r="L221" s="26" t="n"/>
      <c r="M221" s="27">
        <f>IF(L221="","",IF(K221="GST 10%",ROUND(L221*set_GSTRate,2),0))</f>
        <v/>
      </c>
      <c r="N221" s="27">
        <f>IF(L221="","",L221+M221)</f>
        <v/>
      </c>
      <c r="O221" s="24" t="n"/>
      <c r="P221" s="24" t="n"/>
      <c r="Q221" s="24" t="n"/>
      <c r="R221" s="22" t="n"/>
      <c r="S221" s="22" t="n"/>
      <c r="T221" s="24" t="n"/>
      <c r="U221" s="24" t="n"/>
      <c r="V221" s="2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25">
        <f>IF(E221="","",IF(COUNTIF(tbl_Onsite[Job Number],E221&amp;"")&gt;0,"Onsite",IF(COUNTIF(tbl_Production[Job Number],E221&amp;"")&gt;0,"Production",IF(COUNTIF(tbl_Consulting[Job Number],E221&amp;"")&gt;0,"Consulting","not set up yet"))))</f>
        <v/>
      </c>
      <c r="X221" s="25">
        <f>IF(E221="","",IFERROR(INDEX(lst_JobName,MATCH(E221&amp;"",lst_Jobs,0)),""))</f>
        <v/>
      </c>
      <c r="Y221" s="28">
        <f>IF(E221="","",COUNTIFS(tbl_Finance[Job Number],E221&amp;"",tbl_Finance[Ex GST],"&lt;&gt;"))</f>
        <v/>
      </c>
      <c r="Z221" s="27">
        <f>IF(E221="","",SUMIFS(tbl_Finance[Ex GST],tbl_Finance[Job Number],E221&amp;""))</f>
        <v/>
      </c>
      <c r="AA221" s="27">
        <f>IF(E221="","",SUMIFS(tbl_Finance[Ex GST],tbl_Finance[Job Number],E221&amp;"",tbl_Finance[Xero Invoice No],"&lt;&gt;"))</f>
        <v/>
      </c>
      <c r="AB221" s="27">
        <f>IF(E221="","",Z221-AA221)</f>
        <v/>
      </c>
      <c r="AC221" s="25">
        <f>IF(E221="","",IFERROR(IF(INDEX(tbl_Onsite[Qwilr Quote],IFERROR(MATCH(E221&amp;"",tbl_Onsite[Job Number],0),MATCH(IFERROR(E221+0,E221),tbl_Onsite[Job Number],0)))="","",INDEX(tbl_Onsite[Qwilr Quote],IFERROR(MATCH(E221&amp;"",tbl_Onsite[Job Number],0),MATCH(IFERROR(E221+0,E221),tbl_Onsite[Job Number],0)))),IFERROR(IF(IF(INDEX(tbl_Production[Current RMS No],IFERROR(MATCH(E221&amp;"",tbl_Production[Job Number],0),MATCH(IFERROR(E221+0,E221),tbl_Production[Job Number],0)))="",INDEX(tbl_Production[Qwilr Quote],IFERROR(MATCH(E221&amp;"",tbl_Production[Job Number],0),MATCH(IFERROR(E221+0,E221),tbl_Production[Job Number],0))),INDEX(tbl_Production[Current RMS No],IFERROR(MATCH(E221&amp;"",tbl_Production[Job Number],0),MATCH(IFERROR(E221+0,E221),tbl_Production[Job Number],0))))="","",IF(INDEX(tbl_Production[Current RMS No],IFERROR(MATCH(E221&amp;"",tbl_Production[Job Number],0),MATCH(IFERROR(E221+0,E221),tbl_Production[Job Number],0)))="",INDEX(tbl_Production[Qwilr Quote],IFERROR(MATCH(E221&amp;"",tbl_Production[Job Number],0),MATCH(IFERROR(E221+0,E221),tbl_Production[Job Number],0))),INDEX(tbl_Production[Current RMS No],IFERROR(MATCH(E221&amp;"",tbl_Production[Job Number],0),MATCH(IFERROR(E221+0,E221),tbl_Production[Job Number],0))))),IFERROR(IF(INDEX(tbl_Consulting[Qwilr Quote],IFERROR(MATCH(E221&amp;"",tbl_Consulting[Job Number],0),MATCH(IFERROR(E221+0,E221),tbl_Consulting[Job Number],0)))="","",INDEX(tbl_Consulting[Qwilr Quote],IFERROR(MATCH(E221&amp;"",tbl_Consulting[Job Number],0),MATCH(IFERROR(E221+0,E221),tbl_Consulting[Job Number],0)))),""))))</f>
        <v/>
      </c>
      <c r="AD221" s="25">
        <f>IF(AC221="","",IF(AND(LEFT(AC221,4)&lt;&gt;"http",IF(H221="Production",set_RMSBase,set_QwilrBase)=""),"",HYPERLINK(IF(LEFT(AC221,4)="http",AC221,IF(H221="Production",set_RMSBase,set_QwilrBase)&amp;AC221),"Open")))</f>
        <v/>
      </c>
      <c r="AE221" s="27">
        <f>IF(E221="","",IFERROR(INDEX(tbl_Production[Total Expense],IFERROR(MATCH(E221&amp;"",tbl_Production[Job Number],0),MATCH(IFERROR(E221+0,E221),tbl_Production[Job Number],0))),IFERROR(INDEX(tbl_Consulting[Total Expense],IFERROR(MATCH(E221&amp;"",tbl_Consulting[Job Number],0),MATCH(IFERROR(E221+0,E221),tbl_Consulting[Job Number],0))),0)))</f>
        <v/>
      </c>
      <c r="AF221" s="27">
        <f>IF(E221="","",Z221-N(AE221))</f>
        <v/>
      </c>
      <c r="AG221" s="29">
        <f>IFERROR(AF221/Z221,"")</f>
        <v/>
      </c>
      <c r="AH221" s="25">
        <f>IF(E221="","",IFERROR(IF(INDEX(tbl_Onsite[Notes],IFERROR(MATCH(E221&amp;"",tbl_Onsite[Job Number],0),MATCH(IFERROR(E221+0,E221),tbl_Onsite[Job Number],0)))="","",INDEX(tbl_Onsite[Notes],IFERROR(MATCH(E221&amp;"",tbl_Onsite[Job Number],0),MATCH(IFERROR(E221+0,E221),tbl_Onsite[Job Number],0)))),IFERROR(IF(INDEX(tbl_Production[Notes],IFERROR(MATCH(E221&amp;"",tbl_Production[Job Number],0),MATCH(IFERROR(E221+0,E221),tbl_Production[Job Number],0)))="","",INDEX(tbl_Production[Notes],IFERROR(MATCH(E221&amp;"",tbl_Production[Job Number],0),MATCH(IFERROR(E221+0,E221),tbl_Production[Job Number],0)))),IFERROR(IF(INDEX(tbl_Consulting[Notes],IFERROR(MATCH(E221&amp;"",tbl_Consulting[Job Number],0),MATCH(IFERROR(E221+0,E221),tbl_Consulting[Job Number],0)))="","",INDEX(tbl_Consulting[Notes],IFERROR(MATCH(E221&amp;"",tbl_Consulting[Job Number],0),MATCH(IFERROR(E221+0,E221),tbl_Consulting[Job Number],0)))),""))))</f>
        <v/>
      </c>
    </row>
    <row r="222" ht="15" customHeight="1">
      <c r="A222" s="22" t="n"/>
      <c r="B222" s="23">
        <f>IF(A222="","",EOMONTH(A222,0))</f>
        <v/>
      </c>
      <c r="C222" s="24" t="n"/>
      <c r="D222" s="24" t="n"/>
      <c r="E222" s="24" t="n"/>
      <c r="F222" s="25">
        <f>IF(E222="","",IF(COUNTIF(lst_Jobs,E222&amp;"")&gt;0,"OK","CHECK"))</f>
        <v/>
      </c>
      <c r="G222" s="24" t="n"/>
      <c r="H222" s="24" t="n"/>
      <c r="I222" s="24" t="n"/>
      <c r="J222" s="24" t="n"/>
      <c r="K222" s="24" t="n"/>
      <c r="L222" s="26" t="n"/>
      <c r="M222" s="27">
        <f>IF(L222="","",IF(K222="GST 10%",ROUND(L222*set_GSTRate,2),0))</f>
        <v/>
      </c>
      <c r="N222" s="27">
        <f>IF(L222="","",L222+M222)</f>
        <v/>
      </c>
      <c r="O222" s="24" t="n"/>
      <c r="P222" s="24" t="n"/>
      <c r="Q222" s="24" t="n"/>
      <c r="R222" s="22" t="n"/>
      <c r="S222" s="22" t="n"/>
      <c r="T222" s="24" t="n"/>
      <c r="U222" s="24" t="n"/>
      <c r="V222" s="2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25">
        <f>IF(E222="","",IF(COUNTIF(tbl_Onsite[Job Number],E222&amp;"")&gt;0,"Onsite",IF(COUNTIF(tbl_Production[Job Number],E222&amp;"")&gt;0,"Production",IF(COUNTIF(tbl_Consulting[Job Number],E222&amp;"")&gt;0,"Consulting","not set up yet"))))</f>
        <v/>
      </c>
      <c r="X222" s="25">
        <f>IF(E222="","",IFERROR(INDEX(lst_JobName,MATCH(E222&amp;"",lst_Jobs,0)),""))</f>
        <v/>
      </c>
      <c r="Y222" s="28">
        <f>IF(E222="","",COUNTIFS(tbl_Finance[Job Number],E222&amp;"",tbl_Finance[Ex GST],"&lt;&gt;"))</f>
        <v/>
      </c>
      <c r="Z222" s="27">
        <f>IF(E222="","",SUMIFS(tbl_Finance[Ex GST],tbl_Finance[Job Number],E222&amp;""))</f>
        <v/>
      </c>
      <c r="AA222" s="27">
        <f>IF(E222="","",SUMIFS(tbl_Finance[Ex GST],tbl_Finance[Job Number],E222&amp;"",tbl_Finance[Xero Invoice No],"&lt;&gt;"))</f>
        <v/>
      </c>
      <c r="AB222" s="27">
        <f>IF(E222="","",Z222-AA222)</f>
        <v/>
      </c>
      <c r="AC222" s="25">
        <f>IF(E222="","",IFERROR(IF(INDEX(tbl_Onsite[Qwilr Quote],IFERROR(MATCH(E222&amp;"",tbl_Onsite[Job Number],0),MATCH(IFERROR(E222+0,E222),tbl_Onsite[Job Number],0)))="","",INDEX(tbl_Onsite[Qwilr Quote],IFERROR(MATCH(E222&amp;"",tbl_Onsite[Job Number],0),MATCH(IFERROR(E222+0,E222),tbl_Onsite[Job Number],0)))),IFERROR(IF(IF(INDEX(tbl_Production[Current RMS No],IFERROR(MATCH(E222&amp;"",tbl_Production[Job Number],0),MATCH(IFERROR(E222+0,E222),tbl_Production[Job Number],0)))="",INDEX(tbl_Production[Qwilr Quote],IFERROR(MATCH(E222&amp;"",tbl_Production[Job Number],0),MATCH(IFERROR(E222+0,E222),tbl_Production[Job Number],0))),INDEX(tbl_Production[Current RMS No],IFERROR(MATCH(E222&amp;"",tbl_Production[Job Number],0),MATCH(IFERROR(E222+0,E222),tbl_Production[Job Number],0))))="","",IF(INDEX(tbl_Production[Current RMS No],IFERROR(MATCH(E222&amp;"",tbl_Production[Job Number],0),MATCH(IFERROR(E222+0,E222),tbl_Production[Job Number],0)))="",INDEX(tbl_Production[Qwilr Quote],IFERROR(MATCH(E222&amp;"",tbl_Production[Job Number],0),MATCH(IFERROR(E222+0,E222),tbl_Production[Job Number],0))),INDEX(tbl_Production[Current RMS No],IFERROR(MATCH(E222&amp;"",tbl_Production[Job Number],0),MATCH(IFERROR(E222+0,E222),tbl_Production[Job Number],0))))),IFERROR(IF(INDEX(tbl_Consulting[Qwilr Quote],IFERROR(MATCH(E222&amp;"",tbl_Consulting[Job Number],0),MATCH(IFERROR(E222+0,E222),tbl_Consulting[Job Number],0)))="","",INDEX(tbl_Consulting[Qwilr Quote],IFERROR(MATCH(E222&amp;"",tbl_Consulting[Job Number],0),MATCH(IFERROR(E222+0,E222),tbl_Consulting[Job Number],0)))),""))))</f>
        <v/>
      </c>
      <c r="AD222" s="25">
        <f>IF(AC222="","",IF(AND(LEFT(AC222,4)&lt;&gt;"http",IF(H222="Production",set_RMSBase,set_QwilrBase)=""),"",HYPERLINK(IF(LEFT(AC222,4)="http",AC222,IF(H222="Production",set_RMSBase,set_QwilrBase)&amp;AC222),"Open")))</f>
        <v/>
      </c>
      <c r="AE222" s="27">
        <f>IF(E222="","",IFERROR(INDEX(tbl_Production[Total Expense],IFERROR(MATCH(E222&amp;"",tbl_Production[Job Number],0),MATCH(IFERROR(E222+0,E222),tbl_Production[Job Number],0))),IFERROR(INDEX(tbl_Consulting[Total Expense],IFERROR(MATCH(E222&amp;"",tbl_Consulting[Job Number],0),MATCH(IFERROR(E222+0,E222),tbl_Consulting[Job Number],0))),0)))</f>
        <v/>
      </c>
      <c r="AF222" s="27">
        <f>IF(E222="","",Z222-N(AE222))</f>
        <v/>
      </c>
      <c r="AG222" s="29">
        <f>IFERROR(AF222/Z222,"")</f>
        <v/>
      </c>
      <c r="AH222" s="25">
        <f>IF(E222="","",IFERROR(IF(INDEX(tbl_Onsite[Notes],IFERROR(MATCH(E222&amp;"",tbl_Onsite[Job Number],0),MATCH(IFERROR(E222+0,E222),tbl_Onsite[Job Number],0)))="","",INDEX(tbl_Onsite[Notes],IFERROR(MATCH(E222&amp;"",tbl_Onsite[Job Number],0),MATCH(IFERROR(E222+0,E222),tbl_Onsite[Job Number],0)))),IFERROR(IF(INDEX(tbl_Production[Notes],IFERROR(MATCH(E222&amp;"",tbl_Production[Job Number],0),MATCH(IFERROR(E222+0,E222),tbl_Production[Job Number],0)))="","",INDEX(tbl_Production[Notes],IFERROR(MATCH(E222&amp;"",tbl_Production[Job Number],0),MATCH(IFERROR(E222+0,E222),tbl_Production[Job Number],0)))),IFERROR(IF(INDEX(tbl_Consulting[Notes],IFERROR(MATCH(E222&amp;"",tbl_Consulting[Job Number],0),MATCH(IFERROR(E222+0,E222),tbl_Consulting[Job Number],0)))="","",INDEX(tbl_Consulting[Notes],IFERROR(MATCH(E222&amp;"",tbl_Consulting[Job Number],0),MATCH(IFERROR(E222+0,E222),tbl_Consulting[Job Number],0)))),""))))</f>
        <v/>
      </c>
    </row>
    <row r="223" ht="15" customHeight="1">
      <c r="A223" s="22" t="n"/>
      <c r="B223" s="23">
        <f>IF(A223="","",EOMONTH(A223,0))</f>
        <v/>
      </c>
      <c r="C223" s="24" t="n"/>
      <c r="D223" s="24" t="n"/>
      <c r="E223" s="24" t="n"/>
      <c r="F223" s="25">
        <f>IF(E223="","",IF(COUNTIF(lst_Jobs,E223&amp;"")&gt;0,"OK","CHECK"))</f>
        <v/>
      </c>
      <c r="G223" s="24" t="n"/>
      <c r="H223" s="24" t="n"/>
      <c r="I223" s="24" t="n"/>
      <c r="J223" s="24" t="n"/>
      <c r="K223" s="24" t="n"/>
      <c r="L223" s="26" t="n"/>
      <c r="M223" s="27">
        <f>IF(L223="","",IF(K223="GST 10%",ROUND(L223*set_GSTRate,2),0))</f>
        <v/>
      </c>
      <c r="N223" s="27">
        <f>IF(L223="","",L223+M223)</f>
        <v/>
      </c>
      <c r="O223" s="24" t="n"/>
      <c r="P223" s="24" t="n"/>
      <c r="Q223" s="24" t="n"/>
      <c r="R223" s="22" t="n"/>
      <c r="S223" s="22" t="n"/>
      <c r="T223" s="24" t="n"/>
      <c r="U223" s="24" t="n"/>
      <c r="V223" s="2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25">
        <f>IF(E223="","",IF(COUNTIF(tbl_Onsite[Job Number],E223&amp;"")&gt;0,"Onsite",IF(COUNTIF(tbl_Production[Job Number],E223&amp;"")&gt;0,"Production",IF(COUNTIF(tbl_Consulting[Job Number],E223&amp;"")&gt;0,"Consulting","not set up yet"))))</f>
        <v/>
      </c>
      <c r="X223" s="25">
        <f>IF(E223="","",IFERROR(INDEX(lst_JobName,MATCH(E223&amp;"",lst_Jobs,0)),""))</f>
        <v/>
      </c>
      <c r="Y223" s="28">
        <f>IF(E223="","",COUNTIFS(tbl_Finance[Job Number],E223&amp;"",tbl_Finance[Ex GST],"&lt;&gt;"))</f>
        <v/>
      </c>
      <c r="Z223" s="27">
        <f>IF(E223="","",SUMIFS(tbl_Finance[Ex GST],tbl_Finance[Job Number],E223&amp;""))</f>
        <v/>
      </c>
      <c r="AA223" s="27">
        <f>IF(E223="","",SUMIFS(tbl_Finance[Ex GST],tbl_Finance[Job Number],E223&amp;"",tbl_Finance[Xero Invoice No],"&lt;&gt;"))</f>
        <v/>
      </c>
      <c r="AB223" s="27">
        <f>IF(E223="","",Z223-AA223)</f>
        <v/>
      </c>
      <c r="AC223" s="25">
        <f>IF(E223="","",IFERROR(IF(INDEX(tbl_Onsite[Qwilr Quote],IFERROR(MATCH(E223&amp;"",tbl_Onsite[Job Number],0),MATCH(IFERROR(E223+0,E223),tbl_Onsite[Job Number],0)))="","",INDEX(tbl_Onsite[Qwilr Quote],IFERROR(MATCH(E223&amp;"",tbl_Onsite[Job Number],0),MATCH(IFERROR(E223+0,E223),tbl_Onsite[Job Number],0)))),IFERROR(IF(IF(INDEX(tbl_Production[Current RMS No],IFERROR(MATCH(E223&amp;"",tbl_Production[Job Number],0),MATCH(IFERROR(E223+0,E223),tbl_Production[Job Number],0)))="",INDEX(tbl_Production[Qwilr Quote],IFERROR(MATCH(E223&amp;"",tbl_Production[Job Number],0),MATCH(IFERROR(E223+0,E223),tbl_Production[Job Number],0))),INDEX(tbl_Production[Current RMS No],IFERROR(MATCH(E223&amp;"",tbl_Production[Job Number],0),MATCH(IFERROR(E223+0,E223),tbl_Production[Job Number],0))))="","",IF(INDEX(tbl_Production[Current RMS No],IFERROR(MATCH(E223&amp;"",tbl_Production[Job Number],0),MATCH(IFERROR(E223+0,E223),tbl_Production[Job Number],0)))="",INDEX(tbl_Production[Qwilr Quote],IFERROR(MATCH(E223&amp;"",tbl_Production[Job Number],0),MATCH(IFERROR(E223+0,E223),tbl_Production[Job Number],0))),INDEX(tbl_Production[Current RMS No],IFERROR(MATCH(E223&amp;"",tbl_Production[Job Number],0),MATCH(IFERROR(E223+0,E223),tbl_Production[Job Number],0))))),IFERROR(IF(INDEX(tbl_Consulting[Qwilr Quote],IFERROR(MATCH(E223&amp;"",tbl_Consulting[Job Number],0),MATCH(IFERROR(E223+0,E223),tbl_Consulting[Job Number],0)))="","",INDEX(tbl_Consulting[Qwilr Quote],IFERROR(MATCH(E223&amp;"",tbl_Consulting[Job Number],0),MATCH(IFERROR(E223+0,E223),tbl_Consulting[Job Number],0)))),""))))</f>
        <v/>
      </c>
      <c r="AD223" s="25">
        <f>IF(AC223="","",IF(AND(LEFT(AC223,4)&lt;&gt;"http",IF(H223="Production",set_RMSBase,set_QwilrBase)=""),"",HYPERLINK(IF(LEFT(AC223,4)="http",AC223,IF(H223="Production",set_RMSBase,set_QwilrBase)&amp;AC223),"Open")))</f>
        <v/>
      </c>
      <c r="AE223" s="27">
        <f>IF(E223="","",IFERROR(INDEX(tbl_Production[Total Expense],IFERROR(MATCH(E223&amp;"",tbl_Production[Job Number],0),MATCH(IFERROR(E223+0,E223),tbl_Production[Job Number],0))),IFERROR(INDEX(tbl_Consulting[Total Expense],IFERROR(MATCH(E223&amp;"",tbl_Consulting[Job Number],0),MATCH(IFERROR(E223+0,E223),tbl_Consulting[Job Number],0))),0)))</f>
        <v/>
      </c>
      <c r="AF223" s="27">
        <f>IF(E223="","",Z223-N(AE223))</f>
        <v/>
      </c>
      <c r="AG223" s="29">
        <f>IFERROR(AF223/Z223,"")</f>
        <v/>
      </c>
      <c r="AH223" s="25">
        <f>IF(E223="","",IFERROR(IF(INDEX(tbl_Onsite[Notes],IFERROR(MATCH(E223&amp;"",tbl_Onsite[Job Number],0),MATCH(IFERROR(E223+0,E223),tbl_Onsite[Job Number],0)))="","",INDEX(tbl_Onsite[Notes],IFERROR(MATCH(E223&amp;"",tbl_Onsite[Job Number],0),MATCH(IFERROR(E223+0,E223),tbl_Onsite[Job Number],0)))),IFERROR(IF(INDEX(tbl_Production[Notes],IFERROR(MATCH(E223&amp;"",tbl_Production[Job Number],0),MATCH(IFERROR(E223+0,E223),tbl_Production[Job Number],0)))="","",INDEX(tbl_Production[Notes],IFERROR(MATCH(E223&amp;"",tbl_Production[Job Number],0),MATCH(IFERROR(E223+0,E223),tbl_Production[Job Number],0)))),IFERROR(IF(INDEX(tbl_Consulting[Notes],IFERROR(MATCH(E223&amp;"",tbl_Consulting[Job Number],0),MATCH(IFERROR(E223+0,E223),tbl_Consulting[Job Number],0)))="","",INDEX(tbl_Consulting[Notes],IFERROR(MATCH(E223&amp;"",tbl_Consulting[Job Number],0),MATCH(IFERROR(E223+0,E223),tbl_Consulting[Job Number],0)))),""))))</f>
        <v/>
      </c>
    </row>
    <row r="224" ht="15" customHeight="1">
      <c r="A224" s="22" t="n"/>
      <c r="B224" s="23">
        <f>IF(A224="","",EOMONTH(A224,0))</f>
        <v/>
      </c>
      <c r="C224" s="24" t="n"/>
      <c r="D224" s="24" t="n"/>
      <c r="E224" s="24" t="n"/>
      <c r="F224" s="25">
        <f>IF(E224="","",IF(COUNTIF(lst_Jobs,E224&amp;"")&gt;0,"OK","CHECK"))</f>
        <v/>
      </c>
      <c r="G224" s="24" t="n"/>
      <c r="H224" s="24" t="n"/>
      <c r="I224" s="24" t="n"/>
      <c r="J224" s="24" t="n"/>
      <c r="K224" s="24" t="n"/>
      <c r="L224" s="26" t="n"/>
      <c r="M224" s="27">
        <f>IF(L224="","",IF(K224="GST 10%",ROUND(L224*set_GSTRate,2),0))</f>
        <v/>
      </c>
      <c r="N224" s="27">
        <f>IF(L224="","",L224+M224)</f>
        <v/>
      </c>
      <c r="O224" s="24" t="n"/>
      <c r="P224" s="24" t="n"/>
      <c r="Q224" s="24" t="n"/>
      <c r="R224" s="22" t="n"/>
      <c r="S224" s="22" t="n"/>
      <c r="T224" s="24" t="n"/>
      <c r="U224" s="24" t="n"/>
      <c r="V224" s="2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25">
        <f>IF(E224="","",IF(COUNTIF(tbl_Onsite[Job Number],E224&amp;"")&gt;0,"Onsite",IF(COUNTIF(tbl_Production[Job Number],E224&amp;"")&gt;0,"Production",IF(COUNTIF(tbl_Consulting[Job Number],E224&amp;"")&gt;0,"Consulting","not set up yet"))))</f>
        <v/>
      </c>
      <c r="X224" s="25">
        <f>IF(E224="","",IFERROR(INDEX(lst_JobName,MATCH(E224&amp;"",lst_Jobs,0)),""))</f>
        <v/>
      </c>
      <c r="Y224" s="28">
        <f>IF(E224="","",COUNTIFS(tbl_Finance[Job Number],E224&amp;"",tbl_Finance[Ex GST],"&lt;&gt;"))</f>
        <v/>
      </c>
      <c r="Z224" s="27">
        <f>IF(E224="","",SUMIFS(tbl_Finance[Ex GST],tbl_Finance[Job Number],E224&amp;""))</f>
        <v/>
      </c>
      <c r="AA224" s="27">
        <f>IF(E224="","",SUMIFS(tbl_Finance[Ex GST],tbl_Finance[Job Number],E224&amp;"",tbl_Finance[Xero Invoice No],"&lt;&gt;"))</f>
        <v/>
      </c>
      <c r="AB224" s="27">
        <f>IF(E224="","",Z224-AA224)</f>
        <v/>
      </c>
      <c r="AC224" s="25">
        <f>IF(E224="","",IFERROR(IF(INDEX(tbl_Onsite[Qwilr Quote],IFERROR(MATCH(E224&amp;"",tbl_Onsite[Job Number],0),MATCH(IFERROR(E224+0,E224),tbl_Onsite[Job Number],0)))="","",INDEX(tbl_Onsite[Qwilr Quote],IFERROR(MATCH(E224&amp;"",tbl_Onsite[Job Number],0),MATCH(IFERROR(E224+0,E224),tbl_Onsite[Job Number],0)))),IFERROR(IF(IF(INDEX(tbl_Production[Current RMS No],IFERROR(MATCH(E224&amp;"",tbl_Production[Job Number],0),MATCH(IFERROR(E224+0,E224),tbl_Production[Job Number],0)))="",INDEX(tbl_Production[Qwilr Quote],IFERROR(MATCH(E224&amp;"",tbl_Production[Job Number],0),MATCH(IFERROR(E224+0,E224),tbl_Production[Job Number],0))),INDEX(tbl_Production[Current RMS No],IFERROR(MATCH(E224&amp;"",tbl_Production[Job Number],0),MATCH(IFERROR(E224+0,E224),tbl_Production[Job Number],0))))="","",IF(INDEX(tbl_Production[Current RMS No],IFERROR(MATCH(E224&amp;"",tbl_Production[Job Number],0),MATCH(IFERROR(E224+0,E224),tbl_Production[Job Number],0)))="",INDEX(tbl_Production[Qwilr Quote],IFERROR(MATCH(E224&amp;"",tbl_Production[Job Number],0),MATCH(IFERROR(E224+0,E224),tbl_Production[Job Number],0))),INDEX(tbl_Production[Current RMS No],IFERROR(MATCH(E224&amp;"",tbl_Production[Job Number],0),MATCH(IFERROR(E224+0,E224),tbl_Production[Job Number],0))))),IFERROR(IF(INDEX(tbl_Consulting[Qwilr Quote],IFERROR(MATCH(E224&amp;"",tbl_Consulting[Job Number],0),MATCH(IFERROR(E224+0,E224),tbl_Consulting[Job Number],0)))="","",INDEX(tbl_Consulting[Qwilr Quote],IFERROR(MATCH(E224&amp;"",tbl_Consulting[Job Number],0),MATCH(IFERROR(E224+0,E224),tbl_Consulting[Job Number],0)))),""))))</f>
        <v/>
      </c>
      <c r="AD224" s="25">
        <f>IF(AC224="","",IF(AND(LEFT(AC224,4)&lt;&gt;"http",IF(H224="Production",set_RMSBase,set_QwilrBase)=""),"",HYPERLINK(IF(LEFT(AC224,4)="http",AC224,IF(H224="Production",set_RMSBase,set_QwilrBase)&amp;AC224),"Open")))</f>
        <v/>
      </c>
      <c r="AE224" s="27">
        <f>IF(E224="","",IFERROR(INDEX(tbl_Production[Total Expense],IFERROR(MATCH(E224&amp;"",tbl_Production[Job Number],0),MATCH(IFERROR(E224+0,E224),tbl_Production[Job Number],0))),IFERROR(INDEX(tbl_Consulting[Total Expense],IFERROR(MATCH(E224&amp;"",tbl_Consulting[Job Number],0),MATCH(IFERROR(E224+0,E224),tbl_Consulting[Job Number],0))),0)))</f>
        <v/>
      </c>
      <c r="AF224" s="27">
        <f>IF(E224="","",Z224-N(AE224))</f>
        <v/>
      </c>
      <c r="AG224" s="29">
        <f>IFERROR(AF224/Z224,"")</f>
        <v/>
      </c>
      <c r="AH224" s="25">
        <f>IF(E224="","",IFERROR(IF(INDEX(tbl_Onsite[Notes],IFERROR(MATCH(E224&amp;"",tbl_Onsite[Job Number],0),MATCH(IFERROR(E224+0,E224),tbl_Onsite[Job Number],0)))="","",INDEX(tbl_Onsite[Notes],IFERROR(MATCH(E224&amp;"",tbl_Onsite[Job Number],0),MATCH(IFERROR(E224+0,E224),tbl_Onsite[Job Number],0)))),IFERROR(IF(INDEX(tbl_Production[Notes],IFERROR(MATCH(E224&amp;"",tbl_Production[Job Number],0),MATCH(IFERROR(E224+0,E224),tbl_Production[Job Number],0)))="","",INDEX(tbl_Production[Notes],IFERROR(MATCH(E224&amp;"",tbl_Production[Job Number],0),MATCH(IFERROR(E224+0,E224),tbl_Production[Job Number],0)))),IFERROR(IF(INDEX(tbl_Consulting[Notes],IFERROR(MATCH(E224&amp;"",tbl_Consulting[Job Number],0),MATCH(IFERROR(E224+0,E224),tbl_Consulting[Job Number],0)))="","",INDEX(tbl_Consulting[Notes],IFERROR(MATCH(E224&amp;"",tbl_Consulting[Job Number],0),MATCH(IFERROR(E224+0,E224),tbl_Consulting[Job Number],0)))),""))))</f>
        <v/>
      </c>
    </row>
    <row r="225" ht="15" customHeight="1">
      <c r="A225" s="22" t="n"/>
      <c r="B225" s="23">
        <f>IF(A225="","",EOMONTH(A225,0))</f>
        <v/>
      </c>
      <c r="C225" s="24" t="n"/>
      <c r="D225" s="24" t="n"/>
      <c r="E225" s="24" t="n"/>
      <c r="F225" s="25">
        <f>IF(E225="","",IF(COUNTIF(lst_Jobs,E225&amp;"")&gt;0,"OK","CHECK"))</f>
        <v/>
      </c>
      <c r="G225" s="24" t="n"/>
      <c r="H225" s="24" t="n"/>
      <c r="I225" s="24" t="n"/>
      <c r="J225" s="24" t="n"/>
      <c r="K225" s="24" t="n"/>
      <c r="L225" s="26" t="n"/>
      <c r="M225" s="27">
        <f>IF(L225="","",IF(K225="GST 10%",ROUND(L225*set_GSTRate,2),0))</f>
        <v/>
      </c>
      <c r="N225" s="27">
        <f>IF(L225="","",L225+M225)</f>
        <v/>
      </c>
      <c r="O225" s="24" t="n"/>
      <c r="P225" s="24" t="n"/>
      <c r="Q225" s="24" t="n"/>
      <c r="R225" s="22" t="n"/>
      <c r="S225" s="22" t="n"/>
      <c r="T225" s="24" t="n"/>
      <c r="U225" s="24" t="n"/>
      <c r="V225" s="2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25">
        <f>IF(E225="","",IF(COUNTIF(tbl_Onsite[Job Number],E225&amp;"")&gt;0,"Onsite",IF(COUNTIF(tbl_Production[Job Number],E225&amp;"")&gt;0,"Production",IF(COUNTIF(tbl_Consulting[Job Number],E225&amp;"")&gt;0,"Consulting","not set up yet"))))</f>
        <v/>
      </c>
      <c r="X225" s="25">
        <f>IF(E225="","",IFERROR(INDEX(lst_JobName,MATCH(E225&amp;"",lst_Jobs,0)),""))</f>
        <v/>
      </c>
      <c r="Y225" s="28">
        <f>IF(E225="","",COUNTIFS(tbl_Finance[Job Number],E225&amp;"",tbl_Finance[Ex GST],"&lt;&gt;"))</f>
        <v/>
      </c>
      <c r="Z225" s="27">
        <f>IF(E225="","",SUMIFS(tbl_Finance[Ex GST],tbl_Finance[Job Number],E225&amp;""))</f>
        <v/>
      </c>
      <c r="AA225" s="27">
        <f>IF(E225="","",SUMIFS(tbl_Finance[Ex GST],tbl_Finance[Job Number],E225&amp;"",tbl_Finance[Xero Invoice No],"&lt;&gt;"))</f>
        <v/>
      </c>
      <c r="AB225" s="27">
        <f>IF(E225="","",Z225-AA225)</f>
        <v/>
      </c>
      <c r="AC225" s="25">
        <f>IF(E225="","",IFERROR(IF(INDEX(tbl_Onsite[Qwilr Quote],IFERROR(MATCH(E225&amp;"",tbl_Onsite[Job Number],0),MATCH(IFERROR(E225+0,E225),tbl_Onsite[Job Number],0)))="","",INDEX(tbl_Onsite[Qwilr Quote],IFERROR(MATCH(E225&amp;"",tbl_Onsite[Job Number],0),MATCH(IFERROR(E225+0,E225),tbl_Onsite[Job Number],0)))),IFERROR(IF(IF(INDEX(tbl_Production[Current RMS No],IFERROR(MATCH(E225&amp;"",tbl_Production[Job Number],0),MATCH(IFERROR(E225+0,E225),tbl_Production[Job Number],0)))="",INDEX(tbl_Production[Qwilr Quote],IFERROR(MATCH(E225&amp;"",tbl_Production[Job Number],0),MATCH(IFERROR(E225+0,E225),tbl_Production[Job Number],0))),INDEX(tbl_Production[Current RMS No],IFERROR(MATCH(E225&amp;"",tbl_Production[Job Number],0),MATCH(IFERROR(E225+0,E225),tbl_Production[Job Number],0))))="","",IF(INDEX(tbl_Production[Current RMS No],IFERROR(MATCH(E225&amp;"",tbl_Production[Job Number],0),MATCH(IFERROR(E225+0,E225),tbl_Production[Job Number],0)))="",INDEX(tbl_Production[Qwilr Quote],IFERROR(MATCH(E225&amp;"",tbl_Production[Job Number],0),MATCH(IFERROR(E225+0,E225),tbl_Production[Job Number],0))),INDEX(tbl_Production[Current RMS No],IFERROR(MATCH(E225&amp;"",tbl_Production[Job Number],0),MATCH(IFERROR(E225+0,E225),tbl_Production[Job Number],0))))),IFERROR(IF(INDEX(tbl_Consulting[Qwilr Quote],IFERROR(MATCH(E225&amp;"",tbl_Consulting[Job Number],0),MATCH(IFERROR(E225+0,E225),tbl_Consulting[Job Number],0)))="","",INDEX(tbl_Consulting[Qwilr Quote],IFERROR(MATCH(E225&amp;"",tbl_Consulting[Job Number],0),MATCH(IFERROR(E225+0,E225),tbl_Consulting[Job Number],0)))),""))))</f>
        <v/>
      </c>
      <c r="AD225" s="25">
        <f>IF(AC225="","",IF(AND(LEFT(AC225,4)&lt;&gt;"http",IF(H225="Production",set_RMSBase,set_QwilrBase)=""),"",HYPERLINK(IF(LEFT(AC225,4)="http",AC225,IF(H225="Production",set_RMSBase,set_QwilrBase)&amp;AC225),"Open")))</f>
        <v/>
      </c>
      <c r="AE225" s="27">
        <f>IF(E225="","",IFERROR(INDEX(tbl_Production[Total Expense],IFERROR(MATCH(E225&amp;"",tbl_Production[Job Number],0),MATCH(IFERROR(E225+0,E225),tbl_Production[Job Number],0))),IFERROR(INDEX(tbl_Consulting[Total Expense],IFERROR(MATCH(E225&amp;"",tbl_Consulting[Job Number],0),MATCH(IFERROR(E225+0,E225),tbl_Consulting[Job Number],0))),0)))</f>
        <v/>
      </c>
      <c r="AF225" s="27">
        <f>IF(E225="","",Z225-N(AE225))</f>
        <v/>
      </c>
      <c r="AG225" s="29">
        <f>IFERROR(AF225/Z225,"")</f>
        <v/>
      </c>
      <c r="AH225" s="25">
        <f>IF(E225="","",IFERROR(IF(INDEX(tbl_Onsite[Notes],IFERROR(MATCH(E225&amp;"",tbl_Onsite[Job Number],0),MATCH(IFERROR(E225+0,E225),tbl_Onsite[Job Number],0)))="","",INDEX(tbl_Onsite[Notes],IFERROR(MATCH(E225&amp;"",tbl_Onsite[Job Number],0),MATCH(IFERROR(E225+0,E225),tbl_Onsite[Job Number],0)))),IFERROR(IF(INDEX(tbl_Production[Notes],IFERROR(MATCH(E225&amp;"",tbl_Production[Job Number],0),MATCH(IFERROR(E225+0,E225),tbl_Production[Job Number],0)))="","",INDEX(tbl_Production[Notes],IFERROR(MATCH(E225&amp;"",tbl_Production[Job Number],0),MATCH(IFERROR(E225+0,E225),tbl_Production[Job Number],0)))),IFERROR(IF(INDEX(tbl_Consulting[Notes],IFERROR(MATCH(E225&amp;"",tbl_Consulting[Job Number],0),MATCH(IFERROR(E225+0,E225),tbl_Consulting[Job Number],0)))="","",INDEX(tbl_Consulting[Notes],IFERROR(MATCH(E225&amp;"",tbl_Consulting[Job Number],0),MATCH(IFERROR(E225+0,E225),tbl_Consulting[Job Number],0)))),""))))</f>
        <v/>
      </c>
    </row>
    <row r="226" ht="15" customHeight="1">
      <c r="A226" s="22" t="n"/>
      <c r="B226" s="23">
        <f>IF(A226="","",EOMONTH(A226,0))</f>
        <v/>
      </c>
      <c r="C226" s="24" t="n"/>
      <c r="D226" s="24" t="n"/>
      <c r="E226" s="24" t="n"/>
      <c r="F226" s="25">
        <f>IF(E226="","",IF(COUNTIF(lst_Jobs,E226&amp;"")&gt;0,"OK","CHECK"))</f>
        <v/>
      </c>
      <c r="G226" s="24" t="n"/>
      <c r="H226" s="24" t="n"/>
      <c r="I226" s="24" t="n"/>
      <c r="J226" s="24" t="n"/>
      <c r="K226" s="24" t="n"/>
      <c r="L226" s="26" t="n"/>
      <c r="M226" s="27">
        <f>IF(L226="","",IF(K226="GST 10%",ROUND(L226*set_GSTRate,2),0))</f>
        <v/>
      </c>
      <c r="N226" s="27">
        <f>IF(L226="","",L226+M226)</f>
        <v/>
      </c>
      <c r="O226" s="24" t="n"/>
      <c r="P226" s="24" t="n"/>
      <c r="Q226" s="24" t="n"/>
      <c r="R226" s="22" t="n"/>
      <c r="S226" s="22" t="n"/>
      <c r="T226" s="24" t="n"/>
      <c r="U226" s="24" t="n"/>
      <c r="V226" s="2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25">
        <f>IF(E226="","",IF(COUNTIF(tbl_Onsite[Job Number],E226&amp;"")&gt;0,"Onsite",IF(COUNTIF(tbl_Production[Job Number],E226&amp;"")&gt;0,"Production",IF(COUNTIF(tbl_Consulting[Job Number],E226&amp;"")&gt;0,"Consulting","not set up yet"))))</f>
        <v/>
      </c>
      <c r="X226" s="25">
        <f>IF(E226="","",IFERROR(INDEX(lst_JobName,MATCH(E226&amp;"",lst_Jobs,0)),""))</f>
        <v/>
      </c>
      <c r="Y226" s="28">
        <f>IF(E226="","",COUNTIFS(tbl_Finance[Job Number],E226&amp;"",tbl_Finance[Ex GST],"&lt;&gt;"))</f>
        <v/>
      </c>
      <c r="Z226" s="27">
        <f>IF(E226="","",SUMIFS(tbl_Finance[Ex GST],tbl_Finance[Job Number],E226&amp;""))</f>
        <v/>
      </c>
      <c r="AA226" s="27">
        <f>IF(E226="","",SUMIFS(tbl_Finance[Ex GST],tbl_Finance[Job Number],E226&amp;"",tbl_Finance[Xero Invoice No],"&lt;&gt;"))</f>
        <v/>
      </c>
      <c r="AB226" s="27">
        <f>IF(E226="","",Z226-AA226)</f>
        <v/>
      </c>
      <c r="AC226" s="25">
        <f>IF(E226="","",IFERROR(IF(INDEX(tbl_Onsite[Qwilr Quote],IFERROR(MATCH(E226&amp;"",tbl_Onsite[Job Number],0),MATCH(IFERROR(E226+0,E226),tbl_Onsite[Job Number],0)))="","",INDEX(tbl_Onsite[Qwilr Quote],IFERROR(MATCH(E226&amp;"",tbl_Onsite[Job Number],0),MATCH(IFERROR(E226+0,E226),tbl_Onsite[Job Number],0)))),IFERROR(IF(IF(INDEX(tbl_Production[Current RMS No],IFERROR(MATCH(E226&amp;"",tbl_Production[Job Number],0),MATCH(IFERROR(E226+0,E226),tbl_Production[Job Number],0)))="",INDEX(tbl_Production[Qwilr Quote],IFERROR(MATCH(E226&amp;"",tbl_Production[Job Number],0),MATCH(IFERROR(E226+0,E226),tbl_Production[Job Number],0))),INDEX(tbl_Production[Current RMS No],IFERROR(MATCH(E226&amp;"",tbl_Production[Job Number],0),MATCH(IFERROR(E226+0,E226),tbl_Production[Job Number],0))))="","",IF(INDEX(tbl_Production[Current RMS No],IFERROR(MATCH(E226&amp;"",tbl_Production[Job Number],0),MATCH(IFERROR(E226+0,E226),tbl_Production[Job Number],0)))="",INDEX(tbl_Production[Qwilr Quote],IFERROR(MATCH(E226&amp;"",tbl_Production[Job Number],0),MATCH(IFERROR(E226+0,E226),tbl_Production[Job Number],0))),INDEX(tbl_Production[Current RMS No],IFERROR(MATCH(E226&amp;"",tbl_Production[Job Number],0),MATCH(IFERROR(E226+0,E226),tbl_Production[Job Number],0))))),IFERROR(IF(INDEX(tbl_Consulting[Qwilr Quote],IFERROR(MATCH(E226&amp;"",tbl_Consulting[Job Number],0),MATCH(IFERROR(E226+0,E226),tbl_Consulting[Job Number],0)))="","",INDEX(tbl_Consulting[Qwilr Quote],IFERROR(MATCH(E226&amp;"",tbl_Consulting[Job Number],0),MATCH(IFERROR(E226+0,E226),tbl_Consulting[Job Number],0)))),""))))</f>
        <v/>
      </c>
      <c r="AD226" s="25">
        <f>IF(AC226="","",IF(AND(LEFT(AC226,4)&lt;&gt;"http",IF(H226="Production",set_RMSBase,set_QwilrBase)=""),"",HYPERLINK(IF(LEFT(AC226,4)="http",AC226,IF(H226="Production",set_RMSBase,set_QwilrBase)&amp;AC226),"Open")))</f>
        <v/>
      </c>
      <c r="AE226" s="27">
        <f>IF(E226="","",IFERROR(INDEX(tbl_Production[Total Expense],IFERROR(MATCH(E226&amp;"",tbl_Production[Job Number],0),MATCH(IFERROR(E226+0,E226),tbl_Production[Job Number],0))),IFERROR(INDEX(tbl_Consulting[Total Expense],IFERROR(MATCH(E226&amp;"",tbl_Consulting[Job Number],0),MATCH(IFERROR(E226+0,E226),tbl_Consulting[Job Number],0))),0)))</f>
        <v/>
      </c>
      <c r="AF226" s="27">
        <f>IF(E226="","",Z226-N(AE226))</f>
        <v/>
      </c>
      <c r="AG226" s="29">
        <f>IFERROR(AF226/Z226,"")</f>
        <v/>
      </c>
      <c r="AH226" s="25">
        <f>IF(E226="","",IFERROR(IF(INDEX(tbl_Onsite[Notes],IFERROR(MATCH(E226&amp;"",tbl_Onsite[Job Number],0),MATCH(IFERROR(E226+0,E226),tbl_Onsite[Job Number],0)))="","",INDEX(tbl_Onsite[Notes],IFERROR(MATCH(E226&amp;"",tbl_Onsite[Job Number],0),MATCH(IFERROR(E226+0,E226),tbl_Onsite[Job Number],0)))),IFERROR(IF(INDEX(tbl_Production[Notes],IFERROR(MATCH(E226&amp;"",tbl_Production[Job Number],0),MATCH(IFERROR(E226+0,E226),tbl_Production[Job Number],0)))="","",INDEX(tbl_Production[Notes],IFERROR(MATCH(E226&amp;"",tbl_Production[Job Number],0),MATCH(IFERROR(E226+0,E226),tbl_Production[Job Number],0)))),IFERROR(IF(INDEX(tbl_Consulting[Notes],IFERROR(MATCH(E226&amp;"",tbl_Consulting[Job Number],0),MATCH(IFERROR(E226+0,E226),tbl_Consulting[Job Number],0)))="","",INDEX(tbl_Consulting[Notes],IFERROR(MATCH(E226&amp;"",tbl_Consulting[Job Number],0),MATCH(IFERROR(E226+0,E226),tbl_Consulting[Job Number],0)))),""))))</f>
        <v/>
      </c>
    </row>
    <row r="227" ht="15" customHeight="1">
      <c r="A227" s="22" t="n"/>
      <c r="B227" s="23">
        <f>IF(A227="","",EOMONTH(A227,0))</f>
        <v/>
      </c>
      <c r="C227" s="24" t="n"/>
      <c r="D227" s="24" t="n"/>
      <c r="E227" s="24" t="n"/>
      <c r="F227" s="25">
        <f>IF(E227="","",IF(COUNTIF(lst_Jobs,E227&amp;"")&gt;0,"OK","CHECK"))</f>
        <v/>
      </c>
      <c r="G227" s="24" t="n"/>
      <c r="H227" s="24" t="n"/>
      <c r="I227" s="24" t="n"/>
      <c r="J227" s="24" t="n"/>
      <c r="K227" s="24" t="n"/>
      <c r="L227" s="26" t="n"/>
      <c r="M227" s="27">
        <f>IF(L227="","",IF(K227="GST 10%",ROUND(L227*set_GSTRate,2),0))</f>
        <v/>
      </c>
      <c r="N227" s="27">
        <f>IF(L227="","",L227+M227)</f>
        <v/>
      </c>
      <c r="O227" s="24" t="n"/>
      <c r="P227" s="24" t="n"/>
      <c r="Q227" s="24" t="n"/>
      <c r="R227" s="22" t="n"/>
      <c r="S227" s="22" t="n"/>
      <c r="T227" s="24" t="n"/>
      <c r="U227" s="24" t="n"/>
      <c r="V227" s="2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25">
        <f>IF(E227="","",IF(COUNTIF(tbl_Onsite[Job Number],E227&amp;"")&gt;0,"Onsite",IF(COUNTIF(tbl_Production[Job Number],E227&amp;"")&gt;0,"Production",IF(COUNTIF(tbl_Consulting[Job Number],E227&amp;"")&gt;0,"Consulting","not set up yet"))))</f>
        <v/>
      </c>
      <c r="X227" s="25">
        <f>IF(E227="","",IFERROR(INDEX(lst_JobName,MATCH(E227&amp;"",lst_Jobs,0)),""))</f>
        <v/>
      </c>
      <c r="Y227" s="28">
        <f>IF(E227="","",COUNTIFS(tbl_Finance[Job Number],E227&amp;"",tbl_Finance[Ex GST],"&lt;&gt;"))</f>
        <v/>
      </c>
      <c r="Z227" s="27">
        <f>IF(E227="","",SUMIFS(tbl_Finance[Ex GST],tbl_Finance[Job Number],E227&amp;""))</f>
        <v/>
      </c>
      <c r="AA227" s="27">
        <f>IF(E227="","",SUMIFS(tbl_Finance[Ex GST],tbl_Finance[Job Number],E227&amp;"",tbl_Finance[Xero Invoice No],"&lt;&gt;"))</f>
        <v/>
      </c>
      <c r="AB227" s="27">
        <f>IF(E227="","",Z227-AA227)</f>
        <v/>
      </c>
      <c r="AC227" s="25">
        <f>IF(E227="","",IFERROR(IF(INDEX(tbl_Onsite[Qwilr Quote],IFERROR(MATCH(E227&amp;"",tbl_Onsite[Job Number],0),MATCH(IFERROR(E227+0,E227),tbl_Onsite[Job Number],0)))="","",INDEX(tbl_Onsite[Qwilr Quote],IFERROR(MATCH(E227&amp;"",tbl_Onsite[Job Number],0),MATCH(IFERROR(E227+0,E227),tbl_Onsite[Job Number],0)))),IFERROR(IF(IF(INDEX(tbl_Production[Current RMS No],IFERROR(MATCH(E227&amp;"",tbl_Production[Job Number],0),MATCH(IFERROR(E227+0,E227),tbl_Production[Job Number],0)))="",INDEX(tbl_Production[Qwilr Quote],IFERROR(MATCH(E227&amp;"",tbl_Production[Job Number],0),MATCH(IFERROR(E227+0,E227),tbl_Production[Job Number],0))),INDEX(tbl_Production[Current RMS No],IFERROR(MATCH(E227&amp;"",tbl_Production[Job Number],0),MATCH(IFERROR(E227+0,E227),tbl_Production[Job Number],0))))="","",IF(INDEX(tbl_Production[Current RMS No],IFERROR(MATCH(E227&amp;"",tbl_Production[Job Number],0),MATCH(IFERROR(E227+0,E227),tbl_Production[Job Number],0)))="",INDEX(tbl_Production[Qwilr Quote],IFERROR(MATCH(E227&amp;"",tbl_Production[Job Number],0),MATCH(IFERROR(E227+0,E227),tbl_Production[Job Number],0))),INDEX(tbl_Production[Current RMS No],IFERROR(MATCH(E227&amp;"",tbl_Production[Job Number],0),MATCH(IFERROR(E227+0,E227),tbl_Production[Job Number],0))))),IFERROR(IF(INDEX(tbl_Consulting[Qwilr Quote],IFERROR(MATCH(E227&amp;"",tbl_Consulting[Job Number],0),MATCH(IFERROR(E227+0,E227),tbl_Consulting[Job Number],0)))="","",INDEX(tbl_Consulting[Qwilr Quote],IFERROR(MATCH(E227&amp;"",tbl_Consulting[Job Number],0),MATCH(IFERROR(E227+0,E227),tbl_Consulting[Job Number],0)))),""))))</f>
        <v/>
      </c>
      <c r="AD227" s="25">
        <f>IF(AC227="","",IF(AND(LEFT(AC227,4)&lt;&gt;"http",IF(H227="Production",set_RMSBase,set_QwilrBase)=""),"",HYPERLINK(IF(LEFT(AC227,4)="http",AC227,IF(H227="Production",set_RMSBase,set_QwilrBase)&amp;AC227),"Open")))</f>
        <v/>
      </c>
      <c r="AE227" s="27">
        <f>IF(E227="","",IFERROR(INDEX(tbl_Production[Total Expense],IFERROR(MATCH(E227&amp;"",tbl_Production[Job Number],0),MATCH(IFERROR(E227+0,E227),tbl_Production[Job Number],0))),IFERROR(INDEX(tbl_Consulting[Total Expense],IFERROR(MATCH(E227&amp;"",tbl_Consulting[Job Number],0),MATCH(IFERROR(E227+0,E227),tbl_Consulting[Job Number],0))),0)))</f>
        <v/>
      </c>
      <c r="AF227" s="27">
        <f>IF(E227="","",Z227-N(AE227))</f>
        <v/>
      </c>
      <c r="AG227" s="29">
        <f>IFERROR(AF227/Z227,"")</f>
        <v/>
      </c>
      <c r="AH227" s="25">
        <f>IF(E227="","",IFERROR(IF(INDEX(tbl_Onsite[Notes],IFERROR(MATCH(E227&amp;"",tbl_Onsite[Job Number],0),MATCH(IFERROR(E227+0,E227),tbl_Onsite[Job Number],0)))="","",INDEX(tbl_Onsite[Notes],IFERROR(MATCH(E227&amp;"",tbl_Onsite[Job Number],0),MATCH(IFERROR(E227+0,E227),tbl_Onsite[Job Number],0)))),IFERROR(IF(INDEX(tbl_Production[Notes],IFERROR(MATCH(E227&amp;"",tbl_Production[Job Number],0),MATCH(IFERROR(E227+0,E227),tbl_Production[Job Number],0)))="","",INDEX(tbl_Production[Notes],IFERROR(MATCH(E227&amp;"",tbl_Production[Job Number],0),MATCH(IFERROR(E227+0,E227),tbl_Production[Job Number],0)))),IFERROR(IF(INDEX(tbl_Consulting[Notes],IFERROR(MATCH(E227&amp;"",tbl_Consulting[Job Number],0),MATCH(IFERROR(E227+0,E227),tbl_Consulting[Job Number],0)))="","",INDEX(tbl_Consulting[Notes],IFERROR(MATCH(E227&amp;"",tbl_Consulting[Job Number],0),MATCH(IFERROR(E227+0,E227),tbl_Consulting[Job Number],0)))),""))))</f>
        <v/>
      </c>
    </row>
    <row r="228" ht="15" customHeight="1">
      <c r="A228" s="22" t="n"/>
      <c r="B228" s="23">
        <f>IF(A228="","",EOMONTH(A228,0))</f>
        <v/>
      </c>
      <c r="C228" s="24" t="n"/>
      <c r="D228" s="24" t="n"/>
      <c r="E228" s="24" t="n"/>
      <c r="F228" s="25">
        <f>IF(E228="","",IF(COUNTIF(lst_Jobs,E228&amp;"")&gt;0,"OK","CHECK"))</f>
        <v/>
      </c>
      <c r="G228" s="24" t="n"/>
      <c r="H228" s="24" t="n"/>
      <c r="I228" s="24" t="n"/>
      <c r="J228" s="24" t="n"/>
      <c r="K228" s="24" t="n"/>
      <c r="L228" s="26" t="n"/>
      <c r="M228" s="27">
        <f>IF(L228="","",IF(K228="GST 10%",ROUND(L228*set_GSTRate,2),0))</f>
        <v/>
      </c>
      <c r="N228" s="27">
        <f>IF(L228="","",L228+M228)</f>
        <v/>
      </c>
      <c r="O228" s="24" t="n"/>
      <c r="P228" s="24" t="n"/>
      <c r="Q228" s="24" t="n"/>
      <c r="R228" s="22" t="n"/>
      <c r="S228" s="22" t="n"/>
      <c r="T228" s="24" t="n"/>
      <c r="U228" s="24" t="n"/>
      <c r="V228" s="2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25">
        <f>IF(E228="","",IF(COUNTIF(tbl_Onsite[Job Number],E228&amp;"")&gt;0,"Onsite",IF(COUNTIF(tbl_Production[Job Number],E228&amp;"")&gt;0,"Production",IF(COUNTIF(tbl_Consulting[Job Number],E228&amp;"")&gt;0,"Consulting","not set up yet"))))</f>
        <v/>
      </c>
      <c r="X228" s="25">
        <f>IF(E228="","",IFERROR(INDEX(lst_JobName,MATCH(E228&amp;"",lst_Jobs,0)),""))</f>
        <v/>
      </c>
      <c r="Y228" s="28">
        <f>IF(E228="","",COUNTIFS(tbl_Finance[Job Number],E228&amp;"",tbl_Finance[Ex GST],"&lt;&gt;"))</f>
        <v/>
      </c>
      <c r="Z228" s="27">
        <f>IF(E228="","",SUMIFS(tbl_Finance[Ex GST],tbl_Finance[Job Number],E228&amp;""))</f>
        <v/>
      </c>
      <c r="AA228" s="27">
        <f>IF(E228="","",SUMIFS(tbl_Finance[Ex GST],tbl_Finance[Job Number],E228&amp;"",tbl_Finance[Xero Invoice No],"&lt;&gt;"))</f>
        <v/>
      </c>
      <c r="AB228" s="27">
        <f>IF(E228="","",Z228-AA228)</f>
        <v/>
      </c>
      <c r="AC228" s="25">
        <f>IF(E228="","",IFERROR(IF(INDEX(tbl_Onsite[Qwilr Quote],IFERROR(MATCH(E228&amp;"",tbl_Onsite[Job Number],0),MATCH(IFERROR(E228+0,E228),tbl_Onsite[Job Number],0)))="","",INDEX(tbl_Onsite[Qwilr Quote],IFERROR(MATCH(E228&amp;"",tbl_Onsite[Job Number],0),MATCH(IFERROR(E228+0,E228),tbl_Onsite[Job Number],0)))),IFERROR(IF(IF(INDEX(tbl_Production[Current RMS No],IFERROR(MATCH(E228&amp;"",tbl_Production[Job Number],0),MATCH(IFERROR(E228+0,E228),tbl_Production[Job Number],0)))="",INDEX(tbl_Production[Qwilr Quote],IFERROR(MATCH(E228&amp;"",tbl_Production[Job Number],0),MATCH(IFERROR(E228+0,E228),tbl_Production[Job Number],0))),INDEX(tbl_Production[Current RMS No],IFERROR(MATCH(E228&amp;"",tbl_Production[Job Number],0),MATCH(IFERROR(E228+0,E228),tbl_Production[Job Number],0))))="","",IF(INDEX(tbl_Production[Current RMS No],IFERROR(MATCH(E228&amp;"",tbl_Production[Job Number],0),MATCH(IFERROR(E228+0,E228),tbl_Production[Job Number],0)))="",INDEX(tbl_Production[Qwilr Quote],IFERROR(MATCH(E228&amp;"",tbl_Production[Job Number],0),MATCH(IFERROR(E228+0,E228),tbl_Production[Job Number],0))),INDEX(tbl_Production[Current RMS No],IFERROR(MATCH(E228&amp;"",tbl_Production[Job Number],0),MATCH(IFERROR(E228+0,E228),tbl_Production[Job Number],0))))),IFERROR(IF(INDEX(tbl_Consulting[Qwilr Quote],IFERROR(MATCH(E228&amp;"",tbl_Consulting[Job Number],0),MATCH(IFERROR(E228+0,E228),tbl_Consulting[Job Number],0)))="","",INDEX(tbl_Consulting[Qwilr Quote],IFERROR(MATCH(E228&amp;"",tbl_Consulting[Job Number],0),MATCH(IFERROR(E228+0,E228),tbl_Consulting[Job Number],0)))),""))))</f>
        <v/>
      </c>
      <c r="AD228" s="25">
        <f>IF(AC228="","",IF(AND(LEFT(AC228,4)&lt;&gt;"http",IF(H228="Production",set_RMSBase,set_QwilrBase)=""),"",HYPERLINK(IF(LEFT(AC228,4)="http",AC228,IF(H228="Production",set_RMSBase,set_QwilrBase)&amp;AC228),"Open")))</f>
        <v/>
      </c>
      <c r="AE228" s="27">
        <f>IF(E228="","",IFERROR(INDEX(tbl_Production[Total Expense],IFERROR(MATCH(E228&amp;"",tbl_Production[Job Number],0),MATCH(IFERROR(E228+0,E228),tbl_Production[Job Number],0))),IFERROR(INDEX(tbl_Consulting[Total Expense],IFERROR(MATCH(E228&amp;"",tbl_Consulting[Job Number],0),MATCH(IFERROR(E228+0,E228),tbl_Consulting[Job Number],0))),0)))</f>
        <v/>
      </c>
      <c r="AF228" s="27">
        <f>IF(E228="","",Z228-N(AE228))</f>
        <v/>
      </c>
      <c r="AG228" s="29">
        <f>IFERROR(AF228/Z228,"")</f>
        <v/>
      </c>
      <c r="AH228" s="25">
        <f>IF(E228="","",IFERROR(IF(INDEX(tbl_Onsite[Notes],IFERROR(MATCH(E228&amp;"",tbl_Onsite[Job Number],0),MATCH(IFERROR(E228+0,E228),tbl_Onsite[Job Number],0)))="","",INDEX(tbl_Onsite[Notes],IFERROR(MATCH(E228&amp;"",tbl_Onsite[Job Number],0),MATCH(IFERROR(E228+0,E228),tbl_Onsite[Job Number],0)))),IFERROR(IF(INDEX(tbl_Production[Notes],IFERROR(MATCH(E228&amp;"",tbl_Production[Job Number],0),MATCH(IFERROR(E228+0,E228),tbl_Production[Job Number],0)))="","",INDEX(tbl_Production[Notes],IFERROR(MATCH(E228&amp;"",tbl_Production[Job Number],0),MATCH(IFERROR(E228+0,E228),tbl_Production[Job Number],0)))),IFERROR(IF(INDEX(tbl_Consulting[Notes],IFERROR(MATCH(E228&amp;"",tbl_Consulting[Job Number],0),MATCH(IFERROR(E228+0,E228),tbl_Consulting[Job Number],0)))="","",INDEX(tbl_Consulting[Notes],IFERROR(MATCH(E228&amp;"",tbl_Consulting[Job Number],0),MATCH(IFERROR(E228+0,E228),tbl_Consulting[Job Number],0)))),""))))</f>
        <v/>
      </c>
    </row>
    <row r="229" ht="15" customHeight="1">
      <c r="A229" s="22" t="n"/>
      <c r="B229" s="23">
        <f>IF(A229="","",EOMONTH(A229,0))</f>
        <v/>
      </c>
      <c r="C229" s="24" t="n"/>
      <c r="D229" s="24" t="n"/>
      <c r="E229" s="24" t="n"/>
      <c r="F229" s="25">
        <f>IF(E229="","",IF(COUNTIF(lst_Jobs,E229&amp;"")&gt;0,"OK","CHECK"))</f>
        <v/>
      </c>
      <c r="G229" s="24" t="n"/>
      <c r="H229" s="24" t="n"/>
      <c r="I229" s="24" t="n"/>
      <c r="J229" s="24" t="n"/>
      <c r="K229" s="24" t="n"/>
      <c r="L229" s="26" t="n"/>
      <c r="M229" s="27">
        <f>IF(L229="","",IF(K229="GST 10%",ROUND(L229*set_GSTRate,2),0))</f>
        <v/>
      </c>
      <c r="N229" s="27">
        <f>IF(L229="","",L229+M229)</f>
        <v/>
      </c>
      <c r="O229" s="24" t="n"/>
      <c r="P229" s="24" t="n"/>
      <c r="Q229" s="24" t="n"/>
      <c r="R229" s="22" t="n"/>
      <c r="S229" s="22" t="n"/>
      <c r="T229" s="24" t="n"/>
      <c r="U229" s="24" t="n"/>
      <c r="V229" s="2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25">
        <f>IF(E229="","",IF(COUNTIF(tbl_Onsite[Job Number],E229&amp;"")&gt;0,"Onsite",IF(COUNTIF(tbl_Production[Job Number],E229&amp;"")&gt;0,"Production",IF(COUNTIF(tbl_Consulting[Job Number],E229&amp;"")&gt;0,"Consulting","not set up yet"))))</f>
        <v/>
      </c>
      <c r="X229" s="25">
        <f>IF(E229="","",IFERROR(INDEX(lst_JobName,MATCH(E229&amp;"",lst_Jobs,0)),""))</f>
        <v/>
      </c>
      <c r="Y229" s="28">
        <f>IF(E229="","",COUNTIFS(tbl_Finance[Job Number],E229&amp;"",tbl_Finance[Ex GST],"&lt;&gt;"))</f>
        <v/>
      </c>
      <c r="Z229" s="27">
        <f>IF(E229="","",SUMIFS(tbl_Finance[Ex GST],tbl_Finance[Job Number],E229&amp;""))</f>
        <v/>
      </c>
      <c r="AA229" s="27">
        <f>IF(E229="","",SUMIFS(tbl_Finance[Ex GST],tbl_Finance[Job Number],E229&amp;"",tbl_Finance[Xero Invoice No],"&lt;&gt;"))</f>
        <v/>
      </c>
      <c r="AB229" s="27">
        <f>IF(E229="","",Z229-AA229)</f>
        <v/>
      </c>
      <c r="AC229" s="25">
        <f>IF(E229="","",IFERROR(IF(INDEX(tbl_Onsite[Qwilr Quote],IFERROR(MATCH(E229&amp;"",tbl_Onsite[Job Number],0),MATCH(IFERROR(E229+0,E229),tbl_Onsite[Job Number],0)))="","",INDEX(tbl_Onsite[Qwilr Quote],IFERROR(MATCH(E229&amp;"",tbl_Onsite[Job Number],0),MATCH(IFERROR(E229+0,E229),tbl_Onsite[Job Number],0)))),IFERROR(IF(IF(INDEX(tbl_Production[Current RMS No],IFERROR(MATCH(E229&amp;"",tbl_Production[Job Number],0),MATCH(IFERROR(E229+0,E229),tbl_Production[Job Number],0)))="",INDEX(tbl_Production[Qwilr Quote],IFERROR(MATCH(E229&amp;"",tbl_Production[Job Number],0),MATCH(IFERROR(E229+0,E229),tbl_Production[Job Number],0))),INDEX(tbl_Production[Current RMS No],IFERROR(MATCH(E229&amp;"",tbl_Production[Job Number],0),MATCH(IFERROR(E229+0,E229),tbl_Production[Job Number],0))))="","",IF(INDEX(tbl_Production[Current RMS No],IFERROR(MATCH(E229&amp;"",tbl_Production[Job Number],0),MATCH(IFERROR(E229+0,E229),tbl_Production[Job Number],0)))="",INDEX(tbl_Production[Qwilr Quote],IFERROR(MATCH(E229&amp;"",tbl_Production[Job Number],0),MATCH(IFERROR(E229+0,E229),tbl_Production[Job Number],0))),INDEX(tbl_Production[Current RMS No],IFERROR(MATCH(E229&amp;"",tbl_Production[Job Number],0),MATCH(IFERROR(E229+0,E229),tbl_Production[Job Number],0))))),IFERROR(IF(INDEX(tbl_Consulting[Qwilr Quote],IFERROR(MATCH(E229&amp;"",tbl_Consulting[Job Number],0),MATCH(IFERROR(E229+0,E229),tbl_Consulting[Job Number],0)))="","",INDEX(tbl_Consulting[Qwilr Quote],IFERROR(MATCH(E229&amp;"",tbl_Consulting[Job Number],0),MATCH(IFERROR(E229+0,E229),tbl_Consulting[Job Number],0)))),""))))</f>
        <v/>
      </c>
      <c r="AD229" s="25">
        <f>IF(AC229="","",IF(AND(LEFT(AC229,4)&lt;&gt;"http",IF(H229="Production",set_RMSBase,set_QwilrBase)=""),"",HYPERLINK(IF(LEFT(AC229,4)="http",AC229,IF(H229="Production",set_RMSBase,set_QwilrBase)&amp;AC229),"Open")))</f>
        <v/>
      </c>
      <c r="AE229" s="27">
        <f>IF(E229="","",IFERROR(INDEX(tbl_Production[Total Expense],IFERROR(MATCH(E229&amp;"",tbl_Production[Job Number],0),MATCH(IFERROR(E229+0,E229),tbl_Production[Job Number],0))),IFERROR(INDEX(tbl_Consulting[Total Expense],IFERROR(MATCH(E229&amp;"",tbl_Consulting[Job Number],0),MATCH(IFERROR(E229+0,E229),tbl_Consulting[Job Number],0))),0)))</f>
        <v/>
      </c>
      <c r="AF229" s="27">
        <f>IF(E229="","",Z229-N(AE229))</f>
        <v/>
      </c>
      <c r="AG229" s="29">
        <f>IFERROR(AF229/Z229,"")</f>
        <v/>
      </c>
      <c r="AH229" s="25">
        <f>IF(E229="","",IFERROR(IF(INDEX(tbl_Onsite[Notes],IFERROR(MATCH(E229&amp;"",tbl_Onsite[Job Number],0),MATCH(IFERROR(E229+0,E229),tbl_Onsite[Job Number],0)))="","",INDEX(tbl_Onsite[Notes],IFERROR(MATCH(E229&amp;"",tbl_Onsite[Job Number],0),MATCH(IFERROR(E229+0,E229),tbl_Onsite[Job Number],0)))),IFERROR(IF(INDEX(tbl_Production[Notes],IFERROR(MATCH(E229&amp;"",tbl_Production[Job Number],0),MATCH(IFERROR(E229+0,E229),tbl_Production[Job Number],0)))="","",INDEX(tbl_Production[Notes],IFERROR(MATCH(E229&amp;"",tbl_Production[Job Number],0),MATCH(IFERROR(E229+0,E229),tbl_Production[Job Number],0)))),IFERROR(IF(INDEX(tbl_Consulting[Notes],IFERROR(MATCH(E229&amp;"",tbl_Consulting[Job Number],0),MATCH(IFERROR(E229+0,E229),tbl_Consulting[Job Number],0)))="","",INDEX(tbl_Consulting[Notes],IFERROR(MATCH(E229&amp;"",tbl_Consulting[Job Number],0),MATCH(IFERROR(E229+0,E229),tbl_Consulting[Job Number],0)))),""))))</f>
        <v/>
      </c>
    </row>
    <row r="230" ht="15" customHeight="1">
      <c r="A230" s="22" t="n"/>
      <c r="B230" s="23">
        <f>IF(A230="","",EOMONTH(A230,0))</f>
        <v/>
      </c>
      <c r="C230" s="24" t="n"/>
      <c r="D230" s="24" t="n"/>
      <c r="E230" s="24" t="n"/>
      <c r="F230" s="25">
        <f>IF(E230="","",IF(COUNTIF(lst_Jobs,E230&amp;"")&gt;0,"OK","CHECK"))</f>
        <v/>
      </c>
      <c r="G230" s="24" t="n"/>
      <c r="H230" s="24" t="n"/>
      <c r="I230" s="24" t="n"/>
      <c r="J230" s="24" t="n"/>
      <c r="K230" s="24" t="n"/>
      <c r="L230" s="26" t="n"/>
      <c r="M230" s="27">
        <f>IF(L230="","",IF(K230="GST 10%",ROUND(L230*set_GSTRate,2),0))</f>
        <v/>
      </c>
      <c r="N230" s="27">
        <f>IF(L230="","",L230+M230)</f>
        <v/>
      </c>
      <c r="O230" s="24" t="n"/>
      <c r="P230" s="24" t="n"/>
      <c r="Q230" s="24" t="n"/>
      <c r="R230" s="22" t="n"/>
      <c r="S230" s="22" t="n"/>
      <c r="T230" s="24" t="n"/>
      <c r="U230" s="24" t="n"/>
      <c r="V230" s="2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25">
        <f>IF(E230="","",IF(COUNTIF(tbl_Onsite[Job Number],E230&amp;"")&gt;0,"Onsite",IF(COUNTIF(tbl_Production[Job Number],E230&amp;"")&gt;0,"Production",IF(COUNTIF(tbl_Consulting[Job Number],E230&amp;"")&gt;0,"Consulting","not set up yet"))))</f>
        <v/>
      </c>
      <c r="X230" s="25">
        <f>IF(E230="","",IFERROR(INDEX(lst_JobName,MATCH(E230&amp;"",lst_Jobs,0)),""))</f>
        <v/>
      </c>
      <c r="Y230" s="28">
        <f>IF(E230="","",COUNTIFS(tbl_Finance[Job Number],E230&amp;"",tbl_Finance[Ex GST],"&lt;&gt;"))</f>
        <v/>
      </c>
      <c r="Z230" s="27">
        <f>IF(E230="","",SUMIFS(tbl_Finance[Ex GST],tbl_Finance[Job Number],E230&amp;""))</f>
        <v/>
      </c>
      <c r="AA230" s="27">
        <f>IF(E230="","",SUMIFS(tbl_Finance[Ex GST],tbl_Finance[Job Number],E230&amp;"",tbl_Finance[Xero Invoice No],"&lt;&gt;"))</f>
        <v/>
      </c>
      <c r="AB230" s="27">
        <f>IF(E230="","",Z230-AA230)</f>
        <v/>
      </c>
      <c r="AC230" s="25">
        <f>IF(E230="","",IFERROR(IF(INDEX(tbl_Onsite[Qwilr Quote],IFERROR(MATCH(E230&amp;"",tbl_Onsite[Job Number],0),MATCH(IFERROR(E230+0,E230),tbl_Onsite[Job Number],0)))="","",INDEX(tbl_Onsite[Qwilr Quote],IFERROR(MATCH(E230&amp;"",tbl_Onsite[Job Number],0),MATCH(IFERROR(E230+0,E230),tbl_Onsite[Job Number],0)))),IFERROR(IF(IF(INDEX(tbl_Production[Current RMS No],IFERROR(MATCH(E230&amp;"",tbl_Production[Job Number],0),MATCH(IFERROR(E230+0,E230),tbl_Production[Job Number],0)))="",INDEX(tbl_Production[Qwilr Quote],IFERROR(MATCH(E230&amp;"",tbl_Production[Job Number],0),MATCH(IFERROR(E230+0,E230),tbl_Production[Job Number],0))),INDEX(tbl_Production[Current RMS No],IFERROR(MATCH(E230&amp;"",tbl_Production[Job Number],0),MATCH(IFERROR(E230+0,E230),tbl_Production[Job Number],0))))="","",IF(INDEX(tbl_Production[Current RMS No],IFERROR(MATCH(E230&amp;"",tbl_Production[Job Number],0),MATCH(IFERROR(E230+0,E230),tbl_Production[Job Number],0)))="",INDEX(tbl_Production[Qwilr Quote],IFERROR(MATCH(E230&amp;"",tbl_Production[Job Number],0),MATCH(IFERROR(E230+0,E230),tbl_Production[Job Number],0))),INDEX(tbl_Production[Current RMS No],IFERROR(MATCH(E230&amp;"",tbl_Production[Job Number],0),MATCH(IFERROR(E230+0,E230),tbl_Production[Job Number],0))))),IFERROR(IF(INDEX(tbl_Consulting[Qwilr Quote],IFERROR(MATCH(E230&amp;"",tbl_Consulting[Job Number],0),MATCH(IFERROR(E230+0,E230),tbl_Consulting[Job Number],0)))="","",INDEX(tbl_Consulting[Qwilr Quote],IFERROR(MATCH(E230&amp;"",tbl_Consulting[Job Number],0),MATCH(IFERROR(E230+0,E230),tbl_Consulting[Job Number],0)))),""))))</f>
        <v/>
      </c>
      <c r="AD230" s="25">
        <f>IF(AC230="","",IF(AND(LEFT(AC230,4)&lt;&gt;"http",IF(H230="Production",set_RMSBase,set_QwilrBase)=""),"",HYPERLINK(IF(LEFT(AC230,4)="http",AC230,IF(H230="Production",set_RMSBase,set_QwilrBase)&amp;AC230),"Open")))</f>
        <v/>
      </c>
      <c r="AE230" s="27">
        <f>IF(E230="","",IFERROR(INDEX(tbl_Production[Total Expense],IFERROR(MATCH(E230&amp;"",tbl_Production[Job Number],0),MATCH(IFERROR(E230+0,E230),tbl_Production[Job Number],0))),IFERROR(INDEX(tbl_Consulting[Total Expense],IFERROR(MATCH(E230&amp;"",tbl_Consulting[Job Number],0),MATCH(IFERROR(E230+0,E230),tbl_Consulting[Job Number],0))),0)))</f>
        <v/>
      </c>
      <c r="AF230" s="27">
        <f>IF(E230="","",Z230-N(AE230))</f>
        <v/>
      </c>
      <c r="AG230" s="29">
        <f>IFERROR(AF230/Z230,"")</f>
        <v/>
      </c>
      <c r="AH230" s="25">
        <f>IF(E230="","",IFERROR(IF(INDEX(tbl_Onsite[Notes],IFERROR(MATCH(E230&amp;"",tbl_Onsite[Job Number],0),MATCH(IFERROR(E230+0,E230),tbl_Onsite[Job Number],0)))="","",INDEX(tbl_Onsite[Notes],IFERROR(MATCH(E230&amp;"",tbl_Onsite[Job Number],0),MATCH(IFERROR(E230+0,E230),tbl_Onsite[Job Number],0)))),IFERROR(IF(INDEX(tbl_Production[Notes],IFERROR(MATCH(E230&amp;"",tbl_Production[Job Number],0),MATCH(IFERROR(E230+0,E230),tbl_Production[Job Number],0)))="","",INDEX(tbl_Production[Notes],IFERROR(MATCH(E230&amp;"",tbl_Production[Job Number],0),MATCH(IFERROR(E230+0,E230),tbl_Production[Job Number],0)))),IFERROR(IF(INDEX(tbl_Consulting[Notes],IFERROR(MATCH(E230&amp;"",tbl_Consulting[Job Number],0),MATCH(IFERROR(E230+0,E230),tbl_Consulting[Job Number],0)))="","",INDEX(tbl_Consulting[Notes],IFERROR(MATCH(E230&amp;"",tbl_Consulting[Job Number],0),MATCH(IFERROR(E230+0,E230),tbl_Consulting[Job Number],0)))),""))))</f>
        <v/>
      </c>
    </row>
    <row r="231" ht="15" customHeight="1">
      <c r="A231" s="22" t="n"/>
      <c r="B231" s="23">
        <f>IF(A231="","",EOMONTH(A231,0))</f>
        <v/>
      </c>
      <c r="C231" s="24" t="n"/>
      <c r="D231" s="24" t="n"/>
      <c r="E231" s="24" t="n"/>
      <c r="F231" s="25">
        <f>IF(E231="","",IF(COUNTIF(lst_Jobs,E231&amp;"")&gt;0,"OK","CHECK"))</f>
        <v/>
      </c>
      <c r="G231" s="24" t="n"/>
      <c r="H231" s="24" t="n"/>
      <c r="I231" s="24" t="n"/>
      <c r="J231" s="24" t="n"/>
      <c r="K231" s="24" t="n"/>
      <c r="L231" s="26" t="n"/>
      <c r="M231" s="27">
        <f>IF(L231="","",IF(K231="GST 10%",ROUND(L231*set_GSTRate,2),0))</f>
        <v/>
      </c>
      <c r="N231" s="27">
        <f>IF(L231="","",L231+M231)</f>
        <v/>
      </c>
      <c r="O231" s="24" t="n"/>
      <c r="P231" s="24" t="n"/>
      <c r="Q231" s="24" t="n"/>
      <c r="R231" s="22" t="n"/>
      <c r="S231" s="22" t="n"/>
      <c r="T231" s="24" t="n"/>
      <c r="U231" s="24" t="n"/>
      <c r="V231" s="2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25">
        <f>IF(E231="","",IF(COUNTIF(tbl_Onsite[Job Number],E231&amp;"")&gt;0,"Onsite",IF(COUNTIF(tbl_Production[Job Number],E231&amp;"")&gt;0,"Production",IF(COUNTIF(tbl_Consulting[Job Number],E231&amp;"")&gt;0,"Consulting","not set up yet"))))</f>
        <v/>
      </c>
      <c r="X231" s="25">
        <f>IF(E231="","",IFERROR(INDEX(lst_JobName,MATCH(E231&amp;"",lst_Jobs,0)),""))</f>
        <v/>
      </c>
      <c r="Y231" s="28">
        <f>IF(E231="","",COUNTIFS(tbl_Finance[Job Number],E231&amp;"",tbl_Finance[Ex GST],"&lt;&gt;"))</f>
        <v/>
      </c>
      <c r="Z231" s="27">
        <f>IF(E231="","",SUMIFS(tbl_Finance[Ex GST],tbl_Finance[Job Number],E231&amp;""))</f>
        <v/>
      </c>
      <c r="AA231" s="27">
        <f>IF(E231="","",SUMIFS(tbl_Finance[Ex GST],tbl_Finance[Job Number],E231&amp;"",tbl_Finance[Xero Invoice No],"&lt;&gt;"))</f>
        <v/>
      </c>
      <c r="AB231" s="27">
        <f>IF(E231="","",Z231-AA231)</f>
        <v/>
      </c>
      <c r="AC231" s="25">
        <f>IF(E231="","",IFERROR(IF(INDEX(tbl_Onsite[Qwilr Quote],IFERROR(MATCH(E231&amp;"",tbl_Onsite[Job Number],0),MATCH(IFERROR(E231+0,E231),tbl_Onsite[Job Number],0)))="","",INDEX(tbl_Onsite[Qwilr Quote],IFERROR(MATCH(E231&amp;"",tbl_Onsite[Job Number],0),MATCH(IFERROR(E231+0,E231),tbl_Onsite[Job Number],0)))),IFERROR(IF(IF(INDEX(tbl_Production[Current RMS No],IFERROR(MATCH(E231&amp;"",tbl_Production[Job Number],0),MATCH(IFERROR(E231+0,E231),tbl_Production[Job Number],0)))="",INDEX(tbl_Production[Qwilr Quote],IFERROR(MATCH(E231&amp;"",tbl_Production[Job Number],0),MATCH(IFERROR(E231+0,E231),tbl_Production[Job Number],0))),INDEX(tbl_Production[Current RMS No],IFERROR(MATCH(E231&amp;"",tbl_Production[Job Number],0),MATCH(IFERROR(E231+0,E231),tbl_Production[Job Number],0))))="","",IF(INDEX(tbl_Production[Current RMS No],IFERROR(MATCH(E231&amp;"",tbl_Production[Job Number],0),MATCH(IFERROR(E231+0,E231),tbl_Production[Job Number],0)))="",INDEX(tbl_Production[Qwilr Quote],IFERROR(MATCH(E231&amp;"",tbl_Production[Job Number],0),MATCH(IFERROR(E231+0,E231),tbl_Production[Job Number],0))),INDEX(tbl_Production[Current RMS No],IFERROR(MATCH(E231&amp;"",tbl_Production[Job Number],0),MATCH(IFERROR(E231+0,E231),tbl_Production[Job Number],0))))),IFERROR(IF(INDEX(tbl_Consulting[Qwilr Quote],IFERROR(MATCH(E231&amp;"",tbl_Consulting[Job Number],0),MATCH(IFERROR(E231+0,E231),tbl_Consulting[Job Number],0)))="","",INDEX(tbl_Consulting[Qwilr Quote],IFERROR(MATCH(E231&amp;"",tbl_Consulting[Job Number],0),MATCH(IFERROR(E231+0,E231),tbl_Consulting[Job Number],0)))),""))))</f>
        <v/>
      </c>
      <c r="AD231" s="25">
        <f>IF(AC231="","",IF(AND(LEFT(AC231,4)&lt;&gt;"http",IF(H231="Production",set_RMSBase,set_QwilrBase)=""),"",HYPERLINK(IF(LEFT(AC231,4)="http",AC231,IF(H231="Production",set_RMSBase,set_QwilrBase)&amp;AC231),"Open")))</f>
        <v/>
      </c>
      <c r="AE231" s="27">
        <f>IF(E231="","",IFERROR(INDEX(tbl_Production[Total Expense],IFERROR(MATCH(E231&amp;"",tbl_Production[Job Number],0),MATCH(IFERROR(E231+0,E231),tbl_Production[Job Number],0))),IFERROR(INDEX(tbl_Consulting[Total Expense],IFERROR(MATCH(E231&amp;"",tbl_Consulting[Job Number],0),MATCH(IFERROR(E231+0,E231),tbl_Consulting[Job Number],0))),0)))</f>
        <v/>
      </c>
      <c r="AF231" s="27">
        <f>IF(E231="","",Z231-N(AE231))</f>
        <v/>
      </c>
      <c r="AG231" s="29">
        <f>IFERROR(AF231/Z231,"")</f>
        <v/>
      </c>
      <c r="AH231" s="25">
        <f>IF(E231="","",IFERROR(IF(INDEX(tbl_Onsite[Notes],IFERROR(MATCH(E231&amp;"",tbl_Onsite[Job Number],0),MATCH(IFERROR(E231+0,E231),tbl_Onsite[Job Number],0)))="","",INDEX(tbl_Onsite[Notes],IFERROR(MATCH(E231&amp;"",tbl_Onsite[Job Number],0),MATCH(IFERROR(E231+0,E231),tbl_Onsite[Job Number],0)))),IFERROR(IF(INDEX(tbl_Production[Notes],IFERROR(MATCH(E231&amp;"",tbl_Production[Job Number],0),MATCH(IFERROR(E231+0,E231),tbl_Production[Job Number],0)))="","",INDEX(tbl_Production[Notes],IFERROR(MATCH(E231&amp;"",tbl_Production[Job Number],0),MATCH(IFERROR(E231+0,E231),tbl_Production[Job Number],0)))),IFERROR(IF(INDEX(tbl_Consulting[Notes],IFERROR(MATCH(E231&amp;"",tbl_Consulting[Job Number],0),MATCH(IFERROR(E231+0,E231),tbl_Consulting[Job Number],0)))="","",INDEX(tbl_Consulting[Notes],IFERROR(MATCH(E231&amp;"",tbl_Consulting[Job Number],0),MATCH(IFERROR(E231+0,E231),tbl_Consulting[Job Number],0)))),""))))</f>
        <v/>
      </c>
    </row>
    <row r="232" ht="15" customHeight="1">
      <c r="A232" s="22" t="n"/>
      <c r="B232" s="23">
        <f>IF(A232="","",EOMONTH(A232,0))</f>
        <v/>
      </c>
      <c r="C232" s="24" t="n"/>
      <c r="D232" s="24" t="n"/>
      <c r="E232" s="24" t="n"/>
      <c r="F232" s="25">
        <f>IF(E232="","",IF(COUNTIF(lst_Jobs,E232&amp;"")&gt;0,"OK","CHECK"))</f>
        <v/>
      </c>
      <c r="G232" s="24" t="n"/>
      <c r="H232" s="24" t="n"/>
      <c r="I232" s="24" t="n"/>
      <c r="J232" s="24" t="n"/>
      <c r="K232" s="24" t="n"/>
      <c r="L232" s="26" t="n"/>
      <c r="M232" s="27">
        <f>IF(L232="","",IF(K232="GST 10%",ROUND(L232*set_GSTRate,2),0))</f>
        <v/>
      </c>
      <c r="N232" s="27">
        <f>IF(L232="","",L232+M232)</f>
        <v/>
      </c>
      <c r="O232" s="24" t="n"/>
      <c r="P232" s="24" t="n"/>
      <c r="Q232" s="24" t="n"/>
      <c r="R232" s="22" t="n"/>
      <c r="S232" s="22" t="n"/>
      <c r="T232" s="24" t="n"/>
      <c r="U232" s="24" t="n"/>
      <c r="V232" s="2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25">
        <f>IF(E232="","",IF(COUNTIF(tbl_Onsite[Job Number],E232&amp;"")&gt;0,"Onsite",IF(COUNTIF(tbl_Production[Job Number],E232&amp;"")&gt;0,"Production",IF(COUNTIF(tbl_Consulting[Job Number],E232&amp;"")&gt;0,"Consulting","not set up yet"))))</f>
        <v/>
      </c>
      <c r="X232" s="25">
        <f>IF(E232="","",IFERROR(INDEX(lst_JobName,MATCH(E232&amp;"",lst_Jobs,0)),""))</f>
        <v/>
      </c>
      <c r="Y232" s="28">
        <f>IF(E232="","",COUNTIFS(tbl_Finance[Job Number],E232&amp;"",tbl_Finance[Ex GST],"&lt;&gt;"))</f>
        <v/>
      </c>
      <c r="Z232" s="27">
        <f>IF(E232="","",SUMIFS(tbl_Finance[Ex GST],tbl_Finance[Job Number],E232&amp;""))</f>
        <v/>
      </c>
      <c r="AA232" s="27">
        <f>IF(E232="","",SUMIFS(tbl_Finance[Ex GST],tbl_Finance[Job Number],E232&amp;"",tbl_Finance[Xero Invoice No],"&lt;&gt;"))</f>
        <v/>
      </c>
      <c r="AB232" s="27">
        <f>IF(E232="","",Z232-AA232)</f>
        <v/>
      </c>
      <c r="AC232" s="25">
        <f>IF(E232="","",IFERROR(IF(INDEX(tbl_Onsite[Qwilr Quote],IFERROR(MATCH(E232&amp;"",tbl_Onsite[Job Number],0),MATCH(IFERROR(E232+0,E232),tbl_Onsite[Job Number],0)))="","",INDEX(tbl_Onsite[Qwilr Quote],IFERROR(MATCH(E232&amp;"",tbl_Onsite[Job Number],0),MATCH(IFERROR(E232+0,E232),tbl_Onsite[Job Number],0)))),IFERROR(IF(IF(INDEX(tbl_Production[Current RMS No],IFERROR(MATCH(E232&amp;"",tbl_Production[Job Number],0),MATCH(IFERROR(E232+0,E232),tbl_Production[Job Number],0)))="",INDEX(tbl_Production[Qwilr Quote],IFERROR(MATCH(E232&amp;"",tbl_Production[Job Number],0),MATCH(IFERROR(E232+0,E232),tbl_Production[Job Number],0))),INDEX(tbl_Production[Current RMS No],IFERROR(MATCH(E232&amp;"",tbl_Production[Job Number],0),MATCH(IFERROR(E232+0,E232),tbl_Production[Job Number],0))))="","",IF(INDEX(tbl_Production[Current RMS No],IFERROR(MATCH(E232&amp;"",tbl_Production[Job Number],0),MATCH(IFERROR(E232+0,E232),tbl_Production[Job Number],0)))="",INDEX(tbl_Production[Qwilr Quote],IFERROR(MATCH(E232&amp;"",tbl_Production[Job Number],0),MATCH(IFERROR(E232+0,E232),tbl_Production[Job Number],0))),INDEX(tbl_Production[Current RMS No],IFERROR(MATCH(E232&amp;"",tbl_Production[Job Number],0),MATCH(IFERROR(E232+0,E232),tbl_Production[Job Number],0))))),IFERROR(IF(INDEX(tbl_Consulting[Qwilr Quote],IFERROR(MATCH(E232&amp;"",tbl_Consulting[Job Number],0),MATCH(IFERROR(E232+0,E232),tbl_Consulting[Job Number],0)))="","",INDEX(tbl_Consulting[Qwilr Quote],IFERROR(MATCH(E232&amp;"",tbl_Consulting[Job Number],0),MATCH(IFERROR(E232+0,E232),tbl_Consulting[Job Number],0)))),""))))</f>
        <v/>
      </c>
      <c r="AD232" s="25">
        <f>IF(AC232="","",IF(AND(LEFT(AC232,4)&lt;&gt;"http",IF(H232="Production",set_RMSBase,set_QwilrBase)=""),"",HYPERLINK(IF(LEFT(AC232,4)="http",AC232,IF(H232="Production",set_RMSBase,set_QwilrBase)&amp;AC232),"Open")))</f>
        <v/>
      </c>
      <c r="AE232" s="27">
        <f>IF(E232="","",IFERROR(INDEX(tbl_Production[Total Expense],IFERROR(MATCH(E232&amp;"",tbl_Production[Job Number],0),MATCH(IFERROR(E232+0,E232),tbl_Production[Job Number],0))),IFERROR(INDEX(tbl_Consulting[Total Expense],IFERROR(MATCH(E232&amp;"",tbl_Consulting[Job Number],0),MATCH(IFERROR(E232+0,E232),tbl_Consulting[Job Number],0))),0)))</f>
        <v/>
      </c>
      <c r="AF232" s="27">
        <f>IF(E232="","",Z232-N(AE232))</f>
        <v/>
      </c>
      <c r="AG232" s="29">
        <f>IFERROR(AF232/Z232,"")</f>
        <v/>
      </c>
      <c r="AH232" s="25">
        <f>IF(E232="","",IFERROR(IF(INDEX(tbl_Onsite[Notes],IFERROR(MATCH(E232&amp;"",tbl_Onsite[Job Number],0),MATCH(IFERROR(E232+0,E232),tbl_Onsite[Job Number],0)))="","",INDEX(tbl_Onsite[Notes],IFERROR(MATCH(E232&amp;"",tbl_Onsite[Job Number],0),MATCH(IFERROR(E232+0,E232),tbl_Onsite[Job Number],0)))),IFERROR(IF(INDEX(tbl_Production[Notes],IFERROR(MATCH(E232&amp;"",tbl_Production[Job Number],0),MATCH(IFERROR(E232+0,E232),tbl_Production[Job Number],0)))="","",INDEX(tbl_Production[Notes],IFERROR(MATCH(E232&amp;"",tbl_Production[Job Number],0),MATCH(IFERROR(E232+0,E232),tbl_Production[Job Number],0)))),IFERROR(IF(INDEX(tbl_Consulting[Notes],IFERROR(MATCH(E232&amp;"",tbl_Consulting[Job Number],0),MATCH(IFERROR(E232+0,E232),tbl_Consulting[Job Number],0)))="","",INDEX(tbl_Consulting[Notes],IFERROR(MATCH(E232&amp;"",tbl_Consulting[Job Number],0),MATCH(IFERROR(E232+0,E232),tbl_Consulting[Job Number],0)))),""))))</f>
        <v/>
      </c>
    </row>
    <row r="233" ht="15" customHeight="1">
      <c r="A233" s="22" t="n"/>
      <c r="B233" s="23">
        <f>IF(A233="","",EOMONTH(A233,0))</f>
        <v/>
      </c>
      <c r="C233" s="24" t="n"/>
      <c r="D233" s="24" t="n"/>
      <c r="E233" s="24" t="n"/>
      <c r="F233" s="25">
        <f>IF(E233="","",IF(COUNTIF(lst_Jobs,E233&amp;"")&gt;0,"OK","CHECK"))</f>
        <v/>
      </c>
      <c r="G233" s="24" t="n"/>
      <c r="H233" s="24" t="n"/>
      <c r="I233" s="24" t="n"/>
      <c r="J233" s="24" t="n"/>
      <c r="K233" s="24" t="n"/>
      <c r="L233" s="26" t="n"/>
      <c r="M233" s="27">
        <f>IF(L233="","",IF(K233="GST 10%",ROUND(L233*set_GSTRate,2),0))</f>
        <v/>
      </c>
      <c r="N233" s="27">
        <f>IF(L233="","",L233+M233)</f>
        <v/>
      </c>
      <c r="O233" s="24" t="n"/>
      <c r="P233" s="24" t="n"/>
      <c r="Q233" s="24" t="n"/>
      <c r="R233" s="22" t="n"/>
      <c r="S233" s="22" t="n"/>
      <c r="T233" s="24" t="n"/>
      <c r="U233" s="24" t="n"/>
      <c r="V233" s="2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25">
        <f>IF(E233="","",IF(COUNTIF(tbl_Onsite[Job Number],E233&amp;"")&gt;0,"Onsite",IF(COUNTIF(tbl_Production[Job Number],E233&amp;"")&gt;0,"Production",IF(COUNTIF(tbl_Consulting[Job Number],E233&amp;"")&gt;0,"Consulting","not set up yet"))))</f>
        <v/>
      </c>
      <c r="X233" s="25">
        <f>IF(E233="","",IFERROR(INDEX(lst_JobName,MATCH(E233&amp;"",lst_Jobs,0)),""))</f>
        <v/>
      </c>
      <c r="Y233" s="28">
        <f>IF(E233="","",COUNTIFS(tbl_Finance[Job Number],E233&amp;"",tbl_Finance[Ex GST],"&lt;&gt;"))</f>
        <v/>
      </c>
      <c r="Z233" s="27">
        <f>IF(E233="","",SUMIFS(tbl_Finance[Ex GST],tbl_Finance[Job Number],E233&amp;""))</f>
        <v/>
      </c>
      <c r="AA233" s="27">
        <f>IF(E233="","",SUMIFS(tbl_Finance[Ex GST],tbl_Finance[Job Number],E233&amp;"",tbl_Finance[Xero Invoice No],"&lt;&gt;"))</f>
        <v/>
      </c>
      <c r="AB233" s="27">
        <f>IF(E233="","",Z233-AA233)</f>
        <v/>
      </c>
      <c r="AC233" s="25">
        <f>IF(E233="","",IFERROR(IF(INDEX(tbl_Onsite[Qwilr Quote],IFERROR(MATCH(E233&amp;"",tbl_Onsite[Job Number],0),MATCH(IFERROR(E233+0,E233),tbl_Onsite[Job Number],0)))="","",INDEX(tbl_Onsite[Qwilr Quote],IFERROR(MATCH(E233&amp;"",tbl_Onsite[Job Number],0),MATCH(IFERROR(E233+0,E233),tbl_Onsite[Job Number],0)))),IFERROR(IF(IF(INDEX(tbl_Production[Current RMS No],IFERROR(MATCH(E233&amp;"",tbl_Production[Job Number],0),MATCH(IFERROR(E233+0,E233),tbl_Production[Job Number],0)))="",INDEX(tbl_Production[Qwilr Quote],IFERROR(MATCH(E233&amp;"",tbl_Production[Job Number],0),MATCH(IFERROR(E233+0,E233),tbl_Production[Job Number],0))),INDEX(tbl_Production[Current RMS No],IFERROR(MATCH(E233&amp;"",tbl_Production[Job Number],0),MATCH(IFERROR(E233+0,E233),tbl_Production[Job Number],0))))="","",IF(INDEX(tbl_Production[Current RMS No],IFERROR(MATCH(E233&amp;"",tbl_Production[Job Number],0),MATCH(IFERROR(E233+0,E233),tbl_Production[Job Number],0)))="",INDEX(tbl_Production[Qwilr Quote],IFERROR(MATCH(E233&amp;"",tbl_Production[Job Number],0),MATCH(IFERROR(E233+0,E233),tbl_Production[Job Number],0))),INDEX(tbl_Production[Current RMS No],IFERROR(MATCH(E233&amp;"",tbl_Production[Job Number],0),MATCH(IFERROR(E233+0,E233),tbl_Production[Job Number],0))))),IFERROR(IF(INDEX(tbl_Consulting[Qwilr Quote],IFERROR(MATCH(E233&amp;"",tbl_Consulting[Job Number],0),MATCH(IFERROR(E233+0,E233),tbl_Consulting[Job Number],0)))="","",INDEX(tbl_Consulting[Qwilr Quote],IFERROR(MATCH(E233&amp;"",tbl_Consulting[Job Number],0),MATCH(IFERROR(E233+0,E233),tbl_Consulting[Job Number],0)))),""))))</f>
        <v/>
      </c>
      <c r="AD233" s="25">
        <f>IF(AC233="","",IF(AND(LEFT(AC233,4)&lt;&gt;"http",IF(H233="Production",set_RMSBase,set_QwilrBase)=""),"",HYPERLINK(IF(LEFT(AC233,4)="http",AC233,IF(H233="Production",set_RMSBase,set_QwilrBase)&amp;AC233),"Open")))</f>
        <v/>
      </c>
      <c r="AE233" s="27">
        <f>IF(E233="","",IFERROR(INDEX(tbl_Production[Total Expense],IFERROR(MATCH(E233&amp;"",tbl_Production[Job Number],0),MATCH(IFERROR(E233+0,E233),tbl_Production[Job Number],0))),IFERROR(INDEX(tbl_Consulting[Total Expense],IFERROR(MATCH(E233&amp;"",tbl_Consulting[Job Number],0),MATCH(IFERROR(E233+0,E233),tbl_Consulting[Job Number],0))),0)))</f>
        <v/>
      </c>
      <c r="AF233" s="27">
        <f>IF(E233="","",Z233-N(AE233))</f>
        <v/>
      </c>
      <c r="AG233" s="29">
        <f>IFERROR(AF233/Z233,"")</f>
        <v/>
      </c>
      <c r="AH233" s="25">
        <f>IF(E233="","",IFERROR(IF(INDEX(tbl_Onsite[Notes],IFERROR(MATCH(E233&amp;"",tbl_Onsite[Job Number],0),MATCH(IFERROR(E233+0,E233),tbl_Onsite[Job Number],0)))="","",INDEX(tbl_Onsite[Notes],IFERROR(MATCH(E233&amp;"",tbl_Onsite[Job Number],0),MATCH(IFERROR(E233+0,E233),tbl_Onsite[Job Number],0)))),IFERROR(IF(INDEX(tbl_Production[Notes],IFERROR(MATCH(E233&amp;"",tbl_Production[Job Number],0),MATCH(IFERROR(E233+0,E233),tbl_Production[Job Number],0)))="","",INDEX(tbl_Production[Notes],IFERROR(MATCH(E233&amp;"",tbl_Production[Job Number],0),MATCH(IFERROR(E233+0,E233),tbl_Production[Job Number],0)))),IFERROR(IF(INDEX(tbl_Consulting[Notes],IFERROR(MATCH(E233&amp;"",tbl_Consulting[Job Number],0),MATCH(IFERROR(E233+0,E233),tbl_Consulting[Job Number],0)))="","",INDEX(tbl_Consulting[Notes],IFERROR(MATCH(E233&amp;"",tbl_Consulting[Job Number],0),MATCH(IFERROR(E233+0,E233),tbl_Consulting[Job Number],0)))),""))))</f>
        <v/>
      </c>
    </row>
    <row r="234" ht="15" customHeight="1">
      <c r="A234" s="22" t="n"/>
      <c r="B234" s="23">
        <f>IF(A234="","",EOMONTH(A234,0))</f>
        <v/>
      </c>
      <c r="C234" s="24" t="n"/>
      <c r="D234" s="24" t="n"/>
      <c r="E234" s="24" t="n"/>
      <c r="F234" s="25">
        <f>IF(E234="","",IF(COUNTIF(lst_Jobs,E234&amp;"")&gt;0,"OK","CHECK"))</f>
        <v/>
      </c>
      <c r="G234" s="24" t="n"/>
      <c r="H234" s="24" t="n"/>
      <c r="I234" s="24" t="n"/>
      <c r="J234" s="24" t="n"/>
      <c r="K234" s="24" t="n"/>
      <c r="L234" s="26" t="n"/>
      <c r="M234" s="27">
        <f>IF(L234="","",IF(K234="GST 10%",ROUND(L234*set_GSTRate,2),0))</f>
        <v/>
      </c>
      <c r="N234" s="27">
        <f>IF(L234="","",L234+M234)</f>
        <v/>
      </c>
      <c r="O234" s="24" t="n"/>
      <c r="P234" s="24" t="n"/>
      <c r="Q234" s="24" t="n"/>
      <c r="R234" s="22" t="n"/>
      <c r="S234" s="22" t="n"/>
      <c r="T234" s="24" t="n"/>
      <c r="U234" s="24" t="n"/>
      <c r="V234" s="2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25">
        <f>IF(E234="","",IF(COUNTIF(tbl_Onsite[Job Number],E234&amp;"")&gt;0,"Onsite",IF(COUNTIF(tbl_Production[Job Number],E234&amp;"")&gt;0,"Production",IF(COUNTIF(tbl_Consulting[Job Number],E234&amp;"")&gt;0,"Consulting","not set up yet"))))</f>
        <v/>
      </c>
      <c r="X234" s="25">
        <f>IF(E234="","",IFERROR(INDEX(lst_JobName,MATCH(E234&amp;"",lst_Jobs,0)),""))</f>
        <v/>
      </c>
      <c r="Y234" s="28">
        <f>IF(E234="","",COUNTIFS(tbl_Finance[Job Number],E234&amp;"",tbl_Finance[Ex GST],"&lt;&gt;"))</f>
        <v/>
      </c>
      <c r="Z234" s="27">
        <f>IF(E234="","",SUMIFS(tbl_Finance[Ex GST],tbl_Finance[Job Number],E234&amp;""))</f>
        <v/>
      </c>
      <c r="AA234" s="27">
        <f>IF(E234="","",SUMIFS(tbl_Finance[Ex GST],tbl_Finance[Job Number],E234&amp;"",tbl_Finance[Xero Invoice No],"&lt;&gt;"))</f>
        <v/>
      </c>
      <c r="AB234" s="27">
        <f>IF(E234="","",Z234-AA234)</f>
        <v/>
      </c>
      <c r="AC234" s="25">
        <f>IF(E234="","",IFERROR(IF(INDEX(tbl_Onsite[Qwilr Quote],IFERROR(MATCH(E234&amp;"",tbl_Onsite[Job Number],0),MATCH(IFERROR(E234+0,E234),tbl_Onsite[Job Number],0)))="","",INDEX(tbl_Onsite[Qwilr Quote],IFERROR(MATCH(E234&amp;"",tbl_Onsite[Job Number],0),MATCH(IFERROR(E234+0,E234),tbl_Onsite[Job Number],0)))),IFERROR(IF(IF(INDEX(tbl_Production[Current RMS No],IFERROR(MATCH(E234&amp;"",tbl_Production[Job Number],0),MATCH(IFERROR(E234+0,E234),tbl_Production[Job Number],0)))="",INDEX(tbl_Production[Qwilr Quote],IFERROR(MATCH(E234&amp;"",tbl_Production[Job Number],0),MATCH(IFERROR(E234+0,E234),tbl_Production[Job Number],0))),INDEX(tbl_Production[Current RMS No],IFERROR(MATCH(E234&amp;"",tbl_Production[Job Number],0),MATCH(IFERROR(E234+0,E234),tbl_Production[Job Number],0))))="","",IF(INDEX(tbl_Production[Current RMS No],IFERROR(MATCH(E234&amp;"",tbl_Production[Job Number],0),MATCH(IFERROR(E234+0,E234),tbl_Production[Job Number],0)))="",INDEX(tbl_Production[Qwilr Quote],IFERROR(MATCH(E234&amp;"",tbl_Production[Job Number],0),MATCH(IFERROR(E234+0,E234),tbl_Production[Job Number],0))),INDEX(tbl_Production[Current RMS No],IFERROR(MATCH(E234&amp;"",tbl_Production[Job Number],0),MATCH(IFERROR(E234+0,E234),tbl_Production[Job Number],0))))),IFERROR(IF(INDEX(tbl_Consulting[Qwilr Quote],IFERROR(MATCH(E234&amp;"",tbl_Consulting[Job Number],0),MATCH(IFERROR(E234+0,E234),tbl_Consulting[Job Number],0)))="","",INDEX(tbl_Consulting[Qwilr Quote],IFERROR(MATCH(E234&amp;"",tbl_Consulting[Job Number],0),MATCH(IFERROR(E234+0,E234),tbl_Consulting[Job Number],0)))),""))))</f>
        <v/>
      </c>
      <c r="AD234" s="25">
        <f>IF(AC234="","",IF(AND(LEFT(AC234,4)&lt;&gt;"http",IF(H234="Production",set_RMSBase,set_QwilrBase)=""),"",HYPERLINK(IF(LEFT(AC234,4)="http",AC234,IF(H234="Production",set_RMSBase,set_QwilrBase)&amp;AC234),"Open")))</f>
        <v/>
      </c>
      <c r="AE234" s="27">
        <f>IF(E234="","",IFERROR(INDEX(tbl_Production[Total Expense],IFERROR(MATCH(E234&amp;"",tbl_Production[Job Number],0),MATCH(IFERROR(E234+0,E234),tbl_Production[Job Number],0))),IFERROR(INDEX(tbl_Consulting[Total Expense],IFERROR(MATCH(E234&amp;"",tbl_Consulting[Job Number],0),MATCH(IFERROR(E234+0,E234),tbl_Consulting[Job Number],0))),0)))</f>
        <v/>
      </c>
      <c r="AF234" s="27">
        <f>IF(E234="","",Z234-N(AE234))</f>
        <v/>
      </c>
      <c r="AG234" s="29">
        <f>IFERROR(AF234/Z234,"")</f>
        <v/>
      </c>
      <c r="AH234" s="25">
        <f>IF(E234="","",IFERROR(IF(INDEX(tbl_Onsite[Notes],IFERROR(MATCH(E234&amp;"",tbl_Onsite[Job Number],0),MATCH(IFERROR(E234+0,E234),tbl_Onsite[Job Number],0)))="","",INDEX(tbl_Onsite[Notes],IFERROR(MATCH(E234&amp;"",tbl_Onsite[Job Number],0),MATCH(IFERROR(E234+0,E234),tbl_Onsite[Job Number],0)))),IFERROR(IF(INDEX(tbl_Production[Notes],IFERROR(MATCH(E234&amp;"",tbl_Production[Job Number],0),MATCH(IFERROR(E234+0,E234),tbl_Production[Job Number],0)))="","",INDEX(tbl_Production[Notes],IFERROR(MATCH(E234&amp;"",tbl_Production[Job Number],0),MATCH(IFERROR(E234+0,E234),tbl_Production[Job Number],0)))),IFERROR(IF(INDEX(tbl_Consulting[Notes],IFERROR(MATCH(E234&amp;"",tbl_Consulting[Job Number],0),MATCH(IFERROR(E234+0,E234),tbl_Consulting[Job Number],0)))="","",INDEX(tbl_Consulting[Notes],IFERROR(MATCH(E234&amp;"",tbl_Consulting[Job Number],0),MATCH(IFERROR(E234+0,E234),tbl_Consulting[Job Number],0)))),""))))</f>
        <v/>
      </c>
    </row>
    <row r="235" ht="15" customHeight="1">
      <c r="A235" s="22" t="n"/>
      <c r="B235" s="23">
        <f>IF(A235="","",EOMONTH(A235,0))</f>
        <v/>
      </c>
      <c r="C235" s="24" t="n"/>
      <c r="D235" s="24" t="n"/>
      <c r="E235" s="24" t="n"/>
      <c r="F235" s="25">
        <f>IF(E235="","",IF(COUNTIF(lst_Jobs,E235&amp;"")&gt;0,"OK","CHECK"))</f>
        <v/>
      </c>
      <c r="G235" s="24" t="n"/>
      <c r="H235" s="24" t="n"/>
      <c r="I235" s="24" t="n"/>
      <c r="J235" s="24" t="n"/>
      <c r="K235" s="24" t="n"/>
      <c r="L235" s="26" t="n"/>
      <c r="M235" s="27">
        <f>IF(L235="","",IF(K235="GST 10%",ROUND(L235*set_GSTRate,2),0))</f>
        <v/>
      </c>
      <c r="N235" s="27">
        <f>IF(L235="","",L235+M235)</f>
        <v/>
      </c>
      <c r="O235" s="24" t="n"/>
      <c r="P235" s="24" t="n"/>
      <c r="Q235" s="24" t="n"/>
      <c r="R235" s="22" t="n"/>
      <c r="S235" s="22" t="n"/>
      <c r="T235" s="24" t="n"/>
      <c r="U235" s="24" t="n"/>
      <c r="V235" s="2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25">
        <f>IF(E235="","",IF(COUNTIF(tbl_Onsite[Job Number],E235&amp;"")&gt;0,"Onsite",IF(COUNTIF(tbl_Production[Job Number],E235&amp;"")&gt;0,"Production",IF(COUNTIF(tbl_Consulting[Job Number],E235&amp;"")&gt;0,"Consulting","not set up yet"))))</f>
        <v/>
      </c>
      <c r="X235" s="25">
        <f>IF(E235="","",IFERROR(INDEX(lst_JobName,MATCH(E235&amp;"",lst_Jobs,0)),""))</f>
        <v/>
      </c>
      <c r="Y235" s="28">
        <f>IF(E235="","",COUNTIFS(tbl_Finance[Job Number],E235&amp;"",tbl_Finance[Ex GST],"&lt;&gt;"))</f>
        <v/>
      </c>
      <c r="Z235" s="27">
        <f>IF(E235="","",SUMIFS(tbl_Finance[Ex GST],tbl_Finance[Job Number],E235&amp;""))</f>
        <v/>
      </c>
      <c r="AA235" s="27">
        <f>IF(E235="","",SUMIFS(tbl_Finance[Ex GST],tbl_Finance[Job Number],E235&amp;"",tbl_Finance[Xero Invoice No],"&lt;&gt;"))</f>
        <v/>
      </c>
      <c r="AB235" s="27">
        <f>IF(E235="","",Z235-AA235)</f>
        <v/>
      </c>
      <c r="AC235" s="25">
        <f>IF(E235="","",IFERROR(IF(INDEX(tbl_Onsite[Qwilr Quote],IFERROR(MATCH(E235&amp;"",tbl_Onsite[Job Number],0),MATCH(IFERROR(E235+0,E235),tbl_Onsite[Job Number],0)))="","",INDEX(tbl_Onsite[Qwilr Quote],IFERROR(MATCH(E235&amp;"",tbl_Onsite[Job Number],0),MATCH(IFERROR(E235+0,E235),tbl_Onsite[Job Number],0)))),IFERROR(IF(IF(INDEX(tbl_Production[Current RMS No],IFERROR(MATCH(E235&amp;"",tbl_Production[Job Number],0),MATCH(IFERROR(E235+0,E235),tbl_Production[Job Number],0)))="",INDEX(tbl_Production[Qwilr Quote],IFERROR(MATCH(E235&amp;"",tbl_Production[Job Number],0),MATCH(IFERROR(E235+0,E235),tbl_Production[Job Number],0))),INDEX(tbl_Production[Current RMS No],IFERROR(MATCH(E235&amp;"",tbl_Production[Job Number],0),MATCH(IFERROR(E235+0,E235),tbl_Production[Job Number],0))))="","",IF(INDEX(tbl_Production[Current RMS No],IFERROR(MATCH(E235&amp;"",tbl_Production[Job Number],0),MATCH(IFERROR(E235+0,E235),tbl_Production[Job Number],0)))="",INDEX(tbl_Production[Qwilr Quote],IFERROR(MATCH(E235&amp;"",tbl_Production[Job Number],0),MATCH(IFERROR(E235+0,E235),tbl_Production[Job Number],0))),INDEX(tbl_Production[Current RMS No],IFERROR(MATCH(E235&amp;"",tbl_Production[Job Number],0),MATCH(IFERROR(E235+0,E235),tbl_Production[Job Number],0))))),IFERROR(IF(INDEX(tbl_Consulting[Qwilr Quote],IFERROR(MATCH(E235&amp;"",tbl_Consulting[Job Number],0),MATCH(IFERROR(E235+0,E235),tbl_Consulting[Job Number],0)))="","",INDEX(tbl_Consulting[Qwilr Quote],IFERROR(MATCH(E235&amp;"",tbl_Consulting[Job Number],0),MATCH(IFERROR(E235+0,E235),tbl_Consulting[Job Number],0)))),""))))</f>
        <v/>
      </c>
      <c r="AD235" s="25">
        <f>IF(AC235="","",IF(AND(LEFT(AC235,4)&lt;&gt;"http",IF(H235="Production",set_RMSBase,set_QwilrBase)=""),"",HYPERLINK(IF(LEFT(AC235,4)="http",AC235,IF(H235="Production",set_RMSBase,set_QwilrBase)&amp;AC235),"Open")))</f>
        <v/>
      </c>
      <c r="AE235" s="27">
        <f>IF(E235="","",IFERROR(INDEX(tbl_Production[Total Expense],IFERROR(MATCH(E235&amp;"",tbl_Production[Job Number],0),MATCH(IFERROR(E235+0,E235),tbl_Production[Job Number],0))),IFERROR(INDEX(tbl_Consulting[Total Expense],IFERROR(MATCH(E235&amp;"",tbl_Consulting[Job Number],0),MATCH(IFERROR(E235+0,E235),tbl_Consulting[Job Number],0))),0)))</f>
        <v/>
      </c>
      <c r="AF235" s="27">
        <f>IF(E235="","",Z235-N(AE235))</f>
        <v/>
      </c>
      <c r="AG235" s="29">
        <f>IFERROR(AF235/Z235,"")</f>
        <v/>
      </c>
      <c r="AH235" s="25">
        <f>IF(E235="","",IFERROR(IF(INDEX(tbl_Onsite[Notes],IFERROR(MATCH(E235&amp;"",tbl_Onsite[Job Number],0),MATCH(IFERROR(E235+0,E235),tbl_Onsite[Job Number],0)))="","",INDEX(tbl_Onsite[Notes],IFERROR(MATCH(E235&amp;"",tbl_Onsite[Job Number],0),MATCH(IFERROR(E235+0,E235),tbl_Onsite[Job Number],0)))),IFERROR(IF(INDEX(tbl_Production[Notes],IFERROR(MATCH(E235&amp;"",tbl_Production[Job Number],0),MATCH(IFERROR(E235+0,E235),tbl_Production[Job Number],0)))="","",INDEX(tbl_Production[Notes],IFERROR(MATCH(E235&amp;"",tbl_Production[Job Number],0),MATCH(IFERROR(E235+0,E235),tbl_Production[Job Number],0)))),IFERROR(IF(INDEX(tbl_Consulting[Notes],IFERROR(MATCH(E235&amp;"",tbl_Consulting[Job Number],0),MATCH(IFERROR(E235+0,E235),tbl_Consulting[Job Number],0)))="","",INDEX(tbl_Consulting[Notes],IFERROR(MATCH(E235&amp;"",tbl_Consulting[Job Number],0),MATCH(IFERROR(E235+0,E235),tbl_Consulting[Job Number],0)))),""))))</f>
        <v/>
      </c>
    </row>
    <row r="236" ht="15" customHeight="1">
      <c r="A236" s="22" t="n"/>
      <c r="B236" s="23">
        <f>IF(A236="","",EOMONTH(A236,0))</f>
        <v/>
      </c>
      <c r="C236" s="24" t="n"/>
      <c r="D236" s="24" t="n"/>
      <c r="E236" s="24" t="n"/>
      <c r="F236" s="25">
        <f>IF(E236="","",IF(COUNTIF(lst_Jobs,E236&amp;"")&gt;0,"OK","CHECK"))</f>
        <v/>
      </c>
      <c r="G236" s="24" t="n"/>
      <c r="H236" s="24" t="n"/>
      <c r="I236" s="24" t="n"/>
      <c r="J236" s="24" t="n"/>
      <c r="K236" s="24" t="n"/>
      <c r="L236" s="26" t="n"/>
      <c r="M236" s="27">
        <f>IF(L236="","",IF(K236="GST 10%",ROUND(L236*set_GSTRate,2),0))</f>
        <v/>
      </c>
      <c r="N236" s="27">
        <f>IF(L236="","",L236+M236)</f>
        <v/>
      </c>
      <c r="O236" s="24" t="n"/>
      <c r="P236" s="24" t="n"/>
      <c r="Q236" s="24" t="n"/>
      <c r="R236" s="22" t="n"/>
      <c r="S236" s="22" t="n"/>
      <c r="T236" s="24" t="n"/>
      <c r="U236" s="24" t="n"/>
      <c r="V236" s="2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25">
        <f>IF(E236="","",IF(COUNTIF(tbl_Onsite[Job Number],E236&amp;"")&gt;0,"Onsite",IF(COUNTIF(tbl_Production[Job Number],E236&amp;"")&gt;0,"Production",IF(COUNTIF(tbl_Consulting[Job Number],E236&amp;"")&gt;0,"Consulting","not set up yet"))))</f>
        <v/>
      </c>
      <c r="X236" s="25">
        <f>IF(E236="","",IFERROR(INDEX(lst_JobName,MATCH(E236&amp;"",lst_Jobs,0)),""))</f>
        <v/>
      </c>
      <c r="Y236" s="28">
        <f>IF(E236="","",COUNTIFS(tbl_Finance[Job Number],E236&amp;"",tbl_Finance[Ex GST],"&lt;&gt;"))</f>
        <v/>
      </c>
      <c r="Z236" s="27">
        <f>IF(E236="","",SUMIFS(tbl_Finance[Ex GST],tbl_Finance[Job Number],E236&amp;""))</f>
        <v/>
      </c>
      <c r="AA236" s="27">
        <f>IF(E236="","",SUMIFS(tbl_Finance[Ex GST],tbl_Finance[Job Number],E236&amp;"",tbl_Finance[Xero Invoice No],"&lt;&gt;"))</f>
        <v/>
      </c>
      <c r="AB236" s="27">
        <f>IF(E236="","",Z236-AA236)</f>
        <v/>
      </c>
      <c r="AC236" s="25">
        <f>IF(E236="","",IFERROR(IF(INDEX(tbl_Onsite[Qwilr Quote],IFERROR(MATCH(E236&amp;"",tbl_Onsite[Job Number],0),MATCH(IFERROR(E236+0,E236),tbl_Onsite[Job Number],0)))="","",INDEX(tbl_Onsite[Qwilr Quote],IFERROR(MATCH(E236&amp;"",tbl_Onsite[Job Number],0),MATCH(IFERROR(E236+0,E236),tbl_Onsite[Job Number],0)))),IFERROR(IF(IF(INDEX(tbl_Production[Current RMS No],IFERROR(MATCH(E236&amp;"",tbl_Production[Job Number],0),MATCH(IFERROR(E236+0,E236),tbl_Production[Job Number],0)))="",INDEX(tbl_Production[Qwilr Quote],IFERROR(MATCH(E236&amp;"",tbl_Production[Job Number],0),MATCH(IFERROR(E236+0,E236),tbl_Production[Job Number],0))),INDEX(tbl_Production[Current RMS No],IFERROR(MATCH(E236&amp;"",tbl_Production[Job Number],0),MATCH(IFERROR(E236+0,E236),tbl_Production[Job Number],0))))="","",IF(INDEX(tbl_Production[Current RMS No],IFERROR(MATCH(E236&amp;"",tbl_Production[Job Number],0),MATCH(IFERROR(E236+0,E236),tbl_Production[Job Number],0)))="",INDEX(tbl_Production[Qwilr Quote],IFERROR(MATCH(E236&amp;"",tbl_Production[Job Number],0),MATCH(IFERROR(E236+0,E236),tbl_Production[Job Number],0))),INDEX(tbl_Production[Current RMS No],IFERROR(MATCH(E236&amp;"",tbl_Production[Job Number],0),MATCH(IFERROR(E236+0,E236),tbl_Production[Job Number],0))))),IFERROR(IF(INDEX(tbl_Consulting[Qwilr Quote],IFERROR(MATCH(E236&amp;"",tbl_Consulting[Job Number],0),MATCH(IFERROR(E236+0,E236),tbl_Consulting[Job Number],0)))="","",INDEX(tbl_Consulting[Qwilr Quote],IFERROR(MATCH(E236&amp;"",tbl_Consulting[Job Number],0),MATCH(IFERROR(E236+0,E236),tbl_Consulting[Job Number],0)))),""))))</f>
        <v/>
      </c>
      <c r="AD236" s="25">
        <f>IF(AC236="","",IF(AND(LEFT(AC236,4)&lt;&gt;"http",IF(H236="Production",set_RMSBase,set_QwilrBase)=""),"",HYPERLINK(IF(LEFT(AC236,4)="http",AC236,IF(H236="Production",set_RMSBase,set_QwilrBase)&amp;AC236),"Open")))</f>
        <v/>
      </c>
      <c r="AE236" s="27">
        <f>IF(E236="","",IFERROR(INDEX(tbl_Production[Total Expense],IFERROR(MATCH(E236&amp;"",tbl_Production[Job Number],0),MATCH(IFERROR(E236+0,E236),tbl_Production[Job Number],0))),IFERROR(INDEX(tbl_Consulting[Total Expense],IFERROR(MATCH(E236&amp;"",tbl_Consulting[Job Number],0),MATCH(IFERROR(E236+0,E236),tbl_Consulting[Job Number],0))),0)))</f>
        <v/>
      </c>
      <c r="AF236" s="27">
        <f>IF(E236="","",Z236-N(AE236))</f>
        <v/>
      </c>
      <c r="AG236" s="29">
        <f>IFERROR(AF236/Z236,"")</f>
        <v/>
      </c>
      <c r="AH236" s="25">
        <f>IF(E236="","",IFERROR(IF(INDEX(tbl_Onsite[Notes],IFERROR(MATCH(E236&amp;"",tbl_Onsite[Job Number],0),MATCH(IFERROR(E236+0,E236),tbl_Onsite[Job Number],0)))="","",INDEX(tbl_Onsite[Notes],IFERROR(MATCH(E236&amp;"",tbl_Onsite[Job Number],0),MATCH(IFERROR(E236+0,E236),tbl_Onsite[Job Number],0)))),IFERROR(IF(INDEX(tbl_Production[Notes],IFERROR(MATCH(E236&amp;"",tbl_Production[Job Number],0),MATCH(IFERROR(E236+0,E236),tbl_Production[Job Number],0)))="","",INDEX(tbl_Production[Notes],IFERROR(MATCH(E236&amp;"",tbl_Production[Job Number],0),MATCH(IFERROR(E236+0,E236),tbl_Production[Job Number],0)))),IFERROR(IF(INDEX(tbl_Consulting[Notes],IFERROR(MATCH(E236&amp;"",tbl_Consulting[Job Number],0),MATCH(IFERROR(E236+0,E236),tbl_Consulting[Job Number],0)))="","",INDEX(tbl_Consulting[Notes],IFERROR(MATCH(E236&amp;"",tbl_Consulting[Job Number],0),MATCH(IFERROR(E236+0,E236),tbl_Consulting[Job Number],0)))),""))))</f>
        <v/>
      </c>
    </row>
    <row r="237" ht="15" customHeight="1">
      <c r="A237" s="22" t="n"/>
      <c r="B237" s="23">
        <f>IF(A237="","",EOMONTH(A237,0))</f>
        <v/>
      </c>
      <c r="C237" s="24" t="n"/>
      <c r="D237" s="24" t="n"/>
      <c r="E237" s="24" t="n"/>
      <c r="F237" s="25">
        <f>IF(E237="","",IF(COUNTIF(lst_Jobs,E237&amp;"")&gt;0,"OK","CHECK"))</f>
        <v/>
      </c>
      <c r="G237" s="24" t="n"/>
      <c r="H237" s="24" t="n"/>
      <c r="I237" s="24" t="n"/>
      <c r="J237" s="24" t="n"/>
      <c r="K237" s="24" t="n"/>
      <c r="L237" s="26" t="n"/>
      <c r="M237" s="27">
        <f>IF(L237="","",IF(K237="GST 10%",ROUND(L237*set_GSTRate,2),0))</f>
        <v/>
      </c>
      <c r="N237" s="27">
        <f>IF(L237="","",L237+M237)</f>
        <v/>
      </c>
      <c r="O237" s="24" t="n"/>
      <c r="P237" s="24" t="n"/>
      <c r="Q237" s="24" t="n"/>
      <c r="R237" s="22" t="n"/>
      <c r="S237" s="22" t="n"/>
      <c r="T237" s="24" t="n"/>
      <c r="U237" s="24" t="n"/>
      <c r="V237" s="2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25">
        <f>IF(E237="","",IF(COUNTIF(tbl_Onsite[Job Number],E237&amp;"")&gt;0,"Onsite",IF(COUNTIF(tbl_Production[Job Number],E237&amp;"")&gt;0,"Production",IF(COUNTIF(tbl_Consulting[Job Number],E237&amp;"")&gt;0,"Consulting","not set up yet"))))</f>
        <v/>
      </c>
      <c r="X237" s="25">
        <f>IF(E237="","",IFERROR(INDEX(lst_JobName,MATCH(E237&amp;"",lst_Jobs,0)),""))</f>
        <v/>
      </c>
      <c r="Y237" s="28">
        <f>IF(E237="","",COUNTIFS(tbl_Finance[Job Number],E237&amp;"",tbl_Finance[Ex GST],"&lt;&gt;"))</f>
        <v/>
      </c>
      <c r="Z237" s="27">
        <f>IF(E237="","",SUMIFS(tbl_Finance[Ex GST],tbl_Finance[Job Number],E237&amp;""))</f>
        <v/>
      </c>
      <c r="AA237" s="27">
        <f>IF(E237="","",SUMIFS(tbl_Finance[Ex GST],tbl_Finance[Job Number],E237&amp;"",tbl_Finance[Xero Invoice No],"&lt;&gt;"))</f>
        <v/>
      </c>
      <c r="AB237" s="27">
        <f>IF(E237="","",Z237-AA237)</f>
        <v/>
      </c>
      <c r="AC237" s="25">
        <f>IF(E237="","",IFERROR(IF(INDEX(tbl_Onsite[Qwilr Quote],IFERROR(MATCH(E237&amp;"",tbl_Onsite[Job Number],0),MATCH(IFERROR(E237+0,E237),tbl_Onsite[Job Number],0)))="","",INDEX(tbl_Onsite[Qwilr Quote],IFERROR(MATCH(E237&amp;"",tbl_Onsite[Job Number],0),MATCH(IFERROR(E237+0,E237),tbl_Onsite[Job Number],0)))),IFERROR(IF(IF(INDEX(tbl_Production[Current RMS No],IFERROR(MATCH(E237&amp;"",tbl_Production[Job Number],0),MATCH(IFERROR(E237+0,E237),tbl_Production[Job Number],0)))="",INDEX(tbl_Production[Qwilr Quote],IFERROR(MATCH(E237&amp;"",tbl_Production[Job Number],0),MATCH(IFERROR(E237+0,E237),tbl_Production[Job Number],0))),INDEX(tbl_Production[Current RMS No],IFERROR(MATCH(E237&amp;"",tbl_Production[Job Number],0),MATCH(IFERROR(E237+0,E237),tbl_Production[Job Number],0))))="","",IF(INDEX(tbl_Production[Current RMS No],IFERROR(MATCH(E237&amp;"",tbl_Production[Job Number],0),MATCH(IFERROR(E237+0,E237),tbl_Production[Job Number],0)))="",INDEX(tbl_Production[Qwilr Quote],IFERROR(MATCH(E237&amp;"",tbl_Production[Job Number],0),MATCH(IFERROR(E237+0,E237),tbl_Production[Job Number],0))),INDEX(tbl_Production[Current RMS No],IFERROR(MATCH(E237&amp;"",tbl_Production[Job Number],0),MATCH(IFERROR(E237+0,E237),tbl_Production[Job Number],0))))),IFERROR(IF(INDEX(tbl_Consulting[Qwilr Quote],IFERROR(MATCH(E237&amp;"",tbl_Consulting[Job Number],0),MATCH(IFERROR(E237+0,E237),tbl_Consulting[Job Number],0)))="","",INDEX(tbl_Consulting[Qwilr Quote],IFERROR(MATCH(E237&amp;"",tbl_Consulting[Job Number],0),MATCH(IFERROR(E237+0,E237),tbl_Consulting[Job Number],0)))),""))))</f>
        <v/>
      </c>
      <c r="AD237" s="25">
        <f>IF(AC237="","",IF(AND(LEFT(AC237,4)&lt;&gt;"http",IF(H237="Production",set_RMSBase,set_QwilrBase)=""),"",HYPERLINK(IF(LEFT(AC237,4)="http",AC237,IF(H237="Production",set_RMSBase,set_QwilrBase)&amp;AC237),"Open")))</f>
        <v/>
      </c>
      <c r="AE237" s="27">
        <f>IF(E237="","",IFERROR(INDEX(tbl_Production[Total Expense],IFERROR(MATCH(E237&amp;"",tbl_Production[Job Number],0),MATCH(IFERROR(E237+0,E237),tbl_Production[Job Number],0))),IFERROR(INDEX(tbl_Consulting[Total Expense],IFERROR(MATCH(E237&amp;"",tbl_Consulting[Job Number],0),MATCH(IFERROR(E237+0,E237),tbl_Consulting[Job Number],0))),0)))</f>
        <v/>
      </c>
      <c r="AF237" s="27">
        <f>IF(E237="","",Z237-N(AE237))</f>
        <v/>
      </c>
      <c r="AG237" s="29">
        <f>IFERROR(AF237/Z237,"")</f>
        <v/>
      </c>
      <c r="AH237" s="25">
        <f>IF(E237="","",IFERROR(IF(INDEX(tbl_Onsite[Notes],IFERROR(MATCH(E237&amp;"",tbl_Onsite[Job Number],0),MATCH(IFERROR(E237+0,E237),tbl_Onsite[Job Number],0)))="","",INDEX(tbl_Onsite[Notes],IFERROR(MATCH(E237&amp;"",tbl_Onsite[Job Number],0),MATCH(IFERROR(E237+0,E237),tbl_Onsite[Job Number],0)))),IFERROR(IF(INDEX(tbl_Production[Notes],IFERROR(MATCH(E237&amp;"",tbl_Production[Job Number],0),MATCH(IFERROR(E237+0,E237),tbl_Production[Job Number],0)))="","",INDEX(tbl_Production[Notes],IFERROR(MATCH(E237&amp;"",tbl_Production[Job Number],0),MATCH(IFERROR(E237+0,E237),tbl_Production[Job Number],0)))),IFERROR(IF(INDEX(tbl_Consulting[Notes],IFERROR(MATCH(E237&amp;"",tbl_Consulting[Job Number],0),MATCH(IFERROR(E237+0,E237),tbl_Consulting[Job Number],0)))="","",INDEX(tbl_Consulting[Notes],IFERROR(MATCH(E237&amp;"",tbl_Consulting[Job Number],0),MATCH(IFERROR(E237+0,E237),tbl_Consulting[Job Number],0)))),""))))</f>
        <v/>
      </c>
    </row>
    <row r="238" ht="15" customHeight="1">
      <c r="A238" s="22" t="n"/>
      <c r="B238" s="23">
        <f>IF(A238="","",EOMONTH(A238,0))</f>
        <v/>
      </c>
      <c r="C238" s="24" t="n"/>
      <c r="D238" s="24" t="n"/>
      <c r="E238" s="24" t="n"/>
      <c r="F238" s="25">
        <f>IF(E238="","",IF(COUNTIF(lst_Jobs,E238&amp;"")&gt;0,"OK","CHECK"))</f>
        <v/>
      </c>
      <c r="G238" s="24" t="n"/>
      <c r="H238" s="24" t="n"/>
      <c r="I238" s="24" t="n"/>
      <c r="J238" s="24" t="n"/>
      <c r="K238" s="24" t="n"/>
      <c r="L238" s="26" t="n"/>
      <c r="M238" s="27">
        <f>IF(L238="","",IF(K238="GST 10%",ROUND(L238*set_GSTRate,2),0))</f>
        <v/>
      </c>
      <c r="N238" s="27">
        <f>IF(L238="","",L238+M238)</f>
        <v/>
      </c>
      <c r="O238" s="24" t="n"/>
      <c r="P238" s="24" t="n"/>
      <c r="Q238" s="24" t="n"/>
      <c r="R238" s="22" t="n"/>
      <c r="S238" s="22" t="n"/>
      <c r="T238" s="24" t="n"/>
      <c r="U238" s="24" t="n"/>
      <c r="V238" s="2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25">
        <f>IF(E238="","",IF(COUNTIF(tbl_Onsite[Job Number],E238&amp;"")&gt;0,"Onsite",IF(COUNTIF(tbl_Production[Job Number],E238&amp;"")&gt;0,"Production",IF(COUNTIF(tbl_Consulting[Job Number],E238&amp;"")&gt;0,"Consulting","not set up yet"))))</f>
        <v/>
      </c>
      <c r="X238" s="25">
        <f>IF(E238="","",IFERROR(INDEX(lst_JobName,MATCH(E238&amp;"",lst_Jobs,0)),""))</f>
        <v/>
      </c>
      <c r="Y238" s="28">
        <f>IF(E238="","",COUNTIFS(tbl_Finance[Job Number],E238&amp;"",tbl_Finance[Ex GST],"&lt;&gt;"))</f>
        <v/>
      </c>
      <c r="Z238" s="27">
        <f>IF(E238="","",SUMIFS(tbl_Finance[Ex GST],tbl_Finance[Job Number],E238&amp;""))</f>
        <v/>
      </c>
      <c r="AA238" s="27">
        <f>IF(E238="","",SUMIFS(tbl_Finance[Ex GST],tbl_Finance[Job Number],E238&amp;"",tbl_Finance[Xero Invoice No],"&lt;&gt;"))</f>
        <v/>
      </c>
      <c r="AB238" s="27">
        <f>IF(E238="","",Z238-AA238)</f>
        <v/>
      </c>
      <c r="AC238" s="25">
        <f>IF(E238="","",IFERROR(IF(INDEX(tbl_Onsite[Qwilr Quote],IFERROR(MATCH(E238&amp;"",tbl_Onsite[Job Number],0),MATCH(IFERROR(E238+0,E238),tbl_Onsite[Job Number],0)))="","",INDEX(tbl_Onsite[Qwilr Quote],IFERROR(MATCH(E238&amp;"",tbl_Onsite[Job Number],0),MATCH(IFERROR(E238+0,E238),tbl_Onsite[Job Number],0)))),IFERROR(IF(IF(INDEX(tbl_Production[Current RMS No],IFERROR(MATCH(E238&amp;"",tbl_Production[Job Number],0),MATCH(IFERROR(E238+0,E238),tbl_Production[Job Number],0)))="",INDEX(tbl_Production[Qwilr Quote],IFERROR(MATCH(E238&amp;"",tbl_Production[Job Number],0),MATCH(IFERROR(E238+0,E238),tbl_Production[Job Number],0))),INDEX(tbl_Production[Current RMS No],IFERROR(MATCH(E238&amp;"",tbl_Production[Job Number],0),MATCH(IFERROR(E238+0,E238),tbl_Production[Job Number],0))))="","",IF(INDEX(tbl_Production[Current RMS No],IFERROR(MATCH(E238&amp;"",tbl_Production[Job Number],0),MATCH(IFERROR(E238+0,E238),tbl_Production[Job Number],0)))="",INDEX(tbl_Production[Qwilr Quote],IFERROR(MATCH(E238&amp;"",tbl_Production[Job Number],0),MATCH(IFERROR(E238+0,E238),tbl_Production[Job Number],0))),INDEX(tbl_Production[Current RMS No],IFERROR(MATCH(E238&amp;"",tbl_Production[Job Number],0),MATCH(IFERROR(E238+0,E238),tbl_Production[Job Number],0))))),IFERROR(IF(INDEX(tbl_Consulting[Qwilr Quote],IFERROR(MATCH(E238&amp;"",tbl_Consulting[Job Number],0),MATCH(IFERROR(E238+0,E238),tbl_Consulting[Job Number],0)))="","",INDEX(tbl_Consulting[Qwilr Quote],IFERROR(MATCH(E238&amp;"",tbl_Consulting[Job Number],0),MATCH(IFERROR(E238+0,E238),tbl_Consulting[Job Number],0)))),""))))</f>
        <v/>
      </c>
      <c r="AD238" s="25">
        <f>IF(AC238="","",IF(AND(LEFT(AC238,4)&lt;&gt;"http",IF(H238="Production",set_RMSBase,set_QwilrBase)=""),"",HYPERLINK(IF(LEFT(AC238,4)="http",AC238,IF(H238="Production",set_RMSBase,set_QwilrBase)&amp;AC238),"Open")))</f>
        <v/>
      </c>
      <c r="AE238" s="27">
        <f>IF(E238="","",IFERROR(INDEX(tbl_Production[Total Expense],IFERROR(MATCH(E238&amp;"",tbl_Production[Job Number],0),MATCH(IFERROR(E238+0,E238),tbl_Production[Job Number],0))),IFERROR(INDEX(tbl_Consulting[Total Expense],IFERROR(MATCH(E238&amp;"",tbl_Consulting[Job Number],0),MATCH(IFERROR(E238+0,E238),tbl_Consulting[Job Number],0))),0)))</f>
        <v/>
      </c>
      <c r="AF238" s="27">
        <f>IF(E238="","",Z238-N(AE238))</f>
        <v/>
      </c>
      <c r="AG238" s="29">
        <f>IFERROR(AF238/Z238,"")</f>
        <v/>
      </c>
      <c r="AH238" s="25">
        <f>IF(E238="","",IFERROR(IF(INDEX(tbl_Onsite[Notes],IFERROR(MATCH(E238&amp;"",tbl_Onsite[Job Number],0),MATCH(IFERROR(E238+0,E238),tbl_Onsite[Job Number],0)))="","",INDEX(tbl_Onsite[Notes],IFERROR(MATCH(E238&amp;"",tbl_Onsite[Job Number],0),MATCH(IFERROR(E238+0,E238),tbl_Onsite[Job Number],0)))),IFERROR(IF(INDEX(tbl_Production[Notes],IFERROR(MATCH(E238&amp;"",tbl_Production[Job Number],0),MATCH(IFERROR(E238+0,E238),tbl_Production[Job Number],0)))="","",INDEX(tbl_Production[Notes],IFERROR(MATCH(E238&amp;"",tbl_Production[Job Number],0),MATCH(IFERROR(E238+0,E238),tbl_Production[Job Number],0)))),IFERROR(IF(INDEX(tbl_Consulting[Notes],IFERROR(MATCH(E238&amp;"",tbl_Consulting[Job Number],0),MATCH(IFERROR(E238+0,E238),tbl_Consulting[Job Number],0)))="","",INDEX(tbl_Consulting[Notes],IFERROR(MATCH(E238&amp;"",tbl_Consulting[Job Number],0),MATCH(IFERROR(E238+0,E238),tbl_Consulting[Job Number],0)))),""))))</f>
        <v/>
      </c>
    </row>
    <row r="239" ht="15" customHeight="1">
      <c r="A239" s="22" t="n"/>
      <c r="B239" s="23">
        <f>IF(A239="","",EOMONTH(A239,0))</f>
        <v/>
      </c>
      <c r="C239" s="24" t="n"/>
      <c r="D239" s="24" t="n"/>
      <c r="E239" s="24" t="n"/>
      <c r="F239" s="25">
        <f>IF(E239="","",IF(COUNTIF(lst_Jobs,E239&amp;"")&gt;0,"OK","CHECK"))</f>
        <v/>
      </c>
      <c r="G239" s="24" t="n"/>
      <c r="H239" s="24" t="n"/>
      <c r="I239" s="24" t="n"/>
      <c r="J239" s="24" t="n"/>
      <c r="K239" s="24" t="n"/>
      <c r="L239" s="26" t="n"/>
      <c r="M239" s="27">
        <f>IF(L239="","",IF(K239="GST 10%",ROUND(L239*set_GSTRate,2),0))</f>
        <v/>
      </c>
      <c r="N239" s="27">
        <f>IF(L239="","",L239+M239)</f>
        <v/>
      </c>
      <c r="O239" s="24" t="n"/>
      <c r="P239" s="24" t="n"/>
      <c r="Q239" s="24" t="n"/>
      <c r="R239" s="22" t="n"/>
      <c r="S239" s="22" t="n"/>
      <c r="T239" s="24" t="n"/>
      <c r="U239" s="24" t="n"/>
      <c r="V239" s="2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25">
        <f>IF(E239="","",IF(COUNTIF(tbl_Onsite[Job Number],E239&amp;"")&gt;0,"Onsite",IF(COUNTIF(tbl_Production[Job Number],E239&amp;"")&gt;0,"Production",IF(COUNTIF(tbl_Consulting[Job Number],E239&amp;"")&gt;0,"Consulting","not set up yet"))))</f>
        <v/>
      </c>
      <c r="X239" s="25">
        <f>IF(E239="","",IFERROR(INDEX(lst_JobName,MATCH(E239&amp;"",lst_Jobs,0)),""))</f>
        <v/>
      </c>
      <c r="Y239" s="28">
        <f>IF(E239="","",COUNTIFS(tbl_Finance[Job Number],E239&amp;"",tbl_Finance[Ex GST],"&lt;&gt;"))</f>
        <v/>
      </c>
      <c r="Z239" s="27">
        <f>IF(E239="","",SUMIFS(tbl_Finance[Ex GST],tbl_Finance[Job Number],E239&amp;""))</f>
        <v/>
      </c>
      <c r="AA239" s="27">
        <f>IF(E239="","",SUMIFS(tbl_Finance[Ex GST],tbl_Finance[Job Number],E239&amp;"",tbl_Finance[Xero Invoice No],"&lt;&gt;"))</f>
        <v/>
      </c>
      <c r="AB239" s="27">
        <f>IF(E239="","",Z239-AA239)</f>
        <v/>
      </c>
      <c r="AC239" s="25">
        <f>IF(E239="","",IFERROR(IF(INDEX(tbl_Onsite[Qwilr Quote],IFERROR(MATCH(E239&amp;"",tbl_Onsite[Job Number],0),MATCH(IFERROR(E239+0,E239),tbl_Onsite[Job Number],0)))="","",INDEX(tbl_Onsite[Qwilr Quote],IFERROR(MATCH(E239&amp;"",tbl_Onsite[Job Number],0),MATCH(IFERROR(E239+0,E239),tbl_Onsite[Job Number],0)))),IFERROR(IF(IF(INDEX(tbl_Production[Current RMS No],IFERROR(MATCH(E239&amp;"",tbl_Production[Job Number],0),MATCH(IFERROR(E239+0,E239),tbl_Production[Job Number],0)))="",INDEX(tbl_Production[Qwilr Quote],IFERROR(MATCH(E239&amp;"",tbl_Production[Job Number],0),MATCH(IFERROR(E239+0,E239),tbl_Production[Job Number],0))),INDEX(tbl_Production[Current RMS No],IFERROR(MATCH(E239&amp;"",tbl_Production[Job Number],0),MATCH(IFERROR(E239+0,E239),tbl_Production[Job Number],0))))="","",IF(INDEX(tbl_Production[Current RMS No],IFERROR(MATCH(E239&amp;"",tbl_Production[Job Number],0),MATCH(IFERROR(E239+0,E239),tbl_Production[Job Number],0)))="",INDEX(tbl_Production[Qwilr Quote],IFERROR(MATCH(E239&amp;"",tbl_Production[Job Number],0),MATCH(IFERROR(E239+0,E239),tbl_Production[Job Number],0))),INDEX(tbl_Production[Current RMS No],IFERROR(MATCH(E239&amp;"",tbl_Production[Job Number],0),MATCH(IFERROR(E239+0,E239),tbl_Production[Job Number],0))))),IFERROR(IF(INDEX(tbl_Consulting[Qwilr Quote],IFERROR(MATCH(E239&amp;"",tbl_Consulting[Job Number],0),MATCH(IFERROR(E239+0,E239),tbl_Consulting[Job Number],0)))="","",INDEX(tbl_Consulting[Qwilr Quote],IFERROR(MATCH(E239&amp;"",tbl_Consulting[Job Number],0),MATCH(IFERROR(E239+0,E239),tbl_Consulting[Job Number],0)))),""))))</f>
        <v/>
      </c>
      <c r="AD239" s="25">
        <f>IF(AC239="","",IF(AND(LEFT(AC239,4)&lt;&gt;"http",IF(H239="Production",set_RMSBase,set_QwilrBase)=""),"",HYPERLINK(IF(LEFT(AC239,4)="http",AC239,IF(H239="Production",set_RMSBase,set_QwilrBase)&amp;AC239),"Open")))</f>
        <v/>
      </c>
      <c r="AE239" s="27">
        <f>IF(E239="","",IFERROR(INDEX(tbl_Production[Total Expense],IFERROR(MATCH(E239&amp;"",tbl_Production[Job Number],0),MATCH(IFERROR(E239+0,E239),tbl_Production[Job Number],0))),IFERROR(INDEX(tbl_Consulting[Total Expense],IFERROR(MATCH(E239&amp;"",tbl_Consulting[Job Number],0),MATCH(IFERROR(E239+0,E239),tbl_Consulting[Job Number],0))),0)))</f>
        <v/>
      </c>
      <c r="AF239" s="27">
        <f>IF(E239="","",Z239-N(AE239))</f>
        <v/>
      </c>
      <c r="AG239" s="29">
        <f>IFERROR(AF239/Z239,"")</f>
        <v/>
      </c>
      <c r="AH239" s="25">
        <f>IF(E239="","",IFERROR(IF(INDEX(tbl_Onsite[Notes],IFERROR(MATCH(E239&amp;"",tbl_Onsite[Job Number],0),MATCH(IFERROR(E239+0,E239),tbl_Onsite[Job Number],0)))="","",INDEX(tbl_Onsite[Notes],IFERROR(MATCH(E239&amp;"",tbl_Onsite[Job Number],0),MATCH(IFERROR(E239+0,E239),tbl_Onsite[Job Number],0)))),IFERROR(IF(INDEX(tbl_Production[Notes],IFERROR(MATCH(E239&amp;"",tbl_Production[Job Number],0),MATCH(IFERROR(E239+0,E239),tbl_Production[Job Number],0)))="","",INDEX(tbl_Production[Notes],IFERROR(MATCH(E239&amp;"",tbl_Production[Job Number],0),MATCH(IFERROR(E239+0,E239),tbl_Production[Job Number],0)))),IFERROR(IF(INDEX(tbl_Consulting[Notes],IFERROR(MATCH(E239&amp;"",tbl_Consulting[Job Number],0),MATCH(IFERROR(E239+0,E239),tbl_Consulting[Job Number],0)))="","",INDEX(tbl_Consulting[Notes],IFERROR(MATCH(E239&amp;"",tbl_Consulting[Job Number],0),MATCH(IFERROR(E239+0,E239),tbl_Consulting[Job Number],0)))),""))))</f>
        <v/>
      </c>
    </row>
    <row r="240" ht="15" customHeight="1">
      <c r="A240" s="22" t="n"/>
      <c r="B240" s="23">
        <f>IF(A240="","",EOMONTH(A240,0))</f>
        <v/>
      </c>
      <c r="C240" s="24" t="n"/>
      <c r="D240" s="24" t="n"/>
      <c r="E240" s="24" t="n"/>
      <c r="F240" s="25">
        <f>IF(E240="","",IF(COUNTIF(lst_Jobs,E240&amp;"")&gt;0,"OK","CHECK"))</f>
        <v/>
      </c>
      <c r="G240" s="24" t="n"/>
      <c r="H240" s="24" t="n"/>
      <c r="I240" s="24" t="n"/>
      <c r="J240" s="24" t="n"/>
      <c r="K240" s="24" t="n"/>
      <c r="L240" s="26" t="n"/>
      <c r="M240" s="27">
        <f>IF(L240="","",IF(K240="GST 10%",ROUND(L240*set_GSTRate,2),0))</f>
        <v/>
      </c>
      <c r="N240" s="27">
        <f>IF(L240="","",L240+M240)</f>
        <v/>
      </c>
      <c r="O240" s="24" t="n"/>
      <c r="P240" s="24" t="n"/>
      <c r="Q240" s="24" t="n"/>
      <c r="R240" s="22" t="n"/>
      <c r="S240" s="22" t="n"/>
      <c r="T240" s="24" t="n"/>
      <c r="U240" s="24" t="n"/>
      <c r="V240" s="2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25">
        <f>IF(E240="","",IF(COUNTIF(tbl_Onsite[Job Number],E240&amp;"")&gt;0,"Onsite",IF(COUNTIF(tbl_Production[Job Number],E240&amp;"")&gt;0,"Production",IF(COUNTIF(tbl_Consulting[Job Number],E240&amp;"")&gt;0,"Consulting","not set up yet"))))</f>
        <v/>
      </c>
      <c r="X240" s="25">
        <f>IF(E240="","",IFERROR(INDEX(lst_JobName,MATCH(E240&amp;"",lst_Jobs,0)),""))</f>
        <v/>
      </c>
      <c r="Y240" s="28">
        <f>IF(E240="","",COUNTIFS(tbl_Finance[Job Number],E240&amp;"",tbl_Finance[Ex GST],"&lt;&gt;"))</f>
        <v/>
      </c>
      <c r="Z240" s="27">
        <f>IF(E240="","",SUMIFS(tbl_Finance[Ex GST],tbl_Finance[Job Number],E240&amp;""))</f>
        <v/>
      </c>
      <c r="AA240" s="27">
        <f>IF(E240="","",SUMIFS(tbl_Finance[Ex GST],tbl_Finance[Job Number],E240&amp;"",tbl_Finance[Xero Invoice No],"&lt;&gt;"))</f>
        <v/>
      </c>
      <c r="AB240" s="27">
        <f>IF(E240="","",Z240-AA240)</f>
        <v/>
      </c>
      <c r="AC240" s="25">
        <f>IF(E240="","",IFERROR(IF(INDEX(tbl_Onsite[Qwilr Quote],IFERROR(MATCH(E240&amp;"",tbl_Onsite[Job Number],0),MATCH(IFERROR(E240+0,E240),tbl_Onsite[Job Number],0)))="","",INDEX(tbl_Onsite[Qwilr Quote],IFERROR(MATCH(E240&amp;"",tbl_Onsite[Job Number],0),MATCH(IFERROR(E240+0,E240),tbl_Onsite[Job Number],0)))),IFERROR(IF(IF(INDEX(tbl_Production[Current RMS No],IFERROR(MATCH(E240&amp;"",tbl_Production[Job Number],0),MATCH(IFERROR(E240+0,E240),tbl_Production[Job Number],0)))="",INDEX(tbl_Production[Qwilr Quote],IFERROR(MATCH(E240&amp;"",tbl_Production[Job Number],0),MATCH(IFERROR(E240+0,E240),tbl_Production[Job Number],0))),INDEX(tbl_Production[Current RMS No],IFERROR(MATCH(E240&amp;"",tbl_Production[Job Number],0),MATCH(IFERROR(E240+0,E240),tbl_Production[Job Number],0))))="","",IF(INDEX(tbl_Production[Current RMS No],IFERROR(MATCH(E240&amp;"",tbl_Production[Job Number],0),MATCH(IFERROR(E240+0,E240),tbl_Production[Job Number],0)))="",INDEX(tbl_Production[Qwilr Quote],IFERROR(MATCH(E240&amp;"",tbl_Production[Job Number],0),MATCH(IFERROR(E240+0,E240),tbl_Production[Job Number],0))),INDEX(tbl_Production[Current RMS No],IFERROR(MATCH(E240&amp;"",tbl_Production[Job Number],0),MATCH(IFERROR(E240+0,E240),tbl_Production[Job Number],0))))),IFERROR(IF(INDEX(tbl_Consulting[Qwilr Quote],IFERROR(MATCH(E240&amp;"",tbl_Consulting[Job Number],0),MATCH(IFERROR(E240+0,E240),tbl_Consulting[Job Number],0)))="","",INDEX(tbl_Consulting[Qwilr Quote],IFERROR(MATCH(E240&amp;"",tbl_Consulting[Job Number],0),MATCH(IFERROR(E240+0,E240),tbl_Consulting[Job Number],0)))),""))))</f>
        <v/>
      </c>
      <c r="AD240" s="25">
        <f>IF(AC240="","",IF(AND(LEFT(AC240,4)&lt;&gt;"http",IF(H240="Production",set_RMSBase,set_QwilrBase)=""),"",HYPERLINK(IF(LEFT(AC240,4)="http",AC240,IF(H240="Production",set_RMSBase,set_QwilrBase)&amp;AC240),"Open")))</f>
        <v/>
      </c>
      <c r="AE240" s="27">
        <f>IF(E240="","",IFERROR(INDEX(tbl_Production[Total Expense],IFERROR(MATCH(E240&amp;"",tbl_Production[Job Number],0),MATCH(IFERROR(E240+0,E240),tbl_Production[Job Number],0))),IFERROR(INDEX(tbl_Consulting[Total Expense],IFERROR(MATCH(E240&amp;"",tbl_Consulting[Job Number],0),MATCH(IFERROR(E240+0,E240),tbl_Consulting[Job Number],0))),0)))</f>
        <v/>
      </c>
      <c r="AF240" s="27">
        <f>IF(E240="","",Z240-N(AE240))</f>
        <v/>
      </c>
      <c r="AG240" s="29">
        <f>IFERROR(AF240/Z240,"")</f>
        <v/>
      </c>
      <c r="AH240" s="25">
        <f>IF(E240="","",IFERROR(IF(INDEX(tbl_Onsite[Notes],IFERROR(MATCH(E240&amp;"",tbl_Onsite[Job Number],0),MATCH(IFERROR(E240+0,E240),tbl_Onsite[Job Number],0)))="","",INDEX(tbl_Onsite[Notes],IFERROR(MATCH(E240&amp;"",tbl_Onsite[Job Number],0),MATCH(IFERROR(E240+0,E240),tbl_Onsite[Job Number],0)))),IFERROR(IF(INDEX(tbl_Production[Notes],IFERROR(MATCH(E240&amp;"",tbl_Production[Job Number],0),MATCH(IFERROR(E240+0,E240),tbl_Production[Job Number],0)))="","",INDEX(tbl_Production[Notes],IFERROR(MATCH(E240&amp;"",tbl_Production[Job Number],0),MATCH(IFERROR(E240+0,E240),tbl_Production[Job Number],0)))),IFERROR(IF(INDEX(tbl_Consulting[Notes],IFERROR(MATCH(E240&amp;"",tbl_Consulting[Job Number],0),MATCH(IFERROR(E240+0,E240),tbl_Consulting[Job Number],0)))="","",INDEX(tbl_Consulting[Notes],IFERROR(MATCH(E240&amp;"",tbl_Consulting[Job Number],0),MATCH(IFERROR(E240+0,E240),tbl_Consulting[Job Number],0)))),""))))</f>
        <v/>
      </c>
    </row>
    <row r="241" ht="15" customHeight="1">
      <c r="A241" s="22" t="n"/>
      <c r="B241" s="23">
        <f>IF(A241="","",EOMONTH(A241,0))</f>
        <v/>
      </c>
      <c r="C241" s="24" t="n"/>
      <c r="D241" s="24" t="n"/>
      <c r="E241" s="24" t="n"/>
      <c r="F241" s="25">
        <f>IF(E241="","",IF(COUNTIF(lst_Jobs,E241&amp;"")&gt;0,"OK","CHECK"))</f>
        <v/>
      </c>
      <c r="G241" s="24" t="n"/>
      <c r="H241" s="24" t="n"/>
      <c r="I241" s="24" t="n"/>
      <c r="J241" s="24" t="n"/>
      <c r="K241" s="24" t="n"/>
      <c r="L241" s="26" t="n"/>
      <c r="M241" s="27">
        <f>IF(L241="","",IF(K241="GST 10%",ROUND(L241*set_GSTRate,2),0))</f>
        <v/>
      </c>
      <c r="N241" s="27">
        <f>IF(L241="","",L241+M241)</f>
        <v/>
      </c>
      <c r="O241" s="24" t="n"/>
      <c r="P241" s="24" t="n"/>
      <c r="Q241" s="24" t="n"/>
      <c r="R241" s="22" t="n"/>
      <c r="S241" s="22" t="n"/>
      <c r="T241" s="24" t="n"/>
      <c r="U241" s="24" t="n"/>
      <c r="V241" s="2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25">
        <f>IF(E241="","",IF(COUNTIF(tbl_Onsite[Job Number],E241&amp;"")&gt;0,"Onsite",IF(COUNTIF(tbl_Production[Job Number],E241&amp;"")&gt;0,"Production",IF(COUNTIF(tbl_Consulting[Job Number],E241&amp;"")&gt;0,"Consulting","not set up yet"))))</f>
        <v/>
      </c>
      <c r="X241" s="25">
        <f>IF(E241="","",IFERROR(INDEX(lst_JobName,MATCH(E241&amp;"",lst_Jobs,0)),""))</f>
        <v/>
      </c>
      <c r="Y241" s="28">
        <f>IF(E241="","",COUNTIFS(tbl_Finance[Job Number],E241&amp;"",tbl_Finance[Ex GST],"&lt;&gt;"))</f>
        <v/>
      </c>
      <c r="Z241" s="27">
        <f>IF(E241="","",SUMIFS(tbl_Finance[Ex GST],tbl_Finance[Job Number],E241&amp;""))</f>
        <v/>
      </c>
      <c r="AA241" s="27">
        <f>IF(E241="","",SUMIFS(tbl_Finance[Ex GST],tbl_Finance[Job Number],E241&amp;"",tbl_Finance[Xero Invoice No],"&lt;&gt;"))</f>
        <v/>
      </c>
      <c r="AB241" s="27">
        <f>IF(E241="","",Z241-AA241)</f>
        <v/>
      </c>
      <c r="AC241" s="25">
        <f>IF(E241="","",IFERROR(IF(INDEX(tbl_Onsite[Qwilr Quote],IFERROR(MATCH(E241&amp;"",tbl_Onsite[Job Number],0),MATCH(IFERROR(E241+0,E241),tbl_Onsite[Job Number],0)))="","",INDEX(tbl_Onsite[Qwilr Quote],IFERROR(MATCH(E241&amp;"",tbl_Onsite[Job Number],0),MATCH(IFERROR(E241+0,E241),tbl_Onsite[Job Number],0)))),IFERROR(IF(IF(INDEX(tbl_Production[Current RMS No],IFERROR(MATCH(E241&amp;"",tbl_Production[Job Number],0),MATCH(IFERROR(E241+0,E241),tbl_Production[Job Number],0)))="",INDEX(tbl_Production[Qwilr Quote],IFERROR(MATCH(E241&amp;"",tbl_Production[Job Number],0),MATCH(IFERROR(E241+0,E241),tbl_Production[Job Number],0))),INDEX(tbl_Production[Current RMS No],IFERROR(MATCH(E241&amp;"",tbl_Production[Job Number],0),MATCH(IFERROR(E241+0,E241),tbl_Production[Job Number],0))))="","",IF(INDEX(tbl_Production[Current RMS No],IFERROR(MATCH(E241&amp;"",tbl_Production[Job Number],0),MATCH(IFERROR(E241+0,E241),tbl_Production[Job Number],0)))="",INDEX(tbl_Production[Qwilr Quote],IFERROR(MATCH(E241&amp;"",tbl_Production[Job Number],0),MATCH(IFERROR(E241+0,E241),tbl_Production[Job Number],0))),INDEX(tbl_Production[Current RMS No],IFERROR(MATCH(E241&amp;"",tbl_Production[Job Number],0),MATCH(IFERROR(E241+0,E241),tbl_Production[Job Number],0))))),IFERROR(IF(INDEX(tbl_Consulting[Qwilr Quote],IFERROR(MATCH(E241&amp;"",tbl_Consulting[Job Number],0),MATCH(IFERROR(E241+0,E241),tbl_Consulting[Job Number],0)))="","",INDEX(tbl_Consulting[Qwilr Quote],IFERROR(MATCH(E241&amp;"",tbl_Consulting[Job Number],0),MATCH(IFERROR(E241+0,E241),tbl_Consulting[Job Number],0)))),""))))</f>
        <v/>
      </c>
      <c r="AD241" s="25">
        <f>IF(AC241="","",IF(AND(LEFT(AC241,4)&lt;&gt;"http",IF(H241="Production",set_RMSBase,set_QwilrBase)=""),"",HYPERLINK(IF(LEFT(AC241,4)="http",AC241,IF(H241="Production",set_RMSBase,set_QwilrBase)&amp;AC241),"Open")))</f>
        <v/>
      </c>
      <c r="AE241" s="27">
        <f>IF(E241="","",IFERROR(INDEX(tbl_Production[Total Expense],IFERROR(MATCH(E241&amp;"",tbl_Production[Job Number],0),MATCH(IFERROR(E241+0,E241),tbl_Production[Job Number],0))),IFERROR(INDEX(tbl_Consulting[Total Expense],IFERROR(MATCH(E241&amp;"",tbl_Consulting[Job Number],0),MATCH(IFERROR(E241+0,E241),tbl_Consulting[Job Number],0))),0)))</f>
        <v/>
      </c>
      <c r="AF241" s="27">
        <f>IF(E241="","",Z241-N(AE241))</f>
        <v/>
      </c>
      <c r="AG241" s="29">
        <f>IFERROR(AF241/Z241,"")</f>
        <v/>
      </c>
      <c r="AH241" s="25">
        <f>IF(E241="","",IFERROR(IF(INDEX(tbl_Onsite[Notes],IFERROR(MATCH(E241&amp;"",tbl_Onsite[Job Number],0),MATCH(IFERROR(E241+0,E241),tbl_Onsite[Job Number],0)))="","",INDEX(tbl_Onsite[Notes],IFERROR(MATCH(E241&amp;"",tbl_Onsite[Job Number],0),MATCH(IFERROR(E241+0,E241),tbl_Onsite[Job Number],0)))),IFERROR(IF(INDEX(tbl_Production[Notes],IFERROR(MATCH(E241&amp;"",tbl_Production[Job Number],0),MATCH(IFERROR(E241+0,E241),tbl_Production[Job Number],0)))="","",INDEX(tbl_Production[Notes],IFERROR(MATCH(E241&amp;"",tbl_Production[Job Number],0),MATCH(IFERROR(E241+0,E241),tbl_Production[Job Number],0)))),IFERROR(IF(INDEX(tbl_Consulting[Notes],IFERROR(MATCH(E241&amp;"",tbl_Consulting[Job Number],0),MATCH(IFERROR(E241+0,E241),tbl_Consulting[Job Number],0)))="","",INDEX(tbl_Consulting[Notes],IFERROR(MATCH(E241&amp;"",tbl_Consulting[Job Number],0),MATCH(IFERROR(E241+0,E241),tbl_Consulting[Job Number],0)))),""))))</f>
        <v/>
      </c>
    </row>
    <row r="242" ht="15" customHeight="1">
      <c r="A242" s="22" t="n"/>
      <c r="B242" s="23">
        <f>IF(A242="","",EOMONTH(A242,0))</f>
        <v/>
      </c>
      <c r="C242" s="24" t="n"/>
      <c r="D242" s="24" t="n"/>
      <c r="E242" s="24" t="n"/>
      <c r="F242" s="25">
        <f>IF(E242="","",IF(COUNTIF(lst_Jobs,E242&amp;"")&gt;0,"OK","CHECK"))</f>
        <v/>
      </c>
      <c r="G242" s="24" t="n"/>
      <c r="H242" s="24" t="n"/>
      <c r="I242" s="24" t="n"/>
      <c r="J242" s="24" t="n"/>
      <c r="K242" s="24" t="n"/>
      <c r="L242" s="26" t="n"/>
      <c r="M242" s="27">
        <f>IF(L242="","",IF(K242="GST 10%",ROUND(L242*set_GSTRate,2),0))</f>
        <v/>
      </c>
      <c r="N242" s="27">
        <f>IF(L242="","",L242+M242)</f>
        <v/>
      </c>
      <c r="O242" s="24" t="n"/>
      <c r="P242" s="24" t="n"/>
      <c r="Q242" s="24" t="n"/>
      <c r="R242" s="22" t="n"/>
      <c r="S242" s="22" t="n"/>
      <c r="T242" s="24" t="n"/>
      <c r="U242" s="24" t="n"/>
      <c r="V242" s="2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25">
        <f>IF(E242="","",IF(COUNTIF(tbl_Onsite[Job Number],E242&amp;"")&gt;0,"Onsite",IF(COUNTIF(tbl_Production[Job Number],E242&amp;"")&gt;0,"Production",IF(COUNTIF(tbl_Consulting[Job Number],E242&amp;"")&gt;0,"Consulting","not set up yet"))))</f>
        <v/>
      </c>
      <c r="X242" s="25">
        <f>IF(E242="","",IFERROR(INDEX(lst_JobName,MATCH(E242&amp;"",lst_Jobs,0)),""))</f>
        <v/>
      </c>
      <c r="Y242" s="28">
        <f>IF(E242="","",COUNTIFS(tbl_Finance[Job Number],E242&amp;"",tbl_Finance[Ex GST],"&lt;&gt;"))</f>
        <v/>
      </c>
      <c r="Z242" s="27">
        <f>IF(E242="","",SUMIFS(tbl_Finance[Ex GST],tbl_Finance[Job Number],E242&amp;""))</f>
        <v/>
      </c>
      <c r="AA242" s="27">
        <f>IF(E242="","",SUMIFS(tbl_Finance[Ex GST],tbl_Finance[Job Number],E242&amp;"",tbl_Finance[Xero Invoice No],"&lt;&gt;"))</f>
        <v/>
      </c>
      <c r="AB242" s="27">
        <f>IF(E242="","",Z242-AA242)</f>
        <v/>
      </c>
      <c r="AC242" s="25">
        <f>IF(E242="","",IFERROR(IF(INDEX(tbl_Onsite[Qwilr Quote],IFERROR(MATCH(E242&amp;"",tbl_Onsite[Job Number],0),MATCH(IFERROR(E242+0,E242),tbl_Onsite[Job Number],0)))="","",INDEX(tbl_Onsite[Qwilr Quote],IFERROR(MATCH(E242&amp;"",tbl_Onsite[Job Number],0),MATCH(IFERROR(E242+0,E242),tbl_Onsite[Job Number],0)))),IFERROR(IF(IF(INDEX(tbl_Production[Current RMS No],IFERROR(MATCH(E242&amp;"",tbl_Production[Job Number],0),MATCH(IFERROR(E242+0,E242),tbl_Production[Job Number],0)))="",INDEX(tbl_Production[Qwilr Quote],IFERROR(MATCH(E242&amp;"",tbl_Production[Job Number],0),MATCH(IFERROR(E242+0,E242),tbl_Production[Job Number],0))),INDEX(tbl_Production[Current RMS No],IFERROR(MATCH(E242&amp;"",tbl_Production[Job Number],0),MATCH(IFERROR(E242+0,E242),tbl_Production[Job Number],0))))="","",IF(INDEX(tbl_Production[Current RMS No],IFERROR(MATCH(E242&amp;"",tbl_Production[Job Number],0),MATCH(IFERROR(E242+0,E242),tbl_Production[Job Number],0)))="",INDEX(tbl_Production[Qwilr Quote],IFERROR(MATCH(E242&amp;"",tbl_Production[Job Number],0),MATCH(IFERROR(E242+0,E242),tbl_Production[Job Number],0))),INDEX(tbl_Production[Current RMS No],IFERROR(MATCH(E242&amp;"",tbl_Production[Job Number],0),MATCH(IFERROR(E242+0,E242),tbl_Production[Job Number],0))))),IFERROR(IF(INDEX(tbl_Consulting[Qwilr Quote],IFERROR(MATCH(E242&amp;"",tbl_Consulting[Job Number],0),MATCH(IFERROR(E242+0,E242),tbl_Consulting[Job Number],0)))="","",INDEX(tbl_Consulting[Qwilr Quote],IFERROR(MATCH(E242&amp;"",tbl_Consulting[Job Number],0),MATCH(IFERROR(E242+0,E242),tbl_Consulting[Job Number],0)))),""))))</f>
        <v/>
      </c>
      <c r="AD242" s="25">
        <f>IF(AC242="","",IF(AND(LEFT(AC242,4)&lt;&gt;"http",IF(H242="Production",set_RMSBase,set_QwilrBase)=""),"",HYPERLINK(IF(LEFT(AC242,4)="http",AC242,IF(H242="Production",set_RMSBase,set_QwilrBase)&amp;AC242),"Open")))</f>
        <v/>
      </c>
      <c r="AE242" s="27">
        <f>IF(E242="","",IFERROR(INDEX(tbl_Production[Total Expense],IFERROR(MATCH(E242&amp;"",tbl_Production[Job Number],0),MATCH(IFERROR(E242+0,E242),tbl_Production[Job Number],0))),IFERROR(INDEX(tbl_Consulting[Total Expense],IFERROR(MATCH(E242&amp;"",tbl_Consulting[Job Number],0),MATCH(IFERROR(E242+0,E242),tbl_Consulting[Job Number],0))),0)))</f>
        <v/>
      </c>
      <c r="AF242" s="27">
        <f>IF(E242="","",Z242-N(AE242))</f>
        <v/>
      </c>
      <c r="AG242" s="29">
        <f>IFERROR(AF242/Z242,"")</f>
        <v/>
      </c>
      <c r="AH242" s="25">
        <f>IF(E242="","",IFERROR(IF(INDEX(tbl_Onsite[Notes],IFERROR(MATCH(E242&amp;"",tbl_Onsite[Job Number],0),MATCH(IFERROR(E242+0,E242),tbl_Onsite[Job Number],0)))="","",INDEX(tbl_Onsite[Notes],IFERROR(MATCH(E242&amp;"",tbl_Onsite[Job Number],0),MATCH(IFERROR(E242+0,E242),tbl_Onsite[Job Number],0)))),IFERROR(IF(INDEX(tbl_Production[Notes],IFERROR(MATCH(E242&amp;"",tbl_Production[Job Number],0),MATCH(IFERROR(E242+0,E242),tbl_Production[Job Number],0)))="","",INDEX(tbl_Production[Notes],IFERROR(MATCH(E242&amp;"",tbl_Production[Job Number],0),MATCH(IFERROR(E242+0,E242),tbl_Production[Job Number],0)))),IFERROR(IF(INDEX(tbl_Consulting[Notes],IFERROR(MATCH(E242&amp;"",tbl_Consulting[Job Number],0),MATCH(IFERROR(E242+0,E242),tbl_Consulting[Job Number],0)))="","",INDEX(tbl_Consulting[Notes],IFERROR(MATCH(E242&amp;"",tbl_Consulting[Job Number],0),MATCH(IFERROR(E242+0,E242),tbl_Consulting[Job Number],0)))),""))))</f>
        <v/>
      </c>
    </row>
    <row r="243" ht="15" customHeight="1">
      <c r="A243" s="22" t="n"/>
      <c r="B243" s="23">
        <f>IF(A243="","",EOMONTH(A243,0))</f>
        <v/>
      </c>
      <c r="C243" s="24" t="n"/>
      <c r="D243" s="24" t="n"/>
      <c r="E243" s="24" t="n"/>
      <c r="F243" s="25">
        <f>IF(E243="","",IF(COUNTIF(lst_Jobs,E243&amp;"")&gt;0,"OK","CHECK"))</f>
        <v/>
      </c>
      <c r="G243" s="24" t="n"/>
      <c r="H243" s="24" t="n"/>
      <c r="I243" s="24" t="n"/>
      <c r="J243" s="24" t="n"/>
      <c r="K243" s="24" t="n"/>
      <c r="L243" s="26" t="n"/>
      <c r="M243" s="27">
        <f>IF(L243="","",IF(K243="GST 10%",ROUND(L243*set_GSTRate,2),0))</f>
        <v/>
      </c>
      <c r="N243" s="27">
        <f>IF(L243="","",L243+M243)</f>
        <v/>
      </c>
      <c r="O243" s="24" t="n"/>
      <c r="P243" s="24" t="n"/>
      <c r="Q243" s="24" t="n"/>
      <c r="R243" s="22" t="n"/>
      <c r="S243" s="22" t="n"/>
      <c r="T243" s="24" t="n"/>
      <c r="U243" s="24" t="n"/>
      <c r="V243" s="2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25">
        <f>IF(E243="","",IF(COUNTIF(tbl_Onsite[Job Number],E243&amp;"")&gt;0,"Onsite",IF(COUNTIF(tbl_Production[Job Number],E243&amp;"")&gt;0,"Production",IF(COUNTIF(tbl_Consulting[Job Number],E243&amp;"")&gt;0,"Consulting","not set up yet"))))</f>
        <v/>
      </c>
      <c r="X243" s="25">
        <f>IF(E243="","",IFERROR(INDEX(lst_JobName,MATCH(E243&amp;"",lst_Jobs,0)),""))</f>
        <v/>
      </c>
      <c r="Y243" s="28">
        <f>IF(E243="","",COUNTIFS(tbl_Finance[Job Number],E243&amp;"",tbl_Finance[Ex GST],"&lt;&gt;"))</f>
        <v/>
      </c>
      <c r="Z243" s="27">
        <f>IF(E243="","",SUMIFS(tbl_Finance[Ex GST],tbl_Finance[Job Number],E243&amp;""))</f>
        <v/>
      </c>
      <c r="AA243" s="27">
        <f>IF(E243="","",SUMIFS(tbl_Finance[Ex GST],tbl_Finance[Job Number],E243&amp;"",tbl_Finance[Xero Invoice No],"&lt;&gt;"))</f>
        <v/>
      </c>
      <c r="AB243" s="27">
        <f>IF(E243="","",Z243-AA243)</f>
        <v/>
      </c>
      <c r="AC243" s="25">
        <f>IF(E243="","",IFERROR(IF(INDEX(tbl_Onsite[Qwilr Quote],IFERROR(MATCH(E243&amp;"",tbl_Onsite[Job Number],0),MATCH(IFERROR(E243+0,E243),tbl_Onsite[Job Number],0)))="","",INDEX(tbl_Onsite[Qwilr Quote],IFERROR(MATCH(E243&amp;"",tbl_Onsite[Job Number],0),MATCH(IFERROR(E243+0,E243),tbl_Onsite[Job Number],0)))),IFERROR(IF(IF(INDEX(tbl_Production[Current RMS No],IFERROR(MATCH(E243&amp;"",tbl_Production[Job Number],0),MATCH(IFERROR(E243+0,E243),tbl_Production[Job Number],0)))="",INDEX(tbl_Production[Qwilr Quote],IFERROR(MATCH(E243&amp;"",tbl_Production[Job Number],0),MATCH(IFERROR(E243+0,E243),tbl_Production[Job Number],0))),INDEX(tbl_Production[Current RMS No],IFERROR(MATCH(E243&amp;"",tbl_Production[Job Number],0),MATCH(IFERROR(E243+0,E243),tbl_Production[Job Number],0))))="","",IF(INDEX(tbl_Production[Current RMS No],IFERROR(MATCH(E243&amp;"",tbl_Production[Job Number],0),MATCH(IFERROR(E243+0,E243),tbl_Production[Job Number],0)))="",INDEX(tbl_Production[Qwilr Quote],IFERROR(MATCH(E243&amp;"",tbl_Production[Job Number],0),MATCH(IFERROR(E243+0,E243),tbl_Production[Job Number],0))),INDEX(tbl_Production[Current RMS No],IFERROR(MATCH(E243&amp;"",tbl_Production[Job Number],0),MATCH(IFERROR(E243+0,E243),tbl_Production[Job Number],0))))),IFERROR(IF(INDEX(tbl_Consulting[Qwilr Quote],IFERROR(MATCH(E243&amp;"",tbl_Consulting[Job Number],0),MATCH(IFERROR(E243+0,E243),tbl_Consulting[Job Number],0)))="","",INDEX(tbl_Consulting[Qwilr Quote],IFERROR(MATCH(E243&amp;"",tbl_Consulting[Job Number],0),MATCH(IFERROR(E243+0,E243),tbl_Consulting[Job Number],0)))),""))))</f>
        <v/>
      </c>
      <c r="AD243" s="25">
        <f>IF(AC243="","",IF(AND(LEFT(AC243,4)&lt;&gt;"http",IF(H243="Production",set_RMSBase,set_QwilrBase)=""),"",HYPERLINK(IF(LEFT(AC243,4)="http",AC243,IF(H243="Production",set_RMSBase,set_QwilrBase)&amp;AC243),"Open")))</f>
        <v/>
      </c>
      <c r="AE243" s="27">
        <f>IF(E243="","",IFERROR(INDEX(tbl_Production[Total Expense],IFERROR(MATCH(E243&amp;"",tbl_Production[Job Number],0),MATCH(IFERROR(E243+0,E243),tbl_Production[Job Number],0))),IFERROR(INDEX(tbl_Consulting[Total Expense],IFERROR(MATCH(E243&amp;"",tbl_Consulting[Job Number],0),MATCH(IFERROR(E243+0,E243),tbl_Consulting[Job Number],0))),0)))</f>
        <v/>
      </c>
      <c r="AF243" s="27">
        <f>IF(E243="","",Z243-N(AE243))</f>
        <v/>
      </c>
      <c r="AG243" s="29">
        <f>IFERROR(AF243/Z243,"")</f>
        <v/>
      </c>
      <c r="AH243" s="25">
        <f>IF(E243="","",IFERROR(IF(INDEX(tbl_Onsite[Notes],IFERROR(MATCH(E243&amp;"",tbl_Onsite[Job Number],0),MATCH(IFERROR(E243+0,E243),tbl_Onsite[Job Number],0)))="","",INDEX(tbl_Onsite[Notes],IFERROR(MATCH(E243&amp;"",tbl_Onsite[Job Number],0),MATCH(IFERROR(E243+0,E243),tbl_Onsite[Job Number],0)))),IFERROR(IF(INDEX(tbl_Production[Notes],IFERROR(MATCH(E243&amp;"",tbl_Production[Job Number],0),MATCH(IFERROR(E243+0,E243),tbl_Production[Job Number],0)))="","",INDEX(tbl_Production[Notes],IFERROR(MATCH(E243&amp;"",tbl_Production[Job Number],0),MATCH(IFERROR(E243+0,E243),tbl_Production[Job Number],0)))),IFERROR(IF(INDEX(tbl_Consulting[Notes],IFERROR(MATCH(E243&amp;"",tbl_Consulting[Job Number],0),MATCH(IFERROR(E243+0,E243),tbl_Consulting[Job Number],0)))="","",INDEX(tbl_Consulting[Notes],IFERROR(MATCH(E243&amp;"",tbl_Consulting[Job Number],0),MATCH(IFERROR(E243+0,E243),tbl_Consulting[Job Number],0)))),""))))</f>
        <v/>
      </c>
    </row>
    <row r="244" ht="15" customHeight="1">
      <c r="A244" s="22" t="n"/>
      <c r="B244" s="23">
        <f>IF(A244="","",EOMONTH(A244,0))</f>
        <v/>
      </c>
      <c r="C244" s="24" t="n"/>
      <c r="D244" s="24" t="n"/>
      <c r="E244" s="24" t="n"/>
      <c r="F244" s="25">
        <f>IF(E244="","",IF(COUNTIF(lst_Jobs,E244&amp;"")&gt;0,"OK","CHECK"))</f>
        <v/>
      </c>
      <c r="G244" s="24" t="n"/>
      <c r="H244" s="24" t="n"/>
      <c r="I244" s="24" t="n"/>
      <c r="J244" s="24" t="n"/>
      <c r="K244" s="24" t="n"/>
      <c r="L244" s="26" t="n"/>
      <c r="M244" s="27">
        <f>IF(L244="","",IF(K244="GST 10%",ROUND(L244*set_GSTRate,2),0))</f>
        <v/>
      </c>
      <c r="N244" s="27">
        <f>IF(L244="","",L244+M244)</f>
        <v/>
      </c>
      <c r="O244" s="24" t="n"/>
      <c r="P244" s="24" t="n"/>
      <c r="Q244" s="24" t="n"/>
      <c r="R244" s="22" t="n"/>
      <c r="S244" s="22" t="n"/>
      <c r="T244" s="24" t="n"/>
      <c r="U244" s="24" t="n"/>
      <c r="V244" s="2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25">
        <f>IF(E244="","",IF(COUNTIF(tbl_Onsite[Job Number],E244&amp;"")&gt;0,"Onsite",IF(COUNTIF(tbl_Production[Job Number],E244&amp;"")&gt;0,"Production",IF(COUNTIF(tbl_Consulting[Job Number],E244&amp;"")&gt;0,"Consulting","not set up yet"))))</f>
        <v/>
      </c>
      <c r="X244" s="25">
        <f>IF(E244="","",IFERROR(INDEX(lst_JobName,MATCH(E244&amp;"",lst_Jobs,0)),""))</f>
        <v/>
      </c>
      <c r="Y244" s="28">
        <f>IF(E244="","",COUNTIFS(tbl_Finance[Job Number],E244&amp;"",tbl_Finance[Ex GST],"&lt;&gt;"))</f>
        <v/>
      </c>
      <c r="Z244" s="27">
        <f>IF(E244="","",SUMIFS(tbl_Finance[Ex GST],tbl_Finance[Job Number],E244&amp;""))</f>
        <v/>
      </c>
      <c r="AA244" s="27">
        <f>IF(E244="","",SUMIFS(tbl_Finance[Ex GST],tbl_Finance[Job Number],E244&amp;"",tbl_Finance[Xero Invoice No],"&lt;&gt;"))</f>
        <v/>
      </c>
      <c r="AB244" s="27">
        <f>IF(E244="","",Z244-AA244)</f>
        <v/>
      </c>
      <c r="AC244" s="25">
        <f>IF(E244="","",IFERROR(IF(INDEX(tbl_Onsite[Qwilr Quote],IFERROR(MATCH(E244&amp;"",tbl_Onsite[Job Number],0),MATCH(IFERROR(E244+0,E244),tbl_Onsite[Job Number],0)))="","",INDEX(tbl_Onsite[Qwilr Quote],IFERROR(MATCH(E244&amp;"",tbl_Onsite[Job Number],0),MATCH(IFERROR(E244+0,E244),tbl_Onsite[Job Number],0)))),IFERROR(IF(IF(INDEX(tbl_Production[Current RMS No],IFERROR(MATCH(E244&amp;"",tbl_Production[Job Number],0),MATCH(IFERROR(E244+0,E244),tbl_Production[Job Number],0)))="",INDEX(tbl_Production[Qwilr Quote],IFERROR(MATCH(E244&amp;"",tbl_Production[Job Number],0),MATCH(IFERROR(E244+0,E244),tbl_Production[Job Number],0))),INDEX(tbl_Production[Current RMS No],IFERROR(MATCH(E244&amp;"",tbl_Production[Job Number],0),MATCH(IFERROR(E244+0,E244),tbl_Production[Job Number],0))))="","",IF(INDEX(tbl_Production[Current RMS No],IFERROR(MATCH(E244&amp;"",tbl_Production[Job Number],0),MATCH(IFERROR(E244+0,E244),tbl_Production[Job Number],0)))="",INDEX(tbl_Production[Qwilr Quote],IFERROR(MATCH(E244&amp;"",tbl_Production[Job Number],0),MATCH(IFERROR(E244+0,E244),tbl_Production[Job Number],0))),INDEX(tbl_Production[Current RMS No],IFERROR(MATCH(E244&amp;"",tbl_Production[Job Number],0),MATCH(IFERROR(E244+0,E244),tbl_Production[Job Number],0))))),IFERROR(IF(INDEX(tbl_Consulting[Qwilr Quote],IFERROR(MATCH(E244&amp;"",tbl_Consulting[Job Number],0),MATCH(IFERROR(E244+0,E244),tbl_Consulting[Job Number],0)))="","",INDEX(tbl_Consulting[Qwilr Quote],IFERROR(MATCH(E244&amp;"",tbl_Consulting[Job Number],0),MATCH(IFERROR(E244+0,E244),tbl_Consulting[Job Number],0)))),""))))</f>
        <v/>
      </c>
      <c r="AD244" s="25">
        <f>IF(AC244="","",IF(AND(LEFT(AC244,4)&lt;&gt;"http",IF(H244="Production",set_RMSBase,set_QwilrBase)=""),"",HYPERLINK(IF(LEFT(AC244,4)="http",AC244,IF(H244="Production",set_RMSBase,set_QwilrBase)&amp;AC244),"Open")))</f>
        <v/>
      </c>
      <c r="AE244" s="27">
        <f>IF(E244="","",IFERROR(INDEX(tbl_Production[Total Expense],IFERROR(MATCH(E244&amp;"",tbl_Production[Job Number],0),MATCH(IFERROR(E244+0,E244),tbl_Production[Job Number],0))),IFERROR(INDEX(tbl_Consulting[Total Expense],IFERROR(MATCH(E244&amp;"",tbl_Consulting[Job Number],0),MATCH(IFERROR(E244+0,E244),tbl_Consulting[Job Number],0))),0)))</f>
        <v/>
      </c>
      <c r="AF244" s="27">
        <f>IF(E244="","",Z244-N(AE244))</f>
        <v/>
      </c>
      <c r="AG244" s="29">
        <f>IFERROR(AF244/Z244,"")</f>
        <v/>
      </c>
      <c r="AH244" s="25">
        <f>IF(E244="","",IFERROR(IF(INDEX(tbl_Onsite[Notes],IFERROR(MATCH(E244&amp;"",tbl_Onsite[Job Number],0),MATCH(IFERROR(E244+0,E244),tbl_Onsite[Job Number],0)))="","",INDEX(tbl_Onsite[Notes],IFERROR(MATCH(E244&amp;"",tbl_Onsite[Job Number],0),MATCH(IFERROR(E244+0,E244),tbl_Onsite[Job Number],0)))),IFERROR(IF(INDEX(tbl_Production[Notes],IFERROR(MATCH(E244&amp;"",tbl_Production[Job Number],0),MATCH(IFERROR(E244+0,E244),tbl_Production[Job Number],0)))="","",INDEX(tbl_Production[Notes],IFERROR(MATCH(E244&amp;"",tbl_Production[Job Number],0),MATCH(IFERROR(E244+0,E244),tbl_Production[Job Number],0)))),IFERROR(IF(INDEX(tbl_Consulting[Notes],IFERROR(MATCH(E244&amp;"",tbl_Consulting[Job Number],0),MATCH(IFERROR(E244+0,E244),tbl_Consulting[Job Number],0)))="","",INDEX(tbl_Consulting[Notes],IFERROR(MATCH(E244&amp;"",tbl_Consulting[Job Number],0),MATCH(IFERROR(E244+0,E244),tbl_Consulting[Job Number],0)))),""))))</f>
        <v/>
      </c>
    </row>
    <row r="245" ht="15" customHeight="1">
      <c r="A245" s="22" t="n"/>
      <c r="B245" s="23">
        <f>IF(A245="","",EOMONTH(A245,0))</f>
        <v/>
      </c>
      <c r="C245" s="24" t="n"/>
      <c r="D245" s="24" t="n"/>
      <c r="E245" s="24" t="n"/>
      <c r="F245" s="25">
        <f>IF(E245="","",IF(COUNTIF(lst_Jobs,E245&amp;"")&gt;0,"OK","CHECK"))</f>
        <v/>
      </c>
      <c r="G245" s="24" t="n"/>
      <c r="H245" s="24" t="n"/>
      <c r="I245" s="24" t="n"/>
      <c r="J245" s="24" t="n"/>
      <c r="K245" s="24" t="n"/>
      <c r="L245" s="26" t="n"/>
      <c r="M245" s="27">
        <f>IF(L245="","",IF(K245="GST 10%",ROUND(L245*set_GSTRate,2),0))</f>
        <v/>
      </c>
      <c r="N245" s="27">
        <f>IF(L245="","",L245+M245)</f>
        <v/>
      </c>
      <c r="O245" s="24" t="n"/>
      <c r="P245" s="24" t="n"/>
      <c r="Q245" s="24" t="n"/>
      <c r="R245" s="22" t="n"/>
      <c r="S245" s="22" t="n"/>
      <c r="T245" s="24" t="n"/>
      <c r="U245" s="24" t="n"/>
      <c r="V245" s="2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25">
        <f>IF(E245="","",IF(COUNTIF(tbl_Onsite[Job Number],E245&amp;"")&gt;0,"Onsite",IF(COUNTIF(tbl_Production[Job Number],E245&amp;"")&gt;0,"Production",IF(COUNTIF(tbl_Consulting[Job Number],E245&amp;"")&gt;0,"Consulting","not set up yet"))))</f>
        <v/>
      </c>
      <c r="X245" s="25">
        <f>IF(E245="","",IFERROR(INDEX(lst_JobName,MATCH(E245&amp;"",lst_Jobs,0)),""))</f>
        <v/>
      </c>
      <c r="Y245" s="28">
        <f>IF(E245="","",COUNTIFS(tbl_Finance[Job Number],E245&amp;"",tbl_Finance[Ex GST],"&lt;&gt;"))</f>
        <v/>
      </c>
      <c r="Z245" s="27">
        <f>IF(E245="","",SUMIFS(tbl_Finance[Ex GST],tbl_Finance[Job Number],E245&amp;""))</f>
        <v/>
      </c>
      <c r="AA245" s="27">
        <f>IF(E245="","",SUMIFS(tbl_Finance[Ex GST],tbl_Finance[Job Number],E245&amp;"",tbl_Finance[Xero Invoice No],"&lt;&gt;"))</f>
        <v/>
      </c>
      <c r="AB245" s="27">
        <f>IF(E245="","",Z245-AA245)</f>
        <v/>
      </c>
      <c r="AC245" s="25">
        <f>IF(E245="","",IFERROR(IF(INDEX(tbl_Onsite[Qwilr Quote],IFERROR(MATCH(E245&amp;"",tbl_Onsite[Job Number],0),MATCH(IFERROR(E245+0,E245),tbl_Onsite[Job Number],0)))="","",INDEX(tbl_Onsite[Qwilr Quote],IFERROR(MATCH(E245&amp;"",tbl_Onsite[Job Number],0),MATCH(IFERROR(E245+0,E245),tbl_Onsite[Job Number],0)))),IFERROR(IF(IF(INDEX(tbl_Production[Current RMS No],IFERROR(MATCH(E245&amp;"",tbl_Production[Job Number],0),MATCH(IFERROR(E245+0,E245),tbl_Production[Job Number],0)))="",INDEX(tbl_Production[Qwilr Quote],IFERROR(MATCH(E245&amp;"",tbl_Production[Job Number],0),MATCH(IFERROR(E245+0,E245),tbl_Production[Job Number],0))),INDEX(tbl_Production[Current RMS No],IFERROR(MATCH(E245&amp;"",tbl_Production[Job Number],0),MATCH(IFERROR(E245+0,E245),tbl_Production[Job Number],0))))="","",IF(INDEX(tbl_Production[Current RMS No],IFERROR(MATCH(E245&amp;"",tbl_Production[Job Number],0),MATCH(IFERROR(E245+0,E245),tbl_Production[Job Number],0)))="",INDEX(tbl_Production[Qwilr Quote],IFERROR(MATCH(E245&amp;"",tbl_Production[Job Number],0),MATCH(IFERROR(E245+0,E245),tbl_Production[Job Number],0))),INDEX(tbl_Production[Current RMS No],IFERROR(MATCH(E245&amp;"",tbl_Production[Job Number],0),MATCH(IFERROR(E245+0,E245),tbl_Production[Job Number],0))))),IFERROR(IF(INDEX(tbl_Consulting[Qwilr Quote],IFERROR(MATCH(E245&amp;"",tbl_Consulting[Job Number],0),MATCH(IFERROR(E245+0,E245),tbl_Consulting[Job Number],0)))="","",INDEX(tbl_Consulting[Qwilr Quote],IFERROR(MATCH(E245&amp;"",tbl_Consulting[Job Number],0),MATCH(IFERROR(E245+0,E245),tbl_Consulting[Job Number],0)))),""))))</f>
        <v/>
      </c>
      <c r="AD245" s="25">
        <f>IF(AC245="","",IF(AND(LEFT(AC245,4)&lt;&gt;"http",IF(H245="Production",set_RMSBase,set_QwilrBase)=""),"",HYPERLINK(IF(LEFT(AC245,4)="http",AC245,IF(H245="Production",set_RMSBase,set_QwilrBase)&amp;AC245),"Open")))</f>
        <v/>
      </c>
      <c r="AE245" s="27">
        <f>IF(E245="","",IFERROR(INDEX(tbl_Production[Total Expense],IFERROR(MATCH(E245&amp;"",tbl_Production[Job Number],0),MATCH(IFERROR(E245+0,E245),tbl_Production[Job Number],0))),IFERROR(INDEX(tbl_Consulting[Total Expense],IFERROR(MATCH(E245&amp;"",tbl_Consulting[Job Number],0),MATCH(IFERROR(E245+0,E245),tbl_Consulting[Job Number],0))),0)))</f>
        <v/>
      </c>
      <c r="AF245" s="27">
        <f>IF(E245="","",Z245-N(AE245))</f>
        <v/>
      </c>
      <c r="AG245" s="29">
        <f>IFERROR(AF245/Z245,"")</f>
        <v/>
      </c>
      <c r="AH245" s="25">
        <f>IF(E245="","",IFERROR(IF(INDEX(tbl_Onsite[Notes],IFERROR(MATCH(E245&amp;"",tbl_Onsite[Job Number],0),MATCH(IFERROR(E245+0,E245),tbl_Onsite[Job Number],0)))="","",INDEX(tbl_Onsite[Notes],IFERROR(MATCH(E245&amp;"",tbl_Onsite[Job Number],0),MATCH(IFERROR(E245+0,E245),tbl_Onsite[Job Number],0)))),IFERROR(IF(INDEX(tbl_Production[Notes],IFERROR(MATCH(E245&amp;"",tbl_Production[Job Number],0),MATCH(IFERROR(E245+0,E245),tbl_Production[Job Number],0)))="","",INDEX(tbl_Production[Notes],IFERROR(MATCH(E245&amp;"",tbl_Production[Job Number],0),MATCH(IFERROR(E245+0,E245),tbl_Production[Job Number],0)))),IFERROR(IF(INDEX(tbl_Consulting[Notes],IFERROR(MATCH(E245&amp;"",tbl_Consulting[Job Number],0),MATCH(IFERROR(E245+0,E245),tbl_Consulting[Job Number],0)))="","",INDEX(tbl_Consulting[Notes],IFERROR(MATCH(E245&amp;"",tbl_Consulting[Job Number],0),MATCH(IFERROR(E245+0,E245),tbl_Consulting[Job Number],0)))),""))))</f>
        <v/>
      </c>
    </row>
    <row r="246" ht="15" customHeight="1">
      <c r="A246" s="22" t="n"/>
      <c r="B246" s="23">
        <f>IF(A246="","",EOMONTH(A246,0))</f>
        <v/>
      </c>
      <c r="C246" s="24" t="n"/>
      <c r="D246" s="24" t="n"/>
      <c r="E246" s="24" t="n"/>
      <c r="F246" s="25">
        <f>IF(E246="","",IF(COUNTIF(lst_Jobs,E246&amp;"")&gt;0,"OK","CHECK"))</f>
        <v/>
      </c>
      <c r="G246" s="24" t="n"/>
      <c r="H246" s="24" t="n"/>
      <c r="I246" s="24" t="n"/>
      <c r="J246" s="24" t="n"/>
      <c r="K246" s="24" t="n"/>
      <c r="L246" s="26" t="n"/>
      <c r="M246" s="27">
        <f>IF(L246="","",IF(K246="GST 10%",ROUND(L246*set_GSTRate,2),0))</f>
        <v/>
      </c>
      <c r="N246" s="27">
        <f>IF(L246="","",L246+M246)</f>
        <v/>
      </c>
      <c r="O246" s="24" t="n"/>
      <c r="P246" s="24" t="n"/>
      <c r="Q246" s="24" t="n"/>
      <c r="R246" s="22" t="n"/>
      <c r="S246" s="22" t="n"/>
      <c r="T246" s="24" t="n"/>
      <c r="U246" s="24" t="n"/>
      <c r="V246" s="2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25">
        <f>IF(E246="","",IF(COUNTIF(tbl_Onsite[Job Number],E246&amp;"")&gt;0,"Onsite",IF(COUNTIF(tbl_Production[Job Number],E246&amp;"")&gt;0,"Production",IF(COUNTIF(tbl_Consulting[Job Number],E246&amp;"")&gt;0,"Consulting","not set up yet"))))</f>
        <v/>
      </c>
      <c r="X246" s="25">
        <f>IF(E246="","",IFERROR(INDEX(lst_JobName,MATCH(E246&amp;"",lst_Jobs,0)),""))</f>
        <v/>
      </c>
      <c r="Y246" s="28">
        <f>IF(E246="","",COUNTIFS(tbl_Finance[Job Number],E246&amp;"",tbl_Finance[Ex GST],"&lt;&gt;"))</f>
        <v/>
      </c>
      <c r="Z246" s="27">
        <f>IF(E246="","",SUMIFS(tbl_Finance[Ex GST],tbl_Finance[Job Number],E246&amp;""))</f>
        <v/>
      </c>
      <c r="AA246" s="27">
        <f>IF(E246="","",SUMIFS(tbl_Finance[Ex GST],tbl_Finance[Job Number],E246&amp;"",tbl_Finance[Xero Invoice No],"&lt;&gt;"))</f>
        <v/>
      </c>
      <c r="AB246" s="27">
        <f>IF(E246="","",Z246-AA246)</f>
        <v/>
      </c>
      <c r="AC246" s="25">
        <f>IF(E246="","",IFERROR(IF(INDEX(tbl_Onsite[Qwilr Quote],IFERROR(MATCH(E246&amp;"",tbl_Onsite[Job Number],0),MATCH(IFERROR(E246+0,E246),tbl_Onsite[Job Number],0)))="","",INDEX(tbl_Onsite[Qwilr Quote],IFERROR(MATCH(E246&amp;"",tbl_Onsite[Job Number],0),MATCH(IFERROR(E246+0,E246),tbl_Onsite[Job Number],0)))),IFERROR(IF(IF(INDEX(tbl_Production[Current RMS No],IFERROR(MATCH(E246&amp;"",tbl_Production[Job Number],0),MATCH(IFERROR(E246+0,E246),tbl_Production[Job Number],0)))="",INDEX(tbl_Production[Qwilr Quote],IFERROR(MATCH(E246&amp;"",tbl_Production[Job Number],0),MATCH(IFERROR(E246+0,E246),tbl_Production[Job Number],0))),INDEX(tbl_Production[Current RMS No],IFERROR(MATCH(E246&amp;"",tbl_Production[Job Number],0),MATCH(IFERROR(E246+0,E246),tbl_Production[Job Number],0))))="","",IF(INDEX(tbl_Production[Current RMS No],IFERROR(MATCH(E246&amp;"",tbl_Production[Job Number],0),MATCH(IFERROR(E246+0,E246),tbl_Production[Job Number],0)))="",INDEX(tbl_Production[Qwilr Quote],IFERROR(MATCH(E246&amp;"",tbl_Production[Job Number],0),MATCH(IFERROR(E246+0,E246),tbl_Production[Job Number],0))),INDEX(tbl_Production[Current RMS No],IFERROR(MATCH(E246&amp;"",tbl_Production[Job Number],0),MATCH(IFERROR(E246+0,E246),tbl_Production[Job Number],0))))),IFERROR(IF(INDEX(tbl_Consulting[Qwilr Quote],IFERROR(MATCH(E246&amp;"",tbl_Consulting[Job Number],0),MATCH(IFERROR(E246+0,E246),tbl_Consulting[Job Number],0)))="","",INDEX(tbl_Consulting[Qwilr Quote],IFERROR(MATCH(E246&amp;"",tbl_Consulting[Job Number],0),MATCH(IFERROR(E246+0,E246),tbl_Consulting[Job Number],0)))),""))))</f>
        <v/>
      </c>
      <c r="AD246" s="25">
        <f>IF(AC246="","",IF(AND(LEFT(AC246,4)&lt;&gt;"http",IF(H246="Production",set_RMSBase,set_QwilrBase)=""),"",HYPERLINK(IF(LEFT(AC246,4)="http",AC246,IF(H246="Production",set_RMSBase,set_QwilrBase)&amp;AC246),"Open")))</f>
        <v/>
      </c>
      <c r="AE246" s="27">
        <f>IF(E246="","",IFERROR(INDEX(tbl_Production[Total Expense],IFERROR(MATCH(E246&amp;"",tbl_Production[Job Number],0),MATCH(IFERROR(E246+0,E246),tbl_Production[Job Number],0))),IFERROR(INDEX(tbl_Consulting[Total Expense],IFERROR(MATCH(E246&amp;"",tbl_Consulting[Job Number],0),MATCH(IFERROR(E246+0,E246),tbl_Consulting[Job Number],0))),0)))</f>
        <v/>
      </c>
      <c r="AF246" s="27">
        <f>IF(E246="","",Z246-N(AE246))</f>
        <v/>
      </c>
      <c r="AG246" s="29">
        <f>IFERROR(AF246/Z246,"")</f>
        <v/>
      </c>
      <c r="AH246" s="25">
        <f>IF(E246="","",IFERROR(IF(INDEX(tbl_Onsite[Notes],IFERROR(MATCH(E246&amp;"",tbl_Onsite[Job Number],0),MATCH(IFERROR(E246+0,E246),tbl_Onsite[Job Number],0)))="","",INDEX(tbl_Onsite[Notes],IFERROR(MATCH(E246&amp;"",tbl_Onsite[Job Number],0),MATCH(IFERROR(E246+0,E246),tbl_Onsite[Job Number],0)))),IFERROR(IF(INDEX(tbl_Production[Notes],IFERROR(MATCH(E246&amp;"",tbl_Production[Job Number],0),MATCH(IFERROR(E246+0,E246),tbl_Production[Job Number],0)))="","",INDEX(tbl_Production[Notes],IFERROR(MATCH(E246&amp;"",tbl_Production[Job Number],0),MATCH(IFERROR(E246+0,E246),tbl_Production[Job Number],0)))),IFERROR(IF(INDEX(tbl_Consulting[Notes],IFERROR(MATCH(E246&amp;"",tbl_Consulting[Job Number],0),MATCH(IFERROR(E246+0,E246),tbl_Consulting[Job Number],0)))="","",INDEX(tbl_Consulting[Notes],IFERROR(MATCH(E246&amp;"",tbl_Consulting[Job Number],0),MATCH(IFERROR(E246+0,E246),tbl_Consulting[Job Number],0)))),""))))</f>
        <v/>
      </c>
    </row>
    <row r="247" ht="15" customHeight="1">
      <c r="A247" s="22" t="n"/>
      <c r="B247" s="23">
        <f>IF(A247="","",EOMONTH(A247,0))</f>
        <v/>
      </c>
      <c r="C247" s="24" t="n"/>
      <c r="D247" s="24" t="n"/>
      <c r="E247" s="24" t="n"/>
      <c r="F247" s="25">
        <f>IF(E247="","",IF(COUNTIF(lst_Jobs,E247&amp;"")&gt;0,"OK","CHECK"))</f>
        <v/>
      </c>
      <c r="G247" s="24" t="n"/>
      <c r="H247" s="24" t="n"/>
      <c r="I247" s="24" t="n"/>
      <c r="J247" s="24" t="n"/>
      <c r="K247" s="24" t="n"/>
      <c r="L247" s="26" t="n"/>
      <c r="M247" s="27">
        <f>IF(L247="","",IF(K247="GST 10%",ROUND(L247*set_GSTRate,2),0))</f>
        <v/>
      </c>
      <c r="N247" s="27">
        <f>IF(L247="","",L247+M247)</f>
        <v/>
      </c>
      <c r="O247" s="24" t="n"/>
      <c r="P247" s="24" t="n"/>
      <c r="Q247" s="24" t="n"/>
      <c r="R247" s="22" t="n"/>
      <c r="S247" s="22" t="n"/>
      <c r="T247" s="24" t="n"/>
      <c r="U247" s="24" t="n"/>
      <c r="V247" s="2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25">
        <f>IF(E247="","",IF(COUNTIF(tbl_Onsite[Job Number],E247&amp;"")&gt;0,"Onsite",IF(COUNTIF(tbl_Production[Job Number],E247&amp;"")&gt;0,"Production",IF(COUNTIF(tbl_Consulting[Job Number],E247&amp;"")&gt;0,"Consulting","not set up yet"))))</f>
        <v/>
      </c>
      <c r="X247" s="25">
        <f>IF(E247="","",IFERROR(INDEX(lst_JobName,MATCH(E247&amp;"",lst_Jobs,0)),""))</f>
        <v/>
      </c>
      <c r="Y247" s="28">
        <f>IF(E247="","",COUNTIFS(tbl_Finance[Job Number],E247&amp;"",tbl_Finance[Ex GST],"&lt;&gt;"))</f>
        <v/>
      </c>
      <c r="Z247" s="27">
        <f>IF(E247="","",SUMIFS(tbl_Finance[Ex GST],tbl_Finance[Job Number],E247&amp;""))</f>
        <v/>
      </c>
      <c r="AA247" s="27">
        <f>IF(E247="","",SUMIFS(tbl_Finance[Ex GST],tbl_Finance[Job Number],E247&amp;"",tbl_Finance[Xero Invoice No],"&lt;&gt;"))</f>
        <v/>
      </c>
      <c r="AB247" s="27">
        <f>IF(E247="","",Z247-AA247)</f>
        <v/>
      </c>
      <c r="AC247" s="25">
        <f>IF(E247="","",IFERROR(IF(INDEX(tbl_Onsite[Qwilr Quote],IFERROR(MATCH(E247&amp;"",tbl_Onsite[Job Number],0),MATCH(IFERROR(E247+0,E247),tbl_Onsite[Job Number],0)))="","",INDEX(tbl_Onsite[Qwilr Quote],IFERROR(MATCH(E247&amp;"",tbl_Onsite[Job Number],0),MATCH(IFERROR(E247+0,E247),tbl_Onsite[Job Number],0)))),IFERROR(IF(IF(INDEX(tbl_Production[Current RMS No],IFERROR(MATCH(E247&amp;"",tbl_Production[Job Number],0),MATCH(IFERROR(E247+0,E247),tbl_Production[Job Number],0)))="",INDEX(tbl_Production[Qwilr Quote],IFERROR(MATCH(E247&amp;"",tbl_Production[Job Number],0),MATCH(IFERROR(E247+0,E247),tbl_Production[Job Number],0))),INDEX(tbl_Production[Current RMS No],IFERROR(MATCH(E247&amp;"",tbl_Production[Job Number],0),MATCH(IFERROR(E247+0,E247),tbl_Production[Job Number],0))))="","",IF(INDEX(tbl_Production[Current RMS No],IFERROR(MATCH(E247&amp;"",tbl_Production[Job Number],0),MATCH(IFERROR(E247+0,E247),tbl_Production[Job Number],0)))="",INDEX(tbl_Production[Qwilr Quote],IFERROR(MATCH(E247&amp;"",tbl_Production[Job Number],0),MATCH(IFERROR(E247+0,E247),tbl_Production[Job Number],0))),INDEX(tbl_Production[Current RMS No],IFERROR(MATCH(E247&amp;"",tbl_Production[Job Number],0),MATCH(IFERROR(E247+0,E247),tbl_Production[Job Number],0))))),IFERROR(IF(INDEX(tbl_Consulting[Qwilr Quote],IFERROR(MATCH(E247&amp;"",tbl_Consulting[Job Number],0),MATCH(IFERROR(E247+0,E247),tbl_Consulting[Job Number],0)))="","",INDEX(tbl_Consulting[Qwilr Quote],IFERROR(MATCH(E247&amp;"",tbl_Consulting[Job Number],0),MATCH(IFERROR(E247+0,E247),tbl_Consulting[Job Number],0)))),""))))</f>
        <v/>
      </c>
      <c r="AD247" s="25">
        <f>IF(AC247="","",IF(AND(LEFT(AC247,4)&lt;&gt;"http",IF(H247="Production",set_RMSBase,set_QwilrBase)=""),"",HYPERLINK(IF(LEFT(AC247,4)="http",AC247,IF(H247="Production",set_RMSBase,set_QwilrBase)&amp;AC247),"Open")))</f>
        <v/>
      </c>
      <c r="AE247" s="27">
        <f>IF(E247="","",IFERROR(INDEX(tbl_Production[Total Expense],IFERROR(MATCH(E247&amp;"",tbl_Production[Job Number],0),MATCH(IFERROR(E247+0,E247),tbl_Production[Job Number],0))),IFERROR(INDEX(tbl_Consulting[Total Expense],IFERROR(MATCH(E247&amp;"",tbl_Consulting[Job Number],0),MATCH(IFERROR(E247+0,E247),tbl_Consulting[Job Number],0))),0)))</f>
        <v/>
      </c>
      <c r="AF247" s="27">
        <f>IF(E247="","",Z247-N(AE247))</f>
        <v/>
      </c>
      <c r="AG247" s="29">
        <f>IFERROR(AF247/Z247,"")</f>
        <v/>
      </c>
      <c r="AH247" s="25">
        <f>IF(E247="","",IFERROR(IF(INDEX(tbl_Onsite[Notes],IFERROR(MATCH(E247&amp;"",tbl_Onsite[Job Number],0),MATCH(IFERROR(E247+0,E247),tbl_Onsite[Job Number],0)))="","",INDEX(tbl_Onsite[Notes],IFERROR(MATCH(E247&amp;"",tbl_Onsite[Job Number],0),MATCH(IFERROR(E247+0,E247),tbl_Onsite[Job Number],0)))),IFERROR(IF(INDEX(tbl_Production[Notes],IFERROR(MATCH(E247&amp;"",tbl_Production[Job Number],0),MATCH(IFERROR(E247+0,E247),tbl_Production[Job Number],0)))="","",INDEX(tbl_Production[Notes],IFERROR(MATCH(E247&amp;"",tbl_Production[Job Number],0),MATCH(IFERROR(E247+0,E247),tbl_Production[Job Number],0)))),IFERROR(IF(INDEX(tbl_Consulting[Notes],IFERROR(MATCH(E247&amp;"",tbl_Consulting[Job Number],0),MATCH(IFERROR(E247+0,E247),tbl_Consulting[Job Number],0)))="","",INDEX(tbl_Consulting[Notes],IFERROR(MATCH(E247&amp;"",tbl_Consulting[Job Number],0),MATCH(IFERROR(E247+0,E247),tbl_Consulting[Job Number],0)))),""))))</f>
        <v/>
      </c>
    </row>
    <row r="248" ht="15" customHeight="1">
      <c r="A248" s="22" t="n"/>
      <c r="B248" s="23">
        <f>IF(A248="","",EOMONTH(A248,0))</f>
        <v/>
      </c>
      <c r="C248" s="24" t="n"/>
      <c r="D248" s="24" t="n"/>
      <c r="E248" s="24" t="n"/>
      <c r="F248" s="25">
        <f>IF(E248="","",IF(COUNTIF(lst_Jobs,E248&amp;"")&gt;0,"OK","CHECK"))</f>
        <v/>
      </c>
      <c r="G248" s="24" t="n"/>
      <c r="H248" s="24" t="n"/>
      <c r="I248" s="24" t="n"/>
      <c r="J248" s="24" t="n"/>
      <c r="K248" s="24" t="n"/>
      <c r="L248" s="26" t="n"/>
      <c r="M248" s="27">
        <f>IF(L248="","",IF(K248="GST 10%",ROUND(L248*set_GSTRate,2),0))</f>
        <v/>
      </c>
      <c r="N248" s="27">
        <f>IF(L248="","",L248+M248)</f>
        <v/>
      </c>
      <c r="O248" s="24" t="n"/>
      <c r="P248" s="24" t="n"/>
      <c r="Q248" s="24" t="n"/>
      <c r="R248" s="22" t="n"/>
      <c r="S248" s="22" t="n"/>
      <c r="T248" s="24" t="n"/>
      <c r="U248" s="24" t="n"/>
      <c r="V248" s="2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25">
        <f>IF(E248="","",IF(COUNTIF(tbl_Onsite[Job Number],E248&amp;"")&gt;0,"Onsite",IF(COUNTIF(tbl_Production[Job Number],E248&amp;"")&gt;0,"Production",IF(COUNTIF(tbl_Consulting[Job Number],E248&amp;"")&gt;0,"Consulting","not set up yet"))))</f>
        <v/>
      </c>
      <c r="X248" s="25">
        <f>IF(E248="","",IFERROR(INDEX(lst_JobName,MATCH(E248&amp;"",lst_Jobs,0)),""))</f>
        <v/>
      </c>
      <c r="Y248" s="28">
        <f>IF(E248="","",COUNTIFS(tbl_Finance[Job Number],E248&amp;"",tbl_Finance[Ex GST],"&lt;&gt;"))</f>
        <v/>
      </c>
      <c r="Z248" s="27">
        <f>IF(E248="","",SUMIFS(tbl_Finance[Ex GST],tbl_Finance[Job Number],E248&amp;""))</f>
        <v/>
      </c>
      <c r="AA248" s="27">
        <f>IF(E248="","",SUMIFS(tbl_Finance[Ex GST],tbl_Finance[Job Number],E248&amp;"",tbl_Finance[Xero Invoice No],"&lt;&gt;"))</f>
        <v/>
      </c>
      <c r="AB248" s="27">
        <f>IF(E248="","",Z248-AA248)</f>
        <v/>
      </c>
      <c r="AC248" s="25">
        <f>IF(E248="","",IFERROR(IF(INDEX(tbl_Onsite[Qwilr Quote],IFERROR(MATCH(E248&amp;"",tbl_Onsite[Job Number],0),MATCH(IFERROR(E248+0,E248),tbl_Onsite[Job Number],0)))="","",INDEX(tbl_Onsite[Qwilr Quote],IFERROR(MATCH(E248&amp;"",tbl_Onsite[Job Number],0),MATCH(IFERROR(E248+0,E248),tbl_Onsite[Job Number],0)))),IFERROR(IF(IF(INDEX(tbl_Production[Current RMS No],IFERROR(MATCH(E248&amp;"",tbl_Production[Job Number],0),MATCH(IFERROR(E248+0,E248),tbl_Production[Job Number],0)))="",INDEX(tbl_Production[Qwilr Quote],IFERROR(MATCH(E248&amp;"",tbl_Production[Job Number],0),MATCH(IFERROR(E248+0,E248),tbl_Production[Job Number],0))),INDEX(tbl_Production[Current RMS No],IFERROR(MATCH(E248&amp;"",tbl_Production[Job Number],0),MATCH(IFERROR(E248+0,E248),tbl_Production[Job Number],0))))="","",IF(INDEX(tbl_Production[Current RMS No],IFERROR(MATCH(E248&amp;"",tbl_Production[Job Number],0),MATCH(IFERROR(E248+0,E248),tbl_Production[Job Number],0)))="",INDEX(tbl_Production[Qwilr Quote],IFERROR(MATCH(E248&amp;"",tbl_Production[Job Number],0),MATCH(IFERROR(E248+0,E248),tbl_Production[Job Number],0))),INDEX(tbl_Production[Current RMS No],IFERROR(MATCH(E248&amp;"",tbl_Production[Job Number],0),MATCH(IFERROR(E248+0,E248),tbl_Production[Job Number],0))))),IFERROR(IF(INDEX(tbl_Consulting[Qwilr Quote],IFERROR(MATCH(E248&amp;"",tbl_Consulting[Job Number],0),MATCH(IFERROR(E248+0,E248),tbl_Consulting[Job Number],0)))="","",INDEX(tbl_Consulting[Qwilr Quote],IFERROR(MATCH(E248&amp;"",tbl_Consulting[Job Number],0),MATCH(IFERROR(E248+0,E248),tbl_Consulting[Job Number],0)))),""))))</f>
        <v/>
      </c>
      <c r="AD248" s="25">
        <f>IF(AC248="","",IF(AND(LEFT(AC248,4)&lt;&gt;"http",IF(H248="Production",set_RMSBase,set_QwilrBase)=""),"",HYPERLINK(IF(LEFT(AC248,4)="http",AC248,IF(H248="Production",set_RMSBase,set_QwilrBase)&amp;AC248),"Open")))</f>
        <v/>
      </c>
      <c r="AE248" s="27">
        <f>IF(E248="","",IFERROR(INDEX(tbl_Production[Total Expense],IFERROR(MATCH(E248&amp;"",tbl_Production[Job Number],0),MATCH(IFERROR(E248+0,E248),tbl_Production[Job Number],0))),IFERROR(INDEX(tbl_Consulting[Total Expense],IFERROR(MATCH(E248&amp;"",tbl_Consulting[Job Number],0),MATCH(IFERROR(E248+0,E248),tbl_Consulting[Job Number],0))),0)))</f>
        <v/>
      </c>
      <c r="AF248" s="27">
        <f>IF(E248="","",Z248-N(AE248))</f>
        <v/>
      </c>
      <c r="AG248" s="29">
        <f>IFERROR(AF248/Z248,"")</f>
        <v/>
      </c>
      <c r="AH248" s="25">
        <f>IF(E248="","",IFERROR(IF(INDEX(tbl_Onsite[Notes],IFERROR(MATCH(E248&amp;"",tbl_Onsite[Job Number],0),MATCH(IFERROR(E248+0,E248),tbl_Onsite[Job Number],0)))="","",INDEX(tbl_Onsite[Notes],IFERROR(MATCH(E248&amp;"",tbl_Onsite[Job Number],0),MATCH(IFERROR(E248+0,E248),tbl_Onsite[Job Number],0)))),IFERROR(IF(INDEX(tbl_Production[Notes],IFERROR(MATCH(E248&amp;"",tbl_Production[Job Number],0),MATCH(IFERROR(E248+0,E248),tbl_Production[Job Number],0)))="","",INDEX(tbl_Production[Notes],IFERROR(MATCH(E248&amp;"",tbl_Production[Job Number],0),MATCH(IFERROR(E248+0,E248),tbl_Production[Job Number],0)))),IFERROR(IF(INDEX(tbl_Consulting[Notes],IFERROR(MATCH(E248&amp;"",tbl_Consulting[Job Number],0),MATCH(IFERROR(E248+0,E248),tbl_Consulting[Job Number],0)))="","",INDEX(tbl_Consulting[Notes],IFERROR(MATCH(E248&amp;"",tbl_Consulting[Job Number],0),MATCH(IFERROR(E248+0,E248),tbl_Consulting[Job Number],0)))),""))))</f>
        <v/>
      </c>
    </row>
    <row r="249" ht="15" customHeight="1">
      <c r="A249" s="22" t="n"/>
      <c r="B249" s="23">
        <f>IF(A249="","",EOMONTH(A249,0))</f>
        <v/>
      </c>
      <c r="C249" s="24" t="n"/>
      <c r="D249" s="24" t="n"/>
      <c r="E249" s="24" t="n"/>
      <c r="F249" s="25">
        <f>IF(E249="","",IF(COUNTIF(lst_Jobs,E249&amp;"")&gt;0,"OK","CHECK"))</f>
        <v/>
      </c>
      <c r="G249" s="24" t="n"/>
      <c r="H249" s="24" t="n"/>
      <c r="I249" s="24" t="n"/>
      <c r="J249" s="24" t="n"/>
      <c r="K249" s="24" t="n"/>
      <c r="L249" s="26" t="n"/>
      <c r="M249" s="27">
        <f>IF(L249="","",IF(K249="GST 10%",ROUND(L249*set_GSTRate,2),0))</f>
        <v/>
      </c>
      <c r="N249" s="27">
        <f>IF(L249="","",L249+M249)</f>
        <v/>
      </c>
      <c r="O249" s="24" t="n"/>
      <c r="P249" s="24" t="n"/>
      <c r="Q249" s="24" t="n"/>
      <c r="R249" s="22" t="n"/>
      <c r="S249" s="22" t="n"/>
      <c r="T249" s="24" t="n"/>
      <c r="U249" s="24" t="n"/>
      <c r="V249" s="2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25">
        <f>IF(E249="","",IF(COUNTIF(tbl_Onsite[Job Number],E249&amp;"")&gt;0,"Onsite",IF(COUNTIF(tbl_Production[Job Number],E249&amp;"")&gt;0,"Production",IF(COUNTIF(tbl_Consulting[Job Number],E249&amp;"")&gt;0,"Consulting","not set up yet"))))</f>
        <v/>
      </c>
      <c r="X249" s="25">
        <f>IF(E249="","",IFERROR(INDEX(lst_JobName,MATCH(E249&amp;"",lst_Jobs,0)),""))</f>
        <v/>
      </c>
      <c r="Y249" s="28">
        <f>IF(E249="","",COUNTIFS(tbl_Finance[Job Number],E249&amp;"",tbl_Finance[Ex GST],"&lt;&gt;"))</f>
        <v/>
      </c>
      <c r="Z249" s="27">
        <f>IF(E249="","",SUMIFS(tbl_Finance[Ex GST],tbl_Finance[Job Number],E249&amp;""))</f>
        <v/>
      </c>
      <c r="AA249" s="27">
        <f>IF(E249="","",SUMIFS(tbl_Finance[Ex GST],tbl_Finance[Job Number],E249&amp;"",tbl_Finance[Xero Invoice No],"&lt;&gt;"))</f>
        <v/>
      </c>
      <c r="AB249" s="27">
        <f>IF(E249="","",Z249-AA249)</f>
        <v/>
      </c>
      <c r="AC249" s="25">
        <f>IF(E249="","",IFERROR(IF(INDEX(tbl_Onsite[Qwilr Quote],IFERROR(MATCH(E249&amp;"",tbl_Onsite[Job Number],0),MATCH(IFERROR(E249+0,E249),tbl_Onsite[Job Number],0)))="","",INDEX(tbl_Onsite[Qwilr Quote],IFERROR(MATCH(E249&amp;"",tbl_Onsite[Job Number],0),MATCH(IFERROR(E249+0,E249),tbl_Onsite[Job Number],0)))),IFERROR(IF(IF(INDEX(tbl_Production[Current RMS No],IFERROR(MATCH(E249&amp;"",tbl_Production[Job Number],0),MATCH(IFERROR(E249+0,E249),tbl_Production[Job Number],0)))="",INDEX(tbl_Production[Qwilr Quote],IFERROR(MATCH(E249&amp;"",tbl_Production[Job Number],0),MATCH(IFERROR(E249+0,E249),tbl_Production[Job Number],0))),INDEX(tbl_Production[Current RMS No],IFERROR(MATCH(E249&amp;"",tbl_Production[Job Number],0),MATCH(IFERROR(E249+0,E249),tbl_Production[Job Number],0))))="","",IF(INDEX(tbl_Production[Current RMS No],IFERROR(MATCH(E249&amp;"",tbl_Production[Job Number],0),MATCH(IFERROR(E249+0,E249),tbl_Production[Job Number],0)))="",INDEX(tbl_Production[Qwilr Quote],IFERROR(MATCH(E249&amp;"",tbl_Production[Job Number],0),MATCH(IFERROR(E249+0,E249),tbl_Production[Job Number],0))),INDEX(tbl_Production[Current RMS No],IFERROR(MATCH(E249&amp;"",tbl_Production[Job Number],0),MATCH(IFERROR(E249+0,E249),tbl_Production[Job Number],0))))),IFERROR(IF(INDEX(tbl_Consulting[Qwilr Quote],IFERROR(MATCH(E249&amp;"",tbl_Consulting[Job Number],0),MATCH(IFERROR(E249+0,E249),tbl_Consulting[Job Number],0)))="","",INDEX(tbl_Consulting[Qwilr Quote],IFERROR(MATCH(E249&amp;"",tbl_Consulting[Job Number],0),MATCH(IFERROR(E249+0,E249),tbl_Consulting[Job Number],0)))),""))))</f>
        <v/>
      </c>
      <c r="AD249" s="25">
        <f>IF(AC249="","",IF(AND(LEFT(AC249,4)&lt;&gt;"http",IF(H249="Production",set_RMSBase,set_QwilrBase)=""),"",HYPERLINK(IF(LEFT(AC249,4)="http",AC249,IF(H249="Production",set_RMSBase,set_QwilrBase)&amp;AC249),"Open")))</f>
        <v/>
      </c>
      <c r="AE249" s="27">
        <f>IF(E249="","",IFERROR(INDEX(tbl_Production[Total Expense],IFERROR(MATCH(E249&amp;"",tbl_Production[Job Number],0),MATCH(IFERROR(E249+0,E249),tbl_Production[Job Number],0))),IFERROR(INDEX(tbl_Consulting[Total Expense],IFERROR(MATCH(E249&amp;"",tbl_Consulting[Job Number],0),MATCH(IFERROR(E249+0,E249),tbl_Consulting[Job Number],0))),0)))</f>
        <v/>
      </c>
      <c r="AF249" s="27">
        <f>IF(E249="","",Z249-N(AE249))</f>
        <v/>
      </c>
      <c r="AG249" s="29">
        <f>IFERROR(AF249/Z249,"")</f>
        <v/>
      </c>
      <c r="AH249" s="25">
        <f>IF(E249="","",IFERROR(IF(INDEX(tbl_Onsite[Notes],IFERROR(MATCH(E249&amp;"",tbl_Onsite[Job Number],0),MATCH(IFERROR(E249+0,E249),tbl_Onsite[Job Number],0)))="","",INDEX(tbl_Onsite[Notes],IFERROR(MATCH(E249&amp;"",tbl_Onsite[Job Number],0),MATCH(IFERROR(E249+0,E249),tbl_Onsite[Job Number],0)))),IFERROR(IF(INDEX(tbl_Production[Notes],IFERROR(MATCH(E249&amp;"",tbl_Production[Job Number],0),MATCH(IFERROR(E249+0,E249),tbl_Production[Job Number],0)))="","",INDEX(tbl_Production[Notes],IFERROR(MATCH(E249&amp;"",tbl_Production[Job Number],0),MATCH(IFERROR(E249+0,E249),tbl_Production[Job Number],0)))),IFERROR(IF(INDEX(tbl_Consulting[Notes],IFERROR(MATCH(E249&amp;"",tbl_Consulting[Job Number],0),MATCH(IFERROR(E249+0,E249),tbl_Consulting[Job Number],0)))="","",INDEX(tbl_Consulting[Notes],IFERROR(MATCH(E249&amp;"",tbl_Consulting[Job Number],0),MATCH(IFERROR(E249+0,E249),tbl_Consulting[Job Number],0)))),""))))</f>
        <v/>
      </c>
    </row>
    <row r="250" ht="15" customHeight="1">
      <c r="A250" s="22" t="n"/>
      <c r="B250" s="23">
        <f>IF(A250="","",EOMONTH(A250,0))</f>
        <v/>
      </c>
      <c r="C250" s="24" t="n"/>
      <c r="D250" s="24" t="n"/>
      <c r="E250" s="24" t="n"/>
      <c r="F250" s="25">
        <f>IF(E250="","",IF(COUNTIF(lst_Jobs,E250&amp;"")&gt;0,"OK","CHECK"))</f>
        <v/>
      </c>
      <c r="G250" s="24" t="n"/>
      <c r="H250" s="24" t="n"/>
      <c r="I250" s="24" t="n"/>
      <c r="J250" s="24" t="n"/>
      <c r="K250" s="24" t="n"/>
      <c r="L250" s="26" t="n"/>
      <c r="M250" s="27">
        <f>IF(L250="","",IF(K250="GST 10%",ROUND(L250*set_GSTRate,2),0))</f>
        <v/>
      </c>
      <c r="N250" s="27">
        <f>IF(L250="","",L250+M250)</f>
        <v/>
      </c>
      <c r="O250" s="24" t="n"/>
      <c r="P250" s="24" t="n"/>
      <c r="Q250" s="24" t="n"/>
      <c r="R250" s="22" t="n"/>
      <c r="S250" s="22" t="n"/>
      <c r="T250" s="24" t="n"/>
      <c r="U250" s="24" t="n"/>
      <c r="V250" s="2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25">
        <f>IF(E250="","",IF(COUNTIF(tbl_Onsite[Job Number],E250&amp;"")&gt;0,"Onsite",IF(COUNTIF(tbl_Production[Job Number],E250&amp;"")&gt;0,"Production",IF(COUNTIF(tbl_Consulting[Job Number],E250&amp;"")&gt;0,"Consulting","not set up yet"))))</f>
        <v/>
      </c>
      <c r="X250" s="25">
        <f>IF(E250="","",IFERROR(INDEX(lst_JobName,MATCH(E250&amp;"",lst_Jobs,0)),""))</f>
        <v/>
      </c>
      <c r="Y250" s="28">
        <f>IF(E250="","",COUNTIFS(tbl_Finance[Job Number],E250&amp;"",tbl_Finance[Ex GST],"&lt;&gt;"))</f>
        <v/>
      </c>
      <c r="Z250" s="27">
        <f>IF(E250="","",SUMIFS(tbl_Finance[Ex GST],tbl_Finance[Job Number],E250&amp;""))</f>
        <v/>
      </c>
      <c r="AA250" s="27">
        <f>IF(E250="","",SUMIFS(tbl_Finance[Ex GST],tbl_Finance[Job Number],E250&amp;"",tbl_Finance[Xero Invoice No],"&lt;&gt;"))</f>
        <v/>
      </c>
      <c r="AB250" s="27">
        <f>IF(E250="","",Z250-AA250)</f>
        <v/>
      </c>
      <c r="AC250" s="25">
        <f>IF(E250="","",IFERROR(IF(INDEX(tbl_Onsite[Qwilr Quote],IFERROR(MATCH(E250&amp;"",tbl_Onsite[Job Number],0),MATCH(IFERROR(E250+0,E250),tbl_Onsite[Job Number],0)))="","",INDEX(tbl_Onsite[Qwilr Quote],IFERROR(MATCH(E250&amp;"",tbl_Onsite[Job Number],0),MATCH(IFERROR(E250+0,E250),tbl_Onsite[Job Number],0)))),IFERROR(IF(IF(INDEX(tbl_Production[Current RMS No],IFERROR(MATCH(E250&amp;"",tbl_Production[Job Number],0),MATCH(IFERROR(E250+0,E250),tbl_Production[Job Number],0)))="",INDEX(tbl_Production[Qwilr Quote],IFERROR(MATCH(E250&amp;"",tbl_Production[Job Number],0),MATCH(IFERROR(E250+0,E250),tbl_Production[Job Number],0))),INDEX(tbl_Production[Current RMS No],IFERROR(MATCH(E250&amp;"",tbl_Production[Job Number],0),MATCH(IFERROR(E250+0,E250),tbl_Production[Job Number],0))))="","",IF(INDEX(tbl_Production[Current RMS No],IFERROR(MATCH(E250&amp;"",tbl_Production[Job Number],0),MATCH(IFERROR(E250+0,E250),tbl_Production[Job Number],0)))="",INDEX(tbl_Production[Qwilr Quote],IFERROR(MATCH(E250&amp;"",tbl_Production[Job Number],0),MATCH(IFERROR(E250+0,E250),tbl_Production[Job Number],0))),INDEX(tbl_Production[Current RMS No],IFERROR(MATCH(E250&amp;"",tbl_Production[Job Number],0),MATCH(IFERROR(E250+0,E250),tbl_Production[Job Number],0))))),IFERROR(IF(INDEX(tbl_Consulting[Qwilr Quote],IFERROR(MATCH(E250&amp;"",tbl_Consulting[Job Number],0),MATCH(IFERROR(E250+0,E250),tbl_Consulting[Job Number],0)))="","",INDEX(tbl_Consulting[Qwilr Quote],IFERROR(MATCH(E250&amp;"",tbl_Consulting[Job Number],0),MATCH(IFERROR(E250+0,E250),tbl_Consulting[Job Number],0)))),""))))</f>
        <v/>
      </c>
      <c r="AD250" s="25">
        <f>IF(AC250="","",IF(AND(LEFT(AC250,4)&lt;&gt;"http",IF(H250="Production",set_RMSBase,set_QwilrBase)=""),"",HYPERLINK(IF(LEFT(AC250,4)="http",AC250,IF(H250="Production",set_RMSBase,set_QwilrBase)&amp;AC250),"Open")))</f>
        <v/>
      </c>
      <c r="AE250" s="27">
        <f>IF(E250="","",IFERROR(INDEX(tbl_Production[Total Expense],IFERROR(MATCH(E250&amp;"",tbl_Production[Job Number],0),MATCH(IFERROR(E250+0,E250),tbl_Production[Job Number],0))),IFERROR(INDEX(tbl_Consulting[Total Expense],IFERROR(MATCH(E250&amp;"",tbl_Consulting[Job Number],0),MATCH(IFERROR(E250+0,E250),tbl_Consulting[Job Number],0))),0)))</f>
        <v/>
      </c>
      <c r="AF250" s="27">
        <f>IF(E250="","",Z250-N(AE250))</f>
        <v/>
      </c>
      <c r="AG250" s="29">
        <f>IFERROR(AF250/Z250,"")</f>
        <v/>
      </c>
      <c r="AH250" s="25">
        <f>IF(E250="","",IFERROR(IF(INDEX(tbl_Onsite[Notes],IFERROR(MATCH(E250&amp;"",tbl_Onsite[Job Number],0),MATCH(IFERROR(E250+0,E250),tbl_Onsite[Job Number],0)))="","",INDEX(tbl_Onsite[Notes],IFERROR(MATCH(E250&amp;"",tbl_Onsite[Job Number],0),MATCH(IFERROR(E250+0,E250),tbl_Onsite[Job Number],0)))),IFERROR(IF(INDEX(tbl_Production[Notes],IFERROR(MATCH(E250&amp;"",tbl_Production[Job Number],0),MATCH(IFERROR(E250+0,E250),tbl_Production[Job Number],0)))="","",INDEX(tbl_Production[Notes],IFERROR(MATCH(E250&amp;"",tbl_Production[Job Number],0),MATCH(IFERROR(E250+0,E250),tbl_Production[Job Number],0)))),IFERROR(IF(INDEX(tbl_Consulting[Notes],IFERROR(MATCH(E250&amp;"",tbl_Consulting[Job Number],0),MATCH(IFERROR(E250+0,E250),tbl_Consulting[Job Number],0)))="","",INDEX(tbl_Consulting[Notes],IFERROR(MATCH(E250&amp;"",tbl_Consulting[Job Number],0),MATCH(IFERROR(E250+0,E250),tbl_Consulting[Job Number],0)))),""))))</f>
        <v/>
      </c>
    </row>
    <row r="251" ht="15" customHeight="1">
      <c r="A251" s="22" t="n"/>
      <c r="B251" s="23">
        <f>IF(A251="","",EOMONTH(A251,0))</f>
        <v/>
      </c>
      <c r="C251" s="24" t="n"/>
      <c r="D251" s="24" t="n"/>
      <c r="E251" s="24" t="n"/>
      <c r="F251" s="25">
        <f>IF(E251="","",IF(COUNTIF(lst_Jobs,E251&amp;"")&gt;0,"OK","CHECK"))</f>
        <v/>
      </c>
      <c r="G251" s="24" t="n"/>
      <c r="H251" s="24" t="n"/>
      <c r="I251" s="24" t="n"/>
      <c r="J251" s="24" t="n"/>
      <c r="K251" s="24" t="n"/>
      <c r="L251" s="26" t="n"/>
      <c r="M251" s="27">
        <f>IF(L251="","",IF(K251="GST 10%",ROUND(L251*set_GSTRate,2),0))</f>
        <v/>
      </c>
      <c r="N251" s="27">
        <f>IF(L251="","",L251+M251)</f>
        <v/>
      </c>
      <c r="O251" s="24" t="n"/>
      <c r="P251" s="24" t="n"/>
      <c r="Q251" s="24" t="n"/>
      <c r="R251" s="22" t="n"/>
      <c r="S251" s="22" t="n"/>
      <c r="T251" s="24" t="n"/>
      <c r="U251" s="24" t="n"/>
      <c r="V251" s="2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25">
        <f>IF(E251="","",IF(COUNTIF(tbl_Onsite[Job Number],E251&amp;"")&gt;0,"Onsite",IF(COUNTIF(tbl_Production[Job Number],E251&amp;"")&gt;0,"Production",IF(COUNTIF(tbl_Consulting[Job Number],E251&amp;"")&gt;0,"Consulting","not set up yet"))))</f>
        <v/>
      </c>
      <c r="X251" s="25">
        <f>IF(E251="","",IFERROR(INDEX(lst_JobName,MATCH(E251&amp;"",lst_Jobs,0)),""))</f>
        <v/>
      </c>
      <c r="Y251" s="28">
        <f>IF(E251="","",COUNTIFS(tbl_Finance[Job Number],E251&amp;"",tbl_Finance[Ex GST],"&lt;&gt;"))</f>
        <v/>
      </c>
      <c r="Z251" s="27">
        <f>IF(E251="","",SUMIFS(tbl_Finance[Ex GST],tbl_Finance[Job Number],E251&amp;""))</f>
        <v/>
      </c>
      <c r="AA251" s="27">
        <f>IF(E251="","",SUMIFS(tbl_Finance[Ex GST],tbl_Finance[Job Number],E251&amp;"",tbl_Finance[Xero Invoice No],"&lt;&gt;"))</f>
        <v/>
      </c>
      <c r="AB251" s="27">
        <f>IF(E251="","",Z251-AA251)</f>
        <v/>
      </c>
      <c r="AC251" s="25">
        <f>IF(E251="","",IFERROR(IF(INDEX(tbl_Onsite[Qwilr Quote],IFERROR(MATCH(E251&amp;"",tbl_Onsite[Job Number],0),MATCH(IFERROR(E251+0,E251),tbl_Onsite[Job Number],0)))="","",INDEX(tbl_Onsite[Qwilr Quote],IFERROR(MATCH(E251&amp;"",tbl_Onsite[Job Number],0),MATCH(IFERROR(E251+0,E251),tbl_Onsite[Job Number],0)))),IFERROR(IF(IF(INDEX(tbl_Production[Current RMS No],IFERROR(MATCH(E251&amp;"",tbl_Production[Job Number],0),MATCH(IFERROR(E251+0,E251),tbl_Production[Job Number],0)))="",INDEX(tbl_Production[Qwilr Quote],IFERROR(MATCH(E251&amp;"",tbl_Production[Job Number],0),MATCH(IFERROR(E251+0,E251),tbl_Production[Job Number],0))),INDEX(tbl_Production[Current RMS No],IFERROR(MATCH(E251&amp;"",tbl_Production[Job Number],0),MATCH(IFERROR(E251+0,E251),tbl_Production[Job Number],0))))="","",IF(INDEX(tbl_Production[Current RMS No],IFERROR(MATCH(E251&amp;"",tbl_Production[Job Number],0),MATCH(IFERROR(E251+0,E251),tbl_Production[Job Number],0)))="",INDEX(tbl_Production[Qwilr Quote],IFERROR(MATCH(E251&amp;"",tbl_Production[Job Number],0),MATCH(IFERROR(E251+0,E251),tbl_Production[Job Number],0))),INDEX(tbl_Production[Current RMS No],IFERROR(MATCH(E251&amp;"",tbl_Production[Job Number],0),MATCH(IFERROR(E251+0,E251),tbl_Production[Job Number],0))))),IFERROR(IF(INDEX(tbl_Consulting[Qwilr Quote],IFERROR(MATCH(E251&amp;"",tbl_Consulting[Job Number],0),MATCH(IFERROR(E251+0,E251),tbl_Consulting[Job Number],0)))="","",INDEX(tbl_Consulting[Qwilr Quote],IFERROR(MATCH(E251&amp;"",tbl_Consulting[Job Number],0),MATCH(IFERROR(E251+0,E251),tbl_Consulting[Job Number],0)))),""))))</f>
        <v/>
      </c>
      <c r="AD251" s="25">
        <f>IF(AC251="","",IF(AND(LEFT(AC251,4)&lt;&gt;"http",IF(H251="Production",set_RMSBase,set_QwilrBase)=""),"",HYPERLINK(IF(LEFT(AC251,4)="http",AC251,IF(H251="Production",set_RMSBase,set_QwilrBase)&amp;AC251),"Open")))</f>
        <v/>
      </c>
      <c r="AE251" s="27">
        <f>IF(E251="","",IFERROR(INDEX(tbl_Production[Total Expense],IFERROR(MATCH(E251&amp;"",tbl_Production[Job Number],0),MATCH(IFERROR(E251+0,E251),tbl_Production[Job Number],0))),IFERROR(INDEX(tbl_Consulting[Total Expense],IFERROR(MATCH(E251&amp;"",tbl_Consulting[Job Number],0),MATCH(IFERROR(E251+0,E251),tbl_Consulting[Job Number],0))),0)))</f>
        <v/>
      </c>
      <c r="AF251" s="27">
        <f>IF(E251="","",Z251-N(AE251))</f>
        <v/>
      </c>
      <c r="AG251" s="29">
        <f>IFERROR(AF251/Z251,"")</f>
        <v/>
      </c>
      <c r="AH251" s="25">
        <f>IF(E251="","",IFERROR(IF(INDEX(tbl_Onsite[Notes],IFERROR(MATCH(E251&amp;"",tbl_Onsite[Job Number],0),MATCH(IFERROR(E251+0,E251),tbl_Onsite[Job Number],0)))="","",INDEX(tbl_Onsite[Notes],IFERROR(MATCH(E251&amp;"",tbl_Onsite[Job Number],0),MATCH(IFERROR(E251+0,E251),tbl_Onsite[Job Number],0)))),IFERROR(IF(INDEX(tbl_Production[Notes],IFERROR(MATCH(E251&amp;"",tbl_Production[Job Number],0),MATCH(IFERROR(E251+0,E251),tbl_Production[Job Number],0)))="","",INDEX(tbl_Production[Notes],IFERROR(MATCH(E251&amp;"",tbl_Production[Job Number],0),MATCH(IFERROR(E251+0,E251),tbl_Production[Job Number],0)))),IFERROR(IF(INDEX(tbl_Consulting[Notes],IFERROR(MATCH(E251&amp;"",tbl_Consulting[Job Number],0),MATCH(IFERROR(E251+0,E251),tbl_Consulting[Job Number],0)))="","",INDEX(tbl_Consulting[Notes],IFERROR(MATCH(E251&amp;"",tbl_Consulting[Job Number],0),MATCH(IFERROR(E251+0,E251),tbl_Consulting[Job Number],0)))),""))))</f>
        <v/>
      </c>
    </row>
    <row r="252" ht="15" customHeight="1">
      <c r="A252" s="22" t="n"/>
      <c r="B252" s="23">
        <f>IF(A252="","",EOMONTH(A252,0))</f>
        <v/>
      </c>
      <c r="C252" s="24" t="n"/>
      <c r="D252" s="24" t="n"/>
      <c r="E252" s="24" t="n"/>
      <c r="F252" s="25">
        <f>IF(E252="","",IF(COUNTIF(lst_Jobs,E252&amp;"")&gt;0,"OK","CHECK"))</f>
        <v/>
      </c>
      <c r="G252" s="24" t="n"/>
      <c r="H252" s="24" t="n"/>
      <c r="I252" s="24" t="n"/>
      <c r="J252" s="24" t="n"/>
      <c r="K252" s="24" t="n"/>
      <c r="L252" s="26" t="n"/>
      <c r="M252" s="27">
        <f>IF(L252="","",IF(K252="GST 10%",ROUND(L252*set_GSTRate,2),0))</f>
        <v/>
      </c>
      <c r="N252" s="27">
        <f>IF(L252="","",L252+M252)</f>
        <v/>
      </c>
      <c r="O252" s="24" t="n"/>
      <c r="P252" s="24" t="n"/>
      <c r="Q252" s="24" t="n"/>
      <c r="R252" s="22" t="n"/>
      <c r="S252" s="22" t="n"/>
      <c r="T252" s="24" t="n"/>
      <c r="U252" s="24" t="n"/>
      <c r="V252" s="2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25">
        <f>IF(E252="","",IF(COUNTIF(tbl_Onsite[Job Number],E252&amp;"")&gt;0,"Onsite",IF(COUNTIF(tbl_Production[Job Number],E252&amp;"")&gt;0,"Production",IF(COUNTIF(tbl_Consulting[Job Number],E252&amp;"")&gt;0,"Consulting","not set up yet"))))</f>
        <v/>
      </c>
      <c r="X252" s="25">
        <f>IF(E252="","",IFERROR(INDEX(lst_JobName,MATCH(E252&amp;"",lst_Jobs,0)),""))</f>
        <v/>
      </c>
      <c r="Y252" s="28">
        <f>IF(E252="","",COUNTIFS(tbl_Finance[Job Number],E252&amp;"",tbl_Finance[Ex GST],"&lt;&gt;"))</f>
        <v/>
      </c>
      <c r="Z252" s="27">
        <f>IF(E252="","",SUMIFS(tbl_Finance[Ex GST],tbl_Finance[Job Number],E252&amp;""))</f>
        <v/>
      </c>
      <c r="AA252" s="27">
        <f>IF(E252="","",SUMIFS(tbl_Finance[Ex GST],tbl_Finance[Job Number],E252&amp;"",tbl_Finance[Xero Invoice No],"&lt;&gt;"))</f>
        <v/>
      </c>
      <c r="AB252" s="27">
        <f>IF(E252="","",Z252-AA252)</f>
        <v/>
      </c>
      <c r="AC252" s="25">
        <f>IF(E252="","",IFERROR(IF(INDEX(tbl_Onsite[Qwilr Quote],IFERROR(MATCH(E252&amp;"",tbl_Onsite[Job Number],0),MATCH(IFERROR(E252+0,E252),tbl_Onsite[Job Number],0)))="","",INDEX(tbl_Onsite[Qwilr Quote],IFERROR(MATCH(E252&amp;"",tbl_Onsite[Job Number],0),MATCH(IFERROR(E252+0,E252),tbl_Onsite[Job Number],0)))),IFERROR(IF(IF(INDEX(tbl_Production[Current RMS No],IFERROR(MATCH(E252&amp;"",tbl_Production[Job Number],0),MATCH(IFERROR(E252+0,E252),tbl_Production[Job Number],0)))="",INDEX(tbl_Production[Qwilr Quote],IFERROR(MATCH(E252&amp;"",tbl_Production[Job Number],0),MATCH(IFERROR(E252+0,E252),tbl_Production[Job Number],0))),INDEX(tbl_Production[Current RMS No],IFERROR(MATCH(E252&amp;"",tbl_Production[Job Number],0),MATCH(IFERROR(E252+0,E252),tbl_Production[Job Number],0))))="","",IF(INDEX(tbl_Production[Current RMS No],IFERROR(MATCH(E252&amp;"",tbl_Production[Job Number],0),MATCH(IFERROR(E252+0,E252),tbl_Production[Job Number],0)))="",INDEX(tbl_Production[Qwilr Quote],IFERROR(MATCH(E252&amp;"",tbl_Production[Job Number],0),MATCH(IFERROR(E252+0,E252),tbl_Production[Job Number],0))),INDEX(tbl_Production[Current RMS No],IFERROR(MATCH(E252&amp;"",tbl_Production[Job Number],0),MATCH(IFERROR(E252+0,E252),tbl_Production[Job Number],0))))),IFERROR(IF(INDEX(tbl_Consulting[Qwilr Quote],IFERROR(MATCH(E252&amp;"",tbl_Consulting[Job Number],0),MATCH(IFERROR(E252+0,E252),tbl_Consulting[Job Number],0)))="","",INDEX(tbl_Consulting[Qwilr Quote],IFERROR(MATCH(E252&amp;"",tbl_Consulting[Job Number],0),MATCH(IFERROR(E252+0,E252),tbl_Consulting[Job Number],0)))),""))))</f>
        <v/>
      </c>
      <c r="AD252" s="25">
        <f>IF(AC252="","",IF(AND(LEFT(AC252,4)&lt;&gt;"http",IF(H252="Production",set_RMSBase,set_QwilrBase)=""),"",HYPERLINK(IF(LEFT(AC252,4)="http",AC252,IF(H252="Production",set_RMSBase,set_QwilrBase)&amp;AC252),"Open")))</f>
        <v/>
      </c>
      <c r="AE252" s="27">
        <f>IF(E252="","",IFERROR(INDEX(tbl_Production[Total Expense],IFERROR(MATCH(E252&amp;"",tbl_Production[Job Number],0),MATCH(IFERROR(E252+0,E252),tbl_Production[Job Number],0))),IFERROR(INDEX(tbl_Consulting[Total Expense],IFERROR(MATCH(E252&amp;"",tbl_Consulting[Job Number],0),MATCH(IFERROR(E252+0,E252),tbl_Consulting[Job Number],0))),0)))</f>
        <v/>
      </c>
      <c r="AF252" s="27">
        <f>IF(E252="","",Z252-N(AE252))</f>
        <v/>
      </c>
      <c r="AG252" s="29">
        <f>IFERROR(AF252/Z252,"")</f>
        <v/>
      </c>
      <c r="AH252" s="25">
        <f>IF(E252="","",IFERROR(IF(INDEX(tbl_Onsite[Notes],IFERROR(MATCH(E252&amp;"",tbl_Onsite[Job Number],0),MATCH(IFERROR(E252+0,E252),tbl_Onsite[Job Number],0)))="","",INDEX(tbl_Onsite[Notes],IFERROR(MATCH(E252&amp;"",tbl_Onsite[Job Number],0),MATCH(IFERROR(E252+0,E252),tbl_Onsite[Job Number],0)))),IFERROR(IF(INDEX(tbl_Production[Notes],IFERROR(MATCH(E252&amp;"",tbl_Production[Job Number],0),MATCH(IFERROR(E252+0,E252),tbl_Production[Job Number],0)))="","",INDEX(tbl_Production[Notes],IFERROR(MATCH(E252&amp;"",tbl_Production[Job Number],0),MATCH(IFERROR(E252+0,E252),tbl_Production[Job Number],0)))),IFERROR(IF(INDEX(tbl_Consulting[Notes],IFERROR(MATCH(E252&amp;"",tbl_Consulting[Job Number],0),MATCH(IFERROR(E252+0,E252),tbl_Consulting[Job Number],0)))="","",INDEX(tbl_Consulting[Notes],IFERROR(MATCH(E252&amp;"",tbl_Consulting[Job Number],0),MATCH(IFERROR(E252+0,E252),tbl_Consulting[Job Number],0)))),""))))</f>
        <v/>
      </c>
    </row>
    <row r="253" ht="15" customHeight="1">
      <c r="A253" s="22" t="n"/>
      <c r="B253" s="23">
        <f>IF(A253="","",EOMONTH(A253,0))</f>
        <v/>
      </c>
      <c r="C253" s="24" t="n"/>
      <c r="D253" s="24" t="n"/>
      <c r="E253" s="24" t="n"/>
      <c r="F253" s="25">
        <f>IF(E253="","",IF(COUNTIF(lst_Jobs,E253&amp;"")&gt;0,"OK","CHECK"))</f>
        <v/>
      </c>
      <c r="G253" s="24" t="n"/>
      <c r="H253" s="24" t="n"/>
      <c r="I253" s="24" t="n"/>
      <c r="J253" s="24" t="n"/>
      <c r="K253" s="24" t="n"/>
      <c r="L253" s="26" t="n"/>
      <c r="M253" s="27">
        <f>IF(L253="","",IF(K253="GST 10%",ROUND(L253*set_GSTRate,2),0))</f>
        <v/>
      </c>
      <c r="N253" s="27">
        <f>IF(L253="","",L253+M253)</f>
        <v/>
      </c>
      <c r="O253" s="24" t="n"/>
      <c r="P253" s="24" t="n"/>
      <c r="Q253" s="24" t="n"/>
      <c r="R253" s="22" t="n"/>
      <c r="S253" s="22" t="n"/>
      <c r="T253" s="24" t="n"/>
      <c r="U253" s="24" t="n"/>
      <c r="V253" s="2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25">
        <f>IF(E253="","",IF(COUNTIF(tbl_Onsite[Job Number],E253&amp;"")&gt;0,"Onsite",IF(COUNTIF(tbl_Production[Job Number],E253&amp;"")&gt;0,"Production",IF(COUNTIF(tbl_Consulting[Job Number],E253&amp;"")&gt;0,"Consulting","not set up yet"))))</f>
        <v/>
      </c>
      <c r="X253" s="25">
        <f>IF(E253="","",IFERROR(INDEX(lst_JobName,MATCH(E253&amp;"",lst_Jobs,0)),""))</f>
        <v/>
      </c>
      <c r="Y253" s="28">
        <f>IF(E253="","",COUNTIFS(tbl_Finance[Job Number],E253&amp;"",tbl_Finance[Ex GST],"&lt;&gt;"))</f>
        <v/>
      </c>
      <c r="Z253" s="27">
        <f>IF(E253="","",SUMIFS(tbl_Finance[Ex GST],tbl_Finance[Job Number],E253&amp;""))</f>
        <v/>
      </c>
      <c r="AA253" s="27">
        <f>IF(E253="","",SUMIFS(tbl_Finance[Ex GST],tbl_Finance[Job Number],E253&amp;"",tbl_Finance[Xero Invoice No],"&lt;&gt;"))</f>
        <v/>
      </c>
      <c r="AB253" s="27">
        <f>IF(E253="","",Z253-AA253)</f>
        <v/>
      </c>
      <c r="AC253" s="25">
        <f>IF(E253="","",IFERROR(IF(INDEX(tbl_Onsite[Qwilr Quote],IFERROR(MATCH(E253&amp;"",tbl_Onsite[Job Number],0),MATCH(IFERROR(E253+0,E253),tbl_Onsite[Job Number],0)))="","",INDEX(tbl_Onsite[Qwilr Quote],IFERROR(MATCH(E253&amp;"",tbl_Onsite[Job Number],0),MATCH(IFERROR(E253+0,E253),tbl_Onsite[Job Number],0)))),IFERROR(IF(IF(INDEX(tbl_Production[Current RMS No],IFERROR(MATCH(E253&amp;"",tbl_Production[Job Number],0),MATCH(IFERROR(E253+0,E253),tbl_Production[Job Number],0)))="",INDEX(tbl_Production[Qwilr Quote],IFERROR(MATCH(E253&amp;"",tbl_Production[Job Number],0),MATCH(IFERROR(E253+0,E253),tbl_Production[Job Number],0))),INDEX(tbl_Production[Current RMS No],IFERROR(MATCH(E253&amp;"",tbl_Production[Job Number],0),MATCH(IFERROR(E253+0,E253),tbl_Production[Job Number],0))))="","",IF(INDEX(tbl_Production[Current RMS No],IFERROR(MATCH(E253&amp;"",tbl_Production[Job Number],0),MATCH(IFERROR(E253+0,E253),tbl_Production[Job Number],0)))="",INDEX(tbl_Production[Qwilr Quote],IFERROR(MATCH(E253&amp;"",tbl_Production[Job Number],0),MATCH(IFERROR(E253+0,E253),tbl_Production[Job Number],0))),INDEX(tbl_Production[Current RMS No],IFERROR(MATCH(E253&amp;"",tbl_Production[Job Number],0),MATCH(IFERROR(E253+0,E253),tbl_Production[Job Number],0))))),IFERROR(IF(INDEX(tbl_Consulting[Qwilr Quote],IFERROR(MATCH(E253&amp;"",tbl_Consulting[Job Number],0),MATCH(IFERROR(E253+0,E253),tbl_Consulting[Job Number],0)))="","",INDEX(tbl_Consulting[Qwilr Quote],IFERROR(MATCH(E253&amp;"",tbl_Consulting[Job Number],0),MATCH(IFERROR(E253+0,E253),tbl_Consulting[Job Number],0)))),""))))</f>
        <v/>
      </c>
      <c r="AD253" s="25">
        <f>IF(AC253="","",IF(AND(LEFT(AC253,4)&lt;&gt;"http",IF(H253="Production",set_RMSBase,set_QwilrBase)=""),"",HYPERLINK(IF(LEFT(AC253,4)="http",AC253,IF(H253="Production",set_RMSBase,set_QwilrBase)&amp;AC253),"Open")))</f>
        <v/>
      </c>
      <c r="AE253" s="27">
        <f>IF(E253="","",IFERROR(INDEX(tbl_Production[Total Expense],IFERROR(MATCH(E253&amp;"",tbl_Production[Job Number],0),MATCH(IFERROR(E253+0,E253),tbl_Production[Job Number],0))),IFERROR(INDEX(tbl_Consulting[Total Expense],IFERROR(MATCH(E253&amp;"",tbl_Consulting[Job Number],0),MATCH(IFERROR(E253+0,E253),tbl_Consulting[Job Number],0))),0)))</f>
        <v/>
      </c>
      <c r="AF253" s="27">
        <f>IF(E253="","",Z253-N(AE253))</f>
        <v/>
      </c>
      <c r="AG253" s="29">
        <f>IFERROR(AF253/Z253,"")</f>
        <v/>
      </c>
      <c r="AH253" s="25">
        <f>IF(E253="","",IFERROR(IF(INDEX(tbl_Onsite[Notes],IFERROR(MATCH(E253&amp;"",tbl_Onsite[Job Number],0),MATCH(IFERROR(E253+0,E253),tbl_Onsite[Job Number],0)))="","",INDEX(tbl_Onsite[Notes],IFERROR(MATCH(E253&amp;"",tbl_Onsite[Job Number],0),MATCH(IFERROR(E253+0,E253),tbl_Onsite[Job Number],0)))),IFERROR(IF(INDEX(tbl_Production[Notes],IFERROR(MATCH(E253&amp;"",tbl_Production[Job Number],0),MATCH(IFERROR(E253+0,E253),tbl_Production[Job Number],0)))="","",INDEX(tbl_Production[Notes],IFERROR(MATCH(E253&amp;"",tbl_Production[Job Number],0),MATCH(IFERROR(E253+0,E253),tbl_Production[Job Number],0)))),IFERROR(IF(INDEX(tbl_Consulting[Notes],IFERROR(MATCH(E253&amp;"",tbl_Consulting[Job Number],0),MATCH(IFERROR(E253+0,E253),tbl_Consulting[Job Number],0)))="","",INDEX(tbl_Consulting[Notes],IFERROR(MATCH(E253&amp;"",tbl_Consulting[Job Number],0),MATCH(IFERROR(E253+0,E253),tbl_Consulting[Job Number],0)))),""))))</f>
        <v/>
      </c>
    </row>
    <row r="254" ht="15" customHeight="1">
      <c r="A254" s="22" t="n"/>
      <c r="B254" s="23">
        <f>IF(A254="","",EOMONTH(A254,0))</f>
        <v/>
      </c>
      <c r="C254" s="24" t="n"/>
      <c r="D254" s="24" t="n"/>
      <c r="E254" s="24" t="n"/>
      <c r="F254" s="25">
        <f>IF(E254="","",IF(COUNTIF(lst_Jobs,E254&amp;"")&gt;0,"OK","CHECK"))</f>
        <v/>
      </c>
      <c r="G254" s="24" t="n"/>
      <c r="H254" s="24" t="n"/>
      <c r="I254" s="24" t="n"/>
      <c r="J254" s="24" t="n"/>
      <c r="K254" s="24" t="n"/>
      <c r="L254" s="26" t="n"/>
      <c r="M254" s="27">
        <f>IF(L254="","",IF(K254="GST 10%",ROUND(L254*set_GSTRate,2),0))</f>
        <v/>
      </c>
      <c r="N254" s="27">
        <f>IF(L254="","",L254+M254)</f>
        <v/>
      </c>
      <c r="O254" s="24" t="n"/>
      <c r="P254" s="24" t="n"/>
      <c r="Q254" s="24" t="n"/>
      <c r="R254" s="22" t="n"/>
      <c r="S254" s="22" t="n"/>
      <c r="T254" s="24" t="n"/>
      <c r="U254" s="24" t="n"/>
      <c r="V254" s="2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25">
        <f>IF(E254="","",IF(COUNTIF(tbl_Onsite[Job Number],E254&amp;"")&gt;0,"Onsite",IF(COUNTIF(tbl_Production[Job Number],E254&amp;"")&gt;0,"Production",IF(COUNTIF(tbl_Consulting[Job Number],E254&amp;"")&gt;0,"Consulting","not set up yet"))))</f>
        <v/>
      </c>
      <c r="X254" s="25">
        <f>IF(E254="","",IFERROR(INDEX(lst_JobName,MATCH(E254&amp;"",lst_Jobs,0)),""))</f>
        <v/>
      </c>
      <c r="Y254" s="28">
        <f>IF(E254="","",COUNTIFS(tbl_Finance[Job Number],E254&amp;"",tbl_Finance[Ex GST],"&lt;&gt;"))</f>
        <v/>
      </c>
      <c r="Z254" s="27">
        <f>IF(E254="","",SUMIFS(tbl_Finance[Ex GST],tbl_Finance[Job Number],E254&amp;""))</f>
        <v/>
      </c>
      <c r="AA254" s="27">
        <f>IF(E254="","",SUMIFS(tbl_Finance[Ex GST],tbl_Finance[Job Number],E254&amp;"",tbl_Finance[Xero Invoice No],"&lt;&gt;"))</f>
        <v/>
      </c>
      <c r="AB254" s="27">
        <f>IF(E254="","",Z254-AA254)</f>
        <v/>
      </c>
      <c r="AC254" s="25">
        <f>IF(E254="","",IFERROR(IF(INDEX(tbl_Onsite[Qwilr Quote],IFERROR(MATCH(E254&amp;"",tbl_Onsite[Job Number],0),MATCH(IFERROR(E254+0,E254),tbl_Onsite[Job Number],0)))="","",INDEX(tbl_Onsite[Qwilr Quote],IFERROR(MATCH(E254&amp;"",tbl_Onsite[Job Number],0),MATCH(IFERROR(E254+0,E254),tbl_Onsite[Job Number],0)))),IFERROR(IF(IF(INDEX(tbl_Production[Current RMS No],IFERROR(MATCH(E254&amp;"",tbl_Production[Job Number],0),MATCH(IFERROR(E254+0,E254),tbl_Production[Job Number],0)))="",INDEX(tbl_Production[Qwilr Quote],IFERROR(MATCH(E254&amp;"",tbl_Production[Job Number],0),MATCH(IFERROR(E254+0,E254),tbl_Production[Job Number],0))),INDEX(tbl_Production[Current RMS No],IFERROR(MATCH(E254&amp;"",tbl_Production[Job Number],0),MATCH(IFERROR(E254+0,E254),tbl_Production[Job Number],0))))="","",IF(INDEX(tbl_Production[Current RMS No],IFERROR(MATCH(E254&amp;"",tbl_Production[Job Number],0),MATCH(IFERROR(E254+0,E254),tbl_Production[Job Number],0)))="",INDEX(tbl_Production[Qwilr Quote],IFERROR(MATCH(E254&amp;"",tbl_Production[Job Number],0),MATCH(IFERROR(E254+0,E254),tbl_Production[Job Number],0))),INDEX(tbl_Production[Current RMS No],IFERROR(MATCH(E254&amp;"",tbl_Production[Job Number],0),MATCH(IFERROR(E254+0,E254),tbl_Production[Job Number],0))))),IFERROR(IF(INDEX(tbl_Consulting[Qwilr Quote],IFERROR(MATCH(E254&amp;"",tbl_Consulting[Job Number],0),MATCH(IFERROR(E254+0,E254),tbl_Consulting[Job Number],0)))="","",INDEX(tbl_Consulting[Qwilr Quote],IFERROR(MATCH(E254&amp;"",tbl_Consulting[Job Number],0),MATCH(IFERROR(E254+0,E254),tbl_Consulting[Job Number],0)))),""))))</f>
        <v/>
      </c>
      <c r="AD254" s="25">
        <f>IF(AC254="","",IF(AND(LEFT(AC254,4)&lt;&gt;"http",IF(H254="Production",set_RMSBase,set_QwilrBase)=""),"",HYPERLINK(IF(LEFT(AC254,4)="http",AC254,IF(H254="Production",set_RMSBase,set_QwilrBase)&amp;AC254),"Open")))</f>
        <v/>
      </c>
      <c r="AE254" s="27">
        <f>IF(E254="","",IFERROR(INDEX(tbl_Production[Total Expense],IFERROR(MATCH(E254&amp;"",tbl_Production[Job Number],0),MATCH(IFERROR(E254+0,E254),tbl_Production[Job Number],0))),IFERROR(INDEX(tbl_Consulting[Total Expense],IFERROR(MATCH(E254&amp;"",tbl_Consulting[Job Number],0),MATCH(IFERROR(E254+0,E254),tbl_Consulting[Job Number],0))),0)))</f>
        <v/>
      </c>
      <c r="AF254" s="27">
        <f>IF(E254="","",Z254-N(AE254))</f>
        <v/>
      </c>
      <c r="AG254" s="29">
        <f>IFERROR(AF254/Z254,"")</f>
        <v/>
      </c>
      <c r="AH254" s="25">
        <f>IF(E254="","",IFERROR(IF(INDEX(tbl_Onsite[Notes],IFERROR(MATCH(E254&amp;"",tbl_Onsite[Job Number],0),MATCH(IFERROR(E254+0,E254),tbl_Onsite[Job Number],0)))="","",INDEX(tbl_Onsite[Notes],IFERROR(MATCH(E254&amp;"",tbl_Onsite[Job Number],0),MATCH(IFERROR(E254+0,E254),tbl_Onsite[Job Number],0)))),IFERROR(IF(INDEX(tbl_Production[Notes],IFERROR(MATCH(E254&amp;"",tbl_Production[Job Number],0),MATCH(IFERROR(E254+0,E254),tbl_Production[Job Number],0)))="","",INDEX(tbl_Production[Notes],IFERROR(MATCH(E254&amp;"",tbl_Production[Job Number],0),MATCH(IFERROR(E254+0,E254),tbl_Production[Job Number],0)))),IFERROR(IF(INDEX(tbl_Consulting[Notes],IFERROR(MATCH(E254&amp;"",tbl_Consulting[Job Number],0),MATCH(IFERROR(E254+0,E254),tbl_Consulting[Job Number],0)))="","",INDEX(tbl_Consulting[Notes],IFERROR(MATCH(E254&amp;"",tbl_Consulting[Job Number],0),MATCH(IFERROR(E254+0,E254),tbl_Consulting[Job Number],0)))),""))))</f>
        <v/>
      </c>
    </row>
    <row r="255" ht="15" customHeight="1">
      <c r="A255" s="22" t="n"/>
      <c r="B255" s="23">
        <f>IF(A255="","",EOMONTH(A255,0))</f>
        <v/>
      </c>
      <c r="C255" s="24" t="n"/>
      <c r="D255" s="24" t="n"/>
      <c r="E255" s="24" t="n"/>
      <c r="F255" s="25">
        <f>IF(E255="","",IF(COUNTIF(lst_Jobs,E255&amp;"")&gt;0,"OK","CHECK"))</f>
        <v/>
      </c>
      <c r="G255" s="24" t="n"/>
      <c r="H255" s="24" t="n"/>
      <c r="I255" s="24" t="n"/>
      <c r="J255" s="24" t="n"/>
      <c r="K255" s="24" t="n"/>
      <c r="L255" s="26" t="n"/>
      <c r="M255" s="27">
        <f>IF(L255="","",IF(K255="GST 10%",ROUND(L255*set_GSTRate,2),0))</f>
        <v/>
      </c>
      <c r="N255" s="27">
        <f>IF(L255="","",L255+M255)</f>
        <v/>
      </c>
      <c r="O255" s="24" t="n"/>
      <c r="P255" s="24" t="n"/>
      <c r="Q255" s="24" t="n"/>
      <c r="R255" s="22" t="n"/>
      <c r="S255" s="22" t="n"/>
      <c r="T255" s="24" t="n"/>
      <c r="U255" s="24" t="n"/>
      <c r="V255" s="2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25">
        <f>IF(E255="","",IF(COUNTIF(tbl_Onsite[Job Number],E255&amp;"")&gt;0,"Onsite",IF(COUNTIF(tbl_Production[Job Number],E255&amp;"")&gt;0,"Production",IF(COUNTIF(tbl_Consulting[Job Number],E255&amp;"")&gt;0,"Consulting","not set up yet"))))</f>
        <v/>
      </c>
      <c r="X255" s="25">
        <f>IF(E255="","",IFERROR(INDEX(lst_JobName,MATCH(E255&amp;"",lst_Jobs,0)),""))</f>
        <v/>
      </c>
      <c r="Y255" s="28">
        <f>IF(E255="","",COUNTIFS(tbl_Finance[Job Number],E255&amp;"",tbl_Finance[Ex GST],"&lt;&gt;"))</f>
        <v/>
      </c>
      <c r="Z255" s="27">
        <f>IF(E255="","",SUMIFS(tbl_Finance[Ex GST],tbl_Finance[Job Number],E255&amp;""))</f>
        <v/>
      </c>
      <c r="AA255" s="27">
        <f>IF(E255="","",SUMIFS(tbl_Finance[Ex GST],tbl_Finance[Job Number],E255&amp;"",tbl_Finance[Xero Invoice No],"&lt;&gt;"))</f>
        <v/>
      </c>
      <c r="AB255" s="27">
        <f>IF(E255="","",Z255-AA255)</f>
        <v/>
      </c>
      <c r="AC255" s="25">
        <f>IF(E255="","",IFERROR(IF(INDEX(tbl_Onsite[Qwilr Quote],IFERROR(MATCH(E255&amp;"",tbl_Onsite[Job Number],0),MATCH(IFERROR(E255+0,E255),tbl_Onsite[Job Number],0)))="","",INDEX(tbl_Onsite[Qwilr Quote],IFERROR(MATCH(E255&amp;"",tbl_Onsite[Job Number],0),MATCH(IFERROR(E255+0,E255),tbl_Onsite[Job Number],0)))),IFERROR(IF(IF(INDEX(tbl_Production[Current RMS No],IFERROR(MATCH(E255&amp;"",tbl_Production[Job Number],0),MATCH(IFERROR(E255+0,E255),tbl_Production[Job Number],0)))="",INDEX(tbl_Production[Qwilr Quote],IFERROR(MATCH(E255&amp;"",tbl_Production[Job Number],0),MATCH(IFERROR(E255+0,E255),tbl_Production[Job Number],0))),INDEX(tbl_Production[Current RMS No],IFERROR(MATCH(E255&amp;"",tbl_Production[Job Number],0),MATCH(IFERROR(E255+0,E255),tbl_Production[Job Number],0))))="","",IF(INDEX(tbl_Production[Current RMS No],IFERROR(MATCH(E255&amp;"",tbl_Production[Job Number],0),MATCH(IFERROR(E255+0,E255),tbl_Production[Job Number],0)))="",INDEX(tbl_Production[Qwilr Quote],IFERROR(MATCH(E255&amp;"",tbl_Production[Job Number],0),MATCH(IFERROR(E255+0,E255),tbl_Production[Job Number],0))),INDEX(tbl_Production[Current RMS No],IFERROR(MATCH(E255&amp;"",tbl_Production[Job Number],0),MATCH(IFERROR(E255+0,E255),tbl_Production[Job Number],0))))),IFERROR(IF(INDEX(tbl_Consulting[Qwilr Quote],IFERROR(MATCH(E255&amp;"",tbl_Consulting[Job Number],0),MATCH(IFERROR(E255+0,E255),tbl_Consulting[Job Number],0)))="","",INDEX(tbl_Consulting[Qwilr Quote],IFERROR(MATCH(E255&amp;"",tbl_Consulting[Job Number],0),MATCH(IFERROR(E255+0,E255),tbl_Consulting[Job Number],0)))),""))))</f>
        <v/>
      </c>
      <c r="AD255" s="25">
        <f>IF(AC255="","",IF(AND(LEFT(AC255,4)&lt;&gt;"http",IF(H255="Production",set_RMSBase,set_QwilrBase)=""),"",HYPERLINK(IF(LEFT(AC255,4)="http",AC255,IF(H255="Production",set_RMSBase,set_QwilrBase)&amp;AC255),"Open")))</f>
        <v/>
      </c>
      <c r="AE255" s="27">
        <f>IF(E255="","",IFERROR(INDEX(tbl_Production[Total Expense],IFERROR(MATCH(E255&amp;"",tbl_Production[Job Number],0),MATCH(IFERROR(E255+0,E255),tbl_Production[Job Number],0))),IFERROR(INDEX(tbl_Consulting[Total Expense],IFERROR(MATCH(E255&amp;"",tbl_Consulting[Job Number],0),MATCH(IFERROR(E255+0,E255),tbl_Consulting[Job Number],0))),0)))</f>
        <v/>
      </c>
      <c r="AF255" s="27">
        <f>IF(E255="","",Z255-N(AE255))</f>
        <v/>
      </c>
      <c r="AG255" s="29">
        <f>IFERROR(AF255/Z255,"")</f>
        <v/>
      </c>
      <c r="AH255" s="25">
        <f>IF(E255="","",IFERROR(IF(INDEX(tbl_Onsite[Notes],IFERROR(MATCH(E255&amp;"",tbl_Onsite[Job Number],0),MATCH(IFERROR(E255+0,E255),tbl_Onsite[Job Number],0)))="","",INDEX(tbl_Onsite[Notes],IFERROR(MATCH(E255&amp;"",tbl_Onsite[Job Number],0),MATCH(IFERROR(E255+0,E255),tbl_Onsite[Job Number],0)))),IFERROR(IF(INDEX(tbl_Production[Notes],IFERROR(MATCH(E255&amp;"",tbl_Production[Job Number],0),MATCH(IFERROR(E255+0,E255),tbl_Production[Job Number],0)))="","",INDEX(tbl_Production[Notes],IFERROR(MATCH(E255&amp;"",tbl_Production[Job Number],0),MATCH(IFERROR(E255+0,E255),tbl_Production[Job Number],0)))),IFERROR(IF(INDEX(tbl_Consulting[Notes],IFERROR(MATCH(E255&amp;"",tbl_Consulting[Job Number],0),MATCH(IFERROR(E255+0,E255),tbl_Consulting[Job Number],0)))="","",INDEX(tbl_Consulting[Notes],IFERROR(MATCH(E255&amp;"",tbl_Consulting[Job Number],0),MATCH(IFERROR(E255+0,E255),tbl_Consulting[Job Number],0)))),""))))</f>
        <v/>
      </c>
    </row>
    <row r="256" ht="15" customHeight="1">
      <c r="A256" s="22" t="n"/>
      <c r="B256" s="23">
        <f>IF(A256="","",EOMONTH(A256,0))</f>
        <v/>
      </c>
      <c r="C256" s="24" t="n"/>
      <c r="D256" s="24" t="n"/>
      <c r="E256" s="24" t="n"/>
      <c r="F256" s="25">
        <f>IF(E256="","",IF(COUNTIF(lst_Jobs,E256&amp;"")&gt;0,"OK","CHECK"))</f>
        <v/>
      </c>
      <c r="G256" s="24" t="n"/>
      <c r="H256" s="24" t="n"/>
      <c r="I256" s="24" t="n"/>
      <c r="J256" s="24" t="n"/>
      <c r="K256" s="24" t="n"/>
      <c r="L256" s="26" t="n"/>
      <c r="M256" s="27">
        <f>IF(L256="","",IF(K256="GST 10%",ROUND(L256*set_GSTRate,2),0))</f>
        <v/>
      </c>
      <c r="N256" s="27">
        <f>IF(L256="","",L256+M256)</f>
        <v/>
      </c>
      <c r="O256" s="24" t="n"/>
      <c r="P256" s="24" t="n"/>
      <c r="Q256" s="24" t="n"/>
      <c r="R256" s="22" t="n"/>
      <c r="S256" s="22" t="n"/>
      <c r="T256" s="24" t="n"/>
      <c r="U256" s="24" t="n"/>
      <c r="V256" s="2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25">
        <f>IF(E256="","",IF(COUNTIF(tbl_Onsite[Job Number],E256&amp;"")&gt;0,"Onsite",IF(COUNTIF(tbl_Production[Job Number],E256&amp;"")&gt;0,"Production",IF(COUNTIF(tbl_Consulting[Job Number],E256&amp;"")&gt;0,"Consulting","not set up yet"))))</f>
        <v/>
      </c>
      <c r="X256" s="25">
        <f>IF(E256="","",IFERROR(INDEX(lst_JobName,MATCH(E256&amp;"",lst_Jobs,0)),""))</f>
        <v/>
      </c>
      <c r="Y256" s="28">
        <f>IF(E256="","",COUNTIFS(tbl_Finance[Job Number],E256&amp;"",tbl_Finance[Ex GST],"&lt;&gt;"))</f>
        <v/>
      </c>
      <c r="Z256" s="27">
        <f>IF(E256="","",SUMIFS(tbl_Finance[Ex GST],tbl_Finance[Job Number],E256&amp;""))</f>
        <v/>
      </c>
      <c r="AA256" s="27">
        <f>IF(E256="","",SUMIFS(tbl_Finance[Ex GST],tbl_Finance[Job Number],E256&amp;"",tbl_Finance[Xero Invoice No],"&lt;&gt;"))</f>
        <v/>
      </c>
      <c r="AB256" s="27">
        <f>IF(E256="","",Z256-AA256)</f>
        <v/>
      </c>
      <c r="AC256" s="25">
        <f>IF(E256="","",IFERROR(IF(INDEX(tbl_Onsite[Qwilr Quote],IFERROR(MATCH(E256&amp;"",tbl_Onsite[Job Number],0),MATCH(IFERROR(E256+0,E256),tbl_Onsite[Job Number],0)))="","",INDEX(tbl_Onsite[Qwilr Quote],IFERROR(MATCH(E256&amp;"",tbl_Onsite[Job Number],0),MATCH(IFERROR(E256+0,E256),tbl_Onsite[Job Number],0)))),IFERROR(IF(IF(INDEX(tbl_Production[Current RMS No],IFERROR(MATCH(E256&amp;"",tbl_Production[Job Number],0),MATCH(IFERROR(E256+0,E256),tbl_Production[Job Number],0)))="",INDEX(tbl_Production[Qwilr Quote],IFERROR(MATCH(E256&amp;"",tbl_Production[Job Number],0),MATCH(IFERROR(E256+0,E256),tbl_Production[Job Number],0))),INDEX(tbl_Production[Current RMS No],IFERROR(MATCH(E256&amp;"",tbl_Production[Job Number],0),MATCH(IFERROR(E256+0,E256),tbl_Production[Job Number],0))))="","",IF(INDEX(tbl_Production[Current RMS No],IFERROR(MATCH(E256&amp;"",tbl_Production[Job Number],0),MATCH(IFERROR(E256+0,E256),tbl_Production[Job Number],0)))="",INDEX(tbl_Production[Qwilr Quote],IFERROR(MATCH(E256&amp;"",tbl_Production[Job Number],0),MATCH(IFERROR(E256+0,E256),tbl_Production[Job Number],0))),INDEX(tbl_Production[Current RMS No],IFERROR(MATCH(E256&amp;"",tbl_Production[Job Number],0),MATCH(IFERROR(E256+0,E256),tbl_Production[Job Number],0))))),IFERROR(IF(INDEX(tbl_Consulting[Qwilr Quote],IFERROR(MATCH(E256&amp;"",tbl_Consulting[Job Number],0),MATCH(IFERROR(E256+0,E256),tbl_Consulting[Job Number],0)))="","",INDEX(tbl_Consulting[Qwilr Quote],IFERROR(MATCH(E256&amp;"",tbl_Consulting[Job Number],0),MATCH(IFERROR(E256+0,E256),tbl_Consulting[Job Number],0)))),""))))</f>
        <v/>
      </c>
      <c r="AD256" s="25">
        <f>IF(AC256="","",IF(AND(LEFT(AC256,4)&lt;&gt;"http",IF(H256="Production",set_RMSBase,set_QwilrBase)=""),"",HYPERLINK(IF(LEFT(AC256,4)="http",AC256,IF(H256="Production",set_RMSBase,set_QwilrBase)&amp;AC256),"Open")))</f>
        <v/>
      </c>
      <c r="AE256" s="27">
        <f>IF(E256="","",IFERROR(INDEX(tbl_Production[Total Expense],IFERROR(MATCH(E256&amp;"",tbl_Production[Job Number],0),MATCH(IFERROR(E256+0,E256),tbl_Production[Job Number],0))),IFERROR(INDEX(tbl_Consulting[Total Expense],IFERROR(MATCH(E256&amp;"",tbl_Consulting[Job Number],0),MATCH(IFERROR(E256+0,E256),tbl_Consulting[Job Number],0))),0)))</f>
        <v/>
      </c>
      <c r="AF256" s="27">
        <f>IF(E256="","",Z256-N(AE256))</f>
        <v/>
      </c>
      <c r="AG256" s="29">
        <f>IFERROR(AF256/Z256,"")</f>
        <v/>
      </c>
      <c r="AH256" s="25">
        <f>IF(E256="","",IFERROR(IF(INDEX(tbl_Onsite[Notes],IFERROR(MATCH(E256&amp;"",tbl_Onsite[Job Number],0),MATCH(IFERROR(E256+0,E256),tbl_Onsite[Job Number],0)))="","",INDEX(tbl_Onsite[Notes],IFERROR(MATCH(E256&amp;"",tbl_Onsite[Job Number],0),MATCH(IFERROR(E256+0,E256),tbl_Onsite[Job Number],0)))),IFERROR(IF(INDEX(tbl_Production[Notes],IFERROR(MATCH(E256&amp;"",tbl_Production[Job Number],0),MATCH(IFERROR(E256+0,E256),tbl_Production[Job Number],0)))="","",INDEX(tbl_Production[Notes],IFERROR(MATCH(E256&amp;"",tbl_Production[Job Number],0),MATCH(IFERROR(E256+0,E256),tbl_Production[Job Number],0)))),IFERROR(IF(INDEX(tbl_Consulting[Notes],IFERROR(MATCH(E256&amp;"",tbl_Consulting[Job Number],0),MATCH(IFERROR(E256+0,E256),tbl_Consulting[Job Number],0)))="","",INDEX(tbl_Consulting[Notes],IFERROR(MATCH(E256&amp;"",tbl_Consulting[Job Number],0),MATCH(IFERROR(E256+0,E256),tbl_Consulting[Job Number],0)))),""))))</f>
        <v/>
      </c>
    </row>
    <row r="257" ht="15" customHeight="1">
      <c r="A257" s="22" t="n"/>
      <c r="B257" s="23">
        <f>IF(A257="","",EOMONTH(A257,0))</f>
        <v/>
      </c>
      <c r="C257" s="24" t="n"/>
      <c r="D257" s="24" t="n"/>
      <c r="E257" s="24" t="n"/>
      <c r="F257" s="25">
        <f>IF(E257="","",IF(COUNTIF(lst_Jobs,E257&amp;"")&gt;0,"OK","CHECK"))</f>
        <v/>
      </c>
      <c r="G257" s="24" t="n"/>
      <c r="H257" s="24" t="n"/>
      <c r="I257" s="24" t="n"/>
      <c r="J257" s="24" t="n"/>
      <c r="K257" s="24" t="n"/>
      <c r="L257" s="26" t="n"/>
      <c r="M257" s="27">
        <f>IF(L257="","",IF(K257="GST 10%",ROUND(L257*set_GSTRate,2),0))</f>
        <v/>
      </c>
      <c r="N257" s="27">
        <f>IF(L257="","",L257+M257)</f>
        <v/>
      </c>
      <c r="O257" s="24" t="n"/>
      <c r="P257" s="24" t="n"/>
      <c r="Q257" s="24" t="n"/>
      <c r="R257" s="22" t="n"/>
      <c r="S257" s="22" t="n"/>
      <c r="T257" s="24" t="n"/>
      <c r="U257" s="24" t="n"/>
      <c r="V257" s="2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25">
        <f>IF(E257="","",IF(COUNTIF(tbl_Onsite[Job Number],E257&amp;"")&gt;0,"Onsite",IF(COUNTIF(tbl_Production[Job Number],E257&amp;"")&gt;0,"Production",IF(COUNTIF(tbl_Consulting[Job Number],E257&amp;"")&gt;0,"Consulting","not set up yet"))))</f>
        <v/>
      </c>
      <c r="X257" s="25">
        <f>IF(E257="","",IFERROR(INDEX(lst_JobName,MATCH(E257&amp;"",lst_Jobs,0)),""))</f>
        <v/>
      </c>
      <c r="Y257" s="28">
        <f>IF(E257="","",COUNTIFS(tbl_Finance[Job Number],E257&amp;"",tbl_Finance[Ex GST],"&lt;&gt;"))</f>
        <v/>
      </c>
      <c r="Z257" s="27">
        <f>IF(E257="","",SUMIFS(tbl_Finance[Ex GST],tbl_Finance[Job Number],E257&amp;""))</f>
        <v/>
      </c>
      <c r="AA257" s="27">
        <f>IF(E257="","",SUMIFS(tbl_Finance[Ex GST],tbl_Finance[Job Number],E257&amp;"",tbl_Finance[Xero Invoice No],"&lt;&gt;"))</f>
        <v/>
      </c>
      <c r="AB257" s="27">
        <f>IF(E257="","",Z257-AA257)</f>
        <v/>
      </c>
      <c r="AC257" s="25">
        <f>IF(E257="","",IFERROR(IF(INDEX(tbl_Onsite[Qwilr Quote],IFERROR(MATCH(E257&amp;"",tbl_Onsite[Job Number],0),MATCH(IFERROR(E257+0,E257),tbl_Onsite[Job Number],0)))="","",INDEX(tbl_Onsite[Qwilr Quote],IFERROR(MATCH(E257&amp;"",tbl_Onsite[Job Number],0),MATCH(IFERROR(E257+0,E257),tbl_Onsite[Job Number],0)))),IFERROR(IF(IF(INDEX(tbl_Production[Current RMS No],IFERROR(MATCH(E257&amp;"",tbl_Production[Job Number],0),MATCH(IFERROR(E257+0,E257),tbl_Production[Job Number],0)))="",INDEX(tbl_Production[Qwilr Quote],IFERROR(MATCH(E257&amp;"",tbl_Production[Job Number],0),MATCH(IFERROR(E257+0,E257),tbl_Production[Job Number],0))),INDEX(tbl_Production[Current RMS No],IFERROR(MATCH(E257&amp;"",tbl_Production[Job Number],0),MATCH(IFERROR(E257+0,E257),tbl_Production[Job Number],0))))="","",IF(INDEX(tbl_Production[Current RMS No],IFERROR(MATCH(E257&amp;"",tbl_Production[Job Number],0),MATCH(IFERROR(E257+0,E257),tbl_Production[Job Number],0)))="",INDEX(tbl_Production[Qwilr Quote],IFERROR(MATCH(E257&amp;"",tbl_Production[Job Number],0),MATCH(IFERROR(E257+0,E257),tbl_Production[Job Number],0))),INDEX(tbl_Production[Current RMS No],IFERROR(MATCH(E257&amp;"",tbl_Production[Job Number],0),MATCH(IFERROR(E257+0,E257),tbl_Production[Job Number],0))))),IFERROR(IF(INDEX(tbl_Consulting[Qwilr Quote],IFERROR(MATCH(E257&amp;"",tbl_Consulting[Job Number],0),MATCH(IFERROR(E257+0,E257),tbl_Consulting[Job Number],0)))="","",INDEX(tbl_Consulting[Qwilr Quote],IFERROR(MATCH(E257&amp;"",tbl_Consulting[Job Number],0),MATCH(IFERROR(E257+0,E257),tbl_Consulting[Job Number],0)))),""))))</f>
        <v/>
      </c>
      <c r="AD257" s="25">
        <f>IF(AC257="","",IF(AND(LEFT(AC257,4)&lt;&gt;"http",IF(H257="Production",set_RMSBase,set_QwilrBase)=""),"",HYPERLINK(IF(LEFT(AC257,4)="http",AC257,IF(H257="Production",set_RMSBase,set_QwilrBase)&amp;AC257),"Open")))</f>
        <v/>
      </c>
      <c r="AE257" s="27">
        <f>IF(E257="","",IFERROR(INDEX(tbl_Production[Total Expense],IFERROR(MATCH(E257&amp;"",tbl_Production[Job Number],0),MATCH(IFERROR(E257+0,E257),tbl_Production[Job Number],0))),IFERROR(INDEX(tbl_Consulting[Total Expense],IFERROR(MATCH(E257&amp;"",tbl_Consulting[Job Number],0),MATCH(IFERROR(E257+0,E257),tbl_Consulting[Job Number],0))),0)))</f>
        <v/>
      </c>
      <c r="AF257" s="27">
        <f>IF(E257="","",Z257-N(AE257))</f>
        <v/>
      </c>
      <c r="AG257" s="29">
        <f>IFERROR(AF257/Z257,"")</f>
        <v/>
      </c>
      <c r="AH257" s="25">
        <f>IF(E257="","",IFERROR(IF(INDEX(tbl_Onsite[Notes],IFERROR(MATCH(E257&amp;"",tbl_Onsite[Job Number],0),MATCH(IFERROR(E257+0,E257),tbl_Onsite[Job Number],0)))="","",INDEX(tbl_Onsite[Notes],IFERROR(MATCH(E257&amp;"",tbl_Onsite[Job Number],0),MATCH(IFERROR(E257+0,E257),tbl_Onsite[Job Number],0)))),IFERROR(IF(INDEX(tbl_Production[Notes],IFERROR(MATCH(E257&amp;"",tbl_Production[Job Number],0),MATCH(IFERROR(E257+0,E257),tbl_Production[Job Number],0)))="","",INDEX(tbl_Production[Notes],IFERROR(MATCH(E257&amp;"",tbl_Production[Job Number],0),MATCH(IFERROR(E257+0,E257),tbl_Production[Job Number],0)))),IFERROR(IF(INDEX(tbl_Consulting[Notes],IFERROR(MATCH(E257&amp;"",tbl_Consulting[Job Number],0),MATCH(IFERROR(E257+0,E257),tbl_Consulting[Job Number],0)))="","",INDEX(tbl_Consulting[Notes],IFERROR(MATCH(E257&amp;"",tbl_Consulting[Job Number],0),MATCH(IFERROR(E257+0,E257),tbl_Consulting[Job Number],0)))),""))))</f>
        <v/>
      </c>
    </row>
    <row r="258" ht="15" customHeight="1">
      <c r="A258" s="22" t="n"/>
      <c r="B258" s="23">
        <f>IF(A258="","",EOMONTH(A258,0))</f>
        <v/>
      </c>
      <c r="C258" s="24" t="n"/>
      <c r="D258" s="24" t="n"/>
      <c r="E258" s="24" t="n"/>
      <c r="F258" s="25">
        <f>IF(E258="","",IF(COUNTIF(lst_Jobs,E258&amp;"")&gt;0,"OK","CHECK"))</f>
        <v/>
      </c>
      <c r="G258" s="24" t="n"/>
      <c r="H258" s="24" t="n"/>
      <c r="I258" s="24" t="n"/>
      <c r="J258" s="24" t="n"/>
      <c r="K258" s="24" t="n"/>
      <c r="L258" s="26" t="n"/>
      <c r="M258" s="27">
        <f>IF(L258="","",IF(K258="GST 10%",ROUND(L258*set_GSTRate,2),0))</f>
        <v/>
      </c>
      <c r="N258" s="27">
        <f>IF(L258="","",L258+M258)</f>
        <v/>
      </c>
      <c r="O258" s="24" t="n"/>
      <c r="P258" s="24" t="n"/>
      <c r="Q258" s="24" t="n"/>
      <c r="R258" s="22" t="n"/>
      <c r="S258" s="22" t="n"/>
      <c r="T258" s="24" t="n"/>
      <c r="U258" s="24" t="n"/>
      <c r="V258" s="2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25">
        <f>IF(E258="","",IF(COUNTIF(tbl_Onsite[Job Number],E258&amp;"")&gt;0,"Onsite",IF(COUNTIF(tbl_Production[Job Number],E258&amp;"")&gt;0,"Production",IF(COUNTIF(tbl_Consulting[Job Number],E258&amp;"")&gt;0,"Consulting","not set up yet"))))</f>
        <v/>
      </c>
      <c r="X258" s="25">
        <f>IF(E258="","",IFERROR(INDEX(lst_JobName,MATCH(E258&amp;"",lst_Jobs,0)),""))</f>
        <v/>
      </c>
      <c r="Y258" s="28">
        <f>IF(E258="","",COUNTIFS(tbl_Finance[Job Number],E258&amp;"",tbl_Finance[Ex GST],"&lt;&gt;"))</f>
        <v/>
      </c>
      <c r="Z258" s="27">
        <f>IF(E258="","",SUMIFS(tbl_Finance[Ex GST],tbl_Finance[Job Number],E258&amp;""))</f>
        <v/>
      </c>
      <c r="AA258" s="27">
        <f>IF(E258="","",SUMIFS(tbl_Finance[Ex GST],tbl_Finance[Job Number],E258&amp;"",tbl_Finance[Xero Invoice No],"&lt;&gt;"))</f>
        <v/>
      </c>
      <c r="AB258" s="27">
        <f>IF(E258="","",Z258-AA258)</f>
        <v/>
      </c>
      <c r="AC258" s="25">
        <f>IF(E258="","",IFERROR(IF(INDEX(tbl_Onsite[Qwilr Quote],IFERROR(MATCH(E258&amp;"",tbl_Onsite[Job Number],0),MATCH(IFERROR(E258+0,E258),tbl_Onsite[Job Number],0)))="","",INDEX(tbl_Onsite[Qwilr Quote],IFERROR(MATCH(E258&amp;"",tbl_Onsite[Job Number],0),MATCH(IFERROR(E258+0,E258),tbl_Onsite[Job Number],0)))),IFERROR(IF(IF(INDEX(tbl_Production[Current RMS No],IFERROR(MATCH(E258&amp;"",tbl_Production[Job Number],0),MATCH(IFERROR(E258+0,E258),tbl_Production[Job Number],0)))="",INDEX(tbl_Production[Qwilr Quote],IFERROR(MATCH(E258&amp;"",tbl_Production[Job Number],0),MATCH(IFERROR(E258+0,E258),tbl_Production[Job Number],0))),INDEX(tbl_Production[Current RMS No],IFERROR(MATCH(E258&amp;"",tbl_Production[Job Number],0),MATCH(IFERROR(E258+0,E258),tbl_Production[Job Number],0))))="","",IF(INDEX(tbl_Production[Current RMS No],IFERROR(MATCH(E258&amp;"",tbl_Production[Job Number],0),MATCH(IFERROR(E258+0,E258),tbl_Production[Job Number],0)))="",INDEX(tbl_Production[Qwilr Quote],IFERROR(MATCH(E258&amp;"",tbl_Production[Job Number],0),MATCH(IFERROR(E258+0,E258),tbl_Production[Job Number],0))),INDEX(tbl_Production[Current RMS No],IFERROR(MATCH(E258&amp;"",tbl_Production[Job Number],0),MATCH(IFERROR(E258+0,E258),tbl_Production[Job Number],0))))),IFERROR(IF(INDEX(tbl_Consulting[Qwilr Quote],IFERROR(MATCH(E258&amp;"",tbl_Consulting[Job Number],0),MATCH(IFERROR(E258+0,E258),tbl_Consulting[Job Number],0)))="","",INDEX(tbl_Consulting[Qwilr Quote],IFERROR(MATCH(E258&amp;"",tbl_Consulting[Job Number],0),MATCH(IFERROR(E258+0,E258),tbl_Consulting[Job Number],0)))),""))))</f>
        <v/>
      </c>
      <c r="AD258" s="25">
        <f>IF(AC258="","",IF(AND(LEFT(AC258,4)&lt;&gt;"http",IF(H258="Production",set_RMSBase,set_QwilrBase)=""),"",HYPERLINK(IF(LEFT(AC258,4)="http",AC258,IF(H258="Production",set_RMSBase,set_QwilrBase)&amp;AC258),"Open")))</f>
        <v/>
      </c>
      <c r="AE258" s="27">
        <f>IF(E258="","",IFERROR(INDEX(tbl_Production[Total Expense],IFERROR(MATCH(E258&amp;"",tbl_Production[Job Number],0),MATCH(IFERROR(E258+0,E258),tbl_Production[Job Number],0))),IFERROR(INDEX(tbl_Consulting[Total Expense],IFERROR(MATCH(E258&amp;"",tbl_Consulting[Job Number],0),MATCH(IFERROR(E258+0,E258),tbl_Consulting[Job Number],0))),0)))</f>
        <v/>
      </c>
      <c r="AF258" s="27">
        <f>IF(E258="","",Z258-N(AE258))</f>
        <v/>
      </c>
      <c r="AG258" s="29">
        <f>IFERROR(AF258/Z258,"")</f>
        <v/>
      </c>
      <c r="AH258" s="25">
        <f>IF(E258="","",IFERROR(IF(INDEX(tbl_Onsite[Notes],IFERROR(MATCH(E258&amp;"",tbl_Onsite[Job Number],0),MATCH(IFERROR(E258+0,E258),tbl_Onsite[Job Number],0)))="","",INDEX(tbl_Onsite[Notes],IFERROR(MATCH(E258&amp;"",tbl_Onsite[Job Number],0),MATCH(IFERROR(E258+0,E258),tbl_Onsite[Job Number],0)))),IFERROR(IF(INDEX(tbl_Production[Notes],IFERROR(MATCH(E258&amp;"",tbl_Production[Job Number],0),MATCH(IFERROR(E258+0,E258),tbl_Production[Job Number],0)))="","",INDEX(tbl_Production[Notes],IFERROR(MATCH(E258&amp;"",tbl_Production[Job Number],0),MATCH(IFERROR(E258+0,E258),tbl_Production[Job Number],0)))),IFERROR(IF(INDEX(tbl_Consulting[Notes],IFERROR(MATCH(E258&amp;"",tbl_Consulting[Job Number],0),MATCH(IFERROR(E258+0,E258),tbl_Consulting[Job Number],0)))="","",INDEX(tbl_Consulting[Notes],IFERROR(MATCH(E258&amp;"",tbl_Consulting[Job Number],0),MATCH(IFERROR(E258+0,E258),tbl_Consulting[Job Number],0)))),""))))</f>
        <v/>
      </c>
    </row>
    <row r="259" ht="15" customHeight="1">
      <c r="A259" s="22" t="n"/>
      <c r="B259" s="23">
        <f>IF(A259="","",EOMONTH(A259,0))</f>
        <v/>
      </c>
      <c r="C259" s="24" t="n"/>
      <c r="D259" s="24" t="n"/>
      <c r="E259" s="24" t="n"/>
      <c r="F259" s="25">
        <f>IF(E259="","",IF(COUNTIF(lst_Jobs,E259&amp;"")&gt;0,"OK","CHECK"))</f>
        <v/>
      </c>
      <c r="G259" s="24" t="n"/>
      <c r="H259" s="24" t="n"/>
      <c r="I259" s="24" t="n"/>
      <c r="J259" s="24" t="n"/>
      <c r="K259" s="24" t="n"/>
      <c r="L259" s="26" t="n"/>
      <c r="M259" s="27">
        <f>IF(L259="","",IF(K259="GST 10%",ROUND(L259*set_GSTRate,2),0))</f>
        <v/>
      </c>
      <c r="N259" s="27">
        <f>IF(L259="","",L259+M259)</f>
        <v/>
      </c>
      <c r="O259" s="24" t="n"/>
      <c r="P259" s="24" t="n"/>
      <c r="Q259" s="24" t="n"/>
      <c r="R259" s="22" t="n"/>
      <c r="S259" s="22" t="n"/>
      <c r="T259" s="24" t="n"/>
      <c r="U259" s="24" t="n"/>
      <c r="V259" s="2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25">
        <f>IF(E259="","",IF(COUNTIF(tbl_Onsite[Job Number],E259&amp;"")&gt;0,"Onsite",IF(COUNTIF(tbl_Production[Job Number],E259&amp;"")&gt;0,"Production",IF(COUNTIF(tbl_Consulting[Job Number],E259&amp;"")&gt;0,"Consulting","not set up yet"))))</f>
        <v/>
      </c>
      <c r="X259" s="25">
        <f>IF(E259="","",IFERROR(INDEX(lst_JobName,MATCH(E259&amp;"",lst_Jobs,0)),""))</f>
        <v/>
      </c>
      <c r="Y259" s="28">
        <f>IF(E259="","",COUNTIFS(tbl_Finance[Job Number],E259&amp;"",tbl_Finance[Ex GST],"&lt;&gt;"))</f>
        <v/>
      </c>
      <c r="Z259" s="27">
        <f>IF(E259="","",SUMIFS(tbl_Finance[Ex GST],tbl_Finance[Job Number],E259&amp;""))</f>
        <v/>
      </c>
      <c r="AA259" s="27">
        <f>IF(E259="","",SUMIFS(tbl_Finance[Ex GST],tbl_Finance[Job Number],E259&amp;"",tbl_Finance[Xero Invoice No],"&lt;&gt;"))</f>
        <v/>
      </c>
      <c r="AB259" s="27">
        <f>IF(E259="","",Z259-AA259)</f>
        <v/>
      </c>
      <c r="AC259" s="25">
        <f>IF(E259="","",IFERROR(IF(INDEX(tbl_Onsite[Qwilr Quote],IFERROR(MATCH(E259&amp;"",tbl_Onsite[Job Number],0),MATCH(IFERROR(E259+0,E259),tbl_Onsite[Job Number],0)))="","",INDEX(tbl_Onsite[Qwilr Quote],IFERROR(MATCH(E259&amp;"",tbl_Onsite[Job Number],0),MATCH(IFERROR(E259+0,E259),tbl_Onsite[Job Number],0)))),IFERROR(IF(IF(INDEX(tbl_Production[Current RMS No],IFERROR(MATCH(E259&amp;"",tbl_Production[Job Number],0),MATCH(IFERROR(E259+0,E259),tbl_Production[Job Number],0)))="",INDEX(tbl_Production[Qwilr Quote],IFERROR(MATCH(E259&amp;"",tbl_Production[Job Number],0),MATCH(IFERROR(E259+0,E259),tbl_Production[Job Number],0))),INDEX(tbl_Production[Current RMS No],IFERROR(MATCH(E259&amp;"",tbl_Production[Job Number],0),MATCH(IFERROR(E259+0,E259),tbl_Production[Job Number],0))))="","",IF(INDEX(tbl_Production[Current RMS No],IFERROR(MATCH(E259&amp;"",tbl_Production[Job Number],0),MATCH(IFERROR(E259+0,E259),tbl_Production[Job Number],0)))="",INDEX(tbl_Production[Qwilr Quote],IFERROR(MATCH(E259&amp;"",tbl_Production[Job Number],0),MATCH(IFERROR(E259+0,E259),tbl_Production[Job Number],0))),INDEX(tbl_Production[Current RMS No],IFERROR(MATCH(E259&amp;"",tbl_Production[Job Number],0),MATCH(IFERROR(E259+0,E259),tbl_Production[Job Number],0))))),IFERROR(IF(INDEX(tbl_Consulting[Qwilr Quote],IFERROR(MATCH(E259&amp;"",tbl_Consulting[Job Number],0),MATCH(IFERROR(E259+0,E259),tbl_Consulting[Job Number],0)))="","",INDEX(tbl_Consulting[Qwilr Quote],IFERROR(MATCH(E259&amp;"",tbl_Consulting[Job Number],0),MATCH(IFERROR(E259+0,E259),tbl_Consulting[Job Number],0)))),""))))</f>
        <v/>
      </c>
      <c r="AD259" s="25">
        <f>IF(AC259="","",IF(AND(LEFT(AC259,4)&lt;&gt;"http",IF(H259="Production",set_RMSBase,set_QwilrBase)=""),"",HYPERLINK(IF(LEFT(AC259,4)="http",AC259,IF(H259="Production",set_RMSBase,set_QwilrBase)&amp;AC259),"Open")))</f>
        <v/>
      </c>
      <c r="AE259" s="27">
        <f>IF(E259="","",IFERROR(INDEX(tbl_Production[Total Expense],IFERROR(MATCH(E259&amp;"",tbl_Production[Job Number],0),MATCH(IFERROR(E259+0,E259),tbl_Production[Job Number],0))),IFERROR(INDEX(tbl_Consulting[Total Expense],IFERROR(MATCH(E259&amp;"",tbl_Consulting[Job Number],0),MATCH(IFERROR(E259+0,E259),tbl_Consulting[Job Number],0))),0)))</f>
        <v/>
      </c>
      <c r="AF259" s="27">
        <f>IF(E259="","",Z259-N(AE259))</f>
        <v/>
      </c>
      <c r="AG259" s="29">
        <f>IFERROR(AF259/Z259,"")</f>
        <v/>
      </c>
      <c r="AH259" s="25">
        <f>IF(E259="","",IFERROR(IF(INDEX(tbl_Onsite[Notes],IFERROR(MATCH(E259&amp;"",tbl_Onsite[Job Number],0),MATCH(IFERROR(E259+0,E259),tbl_Onsite[Job Number],0)))="","",INDEX(tbl_Onsite[Notes],IFERROR(MATCH(E259&amp;"",tbl_Onsite[Job Number],0),MATCH(IFERROR(E259+0,E259),tbl_Onsite[Job Number],0)))),IFERROR(IF(INDEX(tbl_Production[Notes],IFERROR(MATCH(E259&amp;"",tbl_Production[Job Number],0),MATCH(IFERROR(E259+0,E259),tbl_Production[Job Number],0)))="","",INDEX(tbl_Production[Notes],IFERROR(MATCH(E259&amp;"",tbl_Production[Job Number],0),MATCH(IFERROR(E259+0,E259),tbl_Production[Job Number],0)))),IFERROR(IF(INDEX(tbl_Consulting[Notes],IFERROR(MATCH(E259&amp;"",tbl_Consulting[Job Number],0),MATCH(IFERROR(E259+0,E259),tbl_Consulting[Job Number],0)))="","",INDEX(tbl_Consulting[Notes],IFERROR(MATCH(E259&amp;"",tbl_Consulting[Job Number],0),MATCH(IFERROR(E259+0,E259),tbl_Consulting[Job Number],0)))),""))))</f>
        <v/>
      </c>
    </row>
    <row r="260" ht="15" customHeight="1">
      <c r="A260" s="22" t="n"/>
      <c r="B260" s="23">
        <f>IF(A260="","",EOMONTH(A260,0))</f>
        <v/>
      </c>
      <c r="C260" s="24" t="n"/>
      <c r="D260" s="24" t="n"/>
      <c r="E260" s="24" t="n"/>
      <c r="F260" s="25">
        <f>IF(E260="","",IF(COUNTIF(lst_Jobs,E260&amp;"")&gt;0,"OK","CHECK"))</f>
        <v/>
      </c>
      <c r="G260" s="24" t="n"/>
      <c r="H260" s="24" t="n"/>
      <c r="I260" s="24" t="n"/>
      <c r="J260" s="24" t="n"/>
      <c r="K260" s="24" t="n"/>
      <c r="L260" s="26" t="n"/>
      <c r="M260" s="27">
        <f>IF(L260="","",IF(K260="GST 10%",ROUND(L260*set_GSTRate,2),0))</f>
        <v/>
      </c>
      <c r="N260" s="27">
        <f>IF(L260="","",L260+M260)</f>
        <v/>
      </c>
      <c r="O260" s="24" t="n"/>
      <c r="P260" s="24" t="n"/>
      <c r="Q260" s="24" t="n"/>
      <c r="R260" s="22" t="n"/>
      <c r="S260" s="22" t="n"/>
      <c r="T260" s="24" t="n"/>
      <c r="U260" s="24" t="n"/>
      <c r="V260" s="2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25">
        <f>IF(E260="","",IF(COUNTIF(tbl_Onsite[Job Number],E260&amp;"")&gt;0,"Onsite",IF(COUNTIF(tbl_Production[Job Number],E260&amp;"")&gt;0,"Production",IF(COUNTIF(tbl_Consulting[Job Number],E260&amp;"")&gt;0,"Consulting","not set up yet"))))</f>
        <v/>
      </c>
      <c r="X260" s="25">
        <f>IF(E260="","",IFERROR(INDEX(lst_JobName,MATCH(E260&amp;"",lst_Jobs,0)),""))</f>
        <v/>
      </c>
      <c r="Y260" s="28">
        <f>IF(E260="","",COUNTIFS(tbl_Finance[Job Number],E260&amp;"",tbl_Finance[Ex GST],"&lt;&gt;"))</f>
        <v/>
      </c>
      <c r="Z260" s="27">
        <f>IF(E260="","",SUMIFS(tbl_Finance[Ex GST],tbl_Finance[Job Number],E260&amp;""))</f>
        <v/>
      </c>
      <c r="AA260" s="27">
        <f>IF(E260="","",SUMIFS(tbl_Finance[Ex GST],tbl_Finance[Job Number],E260&amp;"",tbl_Finance[Xero Invoice No],"&lt;&gt;"))</f>
        <v/>
      </c>
      <c r="AB260" s="27">
        <f>IF(E260="","",Z260-AA260)</f>
        <v/>
      </c>
      <c r="AC260" s="25">
        <f>IF(E260="","",IFERROR(IF(INDEX(tbl_Onsite[Qwilr Quote],IFERROR(MATCH(E260&amp;"",tbl_Onsite[Job Number],0),MATCH(IFERROR(E260+0,E260),tbl_Onsite[Job Number],0)))="","",INDEX(tbl_Onsite[Qwilr Quote],IFERROR(MATCH(E260&amp;"",tbl_Onsite[Job Number],0),MATCH(IFERROR(E260+0,E260),tbl_Onsite[Job Number],0)))),IFERROR(IF(IF(INDEX(tbl_Production[Current RMS No],IFERROR(MATCH(E260&amp;"",tbl_Production[Job Number],0),MATCH(IFERROR(E260+0,E260),tbl_Production[Job Number],0)))="",INDEX(tbl_Production[Qwilr Quote],IFERROR(MATCH(E260&amp;"",tbl_Production[Job Number],0),MATCH(IFERROR(E260+0,E260),tbl_Production[Job Number],0))),INDEX(tbl_Production[Current RMS No],IFERROR(MATCH(E260&amp;"",tbl_Production[Job Number],0),MATCH(IFERROR(E260+0,E260),tbl_Production[Job Number],0))))="","",IF(INDEX(tbl_Production[Current RMS No],IFERROR(MATCH(E260&amp;"",tbl_Production[Job Number],0),MATCH(IFERROR(E260+0,E260),tbl_Production[Job Number],0)))="",INDEX(tbl_Production[Qwilr Quote],IFERROR(MATCH(E260&amp;"",tbl_Production[Job Number],0),MATCH(IFERROR(E260+0,E260),tbl_Production[Job Number],0))),INDEX(tbl_Production[Current RMS No],IFERROR(MATCH(E260&amp;"",tbl_Production[Job Number],0),MATCH(IFERROR(E260+0,E260),tbl_Production[Job Number],0))))),IFERROR(IF(INDEX(tbl_Consulting[Qwilr Quote],IFERROR(MATCH(E260&amp;"",tbl_Consulting[Job Number],0),MATCH(IFERROR(E260+0,E260),tbl_Consulting[Job Number],0)))="","",INDEX(tbl_Consulting[Qwilr Quote],IFERROR(MATCH(E260&amp;"",tbl_Consulting[Job Number],0),MATCH(IFERROR(E260+0,E260),tbl_Consulting[Job Number],0)))),""))))</f>
        <v/>
      </c>
      <c r="AD260" s="25">
        <f>IF(AC260="","",IF(AND(LEFT(AC260,4)&lt;&gt;"http",IF(H260="Production",set_RMSBase,set_QwilrBase)=""),"",HYPERLINK(IF(LEFT(AC260,4)="http",AC260,IF(H260="Production",set_RMSBase,set_QwilrBase)&amp;AC260),"Open")))</f>
        <v/>
      </c>
      <c r="AE260" s="27">
        <f>IF(E260="","",IFERROR(INDEX(tbl_Production[Total Expense],IFERROR(MATCH(E260&amp;"",tbl_Production[Job Number],0),MATCH(IFERROR(E260+0,E260),tbl_Production[Job Number],0))),IFERROR(INDEX(tbl_Consulting[Total Expense],IFERROR(MATCH(E260&amp;"",tbl_Consulting[Job Number],0),MATCH(IFERROR(E260+0,E260),tbl_Consulting[Job Number],0))),0)))</f>
        <v/>
      </c>
      <c r="AF260" s="27">
        <f>IF(E260="","",Z260-N(AE260))</f>
        <v/>
      </c>
      <c r="AG260" s="29">
        <f>IFERROR(AF260/Z260,"")</f>
        <v/>
      </c>
      <c r="AH260" s="25">
        <f>IF(E260="","",IFERROR(IF(INDEX(tbl_Onsite[Notes],IFERROR(MATCH(E260&amp;"",tbl_Onsite[Job Number],0),MATCH(IFERROR(E260+0,E260),tbl_Onsite[Job Number],0)))="","",INDEX(tbl_Onsite[Notes],IFERROR(MATCH(E260&amp;"",tbl_Onsite[Job Number],0),MATCH(IFERROR(E260+0,E260),tbl_Onsite[Job Number],0)))),IFERROR(IF(INDEX(tbl_Production[Notes],IFERROR(MATCH(E260&amp;"",tbl_Production[Job Number],0),MATCH(IFERROR(E260+0,E260),tbl_Production[Job Number],0)))="","",INDEX(tbl_Production[Notes],IFERROR(MATCH(E260&amp;"",tbl_Production[Job Number],0),MATCH(IFERROR(E260+0,E260),tbl_Production[Job Number],0)))),IFERROR(IF(INDEX(tbl_Consulting[Notes],IFERROR(MATCH(E260&amp;"",tbl_Consulting[Job Number],0),MATCH(IFERROR(E260+0,E260),tbl_Consulting[Job Number],0)))="","",INDEX(tbl_Consulting[Notes],IFERROR(MATCH(E260&amp;"",tbl_Consulting[Job Number],0),MATCH(IFERROR(E260+0,E260),tbl_Consulting[Job Number],0)))),""))))</f>
        <v/>
      </c>
    </row>
    <row r="261" ht="15" customHeight="1">
      <c r="A261" s="22" t="n"/>
      <c r="B261" s="23">
        <f>IF(A261="","",EOMONTH(A261,0))</f>
        <v/>
      </c>
      <c r="C261" s="24" t="n"/>
      <c r="D261" s="24" t="n"/>
      <c r="E261" s="24" t="n"/>
      <c r="F261" s="25">
        <f>IF(E261="","",IF(COUNTIF(lst_Jobs,E261&amp;"")&gt;0,"OK","CHECK"))</f>
        <v/>
      </c>
      <c r="G261" s="24" t="n"/>
      <c r="H261" s="24" t="n"/>
      <c r="I261" s="24" t="n"/>
      <c r="J261" s="24" t="n"/>
      <c r="K261" s="24" t="n"/>
      <c r="L261" s="26" t="n"/>
      <c r="M261" s="27">
        <f>IF(L261="","",IF(K261="GST 10%",ROUND(L261*set_GSTRate,2),0))</f>
        <v/>
      </c>
      <c r="N261" s="27">
        <f>IF(L261="","",L261+M261)</f>
        <v/>
      </c>
      <c r="O261" s="24" t="n"/>
      <c r="P261" s="24" t="n"/>
      <c r="Q261" s="24" t="n"/>
      <c r="R261" s="22" t="n"/>
      <c r="S261" s="22" t="n"/>
      <c r="T261" s="24" t="n"/>
      <c r="U261" s="24" t="n"/>
      <c r="V261" s="2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25">
        <f>IF(E261="","",IF(COUNTIF(tbl_Onsite[Job Number],E261&amp;"")&gt;0,"Onsite",IF(COUNTIF(tbl_Production[Job Number],E261&amp;"")&gt;0,"Production",IF(COUNTIF(tbl_Consulting[Job Number],E261&amp;"")&gt;0,"Consulting","not set up yet"))))</f>
        <v/>
      </c>
      <c r="X261" s="25">
        <f>IF(E261="","",IFERROR(INDEX(lst_JobName,MATCH(E261&amp;"",lst_Jobs,0)),""))</f>
        <v/>
      </c>
      <c r="Y261" s="28">
        <f>IF(E261="","",COUNTIFS(tbl_Finance[Job Number],E261&amp;"",tbl_Finance[Ex GST],"&lt;&gt;"))</f>
        <v/>
      </c>
      <c r="Z261" s="27">
        <f>IF(E261="","",SUMIFS(tbl_Finance[Ex GST],tbl_Finance[Job Number],E261&amp;""))</f>
        <v/>
      </c>
      <c r="AA261" s="27">
        <f>IF(E261="","",SUMIFS(tbl_Finance[Ex GST],tbl_Finance[Job Number],E261&amp;"",tbl_Finance[Xero Invoice No],"&lt;&gt;"))</f>
        <v/>
      </c>
      <c r="AB261" s="27">
        <f>IF(E261="","",Z261-AA261)</f>
        <v/>
      </c>
      <c r="AC261" s="25">
        <f>IF(E261="","",IFERROR(IF(INDEX(tbl_Onsite[Qwilr Quote],IFERROR(MATCH(E261&amp;"",tbl_Onsite[Job Number],0),MATCH(IFERROR(E261+0,E261),tbl_Onsite[Job Number],0)))="","",INDEX(tbl_Onsite[Qwilr Quote],IFERROR(MATCH(E261&amp;"",tbl_Onsite[Job Number],0),MATCH(IFERROR(E261+0,E261),tbl_Onsite[Job Number],0)))),IFERROR(IF(IF(INDEX(tbl_Production[Current RMS No],IFERROR(MATCH(E261&amp;"",tbl_Production[Job Number],0),MATCH(IFERROR(E261+0,E261),tbl_Production[Job Number],0)))="",INDEX(tbl_Production[Qwilr Quote],IFERROR(MATCH(E261&amp;"",tbl_Production[Job Number],0),MATCH(IFERROR(E261+0,E261),tbl_Production[Job Number],0))),INDEX(tbl_Production[Current RMS No],IFERROR(MATCH(E261&amp;"",tbl_Production[Job Number],0),MATCH(IFERROR(E261+0,E261),tbl_Production[Job Number],0))))="","",IF(INDEX(tbl_Production[Current RMS No],IFERROR(MATCH(E261&amp;"",tbl_Production[Job Number],0),MATCH(IFERROR(E261+0,E261),tbl_Production[Job Number],0)))="",INDEX(tbl_Production[Qwilr Quote],IFERROR(MATCH(E261&amp;"",tbl_Production[Job Number],0),MATCH(IFERROR(E261+0,E261),tbl_Production[Job Number],0))),INDEX(tbl_Production[Current RMS No],IFERROR(MATCH(E261&amp;"",tbl_Production[Job Number],0),MATCH(IFERROR(E261+0,E261),tbl_Production[Job Number],0))))),IFERROR(IF(INDEX(tbl_Consulting[Qwilr Quote],IFERROR(MATCH(E261&amp;"",tbl_Consulting[Job Number],0),MATCH(IFERROR(E261+0,E261),tbl_Consulting[Job Number],0)))="","",INDEX(tbl_Consulting[Qwilr Quote],IFERROR(MATCH(E261&amp;"",tbl_Consulting[Job Number],0),MATCH(IFERROR(E261+0,E261),tbl_Consulting[Job Number],0)))),""))))</f>
        <v/>
      </c>
      <c r="AD261" s="25">
        <f>IF(AC261="","",IF(AND(LEFT(AC261,4)&lt;&gt;"http",IF(H261="Production",set_RMSBase,set_QwilrBase)=""),"",HYPERLINK(IF(LEFT(AC261,4)="http",AC261,IF(H261="Production",set_RMSBase,set_QwilrBase)&amp;AC261),"Open")))</f>
        <v/>
      </c>
      <c r="AE261" s="27">
        <f>IF(E261="","",IFERROR(INDEX(tbl_Production[Total Expense],IFERROR(MATCH(E261&amp;"",tbl_Production[Job Number],0),MATCH(IFERROR(E261+0,E261),tbl_Production[Job Number],0))),IFERROR(INDEX(tbl_Consulting[Total Expense],IFERROR(MATCH(E261&amp;"",tbl_Consulting[Job Number],0),MATCH(IFERROR(E261+0,E261),tbl_Consulting[Job Number],0))),0)))</f>
        <v/>
      </c>
      <c r="AF261" s="27">
        <f>IF(E261="","",Z261-N(AE261))</f>
        <v/>
      </c>
      <c r="AG261" s="29">
        <f>IFERROR(AF261/Z261,"")</f>
        <v/>
      </c>
      <c r="AH261" s="25">
        <f>IF(E261="","",IFERROR(IF(INDEX(tbl_Onsite[Notes],IFERROR(MATCH(E261&amp;"",tbl_Onsite[Job Number],0),MATCH(IFERROR(E261+0,E261),tbl_Onsite[Job Number],0)))="","",INDEX(tbl_Onsite[Notes],IFERROR(MATCH(E261&amp;"",tbl_Onsite[Job Number],0),MATCH(IFERROR(E261+0,E261),tbl_Onsite[Job Number],0)))),IFERROR(IF(INDEX(tbl_Production[Notes],IFERROR(MATCH(E261&amp;"",tbl_Production[Job Number],0),MATCH(IFERROR(E261+0,E261),tbl_Production[Job Number],0)))="","",INDEX(tbl_Production[Notes],IFERROR(MATCH(E261&amp;"",tbl_Production[Job Number],0),MATCH(IFERROR(E261+0,E261),tbl_Production[Job Number],0)))),IFERROR(IF(INDEX(tbl_Consulting[Notes],IFERROR(MATCH(E261&amp;"",tbl_Consulting[Job Number],0),MATCH(IFERROR(E261+0,E261),tbl_Consulting[Job Number],0)))="","",INDEX(tbl_Consulting[Notes],IFERROR(MATCH(E261&amp;"",tbl_Consulting[Job Number],0),MATCH(IFERROR(E261+0,E261),tbl_Consulting[Job Number],0)))),""))))</f>
        <v/>
      </c>
    </row>
    <row r="262" ht="15" customHeight="1">
      <c r="A262" s="22" t="n"/>
      <c r="B262" s="23">
        <f>IF(A262="","",EOMONTH(A262,0))</f>
        <v/>
      </c>
      <c r="C262" s="24" t="n"/>
      <c r="D262" s="24" t="n"/>
      <c r="E262" s="24" t="n"/>
      <c r="F262" s="25">
        <f>IF(E262="","",IF(COUNTIF(lst_Jobs,E262&amp;"")&gt;0,"OK","CHECK"))</f>
        <v/>
      </c>
      <c r="G262" s="24" t="n"/>
      <c r="H262" s="24" t="n"/>
      <c r="I262" s="24" t="n"/>
      <c r="J262" s="24" t="n"/>
      <c r="K262" s="24" t="n"/>
      <c r="L262" s="26" t="n"/>
      <c r="M262" s="27">
        <f>IF(L262="","",IF(K262="GST 10%",ROUND(L262*set_GSTRate,2),0))</f>
        <v/>
      </c>
      <c r="N262" s="27">
        <f>IF(L262="","",L262+M262)</f>
        <v/>
      </c>
      <c r="O262" s="24" t="n"/>
      <c r="P262" s="24" t="n"/>
      <c r="Q262" s="24" t="n"/>
      <c r="R262" s="22" t="n"/>
      <c r="S262" s="22" t="n"/>
      <c r="T262" s="24" t="n"/>
      <c r="U262" s="24" t="n"/>
      <c r="V262" s="2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25">
        <f>IF(E262="","",IF(COUNTIF(tbl_Onsite[Job Number],E262&amp;"")&gt;0,"Onsite",IF(COUNTIF(tbl_Production[Job Number],E262&amp;"")&gt;0,"Production",IF(COUNTIF(tbl_Consulting[Job Number],E262&amp;"")&gt;0,"Consulting","not set up yet"))))</f>
        <v/>
      </c>
      <c r="X262" s="25">
        <f>IF(E262="","",IFERROR(INDEX(lst_JobName,MATCH(E262&amp;"",lst_Jobs,0)),""))</f>
        <v/>
      </c>
      <c r="Y262" s="28">
        <f>IF(E262="","",COUNTIFS(tbl_Finance[Job Number],E262&amp;"",tbl_Finance[Ex GST],"&lt;&gt;"))</f>
        <v/>
      </c>
      <c r="Z262" s="27">
        <f>IF(E262="","",SUMIFS(tbl_Finance[Ex GST],tbl_Finance[Job Number],E262&amp;""))</f>
        <v/>
      </c>
      <c r="AA262" s="27">
        <f>IF(E262="","",SUMIFS(tbl_Finance[Ex GST],tbl_Finance[Job Number],E262&amp;"",tbl_Finance[Xero Invoice No],"&lt;&gt;"))</f>
        <v/>
      </c>
      <c r="AB262" s="27">
        <f>IF(E262="","",Z262-AA262)</f>
        <v/>
      </c>
      <c r="AC262" s="25">
        <f>IF(E262="","",IFERROR(IF(INDEX(tbl_Onsite[Qwilr Quote],IFERROR(MATCH(E262&amp;"",tbl_Onsite[Job Number],0),MATCH(IFERROR(E262+0,E262),tbl_Onsite[Job Number],0)))="","",INDEX(tbl_Onsite[Qwilr Quote],IFERROR(MATCH(E262&amp;"",tbl_Onsite[Job Number],0),MATCH(IFERROR(E262+0,E262),tbl_Onsite[Job Number],0)))),IFERROR(IF(IF(INDEX(tbl_Production[Current RMS No],IFERROR(MATCH(E262&amp;"",tbl_Production[Job Number],0),MATCH(IFERROR(E262+0,E262),tbl_Production[Job Number],0)))="",INDEX(tbl_Production[Qwilr Quote],IFERROR(MATCH(E262&amp;"",tbl_Production[Job Number],0),MATCH(IFERROR(E262+0,E262),tbl_Production[Job Number],0))),INDEX(tbl_Production[Current RMS No],IFERROR(MATCH(E262&amp;"",tbl_Production[Job Number],0),MATCH(IFERROR(E262+0,E262),tbl_Production[Job Number],0))))="","",IF(INDEX(tbl_Production[Current RMS No],IFERROR(MATCH(E262&amp;"",tbl_Production[Job Number],0),MATCH(IFERROR(E262+0,E262),tbl_Production[Job Number],0)))="",INDEX(tbl_Production[Qwilr Quote],IFERROR(MATCH(E262&amp;"",tbl_Production[Job Number],0),MATCH(IFERROR(E262+0,E262),tbl_Production[Job Number],0))),INDEX(tbl_Production[Current RMS No],IFERROR(MATCH(E262&amp;"",tbl_Production[Job Number],0),MATCH(IFERROR(E262+0,E262),tbl_Production[Job Number],0))))),IFERROR(IF(INDEX(tbl_Consulting[Qwilr Quote],IFERROR(MATCH(E262&amp;"",tbl_Consulting[Job Number],0),MATCH(IFERROR(E262+0,E262),tbl_Consulting[Job Number],0)))="","",INDEX(tbl_Consulting[Qwilr Quote],IFERROR(MATCH(E262&amp;"",tbl_Consulting[Job Number],0),MATCH(IFERROR(E262+0,E262),tbl_Consulting[Job Number],0)))),""))))</f>
        <v/>
      </c>
      <c r="AD262" s="25">
        <f>IF(AC262="","",IF(AND(LEFT(AC262,4)&lt;&gt;"http",IF(H262="Production",set_RMSBase,set_QwilrBase)=""),"",HYPERLINK(IF(LEFT(AC262,4)="http",AC262,IF(H262="Production",set_RMSBase,set_QwilrBase)&amp;AC262),"Open")))</f>
        <v/>
      </c>
      <c r="AE262" s="27">
        <f>IF(E262="","",IFERROR(INDEX(tbl_Production[Total Expense],IFERROR(MATCH(E262&amp;"",tbl_Production[Job Number],0),MATCH(IFERROR(E262+0,E262),tbl_Production[Job Number],0))),IFERROR(INDEX(tbl_Consulting[Total Expense],IFERROR(MATCH(E262&amp;"",tbl_Consulting[Job Number],0),MATCH(IFERROR(E262+0,E262),tbl_Consulting[Job Number],0))),0)))</f>
        <v/>
      </c>
      <c r="AF262" s="27">
        <f>IF(E262="","",Z262-N(AE262))</f>
        <v/>
      </c>
      <c r="AG262" s="29">
        <f>IFERROR(AF262/Z262,"")</f>
        <v/>
      </c>
      <c r="AH262" s="25">
        <f>IF(E262="","",IFERROR(IF(INDEX(tbl_Onsite[Notes],IFERROR(MATCH(E262&amp;"",tbl_Onsite[Job Number],0),MATCH(IFERROR(E262+0,E262),tbl_Onsite[Job Number],0)))="","",INDEX(tbl_Onsite[Notes],IFERROR(MATCH(E262&amp;"",tbl_Onsite[Job Number],0),MATCH(IFERROR(E262+0,E262),tbl_Onsite[Job Number],0)))),IFERROR(IF(INDEX(tbl_Production[Notes],IFERROR(MATCH(E262&amp;"",tbl_Production[Job Number],0),MATCH(IFERROR(E262+0,E262),tbl_Production[Job Number],0)))="","",INDEX(tbl_Production[Notes],IFERROR(MATCH(E262&amp;"",tbl_Production[Job Number],0),MATCH(IFERROR(E262+0,E262),tbl_Production[Job Number],0)))),IFERROR(IF(INDEX(tbl_Consulting[Notes],IFERROR(MATCH(E262&amp;"",tbl_Consulting[Job Number],0),MATCH(IFERROR(E262+0,E262),tbl_Consulting[Job Number],0)))="","",INDEX(tbl_Consulting[Notes],IFERROR(MATCH(E262&amp;"",tbl_Consulting[Job Number],0),MATCH(IFERROR(E262+0,E262),tbl_Consulting[Job Number],0)))),""))))</f>
        <v/>
      </c>
    </row>
    <row r="263" ht="15" customHeight="1">
      <c r="A263" s="22" t="n"/>
      <c r="B263" s="23">
        <f>IF(A263="","",EOMONTH(A263,0))</f>
        <v/>
      </c>
      <c r="C263" s="24" t="n"/>
      <c r="D263" s="24" t="n"/>
      <c r="E263" s="24" t="n"/>
      <c r="F263" s="25">
        <f>IF(E263="","",IF(COUNTIF(lst_Jobs,E263&amp;"")&gt;0,"OK","CHECK"))</f>
        <v/>
      </c>
      <c r="G263" s="24" t="n"/>
      <c r="H263" s="24" t="n"/>
      <c r="I263" s="24" t="n"/>
      <c r="J263" s="24" t="n"/>
      <c r="K263" s="24" t="n"/>
      <c r="L263" s="26" t="n"/>
      <c r="M263" s="27">
        <f>IF(L263="","",IF(K263="GST 10%",ROUND(L263*set_GSTRate,2),0))</f>
        <v/>
      </c>
      <c r="N263" s="27">
        <f>IF(L263="","",L263+M263)</f>
        <v/>
      </c>
      <c r="O263" s="24" t="n"/>
      <c r="P263" s="24" t="n"/>
      <c r="Q263" s="24" t="n"/>
      <c r="R263" s="22" t="n"/>
      <c r="S263" s="22" t="n"/>
      <c r="T263" s="24" t="n"/>
      <c r="U263" s="24" t="n"/>
      <c r="V263" s="2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25">
        <f>IF(E263="","",IF(COUNTIF(tbl_Onsite[Job Number],E263&amp;"")&gt;0,"Onsite",IF(COUNTIF(tbl_Production[Job Number],E263&amp;"")&gt;0,"Production",IF(COUNTIF(tbl_Consulting[Job Number],E263&amp;"")&gt;0,"Consulting","not set up yet"))))</f>
        <v/>
      </c>
      <c r="X263" s="25">
        <f>IF(E263="","",IFERROR(INDEX(lst_JobName,MATCH(E263&amp;"",lst_Jobs,0)),""))</f>
        <v/>
      </c>
      <c r="Y263" s="28">
        <f>IF(E263="","",COUNTIFS(tbl_Finance[Job Number],E263&amp;"",tbl_Finance[Ex GST],"&lt;&gt;"))</f>
        <v/>
      </c>
      <c r="Z263" s="27">
        <f>IF(E263="","",SUMIFS(tbl_Finance[Ex GST],tbl_Finance[Job Number],E263&amp;""))</f>
        <v/>
      </c>
      <c r="AA263" s="27">
        <f>IF(E263="","",SUMIFS(tbl_Finance[Ex GST],tbl_Finance[Job Number],E263&amp;"",tbl_Finance[Xero Invoice No],"&lt;&gt;"))</f>
        <v/>
      </c>
      <c r="AB263" s="27">
        <f>IF(E263="","",Z263-AA263)</f>
        <v/>
      </c>
      <c r="AC263" s="25">
        <f>IF(E263="","",IFERROR(IF(INDEX(tbl_Onsite[Qwilr Quote],IFERROR(MATCH(E263&amp;"",tbl_Onsite[Job Number],0),MATCH(IFERROR(E263+0,E263),tbl_Onsite[Job Number],0)))="","",INDEX(tbl_Onsite[Qwilr Quote],IFERROR(MATCH(E263&amp;"",tbl_Onsite[Job Number],0),MATCH(IFERROR(E263+0,E263),tbl_Onsite[Job Number],0)))),IFERROR(IF(IF(INDEX(tbl_Production[Current RMS No],IFERROR(MATCH(E263&amp;"",tbl_Production[Job Number],0),MATCH(IFERROR(E263+0,E263),tbl_Production[Job Number],0)))="",INDEX(tbl_Production[Qwilr Quote],IFERROR(MATCH(E263&amp;"",tbl_Production[Job Number],0),MATCH(IFERROR(E263+0,E263),tbl_Production[Job Number],0))),INDEX(tbl_Production[Current RMS No],IFERROR(MATCH(E263&amp;"",tbl_Production[Job Number],0),MATCH(IFERROR(E263+0,E263),tbl_Production[Job Number],0))))="","",IF(INDEX(tbl_Production[Current RMS No],IFERROR(MATCH(E263&amp;"",tbl_Production[Job Number],0),MATCH(IFERROR(E263+0,E263),tbl_Production[Job Number],0)))="",INDEX(tbl_Production[Qwilr Quote],IFERROR(MATCH(E263&amp;"",tbl_Production[Job Number],0),MATCH(IFERROR(E263+0,E263),tbl_Production[Job Number],0))),INDEX(tbl_Production[Current RMS No],IFERROR(MATCH(E263&amp;"",tbl_Production[Job Number],0),MATCH(IFERROR(E263+0,E263),tbl_Production[Job Number],0))))),IFERROR(IF(INDEX(tbl_Consulting[Qwilr Quote],IFERROR(MATCH(E263&amp;"",tbl_Consulting[Job Number],0),MATCH(IFERROR(E263+0,E263),tbl_Consulting[Job Number],0)))="","",INDEX(tbl_Consulting[Qwilr Quote],IFERROR(MATCH(E263&amp;"",tbl_Consulting[Job Number],0),MATCH(IFERROR(E263+0,E263),tbl_Consulting[Job Number],0)))),""))))</f>
        <v/>
      </c>
      <c r="AD263" s="25">
        <f>IF(AC263="","",IF(AND(LEFT(AC263,4)&lt;&gt;"http",IF(H263="Production",set_RMSBase,set_QwilrBase)=""),"",HYPERLINK(IF(LEFT(AC263,4)="http",AC263,IF(H263="Production",set_RMSBase,set_QwilrBase)&amp;AC263),"Open")))</f>
        <v/>
      </c>
      <c r="AE263" s="27">
        <f>IF(E263="","",IFERROR(INDEX(tbl_Production[Total Expense],IFERROR(MATCH(E263&amp;"",tbl_Production[Job Number],0),MATCH(IFERROR(E263+0,E263),tbl_Production[Job Number],0))),IFERROR(INDEX(tbl_Consulting[Total Expense],IFERROR(MATCH(E263&amp;"",tbl_Consulting[Job Number],0),MATCH(IFERROR(E263+0,E263),tbl_Consulting[Job Number],0))),0)))</f>
        <v/>
      </c>
      <c r="AF263" s="27">
        <f>IF(E263="","",Z263-N(AE263))</f>
        <v/>
      </c>
      <c r="AG263" s="29">
        <f>IFERROR(AF263/Z263,"")</f>
        <v/>
      </c>
      <c r="AH263" s="25">
        <f>IF(E263="","",IFERROR(IF(INDEX(tbl_Onsite[Notes],IFERROR(MATCH(E263&amp;"",tbl_Onsite[Job Number],0),MATCH(IFERROR(E263+0,E263),tbl_Onsite[Job Number],0)))="","",INDEX(tbl_Onsite[Notes],IFERROR(MATCH(E263&amp;"",tbl_Onsite[Job Number],0),MATCH(IFERROR(E263+0,E263),tbl_Onsite[Job Number],0)))),IFERROR(IF(INDEX(tbl_Production[Notes],IFERROR(MATCH(E263&amp;"",tbl_Production[Job Number],0),MATCH(IFERROR(E263+0,E263),tbl_Production[Job Number],0)))="","",INDEX(tbl_Production[Notes],IFERROR(MATCH(E263&amp;"",tbl_Production[Job Number],0),MATCH(IFERROR(E263+0,E263),tbl_Production[Job Number],0)))),IFERROR(IF(INDEX(tbl_Consulting[Notes],IFERROR(MATCH(E263&amp;"",tbl_Consulting[Job Number],0),MATCH(IFERROR(E263+0,E263),tbl_Consulting[Job Number],0)))="","",INDEX(tbl_Consulting[Notes],IFERROR(MATCH(E263&amp;"",tbl_Consulting[Job Number],0),MATCH(IFERROR(E263+0,E263),tbl_Consulting[Job Number],0)))),""))))</f>
        <v/>
      </c>
    </row>
    <row r="264" ht="15" customHeight="1">
      <c r="A264" s="22" t="n"/>
      <c r="B264" s="23">
        <f>IF(A264="","",EOMONTH(A264,0))</f>
        <v/>
      </c>
      <c r="C264" s="24" t="n"/>
      <c r="D264" s="24" t="n"/>
      <c r="E264" s="24" t="n"/>
      <c r="F264" s="25">
        <f>IF(E264="","",IF(COUNTIF(lst_Jobs,E264&amp;"")&gt;0,"OK","CHECK"))</f>
        <v/>
      </c>
      <c r="G264" s="24" t="n"/>
      <c r="H264" s="24" t="n"/>
      <c r="I264" s="24" t="n"/>
      <c r="J264" s="24" t="n"/>
      <c r="K264" s="24" t="n"/>
      <c r="L264" s="26" t="n"/>
      <c r="M264" s="27">
        <f>IF(L264="","",IF(K264="GST 10%",ROUND(L264*set_GSTRate,2),0))</f>
        <v/>
      </c>
      <c r="N264" s="27">
        <f>IF(L264="","",L264+M264)</f>
        <v/>
      </c>
      <c r="O264" s="24" t="n"/>
      <c r="P264" s="24" t="n"/>
      <c r="Q264" s="24" t="n"/>
      <c r="R264" s="22" t="n"/>
      <c r="S264" s="22" t="n"/>
      <c r="T264" s="24" t="n"/>
      <c r="U264" s="24" t="n"/>
      <c r="V264" s="2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25">
        <f>IF(E264="","",IF(COUNTIF(tbl_Onsite[Job Number],E264&amp;"")&gt;0,"Onsite",IF(COUNTIF(tbl_Production[Job Number],E264&amp;"")&gt;0,"Production",IF(COUNTIF(tbl_Consulting[Job Number],E264&amp;"")&gt;0,"Consulting","not set up yet"))))</f>
        <v/>
      </c>
      <c r="X264" s="25">
        <f>IF(E264="","",IFERROR(INDEX(lst_JobName,MATCH(E264&amp;"",lst_Jobs,0)),""))</f>
        <v/>
      </c>
      <c r="Y264" s="28">
        <f>IF(E264="","",COUNTIFS(tbl_Finance[Job Number],E264&amp;"",tbl_Finance[Ex GST],"&lt;&gt;"))</f>
        <v/>
      </c>
      <c r="Z264" s="27">
        <f>IF(E264="","",SUMIFS(tbl_Finance[Ex GST],tbl_Finance[Job Number],E264&amp;""))</f>
        <v/>
      </c>
      <c r="AA264" s="27">
        <f>IF(E264="","",SUMIFS(tbl_Finance[Ex GST],tbl_Finance[Job Number],E264&amp;"",tbl_Finance[Xero Invoice No],"&lt;&gt;"))</f>
        <v/>
      </c>
      <c r="AB264" s="27">
        <f>IF(E264="","",Z264-AA264)</f>
        <v/>
      </c>
      <c r="AC264" s="25">
        <f>IF(E264="","",IFERROR(IF(INDEX(tbl_Onsite[Qwilr Quote],IFERROR(MATCH(E264&amp;"",tbl_Onsite[Job Number],0),MATCH(IFERROR(E264+0,E264),tbl_Onsite[Job Number],0)))="","",INDEX(tbl_Onsite[Qwilr Quote],IFERROR(MATCH(E264&amp;"",tbl_Onsite[Job Number],0),MATCH(IFERROR(E264+0,E264),tbl_Onsite[Job Number],0)))),IFERROR(IF(IF(INDEX(tbl_Production[Current RMS No],IFERROR(MATCH(E264&amp;"",tbl_Production[Job Number],0),MATCH(IFERROR(E264+0,E264),tbl_Production[Job Number],0)))="",INDEX(tbl_Production[Qwilr Quote],IFERROR(MATCH(E264&amp;"",tbl_Production[Job Number],0),MATCH(IFERROR(E264+0,E264),tbl_Production[Job Number],0))),INDEX(tbl_Production[Current RMS No],IFERROR(MATCH(E264&amp;"",tbl_Production[Job Number],0),MATCH(IFERROR(E264+0,E264),tbl_Production[Job Number],0))))="","",IF(INDEX(tbl_Production[Current RMS No],IFERROR(MATCH(E264&amp;"",tbl_Production[Job Number],0),MATCH(IFERROR(E264+0,E264),tbl_Production[Job Number],0)))="",INDEX(tbl_Production[Qwilr Quote],IFERROR(MATCH(E264&amp;"",tbl_Production[Job Number],0),MATCH(IFERROR(E264+0,E264),tbl_Production[Job Number],0))),INDEX(tbl_Production[Current RMS No],IFERROR(MATCH(E264&amp;"",tbl_Production[Job Number],0),MATCH(IFERROR(E264+0,E264),tbl_Production[Job Number],0))))),IFERROR(IF(INDEX(tbl_Consulting[Qwilr Quote],IFERROR(MATCH(E264&amp;"",tbl_Consulting[Job Number],0),MATCH(IFERROR(E264+0,E264),tbl_Consulting[Job Number],0)))="","",INDEX(tbl_Consulting[Qwilr Quote],IFERROR(MATCH(E264&amp;"",tbl_Consulting[Job Number],0),MATCH(IFERROR(E264+0,E264),tbl_Consulting[Job Number],0)))),""))))</f>
        <v/>
      </c>
      <c r="AD264" s="25">
        <f>IF(AC264="","",IF(AND(LEFT(AC264,4)&lt;&gt;"http",IF(H264="Production",set_RMSBase,set_QwilrBase)=""),"",HYPERLINK(IF(LEFT(AC264,4)="http",AC264,IF(H264="Production",set_RMSBase,set_QwilrBase)&amp;AC264),"Open")))</f>
        <v/>
      </c>
      <c r="AE264" s="27">
        <f>IF(E264="","",IFERROR(INDEX(tbl_Production[Total Expense],IFERROR(MATCH(E264&amp;"",tbl_Production[Job Number],0),MATCH(IFERROR(E264+0,E264),tbl_Production[Job Number],0))),IFERROR(INDEX(tbl_Consulting[Total Expense],IFERROR(MATCH(E264&amp;"",tbl_Consulting[Job Number],0),MATCH(IFERROR(E264+0,E264),tbl_Consulting[Job Number],0))),0)))</f>
        <v/>
      </c>
      <c r="AF264" s="27">
        <f>IF(E264="","",Z264-N(AE264))</f>
        <v/>
      </c>
      <c r="AG264" s="29">
        <f>IFERROR(AF264/Z264,"")</f>
        <v/>
      </c>
      <c r="AH264" s="25">
        <f>IF(E264="","",IFERROR(IF(INDEX(tbl_Onsite[Notes],IFERROR(MATCH(E264&amp;"",tbl_Onsite[Job Number],0),MATCH(IFERROR(E264+0,E264),tbl_Onsite[Job Number],0)))="","",INDEX(tbl_Onsite[Notes],IFERROR(MATCH(E264&amp;"",tbl_Onsite[Job Number],0),MATCH(IFERROR(E264+0,E264),tbl_Onsite[Job Number],0)))),IFERROR(IF(INDEX(tbl_Production[Notes],IFERROR(MATCH(E264&amp;"",tbl_Production[Job Number],0),MATCH(IFERROR(E264+0,E264),tbl_Production[Job Number],0)))="","",INDEX(tbl_Production[Notes],IFERROR(MATCH(E264&amp;"",tbl_Production[Job Number],0),MATCH(IFERROR(E264+0,E264),tbl_Production[Job Number],0)))),IFERROR(IF(INDEX(tbl_Consulting[Notes],IFERROR(MATCH(E264&amp;"",tbl_Consulting[Job Number],0),MATCH(IFERROR(E264+0,E264),tbl_Consulting[Job Number],0)))="","",INDEX(tbl_Consulting[Notes],IFERROR(MATCH(E264&amp;"",tbl_Consulting[Job Number],0),MATCH(IFERROR(E264+0,E264),tbl_Consulting[Job Number],0)))),""))))</f>
        <v/>
      </c>
    </row>
    <row r="265" ht="15" customHeight="1">
      <c r="A265" s="22" t="n"/>
      <c r="B265" s="23">
        <f>IF(A265="","",EOMONTH(A265,0))</f>
        <v/>
      </c>
      <c r="C265" s="24" t="n"/>
      <c r="D265" s="24" t="n"/>
      <c r="E265" s="24" t="n"/>
      <c r="F265" s="25">
        <f>IF(E265="","",IF(COUNTIF(lst_Jobs,E265&amp;"")&gt;0,"OK","CHECK"))</f>
        <v/>
      </c>
      <c r="G265" s="24" t="n"/>
      <c r="H265" s="24" t="n"/>
      <c r="I265" s="24" t="n"/>
      <c r="J265" s="24" t="n"/>
      <c r="K265" s="24" t="n"/>
      <c r="L265" s="26" t="n"/>
      <c r="M265" s="27">
        <f>IF(L265="","",IF(K265="GST 10%",ROUND(L265*set_GSTRate,2),0))</f>
        <v/>
      </c>
      <c r="N265" s="27">
        <f>IF(L265="","",L265+M265)</f>
        <v/>
      </c>
      <c r="O265" s="24" t="n"/>
      <c r="P265" s="24" t="n"/>
      <c r="Q265" s="24" t="n"/>
      <c r="R265" s="22" t="n"/>
      <c r="S265" s="22" t="n"/>
      <c r="T265" s="24" t="n"/>
      <c r="U265" s="24" t="n"/>
      <c r="V265" s="2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25">
        <f>IF(E265="","",IF(COUNTIF(tbl_Onsite[Job Number],E265&amp;"")&gt;0,"Onsite",IF(COUNTIF(tbl_Production[Job Number],E265&amp;"")&gt;0,"Production",IF(COUNTIF(tbl_Consulting[Job Number],E265&amp;"")&gt;0,"Consulting","not set up yet"))))</f>
        <v/>
      </c>
      <c r="X265" s="25">
        <f>IF(E265="","",IFERROR(INDEX(lst_JobName,MATCH(E265&amp;"",lst_Jobs,0)),""))</f>
        <v/>
      </c>
      <c r="Y265" s="28">
        <f>IF(E265="","",COUNTIFS(tbl_Finance[Job Number],E265&amp;"",tbl_Finance[Ex GST],"&lt;&gt;"))</f>
        <v/>
      </c>
      <c r="Z265" s="27">
        <f>IF(E265="","",SUMIFS(tbl_Finance[Ex GST],tbl_Finance[Job Number],E265&amp;""))</f>
        <v/>
      </c>
      <c r="AA265" s="27">
        <f>IF(E265="","",SUMIFS(tbl_Finance[Ex GST],tbl_Finance[Job Number],E265&amp;"",tbl_Finance[Xero Invoice No],"&lt;&gt;"))</f>
        <v/>
      </c>
      <c r="AB265" s="27">
        <f>IF(E265="","",Z265-AA265)</f>
        <v/>
      </c>
      <c r="AC265" s="25">
        <f>IF(E265="","",IFERROR(IF(INDEX(tbl_Onsite[Qwilr Quote],IFERROR(MATCH(E265&amp;"",tbl_Onsite[Job Number],0),MATCH(IFERROR(E265+0,E265),tbl_Onsite[Job Number],0)))="","",INDEX(tbl_Onsite[Qwilr Quote],IFERROR(MATCH(E265&amp;"",tbl_Onsite[Job Number],0),MATCH(IFERROR(E265+0,E265),tbl_Onsite[Job Number],0)))),IFERROR(IF(IF(INDEX(tbl_Production[Current RMS No],IFERROR(MATCH(E265&amp;"",tbl_Production[Job Number],0),MATCH(IFERROR(E265+0,E265),tbl_Production[Job Number],0)))="",INDEX(tbl_Production[Qwilr Quote],IFERROR(MATCH(E265&amp;"",tbl_Production[Job Number],0),MATCH(IFERROR(E265+0,E265),tbl_Production[Job Number],0))),INDEX(tbl_Production[Current RMS No],IFERROR(MATCH(E265&amp;"",tbl_Production[Job Number],0),MATCH(IFERROR(E265+0,E265),tbl_Production[Job Number],0))))="","",IF(INDEX(tbl_Production[Current RMS No],IFERROR(MATCH(E265&amp;"",tbl_Production[Job Number],0),MATCH(IFERROR(E265+0,E265),tbl_Production[Job Number],0)))="",INDEX(tbl_Production[Qwilr Quote],IFERROR(MATCH(E265&amp;"",tbl_Production[Job Number],0),MATCH(IFERROR(E265+0,E265),tbl_Production[Job Number],0))),INDEX(tbl_Production[Current RMS No],IFERROR(MATCH(E265&amp;"",tbl_Production[Job Number],0),MATCH(IFERROR(E265+0,E265),tbl_Production[Job Number],0))))),IFERROR(IF(INDEX(tbl_Consulting[Qwilr Quote],IFERROR(MATCH(E265&amp;"",tbl_Consulting[Job Number],0),MATCH(IFERROR(E265+0,E265),tbl_Consulting[Job Number],0)))="","",INDEX(tbl_Consulting[Qwilr Quote],IFERROR(MATCH(E265&amp;"",tbl_Consulting[Job Number],0),MATCH(IFERROR(E265+0,E265),tbl_Consulting[Job Number],0)))),""))))</f>
        <v/>
      </c>
      <c r="AD265" s="25">
        <f>IF(AC265="","",IF(AND(LEFT(AC265,4)&lt;&gt;"http",IF(H265="Production",set_RMSBase,set_QwilrBase)=""),"",HYPERLINK(IF(LEFT(AC265,4)="http",AC265,IF(H265="Production",set_RMSBase,set_QwilrBase)&amp;AC265),"Open")))</f>
        <v/>
      </c>
      <c r="AE265" s="27">
        <f>IF(E265="","",IFERROR(INDEX(tbl_Production[Total Expense],IFERROR(MATCH(E265&amp;"",tbl_Production[Job Number],0),MATCH(IFERROR(E265+0,E265),tbl_Production[Job Number],0))),IFERROR(INDEX(tbl_Consulting[Total Expense],IFERROR(MATCH(E265&amp;"",tbl_Consulting[Job Number],0),MATCH(IFERROR(E265+0,E265),tbl_Consulting[Job Number],0))),0)))</f>
        <v/>
      </c>
      <c r="AF265" s="27">
        <f>IF(E265="","",Z265-N(AE265))</f>
        <v/>
      </c>
      <c r="AG265" s="29">
        <f>IFERROR(AF265/Z265,"")</f>
        <v/>
      </c>
      <c r="AH265" s="25">
        <f>IF(E265="","",IFERROR(IF(INDEX(tbl_Onsite[Notes],IFERROR(MATCH(E265&amp;"",tbl_Onsite[Job Number],0),MATCH(IFERROR(E265+0,E265),tbl_Onsite[Job Number],0)))="","",INDEX(tbl_Onsite[Notes],IFERROR(MATCH(E265&amp;"",tbl_Onsite[Job Number],0),MATCH(IFERROR(E265+0,E265),tbl_Onsite[Job Number],0)))),IFERROR(IF(INDEX(tbl_Production[Notes],IFERROR(MATCH(E265&amp;"",tbl_Production[Job Number],0),MATCH(IFERROR(E265+0,E265),tbl_Production[Job Number],0)))="","",INDEX(tbl_Production[Notes],IFERROR(MATCH(E265&amp;"",tbl_Production[Job Number],0),MATCH(IFERROR(E265+0,E265),tbl_Production[Job Number],0)))),IFERROR(IF(INDEX(tbl_Consulting[Notes],IFERROR(MATCH(E265&amp;"",tbl_Consulting[Job Number],0),MATCH(IFERROR(E265+0,E265),tbl_Consulting[Job Number],0)))="","",INDEX(tbl_Consulting[Notes],IFERROR(MATCH(E265&amp;"",tbl_Consulting[Job Number],0),MATCH(IFERROR(E265+0,E265),tbl_Consulting[Job Number],0)))),""))))</f>
        <v/>
      </c>
    </row>
    <row r="266" ht="15" customHeight="1">
      <c r="A266" s="22" t="n"/>
      <c r="B266" s="23">
        <f>IF(A266="","",EOMONTH(A266,0))</f>
        <v/>
      </c>
      <c r="C266" s="24" t="n"/>
      <c r="D266" s="24" t="n"/>
      <c r="E266" s="24" t="n"/>
      <c r="F266" s="25">
        <f>IF(E266="","",IF(COUNTIF(lst_Jobs,E266&amp;"")&gt;0,"OK","CHECK"))</f>
        <v/>
      </c>
      <c r="G266" s="24" t="n"/>
      <c r="H266" s="24" t="n"/>
      <c r="I266" s="24" t="n"/>
      <c r="J266" s="24" t="n"/>
      <c r="K266" s="24" t="n"/>
      <c r="L266" s="26" t="n"/>
      <c r="M266" s="27">
        <f>IF(L266="","",IF(K266="GST 10%",ROUND(L266*set_GSTRate,2),0))</f>
        <v/>
      </c>
      <c r="N266" s="27">
        <f>IF(L266="","",L266+M266)</f>
        <v/>
      </c>
      <c r="O266" s="24" t="n"/>
      <c r="P266" s="24" t="n"/>
      <c r="Q266" s="24" t="n"/>
      <c r="R266" s="22" t="n"/>
      <c r="S266" s="22" t="n"/>
      <c r="T266" s="24" t="n"/>
      <c r="U266" s="24" t="n"/>
      <c r="V266" s="2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25">
        <f>IF(E266="","",IF(COUNTIF(tbl_Onsite[Job Number],E266&amp;"")&gt;0,"Onsite",IF(COUNTIF(tbl_Production[Job Number],E266&amp;"")&gt;0,"Production",IF(COUNTIF(tbl_Consulting[Job Number],E266&amp;"")&gt;0,"Consulting","not set up yet"))))</f>
        <v/>
      </c>
      <c r="X266" s="25">
        <f>IF(E266="","",IFERROR(INDEX(lst_JobName,MATCH(E266&amp;"",lst_Jobs,0)),""))</f>
        <v/>
      </c>
      <c r="Y266" s="28">
        <f>IF(E266="","",COUNTIFS(tbl_Finance[Job Number],E266&amp;"",tbl_Finance[Ex GST],"&lt;&gt;"))</f>
        <v/>
      </c>
      <c r="Z266" s="27">
        <f>IF(E266="","",SUMIFS(tbl_Finance[Ex GST],tbl_Finance[Job Number],E266&amp;""))</f>
        <v/>
      </c>
      <c r="AA266" s="27">
        <f>IF(E266="","",SUMIFS(tbl_Finance[Ex GST],tbl_Finance[Job Number],E266&amp;"",tbl_Finance[Xero Invoice No],"&lt;&gt;"))</f>
        <v/>
      </c>
      <c r="AB266" s="27">
        <f>IF(E266="","",Z266-AA266)</f>
        <v/>
      </c>
      <c r="AC266" s="25">
        <f>IF(E266="","",IFERROR(IF(INDEX(tbl_Onsite[Qwilr Quote],IFERROR(MATCH(E266&amp;"",tbl_Onsite[Job Number],0),MATCH(IFERROR(E266+0,E266),tbl_Onsite[Job Number],0)))="","",INDEX(tbl_Onsite[Qwilr Quote],IFERROR(MATCH(E266&amp;"",tbl_Onsite[Job Number],0),MATCH(IFERROR(E266+0,E266),tbl_Onsite[Job Number],0)))),IFERROR(IF(IF(INDEX(tbl_Production[Current RMS No],IFERROR(MATCH(E266&amp;"",tbl_Production[Job Number],0),MATCH(IFERROR(E266+0,E266),tbl_Production[Job Number],0)))="",INDEX(tbl_Production[Qwilr Quote],IFERROR(MATCH(E266&amp;"",tbl_Production[Job Number],0),MATCH(IFERROR(E266+0,E266),tbl_Production[Job Number],0))),INDEX(tbl_Production[Current RMS No],IFERROR(MATCH(E266&amp;"",tbl_Production[Job Number],0),MATCH(IFERROR(E266+0,E266),tbl_Production[Job Number],0))))="","",IF(INDEX(tbl_Production[Current RMS No],IFERROR(MATCH(E266&amp;"",tbl_Production[Job Number],0),MATCH(IFERROR(E266+0,E266),tbl_Production[Job Number],0)))="",INDEX(tbl_Production[Qwilr Quote],IFERROR(MATCH(E266&amp;"",tbl_Production[Job Number],0),MATCH(IFERROR(E266+0,E266),tbl_Production[Job Number],0))),INDEX(tbl_Production[Current RMS No],IFERROR(MATCH(E266&amp;"",tbl_Production[Job Number],0),MATCH(IFERROR(E266+0,E266),tbl_Production[Job Number],0))))),IFERROR(IF(INDEX(tbl_Consulting[Qwilr Quote],IFERROR(MATCH(E266&amp;"",tbl_Consulting[Job Number],0),MATCH(IFERROR(E266+0,E266),tbl_Consulting[Job Number],0)))="","",INDEX(tbl_Consulting[Qwilr Quote],IFERROR(MATCH(E266&amp;"",tbl_Consulting[Job Number],0),MATCH(IFERROR(E266+0,E266),tbl_Consulting[Job Number],0)))),""))))</f>
        <v/>
      </c>
      <c r="AD266" s="25">
        <f>IF(AC266="","",IF(AND(LEFT(AC266,4)&lt;&gt;"http",IF(H266="Production",set_RMSBase,set_QwilrBase)=""),"",HYPERLINK(IF(LEFT(AC266,4)="http",AC266,IF(H266="Production",set_RMSBase,set_QwilrBase)&amp;AC266),"Open")))</f>
        <v/>
      </c>
      <c r="AE266" s="27">
        <f>IF(E266="","",IFERROR(INDEX(tbl_Production[Total Expense],IFERROR(MATCH(E266&amp;"",tbl_Production[Job Number],0),MATCH(IFERROR(E266+0,E266),tbl_Production[Job Number],0))),IFERROR(INDEX(tbl_Consulting[Total Expense],IFERROR(MATCH(E266&amp;"",tbl_Consulting[Job Number],0),MATCH(IFERROR(E266+0,E266),tbl_Consulting[Job Number],0))),0)))</f>
        <v/>
      </c>
      <c r="AF266" s="27">
        <f>IF(E266="","",Z266-N(AE266))</f>
        <v/>
      </c>
      <c r="AG266" s="29">
        <f>IFERROR(AF266/Z266,"")</f>
        <v/>
      </c>
      <c r="AH266" s="25">
        <f>IF(E266="","",IFERROR(IF(INDEX(tbl_Onsite[Notes],IFERROR(MATCH(E266&amp;"",tbl_Onsite[Job Number],0),MATCH(IFERROR(E266+0,E266),tbl_Onsite[Job Number],0)))="","",INDEX(tbl_Onsite[Notes],IFERROR(MATCH(E266&amp;"",tbl_Onsite[Job Number],0),MATCH(IFERROR(E266+0,E266),tbl_Onsite[Job Number],0)))),IFERROR(IF(INDEX(tbl_Production[Notes],IFERROR(MATCH(E266&amp;"",tbl_Production[Job Number],0),MATCH(IFERROR(E266+0,E266),tbl_Production[Job Number],0)))="","",INDEX(tbl_Production[Notes],IFERROR(MATCH(E266&amp;"",tbl_Production[Job Number],0),MATCH(IFERROR(E266+0,E266),tbl_Production[Job Number],0)))),IFERROR(IF(INDEX(tbl_Consulting[Notes],IFERROR(MATCH(E266&amp;"",tbl_Consulting[Job Number],0),MATCH(IFERROR(E266+0,E266),tbl_Consulting[Job Number],0)))="","",INDEX(tbl_Consulting[Notes],IFERROR(MATCH(E266&amp;"",tbl_Consulting[Job Number],0),MATCH(IFERROR(E266+0,E266),tbl_Consulting[Job Number],0)))),""))))</f>
        <v/>
      </c>
    </row>
    <row r="267" ht="15" customHeight="1">
      <c r="A267" s="22" t="n"/>
      <c r="B267" s="23">
        <f>IF(A267="","",EOMONTH(A267,0))</f>
        <v/>
      </c>
      <c r="C267" s="24" t="n"/>
      <c r="D267" s="24" t="n"/>
      <c r="E267" s="24" t="n"/>
      <c r="F267" s="25">
        <f>IF(E267="","",IF(COUNTIF(lst_Jobs,E267&amp;"")&gt;0,"OK","CHECK"))</f>
        <v/>
      </c>
      <c r="G267" s="24" t="n"/>
      <c r="H267" s="24" t="n"/>
      <c r="I267" s="24" t="n"/>
      <c r="J267" s="24" t="n"/>
      <c r="K267" s="24" t="n"/>
      <c r="L267" s="26" t="n"/>
      <c r="M267" s="27">
        <f>IF(L267="","",IF(K267="GST 10%",ROUND(L267*set_GSTRate,2),0))</f>
        <v/>
      </c>
      <c r="N267" s="27">
        <f>IF(L267="","",L267+M267)</f>
        <v/>
      </c>
      <c r="O267" s="24" t="n"/>
      <c r="P267" s="24" t="n"/>
      <c r="Q267" s="24" t="n"/>
      <c r="R267" s="22" t="n"/>
      <c r="S267" s="22" t="n"/>
      <c r="T267" s="24" t="n"/>
      <c r="U267" s="24" t="n"/>
      <c r="V267" s="2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25">
        <f>IF(E267="","",IF(COUNTIF(tbl_Onsite[Job Number],E267&amp;"")&gt;0,"Onsite",IF(COUNTIF(tbl_Production[Job Number],E267&amp;"")&gt;0,"Production",IF(COUNTIF(tbl_Consulting[Job Number],E267&amp;"")&gt;0,"Consulting","not set up yet"))))</f>
        <v/>
      </c>
      <c r="X267" s="25">
        <f>IF(E267="","",IFERROR(INDEX(lst_JobName,MATCH(E267&amp;"",lst_Jobs,0)),""))</f>
        <v/>
      </c>
      <c r="Y267" s="28">
        <f>IF(E267="","",COUNTIFS(tbl_Finance[Job Number],E267&amp;"",tbl_Finance[Ex GST],"&lt;&gt;"))</f>
        <v/>
      </c>
      <c r="Z267" s="27">
        <f>IF(E267="","",SUMIFS(tbl_Finance[Ex GST],tbl_Finance[Job Number],E267&amp;""))</f>
        <v/>
      </c>
      <c r="AA267" s="27">
        <f>IF(E267="","",SUMIFS(tbl_Finance[Ex GST],tbl_Finance[Job Number],E267&amp;"",tbl_Finance[Xero Invoice No],"&lt;&gt;"))</f>
        <v/>
      </c>
      <c r="AB267" s="27">
        <f>IF(E267="","",Z267-AA267)</f>
        <v/>
      </c>
      <c r="AC267" s="25">
        <f>IF(E267="","",IFERROR(IF(INDEX(tbl_Onsite[Qwilr Quote],IFERROR(MATCH(E267&amp;"",tbl_Onsite[Job Number],0),MATCH(IFERROR(E267+0,E267),tbl_Onsite[Job Number],0)))="","",INDEX(tbl_Onsite[Qwilr Quote],IFERROR(MATCH(E267&amp;"",tbl_Onsite[Job Number],0),MATCH(IFERROR(E267+0,E267),tbl_Onsite[Job Number],0)))),IFERROR(IF(IF(INDEX(tbl_Production[Current RMS No],IFERROR(MATCH(E267&amp;"",tbl_Production[Job Number],0),MATCH(IFERROR(E267+0,E267),tbl_Production[Job Number],0)))="",INDEX(tbl_Production[Qwilr Quote],IFERROR(MATCH(E267&amp;"",tbl_Production[Job Number],0),MATCH(IFERROR(E267+0,E267),tbl_Production[Job Number],0))),INDEX(tbl_Production[Current RMS No],IFERROR(MATCH(E267&amp;"",tbl_Production[Job Number],0),MATCH(IFERROR(E267+0,E267),tbl_Production[Job Number],0))))="","",IF(INDEX(tbl_Production[Current RMS No],IFERROR(MATCH(E267&amp;"",tbl_Production[Job Number],0),MATCH(IFERROR(E267+0,E267),tbl_Production[Job Number],0)))="",INDEX(tbl_Production[Qwilr Quote],IFERROR(MATCH(E267&amp;"",tbl_Production[Job Number],0),MATCH(IFERROR(E267+0,E267),tbl_Production[Job Number],0))),INDEX(tbl_Production[Current RMS No],IFERROR(MATCH(E267&amp;"",tbl_Production[Job Number],0),MATCH(IFERROR(E267+0,E267),tbl_Production[Job Number],0))))),IFERROR(IF(INDEX(tbl_Consulting[Qwilr Quote],IFERROR(MATCH(E267&amp;"",tbl_Consulting[Job Number],0),MATCH(IFERROR(E267+0,E267),tbl_Consulting[Job Number],0)))="","",INDEX(tbl_Consulting[Qwilr Quote],IFERROR(MATCH(E267&amp;"",tbl_Consulting[Job Number],0),MATCH(IFERROR(E267+0,E267),tbl_Consulting[Job Number],0)))),""))))</f>
        <v/>
      </c>
      <c r="AD267" s="25">
        <f>IF(AC267="","",IF(AND(LEFT(AC267,4)&lt;&gt;"http",IF(H267="Production",set_RMSBase,set_QwilrBase)=""),"",HYPERLINK(IF(LEFT(AC267,4)="http",AC267,IF(H267="Production",set_RMSBase,set_QwilrBase)&amp;AC267),"Open")))</f>
        <v/>
      </c>
      <c r="AE267" s="27">
        <f>IF(E267="","",IFERROR(INDEX(tbl_Production[Total Expense],IFERROR(MATCH(E267&amp;"",tbl_Production[Job Number],0),MATCH(IFERROR(E267+0,E267),tbl_Production[Job Number],0))),IFERROR(INDEX(tbl_Consulting[Total Expense],IFERROR(MATCH(E267&amp;"",tbl_Consulting[Job Number],0),MATCH(IFERROR(E267+0,E267),tbl_Consulting[Job Number],0))),0)))</f>
        <v/>
      </c>
      <c r="AF267" s="27">
        <f>IF(E267="","",Z267-N(AE267))</f>
        <v/>
      </c>
      <c r="AG267" s="29">
        <f>IFERROR(AF267/Z267,"")</f>
        <v/>
      </c>
      <c r="AH267" s="25">
        <f>IF(E267="","",IFERROR(IF(INDEX(tbl_Onsite[Notes],IFERROR(MATCH(E267&amp;"",tbl_Onsite[Job Number],0),MATCH(IFERROR(E267+0,E267),tbl_Onsite[Job Number],0)))="","",INDEX(tbl_Onsite[Notes],IFERROR(MATCH(E267&amp;"",tbl_Onsite[Job Number],0),MATCH(IFERROR(E267+0,E267),tbl_Onsite[Job Number],0)))),IFERROR(IF(INDEX(tbl_Production[Notes],IFERROR(MATCH(E267&amp;"",tbl_Production[Job Number],0),MATCH(IFERROR(E267+0,E267),tbl_Production[Job Number],0)))="","",INDEX(tbl_Production[Notes],IFERROR(MATCH(E267&amp;"",tbl_Production[Job Number],0),MATCH(IFERROR(E267+0,E267),tbl_Production[Job Number],0)))),IFERROR(IF(INDEX(tbl_Consulting[Notes],IFERROR(MATCH(E267&amp;"",tbl_Consulting[Job Number],0),MATCH(IFERROR(E267+0,E267),tbl_Consulting[Job Number],0)))="","",INDEX(tbl_Consulting[Notes],IFERROR(MATCH(E267&amp;"",tbl_Consulting[Job Number],0),MATCH(IFERROR(E267+0,E267),tbl_Consulting[Job Number],0)))),""))))</f>
        <v/>
      </c>
    </row>
    <row r="268" ht="15" customHeight="1">
      <c r="A268" s="22" t="n"/>
      <c r="B268" s="23">
        <f>IF(A268="","",EOMONTH(A268,0))</f>
        <v/>
      </c>
      <c r="C268" s="24" t="n"/>
      <c r="D268" s="24" t="n"/>
      <c r="E268" s="24" t="n"/>
      <c r="F268" s="25">
        <f>IF(E268="","",IF(COUNTIF(lst_Jobs,E268&amp;"")&gt;0,"OK","CHECK"))</f>
        <v/>
      </c>
      <c r="G268" s="24" t="n"/>
      <c r="H268" s="24" t="n"/>
      <c r="I268" s="24" t="n"/>
      <c r="J268" s="24" t="n"/>
      <c r="K268" s="24" t="n"/>
      <c r="L268" s="26" t="n"/>
      <c r="M268" s="27">
        <f>IF(L268="","",IF(K268="GST 10%",ROUND(L268*set_GSTRate,2),0))</f>
        <v/>
      </c>
      <c r="N268" s="27">
        <f>IF(L268="","",L268+M268)</f>
        <v/>
      </c>
      <c r="O268" s="24" t="n"/>
      <c r="P268" s="24" t="n"/>
      <c r="Q268" s="24" t="n"/>
      <c r="R268" s="22" t="n"/>
      <c r="S268" s="22" t="n"/>
      <c r="T268" s="24" t="n"/>
      <c r="U268" s="24" t="n"/>
      <c r="V268" s="2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25">
        <f>IF(E268="","",IF(COUNTIF(tbl_Onsite[Job Number],E268&amp;"")&gt;0,"Onsite",IF(COUNTIF(tbl_Production[Job Number],E268&amp;"")&gt;0,"Production",IF(COUNTIF(tbl_Consulting[Job Number],E268&amp;"")&gt;0,"Consulting","not set up yet"))))</f>
        <v/>
      </c>
      <c r="X268" s="25">
        <f>IF(E268="","",IFERROR(INDEX(lst_JobName,MATCH(E268&amp;"",lst_Jobs,0)),""))</f>
        <v/>
      </c>
      <c r="Y268" s="28">
        <f>IF(E268="","",COUNTIFS(tbl_Finance[Job Number],E268&amp;"",tbl_Finance[Ex GST],"&lt;&gt;"))</f>
        <v/>
      </c>
      <c r="Z268" s="27">
        <f>IF(E268="","",SUMIFS(tbl_Finance[Ex GST],tbl_Finance[Job Number],E268&amp;""))</f>
        <v/>
      </c>
      <c r="AA268" s="27">
        <f>IF(E268="","",SUMIFS(tbl_Finance[Ex GST],tbl_Finance[Job Number],E268&amp;"",tbl_Finance[Xero Invoice No],"&lt;&gt;"))</f>
        <v/>
      </c>
      <c r="AB268" s="27">
        <f>IF(E268="","",Z268-AA268)</f>
        <v/>
      </c>
      <c r="AC268" s="25">
        <f>IF(E268="","",IFERROR(IF(INDEX(tbl_Onsite[Qwilr Quote],IFERROR(MATCH(E268&amp;"",tbl_Onsite[Job Number],0),MATCH(IFERROR(E268+0,E268),tbl_Onsite[Job Number],0)))="","",INDEX(tbl_Onsite[Qwilr Quote],IFERROR(MATCH(E268&amp;"",tbl_Onsite[Job Number],0),MATCH(IFERROR(E268+0,E268),tbl_Onsite[Job Number],0)))),IFERROR(IF(IF(INDEX(tbl_Production[Current RMS No],IFERROR(MATCH(E268&amp;"",tbl_Production[Job Number],0),MATCH(IFERROR(E268+0,E268),tbl_Production[Job Number],0)))="",INDEX(tbl_Production[Qwilr Quote],IFERROR(MATCH(E268&amp;"",tbl_Production[Job Number],0),MATCH(IFERROR(E268+0,E268),tbl_Production[Job Number],0))),INDEX(tbl_Production[Current RMS No],IFERROR(MATCH(E268&amp;"",tbl_Production[Job Number],0),MATCH(IFERROR(E268+0,E268),tbl_Production[Job Number],0))))="","",IF(INDEX(tbl_Production[Current RMS No],IFERROR(MATCH(E268&amp;"",tbl_Production[Job Number],0),MATCH(IFERROR(E268+0,E268),tbl_Production[Job Number],0)))="",INDEX(tbl_Production[Qwilr Quote],IFERROR(MATCH(E268&amp;"",tbl_Production[Job Number],0),MATCH(IFERROR(E268+0,E268),tbl_Production[Job Number],0))),INDEX(tbl_Production[Current RMS No],IFERROR(MATCH(E268&amp;"",tbl_Production[Job Number],0),MATCH(IFERROR(E268+0,E268),tbl_Production[Job Number],0))))),IFERROR(IF(INDEX(tbl_Consulting[Qwilr Quote],IFERROR(MATCH(E268&amp;"",tbl_Consulting[Job Number],0),MATCH(IFERROR(E268+0,E268),tbl_Consulting[Job Number],0)))="","",INDEX(tbl_Consulting[Qwilr Quote],IFERROR(MATCH(E268&amp;"",tbl_Consulting[Job Number],0),MATCH(IFERROR(E268+0,E268),tbl_Consulting[Job Number],0)))),""))))</f>
        <v/>
      </c>
      <c r="AD268" s="25">
        <f>IF(AC268="","",IF(AND(LEFT(AC268,4)&lt;&gt;"http",IF(H268="Production",set_RMSBase,set_QwilrBase)=""),"",HYPERLINK(IF(LEFT(AC268,4)="http",AC268,IF(H268="Production",set_RMSBase,set_QwilrBase)&amp;AC268),"Open")))</f>
        <v/>
      </c>
      <c r="AE268" s="27">
        <f>IF(E268="","",IFERROR(INDEX(tbl_Production[Total Expense],IFERROR(MATCH(E268&amp;"",tbl_Production[Job Number],0),MATCH(IFERROR(E268+0,E268),tbl_Production[Job Number],0))),IFERROR(INDEX(tbl_Consulting[Total Expense],IFERROR(MATCH(E268&amp;"",tbl_Consulting[Job Number],0),MATCH(IFERROR(E268+0,E268),tbl_Consulting[Job Number],0))),0)))</f>
        <v/>
      </c>
      <c r="AF268" s="27">
        <f>IF(E268="","",Z268-N(AE268))</f>
        <v/>
      </c>
      <c r="AG268" s="29">
        <f>IFERROR(AF268/Z268,"")</f>
        <v/>
      </c>
      <c r="AH268" s="25">
        <f>IF(E268="","",IFERROR(IF(INDEX(tbl_Onsite[Notes],IFERROR(MATCH(E268&amp;"",tbl_Onsite[Job Number],0),MATCH(IFERROR(E268+0,E268),tbl_Onsite[Job Number],0)))="","",INDEX(tbl_Onsite[Notes],IFERROR(MATCH(E268&amp;"",tbl_Onsite[Job Number],0),MATCH(IFERROR(E268+0,E268),tbl_Onsite[Job Number],0)))),IFERROR(IF(INDEX(tbl_Production[Notes],IFERROR(MATCH(E268&amp;"",tbl_Production[Job Number],0),MATCH(IFERROR(E268+0,E268),tbl_Production[Job Number],0)))="","",INDEX(tbl_Production[Notes],IFERROR(MATCH(E268&amp;"",tbl_Production[Job Number],0),MATCH(IFERROR(E268+0,E268),tbl_Production[Job Number],0)))),IFERROR(IF(INDEX(tbl_Consulting[Notes],IFERROR(MATCH(E268&amp;"",tbl_Consulting[Job Number],0),MATCH(IFERROR(E268+0,E268),tbl_Consulting[Job Number],0)))="","",INDEX(tbl_Consulting[Notes],IFERROR(MATCH(E268&amp;"",tbl_Consulting[Job Number],0),MATCH(IFERROR(E268+0,E268),tbl_Consulting[Job Number],0)))),""))))</f>
        <v/>
      </c>
    </row>
    <row r="269" ht="15" customHeight="1">
      <c r="A269" s="22" t="n"/>
      <c r="B269" s="23">
        <f>IF(A269="","",EOMONTH(A269,0))</f>
        <v/>
      </c>
      <c r="C269" s="24" t="n"/>
      <c r="D269" s="24" t="n"/>
      <c r="E269" s="24" t="n"/>
      <c r="F269" s="25">
        <f>IF(E269="","",IF(COUNTIF(lst_Jobs,E269&amp;"")&gt;0,"OK","CHECK"))</f>
        <v/>
      </c>
      <c r="G269" s="24" t="n"/>
      <c r="H269" s="24" t="n"/>
      <c r="I269" s="24" t="n"/>
      <c r="J269" s="24" t="n"/>
      <c r="K269" s="24" t="n"/>
      <c r="L269" s="26" t="n"/>
      <c r="M269" s="27">
        <f>IF(L269="","",IF(K269="GST 10%",ROUND(L269*set_GSTRate,2),0))</f>
        <v/>
      </c>
      <c r="N269" s="27">
        <f>IF(L269="","",L269+M269)</f>
        <v/>
      </c>
      <c r="O269" s="24" t="n"/>
      <c r="P269" s="24" t="n"/>
      <c r="Q269" s="24" t="n"/>
      <c r="R269" s="22" t="n"/>
      <c r="S269" s="22" t="n"/>
      <c r="T269" s="24" t="n"/>
      <c r="U269" s="24" t="n"/>
      <c r="V269" s="2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25">
        <f>IF(E269="","",IF(COUNTIF(tbl_Onsite[Job Number],E269&amp;"")&gt;0,"Onsite",IF(COUNTIF(tbl_Production[Job Number],E269&amp;"")&gt;0,"Production",IF(COUNTIF(tbl_Consulting[Job Number],E269&amp;"")&gt;0,"Consulting","not set up yet"))))</f>
        <v/>
      </c>
      <c r="X269" s="25">
        <f>IF(E269="","",IFERROR(INDEX(lst_JobName,MATCH(E269&amp;"",lst_Jobs,0)),""))</f>
        <v/>
      </c>
      <c r="Y269" s="28">
        <f>IF(E269="","",COUNTIFS(tbl_Finance[Job Number],E269&amp;"",tbl_Finance[Ex GST],"&lt;&gt;"))</f>
        <v/>
      </c>
      <c r="Z269" s="27">
        <f>IF(E269="","",SUMIFS(tbl_Finance[Ex GST],tbl_Finance[Job Number],E269&amp;""))</f>
        <v/>
      </c>
      <c r="AA269" s="27">
        <f>IF(E269="","",SUMIFS(tbl_Finance[Ex GST],tbl_Finance[Job Number],E269&amp;"",tbl_Finance[Xero Invoice No],"&lt;&gt;"))</f>
        <v/>
      </c>
      <c r="AB269" s="27">
        <f>IF(E269="","",Z269-AA269)</f>
        <v/>
      </c>
      <c r="AC269" s="25">
        <f>IF(E269="","",IFERROR(IF(INDEX(tbl_Onsite[Qwilr Quote],IFERROR(MATCH(E269&amp;"",tbl_Onsite[Job Number],0),MATCH(IFERROR(E269+0,E269),tbl_Onsite[Job Number],0)))="","",INDEX(tbl_Onsite[Qwilr Quote],IFERROR(MATCH(E269&amp;"",tbl_Onsite[Job Number],0),MATCH(IFERROR(E269+0,E269),tbl_Onsite[Job Number],0)))),IFERROR(IF(IF(INDEX(tbl_Production[Current RMS No],IFERROR(MATCH(E269&amp;"",tbl_Production[Job Number],0),MATCH(IFERROR(E269+0,E269),tbl_Production[Job Number],0)))="",INDEX(tbl_Production[Qwilr Quote],IFERROR(MATCH(E269&amp;"",tbl_Production[Job Number],0),MATCH(IFERROR(E269+0,E269),tbl_Production[Job Number],0))),INDEX(tbl_Production[Current RMS No],IFERROR(MATCH(E269&amp;"",tbl_Production[Job Number],0),MATCH(IFERROR(E269+0,E269),tbl_Production[Job Number],0))))="","",IF(INDEX(tbl_Production[Current RMS No],IFERROR(MATCH(E269&amp;"",tbl_Production[Job Number],0),MATCH(IFERROR(E269+0,E269),tbl_Production[Job Number],0)))="",INDEX(tbl_Production[Qwilr Quote],IFERROR(MATCH(E269&amp;"",tbl_Production[Job Number],0),MATCH(IFERROR(E269+0,E269),tbl_Production[Job Number],0))),INDEX(tbl_Production[Current RMS No],IFERROR(MATCH(E269&amp;"",tbl_Production[Job Number],0),MATCH(IFERROR(E269+0,E269),tbl_Production[Job Number],0))))),IFERROR(IF(INDEX(tbl_Consulting[Qwilr Quote],IFERROR(MATCH(E269&amp;"",tbl_Consulting[Job Number],0),MATCH(IFERROR(E269+0,E269),tbl_Consulting[Job Number],0)))="","",INDEX(tbl_Consulting[Qwilr Quote],IFERROR(MATCH(E269&amp;"",tbl_Consulting[Job Number],0),MATCH(IFERROR(E269+0,E269),tbl_Consulting[Job Number],0)))),""))))</f>
        <v/>
      </c>
      <c r="AD269" s="25">
        <f>IF(AC269="","",IF(AND(LEFT(AC269,4)&lt;&gt;"http",IF(H269="Production",set_RMSBase,set_QwilrBase)=""),"",HYPERLINK(IF(LEFT(AC269,4)="http",AC269,IF(H269="Production",set_RMSBase,set_QwilrBase)&amp;AC269),"Open")))</f>
        <v/>
      </c>
      <c r="AE269" s="27">
        <f>IF(E269="","",IFERROR(INDEX(tbl_Production[Total Expense],IFERROR(MATCH(E269&amp;"",tbl_Production[Job Number],0),MATCH(IFERROR(E269+0,E269),tbl_Production[Job Number],0))),IFERROR(INDEX(tbl_Consulting[Total Expense],IFERROR(MATCH(E269&amp;"",tbl_Consulting[Job Number],0),MATCH(IFERROR(E269+0,E269),tbl_Consulting[Job Number],0))),0)))</f>
        <v/>
      </c>
      <c r="AF269" s="27">
        <f>IF(E269="","",Z269-N(AE269))</f>
        <v/>
      </c>
      <c r="AG269" s="29">
        <f>IFERROR(AF269/Z269,"")</f>
        <v/>
      </c>
      <c r="AH269" s="25">
        <f>IF(E269="","",IFERROR(IF(INDEX(tbl_Onsite[Notes],IFERROR(MATCH(E269&amp;"",tbl_Onsite[Job Number],0),MATCH(IFERROR(E269+0,E269),tbl_Onsite[Job Number],0)))="","",INDEX(tbl_Onsite[Notes],IFERROR(MATCH(E269&amp;"",tbl_Onsite[Job Number],0),MATCH(IFERROR(E269+0,E269),tbl_Onsite[Job Number],0)))),IFERROR(IF(INDEX(tbl_Production[Notes],IFERROR(MATCH(E269&amp;"",tbl_Production[Job Number],0),MATCH(IFERROR(E269+0,E269),tbl_Production[Job Number],0)))="","",INDEX(tbl_Production[Notes],IFERROR(MATCH(E269&amp;"",tbl_Production[Job Number],0),MATCH(IFERROR(E269+0,E269),tbl_Production[Job Number],0)))),IFERROR(IF(INDEX(tbl_Consulting[Notes],IFERROR(MATCH(E269&amp;"",tbl_Consulting[Job Number],0),MATCH(IFERROR(E269+0,E269),tbl_Consulting[Job Number],0)))="","",INDEX(tbl_Consulting[Notes],IFERROR(MATCH(E269&amp;"",tbl_Consulting[Job Number],0),MATCH(IFERROR(E269+0,E269),tbl_Consulting[Job Number],0)))),""))))</f>
        <v/>
      </c>
    </row>
    <row r="270" ht="15" customHeight="1">
      <c r="A270" s="22" t="n"/>
      <c r="B270" s="23">
        <f>IF(A270="","",EOMONTH(A270,0))</f>
        <v/>
      </c>
      <c r="C270" s="24" t="n"/>
      <c r="D270" s="24" t="n"/>
      <c r="E270" s="24" t="n"/>
      <c r="F270" s="25">
        <f>IF(E270="","",IF(COUNTIF(lst_Jobs,E270&amp;"")&gt;0,"OK","CHECK"))</f>
        <v/>
      </c>
      <c r="G270" s="24" t="n"/>
      <c r="H270" s="24" t="n"/>
      <c r="I270" s="24" t="n"/>
      <c r="J270" s="24" t="n"/>
      <c r="K270" s="24" t="n"/>
      <c r="L270" s="26" t="n"/>
      <c r="M270" s="27">
        <f>IF(L270="","",IF(K270="GST 10%",ROUND(L270*set_GSTRate,2),0))</f>
        <v/>
      </c>
      <c r="N270" s="27">
        <f>IF(L270="","",L270+M270)</f>
        <v/>
      </c>
      <c r="O270" s="24" t="n"/>
      <c r="P270" s="24" t="n"/>
      <c r="Q270" s="24" t="n"/>
      <c r="R270" s="22" t="n"/>
      <c r="S270" s="22" t="n"/>
      <c r="T270" s="24" t="n"/>
      <c r="U270" s="24" t="n"/>
      <c r="V270" s="2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25">
        <f>IF(E270="","",IF(COUNTIF(tbl_Onsite[Job Number],E270&amp;"")&gt;0,"Onsite",IF(COUNTIF(tbl_Production[Job Number],E270&amp;"")&gt;0,"Production",IF(COUNTIF(tbl_Consulting[Job Number],E270&amp;"")&gt;0,"Consulting","not set up yet"))))</f>
        <v/>
      </c>
      <c r="X270" s="25">
        <f>IF(E270="","",IFERROR(INDEX(lst_JobName,MATCH(E270&amp;"",lst_Jobs,0)),""))</f>
        <v/>
      </c>
      <c r="Y270" s="28">
        <f>IF(E270="","",COUNTIFS(tbl_Finance[Job Number],E270&amp;"",tbl_Finance[Ex GST],"&lt;&gt;"))</f>
        <v/>
      </c>
      <c r="Z270" s="27">
        <f>IF(E270="","",SUMIFS(tbl_Finance[Ex GST],tbl_Finance[Job Number],E270&amp;""))</f>
        <v/>
      </c>
      <c r="AA270" s="27">
        <f>IF(E270="","",SUMIFS(tbl_Finance[Ex GST],tbl_Finance[Job Number],E270&amp;"",tbl_Finance[Xero Invoice No],"&lt;&gt;"))</f>
        <v/>
      </c>
      <c r="AB270" s="27">
        <f>IF(E270="","",Z270-AA270)</f>
        <v/>
      </c>
      <c r="AC270" s="25">
        <f>IF(E270="","",IFERROR(IF(INDEX(tbl_Onsite[Qwilr Quote],IFERROR(MATCH(E270&amp;"",tbl_Onsite[Job Number],0),MATCH(IFERROR(E270+0,E270),tbl_Onsite[Job Number],0)))="","",INDEX(tbl_Onsite[Qwilr Quote],IFERROR(MATCH(E270&amp;"",tbl_Onsite[Job Number],0),MATCH(IFERROR(E270+0,E270),tbl_Onsite[Job Number],0)))),IFERROR(IF(IF(INDEX(tbl_Production[Current RMS No],IFERROR(MATCH(E270&amp;"",tbl_Production[Job Number],0),MATCH(IFERROR(E270+0,E270),tbl_Production[Job Number],0)))="",INDEX(tbl_Production[Qwilr Quote],IFERROR(MATCH(E270&amp;"",tbl_Production[Job Number],0),MATCH(IFERROR(E270+0,E270),tbl_Production[Job Number],0))),INDEX(tbl_Production[Current RMS No],IFERROR(MATCH(E270&amp;"",tbl_Production[Job Number],0),MATCH(IFERROR(E270+0,E270),tbl_Production[Job Number],0))))="","",IF(INDEX(tbl_Production[Current RMS No],IFERROR(MATCH(E270&amp;"",tbl_Production[Job Number],0),MATCH(IFERROR(E270+0,E270),tbl_Production[Job Number],0)))="",INDEX(tbl_Production[Qwilr Quote],IFERROR(MATCH(E270&amp;"",tbl_Production[Job Number],0),MATCH(IFERROR(E270+0,E270),tbl_Production[Job Number],0))),INDEX(tbl_Production[Current RMS No],IFERROR(MATCH(E270&amp;"",tbl_Production[Job Number],0),MATCH(IFERROR(E270+0,E270),tbl_Production[Job Number],0))))),IFERROR(IF(INDEX(tbl_Consulting[Qwilr Quote],IFERROR(MATCH(E270&amp;"",tbl_Consulting[Job Number],0),MATCH(IFERROR(E270+0,E270),tbl_Consulting[Job Number],0)))="","",INDEX(tbl_Consulting[Qwilr Quote],IFERROR(MATCH(E270&amp;"",tbl_Consulting[Job Number],0),MATCH(IFERROR(E270+0,E270),tbl_Consulting[Job Number],0)))),""))))</f>
        <v/>
      </c>
      <c r="AD270" s="25">
        <f>IF(AC270="","",IF(AND(LEFT(AC270,4)&lt;&gt;"http",IF(H270="Production",set_RMSBase,set_QwilrBase)=""),"",HYPERLINK(IF(LEFT(AC270,4)="http",AC270,IF(H270="Production",set_RMSBase,set_QwilrBase)&amp;AC270),"Open")))</f>
        <v/>
      </c>
      <c r="AE270" s="27">
        <f>IF(E270="","",IFERROR(INDEX(tbl_Production[Total Expense],IFERROR(MATCH(E270&amp;"",tbl_Production[Job Number],0),MATCH(IFERROR(E270+0,E270),tbl_Production[Job Number],0))),IFERROR(INDEX(tbl_Consulting[Total Expense],IFERROR(MATCH(E270&amp;"",tbl_Consulting[Job Number],0),MATCH(IFERROR(E270+0,E270),tbl_Consulting[Job Number],0))),0)))</f>
        <v/>
      </c>
      <c r="AF270" s="27">
        <f>IF(E270="","",Z270-N(AE270))</f>
        <v/>
      </c>
      <c r="AG270" s="29">
        <f>IFERROR(AF270/Z270,"")</f>
        <v/>
      </c>
      <c r="AH270" s="25">
        <f>IF(E270="","",IFERROR(IF(INDEX(tbl_Onsite[Notes],IFERROR(MATCH(E270&amp;"",tbl_Onsite[Job Number],0),MATCH(IFERROR(E270+0,E270),tbl_Onsite[Job Number],0)))="","",INDEX(tbl_Onsite[Notes],IFERROR(MATCH(E270&amp;"",tbl_Onsite[Job Number],0),MATCH(IFERROR(E270+0,E270),tbl_Onsite[Job Number],0)))),IFERROR(IF(INDEX(tbl_Production[Notes],IFERROR(MATCH(E270&amp;"",tbl_Production[Job Number],0),MATCH(IFERROR(E270+0,E270),tbl_Production[Job Number],0)))="","",INDEX(tbl_Production[Notes],IFERROR(MATCH(E270&amp;"",tbl_Production[Job Number],0),MATCH(IFERROR(E270+0,E270),tbl_Production[Job Number],0)))),IFERROR(IF(INDEX(tbl_Consulting[Notes],IFERROR(MATCH(E270&amp;"",tbl_Consulting[Job Number],0),MATCH(IFERROR(E270+0,E270),tbl_Consulting[Job Number],0)))="","",INDEX(tbl_Consulting[Notes],IFERROR(MATCH(E270&amp;"",tbl_Consulting[Job Number],0),MATCH(IFERROR(E270+0,E270),tbl_Consulting[Job Number],0)))),""))))</f>
        <v/>
      </c>
    </row>
    <row r="271" ht="15" customHeight="1">
      <c r="A271" s="22" t="n"/>
      <c r="B271" s="23">
        <f>IF(A271="","",EOMONTH(A271,0))</f>
        <v/>
      </c>
      <c r="C271" s="24" t="n"/>
      <c r="D271" s="24" t="n"/>
      <c r="E271" s="24" t="n"/>
      <c r="F271" s="25">
        <f>IF(E271="","",IF(COUNTIF(lst_Jobs,E271&amp;"")&gt;0,"OK","CHECK"))</f>
        <v/>
      </c>
      <c r="G271" s="24" t="n"/>
      <c r="H271" s="24" t="n"/>
      <c r="I271" s="24" t="n"/>
      <c r="J271" s="24" t="n"/>
      <c r="K271" s="24" t="n"/>
      <c r="L271" s="26" t="n"/>
      <c r="M271" s="27">
        <f>IF(L271="","",IF(K271="GST 10%",ROUND(L271*set_GSTRate,2),0))</f>
        <v/>
      </c>
      <c r="N271" s="27">
        <f>IF(L271="","",L271+M271)</f>
        <v/>
      </c>
      <c r="O271" s="24" t="n"/>
      <c r="P271" s="24" t="n"/>
      <c r="Q271" s="24" t="n"/>
      <c r="R271" s="22" t="n"/>
      <c r="S271" s="22" t="n"/>
      <c r="T271" s="24" t="n"/>
      <c r="U271" s="24" t="n"/>
      <c r="V271" s="2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25">
        <f>IF(E271="","",IF(COUNTIF(tbl_Onsite[Job Number],E271&amp;"")&gt;0,"Onsite",IF(COUNTIF(tbl_Production[Job Number],E271&amp;"")&gt;0,"Production",IF(COUNTIF(tbl_Consulting[Job Number],E271&amp;"")&gt;0,"Consulting","not set up yet"))))</f>
        <v/>
      </c>
      <c r="X271" s="25">
        <f>IF(E271="","",IFERROR(INDEX(lst_JobName,MATCH(E271&amp;"",lst_Jobs,0)),""))</f>
        <v/>
      </c>
      <c r="Y271" s="28">
        <f>IF(E271="","",COUNTIFS(tbl_Finance[Job Number],E271&amp;"",tbl_Finance[Ex GST],"&lt;&gt;"))</f>
        <v/>
      </c>
      <c r="Z271" s="27">
        <f>IF(E271="","",SUMIFS(tbl_Finance[Ex GST],tbl_Finance[Job Number],E271&amp;""))</f>
        <v/>
      </c>
      <c r="AA271" s="27">
        <f>IF(E271="","",SUMIFS(tbl_Finance[Ex GST],tbl_Finance[Job Number],E271&amp;"",tbl_Finance[Xero Invoice No],"&lt;&gt;"))</f>
        <v/>
      </c>
      <c r="AB271" s="27">
        <f>IF(E271="","",Z271-AA271)</f>
        <v/>
      </c>
      <c r="AC271" s="25">
        <f>IF(E271="","",IFERROR(IF(INDEX(tbl_Onsite[Qwilr Quote],IFERROR(MATCH(E271&amp;"",tbl_Onsite[Job Number],0),MATCH(IFERROR(E271+0,E271),tbl_Onsite[Job Number],0)))="","",INDEX(tbl_Onsite[Qwilr Quote],IFERROR(MATCH(E271&amp;"",tbl_Onsite[Job Number],0),MATCH(IFERROR(E271+0,E271),tbl_Onsite[Job Number],0)))),IFERROR(IF(IF(INDEX(tbl_Production[Current RMS No],IFERROR(MATCH(E271&amp;"",tbl_Production[Job Number],0),MATCH(IFERROR(E271+0,E271),tbl_Production[Job Number],0)))="",INDEX(tbl_Production[Qwilr Quote],IFERROR(MATCH(E271&amp;"",tbl_Production[Job Number],0),MATCH(IFERROR(E271+0,E271),tbl_Production[Job Number],0))),INDEX(tbl_Production[Current RMS No],IFERROR(MATCH(E271&amp;"",tbl_Production[Job Number],0),MATCH(IFERROR(E271+0,E271),tbl_Production[Job Number],0))))="","",IF(INDEX(tbl_Production[Current RMS No],IFERROR(MATCH(E271&amp;"",tbl_Production[Job Number],0),MATCH(IFERROR(E271+0,E271),tbl_Production[Job Number],0)))="",INDEX(tbl_Production[Qwilr Quote],IFERROR(MATCH(E271&amp;"",tbl_Production[Job Number],0),MATCH(IFERROR(E271+0,E271),tbl_Production[Job Number],0))),INDEX(tbl_Production[Current RMS No],IFERROR(MATCH(E271&amp;"",tbl_Production[Job Number],0),MATCH(IFERROR(E271+0,E271),tbl_Production[Job Number],0))))),IFERROR(IF(INDEX(tbl_Consulting[Qwilr Quote],IFERROR(MATCH(E271&amp;"",tbl_Consulting[Job Number],0),MATCH(IFERROR(E271+0,E271),tbl_Consulting[Job Number],0)))="","",INDEX(tbl_Consulting[Qwilr Quote],IFERROR(MATCH(E271&amp;"",tbl_Consulting[Job Number],0),MATCH(IFERROR(E271+0,E271),tbl_Consulting[Job Number],0)))),""))))</f>
        <v/>
      </c>
      <c r="AD271" s="25">
        <f>IF(AC271="","",IF(AND(LEFT(AC271,4)&lt;&gt;"http",IF(H271="Production",set_RMSBase,set_QwilrBase)=""),"",HYPERLINK(IF(LEFT(AC271,4)="http",AC271,IF(H271="Production",set_RMSBase,set_QwilrBase)&amp;AC271),"Open")))</f>
        <v/>
      </c>
      <c r="AE271" s="27">
        <f>IF(E271="","",IFERROR(INDEX(tbl_Production[Total Expense],IFERROR(MATCH(E271&amp;"",tbl_Production[Job Number],0),MATCH(IFERROR(E271+0,E271),tbl_Production[Job Number],0))),IFERROR(INDEX(tbl_Consulting[Total Expense],IFERROR(MATCH(E271&amp;"",tbl_Consulting[Job Number],0),MATCH(IFERROR(E271+0,E271),tbl_Consulting[Job Number],0))),0)))</f>
        <v/>
      </c>
      <c r="AF271" s="27">
        <f>IF(E271="","",Z271-N(AE271))</f>
        <v/>
      </c>
      <c r="AG271" s="29">
        <f>IFERROR(AF271/Z271,"")</f>
        <v/>
      </c>
      <c r="AH271" s="25">
        <f>IF(E271="","",IFERROR(IF(INDEX(tbl_Onsite[Notes],IFERROR(MATCH(E271&amp;"",tbl_Onsite[Job Number],0),MATCH(IFERROR(E271+0,E271),tbl_Onsite[Job Number],0)))="","",INDEX(tbl_Onsite[Notes],IFERROR(MATCH(E271&amp;"",tbl_Onsite[Job Number],0),MATCH(IFERROR(E271+0,E271),tbl_Onsite[Job Number],0)))),IFERROR(IF(INDEX(tbl_Production[Notes],IFERROR(MATCH(E271&amp;"",tbl_Production[Job Number],0),MATCH(IFERROR(E271+0,E271),tbl_Production[Job Number],0)))="","",INDEX(tbl_Production[Notes],IFERROR(MATCH(E271&amp;"",tbl_Production[Job Number],0),MATCH(IFERROR(E271+0,E271),tbl_Production[Job Number],0)))),IFERROR(IF(INDEX(tbl_Consulting[Notes],IFERROR(MATCH(E271&amp;"",tbl_Consulting[Job Number],0),MATCH(IFERROR(E271+0,E271),tbl_Consulting[Job Number],0)))="","",INDEX(tbl_Consulting[Notes],IFERROR(MATCH(E271&amp;"",tbl_Consulting[Job Number],0),MATCH(IFERROR(E271+0,E271),tbl_Consulting[Job Number],0)))),""))))</f>
        <v/>
      </c>
    </row>
    <row r="272" ht="15" customHeight="1">
      <c r="A272" s="22" t="n"/>
      <c r="B272" s="23">
        <f>IF(A272="","",EOMONTH(A272,0))</f>
        <v/>
      </c>
      <c r="C272" s="24" t="n"/>
      <c r="D272" s="24" t="n"/>
      <c r="E272" s="24" t="n"/>
      <c r="F272" s="25">
        <f>IF(E272="","",IF(COUNTIF(lst_Jobs,E272&amp;"")&gt;0,"OK","CHECK"))</f>
        <v/>
      </c>
      <c r="G272" s="24" t="n"/>
      <c r="H272" s="24" t="n"/>
      <c r="I272" s="24" t="n"/>
      <c r="J272" s="24" t="n"/>
      <c r="K272" s="24" t="n"/>
      <c r="L272" s="26" t="n"/>
      <c r="M272" s="27">
        <f>IF(L272="","",IF(K272="GST 10%",ROUND(L272*set_GSTRate,2),0))</f>
        <v/>
      </c>
      <c r="N272" s="27">
        <f>IF(L272="","",L272+M272)</f>
        <v/>
      </c>
      <c r="O272" s="24" t="n"/>
      <c r="P272" s="24" t="n"/>
      <c r="Q272" s="24" t="n"/>
      <c r="R272" s="22" t="n"/>
      <c r="S272" s="22" t="n"/>
      <c r="T272" s="24" t="n"/>
      <c r="U272" s="24" t="n"/>
      <c r="V272" s="2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25">
        <f>IF(E272="","",IF(COUNTIF(tbl_Onsite[Job Number],E272&amp;"")&gt;0,"Onsite",IF(COUNTIF(tbl_Production[Job Number],E272&amp;"")&gt;0,"Production",IF(COUNTIF(tbl_Consulting[Job Number],E272&amp;"")&gt;0,"Consulting","not set up yet"))))</f>
        <v/>
      </c>
      <c r="X272" s="25">
        <f>IF(E272="","",IFERROR(INDEX(lst_JobName,MATCH(E272&amp;"",lst_Jobs,0)),""))</f>
        <v/>
      </c>
      <c r="Y272" s="28">
        <f>IF(E272="","",COUNTIFS(tbl_Finance[Job Number],E272&amp;"",tbl_Finance[Ex GST],"&lt;&gt;"))</f>
        <v/>
      </c>
      <c r="Z272" s="27">
        <f>IF(E272="","",SUMIFS(tbl_Finance[Ex GST],tbl_Finance[Job Number],E272&amp;""))</f>
        <v/>
      </c>
      <c r="AA272" s="27">
        <f>IF(E272="","",SUMIFS(tbl_Finance[Ex GST],tbl_Finance[Job Number],E272&amp;"",tbl_Finance[Xero Invoice No],"&lt;&gt;"))</f>
        <v/>
      </c>
      <c r="AB272" s="27">
        <f>IF(E272="","",Z272-AA272)</f>
        <v/>
      </c>
      <c r="AC272" s="25">
        <f>IF(E272="","",IFERROR(IF(INDEX(tbl_Onsite[Qwilr Quote],IFERROR(MATCH(E272&amp;"",tbl_Onsite[Job Number],0),MATCH(IFERROR(E272+0,E272),tbl_Onsite[Job Number],0)))="","",INDEX(tbl_Onsite[Qwilr Quote],IFERROR(MATCH(E272&amp;"",tbl_Onsite[Job Number],0),MATCH(IFERROR(E272+0,E272),tbl_Onsite[Job Number],0)))),IFERROR(IF(IF(INDEX(tbl_Production[Current RMS No],IFERROR(MATCH(E272&amp;"",tbl_Production[Job Number],0),MATCH(IFERROR(E272+0,E272),tbl_Production[Job Number],0)))="",INDEX(tbl_Production[Qwilr Quote],IFERROR(MATCH(E272&amp;"",tbl_Production[Job Number],0),MATCH(IFERROR(E272+0,E272),tbl_Production[Job Number],0))),INDEX(tbl_Production[Current RMS No],IFERROR(MATCH(E272&amp;"",tbl_Production[Job Number],0),MATCH(IFERROR(E272+0,E272),tbl_Production[Job Number],0))))="","",IF(INDEX(tbl_Production[Current RMS No],IFERROR(MATCH(E272&amp;"",tbl_Production[Job Number],0),MATCH(IFERROR(E272+0,E272),tbl_Production[Job Number],0)))="",INDEX(tbl_Production[Qwilr Quote],IFERROR(MATCH(E272&amp;"",tbl_Production[Job Number],0),MATCH(IFERROR(E272+0,E272),tbl_Production[Job Number],0))),INDEX(tbl_Production[Current RMS No],IFERROR(MATCH(E272&amp;"",tbl_Production[Job Number],0),MATCH(IFERROR(E272+0,E272),tbl_Production[Job Number],0))))),IFERROR(IF(INDEX(tbl_Consulting[Qwilr Quote],IFERROR(MATCH(E272&amp;"",tbl_Consulting[Job Number],0),MATCH(IFERROR(E272+0,E272),tbl_Consulting[Job Number],0)))="","",INDEX(tbl_Consulting[Qwilr Quote],IFERROR(MATCH(E272&amp;"",tbl_Consulting[Job Number],0),MATCH(IFERROR(E272+0,E272),tbl_Consulting[Job Number],0)))),""))))</f>
        <v/>
      </c>
      <c r="AD272" s="25">
        <f>IF(AC272="","",IF(AND(LEFT(AC272,4)&lt;&gt;"http",IF(H272="Production",set_RMSBase,set_QwilrBase)=""),"",HYPERLINK(IF(LEFT(AC272,4)="http",AC272,IF(H272="Production",set_RMSBase,set_QwilrBase)&amp;AC272),"Open")))</f>
        <v/>
      </c>
      <c r="AE272" s="27">
        <f>IF(E272="","",IFERROR(INDEX(tbl_Production[Total Expense],IFERROR(MATCH(E272&amp;"",tbl_Production[Job Number],0),MATCH(IFERROR(E272+0,E272),tbl_Production[Job Number],0))),IFERROR(INDEX(tbl_Consulting[Total Expense],IFERROR(MATCH(E272&amp;"",tbl_Consulting[Job Number],0),MATCH(IFERROR(E272+0,E272),tbl_Consulting[Job Number],0))),0)))</f>
        <v/>
      </c>
      <c r="AF272" s="27">
        <f>IF(E272="","",Z272-N(AE272))</f>
        <v/>
      </c>
      <c r="AG272" s="29">
        <f>IFERROR(AF272/Z272,"")</f>
        <v/>
      </c>
      <c r="AH272" s="25">
        <f>IF(E272="","",IFERROR(IF(INDEX(tbl_Onsite[Notes],IFERROR(MATCH(E272&amp;"",tbl_Onsite[Job Number],0),MATCH(IFERROR(E272+0,E272),tbl_Onsite[Job Number],0)))="","",INDEX(tbl_Onsite[Notes],IFERROR(MATCH(E272&amp;"",tbl_Onsite[Job Number],0),MATCH(IFERROR(E272+0,E272),tbl_Onsite[Job Number],0)))),IFERROR(IF(INDEX(tbl_Production[Notes],IFERROR(MATCH(E272&amp;"",tbl_Production[Job Number],0),MATCH(IFERROR(E272+0,E272),tbl_Production[Job Number],0)))="","",INDEX(tbl_Production[Notes],IFERROR(MATCH(E272&amp;"",tbl_Production[Job Number],0),MATCH(IFERROR(E272+0,E272),tbl_Production[Job Number],0)))),IFERROR(IF(INDEX(tbl_Consulting[Notes],IFERROR(MATCH(E272&amp;"",tbl_Consulting[Job Number],0),MATCH(IFERROR(E272+0,E272),tbl_Consulting[Job Number],0)))="","",INDEX(tbl_Consulting[Notes],IFERROR(MATCH(E272&amp;"",tbl_Consulting[Job Number],0),MATCH(IFERROR(E272+0,E272),tbl_Consulting[Job Number],0)))),""))))</f>
        <v/>
      </c>
    </row>
    <row r="273" ht="15" customHeight="1">
      <c r="A273" s="22" t="n"/>
      <c r="B273" s="23">
        <f>IF(A273="","",EOMONTH(A273,0))</f>
        <v/>
      </c>
      <c r="C273" s="24" t="n"/>
      <c r="D273" s="24" t="n"/>
      <c r="E273" s="24" t="n"/>
      <c r="F273" s="25">
        <f>IF(E273="","",IF(COUNTIF(lst_Jobs,E273&amp;"")&gt;0,"OK","CHECK"))</f>
        <v/>
      </c>
      <c r="G273" s="24" t="n"/>
      <c r="H273" s="24" t="n"/>
      <c r="I273" s="24" t="n"/>
      <c r="J273" s="24" t="n"/>
      <c r="K273" s="24" t="n"/>
      <c r="L273" s="26" t="n"/>
      <c r="M273" s="27">
        <f>IF(L273="","",IF(K273="GST 10%",ROUND(L273*set_GSTRate,2),0))</f>
        <v/>
      </c>
      <c r="N273" s="27">
        <f>IF(L273="","",L273+M273)</f>
        <v/>
      </c>
      <c r="O273" s="24" t="n"/>
      <c r="P273" s="24" t="n"/>
      <c r="Q273" s="24" t="n"/>
      <c r="R273" s="22" t="n"/>
      <c r="S273" s="22" t="n"/>
      <c r="T273" s="24" t="n"/>
      <c r="U273" s="24" t="n"/>
      <c r="V273" s="2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25">
        <f>IF(E273="","",IF(COUNTIF(tbl_Onsite[Job Number],E273&amp;"")&gt;0,"Onsite",IF(COUNTIF(tbl_Production[Job Number],E273&amp;"")&gt;0,"Production",IF(COUNTIF(tbl_Consulting[Job Number],E273&amp;"")&gt;0,"Consulting","not set up yet"))))</f>
        <v/>
      </c>
      <c r="X273" s="25">
        <f>IF(E273="","",IFERROR(INDEX(lst_JobName,MATCH(E273&amp;"",lst_Jobs,0)),""))</f>
        <v/>
      </c>
      <c r="Y273" s="28">
        <f>IF(E273="","",COUNTIFS(tbl_Finance[Job Number],E273&amp;"",tbl_Finance[Ex GST],"&lt;&gt;"))</f>
        <v/>
      </c>
      <c r="Z273" s="27">
        <f>IF(E273="","",SUMIFS(tbl_Finance[Ex GST],tbl_Finance[Job Number],E273&amp;""))</f>
        <v/>
      </c>
      <c r="AA273" s="27">
        <f>IF(E273="","",SUMIFS(tbl_Finance[Ex GST],tbl_Finance[Job Number],E273&amp;"",tbl_Finance[Xero Invoice No],"&lt;&gt;"))</f>
        <v/>
      </c>
      <c r="AB273" s="27">
        <f>IF(E273="","",Z273-AA273)</f>
        <v/>
      </c>
      <c r="AC273" s="25">
        <f>IF(E273="","",IFERROR(IF(INDEX(tbl_Onsite[Qwilr Quote],IFERROR(MATCH(E273&amp;"",tbl_Onsite[Job Number],0),MATCH(IFERROR(E273+0,E273),tbl_Onsite[Job Number],0)))="","",INDEX(tbl_Onsite[Qwilr Quote],IFERROR(MATCH(E273&amp;"",tbl_Onsite[Job Number],0),MATCH(IFERROR(E273+0,E273),tbl_Onsite[Job Number],0)))),IFERROR(IF(IF(INDEX(tbl_Production[Current RMS No],IFERROR(MATCH(E273&amp;"",tbl_Production[Job Number],0),MATCH(IFERROR(E273+0,E273),tbl_Production[Job Number],0)))="",INDEX(tbl_Production[Qwilr Quote],IFERROR(MATCH(E273&amp;"",tbl_Production[Job Number],0),MATCH(IFERROR(E273+0,E273),tbl_Production[Job Number],0))),INDEX(tbl_Production[Current RMS No],IFERROR(MATCH(E273&amp;"",tbl_Production[Job Number],0),MATCH(IFERROR(E273+0,E273),tbl_Production[Job Number],0))))="","",IF(INDEX(tbl_Production[Current RMS No],IFERROR(MATCH(E273&amp;"",tbl_Production[Job Number],0),MATCH(IFERROR(E273+0,E273),tbl_Production[Job Number],0)))="",INDEX(tbl_Production[Qwilr Quote],IFERROR(MATCH(E273&amp;"",tbl_Production[Job Number],0),MATCH(IFERROR(E273+0,E273),tbl_Production[Job Number],0))),INDEX(tbl_Production[Current RMS No],IFERROR(MATCH(E273&amp;"",tbl_Production[Job Number],0),MATCH(IFERROR(E273+0,E273),tbl_Production[Job Number],0))))),IFERROR(IF(INDEX(tbl_Consulting[Qwilr Quote],IFERROR(MATCH(E273&amp;"",tbl_Consulting[Job Number],0),MATCH(IFERROR(E273+0,E273),tbl_Consulting[Job Number],0)))="","",INDEX(tbl_Consulting[Qwilr Quote],IFERROR(MATCH(E273&amp;"",tbl_Consulting[Job Number],0),MATCH(IFERROR(E273+0,E273),tbl_Consulting[Job Number],0)))),""))))</f>
        <v/>
      </c>
      <c r="AD273" s="25">
        <f>IF(AC273="","",IF(AND(LEFT(AC273,4)&lt;&gt;"http",IF(H273="Production",set_RMSBase,set_QwilrBase)=""),"",HYPERLINK(IF(LEFT(AC273,4)="http",AC273,IF(H273="Production",set_RMSBase,set_QwilrBase)&amp;AC273),"Open")))</f>
        <v/>
      </c>
      <c r="AE273" s="27">
        <f>IF(E273="","",IFERROR(INDEX(tbl_Production[Total Expense],IFERROR(MATCH(E273&amp;"",tbl_Production[Job Number],0),MATCH(IFERROR(E273+0,E273),tbl_Production[Job Number],0))),IFERROR(INDEX(tbl_Consulting[Total Expense],IFERROR(MATCH(E273&amp;"",tbl_Consulting[Job Number],0),MATCH(IFERROR(E273+0,E273),tbl_Consulting[Job Number],0))),0)))</f>
        <v/>
      </c>
      <c r="AF273" s="27">
        <f>IF(E273="","",Z273-N(AE273))</f>
        <v/>
      </c>
      <c r="AG273" s="29">
        <f>IFERROR(AF273/Z273,"")</f>
        <v/>
      </c>
      <c r="AH273" s="25">
        <f>IF(E273="","",IFERROR(IF(INDEX(tbl_Onsite[Notes],IFERROR(MATCH(E273&amp;"",tbl_Onsite[Job Number],0),MATCH(IFERROR(E273+0,E273),tbl_Onsite[Job Number],0)))="","",INDEX(tbl_Onsite[Notes],IFERROR(MATCH(E273&amp;"",tbl_Onsite[Job Number],0),MATCH(IFERROR(E273+0,E273),tbl_Onsite[Job Number],0)))),IFERROR(IF(INDEX(tbl_Production[Notes],IFERROR(MATCH(E273&amp;"",tbl_Production[Job Number],0),MATCH(IFERROR(E273+0,E273),tbl_Production[Job Number],0)))="","",INDEX(tbl_Production[Notes],IFERROR(MATCH(E273&amp;"",tbl_Production[Job Number],0),MATCH(IFERROR(E273+0,E273),tbl_Production[Job Number],0)))),IFERROR(IF(INDEX(tbl_Consulting[Notes],IFERROR(MATCH(E273&amp;"",tbl_Consulting[Job Number],0),MATCH(IFERROR(E273+0,E273),tbl_Consulting[Job Number],0)))="","",INDEX(tbl_Consulting[Notes],IFERROR(MATCH(E273&amp;"",tbl_Consulting[Job Number],0),MATCH(IFERROR(E273+0,E273),tbl_Consulting[Job Number],0)))),""))))</f>
        <v/>
      </c>
    </row>
    <row r="274" ht="15" customHeight="1">
      <c r="A274" s="22" t="n"/>
      <c r="B274" s="23">
        <f>IF(A274="","",EOMONTH(A274,0))</f>
        <v/>
      </c>
      <c r="C274" s="24" t="n"/>
      <c r="D274" s="24" t="n"/>
      <c r="E274" s="24" t="n"/>
      <c r="F274" s="25">
        <f>IF(E274="","",IF(COUNTIF(lst_Jobs,E274&amp;"")&gt;0,"OK","CHECK"))</f>
        <v/>
      </c>
      <c r="G274" s="24" t="n"/>
      <c r="H274" s="24" t="n"/>
      <c r="I274" s="24" t="n"/>
      <c r="J274" s="24" t="n"/>
      <c r="K274" s="24" t="n"/>
      <c r="L274" s="26" t="n"/>
      <c r="M274" s="27">
        <f>IF(L274="","",IF(K274="GST 10%",ROUND(L274*set_GSTRate,2),0))</f>
        <v/>
      </c>
      <c r="N274" s="27">
        <f>IF(L274="","",L274+M274)</f>
        <v/>
      </c>
      <c r="O274" s="24" t="n"/>
      <c r="P274" s="24" t="n"/>
      <c r="Q274" s="24" t="n"/>
      <c r="R274" s="22" t="n"/>
      <c r="S274" s="22" t="n"/>
      <c r="T274" s="24" t="n"/>
      <c r="U274" s="24" t="n"/>
      <c r="V274" s="2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25">
        <f>IF(E274="","",IF(COUNTIF(tbl_Onsite[Job Number],E274&amp;"")&gt;0,"Onsite",IF(COUNTIF(tbl_Production[Job Number],E274&amp;"")&gt;0,"Production",IF(COUNTIF(tbl_Consulting[Job Number],E274&amp;"")&gt;0,"Consulting","not set up yet"))))</f>
        <v/>
      </c>
      <c r="X274" s="25">
        <f>IF(E274="","",IFERROR(INDEX(lst_JobName,MATCH(E274&amp;"",lst_Jobs,0)),""))</f>
        <v/>
      </c>
      <c r="Y274" s="28">
        <f>IF(E274="","",COUNTIFS(tbl_Finance[Job Number],E274&amp;"",tbl_Finance[Ex GST],"&lt;&gt;"))</f>
        <v/>
      </c>
      <c r="Z274" s="27">
        <f>IF(E274="","",SUMIFS(tbl_Finance[Ex GST],tbl_Finance[Job Number],E274&amp;""))</f>
        <v/>
      </c>
      <c r="AA274" s="27">
        <f>IF(E274="","",SUMIFS(tbl_Finance[Ex GST],tbl_Finance[Job Number],E274&amp;"",tbl_Finance[Xero Invoice No],"&lt;&gt;"))</f>
        <v/>
      </c>
      <c r="AB274" s="27">
        <f>IF(E274="","",Z274-AA274)</f>
        <v/>
      </c>
      <c r="AC274" s="25">
        <f>IF(E274="","",IFERROR(IF(INDEX(tbl_Onsite[Qwilr Quote],IFERROR(MATCH(E274&amp;"",tbl_Onsite[Job Number],0),MATCH(IFERROR(E274+0,E274),tbl_Onsite[Job Number],0)))="","",INDEX(tbl_Onsite[Qwilr Quote],IFERROR(MATCH(E274&amp;"",tbl_Onsite[Job Number],0),MATCH(IFERROR(E274+0,E274),tbl_Onsite[Job Number],0)))),IFERROR(IF(IF(INDEX(tbl_Production[Current RMS No],IFERROR(MATCH(E274&amp;"",tbl_Production[Job Number],0),MATCH(IFERROR(E274+0,E274),tbl_Production[Job Number],0)))="",INDEX(tbl_Production[Qwilr Quote],IFERROR(MATCH(E274&amp;"",tbl_Production[Job Number],0),MATCH(IFERROR(E274+0,E274),tbl_Production[Job Number],0))),INDEX(tbl_Production[Current RMS No],IFERROR(MATCH(E274&amp;"",tbl_Production[Job Number],0),MATCH(IFERROR(E274+0,E274),tbl_Production[Job Number],0))))="","",IF(INDEX(tbl_Production[Current RMS No],IFERROR(MATCH(E274&amp;"",tbl_Production[Job Number],0),MATCH(IFERROR(E274+0,E274),tbl_Production[Job Number],0)))="",INDEX(tbl_Production[Qwilr Quote],IFERROR(MATCH(E274&amp;"",tbl_Production[Job Number],0),MATCH(IFERROR(E274+0,E274),tbl_Production[Job Number],0))),INDEX(tbl_Production[Current RMS No],IFERROR(MATCH(E274&amp;"",tbl_Production[Job Number],0),MATCH(IFERROR(E274+0,E274),tbl_Production[Job Number],0))))),IFERROR(IF(INDEX(tbl_Consulting[Qwilr Quote],IFERROR(MATCH(E274&amp;"",tbl_Consulting[Job Number],0),MATCH(IFERROR(E274+0,E274),tbl_Consulting[Job Number],0)))="","",INDEX(tbl_Consulting[Qwilr Quote],IFERROR(MATCH(E274&amp;"",tbl_Consulting[Job Number],0),MATCH(IFERROR(E274+0,E274),tbl_Consulting[Job Number],0)))),""))))</f>
        <v/>
      </c>
      <c r="AD274" s="25">
        <f>IF(AC274="","",IF(AND(LEFT(AC274,4)&lt;&gt;"http",IF(H274="Production",set_RMSBase,set_QwilrBase)=""),"",HYPERLINK(IF(LEFT(AC274,4)="http",AC274,IF(H274="Production",set_RMSBase,set_QwilrBase)&amp;AC274),"Open")))</f>
        <v/>
      </c>
      <c r="AE274" s="27">
        <f>IF(E274="","",IFERROR(INDEX(tbl_Production[Total Expense],IFERROR(MATCH(E274&amp;"",tbl_Production[Job Number],0),MATCH(IFERROR(E274+0,E274),tbl_Production[Job Number],0))),IFERROR(INDEX(tbl_Consulting[Total Expense],IFERROR(MATCH(E274&amp;"",tbl_Consulting[Job Number],0),MATCH(IFERROR(E274+0,E274),tbl_Consulting[Job Number],0))),0)))</f>
        <v/>
      </c>
      <c r="AF274" s="27">
        <f>IF(E274="","",Z274-N(AE274))</f>
        <v/>
      </c>
      <c r="AG274" s="29">
        <f>IFERROR(AF274/Z274,"")</f>
        <v/>
      </c>
      <c r="AH274" s="25">
        <f>IF(E274="","",IFERROR(IF(INDEX(tbl_Onsite[Notes],IFERROR(MATCH(E274&amp;"",tbl_Onsite[Job Number],0),MATCH(IFERROR(E274+0,E274),tbl_Onsite[Job Number],0)))="","",INDEX(tbl_Onsite[Notes],IFERROR(MATCH(E274&amp;"",tbl_Onsite[Job Number],0),MATCH(IFERROR(E274+0,E274),tbl_Onsite[Job Number],0)))),IFERROR(IF(INDEX(tbl_Production[Notes],IFERROR(MATCH(E274&amp;"",tbl_Production[Job Number],0),MATCH(IFERROR(E274+0,E274),tbl_Production[Job Number],0)))="","",INDEX(tbl_Production[Notes],IFERROR(MATCH(E274&amp;"",tbl_Production[Job Number],0),MATCH(IFERROR(E274+0,E274),tbl_Production[Job Number],0)))),IFERROR(IF(INDEX(tbl_Consulting[Notes],IFERROR(MATCH(E274&amp;"",tbl_Consulting[Job Number],0),MATCH(IFERROR(E274+0,E274),tbl_Consulting[Job Number],0)))="","",INDEX(tbl_Consulting[Notes],IFERROR(MATCH(E274&amp;"",tbl_Consulting[Job Number],0),MATCH(IFERROR(E274+0,E274),tbl_Consulting[Job Number],0)))),""))))</f>
        <v/>
      </c>
    </row>
    <row r="275" ht="15" customHeight="1">
      <c r="A275" s="22" t="n"/>
      <c r="B275" s="23">
        <f>IF(A275="","",EOMONTH(A275,0))</f>
        <v/>
      </c>
      <c r="C275" s="24" t="n"/>
      <c r="D275" s="24" t="n"/>
      <c r="E275" s="24" t="n"/>
      <c r="F275" s="25">
        <f>IF(E275="","",IF(COUNTIF(lst_Jobs,E275&amp;"")&gt;0,"OK","CHECK"))</f>
        <v/>
      </c>
      <c r="G275" s="24" t="n"/>
      <c r="H275" s="24" t="n"/>
      <c r="I275" s="24" t="n"/>
      <c r="J275" s="24" t="n"/>
      <c r="K275" s="24" t="n"/>
      <c r="L275" s="26" t="n"/>
      <c r="M275" s="27">
        <f>IF(L275="","",IF(K275="GST 10%",ROUND(L275*set_GSTRate,2),0))</f>
        <v/>
      </c>
      <c r="N275" s="27">
        <f>IF(L275="","",L275+M275)</f>
        <v/>
      </c>
      <c r="O275" s="24" t="n"/>
      <c r="P275" s="24" t="n"/>
      <c r="Q275" s="24" t="n"/>
      <c r="R275" s="22" t="n"/>
      <c r="S275" s="22" t="n"/>
      <c r="T275" s="24" t="n"/>
      <c r="U275" s="24" t="n"/>
      <c r="V275" s="2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25">
        <f>IF(E275="","",IF(COUNTIF(tbl_Onsite[Job Number],E275&amp;"")&gt;0,"Onsite",IF(COUNTIF(tbl_Production[Job Number],E275&amp;"")&gt;0,"Production",IF(COUNTIF(tbl_Consulting[Job Number],E275&amp;"")&gt;0,"Consulting","not set up yet"))))</f>
        <v/>
      </c>
      <c r="X275" s="25">
        <f>IF(E275="","",IFERROR(INDEX(lst_JobName,MATCH(E275&amp;"",lst_Jobs,0)),""))</f>
        <v/>
      </c>
      <c r="Y275" s="28">
        <f>IF(E275="","",COUNTIFS(tbl_Finance[Job Number],E275&amp;"",tbl_Finance[Ex GST],"&lt;&gt;"))</f>
        <v/>
      </c>
      <c r="Z275" s="27">
        <f>IF(E275="","",SUMIFS(tbl_Finance[Ex GST],tbl_Finance[Job Number],E275&amp;""))</f>
        <v/>
      </c>
      <c r="AA275" s="27">
        <f>IF(E275="","",SUMIFS(tbl_Finance[Ex GST],tbl_Finance[Job Number],E275&amp;"",tbl_Finance[Xero Invoice No],"&lt;&gt;"))</f>
        <v/>
      </c>
      <c r="AB275" s="27">
        <f>IF(E275="","",Z275-AA275)</f>
        <v/>
      </c>
      <c r="AC275" s="25">
        <f>IF(E275="","",IFERROR(IF(INDEX(tbl_Onsite[Qwilr Quote],IFERROR(MATCH(E275&amp;"",tbl_Onsite[Job Number],0),MATCH(IFERROR(E275+0,E275),tbl_Onsite[Job Number],0)))="","",INDEX(tbl_Onsite[Qwilr Quote],IFERROR(MATCH(E275&amp;"",tbl_Onsite[Job Number],0),MATCH(IFERROR(E275+0,E275),tbl_Onsite[Job Number],0)))),IFERROR(IF(IF(INDEX(tbl_Production[Current RMS No],IFERROR(MATCH(E275&amp;"",tbl_Production[Job Number],0),MATCH(IFERROR(E275+0,E275),tbl_Production[Job Number],0)))="",INDEX(tbl_Production[Qwilr Quote],IFERROR(MATCH(E275&amp;"",tbl_Production[Job Number],0),MATCH(IFERROR(E275+0,E275),tbl_Production[Job Number],0))),INDEX(tbl_Production[Current RMS No],IFERROR(MATCH(E275&amp;"",tbl_Production[Job Number],0),MATCH(IFERROR(E275+0,E275),tbl_Production[Job Number],0))))="","",IF(INDEX(tbl_Production[Current RMS No],IFERROR(MATCH(E275&amp;"",tbl_Production[Job Number],0),MATCH(IFERROR(E275+0,E275),tbl_Production[Job Number],0)))="",INDEX(tbl_Production[Qwilr Quote],IFERROR(MATCH(E275&amp;"",tbl_Production[Job Number],0),MATCH(IFERROR(E275+0,E275),tbl_Production[Job Number],0))),INDEX(tbl_Production[Current RMS No],IFERROR(MATCH(E275&amp;"",tbl_Production[Job Number],0),MATCH(IFERROR(E275+0,E275),tbl_Production[Job Number],0))))),IFERROR(IF(INDEX(tbl_Consulting[Qwilr Quote],IFERROR(MATCH(E275&amp;"",tbl_Consulting[Job Number],0),MATCH(IFERROR(E275+0,E275),tbl_Consulting[Job Number],0)))="","",INDEX(tbl_Consulting[Qwilr Quote],IFERROR(MATCH(E275&amp;"",tbl_Consulting[Job Number],0),MATCH(IFERROR(E275+0,E275),tbl_Consulting[Job Number],0)))),""))))</f>
        <v/>
      </c>
      <c r="AD275" s="25">
        <f>IF(AC275="","",IF(AND(LEFT(AC275,4)&lt;&gt;"http",IF(H275="Production",set_RMSBase,set_QwilrBase)=""),"",HYPERLINK(IF(LEFT(AC275,4)="http",AC275,IF(H275="Production",set_RMSBase,set_QwilrBase)&amp;AC275),"Open")))</f>
        <v/>
      </c>
      <c r="AE275" s="27">
        <f>IF(E275="","",IFERROR(INDEX(tbl_Production[Total Expense],IFERROR(MATCH(E275&amp;"",tbl_Production[Job Number],0),MATCH(IFERROR(E275+0,E275),tbl_Production[Job Number],0))),IFERROR(INDEX(tbl_Consulting[Total Expense],IFERROR(MATCH(E275&amp;"",tbl_Consulting[Job Number],0),MATCH(IFERROR(E275+0,E275),tbl_Consulting[Job Number],0))),0)))</f>
        <v/>
      </c>
      <c r="AF275" s="27">
        <f>IF(E275="","",Z275-N(AE275))</f>
        <v/>
      </c>
      <c r="AG275" s="29">
        <f>IFERROR(AF275/Z275,"")</f>
        <v/>
      </c>
      <c r="AH275" s="25">
        <f>IF(E275="","",IFERROR(IF(INDEX(tbl_Onsite[Notes],IFERROR(MATCH(E275&amp;"",tbl_Onsite[Job Number],0),MATCH(IFERROR(E275+0,E275),tbl_Onsite[Job Number],0)))="","",INDEX(tbl_Onsite[Notes],IFERROR(MATCH(E275&amp;"",tbl_Onsite[Job Number],0),MATCH(IFERROR(E275+0,E275),tbl_Onsite[Job Number],0)))),IFERROR(IF(INDEX(tbl_Production[Notes],IFERROR(MATCH(E275&amp;"",tbl_Production[Job Number],0),MATCH(IFERROR(E275+0,E275),tbl_Production[Job Number],0)))="","",INDEX(tbl_Production[Notes],IFERROR(MATCH(E275&amp;"",tbl_Production[Job Number],0),MATCH(IFERROR(E275+0,E275),tbl_Production[Job Number],0)))),IFERROR(IF(INDEX(tbl_Consulting[Notes],IFERROR(MATCH(E275&amp;"",tbl_Consulting[Job Number],0),MATCH(IFERROR(E275+0,E275),tbl_Consulting[Job Number],0)))="","",INDEX(tbl_Consulting[Notes],IFERROR(MATCH(E275&amp;"",tbl_Consulting[Job Number],0),MATCH(IFERROR(E275+0,E275),tbl_Consulting[Job Number],0)))),""))))</f>
        <v/>
      </c>
    </row>
    <row r="276" ht="15" customHeight="1">
      <c r="A276" s="22" t="n"/>
      <c r="B276" s="23">
        <f>IF(A276="","",EOMONTH(A276,0))</f>
        <v/>
      </c>
      <c r="C276" s="24" t="n"/>
      <c r="D276" s="24" t="n"/>
      <c r="E276" s="24" t="n"/>
      <c r="F276" s="25">
        <f>IF(E276="","",IF(COUNTIF(lst_Jobs,E276&amp;"")&gt;0,"OK","CHECK"))</f>
        <v/>
      </c>
      <c r="G276" s="24" t="n"/>
      <c r="H276" s="24" t="n"/>
      <c r="I276" s="24" t="n"/>
      <c r="J276" s="24" t="n"/>
      <c r="K276" s="24" t="n"/>
      <c r="L276" s="26" t="n"/>
      <c r="M276" s="27">
        <f>IF(L276="","",IF(K276="GST 10%",ROUND(L276*set_GSTRate,2),0))</f>
        <v/>
      </c>
      <c r="N276" s="27">
        <f>IF(L276="","",L276+M276)</f>
        <v/>
      </c>
      <c r="O276" s="24" t="n"/>
      <c r="P276" s="24" t="n"/>
      <c r="Q276" s="24" t="n"/>
      <c r="R276" s="22" t="n"/>
      <c r="S276" s="22" t="n"/>
      <c r="T276" s="24" t="n"/>
      <c r="U276" s="24" t="n"/>
      <c r="V276" s="2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25">
        <f>IF(E276="","",IF(COUNTIF(tbl_Onsite[Job Number],E276&amp;"")&gt;0,"Onsite",IF(COUNTIF(tbl_Production[Job Number],E276&amp;"")&gt;0,"Production",IF(COUNTIF(tbl_Consulting[Job Number],E276&amp;"")&gt;0,"Consulting","not set up yet"))))</f>
        <v/>
      </c>
      <c r="X276" s="25">
        <f>IF(E276="","",IFERROR(INDEX(lst_JobName,MATCH(E276&amp;"",lst_Jobs,0)),""))</f>
        <v/>
      </c>
      <c r="Y276" s="28">
        <f>IF(E276="","",COUNTIFS(tbl_Finance[Job Number],E276&amp;"",tbl_Finance[Ex GST],"&lt;&gt;"))</f>
        <v/>
      </c>
      <c r="Z276" s="27">
        <f>IF(E276="","",SUMIFS(tbl_Finance[Ex GST],tbl_Finance[Job Number],E276&amp;""))</f>
        <v/>
      </c>
      <c r="AA276" s="27">
        <f>IF(E276="","",SUMIFS(tbl_Finance[Ex GST],tbl_Finance[Job Number],E276&amp;"",tbl_Finance[Xero Invoice No],"&lt;&gt;"))</f>
        <v/>
      </c>
      <c r="AB276" s="27">
        <f>IF(E276="","",Z276-AA276)</f>
        <v/>
      </c>
      <c r="AC276" s="25">
        <f>IF(E276="","",IFERROR(IF(INDEX(tbl_Onsite[Qwilr Quote],IFERROR(MATCH(E276&amp;"",tbl_Onsite[Job Number],0),MATCH(IFERROR(E276+0,E276),tbl_Onsite[Job Number],0)))="","",INDEX(tbl_Onsite[Qwilr Quote],IFERROR(MATCH(E276&amp;"",tbl_Onsite[Job Number],0),MATCH(IFERROR(E276+0,E276),tbl_Onsite[Job Number],0)))),IFERROR(IF(IF(INDEX(tbl_Production[Current RMS No],IFERROR(MATCH(E276&amp;"",tbl_Production[Job Number],0),MATCH(IFERROR(E276+0,E276),tbl_Production[Job Number],0)))="",INDEX(tbl_Production[Qwilr Quote],IFERROR(MATCH(E276&amp;"",tbl_Production[Job Number],0),MATCH(IFERROR(E276+0,E276),tbl_Production[Job Number],0))),INDEX(tbl_Production[Current RMS No],IFERROR(MATCH(E276&amp;"",tbl_Production[Job Number],0),MATCH(IFERROR(E276+0,E276),tbl_Production[Job Number],0))))="","",IF(INDEX(tbl_Production[Current RMS No],IFERROR(MATCH(E276&amp;"",tbl_Production[Job Number],0),MATCH(IFERROR(E276+0,E276),tbl_Production[Job Number],0)))="",INDEX(tbl_Production[Qwilr Quote],IFERROR(MATCH(E276&amp;"",tbl_Production[Job Number],0),MATCH(IFERROR(E276+0,E276),tbl_Production[Job Number],0))),INDEX(tbl_Production[Current RMS No],IFERROR(MATCH(E276&amp;"",tbl_Production[Job Number],0),MATCH(IFERROR(E276+0,E276),tbl_Production[Job Number],0))))),IFERROR(IF(INDEX(tbl_Consulting[Qwilr Quote],IFERROR(MATCH(E276&amp;"",tbl_Consulting[Job Number],0),MATCH(IFERROR(E276+0,E276),tbl_Consulting[Job Number],0)))="","",INDEX(tbl_Consulting[Qwilr Quote],IFERROR(MATCH(E276&amp;"",tbl_Consulting[Job Number],0),MATCH(IFERROR(E276+0,E276),tbl_Consulting[Job Number],0)))),""))))</f>
        <v/>
      </c>
      <c r="AD276" s="25">
        <f>IF(AC276="","",IF(AND(LEFT(AC276,4)&lt;&gt;"http",IF(H276="Production",set_RMSBase,set_QwilrBase)=""),"",HYPERLINK(IF(LEFT(AC276,4)="http",AC276,IF(H276="Production",set_RMSBase,set_QwilrBase)&amp;AC276),"Open")))</f>
        <v/>
      </c>
      <c r="AE276" s="27">
        <f>IF(E276="","",IFERROR(INDEX(tbl_Production[Total Expense],IFERROR(MATCH(E276&amp;"",tbl_Production[Job Number],0),MATCH(IFERROR(E276+0,E276),tbl_Production[Job Number],0))),IFERROR(INDEX(tbl_Consulting[Total Expense],IFERROR(MATCH(E276&amp;"",tbl_Consulting[Job Number],0),MATCH(IFERROR(E276+0,E276),tbl_Consulting[Job Number],0))),0)))</f>
        <v/>
      </c>
      <c r="AF276" s="27">
        <f>IF(E276="","",Z276-N(AE276))</f>
        <v/>
      </c>
      <c r="AG276" s="29">
        <f>IFERROR(AF276/Z276,"")</f>
        <v/>
      </c>
      <c r="AH276" s="25">
        <f>IF(E276="","",IFERROR(IF(INDEX(tbl_Onsite[Notes],IFERROR(MATCH(E276&amp;"",tbl_Onsite[Job Number],0),MATCH(IFERROR(E276+0,E276),tbl_Onsite[Job Number],0)))="","",INDEX(tbl_Onsite[Notes],IFERROR(MATCH(E276&amp;"",tbl_Onsite[Job Number],0),MATCH(IFERROR(E276+0,E276),tbl_Onsite[Job Number],0)))),IFERROR(IF(INDEX(tbl_Production[Notes],IFERROR(MATCH(E276&amp;"",tbl_Production[Job Number],0),MATCH(IFERROR(E276+0,E276),tbl_Production[Job Number],0)))="","",INDEX(tbl_Production[Notes],IFERROR(MATCH(E276&amp;"",tbl_Production[Job Number],0),MATCH(IFERROR(E276+0,E276),tbl_Production[Job Number],0)))),IFERROR(IF(INDEX(tbl_Consulting[Notes],IFERROR(MATCH(E276&amp;"",tbl_Consulting[Job Number],0),MATCH(IFERROR(E276+0,E276),tbl_Consulting[Job Number],0)))="","",INDEX(tbl_Consulting[Notes],IFERROR(MATCH(E276&amp;"",tbl_Consulting[Job Number],0),MATCH(IFERROR(E276+0,E276),tbl_Consulting[Job Number],0)))),""))))</f>
        <v/>
      </c>
    </row>
    <row r="277" ht="15" customHeight="1">
      <c r="A277" s="22" t="n"/>
      <c r="B277" s="23">
        <f>IF(A277="","",EOMONTH(A277,0))</f>
        <v/>
      </c>
      <c r="C277" s="24" t="n"/>
      <c r="D277" s="24" t="n"/>
      <c r="E277" s="24" t="n"/>
      <c r="F277" s="25">
        <f>IF(E277="","",IF(COUNTIF(lst_Jobs,E277&amp;"")&gt;0,"OK","CHECK"))</f>
        <v/>
      </c>
      <c r="G277" s="24" t="n"/>
      <c r="H277" s="24" t="n"/>
      <c r="I277" s="24" t="n"/>
      <c r="J277" s="24" t="n"/>
      <c r="K277" s="24" t="n"/>
      <c r="L277" s="26" t="n"/>
      <c r="M277" s="27">
        <f>IF(L277="","",IF(K277="GST 10%",ROUND(L277*set_GSTRate,2),0))</f>
        <v/>
      </c>
      <c r="N277" s="27">
        <f>IF(L277="","",L277+M277)</f>
        <v/>
      </c>
      <c r="O277" s="24" t="n"/>
      <c r="P277" s="24" t="n"/>
      <c r="Q277" s="24" t="n"/>
      <c r="R277" s="22" t="n"/>
      <c r="S277" s="22" t="n"/>
      <c r="T277" s="24" t="n"/>
      <c r="U277" s="24" t="n"/>
      <c r="V277" s="2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25">
        <f>IF(E277="","",IF(COUNTIF(tbl_Onsite[Job Number],E277&amp;"")&gt;0,"Onsite",IF(COUNTIF(tbl_Production[Job Number],E277&amp;"")&gt;0,"Production",IF(COUNTIF(tbl_Consulting[Job Number],E277&amp;"")&gt;0,"Consulting","not set up yet"))))</f>
        <v/>
      </c>
      <c r="X277" s="25">
        <f>IF(E277="","",IFERROR(INDEX(lst_JobName,MATCH(E277&amp;"",lst_Jobs,0)),""))</f>
        <v/>
      </c>
      <c r="Y277" s="28">
        <f>IF(E277="","",COUNTIFS(tbl_Finance[Job Number],E277&amp;"",tbl_Finance[Ex GST],"&lt;&gt;"))</f>
        <v/>
      </c>
      <c r="Z277" s="27">
        <f>IF(E277="","",SUMIFS(tbl_Finance[Ex GST],tbl_Finance[Job Number],E277&amp;""))</f>
        <v/>
      </c>
      <c r="AA277" s="27">
        <f>IF(E277="","",SUMIFS(tbl_Finance[Ex GST],tbl_Finance[Job Number],E277&amp;"",tbl_Finance[Xero Invoice No],"&lt;&gt;"))</f>
        <v/>
      </c>
      <c r="AB277" s="27">
        <f>IF(E277="","",Z277-AA277)</f>
        <v/>
      </c>
      <c r="AC277" s="25">
        <f>IF(E277="","",IFERROR(IF(INDEX(tbl_Onsite[Qwilr Quote],IFERROR(MATCH(E277&amp;"",tbl_Onsite[Job Number],0),MATCH(IFERROR(E277+0,E277),tbl_Onsite[Job Number],0)))="","",INDEX(tbl_Onsite[Qwilr Quote],IFERROR(MATCH(E277&amp;"",tbl_Onsite[Job Number],0),MATCH(IFERROR(E277+0,E277),tbl_Onsite[Job Number],0)))),IFERROR(IF(IF(INDEX(tbl_Production[Current RMS No],IFERROR(MATCH(E277&amp;"",tbl_Production[Job Number],0),MATCH(IFERROR(E277+0,E277),tbl_Production[Job Number],0)))="",INDEX(tbl_Production[Qwilr Quote],IFERROR(MATCH(E277&amp;"",tbl_Production[Job Number],0),MATCH(IFERROR(E277+0,E277),tbl_Production[Job Number],0))),INDEX(tbl_Production[Current RMS No],IFERROR(MATCH(E277&amp;"",tbl_Production[Job Number],0),MATCH(IFERROR(E277+0,E277),tbl_Production[Job Number],0))))="","",IF(INDEX(tbl_Production[Current RMS No],IFERROR(MATCH(E277&amp;"",tbl_Production[Job Number],0),MATCH(IFERROR(E277+0,E277),tbl_Production[Job Number],0)))="",INDEX(tbl_Production[Qwilr Quote],IFERROR(MATCH(E277&amp;"",tbl_Production[Job Number],0),MATCH(IFERROR(E277+0,E277),tbl_Production[Job Number],0))),INDEX(tbl_Production[Current RMS No],IFERROR(MATCH(E277&amp;"",tbl_Production[Job Number],0),MATCH(IFERROR(E277+0,E277),tbl_Production[Job Number],0))))),IFERROR(IF(INDEX(tbl_Consulting[Qwilr Quote],IFERROR(MATCH(E277&amp;"",tbl_Consulting[Job Number],0),MATCH(IFERROR(E277+0,E277),tbl_Consulting[Job Number],0)))="","",INDEX(tbl_Consulting[Qwilr Quote],IFERROR(MATCH(E277&amp;"",tbl_Consulting[Job Number],0),MATCH(IFERROR(E277+0,E277),tbl_Consulting[Job Number],0)))),""))))</f>
        <v/>
      </c>
      <c r="AD277" s="25">
        <f>IF(AC277="","",IF(AND(LEFT(AC277,4)&lt;&gt;"http",IF(H277="Production",set_RMSBase,set_QwilrBase)=""),"",HYPERLINK(IF(LEFT(AC277,4)="http",AC277,IF(H277="Production",set_RMSBase,set_QwilrBase)&amp;AC277),"Open")))</f>
        <v/>
      </c>
      <c r="AE277" s="27">
        <f>IF(E277="","",IFERROR(INDEX(tbl_Production[Total Expense],IFERROR(MATCH(E277&amp;"",tbl_Production[Job Number],0),MATCH(IFERROR(E277+0,E277),tbl_Production[Job Number],0))),IFERROR(INDEX(tbl_Consulting[Total Expense],IFERROR(MATCH(E277&amp;"",tbl_Consulting[Job Number],0),MATCH(IFERROR(E277+0,E277),tbl_Consulting[Job Number],0))),0)))</f>
        <v/>
      </c>
      <c r="AF277" s="27">
        <f>IF(E277="","",Z277-N(AE277))</f>
        <v/>
      </c>
      <c r="AG277" s="29">
        <f>IFERROR(AF277/Z277,"")</f>
        <v/>
      </c>
      <c r="AH277" s="25">
        <f>IF(E277="","",IFERROR(IF(INDEX(tbl_Onsite[Notes],IFERROR(MATCH(E277&amp;"",tbl_Onsite[Job Number],0),MATCH(IFERROR(E277+0,E277),tbl_Onsite[Job Number],0)))="","",INDEX(tbl_Onsite[Notes],IFERROR(MATCH(E277&amp;"",tbl_Onsite[Job Number],0),MATCH(IFERROR(E277+0,E277),tbl_Onsite[Job Number],0)))),IFERROR(IF(INDEX(tbl_Production[Notes],IFERROR(MATCH(E277&amp;"",tbl_Production[Job Number],0),MATCH(IFERROR(E277+0,E277),tbl_Production[Job Number],0)))="","",INDEX(tbl_Production[Notes],IFERROR(MATCH(E277&amp;"",tbl_Production[Job Number],0),MATCH(IFERROR(E277+0,E277),tbl_Production[Job Number],0)))),IFERROR(IF(INDEX(tbl_Consulting[Notes],IFERROR(MATCH(E277&amp;"",tbl_Consulting[Job Number],0),MATCH(IFERROR(E277+0,E277),tbl_Consulting[Job Number],0)))="","",INDEX(tbl_Consulting[Notes],IFERROR(MATCH(E277&amp;"",tbl_Consulting[Job Number],0),MATCH(IFERROR(E277+0,E277),tbl_Consulting[Job Number],0)))),""))))</f>
        <v/>
      </c>
    </row>
    <row r="278" ht="15" customHeight="1">
      <c r="A278" s="22" t="n"/>
      <c r="B278" s="23">
        <f>IF(A278="","",EOMONTH(A278,0))</f>
        <v/>
      </c>
      <c r="C278" s="24" t="n"/>
      <c r="D278" s="24" t="n"/>
      <c r="E278" s="24" t="n"/>
      <c r="F278" s="25">
        <f>IF(E278="","",IF(COUNTIF(lst_Jobs,E278&amp;"")&gt;0,"OK","CHECK"))</f>
        <v/>
      </c>
      <c r="G278" s="24" t="n"/>
      <c r="H278" s="24" t="n"/>
      <c r="I278" s="24" t="n"/>
      <c r="J278" s="24" t="n"/>
      <c r="K278" s="24" t="n"/>
      <c r="L278" s="26" t="n"/>
      <c r="M278" s="27">
        <f>IF(L278="","",IF(K278="GST 10%",ROUND(L278*set_GSTRate,2),0))</f>
        <v/>
      </c>
      <c r="N278" s="27">
        <f>IF(L278="","",L278+M278)</f>
        <v/>
      </c>
      <c r="O278" s="24" t="n"/>
      <c r="P278" s="24" t="n"/>
      <c r="Q278" s="24" t="n"/>
      <c r="R278" s="22" t="n"/>
      <c r="S278" s="22" t="n"/>
      <c r="T278" s="24" t="n"/>
      <c r="U278" s="24" t="n"/>
      <c r="V278" s="2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25">
        <f>IF(E278="","",IF(COUNTIF(tbl_Onsite[Job Number],E278&amp;"")&gt;0,"Onsite",IF(COUNTIF(tbl_Production[Job Number],E278&amp;"")&gt;0,"Production",IF(COUNTIF(tbl_Consulting[Job Number],E278&amp;"")&gt;0,"Consulting","not set up yet"))))</f>
        <v/>
      </c>
      <c r="X278" s="25">
        <f>IF(E278="","",IFERROR(INDEX(lst_JobName,MATCH(E278&amp;"",lst_Jobs,0)),""))</f>
        <v/>
      </c>
      <c r="Y278" s="28">
        <f>IF(E278="","",COUNTIFS(tbl_Finance[Job Number],E278&amp;"",tbl_Finance[Ex GST],"&lt;&gt;"))</f>
        <v/>
      </c>
      <c r="Z278" s="27">
        <f>IF(E278="","",SUMIFS(tbl_Finance[Ex GST],tbl_Finance[Job Number],E278&amp;""))</f>
        <v/>
      </c>
      <c r="AA278" s="27">
        <f>IF(E278="","",SUMIFS(tbl_Finance[Ex GST],tbl_Finance[Job Number],E278&amp;"",tbl_Finance[Xero Invoice No],"&lt;&gt;"))</f>
        <v/>
      </c>
      <c r="AB278" s="27">
        <f>IF(E278="","",Z278-AA278)</f>
        <v/>
      </c>
      <c r="AC278" s="25">
        <f>IF(E278="","",IFERROR(IF(INDEX(tbl_Onsite[Qwilr Quote],IFERROR(MATCH(E278&amp;"",tbl_Onsite[Job Number],0),MATCH(IFERROR(E278+0,E278),tbl_Onsite[Job Number],0)))="","",INDEX(tbl_Onsite[Qwilr Quote],IFERROR(MATCH(E278&amp;"",tbl_Onsite[Job Number],0),MATCH(IFERROR(E278+0,E278),tbl_Onsite[Job Number],0)))),IFERROR(IF(IF(INDEX(tbl_Production[Current RMS No],IFERROR(MATCH(E278&amp;"",tbl_Production[Job Number],0),MATCH(IFERROR(E278+0,E278),tbl_Production[Job Number],0)))="",INDEX(tbl_Production[Qwilr Quote],IFERROR(MATCH(E278&amp;"",tbl_Production[Job Number],0),MATCH(IFERROR(E278+0,E278),tbl_Production[Job Number],0))),INDEX(tbl_Production[Current RMS No],IFERROR(MATCH(E278&amp;"",tbl_Production[Job Number],0),MATCH(IFERROR(E278+0,E278),tbl_Production[Job Number],0))))="","",IF(INDEX(tbl_Production[Current RMS No],IFERROR(MATCH(E278&amp;"",tbl_Production[Job Number],0),MATCH(IFERROR(E278+0,E278),tbl_Production[Job Number],0)))="",INDEX(tbl_Production[Qwilr Quote],IFERROR(MATCH(E278&amp;"",tbl_Production[Job Number],0),MATCH(IFERROR(E278+0,E278),tbl_Production[Job Number],0))),INDEX(tbl_Production[Current RMS No],IFERROR(MATCH(E278&amp;"",tbl_Production[Job Number],0),MATCH(IFERROR(E278+0,E278),tbl_Production[Job Number],0))))),IFERROR(IF(INDEX(tbl_Consulting[Qwilr Quote],IFERROR(MATCH(E278&amp;"",tbl_Consulting[Job Number],0),MATCH(IFERROR(E278+0,E278),tbl_Consulting[Job Number],0)))="","",INDEX(tbl_Consulting[Qwilr Quote],IFERROR(MATCH(E278&amp;"",tbl_Consulting[Job Number],0),MATCH(IFERROR(E278+0,E278),tbl_Consulting[Job Number],0)))),""))))</f>
        <v/>
      </c>
      <c r="AD278" s="25">
        <f>IF(AC278="","",IF(AND(LEFT(AC278,4)&lt;&gt;"http",IF(H278="Production",set_RMSBase,set_QwilrBase)=""),"",HYPERLINK(IF(LEFT(AC278,4)="http",AC278,IF(H278="Production",set_RMSBase,set_QwilrBase)&amp;AC278),"Open")))</f>
        <v/>
      </c>
      <c r="AE278" s="27">
        <f>IF(E278="","",IFERROR(INDEX(tbl_Production[Total Expense],IFERROR(MATCH(E278&amp;"",tbl_Production[Job Number],0),MATCH(IFERROR(E278+0,E278),tbl_Production[Job Number],0))),IFERROR(INDEX(tbl_Consulting[Total Expense],IFERROR(MATCH(E278&amp;"",tbl_Consulting[Job Number],0),MATCH(IFERROR(E278+0,E278),tbl_Consulting[Job Number],0))),0)))</f>
        <v/>
      </c>
      <c r="AF278" s="27">
        <f>IF(E278="","",Z278-N(AE278))</f>
        <v/>
      </c>
      <c r="AG278" s="29">
        <f>IFERROR(AF278/Z278,"")</f>
        <v/>
      </c>
      <c r="AH278" s="25">
        <f>IF(E278="","",IFERROR(IF(INDEX(tbl_Onsite[Notes],IFERROR(MATCH(E278&amp;"",tbl_Onsite[Job Number],0),MATCH(IFERROR(E278+0,E278),tbl_Onsite[Job Number],0)))="","",INDEX(tbl_Onsite[Notes],IFERROR(MATCH(E278&amp;"",tbl_Onsite[Job Number],0),MATCH(IFERROR(E278+0,E278),tbl_Onsite[Job Number],0)))),IFERROR(IF(INDEX(tbl_Production[Notes],IFERROR(MATCH(E278&amp;"",tbl_Production[Job Number],0),MATCH(IFERROR(E278+0,E278),tbl_Production[Job Number],0)))="","",INDEX(tbl_Production[Notes],IFERROR(MATCH(E278&amp;"",tbl_Production[Job Number],0),MATCH(IFERROR(E278+0,E278),tbl_Production[Job Number],0)))),IFERROR(IF(INDEX(tbl_Consulting[Notes],IFERROR(MATCH(E278&amp;"",tbl_Consulting[Job Number],0),MATCH(IFERROR(E278+0,E278),tbl_Consulting[Job Number],0)))="","",INDEX(tbl_Consulting[Notes],IFERROR(MATCH(E278&amp;"",tbl_Consulting[Job Number],0),MATCH(IFERROR(E278+0,E278),tbl_Consulting[Job Number],0)))),""))))</f>
        <v/>
      </c>
    </row>
    <row r="279" ht="15" customHeight="1">
      <c r="A279" s="22" t="n"/>
      <c r="B279" s="23">
        <f>IF(A279="","",EOMONTH(A279,0))</f>
        <v/>
      </c>
      <c r="C279" s="24" t="n"/>
      <c r="D279" s="24" t="n"/>
      <c r="E279" s="24" t="n"/>
      <c r="F279" s="25">
        <f>IF(E279="","",IF(COUNTIF(lst_Jobs,E279&amp;"")&gt;0,"OK","CHECK"))</f>
        <v/>
      </c>
      <c r="G279" s="24" t="n"/>
      <c r="H279" s="24" t="n"/>
      <c r="I279" s="24" t="n"/>
      <c r="J279" s="24" t="n"/>
      <c r="K279" s="24" t="n"/>
      <c r="L279" s="26" t="n"/>
      <c r="M279" s="27">
        <f>IF(L279="","",IF(K279="GST 10%",ROUND(L279*set_GSTRate,2),0))</f>
        <v/>
      </c>
      <c r="N279" s="27">
        <f>IF(L279="","",L279+M279)</f>
        <v/>
      </c>
      <c r="O279" s="24" t="n"/>
      <c r="P279" s="24" t="n"/>
      <c r="Q279" s="24" t="n"/>
      <c r="R279" s="22" t="n"/>
      <c r="S279" s="22" t="n"/>
      <c r="T279" s="24" t="n"/>
      <c r="U279" s="24" t="n"/>
      <c r="V279" s="2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25">
        <f>IF(E279="","",IF(COUNTIF(tbl_Onsite[Job Number],E279&amp;"")&gt;0,"Onsite",IF(COUNTIF(tbl_Production[Job Number],E279&amp;"")&gt;0,"Production",IF(COUNTIF(tbl_Consulting[Job Number],E279&amp;"")&gt;0,"Consulting","not set up yet"))))</f>
        <v/>
      </c>
      <c r="X279" s="25">
        <f>IF(E279="","",IFERROR(INDEX(lst_JobName,MATCH(E279&amp;"",lst_Jobs,0)),""))</f>
        <v/>
      </c>
      <c r="Y279" s="28">
        <f>IF(E279="","",COUNTIFS(tbl_Finance[Job Number],E279&amp;"",tbl_Finance[Ex GST],"&lt;&gt;"))</f>
        <v/>
      </c>
      <c r="Z279" s="27">
        <f>IF(E279="","",SUMIFS(tbl_Finance[Ex GST],tbl_Finance[Job Number],E279&amp;""))</f>
        <v/>
      </c>
      <c r="AA279" s="27">
        <f>IF(E279="","",SUMIFS(tbl_Finance[Ex GST],tbl_Finance[Job Number],E279&amp;"",tbl_Finance[Xero Invoice No],"&lt;&gt;"))</f>
        <v/>
      </c>
      <c r="AB279" s="27">
        <f>IF(E279="","",Z279-AA279)</f>
        <v/>
      </c>
      <c r="AC279" s="25">
        <f>IF(E279="","",IFERROR(IF(INDEX(tbl_Onsite[Qwilr Quote],IFERROR(MATCH(E279&amp;"",tbl_Onsite[Job Number],0),MATCH(IFERROR(E279+0,E279),tbl_Onsite[Job Number],0)))="","",INDEX(tbl_Onsite[Qwilr Quote],IFERROR(MATCH(E279&amp;"",tbl_Onsite[Job Number],0),MATCH(IFERROR(E279+0,E279),tbl_Onsite[Job Number],0)))),IFERROR(IF(IF(INDEX(tbl_Production[Current RMS No],IFERROR(MATCH(E279&amp;"",tbl_Production[Job Number],0),MATCH(IFERROR(E279+0,E279),tbl_Production[Job Number],0)))="",INDEX(tbl_Production[Qwilr Quote],IFERROR(MATCH(E279&amp;"",tbl_Production[Job Number],0),MATCH(IFERROR(E279+0,E279),tbl_Production[Job Number],0))),INDEX(tbl_Production[Current RMS No],IFERROR(MATCH(E279&amp;"",tbl_Production[Job Number],0),MATCH(IFERROR(E279+0,E279),tbl_Production[Job Number],0))))="","",IF(INDEX(tbl_Production[Current RMS No],IFERROR(MATCH(E279&amp;"",tbl_Production[Job Number],0),MATCH(IFERROR(E279+0,E279),tbl_Production[Job Number],0)))="",INDEX(tbl_Production[Qwilr Quote],IFERROR(MATCH(E279&amp;"",tbl_Production[Job Number],0),MATCH(IFERROR(E279+0,E279),tbl_Production[Job Number],0))),INDEX(tbl_Production[Current RMS No],IFERROR(MATCH(E279&amp;"",tbl_Production[Job Number],0),MATCH(IFERROR(E279+0,E279),tbl_Production[Job Number],0))))),IFERROR(IF(INDEX(tbl_Consulting[Qwilr Quote],IFERROR(MATCH(E279&amp;"",tbl_Consulting[Job Number],0),MATCH(IFERROR(E279+0,E279),tbl_Consulting[Job Number],0)))="","",INDEX(tbl_Consulting[Qwilr Quote],IFERROR(MATCH(E279&amp;"",tbl_Consulting[Job Number],0),MATCH(IFERROR(E279+0,E279),tbl_Consulting[Job Number],0)))),""))))</f>
        <v/>
      </c>
      <c r="AD279" s="25">
        <f>IF(AC279="","",IF(AND(LEFT(AC279,4)&lt;&gt;"http",IF(H279="Production",set_RMSBase,set_QwilrBase)=""),"",HYPERLINK(IF(LEFT(AC279,4)="http",AC279,IF(H279="Production",set_RMSBase,set_QwilrBase)&amp;AC279),"Open")))</f>
        <v/>
      </c>
      <c r="AE279" s="27">
        <f>IF(E279="","",IFERROR(INDEX(tbl_Production[Total Expense],IFERROR(MATCH(E279&amp;"",tbl_Production[Job Number],0),MATCH(IFERROR(E279+0,E279),tbl_Production[Job Number],0))),IFERROR(INDEX(tbl_Consulting[Total Expense],IFERROR(MATCH(E279&amp;"",tbl_Consulting[Job Number],0),MATCH(IFERROR(E279+0,E279),tbl_Consulting[Job Number],0))),0)))</f>
        <v/>
      </c>
      <c r="AF279" s="27">
        <f>IF(E279="","",Z279-N(AE279))</f>
        <v/>
      </c>
      <c r="AG279" s="29">
        <f>IFERROR(AF279/Z279,"")</f>
        <v/>
      </c>
      <c r="AH279" s="25">
        <f>IF(E279="","",IFERROR(IF(INDEX(tbl_Onsite[Notes],IFERROR(MATCH(E279&amp;"",tbl_Onsite[Job Number],0),MATCH(IFERROR(E279+0,E279),tbl_Onsite[Job Number],0)))="","",INDEX(tbl_Onsite[Notes],IFERROR(MATCH(E279&amp;"",tbl_Onsite[Job Number],0),MATCH(IFERROR(E279+0,E279),tbl_Onsite[Job Number],0)))),IFERROR(IF(INDEX(tbl_Production[Notes],IFERROR(MATCH(E279&amp;"",tbl_Production[Job Number],0),MATCH(IFERROR(E279+0,E279),tbl_Production[Job Number],0)))="","",INDEX(tbl_Production[Notes],IFERROR(MATCH(E279&amp;"",tbl_Production[Job Number],0),MATCH(IFERROR(E279+0,E279),tbl_Production[Job Number],0)))),IFERROR(IF(INDEX(tbl_Consulting[Notes],IFERROR(MATCH(E279&amp;"",tbl_Consulting[Job Number],0),MATCH(IFERROR(E279+0,E279),tbl_Consulting[Job Number],0)))="","",INDEX(tbl_Consulting[Notes],IFERROR(MATCH(E279&amp;"",tbl_Consulting[Job Number],0),MATCH(IFERROR(E279+0,E279),tbl_Consulting[Job Number],0)))),""))))</f>
        <v/>
      </c>
    </row>
    <row r="280" ht="15" customHeight="1">
      <c r="A280" s="22" t="n"/>
      <c r="B280" s="23">
        <f>IF(A280="","",EOMONTH(A280,0))</f>
        <v/>
      </c>
      <c r="C280" s="24" t="n"/>
      <c r="D280" s="24" t="n"/>
      <c r="E280" s="24" t="n"/>
      <c r="F280" s="25">
        <f>IF(E280="","",IF(COUNTIF(lst_Jobs,E280&amp;"")&gt;0,"OK","CHECK"))</f>
        <v/>
      </c>
      <c r="G280" s="24" t="n"/>
      <c r="H280" s="24" t="n"/>
      <c r="I280" s="24" t="n"/>
      <c r="J280" s="24" t="n"/>
      <c r="K280" s="24" t="n"/>
      <c r="L280" s="26" t="n"/>
      <c r="M280" s="27">
        <f>IF(L280="","",IF(K280="GST 10%",ROUND(L280*set_GSTRate,2),0))</f>
        <v/>
      </c>
      <c r="N280" s="27">
        <f>IF(L280="","",L280+M280)</f>
        <v/>
      </c>
      <c r="O280" s="24" t="n"/>
      <c r="P280" s="24" t="n"/>
      <c r="Q280" s="24" t="n"/>
      <c r="R280" s="22" t="n"/>
      <c r="S280" s="22" t="n"/>
      <c r="T280" s="24" t="n"/>
      <c r="U280" s="24" t="n"/>
      <c r="V280" s="2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25">
        <f>IF(E280="","",IF(COUNTIF(tbl_Onsite[Job Number],E280&amp;"")&gt;0,"Onsite",IF(COUNTIF(tbl_Production[Job Number],E280&amp;"")&gt;0,"Production",IF(COUNTIF(tbl_Consulting[Job Number],E280&amp;"")&gt;0,"Consulting","not set up yet"))))</f>
        <v/>
      </c>
      <c r="X280" s="25">
        <f>IF(E280="","",IFERROR(INDEX(lst_JobName,MATCH(E280&amp;"",lst_Jobs,0)),""))</f>
        <v/>
      </c>
      <c r="Y280" s="28">
        <f>IF(E280="","",COUNTIFS(tbl_Finance[Job Number],E280&amp;"",tbl_Finance[Ex GST],"&lt;&gt;"))</f>
        <v/>
      </c>
      <c r="Z280" s="27">
        <f>IF(E280="","",SUMIFS(tbl_Finance[Ex GST],tbl_Finance[Job Number],E280&amp;""))</f>
        <v/>
      </c>
      <c r="AA280" s="27">
        <f>IF(E280="","",SUMIFS(tbl_Finance[Ex GST],tbl_Finance[Job Number],E280&amp;"",tbl_Finance[Xero Invoice No],"&lt;&gt;"))</f>
        <v/>
      </c>
      <c r="AB280" s="27">
        <f>IF(E280="","",Z280-AA280)</f>
        <v/>
      </c>
      <c r="AC280" s="25">
        <f>IF(E280="","",IFERROR(IF(INDEX(tbl_Onsite[Qwilr Quote],IFERROR(MATCH(E280&amp;"",tbl_Onsite[Job Number],0),MATCH(IFERROR(E280+0,E280),tbl_Onsite[Job Number],0)))="","",INDEX(tbl_Onsite[Qwilr Quote],IFERROR(MATCH(E280&amp;"",tbl_Onsite[Job Number],0),MATCH(IFERROR(E280+0,E280),tbl_Onsite[Job Number],0)))),IFERROR(IF(IF(INDEX(tbl_Production[Current RMS No],IFERROR(MATCH(E280&amp;"",tbl_Production[Job Number],0),MATCH(IFERROR(E280+0,E280),tbl_Production[Job Number],0)))="",INDEX(tbl_Production[Qwilr Quote],IFERROR(MATCH(E280&amp;"",tbl_Production[Job Number],0),MATCH(IFERROR(E280+0,E280),tbl_Production[Job Number],0))),INDEX(tbl_Production[Current RMS No],IFERROR(MATCH(E280&amp;"",tbl_Production[Job Number],0),MATCH(IFERROR(E280+0,E280),tbl_Production[Job Number],0))))="","",IF(INDEX(tbl_Production[Current RMS No],IFERROR(MATCH(E280&amp;"",tbl_Production[Job Number],0),MATCH(IFERROR(E280+0,E280),tbl_Production[Job Number],0)))="",INDEX(tbl_Production[Qwilr Quote],IFERROR(MATCH(E280&amp;"",tbl_Production[Job Number],0),MATCH(IFERROR(E280+0,E280),tbl_Production[Job Number],0))),INDEX(tbl_Production[Current RMS No],IFERROR(MATCH(E280&amp;"",tbl_Production[Job Number],0),MATCH(IFERROR(E280+0,E280),tbl_Production[Job Number],0))))),IFERROR(IF(INDEX(tbl_Consulting[Qwilr Quote],IFERROR(MATCH(E280&amp;"",tbl_Consulting[Job Number],0),MATCH(IFERROR(E280+0,E280),tbl_Consulting[Job Number],0)))="","",INDEX(tbl_Consulting[Qwilr Quote],IFERROR(MATCH(E280&amp;"",tbl_Consulting[Job Number],0),MATCH(IFERROR(E280+0,E280),tbl_Consulting[Job Number],0)))),""))))</f>
        <v/>
      </c>
      <c r="AD280" s="25">
        <f>IF(AC280="","",IF(AND(LEFT(AC280,4)&lt;&gt;"http",IF(H280="Production",set_RMSBase,set_QwilrBase)=""),"",HYPERLINK(IF(LEFT(AC280,4)="http",AC280,IF(H280="Production",set_RMSBase,set_QwilrBase)&amp;AC280),"Open")))</f>
        <v/>
      </c>
      <c r="AE280" s="27">
        <f>IF(E280="","",IFERROR(INDEX(tbl_Production[Total Expense],IFERROR(MATCH(E280&amp;"",tbl_Production[Job Number],0),MATCH(IFERROR(E280+0,E280),tbl_Production[Job Number],0))),IFERROR(INDEX(tbl_Consulting[Total Expense],IFERROR(MATCH(E280&amp;"",tbl_Consulting[Job Number],0),MATCH(IFERROR(E280+0,E280),tbl_Consulting[Job Number],0))),0)))</f>
        <v/>
      </c>
      <c r="AF280" s="27">
        <f>IF(E280="","",Z280-N(AE280))</f>
        <v/>
      </c>
      <c r="AG280" s="29">
        <f>IFERROR(AF280/Z280,"")</f>
        <v/>
      </c>
      <c r="AH280" s="25">
        <f>IF(E280="","",IFERROR(IF(INDEX(tbl_Onsite[Notes],IFERROR(MATCH(E280&amp;"",tbl_Onsite[Job Number],0),MATCH(IFERROR(E280+0,E280),tbl_Onsite[Job Number],0)))="","",INDEX(tbl_Onsite[Notes],IFERROR(MATCH(E280&amp;"",tbl_Onsite[Job Number],0),MATCH(IFERROR(E280+0,E280),tbl_Onsite[Job Number],0)))),IFERROR(IF(INDEX(tbl_Production[Notes],IFERROR(MATCH(E280&amp;"",tbl_Production[Job Number],0),MATCH(IFERROR(E280+0,E280),tbl_Production[Job Number],0)))="","",INDEX(tbl_Production[Notes],IFERROR(MATCH(E280&amp;"",tbl_Production[Job Number],0),MATCH(IFERROR(E280+0,E280),tbl_Production[Job Number],0)))),IFERROR(IF(INDEX(tbl_Consulting[Notes],IFERROR(MATCH(E280&amp;"",tbl_Consulting[Job Number],0),MATCH(IFERROR(E280+0,E280),tbl_Consulting[Job Number],0)))="","",INDEX(tbl_Consulting[Notes],IFERROR(MATCH(E280&amp;"",tbl_Consulting[Job Number],0),MATCH(IFERROR(E280+0,E280),tbl_Consulting[Job Number],0)))),""))))</f>
        <v/>
      </c>
    </row>
    <row r="281" ht="15" customHeight="1">
      <c r="A281" s="22" t="n"/>
      <c r="B281" s="23">
        <f>IF(A281="","",EOMONTH(A281,0))</f>
        <v/>
      </c>
      <c r="C281" s="24" t="n"/>
      <c r="D281" s="24" t="n"/>
      <c r="E281" s="24" t="n"/>
      <c r="F281" s="25">
        <f>IF(E281="","",IF(COUNTIF(lst_Jobs,E281&amp;"")&gt;0,"OK","CHECK"))</f>
        <v/>
      </c>
      <c r="G281" s="24" t="n"/>
      <c r="H281" s="24" t="n"/>
      <c r="I281" s="24" t="n"/>
      <c r="J281" s="24" t="n"/>
      <c r="K281" s="24" t="n"/>
      <c r="L281" s="26" t="n"/>
      <c r="M281" s="27">
        <f>IF(L281="","",IF(K281="GST 10%",ROUND(L281*set_GSTRate,2),0))</f>
        <v/>
      </c>
      <c r="N281" s="27">
        <f>IF(L281="","",L281+M281)</f>
        <v/>
      </c>
      <c r="O281" s="24" t="n"/>
      <c r="P281" s="24" t="n"/>
      <c r="Q281" s="24" t="n"/>
      <c r="R281" s="22" t="n"/>
      <c r="S281" s="22" t="n"/>
      <c r="T281" s="24" t="n"/>
      <c r="U281" s="24" t="n"/>
      <c r="V281" s="2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25">
        <f>IF(E281="","",IF(COUNTIF(tbl_Onsite[Job Number],E281&amp;"")&gt;0,"Onsite",IF(COUNTIF(tbl_Production[Job Number],E281&amp;"")&gt;0,"Production",IF(COUNTIF(tbl_Consulting[Job Number],E281&amp;"")&gt;0,"Consulting","not set up yet"))))</f>
        <v/>
      </c>
      <c r="X281" s="25">
        <f>IF(E281="","",IFERROR(INDEX(lst_JobName,MATCH(E281&amp;"",lst_Jobs,0)),""))</f>
        <v/>
      </c>
      <c r="Y281" s="28">
        <f>IF(E281="","",COUNTIFS(tbl_Finance[Job Number],E281&amp;"",tbl_Finance[Ex GST],"&lt;&gt;"))</f>
        <v/>
      </c>
      <c r="Z281" s="27">
        <f>IF(E281="","",SUMIFS(tbl_Finance[Ex GST],tbl_Finance[Job Number],E281&amp;""))</f>
        <v/>
      </c>
      <c r="AA281" s="27">
        <f>IF(E281="","",SUMIFS(tbl_Finance[Ex GST],tbl_Finance[Job Number],E281&amp;"",tbl_Finance[Xero Invoice No],"&lt;&gt;"))</f>
        <v/>
      </c>
      <c r="AB281" s="27">
        <f>IF(E281="","",Z281-AA281)</f>
        <v/>
      </c>
      <c r="AC281" s="25">
        <f>IF(E281="","",IFERROR(IF(INDEX(tbl_Onsite[Qwilr Quote],IFERROR(MATCH(E281&amp;"",tbl_Onsite[Job Number],0),MATCH(IFERROR(E281+0,E281),tbl_Onsite[Job Number],0)))="","",INDEX(tbl_Onsite[Qwilr Quote],IFERROR(MATCH(E281&amp;"",tbl_Onsite[Job Number],0),MATCH(IFERROR(E281+0,E281),tbl_Onsite[Job Number],0)))),IFERROR(IF(IF(INDEX(tbl_Production[Current RMS No],IFERROR(MATCH(E281&amp;"",tbl_Production[Job Number],0),MATCH(IFERROR(E281+0,E281),tbl_Production[Job Number],0)))="",INDEX(tbl_Production[Qwilr Quote],IFERROR(MATCH(E281&amp;"",tbl_Production[Job Number],0),MATCH(IFERROR(E281+0,E281),tbl_Production[Job Number],0))),INDEX(tbl_Production[Current RMS No],IFERROR(MATCH(E281&amp;"",tbl_Production[Job Number],0),MATCH(IFERROR(E281+0,E281),tbl_Production[Job Number],0))))="","",IF(INDEX(tbl_Production[Current RMS No],IFERROR(MATCH(E281&amp;"",tbl_Production[Job Number],0),MATCH(IFERROR(E281+0,E281),tbl_Production[Job Number],0)))="",INDEX(tbl_Production[Qwilr Quote],IFERROR(MATCH(E281&amp;"",tbl_Production[Job Number],0),MATCH(IFERROR(E281+0,E281),tbl_Production[Job Number],0))),INDEX(tbl_Production[Current RMS No],IFERROR(MATCH(E281&amp;"",tbl_Production[Job Number],0),MATCH(IFERROR(E281+0,E281),tbl_Production[Job Number],0))))),IFERROR(IF(INDEX(tbl_Consulting[Qwilr Quote],IFERROR(MATCH(E281&amp;"",tbl_Consulting[Job Number],0),MATCH(IFERROR(E281+0,E281),tbl_Consulting[Job Number],0)))="","",INDEX(tbl_Consulting[Qwilr Quote],IFERROR(MATCH(E281&amp;"",tbl_Consulting[Job Number],0),MATCH(IFERROR(E281+0,E281),tbl_Consulting[Job Number],0)))),""))))</f>
        <v/>
      </c>
      <c r="AD281" s="25">
        <f>IF(AC281="","",IF(AND(LEFT(AC281,4)&lt;&gt;"http",IF(H281="Production",set_RMSBase,set_QwilrBase)=""),"",HYPERLINK(IF(LEFT(AC281,4)="http",AC281,IF(H281="Production",set_RMSBase,set_QwilrBase)&amp;AC281),"Open")))</f>
        <v/>
      </c>
      <c r="AE281" s="27">
        <f>IF(E281="","",IFERROR(INDEX(tbl_Production[Total Expense],IFERROR(MATCH(E281&amp;"",tbl_Production[Job Number],0),MATCH(IFERROR(E281+0,E281),tbl_Production[Job Number],0))),IFERROR(INDEX(tbl_Consulting[Total Expense],IFERROR(MATCH(E281&amp;"",tbl_Consulting[Job Number],0),MATCH(IFERROR(E281+0,E281),tbl_Consulting[Job Number],0))),0)))</f>
        <v/>
      </c>
      <c r="AF281" s="27">
        <f>IF(E281="","",Z281-N(AE281))</f>
        <v/>
      </c>
      <c r="AG281" s="29">
        <f>IFERROR(AF281/Z281,"")</f>
        <v/>
      </c>
      <c r="AH281" s="25">
        <f>IF(E281="","",IFERROR(IF(INDEX(tbl_Onsite[Notes],IFERROR(MATCH(E281&amp;"",tbl_Onsite[Job Number],0),MATCH(IFERROR(E281+0,E281),tbl_Onsite[Job Number],0)))="","",INDEX(tbl_Onsite[Notes],IFERROR(MATCH(E281&amp;"",tbl_Onsite[Job Number],0),MATCH(IFERROR(E281+0,E281),tbl_Onsite[Job Number],0)))),IFERROR(IF(INDEX(tbl_Production[Notes],IFERROR(MATCH(E281&amp;"",tbl_Production[Job Number],0),MATCH(IFERROR(E281+0,E281),tbl_Production[Job Number],0)))="","",INDEX(tbl_Production[Notes],IFERROR(MATCH(E281&amp;"",tbl_Production[Job Number],0),MATCH(IFERROR(E281+0,E281),tbl_Production[Job Number],0)))),IFERROR(IF(INDEX(tbl_Consulting[Notes],IFERROR(MATCH(E281&amp;"",tbl_Consulting[Job Number],0),MATCH(IFERROR(E281+0,E281),tbl_Consulting[Job Number],0)))="","",INDEX(tbl_Consulting[Notes],IFERROR(MATCH(E281&amp;"",tbl_Consulting[Job Number],0),MATCH(IFERROR(E281+0,E281),tbl_Consulting[Job Number],0)))),""))))</f>
        <v/>
      </c>
    </row>
    <row r="282" ht="15" customHeight="1">
      <c r="A282" s="22" t="n"/>
      <c r="B282" s="23">
        <f>IF(A282="","",EOMONTH(A282,0))</f>
        <v/>
      </c>
      <c r="C282" s="24" t="n"/>
      <c r="D282" s="24" t="n"/>
      <c r="E282" s="24" t="n"/>
      <c r="F282" s="25">
        <f>IF(E282="","",IF(COUNTIF(lst_Jobs,E282&amp;"")&gt;0,"OK","CHECK"))</f>
        <v/>
      </c>
      <c r="G282" s="24" t="n"/>
      <c r="H282" s="24" t="n"/>
      <c r="I282" s="24" t="n"/>
      <c r="J282" s="24" t="n"/>
      <c r="K282" s="24" t="n"/>
      <c r="L282" s="26" t="n"/>
      <c r="M282" s="27">
        <f>IF(L282="","",IF(K282="GST 10%",ROUND(L282*set_GSTRate,2),0))</f>
        <v/>
      </c>
      <c r="N282" s="27">
        <f>IF(L282="","",L282+M282)</f>
        <v/>
      </c>
      <c r="O282" s="24" t="n"/>
      <c r="P282" s="24" t="n"/>
      <c r="Q282" s="24" t="n"/>
      <c r="R282" s="22" t="n"/>
      <c r="S282" s="22" t="n"/>
      <c r="T282" s="24" t="n"/>
      <c r="U282" s="24" t="n"/>
      <c r="V282" s="2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25">
        <f>IF(E282="","",IF(COUNTIF(tbl_Onsite[Job Number],E282&amp;"")&gt;0,"Onsite",IF(COUNTIF(tbl_Production[Job Number],E282&amp;"")&gt;0,"Production",IF(COUNTIF(tbl_Consulting[Job Number],E282&amp;"")&gt;0,"Consulting","not set up yet"))))</f>
        <v/>
      </c>
      <c r="X282" s="25">
        <f>IF(E282="","",IFERROR(INDEX(lst_JobName,MATCH(E282&amp;"",lst_Jobs,0)),""))</f>
        <v/>
      </c>
      <c r="Y282" s="28">
        <f>IF(E282="","",COUNTIFS(tbl_Finance[Job Number],E282&amp;"",tbl_Finance[Ex GST],"&lt;&gt;"))</f>
        <v/>
      </c>
      <c r="Z282" s="27">
        <f>IF(E282="","",SUMIFS(tbl_Finance[Ex GST],tbl_Finance[Job Number],E282&amp;""))</f>
        <v/>
      </c>
      <c r="AA282" s="27">
        <f>IF(E282="","",SUMIFS(tbl_Finance[Ex GST],tbl_Finance[Job Number],E282&amp;"",tbl_Finance[Xero Invoice No],"&lt;&gt;"))</f>
        <v/>
      </c>
      <c r="AB282" s="27">
        <f>IF(E282="","",Z282-AA282)</f>
        <v/>
      </c>
      <c r="AC282" s="25">
        <f>IF(E282="","",IFERROR(IF(INDEX(tbl_Onsite[Qwilr Quote],IFERROR(MATCH(E282&amp;"",tbl_Onsite[Job Number],0),MATCH(IFERROR(E282+0,E282),tbl_Onsite[Job Number],0)))="","",INDEX(tbl_Onsite[Qwilr Quote],IFERROR(MATCH(E282&amp;"",tbl_Onsite[Job Number],0),MATCH(IFERROR(E282+0,E282),tbl_Onsite[Job Number],0)))),IFERROR(IF(IF(INDEX(tbl_Production[Current RMS No],IFERROR(MATCH(E282&amp;"",tbl_Production[Job Number],0),MATCH(IFERROR(E282+0,E282),tbl_Production[Job Number],0)))="",INDEX(tbl_Production[Qwilr Quote],IFERROR(MATCH(E282&amp;"",tbl_Production[Job Number],0),MATCH(IFERROR(E282+0,E282),tbl_Production[Job Number],0))),INDEX(tbl_Production[Current RMS No],IFERROR(MATCH(E282&amp;"",tbl_Production[Job Number],0),MATCH(IFERROR(E282+0,E282),tbl_Production[Job Number],0))))="","",IF(INDEX(tbl_Production[Current RMS No],IFERROR(MATCH(E282&amp;"",tbl_Production[Job Number],0),MATCH(IFERROR(E282+0,E282),tbl_Production[Job Number],0)))="",INDEX(tbl_Production[Qwilr Quote],IFERROR(MATCH(E282&amp;"",tbl_Production[Job Number],0),MATCH(IFERROR(E282+0,E282),tbl_Production[Job Number],0))),INDEX(tbl_Production[Current RMS No],IFERROR(MATCH(E282&amp;"",tbl_Production[Job Number],0),MATCH(IFERROR(E282+0,E282),tbl_Production[Job Number],0))))),IFERROR(IF(INDEX(tbl_Consulting[Qwilr Quote],IFERROR(MATCH(E282&amp;"",tbl_Consulting[Job Number],0),MATCH(IFERROR(E282+0,E282),tbl_Consulting[Job Number],0)))="","",INDEX(tbl_Consulting[Qwilr Quote],IFERROR(MATCH(E282&amp;"",tbl_Consulting[Job Number],0),MATCH(IFERROR(E282+0,E282),tbl_Consulting[Job Number],0)))),""))))</f>
        <v/>
      </c>
      <c r="AD282" s="25">
        <f>IF(AC282="","",IF(AND(LEFT(AC282,4)&lt;&gt;"http",IF(H282="Production",set_RMSBase,set_QwilrBase)=""),"",HYPERLINK(IF(LEFT(AC282,4)="http",AC282,IF(H282="Production",set_RMSBase,set_QwilrBase)&amp;AC282),"Open")))</f>
        <v/>
      </c>
      <c r="AE282" s="27">
        <f>IF(E282="","",IFERROR(INDEX(tbl_Production[Total Expense],IFERROR(MATCH(E282&amp;"",tbl_Production[Job Number],0),MATCH(IFERROR(E282+0,E282),tbl_Production[Job Number],0))),IFERROR(INDEX(tbl_Consulting[Total Expense],IFERROR(MATCH(E282&amp;"",tbl_Consulting[Job Number],0),MATCH(IFERROR(E282+0,E282),tbl_Consulting[Job Number],0))),0)))</f>
        <v/>
      </c>
      <c r="AF282" s="27">
        <f>IF(E282="","",Z282-N(AE282))</f>
        <v/>
      </c>
      <c r="AG282" s="29">
        <f>IFERROR(AF282/Z282,"")</f>
        <v/>
      </c>
      <c r="AH282" s="25">
        <f>IF(E282="","",IFERROR(IF(INDEX(tbl_Onsite[Notes],IFERROR(MATCH(E282&amp;"",tbl_Onsite[Job Number],0),MATCH(IFERROR(E282+0,E282),tbl_Onsite[Job Number],0)))="","",INDEX(tbl_Onsite[Notes],IFERROR(MATCH(E282&amp;"",tbl_Onsite[Job Number],0),MATCH(IFERROR(E282+0,E282),tbl_Onsite[Job Number],0)))),IFERROR(IF(INDEX(tbl_Production[Notes],IFERROR(MATCH(E282&amp;"",tbl_Production[Job Number],0),MATCH(IFERROR(E282+0,E282),tbl_Production[Job Number],0)))="","",INDEX(tbl_Production[Notes],IFERROR(MATCH(E282&amp;"",tbl_Production[Job Number],0),MATCH(IFERROR(E282+0,E282),tbl_Production[Job Number],0)))),IFERROR(IF(INDEX(tbl_Consulting[Notes],IFERROR(MATCH(E282&amp;"",tbl_Consulting[Job Number],0),MATCH(IFERROR(E282+0,E282),tbl_Consulting[Job Number],0)))="","",INDEX(tbl_Consulting[Notes],IFERROR(MATCH(E282&amp;"",tbl_Consulting[Job Number],0),MATCH(IFERROR(E282+0,E282),tbl_Consulting[Job Number],0)))),""))))</f>
        <v/>
      </c>
    </row>
    <row r="283" ht="15" customHeight="1">
      <c r="A283" s="22" t="n"/>
      <c r="B283" s="23">
        <f>IF(A283="","",EOMONTH(A283,0))</f>
        <v/>
      </c>
      <c r="C283" s="24" t="n"/>
      <c r="D283" s="24" t="n"/>
      <c r="E283" s="24" t="n"/>
      <c r="F283" s="25">
        <f>IF(E283="","",IF(COUNTIF(lst_Jobs,E283&amp;"")&gt;0,"OK","CHECK"))</f>
        <v/>
      </c>
      <c r="G283" s="24" t="n"/>
      <c r="H283" s="24" t="n"/>
      <c r="I283" s="24" t="n"/>
      <c r="J283" s="24" t="n"/>
      <c r="K283" s="24" t="n"/>
      <c r="L283" s="26" t="n"/>
      <c r="M283" s="27">
        <f>IF(L283="","",IF(K283="GST 10%",ROUND(L283*set_GSTRate,2),0))</f>
        <v/>
      </c>
      <c r="N283" s="27">
        <f>IF(L283="","",L283+M283)</f>
        <v/>
      </c>
      <c r="O283" s="24" t="n"/>
      <c r="P283" s="24" t="n"/>
      <c r="Q283" s="24" t="n"/>
      <c r="R283" s="22" t="n"/>
      <c r="S283" s="22" t="n"/>
      <c r="T283" s="24" t="n"/>
      <c r="U283" s="24" t="n"/>
      <c r="V283" s="2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25">
        <f>IF(E283="","",IF(COUNTIF(tbl_Onsite[Job Number],E283&amp;"")&gt;0,"Onsite",IF(COUNTIF(tbl_Production[Job Number],E283&amp;"")&gt;0,"Production",IF(COUNTIF(tbl_Consulting[Job Number],E283&amp;"")&gt;0,"Consulting","not set up yet"))))</f>
        <v/>
      </c>
      <c r="X283" s="25">
        <f>IF(E283="","",IFERROR(INDEX(lst_JobName,MATCH(E283&amp;"",lst_Jobs,0)),""))</f>
        <v/>
      </c>
      <c r="Y283" s="28">
        <f>IF(E283="","",COUNTIFS(tbl_Finance[Job Number],E283&amp;"",tbl_Finance[Ex GST],"&lt;&gt;"))</f>
        <v/>
      </c>
      <c r="Z283" s="27">
        <f>IF(E283="","",SUMIFS(tbl_Finance[Ex GST],tbl_Finance[Job Number],E283&amp;""))</f>
        <v/>
      </c>
      <c r="AA283" s="27">
        <f>IF(E283="","",SUMIFS(tbl_Finance[Ex GST],tbl_Finance[Job Number],E283&amp;"",tbl_Finance[Xero Invoice No],"&lt;&gt;"))</f>
        <v/>
      </c>
      <c r="AB283" s="27">
        <f>IF(E283="","",Z283-AA283)</f>
        <v/>
      </c>
      <c r="AC283" s="25">
        <f>IF(E283="","",IFERROR(IF(INDEX(tbl_Onsite[Qwilr Quote],IFERROR(MATCH(E283&amp;"",tbl_Onsite[Job Number],0),MATCH(IFERROR(E283+0,E283),tbl_Onsite[Job Number],0)))="","",INDEX(tbl_Onsite[Qwilr Quote],IFERROR(MATCH(E283&amp;"",tbl_Onsite[Job Number],0),MATCH(IFERROR(E283+0,E283),tbl_Onsite[Job Number],0)))),IFERROR(IF(IF(INDEX(tbl_Production[Current RMS No],IFERROR(MATCH(E283&amp;"",tbl_Production[Job Number],0),MATCH(IFERROR(E283+0,E283),tbl_Production[Job Number],0)))="",INDEX(tbl_Production[Qwilr Quote],IFERROR(MATCH(E283&amp;"",tbl_Production[Job Number],0),MATCH(IFERROR(E283+0,E283),tbl_Production[Job Number],0))),INDEX(tbl_Production[Current RMS No],IFERROR(MATCH(E283&amp;"",tbl_Production[Job Number],0),MATCH(IFERROR(E283+0,E283),tbl_Production[Job Number],0))))="","",IF(INDEX(tbl_Production[Current RMS No],IFERROR(MATCH(E283&amp;"",tbl_Production[Job Number],0),MATCH(IFERROR(E283+0,E283),tbl_Production[Job Number],0)))="",INDEX(tbl_Production[Qwilr Quote],IFERROR(MATCH(E283&amp;"",tbl_Production[Job Number],0),MATCH(IFERROR(E283+0,E283),tbl_Production[Job Number],0))),INDEX(tbl_Production[Current RMS No],IFERROR(MATCH(E283&amp;"",tbl_Production[Job Number],0),MATCH(IFERROR(E283+0,E283),tbl_Production[Job Number],0))))),IFERROR(IF(INDEX(tbl_Consulting[Qwilr Quote],IFERROR(MATCH(E283&amp;"",tbl_Consulting[Job Number],0),MATCH(IFERROR(E283+0,E283),tbl_Consulting[Job Number],0)))="","",INDEX(tbl_Consulting[Qwilr Quote],IFERROR(MATCH(E283&amp;"",tbl_Consulting[Job Number],0),MATCH(IFERROR(E283+0,E283),tbl_Consulting[Job Number],0)))),""))))</f>
        <v/>
      </c>
      <c r="AD283" s="25">
        <f>IF(AC283="","",IF(AND(LEFT(AC283,4)&lt;&gt;"http",IF(H283="Production",set_RMSBase,set_QwilrBase)=""),"",HYPERLINK(IF(LEFT(AC283,4)="http",AC283,IF(H283="Production",set_RMSBase,set_QwilrBase)&amp;AC283),"Open")))</f>
        <v/>
      </c>
      <c r="AE283" s="27">
        <f>IF(E283="","",IFERROR(INDEX(tbl_Production[Total Expense],IFERROR(MATCH(E283&amp;"",tbl_Production[Job Number],0),MATCH(IFERROR(E283+0,E283),tbl_Production[Job Number],0))),IFERROR(INDEX(tbl_Consulting[Total Expense],IFERROR(MATCH(E283&amp;"",tbl_Consulting[Job Number],0),MATCH(IFERROR(E283+0,E283),tbl_Consulting[Job Number],0))),0)))</f>
        <v/>
      </c>
      <c r="AF283" s="27">
        <f>IF(E283="","",Z283-N(AE283))</f>
        <v/>
      </c>
      <c r="AG283" s="29">
        <f>IFERROR(AF283/Z283,"")</f>
        <v/>
      </c>
      <c r="AH283" s="25">
        <f>IF(E283="","",IFERROR(IF(INDEX(tbl_Onsite[Notes],IFERROR(MATCH(E283&amp;"",tbl_Onsite[Job Number],0),MATCH(IFERROR(E283+0,E283),tbl_Onsite[Job Number],0)))="","",INDEX(tbl_Onsite[Notes],IFERROR(MATCH(E283&amp;"",tbl_Onsite[Job Number],0),MATCH(IFERROR(E283+0,E283),tbl_Onsite[Job Number],0)))),IFERROR(IF(INDEX(tbl_Production[Notes],IFERROR(MATCH(E283&amp;"",tbl_Production[Job Number],0),MATCH(IFERROR(E283+0,E283),tbl_Production[Job Number],0)))="","",INDEX(tbl_Production[Notes],IFERROR(MATCH(E283&amp;"",tbl_Production[Job Number],0),MATCH(IFERROR(E283+0,E283),tbl_Production[Job Number],0)))),IFERROR(IF(INDEX(tbl_Consulting[Notes],IFERROR(MATCH(E283&amp;"",tbl_Consulting[Job Number],0),MATCH(IFERROR(E283+0,E283),tbl_Consulting[Job Number],0)))="","",INDEX(tbl_Consulting[Notes],IFERROR(MATCH(E283&amp;"",tbl_Consulting[Job Number],0),MATCH(IFERROR(E283+0,E283),tbl_Consulting[Job Number],0)))),""))))</f>
        <v/>
      </c>
    </row>
    <row r="284" ht="15" customHeight="1">
      <c r="A284" s="22" t="n"/>
      <c r="B284" s="23">
        <f>IF(A284="","",EOMONTH(A284,0))</f>
        <v/>
      </c>
      <c r="C284" s="24" t="n"/>
      <c r="D284" s="24" t="n"/>
      <c r="E284" s="24" t="n"/>
      <c r="F284" s="25">
        <f>IF(E284="","",IF(COUNTIF(lst_Jobs,E284&amp;"")&gt;0,"OK","CHECK"))</f>
        <v/>
      </c>
      <c r="G284" s="24" t="n"/>
      <c r="H284" s="24" t="n"/>
      <c r="I284" s="24" t="n"/>
      <c r="J284" s="24" t="n"/>
      <c r="K284" s="24" t="n"/>
      <c r="L284" s="26" t="n"/>
      <c r="M284" s="27">
        <f>IF(L284="","",IF(K284="GST 10%",ROUND(L284*set_GSTRate,2),0))</f>
        <v/>
      </c>
      <c r="N284" s="27">
        <f>IF(L284="","",L284+M284)</f>
        <v/>
      </c>
      <c r="O284" s="24" t="n"/>
      <c r="P284" s="24" t="n"/>
      <c r="Q284" s="24" t="n"/>
      <c r="R284" s="22" t="n"/>
      <c r="S284" s="22" t="n"/>
      <c r="T284" s="24" t="n"/>
      <c r="U284" s="24" t="n"/>
      <c r="V284" s="2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25">
        <f>IF(E284="","",IF(COUNTIF(tbl_Onsite[Job Number],E284&amp;"")&gt;0,"Onsite",IF(COUNTIF(tbl_Production[Job Number],E284&amp;"")&gt;0,"Production",IF(COUNTIF(tbl_Consulting[Job Number],E284&amp;"")&gt;0,"Consulting","not set up yet"))))</f>
        <v/>
      </c>
      <c r="X284" s="25">
        <f>IF(E284="","",IFERROR(INDEX(lst_JobName,MATCH(E284&amp;"",lst_Jobs,0)),""))</f>
        <v/>
      </c>
      <c r="Y284" s="28">
        <f>IF(E284="","",COUNTIFS(tbl_Finance[Job Number],E284&amp;"",tbl_Finance[Ex GST],"&lt;&gt;"))</f>
        <v/>
      </c>
      <c r="Z284" s="27">
        <f>IF(E284="","",SUMIFS(tbl_Finance[Ex GST],tbl_Finance[Job Number],E284&amp;""))</f>
        <v/>
      </c>
      <c r="AA284" s="27">
        <f>IF(E284="","",SUMIFS(tbl_Finance[Ex GST],tbl_Finance[Job Number],E284&amp;"",tbl_Finance[Xero Invoice No],"&lt;&gt;"))</f>
        <v/>
      </c>
      <c r="AB284" s="27">
        <f>IF(E284="","",Z284-AA284)</f>
        <v/>
      </c>
      <c r="AC284" s="25">
        <f>IF(E284="","",IFERROR(IF(INDEX(tbl_Onsite[Qwilr Quote],IFERROR(MATCH(E284&amp;"",tbl_Onsite[Job Number],0),MATCH(IFERROR(E284+0,E284),tbl_Onsite[Job Number],0)))="","",INDEX(tbl_Onsite[Qwilr Quote],IFERROR(MATCH(E284&amp;"",tbl_Onsite[Job Number],0),MATCH(IFERROR(E284+0,E284),tbl_Onsite[Job Number],0)))),IFERROR(IF(IF(INDEX(tbl_Production[Current RMS No],IFERROR(MATCH(E284&amp;"",tbl_Production[Job Number],0),MATCH(IFERROR(E284+0,E284),tbl_Production[Job Number],0)))="",INDEX(tbl_Production[Qwilr Quote],IFERROR(MATCH(E284&amp;"",tbl_Production[Job Number],0),MATCH(IFERROR(E284+0,E284),tbl_Production[Job Number],0))),INDEX(tbl_Production[Current RMS No],IFERROR(MATCH(E284&amp;"",tbl_Production[Job Number],0),MATCH(IFERROR(E284+0,E284),tbl_Production[Job Number],0))))="","",IF(INDEX(tbl_Production[Current RMS No],IFERROR(MATCH(E284&amp;"",tbl_Production[Job Number],0),MATCH(IFERROR(E284+0,E284),tbl_Production[Job Number],0)))="",INDEX(tbl_Production[Qwilr Quote],IFERROR(MATCH(E284&amp;"",tbl_Production[Job Number],0),MATCH(IFERROR(E284+0,E284),tbl_Production[Job Number],0))),INDEX(tbl_Production[Current RMS No],IFERROR(MATCH(E284&amp;"",tbl_Production[Job Number],0),MATCH(IFERROR(E284+0,E284),tbl_Production[Job Number],0))))),IFERROR(IF(INDEX(tbl_Consulting[Qwilr Quote],IFERROR(MATCH(E284&amp;"",tbl_Consulting[Job Number],0),MATCH(IFERROR(E284+0,E284),tbl_Consulting[Job Number],0)))="","",INDEX(tbl_Consulting[Qwilr Quote],IFERROR(MATCH(E284&amp;"",tbl_Consulting[Job Number],0),MATCH(IFERROR(E284+0,E284),tbl_Consulting[Job Number],0)))),""))))</f>
        <v/>
      </c>
      <c r="AD284" s="25">
        <f>IF(AC284="","",IF(AND(LEFT(AC284,4)&lt;&gt;"http",IF(H284="Production",set_RMSBase,set_QwilrBase)=""),"",HYPERLINK(IF(LEFT(AC284,4)="http",AC284,IF(H284="Production",set_RMSBase,set_QwilrBase)&amp;AC284),"Open")))</f>
        <v/>
      </c>
      <c r="AE284" s="27">
        <f>IF(E284="","",IFERROR(INDEX(tbl_Production[Total Expense],IFERROR(MATCH(E284&amp;"",tbl_Production[Job Number],0),MATCH(IFERROR(E284+0,E284),tbl_Production[Job Number],0))),IFERROR(INDEX(tbl_Consulting[Total Expense],IFERROR(MATCH(E284&amp;"",tbl_Consulting[Job Number],0),MATCH(IFERROR(E284+0,E284),tbl_Consulting[Job Number],0))),0)))</f>
        <v/>
      </c>
      <c r="AF284" s="27">
        <f>IF(E284="","",Z284-N(AE284))</f>
        <v/>
      </c>
      <c r="AG284" s="29">
        <f>IFERROR(AF284/Z284,"")</f>
        <v/>
      </c>
      <c r="AH284" s="25">
        <f>IF(E284="","",IFERROR(IF(INDEX(tbl_Onsite[Notes],IFERROR(MATCH(E284&amp;"",tbl_Onsite[Job Number],0),MATCH(IFERROR(E284+0,E284),tbl_Onsite[Job Number],0)))="","",INDEX(tbl_Onsite[Notes],IFERROR(MATCH(E284&amp;"",tbl_Onsite[Job Number],0),MATCH(IFERROR(E284+0,E284),tbl_Onsite[Job Number],0)))),IFERROR(IF(INDEX(tbl_Production[Notes],IFERROR(MATCH(E284&amp;"",tbl_Production[Job Number],0),MATCH(IFERROR(E284+0,E284),tbl_Production[Job Number],0)))="","",INDEX(tbl_Production[Notes],IFERROR(MATCH(E284&amp;"",tbl_Production[Job Number],0),MATCH(IFERROR(E284+0,E284),tbl_Production[Job Number],0)))),IFERROR(IF(INDEX(tbl_Consulting[Notes],IFERROR(MATCH(E284&amp;"",tbl_Consulting[Job Number],0),MATCH(IFERROR(E284+0,E284),tbl_Consulting[Job Number],0)))="","",INDEX(tbl_Consulting[Notes],IFERROR(MATCH(E284&amp;"",tbl_Consulting[Job Number],0),MATCH(IFERROR(E284+0,E284),tbl_Consulting[Job Number],0)))),""))))</f>
        <v/>
      </c>
    </row>
    <row r="285" ht="15" customHeight="1">
      <c r="A285" s="22" t="n"/>
      <c r="B285" s="23">
        <f>IF(A285="","",EOMONTH(A285,0))</f>
        <v/>
      </c>
      <c r="C285" s="24" t="n"/>
      <c r="D285" s="24" t="n"/>
      <c r="E285" s="24" t="n"/>
      <c r="F285" s="25">
        <f>IF(E285="","",IF(COUNTIF(lst_Jobs,E285&amp;"")&gt;0,"OK","CHECK"))</f>
        <v/>
      </c>
      <c r="G285" s="24" t="n"/>
      <c r="H285" s="24" t="n"/>
      <c r="I285" s="24" t="n"/>
      <c r="J285" s="24" t="n"/>
      <c r="K285" s="24" t="n"/>
      <c r="L285" s="26" t="n"/>
      <c r="M285" s="27">
        <f>IF(L285="","",IF(K285="GST 10%",ROUND(L285*set_GSTRate,2),0))</f>
        <v/>
      </c>
      <c r="N285" s="27">
        <f>IF(L285="","",L285+M285)</f>
        <v/>
      </c>
      <c r="O285" s="24" t="n"/>
      <c r="P285" s="24" t="n"/>
      <c r="Q285" s="24" t="n"/>
      <c r="R285" s="22" t="n"/>
      <c r="S285" s="22" t="n"/>
      <c r="T285" s="24" t="n"/>
      <c r="U285" s="24" t="n"/>
      <c r="V285" s="2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25">
        <f>IF(E285="","",IF(COUNTIF(tbl_Onsite[Job Number],E285&amp;"")&gt;0,"Onsite",IF(COUNTIF(tbl_Production[Job Number],E285&amp;"")&gt;0,"Production",IF(COUNTIF(tbl_Consulting[Job Number],E285&amp;"")&gt;0,"Consulting","not set up yet"))))</f>
        <v/>
      </c>
      <c r="X285" s="25">
        <f>IF(E285="","",IFERROR(INDEX(lst_JobName,MATCH(E285&amp;"",lst_Jobs,0)),""))</f>
        <v/>
      </c>
      <c r="Y285" s="28">
        <f>IF(E285="","",COUNTIFS(tbl_Finance[Job Number],E285&amp;"",tbl_Finance[Ex GST],"&lt;&gt;"))</f>
        <v/>
      </c>
      <c r="Z285" s="27">
        <f>IF(E285="","",SUMIFS(tbl_Finance[Ex GST],tbl_Finance[Job Number],E285&amp;""))</f>
        <v/>
      </c>
      <c r="AA285" s="27">
        <f>IF(E285="","",SUMIFS(tbl_Finance[Ex GST],tbl_Finance[Job Number],E285&amp;"",tbl_Finance[Xero Invoice No],"&lt;&gt;"))</f>
        <v/>
      </c>
      <c r="AB285" s="27">
        <f>IF(E285="","",Z285-AA285)</f>
        <v/>
      </c>
      <c r="AC285" s="25">
        <f>IF(E285="","",IFERROR(IF(INDEX(tbl_Onsite[Qwilr Quote],IFERROR(MATCH(E285&amp;"",tbl_Onsite[Job Number],0),MATCH(IFERROR(E285+0,E285),tbl_Onsite[Job Number],0)))="","",INDEX(tbl_Onsite[Qwilr Quote],IFERROR(MATCH(E285&amp;"",tbl_Onsite[Job Number],0),MATCH(IFERROR(E285+0,E285),tbl_Onsite[Job Number],0)))),IFERROR(IF(IF(INDEX(tbl_Production[Current RMS No],IFERROR(MATCH(E285&amp;"",tbl_Production[Job Number],0),MATCH(IFERROR(E285+0,E285),tbl_Production[Job Number],0)))="",INDEX(tbl_Production[Qwilr Quote],IFERROR(MATCH(E285&amp;"",tbl_Production[Job Number],0),MATCH(IFERROR(E285+0,E285),tbl_Production[Job Number],0))),INDEX(tbl_Production[Current RMS No],IFERROR(MATCH(E285&amp;"",tbl_Production[Job Number],0),MATCH(IFERROR(E285+0,E285),tbl_Production[Job Number],0))))="","",IF(INDEX(tbl_Production[Current RMS No],IFERROR(MATCH(E285&amp;"",tbl_Production[Job Number],0),MATCH(IFERROR(E285+0,E285),tbl_Production[Job Number],0)))="",INDEX(tbl_Production[Qwilr Quote],IFERROR(MATCH(E285&amp;"",tbl_Production[Job Number],0),MATCH(IFERROR(E285+0,E285),tbl_Production[Job Number],0))),INDEX(tbl_Production[Current RMS No],IFERROR(MATCH(E285&amp;"",tbl_Production[Job Number],0),MATCH(IFERROR(E285+0,E285),tbl_Production[Job Number],0))))),IFERROR(IF(INDEX(tbl_Consulting[Qwilr Quote],IFERROR(MATCH(E285&amp;"",tbl_Consulting[Job Number],0),MATCH(IFERROR(E285+0,E285),tbl_Consulting[Job Number],0)))="","",INDEX(tbl_Consulting[Qwilr Quote],IFERROR(MATCH(E285&amp;"",tbl_Consulting[Job Number],0),MATCH(IFERROR(E285+0,E285),tbl_Consulting[Job Number],0)))),""))))</f>
        <v/>
      </c>
      <c r="AD285" s="25">
        <f>IF(AC285="","",IF(AND(LEFT(AC285,4)&lt;&gt;"http",IF(H285="Production",set_RMSBase,set_QwilrBase)=""),"",HYPERLINK(IF(LEFT(AC285,4)="http",AC285,IF(H285="Production",set_RMSBase,set_QwilrBase)&amp;AC285),"Open")))</f>
        <v/>
      </c>
      <c r="AE285" s="27">
        <f>IF(E285="","",IFERROR(INDEX(tbl_Production[Total Expense],IFERROR(MATCH(E285&amp;"",tbl_Production[Job Number],0),MATCH(IFERROR(E285+0,E285),tbl_Production[Job Number],0))),IFERROR(INDEX(tbl_Consulting[Total Expense],IFERROR(MATCH(E285&amp;"",tbl_Consulting[Job Number],0),MATCH(IFERROR(E285+0,E285),tbl_Consulting[Job Number],0))),0)))</f>
        <v/>
      </c>
      <c r="AF285" s="27">
        <f>IF(E285="","",Z285-N(AE285))</f>
        <v/>
      </c>
      <c r="AG285" s="29">
        <f>IFERROR(AF285/Z285,"")</f>
        <v/>
      </c>
      <c r="AH285" s="25">
        <f>IF(E285="","",IFERROR(IF(INDEX(tbl_Onsite[Notes],IFERROR(MATCH(E285&amp;"",tbl_Onsite[Job Number],0),MATCH(IFERROR(E285+0,E285),tbl_Onsite[Job Number],0)))="","",INDEX(tbl_Onsite[Notes],IFERROR(MATCH(E285&amp;"",tbl_Onsite[Job Number],0),MATCH(IFERROR(E285+0,E285),tbl_Onsite[Job Number],0)))),IFERROR(IF(INDEX(tbl_Production[Notes],IFERROR(MATCH(E285&amp;"",tbl_Production[Job Number],0),MATCH(IFERROR(E285+0,E285),tbl_Production[Job Number],0)))="","",INDEX(tbl_Production[Notes],IFERROR(MATCH(E285&amp;"",tbl_Production[Job Number],0),MATCH(IFERROR(E285+0,E285),tbl_Production[Job Number],0)))),IFERROR(IF(INDEX(tbl_Consulting[Notes],IFERROR(MATCH(E285&amp;"",tbl_Consulting[Job Number],0),MATCH(IFERROR(E285+0,E285),tbl_Consulting[Job Number],0)))="","",INDEX(tbl_Consulting[Notes],IFERROR(MATCH(E285&amp;"",tbl_Consulting[Job Number],0),MATCH(IFERROR(E285+0,E285),tbl_Consulting[Job Number],0)))),""))))</f>
        <v/>
      </c>
    </row>
    <row r="286" ht="15" customHeight="1">
      <c r="A286" s="22" t="n"/>
      <c r="B286" s="23">
        <f>IF(A286="","",EOMONTH(A286,0))</f>
        <v/>
      </c>
      <c r="C286" s="24" t="n"/>
      <c r="D286" s="24" t="n"/>
      <c r="E286" s="24" t="n"/>
      <c r="F286" s="25">
        <f>IF(E286="","",IF(COUNTIF(lst_Jobs,E286&amp;"")&gt;0,"OK","CHECK"))</f>
        <v/>
      </c>
      <c r="G286" s="24" t="n"/>
      <c r="H286" s="24" t="n"/>
      <c r="I286" s="24" t="n"/>
      <c r="J286" s="24" t="n"/>
      <c r="K286" s="24" t="n"/>
      <c r="L286" s="26" t="n"/>
      <c r="M286" s="27">
        <f>IF(L286="","",IF(K286="GST 10%",ROUND(L286*set_GSTRate,2),0))</f>
        <v/>
      </c>
      <c r="N286" s="27">
        <f>IF(L286="","",L286+M286)</f>
        <v/>
      </c>
      <c r="O286" s="24" t="n"/>
      <c r="P286" s="24" t="n"/>
      <c r="Q286" s="24" t="n"/>
      <c r="R286" s="22" t="n"/>
      <c r="S286" s="22" t="n"/>
      <c r="T286" s="24" t="n"/>
      <c r="U286" s="24" t="n"/>
      <c r="V286" s="2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25">
        <f>IF(E286="","",IF(COUNTIF(tbl_Onsite[Job Number],E286&amp;"")&gt;0,"Onsite",IF(COUNTIF(tbl_Production[Job Number],E286&amp;"")&gt;0,"Production",IF(COUNTIF(tbl_Consulting[Job Number],E286&amp;"")&gt;0,"Consulting","not set up yet"))))</f>
        <v/>
      </c>
      <c r="X286" s="25">
        <f>IF(E286="","",IFERROR(INDEX(lst_JobName,MATCH(E286&amp;"",lst_Jobs,0)),""))</f>
        <v/>
      </c>
      <c r="Y286" s="28">
        <f>IF(E286="","",COUNTIFS(tbl_Finance[Job Number],E286&amp;"",tbl_Finance[Ex GST],"&lt;&gt;"))</f>
        <v/>
      </c>
      <c r="Z286" s="27">
        <f>IF(E286="","",SUMIFS(tbl_Finance[Ex GST],tbl_Finance[Job Number],E286&amp;""))</f>
        <v/>
      </c>
      <c r="AA286" s="27">
        <f>IF(E286="","",SUMIFS(tbl_Finance[Ex GST],tbl_Finance[Job Number],E286&amp;"",tbl_Finance[Xero Invoice No],"&lt;&gt;"))</f>
        <v/>
      </c>
      <c r="AB286" s="27">
        <f>IF(E286="","",Z286-AA286)</f>
        <v/>
      </c>
      <c r="AC286" s="25">
        <f>IF(E286="","",IFERROR(IF(INDEX(tbl_Onsite[Qwilr Quote],IFERROR(MATCH(E286&amp;"",tbl_Onsite[Job Number],0),MATCH(IFERROR(E286+0,E286),tbl_Onsite[Job Number],0)))="","",INDEX(tbl_Onsite[Qwilr Quote],IFERROR(MATCH(E286&amp;"",tbl_Onsite[Job Number],0),MATCH(IFERROR(E286+0,E286),tbl_Onsite[Job Number],0)))),IFERROR(IF(IF(INDEX(tbl_Production[Current RMS No],IFERROR(MATCH(E286&amp;"",tbl_Production[Job Number],0),MATCH(IFERROR(E286+0,E286),tbl_Production[Job Number],0)))="",INDEX(tbl_Production[Qwilr Quote],IFERROR(MATCH(E286&amp;"",tbl_Production[Job Number],0),MATCH(IFERROR(E286+0,E286),tbl_Production[Job Number],0))),INDEX(tbl_Production[Current RMS No],IFERROR(MATCH(E286&amp;"",tbl_Production[Job Number],0),MATCH(IFERROR(E286+0,E286),tbl_Production[Job Number],0))))="","",IF(INDEX(tbl_Production[Current RMS No],IFERROR(MATCH(E286&amp;"",tbl_Production[Job Number],0),MATCH(IFERROR(E286+0,E286),tbl_Production[Job Number],0)))="",INDEX(tbl_Production[Qwilr Quote],IFERROR(MATCH(E286&amp;"",tbl_Production[Job Number],0),MATCH(IFERROR(E286+0,E286),tbl_Production[Job Number],0))),INDEX(tbl_Production[Current RMS No],IFERROR(MATCH(E286&amp;"",tbl_Production[Job Number],0),MATCH(IFERROR(E286+0,E286),tbl_Production[Job Number],0))))),IFERROR(IF(INDEX(tbl_Consulting[Qwilr Quote],IFERROR(MATCH(E286&amp;"",tbl_Consulting[Job Number],0),MATCH(IFERROR(E286+0,E286),tbl_Consulting[Job Number],0)))="","",INDEX(tbl_Consulting[Qwilr Quote],IFERROR(MATCH(E286&amp;"",tbl_Consulting[Job Number],0),MATCH(IFERROR(E286+0,E286),tbl_Consulting[Job Number],0)))),""))))</f>
        <v/>
      </c>
      <c r="AD286" s="25">
        <f>IF(AC286="","",IF(AND(LEFT(AC286,4)&lt;&gt;"http",IF(H286="Production",set_RMSBase,set_QwilrBase)=""),"",HYPERLINK(IF(LEFT(AC286,4)="http",AC286,IF(H286="Production",set_RMSBase,set_QwilrBase)&amp;AC286),"Open")))</f>
        <v/>
      </c>
      <c r="AE286" s="27">
        <f>IF(E286="","",IFERROR(INDEX(tbl_Production[Total Expense],IFERROR(MATCH(E286&amp;"",tbl_Production[Job Number],0),MATCH(IFERROR(E286+0,E286),tbl_Production[Job Number],0))),IFERROR(INDEX(tbl_Consulting[Total Expense],IFERROR(MATCH(E286&amp;"",tbl_Consulting[Job Number],0),MATCH(IFERROR(E286+0,E286),tbl_Consulting[Job Number],0))),0)))</f>
        <v/>
      </c>
      <c r="AF286" s="27">
        <f>IF(E286="","",Z286-N(AE286))</f>
        <v/>
      </c>
      <c r="AG286" s="29">
        <f>IFERROR(AF286/Z286,"")</f>
        <v/>
      </c>
      <c r="AH286" s="25">
        <f>IF(E286="","",IFERROR(IF(INDEX(tbl_Onsite[Notes],IFERROR(MATCH(E286&amp;"",tbl_Onsite[Job Number],0),MATCH(IFERROR(E286+0,E286),tbl_Onsite[Job Number],0)))="","",INDEX(tbl_Onsite[Notes],IFERROR(MATCH(E286&amp;"",tbl_Onsite[Job Number],0),MATCH(IFERROR(E286+0,E286),tbl_Onsite[Job Number],0)))),IFERROR(IF(INDEX(tbl_Production[Notes],IFERROR(MATCH(E286&amp;"",tbl_Production[Job Number],0),MATCH(IFERROR(E286+0,E286),tbl_Production[Job Number],0)))="","",INDEX(tbl_Production[Notes],IFERROR(MATCH(E286&amp;"",tbl_Production[Job Number],0),MATCH(IFERROR(E286+0,E286),tbl_Production[Job Number],0)))),IFERROR(IF(INDEX(tbl_Consulting[Notes],IFERROR(MATCH(E286&amp;"",tbl_Consulting[Job Number],0),MATCH(IFERROR(E286+0,E286),tbl_Consulting[Job Number],0)))="","",INDEX(tbl_Consulting[Notes],IFERROR(MATCH(E286&amp;"",tbl_Consulting[Job Number],0),MATCH(IFERROR(E286+0,E286),tbl_Consulting[Job Number],0)))),""))))</f>
        <v/>
      </c>
    </row>
    <row r="287" ht="15" customHeight="1">
      <c r="A287" s="22" t="n"/>
      <c r="B287" s="23">
        <f>IF(A287="","",EOMONTH(A287,0))</f>
        <v/>
      </c>
      <c r="C287" s="24" t="n"/>
      <c r="D287" s="24" t="n"/>
      <c r="E287" s="24" t="n"/>
      <c r="F287" s="25">
        <f>IF(E287="","",IF(COUNTIF(lst_Jobs,E287&amp;"")&gt;0,"OK","CHECK"))</f>
        <v/>
      </c>
      <c r="G287" s="24" t="n"/>
      <c r="H287" s="24" t="n"/>
      <c r="I287" s="24" t="n"/>
      <c r="J287" s="24" t="n"/>
      <c r="K287" s="24" t="n"/>
      <c r="L287" s="26" t="n"/>
      <c r="M287" s="27">
        <f>IF(L287="","",IF(K287="GST 10%",ROUND(L287*set_GSTRate,2),0))</f>
        <v/>
      </c>
      <c r="N287" s="27">
        <f>IF(L287="","",L287+M287)</f>
        <v/>
      </c>
      <c r="O287" s="24" t="n"/>
      <c r="P287" s="24" t="n"/>
      <c r="Q287" s="24" t="n"/>
      <c r="R287" s="22" t="n"/>
      <c r="S287" s="22" t="n"/>
      <c r="T287" s="24" t="n"/>
      <c r="U287" s="24" t="n"/>
      <c r="V287" s="2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25">
        <f>IF(E287="","",IF(COUNTIF(tbl_Onsite[Job Number],E287&amp;"")&gt;0,"Onsite",IF(COUNTIF(tbl_Production[Job Number],E287&amp;"")&gt;0,"Production",IF(COUNTIF(tbl_Consulting[Job Number],E287&amp;"")&gt;0,"Consulting","not set up yet"))))</f>
        <v/>
      </c>
      <c r="X287" s="25">
        <f>IF(E287="","",IFERROR(INDEX(lst_JobName,MATCH(E287&amp;"",lst_Jobs,0)),""))</f>
        <v/>
      </c>
      <c r="Y287" s="28">
        <f>IF(E287="","",COUNTIFS(tbl_Finance[Job Number],E287&amp;"",tbl_Finance[Ex GST],"&lt;&gt;"))</f>
        <v/>
      </c>
      <c r="Z287" s="27">
        <f>IF(E287="","",SUMIFS(tbl_Finance[Ex GST],tbl_Finance[Job Number],E287&amp;""))</f>
        <v/>
      </c>
      <c r="AA287" s="27">
        <f>IF(E287="","",SUMIFS(tbl_Finance[Ex GST],tbl_Finance[Job Number],E287&amp;"",tbl_Finance[Xero Invoice No],"&lt;&gt;"))</f>
        <v/>
      </c>
      <c r="AB287" s="27">
        <f>IF(E287="","",Z287-AA287)</f>
        <v/>
      </c>
      <c r="AC287" s="25">
        <f>IF(E287="","",IFERROR(IF(INDEX(tbl_Onsite[Qwilr Quote],IFERROR(MATCH(E287&amp;"",tbl_Onsite[Job Number],0),MATCH(IFERROR(E287+0,E287),tbl_Onsite[Job Number],0)))="","",INDEX(tbl_Onsite[Qwilr Quote],IFERROR(MATCH(E287&amp;"",tbl_Onsite[Job Number],0),MATCH(IFERROR(E287+0,E287),tbl_Onsite[Job Number],0)))),IFERROR(IF(IF(INDEX(tbl_Production[Current RMS No],IFERROR(MATCH(E287&amp;"",tbl_Production[Job Number],0),MATCH(IFERROR(E287+0,E287),tbl_Production[Job Number],0)))="",INDEX(tbl_Production[Qwilr Quote],IFERROR(MATCH(E287&amp;"",tbl_Production[Job Number],0),MATCH(IFERROR(E287+0,E287),tbl_Production[Job Number],0))),INDEX(tbl_Production[Current RMS No],IFERROR(MATCH(E287&amp;"",tbl_Production[Job Number],0),MATCH(IFERROR(E287+0,E287),tbl_Production[Job Number],0))))="","",IF(INDEX(tbl_Production[Current RMS No],IFERROR(MATCH(E287&amp;"",tbl_Production[Job Number],0),MATCH(IFERROR(E287+0,E287),tbl_Production[Job Number],0)))="",INDEX(tbl_Production[Qwilr Quote],IFERROR(MATCH(E287&amp;"",tbl_Production[Job Number],0),MATCH(IFERROR(E287+0,E287),tbl_Production[Job Number],0))),INDEX(tbl_Production[Current RMS No],IFERROR(MATCH(E287&amp;"",tbl_Production[Job Number],0),MATCH(IFERROR(E287+0,E287),tbl_Production[Job Number],0))))),IFERROR(IF(INDEX(tbl_Consulting[Qwilr Quote],IFERROR(MATCH(E287&amp;"",tbl_Consulting[Job Number],0),MATCH(IFERROR(E287+0,E287),tbl_Consulting[Job Number],0)))="","",INDEX(tbl_Consulting[Qwilr Quote],IFERROR(MATCH(E287&amp;"",tbl_Consulting[Job Number],0),MATCH(IFERROR(E287+0,E287),tbl_Consulting[Job Number],0)))),""))))</f>
        <v/>
      </c>
      <c r="AD287" s="25">
        <f>IF(AC287="","",IF(AND(LEFT(AC287,4)&lt;&gt;"http",IF(H287="Production",set_RMSBase,set_QwilrBase)=""),"",HYPERLINK(IF(LEFT(AC287,4)="http",AC287,IF(H287="Production",set_RMSBase,set_QwilrBase)&amp;AC287),"Open")))</f>
        <v/>
      </c>
      <c r="AE287" s="27">
        <f>IF(E287="","",IFERROR(INDEX(tbl_Production[Total Expense],IFERROR(MATCH(E287&amp;"",tbl_Production[Job Number],0),MATCH(IFERROR(E287+0,E287),tbl_Production[Job Number],0))),IFERROR(INDEX(tbl_Consulting[Total Expense],IFERROR(MATCH(E287&amp;"",tbl_Consulting[Job Number],0),MATCH(IFERROR(E287+0,E287),tbl_Consulting[Job Number],0))),0)))</f>
        <v/>
      </c>
      <c r="AF287" s="27">
        <f>IF(E287="","",Z287-N(AE287))</f>
        <v/>
      </c>
      <c r="AG287" s="29">
        <f>IFERROR(AF287/Z287,"")</f>
        <v/>
      </c>
      <c r="AH287" s="25">
        <f>IF(E287="","",IFERROR(IF(INDEX(tbl_Onsite[Notes],IFERROR(MATCH(E287&amp;"",tbl_Onsite[Job Number],0),MATCH(IFERROR(E287+0,E287),tbl_Onsite[Job Number],0)))="","",INDEX(tbl_Onsite[Notes],IFERROR(MATCH(E287&amp;"",tbl_Onsite[Job Number],0),MATCH(IFERROR(E287+0,E287),tbl_Onsite[Job Number],0)))),IFERROR(IF(INDEX(tbl_Production[Notes],IFERROR(MATCH(E287&amp;"",tbl_Production[Job Number],0),MATCH(IFERROR(E287+0,E287),tbl_Production[Job Number],0)))="","",INDEX(tbl_Production[Notes],IFERROR(MATCH(E287&amp;"",tbl_Production[Job Number],0),MATCH(IFERROR(E287+0,E287),tbl_Production[Job Number],0)))),IFERROR(IF(INDEX(tbl_Consulting[Notes],IFERROR(MATCH(E287&amp;"",tbl_Consulting[Job Number],0),MATCH(IFERROR(E287+0,E287),tbl_Consulting[Job Number],0)))="","",INDEX(tbl_Consulting[Notes],IFERROR(MATCH(E287&amp;"",tbl_Consulting[Job Number],0),MATCH(IFERROR(E287+0,E287),tbl_Consulting[Job Number],0)))),""))))</f>
        <v/>
      </c>
    </row>
    <row r="288" ht="15" customHeight="1">
      <c r="A288" s="22" t="n"/>
      <c r="B288" s="23">
        <f>IF(A288="","",EOMONTH(A288,0))</f>
        <v/>
      </c>
      <c r="C288" s="24" t="n"/>
      <c r="D288" s="24" t="n"/>
      <c r="E288" s="24" t="n"/>
      <c r="F288" s="25">
        <f>IF(E288="","",IF(COUNTIF(lst_Jobs,E288&amp;"")&gt;0,"OK","CHECK"))</f>
        <v/>
      </c>
      <c r="G288" s="24" t="n"/>
      <c r="H288" s="24" t="n"/>
      <c r="I288" s="24" t="n"/>
      <c r="J288" s="24" t="n"/>
      <c r="K288" s="24" t="n"/>
      <c r="L288" s="26" t="n"/>
      <c r="M288" s="27">
        <f>IF(L288="","",IF(K288="GST 10%",ROUND(L288*set_GSTRate,2),0))</f>
        <v/>
      </c>
      <c r="N288" s="27">
        <f>IF(L288="","",L288+M288)</f>
        <v/>
      </c>
      <c r="O288" s="24" t="n"/>
      <c r="P288" s="24" t="n"/>
      <c r="Q288" s="24" t="n"/>
      <c r="R288" s="22" t="n"/>
      <c r="S288" s="22" t="n"/>
      <c r="T288" s="24" t="n"/>
      <c r="U288" s="24" t="n"/>
      <c r="V288" s="2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25">
        <f>IF(E288="","",IF(COUNTIF(tbl_Onsite[Job Number],E288&amp;"")&gt;0,"Onsite",IF(COUNTIF(tbl_Production[Job Number],E288&amp;"")&gt;0,"Production",IF(COUNTIF(tbl_Consulting[Job Number],E288&amp;"")&gt;0,"Consulting","not set up yet"))))</f>
        <v/>
      </c>
      <c r="X288" s="25">
        <f>IF(E288="","",IFERROR(INDEX(lst_JobName,MATCH(E288&amp;"",lst_Jobs,0)),""))</f>
        <v/>
      </c>
      <c r="Y288" s="28">
        <f>IF(E288="","",COUNTIFS(tbl_Finance[Job Number],E288&amp;"",tbl_Finance[Ex GST],"&lt;&gt;"))</f>
        <v/>
      </c>
      <c r="Z288" s="27">
        <f>IF(E288="","",SUMIFS(tbl_Finance[Ex GST],tbl_Finance[Job Number],E288&amp;""))</f>
        <v/>
      </c>
      <c r="AA288" s="27">
        <f>IF(E288="","",SUMIFS(tbl_Finance[Ex GST],tbl_Finance[Job Number],E288&amp;"",tbl_Finance[Xero Invoice No],"&lt;&gt;"))</f>
        <v/>
      </c>
      <c r="AB288" s="27">
        <f>IF(E288="","",Z288-AA288)</f>
        <v/>
      </c>
      <c r="AC288" s="25">
        <f>IF(E288="","",IFERROR(IF(INDEX(tbl_Onsite[Qwilr Quote],IFERROR(MATCH(E288&amp;"",tbl_Onsite[Job Number],0),MATCH(IFERROR(E288+0,E288),tbl_Onsite[Job Number],0)))="","",INDEX(tbl_Onsite[Qwilr Quote],IFERROR(MATCH(E288&amp;"",tbl_Onsite[Job Number],0),MATCH(IFERROR(E288+0,E288),tbl_Onsite[Job Number],0)))),IFERROR(IF(IF(INDEX(tbl_Production[Current RMS No],IFERROR(MATCH(E288&amp;"",tbl_Production[Job Number],0),MATCH(IFERROR(E288+0,E288),tbl_Production[Job Number],0)))="",INDEX(tbl_Production[Qwilr Quote],IFERROR(MATCH(E288&amp;"",tbl_Production[Job Number],0),MATCH(IFERROR(E288+0,E288),tbl_Production[Job Number],0))),INDEX(tbl_Production[Current RMS No],IFERROR(MATCH(E288&amp;"",tbl_Production[Job Number],0),MATCH(IFERROR(E288+0,E288),tbl_Production[Job Number],0))))="","",IF(INDEX(tbl_Production[Current RMS No],IFERROR(MATCH(E288&amp;"",tbl_Production[Job Number],0),MATCH(IFERROR(E288+0,E288),tbl_Production[Job Number],0)))="",INDEX(tbl_Production[Qwilr Quote],IFERROR(MATCH(E288&amp;"",tbl_Production[Job Number],0),MATCH(IFERROR(E288+0,E288),tbl_Production[Job Number],0))),INDEX(tbl_Production[Current RMS No],IFERROR(MATCH(E288&amp;"",tbl_Production[Job Number],0),MATCH(IFERROR(E288+0,E288),tbl_Production[Job Number],0))))),IFERROR(IF(INDEX(tbl_Consulting[Qwilr Quote],IFERROR(MATCH(E288&amp;"",tbl_Consulting[Job Number],0),MATCH(IFERROR(E288+0,E288),tbl_Consulting[Job Number],0)))="","",INDEX(tbl_Consulting[Qwilr Quote],IFERROR(MATCH(E288&amp;"",tbl_Consulting[Job Number],0),MATCH(IFERROR(E288+0,E288),tbl_Consulting[Job Number],0)))),""))))</f>
        <v/>
      </c>
      <c r="AD288" s="25">
        <f>IF(AC288="","",IF(AND(LEFT(AC288,4)&lt;&gt;"http",IF(H288="Production",set_RMSBase,set_QwilrBase)=""),"",HYPERLINK(IF(LEFT(AC288,4)="http",AC288,IF(H288="Production",set_RMSBase,set_QwilrBase)&amp;AC288),"Open")))</f>
        <v/>
      </c>
      <c r="AE288" s="27">
        <f>IF(E288="","",IFERROR(INDEX(tbl_Production[Total Expense],IFERROR(MATCH(E288&amp;"",tbl_Production[Job Number],0),MATCH(IFERROR(E288+0,E288),tbl_Production[Job Number],0))),IFERROR(INDEX(tbl_Consulting[Total Expense],IFERROR(MATCH(E288&amp;"",tbl_Consulting[Job Number],0),MATCH(IFERROR(E288+0,E288),tbl_Consulting[Job Number],0))),0)))</f>
        <v/>
      </c>
      <c r="AF288" s="27">
        <f>IF(E288="","",Z288-N(AE288))</f>
        <v/>
      </c>
      <c r="AG288" s="29">
        <f>IFERROR(AF288/Z288,"")</f>
        <v/>
      </c>
      <c r="AH288" s="25">
        <f>IF(E288="","",IFERROR(IF(INDEX(tbl_Onsite[Notes],IFERROR(MATCH(E288&amp;"",tbl_Onsite[Job Number],0),MATCH(IFERROR(E288+0,E288),tbl_Onsite[Job Number],0)))="","",INDEX(tbl_Onsite[Notes],IFERROR(MATCH(E288&amp;"",tbl_Onsite[Job Number],0),MATCH(IFERROR(E288+0,E288),tbl_Onsite[Job Number],0)))),IFERROR(IF(INDEX(tbl_Production[Notes],IFERROR(MATCH(E288&amp;"",tbl_Production[Job Number],0),MATCH(IFERROR(E288+0,E288),tbl_Production[Job Number],0)))="","",INDEX(tbl_Production[Notes],IFERROR(MATCH(E288&amp;"",tbl_Production[Job Number],0),MATCH(IFERROR(E288+0,E288),tbl_Production[Job Number],0)))),IFERROR(IF(INDEX(tbl_Consulting[Notes],IFERROR(MATCH(E288&amp;"",tbl_Consulting[Job Number],0),MATCH(IFERROR(E288+0,E288),tbl_Consulting[Job Number],0)))="","",INDEX(tbl_Consulting[Notes],IFERROR(MATCH(E288&amp;"",tbl_Consulting[Job Number],0),MATCH(IFERROR(E288+0,E288),tbl_Consulting[Job Number],0)))),""))))</f>
        <v/>
      </c>
    </row>
    <row r="289" ht="15" customHeight="1">
      <c r="A289" s="22" t="n"/>
      <c r="B289" s="23">
        <f>IF(A289="","",EOMONTH(A289,0))</f>
        <v/>
      </c>
      <c r="C289" s="24" t="n"/>
      <c r="D289" s="24" t="n"/>
      <c r="E289" s="24" t="n"/>
      <c r="F289" s="25">
        <f>IF(E289="","",IF(COUNTIF(lst_Jobs,E289&amp;"")&gt;0,"OK","CHECK"))</f>
        <v/>
      </c>
      <c r="G289" s="24" t="n"/>
      <c r="H289" s="24" t="n"/>
      <c r="I289" s="24" t="n"/>
      <c r="J289" s="24" t="n"/>
      <c r="K289" s="24" t="n"/>
      <c r="L289" s="26" t="n"/>
      <c r="M289" s="27">
        <f>IF(L289="","",IF(K289="GST 10%",ROUND(L289*set_GSTRate,2),0))</f>
        <v/>
      </c>
      <c r="N289" s="27">
        <f>IF(L289="","",L289+M289)</f>
        <v/>
      </c>
      <c r="O289" s="24" t="n"/>
      <c r="P289" s="24" t="n"/>
      <c r="Q289" s="24" t="n"/>
      <c r="R289" s="22" t="n"/>
      <c r="S289" s="22" t="n"/>
      <c r="T289" s="24" t="n"/>
      <c r="U289" s="24" t="n"/>
      <c r="V289" s="2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25">
        <f>IF(E289="","",IF(COUNTIF(tbl_Onsite[Job Number],E289&amp;"")&gt;0,"Onsite",IF(COUNTIF(tbl_Production[Job Number],E289&amp;"")&gt;0,"Production",IF(COUNTIF(tbl_Consulting[Job Number],E289&amp;"")&gt;0,"Consulting","not set up yet"))))</f>
        <v/>
      </c>
      <c r="X289" s="25">
        <f>IF(E289="","",IFERROR(INDEX(lst_JobName,MATCH(E289&amp;"",lst_Jobs,0)),""))</f>
        <v/>
      </c>
      <c r="Y289" s="28">
        <f>IF(E289="","",COUNTIFS(tbl_Finance[Job Number],E289&amp;"",tbl_Finance[Ex GST],"&lt;&gt;"))</f>
        <v/>
      </c>
      <c r="Z289" s="27">
        <f>IF(E289="","",SUMIFS(tbl_Finance[Ex GST],tbl_Finance[Job Number],E289&amp;""))</f>
        <v/>
      </c>
      <c r="AA289" s="27">
        <f>IF(E289="","",SUMIFS(tbl_Finance[Ex GST],tbl_Finance[Job Number],E289&amp;"",tbl_Finance[Xero Invoice No],"&lt;&gt;"))</f>
        <v/>
      </c>
      <c r="AB289" s="27">
        <f>IF(E289="","",Z289-AA289)</f>
        <v/>
      </c>
      <c r="AC289" s="25">
        <f>IF(E289="","",IFERROR(IF(INDEX(tbl_Onsite[Qwilr Quote],IFERROR(MATCH(E289&amp;"",tbl_Onsite[Job Number],0),MATCH(IFERROR(E289+0,E289),tbl_Onsite[Job Number],0)))="","",INDEX(tbl_Onsite[Qwilr Quote],IFERROR(MATCH(E289&amp;"",tbl_Onsite[Job Number],0),MATCH(IFERROR(E289+0,E289),tbl_Onsite[Job Number],0)))),IFERROR(IF(IF(INDEX(tbl_Production[Current RMS No],IFERROR(MATCH(E289&amp;"",tbl_Production[Job Number],0),MATCH(IFERROR(E289+0,E289),tbl_Production[Job Number],0)))="",INDEX(tbl_Production[Qwilr Quote],IFERROR(MATCH(E289&amp;"",tbl_Production[Job Number],0),MATCH(IFERROR(E289+0,E289),tbl_Production[Job Number],0))),INDEX(tbl_Production[Current RMS No],IFERROR(MATCH(E289&amp;"",tbl_Production[Job Number],0),MATCH(IFERROR(E289+0,E289),tbl_Production[Job Number],0))))="","",IF(INDEX(tbl_Production[Current RMS No],IFERROR(MATCH(E289&amp;"",tbl_Production[Job Number],0),MATCH(IFERROR(E289+0,E289),tbl_Production[Job Number],0)))="",INDEX(tbl_Production[Qwilr Quote],IFERROR(MATCH(E289&amp;"",tbl_Production[Job Number],0),MATCH(IFERROR(E289+0,E289),tbl_Production[Job Number],0))),INDEX(tbl_Production[Current RMS No],IFERROR(MATCH(E289&amp;"",tbl_Production[Job Number],0),MATCH(IFERROR(E289+0,E289),tbl_Production[Job Number],0))))),IFERROR(IF(INDEX(tbl_Consulting[Qwilr Quote],IFERROR(MATCH(E289&amp;"",tbl_Consulting[Job Number],0),MATCH(IFERROR(E289+0,E289),tbl_Consulting[Job Number],0)))="","",INDEX(tbl_Consulting[Qwilr Quote],IFERROR(MATCH(E289&amp;"",tbl_Consulting[Job Number],0),MATCH(IFERROR(E289+0,E289),tbl_Consulting[Job Number],0)))),""))))</f>
        <v/>
      </c>
      <c r="AD289" s="25">
        <f>IF(AC289="","",IF(AND(LEFT(AC289,4)&lt;&gt;"http",IF(H289="Production",set_RMSBase,set_QwilrBase)=""),"",HYPERLINK(IF(LEFT(AC289,4)="http",AC289,IF(H289="Production",set_RMSBase,set_QwilrBase)&amp;AC289),"Open")))</f>
        <v/>
      </c>
      <c r="AE289" s="27">
        <f>IF(E289="","",IFERROR(INDEX(tbl_Production[Total Expense],IFERROR(MATCH(E289&amp;"",tbl_Production[Job Number],0),MATCH(IFERROR(E289+0,E289),tbl_Production[Job Number],0))),IFERROR(INDEX(tbl_Consulting[Total Expense],IFERROR(MATCH(E289&amp;"",tbl_Consulting[Job Number],0),MATCH(IFERROR(E289+0,E289),tbl_Consulting[Job Number],0))),0)))</f>
        <v/>
      </c>
      <c r="AF289" s="27">
        <f>IF(E289="","",Z289-N(AE289))</f>
        <v/>
      </c>
      <c r="AG289" s="29">
        <f>IFERROR(AF289/Z289,"")</f>
        <v/>
      </c>
      <c r="AH289" s="25">
        <f>IF(E289="","",IFERROR(IF(INDEX(tbl_Onsite[Notes],IFERROR(MATCH(E289&amp;"",tbl_Onsite[Job Number],0),MATCH(IFERROR(E289+0,E289),tbl_Onsite[Job Number],0)))="","",INDEX(tbl_Onsite[Notes],IFERROR(MATCH(E289&amp;"",tbl_Onsite[Job Number],0),MATCH(IFERROR(E289+0,E289),tbl_Onsite[Job Number],0)))),IFERROR(IF(INDEX(tbl_Production[Notes],IFERROR(MATCH(E289&amp;"",tbl_Production[Job Number],0),MATCH(IFERROR(E289+0,E289),tbl_Production[Job Number],0)))="","",INDEX(tbl_Production[Notes],IFERROR(MATCH(E289&amp;"",tbl_Production[Job Number],0),MATCH(IFERROR(E289+0,E289),tbl_Production[Job Number],0)))),IFERROR(IF(INDEX(tbl_Consulting[Notes],IFERROR(MATCH(E289&amp;"",tbl_Consulting[Job Number],0),MATCH(IFERROR(E289+0,E289),tbl_Consulting[Job Number],0)))="","",INDEX(tbl_Consulting[Notes],IFERROR(MATCH(E289&amp;"",tbl_Consulting[Job Number],0),MATCH(IFERROR(E289+0,E289),tbl_Consulting[Job Number],0)))),""))))</f>
        <v/>
      </c>
    </row>
    <row r="290" ht="15" customHeight="1">
      <c r="A290" s="22" t="n"/>
      <c r="B290" s="23">
        <f>IF(A290="","",EOMONTH(A290,0))</f>
        <v/>
      </c>
      <c r="C290" s="24" t="n"/>
      <c r="D290" s="24" t="n"/>
      <c r="E290" s="24" t="n"/>
      <c r="F290" s="25">
        <f>IF(E290="","",IF(COUNTIF(lst_Jobs,E290&amp;"")&gt;0,"OK","CHECK"))</f>
        <v/>
      </c>
      <c r="G290" s="24" t="n"/>
      <c r="H290" s="24" t="n"/>
      <c r="I290" s="24" t="n"/>
      <c r="J290" s="24" t="n"/>
      <c r="K290" s="24" t="n"/>
      <c r="L290" s="26" t="n"/>
      <c r="M290" s="27">
        <f>IF(L290="","",IF(K290="GST 10%",ROUND(L290*set_GSTRate,2),0))</f>
        <v/>
      </c>
      <c r="N290" s="27">
        <f>IF(L290="","",L290+M290)</f>
        <v/>
      </c>
      <c r="O290" s="24" t="n"/>
      <c r="P290" s="24" t="n"/>
      <c r="Q290" s="24" t="n"/>
      <c r="R290" s="22" t="n"/>
      <c r="S290" s="22" t="n"/>
      <c r="T290" s="24" t="n"/>
      <c r="U290" s="24" t="n"/>
      <c r="V290" s="2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25">
        <f>IF(E290="","",IF(COUNTIF(tbl_Onsite[Job Number],E290&amp;"")&gt;0,"Onsite",IF(COUNTIF(tbl_Production[Job Number],E290&amp;"")&gt;0,"Production",IF(COUNTIF(tbl_Consulting[Job Number],E290&amp;"")&gt;0,"Consulting","not set up yet"))))</f>
        <v/>
      </c>
      <c r="X290" s="25">
        <f>IF(E290="","",IFERROR(INDEX(lst_JobName,MATCH(E290&amp;"",lst_Jobs,0)),""))</f>
        <v/>
      </c>
      <c r="Y290" s="28">
        <f>IF(E290="","",COUNTIFS(tbl_Finance[Job Number],E290&amp;"",tbl_Finance[Ex GST],"&lt;&gt;"))</f>
        <v/>
      </c>
      <c r="Z290" s="27">
        <f>IF(E290="","",SUMIFS(tbl_Finance[Ex GST],tbl_Finance[Job Number],E290&amp;""))</f>
        <v/>
      </c>
      <c r="AA290" s="27">
        <f>IF(E290="","",SUMIFS(tbl_Finance[Ex GST],tbl_Finance[Job Number],E290&amp;"",tbl_Finance[Xero Invoice No],"&lt;&gt;"))</f>
        <v/>
      </c>
      <c r="AB290" s="27">
        <f>IF(E290="","",Z290-AA290)</f>
        <v/>
      </c>
      <c r="AC290" s="25">
        <f>IF(E290="","",IFERROR(IF(INDEX(tbl_Onsite[Qwilr Quote],IFERROR(MATCH(E290&amp;"",tbl_Onsite[Job Number],0),MATCH(IFERROR(E290+0,E290),tbl_Onsite[Job Number],0)))="","",INDEX(tbl_Onsite[Qwilr Quote],IFERROR(MATCH(E290&amp;"",tbl_Onsite[Job Number],0),MATCH(IFERROR(E290+0,E290),tbl_Onsite[Job Number],0)))),IFERROR(IF(IF(INDEX(tbl_Production[Current RMS No],IFERROR(MATCH(E290&amp;"",tbl_Production[Job Number],0),MATCH(IFERROR(E290+0,E290),tbl_Production[Job Number],0)))="",INDEX(tbl_Production[Qwilr Quote],IFERROR(MATCH(E290&amp;"",tbl_Production[Job Number],0),MATCH(IFERROR(E290+0,E290),tbl_Production[Job Number],0))),INDEX(tbl_Production[Current RMS No],IFERROR(MATCH(E290&amp;"",tbl_Production[Job Number],0),MATCH(IFERROR(E290+0,E290),tbl_Production[Job Number],0))))="","",IF(INDEX(tbl_Production[Current RMS No],IFERROR(MATCH(E290&amp;"",tbl_Production[Job Number],0),MATCH(IFERROR(E290+0,E290),tbl_Production[Job Number],0)))="",INDEX(tbl_Production[Qwilr Quote],IFERROR(MATCH(E290&amp;"",tbl_Production[Job Number],0),MATCH(IFERROR(E290+0,E290),tbl_Production[Job Number],0))),INDEX(tbl_Production[Current RMS No],IFERROR(MATCH(E290&amp;"",tbl_Production[Job Number],0),MATCH(IFERROR(E290+0,E290),tbl_Production[Job Number],0))))),IFERROR(IF(INDEX(tbl_Consulting[Qwilr Quote],IFERROR(MATCH(E290&amp;"",tbl_Consulting[Job Number],0),MATCH(IFERROR(E290+0,E290),tbl_Consulting[Job Number],0)))="","",INDEX(tbl_Consulting[Qwilr Quote],IFERROR(MATCH(E290&amp;"",tbl_Consulting[Job Number],0),MATCH(IFERROR(E290+0,E290),tbl_Consulting[Job Number],0)))),""))))</f>
        <v/>
      </c>
      <c r="AD290" s="25">
        <f>IF(AC290="","",IF(AND(LEFT(AC290,4)&lt;&gt;"http",IF(H290="Production",set_RMSBase,set_QwilrBase)=""),"",HYPERLINK(IF(LEFT(AC290,4)="http",AC290,IF(H290="Production",set_RMSBase,set_QwilrBase)&amp;AC290),"Open")))</f>
        <v/>
      </c>
      <c r="AE290" s="27">
        <f>IF(E290="","",IFERROR(INDEX(tbl_Production[Total Expense],IFERROR(MATCH(E290&amp;"",tbl_Production[Job Number],0),MATCH(IFERROR(E290+0,E290),tbl_Production[Job Number],0))),IFERROR(INDEX(tbl_Consulting[Total Expense],IFERROR(MATCH(E290&amp;"",tbl_Consulting[Job Number],0),MATCH(IFERROR(E290+0,E290),tbl_Consulting[Job Number],0))),0)))</f>
        <v/>
      </c>
      <c r="AF290" s="27">
        <f>IF(E290="","",Z290-N(AE290))</f>
        <v/>
      </c>
      <c r="AG290" s="29">
        <f>IFERROR(AF290/Z290,"")</f>
        <v/>
      </c>
      <c r="AH290" s="25">
        <f>IF(E290="","",IFERROR(IF(INDEX(tbl_Onsite[Notes],IFERROR(MATCH(E290&amp;"",tbl_Onsite[Job Number],0),MATCH(IFERROR(E290+0,E290),tbl_Onsite[Job Number],0)))="","",INDEX(tbl_Onsite[Notes],IFERROR(MATCH(E290&amp;"",tbl_Onsite[Job Number],0),MATCH(IFERROR(E290+0,E290),tbl_Onsite[Job Number],0)))),IFERROR(IF(INDEX(tbl_Production[Notes],IFERROR(MATCH(E290&amp;"",tbl_Production[Job Number],0),MATCH(IFERROR(E290+0,E290),tbl_Production[Job Number],0)))="","",INDEX(tbl_Production[Notes],IFERROR(MATCH(E290&amp;"",tbl_Production[Job Number],0),MATCH(IFERROR(E290+0,E290),tbl_Production[Job Number],0)))),IFERROR(IF(INDEX(tbl_Consulting[Notes],IFERROR(MATCH(E290&amp;"",tbl_Consulting[Job Number],0),MATCH(IFERROR(E290+0,E290),tbl_Consulting[Job Number],0)))="","",INDEX(tbl_Consulting[Notes],IFERROR(MATCH(E290&amp;"",tbl_Consulting[Job Number],0),MATCH(IFERROR(E290+0,E290),tbl_Consulting[Job Number],0)))),""))))</f>
        <v/>
      </c>
    </row>
    <row r="291" ht="15" customHeight="1">
      <c r="A291" s="22" t="n"/>
      <c r="B291" s="23">
        <f>IF(A291="","",EOMONTH(A291,0))</f>
        <v/>
      </c>
      <c r="C291" s="24" t="n"/>
      <c r="D291" s="24" t="n"/>
      <c r="E291" s="24" t="n"/>
      <c r="F291" s="25">
        <f>IF(E291="","",IF(COUNTIF(lst_Jobs,E291&amp;"")&gt;0,"OK","CHECK"))</f>
        <v/>
      </c>
      <c r="G291" s="24" t="n"/>
      <c r="H291" s="24" t="n"/>
      <c r="I291" s="24" t="n"/>
      <c r="J291" s="24" t="n"/>
      <c r="K291" s="24" t="n"/>
      <c r="L291" s="26" t="n"/>
      <c r="M291" s="27">
        <f>IF(L291="","",IF(K291="GST 10%",ROUND(L291*set_GSTRate,2),0))</f>
        <v/>
      </c>
      <c r="N291" s="27">
        <f>IF(L291="","",L291+M291)</f>
        <v/>
      </c>
      <c r="O291" s="24" t="n"/>
      <c r="P291" s="24" t="n"/>
      <c r="Q291" s="24" t="n"/>
      <c r="R291" s="22" t="n"/>
      <c r="S291" s="22" t="n"/>
      <c r="T291" s="24" t="n"/>
      <c r="U291" s="24" t="n"/>
      <c r="V291" s="2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25">
        <f>IF(E291="","",IF(COUNTIF(tbl_Onsite[Job Number],E291&amp;"")&gt;0,"Onsite",IF(COUNTIF(tbl_Production[Job Number],E291&amp;"")&gt;0,"Production",IF(COUNTIF(tbl_Consulting[Job Number],E291&amp;"")&gt;0,"Consulting","not set up yet"))))</f>
        <v/>
      </c>
      <c r="X291" s="25">
        <f>IF(E291="","",IFERROR(INDEX(lst_JobName,MATCH(E291&amp;"",lst_Jobs,0)),""))</f>
        <v/>
      </c>
      <c r="Y291" s="28">
        <f>IF(E291="","",COUNTIFS(tbl_Finance[Job Number],E291&amp;"",tbl_Finance[Ex GST],"&lt;&gt;"))</f>
        <v/>
      </c>
      <c r="Z291" s="27">
        <f>IF(E291="","",SUMIFS(tbl_Finance[Ex GST],tbl_Finance[Job Number],E291&amp;""))</f>
        <v/>
      </c>
      <c r="AA291" s="27">
        <f>IF(E291="","",SUMIFS(tbl_Finance[Ex GST],tbl_Finance[Job Number],E291&amp;"",tbl_Finance[Xero Invoice No],"&lt;&gt;"))</f>
        <v/>
      </c>
      <c r="AB291" s="27">
        <f>IF(E291="","",Z291-AA291)</f>
        <v/>
      </c>
      <c r="AC291" s="25">
        <f>IF(E291="","",IFERROR(IF(INDEX(tbl_Onsite[Qwilr Quote],IFERROR(MATCH(E291&amp;"",tbl_Onsite[Job Number],0),MATCH(IFERROR(E291+0,E291),tbl_Onsite[Job Number],0)))="","",INDEX(tbl_Onsite[Qwilr Quote],IFERROR(MATCH(E291&amp;"",tbl_Onsite[Job Number],0),MATCH(IFERROR(E291+0,E291),tbl_Onsite[Job Number],0)))),IFERROR(IF(IF(INDEX(tbl_Production[Current RMS No],IFERROR(MATCH(E291&amp;"",tbl_Production[Job Number],0),MATCH(IFERROR(E291+0,E291),tbl_Production[Job Number],0)))="",INDEX(tbl_Production[Qwilr Quote],IFERROR(MATCH(E291&amp;"",tbl_Production[Job Number],0),MATCH(IFERROR(E291+0,E291),tbl_Production[Job Number],0))),INDEX(tbl_Production[Current RMS No],IFERROR(MATCH(E291&amp;"",tbl_Production[Job Number],0),MATCH(IFERROR(E291+0,E291),tbl_Production[Job Number],0))))="","",IF(INDEX(tbl_Production[Current RMS No],IFERROR(MATCH(E291&amp;"",tbl_Production[Job Number],0),MATCH(IFERROR(E291+0,E291),tbl_Production[Job Number],0)))="",INDEX(tbl_Production[Qwilr Quote],IFERROR(MATCH(E291&amp;"",tbl_Production[Job Number],0),MATCH(IFERROR(E291+0,E291),tbl_Production[Job Number],0))),INDEX(tbl_Production[Current RMS No],IFERROR(MATCH(E291&amp;"",tbl_Production[Job Number],0),MATCH(IFERROR(E291+0,E291),tbl_Production[Job Number],0))))),IFERROR(IF(INDEX(tbl_Consulting[Qwilr Quote],IFERROR(MATCH(E291&amp;"",tbl_Consulting[Job Number],0),MATCH(IFERROR(E291+0,E291),tbl_Consulting[Job Number],0)))="","",INDEX(tbl_Consulting[Qwilr Quote],IFERROR(MATCH(E291&amp;"",tbl_Consulting[Job Number],0),MATCH(IFERROR(E291+0,E291),tbl_Consulting[Job Number],0)))),""))))</f>
        <v/>
      </c>
      <c r="AD291" s="25">
        <f>IF(AC291="","",IF(AND(LEFT(AC291,4)&lt;&gt;"http",IF(H291="Production",set_RMSBase,set_QwilrBase)=""),"",HYPERLINK(IF(LEFT(AC291,4)="http",AC291,IF(H291="Production",set_RMSBase,set_QwilrBase)&amp;AC291),"Open")))</f>
        <v/>
      </c>
      <c r="AE291" s="27">
        <f>IF(E291="","",IFERROR(INDEX(tbl_Production[Total Expense],IFERROR(MATCH(E291&amp;"",tbl_Production[Job Number],0),MATCH(IFERROR(E291+0,E291),tbl_Production[Job Number],0))),IFERROR(INDEX(tbl_Consulting[Total Expense],IFERROR(MATCH(E291&amp;"",tbl_Consulting[Job Number],0),MATCH(IFERROR(E291+0,E291),tbl_Consulting[Job Number],0))),0)))</f>
        <v/>
      </c>
      <c r="AF291" s="27">
        <f>IF(E291="","",Z291-N(AE291))</f>
        <v/>
      </c>
      <c r="AG291" s="29">
        <f>IFERROR(AF291/Z291,"")</f>
        <v/>
      </c>
      <c r="AH291" s="25">
        <f>IF(E291="","",IFERROR(IF(INDEX(tbl_Onsite[Notes],IFERROR(MATCH(E291&amp;"",tbl_Onsite[Job Number],0),MATCH(IFERROR(E291+0,E291),tbl_Onsite[Job Number],0)))="","",INDEX(tbl_Onsite[Notes],IFERROR(MATCH(E291&amp;"",tbl_Onsite[Job Number],0),MATCH(IFERROR(E291+0,E291),tbl_Onsite[Job Number],0)))),IFERROR(IF(INDEX(tbl_Production[Notes],IFERROR(MATCH(E291&amp;"",tbl_Production[Job Number],0),MATCH(IFERROR(E291+0,E291),tbl_Production[Job Number],0)))="","",INDEX(tbl_Production[Notes],IFERROR(MATCH(E291&amp;"",tbl_Production[Job Number],0),MATCH(IFERROR(E291+0,E291),tbl_Production[Job Number],0)))),IFERROR(IF(INDEX(tbl_Consulting[Notes],IFERROR(MATCH(E291&amp;"",tbl_Consulting[Job Number],0),MATCH(IFERROR(E291+0,E291),tbl_Consulting[Job Number],0)))="","",INDEX(tbl_Consulting[Notes],IFERROR(MATCH(E291&amp;"",tbl_Consulting[Job Number],0),MATCH(IFERROR(E291+0,E291),tbl_Consulting[Job Number],0)))),""))))</f>
        <v/>
      </c>
    </row>
    <row r="292" ht="15" customHeight="1">
      <c r="A292" s="22" t="n"/>
      <c r="B292" s="23">
        <f>IF(A292="","",EOMONTH(A292,0))</f>
        <v/>
      </c>
      <c r="C292" s="24" t="n"/>
      <c r="D292" s="24" t="n"/>
      <c r="E292" s="24" t="n"/>
      <c r="F292" s="25">
        <f>IF(E292="","",IF(COUNTIF(lst_Jobs,E292&amp;"")&gt;0,"OK","CHECK"))</f>
        <v/>
      </c>
      <c r="G292" s="24" t="n"/>
      <c r="H292" s="24" t="n"/>
      <c r="I292" s="24" t="n"/>
      <c r="J292" s="24" t="n"/>
      <c r="K292" s="24" t="n"/>
      <c r="L292" s="26" t="n"/>
      <c r="M292" s="27">
        <f>IF(L292="","",IF(K292="GST 10%",ROUND(L292*set_GSTRate,2),0))</f>
        <v/>
      </c>
      <c r="N292" s="27">
        <f>IF(L292="","",L292+M292)</f>
        <v/>
      </c>
      <c r="O292" s="24" t="n"/>
      <c r="P292" s="24" t="n"/>
      <c r="Q292" s="24" t="n"/>
      <c r="R292" s="22" t="n"/>
      <c r="S292" s="22" t="n"/>
      <c r="T292" s="24" t="n"/>
      <c r="U292" s="24" t="n"/>
      <c r="V292" s="2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25">
        <f>IF(E292="","",IF(COUNTIF(tbl_Onsite[Job Number],E292&amp;"")&gt;0,"Onsite",IF(COUNTIF(tbl_Production[Job Number],E292&amp;"")&gt;0,"Production",IF(COUNTIF(tbl_Consulting[Job Number],E292&amp;"")&gt;0,"Consulting","not set up yet"))))</f>
        <v/>
      </c>
      <c r="X292" s="25">
        <f>IF(E292="","",IFERROR(INDEX(lst_JobName,MATCH(E292&amp;"",lst_Jobs,0)),""))</f>
        <v/>
      </c>
      <c r="Y292" s="28">
        <f>IF(E292="","",COUNTIFS(tbl_Finance[Job Number],E292&amp;"",tbl_Finance[Ex GST],"&lt;&gt;"))</f>
        <v/>
      </c>
      <c r="Z292" s="27">
        <f>IF(E292="","",SUMIFS(tbl_Finance[Ex GST],tbl_Finance[Job Number],E292&amp;""))</f>
        <v/>
      </c>
      <c r="AA292" s="27">
        <f>IF(E292="","",SUMIFS(tbl_Finance[Ex GST],tbl_Finance[Job Number],E292&amp;"",tbl_Finance[Xero Invoice No],"&lt;&gt;"))</f>
        <v/>
      </c>
      <c r="AB292" s="27">
        <f>IF(E292="","",Z292-AA292)</f>
        <v/>
      </c>
      <c r="AC292" s="25">
        <f>IF(E292="","",IFERROR(IF(INDEX(tbl_Onsite[Qwilr Quote],IFERROR(MATCH(E292&amp;"",tbl_Onsite[Job Number],0),MATCH(IFERROR(E292+0,E292),tbl_Onsite[Job Number],0)))="","",INDEX(tbl_Onsite[Qwilr Quote],IFERROR(MATCH(E292&amp;"",tbl_Onsite[Job Number],0),MATCH(IFERROR(E292+0,E292),tbl_Onsite[Job Number],0)))),IFERROR(IF(IF(INDEX(tbl_Production[Current RMS No],IFERROR(MATCH(E292&amp;"",tbl_Production[Job Number],0),MATCH(IFERROR(E292+0,E292),tbl_Production[Job Number],0)))="",INDEX(tbl_Production[Qwilr Quote],IFERROR(MATCH(E292&amp;"",tbl_Production[Job Number],0),MATCH(IFERROR(E292+0,E292),tbl_Production[Job Number],0))),INDEX(tbl_Production[Current RMS No],IFERROR(MATCH(E292&amp;"",tbl_Production[Job Number],0),MATCH(IFERROR(E292+0,E292),tbl_Production[Job Number],0))))="","",IF(INDEX(tbl_Production[Current RMS No],IFERROR(MATCH(E292&amp;"",tbl_Production[Job Number],0),MATCH(IFERROR(E292+0,E292),tbl_Production[Job Number],0)))="",INDEX(tbl_Production[Qwilr Quote],IFERROR(MATCH(E292&amp;"",tbl_Production[Job Number],0),MATCH(IFERROR(E292+0,E292),tbl_Production[Job Number],0))),INDEX(tbl_Production[Current RMS No],IFERROR(MATCH(E292&amp;"",tbl_Production[Job Number],0),MATCH(IFERROR(E292+0,E292),tbl_Production[Job Number],0))))),IFERROR(IF(INDEX(tbl_Consulting[Qwilr Quote],IFERROR(MATCH(E292&amp;"",tbl_Consulting[Job Number],0),MATCH(IFERROR(E292+0,E292),tbl_Consulting[Job Number],0)))="","",INDEX(tbl_Consulting[Qwilr Quote],IFERROR(MATCH(E292&amp;"",tbl_Consulting[Job Number],0),MATCH(IFERROR(E292+0,E292),tbl_Consulting[Job Number],0)))),""))))</f>
        <v/>
      </c>
      <c r="AD292" s="25">
        <f>IF(AC292="","",IF(AND(LEFT(AC292,4)&lt;&gt;"http",IF(H292="Production",set_RMSBase,set_QwilrBase)=""),"",HYPERLINK(IF(LEFT(AC292,4)="http",AC292,IF(H292="Production",set_RMSBase,set_QwilrBase)&amp;AC292),"Open")))</f>
        <v/>
      </c>
      <c r="AE292" s="27">
        <f>IF(E292="","",IFERROR(INDEX(tbl_Production[Total Expense],IFERROR(MATCH(E292&amp;"",tbl_Production[Job Number],0),MATCH(IFERROR(E292+0,E292),tbl_Production[Job Number],0))),IFERROR(INDEX(tbl_Consulting[Total Expense],IFERROR(MATCH(E292&amp;"",tbl_Consulting[Job Number],0),MATCH(IFERROR(E292+0,E292),tbl_Consulting[Job Number],0))),0)))</f>
        <v/>
      </c>
      <c r="AF292" s="27">
        <f>IF(E292="","",Z292-N(AE292))</f>
        <v/>
      </c>
      <c r="AG292" s="29">
        <f>IFERROR(AF292/Z292,"")</f>
        <v/>
      </c>
      <c r="AH292" s="25">
        <f>IF(E292="","",IFERROR(IF(INDEX(tbl_Onsite[Notes],IFERROR(MATCH(E292&amp;"",tbl_Onsite[Job Number],0),MATCH(IFERROR(E292+0,E292),tbl_Onsite[Job Number],0)))="","",INDEX(tbl_Onsite[Notes],IFERROR(MATCH(E292&amp;"",tbl_Onsite[Job Number],0),MATCH(IFERROR(E292+0,E292),tbl_Onsite[Job Number],0)))),IFERROR(IF(INDEX(tbl_Production[Notes],IFERROR(MATCH(E292&amp;"",tbl_Production[Job Number],0),MATCH(IFERROR(E292+0,E292),tbl_Production[Job Number],0)))="","",INDEX(tbl_Production[Notes],IFERROR(MATCH(E292&amp;"",tbl_Production[Job Number],0),MATCH(IFERROR(E292+0,E292),tbl_Production[Job Number],0)))),IFERROR(IF(INDEX(tbl_Consulting[Notes],IFERROR(MATCH(E292&amp;"",tbl_Consulting[Job Number],0),MATCH(IFERROR(E292+0,E292),tbl_Consulting[Job Number],0)))="","",INDEX(tbl_Consulting[Notes],IFERROR(MATCH(E292&amp;"",tbl_Consulting[Job Number],0),MATCH(IFERROR(E292+0,E292),tbl_Consulting[Job Number],0)))),""))))</f>
        <v/>
      </c>
    </row>
    <row r="293" ht="15" customHeight="1">
      <c r="A293" s="22" t="n"/>
      <c r="B293" s="23">
        <f>IF(A293="","",EOMONTH(A293,0))</f>
        <v/>
      </c>
      <c r="C293" s="24" t="n"/>
      <c r="D293" s="24" t="n"/>
      <c r="E293" s="24" t="n"/>
      <c r="F293" s="25">
        <f>IF(E293="","",IF(COUNTIF(lst_Jobs,E293&amp;"")&gt;0,"OK","CHECK"))</f>
        <v/>
      </c>
      <c r="G293" s="24" t="n"/>
      <c r="H293" s="24" t="n"/>
      <c r="I293" s="24" t="n"/>
      <c r="J293" s="24" t="n"/>
      <c r="K293" s="24" t="n"/>
      <c r="L293" s="26" t="n"/>
      <c r="M293" s="27">
        <f>IF(L293="","",IF(K293="GST 10%",ROUND(L293*set_GSTRate,2),0))</f>
        <v/>
      </c>
      <c r="N293" s="27">
        <f>IF(L293="","",L293+M293)</f>
        <v/>
      </c>
      <c r="O293" s="24" t="n"/>
      <c r="P293" s="24" t="n"/>
      <c r="Q293" s="24" t="n"/>
      <c r="R293" s="22" t="n"/>
      <c r="S293" s="22" t="n"/>
      <c r="T293" s="24" t="n"/>
      <c r="U293" s="24" t="n"/>
      <c r="V293" s="2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25">
        <f>IF(E293="","",IF(COUNTIF(tbl_Onsite[Job Number],E293&amp;"")&gt;0,"Onsite",IF(COUNTIF(tbl_Production[Job Number],E293&amp;"")&gt;0,"Production",IF(COUNTIF(tbl_Consulting[Job Number],E293&amp;"")&gt;0,"Consulting","not set up yet"))))</f>
        <v/>
      </c>
      <c r="X293" s="25">
        <f>IF(E293="","",IFERROR(INDEX(lst_JobName,MATCH(E293&amp;"",lst_Jobs,0)),""))</f>
        <v/>
      </c>
      <c r="Y293" s="28">
        <f>IF(E293="","",COUNTIFS(tbl_Finance[Job Number],E293&amp;"",tbl_Finance[Ex GST],"&lt;&gt;"))</f>
        <v/>
      </c>
      <c r="Z293" s="27">
        <f>IF(E293="","",SUMIFS(tbl_Finance[Ex GST],tbl_Finance[Job Number],E293&amp;""))</f>
        <v/>
      </c>
      <c r="AA293" s="27">
        <f>IF(E293="","",SUMIFS(tbl_Finance[Ex GST],tbl_Finance[Job Number],E293&amp;"",tbl_Finance[Xero Invoice No],"&lt;&gt;"))</f>
        <v/>
      </c>
      <c r="AB293" s="27">
        <f>IF(E293="","",Z293-AA293)</f>
        <v/>
      </c>
      <c r="AC293" s="25">
        <f>IF(E293="","",IFERROR(IF(INDEX(tbl_Onsite[Qwilr Quote],IFERROR(MATCH(E293&amp;"",tbl_Onsite[Job Number],0),MATCH(IFERROR(E293+0,E293),tbl_Onsite[Job Number],0)))="","",INDEX(tbl_Onsite[Qwilr Quote],IFERROR(MATCH(E293&amp;"",tbl_Onsite[Job Number],0),MATCH(IFERROR(E293+0,E293),tbl_Onsite[Job Number],0)))),IFERROR(IF(IF(INDEX(tbl_Production[Current RMS No],IFERROR(MATCH(E293&amp;"",tbl_Production[Job Number],0),MATCH(IFERROR(E293+0,E293),tbl_Production[Job Number],0)))="",INDEX(tbl_Production[Qwilr Quote],IFERROR(MATCH(E293&amp;"",tbl_Production[Job Number],0),MATCH(IFERROR(E293+0,E293),tbl_Production[Job Number],0))),INDEX(tbl_Production[Current RMS No],IFERROR(MATCH(E293&amp;"",tbl_Production[Job Number],0),MATCH(IFERROR(E293+0,E293),tbl_Production[Job Number],0))))="","",IF(INDEX(tbl_Production[Current RMS No],IFERROR(MATCH(E293&amp;"",tbl_Production[Job Number],0),MATCH(IFERROR(E293+0,E293),tbl_Production[Job Number],0)))="",INDEX(tbl_Production[Qwilr Quote],IFERROR(MATCH(E293&amp;"",tbl_Production[Job Number],0),MATCH(IFERROR(E293+0,E293),tbl_Production[Job Number],0))),INDEX(tbl_Production[Current RMS No],IFERROR(MATCH(E293&amp;"",tbl_Production[Job Number],0),MATCH(IFERROR(E293+0,E293),tbl_Production[Job Number],0))))),IFERROR(IF(INDEX(tbl_Consulting[Qwilr Quote],IFERROR(MATCH(E293&amp;"",tbl_Consulting[Job Number],0),MATCH(IFERROR(E293+0,E293),tbl_Consulting[Job Number],0)))="","",INDEX(tbl_Consulting[Qwilr Quote],IFERROR(MATCH(E293&amp;"",tbl_Consulting[Job Number],0),MATCH(IFERROR(E293+0,E293),tbl_Consulting[Job Number],0)))),""))))</f>
        <v/>
      </c>
      <c r="AD293" s="25">
        <f>IF(AC293="","",IF(AND(LEFT(AC293,4)&lt;&gt;"http",IF(H293="Production",set_RMSBase,set_QwilrBase)=""),"",HYPERLINK(IF(LEFT(AC293,4)="http",AC293,IF(H293="Production",set_RMSBase,set_QwilrBase)&amp;AC293),"Open")))</f>
        <v/>
      </c>
      <c r="AE293" s="27">
        <f>IF(E293="","",IFERROR(INDEX(tbl_Production[Total Expense],IFERROR(MATCH(E293&amp;"",tbl_Production[Job Number],0),MATCH(IFERROR(E293+0,E293),tbl_Production[Job Number],0))),IFERROR(INDEX(tbl_Consulting[Total Expense],IFERROR(MATCH(E293&amp;"",tbl_Consulting[Job Number],0),MATCH(IFERROR(E293+0,E293),tbl_Consulting[Job Number],0))),0)))</f>
        <v/>
      </c>
      <c r="AF293" s="27">
        <f>IF(E293="","",Z293-N(AE293))</f>
        <v/>
      </c>
      <c r="AG293" s="29">
        <f>IFERROR(AF293/Z293,"")</f>
        <v/>
      </c>
      <c r="AH293" s="25">
        <f>IF(E293="","",IFERROR(IF(INDEX(tbl_Onsite[Notes],IFERROR(MATCH(E293&amp;"",tbl_Onsite[Job Number],0),MATCH(IFERROR(E293+0,E293),tbl_Onsite[Job Number],0)))="","",INDEX(tbl_Onsite[Notes],IFERROR(MATCH(E293&amp;"",tbl_Onsite[Job Number],0),MATCH(IFERROR(E293+0,E293),tbl_Onsite[Job Number],0)))),IFERROR(IF(INDEX(tbl_Production[Notes],IFERROR(MATCH(E293&amp;"",tbl_Production[Job Number],0),MATCH(IFERROR(E293+0,E293),tbl_Production[Job Number],0)))="","",INDEX(tbl_Production[Notes],IFERROR(MATCH(E293&amp;"",tbl_Production[Job Number],0),MATCH(IFERROR(E293+0,E293),tbl_Production[Job Number],0)))),IFERROR(IF(INDEX(tbl_Consulting[Notes],IFERROR(MATCH(E293&amp;"",tbl_Consulting[Job Number],0),MATCH(IFERROR(E293+0,E293),tbl_Consulting[Job Number],0)))="","",INDEX(tbl_Consulting[Notes],IFERROR(MATCH(E293&amp;"",tbl_Consulting[Job Number],0),MATCH(IFERROR(E293+0,E293),tbl_Consulting[Job Number],0)))),""))))</f>
        <v/>
      </c>
    </row>
    <row r="294" ht="15" customHeight="1">
      <c r="A294" s="22" t="n"/>
      <c r="B294" s="23">
        <f>IF(A294="","",EOMONTH(A294,0))</f>
        <v/>
      </c>
      <c r="C294" s="24" t="n"/>
      <c r="D294" s="24" t="n"/>
      <c r="E294" s="24" t="n"/>
      <c r="F294" s="25">
        <f>IF(E294="","",IF(COUNTIF(lst_Jobs,E294&amp;"")&gt;0,"OK","CHECK"))</f>
        <v/>
      </c>
      <c r="G294" s="24" t="n"/>
      <c r="H294" s="24" t="n"/>
      <c r="I294" s="24" t="n"/>
      <c r="J294" s="24" t="n"/>
      <c r="K294" s="24" t="n"/>
      <c r="L294" s="26" t="n"/>
      <c r="M294" s="27">
        <f>IF(L294="","",IF(K294="GST 10%",ROUND(L294*set_GSTRate,2),0))</f>
        <v/>
      </c>
      <c r="N294" s="27">
        <f>IF(L294="","",L294+M294)</f>
        <v/>
      </c>
      <c r="O294" s="24" t="n"/>
      <c r="P294" s="24" t="n"/>
      <c r="Q294" s="24" t="n"/>
      <c r="R294" s="22" t="n"/>
      <c r="S294" s="22" t="n"/>
      <c r="T294" s="24" t="n"/>
      <c r="U294" s="24" t="n"/>
      <c r="V294" s="2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25">
        <f>IF(E294="","",IF(COUNTIF(tbl_Onsite[Job Number],E294&amp;"")&gt;0,"Onsite",IF(COUNTIF(tbl_Production[Job Number],E294&amp;"")&gt;0,"Production",IF(COUNTIF(tbl_Consulting[Job Number],E294&amp;"")&gt;0,"Consulting","not set up yet"))))</f>
        <v/>
      </c>
      <c r="X294" s="25">
        <f>IF(E294="","",IFERROR(INDEX(lst_JobName,MATCH(E294&amp;"",lst_Jobs,0)),""))</f>
        <v/>
      </c>
      <c r="Y294" s="28">
        <f>IF(E294="","",COUNTIFS(tbl_Finance[Job Number],E294&amp;"",tbl_Finance[Ex GST],"&lt;&gt;"))</f>
        <v/>
      </c>
      <c r="Z294" s="27">
        <f>IF(E294="","",SUMIFS(tbl_Finance[Ex GST],tbl_Finance[Job Number],E294&amp;""))</f>
        <v/>
      </c>
      <c r="AA294" s="27">
        <f>IF(E294="","",SUMIFS(tbl_Finance[Ex GST],tbl_Finance[Job Number],E294&amp;"",tbl_Finance[Xero Invoice No],"&lt;&gt;"))</f>
        <v/>
      </c>
      <c r="AB294" s="27">
        <f>IF(E294="","",Z294-AA294)</f>
        <v/>
      </c>
      <c r="AC294" s="25">
        <f>IF(E294="","",IFERROR(IF(INDEX(tbl_Onsite[Qwilr Quote],IFERROR(MATCH(E294&amp;"",tbl_Onsite[Job Number],0),MATCH(IFERROR(E294+0,E294),tbl_Onsite[Job Number],0)))="","",INDEX(tbl_Onsite[Qwilr Quote],IFERROR(MATCH(E294&amp;"",tbl_Onsite[Job Number],0),MATCH(IFERROR(E294+0,E294),tbl_Onsite[Job Number],0)))),IFERROR(IF(IF(INDEX(tbl_Production[Current RMS No],IFERROR(MATCH(E294&amp;"",tbl_Production[Job Number],0),MATCH(IFERROR(E294+0,E294),tbl_Production[Job Number],0)))="",INDEX(tbl_Production[Qwilr Quote],IFERROR(MATCH(E294&amp;"",tbl_Production[Job Number],0),MATCH(IFERROR(E294+0,E294),tbl_Production[Job Number],0))),INDEX(tbl_Production[Current RMS No],IFERROR(MATCH(E294&amp;"",tbl_Production[Job Number],0),MATCH(IFERROR(E294+0,E294),tbl_Production[Job Number],0))))="","",IF(INDEX(tbl_Production[Current RMS No],IFERROR(MATCH(E294&amp;"",tbl_Production[Job Number],0),MATCH(IFERROR(E294+0,E294),tbl_Production[Job Number],0)))="",INDEX(tbl_Production[Qwilr Quote],IFERROR(MATCH(E294&amp;"",tbl_Production[Job Number],0),MATCH(IFERROR(E294+0,E294),tbl_Production[Job Number],0))),INDEX(tbl_Production[Current RMS No],IFERROR(MATCH(E294&amp;"",tbl_Production[Job Number],0),MATCH(IFERROR(E294+0,E294),tbl_Production[Job Number],0))))),IFERROR(IF(INDEX(tbl_Consulting[Qwilr Quote],IFERROR(MATCH(E294&amp;"",tbl_Consulting[Job Number],0),MATCH(IFERROR(E294+0,E294),tbl_Consulting[Job Number],0)))="","",INDEX(tbl_Consulting[Qwilr Quote],IFERROR(MATCH(E294&amp;"",tbl_Consulting[Job Number],0),MATCH(IFERROR(E294+0,E294),tbl_Consulting[Job Number],0)))),""))))</f>
        <v/>
      </c>
      <c r="AD294" s="25">
        <f>IF(AC294="","",IF(AND(LEFT(AC294,4)&lt;&gt;"http",IF(H294="Production",set_RMSBase,set_QwilrBase)=""),"",HYPERLINK(IF(LEFT(AC294,4)="http",AC294,IF(H294="Production",set_RMSBase,set_QwilrBase)&amp;AC294),"Open")))</f>
        <v/>
      </c>
      <c r="AE294" s="27">
        <f>IF(E294="","",IFERROR(INDEX(tbl_Production[Total Expense],IFERROR(MATCH(E294&amp;"",tbl_Production[Job Number],0),MATCH(IFERROR(E294+0,E294),tbl_Production[Job Number],0))),IFERROR(INDEX(tbl_Consulting[Total Expense],IFERROR(MATCH(E294&amp;"",tbl_Consulting[Job Number],0),MATCH(IFERROR(E294+0,E294),tbl_Consulting[Job Number],0))),0)))</f>
        <v/>
      </c>
      <c r="AF294" s="27">
        <f>IF(E294="","",Z294-N(AE294))</f>
        <v/>
      </c>
      <c r="AG294" s="29">
        <f>IFERROR(AF294/Z294,"")</f>
        <v/>
      </c>
      <c r="AH294" s="25">
        <f>IF(E294="","",IFERROR(IF(INDEX(tbl_Onsite[Notes],IFERROR(MATCH(E294&amp;"",tbl_Onsite[Job Number],0),MATCH(IFERROR(E294+0,E294),tbl_Onsite[Job Number],0)))="","",INDEX(tbl_Onsite[Notes],IFERROR(MATCH(E294&amp;"",tbl_Onsite[Job Number],0),MATCH(IFERROR(E294+0,E294),tbl_Onsite[Job Number],0)))),IFERROR(IF(INDEX(tbl_Production[Notes],IFERROR(MATCH(E294&amp;"",tbl_Production[Job Number],0),MATCH(IFERROR(E294+0,E294),tbl_Production[Job Number],0)))="","",INDEX(tbl_Production[Notes],IFERROR(MATCH(E294&amp;"",tbl_Production[Job Number],0),MATCH(IFERROR(E294+0,E294),tbl_Production[Job Number],0)))),IFERROR(IF(INDEX(tbl_Consulting[Notes],IFERROR(MATCH(E294&amp;"",tbl_Consulting[Job Number],0),MATCH(IFERROR(E294+0,E294),tbl_Consulting[Job Number],0)))="","",INDEX(tbl_Consulting[Notes],IFERROR(MATCH(E294&amp;"",tbl_Consulting[Job Number],0),MATCH(IFERROR(E294+0,E294),tbl_Consulting[Job Number],0)))),""))))</f>
        <v/>
      </c>
    </row>
    <row r="295" ht="15" customHeight="1">
      <c r="A295" s="22" t="n"/>
      <c r="B295" s="23">
        <f>IF(A295="","",EOMONTH(A295,0))</f>
        <v/>
      </c>
      <c r="C295" s="24" t="n"/>
      <c r="D295" s="24" t="n"/>
      <c r="E295" s="24" t="n"/>
      <c r="F295" s="25">
        <f>IF(E295="","",IF(COUNTIF(lst_Jobs,E295&amp;"")&gt;0,"OK","CHECK"))</f>
        <v/>
      </c>
      <c r="G295" s="24" t="n"/>
      <c r="H295" s="24" t="n"/>
      <c r="I295" s="24" t="n"/>
      <c r="J295" s="24" t="n"/>
      <c r="K295" s="24" t="n"/>
      <c r="L295" s="26" t="n"/>
      <c r="M295" s="27">
        <f>IF(L295="","",IF(K295="GST 10%",ROUND(L295*set_GSTRate,2),0))</f>
        <v/>
      </c>
      <c r="N295" s="27">
        <f>IF(L295="","",L295+M295)</f>
        <v/>
      </c>
      <c r="O295" s="24" t="n"/>
      <c r="P295" s="24" t="n"/>
      <c r="Q295" s="24" t="n"/>
      <c r="R295" s="22" t="n"/>
      <c r="S295" s="22" t="n"/>
      <c r="T295" s="24" t="n"/>
      <c r="U295" s="24" t="n"/>
      <c r="V295" s="2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25">
        <f>IF(E295="","",IF(COUNTIF(tbl_Onsite[Job Number],E295&amp;"")&gt;0,"Onsite",IF(COUNTIF(tbl_Production[Job Number],E295&amp;"")&gt;0,"Production",IF(COUNTIF(tbl_Consulting[Job Number],E295&amp;"")&gt;0,"Consulting","not set up yet"))))</f>
        <v/>
      </c>
      <c r="X295" s="25">
        <f>IF(E295="","",IFERROR(INDEX(lst_JobName,MATCH(E295&amp;"",lst_Jobs,0)),""))</f>
        <v/>
      </c>
      <c r="Y295" s="28">
        <f>IF(E295="","",COUNTIFS(tbl_Finance[Job Number],E295&amp;"",tbl_Finance[Ex GST],"&lt;&gt;"))</f>
        <v/>
      </c>
      <c r="Z295" s="27">
        <f>IF(E295="","",SUMIFS(tbl_Finance[Ex GST],tbl_Finance[Job Number],E295&amp;""))</f>
        <v/>
      </c>
      <c r="AA295" s="27">
        <f>IF(E295="","",SUMIFS(tbl_Finance[Ex GST],tbl_Finance[Job Number],E295&amp;"",tbl_Finance[Xero Invoice No],"&lt;&gt;"))</f>
        <v/>
      </c>
      <c r="AB295" s="27">
        <f>IF(E295="","",Z295-AA295)</f>
        <v/>
      </c>
      <c r="AC295" s="25">
        <f>IF(E295="","",IFERROR(IF(INDEX(tbl_Onsite[Qwilr Quote],IFERROR(MATCH(E295&amp;"",tbl_Onsite[Job Number],0),MATCH(IFERROR(E295+0,E295),tbl_Onsite[Job Number],0)))="","",INDEX(tbl_Onsite[Qwilr Quote],IFERROR(MATCH(E295&amp;"",tbl_Onsite[Job Number],0),MATCH(IFERROR(E295+0,E295),tbl_Onsite[Job Number],0)))),IFERROR(IF(IF(INDEX(tbl_Production[Current RMS No],IFERROR(MATCH(E295&amp;"",tbl_Production[Job Number],0),MATCH(IFERROR(E295+0,E295),tbl_Production[Job Number],0)))="",INDEX(tbl_Production[Qwilr Quote],IFERROR(MATCH(E295&amp;"",tbl_Production[Job Number],0),MATCH(IFERROR(E295+0,E295),tbl_Production[Job Number],0))),INDEX(tbl_Production[Current RMS No],IFERROR(MATCH(E295&amp;"",tbl_Production[Job Number],0),MATCH(IFERROR(E295+0,E295),tbl_Production[Job Number],0))))="","",IF(INDEX(tbl_Production[Current RMS No],IFERROR(MATCH(E295&amp;"",tbl_Production[Job Number],0),MATCH(IFERROR(E295+0,E295),tbl_Production[Job Number],0)))="",INDEX(tbl_Production[Qwilr Quote],IFERROR(MATCH(E295&amp;"",tbl_Production[Job Number],0),MATCH(IFERROR(E295+0,E295),tbl_Production[Job Number],0))),INDEX(tbl_Production[Current RMS No],IFERROR(MATCH(E295&amp;"",tbl_Production[Job Number],0),MATCH(IFERROR(E295+0,E295),tbl_Production[Job Number],0))))),IFERROR(IF(INDEX(tbl_Consulting[Qwilr Quote],IFERROR(MATCH(E295&amp;"",tbl_Consulting[Job Number],0),MATCH(IFERROR(E295+0,E295),tbl_Consulting[Job Number],0)))="","",INDEX(tbl_Consulting[Qwilr Quote],IFERROR(MATCH(E295&amp;"",tbl_Consulting[Job Number],0),MATCH(IFERROR(E295+0,E295),tbl_Consulting[Job Number],0)))),""))))</f>
        <v/>
      </c>
      <c r="AD295" s="25">
        <f>IF(AC295="","",IF(AND(LEFT(AC295,4)&lt;&gt;"http",IF(H295="Production",set_RMSBase,set_QwilrBase)=""),"",HYPERLINK(IF(LEFT(AC295,4)="http",AC295,IF(H295="Production",set_RMSBase,set_QwilrBase)&amp;AC295),"Open")))</f>
        <v/>
      </c>
      <c r="AE295" s="27">
        <f>IF(E295="","",IFERROR(INDEX(tbl_Production[Total Expense],IFERROR(MATCH(E295&amp;"",tbl_Production[Job Number],0),MATCH(IFERROR(E295+0,E295),tbl_Production[Job Number],0))),IFERROR(INDEX(tbl_Consulting[Total Expense],IFERROR(MATCH(E295&amp;"",tbl_Consulting[Job Number],0),MATCH(IFERROR(E295+0,E295),tbl_Consulting[Job Number],0))),0)))</f>
        <v/>
      </c>
      <c r="AF295" s="27">
        <f>IF(E295="","",Z295-N(AE295))</f>
        <v/>
      </c>
      <c r="AG295" s="29">
        <f>IFERROR(AF295/Z295,"")</f>
        <v/>
      </c>
      <c r="AH295" s="25">
        <f>IF(E295="","",IFERROR(IF(INDEX(tbl_Onsite[Notes],IFERROR(MATCH(E295&amp;"",tbl_Onsite[Job Number],0),MATCH(IFERROR(E295+0,E295),tbl_Onsite[Job Number],0)))="","",INDEX(tbl_Onsite[Notes],IFERROR(MATCH(E295&amp;"",tbl_Onsite[Job Number],0),MATCH(IFERROR(E295+0,E295),tbl_Onsite[Job Number],0)))),IFERROR(IF(INDEX(tbl_Production[Notes],IFERROR(MATCH(E295&amp;"",tbl_Production[Job Number],0),MATCH(IFERROR(E295+0,E295),tbl_Production[Job Number],0)))="","",INDEX(tbl_Production[Notes],IFERROR(MATCH(E295&amp;"",tbl_Production[Job Number],0),MATCH(IFERROR(E295+0,E295),tbl_Production[Job Number],0)))),IFERROR(IF(INDEX(tbl_Consulting[Notes],IFERROR(MATCH(E295&amp;"",tbl_Consulting[Job Number],0),MATCH(IFERROR(E295+0,E295),tbl_Consulting[Job Number],0)))="","",INDEX(tbl_Consulting[Notes],IFERROR(MATCH(E295&amp;"",tbl_Consulting[Job Number],0),MATCH(IFERROR(E295+0,E295),tbl_Consulting[Job Number],0)))),""))))</f>
        <v/>
      </c>
    </row>
    <row r="296" ht="15" customHeight="1">
      <c r="A296" s="22" t="n"/>
      <c r="B296" s="23">
        <f>IF(A296="","",EOMONTH(A296,0))</f>
        <v/>
      </c>
      <c r="C296" s="24" t="n"/>
      <c r="D296" s="24" t="n"/>
      <c r="E296" s="24" t="n"/>
      <c r="F296" s="25">
        <f>IF(E296="","",IF(COUNTIF(lst_Jobs,E296&amp;"")&gt;0,"OK","CHECK"))</f>
        <v/>
      </c>
      <c r="G296" s="24" t="n"/>
      <c r="H296" s="24" t="n"/>
      <c r="I296" s="24" t="n"/>
      <c r="J296" s="24" t="n"/>
      <c r="K296" s="24" t="n"/>
      <c r="L296" s="26" t="n"/>
      <c r="M296" s="27">
        <f>IF(L296="","",IF(K296="GST 10%",ROUND(L296*set_GSTRate,2),0))</f>
        <v/>
      </c>
      <c r="N296" s="27">
        <f>IF(L296="","",L296+M296)</f>
        <v/>
      </c>
      <c r="O296" s="24" t="n"/>
      <c r="P296" s="24" t="n"/>
      <c r="Q296" s="24" t="n"/>
      <c r="R296" s="22" t="n"/>
      <c r="S296" s="22" t="n"/>
      <c r="T296" s="24" t="n"/>
      <c r="U296" s="24" t="n"/>
      <c r="V296" s="2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25">
        <f>IF(E296="","",IF(COUNTIF(tbl_Onsite[Job Number],E296&amp;"")&gt;0,"Onsite",IF(COUNTIF(tbl_Production[Job Number],E296&amp;"")&gt;0,"Production",IF(COUNTIF(tbl_Consulting[Job Number],E296&amp;"")&gt;0,"Consulting","not set up yet"))))</f>
        <v/>
      </c>
      <c r="X296" s="25">
        <f>IF(E296="","",IFERROR(INDEX(lst_JobName,MATCH(E296&amp;"",lst_Jobs,0)),""))</f>
        <v/>
      </c>
      <c r="Y296" s="28">
        <f>IF(E296="","",COUNTIFS(tbl_Finance[Job Number],E296&amp;"",tbl_Finance[Ex GST],"&lt;&gt;"))</f>
        <v/>
      </c>
      <c r="Z296" s="27">
        <f>IF(E296="","",SUMIFS(tbl_Finance[Ex GST],tbl_Finance[Job Number],E296&amp;""))</f>
        <v/>
      </c>
      <c r="AA296" s="27">
        <f>IF(E296="","",SUMIFS(tbl_Finance[Ex GST],tbl_Finance[Job Number],E296&amp;"",tbl_Finance[Xero Invoice No],"&lt;&gt;"))</f>
        <v/>
      </c>
      <c r="AB296" s="27">
        <f>IF(E296="","",Z296-AA296)</f>
        <v/>
      </c>
      <c r="AC296" s="25">
        <f>IF(E296="","",IFERROR(IF(INDEX(tbl_Onsite[Qwilr Quote],IFERROR(MATCH(E296&amp;"",tbl_Onsite[Job Number],0),MATCH(IFERROR(E296+0,E296),tbl_Onsite[Job Number],0)))="","",INDEX(tbl_Onsite[Qwilr Quote],IFERROR(MATCH(E296&amp;"",tbl_Onsite[Job Number],0),MATCH(IFERROR(E296+0,E296),tbl_Onsite[Job Number],0)))),IFERROR(IF(IF(INDEX(tbl_Production[Current RMS No],IFERROR(MATCH(E296&amp;"",tbl_Production[Job Number],0),MATCH(IFERROR(E296+0,E296),tbl_Production[Job Number],0)))="",INDEX(tbl_Production[Qwilr Quote],IFERROR(MATCH(E296&amp;"",tbl_Production[Job Number],0),MATCH(IFERROR(E296+0,E296),tbl_Production[Job Number],0))),INDEX(tbl_Production[Current RMS No],IFERROR(MATCH(E296&amp;"",tbl_Production[Job Number],0),MATCH(IFERROR(E296+0,E296),tbl_Production[Job Number],0))))="","",IF(INDEX(tbl_Production[Current RMS No],IFERROR(MATCH(E296&amp;"",tbl_Production[Job Number],0),MATCH(IFERROR(E296+0,E296),tbl_Production[Job Number],0)))="",INDEX(tbl_Production[Qwilr Quote],IFERROR(MATCH(E296&amp;"",tbl_Production[Job Number],0),MATCH(IFERROR(E296+0,E296),tbl_Production[Job Number],0))),INDEX(tbl_Production[Current RMS No],IFERROR(MATCH(E296&amp;"",tbl_Production[Job Number],0),MATCH(IFERROR(E296+0,E296),tbl_Production[Job Number],0))))),IFERROR(IF(INDEX(tbl_Consulting[Qwilr Quote],IFERROR(MATCH(E296&amp;"",tbl_Consulting[Job Number],0),MATCH(IFERROR(E296+0,E296),tbl_Consulting[Job Number],0)))="","",INDEX(tbl_Consulting[Qwilr Quote],IFERROR(MATCH(E296&amp;"",tbl_Consulting[Job Number],0),MATCH(IFERROR(E296+0,E296),tbl_Consulting[Job Number],0)))),""))))</f>
        <v/>
      </c>
      <c r="AD296" s="25">
        <f>IF(AC296="","",IF(AND(LEFT(AC296,4)&lt;&gt;"http",IF(H296="Production",set_RMSBase,set_QwilrBase)=""),"",HYPERLINK(IF(LEFT(AC296,4)="http",AC296,IF(H296="Production",set_RMSBase,set_QwilrBase)&amp;AC296),"Open")))</f>
        <v/>
      </c>
      <c r="AE296" s="27">
        <f>IF(E296="","",IFERROR(INDEX(tbl_Production[Total Expense],IFERROR(MATCH(E296&amp;"",tbl_Production[Job Number],0),MATCH(IFERROR(E296+0,E296),tbl_Production[Job Number],0))),IFERROR(INDEX(tbl_Consulting[Total Expense],IFERROR(MATCH(E296&amp;"",tbl_Consulting[Job Number],0),MATCH(IFERROR(E296+0,E296),tbl_Consulting[Job Number],0))),0)))</f>
        <v/>
      </c>
      <c r="AF296" s="27">
        <f>IF(E296="","",Z296-N(AE296))</f>
        <v/>
      </c>
      <c r="AG296" s="29">
        <f>IFERROR(AF296/Z296,"")</f>
        <v/>
      </c>
      <c r="AH296" s="25">
        <f>IF(E296="","",IFERROR(IF(INDEX(tbl_Onsite[Notes],IFERROR(MATCH(E296&amp;"",tbl_Onsite[Job Number],0),MATCH(IFERROR(E296+0,E296),tbl_Onsite[Job Number],0)))="","",INDEX(tbl_Onsite[Notes],IFERROR(MATCH(E296&amp;"",tbl_Onsite[Job Number],0),MATCH(IFERROR(E296+0,E296),tbl_Onsite[Job Number],0)))),IFERROR(IF(INDEX(tbl_Production[Notes],IFERROR(MATCH(E296&amp;"",tbl_Production[Job Number],0),MATCH(IFERROR(E296+0,E296),tbl_Production[Job Number],0)))="","",INDEX(tbl_Production[Notes],IFERROR(MATCH(E296&amp;"",tbl_Production[Job Number],0),MATCH(IFERROR(E296+0,E296),tbl_Production[Job Number],0)))),IFERROR(IF(INDEX(tbl_Consulting[Notes],IFERROR(MATCH(E296&amp;"",tbl_Consulting[Job Number],0),MATCH(IFERROR(E296+0,E296),tbl_Consulting[Job Number],0)))="","",INDEX(tbl_Consulting[Notes],IFERROR(MATCH(E296&amp;"",tbl_Consulting[Job Number],0),MATCH(IFERROR(E296+0,E296),tbl_Consulting[Job Number],0)))),""))))</f>
        <v/>
      </c>
    </row>
    <row r="297" ht="15" customHeight="1">
      <c r="A297" s="22" t="n"/>
      <c r="B297" s="23">
        <f>IF(A297="","",EOMONTH(A297,0))</f>
        <v/>
      </c>
      <c r="C297" s="24" t="n"/>
      <c r="D297" s="24" t="n"/>
      <c r="E297" s="24" t="n"/>
      <c r="F297" s="25">
        <f>IF(E297="","",IF(COUNTIF(lst_Jobs,E297&amp;"")&gt;0,"OK","CHECK"))</f>
        <v/>
      </c>
      <c r="G297" s="24" t="n"/>
      <c r="H297" s="24" t="n"/>
      <c r="I297" s="24" t="n"/>
      <c r="J297" s="24" t="n"/>
      <c r="K297" s="24" t="n"/>
      <c r="L297" s="26" t="n"/>
      <c r="M297" s="27">
        <f>IF(L297="","",IF(K297="GST 10%",ROUND(L297*set_GSTRate,2),0))</f>
        <v/>
      </c>
      <c r="N297" s="27">
        <f>IF(L297="","",L297+M297)</f>
        <v/>
      </c>
      <c r="O297" s="24" t="n"/>
      <c r="P297" s="24" t="n"/>
      <c r="Q297" s="24" t="n"/>
      <c r="R297" s="22" t="n"/>
      <c r="S297" s="22" t="n"/>
      <c r="T297" s="24" t="n"/>
      <c r="U297" s="24" t="n"/>
      <c r="V297" s="2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25">
        <f>IF(E297="","",IF(COUNTIF(tbl_Onsite[Job Number],E297&amp;"")&gt;0,"Onsite",IF(COUNTIF(tbl_Production[Job Number],E297&amp;"")&gt;0,"Production",IF(COUNTIF(tbl_Consulting[Job Number],E297&amp;"")&gt;0,"Consulting","not set up yet"))))</f>
        <v/>
      </c>
      <c r="X297" s="25">
        <f>IF(E297="","",IFERROR(INDEX(lst_JobName,MATCH(E297&amp;"",lst_Jobs,0)),""))</f>
        <v/>
      </c>
      <c r="Y297" s="28">
        <f>IF(E297="","",COUNTIFS(tbl_Finance[Job Number],E297&amp;"",tbl_Finance[Ex GST],"&lt;&gt;"))</f>
        <v/>
      </c>
      <c r="Z297" s="27">
        <f>IF(E297="","",SUMIFS(tbl_Finance[Ex GST],tbl_Finance[Job Number],E297&amp;""))</f>
        <v/>
      </c>
      <c r="AA297" s="27">
        <f>IF(E297="","",SUMIFS(tbl_Finance[Ex GST],tbl_Finance[Job Number],E297&amp;"",tbl_Finance[Xero Invoice No],"&lt;&gt;"))</f>
        <v/>
      </c>
      <c r="AB297" s="27">
        <f>IF(E297="","",Z297-AA297)</f>
        <v/>
      </c>
      <c r="AC297" s="25">
        <f>IF(E297="","",IFERROR(IF(INDEX(tbl_Onsite[Qwilr Quote],IFERROR(MATCH(E297&amp;"",tbl_Onsite[Job Number],0),MATCH(IFERROR(E297+0,E297),tbl_Onsite[Job Number],0)))="","",INDEX(tbl_Onsite[Qwilr Quote],IFERROR(MATCH(E297&amp;"",tbl_Onsite[Job Number],0),MATCH(IFERROR(E297+0,E297),tbl_Onsite[Job Number],0)))),IFERROR(IF(IF(INDEX(tbl_Production[Current RMS No],IFERROR(MATCH(E297&amp;"",tbl_Production[Job Number],0),MATCH(IFERROR(E297+0,E297),tbl_Production[Job Number],0)))="",INDEX(tbl_Production[Qwilr Quote],IFERROR(MATCH(E297&amp;"",tbl_Production[Job Number],0),MATCH(IFERROR(E297+0,E297),tbl_Production[Job Number],0))),INDEX(tbl_Production[Current RMS No],IFERROR(MATCH(E297&amp;"",tbl_Production[Job Number],0),MATCH(IFERROR(E297+0,E297),tbl_Production[Job Number],0))))="","",IF(INDEX(tbl_Production[Current RMS No],IFERROR(MATCH(E297&amp;"",tbl_Production[Job Number],0),MATCH(IFERROR(E297+0,E297),tbl_Production[Job Number],0)))="",INDEX(tbl_Production[Qwilr Quote],IFERROR(MATCH(E297&amp;"",tbl_Production[Job Number],0),MATCH(IFERROR(E297+0,E297),tbl_Production[Job Number],0))),INDEX(tbl_Production[Current RMS No],IFERROR(MATCH(E297&amp;"",tbl_Production[Job Number],0),MATCH(IFERROR(E297+0,E297),tbl_Production[Job Number],0))))),IFERROR(IF(INDEX(tbl_Consulting[Qwilr Quote],IFERROR(MATCH(E297&amp;"",tbl_Consulting[Job Number],0),MATCH(IFERROR(E297+0,E297),tbl_Consulting[Job Number],0)))="","",INDEX(tbl_Consulting[Qwilr Quote],IFERROR(MATCH(E297&amp;"",tbl_Consulting[Job Number],0),MATCH(IFERROR(E297+0,E297),tbl_Consulting[Job Number],0)))),""))))</f>
        <v/>
      </c>
      <c r="AD297" s="25">
        <f>IF(AC297="","",IF(AND(LEFT(AC297,4)&lt;&gt;"http",IF(H297="Production",set_RMSBase,set_QwilrBase)=""),"",HYPERLINK(IF(LEFT(AC297,4)="http",AC297,IF(H297="Production",set_RMSBase,set_QwilrBase)&amp;AC297),"Open")))</f>
        <v/>
      </c>
      <c r="AE297" s="27">
        <f>IF(E297="","",IFERROR(INDEX(tbl_Production[Total Expense],IFERROR(MATCH(E297&amp;"",tbl_Production[Job Number],0),MATCH(IFERROR(E297+0,E297),tbl_Production[Job Number],0))),IFERROR(INDEX(tbl_Consulting[Total Expense],IFERROR(MATCH(E297&amp;"",tbl_Consulting[Job Number],0),MATCH(IFERROR(E297+0,E297),tbl_Consulting[Job Number],0))),0)))</f>
        <v/>
      </c>
      <c r="AF297" s="27">
        <f>IF(E297="","",Z297-N(AE297))</f>
        <v/>
      </c>
      <c r="AG297" s="29">
        <f>IFERROR(AF297/Z297,"")</f>
        <v/>
      </c>
      <c r="AH297" s="25">
        <f>IF(E297="","",IFERROR(IF(INDEX(tbl_Onsite[Notes],IFERROR(MATCH(E297&amp;"",tbl_Onsite[Job Number],0),MATCH(IFERROR(E297+0,E297),tbl_Onsite[Job Number],0)))="","",INDEX(tbl_Onsite[Notes],IFERROR(MATCH(E297&amp;"",tbl_Onsite[Job Number],0),MATCH(IFERROR(E297+0,E297),tbl_Onsite[Job Number],0)))),IFERROR(IF(INDEX(tbl_Production[Notes],IFERROR(MATCH(E297&amp;"",tbl_Production[Job Number],0),MATCH(IFERROR(E297+0,E297),tbl_Production[Job Number],0)))="","",INDEX(tbl_Production[Notes],IFERROR(MATCH(E297&amp;"",tbl_Production[Job Number],0),MATCH(IFERROR(E297+0,E297),tbl_Production[Job Number],0)))),IFERROR(IF(INDEX(tbl_Consulting[Notes],IFERROR(MATCH(E297&amp;"",tbl_Consulting[Job Number],0),MATCH(IFERROR(E297+0,E297),tbl_Consulting[Job Number],0)))="","",INDEX(tbl_Consulting[Notes],IFERROR(MATCH(E297&amp;"",tbl_Consulting[Job Number],0),MATCH(IFERROR(E297+0,E297),tbl_Consulting[Job Number],0)))),""))))</f>
        <v/>
      </c>
    </row>
    <row r="298" ht="15" customHeight="1">
      <c r="A298" s="22" t="n"/>
      <c r="B298" s="23">
        <f>IF(A298="","",EOMONTH(A298,0))</f>
        <v/>
      </c>
      <c r="C298" s="24" t="n"/>
      <c r="D298" s="24" t="n"/>
      <c r="E298" s="24" t="n"/>
      <c r="F298" s="25">
        <f>IF(E298="","",IF(COUNTIF(lst_Jobs,E298&amp;"")&gt;0,"OK","CHECK"))</f>
        <v/>
      </c>
      <c r="G298" s="24" t="n"/>
      <c r="H298" s="24" t="n"/>
      <c r="I298" s="24" t="n"/>
      <c r="J298" s="24" t="n"/>
      <c r="K298" s="24" t="n"/>
      <c r="L298" s="26" t="n"/>
      <c r="M298" s="27">
        <f>IF(L298="","",IF(K298="GST 10%",ROUND(L298*set_GSTRate,2),0))</f>
        <v/>
      </c>
      <c r="N298" s="27">
        <f>IF(L298="","",L298+M298)</f>
        <v/>
      </c>
      <c r="O298" s="24" t="n"/>
      <c r="P298" s="24" t="n"/>
      <c r="Q298" s="24" t="n"/>
      <c r="R298" s="22" t="n"/>
      <c r="S298" s="22" t="n"/>
      <c r="T298" s="24" t="n"/>
      <c r="U298" s="24" t="n"/>
      <c r="V298" s="2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25">
        <f>IF(E298="","",IF(COUNTIF(tbl_Onsite[Job Number],E298&amp;"")&gt;0,"Onsite",IF(COUNTIF(tbl_Production[Job Number],E298&amp;"")&gt;0,"Production",IF(COUNTIF(tbl_Consulting[Job Number],E298&amp;"")&gt;0,"Consulting","not set up yet"))))</f>
        <v/>
      </c>
      <c r="X298" s="25">
        <f>IF(E298="","",IFERROR(INDEX(lst_JobName,MATCH(E298&amp;"",lst_Jobs,0)),""))</f>
        <v/>
      </c>
      <c r="Y298" s="28">
        <f>IF(E298="","",COUNTIFS(tbl_Finance[Job Number],E298&amp;"",tbl_Finance[Ex GST],"&lt;&gt;"))</f>
        <v/>
      </c>
      <c r="Z298" s="27">
        <f>IF(E298="","",SUMIFS(tbl_Finance[Ex GST],tbl_Finance[Job Number],E298&amp;""))</f>
        <v/>
      </c>
      <c r="AA298" s="27">
        <f>IF(E298="","",SUMIFS(tbl_Finance[Ex GST],tbl_Finance[Job Number],E298&amp;"",tbl_Finance[Xero Invoice No],"&lt;&gt;"))</f>
        <v/>
      </c>
      <c r="AB298" s="27">
        <f>IF(E298="","",Z298-AA298)</f>
        <v/>
      </c>
      <c r="AC298" s="25">
        <f>IF(E298="","",IFERROR(IF(INDEX(tbl_Onsite[Qwilr Quote],IFERROR(MATCH(E298&amp;"",tbl_Onsite[Job Number],0),MATCH(IFERROR(E298+0,E298),tbl_Onsite[Job Number],0)))="","",INDEX(tbl_Onsite[Qwilr Quote],IFERROR(MATCH(E298&amp;"",tbl_Onsite[Job Number],0),MATCH(IFERROR(E298+0,E298),tbl_Onsite[Job Number],0)))),IFERROR(IF(IF(INDEX(tbl_Production[Current RMS No],IFERROR(MATCH(E298&amp;"",tbl_Production[Job Number],0),MATCH(IFERROR(E298+0,E298),tbl_Production[Job Number],0)))="",INDEX(tbl_Production[Qwilr Quote],IFERROR(MATCH(E298&amp;"",tbl_Production[Job Number],0),MATCH(IFERROR(E298+0,E298),tbl_Production[Job Number],0))),INDEX(tbl_Production[Current RMS No],IFERROR(MATCH(E298&amp;"",tbl_Production[Job Number],0),MATCH(IFERROR(E298+0,E298),tbl_Production[Job Number],0))))="","",IF(INDEX(tbl_Production[Current RMS No],IFERROR(MATCH(E298&amp;"",tbl_Production[Job Number],0),MATCH(IFERROR(E298+0,E298),tbl_Production[Job Number],0)))="",INDEX(tbl_Production[Qwilr Quote],IFERROR(MATCH(E298&amp;"",tbl_Production[Job Number],0),MATCH(IFERROR(E298+0,E298),tbl_Production[Job Number],0))),INDEX(tbl_Production[Current RMS No],IFERROR(MATCH(E298&amp;"",tbl_Production[Job Number],0),MATCH(IFERROR(E298+0,E298),tbl_Production[Job Number],0))))),IFERROR(IF(INDEX(tbl_Consulting[Qwilr Quote],IFERROR(MATCH(E298&amp;"",tbl_Consulting[Job Number],0),MATCH(IFERROR(E298+0,E298),tbl_Consulting[Job Number],0)))="","",INDEX(tbl_Consulting[Qwilr Quote],IFERROR(MATCH(E298&amp;"",tbl_Consulting[Job Number],0),MATCH(IFERROR(E298+0,E298),tbl_Consulting[Job Number],0)))),""))))</f>
        <v/>
      </c>
      <c r="AD298" s="25">
        <f>IF(AC298="","",IF(AND(LEFT(AC298,4)&lt;&gt;"http",IF(H298="Production",set_RMSBase,set_QwilrBase)=""),"",HYPERLINK(IF(LEFT(AC298,4)="http",AC298,IF(H298="Production",set_RMSBase,set_QwilrBase)&amp;AC298),"Open")))</f>
        <v/>
      </c>
      <c r="AE298" s="27">
        <f>IF(E298="","",IFERROR(INDEX(tbl_Production[Total Expense],IFERROR(MATCH(E298&amp;"",tbl_Production[Job Number],0),MATCH(IFERROR(E298+0,E298),tbl_Production[Job Number],0))),IFERROR(INDEX(tbl_Consulting[Total Expense],IFERROR(MATCH(E298&amp;"",tbl_Consulting[Job Number],0),MATCH(IFERROR(E298+0,E298),tbl_Consulting[Job Number],0))),0)))</f>
        <v/>
      </c>
      <c r="AF298" s="27">
        <f>IF(E298="","",Z298-N(AE298))</f>
        <v/>
      </c>
      <c r="AG298" s="29">
        <f>IFERROR(AF298/Z298,"")</f>
        <v/>
      </c>
      <c r="AH298" s="25">
        <f>IF(E298="","",IFERROR(IF(INDEX(tbl_Onsite[Notes],IFERROR(MATCH(E298&amp;"",tbl_Onsite[Job Number],0),MATCH(IFERROR(E298+0,E298),tbl_Onsite[Job Number],0)))="","",INDEX(tbl_Onsite[Notes],IFERROR(MATCH(E298&amp;"",tbl_Onsite[Job Number],0),MATCH(IFERROR(E298+0,E298),tbl_Onsite[Job Number],0)))),IFERROR(IF(INDEX(tbl_Production[Notes],IFERROR(MATCH(E298&amp;"",tbl_Production[Job Number],0),MATCH(IFERROR(E298+0,E298),tbl_Production[Job Number],0)))="","",INDEX(tbl_Production[Notes],IFERROR(MATCH(E298&amp;"",tbl_Production[Job Number],0),MATCH(IFERROR(E298+0,E298),tbl_Production[Job Number],0)))),IFERROR(IF(INDEX(tbl_Consulting[Notes],IFERROR(MATCH(E298&amp;"",tbl_Consulting[Job Number],0),MATCH(IFERROR(E298+0,E298),tbl_Consulting[Job Number],0)))="","",INDEX(tbl_Consulting[Notes],IFERROR(MATCH(E298&amp;"",tbl_Consulting[Job Number],0),MATCH(IFERROR(E298+0,E298),tbl_Consulting[Job Number],0)))),""))))</f>
        <v/>
      </c>
    </row>
    <row r="299" ht="15" customHeight="1">
      <c r="A299" s="22" t="n"/>
      <c r="B299" s="23">
        <f>IF(A299="","",EOMONTH(A299,0))</f>
        <v/>
      </c>
      <c r="C299" s="24" t="n"/>
      <c r="D299" s="24" t="n"/>
      <c r="E299" s="24" t="n"/>
      <c r="F299" s="25">
        <f>IF(E299="","",IF(COUNTIF(lst_Jobs,E299&amp;"")&gt;0,"OK","CHECK"))</f>
        <v/>
      </c>
      <c r="G299" s="24" t="n"/>
      <c r="H299" s="24" t="n"/>
      <c r="I299" s="24" t="n"/>
      <c r="J299" s="24" t="n"/>
      <c r="K299" s="24" t="n"/>
      <c r="L299" s="26" t="n"/>
      <c r="M299" s="27">
        <f>IF(L299="","",IF(K299="GST 10%",ROUND(L299*set_GSTRate,2),0))</f>
        <v/>
      </c>
      <c r="N299" s="27">
        <f>IF(L299="","",L299+M299)</f>
        <v/>
      </c>
      <c r="O299" s="24" t="n"/>
      <c r="P299" s="24" t="n"/>
      <c r="Q299" s="24" t="n"/>
      <c r="R299" s="22" t="n"/>
      <c r="S299" s="22" t="n"/>
      <c r="T299" s="24" t="n"/>
      <c r="U299" s="24" t="n"/>
      <c r="V299" s="2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25">
        <f>IF(E299="","",IF(COUNTIF(tbl_Onsite[Job Number],E299&amp;"")&gt;0,"Onsite",IF(COUNTIF(tbl_Production[Job Number],E299&amp;"")&gt;0,"Production",IF(COUNTIF(tbl_Consulting[Job Number],E299&amp;"")&gt;0,"Consulting","not set up yet"))))</f>
        <v/>
      </c>
      <c r="X299" s="25">
        <f>IF(E299="","",IFERROR(INDEX(lst_JobName,MATCH(E299&amp;"",lst_Jobs,0)),""))</f>
        <v/>
      </c>
      <c r="Y299" s="28">
        <f>IF(E299="","",COUNTIFS(tbl_Finance[Job Number],E299&amp;"",tbl_Finance[Ex GST],"&lt;&gt;"))</f>
        <v/>
      </c>
      <c r="Z299" s="27">
        <f>IF(E299="","",SUMIFS(tbl_Finance[Ex GST],tbl_Finance[Job Number],E299&amp;""))</f>
        <v/>
      </c>
      <c r="AA299" s="27">
        <f>IF(E299="","",SUMIFS(tbl_Finance[Ex GST],tbl_Finance[Job Number],E299&amp;"",tbl_Finance[Xero Invoice No],"&lt;&gt;"))</f>
        <v/>
      </c>
      <c r="AB299" s="27">
        <f>IF(E299="","",Z299-AA299)</f>
        <v/>
      </c>
      <c r="AC299" s="25">
        <f>IF(E299="","",IFERROR(IF(INDEX(tbl_Onsite[Qwilr Quote],IFERROR(MATCH(E299&amp;"",tbl_Onsite[Job Number],0),MATCH(IFERROR(E299+0,E299),tbl_Onsite[Job Number],0)))="","",INDEX(tbl_Onsite[Qwilr Quote],IFERROR(MATCH(E299&amp;"",tbl_Onsite[Job Number],0),MATCH(IFERROR(E299+0,E299),tbl_Onsite[Job Number],0)))),IFERROR(IF(IF(INDEX(tbl_Production[Current RMS No],IFERROR(MATCH(E299&amp;"",tbl_Production[Job Number],0),MATCH(IFERROR(E299+0,E299),tbl_Production[Job Number],0)))="",INDEX(tbl_Production[Qwilr Quote],IFERROR(MATCH(E299&amp;"",tbl_Production[Job Number],0),MATCH(IFERROR(E299+0,E299),tbl_Production[Job Number],0))),INDEX(tbl_Production[Current RMS No],IFERROR(MATCH(E299&amp;"",tbl_Production[Job Number],0),MATCH(IFERROR(E299+0,E299),tbl_Production[Job Number],0))))="","",IF(INDEX(tbl_Production[Current RMS No],IFERROR(MATCH(E299&amp;"",tbl_Production[Job Number],0),MATCH(IFERROR(E299+0,E299),tbl_Production[Job Number],0)))="",INDEX(tbl_Production[Qwilr Quote],IFERROR(MATCH(E299&amp;"",tbl_Production[Job Number],0),MATCH(IFERROR(E299+0,E299),tbl_Production[Job Number],0))),INDEX(tbl_Production[Current RMS No],IFERROR(MATCH(E299&amp;"",tbl_Production[Job Number],0),MATCH(IFERROR(E299+0,E299),tbl_Production[Job Number],0))))),IFERROR(IF(INDEX(tbl_Consulting[Qwilr Quote],IFERROR(MATCH(E299&amp;"",tbl_Consulting[Job Number],0),MATCH(IFERROR(E299+0,E299),tbl_Consulting[Job Number],0)))="","",INDEX(tbl_Consulting[Qwilr Quote],IFERROR(MATCH(E299&amp;"",tbl_Consulting[Job Number],0),MATCH(IFERROR(E299+0,E299),tbl_Consulting[Job Number],0)))),""))))</f>
        <v/>
      </c>
      <c r="AD299" s="25">
        <f>IF(AC299="","",IF(AND(LEFT(AC299,4)&lt;&gt;"http",IF(H299="Production",set_RMSBase,set_QwilrBase)=""),"",HYPERLINK(IF(LEFT(AC299,4)="http",AC299,IF(H299="Production",set_RMSBase,set_QwilrBase)&amp;AC299),"Open")))</f>
        <v/>
      </c>
      <c r="AE299" s="27">
        <f>IF(E299="","",IFERROR(INDEX(tbl_Production[Total Expense],IFERROR(MATCH(E299&amp;"",tbl_Production[Job Number],0),MATCH(IFERROR(E299+0,E299),tbl_Production[Job Number],0))),IFERROR(INDEX(tbl_Consulting[Total Expense],IFERROR(MATCH(E299&amp;"",tbl_Consulting[Job Number],0),MATCH(IFERROR(E299+0,E299),tbl_Consulting[Job Number],0))),0)))</f>
        <v/>
      </c>
      <c r="AF299" s="27">
        <f>IF(E299="","",Z299-N(AE299))</f>
        <v/>
      </c>
      <c r="AG299" s="29">
        <f>IFERROR(AF299/Z299,"")</f>
        <v/>
      </c>
      <c r="AH299" s="25">
        <f>IF(E299="","",IFERROR(IF(INDEX(tbl_Onsite[Notes],IFERROR(MATCH(E299&amp;"",tbl_Onsite[Job Number],0),MATCH(IFERROR(E299+0,E299),tbl_Onsite[Job Number],0)))="","",INDEX(tbl_Onsite[Notes],IFERROR(MATCH(E299&amp;"",tbl_Onsite[Job Number],0),MATCH(IFERROR(E299+0,E299),tbl_Onsite[Job Number],0)))),IFERROR(IF(INDEX(tbl_Production[Notes],IFERROR(MATCH(E299&amp;"",tbl_Production[Job Number],0),MATCH(IFERROR(E299+0,E299),tbl_Production[Job Number],0)))="","",INDEX(tbl_Production[Notes],IFERROR(MATCH(E299&amp;"",tbl_Production[Job Number],0),MATCH(IFERROR(E299+0,E299),tbl_Production[Job Number],0)))),IFERROR(IF(INDEX(tbl_Consulting[Notes],IFERROR(MATCH(E299&amp;"",tbl_Consulting[Job Number],0),MATCH(IFERROR(E299+0,E299),tbl_Consulting[Job Number],0)))="","",INDEX(tbl_Consulting[Notes],IFERROR(MATCH(E299&amp;"",tbl_Consulting[Job Number],0),MATCH(IFERROR(E299+0,E299),tbl_Consulting[Job Number],0)))),""))))</f>
        <v/>
      </c>
    </row>
    <row r="300" ht="15" customHeight="1">
      <c r="A300" s="22" t="n"/>
      <c r="B300" s="23">
        <f>IF(A300="","",EOMONTH(A300,0))</f>
        <v/>
      </c>
      <c r="C300" s="24" t="n"/>
      <c r="D300" s="24" t="n"/>
      <c r="E300" s="24" t="n"/>
      <c r="F300" s="25">
        <f>IF(E300="","",IF(COUNTIF(lst_Jobs,E300&amp;"")&gt;0,"OK","CHECK"))</f>
        <v/>
      </c>
      <c r="G300" s="24" t="n"/>
      <c r="H300" s="24" t="n"/>
      <c r="I300" s="24" t="n"/>
      <c r="J300" s="24" t="n"/>
      <c r="K300" s="24" t="n"/>
      <c r="L300" s="26" t="n"/>
      <c r="M300" s="27">
        <f>IF(L300="","",IF(K300="GST 10%",ROUND(L300*set_GSTRate,2),0))</f>
        <v/>
      </c>
      <c r="N300" s="27">
        <f>IF(L300="","",L300+M300)</f>
        <v/>
      </c>
      <c r="O300" s="24" t="n"/>
      <c r="P300" s="24" t="n"/>
      <c r="Q300" s="24" t="n"/>
      <c r="R300" s="22" t="n"/>
      <c r="S300" s="22" t="n"/>
      <c r="T300" s="24" t="n"/>
      <c r="U300" s="24" t="n"/>
      <c r="V300" s="2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25">
        <f>IF(E300="","",IF(COUNTIF(tbl_Onsite[Job Number],E300&amp;"")&gt;0,"Onsite",IF(COUNTIF(tbl_Production[Job Number],E300&amp;"")&gt;0,"Production",IF(COUNTIF(tbl_Consulting[Job Number],E300&amp;"")&gt;0,"Consulting","not set up yet"))))</f>
        <v/>
      </c>
      <c r="X300" s="25">
        <f>IF(E300="","",IFERROR(INDEX(lst_JobName,MATCH(E300&amp;"",lst_Jobs,0)),""))</f>
        <v/>
      </c>
      <c r="Y300" s="28">
        <f>IF(E300="","",COUNTIFS(tbl_Finance[Job Number],E300&amp;"",tbl_Finance[Ex GST],"&lt;&gt;"))</f>
        <v/>
      </c>
      <c r="Z300" s="27">
        <f>IF(E300="","",SUMIFS(tbl_Finance[Ex GST],tbl_Finance[Job Number],E300&amp;""))</f>
        <v/>
      </c>
      <c r="AA300" s="27">
        <f>IF(E300="","",SUMIFS(tbl_Finance[Ex GST],tbl_Finance[Job Number],E300&amp;"",tbl_Finance[Xero Invoice No],"&lt;&gt;"))</f>
        <v/>
      </c>
      <c r="AB300" s="27">
        <f>IF(E300="","",Z300-AA300)</f>
        <v/>
      </c>
      <c r="AC300" s="25">
        <f>IF(E300="","",IFERROR(IF(INDEX(tbl_Onsite[Qwilr Quote],IFERROR(MATCH(E300&amp;"",tbl_Onsite[Job Number],0),MATCH(IFERROR(E300+0,E300),tbl_Onsite[Job Number],0)))="","",INDEX(tbl_Onsite[Qwilr Quote],IFERROR(MATCH(E300&amp;"",tbl_Onsite[Job Number],0),MATCH(IFERROR(E300+0,E300),tbl_Onsite[Job Number],0)))),IFERROR(IF(IF(INDEX(tbl_Production[Current RMS No],IFERROR(MATCH(E300&amp;"",tbl_Production[Job Number],0),MATCH(IFERROR(E300+0,E300),tbl_Production[Job Number],0)))="",INDEX(tbl_Production[Qwilr Quote],IFERROR(MATCH(E300&amp;"",tbl_Production[Job Number],0),MATCH(IFERROR(E300+0,E300),tbl_Production[Job Number],0))),INDEX(tbl_Production[Current RMS No],IFERROR(MATCH(E300&amp;"",tbl_Production[Job Number],0),MATCH(IFERROR(E300+0,E300),tbl_Production[Job Number],0))))="","",IF(INDEX(tbl_Production[Current RMS No],IFERROR(MATCH(E300&amp;"",tbl_Production[Job Number],0),MATCH(IFERROR(E300+0,E300),tbl_Production[Job Number],0)))="",INDEX(tbl_Production[Qwilr Quote],IFERROR(MATCH(E300&amp;"",tbl_Production[Job Number],0),MATCH(IFERROR(E300+0,E300),tbl_Production[Job Number],0))),INDEX(tbl_Production[Current RMS No],IFERROR(MATCH(E300&amp;"",tbl_Production[Job Number],0),MATCH(IFERROR(E300+0,E300),tbl_Production[Job Number],0))))),IFERROR(IF(INDEX(tbl_Consulting[Qwilr Quote],IFERROR(MATCH(E300&amp;"",tbl_Consulting[Job Number],0),MATCH(IFERROR(E300+0,E300),tbl_Consulting[Job Number],0)))="","",INDEX(tbl_Consulting[Qwilr Quote],IFERROR(MATCH(E300&amp;"",tbl_Consulting[Job Number],0),MATCH(IFERROR(E300+0,E300),tbl_Consulting[Job Number],0)))),""))))</f>
        <v/>
      </c>
      <c r="AD300" s="25">
        <f>IF(AC300="","",IF(AND(LEFT(AC300,4)&lt;&gt;"http",IF(H300="Production",set_RMSBase,set_QwilrBase)=""),"",HYPERLINK(IF(LEFT(AC300,4)="http",AC300,IF(H300="Production",set_RMSBase,set_QwilrBase)&amp;AC300),"Open")))</f>
        <v/>
      </c>
      <c r="AE300" s="27">
        <f>IF(E300="","",IFERROR(INDEX(tbl_Production[Total Expense],IFERROR(MATCH(E300&amp;"",tbl_Production[Job Number],0),MATCH(IFERROR(E300+0,E300),tbl_Production[Job Number],0))),IFERROR(INDEX(tbl_Consulting[Total Expense],IFERROR(MATCH(E300&amp;"",tbl_Consulting[Job Number],0),MATCH(IFERROR(E300+0,E300),tbl_Consulting[Job Number],0))),0)))</f>
        <v/>
      </c>
      <c r="AF300" s="27">
        <f>IF(E300="","",Z300-N(AE300))</f>
        <v/>
      </c>
      <c r="AG300" s="29">
        <f>IFERROR(AF300/Z300,"")</f>
        <v/>
      </c>
      <c r="AH300" s="25">
        <f>IF(E300="","",IFERROR(IF(INDEX(tbl_Onsite[Notes],IFERROR(MATCH(E300&amp;"",tbl_Onsite[Job Number],0),MATCH(IFERROR(E300+0,E300),tbl_Onsite[Job Number],0)))="","",INDEX(tbl_Onsite[Notes],IFERROR(MATCH(E300&amp;"",tbl_Onsite[Job Number],0),MATCH(IFERROR(E300+0,E300),tbl_Onsite[Job Number],0)))),IFERROR(IF(INDEX(tbl_Production[Notes],IFERROR(MATCH(E300&amp;"",tbl_Production[Job Number],0),MATCH(IFERROR(E300+0,E300),tbl_Production[Job Number],0)))="","",INDEX(tbl_Production[Notes],IFERROR(MATCH(E300&amp;"",tbl_Production[Job Number],0),MATCH(IFERROR(E300+0,E300),tbl_Production[Job Number],0)))),IFERROR(IF(INDEX(tbl_Consulting[Notes],IFERROR(MATCH(E300&amp;"",tbl_Consulting[Job Number],0),MATCH(IFERROR(E300+0,E300),tbl_Consulting[Job Number],0)))="","",INDEX(tbl_Consulting[Notes],IFERROR(MATCH(E300&amp;"",tbl_Consulting[Job Number],0),MATCH(IFERROR(E300+0,E300),tbl_Consulting[Job Number],0)))),""))))</f>
        <v/>
      </c>
    </row>
    <row r="301" ht="15" customHeight="1">
      <c r="A301" s="22" t="n"/>
      <c r="B301" s="23">
        <f>IF(A301="","",EOMONTH(A301,0))</f>
        <v/>
      </c>
      <c r="C301" s="24" t="n"/>
      <c r="D301" s="24" t="n"/>
      <c r="E301" s="24" t="n"/>
      <c r="F301" s="25">
        <f>IF(E301="","",IF(COUNTIF(lst_Jobs,E301&amp;"")&gt;0,"OK","CHECK"))</f>
        <v/>
      </c>
      <c r="G301" s="24" t="n"/>
      <c r="H301" s="24" t="n"/>
      <c r="I301" s="24" t="n"/>
      <c r="J301" s="24" t="n"/>
      <c r="K301" s="24" t="n"/>
      <c r="L301" s="26" t="n"/>
      <c r="M301" s="27">
        <f>IF(L301="","",IF(K301="GST 10%",ROUND(L301*set_GSTRate,2),0))</f>
        <v/>
      </c>
      <c r="N301" s="27">
        <f>IF(L301="","",L301+M301)</f>
        <v/>
      </c>
      <c r="O301" s="24" t="n"/>
      <c r="P301" s="24" t="n"/>
      <c r="Q301" s="24" t="n"/>
      <c r="R301" s="22" t="n"/>
      <c r="S301" s="22" t="n"/>
      <c r="T301" s="24" t="n"/>
      <c r="U301" s="24" t="n"/>
      <c r="V301" s="2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25">
        <f>IF(E301="","",IF(COUNTIF(tbl_Onsite[Job Number],E301&amp;"")&gt;0,"Onsite",IF(COUNTIF(tbl_Production[Job Number],E301&amp;"")&gt;0,"Production",IF(COUNTIF(tbl_Consulting[Job Number],E301&amp;"")&gt;0,"Consulting","not set up yet"))))</f>
        <v/>
      </c>
      <c r="X301" s="25">
        <f>IF(E301="","",IFERROR(INDEX(lst_JobName,MATCH(E301&amp;"",lst_Jobs,0)),""))</f>
        <v/>
      </c>
      <c r="Y301" s="28">
        <f>IF(E301="","",COUNTIFS(tbl_Finance[Job Number],E301&amp;"",tbl_Finance[Ex GST],"&lt;&gt;"))</f>
        <v/>
      </c>
      <c r="Z301" s="27">
        <f>IF(E301="","",SUMIFS(tbl_Finance[Ex GST],tbl_Finance[Job Number],E301&amp;""))</f>
        <v/>
      </c>
      <c r="AA301" s="27">
        <f>IF(E301="","",SUMIFS(tbl_Finance[Ex GST],tbl_Finance[Job Number],E301&amp;"",tbl_Finance[Xero Invoice No],"&lt;&gt;"))</f>
        <v/>
      </c>
      <c r="AB301" s="27">
        <f>IF(E301="","",Z301-AA301)</f>
        <v/>
      </c>
      <c r="AC301" s="25">
        <f>IF(E301="","",IFERROR(IF(INDEX(tbl_Onsite[Qwilr Quote],IFERROR(MATCH(E301&amp;"",tbl_Onsite[Job Number],0),MATCH(IFERROR(E301+0,E301),tbl_Onsite[Job Number],0)))="","",INDEX(tbl_Onsite[Qwilr Quote],IFERROR(MATCH(E301&amp;"",tbl_Onsite[Job Number],0),MATCH(IFERROR(E301+0,E301),tbl_Onsite[Job Number],0)))),IFERROR(IF(IF(INDEX(tbl_Production[Current RMS No],IFERROR(MATCH(E301&amp;"",tbl_Production[Job Number],0),MATCH(IFERROR(E301+0,E301),tbl_Production[Job Number],0)))="",INDEX(tbl_Production[Qwilr Quote],IFERROR(MATCH(E301&amp;"",tbl_Production[Job Number],0),MATCH(IFERROR(E301+0,E301),tbl_Production[Job Number],0))),INDEX(tbl_Production[Current RMS No],IFERROR(MATCH(E301&amp;"",tbl_Production[Job Number],0),MATCH(IFERROR(E301+0,E301),tbl_Production[Job Number],0))))="","",IF(INDEX(tbl_Production[Current RMS No],IFERROR(MATCH(E301&amp;"",tbl_Production[Job Number],0),MATCH(IFERROR(E301+0,E301),tbl_Production[Job Number],0)))="",INDEX(tbl_Production[Qwilr Quote],IFERROR(MATCH(E301&amp;"",tbl_Production[Job Number],0),MATCH(IFERROR(E301+0,E301),tbl_Production[Job Number],0))),INDEX(tbl_Production[Current RMS No],IFERROR(MATCH(E301&amp;"",tbl_Production[Job Number],0),MATCH(IFERROR(E301+0,E301),tbl_Production[Job Number],0))))),IFERROR(IF(INDEX(tbl_Consulting[Qwilr Quote],IFERROR(MATCH(E301&amp;"",tbl_Consulting[Job Number],0),MATCH(IFERROR(E301+0,E301),tbl_Consulting[Job Number],0)))="","",INDEX(tbl_Consulting[Qwilr Quote],IFERROR(MATCH(E301&amp;"",tbl_Consulting[Job Number],0),MATCH(IFERROR(E301+0,E301),tbl_Consulting[Job Number],0)))),""))))</f>
        <v/>
      </c>
      <c r="AD301" s="25">
        <f>IF(AC301="","",IF(AND(LEFT(AC301,4)&lt;&gt;"http",IF(H301="Production",set_RMSBase,set_QwilrBase)=""),"",HYPERLINK(IF(LEFT(AC301,4)="http",AC301,IF(H301="Production",set_RMSBase,set_QwilrBase)&amp;AC301),"Open")))</f>
        <v/>
      </c>
      <c r="AE301" s="27">
        <f>IF(E301="","",IFERROR(INDEX(tbl_Production[Total Expense],IFERROR(MATCH(E301&amp;"",tbl_Production[Job Number],0),MATCH(IFERROR(E301+0,E301),tbl_Production[Job Number],0))),IFERROR(INDEX(tbl_Consulting[Total Expense],IFERROR(MATCH(E301&amp;"",tbl_Consulting[Job Number],0),MATCH(IFERROR(E301+0,E301),tbl_Consulting[Job Number],0))),0)))</f>
        <v/>
      </c>
      <c r="AF301" s="27">
        <f>IF(E301="","",Z301-N(AE301))</f>
        <v/>
      </c>
      <c r="AG301" s="29">
        <f>IFERROR(AF301/Z301,"")</f>
        <v/>
      </c>
      <c r="AH301" s="25">
        <f>IF(E301="","",IFERROR(IF(INDEX(tbl_Onsite[Notes],IFERROR(MATCH(E301&amp;"",tbl_Onsite[Job Number],0),MATCH(IFERROR(E301+0,E301),tbl_Onsite[Job Number],0)))="","",INDEX(tbl_Onsite[Notes],IFERROR(MATCH(E301&amp;"",tbl_Onsite[Job Number],0),MATCH(IFERROR(E301+0,E301),tbl_Onsite[Job Number],0)))),IFERROR(IF(INDEX(tbl_Production[Notes],IFERROR(MATCH(E301&amp;"",tbl_Production[Job Number],0),MATCH(IFERROR(E301+0,E301),tbl_Production[Job Number],0)))="","",INDEX(tbl_Production[Notes],IFERROR(MATCH(E301&amp;"",tbl_Production[Job Number],0),MATCH(IFERROR(E301+0,E301),tbl_Production[Job Number],0)))),IFERROR(IF(INDEX(tbl_Consulting[Notes],IFERROR(MATCH(E301&amp;"",tbl_Consulting[Job Number],0),MATCH(IFERROR(E301+0,E301),tbl_Consulting[Job Number],0)))="","",INDEX(tbl_Consulting[Notes],IFERROR(MATCH(E301&amp;"",tbl_Consulting[Job Number],0),MATCH(IFERROR(E301+0,E301),tbl_Consulting[Job Number],0)))),""))))</f>
        <v/>
      </c>
    </row>
    <row r="302" ht="15" customHeight="1">
      <c r="A302" s="22" t="n"/>
      <c r="B302" s="23">
        <f>IF(A302="","",EOMONTH(A302,0))</f>
        <v/>
      </c>
      <c r="C302" s="24" t="n"/>
      <c r="D302" s="24" t="n"/>
      <c r="E302" s="24" t="n"/>
      <c r="F302" s="25">
        <f>IF(E302="","",IF(COUNTIF(lst_Jobs,E302&amp;"")&gt;0,"OK","CHECK"))</f>
        <v/>
      </c>
      <c r="G302" s="24" t="n"/>
      <c r="H302" s="24" t="n"/>
      <c r="I302" s="24" t="n"/>
      <c r="J302" s="24" t="n"/>
      <c r="K302" s="24" t="n"/>
      <c r="L302" s="26" t="n"/>
      <c r="M302" s="27">
        <f>IF(L302="","",IF(K302="GST 10%",ROUND(L302*set_GSTRate,2),0))</f>
        <v/>
      </c>
      <c r="N302" s="27">
        <f>IF(L302="","",L302+M302)</f>
        <v/>
      </c>
      <c r="O302" s="24" t="n"/>
      <c r="P302" s="24" t="n"/>
      <c r="Q302" s="24" t="n"/>
      <c r="R302" s="22" t="n"/>
      <c r="S302" s="22" t="n"/>
      <c r="T302" s="24" t="n"/>
      <c r="U302" s="24" t="n"/>
      <c r="V302" s="2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25">
        <f>IF(E302="","",IF(COUNTIF(tbl_Onsite[Job Number],E302&amp;"")&gt;0,"Onsite",IF(COUNTIF(tbl_Production[Job Number],E302&amp;"")&gt;0,"Production",IF(COUNTIF(tbl_Consulting[Job Number],E302&amp;"")&gt;0,"Consulting","not set up yet"))))</f>
        <v/>
      </c>
      <c r="X302" s="25">
        <f>IF(E302="","",IFERROR(INDEX(lst_JobName,MATCH(E302&amp;"",lst_Jobs,0)),""))</f>
        <v/>
      </c>
      <c r="Y302" s="28">
        <f>IF(E302="","",COUNTIFS(tbl_Finance[Job Number],E302&amp;"",tbl_Finance[Ex GST],"&lt;&gt;"))</f>
        <v/>
      </c>
      <c r="Z302" s="27">
        <f>IF(E302="","",SUMIFS(tbl_Finance[Ex GST],tbl_Finance[Job Number],E302&amp;""))</f>
        <v/>
      </c>
      <c r="AA302" s="27">
        <f>IF(E302="","",SUMIFS(tbl_Finance[Ex GST],tbl_Finance[Job Number],E302&amp;"",tbl_Finance[Xero Invoice No],"&lt;&gt;"))</f>
        <v/>
      </c>
      <c r="AB302" s="27">
        <f>IF(E302="","",Z302-AA302)</f>
        <v/>
      </c>
      <c r="AC302" s="25">
        <f>IF(E302="","",IFERROR(IF(INDEX(tbl_Onsite[Qwilr Quote],IFERROR(MATCH(E302&amp;"",tbl_Onsite[Job Number],0),MATCH(IFERROR(E302+0,E302),tbl_Onsite[Job Number],0)))="","",INDEX(tbl_Onsite[Qwilr Quote],IFERROR(MATCH(E302&amp;"",tbl_Onsite[Job Number],0),MATCH(IFERROR(E302+0,E302),tbl_Onsite[Job Number],0)))),IFERROR(IF(IF(INDEX(tbl_Production[Current RMS No],IFERROR(MATCH(E302&amp;"",tbl_Production[Job Number],0),MATCH(IFERROR(E302+0,E302),tbl_Production[Job Number],0)))="",INDEX(tbl_Production[Qwilr Quote],IFERROR(MATCH(E302&amp;"",tbl_Production[Job Number],0),MATCH(IFERROR(E302+0,E302),tbl_Production[Job Number],0))),INDEX(tbl_Production[Current RMS No],IFERROR(MATCH(E302&amp;"",tbl_Production[Job Number],0),MATCH(IFERROR(E302+0,E302),tbl_Production[Job Number],0))))="","",IF(INDEX(tbl_Production[Current RMS No],IFERROR(MATCH(E302&amp;"",tbl_Production[Job Number],0),MATCH(IFERROR(E302+0,E302),tbl_Production[Job Number],0)))="",INDEX(tbl_Production[Qwilr Quote],IFERROR(MATCH(E302&amp;"",tbl_Production[Job Number],0),MATCH(IFERROR(E302+0,E302),tbl_Production[Job Number],0))),INDEX(tbl_Production[Current RMS No],IFERROR(MATCH(E302&amp;"",tbl_Production[Job Number],0),MATCH(IFERROR(E302+0,E302),tbl_Production[Job Number],0))))),IFERROR(IF(INDEX(tbl_Consulting[Qwilr Quote],IFERROR(MATCH(E302&amp;"",tbl_Consulting[Job Number],0),MATCH(IFERROR(E302+0,E302),tbl_Consulting[Job Number],0)))="","",INDEX(tbl_Consulting[Qwilr Quote],IFERROR(MATCH(E302&amp;"",tbl_Consulting[Job Number],0),MATCH(IFERROR(E302+0,E302),tbl_Consulting[Job Number],0)))),""))))</f>
        <v/>
      </c>
      <c r="AD302" s="25">
        <f>IF(AC302="","",IF(AND(LEFT(AC302,4)&lt;&gt;"http",IF(H302="Production",set_RMSBase,set_QwilrBase)=""),"",HYPERLINK(IF(LEFT(AC302,4)="http",AC302,IF(H302="Production",set_RMSBase,set_QwilrBase)&amp;AC302),"Open")))</f>
        <v/>
      </c>
      <c r="AE302" s="27">
        <f>IF(E302="","",IFERROR(INDEX(tbl_Production[Total Expense],IFERROR(MATCH(E302&amp;"",tbl_Production[Job Number],0),MATCH(IFERROR(E302+0,E302),tbl_Production[Job Number],0))),IFERROR(INDEX(tbl_Consulting[Total Expense],IFERROR(MATCH(E302&amp;"",tbl_Consulting[Job Number],0),MATCH(IFERROR(E302+0,E302),tbl_Consulting[Job Number],0))),0)))</f>
        <v/>
      </c>
      <c r="AF302" s="27">
        <f>IF(E302="","",Z302-N(AE302))</f>
        <v/>
      </c>
      <c r="AG302" s="29">
        <f>IFERROR(AF302/Z302,"")</f>
        <v/>
      </c>
      <c r="AH302" s="25">
        <f>IF(E302="","",IFERROR(IF(INDEX(tbl_Onsite[Notes],IFERROR(MATCH(E302&amp;"",tbl_Onsite[Job Number],0),MATCH(IFERROR(E302+0,E302),tbl_Onsite[Job Number],0)))="","",INDEX(tbl_Onsite[Notes],IFERROR(MATCH(E302&amp;"",tbl_Onsite[Job Number],0),MATCH(IFERROR(E302+0,E302),tbl_Onsite[Job Number],0)))),IFERROR(IF(INDEX(tbl_Production[Notes],IFERROR(MATCH(E302&amp;"",tbl_Production[Job Number],0),MATCH(IFERROR(E302+0,E302),tbl_Production[Job Number],0)))="","",INDEX(tbl_Production[Notes],IFERROR(MATCH(E302&amp;"",tbl_Production[Job Number],0),MATCH(IFERROR(E302+0,E302),tbl_Production[Job Number],0)))),IFERROR(IF(INDEX(tbl_Consulting[Notes],IFERROR(MATCH(E302&amp;"",tbl_Consulting[Job Number],0),MATCH(IFERROR(E302+0,E302),tbl_Consulting[Job Number],0)))="","",INDEX(tbl_Consulting[Notes],IFERROR(MATCH(E302&amp;"",tbl_Consulting[Job Number],0),MATCH(IFERROR(E302+0,E302),tbl_Consulting[Job Number],0)))),""))))</f>
        <v/>
      </c>
    </row>
    <row r="303" ht="15" customHeight="1">
      <c r="A303" s="22" t="n"/>
      <c r="B303" s="23">
        <f>IF(A303="","",EOMONTH(A303,0))</f>
        <v/>
      </c>
      <c r="C303" s="24" t="n"/>
      <c r="D303" s="24" t="n"/>
      <c r="E303" s="24" t="n"/>
      <c r="F303" s="25">
        <f>IF(E303="","",IF(COUNTIF(lst_Jobs,E303&amp;"")&gt;0,"OK","CHECK"))</f>
        <v/>
      </c>
      <c r="G303" s="24" t="n"/>
      <c r="H303" s="24" t="n"/>
      <c r="I303" s="24" t="n"/>
      <c r="J303" s="24" t="n"/>
      <c r="K303" s="24" t="n"/>
      <c r="L303" s="26" t="n"/>
      <c r="M303" s="27">
        <f>IF(L303="","",IF(K303="GST 10%",ROUND(L303*set_GSTRate,2),0))</f>
        <v/>
      </c>
      <c r="N303" s="27">
        <f>IF(L303="","",L303+M303)</f>
        <v/>
      </c>
      <c r="O303" s="24" t="n"/>
      <c r="P303" s="24" t="n"/>
      <c r="Q303" s="24" t="n"/>
      <c r="R303" s="22" t="n"/>
      <c r="S303" s="22" t="n"/>
      <c r="T303" s="24" t="n"/>
      <c r="U303" s="24" t="n"/>
      <c r="V303" s="2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25">
        <f>IF(E303="","",IF(COUNTIF(tbl_Onsite[Job Number],E303&amp;"")&gt;0,"Onsite",IF(COUNTIF(tbl_Production[Job Number],E303&amp;"")&gt;0,"Production",IF(COUNTIF(tbl_Consulting[Job Number],E303&amp;"")&gt;0,"Consulting","not set up yet"))))</f>
        <v/>
      </c>
      <c r="X303" s="25">
        <f>IF(E303="","",IFERROR(INDEX(lst_JobName,MATCH(E303&amp;"",lst_Jobs,0)),""))</f>
        <v/>
      </c>
      <c r="Y303" s="28">
        <f>IF(E303="","",COUNTIFS(tbl_Finance[Job Number],E303&amp;"",tbl_Finance[Ex GST],"&lt;&gt;"))</f>
        <v/>
      </c>
      <c r="Z303" s="27">
        <f>IF(E303="","",SUMIFS(tbl_Finance[Ex GST],tbl_Finance[Job Number],E303&amp;""))</f>
        <v/>
      </c>
      <c r="AA303" s="27">
        <f>IF(E303="","",SUMIFS(tbl_Finance[Ex GST],tbl_Finance[Job Number],E303&amp;"",tbl_Finance[Xero Invoice No],"&lt;&gt;"))</f>
        <v/>
      </c>
      <c r="AB303" s="27">
        <f>IF(E303="","",Z303-AA303)</f>
        <v/>
      </c>
      <c r="AC303" s="25">
        <f>IF(E303="","",IFERROR(IF(INDEX(tbl_Onsite[Qwilr Quote],IFERROR(MATCH(E303&amp;"",tbl_Onsite[Job Number],0),MATCH(IFERROR(E303+0,E303),tbl_Onsite[Job Number],0)))="","",INDEX(tbl_Onsite[Qwilr Quote],IFERROR(MATCH(E303&amp;"",tbl_Onsite[Job Number],0),MATCH(IFERROR(E303+0,E303),tbl_Onsite[Job Number],0)))),IFERROR(IF(IF(INDEX(tbl_Production[Current RMS No],IFERROR(MATCH(E303&amp;"",tbl_Production[Job Number],0),MATCH(IFERROR(E303+0,E303),tbl_Production[Job Number],0)))="",INDEX(tbl_Production[Qwilr Quote],IFERROR(MATCH(E303&amp;"",tbl_Production[Job Number],0),MATCH(IFERROR(E303+0,E303),tbl_Production[Job Number],0))),INDEX(tbl_Production[Current RMS No],IFERROR(MATCH(E303&amp;"",tbl_Production[Job Number],0),MATCH(IFERROR(E303+0,E303),tbl_Production[Job Number],0))))="","",IF(INDEX(tbl_Production[Current RMS No],IFERROR(MATCH(E303&amp;"",tbl_Production[Job Number],0),MATCH(IFERROR(E303+0,E303),tbl_Production[Job Number],0)))="",INDEX(tbl_Production[Qwilr Quote],IFERROR(MATCH(E303&amp;"",tbl_Production[Job Number],0),MATCH(IFERROR(E303+0,E303),tbl_Production[Job Number],0))),INDEX(tbl_Production[Current RMS No],IFERROR(MATCH(E303&amp;"",tbl_Production[Job Number],0),MATCH(IFERROR(E303+0,E303),tbl_Production[Job Number],0))))),IFERROR(IF(INDEX(tbl_Consulting[Qwilr Quote],IFERROR(MATCH(E303&amp;"",tbl_Consulting[Job Number],0),MATCH(IFERROR(E303+0,E303),tbl_Consulting[Job Number],0)))="","",INDEX(tbl_Consulting[Qwilr Quote],IFERROR(MATCH(E303&amp;"",tbl_Consulting[Job Number],0),MATCH(IFERROR(E303+0,E303),tbl_Consulting[Job Number],0)))),""))))</f>
        <v/>
      </c>
      <c r="AD303" s="25">
        <f>IF(AC303="","",IF(AND(LEFT(AC303,4)&lt;&gt;"http",IF(H303="Production",set_RMSBase,set_QwilrBase)=""),"",HYPERLINK(IF(LEFT(AC303,4)="http",AC303,IF(H303="Production",set_RMSBase,set_QwilrBase)&amp;AC303),"Open")))</f>
        <v/>
      </c>
      <c r="AE303" s="27">
        <f>IF(E303="","",IFERROR(INDEX(tbl_Production[Total Expense],IFERROR(MATCH(E303&amp;"",tbl_Production[Job Number],0),MATCH(IFERROR(E303+0,E303),tbl_Production[Job Number],0))),IFERROR(INDEX(tbl_Consulting[Total Expense],IFERROR(MATCH(E303&amp;"",tbl_Consulting[Job Number],0),MATCH(IFERROR(E303+0,E303),tbl_Consulting[Job Number],0))),0)))</f>
        <v/>
      </c>
      <c r="AF303" s="27">
        <f>IF(E303="","",Z303-N(AE303))</f>
        <v/>
      </c>
      <c r="AG303" s="29">
        <f>IFERROR(AF303/Z303,"")</f>
        <v/>
      </c>
      <c r="AH303" s="25">
        <f>IF(E303="","",IFERROR(IF(INDEX(tbl_Onsite[Notes],IFERROR(MATCH(E303&amp;"",tbl_Onsite[Job Number],0),MATCH(IFERROR(E303+0,E303),tbl_Onsite[Job Number],0)))="","",INDEX(tbl_Onsite[Notes],IFERROR(MATCH(E303&amp;"",tbl_Onsite[Job Number],0),MATCH(IFERROR(E303+0,E303),tbl_Onsite[Job Number],0)))),IFERROR(IF(INDEX(tbl_Production[Notes],IFERROR(MATCH(E303&amp;"",tbl_Production[Job Number],0),MATCH(IFERROR(E303+0,E303),tbl_Production[Job Number],0)))="","",INDEX(tbl_Production[Notes],IFERROR(MATCH(E303&amp;"",tbl_Production[Job Number],0),MATCH(IFERROR(E303+0,E303),tbl_Production[Job Number],0)))),IFERROR(IF(INDEX(tbl_Consulting[Notes],IFERROR(MATCH(E303&amp;"",tbl_Consulting[Job Number],0),MATCH(IFERROR(E303+0,E303),tbl_Consulting[Job Number],0)))="","",INDEX(tbl_Consulting[Notes],IFERROR(MATCH(E303&amp;"",tbl_Consulting[Job Number],0),MATCH(IFERROR(E303+0,E303),tbl_Consulting[Job Number],0)))),""))))</f>
        <v/>
      </c>
    </row>
    <row r="304" ht="15" customHeight="1">
      <c r="A304" s="22" t="n"/>
      <c r="B304" s="23">
        <f>IF(A304="","",EOMONTH(A304,0))</f>
        <v/>
      </c>
      <c r="C304" s="24" t="n"/>
      <c r="D304" s="24" t="n"/>
      <c r="E304" s="24" t="n"/>
      <c r="F304" s="25">
        <f>IF(E304="","",IF(COUNTIF(lst_Jobs,E304&amp;"")&gt;0,"OK","CHECK"))</f>
        <v/>
      </c>
      <c r="G304" s="24" t="n"/>
      <c r="H304" s="24" t="n"/>
      <c r="I304" s="24" t="n"/>
      <c r="J304" s="24" t="n"/>
      <c r="K304" s="24" t="n"/>
      <c r="L304" s="26" t="n"/>
      <c r="M304" s="27">
        <f>IF(L304="","",IF(K304="GST 10%",ROUND(L304*set_GSTRate,2),0))</f>
        <v/>
      </c>
      <c r="N304" s="27">
        <f>IF(L304="","",L304+M304)</f>
        <v/>
      </c>
      <c r="O304" s="24" t="n"/>
      <c r="P304" s="24" t="n"/>
      <c r="Q304" s="24" t="n"/>
      <c r="R304" s="22" t="n"/>
      <c r="S304" s="22" t="n"/>
      <c r="T304" s="24" t="n"/>
      <c r="U304" s="24" t="n"/>
      <c r="V304" s="2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25">
        <f>IF(E304="","",IF(COUNTIF(tbl_Onsite[Job Number],E304&amp;"")&gt;0,"Onsite",IF(COUNTIF(tbl_Production[Job Number],E304&amp;"")&gt;0,"Production",IF(COUNTIF(tbl_Consulting[Job Number],E304&amp;"")&gt;0,"Consulting","not set up yet"))))</f>
        <v/>
      </c>
      <c r="X304" s="25">
        <f>IF(E304="","",IFERROR(INDEX(lst_JobName,MATCH(E304&amp;"",lst_Jobs,0)),""))</f>
        <v/>
      </c>
      <c r="Y304" s="28">
        <f>IF(E304="","",COUNTIFS(tbl_Finance[Job Number],E304&amp;"",tbl_Finance[Ex GST],"&lt;&gt;"))</f>
        <v/>
      </c>
      <c r="Z304" s="27">
        <f>IF(E304="","",SUMIFS(tbl_Finance[Ex GST],tbl_Finance[Job Number],E304&amp;""))</f>
        <v/>
      </c>
      <c r="AA304" s="27">
        <f>IF(E304="","",SUMIFS(tbl_Finance[Ex GST],tbl_Finance[Job Number],E304&amp;"",tbl_Finance[Xero Invoice No],"&lt;&gt;"))</f>
        <v/>
      </c>
      <c r="AB304" s="27">
        <f>IF(E304="","",Z304-AA304)</f>
        <v/>
      </c>
      <c r="AC304" s="25">
        <f>IF(E304="","",IFERROR(IF(INDEX(tbl_Onsite[Qwilr Quote],IFERROR(MATCH(E304&amp;"",tbl_Onsite[Job Number],0),MATCH(IFERROR(E304+0,E304),tbl_Onsite[Job Number],0)))="","",INDEX(tbl_Onsite[Qwilr Quote],IFERROR(MATCH(E304&amp;"",tbl_Onsite[Job Number],0),MATCH(IFERROR(E304+0,E304),tbl_Onsite[Job Number],0)))),IFERROR(IF(IF(INDEX(tbl_Production[Current RMS No],IFERROR(MATCH(E304&amp;"",tbl_Production[Job Number],0),MATCH(IFERROR(E304+0,E304),tbl_Production[Job Number],0)))="",INDEX(tbl_Production[Qwilr Quote],IFERROR(MATCH(E304&amp;"",tbl_Production[Job Number],0),MATCH(IFERROR(E304+0,E304),tbl_Production[Job Number],0))),INDEX(tbl_Production[Current RMS No],IFERROR(MATCH(E304&amp;"",tbl_Production[Job Number],0),MATCH(IFERROR(E304+0,E304),tbl_Production[Job Number],0))))="","",IF(INDEX(tbl_Production[Current RMS No],IFERROR(MATCH(E304&amp;"",tbl_Production[Job Number],0),MATCH(IFERROR(E304+0,E304),tbl_Production[Job Number],0)))="",INDEX(tbl_Production[Qwilr Quote],IFERROR(MATCH(E304&amp;"",tbl_Production[Job Number],0),MATCH(IFERROR(E304+0,E304),tbl_Production[Job Number],0))),INDEX(tbl_Production[Current RMS No],IFERROR(MATCH(E304&amp;"",tbl_Production[Job Number],0),MATCH(IFERROR(E304+0,E304),tbl_Production[Job Number],0))))),IFERROR(IF(INDEX(tbl_Consulting[Qwilr Quote],IFERROR(MATCH(E304&amp;"",tbl_Consulting[Job Number],0),MATCH(IFERROR(E304+0,E304),tbl_Consulting[Job Number],0)))="","",INDEX(tbl_Consulting[Qwilr Quote],IFERROR(MATCH(E304&amp;"",tbl_Consulting[Job Number],0),MATCH(IFERROR(E304+0,E304),tbl_Consulting[Job Number],0)))),""))))</f>
        <v/>
      </c>
      <c r="AD304" s="25">
        <f>IF(AC304="","",IF(AND(LEFT(AC304,4)&lt;&gt;"http",IF(H304="Production",set_RMSBase,set_QwilrBase)=""),"",HYPERLINK(IF(LEFT(AC304,4)="http",AC304,IF(H304="Production",set_RMSBase,set_QwilrBase)&amp;AC304),"Open")))</f>
        <v/>
      </c>
      <c r="AE304" s="27">
        <f>IF(E304="","",IFERROR(INDEX(tbl_Production[Total Expense],IFERROR(MATCH(E304&amp;"",tbl_Production[Job Number],0),MATCH(IFERROR(E304+0,E304),tbl_Production[Job Number],0))),IFERROR(INDEX(tbl_Consulting[Total Expense],IFERROR(MATCH(E304&amp;"",tbl_Consulting[Job Number],0),MATCH(IFERROR(E304+0,E304),tbl_Consulting[Job Number],0))),0)))</f>
        <v/>
      </c>
      <c r="AF304" s="27">
        <f>IF(E304="","",Z304-N(AE304))</f>
        <v/>
      </c>
      <c r="AG304" s="29">
        <f>IFERROR(AF304/Z304,"")</f>
        <v/>
      </c>
      <c r="AH304" s="25">
        <f>IF(E304="","",IFERROR(IF(INDEX(tbl_Onsite[Notes],IFERROR(MATCH(E304&amp;"",tbl_Onsite[Job Number],0),MATCH(IFERROR(E304+0,E304),tbl_Onsite[Job Number],0)))="","",INDEX(tbl_Onsite[Notes],IFERROR(MATCH(E304&amp;"",tbl_Onsite[Job Number],0),MATCH(IFERROR(E304+0,E304),tbl_Onsite[Job Number],0)))),IFERROR(IF(INDEX(tbl_Production[Notes],IFERROR(MATCH(E304&amp;"",tbl_Production[Job Number],0),MATCH(IFERROR(E304+0,E304),tbl_Production[Job Number],0)))="","",INDEX(tbl_Production[Notes],IFERROR(MATCH(E304&amp;"",tbl_Production[Job Number],0),MATCH(IFERROR(E304+0,E304),tbl_Production[Job Number],0)))),IFERROR(IF(INDEX(tbl_Consulting[Notes],IFERROR(MATCH(E304&amp;"",tbl_Consulting[Job Number],0),MATCH(IFERROR(E304+0,E304),tbl_Consulting[Job Number],0)))="","",INDEX(tbl_Consulting[Notes],IFERROR(MATCH(E304&amp;"",tbl_Consulting[Job Number],0),MATCH(IFERROR(E304+0,E304),tbl_Consulting[Job Number],0)))),""))))</f>
        <v/>
      </c>
    </row>
    <row r="305" ht="15" customHeight="1">
      <c r="A305" s="22" t="n"/>
      <c r="B305" s="23">
        <f>IF(A305="","",EOMONTH(A305,0))</f>
        <v/>
      </c>
      <c r="C305" s="24" t="n"/>
      <c r="D305" s="24" t="n"/>
      <c r="E305" s="24" t="n"/>
      <c r="F305" s="25">
        <f>IF(E305="","",IF(COUNTIF(lst_Jobs,E305&amp;"")&gt;0,"OK","CHECK"))</f>
        <v/>
      </c>
      <c r="G305" s="24" t="n"/>
      <c r="H305" s="24" t="n"/>
      <c r="I305" s="24" t="n"/>
      <c r="J305" s="24" t="n"/>
      <c r="K305" s="24" t="n"/>
      <c r="L305" s="26" t="n"/>
      <c r="M305" s="27">
        <f>IF(L305="","",IF(K305="GST 10%",ROUND(L305*set_GSTRate,2),0))</f>
        <v/>
      </c>
      <c r="N305" s="27">
        <f>IF(L305="","",L305+M305)</f>
        <v/>
      </c>
      <c r="O305" s="24" t="n"/>
      <c r="P305" s="24" t="n"/>
      <c r="Q305" s="24" t="n"/>
      <c r="R305" s="22" t="n"/>
      <c r="S305" s="22" t="n"/>
      <c r="T305" s="24" t="n"/>
      <c r="U305" s="24" t="n"/>
      <c r="V305" s="2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25">
        <f>IF(E305="","",IF(COUNTIF(tbl_Onsite[Job Number],E305&amp;"")&gt;0,"Onsite",IF(COUNTIF(tbl_Production[Job Number],E305&amp;"")&gt;0,"Production",IF(COUNTIF(tbl_Consulting[Job Number],E305&amp;"")&gt;0,"Consulting","not set up yet"))))</f>
        <v/>
      </c>
      <c r="X305" s="25">
        <f>IF(E305="","",IFERROR(INDEX(lst_JobName,MATCH(E305&amp;"",lst_Jobs,0)),""))</f>
        <v/>
      </c>
      <c r="Y305" s="28">
        <f>IF(E305="","",COUNTIFS(tbl_Finance[Job Number],E305&amp;"",tbl_Finance[Ex GST],"&lt;&gt;"))</f>
        <v/>
      </c>
      <c r="Z305" s="27">
        <f>IF(E305="","",SUMIFS(tbl_Finance[Ex GST],tbl_Finance[Job Number],E305&amp;""))</f>
        <v/>
      </c>
      <c r="AA305" s="27">
        <f>IF(E305="","",SUMIFS(tbl_Finance[Ex GST],tbl_Finance[Job Number],E305&amp;"",tbl_Finance[Xero Invoice No],"&lt;&gt;"))</f>
        <v/>
      </c>
      <c r="AB305" s="27">
        <f>IF(E305="","",Z305-AA305)</f>
        <v/>
      </c>
      <c r="AC305" s="25">
        <f>IF(E305="","",IFERROR(IF(INDEX(tbl_Onsite[Qwilr Quote],IFERROR(MATCH(E305&amp;"",tbl_Onsite[Job Number],0),MATCH(IFERROR(E305+0,E305),tbl_Onsite[Job Number],0)))="","",INDEX(tbl_Onsite[Qwilr Quote],IFERROR(MATCH(E305&amp;"",tbl_Onsite[Job Number],0),MATCH(IFERROR(E305+0,E305),tbl_Onsite[Job Number],0)))),IFERROR(IF(IF(INDEX(tbl_Production[Current RMS No],IFERROR(MATCH(E305&amp;"",tbl_Production[Job Number],0),MATCH(IFERROR(E305+0,E305),tbl_Production[Job Number],0)))="",INDEX(tbl_Production[Qwilr Quote],IFERROR(MATCH(E305&amp;"",tbl_Production[Job Number],0),MATCH(IFERROR(E305+0,E305),tbl_Production[Job Number],0))),INDEX(tbl_Production[Current RMS No],IFERROR(MATCH(E305&amp;"",tbl_Production[Job Number],0),MATCH(IFERROR(E305+0,E305),tbl_Production[Job Number],0))))="","",IF(INDEX(tbl_Production[Current RMS No],IFERROR(MATCH(E305&amp;"",tbl_Production[Job Number],0),MATCH(IFERROR(E305+0,E305),tbl_Production[Job Number],0)))="",INDEX(tbl_Production[Qwilr Quote],IFERROR(MATCH(E305&amp;"",tbl_Production[Job Number],0),MATCH(IFERROR(E305+0,E305),tbl_Production[Job Number],0))),INDEX(tbl_Production[Current RMS No],IFERROR(MATCH(E305&amp;"",tbl_Production[Job Number],0),MATCH(IFERROR(E305+0,E305),tbl_Production[Job Number],0))))),IFERROR(IF(INDEX(tbl_Consulting[Qwilr Quote],IFERROR(MATCH(E305&amp;"",tbl_Consulting[Job Number],0),MATCH(IFERROR(E305+0,E305),tbl_Consulting[Job Number],0)))="","",INDEX(tbl_Consulting[Qwilr Quote],IFERROR(MATCH(E305&amp;"",tbl_Consulting[Job Number],0),MATCH(IFERROR(E305+0,E305),tbl_Consulting[Job Number],0)))),""))))</f>
        <v/>
      </c>
      <c r="AD305" s="25">
        <f>IF(AC305="","",IF(AND(LEFT(AC305,4)&lt;&gt;"http",IF(H305="Production",set_RMSBase,set_QwilrBase)=""),"",HYPERLINK(IF(LEFT(AC305,4)="http",AC305,IF(H305="Production",set_RMSBase,set_QwilrBase)&amp;AC305),"Open")))</f>
        <v/>
      </c>
      <c r="AE305" s="27">
        <f>IF(E305="","",IFERROR(INDEX(tbl_Production[Total Expense],IFERROR(MATCH(E305&amp;"",tbl_Production[Job Number],0),MATCH(IFERROR(E305+0,E305),tbl_Production[Job Number],0))),IFERROR(INDEX(tbl_Consulting[Total Expense],IFERROR(MATCH(E305&amp;"",tbl_Consulting[Job Number],0),MATCH(IFERROR(E305+0,E305),tbl_Consulting[Job Number],0))),0)))</f>
        <v/>
      </c>
      <c r="AF305" s="27">
        <f>IF(E305="","",Z305-N(AE305))</f>
        <v/>
      </c>
      <c r="AG305" s="29">
        <f>IFERROR(AF305/Z305,"")</f>
        <v/>
      </c>
      <c r="AH305" s="25">
        <f>IF(E305="","",IFERROR(IF(INDEX(tbl_Onsite[Notes],IFERROR(MATCH(E305&amp;"",tbl_Onsite[Job Number],0),MATCH(IFERROR(E305+0,E305),tbl_Onsite[Job Number],0)))="","",INDEX(tbl_Onsite[Notes],IFERROR(MATCH(E305&amp;"",tbl_Onsite[Job Number],0),MATCH(IFERROR(E305+0,E305),tbl_Onsite[Job Number],0)))),IFERROR(IF(INDEX(tbl_Production[Notes],IFERROR(MATCH(E305&amp;"",tbl_Production[Job Number],0),MATCH(IFERROR(E305+0,E305),tbl_Production[Job Number],0)))="","",INDEX(tbl_Production[Notes],IFERROR(MATCH(E305&amp;"",tbl_Production[Job Number],0),MATCH(IFERROR(E305+0,E305),tbl_Production[Job Number],0)))),IFERROR(IF(INDEX(tbl_Consulting[Notes],IFERROR(MATCH(E305&amp;"",tbl_Consulting[Job Number],0),MATCH(IFERROR(E305+0,E305),tbl_Consulting[Job Number],0)))="","",INDEX(tbl_Consulting[Notes],IFERROR(MATCH(E305&amp;"",tbl_Consulting[Job Number],0),MATCH(IFERROR(E305+0,E305),tbl_Consulting[Job Number],0)))),""))))</f>
        <v/>
      </c>
    </row>
    <row r="306" ht="15" customHeight="1">
      <c r="A306" s="22" t="n"/>
      <c r="B306" s="23">
        <f>IF(A306="","",EOMONTH(A306,0))</f>
        <v/>
      </c>
      <c r="C306" s="24" t="n"/>
      <c r="D306" s="24" t="n"/>
      <c r="E306" s="24" t="n"/>
      <c r="F306" s="25">
        <f>IF(E306="","",IF(COUNTIF(lst_Jobs,E306&amp;"")&gt;0,"OK","CHECK"))</f>
        <v/>
      </c>
      <c r="G306" s="24" t="n"/>
      <c r="H306" s="24" t="n"/>
      <c r="I306" s="24" t="n"/>
      <c r="J306" s="24" t="n"/>
      <c r="K306" s="24" t="n"/>
      <c r="L306" s="26" t="n"/>
      <c r="M306" s="27">
        <f>IF(L306="","",IF(K306="GST 10%",ROUND(L306*set_GSTRate,2),0))</f>
        <v/>
      </c>
      <c r="N306" s="27">
        <f>IF(L306="","",L306+M306)</f>
        <v/>
      </c>
      <c r="O306" s="24" t="n"/>
      <c r="P306" s="24" t="n"/>
      <c r="Q306" s="24" t="n"/>
      <c r="R306" s="22" t="n"/>
      <c r="S306" s="22" t="n"/>
      <c r="T306" s="24" t="n"/>
      <c r="U306" s="24" t="n"/>
      <c r="V306" s="2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25">
        <f>IF(E306="","",IF(COUNTIF(tbl_Onsite[Job Number],E306&amp;"")&gt;0,"Onsite",IF(COUNTIF(tbl_Production[Job Number],E306&amp;"")&gt;0,"Production",IF(COUNTIF(tbl_Consulting[Job Number],E306&amp;"")&gt;0,"Consulting","not set up yet"))))</f>
        <v/>
      </c>
      <c r="X306" s="25">
        <f>IF(E306="","",IFERROR(INDEX(lst_JobName,MATCH(E306&amp;"",lst_Jobs,0)),""))</f>
        <v/>
      </c>
      <c r="Y306" s="28">
        <f>IF(E306="","",COUNTIFS(tbl_Finance[Job Number],E306&amp;"",tbl_Finance[Ex GST],"&lt;&gt;"))</f>
        <v/>
      </c>
      <c r="Z306" s="27">
        <f>IF(E306="","",SUMIFS(tbl_Finance[Ex GST],tbl_Finance[Job Number],E306&amp;""))</f>
        <v/>
      </c>
      <c r="AA306" s="27">
        <f>IF(E306="","",SUMIFS(tbl_Finance[Ex GST],tbl_Finance[Job Number],E306&amp;"",tbl_Finance[Xero Invoice No],"&lt;&gt;"))</f>
        <v/>
      </c>
      <c r="AB306" s="27">
        <f>IF(E306="","",Z306-AA306)</f>
        <v/>
      </c>
      <c r="AC306" s="25">
        <f>IF(E306="","",IFERROR(IF(INDEX(tbl_Onsite[Qwilr Quote],IFERROR(MATCH(E306&amp;"",tbl_Onsite[Job Number],0),MATCH(IFERROR(E306+0,E306),tbl_Onsite[Job Number],0)))="","",INDEX(tbl_Onsite[Qwilr Quote],IFERROR(MATCH(E306&amp;"",tbl_Onsite[Job Number],0),MATCH(IFERROR(E306+0,E306),tbl_Onsite[Job Number],0)))),IFERROR(IF(IF(INDEX(tbl_Production[Current RMS No],IFERROR(MATCH(E306&amp;"",tbl_Production[Job Number],0),MATCH(IFERROR(E306+0,E306),tbl_Production[Job Number],0)))="",INDEX(tbl_Production[Qwilr Quote],IFERROR(MATCH(E306&amp;"",tbl_Production[Job Number],0),MATCH(IFERROR(E306+0,E306),tbl_Production[Job Number],0))),INDEX(tbl_Production[Current RMS No],IFERROR(MATCH(E306&amp;"",tbl_Production[Job Number],0),MATCH(IFERROR(E306+0,E306),tbl_Production[Job Number],0))))="","",IF(INDEX(tbl_Production[Current RMS No],IFERROR(MATCH(E306&amp;"",tbl_Production[Job Number],0),MATCH(IFERROR(E306+0,E306),tbl_Production[Job Number],0)))="",INDEX(tbl_Production[Qwilr Quote],IFERROR(MATCH(E306&amp;"",tbl_Production[Job Number],0),MATCH(IFERROR(E306+0,E306),tbl_Production[Job Number],0))),INDEX(tbl_Production[Current RMS No],IFERROR(MATCH(E306&amp;"",tbl_Production[Job Number],0),MATCH(IFERROR(E306+0,E306),tbl_Production[Job Number],0))))),IFERROR(IF(INDEX(tbl_Consulting[Qwilr Quote],IFERROR(MATCH(E306&amp;"",tbl_Consulting[Job Number],0),MATCH(IFERROR(E306+0,E306),tbl_Consulting[Job Number],0)))="","",INDEX(tbl_Consulting[Qwilr Quote],IFERROR(MATCH(E306&amp;"",tbl_Consulting[Job Number],0),MATCH(IFERROR(E306+0,E306),tbl_Consulting[Job Number],0)))),""))))</f>
        <v/>
      </c>
      <c r="AD306" s="25">
        <f>IF(AC306="","",IF(AND(LEFT(AC306,4)&lt;&gt;"http",IF(H306="Production",set_RMSBase,set_QwilrBase)=""),"",HYPERLINK(IF(LEFT(AC306,4)="http",AC306,IF(H306="Production",set_RMSBase,set_QwilrBase)&amp;AC306),"Open")))</f>
        <v/>
      </c>
      <c r="AE306" s="27">
        <f>IF(E306="","",IFERROR(INDEX(tbl_Production[Total Expense],IFERROR(MATCH(E306&amp;"",tbl_Production[Job Number],0),MATCH(IFERROR(E306+0,E306),tbl_Production[Job Number],0))),IFERROR(INDEX(tbl_Consulting[Total Expense],IFERROR(MATCH(E306&amp;"",tbl_Consulting[Job Number],0),MATCH(IFERROR(E306+0,E306),tbl_Consulting[Job Number],0))),0)))</f>
        <v/>
      </c>
      <c r="AF306" s="27">
        <f>IF(E306="","",Z306-N(AE306))</f>
        <v/>
      </c>
      <c r="AG306" s="29">
        <f>IFERROR(AF306/Z306,"")</f>
        <v/>
      </c>
      <c r="AH306" s="25">
        <f>IF(E306="","",IFERROR(IF(INDEX(tbl_Onsite[Notes],IFERROR(MATCH(E306&amp;"",tbl_Onsite[Job Number],0),MATCH(IFERROR(E306+0,E306),tbl_Onsite[Job Number],0)))="","",INDEX(tbl_Onsite[Notes],IFERROR(MATCH(E306&amp;"",tbl_Onsite[Job Number],0),MATCH(IFERROR(E306+0,E306),tbl_Onsite[Job Number],0)))),IFERROR(IF(INDEX(tbl_Production[Notes],IFERROR(MATCH(E306&amp;"",tbl_Production[Job Number],0),MATCH(IFERROR(E306+0,E306),tbl_Production[Job Number],0)))="","",INDEX(tbl_Production[Notes],IFERROR(MATCH(E306&amp;"",tbl_Production[Job Number],0),MATCH(IFERROR(E306+0,E306),tbl_Production[Job Number],0)))),IFERROR(IF(INDEX(tbl_Consulting[Notes],IFERROR(MATCH(E306&amp;"",tbl_Consulting[Job Number],0),MATCH(IFERROR(E306+0,E306),tbl_Consulting[Job Number],0)))="","",INDEX(tbl_Consulting[Notes],IFERROR(MATCH(E306&amp;"",tbl_Consulting[Job Number],0),MATCH(IFERROR(E306+0,E306),tbl_Consulting[Job Number],0)))),""))))</f>
        <v/>
      </c>
    </row>
    <row r="307" ht="15" customHeight="1">
      <c r="A307" s="22" t="n"/>
      <c r="B307" s="23">
        <f>IF(A307="","",EOMONTH(A307,0))</f>
        <v/>
      </c>
      <c r="C307" s="24" t="n"/>
      <c r="D307" s="24" t="n"/>
      <c r="E307" s="24" t="n"/>
      <c r="F307" s="25">
        <f>IF(E307="","",IF(COUNTIF(lst_Jobs,E307&amp;"")&gt;0,"OK","CHECK"))</f>
        <v/>
      </c>
      <c r="G307" s="24" t="n"/>
      <c r="H307" s="24" t="n"/>
      <c r="I307" s="24" t="n"/>
      <c r="J307" s="24" t="n"/>
      <c r="K307" s="24" t="n"/>
      <c r="L307" s="26" t="n"/>
      <c r="M307" s="27">
        <f>IF(L307="","",IF(K307="GST 10%",ROUND(L307*set_GSTRate,2),0))</f>
        <v/>
      </c>
      <c r="N307" s="27">
        <f>IF(L307="","",L307+M307)</f>
        <v/>
      </c>
      <c r="O307" s="24" t="n"/>
      <c r="P307" s="24" t="n"/>
      <c r="Q307" s="24" t="n"/>
      <c r="R307" s="22" t="n"/>
      <c r="S307" s="22" t="n"/>
      <c r="T307" s="24" t="n"/>
      <c r="U307" s="24" t="n"/>
      <c r="V307" s="2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25">
        <f>IF(E307="","",IF(COUNTIF(tbl_Onsite[Job Number],E307&amp;"")&gt;0,"Onsite",IF(COUNTIF(tbl_Production[Job Number],E307&amp;"")&gt;0,"Production",IF(COUNTIF(tbl_Consulting[Job Number],E307&amp;"")&gt;0,"Consulting","not set up yet"))))</f>
        <v/>
      </c>
      <c r="X307" s="25">
        <f>IF(E307="","",IFERROR(INDEX(lst_JobName,MATCH(E307&amp;"",lst_Jobs,0)),""))</f>
        <v/>
      </c>
      <c r="Y307" s="28">
        <f>IF(E307="","",COUNTIFS(tbl_Finance[Job Number],E307&amp;"",tbl_Finance[Ex GST],"&lt;&gt;"))</f>
        <v/>
      </c>
      <c r="Z307" s="27">
        <f>IF(E307="","",SUMIFS(tbl_Finance[Ex GST],tbl_Finance[Job Number],E307&amp;""))</f>
        <v/>
      </c>
      <c r="AA307" s="27">
        <f>IF(E307="","",SUMIFS(tbl_Finance[Ex GST],tbl_Finance[Job Number],E307&amp;"",tbl_Finance[Xero Invoice No],"&lt;&gt;"))</f>
        <v/>
      </c>
      <c r="AB307" s="27">
        <f>IF(E307="","",Z307-AA307)</f>
        <v/>
      </c>
      <c r="AC307" s="25">
        <f>IF(E307="","",IFERROR(IF(INDEX(tbl_Onsite[Qwilr Quote],IFERROR(MATCH(E307&amp;"",tbl_Onsite[Job Number],0),MATCH(IFERROR(E307+0,E307),tbl_Onsite[Job Number],0)))="","",INDEX(tbl_Onsite[Qwilr Quote],IFERROR(MATCH(E307&amp;"",tbl_Onsite[Job Number],0),MATCH(IFERROR(E307+0,E307),tbl_Onsite[Job Number],0)))),IFERROR(IF(IF(INDEX(tbl_Production[Current RMS No],IFERROR(MATCH(E307&amp;"",tbl_Production[Job Number],0),MATCH(IFERROR(E307+0,E307),tbl_Production[Job Number],0)))="",INDEX(tbl_Production[Qwilr Quote],IFERROR(MATCH(E307&amp;"",tbl_Production[Job Number],0),MATCH(IFERROR(E307+0,E307),tbl_Production[Job Number],0))),INDEX(tbl_Production[Current RMS No],IFERROR(MATCH(E307&amp;"",tbl_Production[Job Number],0),MATCH(IFERROR(E307+0,E307),tbl_Production[Job Number],0))))="","",IF(INDEX(tbl_Production[Current RMS No],IFERROR(MATCH(E307&amp;"",tbl_Production[Job Number],0),MATCH(IFERROR(E307+0,E307),tbl_Production[Job Number],0)))="",INDEX(tbl_Production[Qwilr Quote],IFERROR(MATCH(E307&amp;"",tbl_Production[Job Number],0),MATCH(IFERROR(E307+0,E307),tbl_Production[Job Number],0))),INDEX(tbl_Production[Current RMS No],IFERROR(MATCH(E307&amp;"",tbl_Production[Job Number],0),MATCH(IFERROR(E307+0,E307),tbl_Production[Job Number],0))))),IFERROR(IF(INDEX(tbl_Consulting[Qwilr Quote],IFERROR(MATCH(E307&amp;"",tbl_Consulting[Job Number],0),MATCH(IFERROR(E307+0,E307),tbl_Consulting[Job Number],0)))="","",INDEX(tbl_Consulting[Qwilr Quote],IFERROR(MATCH(E307&amp;"",tbl_Consulting[Job Number],0),MATCH(IFERROR(E307+0,E307),tbl_Consulting[Job Number],0)))),""))))</f>
        <v/>
      </c>
      <c r="AD307" s="25">
        <f>IF(AC307="","",IF(AND(LEFT(AC307,4)&lt;&gt;"http",IF(H307="Production",set_RMSBase,set_QwilrBase)=""),"",HYPERLINK(IF(LEFT(AC307,4)="http",AC307,IF(H307="Production",set_RMSBase,set_QwilrBase)&amp;AC307),"Open")))</f>
        <v/>
      </c>
      <c r="AE307" s="27">
        <f>IF(E307="","",IFERROR(INDEX(tbl_Production[Total Expense],IFERROR(MATCH(E307&amp;"",tbl_Production[Job Number],0),MATCH(IFERROR(E307+0,E307),tbl_Production[Job Number],0))),IFERROR(INDEX(tbl_Consulting[Total Expense],IFERROR(MATCH(E307&amp;"",tbl_Consulting[Job Number],0),MATCH(IFERROR(E307+0,E307),tbl_Consulting[Job Number],0))),0)))</f>
        <v/>
      </c>
      <c r="AF307" s="27">
        <f>IF(E307="","",Z307-N(AE307))</f>
        <v/>
      </c>
      <c r="AG307" s="29">
        <f>IFERROR(AF307/Z307,"")</f>
        <v/>
      </c>
      <c r="AH307" s="25">
        <f>IF(E307="","",IFERROR(IF(INDEX(tbl_Onsite[Notes],IFERROR(MATCH(E307&amp;"",tbl_Onsite[Job Number],0),MATCH(IFERROR(E307+0,E307),tbl_Onsite[Job Number],0)))="","",INDEX(tbl_Onsite[Notes],IFERROR(MATCH(E307&amp;"",tbl_Onsite[Job Number],0),MATCH(IFERROR(E307+0,E307),tbl_Onsite[Job Number],0)))),IFERROR(IF(INDEX(tbl_Production[Notes],IFERROR(MATCH(E307&amp;"",tbl_Production[Job Number],0),MATCH(IFERROR(E307+0,E307),tbl_Production[Job Number],0)))="","",INDEX(tbl_Production[Notes],IFERROR(MATCH(E307&amp;"",tbl_Production[Job Number],0),MATCH(IFERROR(E307+0,E307),tbl_Production[Job Number],0)))),IFERROR(IF(INDEX(tbl_Consulting[Notes],IFERROR(MATCH(E307&amp;"",tbl_Consulting[Job Number],0),MATCH(IFERROR(E307+0,E307),tbl_Consulting[Job Number],0)))="","",INDEX(tbl_Consulting[Notes],IFERROR(MATCH(E307&amp;"",tbl_Consulting[Job Number],0),MATCH(IFERROR(E307+0,E307),tbl_Consulting[Job Number],0)))),""))))</f>
        <v/>
      </c>
    </row>
    <row r="308" ht="15" customHeight="1">
      <c r="A308" s="22" t="n"/>
      <c r="B308" s="23">
        <f>IF(A308="","",EOMONTH(A308,0))</f>
        <v/>
      </c>
      <c r="C308" s="24" t="n"/>
      <c r="D308" s="24" t="n"/>
      <c r="E308" s="24" t="n"/>
      <c r="F308" s="25">
        <f>IF(E308="","",IF(COUNTIF(lst_Jobs,E308&amp;"")&gt;0,"OK","CHECK"))</f>
        <v/>
      </c>
      <c r="G308" s="24" t="n"/>
      <c r="H308" s="24" t="n"/>
      <c r="I308" s="24" t="n"/>
      <c r="J308" s="24" t="n"/>
      <c r="K308" s="24" t="n"/>
      <c r="L308" s="26" t="n"/>
      <c r="M308" s="27">
        <f>IF(L308="","",IF(K308="GST 10%",ROUND(L308*set_GSTRate,2),0))</f>
        <v/>
      </c>
      <c r="N308" s="27">
        <f>IF(L308="","",L308+M308)</f>
        <v/>
      </c>
      <c r="O308" s="24" t="n"/>
      <c r="P308" s="24" t="n"/>
      <c r="Q308" s="24" t="n"/>
      <c r="R308" s="22" t="n"/>
      <c r="S308" s="22" t="n"/>
      <c r="T308" s="24" t="n"/>
      <c r="U308" s="24" t="n"/>
      <c r="V308" s="2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25">
        <f>IF(E308="","",IF(COUNTIF(tbl_Onsite[Job Number],E308&amp;"")&gt;0,"Onsite",IF(COUNTIF(tbl_Production[Job Number],E308&amp;"")&gt;0,"Production",IF(COUNTIF(tbl_Consulting[Job Number],E308&amp;"")&gt;0,"Consulting","not set up yet"))))</f>
        <v/>
      </c>
      <c r="X308" s="25">
        <f>IF(E308="","",IFERROR(INDEX(lst_JobName,MATCH(E308&amp;"",lst_Jobs,0)),""))</f>
        <v/>
      </c>
      <c r="Y308" s="28">
        <f>IF(E308="","",COUNTIFS(tbl_Finance[Job Number],E308&amp;"",tbl_Finance[Ex GST],"&lt;&gt;"))</f>
        <v/>
      </c>
      <c r="Z308" s="27">
        <f>IF(E308="","",SUMIFS(tbl_Finance[Ex GST],tbl_Finance[Job Number],E308&amp;""))</f>
        <v/>
      </c>
      <c r="AA308" s="27">
        <f>IF(E308="","",SUMIFS(tbl_Finance[Ex GST],tbl_Finance[Job Number],E308&amp;"",tbl_Finance[Xero Invoice No],"&lt;&gt;"))</f>
        <v/>
      </c>
      <c r="AB308" s="27">
        <f>IF(E308="","",Z308-AA308)</f>
        <v/>
      </c>
      <c r="AC308" s="25">
        <f>IF(E308="","",IFERROR(IF(INDEX(tbl_Onsite[Qwilr Quote],IFERROR(MATCH(E308&amp;"",tbl_Onsite[Job Number],0),MATCH(IFERROR(E308+0,E308),tbl_Onsite[Job Number],0)))="","",INDEX(tbl_Onsite[Qwilr Quote],IFERROR(MATCH(E308&amp;"",tbl_Onsite[Job Number],0),MATCH(IFERROR(E308+0,E308),tbl_Onsite[Job Number],0)))),IFERROR(IF(IF(INDEX(tbl_Production[Current RMS No],IFERROR(MATCH(E308&amp;"",tbl_Production[Job Number],0),MATCH(IFERROR(E308+0,E308),tbl_Production[Job Number],0)))="",INDEX(tbl_Production[Qwilr Quote],IFERROR(MATCH(E308&amp;"",tbl_Production[Job Number],0),MATCH(IFERROR(E308+0,E308),tbl_Production[Job Number],0))),INDEX(tbl_Production[Current RMS No],IFERROR(MATCH(E308&amp;"",tbl_Production[Job Number],0),MATCH(IFERROR(E308+0,E308),tbl_Production[Job Number],0))))="","",IF(INDEX(tbl_Production[Current RMS No],IFERROR(MATCH(E308&amp;"",tbl_Production[Job Number],0),MATCH(IFERROR(E308+0,E308),tbl_Production[Job Number],0)))="",INDEX(tbl_Production[Qwilr Quote],IFERROR(MATCH(E308&amp;"",tbl_Production[Job Number],0),MATCH(IFERROR(E308+0,E308),tbl_Production[Job Number],0))),INDEX(tbl_Production[Current RMS No],IFERROR(MATCH(E308&amp;"",tbl_Production[Job Number],0),MATCH(IFERROR(E308+0,E308),tbl_Production[Job Number],0))))),IFERROR(IF(INDEX(tbl_Consulting[Qwilr Quote],IFERROR(MATCH(E308&amp;"",tbl_Consulting[Job Number],0),MATCH(IFERROR(E308+0,E308),tbl_Consulting[Job Number],0)))="","",INDEX(tbl_Consulting[Qwilr Quote],IFERROR(MATCH(E308&amp;"",tbl_Consulting[Job Number],0),MATCH(IFERROR(E308+0,E308),tbl_Consulting[Job Number],0)))),""))))</f>
        <v/>
      </c>
      <c r="AD308" s="25">
        <f>IF(AC308="","",IF(AND(LEFT(AC308,4)&lt;&gt;"http",IF(H308="Production",set_RMSBase,set_QwilrBase)=""),"",HYPERLINK(IF(LEFT(AC308,4)="http",AC308,IF(H308="Production",set_RMSBase,set_QwilrBase)&amp;AC308),"Open")))</f>
        <v/>
      </c>
      <c r="AE308" s="27">
        <f>IF(E308="","",IFERROR(INDEX(tbl_Production[Total Expense],IFERROR(MATCH(E308&amp;"",tbl_Production[Job Number],0),MATCH(IFERROR(E308+0,E308),tbl_Production[Job Number],0))),IFERROR(INDEX(tbl_Consulting[Total Expense],IFERROR(MATCH(E308&amp;"",tbl_Consulting[Job Number],0),MATCH(IFERROR(E308+0,E308),tbl_Consulting[Job Number],0))),0)))</f>
        <v/>
      </c>
      <c r="AF308" s="27">
        <f>IF(E308="","",Z308-N(AE308))</f>
        <v/>
      </c>
      <c r="AG308" s="29">
        <f>IFERROR(AF308/Z308,"")</f>
        <v/>
      </c>
      <c r="AH308" s="25">
        <f>IF(E308="","",IFERROR(IF(INDEX(tbl_Onsite[Notes],IFERROR(MATCH(E308&amp;"",tbl_Onsite[Job Number],0),MATCH(IFERROR(E308+0,E308),tbl_Onsite[Job Number],0)))="","",INDEX(tbl_Onsite[Notes],IFERROR(MATCH(E308&amp;"",tbl_Onsite[Job Number],0),MATCH(IFERROR(E308+0,E308),tbl_Onsite[Job Number],0)))),IFERROR(IF(INDEX(tbl_Production[Notes],IFERROR(MATCH(E308&amp;"",tbl_Production[Job Number],0),MATCH(IFERROR(E308+0,E308),tbl_Production[Job Number],0)))="","",INDEX(tbl_Production[Notes],IFERROR(MATCH(E308&amp;"",tbl_Production[Job Number],0),MATCH(IFERROR(E308+0,E308),tbl_Production[Job Number],0)))),IFERROR(IF(INDEX(tbl_Consulting[Notes],IFERROR(MATCH(E308&amp;"",tbl_Consulting[Job Number],0),MATCH(IFERROR(E308+0,E308),tbl_Consulting[Job Number],0)))="","",INDEX(tbl_Consulting[Notes],IFERROR(MATCH(E308&amp;"",tbl_Consulting[Job Number],0),MATCH(IFERROR(E308+0,E308),tbl_Consulting[Job Number],0)))),""))))</f>
        <v/>
      </c>
    </row>
    <row r="309" ht="15" customHeight="1">
      <c r="A309" s="22" t="n"/>
      <c r="B309" s="23">
        <f>IF(A309="","",EOMONTH(A309,0))</f>
        <v/>
      </c>
      <c r="C309" s="24" t="n"/>
      <c r="D309" s="24" t="n"/>
      <c r="E309" s="24" t="n"/>
      <c r="F309" s="25">
        <f>IF(E309="","",IF(COUNTIF(lst_Jobs,E309&amp;"")&gt;0,"OK","CHECK"))</f>
        <v/>
      </c>
      <c r="G309" s="24" t="n"/>
      <c r="H309" s="24" t="n"/>
      <c r="I309" s="24" t="n"/>
      <c r="J309" s="24" t="n"/>
      <c r="K309" s="24" t="n"/>
      <c r="L309" s="26" t="n"/>
      <c r="M309" s="27">
        <f>IF(L309="","",IF(K309="GST 10%",ROUND(L309*set_GSTRate,2),0))</f>
        <v/>
      </c>
      <c r="N309" s="27">
        <f>IF(L309="","",L309+M309)</f>
        <v/>
      </c>
      <c r="O309" s="24" t="n"/>
      <c r="P309" s="24" t="n"/>
      <c r="Q309" s="24" t="n"/>
      <c r="R309" s="22" t="n"/>
      <c r="S309" s="22" t="n"/>
      <c r="T309" s="24" t="n"/>
      <c r="U309" s="24" t="n"/>
      <c r="V309" s="2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25">
        <f>IF(E309="","",IF(COUNTIF(tbl_Onsite[Job Number],E309&amp;"")&gt;0,"Onsite",IF(COUNTIF(tbl_Production[Job Number],E309&amp;"")&gt;0,"Production",IF(COUNTIF(tbl_Consulting[Job Number],E309&amp;"")&gt;0,"Consulting","not set up yet"))))</f>
        <v/>
      </c>
      <c r="X309" s="25">
        <f>IF(E309="","",IFERROR(INDEX(lst_JobName,MATCH(E309&amp;"",lst_Jobs,0)),""))</f>
        <v/>
      </c>
      <c r="Y309" s="28">
        <f>IF(E309="","",COUNTIFS(tbl_Finance[Job Number],E309&amp;"",tbl_Finance[Ex GST],"&lt;&gt;"))</f>
        <v/>
      </c>
      <c r="Z309" s="27">
        <f>IF(E309="","",SUMIFS(tbl_Finance[Ex GST],tbl_Finance[Job Number],E309&amp;""))</f>
        <v/>
      </c>
      <c r="AA309" s="27">
        <f>IF(E309="","",SUMIFS(tbl_Finance[Ex GST],tbl_Finance[Job Number],E309&amp;"",tbl_Finance[Xero Invoice No],"&lt;&gt;"))</f>
        <v/>
      </c>
      <c r="AB309" s="27">
        <f>IF(E309="","",Z309-AA309)</f>
        <v/>
      </c>
      <c r="AC309" s="25">
        <f>IF(E309="","",IFERROR(IF(INDEX(tbl_Onsite[Qwilr Quote],IFERROR(MATCH(E309&amp;"",tbl_Onsite[Job Number],0),MATCH(IFERROR(E309+0,E309),tbl_Onsite[Job Number],0)))="","",INDEX(tbl_Onsite[Qwilr Quote],IFERROR(MATCH(E309&amp;"",tbl_Onsite[Job Number],0),MATCH(IFERROR(E309+0,E309),tbl_Onsite[Job Number],0)))),IFERROR(IF(IF(INDEX(tbl_Production[Current RMS No],IFERROR(MATCH(E309&amp;"",tbl_Production[Job Number],0),MATCH(IFERROR(E309+0,E309),tbl_Production[Job Number],0)))="",INDEX(tbl_Production[Qwilr Quote],IFERROR(MATCH(E309&amp;"",tbl_Production[Job Number],0),MATCH(IFERROR(E309+0,E309),tbl_Production[Job Number],0))),INDEX(tbl_Production[Current RMS No],IFERROR(MATCH(E309&amp;"",tbl_Production[Job Number],0),MATCH(IFERROR(E309+0,E309),tbl_Production[Job Number],0))))="","",IF(INDEX(tbl_Production[Current RMS No],IFERROR(MATCH(E309&amp;"",tbl_Production[Job Number],0),MATCH(IFERROR(E309+0,E309),tbl_Production[Job Number],0)))="",INDEX(tbl_Production[Qwilr Quote],IFERROR(MATCH(E309&amp;"",tbl_Production[Job Number],0),MATCH(IFERROR(E309+0,E309),tbl_Production[Job Number],0))),INDEX(tbl_Production[Current RMS No],IFERROR(MATCH(E309&amp;"",tbl_Production[Job Number],0),MATCH(IFERROR(E309+0,E309),tbl_Production[Job Number],0))))),IFERROR(IF(INDEX(tbl_Consulting[Qwilr Quote],IFERROR(MATCH(E309&amp;"",tbl_Consulting[Job Number],0),MATCH(IFERROR(E309+0,E309),tbl_Consulting[Job Number],0)))="","",INDEX(tbl_Consulting[Qwilr Quote],IFERROR(MATCH(E309&amp;"",tbl_Consulting[Job Number],0),MATCH(IFERROR(E309+0,E309),tbl_Consulting[Job Number],0)))),""))))</f>
        <v/>
      </c>
      <c r="AD309" s="25">
        <f>IF(AC309="","",IF(AND(LEFT(AC309,4)&lt;&gt;"http",IF(H309="Production",set_RMSBase,set_QwilrBase)=""),"",HYPERLINK(IF(LEFT(AC309,4)="http",AC309,IF(H309="Production",set_RMSBase,set_QwilrBase)&amp;AC309),"Open")))</f>
        <v/>
      </c>
      <c r="AE309" s="27">
        <f>IF(E309="","",IFERROR(INDEX(tbl_Production[Total Expense],IFERROR(MATCH(E309&amp;"",tbl_Production[Job Number],0),MATCH(IFERROR(E309+0,E309),tbl_Production[Job Number],0))),IFERROR(INDEX(tbl_Consulting[Total Expense],IFERROR(MATCH(E309&amp;"",tbl_Consulting[Job Number],0),MATCH(IFERROR(E309+0,E309),tbl_Consulting[Job Number],0))),0)))</f>
        <v/>
      </c>
      <c r="AF309" s="27">
        <f>IF(E309="","",Z309-N(AE309))</f>
        <v/>
      </c>
      <c r="AG309" s="29">
        <f>IFERROR(AF309/Z309,"")</f>
        <v/>
      </c>
      <c r="AH309" s="25">
        <f>IF(E309="","",IFERROR(IF(INDEX(tbl_Onsite[Notes],IFERROR(MATCH(E309&amp;"",tbl_Onsite[Job Number],0),MATCH(IFERROR(E309+0,E309),tbl_Onsite[Job Number],0)))="","",INDEX(tbl_Onsite[Notes],IFERROR(MATCH(E309&amp;"",tbl_Onsite[Job Number],0),MATCH(IFERROR(E309+0,E309),tbl_Onsite[Job Number],0)))),IFERROR(IF(INDEX(tbl_Production[Notes],IFERROR(MATCH(E309&amp;"",tbl_Production[Job Number],0),MATCH(IFERROR(E309+0,E309),tbl_Production[Job Number],0)))="","",INDEX(tbl_Production[Notes],IFERROR(MATCH(E309&amp;"",tbl_Production[Job Number],0),MATCH(IFERROR(E309+0,E309),tbl_Production[Job Number],0)))),IFERROR(IF(INDEX(tbl_Consulting[Notes],IFERROR(MATCH(E309&amp;"",tbl_Consulting[Job Number],0),MATCH(IFERROR(E309+0,E309),tbl_Consulting[Job Number],0)))="","",INDEX(tbl_Consulting[Notes],IFERROR(MATCH(E309&amp;"",tbl_Consulting[Job Number],0),MATCH(IFERROR(E309+0,E309),tbl_Consulting[Job Number],0)))),""))))</f>
        <v/>
      </c>
    </row>
    <row r="310" ht="15" customHeight="1">
      <c r="A310" s="22" t="n"/>
      <c r="B310" s="23">
        <f>IF(A310="","",EOMONTH(A310,0))</f>
        <v/>
      </c>
      <c r="C310" s="24" t="n"/>
      <c r="D310" s="24" t="n"/>
      <c r="E310" s="24" t="n"/>
      <c r="F310" s="25">
        <f>IF(E310="","",IF(COUNTIF(lst_Jobs,E310&amp;"")&gt;0,"OK","CHECK"))</f>
        <v/>
      </c>
      <c r="G310" s="24" t="n"/>
      <c r="H310" s="24" t="n"/>
      <c r="I310" s="24" t="n"/>
      <c r="J310" s="24" t="n"/>
      <c r="K310" s="24" t="n"/>
      <c r="L310" s="26" t="n"/>
      <c r="M310" s="27">
        <f>IF(L310="","",IF(K310="GST 10%",ROUND(L310*set_GSTRate,2),0))</f>
        <v/>
      </c>
      <c r="N310" s="27">
        <f>IF(L310="","",L310+M310)</f>
        <v/>
      </c>
      <c r="O310" s="24" t="n"/>
      <c r="P310" s="24" t="n"/>
      <c r="Q310" s="24" t="n"/>
      <c r="R310" s="22" t="n"/>
      <c r="S310" s="22" t="n"/>
      <c r="T310" s="24" t="n"/>
      <c r="U310" s="24" t="n"/>
      <c r="V310" s="2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25">
        <f>IF(E310="","",IF(COUNTIF(tbl_Onsite[Job Number],E310&amp;"")&gt;0,"Onsite",IF(COUNTIF(tbl_Production[Job Number],E310&amp;"")&gt;0,"Production",IF(COUNTIF(tbl_Consulting[Job Number],E310&amp;"")&gt;0,"Consulting","not set up yet"))))</f>
        <v/>
      </c>
      <c r="X310" s="25">
        <f>IF(E310="","",IFERROR(INDEX(lst_JobName,MATCH(E310&amp;"",lst_Jobs,0)),""))</f>
        <v/>
      </c>
      <c r="Y310" s="28">
        <f>IF(E310="","",COUNTIFS(tbl_Finance[Job Number],E310&amp;"",tbl_Finance[Ex GST],"&lt;&gt;"))</f>
        <v/>
      </c>
      <c r="Z310" s="27">
        <f>IF(E310="","",SUMIFS(tbl_Finance[Ex GST],tbl_Finance[Job Number],E310&amp;""))</f>
        <v/>
      </c>
      <c r="AA310" s="27">
        <f>IF(E310="","",SUMIFS(tbl_Finance[Ex GST],tbl_Finance[Job Number],E310&amp;"",tbl_Finance[Xero Invoice No],"&lt;&gt;"))</f>
        <v/>
      </c>
      <c r="AB310" s="27">
        <f>IF(E310="","",Z310-AA310)</f>
        <v/>
      </c>
      <c r="AC310" s="25">
        <f>IF(E310="","",IFERROR(IF(INDEX(tbl_Onsite[Qwilr Quote],IFERROR(MATCH(E310&amp;"",tbl_Onsite[Job Number],0),MATCH(IFERROR(E310+0,E310),tbl_Onsite[Job Number],0)))="","",INDEX(tbl_Onsite[Qwilr Quote],IFERROR(MATCH(E310&amp;"",tbl_Onsite[Job Number],0),MATCH(IFERROR(E310+0,E310),tbl_Onsite[Job Number],0)))),IFERROR(IF(IF(INDEX(tbl_Production[Current RMS No],IFERROR(MATCH(E310&amp;"",tbl_Production[Job Number],0),MATCH(IFERROR(E310+0,E310),tbl_Production[Job Number],0)))="",INDEX(tbl_Production[Qwilr Quote],IFERROR(MATCH(E310&amp;"",tbl_Production[Job Number],0),MATCH(IFERROR(E310+0,E310),tbl_Production[Job Number],0))),INDEX(tbl_Production[Current RMS No],IFERROR(MATCH(E310&amp;"",tbl_Production[Job Number],0),MATCH(IFERROR(E310+0,E310),tbl_Production[Job Number],0))))="","",IF(INDEX(tbl_Production[Current RMS No],IFERROR(MATCH(E310&amp;"",tbl_Production[Job Number],0),MATCH(IFERROR(E310+0,E310),tbl_Production[Job Number],0)))="",INDEX(tbl_Production[Qwilr Quote],IFERROR(MATCH(E310&amp;"",tbl_Production[Job Number],0),MATCH(IFERROR(E310+0,E310),tbl_Production[Job Number],0))),INDEX(tbl_Production[Current RMS No],IFERROR(MATCH(E310&amp;"",tbl_Production[Job Number],0),MATCH(IFERROR(E310+0,E310),tbl_Production[Job Number],0))))),IFERROR(IF(INDEX(tbl_Consulting[Qwilr Quote],IFERROR(MATCH(E310&amp;"",tbl_Consulting[Job Number],0),MATCH(IFERROR(E310+0,E310),tbl_Consulting[Job Number],0)))="","",INDEX(tbl_Consulting[Qwilr Quote],IFERROR(MATCH(E310&amp;"",tbl_Consulting[Job Number],0),MATCH(IFERROR(E310+0,E310),tbl_Consulting[Job Number],0)))),""))))</f>
        <v/>
      </c>
      <c r="AD310" s="25">
        <f>IF(AC310="","",IF(AND(LEFT(AC310,4)&lt;&gt;"http",IF(H310="Production",set_RMSBase,set_QwilrBase)=""),"",HYPERLINK(IF(LEFT(AC310,4)="http",AC310,IF(H310="Production",set_RMSBase,set_QwilrBase)&amp;AC310),"Open")))</f>
        <v/>
      </c>
      <c r="AE310" s="27">
        <f>IF(E310="","",IFERROR(INDEX(tbl_Production[Total Expense],IFERROR(MATCH(E310&amp;"",tbl_Production[Job Number],0),MATCH(IFERROR(E310+0,E310),tbl_Production[Job Number],0))),IFERROR(INDEX(tbl_Consulting[Total Expense],IFERROR(MATCH(E310&amp;"",tbl_Consulting[Job Number],0),MATCH(IFERROR(E310+0,E310),tbl_Consulting[Job Number],0))),0)))</f>
        <v/>
      </c>
      <c r="AF310" s="27">
        <f>IF(E310="","",Z310-N(AE310))</f>
        <v/>
      </c>
      <c r="AG310" s="29">
        <f>IFERROR(AF310/Z310,"")</f>
        <v/>
      </c>
      <c r="AH310" s="25">
        <f>IF(E310="","",IFERROR(IF(INDEX(tbl_Onsite[Notes],IFERROR(MATCH(E310&amp;"",tbl_Onsite[Job Number],0),MATCH(IFERROR(E310+0,E310),tbl_Onsite[Job Number],0)))="","",INDEX(tbl_Onsite[Notes],IFERROR(MATCH(E310&amp;"",tbl_Onsite[Job Number],0),MATCH(IFERROR(E310+0,E310),tbl_Onsite[Job Number],0)))),IFERROR(IF(INDEX(tbl_Production[Notes],IFERROR(MATCH(E310&amp;"",tbl_Production[Job Number],0),MATCH(IFERROR(E310+0,E310),tbl_Production[Job Number],0)))="","",INDEX(tbl_Production[Notes],IFERROR(MATCH(E310&amp;"",tbl_Production[Job Number],0),MATCH(IFERROR(E310+0,E310),tbl_Production[Job Number],0)))),IFERROR(IF(INDEX(tbl_Consulting[Notes],IFERROR(MATCH(E310&amp;"",tbl_Consulting[Job Number],0),MATCH(IFERROR(E310+0,E310),tbl_Consulting[Job Number],0)))="","",INDEX(tbl_Consulting[Notes],IFERROR(MATCH(E310&amp;"",tbl_Consulting[Job Number],0),MATCH(IFERROR(E310+0,E310),tbl_Consulting[Job Number],0)))),""))))</f>
        <v/>
      </c>
    </row>
    <row r="311" ht="15" customHeight="1">
      <c r="A311" s="22" t="n"/>
      <c r="B311" s="23">
        <f>IF(A311="","",EOMONTH(A311,0))</f>
        <v/>
      </c>
      <c r="C311" s="24" t="n"/>
      <c r="D311" s="24" t="n"/>
      <c r="E311" s="24" t="n"/>
      <c r="F311" s="25">
        <f>IF(E311="","",IF(COUNTIF(lst_Jobs,E311&amp;"")&gt;0,"OK","CHECK"))</f>
        <v/>
      </c>
      <c r="G311" s="24" t="n"/>
      <c r="H311" s="24" t="n"/>
      <c r="I311" s="24" t="n"/>
      <c r="J311" s="24" t="n"/>
      <c r="K311" s="24" t="n"/>
      <c r="L311" s="26" t="n"/>
      <c r="M311" s="27">
        <f>IF(L311="","",IF(K311="GST 10%",ROUND(L311*set_GSTRate,2),0))</f>
        <v/>
      </c>
      <c r="N311" s="27">
        <f>IF(L311="","",L311+M311)</f>
        <v/>
      </c>
      <c r="O311" s="24" t="n"/>
      <c r="P311" s="24" t="n"/>
      <c r="Q311" s="24" t="n"/>
      <c r="R311" s="22" t="n"/>
      <c r="S311" s="22" t="n"/>
      <c r="T311" s="24" t="n"/>
      <c r="U311" s="24" t="n"/>
      <c r="V311" s="2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25">
        <f>IF(E311="","",IF(COUNTIF(tbl_Onsite[Job Number],E311&amp;"")&gt;0,"Onsite",IF(COUNTIF(tbl_Production[Job Number],E311&amp;"")&gt;0,"Production",IF(COUNTIF(tbl_Consulting[Job Number],E311&amp;"")&gt;0,"Consulting","not set up yet"))))</f>
        <v/>
      </c>
      <c r="X311" s="25">
        <f>IF(E311="","",IFERROR(INDEX(lst_JobName,MATCH(E311&amp;"",lst_Jobs,0)),""))</f>
        <v/>
      </c>
      <c r="Y311" s="28">
        <f>IF(E311="","",COUNTIFS(tbl_Finance[Job Number],E311&amp;"",tbl_Finance[Ex GST],"&lt;&gt;"))</f>
        <v/>
      </c>
      <c r="Z311" s="27">
        <f>IF(E311="","",SUMIFS(tbl_Finance[Ex GST],tbl_Finance[Job Number],E311&amp;""))</f>
        <v/>
      </c>
      <c r="AA311" s="27">
        <f>IF(E311="","",SUMIFS(tbl_Finance[Ex GST],tbl_Finance[Job Number],E311&amp;"",tbl_Finance[Xero Invoice No],"&lt;&gt;"))</f>
        <v/>
      </c>
      <c r="AB311" s="27">
        <f>IF(E311="","",Z311-AA311)</f>
        <v/>
      </c>
      <c r="AC311" s="25">
        <f>IF(E311="","",IFERROR(IF(INDEX(tbl_Onsite[Qwilr Quote],IFERROR(MATCH(E311&amp;"",tbl_Onsite[Job Number],0),MATCH(IFERROR(E311+0,E311),tbl_Onsite[Job Number],0)))="","",INDEX(tbl_Onsite[Qwilr Quote],IFERROR(MATCH(E311&amp;"",tbl_Onsite[Job Number],0),MATCH(IFERROR(E311+0,E311),tbl_Onsite[Job Number],0)))),IFERROR(IF(IF(INDEX(tbl_Production[Current RMS No],IFERROR(MATCH(E311&amp;"",tbl_Production[Job Number],0),MATCH(IFERROR(E311+0,E311),tbl_Production[Job Number],0)))="",INDEX(tbl_Production[Qwilr Quote],IFERROR(MATCH(E311&amp;"",tbl_Production[Job Number],0),MATCH(IFERROR(E311+0,E311),tbl_Production[Job Number],0))),INDEX(tbl_Production[Current RMS No],IFERROR(MATCH(E311&amp;"",tbl_Production[Job Number],0),MATCH(IFERROR(E311+0,E311),tbl_Production[Job Number],0))))="","",IF(INDEX(tbl_Production[Current RMS No],IFERROR(MATCH(E311&amp;"",tbl_Production[Job Number],0),MATCH(IFERROR(E311+0,E311),tbl_Production[Job Number],0)))="",INDEX(tbl_Production[Qwilr Quote],IFERROR(MATCH(E311&amp;"",tbl_Production[Job Number],0),MATCH(IFERROR(E311+0,E311),tbl_Production[Job Number],0))),INDEX(tbl_Production[Current RMS No],IFERROR(MATCH(E311&amp;"",tbl_Production[Job Number],0),MATCH(IFERROR(E311+0,E311),tbl_Production[Job Number],0))))),IFERROR(IF(INDEX(tbl_Consulting[Qwilr Quote],IFERROR(MATCH(E311&amp;"",tbl_Consulting[Job Number],0),MATCH(IFERROR(E311+0,E311),tbl_Consulting[Job Number],0)))="","",INDEX(tbl_Consulting[Qwilr Quote],IFERROR(MATCH(E311&amp;"",tbl_Consulting[Job Number],0),MATCH(IFERROR(E311+0,E311),tbl_Consulting[Job Number],0)))),""))))</f>
        <v/>
      </c>
      <c r="AD311" s="25">
        <f>IF(AC311="","",IF(AND(LEFT(AC311,4)&lt;&gt;"http",IF(H311="Production",set_RMSBase,set_QwilrBase)=""),"",HYPERLINK(IF(LEFT(AC311,4)="http",AC311,IF(H311="Production",set_RMSBase,set_QwilrBase)&amp;AC311),"Open")))</f>
        <v/>
      </c>
      <c r="AE311" s="27">
        <f>IF(E311="","",IFERROR(INDEX(tbl_Production[Total Expense],IFERROR(MATCH(E311&amp;"",tbl_Production[Job Number],0),MATCH(IFERROR(E311+0,E311),tbl_Production[Job Number],0))),IFERROR(INDEX(tbl_Consulting[Total Expense],IFERROR(MATCH(E311&amp;"",tbl_Consulting[Job Number],0),MATCH(IFERROR(E311+0,E311),tbl_Consulting[Job Number],0))),0)))</f>
        <v/>
      </c>
      <c r="AF311" s="27">
        <f>IF(E311="","",Z311-N(AE311))</f>
        <v/>
      </c>
      <c r="AG311" s="29">
        <f>IFERROR(AF311/Z311,"")</f>
        <v/>
      </c>
      <c r="AH311" s="25">
        <f>IF(E311="","",IFERROR(IF(INDEX(tbl_Onsite[Notes],IFERROR(MATCH(E311&amp;"",tbl_Onsite[Job Number],0),MATCH(IFERROR(E311+0,E311),tbl_Onsite[Job Number],0)))="","",INDEX(tbl_Onsite[Notes],IFERROR(MATCH(E311&amp;"",tbl_Onsite[Job Number],0),MATCH(IFERROR(E311+0,E311),tbl_Onsite[Job Number],0)))),IFERROR(IF(INDEX(tbl_Production[Notes],IFERROR(MATCH(E311&amp;"",tbl_Production[Job Number],0),MATCH(IFERROR(E311+0,E311),tbl_Production[Job Number],0)))="","",INDEX(tbl_Production[Notes],IFERROR(MATCH(E311&amp;"",tbl_Production[Job Number],0),MATCH(IFERROR(E311+0,E311),tbl_Production[Job Number],0)))),IFERROR(IF(INDEX(tbl_Consulting[Notes],IFERROR(MATCH(E311&amp;"",tbl_Consulting[Job Number],0),MATCH(IFERROR(E311+0,E311),tbl_Consulting[Job Number],0)))="","",INDEX(tbl_Consulting[Notes],IFERROR(MATCH(E311&amp;"",tbl_Consulting[Job Number],0),MATCH(IFERROR(E311+0,E311),tbl_Consulting[Job Number],0)))),""))))</f>
        <v/>
      </c>
    </row>
    <row r="312" ht="15" customHeight="1">
      <c r="A312" s="22" t="n"/>
      <c r="B312" s="23">
        <f>IF(A312="","",EOMONTH(A312,0))</f>
        <v/>
      </c>
      <c r="C312" s="24" t="n"/>
      <c r="D312" s="24" t="n"/>
      <c r="E312" s="24" t="n"/>
      <c r="F312" s="25">
        <f>IF(E312="","",IF(COUNTIF(lst_Jobs,E312&amp;"")&gt;0,"OK","CHECK"))</f>
        <v/>
      </c>
      <c r="G312" s="24" t="n"/>
      <c r="H312" s="24" t="n"/>
      <c r="I312" s="24" t="n"/>
      <c r="J312" s="24" t="n"/>
      <c r="K312" s="24" t="n"/>
      <c r="L312" s="26" t="n"/>
      <c r="M312" s="27">
        <f>IF(L312="","",IF(K312="GST 10%",ROUND(L312*set_GSTRate,2),0))</f>
        <v/>
      </c>
      <c r="N312" s="27">
        <f>IF(L312="","",L312+M312)</f>
        <v/>
      </c>
      <c r="O312" s="24" t="n"/>
      <c r="P312" s="24" t="n"/>
      <c r="Q312" s="24" t="n"/>
      <c r="R312" s="22" t="n"/>
      <c r="S312" s="22" t="n"/>
      <c r="T312" s="24" t="n"/>
      <c r="U312" s="24" t="n"/>
      <c r="V312" s="2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25">
        <f>IF(E312="","",IF(COUNTIF(tbl_Onsite[Job Number],E312&amp;"")&gt;0,"Onsite",IF(COUNTIF(tbl_Production[Job Number],E312&amp;"")&gt;0,"Production",IF(COUNTIF(tbl_Consulting[Job Number],E312&amp;"")&gt;0,"Consulting","not set up yet"))))</f>
        <v/>
      </c>
      <c r="X312" s="25">
        <f>IF(E312="","",IFERROR(INDEX(lst_JobName,MATCH(E312&amp;"",lst_Jobs,0)),""))</f>
        <v/>
      </c>
      <c r="Y312" s="28">
        <f>IF(E312="","",COUNTIFS(tbl_Finance[Job Number],E312&amp;"",tbl_Finance[Ex GST],"&lt;&gt;"))</f>
        <v/>
      </c>
      <c r="Z312" s="27">
        <f>IF(E312="","",SUMIFS(tbl_Finance[Ex GST],tbl_Finance[Job Number],E312&amp;""))</f>
        <v/>
      </c>
      <c r="AA312" s="27">
        <f>IF(E312="","",SUMIFS(tbl_Finance[Ex GST],tbl_Finance[Job Number],E312&amp;"",tbl_Finance[Xero Invoice No],"&lt;&gt;"))</f>
        <v/>
      </c>
      <c r="AB312" s="27">
        <f>IF(E312="","",Z312-AA312)</f>
        <v/>
      </c>
      <c r="AC312" s="25">
        <f>IF(E312="","",IFERROR(IF(INDEX(tbl_Onsite[Qwilr Quote],IFERROR(MATCH(E312&amp;"",tbl_Onsite[Job Number],0),MATCH(IFERROR(E312+0,E312),tbl_Onsite[Job Number],0)))="","",INDEX(tbl_Onsite[Qwilr Quote],IFERROR(MATCH(E312&amp;"",tbl_Onsite[Job Number],0),MATCH(IFERROR(E312+0,E312),tbl_Onsite[Job Number],0)))),IFERROR(IF(IF(INDEX(tbl_Production[Current RMS No],IFERROR(MATCH(E312&amp;"",tbl_Production[Job Number],0),MATCH(IFERROR(E312+0,E312),tbl_Production[Job Number],0)))="",INDEX(tbl_Production[Qwilr Quote],IFERROR(MATCH(E312&amp;"",tbl_Production[Job Number],0),MATCH(IFERROR(E312+0,E312),tbl_Production[Job Number],0))),INDEX(tbl_Production[Current RMS No],IFERROR(MATCH(E312&amp;"",tbl_Production[Job Number],0),MATCH(IFERROR(E312+0,E312),tbl_Production[Job Number],0))))="","",IF(INDEX(tbl_Production[Current RMS No],IFERROR(MATCH(E312&amp;"",tbl_Production[Job Number],0),MATCH(IFERROR(E312+0,E312),tbl_Production[Job Number],0)))="",INDEX(tbl_Production[Qwilr Quote],IFERROR(MATCH(E312&amp;"",tbl_Production[Job Number],0),MATCH(IFERROR(E312+0,E312),tbl_Production[Job Number],0))),INDEX(tbl_Production[Current RMS No],IFERROR(MATCH(E312&amp;"",tbl_Production[Job Number],0),MATCH(IFERROR(E312+0,E312),tbl_Production[Job Number],0))))),IFERROR(IF(INDEX(tbl_Consulting[Qwilr Quote],IFERROR(MATCH(E312&amp;"",tbl_Consulting[Job Number],0),MATCH(IFERROR(E312+0,E312),tbl_Consulting[Job Number],0)))="","",INDEX(tbl_Consulting[Qwilr Quote],IFERROR(MATCH(E312&amp;"",tbl_Consulting[Job Number],0),MATCH(IFERROR(E312+0,E312),tbl_Consulting[Job Number],0)))),""))))</f>
        <v/>
      </c>
      <c r="AD312" s="25">
        <f>IF(AC312="","",IF(AND(LEFT(AC312,4)&lt;&gt;"http",IF(H312="Production",set_RMSBase,set_QwilrBase)=""),"",HYPERLINK(IF(LEFT(AC312,4)="http",AC312,IF(H312="Production",set_RMSBase,set_QwilrBase)&amp;AC312),"Open")))</f>
        <v/>
      </c>
      <c r="AE312" s="27">
        <f>IF(E312="","",IFERROR(INDEX(tbl_Production[Total Expense],IFERROR(MATCH(E312&amp;"",tbl_Production[Job Number],0),MATCH(IFERROR(E312+0,E312),tbl_Production[Job Number],0))),IFERROR(INDEX(tbl_Consulting[Total Expense],IFERROR(MATCH(E312&amp;"",tbl_Consulting[Job Number],0),MATCH(IFERROR(E312+0,E312),tbl_Consulting[Job Number],0))),0)))</f>
        <v/>
      </c>
      <c r="AF312" s="27">
        <f>IF(E312="","",Z312-N(AE312))</f>
        <v/>
      </c>
      <c r="AG312" s="29">
        <f>IFERROR(AF312/Z312,"")</f>
        <v/>
      </c>
      <c r="AH312" s="25">
        <f>IF(E312="","",IFERROR(IF(INDEX(tbl_Onsite[Notes],IFERROR(MATCH(E312&amp;"",tbl_Onsite[Job Number],0),MATCH(IFERROR(E312+0,E312),tbl_Onsite[Job Number],0)))="","",INDEX(tbl_Onsite[Notes],IFERROR(MATCH(E312&amp;"",tbl_Onsite[Job Number],0),MATCH(IFERROR(E312+0,E312),tbl_Onsite[Job Number],0)))),IFERROR(IF(INDEX(tbl_Production[Notes],IFERROR(MATCH(E312&amp;"",tbl_Production[Job Number],0),MATCH(IFERROR(E312+0,E312),tbl_Production[Job Number],0)))="","",INDEX(tbl_Production[Notes],IFERROR(MATCH(E312&amp;"",tbl_Production[Job Number],0),MATCH(IFERROR(E312+0,E312),tbl_Production[Job Number],0)))),IFERROR(IF(INDEX(tbl_Consulting[Notes],IFERROR(MATCH(E312&amp;"",tbl_Consulting[Job Number],0),MATCH(IFERROR(E312+0,E312),tbl_Consulting[Job Number],0)))="","",INDEX(tbl_Consulting[Notes],IFERROR(MATCH(E312&amp;"",tbl_Consulting[Job Number],0),MATCH(IFERROR(E312+0,E312),tbl_Consulting[Job Number],0)))),""))))</f>
        <v/>
      </c>
    </row>
    <row r="313" ht="15" customHeight="1">
      <c r="A313" s="22" t="n"/>
      <c r="B313" s="23">
        <f>IF(A313="","",EOMONTH(A313,0))</f>
        <v/>
      </c>
      <c r="C313" s="24" t="n"/>
      <c r="D313" s="24" t="n"/>
      <c r="E313" s="24" t="n"/>
      <c r="F313" s="25">
        <f>IF(E313="","",IF(COUNTIF(lst_Jobs,E313&amp;"")&gt;0,"OK","CHECK"))</f>
        <v/>
      </c>
      <c r="G313" s="24" t="n"/>
      <c r="H313" s="24" t="n"/>
      <c r="I313" s="24" t="n"/>
      <c r="J313" s="24" t="n"/>
      <c r="K313" s="24" t="n"/>
      <c r="L313" s="26" t="n"/>
      <c r="M313" s="27">
        <f>IF(L313="","",IF(K313="GST 10%",ROUND(L313*set_GSTRate,2),0))</f>
        <v/>
      </c>
      <c r="N313" s="27">
        <f>IF(L313="","",L313+M313)</f>
        <v/>
      </c>
      <c r="O313" s="24" t="n"/>
      <c r="P313" s="24" t="n"/>
      <c r="Q313" s="24" t="n"/>
      <c r="R313" s="22" t="n"/>
      <c r="S313" s="22" t="n"/>
      <c r="T313" s="24" t="n"/>
      <c r="U313" s="24" t="n"/>
      <c r="V313" s="2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25">
        <f>IF(E313="","",IF(COUNTIF(tbl_Onsite[Job Number],E313&amp;"")&gt;0,"Onsite",IF(COUNTIF(tbl_Production[Job Number],E313&amp;"")&gt;0,"Production",IF(COUNTIF(tbl_Consulting[Job Number],E313&amp;"")&gt;0,"Consulting","not set up yet"))))</f>
        <v/>
      </c>
      <c r="X313" s="25">
        <f>IF(E313="","",IFERROR(INDEX(lst_JobName,MATCH(E313&amp;"",lst_Jobs,0)),""))</f>
        <v/>
      </c>
      <c r="Y313" s="28">
        <f>IF(E313="","",COUNTIFS(tbl_Finance[Job Number],E313&amp;"",tbl_Finance[Ex GST],"&lt;&gt;"))</f>
        <v/>
      </c>
      <c r="Z313" s="27">
        <f>IF(E313="","",SUMIFS(tbl_Finance[Ex GST],tbl_Finance[Job Number],E313&amp;""))</f>
        <v/>
      </c>
      <c r="AA313" s="27">
        <f>IF(E313="","",SUMIFS(tbl_Finance[Ex GST],tbl_Finance[Job Number],E313&amp;"",tbl_Finance[Xero Invoice No],"&lt;&gt;"))</f>
        <v/>
      </c>
      <c r="AB313" s="27">
        <f>IF(E313="","",Z313-AA313)</f>
        <v/>
      </c>
      <c r="AC313" s="25">
        <f>IF(E313="","",IFERROR(IF(INDEX(tbl_Onsite[Qwilr Quote],IFERROR(MATCH(E313&amp;"",tbl_Onsite[Job Number],0),MATCH(IFERROR(E313+0,E313),tbl_Onsite[Job Number],0)))="","",INDEX(tbl_Onsite[Qwilr Quote],IFERROR(MATCH(E313&amp;"",tbl_Onsite[Job Number],0),MATCH(IFERROR(E313+0,E313),tbl_Onsite[Job Number],0)))),IFERROR(IF(IF(INDEX(tbl_Production[Current RMS No],IFERROR(MATCH(E313&amp;"",tbl_Production[Job Number],0),MATCH(IFERROR(E313+0,E313),tbl_Production[Job Number],0)))="",INDEX(tbl_Production[Qwilr Quote],IFERROR(MATCH(E313&amp;"",tbl_Production[Job Number],0),MATCH(IFERROR(E313+0,E313),tbl_Production[Job Number],0))),INDEX(tbl_Production[Current RMS No],IFERROR(MATCH(E313&amp;"",tbl_Production[Job Number],0),MATCH(IFERROR(E313+0,E313),tbl_Production[Job Number],0))))="","",IF(INDEX(tbl_Production[Current RMS No],IFERROR(MATCH(E313&amp;"",tbl_Production[Job Number],0),MATCH(IFERROR(E313+0,E313),tbl_Production[Job Number],0)))="",INDEX(tbl_Production[Qwilr Quote],IFERROR(MATCH(E313&amp;"",tbl_Production[Job Number],0),MATCH(IFERROR(E313+0,E313),tbl_Production[Job Number],0))),INDEX(tbl_Production[Current RMS No],IFERROR(MATCH(E313&amp;"",tbl_Production[Job Number],0),MATCH(IFERROR(E313+0,E313),tbl_Production[Job Number],0))))),IFERROR(IF(INDEX(tbl_Consulting[Qwilr Quote],IFERROR(MATCH(E313&amp;"",tbl_Consulting[Job Number],0),MATCH(IFERROR(E313+0,E313),tbl_Consulting[Job Number],0)))="","",INDEX(tbl_Consulting[Qwilr Quote],IFERROR(MATCH(E313&amp;"",tbl_Consulting[Job Number],0),MATCH(IFERROR(E313+0,E313),tbl_Consulting[Job Number],0)))),""))))</f>
        <v/>
      </c>
      <c r="AD313" s="25">
        <f>IF(AC313="","",IF(AND(LEFT(AC313,4)&lt;&gt;"http",IF(H313="Production",set_RMSBase,set_QwilrBase)=""),"",HYPERLINK(IF(LEFT(AC313,4)="http",AC313,IF(H313="Production",set_RMSBase,set_QwilrBase)&amp;AC313),"Open")))</f>
        <v/>
      </c>
      <c r="AE313" s="27">
        <f>IF(E313="","",IFERROR(INDEX(tbl_Production[Total Expense],IFERROR(MATCH(E313&amp;"",tbl_Production[Job Number],0),MATCH(IFERROR(E313+0,E313),tbl_Production[Job Number],0))),IFERROR(INDEX(tbl_Consulting[Total Expense],IFERROR(MATCH(E313&amp;"",tbl_Consulting[Job Number],0),MATCH(IFERROR(E313+0,E313),tbl_Consulting[Job Number],0))),0)))</f>
        <v/>
      </c>
      <c r="AF313" s="27">
        <f>IF(E313="","",Z313-N(AE313))</f>
        <v/>
      </c>
      <c r="AG313" s="29">
        <f>IFERROR(AF313/Z313,"")</f>
        <v/>
      </c>
      <c r="AH313" s="25">
        <f>IF(E313="","",IFERROR(IF(INDEX(tbl_Onsite[Notes],IFERROR(MATCH(E313&amp;"",tbl_Onsite[Job Number],0),MATCH(IFERROR(E313+0,E313),tbl_Onsite[Job Number],0)))="","",INDEX(tbl_Onsite[Notes],IFERROR(MATCH(E313&amp;"",tbl_Onsite[Job Number],0),MATCH(IFERROR(E313+0,E313),tbl_Onsite[Job Number],0)))),IFERROR(IF(INDEX(tbl_Production[Notes],IFERROR(MATCH(E313&amp;"",tbl_Production[Job Number],0),MATCH(IFERROR(E313+0,E313),tbl_Production[Job Number],0)))="","",INDEX(tbl_Production[Notes],IFERROR(MATCH(E313&amp;"",tbl_Production[Job Number],0),MATCH(IFERROR(E313+0,E313),tbl_Production[Job Number],0)))),IFERROR(IF(INDEX(tbl_Consulting[Notes],IFERROR(MATCH(E313&amp;"",tbl_Consulting[Job Number],0),MATCH(IFERROR(E313+0,E313),tbl_Consulting[Job Number],0)))="","",INDEX(tbl_Consulting[Notes],IFERROR(MATCH(E313&amp;"",tbl_Consulting[Job Number],0),MATCH(IFERROR(E313+0,E313),tbl_Consulting[Job Number],0)))),""))))</f>
        <v/>
      </c>
    </row>
    <row r="314" ht="15" customHeight="1">
      <c r="A314" s="22" t="n"/>
      <c r="B314" s="23">
        <f>IF(A314="","",EOMONTH(A314,0))</f>
        <v/>
      </c>
      <c r="C314" s="24" t="n"/>
      <c r="D314" s="24" t="n"/>
      <c r="E314" s="24" t="n"/>
      <c r="F314" s="25">
        <f>IF(E314="","",IF(COUNTIF(lst_Jobs,E314&amp;"")&gt;0,"OK","CHECK"))</f>
        <v/>
      </c>
      <c r="G314" s="24" t="n"/>
      <c r="H314" s="24" t="n"/>
      <c r="I314" s="24" t="n"/>
      <c r="J314" s="24" t="n"/>
      <c r="K314" s="24" t="n"/>
      <c r="L314" s="26" t="n"/>
      <c r="M314" s="27">
        <f>IF(L314="","",IF(K314="GST 10%",ROUND(L314*set_GSTRate,2),0))</f>
        <v/>
      </c>
      <c r="N314" s="27">
        <f>IF(L314="","",L314+M314)</f>
        <v/>
      </c>
      <c r="O314" s="24" t="n"/>
      <c r="P314" s="24" t="n"/>
      <c r="Q314" s="24" t="n"/>
      <c r="R314" s="22" t="n"/>
      <c r="S314" s="22" t="n"/>
      <c r="T314" s="24" t="n"/>
      <c r="U314" s="24" t="n"/>
      <c r="V314" s="2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25">
        <f>IF(E314="","",IF(COUNTIF(tbl_Onsite[Job Number],E314&amp;"")&gt;0,"Onsite",IF(COUNTIF(tbl_Production[Job Number],E314&amp;"")&gt;0,"Production",IF(COUNTIF(tbl_Consulting[Job Number],E314&amp;"")&gt;0,"Consulting","not set up yet"))))</f>
        <v/>
      </c>
      <c r="X314" s="25">
        <f>IF(E314="","",IFERROR(INDEX(lst_JobName,MATCH(E314&amp;"",lst_Jobs,0)),""))</f>
        <v/>
      </c>
      <c r="Y314" s="28">
        <f>IF(E314="","",COUNTIFS(tbl_Finance[Job Number],E314&amp;"",tbl_Finance[Ex GST],"&lt;&gt;"))</f>
        <v/>
      </c>
      <c r="Z314" s="27">
        <f>IF(E314="","",SUMIFS(tbl_Finance[Ex GST],tbl_Finance[Job Number],E314&amp;""))</f>
        <v/>
      </c>
      <c r="AA314" s="27">
        <f>IF(E314="","",SUMIFS(tbl_Finance[Ex GST],tbl_Finance[Job Number],E314&amp;"",tbl_Finance[Xero Invoice No],"&lt;&gt;"))</f>
        <v/>
      </c>
      <c r="AB314" s="27">
        <f>IF(E314="","",Z314-AA314)</f>
        <v/>
      </c>
      <c r="AC314" s="25">
        <f>IF(E314="","",IFERROR(IF(INDEX(tbl_Onsite[Qwilr Quote],IFERROR(MATCH(E314&amp;"",tbl_Onsite[Job Number],0),MATCH(IFERROR(E314+0,E314),tbl_Onsite[Job Number],0)))="","",INDEX(tbl_Onsite[Qwilr Quote],IFERROR(MATCH(E314&amp;"",tbl_Onsite[Job Number],0),MATCH(IFERROR(E314+0,E314),tbl_Onsite[Job Number],0)))),IFERROR(IF(IF(INDEX(tbl_Production[Current RMS No],IFERROR(MATCH(E314&amp;"",tbl_Production[Job Number],0),MATCH(IFERROR(E314+0,E314),tbl_Production[Job Number],0)))="",INDEX(tbl_Production[Qwilr Quote],IFERROR(MATCH(E314&amp;"",tbl_Production[Job Number],0),MATCH(IFERROR(E314+0,E314),tbl_Production[Job Number],0))),INDEX(tbl_Production[Current RMS No],IFERROR(MATCH(E314&amp;"",tbl_Production[Job Number],0),MATCH(IFERROR(E314+0,E314),tbl_Production[Job Number],0))))="","",IF(INDEX(tbl_Production[Current RMS No],IFERROR(MATCH(E314&amp;"",tbl_Production[Job Number],0),MATCH(IFERROR(E314+0,E314),tbl_Production[Job Number],0)))="",INDEX(tbl_Production[Qwilr Quote],IFERROR(MATCH(E314&amp;"",tbl_Production[Job Number],0),MATCH(IFERROR(E314+0,E314),tbl_Production[Job Number],0))),INDEX(tbl_Production[Current RMS No],IFERROR(MATCH(E314&amp;"",tbl_Production[Job Number],0),MATCH(IFERROR(E314+0,E314),tbl_Production[Job Number],0))))),IFERROR(IF(INDEX(tbl_Consulting[Qwilr Quote],IFERROR(MATCH(E314&amp;"",tbl_Consulting[Job Number],0),MATCH(IFERROR(E314+0,E314),tbl_Consulting[Job Number],0)))="","",INDEX(tbl_Consulting[Qwilr Quote],IFERROR(MATCH(E314&amp;"",tbl_Consulting[Job Number],0),MATCH(IFERROR(E314+0,E314),tbl_Consulting[Job Number],0)))),""))))</f>
        <v/>
      </c>
      <c r="AD314" s="25">
        <f>IF(AC314="","",IF(AND(LEFT(AC314,4)&lt;&gt;"http",IF(H314="Production",set_RMSBase,set_QwilrBase)=""),"",HYPERLINK(IF(LEFT(AC314,4)="http",AC314,IF(H314="Production",set_RMSBase,set_QwilrBase)&amp;AC314),"Open")))</f>
        <v/>
      </c>
      <c r="AE314" s="27">
        <f>IF(E314="","",IFERROR(INDEX(tbl_Production[Total Expense],IFERROR(MATCH(E314&amp;"",tbl_Production[Job Number],0),MATCH(IFERROR(E314+0,E314),tbl_Production[Job Number],0))),IFERROR(INDEX(tbl_Consulting[Total Expense],IFERROR(MATCH(E314&amp;"",tbl_Consulting[Job Number],0),MATCH(IFERROR(E314+0,E314),tbl_Consulting[Job Number],0))),0)))</f>
        <v/>
      </c>
      <c r="AF314" s="27">
        <f>IF(E314="","",Z314-N(AE314))</f>
        <v/>
      </c>
      <c r="AG314" s="29">
        <f>IFERROR(AF314/Z314,"")</f>
        <v/>
      </c>
      <c r="AH314" s="25">
        <f>IF(E314="","",IFERROR(IF(INDEX(tbl_Onsite[Notes],IFERROR(MATCH(E314&amp;"",tbl_Onsite[Job Number],0),MATCH(IFERROR(E314+0,E314),tbl_Onsite[Job Number],0)))="","",INDEX(tbl_Onsite[Notes],IFERROR(MATCH(E314&amp;"",tbl_Onsite[Job Number],0),MATCH(IFERROR(E314+0,E314),tbl_Onsite[Job Number],0)))),IFERROR(IF(INDEX(tbl_Production[Notes],IFERROR(MATCH(E314&amp;"",tbl_Production[Job Number],0),MATCH(IFERROR(E314+0,E314),tbl_Production[Job Number],0)))="","",INDEX(tbl_Production[Notes],IFERROR(MATCH(E314&amp;"",tbl_Production[Job Number],0),MATCH(IFERROR(E314+0,E314),tbl_Production[Job Number],0)))),IFERROR(IF(INDEX(tbl_Consulting[Notes],IFERROR(MATCH(E314&amp;"",tbl_Consulting[Job Number],0),MATCH(IFERROR(E314+0,E314),tbl_Consulting[Job Number],0)))="","",INDEX(tbl_Consulting[Notes],IFERROR(MATCH(E314&amp;"",tbl_Consulting[Job Number],0),MATCH(IFERROR(E314+0,E314),tbl_Consulting[Job Number],0)))),""))))</f>
        <v/>
      </c>
    </row>
    <row r="315" ht="15" customHeight="1">
      <c r="A315" s="22" t="n"/>
      <c r="B315" s="23">
        <f>IF(A315="","",EOMONTH(A315,0))</f>
        <v/>
      </c>
      <c r="C315" s="24" t="n"/>
      <c r="D315" s="24" t="n"/>
      <c r="E315" s="24" t="n"/>
      <c r="F315" s="25">
        <f>IF(E315="","",IF(COUNTIF(lst_Jobs,E315&amp;"")&gt;0,"OK","CHECK"))</f>
        <v/>
      </c>
      <c r="G315" s="24" t="n"/>
      <c r="H315" s="24" t="n"/>
      <c r="I315" s="24" t="n"/>
      <c r="J315" s="24" t="n"/>
      <c r="K315" s="24" t="n"/>
      <c r="L315" s="26" t="n"/>
      <c r="M315" s="27">
        <f>IF(L315="","",IF(K315="GST 10%",ROUND(L315*set_GSTRate,2),0))</f>
        <v/>
      </c>
      <c r="N315" s="27">
        <f>IF(L315="","",L315+M315)</f>
        <v/>
      </c>
      <c r="O315" s="24" t="n"/>
      <c r="P315" s="24" t="n"/>
      <c r="Q315" s="24" t="n"/>
      <c r="R315" s="22" t="n"/>
      <c r="S315" s="22" t="n"/>
      <c r="T315" s="24" t="n"/>
      <c r="U315" s="24" t="n"/>
      <c r="V315" s="2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25">
        <f>IF(E315="","",IF(COUNTIF(tbl_Onsite[Job Number],E315&amp;"")&gt;0,"Onsite",IF(COUNTIF(tbl_Production[Job Number],E315&amp;"")&gt;0,"Production",IF(COUNTIF(tbl_Consulting[Job Number],E315&amp;"")&gt;0,"Consulting","not set up yet"))))</f>
        <v/>
      </c>
      <c r="X315" s="25">
        <f>IF(E315="","",IFERROR(INDEX(lst_JobName,MATCH(E315&amp;"",lst_Jobs,0)),""))</f>
        <v/>
      </c>
      <c r="Y315" s="28">
        <f>IF(E315="","",COUNTIFS(tbl_Finance[Job Number],E315&amp;"",tbl_Finance[Ex GST],"&lt;&gt;"))</f>
        <v/>
      </c>
      <c r="Z315" s="27">
        <f>IF(E315="","",SUMIFS(tbl_Finance[Ex GST],tbl_Finance[Job Number],E315&amp;""))</f>
        <v/>
      </c>
      <c r="AA315" s="27">
        <f>IF(E315="","",SUMIFS(tbl_Finance[Ex GST],tbl_Finance[Job Number],E315&amp;"",tbl_Finance[Xero Invoice No],"&lt;&gt;"))</f>
        <v/>
      </c>
      <c r="AB315" s="27">
        <f>IF(E315="","",Z315-AA315)</f>
        <v/>
      </c>
      <c r="AC315" s="25">
        <f>IF(E315="","",IFERROR(IF(INDEX(tbl_Onsite[Qwilr Quote],IFERROR(MATCH(E315&amp;"",tbl_Onsite[Job Number],0),MATCH(IFERROR(E315+0,E315),tbl_Onsite[Job Number],0)))="","",INDEX(tbl_Onsite[Qwilr Quote],IFERROR(MATCH(E315&amp;"",tbl_Onsite[Job Number],0),MATCH(IFERROR(E315+0,E315),tbl_Onsite[Job Number],0)))),IFERROR(IF(IF(INDEX(tbl_Production[Current RMS No],IFERROR(MATCH(E315&amp;"",tbl_Production[Job Number],0),MATCH(IFERROR(E315+0,E315),tbl_Production[Job Number],0)))="",INDEX(tbl_Production[Qwilr Quote],IFERROR(MATCH(E315&amp;"",tbl_Production[Job Number],0),MATCH(IFERROR(E315+0,E315),tbl_Production[Job Number],0))),INDEX(tbl_Production[Current RMS No],IFERROR(MATCH(E315&amp;"",tbl_Production[Job Number],0),MATCH(IFERROR(E315+0,E315),tbl_Production[Job Number],0))))="","",IF(INDEX(tbl_Production[Current RMS No],IFERROR(MATCH(E315&amp;"",tbl_Production[Job Number],0),MATCH(IFERROR(E315+0,E315),tbl_Production[Job Number],0)))="",INDEX(tbl_Production[Qwilr Quote],IFERROR(MATCH(E315&amp;"",tbl_Production[Job Number],0),MATCH(IFERROR(E315+0,E315),tbl_Production[Job Number],0))),INDEX(tbl_Production[Current RMS No],IFERROR(MATCH(E315&amp;"",tbl_Production[Job Number],0),MATCH(IFERROR(E315+0,E315),tbl_Production[Job Number],0))))),IFERROR(IF(INDEX(tbl_Consulting[Qwilr Quote],IFERROR(MATCH(E315&amp;"",tbl_Consulting[Job Number],0),MATCH(IFERROR(E315+0,E315),tbl_Consulting[Job Number],0)))="","",INDEX(tbl_Consulting[Qwilr Quote],IFERROR(MATCH(E315&amp;"",tbl_Consulting[Job Number],0),MATCH(IFERROR(E315+0,E315),tbl_Consulting[Job Number],0)))),""))))</f>
        <v/>
      </c>
      <c r="AD315" s="25">
        <f>IF(AC315="","",IF(AND(LEFT(AC315,4)&lt;&gt;"http",IF(H315="Production",set_RMSBase,set_QwilrBase)=""),"",HYPERLINK(IF(LEFT(AC315,4)="http",AC315,IF(H315="Production",set_RMSBase,set_QwilrBase)&amp;AC315),"Open")))</f>
        <v/>
      </c>
      <c r="AE315" s="27">
        <f>IF(E315="","",IFERROR(INDEX(tbl_Production[Total Expense],IFERROR(MATCH(E315&amp;"",tbl_Production[Job Number],0),MATCH(IFERROR(E315+0,E315),tbl_Production[Job Number],0))),IFERROR(INDEX(tbl_Consulting[Total Expense],IFERROR(MATCH(E315&amp;"",tbl_Consulting[Job Number],0),MATCH(IFERROR(E315+0,E315),tbl_Consulting[Job Number],0))),0)))</f>
        <v/>
      </c>
      <c r="AF315" s="27">
        <f>IF(E315="","",Z315-N(AE315))</f>
        <v/>
      </c>
      <c r="AG315" s="29">
        <f>IFERROR(AF315/Z315,"")</f>
        <v/>
      </c>
      <c r="AH315" s="25">
        <f>IF(E315="","",IFERROR(IF(INDEX(tbl_Onsite[Notes],IFERROR(MATCH(E315&amp;"",tbl_Onsite[Job Number],0),MATCH(IFERROR(E315+0,E315),tbl_Onsite[Job Number],0)))="","",INDEX(tbl_Onsite[Notes],IFERROR(MATCH(E315&amp;"",tbl_Onsite[Job Number],0),MATCH(IFERROR(E315+0,E315),tbl_Onsite[Job Number],0)))),IFERROR(IF(INDEX(tbl_Production[Notes],IFERROR(MATCH(E315&amp;"",tbl_Production[Job Number],0),MATCH(IFERROR(E315+0,E315),tbl_Production[Job Number],0)))="","",INDEX(tbl_Production[Notes],IFERROR(MATCH(E315&amp;"",tbl_Production[Job Number],0),MATCH(IFERROR(E315+0,E315),tbl_Production[Job Number],0)))),IFERROR(IF(INDEX(tbl_Consulting[Notes],IFERROR(MATCH(E315&amp;"",tbl_Consulting[Job Number],0),MATCH(IFERROR(E315+0,E315),tbl_Consulting[Job Number],0)))="","",INDEX(tbl_Consulting[Notes],IFERROR(MATCH(E315&amp;"",tbl_Consulting[Job Number],0),MATCH(IFERROR(E315+0,E315),tbl_Consulting[Job Number],0)))),""))))</f>
        <v/>
      </c>
    </row>
    <row r="316" ht="15" customHeight="1">
      <c r="A316" s="22" t="n"/>
      <c r="B316" s="23">
        <f>IF(A316="","",EOMONTH(A316,0))</f>
        <v/>
      </c>
      <c r="C316" s="24" t="n"/>
      <c r="D316" s="24" t="n"/>
      <c r="E316" s="24" t="n"/>
      <c r="F316" s="25">
        <f>IF(E316="","",IF(COUNTIF(lst_Jobs,E316&amp;"")&gt;0,"OK","CHECK"))</f>
        <v/>
      </c>
      <c r="G316" s="24" t="n"/>
      <c r="H316" s="24" t="n"/>
      <c r="I316" s="24" t="n"/>
      <c r="J316" s="24" t="n"/>
      <c r="K316" s="24" t="n"/>
      <c r="L316" s="26" t="n"/>
      <c r="M316" s="27">
        <f>IF(L316="","",IF(K316="GST 10%",ROUND(L316*set_GSTRate,2),0))</f>
        <v/>
      </c>
      <c r="N316" s="27">
        <f>IF(L316="","",L316+M316)</f>
        <v/>
      </c>
      <c r="O316" s="24" t="n"/>
      <c r="P316" s="24" t="n"/>
      <c r="Q316" s="24" t="n"/>
      <c r="R316" s="22" t="n"/>
      <c r="S316" s="22" t="n"/>
      <c r="T316" s="24" t="n"/>
      <c r="U316" s="24" t="n"/>
      <c r="V316" s="2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25">
        <f>IF(E316="","",IF(COUNTIF(tbl_Onsite[Job Number],E316&amp;"")&gt;0,"Onsite",IF(COUNTIF(tbl_Production[Job Number],E316&amp;"")&gt;0,"Production",IF(COUNTIF(tbl_Consulting[Job Number],E316&amp;"")&gt;0,"Consulting","not set up yet"))))</f>
        <v/>
      </c>
      <c r="X316" s="25">
        <f>IF(E316="","",IFERROR(INDEX(lst_JobName,MATCH(E316&amp;"",lst_Jobs,0)),""))</f>
        <v/>
      </c>
      <c r="Y316" s="28">
        <f>IF(E316="","",COUNTIFS(tbl_Finance[Job Number],E316&amp;"",tbl_Finance[Ex GST],"&lt;&gt;"))</f>
        <v/>
      </c>
      <c r="Z316" s="27">
        <f>IF(E316="","",SUMIFS(tbl_Finance[Ex GST],tbl_Finance[Job Number],E316&amp;""))</f>
        <v/>
      </c>
      <c r="AA316" s="27">
        <f>IF(E316="","",SUMIFS(tbl_Finance[Ex GST],tbl_Finance[Job Number],E316&amp;"",tbl_Finance[Xero Invoice No],"&lt;&gt;"))</f>
        <v/>
      </c>
      <c r="AB316" s="27">
        <f>IF(E316="","",Z316-AA316)</f>
        <v/>
      </c>
      <c r="AC316" s="25">
        <f>IF(E316="","",IFERROR(IF(INDEX(tbl_Onsite[Qwilr Quote],IFERROR(MATCH(E316&amp;"",tbl_Onsite[Job Number],0),MATCH(IFERROR(E316+0,E316),tbl_Onsite[Job Number],0)))="","",INDEX(tbl_Onsite[Qwilr Quote],IFERROR(MATCH(E316&amp;"",tbl_Onsite[Job Number],0),MATCH(IFERROR(E316+0,E316),tbl_Onsite[Job Number],0)))),IFERROR(IF(IF(INDEX(tbl_Production[Current RMS No],IFERROR(MATCH(E316&amp;"",tbl_Production[Job Number],0),MATCH(IFERROR(E316+0,E316),tbl_Production[Job Number],0)))="",INDEX(tbl_Production[Qwilr Quote],IFERROR(MATCH(E316&amp;"",tbl_Production[Job Number],0),MATCH(IFERROR(E316+0,E316),tbl_Production[Job Number],0))),INDEX(tbl_Production[Current RMS No],IFERROR(MATCH(E316&amp;"",tbl_Production[Job Number],0),MATCH(IFERROR(E316+0,E316),tbl_Production[Job Number],0))))="","",IF(INDEX(tbl_Production[Current RMS No],IFERROR(MATCH(E316&amp;"",tbl_Production[Job Number],0),MATCH(IFERROR(E316+0,E316),tbl_Production[Job Number],0)))="",INDEX(tbl_Production[Qwilr Quote],IFERROR(MATCH(E316&amp;"",tbl_Production[Job Number],0),MATCH(IFERROR(E316+0,E316),tbl_Production[Job Number],0))),INDEX(tbl_Production[Current RMS No],IFERROR(MATCH(E316&amp;"",tbl_Production[Job Number],0),MATCH(IFERROR(E316+0,E316),tbl_Production[Job Number],0))))),IFERROR(IF(INDEX(tbl_Consulting[Qwilr Quote],IFERROR(MATCH(E316&amp;"",tbl_Consulting[Job Number],0),MATCH(IFERROR(E316+0,E316),tbl_Consulting[Job Number],0)))="","",INDEX(tbl_Consulting[Qwilr Quote],IFERROR(MATCH(E316&amp;"",tbl_Consulting[Job Number],0),MATCH(IFERROR(E316+0,E316),tbl_Consulting[Job Number],0)))),""))))</f>
        <v/>
      </c>
      <c r="AD316" s="25">
        <f>IF(AC316="","",IF(AND(LEFT(AC316,4)&lt;&gt;"http",IF(H316="Production",set_RMSBase,set_QwilrBase)=""),"",HYPERLINK(IF(LEFT(AC316,4)="http",AC316,IF(H316="Production",set_RMSBase,set_QwilrBase)&amp;AC316),"Open")))</f>
        <v/>
      </c>
      <c r="AE316" s="27">
        <f>IF(E316="","",IFERROR(INDEX(tbl_Production[Total Expense],IFERROR(MATCH(E316&amp;"",tbl_Production[Job Number],0),MATCH(IFERROR(E316+0,E316),tbl_Production[Job Number],0))),IFERROR(INDEX(tbl_Consulting[Total Expense],IFERROR(MATCH(E316&amp;"",tbl_Consulting[Job Number],0),MATCH(IFERROR(E316+0,E316),tbl_Consulting[Job Number],0))),0)))</f>
        <v/>
      </c>
      <c r="AF316" s="27">
        <f>IF(E316="","",Z316-N(AE316))</f>
        <v/>
      </c>
      <c r="AG316" s="29">
        <f>IFERROR(AF316/Z316,"")</f>
        <v/>
      </c>
      <c r="AH316" s="25">
        <f>IF(E316="","",IFERROR(IF(INDEX(tbl_Onsite[Notes],IFERROR(MATCH(E316&amp;"",tbl_Onsite[Job Number],0),MATCH(IFERROR(E316+0,E316),tbl_Onsite[Job Number],0)))="","",INDEX(tbl_Onsite[Notes],IFERROR(MATCH(E316&amp;"",tbl_Onsite[Job Number],0),MATCH(IFERROR(E316+0,E316),tbl_Onsite[Job Number],0)))),IFERROR(IF(INDEX(tbl_Production[Notes],IFERROR(MATCH(E316&amp;"",tbl_Production[Job Number],0),MATCH(IFERROR(E316+0,E316),tbl_Production[Job Number],0)))="","",INDEX(tbl_Production[Notes],IFERROR(MATCH(E316&amp;"",tbl_Production[Job Number],0),MATCH(IFERROR(E316+0,E316),tbl_Production[Job Number],0)))),IFERROR(IF(INDEX(tbl_Consulting[Notes],IFERROR(MATCH(E316&amp;"",tbl_Consulting[Job Number],0),MATCH(IFERROR(E316+0,E316),tbl_Consulting[Job Number],0)))="","",INDEX(tbl_Consulting[Notes],IFERROR(MATCH(E316&amp;"",tbl_Consulting[Job Number],0),MATCH(IFERROR(E316+0,E316),tbl_Consulting[Job Number],0)))),""))))</f>
        <v/>
      </c>
    </row>
    <row r="317" ht="15" customHeight="1">
      <c r="A317" s="22" t="n"/>
      <c r="B317" s="23">
        <f>IF(A317="","",EOMONTH(A317,0))</f>
        <v/>
      </c>
      <c r="C317" s="24" t="n"/>
      <c r="D317" s="24" t="n"/>
      <c r="E317" s="24" t="n"/>
      <c r="F317" s="25">
        <f>IF(E317="","",IF(COUNTIF(lst_Jobs,E317&amp;"")&gt;0,"OK","CHECK"))</f>
        <v/>
      </c>
      <c r="G317" s="24" t="n"/>
      <c r="H317" s="24" t="n"/>
      <c r="I317" s="24" t="n"/>
      <c r="J317" s="24" t="n"/>
      <c r="K317" s="24" t="n"/>
      <c r="L317" s="26" t="n"/>
      <c r="M317" s="27">
        <f>IF(L317="","",IF(K317="GST 10%",ROUND(L317*set_GSTRate,2),0))</f>
        <v/>
      </c>
      <c r="N317" s="27">
        <f>IF(L317="","",L317+M317)</f>
        <v/>
      </c>
      <c r="O317" s="24" t="n"/>
      <c r="P317" s="24" t="n"/>
      <c r="Q317" s="24" t="n"/>
      <c r="R317" s="22" t="n"/>
      <c r="S317" s="22" t="n"/>
      <c r="T317" s="24" t="n"/>
      <c r="U317" s="24" t="n"/>
      <c r="V317" s="2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25">
        <f>IF(E317="","",IF(COUNTIF(tbl_Onsite[Job Number],E317&amp;"")&gt;0,"Onsite",IF(COUNTIF(tbl_Production[Job Number],E317&amp;"")&gt;0,"Production",IF(COUNTIF(tbl_Consulting[Job Number],E317&amp;"")&gt;0,"Consulting","not set up yet"))))</f>
        <v/>
      </c>
      <c r="X317" s="25">
        <f>IF(E317="","",IFERROR(INDEX(lst_JobName,MATCH(E317&amp;"",lst_Jobs,0)),""))</f>
        <v/>
      </c>
      <c r="Y317" s="28">
        <f>IF(E317="","",COUNTIFS(tbl_Finance[Job Number],E317&amp;"",tbl_Finance[Ex GST],"&lt;&gt;"))</f>
        <v/>
      </c>
      <c r="Z317" s="27">
        <f>IF(E317="","",SUMIFS(tbl_Finance[Ex GST],tbl_Finance[Job Number],E317&amp;""))</f>
        <v/>
      </c>
      <c r="AA317" s="27">
        <f>IF(E317="","",SUMIFS(tbl_Finance[Ex GST],tbl_Finance[Job Number],E317&amp;"",tbl_Finance[Xero Invoice No],"&lt;&gt;"))</f>
        <v/>
      </c>
      <c r="AB317" s="27">
        <f>IF(E317="","",Z317-AA317)</f>
        <v/>
      </c>
      <c r="AC317" s="25">
        <f>IF(E317="","",IFERROR(IF(INDEX(tbl_Onsite[Qwilr Quote],IFERROR(MATCH(E317&amp;"",tbl_Onsite[Job Number],0),MATCH(IFERROR(E317+0,E317),tbl_Onsite[Job Number],0)))="","",INDEX(tbl_Onsite[Qwilr Quote],IFERROR(MATCH(E317&amp;"",tbl_Onsite[Job Number],0),MATCH(IFERROR(E317+0,E317),tbl_Onsite[Job Number],0)))),IFERROR(IF(IF(INDEX(tbl_Production[Current RMS No],IFERROR(MATCH(E317&amp;"",tbl_Production[Job Number],0),MATCH(IFERROR(E317+0,E317),tbl_Production[Job Number],0)))="",INDEX(tbl_Production[Qwilr Quote],IFERROR(MATCH(E317&amp;"",tbl_Production[Job Number],0),MATCH(IFERROR(E317+0,E317),tbl_Production[Job Number],0))),INDEX(tbl_Production[Current RMS No],IFERROR(MATCH(E317&amp;"",tbl_Production[Job Number],0),MATCH(IFERROR(E317+0,E317),tbl_Production[Job Number],0))))="","",IF(INDEX(tbl_Production[Current RMS No],IFERROR(MATCH(E317&amp;"",tbl_Production[Job Number],0),MATCH(IFERROR(E317+0,E317),tbl_Production[Job Number],0)))="",INDEX(tbl_Production[Qwilr Quote],IFERROR(MATCH(E317&amp;"",tbl_Production[Job Number],0),MATCH(IFERROR(E317+0,E317),tbl_Production[Job Number],0))),INDEX(tbl_Production[Current RMS No],IFERROR(MATCH(E317&amp;"",tbl_Production[Job Number],0),MATCH(IFERROR(E317+0,E317),tbl_Production[Job Number],0))))),IFERROR(IF(INDEX(tbl_Consulting[Qwilr Quote],IFERROR(MATCH(E317&amp;"",tbl_Consulting[Job Number],0),MATCH(IFERROR(E317+0,E317),tbl_Consulting[Job Number],0)))="","",INDEX(tbl_Consulting[Qwilr Quote],IFERROR(MATCH(E317&amp;"",tbl_Consulting[Job Number],0),MATCH(IFERROR(E317+0,E317),tbl_Consulting[Job Number],0)))),""))))</f>
        <v/>
      </c>
      <c r="AD317" s="25">
        <f>IF(AC317="","",IF(AND(LEFT(AC317,4)&lt;&gt;"http",IF(H317="Production",set_RMSBase,set_QwilrBase)=""),"",HYPERLINK(IF(LEFT(AC317,4)="http",AC317,IF(H317="Production",set_RMSBase,set_QwilrBase)&amp;AC317),"Open")))</f>
        <v/>
      </c>
      <c r="AE317" s="27">
        <f>IF(E317="","",IFERROR(INDEX(tbl_Production[Total Expense],IFERROR(MATCH(E317&amp;"",tbl_Production[Job Number],0),MATCH(IFERROR(E317+0,E317),tbl_Production[Job Number],0))),IFERROR(INDEX(tbl_Consulting[Total Expense],IFERROR(MATCH(E317&amp;"",tbl_Consulting[Job Number],0),MATCH(IFERROR(E317+0,E317),tbl_Consulting[Job Number],0))),0)))</f>
        <v/>
      </c>
      <c r="AF317" s="27">
        <f>IF(E317="","",Z317-N(AE317))</f>
        <v/>
      </c>
      <c r="AG317" s="29">
        <f>IFERROR(AF317/Z317,"")</f>
        <v/>
      </c>
      <c r="AH317" s="25">
        <f>IF(E317="","",IFERROR(IF(INDEX(tbl_Onsite[Notes],IFERROR(MATCH(E317&amp;"",tbl_Onsite[Job Number],0),MATCH(IFERROR(E317+0,E317),tbl_Onsite[Job Number],0)))="","",INDEX(tbl_Onsite[Notes],IFERROR(MATCH(E317&amp;"",tbl_Onsite[Job Number],0),MATCH(IFERROR(E317+0,E317),tbl_Onsite[Job Number],0)))),IFERROR(IF(INDEX(tbl_Production[Notes],IFERROR(MATCH(E317&amp;"",tbl_Production[Job Number],0),MATCH(IFERROR(E317+0,E317),tbl_Production[Job Number],0)))="","",INDEX(tbl_Production[Notes],IFERROR(MATCH(E317&amp;"",tbl_Production[Job Number],0),MATCH(IFERROR(E317+0,E317),tbl_Production[Job Number],0)))),IFERROR(IF(INDEX(tbl_Consulting[Notes],IFERROR(MATCH(E317&amp;"",tbl_Consulting[Job Number],0),MATCH(IFERROR(E317+0,E317),tbl_Consulting[Job Number],0)))="","",INDEX(tbl_Consulting[Notes],IFERROR(MATCH(E317&amp;"",tbl_Consulting[Job Number],0),MATCH(IFERROR(E317+0,E317),tbl_Consulting[Job Number],0)))),""))))</f>
        <v/>
      </c>
    </row>
    <row r="318" ht="15" customHeight="1">
      <c r="A318" s="22" t="n"/>
      <c r="B318" s="23">
        <f>IF(A318="","",EOMONTH(A318,0))</f>
        <v/>
      </c>
      <c r="C318" s="24" t="n"/>
      <c r="D318" s="24" t="n"/>
      <c r="E318" s="24" t="n"/>
      <c r="F318" s="25">
        <f>IF(E318="","",IF(COUNTIF(lst_Jobs,E318&amp;"")&gt;0,"OK","CHECK"))</f>
        <v/>
      </c>
      <c r="G318" s="24" t="n"/>
      <c r="H318" s="24" t="n"/>
      <c r="I318" s="24" t="n"/>
      <c r="J318" s="24" t="n"/>
      <c r="K318" s="24" t="n"/>
      <c r="L318" s="26" t="n"/>
      <c r="M318" s="27">
        <f>IF(L318="","",IF(K318="GST 10%",ROUND(L318*set_GSTRate,2),0))</f>
        <v/>
      </c>
      <c r="N318" s="27">
        <f>IF(L318="","",L318+M318)</f>
        <v/>
      </c>
      <c r="O318" s="24" t="n"/>
      <c r="P318" s="24" t="n"/>
      <c r="Q318" s="24" t="n"/>
      <c r="R318" s="22" t="n"/>
      <c r="S318" s="22" t="n"/>
      <c r="T318" s="24" t="n"/>
      <c r="U318" s="24" t="n"/>
      <c r="V318" s="2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25">
        <f>IF(E318="","",IF(COUNTIF(tbl_Onsite[Job Number],E318&amp;"")&gt;0,"Onsite",IF(COUNTIF(tbl_Production[Job Number],E318&amp;"")&gt;0,"Production",IF(COUNTIF(tbl_Consulting[Job Number],E318&amp;"")&gt;0,"Consulting","not set up yet"))))</f>
        <v/>
      </c>
      <c r="X318" s="25">
        <f>IF(E318="","",IFERROR(INDEX(lst_JobName,MATCH(E318&amp;"",lst_Jobs,0)),""))</f>
        <v/>
      </c>
      <c r="Y318" s="28">
        <f>IF(E318="","",COUNTIFS(tbl_Finance[Job Number],E318&amp;"",tbl_Finance[Ex GST],"&lt;&gt;"))</f>
        <v/>
      </c>
      <c r="Z318" s="27">
        <f>IF(E318="","",SUMIFS(tbl_Finance[Ex GST],tbl_Finance[Job Number],E318&amp;""))</f>
        <v/>
      </c>
      <c r="AA318" s="27">
        <f>IF(E318="","",SUMIFS(tbl_Finance[Ex GST],tbl_Finance[Job Number],E318&amp;"",tbl_Finance[Xero Invoice No],"&lt;&gt;"))</f>
        <v/>
      </c>
      <c r="AB318" s="27">
        <f>IF(E318="","",Z318-AA318)</f>
        <v/>
      </c>
      <c r="AC318" s="25">
        <f>IF(E318="","",IFERROR(IF(INDEX(tbl_Onsite[Qwilr Quote],IFERROR(MATCH(E318&amp;"",tbl_Onsite[Job Number],0),MATCH(IFERROR(E318+0,E318),tbl_Onsite[Job Number],0)))="","",INDEX(tbl_Onsite[Qwilr Quote],IFERROR(MATCH(E318&amp;"",tbl_Onsite[Job Number],0),MATCH(IFERROR(E318+0,E318),tbl_Onsite[Job Number],0)))),IFERROR(IF(IF(INDEX(tbl_Production[Current RMS No],IFERROR(MATCH(E318&amp;"",tbl_Production[Job Number],0),MATCH(IFERROR(E318+0,E318),tbl_Production[Job Number],0)))="",INDEX(tbl_Production[Qwilr Quote],IFERROR(MATCH(E318&amp;"",tbl_Production[Job Number],0),MATCH(IFERROR(E318+0,E318),tbl_Production[Job Number],0))),INDEX(tbl_Production[Current RMS No],IFERROR(MATCH(E318&amp;"",tbl_Production[Job Number],0),MATCH(IFERROR(E318+0,E318),tbl_Production[Job Number],0))))="","",IF(INDEX(tbl_Production[Current RMS No],IFERROR(MATCH(E318&amp;"",tbl_Production[Job Number],0),MATCH(IFERROR(E318+0,E318),tbl_Production[Job Number],0)))="",INDEX(tbl_Production[Qwilr Quote],IFERROR(MATCH(E318&amp;"",tbl_Production[Job Number],0),MATCH(IFERROR(E318+0,E318),tbl_Production[Job Number],0))),INDEX(tbl_Production[Current RMS No],IFERROR(MATCH(E318&amp;"",tbl_Production[Job Number],0),MATCH(IFERROR(E318+0,E318),tbl_Production[Job Number],0))))),IFERROR(IF(INDEX(tbl_Consulting[Qwilr Quote],IFERROR(MATCH(E318&amp;"",tbl_Consulting[Job Number],0),MATCH(IFERROR(E318+0,E318),tbl_Consulting[Job Number],0)))="","",INDEX(tbl_Consulting[Qwilr Quote],IFERROR(MATCH(E318&amp;"",tbl_Consulting[Job Number],0),MATCH(IFERROR(E318+0,E318),tbl_Consulting[Job Number],0)))),""))))</f>
        <v/>
      </c>
      <c r="AD318" s="25">
        <f>IF(AC318="","",IF(AND(LEFT(AC318,4)&lt;&gt;"http",IF(H318="Production",set_RMSBase,set_QwilrBase)=""),"",HYPERLINK(IF(LEFT(AC318,4)="http",AC318,IF(H318="Production",set_RMSBase,set_QwilrBase)&amp;AC318),"Open")))</f>
        <v/>
      </c>
      <c r="AE318" s="27">
        <f>IF(E318="","",IFERROR(INDEX(tbl_Production[Total Expense],IFERROR(MATCH(E318&amp;"",tbl_Production[Job Number],0),MATCH(IFERROR(E318+0,E318),tbl_Production[Job Number],0))),IFERROR(INDEX(tbl_Consulting[Total Expense],IFERROR(MATCH(E318&amp;"",tbl_Consulting[Job Number],0),MATCH(IFERROR(E318+0,E318),tbl_Consulting[Job Number],0))),0)))</f>
        <v/>
      </c>
      <c r="AF318" s="27">
        <f>IF(E318="","",Z318-N(AE318))</f>
        <v/>
      </c>
      <c r="AG318" s="29">
        <f>IFERROR(AF318/Z318,"")</f>
        <v/>
      </c>
      <c r="AH318" s="25">
        <f>IF(E318="","",IFERROR(IF(INDEX(tbl_Onsite[Notes],IFERROR(MATCH(E318&amp;"",tbl_Onsite[Job Number],0),MATCH(IFERROR(E318+0,E318),tbl_Onsite[Job Number],0)))="","",INDEX(tbl_Onsite[Notes],IFERROR(MATCH(E318&amp;"",tbl_Onsite[Job Number],0),MATCH(IFERROR(E318+0,E318),tbl_Onsite[Job Number],0)))),IFERROR(IF(INDEX(tbl_Production[Notes],IFERROR(MATCH(E318&amp;"",tbl_Production[Job Number],0),MATCH(IFERROR(E318+0,E318),tbl_Production[Job Number],0)))="","",INDEX(tbl_Production[Notes],IFERROR(MATCH(E318&amp;"",tbl_Production[Job Number],0),MATCH(IFERROR(E318+0,E318),tbl_Production[Job Number],0)))),IFERROR(IF(INDEX(tbl_Consulting[Notes],IFERROR(MATCH(E318&amp;"",tbl_Consulting[Job Number],0),MATCH(IFERROR(E318+0,E318),tbl_Consulting[Job Number],0)))="","",INDEX(tbl_Consulting[Notes],IFERROR(MATCH(E318&amp;"",tbl_Consulting[Job Number],0),MATCH(IFERROR(E318+0,E318),tbl_Consulting[Job Number],0)))),""))))</f>
        <v/>
      </c>
    </row>
    <row r="319" ht="15" customHeight="1">
      <c r="A319" s="22" t="n"/>
      <c r="B319" s="23">
        <f>IF(A319="","",EOMONTH(A319,0))</f>
        <v/>
      </c>
      <c r="C319" s="24" t="n"/>
      <c r="D319" s="24" t="n"/>
      <c r="E319" s="24" t="n"/>
      <c r="F319" s="25">
        <f>IF(E319="","",IF(COUNTIF(lst_Jobs,E319&amp;"")&gt;0,"OK","CHECK"))</f>
        <v/>
      </c>
      <c r="G319" s="24" t="n"/>
      <c r="H319" s="24" t="n"/>
      <c r="I319" s="24" t="n"/>
      <c r="J319" s="24" t="n"/>
      <c r="K319" s="24" t="n"/>
      <c r="L319" s="26" t="n"/>
      <c r="M319" s="27">
        <f>IF(L319="","",IF(K319="GST 10%",ROUND(L319*set_GSTRate,2),0))</f>
        <v/>
      </c>
      <c r="N319" s="27">
        <f>IF(L319="","",L319+M319)</f>
        <v/>
      </c>
      <c r="O319" s="24" t="n"/>
      <c r="P319" s="24" t="n"/>
      <c r="Q319" s="24" t="n"/>
      <c r="R319" s="22" t="n"/>
      <c r="S319" s="22" t="n"/>
      <c r="T319" s="24" t="n"/>
      <c r="U319" s="24" t="n"/>
      <c r="V319" s="2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25">
        <f>IF(E319="","",IF(COUNTIF(tbl_Onsite[Job Number],E319&amp;"")&gt;0,"Onsite",IF(COUNTIF(tbl_Production[Job Number],E319&amp;"")&gt;0,"Production",IF(COUNTIF(tbl_Consulting[Job Number],E319&amp;"")&gt;0,"Consulting","not set up yet"))))</f>
        <v/>
      </c>
      <c r="X319" s="25">
        <f>IF(E319="","",IFERROR(INDEX(lst_JobName,MATCH(E319&amp;"",lst_Jobs,0)),""))</f>
        <v/>
      </c>
      <c r="Y319" s="28">
        <f>IF(E319="","",COUNTIFS(tbl_Finance[Job Number],E319&amp;"",tbl_Finance[Ex GST],"&lt;&gt;"))</f>
        <v/>
      </c>
      <c r="Z319" s="27">
        <f>IF(E319="","",SUMIFS(tbl_Finance[Ex GST],tbl_Finance[Job Number],E319&amp;""))</f>
        <v/>
      </c>
      <c r="AA319" s="27">
        <f>IF(E319="","",SUMIFS(tbl_Finance[Ex GST],tbl_Finance[Job Number],E319&amp;"",tbl_Finance[Xero Invoice No],"&lt;&gt;"))</f>
        <v/>
      </c>
      <c r="AB319" s="27">
        <f>IF(E319="","",Z319-AA319)</f>
        <v/>
      </c>
      <c r="AC319" s="25">
        <f>IF(E319="","",IFERROR(IF(INDEX(tbl_Onsite[Qwilr Quote],IFERROR(MATCH(E319&amp;"",tbl_Onsite[Job Number],0),MATCH(IFERROR(E319+0,E319),tbl_Onsite[Job Number],0)))="","",INDEX(tbl_Onsite[Qwilr Quote],IFERROR(MATCH(E319&amp;"",tbl_Onsite[Job Number],0),MATCH(IFERROR(E319+0,E319),tbl_Onsite[Job Number],0)))),IFERROR(IF(IF(INDEX(tbl_Production[Current RMS No],IFERROR(MATCH(E319&amp;"",tbl_Production[Job Number],0),MATCH(IFERROR(E319+0,E319),tbl_Production[Job Number],0)))="",INDEX(tbl_Production[Qwilr Quote],IFERROR(MATCH(E319&amp;"",tbl_Production[Job Number],0),MATCH(IFERROR(E319+0,E319),tbl_Production[Job Number],0))),INDEX(tbl_Production[Current RMS No],IFERROR(MATCH(E319&amp;"",tbl_Production[Job Number],0),MATCH(IFERROR(E319+0,E319),tbl_Production[Job Number],0))))="","",IF(INDEX(tbl_Production[Current RMS No],IFERROR(MATCH(E319&amp;"",tbl_Production[Job Number],0),MATCH(IFERROR(E319+0,E319),tbl_Production[Job Number],0)))="",INDEX(tbl_Production[Qwilr Quote],IFERROR(MATCH(E319&amp;"",tbl_Production[Job Number],0),MATCH(IFERROR(E319+0,E319),tbl_Production[Job Number],0))),INDEX(tbl_Production[Current RMS No],IFERROR(MATCH(E319&amp;"",tbl_Production[Job Number],0),MATCH(IFERROR(E319+0,E319),tbl_Production[Job Number],0))))),IFERROR(IF(INDEX(tbl_Consulting[Qwilr Quote],IFERROR(MATCH(E319&amp;"",tbl_Consulting[Job Number],0),MATCH(IFERROR(E319+0,E319),tbl_Consulting[Job Number],0)))="","",INDEX(tbl_Consulting[Qwilr Quote],IFERROR(MATCH(E319&amp;"",tbl_Consulting[Job Number],0),MATCH(IFERROR(E319+0,E319),tbl_Consulting[Job Number],0)))),""))))</f>
        <v/>
      </c>
      <c r="AD319" s="25">
        <f>IF(AC319="","",IF(AND(LEFT(AC319,4)&lt;&gt;"http",IF(H319="Production",set_RMSBase,set_QwilrBase)=""),"",HYPERLINK(IF(LEFT(AC319,4)="http",AC319,IF(H319="Production",set_RMSBase,set_QwilrBase)&amp;AC319),"Open")))</f>
        <v/>
      </c>
      <c r="AE319" s="27">
        <f>IF(E319="","",IFERROR(INDEX(tbl_Production[Total Expense],IFERROR(MATCH(E319&amp;"",tbl_Production[Job Number],0),MATCH(IFERROR(E319+0,E319),tbl_Production[Job Number],0))),IFERROR(INDEX(tbl_Consulting[Total Expense],IFERROR(MATCH(E319&amp;"",tbl_Consulting[Job Number],0),MATCH(IFERROR(E319+0,E319),tbl_Consulting[Job Number],0))),0)))</f>
        <v/>
      </c>
      <c r="AF319" s="27">
        <f>IF(E319="","",Z319-N(AE319))</f>
        <v/>
      </c>
      <c r="AG319" s="29">
        <f>IFERROR(AF319/Z319,"")</f>
        <v/>
      </c>
      <c r="AH319" s="25">
        <f>IF(E319="","",IFERROR(IF(INDEX(tbl_Onsite[Notes],IFERROR(MATCH(E319&amp;"",tbl_Onsite[Job Number],0),MATCH(IFERROR(E319+0,E319),tbl_Onsite[Job Number],0)))="","",INDEX(tbl_Onsite[Notes],IFERROR(MATCH(E319&amp;"",tbl_Onsite[Job Number],0),MATCH(IFERROR(E319+0,E319),tbl_Onsite[Job Number],0)))),IFERROR(IF(INDEX(tbl_Production[Notes],IFERROR(MATCH(E319&amp;"",tbl_Production[Job Number],0),MATCH(IFERROR(E319+0,E319),tbl_Production[Job Number],0)))="","",INDEX(tbl_Production[Notes],IFERROR(MATCH(E319&amp;"",tbl_Production[Job Number],0),MATCH(IFERROR(E319+0,E319),tbl_Production[Job Number],0)))),IFERROR(IF(INDEX(tbl_Consulting[Notes],IFERROR(MATCH(E319&amp;"",tbl_Consulting[Job Number],0),MATCH(IFERROR(E319+0,E319),tbl_Consulting[Job Number],0)))="","",INDEX(tbl_Consulting[Notes],IFERROR(MATCH(E319&amp;"",tbl_Consulting[Job Number],0),MATCH(IFERROR(E319+0,E319),tbl_Consulting[Job Number],0)))),""))))</f>
        <v/>
      </c>
    </row>
    <row r="320" ht="15" customHeight="1">
      <c r="A320" s="22" t="n"/>
      <c r="B320" s="23">
        <f>IF(A320="","",EOMONTH(A320,0))</f>
        <v/>
      </c>
      <c r="C320" s="24" t="n"/>
      <c r="D320" s="24" t="n"/>
      <c r="E320" s="24" t="n"/>
      <c r="F320" s="25">
        <f>IF(E320="","",IF(COUNTIF(lst_Jobs,E320&amp;"")&gt;0,"OK","CHECK"))</f>
        <v/>
      </c>
      <c r="G320" s="24" t="n"/>
      <c r="H320" s="24" t="n"/>
      <c r="I320" s="24" t="n"/>
      <c r="J320" s="24" t="n"/>
      <c r="K320" s="24" t="n"/>
      <c r="L320" s="26" t="n"/>
      <c r="M320" s="27">
        <f>IF(L320="","",IF(K320="GST 10%",ROUND(L320*set_GSTRate,2),0))</f>
        <v/>
      </c>
      <c r="N320" s="27">
        <f>IF(L320="","",L320+M320)</f>
        <v/>
      </c>
      <c r="O320" s="24" t="n"/>
      <c r="P320" s="24" t="n"/>
      <c r="Q320" s="24" t="n"/>
      <c r="R320" s="22" t="n"/>
      <c r="S320" s="22" t="n"/>
      <c r="T320" s="24" t="n"/>
      <c r="U320" s="24" t="n"/>
      <c r="V320" s="2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25">
        <f>IF(E320="","",IF(COUNTIF(tbl_Onsite[Job Number],E320&amp;"")&gt;0,"Onsite",IF(COUNTIF(tbl_Production[Job Number],E320&amp;"")&gt;0,"Production",IF(COUNTIF(tbl_Consulting[Job Number],E320&amp;"")&gt;0,"Consulting","not set up yet"))))</f>
        <v/>
      </c>
      <c r="X320" s="25">
        <f>IF(E320="","",IFERROR(INDEX(lst_JobName,MATCH(E320&amp;"",lst_Jobs,0)),""))</f>
        <v/>
      </c>
      <c r="Y320" s="28">
        <f>IF(E320="","",COUNTIFS(tbl_Finance[Job Number],E320&amp;"",tbl_Finance[Ex GST],"&lt;&gt;"))</f>
        <v/>
      </c>
      <c r="Z320" s="27">
        <f>IF(E320="","",SUMIFS(tbl_Finance[Ex GST],tbl_Finance[Job Number],E320&amp;""))</f>
        <v/>
      </c>
      <c r="AA320" s="27">
        <f>IF(E320="","",SUMIFS(tbl_Finance[Ex GST],tbl_Finance[Job Number],E320&amp;"",tbl_Finance[Xero Invoice No],"&lt;&gt;"))</f>
        <v/>
      </c>
      <c r="AB320" s="27">
        <f>IF(E320="","",Z320-AA320)</f>
        <v/>
      </c>
      <c r="AC320" s="25">
        <f>IF(E320="","",IFERROR(IF(INDEX(tbl_Onsite[Qwilr Quote],IFERROR(MATCH(E320&amp;"",tbl_Onsite[Job Number],0),MATCH(IFERROR(E320+0,E320),tbl_Onsite[Job Number],0)))="","",INDEX(tbl_Onsite[Qwilr Quote],IFERROR(MATCH(E320&amp;"",tbl_Onsite[Job Number],0),MATCH(IFERROR(E320+0,E320),tbl_Onsite[Job Number],0)))),IFERROR(IF(IF(INDEX(tbl_Production[Current RMS No],IFERROR(MATCH(E320&amp;"",tbl_Production[Job Number],0),MATCH(IFERROR(E320+0,E320),tbl_Production[Job Number],0)))="",INDEX(tbl_Production[Qwilr Quote],IFERROR(MATCH(E320&amp;"",tbl_Production[Job Number],0),MATCH(IFERROR(E320+0,E320),tbl_Production[Job Number],0))),INDEX(tbl_Production[Current RMS No],IFERROR(MATCH(E320&amp;"",tbl_Production[Job Number],0),MATCH(IFERROR(E320+0,E320),tbl_Production[Job Number],0))))="","",IF(INDEX(tbl_Production[Current RMS No],IFERROR(MATCH(E320&amp;"",tbl_Production[Job Number],0),MATCH(IFERROR(E320+0,E320),tbl_Production[Job Number],0)))="",INDEX(tbl_Production[Qwilr Quote],IFERROR(MATCH(E320&amp;"",tbl_Production[Job Number],0),MATCH(IFERROR(E320+0,E320),tbl_Production[Job Number],0))),INDEX(tbl_Production[Current RMS No],IFERROR(MATCH(E320&amp;"",tbl_Production[Job Number],0),MATCH(IFERROR(E320+0,E320),tbl_Production[Job Number],0))))),IFERROR(IF(INDEX(tbl_Consulting[Qwilr Quote],IFERROR(MATCH(E320&amp;"",tbl_Consulting[Job Number],0),MATCH(IFERROR(E320+0,E320),tbl_Consulting[Job Number],0)))="","",INDEX(tbl_Consulting[Qwilr Quote],IFERROR(MATCH(E320&amp;"",tbl_Consulting[Job Number],0),MATCH(IFERROR(E320+0,E320),tbl_Consulting[Job Number],0)))),""))))</f>
        <v/>
      </c>
      <c r="AD320" s="25">
        <f>IF(AC320="","",IF(AND(LEFT(AC320,4)&lt;&gt;"http",IF(H320="Production",set_RMSBase,set_QwilrBase)=""),"",HYPERLINK(IF(LEFT(AC320,4)="http",AC320,IF(H320="Production",set_RMSBase,set_QwilrBase)&amp;AC320),"Open")))</f>
        <v/>
      </c>
      <c r="AE320" s="27">
        <f>IF(E320="","",IFERROR(INDEX(tbl_Production[Total Expense],IFERROR(MATCH(E320&amp;"",tbl_Production[Job Number],0),MATCH(IFERROR(E320+0,E320),tbl_Production[Job Number],0))),IFERROR(INDEX(tbl_Consulting[Total Expense],IFERROR(MATCH(E320&amp;"",tbl_Consulting[Job Number],0),MATCH(IFERROR(E320+0,E320),tbl_Consulting[Job Number],0))),0)))</f>
        <v/>
      </c>
      <c r="AF320" s="27">
        <f>IF(E320="","",Z320-N(AE320))</f>
        <v/>
      </c>
      <c r="AG320" s="29">
        <f>IFERROR(AF320/Z320,"")</f>
        <v/>
      </c>
      <c r="AH320" s="25">
        <f>IF(E320="","",IFERROR(IF(INDEX(tbl_Onsite[Notes],IFERROR(MATCH(E320&amp;"",tbl_Onsite[Job Number],0),MATCH(IFERROR(E320+0,E320),tbl_Onsite[Job Number],0)))="","",INDEX(tbl_Onsite[Notes],IFERROR(MATCH(E320&amp;"",tbl_Onsite[Job Number],0),MATCH(IFERROR(E320+0,E320),tbl_Onsite[Job Number],0)))),IFERROR(IF(INDEX(tbl_Production[Notes],IFERROR(MATCH(E320&amp;"",tbl_Production[Job Number],0),MATCH(IFERROR(E320+0,E320),tbl_Production[Job Number],0)))="","",INDEX(tbl_Production[Notes],IFERROR(MATCH(E320&amp;"",tbl_Production[Job Number],0),MATCH(IFERROR(E320+0,E320),tbl_Production[Job Number],0)))),IFERROR(IF(INDEX(tbl_Consulting[Notes],IFERROR(MATCH(E320&amp;"",tbl_Consulting[Job Number],0),MATCH(IFERROR(E320+0,E320),tbl_Consulting[Job Number],0)))="","",INDEX(tbl_Consulting[Notes],IFERROR(MATCH(E320&amp;"",tbl_Consulting[Job Number],0),MATCH(IFERROR(E320+0,E320),tbl_Consulting[Job Number],0)))),""))))</f>
        <v/>
      </c>
    </row>
    <row r="321" ht="15" customHeight="1">
      <c r="A321" s="22" t="n"/>
      <c r="B321" s="23">
        <f>IF(A321="","",EOMONTH(A321,0))</f>
        <v/>
      </c>
      <c r="C321" s="24" t="n"/>
      <c r="D321" s="24" t="n"/>
      <c r="E321" s="24" t="n"/>
      <c r="F321" s="25">
        <f>IF(E321="","",IF(COUNTIF(lst_Jobs,E321&amp;"")&gt;0,"OK","CHECK"))</f>
        <v/>
      </c>
      <c r="G321" s="24" t="n"/>
      <c r="H321" s="24" t="n"/>
      <c r="I321" s="24" t="n"/>
      <c r="J321" s="24" t="n"/>
      <c r="K321" s="24" t="n"/>
      <c r="L321" s="26" t="n"/>
      <c r="M321" s="27">
        <f>IF(L321="","",IF(K321="GST 10%",ROUND(L321*set_GSTRate,2),0))</f>
        <v/>
      </c>
      <c r="N321" s="27">
        <f>IF(L321="","",L321+M321)</f>
        <v/>
      </c>
      <c r="O321" s="24" t="n"/>
      <c r="P321" s="24" t="n"/>
      <c r="Q321" s="24" t="n"/>
      <c r="R321" s="22" t="n"/>
      <c r="S321" s="22" t="n"/>
      <c r="T321" s="24" t="n"/>
      <c r="U321" s="24" t="n"/>
      <c r="V321" s="2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25">
        <f>IF(E321="","",IF(COUNTIF(tbl_Onsite[Job Number],E321&amp;"")&gt;0,"Onsite",IF(COUNTIF(tbl_Production[Job Number],E321&amp;"")&gt;0,"Production",IF(COUNTIF(tbl_Consulting[Job Number],E321&amp;"")&gt;0,"Consulting","not set up yet"))))</f>
        <v/>
      </c>
      <c r="X321" s="25">
        <f>IF(E321="","",IFERROR(INDEX(lst_JobName,MATCH(E321&amp;"",lst_Jobs,0)),""))</f>
        <v/>
      </c>
      <c r="Y321" s="28">
        <f>IF(E321="","",COUNTIFS(tbl_Finance[Job Number],E321&amp;"",tbl_Finance[Ex GST],"&lt;&gt;"))</f>
        <v/>
      </c>
      <c r="Z321" s="27">
        <f>IF(E321="","",SUMIFS(tbl_Finance[Ex GST],tbl_Finance[Job Number],E321&amp;""))</f>
        <v/>
      </c>
      <c r="AA321" s="27">
        <f>IF(E321="","",SUMIFS(tbl_Finance[Ex GST],tbl_Finance[Job Number],E321&amp;"",tbl_Finance[Xero Invoice No],"&lt;&gt;"))</f>
        <v/>
      </c>
      <c r="AB321" s="27">
        <f>IF(E321="","",Z321-AA321)</f>
        <v/>
      </c>
      <c r="AC321" s="25">
        <f>IF(E321="","",IFERROR(IF(INDEX(tbl_Onsite[Qwilr Quote],IFERROR(MATCH(E321&amp;"",tbl_Onsite[Job Number],0),MATCH(IFERROR(E321+0,E321),tbl_Onsite[Job Number],0)))="","",INDEX(tbl_Onsite[Qwilr Quote],IFERROR(MATCH(E321&amp;"",tbl_Onsite[Job Number],0),MATCH(IFERROR(E321+0,E321),tbl_Onsite[Job Number],0)))),IFERROR(IF(IF(INDEX(tbl_Production[Current RMS No],IFERROR(MATCH(E321&amp;"",tbl_Production[Job Number],0),MATCH(IFERROR(E321+0,E321),tbl_Production[Job Number],0)))="",INDEX(tbl_Production[Qwilr Quote],IFERROR(MATCH(E321&amp;"",tbl_Production[Job Number],0),MATCH(IFERROR(E321+0,E321),tbl_Production[Job Number],0))),INDEX(tbl_Production[Current RMS No],IFERROR(MATCH(E321&amp;"",tbl_Production[Job Number],0),MATCH(IFERROR(E321+0,E321),tbl_Production[Job Number],0))))="","",IF(INDEX(tbl_Production[Current RMS No],IFERROR(MATCH(E321&amp;"",tbl_Production[Job Number],0),MATCH(IFERROR(E321+0,E321),tbl_Production[Job Number],0)))="",INDEX(tbl_Production[Qwilr Quote],IFERROR(MATCH(E321&amp;"",tbl_Production[Job Number],0),MATCH(IFERROR(E321+0,E321),tbl_Production[Job Number],0))),INDEX(tbl_Production[Current RMS No],IFERROR(MATCH(E321&amp;"",tbl_Production[Job Number],0),MATCH(IFERROR(E321+0,E321),tbl_Production[Job Number],0))))),IFERROR(IF(INDEX(tbl_Consulting[Qwilr Quote],IFERROR(MATCH(E321&amp;"",tbl_Consulting[Job Number],0),MATCH(IFERROR(E321+0,E321),tbl_Consulting[Job Number],0)))="","",INDEX(tbl_Consulting[Qwilr Quote],IFERROR(MATCH(E321&amp;"",tbl_Consulting[Job Number],0),MATCH(IFERROR(E321+0,E321),tbl_Consulting[Job Number],0)))),""))))</f>
        <v/>
      </c>
      <c r="AD321" s="25">
        <f>IF(AC321="","",IF(AND(LEFT(AC321,4)&lt;&gt;"http",IF(H321="Production",set_RMSBase,set_QwilrBase)=""),"",HYPERLINK(IF(LEFT(AC321,4)="http",AC321,IF(H321="Production",set_RMSBase,set_QwilrBase)&amp;AC321),"Open")))</f>
        <v/>
      </c>
      <c r="AE321" s="27">
        <f>IF(E321="","",IFERROR(INDEX(tbl_Production[Total Expense],IFERROR(MATCH(E321&amp;"",tbl_Production[Job Number],0),MATCH(IFERROR(E321+0,E321),tbl_Production[Job Number],0))),IFERROR(INDEX(tbl_Consulting[Total Expense],IFERROR(MATCH(E321&amp;"",tbl_Consulting[Job Number],0),MATCH(IFERROR(E321+0,E321),tbl_Consulting[Job Number],0))),0)))</f>
        <v/>
      </c>
      <c r="AF321" s="27">
        <f>IF(E321="","",Z321-N(AE321))</f>
        <v/>
      </c>
      <c r="AG321" s="29">
        <f>IFERROR(AF321/Z321,"")</f>
        <v/>
      </c>
      <c r="AH321" s="25">
        <f>IF(E321="","",IFERROR(IF(INDEX(tbl_Onsite[Notes],IFERROR(MATCH(E321&amp;"",tbl_Onsite[Job Number],0),MATCH(IFERROR(E321+0,E321),tbl_Onsite[Job Number],0)))="","",INDEX(tbl_Onsite[Notes],IFERROR(MATCH(E321&amp;"",tbl_Onsite[Job Number],0),MATCH(IFERROR(E321+0,E321),tbl_Onsite[Job Number],0)))),IFERROR(IF(INDEX(tbl_Production[Notes],IFERROR(MATCH(E321&amp;"",tbl_Production[Job Number],0),MATCH(IFERROR(E321+0,E321),tbl_Production[Job Number],0)))="","",INDEX(tbl_Production[Notes],IFERROR(MATCH(E321&amp;"",tbl_Production[Job Number],0),MATCH(IFERROR(E321+0,E321),tbl_Production[Job Number],0)))),IFERROR(IF(INDEX(tbl_Consulting[Notes],IFERROR(MATCH(E321&amp;"",tbl_Consulting[Job Number],0),MATCH(IFERROR(E321+0,E321),tbl_Consulting[Job Number],0)))="","",INDEX(tbl_Consulting[Notes],IFERROR(MATCH(E321&amp;"",tbl_Consulting[Job Number],0),MATCH(IFERROR(E321+0,E321),tbl_Consulting[Job Number],0)))),""))))</f>
        <v/>
      </c>
    </row>
    <row r="322" ht="15" customHeight="1">
      <c r="A322" s="22" t="n"/>
      <c r="B322" s="23">
        <f>IF(A322="","",EOMONTH(A322,0))</f>
        <v/>
      </c>
      <c r="C322" s="24" t="n"/>
      <c r="D322" s="24" t="n"/>
      <c r="E322" s="24" t="n"/>
      <c r="F322" s="25">
        <f>IF(E322="","",IF(COUNTIF(lst_Jobs,E322&amp;"")&gt;0,"OK","CHECK"))</f>
        <v/>
      </c>
      <c r="G322" s="24" t="n"/>
      <c r="H322" s="24" t="n"/>
      <c r="I322" s="24" t="n"/>
      <c r="J322" s="24" t="n"/>
      <c r="K322" s="24" t="n"/>
      <c r="L322" s="26" t="n"/>
      <c r="M322" s="27">
        <f>IF(L322="","",IF(K322="GST 10%",ROUND(L322*set_GSTRate,2),0))</f>
        <v/>
      </c>
      <c r="N322" s="27">
        <f>IF(L322="","",L322+M322)</f>
        <v/>
      </c>
      <c r="O322" s="24" t="n"/>
      <c r="P322" s="24" t="n"/>
      <c r="Q322" s="24" t="n"/>
      <c r="R322" s="22" t="n"/>
      <c r="S322" s="22" t="n"/>
      <c r="T322" s="24" t="n"/>
      <c r="U322" s="24" t="n"/>
      <c r="V322" s="2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25">
        <f>IF(E322="","",IF(COUNTIF(tbl_Onsite[Job Number],E322&amp;"")&gt;0,"Onsite",IF(COUNTIF(tbl_Production[Job Number],E322&amp;"")&gt;0,"Production",IF(COUNTIF(tbl_Consulting[Job Number],E322&amp;"")&gt;0,"Consulting","not set up yet"))))</f>
        <v/>
      </c>
      <c r="X322" s="25">
        <f>IF(E322="","",IFERROR(INDEX(lst_JobName,MATCH(E322&amp;"",lst_Jobs,0)),""))</f>
        <v/>
      </c>
      <c r="Y322" s="28">
        <f>IF(E322="","",COUNTIFS(tbl_Finance[Job Number],E322&amp;"",tbl_Finance[Ex GST],"&lt;&gt;"))</f>
        <v/>
      </c>
      <c r="Z322" s="27">
        <f>IF(E322="","",SUMIFS(tbl_Finance[Ex GST],tbl_Finance[Job Number],E322&amp;""))</f>
        <v/>
      </c>
      <c r="AA322" s="27">
        <f>IF(E322="","",SUMIFS(tbl_Finance[Ex GST],tbl_Finance[Job Number],E322&amp;"",tbl_Finance[Xero Invoice No],"&lt;&gt;"))</f>
        <v/>
      </c>
      <c r="AB322" s="27">
        <f>IF(E322="","",Z322-AA322)</f>
        <v/>
      </c>
      <c r="AC322" s="25">
        <f>IF(E322="","",IFERROR(IF(INDEX(tbl_Onsite[Qwilr Quote],IFERROR(MATCH(E322&amp;"",tbl_Onsite[Job Number],0),MATCH(IFERROR(E322+0,E322),tbl_Onsite[Job Number],0)))="","",INDEX(tbl_Onsite[Qwilr Quote],IFERROR(MATCH(E322&amp;"",tbl_Onsite[Job Number],0),MATCH(IFERROR(E322+0,E322),tbl_Onsite[Job Number],0)))),IFERROR(IF(IF(INDEX(tbl_Production[Current RMS No],IFERROR(MATCH(E322&amp;"",tbl_Production[Job Number],0),MATCH(IFERROR(E322+0,E322),tbl_Production[Job Number],0)))="",INDEX(tbl_Production[Qwilr Quote],IFERROR(MATCH(E322&amp;"",tbl_Production[Job Number],0),MATCH(IFERROR(E322+0,E322),tbl_Production[Job Number],0))),INDEX(tbl_Production[Current RMS No],IFERROR(MATCH(E322&amp;"",tbl_Production[Job Number],0),MATCH(IFERROR(E322+0,E322),tbl_Production[Job Number],0))))="","",IF(INDEX(tbl_Production[Current RMS No],IFERROR(MATCH(E322&amp;"",tbl_Production[Job Number],0),MATCH(IFERROR(E322+0,E322),tbl_Production[Job Number],0)))="",INDEX(tbl_Production[Qwilr Quote],IFERROR(MATCH(E322&amp;"",tbl_Production[Job Number],0),MATCH(IFERROR(E322+0,E322),tbl_Production[Job Number],0))),INDEX(tbl_Production[Current RMS No],IFERROR(MATCH(E322&amp;"",tbl_Production[Job Number],0),MATCH(IFERROR(E322+0,E322),tbl_Production[Job Number],0))))),IFERROR(IF(INDEX(tbl_Consulting[Qwilr Quote],IFERROR(MATCH(E322&amp;"",tbl_Consulting[Job Number],0),MATCH(IFERROR(E322+0,E322),tbl_Consulting[Job Number],0)))="","",INDEX(tbl_Consulting[Qwilr Quote],IFERROR(MATCH(E322&amp;"",tbl_Consulting[Job Number],0),MATCH(IFERROR(E322+0,E322),tbl_Consulting[Job Number],0)))),""))))</f>
        <v/>
      </c>
      <c r="AD322" s="25">
        <f>IF(AC322="","",IF(AND(LEFT(AC322,4)&lt;&gt;"http",IF(H322="Production",set_RMSBase,set_QwilrBase)=""),"",HYPERLINK(IF(LEFT(AC322,4)="http",AC322,IF(H322="Production",set_RMSBase,set_QwilrBase)&amp;AC322),"Open")))</f>
        <v/>
      </c>
      <c r="AE322" s="27">
        <f>IF(E322="","",IFERROR(INDEX(tbl_Production[Total Expense],IFERROR(MATCH(E322&amp;"",tbl_Production[Job Number],0),MATCH(IFERROR(E322+0,E322),tbl_Production[Job Number],0))),IFERROR(INDEX(tbl_Consulting[Total Expense],IFERROR(MATCH(E322&amp;"",tbl_Consulting[Job Number],0),MATCH(IFERROR(E322+0,E322),tbl_Consulting[Job Number],0))),0)))</f>
        <v/>
      </c>
      <c r="AF322" s="27">
        <f>IF(E322="","",Z322-N(AE322))</f>
        <v/>
      </c>
      <c r="AG322" s="29">
        <f>IFERROR(AF322/Z322,"")</f>
        <v/>
      </c>
      <c r="AH322" s="25">
        <f>IF(E322="","",IFERROR(IF(INDEX(tbl_Onsite[Notes],IFERROR(MATCH(E322&amp;"",tbl_Onsite[Job Number],0),MATCH(IFERROR(E322+0,E322),tbl_Onsite[Job Number],0)))="","",INDEX(tbl_Onsite[Notes],IFERROR(MATCH(E322&amp;"",tbl_Onsite[Job Number],0),MATCH(IFERROR(E322+0,E322),tbl_Onsite[Job Number],0)))),IFERROR(IF(INDEX(tbl_Production[Notes],IFERROR(MATCH(E322&amp;"",tbl_Production[Job Number],0),MATCH(IFERROR(E322+0,E322),tbl_Production[Job Number],0)))="","",INDEX(tbl_Production[Notes],IFERROR(MATCH(E322&amp;"",tbl_Production[Job Number],0),MATCH(IFERROR(E322+0,E322),tbl_Production[Job Number],0)))),IFERROR(IF(INDEX(tbl_Consulting[Notes],IFERROR(MATCH(E322&amp;"",tbl_Consulting[Job Number],0),MATCH(IFERROR(E322+0,E322),tbl_Consulting[Job Number],0)))="","",INDEX(tbl_Consulting[Notes],IFERROR(MATCH(E322&amp;"",tbl_Consulting[Job Number],0),MATCH(IFERROR(E322+0,E322),tbl_Consulting[Job Number],0)))),""))))</f>
        <v/>
      </c>
    </row>
    <row r="323" ht="15" customHeight="1">
      <c r="A323" s="22" t="n"/>
      <c r="B323" s="23">
        <f>IF(A323="","",EOMONTH(A323,0))</f>
        <v/>
      </c>
      <c r="C323" s="24" t="n"/>
      <c r="D323" s="24" t="n"/>
      <c r="E323" s="24" t="n"/>
      <c r="F323" s="25">
        <f>IF(E323="","",IF(COUNTIF(lst_Jobs,E323&amp;"")&gt;0,"OK","CHECK"))</f>
        <v/>
      </c>
      <c r="G323" s="24" t="n"/>
      <c r="H323" s="24" t="n"/>
      <c r="I323" s="24" t="n"/>
      <c r="J323" s="24" t="n"/>
      <c r="K323" s="24" t="n"/>
      <c r="L323" s="26" t="n"/>
      <c r="M323" s="27">
        <f>IF(L323="","",IF(K323="GST 10%",ROUND(L323*set_GSTRate,2),0))</f>
        <v/>
      </c>
      <c r="N323" s="27">
        <f>IF(L323="","",L323+M323)</f>
        <v/>
      </c>
      <c r="O323" s="24" t="n"/>
      <c r="P323" s="24" t="n"/>
      <c r="Q323" s="24" t="n"/>
      <c r="R323" s="22" t="n"/>
      <c r="S323" s="22" t="n"/>
      <c r="T323" s="24" t="n"/>
      <c r="U323" s="24" t="n"/>
      <c r="V323" s="2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25">
        <f>IF(E323="","",IF(COUNTIF(tbl_Onsite[Job Number],E323&amp;"")&gt;0,"Onsite",IF(COUNTIF(tbl_Production[Job Number],E323&amp;"")&gt;0,"Production",IF(COUNTIF(tbl_Consulting[Job Number],E323&amp;"")&gt;0,"Consulting","not set up yet"))))</f>
        <v/>
      </c>
      <c r="X323" s="25">
        <f>IF(E323="","",IFERROR(INDEX(lst_JobName,MATCH(E323&amp;"",lst_Jobs,0)),""))</f>
        <v/>
      </c>
      <c r="Y323" s="28">
        <f>IF(E323="","",COUNTIFS(tbl_Finance[Job Number],E323&amp;"",tbl_Finance[Ex GST],"&lt;&gt;"))</f>
        <v/>
      </c>
      <c r="Z323" s="27">
        <f>IF(E323="","",SUMIFS(tbl_Finance[Ex GST],tbl_Finance[Job Number],E323&amp;""))</f>
        <v/>
      </c>
      <c r="AA323" s="27">
        <f>IF(E323="","",SUMIFS(tbl_Finance[Ex GST],tbl_Finance[Job Number],E323&amp;"",tbl_Finance[Xero Invoice No],"&lt;&gt;"))</f>
        <v/>
      </c>
      <c r="AB323" s="27">
        <f>IF(E323="","",Z323-AA323)</f>
        <v/>
      </c>
      <c r="AC323" s="25">
        <f>IF(E323="","",IFERROR(IF(INDEX(tbl_Onsite[Qwilr Quote],IFERROR(MATCH(E323&amp;"",tbl_Onsite[Job Number],0),MATCH(IFERROR(E323+0,E323),tbl_Onsite[Job Number],0)))="","",INDEX(tbl_Onsite[Qwilr Quote],IFERROR(MATCH(E323&amp;"",tbl_Onsite[Job Number],0),MATCH(IFERROR(E323+0,E323),tbl_Onsite[Job Number],0)))),IFERROR(IF(IF(INDEX(tbl_Production[Current RMS No],IFERROR(MATCH(E323&amp;"",tbl_Production[Job Number],0),MATCH(IFERROR(E323+0,E323),tbl_Production[Job Number],0)))="",INDEX(tbl_Production[Qwilr Quote],IFERROR(MATCH(E323&amp;"",tbl_Production[Job Number],0),MATCH(IFERROR(E323+0,E323),tbl_Production[Job Number],0))),INDEX(tbl_Production[Current RMS No],IFERROR(MATCH(E323&amp;"",tbl_Production[Job Number],0),MATCH(IFERROR(E323+0,E323),tbl_Production[Job Number],0))))="","",IF(INDEX(tbl_Production[Current RMS No],IFERROR(MATCH(E323&amp;"",tbl_Production[Job Number],0),MATCH(IFERROR(E323+0,E323),tbl_Production[Job Number],0)))="",INDEX(tbl_Production[Qwilr Quote],IFERROR(MATCH(E323&amp;"",tbl_Production[Job Number],0),MATCH(IFERROR(E323+0,E323),tbl_Production[Job Number],0))),INDEX(tbl_Production[Current RMS No],IFERROR(MATCH(E323&amp;"",tbl_Production[Job Number],0),MATCH(IFERROR(E323+0,E323),tbl_Production[Job Number],0))))),IFERROR(IF(INDEX(tbl_Consulting[Qwilr Quote],IFERROR(MATCH(E323&amp;"",tbl_Consulting[Job Number],0),MATCH(IFERROR(E323+0,E323),tbl_Consulting[Job Number],0)))="","",INDEX(tbl_Consulting[Qwilr Quote],IFERROR(MATCH(E323&amp;"",tbl_Consulting[Job Number],0),MATCH(IFERROR(E323+0,E323),tbl_Consulting[Job Number],0)))),""))))</f>
        <v/>
      </c>
      <c r="AD323" s="25">
        <f>IF(AC323="","",IF(AND(LEFT(AC323,4)&lt;&gt;"http",IF(H323="Production",set_RMSBase,set_QwilrBase)=""),"",HYPERLINK(IF(LEFT(AC323,4)="http",AC323,IF(H323="Production",set_RMSBase,set_QwilrBase)&amp;AC323),"Open")))</f>
        <v/>
      </c>
      <c r="AE323" s="27">
        <f>IF(E323="","",IFERROR(INDEX(tbl_Production[Total Expense],IFERROR(MATCH(E323&amp;"",tbl_Production[Job Number],0),MATCH(IFERROR(E323+0,E323),tbl_Production[Job Number],0))),IFERROR(INDEX(tbl_Consulting[Total Expense],IFERROR(MATCH(E323&amp;"",tbl_Consulting[Job Number],0),MATCH(IFERROR(E323+0,E323),tbl_Consulting[Job Number],0))),0)))</f>
        <v/>
      </c>
      <c r="AF323" s="27">
        <f>IF(E323="","",Z323-N(AE323))</f>
        <v/>
      </c>
      <c r="AG323" s="29">
        <f>IFERROR(AF323/Z323,"")</f>
        <v/>
      </c>
      <c r="AH323" s="25">
        <f>IF(E323="","",IFERROR(IF(INDEX(tbl_Onsite[Notes],IFERROR(MATCH(E323&amp;"",tbl_Onsite[Job Number],0),MATCH(IFERROR(E323+0,E323),tbl_Onsite[Job Number],0)))="","",INDEX(tbl_Onsite[Notes],IFERROR(MATCH(E323&amp;"",tbl_Onsite[Job Number],0),MATCH(IFERROR(E323+0,E323),tbl_Onsite[Job Number],0)))),IFERROR(IF(INDEX(tbl_Production[Notes],IFERROR(MATCH(E323&amp;"",tbl_Production[Job Number],0),MATCH(IFERROR(E323+0,E323),tbl_Production[Job Number],0)))="","",INDEX(tbl_Production[Notes],IFERROR(MATCH(E323&amp;"",tbl_Production[Job Number],0),MATCH(IFERROR(E323+0,E323),tbl_Production[Job Number],0)))),IFERROR(IF(INDEX(tbl_Consulting[Notes],IFERROR(MATCH(E323&amp;"",tbl_Consulting[Job Number],0),MATCH(IFERROR(E323+0,E323),tbl_Consulting[Job Number],0)))="","",INDEX(tbl_Consulting[Notes],IFERROR(MATCH(E323&amp;"",tbl_Consulting[Job Number],0),MATCH(IFERROR(E323+0,E323),tbl_Consulting[Job Number],0)))),""))))</f>
        <v/>
      </c>
    </row>
    <row r="324" ht="15" customHeight="1">
      <c r="A324" s="22" t="n"/>
      <c r="B324" s="23">
        <f>IF(A324="","",EOMONTH(A324,0))</f>
        <v/>
      </c>
      <c r="C324" s="24" t="n"/>
      <c r="D324" s="24" t="n"/>
      <c r="E324" s="24" t="n"/>
      <c r="F324" s="25">
        <f>IF(E324="","",IF(COUNTIF(lst_Jobs,E324&amp;"")&gt;0,"OK","CHECK"))</f>
        <v/>
      </c>
      <c r="G324" s="24" t="n"/>
      <c r="H324" s="24" t="n"/>
      <c r="I324" s="24" t="n"/>
      <c r="J324" s="24" t="n"/>
      <c r="K324" s="24" t="n"/>
      <c r="L324" s="26" t="n"/>
      <c r="M324" s="27">
        <f>IF(L324="","",IF(K324="GST 10%",ROUND(L324*set_GSTRate,2),0))</f>
        <v/>
      </c>
      <c r="N324" s="27">
        <f>IF(L324="","",L324+M324)</f>
        <v/>
      </c>
      <c r="O324" s="24" t="n"/>
      <c r="P324" s="24" t="n"/>
      <c r="Q324" s="24" t="n"/>
      <c r="R324" s="22" t="n"/>
      <c r="S324" s="22" t="n"/>
      <c r="T324" s="24" t="n"/>
      <c r="U324" s="24" t="n"/>
      <c r="V324" s="2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25">
        <f>IF(E324="","",IF(COUNTIF(tbl_Onsite[Job Number],E324&amp;"")&gt;0,"Onsite",IF(COUNTIF(tbl_Production[Job Number],E324&amp;"")&gt;0,"Production",IF(COUNTIF(tbl_Consulting[Job Number],E324&amp;"")&gt;0,"Consulting","not set up yet"))))</f>
        <v/>
      </c>
      <c r="X324" s="25">
        <f>IF(E324="","",IFERROR(INDEX(lst_JobName,MATCH(E324&amp;"",lst_Jobs,0)),""))</f>
        <v/>
      </c>
      <c r="Y324" s="28">
        <f>IF(E324="","",COUNTIFS(tbl_Finance[Job Number],E324&amp;"",tbl_Finance[Ex GST],"&lt;&gt;"))</f>
        <v/>
      </c>
      <c r="Z324" s="27">
        <f>IF(E324="","",SUMIFS(tbl_Finance[Ex GST],tbl_Finance[Job Number],E324&amp;""))</f>
        <v/>
      </c>
      <c r="AA324" s="27">
        <f>IF(E324="","",SUMIFS(tbl_Finance[Ex GST],tbl_Finance[Job Number],E324&amp;"",tbl_Finance[Xero Invoice No],"&lt;&gt;"))</f>
        <v/>
      </c>
      <c r="AB324" s="27">
        <f>IF(E324="","",Z324-AA324)</f>
        <v/>
      </c>
      <c r="AC324" s="25">
        <f>IF(E324="","",IFERROR(IF(INDEX(tbl_Onsite[Qwilr Quote],IFERROR(MATCH(E324&amp;"",tbl_Onsite[Job Number],0),MATCH(IFERROR(E324+0,E324),tbl_Onsite[Job Number],0)))="","",INDEX(tbl_Onsite[Qwilr Quote],IFERROR(MATCH(E324&amp;"",tbl_Onsite[Job Number],0),MATCH(IFERROR(E324+0,E324),tbl_Onsite[Job Number],0)))),IFERROR(IF(IF(INDEX(tbl_Production[Current RMS No],IFERROR(MATCH(E324&amp;"",tbl_Production[Job Number],0),MATCH(IFERROR(E324+0,E324),tbl_Production[Job Number],0)))="",INDEX(tbl_Production[Qwilr Quote],IFERROR(MATCH(E324&amp;"",tbl_Production[Job Number],0),MATCH(IFERROR(E324+0,E324),tbl_Production[Job Number],0))),INDEX(tbl_Production[Current RMS No],IFERROR(MATCH(E324&amp;"",tbl_Production[Job Number],0),MATCH(IFERROR(E324+0,E324),tbl_Production[Job Number],0))))="","",IF(INDEX(tbl_Production[Current RMS No],IFERROR(MATCH(E324&amp;"",tbl_Production[Job Number],0),MATCH(IFERROR(E324+0,E324),tbl_Production[Job Number],0)))="",INDEX(tbl_Production[Qwilr Quote],IFERROR(MATCH(E324&amp;"",tbl_Production[Job Number],0),MATCH(IFERROR(E324+0,E324),tbl_Production[Job Number],0))),INDEX(tbl_Production[Current RMS No],IFERROR(MATCH(E324&amp;"",tbl_Production[Job Number],0),MATCH(IFERROR(E324+0,E324),tbl_Production[Job Number],0))))),IFERROR(IF(INDEX(tbl_Consulting[Qwilr Quote],IFERROR(MATCH(E324&amp;"",tbl_Consulting[Job Number],0),MATCH(IFERROR(E324+0,E324),tbl_Consulting[Job Number],0)))="","",INDEX(tbl_Consulting[Qwilr Quote],IFERROR(MATCH(E324&amp;"",tbl_Consulting[Job Number],0),MATCH(IFERROR(E324+0,E324),tbl_Consulting[Job Number],0)))),""))))</f>
        <v/>
      </c>
      <c r="AD324" s="25">
        <f>IF(AC324="","",IF(AND(LEFT(AC324,4)&lt;&gt;"http",IF(H324="Production",set_RMSBase,set_QwilrBase)=""),"",HYPERLINK(IF(LEFT(AC324,4)="http",AC324,IF(H324="Production",set_RMSBase,set_QwilrBase)&amp;AC324),"Open")))</f>
        <v/>
      </c>
      <c r="AE324" s="27">
        <f>IF(E324="","",IFERROR(INDEX(tbl_Production[Total Expense],IFERROR(MATCH(E324&amp;"",tbl_Production[Job Number],0),MATCH(IFERROR(E324+0,E324),tbl_Production[Job Number],0))),IFERROR(INDEX(tbl_Consulting[Total Expense],IFERROR(MATCH(E324&amp;"",tbl_Consulting[Job Number],0),MATCH(IFERROR(E324+0,E324),tbl_Consulting[Job Number],0))),0)))</f>
        <v/>
      </c>
      <c r="AF324" s="27">
        <f>IF(E324="","",Z324-N(AE324))</f>
        <v/>
      </c>
      <c r="AG324" s="29">
        <f>IFERROR(AF324/Z324,"")</f>
        <v/>
      </c>
      <c r="AH324" s="25">
        <f>IF(E324="","",IFERROR(IF(INDEX(tbl_Onsite[Notes],IFERROR(MATCH(E324&amp;"",tbl_Onsite[Job Number],0),MATCH(IFERROR(E324+0,E324),tbl_Onsite[Job Number],0)))="","",INDEX(tbl_Onsite[Notes],IFERROR(MATCH(E324&amp;"",tbl_Onsite[Job Number],0),MATCH(IFERROR(E324+0,E324),tbl_Onsite[Job Number],0)))),IFERROR(IF(INDEX(tbl_Production[Notes],IFERROR(MATCH(E324&amp;"",tbl_Production[Job Number],0),MATCH(IFERROR(E324+0,E324),tbl_Production[Job Number],0)))="","",INDEX(tbl_Production[Notes],IFERROR(MATCH(E324&amp;"",tbl_Production[Job Number],0),MATCH(IFERROR(E324+0,E324),tbl_Production[Job Number],0)))),IFERROR(IF(INDEX(tbl_Consulting[Notes],IFERROR(MATCH(E324&amp;"",tbl_Consulting[Job Number],0),MATCH(IFERROR(E324+0,E324),tbl_Consulting[Job Number],0)))="","",INDEX(tbl_Consulting[Notes],IFERROR(MATCH(E324&amp;"",tbl_Consulting[Job Number],0),MATCH(IFERROR(E324+0,E324),tbl_Consulting[Job Number],0)))),""))))</f>
        <v/>
      </c>
    </row>
    <row r="325" ht="15" customHeight="1">
      <c r="A325" s="22" t="n"/>
      <c r="B325" s="23">
        <f>IF(A325="","",EOMONTH(A325,0))</f>
        <v/>
      </c>
      <c r="C325" s="24" t="n"/>
      <c r="D325" s="24" t="n"/>
      <c r="E325" s="24" t="n"/>
      <c r="F325" s="25">
        <f>IF(E325="","",IF(COUNTIF(lst_Jobs,E325&amp;"")&gt;0,"OK","CHECK"))</f>
        <v/>
      </c>
      <c r="G325" s="24" t="n"/>
      <c r="H325" s="24" t="n"/>
      <c r="I325" s="24" t="n"/>
      <c r="J325" s="24" t="n"/>
      <c r="K325" s="24" t="n"/>
      <c r="L325" s="26" t="n"/>
      <c r="M325" s="27">
        <f>IF(L325="","",IF(K325="GST 10%",ROUND(L325*set_GSTRate,2),0))</f>
        <v/>
      </c>
      <c r="N325" s="27">
        <f>IF(L325="","",L325+M325)</f>
        <v/>
      </c>
      <c r="O325" s="24" t="n"/>
      <c r="P325" s="24" t="n"/>
      <c r="Q325" s="24" t="n"/>
      <c r="R325" s="22" t="n"/>
      <c r="S325" s="22" t="n"/>
      <c r="T325" s="24" t="n"/>
      <c r="U325" s="24" t="n"/>
      <c r="V325" s="2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25">
        <f>IF(E325="","",IF(COUNTIF(tbl_Onsite[Job Number],E325&amp;"")&gt;0,"Onsite",IF(COUNTIF(tbl_Production[Job Number],E325&amp;"")&gt;0,"Production",IF(COUNTIF(tbl_Consulting[Job Number],E325&amp;"")&gt;0,"Consulting","not set up yet"))))</f>
        <v/>
      </c>
      <c r="X325" s="25">
        <f>IF(E325="","",IFERROR(INDEX(lst_JobName,MATCH(E325&amp;"",lst_Jobs,0)),""))</f>
        <v/>
      </c>
      <c r="Y325" s="28">
        <f>IF(E325="","",COUNTIFS(tbl_Finance[Job Number],E325&amp;"",tbl_Finance[Ex GST],"&lt;&gt;"))</f>
        <v/>
      </c>
      <c r="Z325" s="27">
        <f>IF(E325="","",SUMIFS(tbl_Finance[Ex GST],tbl_Finance[Job Number],E325&amp;""))</f>
        <v/>
      </c>
      <c r="AA325" s="27">
        <f>IF(E325="","",SUMIFS(tbl_Finance[Ex GST],tbl_Finance[Job Number],E325&amp;"",tbl_Finance[Xero Invoice No],"&lt;&gt;"))</f>
        <v/>
      </c>
      <c r="AB325" s="27">
        <f>IF(E325="","",Z325-AA325)</f>
        <v/>
      </c>
      <c r="AC325" s="25">
        <f>IF(E325="","",IFERROR(IF(INDEX(tbl_Onsite[Qwilr Quote],IFERROR(MATCH(E325&amp;"",tbl_Onsite[Job Number],0),MATCH(IFERROR(E325+0,E325),tbl_Onsite[Job Number],0)))="","",INDEX(tbl_Onsite[Qwilr Quote],IFERROR(MATCH(E325&amp;"",tbl_Onsite[Job Number],0),MATCH(IFERROR(E325+0,E325),tbl_Onsite[Job Number],0)))),IFERROR(IF(IF(INDEX(tbl_Production[Current RMS No],IFERROR(MATCH(E325&amp;"",tbl_Production[Job Number],0),MATCH(IFERROR(E325+0,E325),tbl_Production[Job Number],0)))="",INDEX(tbl_Production[Qwilr Quote],IFERROR(MATCH(E325&amp;"",tbl_Production[Job Number],0),MATCH(IFERROR(E325+0,E325),tbl_Production[Job Number],0))),INDEX(tbl_Production[Current RMS No],IFERROR(MATCH(E325&amp;"",tbl_Production[Job Number],0),MATCH(IFERROR(E325+0,E325),tbl_Production[Job Number],0))))="","",IF(INDEX(tbl_Production[Current RMS No],IFERROR(MATCH(E325&amp;"",tbl_Production[Job Number],0),MATCH(IFERROR(E325+0,E325),tbl_Production[Job Number],0)))="",INDEX(tbl_Production[Qwilr Quote],IFERROR(MATCH(E325&amp;"",tbl_Production[Job Number],0),MATCH(IFERROR(E325+0,E325),tbl_Production[Job Number],0))),INDEX(tbl_Production[Current RMS No],IFERROR(MATCH(E325&amp;"",tbl_Production[Job Number],0),MATCH(IFERROR(E325+0,E325),tbl_Production[Job Number],0))))),IFERROR(IF(INDEX(tbl_Consulting[Qwilr Quote],IFERROR(MATCH(E325&amp;"",tbl_Consulting[Job Number],0),MATCH(IFERROR(E325+0,E325),tbl_Consulting[Job Number],0)))="","",INDEX(tbl_Consulting[Qwilr Quote],IFERROR(MATCH(E325&amp;"",tbl_Consulting[Job Number],0),MATCH(IFERROR(E325+0,E325),tbl_Consulting[Job Number],0)))),""))))</f>
        <v/>
      </c>
      <c r="AD325" s="25">
        <f>IF(AC325="","",IF(AND(LEFT(AC325,4)&lt;&gt;"http",IF(H325="Production",set_RMSBase,set_QwilrBase)=""),"",HYPERLINK(IF(LEFT(AC325,4)="http",AC325,IF(H325="Production",set_RMSBase,set_QwilrBase)&amp;AC325),"Open")))</f>
        <v/>
      </c>
      <c r="AE325" s="27">
        <f>IF(E325="","",IFERROR(INDEX(tbl_Production[Total Expense],IFERROR(MATCH(E325&amp;"",tbl_Production[Job Number],0),MATCH(IFERROR(E325+0,E325),tbl_Production[Job Number],0))),IFERROR(INDEX(tbl_Consulting[Total Expense],IFERROR(MATCH(E325&amp;"",tbl_Consulting[Job Number],0),MATCH(IFERROR(E325+0,E325),tbl_Consulting[Job Number],0))),0)))</f>
        <v/>
      </c>
      <c r="AF325" s="27">
        <f>IF(E325="","",Z325-N(AE325))</f>
        <v/>
      </c>
      <c r="AG325" s="29">
        <f>IFERROR(AF325/Z325,"")</f>
        <v/>
      </c>
      <c r="AH325" s="25">
        <f>IF(E325="","",IFERROR(IF(INDEX(tbl_Onsite[Notes],IFERROR(MATCH(E325&amp;"",tbl_Onsite[Job Number],0),MATCH(IFERROR(E325+0,E325),tbl_Onsite[Job Number],0)))="","",INDEX(tbl_Onsite[Notes],IFERROR(MATCH(E325&amp;"",tbl_Onsite[Job Number],0),MATCH(IFERROR(E325+0,E325),tbl_Onsite[Job Number],0)))),IFERROR(IF(INDEX(tbl_Production[Notes],IFERROR(MATCH(E325&amp;"",tbl_Production[Job Number],0),MATCH(IFERROR(E325+0,E325),tbl_Production[Job Number],0)))="","",INDEX(tbl_Production[Notes],IFERROR(MATCH(E325&amp;"",tbl_Production[Job Number],0),MATCH(IFERROR(E325+0,E325),tbl_Production[Job Number],0)))),IFERROR(IF(INDEX(tbl_Consulting[Notes],IFERROR(MATCH(E325&amp;"",tbl_Consulting[Job Number],0),MATCH(IFERROR(E325+0,E325),tbl_Consulting[Job Number],0)))="","",INDEX(tbl_Consulting[Notes],IFERROR(MATCH(E325&amp;"",tbl_Consulting[Job Number],0),MATCH(IFERROR(E325+0,E325),tbl_Consulting[Job Number],0)))),""))))</f>
        <v/>
      </c>
    </row>
    <row r="326" ht="15" customHeight="1">
      <c r="A326" s="22" t="n"/>
      <c r="B326" s="23">
        <f>IF(A326="","",EOMONTH(A326,0))</f>
        <v/>
      </c>
      <c r="C326" s="24" t="n"/>
      <c r="D326" s="24" t="n"/>
      <c r="E326" s="24" t="n"/>
      <c r="F326" s="25">
        <f>IF(E326="","",IF(COUNTIF(lst_Jobs,E326&amp;"")&gt;0,"OK","CHECK"))</f>
        <v/>
      </c>
      <c r="G326" s="24" t="n"/>
      <c r="H326" s="24" t="n"/>
      <c r="I326" s="24" t="n"/>
      <c r="J326" s="24" t="n"/>
      <c r="K326" s="24" t="n"/>
      <c r="L326" s="26" t="n"/>
      <c r="M326" s="27">
        <f>IF(L326="","",IF(K326="GST 10%",ROUND(L326*set_GSTRate,2),0))</f>
        <v/>
      </c>
      <c r="N326" s="27">
        <f>IF(L326="","",L326+M326)</f>
        <v/>
      </c>
      <c r="O326" s="24" t="n"/>
      <c r="P326" s="24" t="n"/>
      <c r="Q326" s="24" t="n"/>
      <c r="R326" s="22" t="n"/>
      <c r="S326" s="22" t="n"/>
      <c r="T326" s="24" t="n"/>
      <c r="U326" s="24" t="n"/>
      <c r="V326" s="2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25">
        <f>IF(E326="","",IF(COUNTIF(tbl_Onsite[Job Number],E326&amp;"")&gt;0,"Onsite",IF(COUNTIF(tbl_Production[Job Number],E326&amp;"")&gt;0,"Production",IF(COUNTIF(tbl_Consulting[Job Number],E326&amp;"")&gt;0,"Consulting","not set up yet"))))</f>
        <v/>
      </c>
      <c r="X326" s="25">
        <f>IF(E326="","",IFERROR(INDEX(lst_JobName,MATCH(E326&amp;"",lst_Jobs,0)),""))</f>
        <v/>
      </c>
      <c r="Y326" s="28">
        <f>IF(E326="","",COUNTIFS(tbl_Finance[Job Number],E326&amp;"",tbl_Finance[Ex GST],"&lt;&gt;"))</f>
        <v/>
      </c>
      <c r="Z326" s="27">
        <f>IF(E326="","",SUMIFS(tbl_Finance[Ex GST],tbl_Finance[Job Number],E326&amp;""))</f>
        <v/>
      </c>
      <c r="AA326" s="27">
        <f>IF(E326="","",SUMIFS(tbl_Finance[Ex GST],tbl_Finance[Job Number],E326&amp;"",tbl_Finance[Xero Invoice No],"&lt;&gt;"))</f>
        <v/>
      </c>
      <c r="AB326" s="27">
        <f>IF(E326="","",Z326-AA326)</f>
        <v/>
      </c>
      <c r="AC326" s="25">
        <f>IF(E326="","",IFERROR(IF(INDEX(tbl_Onsite[Qwilr Quote],IFERROR(MATCH(E326&amp;"",tbl_Onsite[Job Number],0),MATCH(IFERROR(E326+0,E326),tbl_Onsite[Job Number],0)))="","",INDEX(tbl_Onsite[Qwilr Quote],IFERROR(MATCH(E326&amp;"",tbl_Onsite[Job Number],0),MATCH(IFERROR(E326+0,E326),tbl_Onsite[Job Number],0)))),IFERROR(IF(IF(INDEX(tbl_Production[Current RMS No],IFERROR(MATCH(E326&amp;"",tbl_Production[Job Number],0),MATCH(IFERROR(E326+0,E326),tbl_Production[Job Number],0)))="",INDEX(tbl_Production[Qwilr Quote],IFERROR(MATCH(E326&amp;"",tbl_Production[Job Number],0),MATCH(IFERROR(E326+0,E326),tbl_Production[Job Number],0))),INDEX(tbl_Production[Current RMS No],IFERROR(MATCH(E326&amp;"",tbl_Production[Job Number],0),MATCH(IFERROR(E326+0,E326),tbl_Production[Job Number],0))))="","",IF(INDEX(tbl_Production[Current RMS No],IFERROR(MATCH(E326&amp;"",tbl_Production[Job Number],0),MATCH(IFERROR(E326+0,E326),tbl_Production[Job Number],0)))="",INDEX(tbl_Production[Qwilr Quote],IFERROR(MATCH(E326&amp;"",tbl_Production[Job Number],0),MATCH(IFERROR(E326+0,E326),tbl_Production[Job Number],0))),INDEX(tbl_Production[Current RMS No],IFERROR(MATCH(E326&amp;"",tbl_Production[Job Number],0),MATCH(IFERROR(E326+0,E326),tbl_Production[Job Number],0))))),IFERROR(IF(INDEX(tbl_Consulting[Qwilr Quote],IFERROR(MATCH(E326&amp;"",tbl_Consulting[Job Number],0),MATCH(IFERROR(E326+0,E326),tbl_Consulting[Job Number],0)))="","",INDEX(tbl_Consulting[Qwilr Quote],IFERROR(MATCH(E326&amp;"",tbl_Consulting[Job Number],0),MATCH(IFERROR(E326+0,E326),tbl_Consulting[Job Number],0)))),""))))</f>
        <v/>
      </c>
      <c r="AD326" s="25">
        <f>IF(AC326="","",IF(AND(LEFT(AC326,4)&lt;&gt;"http",IF(H326="Production",set_RMSBase,set_QwilrBase)=""),"",HYPERLINK(IF(LEFT(AC326,4)="http",AC326,IF(H326="Production",set_RMSBase,set_QwilrBase)&amp;AC326),"Open")))</f>
        <v/>
      </c>
      <c r="AE326" s="27">
        <f>IF(E326="","",IFERROR(INDEX(tbl_Production[Total Expense],IFERROR(MATCH(E326&amp;"",tbl_Production[Job Number],0),MATCH(IFERROR(E326+0,E326),tbl_Production[Job Number],0))),IFERROR(INDEX(tbl_Consulting[Total Expense],IFERROR(MATCH(E326&amp;"",tbl_Consulting[Job Number],0),MATCH(IFERROR(E326+0,E326),tbl_Consulting[Job Number],0))),0)))</f>
        <v/>
      </c>
      <c r="AF326" s="27">
        <f>IF(E326="","",Z326-N(AE326))</f>
        <v/>
      </c>
      <c r="AG326" s="29">
        <f>IFERROR(AF326/Z326,"")</f>
        <v/>
      </c>
      <c r="AH326" s="25">
        <f>IF(E326="","",IFERROR(IF(INDEX(tbl_Onsite[Notes],IFERROR(MATCH(E326&amp;"",tbl_Onsite[Job Number],0),MATCH(IFERROR(E326+0,E326),tbl_Onsite[Job Number],0)))="","",INDEX(tbl_Onsite[Notes],IFERROR(MATCH(E326&amp;"",tbl_Onsite[Job Number],0),MATCH(IFERROR(E326+0,E326),tbl_Onsite[Job Number],0)))),IFERROR(IF(INDEX(tbl_Production[Notes],IFERROR(MATCH(E326&amp;"",tbl_Production[Job Number],0),MATCH(IFERROR(E326+0,E326),tbl_Production[Job Number],0)))="","",INDEX(tbl_Production[Notes],IFERROR(MATCH(E326&amp;"",tbl_Production[Job Number],0),MATCH(IFERROR(E326+0,E326),tbl_Production[Job Number],0)))),IFERROR(IF(INDEX(tbl_Consulting[Notes],IFERROR(MATCH(E326&amp;"",tbl_Consulting[Job Number],0),MATCH(IFERROR(E326+0,E326),tbl_Consulting[Job Number],0)))="","",INDEX(tbl_Consulting[Notes],IFERROR(MATCH(E326&amp;"",tbl_Consulting[Job Number],0),MATCH(IFERROR(E326+0,E326),tbl_Consulting[Job Number],0)))),""))))</f>
        <v/>
      </c>
    </row>
    <row r="327" ht="15" customHeight="1">
      <c r="A327" s="22" t="n"/>
      <c r="B327" s="23">
        <f>IF(A327="","",EOMONTH(A327,0))</f>
        <v/>
      </c>
      <c r="C327" s="24" t="n"/>
      <c r="D327" s="24" t="n"/>
      <c r="E327" s="24" t="n"/>
      <c r="F327" s="25">
        <f>IF(E327="","",IF(COUNTIF(lst_Jobs,E327&amp;"")&gt;0,"OK","CHECK"))</f>
        <v/>
      </c>
      <c r="G327" s="24" t="n"/>
      <c r="H327" s="24" t="n"/>
      <c r="I327" s="24" t="n"/>
      <c r="J327" s="24" t="n"/>
      <c r="K327" s="24" t="n"/>
      <c r="L327" s="26" t="n"/>
      <c r="M327" s="27">
        <f>IF(L327="","",IF(K327="GST 10%",ROUND(L327*set_GSTRate,2),0))</f>
        <v/>
      </c>
      <c r="N327" s="27">
        <f>IF(L327="","",L327+M327)</f>
        <v/>
      </c>
      <c r="O327" s="24" t="n"/>
      <c r="P327" s="24" t="n"/>
      <c r="Q327" s="24" t="n"/>
      <c r="R327" s="22" t="n"/>
      <c r="S327" s="22" t="n"/>
      <c r="T327" s="24" t="n"/>
      <c r="U327" s="24" t="n"/>
      <c r="V327" s="2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25">
        <f>IF(E327="","",IF(COUNTIF(tbl_Onsite[Job Number],E327&amp;"")&gt;0,"Onsite",IF(COUNTIF(tbl_Production[Job Number],E327&amp;"")&gt;0,"Production",IF(COUNTIF(tbl_Consulting[Job Number],E327&amp;"")&gt;0,"Consulting","not set up yet"))))</f>
        <v/>
      </c>
      <c r="X327" s="25">
        <f>IF(E327="","",IFERROR(INDEX(lst_JobName,MATCH(E327&amp;"",lst_Jobs,0)),""))</f>
        <v/>
      </c>
      <c r="Y327" s="28">
        <f>IF(E327="","",COUNTIFS(tbl_Finance[Job Number],E327&amp;"",tbl_Finance[Ex GST],"&lt;&gt;"))</f>
        <v/>
      </c>
      <c r="Z327" s="27">
        <f>IF(E327="","",SUMIFS(tbl_Finance[Ex GST],tbl_Finance[Job Number],E327&amp;""))</f>
        <v/>
      </c>
      <c r="AA327" s="27">
        <f>IF(E327="","",SUMIFS(tbl_Finance[Ex GST],tbl_Finance[Job Number],E327&amp;"",tbl_Finance[Xero Invoice No],"&lt;&gt;"))</f>
        <v/>
      </c>
      <c r="AB327" s="27">
        <f>IF(E327="","",Z327-AA327)</f>
        <v/>
      </c>
      <c r="AC327" s="25">
        <f>IF(E327="","",IFERROR(IF(INDEX(tbl_Onsite[Qwilr Quote],IFERROR(MATCH(E327&amp;"",tbl_Onsite[Job Number],0),MATCH(IFERROR(E327+0,E327),tbl_Onsite[Job Number],0)))="","",INDEX(tbl_Onsite[Qwilr Quote],IFERROR(MATCH(E327&amp;"",tbl_Onsite[Job Number],0),MATCH(IFERROR(E327+0,E327),tbl_Onsite[Job Number],0)))),IFERROR(IF(IF(INDEX(tbl_Production[Current RMS No],IFERROR(MATCH(E327&amp;"",tbl_Production[Job Number],0),MATCH(IFERROR(E327+0,E327),tbl_Production[Job Number],0)))="",INDEX(tbl_Production[Qwilr Quote],IFERROR(MATCH(E327&amp;"",tbl_Production[Job Number],0),MATCH(IFERROR(E327+0,E327),tbl_Production[Job Number],0))),INDEX(tbl_Production[Current RMS No],IFERROR(MATCH(E327&amp;"",tbl_Production[Job Number],0),MATCH(IFERROR(E327+0,E327),tbl_Production[Job Number],0))))="","",IF(INDEX(tbl_Production[Current RMS No],IFERROR(MATCH(E327&amp;"",tbl_Production[Job Number],0),MATCH(IFERROR(E327+0,E327),tbl_Production[Job Number],0)))="",INDEX(tbl_Production[Qwilr Quote],IFERROR(MATCH(E327&amp;"",tbl_Production[Job Number],0),MATCH(IFERROR(E327+0,E327),tbl_Production[Job Number],0))),INDEX(tbl_Production[Current RMS No],IFERROR(MATCH(E327&amp;"",tbl_Production[Job Number],0),MATCH(IFERROR(E327+0,E327),tbl_Production[Job Number],0))))),IFERROR(IF(INDEX(tbl_Consulting[Qwilr Quote],IFERROR(MATCH(E327&amp;"",tbl_Consulting[Job Number],0),MATCH(IFERROR(E327+0,E327),tbl_Consulting[Job Number],0)))="","",INDEX(tbl_Consulting[Qwilr Quote],IFERROR(MATCH(E327&amp;"",tbl_Consulting[Job Number],0),MATCH(IFERROR(E327+0,E327),tbl_Consulting[Job Number],0)))),""))))</f>
        <v/>
      </c>
      <c r="AD327" s="25">
        <f>IF(AC327="","",IF(AND(LEFT(AC327,4)&lt;&gt;"http",IF(H327="Production",set_RMSBase,set_QwilrBase)=""),"",HYPERLINK(IF(LEFT(AC327,4)="http",AC327,IF(H327="Production",set_RMSBase,set_QwilrBase)&amp;AC327),"Open")))</f>
        <v/>
      </c>
      <c r="AE327" s="27">
        <f>IF(E327="","",IFERROR(INDEX(tbl_Production[Total Expense],IFERROR(MATCH(E327&amp;"",tbl_Production[Job Number],0),MATCH(IFERROR(E327+0,E327),tbl_Production[Job Number],0))),IFERROR(INDEX(tbl_Consulting[Total Expense],IFERROR(MATCH(E327&amp;"",tbl_Consulting[Job Number],0),MATCH(IFERROR(E327+0,E327),tbl_Consulting[Job Number],0))),0)))</f>
        <v/>
      </c>
      <c r="AF327" s="27">
        <f>IF(E327="","",Z327-N(AE327))</f>
        <v/>
      </c>
      <c r="AG327" s="29">
        <f>IFERROR(AF327/Z327,"")</f>
        <v/>
      </c>
      <c r="AH327" s="25">
        <f>IF(E327="","",IFERROR(IF(INDEX(tbl_Onsite[Notes],IFERROR(MATCH(E327&amp;"",tbl_Onsite[Job Number],0),MATCH(IFERROR(E327+0,E327),tbl_Onsite[Job Number],0)))="","",INDEX(tbl_Onsite[Notes],IFERROR(MATCH(E327&amp;"",tbl_Onsite[Job Number],0),MATCH(IFERROR(E327+0,E327),tbl_Onsite[Job Number],0)))),IFERROR(IF(INDEX(tbl_Production[Notes],IFERROR(MATCH(E327&amp;"",tbl_Production[Job Number],0),MATCH(IFERROR(E327+0,E327),tbl_Production[Job Number],0)))="","",INDEX(tbl_Production[Notes],IFERROR(MATCH(E327&amp;"",tbl_Production[Job Number],0),MATCH(IFERROR(E327+0,E327),tbl_Production[Job Number],0)))),IFERROR(IF(INDEX(tbl_Consulting[Notes],IFERROR(MATCH(E327&amp;"",tbl_Consulting[Job Number],0),MATCH(IFERROR(E327+0,E327),tbl_Consulting[Job Number],0)))="","",INDEX(tbl_Consulting[Notes],IFERROR(MATCH(E327&amp;"",tbl_Consulting[Job Number],0),MATCH(IFERROR(E327+0,E327),tbl_Consulting[Job Number],0)))),""))))</f>
        <v/>
      </c>
    </row>
    <row r="328" ht="15" customHeight="1">
      <c r="A328" s="22" t="n"/>
      <c r="B328" s="23">
        <f>IF(A328="","",EOMONTH(A328,0))</f>
        <v/>
      </c>
      <c r="C328" s="24" t="n"/>
      <c r="D328" s="24" t="n"/>
      <c r="E328" s="24" t="n"/>
      <c r="F328" s="25">
        <f>IF(E328="","",IF(COUNTIF(lst_Jobs,E328&amp;"")&gt;0,"OK","CHECK"))</f>
        <v/>
      </c>
      <c r="G328" s="24" t="n"/>
      <c r="H328" s="24" t="n"/>
      <c r="I328" s="24" t="n"/>
      <c r="J328" s="24" t="n"/>
      <c r="K328" s="24" t="n"/>
      <c r="L328" s="26" t="n"/>
      <c r="M328" s="27">
        <f>IF(L328="","",IF(K328="GST 10%",ROUND(L328*set_GSTRate,2),0))</f>
        <v/>
      </c>
      <c r="N328" s="27">
        <f>IF(L328="","",L328+M328)</f>
        <v/>
      </c>
      <c r="O328" s="24" t="n"/>
      <c r="P328" s="24" t="n"/>
      <c r="Q328" s="24" t="n"/>
      <c r="R328" s="22" t="n"/>
      <c r="S328" s="22" t="n"/>
      <c r="T328" s="24" t="n"/>
      <c r="U328" s="24" t="n"/>
      <c r="V328" s="2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25">
        <f>IF(E328="","",IF(COUNTIF(tbl_Onsite[Job Number],E328&amp;"")&gt;0,"Onsite",IF(COUNTIF(tbl_Production[Job Number],E328&amp;"")&gt;0,"Production",IF(COUNTIF(tbl_Consulting[Job Number],E328&amp;"")&gt;0,"Consulting","not set up yet"))))</f>
        <v/>
      </c>
      <c r="X328" s="25">
        <f>IF(E328="","",IFERROR(INDEX(lst_JobName,MATCH(E328&amp;"",lst_Jobs,0)),""))</f>
        <v/>
      </c>
      <c r="Y328" s="28">
        <f>IF(E328="","",COUNTIFS(tbl_Finance[Job Number],E328&amp;"",tbl_Finance[Ex GST],"&lt;&gt;"))</f>
        <v/>
      </c>
      <c r="Z328" s="27">
        <f>IF(E328="","",SUMIFS(tbl_Finance[Ex GST],tbl_Finance[Job Number],E328&amp;""))</f>
        <v/>
      </c>
      <c r="AA328" s="27">
        <f>IF(E328="","",SUMIFS(tbl_Finance[Ex GST],tbl_Finance[Job Number],E328&amp;"",tbl_Finance[Xero Invoice No],"&lt;&gt;"))</f>
        <v/>
      </c>
      <c r="AB328" s="27">
        <f>IF(E328="","",Z328-AA328)</f>
        <v/>
      </c>
      <c r="AC328" s="25">
        <f>IF(E328="","",IFERROR(IF(INDEX(tbl_Onsite[Qwilr Quote],IFERROR(MATCH(E328&amp;"",tbl_Onsite[Job Number],0),MATCH(IFERROR(E328+0,E328),tbl_Onsite[Job Number],0)))="","",INDEX(tbl_Onsite[Qwilr Quote],IFERROR(MATCH(E328&amp;"",tbl_Onsite[Job Number],0),MATCH(IFERROR(E328+0,E328),tbl_Onsite[Job Number],0)))),IFERROR(IF(IF(INDEX(tbl_Production[Current RMS No],IFERROR(MATCH(E328&amp;"",tbl_Production[Job Number],0),MATCH(IFERROR(E328+0,E328),tbl_Production[Job Number],0)))="",INDEX(tbl_Production[Qwilr Quote],IFERROR(MATCH(E328&amp;"",tbl_Production[Job Number],0),MATCH(IFERROR(E328+0,E328),tbl_Production[Job Number],0))),INDEX(tbl_Production[Current RMS No],IFERROR(MATCH(E328&amp;"",tbl_Production[Job Number],0),MATCH(IFERROR(E328+0,E328),tbl_Production[Job Number],0))))="","",IF(INDEX(tbl_Production[Current RMS No],IFERROR(MATCH(E328&amp;"",tbl_Production[Job Number],0),MATCH(IFERROR(E328+0,E328),tbl_Production[Job Number],0)))="",INDEX(tbl_Production[Qwilr Quote],IFERROR(MATCH(E328&amp;"",tbl_Production[Job Number],0),MATCH(IFERROR(E328+0,E328),tbl_Production[Job Number],0))),INDEX(tbl_Production[Current RMS No],IFERROR(MATCH(E328&amp;"",tbl_Production[Job Number],0),MATCH(IFERROR(E328+0,E328),tbl_Production[Job Number],0))))),IFERROR(IF(INDEX(tbl_Consulting[Qwilr Quote],IFERROR(MATCH(E328&amp;"",tbl_Consulting[Job Number],0),MATCH(IFERROR(E328+0,E328),tbl_Consulting[Job Number],0)))="","",INDEX(tbl_Consulting[Qwilr Quote],IFERROR(MATCH(E328&amp;"",tbl_Consulting[Job Number],0),MATCH(IFERROR(E328+0,E328),tbl_Consulting[Job Number],0)))),""))))</f>
        <v/>
      </c>
      <c r="AD328" s="25">
        <f>IF(AC328="","",IF(AND(LEFT(AC328,4)&lt;&gt;"http",IF(H328="Production",set_RMSBase,set_QwilrBase)=""),"",HYPERLINK(IF(LEFT(AC328,4)="http",AC328,IF(H328="Production",set_RMSBase,set_QwilrBase)&amp;AC328),"Open")))</f>
        <v/>
      </c>
      <c r="AE328" s="27">
        <f>IF(E328="","",IFERROR(INDEX(tbl_Production[Total Expense],IFERROR(MATCH(E328&amp;"",tbl_Production[Job Number],0),MATCH(IFERROR(E328+0,E328),tbl_Production[Job Number],0))),IFERROR(INDEX(tbl_Consulting[Total Expense],IFERROR(MATCH(E328&amp;"",tbl_Consulting[Job Number],0),MATCH(IFERROR(E328+0,E328),tbl_Consulting[Job Number],0))),0)))</f>
        <v/>
      </c>
      <c r="AF328" s="27">
        <f>IF(E328="","",Z328-N(AE328))</f>
        <v/>
      </c>
      <c r="AG328" s="29">
        <f>IFERROR(AF328/Z328,"")</f>
        <v/>
      </c>
      <c r="AH328" s="25">
        <f>IF(E328="","",IFERROR(IF(INDEX(tbl_Onsite[Notes],IFERROR(MATCH(E328&amp;"",tbl_Onsite[Job Number],0),MATCH(IFERROR(E328+0,E328),tbl_Onsite[Job Number],0)))="","",INDEX(tbl_Onsite[Notes],IFERROR(MATCH(E328&amp;"",tbl_Onsite[Job Number],0),MATCH(IFERROR(E328+0,E328),tbl_Onsite[Job Number],0)))),IFERROR(IF(INDEX(tbl_Production[Notes],IFERROR(MATCH(E328&amp;"",tbl_Production[Job Number],0),MATCH(IFERROR(E328+0,E328),tbl_Production[Job Number],0)))="","",INDEX(tbl_Production[Notes],IFERROR(MATCH(E328&amp;"",tbl_Production[Job Number],0),MATCH(IFERROR(E328+0,E328),tbl_Production[Job Number],0)))),IFERROR(IF(INDEX(tbl_Consulting[Notes],IFERROR(MATCH(E328&amp;"",tbl_Consulting[Job Number],0),MATCH(IFERROR(E328+0,E328),tbl_Consulting[Job Number],0)))="","",INDEX(tbl_Consulting[Notes],IFERROR(MATCH(E328&amp;"",tbl_Consulting[Job Number],0),MATCH(IFERROR(E328+0,E328),tbl_Consulting[Job Number],0)))),""))))</f>
        <v/>
      </c>
    </row>
    <row r="329" ht="15" customHeight="1">
      <c r="A329" s="22" t="n"/>
      <c r="B329" s="23">
        <f>IF(A329="","",EOMONTH(A329,0))</f>
        <v/>
      </c>
      <c r="C329" s="24" t="n"/>
      <c r="D329" s="24" t="n"/>
      <c r="E329" s="24" t="n"/>
      <c r="F329" s="25">
        <f>IF(E329="","",IF(COUNTIF(lst_Jobs,E329&amp;"")&gt;0,"OK","CHECK"))</f>
        <v/>
      </c>
      <c r="G329" s="24" t="n"/>
      <c r="H329" s="24" t="n"/>
      <c r="I329" s="24" t="n"/>
      <c r="J329" s="24" t="n"/>
      <c r="K329" s="24" t="n"/>
      <c r="L329" s="26" t="n"/>
      <c r="M329" s="27">
        <f>IF(L329="","",IF(K329="GST 10%",ROUND(L329*set_GSTRate,2),0))</f>
        <v/>
      </c>
      <c r="N329" s="27">
        <f>IF(L329="","",L329+M329)</f>
        <v/>
      </c>
      <c r="O329" s="24" t="n"/>
      <c r="P329" s="24" t="n"/>
      <c r="Q329" s="24" t="n"/>
      <c r="R329" s="22" t="n"/>
      <c r="S329" s="22" t="n"/>
      <c r="T329" s="24" t="n"/>
      <c r="U329" s="24" t="n"/>
      <c r="V329" s="2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25">
        <f>IF(E329="","",IF(COUNTIF(tbl_Onsite[Job Number],E329&amp;"")&gt;0,"Onsite",IF(COUNTIF(tbl_Production[Job Number],E329&amp;"")&gt;0,"Production",IF(COUNTIF(tbl_Consulting[Job Number],E329&amp;"")&gt;0,"Consulting","not set up yet"))))</f>
        <v/>
      </c>
      <c r="X329" s="25">
        <f>IF(E329="","",IFERROR(INDEX(lst_JobName,MATCH(E329&amp;"",lst_Jobs,0)),""))</f>
        <v/>
      </c>
      <c r="Y329" s="28">
        <f>IF(E329="","",COUNTIFS(tbl_Finance[Job Number],E329&amp;"",tbl_Finance[Ex GST],"&lt;&gt;"))</f>
        <v/>
      </c>
      <c r="Z329" s="27">
        <f>IF(E329="","",SUMIFS(tbl_Finance[Ex GST],tbl_Finance[Job Number],E329&amp;""))</f>
        <v/>
      </c>
      <c r="AA329" s="27">
        <f>IF(E329="","",SUMIFS(tbl_Finance[Ex GST],tbl_Finance[Job Number],E329&amp;"",tbl_Finance[Xero Invoice No],"&lt;&gt;"))</f>
        <v/>
      </c>
      <c r="AB329" s="27">
        <f>IF(E329="","",Z329-AA329)</f>
        <v/>
      </c>
      <c r="AC329" s="25">
        <f>IF(E329="","",IFERROR(IF(INDEX(tbl_Onsite[Qwilr Quote],IFERROR(MATCH(E329&amp;"",tbl_Onsite[Job Number],0),MATCH(IFERROR(E329+0,E329),tbl_Onsite[Job Number],0)))="","",INDEX(tbl_Onsite[Qwilr Quote],IFERROR(MATCH(E329&amp;"",tbl_Onsite[Job Number],0),MATCH(IFERROR(E329+0,E329),tbl_Onsite[Job Number],0)))),IFERROR(IF(IF(INDEX(tbl_Production[Current RMS No],IFERROR(MATCH(E329&amp;"",tbl_Production[Job Number],0),MATCH(IFERROR(E329+0,E329),tbl_Production[Job Number],0)))="",INDEX(tbl_Production[Qwilr Quote],IFERROR(MATCH(E329&amp;"",tbl_Production[Job Number],0),MATCH(IFERROR(E329+0,E329),tbl_Production[Job Number],0))),INDEX(tbl_Production[Current RMS No],IFERROR(MATCH(E329&amp;"",tbl_Production[Job Number],0),MATCH(IFERROR(E329+0,E329),tbl_Production[Job Number],0))))="","",IF(INDEX(tbl_Production[Current RMS No],IFERROR(MATCH(E329&amp;"",tbl_Production[Job Number],0),MATCH(IFERROR(E329+0,E329),tbl_Production[Job Number],0)))="",INDEX(tbl_Production[Qwilr Quote],IFERROR(MATCH(E329&amp;"",tbl_Production[Job Number],0),MATCH(IFERROR(E329+0,E329),tbl_Production[Job Number],0))),INDEX(tbl_Production[Current RMS No],IFERROR(MATCH(E329&amp;"",tbl_Production[Job Number],0),MATCH(IFERROR(E329+0,E329),tbl_Production[Job Number],0))))),IFERROR(IF(INDEX(tbl_Consulting[Qwilr Quote],IFERROR(MATCH(E329&amp;"",tbl_Consulting[Job Number],0),MATCH(IFERROR(E329+0,E329),tbl_Consulting[Job Number],0)))="","",INDEX(tbl_Consulting[Qwilr Quote],IFERROR(MATCH(E329&amp;"",tbl_Consulting[Job Number],0),MATCH(IFERROR(E329+0,E329),tbl_Consulting[Job Number],0)))),""))))</f>
        <v/>
      </c>
      <c r="AD329" s="25">
        <f>IF(AC329="","",IF(AND(LEFT(AC329,4)&lt;&gt;"http",IF(H329="Production",set_RMSBase,set_QwilrBase)=""),"",HYPERLINK(IF(LEFT(AC329,4)="http",AC329,IF(H329="Production",set_RMSBase,set_QwilrBase)&amp;AC329),"Open")))</f>
        <v/>
      </c>
      <c r="AE329" s="27">
        <f>IF(E329="","",IFERROR(INDEX(tbl_Production[Total Expense],IFERROR(MATCH(E329&amp;"",tbl_Production[Job Number],0),MATCH(IFERROR(E329+0,E329),tbl_Production[Job Number],0))),IFERROR(INDEX(tbl_Consulting[Total Expense],IFERROR(MATCH(E329&amp;"",tbl_Consulting[Job Number],0),MATCH(IFERROR(E329+0,E329),tbl_Consulting[Job Number],0))),0)))</f>
        <v/>
      </c>
      <c r="AF329" s="27">
        <f>IF(E329="","",Z329-N(AE329))</f>
        <v/>
      </c>
      <c r="AG329" s="29">
        <f>IFERROR(AF329/Z329,"")</f>
        <v/>
      </c>
      <c r="AH329" s="25">
        <f>IF(E329="","",IFERROR(IF(INDEX(tbl_Onsite[Notes],IFERROR(MATCH(E329&amp;"",tbl_Onsite[Job Number],0),MATCH(IFERROR(E329+0,E329),tbl_Onsite[Job Number],0)))="","",INDEX(tbl_Onsite[Notes],IFERROR(MATCH(E329&amp;"",tbl_Onsite[Job Number],0),MATCH(IFERROR(E329+0,E329),tbl_Onsite[Job Number],0)))),IFERROR(IF(INDEX(tbl_Production[Notes],IFERROR(MATCH(E329&amp;"",tbl_Production[Job Number],0),MATCH(IFERROR(E329+0,E329),tbl_Production[Job Number],0)))="","",INDEX(tbl_Production[Notes],IFERROR(MATCH(E329&amp;"",tbl_Production[Job Number],0),MATCH(IFERROR(E329+0,E329),tbl_Production[Job Number],0)))),IFERROR(IF(INDEX(tbl_Consulting[Notes],IFERROR(MATCH(E329&amp;"",tbl_Consulting[Job Number],0),MATCH(IFERROR(E329+0,E329),tbl_Consulting[Job Number],0)))="","",INDEX(tbl_Consulting[Notes],IFERROR(MATCH(E329&amp;"",tbl_Consulting[Job Number],0),MATCH(IFERROR(E329+0,E329),tbl_Consulting[Job Number],0)))),""))))</f>
        <v/>
      </c>
    </row>
    <row r="330" ht="15" customHeight="1">
      <c r="A330" s="22" t="n"/>
      <c r="B330" s="23">
        <f>IF(A330="","",EOMONTH(A330,0))</f>
        <v/>
      </c>
      <c r="C330" s="24" t="n"/>
      <c r="D330" s="24" t="n"/>
      <c r="E330" s="24" t="n"/>
      <c r="F330" s="25">
        <f>IF(E330="","",IF(COUNTIF(lst_Jobs,E330&amp;"")&gt;0,"OK","CHECK"))</f>
        <v/>
      </c>
      <c r="G330" s="24" t="n"/>
      <c r="H330" s="24" t="n"/>
      <c r="I330" s="24" t="n"/>
      <c r="J330" s="24" t="n"/>
      <c r="K330" s="24" t="n"/>
      <c r="L330" s="26" t="n"/>
      <c r="M330" s="27">
        <f>IF(L330="","",IF(K330="GST 10%",ROUND(L330*set_GSTRate,2),0))</f>
        <v/>
      </c>
      <c r="N330" s="27">
        <f>IF(L330="","",L330+M330)</f>
        <v/>
      </c>
      <c r="O330" s="24" t="n"/>
      <c r="P330" s="24" t="n"/>
      <c r="Q330" s="24" t="n"/>
      <c r="R330" s="22" t="n"/>
      <c r="S330" s="22" t="n"/>
      <c r="T330" s="24" t="n"/>
      <c r="U330" s="24" t="n"/>
      <c r="V330" s="2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25">
        <f>IF(E330="","",IF(COUNTIF(tbl_Onsite[Job Number],E330&amp;"")&gt;0,"Onsite",IF(COUNTIF(tbl_Production[Job Number],E330&amp;"")&gt;0,"Production",IF(COUNTIF(tbl_Consulting[Job Number],E330&amp;"")&gt;0,"Consulting","not set up yet"))))</f>
        <v/>
      </c>
      <c r="X330" s="25">
        <f>IF(E330="","",IFERROR(INDEX(lst_JobName,MATCH(E330&amp;"",lst_Jobs,0)),""))</f>
        <v/>
      </c>
      <c r="Y330" s="28">
        <f>IF(E330="","",COUNTIFS(tbl_Finance[Job Number],E330&amp;"",tbl_Finance[Ex GST],"&lt;&gt;"))</f>
        <v/>
      </c>
      <c r="Z330" s="27">
        <f>IF(E330="","",SUMIFS(tbl_Finance[Ex GST],tbl_Finance[Job Number],E330&amp;""))</f>
        <v/>
      </c>
      <c r="AA330" s="27">
        <f>IF(E330="","",SUMIFS(tbl_Finance[Ex GST],tbl_Finance[Job Number],E330&amp;"",tbl_Finance[Xero Invoice No],"&lt;&gt;"))</f>
        <v/>
      </c>
      <c r="AB330" s="27">
        <f>IF(E330="","",Z330-AA330)</f>
        <v/>
      </c>
      <c r="AC330" s="25">
        <f>IF(E330="","",IFERROR(IF(INDEX(tbl_Onsite[Qwilr Quote],IFERROR(MATCH(E330&amp;"",tbl_Onsite[Job Number],0),MATCH(IFERROR(E330+0,E330),tbl_Onsite[Job Number],0)))="","",INDEX(tbl_Onsite[Qwilr Quote],IFERROR(MATCH(E330&amp;"",tbl_Onsite[Job Number],0),MATCH(IFERROR(E330+0,E330),tbl_Onsite[Job Number],0)))),IFERROR(IF(IF(INDEX(tbl_Production[Current RMS No],IFERROR(MATCH(E330&amp;"",tbl_Production[Job Number],0),MATCH(IFERROR(E330+0,E330),tbl_Production[Job Number],0)))="",INDEX(tbl_Production[Qwilr Quote],IFERROR(MATCH(E330&amp;"",tbl_Production[Job Number],0),MATCH(IFERROR(E330+0,E330),tbl_Production[Job Number],0))),INDEX(tbl_Production[Current RMS No],IFERROR(MATCH(E330&amp;"",tbl_Production[Job Number],0),MATCH(IFERROR(E330+0,E330),tbl_Production[Job Number],0))))="","",IF(INDEX(tbl_Production[Current RMS No],IFERROR(MATCH(E330&amp;"",tbl_Production[Job Number],0),MATCH(IFERROR(E330+0,E330),tbl_Production[Job Number],0)))="",INDEX(tbl_Production[Qwilr Quote],IFERROR(MATCH(E330&amp;"",tbl_Production[Job Number],0),MATCH(IFERROR(E330+0,E330),tbl_Production[Job Number],0))),INDEX(tbl_Production[Current RMS No],IFERROR(MATCH(E330&amp;"",tbl_Production[Job Number],0),MATCH(IFERROR(E330+0,E330),tbl_Production[Job Number],0))))),IFERROR(IF(INDEX(tbl_Consulting[Qwilr Quote],IFERROR(MATCH(E330&amp;"",tbl_Consulting[Job Number],0),MATCH(IFERROR(E330+0,E330),tbl_Consulting[Job Number],0)))="","",INDEX(tbl_Consulting[Qwilr Quote],IFERROR(MATCH(E330&amp;"",tbl_Consulting[Job Number],0),MATCH(IFERROR(E330+0,E330),tbl_Consulting[Job Number],0)))),""))))</f>
        <v/>
      </c>
      <c r="AD330" s="25">
        <f>IF(AC330="","",IF(AND(LEFT(AC330,4)&lt;&gt;"http",IF(H330="Production",set_RMSBase,set_QwilrBase)=""),"",HYPERLINK(IF(LEFT(AC330,4)="http",AC330,IF(H330="Production",set_RMSBase,set_QwilrBase)&amp;AC330),"Open")))</f>
        <v/>
      </c>
      <c r="AE330" s="27">
        <f>IF(E330="","",IFERROR(INDEX(tbl_Production[Total Expense],IFERROR(MATCH(E330&amp;"",tbl_Production[Job Number],0),MATCH(IFERROR(E330+0,E330),tbl_Production[Job Number],0))),IFERROR(INDEX(tbl_Consulting[Total Expense],IFERROR(MATCH(E330&amp;"",tbl_Consulting[Job Number],0),MATCH(IFERROR(E330+0,E330),tbl_Consulting[Job Number],0))),0)))</f>
        <v/>
      </c>
      <c r="AF330" s="27">
        <f>IF(E330="","",Z330-N(AE330))</f>
        <v/>
      </c>
      <c r="AG330" s="29">
        <f>IFERROR(AF330/Z330,"")</f>
        <v/>
      </c>
      <c r="AH330" s="25">
        <f>IF(E330="","",IFERROR(IF(INDEX(tbl_Onsite[Notes],IFERROR(MATCH(E330&amp;"",tbl_Onsite[Job Number],0),MATCH(IFERROR(E330+0,E330),tbl_Onsite[Job Number],0)))="","",INDEX(tbl_Onsite[Notes],IFERROR(MATCH(E330&amp;"",tbl_Onsite[Job Number],0),MATCH(IFERROR(E330+0,E330),tbl_Onsite[Job Number],0)))),IFERROR(IF(INDEX(tbl_Production[Notes],IFERROR(MATCH(E330&amp;"",tbl_Production[Job Number],0),MATCH(IFERROR(E330+0,E330),tbl_Production[Job Number],0)))="","",INDEX(tbl_Production[Notes],IFERROR(MATCH(E330&amp;"",tbl_Production[Job Number],0),MATCH(IFERROR(E330+0,E330),tbl_Production[Job Number],0)))),IFERROR(IF(INDEX(tbl_Consulting[Notes],IFERROR(MATCH(E330&amp;"",tbl_Consulting[Job Number],0),MATCH(IFERROR(E330+0,E330),tbl_Consulting[Job Number],0)))="","",INDEX(tbl_Consulting[Notes],IFERROR(MATCH(E330&amp;"",tbl_Consulting[Job Number],0),MATCH(IFERROR(E330+0,E330),tbl_Consulting[Job Number],0)))),""))))</f>
        <v/>
      </c>
    </row>
    <row r="331" ht="15" customHeight="1">
      <c r="A331" s="22" t="n"/>
      <c r="B331" s="23">
        <f>IF(A331="","",EOMONTH(A331,0))</f>
        <v/>
      </c>
      <c r="C331" s="24" t="n"/>
      <c r="D331" s="24" t="n"/>
      <c r="E331" s="24" t="n"/>
      <c r="F331" s="25">
        <f>IF(E331="","",IF(COUNTIF(lst_Jobs,E331&amp;"")&gt;0,"OK","CHECK"))</f>
        <v/>
      </c>
      <c r="G331" s="24" t="n"/>
      <c r="H331" s="24" t="n"/>
      <c r="I331" s="24" t="n"/>
      <c r="J331" s="24" t="n"/>
      <c r="K331" s="24" t="n"/>
      <c r="L331" s="26" t="n"/>
      <c r="M331" s="27">
        <f>IF(L331="","",IF(K331="GST 10%",ROUND(L331*set_GSTRate,2),0))</f>
        <v/>
      </c>
      <c r="N331" s="27">
        <f>IF(L331="","",L331+M331)</f>
        <v/>
      </c>
      <c r="O331" s="24" t="n"/>
      <c r="P331" s="24" t="n"/>
      <c r="Q331" s="24" t="n"/>
      <c r="R331" s="22" t="n"/>
      <c r="S331" s="22" t="n"/>
      <c r="T331" s="24" t="n"/>
      <c r="U331" s="24" t="n"/>
      <c r="V331" s="2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25">
        <f>IF(E331="","",IF(COUNTIF(tbl_Onsite[Job Number],E331&amp;"")&gt;0,"Onsite",IF(COUNTIF(tbl_Production[Job Number],E331&amp;"")&gt;0,"Production",IF(COUNTIF(tbl_Consulting[Job Number],E331&amp;"")&gt;0,"Consulting","not set up yet"))))</f>
        <v/>
      </c>
      <c r="X331" s="25">
        <f>IF(E331="","",IFERROR(INDEX(lst_JobName,MATCH(E331&amp;"",lst_Jobs,0)),""))</f>
        <v/>
      </c>
      <c r="Y331" s="28">
        <f>IF(E331="","",COUNTIFS(tbl_Finance[Job Number],E331&amp;"",tbl_Finance[Ex GST],"&lt;&gt;"))</f>
        <v/>
      </c>
      <c r="Z331" s="27">
        <f>IF(E331="","",SUMIFS(tbl_Finance[Ex GST],tbl_Finance[Job Number],E331&amp;""))</f>
        <v/>
      </c>
      <c r="AA331" s="27">
        <f>IF(E331="","",SUMIFS(tbl_Finance[Ex GST],tbl_Finance[Job Number],E331&amp;"",tbl_Finance[Xero Invoice No],"&lt;&gt;"))</f>
        <v/>
      </c>
      <c r="AB331" s="27">
        <f>IF(E331="","",Z331-AA331)</f>
        <v/>
      </c>
      <c r="AC331" s="25">
        <f>IF(E331="","",IFERROR(IF(INDEX(tbl_Onsite[Qwilr Quote],IFERROR(MATCH(E331&amp;"",tbl_Onsite[Job Number],0),MATCH(IFERROR(E331+0,E331),tbl_Onsite[Job Number],0)))="","",INDEX(tbl_Onsite[Qwilr Quote],IFERROR(MATCH(E331&amp;"",tbl_Onsite[Job Number],0),MATCH(IFERROR(E331+0,E331),tbl_Onsite[Job Number],0)))),IFERROR(IF(IF(INDEX(tbl_Production[Current RMS No],IFERROR(MATCH(E331&amp;"",tbl_Production[Job Number],0),MATCH(IFERROR(E331+0,E331),tbl_Production[Job Number],0)))="",INDEX(tbl_Production[Qwilr Quote],IFERROR(MATCH(E331&amp;"",tbl_Production[Job Number],0),MATCH(IFERROR(E331+0,E331),tbl_Production[Job Number],0))),INDEX(tbl_Production[Current RMS No],IFERROR(MATCH(E331&amp;"",tbl_Production[Job Number],0),MATCH(IFERROR(E331+0,E331),tbl_Production[Job Number],0))))="","",IF(INDEX(tbl_Production[Current RMS No],IFERROR(MATCH(E331&amp;"",tbl_Production[Job Number],0),MATCH(IFERROR(E331+0,E331),tbl_Production[Job Number],0)))="",INDEX(tbl_Production[Qwilr Quote],IFERROR(MATCH(E331&amp;"",tbl_Production[Job Number],0),MATCH(IFERROR(E331+0,E331),tbl_Production[Job Number],0))),INDEX(tbl_Production[Current RMS No],IFERROR(MATCH(E331&amp;"",tbl_Production[Job Number],0),MATCH(IFERROR(E331+0,E331),tbl_Production[Job Number],0))))),IFERROR(IF(INDEX(tbl_Consulting[Qwilr Quote],IFERROR(MATCH(E331&amp;"",tbl_Consulting[Job Number],0),MATCH(IFERROR(E331+0,E331),tbl_Consulting[Job Number],0)))="","",INDEX(tbl_Consulting[Qwilr Quote],IFERROR(MATCH(E331&amp;"",tbl_Consulting[Job Number],0),MATCH(IFERROR(E331+0,E331),tbl_Consulting[Job Number],0)))),""))))</f>
        <v/>
      </c>
      <c r="AD331" s="25">
        <f>IF(AC331="","",IF(AND(LEFT(AC331,4)&lt;&gt;"http",IF(H331="Production",set_RMSBase,set_QwilrBase)=""),"",HYPERLINK(IF(LEFT(AC331,4)="http",AC331,IF(H331="Production",set_RMSBase,set_QwilrBase)&amp;AC331),"Open")))</f>
        <v/>
      </c>
      <c r="AE331" s="27">
        <f>IF(E331="","",IFERROR(INDEX(tbl_Production[Total Expense],IFERROR(MATCH(E331&amp;"",tbl_Production[Job Number],0),MATCH(IFERROR(E331+0,E331),tbl_Production[Job Number],0))),IFERROR(INDEX(tbl_Consulting[Total Expense],IFERROR(MATCH(E331&amp;"",tbl_Consulting[Job Number],0),MATCH(IFERROR(E331+0,E331),tbl_Consulting[Job Number],0))),0)))</f>
        <v/>
      </c>
      <c r="AF331" s="27">
        <f>IF(E331="","",Z331-N(AE331))</f>
        <v/>
      </c>
      <c r="AG331" s="29">
        <f>IFERROR(AF331/Z331,"")</f>
        <v/>
      </c>
      <c r="AH331" s="25">
        <f>IF(E331="","",IFERROR(IF(INDEX(tbl_Onsite[Notes],IFERROR(MATCH(E331&amp;"",tbl_Onsite[Job Number],0),MATCH(IFERROR(E331+0,E331),tbl_Onsite[Job Number],0)))="","",INDEX(tbl_Onsite[Notes],IFERROR(MATCH(E331&amp;"",tbl_Onsite[Job Number],0),MATCH(IFERROR(E331+0,E331),tbl_Onsite[Job Number],0)))),IFERROR(IF(INDEX(tbl_Production[Notes],IFERROR(MATCH(E331&amp;"",tbl_Production[Job Number],0),MATCH(IFERROR(E331+0,E331),tbl_Production[Job Number],0)))="","",INDEX(tbl_Production[Notes],IFERROR(MATCH(E331&amp;"",tbl_Production[Job Number],0),MATCH(IFERROR(E331+0,E331),tbl_Production[Job Number],0)))),IFERROR(IF(INDEX(tbl_Consulting[Notes],IFERROR(MATCH(E331&amp;"",tbl_Consulting[Job Number],0),MATCH(IFERROR(E331+0,E331),tbl_Consulting[Job Number],0)))="","",INDEX(tbl_Consulting[Notes],IFERROR(MATCH(E331&amp;"",tbl_Consulting[Job Number],0),MATCH(IFERROR(E331+0,E331),tbl_Consulting[Job Number],0)))),""))))</f>
        <v/>
      </c>
    </row>
    <row r="332" ht="15" customHeight="1">
      <c r="A332" s="22" t="n"/>
      <c r="B332" s="23">
        <f>IF(A332="","",EOMONTH(A332,0))</f>
        <v/>
      </c>
      <c r="C332" s="24" t="n"/>
      <c r="D332" s="24" t="n"/>
      <c r="E332" s="24" t="n"/>
      <c r="F332" s="25">
        <f>IF(E332="","",IF(COUNTIF(lst_Jobs,E332&amp;"")&gt;0,"OK","CHECK"))</f>
        <v/>
      </c>
      <c r="G332" s="24" t="n"/>
      <c r="H332" s="24" t="n"/>
      <c r="I332" s="24" t="n"/>
      <c r="J332" s="24" t="n"/>
      <c r="K332" s="24" t="n"/>
      <c r="L332" s="26" t="n"/>
      <c r="M332" s="27">
        <f>IF(L332="","",IF(K332="GST 10%",ROUND(L332*set_GSTRate,2),0))</f>
        <v/>
      </c>
      <c r="N332" s="27">
        <f>IF(L332="","",L332+M332)</f>
        <v/>
      </c>
      <c r="O332" s="24" t="n"/>
      <c r="P332" s="24" t="n"/>
      <c r="Q332" s="24" t="n"/>
      <c r="R332" s="22" t="n"/>
      <c r="S332" s="22" t="n"/>
      <c r="T332" s="24" t="n"/>
      <c r="U332" s="24" t="n"/>
      <c r="V332" s="2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25">
        <f>IF(E332="","",IF(COUNTIF(tbl_Onsite[Job Number],E332&amp;"")&gt;0,"Onsite",IF(COUNTIF(tbl_Production[Job Number],E332&amp;"")&gt;0,"Production",IF(COUNTIF(tbl_Consulting[Job Number],E332&amp;"")&gt;0,"Consulting","not set up yet"))))</f>
        <v/>
      </c>
      <c r="X332" s="25">
        <f>IF(E332="","",IFERROR(INDEX(lst_JobName,MATCH(E332&amp;"",lst_Jobs,0)),""))</f>
        <v/>
      </c>
      <c r="Y332" s="28">
        <f>IF(E332="","",COUNTIFS(tbl_Finance[Job Number],E332&amp;"",tbl_Finance[Ex GST],"&lt;&gt;"))</f>
        <v/>
      </c>
      <c r="Z332" s="27">
        <f>IF(E332="","",SUMIFS(tbl_Finance[Ex GST],tbl_Finance[Job Number],E332&amp;""))</f>
        <v/>
      </c>
      <c r="AA332" s="27">
        <f>IF(E332="","",SUMIFS(tbl_Finance[Ex GST],tbl_Finance[Job Number],E332&amp;"",tbl_Finance[Xero Invoice No],"&lt;&gt;"))</f>
        <v/>
      </c>
      <c r="AB332" s="27">
        <f>IF(E332="","",Z332-AA332)</f>
        <v/>
      </c>
      <c r="AC332" s="25">
        <f>IF(E332="","",IFERROR(IF(INDEX(tbl_Onsite[Qwilr Quote],IFERROR(MATCH(E332&amp;"",tbl_Onsite[Job Number],0),MATCH(IFERROR(E332+0,E332),tbl_Onsite[Job Number],0)))="","",INDEX(tbl_Onsite[Qwilr Quote],IFERROR(MATCH(E332&amp;"",tbl_Onsite[Job Number],0),MATCH(IFERROR(E332+0,E332),tbl_Onsite[Job Number],0)))),IFERROR(IF(IF(INDEX(tbl_Production[Current RMS No],IFERROR(MATCH(E332&amp;"",tbl_Production[Job Number],0),MATCH(IFERROR(E332+0,E332),tbl_Production[Job Number],0)))="",INDEX(tbl_Production[Qwilr Quote],IFERROR(MATCH(E332&amp;"",tbl_Production[Job Number],0),MATCH(IFERROR(E332+0,E332),tbl_Production[Job Number],0))),INDEX(tbl_Production[Current RMS No],IFERROR(MATCH(E332&amp;"",tbl_Production[Job Number],0),MATCH(IFERROR(E332+0,E332),tbl_Production[Job Number],0))))="","",IF(INDEX(tbl_Production[Current RMS No],IFERROR(MATCH(E332&amp;"",tbl_Production[Job Number],0),MATCH(IFERROR(E332+0,E332),tbl_Production[Job Number],0)))="",INDEX(tbl_Production[Qwilr Quote],IFERROR(MATCH(E332&amp;"",tbl_Production[Job Number],0),MATCH(IFERROR(E332+0,E332),tbl_Production[Job Number],0))),INDEX(tbl_Production[Current RMS No],IFERROR(MATCH(E332&amp;"",tbl_Production[Job Number],0),MATCH(IFERROR(E332+0,E332),tbl_Production[Job Number],0))))),IFERROR(IF(INDEX(tbl_Consulting[Qwilr Quote],IFERROR(MATCH(E332&amp;"",tbl_Consulting[Job Number],0),MATCH(IFERROR(E332+0,E332),tbl_Consulting[Job Number],0)))="","",INDEX(tbl_Consulting[Qwilr Quote],IFERROR(MATCH(E332&amp;"",tbl_Consulting[Job Number],0),MATCH(IFERROR(E332+0,E332),tbl_Consulting[Job Number],0)))),""))))</f>
        <v/>
      </c>
      <c r="AD332" s="25">
        <f>IF(AC332="","",IF(AND(LEFT(AC332,4)&lt;&gt;"http",IF(H332="Production",set_RMSBase,set_QwilrBase)=""),"",HYPERLINK(IF(LEFT(AC332,4)="http",AC332,IF(H332="Production",set_RMSBase,set_QwilrBase)&amp;AC332),"Open")))</f>
        <v/>
      </c>
      <c r="AE332" s="27">
        <f>IF(E332="","",IFERROR(INDEX(tbl_Production[Total Expense],IFERROR(MATCH(E332&amp;"",tbl_Production[Job Number],0),MATCH(IFERROR(E332+0,E332),tbl_Production[Job Number],0))),IFERROR(INDEX(tbl_Consulting[Total Expense],IFERROR(MATCH(E332&amp;"",tbl_Consulting[Job Number],0),MATCH(IFERROR(E332+0,E332),tbl_Consulting[Job Number],0))),0)))</f>
        <v/>
      </c>
      <c r="AF332" s="27">
        <f>IF(E332="","",Z332-N(AE332))</f>
        <v/>
      </c>
      <c r="AG332" s="29">
        <f>IFERROR(AF332/Z332,"")</f>
        <v/>
      </c>
      <c r="AH332" s="25">
        <f>IF(E332="","",IFERROR(IF(INDEX(tbl_Onsite[Notes],IFERROR(MATCH(E332&amp;"",tbl_Onsite[Job Number],0),MATCH(IFERROR(E332+0,E332),tbl_Onsite[Job Number],0)))="","",INDEX(tbl_Onsite[Notes],IFERROR(MATCH(E332&amp;"",tbl_Onsite[Job Number],0),MATCH(IFERROR(E332+0,E332),tbl_Onsite[Job Number],0)))),IFERROR(IF(INDEX(tbl_Production[Notes],IFERROR(MATCH(E332&amp;"",tbl_Production[Job Number],0),MATCH(IFERROR(E332+0,E332),tbl_Production[Job Number],0)))="","",INDEX(tbl_Production[Notes],IFERROR(MATCH(E332&amp;"",tbl_Production[Job Number],0),MATCH(IFERROR(E332+0,E332),tbl_Production[Job Number],0)))),IFERROR(IF(INDEX(tbl_Consulting[Notes],IFERROR(MATCH(E332&amp;"",tbl_Consulting[Job Number],0),MATCH(IFERROR(E332+0,E332),tbl_Consulting[Job Number],0)))="","",INDEX(tbl_Consulting[Notes],IFERROR(MATCH(E332&amp;"",tbl_Consulting[Job Number],0),MATCH(IFERROR(E332+0,E332),tbl_Consulting[Job Number],0)))),""))))</f>
        <v/>
      </c>
    </row>
    <row r="333" ht="15" customHeight="1">
      <c r="A333" s="22" t="n"/>
      <c r="B333" s="23">
        <f>IF(A333="","",EOMONTH(A333,0))</f>
        <v/>
      </c>
      <c r="C333" s="24" t="n"/>
      <c r="D333" s="24" t="n"/>
      <c r="E333" s="24" t="n"/>
      <c r="F333" s="25">
        <f>IF(E333="","",IF(COUNTIF(lst_Jobs,E333&amp;"")&gt;0,"OK","CHECK"))</f>
        <v/>
      </c>
      <c r="G333" s="24" t="n"/>
      <c r="H333" s="24" t="n"/>
      <c r="I333" s="24" t="n"/>
      <c r="J333" s="24" t="n"/>
      <c r="K333" s="24" t="n"/>
      <c r="L333" s="26" t="n"/>
      <c r="M333" s="27">
        <f>IF(L333="","",IF(K333="GST 10%",ROUND(L333*set_GSTRate,2),0))</f>
        <v/>
      </c>
      <c r="N333" s="27">
        <f>IF(L333="","",L333+M333)</f>
        <v/>
      </c>
      <c r="O333" s="24" t="n"/>
      <c r="P333" s="24" t="n"/>
      <c r="Q333" s="24" t="n"/>
      <c r="R333" s="22" t="n"/>
      <c r="S333" s="22" t="n"/>
      <c r="T333" s="24" t="n"/>
      <c r="U333" s="24" t="n"/>
      <c r="V333" s="2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25">
        <f>IF(E333="","",IF(COUNTIF(tbl_Onsite[Job Number],E333&amp;"")&gt;0,"Onsite",IF(COUNTIF(tbl_Production[Job Number],E333&amp;"")&gt;0,"Production",IF(COUNTIF(tbl_Consulting[Job Number],E333&amp;"")&gt;0,"Consulting","not set up yet"))))</f>
        <v/>
      </c>
      <c r="X333" s="25">
        <f>IF(E333="","",IFERROR(INDEX(lst_JobName,MATCH(E333&amp;"",lst_Jobs,0)),""))</f>
        <v/>
      </c>
      <c r="Y333" s="28">
        <f>IF(E333="","",COUNTIFS(tbl_Finance[Job Number],E333&amp;"",tbl_Finance[Ex GST],"&lt;&gt;"))</f>
        <v/>
      </c>
      <c r="Z333" s="27">
        <f>IF(E333="","",SUMIFS(tbl_Finance[Ex GST],tbl_Finance[Job Number],E333&amp;""))</f>
        <v/>
      </c>
      <c r="AA333" s="27">
        <f>IF(E333="","",SUMIFS(tbl_Finance[Ex GST],tbl_Finance[Job Number],E333&amp;"",tbl_Finance[Xero Invoice No],"&lt;&gt;"))</f>
        <v/>
      </c>
      <c r="AB333" s="27">
        <f>IF(E333="","",Z333-AA333)</f>
        <v/>
      </c>
      <c r="AC333" s="25">
        <f>IF(E333="","",IFERROR(IF(INDEX(tbl_Onsite[Qwilr Quote],IFERROR(MATCH(E333&amp;"",tbl_Onsite[Job Number],0),MATCH(IFERROR(E333+0,E333),tbl_Onsite[Job Number],0)))="","",INDEX(tbl_Onsite[Qwilr Quote],IFERROR(MATCH(E333&amp;"",tbl_Onsite[Job Number],0),MATCH(IFERROR(E333+0,E333),tbl_Onsite[Job Number],0)))),IFERROR(IF(IF(INDEX(tbl_Production[Current RMS No],IFERROR(MATCH(E333&amp;"",tbl_Production[Job Number],0),MATCH(IFERROR(E333+0,E333),tbl_Production[Job Number],0)))="",INDEX(tbl_Production[Qwilr Quote],IFERROR(MATCH(E333&amp;"",tbl_Production[Job Number],0),MATCH(IFERROR(E333+0,E333),tbl_Production[Job Number],0))),INDEX(tbl_Production[Current RMS No],IFERROR(MATCH(E333&amp;"",tbl_Production[Job Number],0),MATCH(IFERROR(E333+0,E333),tbl_Production[Job Number],0))))="","",IF(INDEX(tbl_Production[Current RMS No],IFERROR(MATCH(E333&amp;"",tbl_Production[Job Number],0),MATCH(IFERROR(E333+0,E333),tbl_Production[Job Number],0)))="",INDEX(tbl_Production[Qwilr Quote],IFERROR(MATCH(E333&amp;"",tbl_Production[Job Number],0),MATCH(IFERROR(E333+0,E333),tbl_Production[Job Number],0))),INDEX(tbl_Production[Current RMS No],IFERROR(MATCH(E333&amp;"",tbl_Production[Job Number],0),MATCH(IFERROR(E333+0,E333),tbl_Production[Job Number],0))))),IFERROR(IF(INDEX(tbl_Consulting[Qwilr Quote],IFERROR(MATCH(E333&amp;"",tbl_Consulting[Job Number],0),MATCH(IFERROR(E333+0,E333),tbl_Consulting[Job Number],0)))="","",INDEX(tbl_Consulting[Qwilr Quote],IFERROR(MATCH(E333&amp;"",tbl_Consulting[Job Number],0),MATCH(IFERROR(E333+0,E333),tbl_Consulting[Job Number],0)))),""))))</f>
        <v/>
      </c>
      <c r="AD333" s="25">
        <f>IF(AC333="","",IF(AND(LEFT(AC333,4)&lt;&gt;"http",IF(H333="Production",set_RMSBase,set_QwilrBase)=""),"",HYPERLINK(IF(LEFT(AC333,4)="http",AC333,IF(H333="Production",set_RMSBase,set_QwilrBase)&amp;AC333),"Open")))</f>
        <v/>
      </c>
      <c r="AE333" s="27">
        <f>IF(E333="","",IFERROR(INDEX(tbl_Production[Total Expense],IFERROR(MATCH(E333&amp;"",tbl_Production[Job Number],0),MATCH(IFERROR(E333+0,E333),tbl_Production[Job Number],0))),IFERROR(INDEX(tbl_Consulting[Total Expense],IFERROR(MATCH(E333&amp;"",tbl_Consulting[Job Number],0),MATCH(IFERROR(E333+0,E333),tbl_Consulting[Job Number],0))),0)))</f>
        <v/>
      </c>
      <c r="AF333" s="27">
        <f>IF(E333="","",Z333-N(AE333))</f>
        <v/>
      </c>
      <c r="AG333" s="29">
        <f>IFERROR(AF333/Z333,"")</f>
        <v/>
      </c>
      <c r="AH333" s="25">
        <f>IF(E333="","",IFERROR(IF(INDEX(tbl_Onsite[Notes],IFERROR(MATCH(E333&amp;"",tbl_Onsite[Job Number],0),MATCH(IFERROR(E333+0,E333),tbl_Onsite[Job Number],0)))="","",INDEX(tbl_Onsite[Notes],IFERROR(MATCH(E333&amp;"",tbl_Onsite[Job Number],0),MATCH(IFERROR(E333+0,E333),tbl_Onsite[Job Number],0)))),IFERROR(IF(INDEX(tbl_Production[Notes],IFERROR(MATCH(E333&amp;"",tbl_Production[Job Number],0),MATCH(IFERROR(E333+0,E333),tbl_Production[Job Number],0)))="","",INDEX(tbl_Production[Notes],IFERROR(MATCH(E333&amp;"",tbl_Production[Job Number],0),MATCH(IFERROR(E333+0,E333),tbl_Production[Job Number],0)))),IFERROR(IF(INDEX(tbl_Consulting[Notes],IFERROR(MATCH(E333&amp;"",tbl_Consulting[Job Number],0),MATCH(IFERROR(E333+0,E333),tbl_Consulting[Job Number],0)))="","",INDEX(tbl_Consulting[Notes],IFERROR(MATCH(E333&amp;"",tbl_Consulting[Job Number],0),MATCH(IFERROR(E333+0,E333),tbl_Consulting[Job Number],0)))),""))))</f>
        <v/>
      </c>
    </row>
    <row r="334" ht="15" customHeight="1">
      <c r="A334" s="22" t="n"/>
      <c r="B334" s="23">
        <f>IF(A334="","",EOMONTH(A334,0))</f>
        <v/>
      </c>
      <c r="C334" s="24" t="n"/>
      <c r="D334" s="24" t="n"/>
      <c r="E334" s="24" t="n"/>
      <c r="F334" s="25">
        <f>IF(E334="","",IF(COUNTIF(lst_Jobs,E334&amp;"")&gt;0,"OK","CHECK"))</f>
        <v/>
      </c>
      <c r="G334" s="24" t="n"/>
      <c r="H334" s="24" t="n"/>
      <c r="I334" s="24" t="n"/>
      <c r="J334" s="24" t="n"/>
      <c r="K334" s="24" t="n"/>
      <c r="L334" s="26" t="n"/>
      <c r="M334" s="27">
        <f>IF(L334="","",IF(K334="GST 10%",ROUND(L334*set_GSTRate,2),0))</f>
        <v/>
      </c>
      <c r="N334" s="27">
        <f>IF(L334="","",L334+M334)</f>
        <v/>
      </c>
      <c r="O334" s="24" t="n"/>
      <c r="P334" s="24" t="n"/>
      <c r="Q334" s="24" t="n"/>
      <c r="R334" s="22" t="n"/>
      <c r="S334" s="22" t="n"/>
      <c r="T334" s="24" t="n"/>
      <c r="U334" s="24" t="n"/>
      <c r="V334" s="2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25">
        <f>IF(E334="","",IF(COUNTIF(tbl_Onsite[Job Number],E334&amp;"")&gt;0,"Onsite",IF(COUNTIF(tbl_Production[Job Number],E334&amp;"")&gt;0,"Production",IF(COUNTIF(tbl_Consulting[Job Number],E334&amp;"")&gt;0,"Consulting","not set up yet"))))</f>
        <v/>
      </c>
      <c r="X334" s="25">
        <f>IF(E334="","",IFERROR(INDEX(lst_JobName,MATCH(E334&amp;"",lst_Jobs,0)),""))</f>
        <v/>
      </c>
      <c r="Y334" s="28">
        <f>IF(E334="","",COUNTIFS(tbl_Finance[Job Number],E334&amp;"",tbl_Finance[Ex GST],"&lt;&gt;"))</f>
        <v/>
      </c>
      <c r="Z334" s="27">
        <f>IF(E334="","",SUMIFS(tbl_Finance[Ex GST],tbl_Finance[Job Number],E334&amp;""))</f>
        <v/>
      </c>
      <c r="AA334" s="27">
        <f>IF(E334="","",SUMIFS(tbl_Finance[Ex GST],tbl_Finance[Job Number],E334&amp;"",tbl_Finance[Xero Invoice No],"&lt;&gt;"))</f>
        <v/>
      </c>
      <c r="AB334" s="27">
        <f>IF(E334="","",Z334-AA334)</f>
        <v/>
      </c>
      <c r="AC334" s="25">
        <f>IF(E334="","",IFERROR(IF(INDEX(tbl_Onsite[Qwilr Quote],IFERROR(MATCH(E334&amp;"",tbl_Onsite[Job Number],0),MATCH(IFERROR(E334+0,E334),tbl_Onsite[Job Number],0)))="","",INDEX(tbl_Onsite[Qwilr Quote],IFERROR(MATCH(E334&amp;"",tbl_Onsite[Job Number],0),MATCH(IFERROR(E334+0,E334),tbl_Onsite[Job Number],0)))),IFERROR(IF(IF(INDEX(tbl_Production[Current RMS No],IFERROR(MATCH(E334&amp;"",tbl_Production[Job Number],0),MATCH(IFERROR(E334+0,E334),tbl_Production[Job Number],0)))="",INDEX(tbl_Production[Qwilr Quote],IFERROR(MATCH(E334&amp;"",tbl_Production[Job Number],0),MATCH(IFERROR(E334+0,E334),tbl_Production[Job Number],0))),INDEX(tbl_Production[Current RMS No],IFERROR(MATCH(E334&amp;"",tbl_Production[Job Number],0),MATCH(IFERROR(E334+0,E334),tbl_Production[Job Number],0))))="","",IF(INDEX(tbl_Production[Current RMS No],IFERROR(MATCH(E334&amp;"",tbl_Production[Job Number],0),MATCH(IFERROR(E334+0,E334),tbl_Production[Job Number],0)))="",INDEX(tbl_Production[Qwilr Quote],IFERROR(MATCH(E334&amp;"",tbl_Production[Job Number],0),MATCH(IFERROR(E334+0,E334),tbl_Production[Job Number],0))),INDEX(tbl_Production[Current RMS No],IFERROR(MATCH(E334&amp;"",tbl_Production[Job Number],0),MATCH(IFERROR(E334+0,E334),tbl_Production[Job Number],0))))),IFERROR(IF(INDEX(tbl_Consulting[Qwilr Quote],IFERROR(MATCH(E334&amp;"",tbl_Consulting[Job Number],0),MATCH(IFERROR(E334+0,E334),tbl_Consulting[Job Number],0)))="","",INDEX(tbl_Consulting[Qwilr Quote],IFERROR(MATCH(E334&amp;"",tbl_Consulting[Job Number],0),MATCH(IFERROR(E334+0,E334),tbl_Consulting[Job Number],0)))),""))))</f>
        <v/>
      </c>
      <c r="AD334" s="25">
        <f>IF(AC334="","",IF(AND(LEFT(AC334,4)&lt;&gt;"http",IF(H334="Production",set_RMSBase,set_QwilrBase)=""),"",HYPERLINK(IF(LEFT(AC334,4)="http",AC334,IF(H334="Production",set_RMSBase,set_QwilrBase)&amp;AC334),"Open")))</f>
        <v/>
      </c>
      <c r="AE334" s="27">
        <f>IF(E334="","",IFERROR(INDEX(tbl_Production[Total Expense],IFERROR(MATCH(E334&amp;"",tbl_Production[Job Number],0),MATCH(IFERROR(E334+0,E334),tbl_Production[Job Number],0))),IFERROR(INDEX(tbl_Consulting[Total Expense],IFERROR(MATCH(E334&amp;"",tbl_Consulting[Job Number],0),MATCH(IFERROR(E334+0,E334),tbl_Consulting[Job Number],0))),0)))</f>
        <v/>
      </c>
      <c r="AF334" s="27">
        <f>IF(E334="","",Z334-N(AE334))</f>
        <v/>
      </c>
      <c r="AG334" s="29">
        <f>IFERROR(AF334/Z334,"")</f>
        <v/>
      </c>
      <c r="AH334" s="25">
        <f>IF(E334="","",IFERROR(IF(INDEX(tbl_Onsite[Notes],IFERROR(MATCH(E334&amp;"",tbl_Onsite[Job Number],0),MATCH(IFERROR(E334+0,E334),tbl_Onsite[Job Number],0)))="","",INDEX(tbl_Onsite[Notes],IFERROR(MATCH(E334&amp;"",tbl_Onsite[Job Number],0),MATCH(IFERROR(E334+0,E334),tbl_Onsite[Job Number],0)))),IFERROR(IF(INDEX(tbl_Production[Notes],IFERROR(MATCH(E334&amp;"",tbl_Production[Job Number],0),MATCH(IFERROR(E334+0,E334),tbl_Production[Job Number],0)))="","",INDEX(tbl_Production[Notes],IFERROR(MATCH(E334&amp;"",tbl_Production[Job Number],0),MATCH(IFERROR(E334+0,E334),tbl_Production[Job Number],0)))),IFERROR(IF(INDEX(tbl_Consulting[Notes],IFERROR(MATCH(E334&amp;"",tbl_Consulting[Job Number],0),MATCH(IFERROR(E334+0,E334),tbl_Consulting[Job Number],0)))="","",INDEX(tbl_Consulting[Notes],IFERROR(MATCH(E334&amp;"",tbl_Consulting[Job Number],0),MATCH(IFERROR(E334+0,E334),tbl_Consulting[Job Number],0)))),""))))</f>
        <v/>
      </c>
    </row>
    <row r="335" ht="15" customHeight="1">
      <c r="A335" s="22" t="n"/>
      <c r="B335" s="23">
        <f>IF(A335="","",EOMONTH(A335,0))</f>
        <v/>
      </c>
      <c r="C335" s="24" t="n"/>
      <c r="D335" s="24" t="n"/>
      <c r="E335" s="24" t="n"/>
      <c r="F335" s="25">
        <f>IF(E335="","",IF(COUNTIF(lst_Jobs,E335&amp;"")&gt;0,"OK","CHECK"))</f>
        <v/>
      </c>
      <c r="G335" s="24" t="n"/>
      <c r="H335" s="24" t="n"/>
      <c r="I335" s="24" t="n"/>
      <c r="J335" s="24" t="n"/>
      <c r="K335" s="24" t="n"/>
      <c r="L335" s="26" t="n"/>
      <c r="M335" s="27">
        <f>IF(L335="","",IF(K335="GST 10%",ROUND(L335*set_GSTRate,2),0))</f>
        <v/>
      </c>
      <c r="N335" s="27">
        <f>IF(L335="","",L335+M335)</f>
        <v/>
      </c>
      <c r="O335" s="24" t="n"/>
      <c r="P335" s="24" t="n"/>
      <c r="Q335" s="24" t="n"/>
      <c r="R335" s="22" t="n"/>
      <c r="S335" s="22" t="n"/>
      <c r="T335" s="24" t="n"/>
      <c r="U335" s="24" t="n"/>
      <c r="V335" s="2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25">
        <f>IF(E335="","",IF(COUNTIF(tbl_Onsite[Job Number],E335&amp;"")&gt;0,"Onsite",IF(COUNTIF(tbl_Production[Job Number],E335&amp;"")&gt;0,"Production",IF(COUNTIF(tbl_Consulting[Job Number],E335&amp;"")&gt;0,"Consulting","not set up yet"))))</f>
        <v/>
      </c>
      <c r="X335" s="25">
        <f>IF(E335="","",IFERROR(INDEX(lst_JobName,MATCH(E335&amp;"",lst_Jobs,0)),""))</f>
        <v/>
      </c>
      <c r="Y335" s="28">
        <f>IF(E335="","",COUNTIFS(tbl_Finance[Job Number],E335&amp;"",tbl_Finance[Ex GST],"&lt;&gt;"))</f>
        <v/>
      </c>
      <c r="Z335" s="27">
        <f>IF(E335="","",SUMIFS(tbl_Finance[Ex GST],tbl_Finance[Job Number],E335&amp;""))</f>
        <v/>
      </c>
      <c r="AA335" s="27">
        <f>IF(E335="","",SUMIFS(tbl_Finance[Ex GST],tbl_Finance[Job Number],E335&amp;"",tbl_Finance[Xero Invoice No],"&lt;&gt;"))</f>
        <v/>
      </c>
      <c r="AB335" s="27">
        <f>IF(E335="","",Z335-AA335)</f>
        <v/>
      </c>
      <c r="AC335" s="25">
        <f>IF(E335="","",IFERROR(IF(INDEX(tbl_Onsite[Qwilr Quote],IFERROR(MATCH(E335&amp;"",tbl_Onsite[Job Number],0),MATCH(IFERROR(E335+0,E335),tbl_Onsite[Job Number],0)))="","",INDEX(tbl_Onsite[Qwilr Quote],IFERROR(MATCH(E335&amp;"",tbl_Onsite[Job Number],0),MATCH(IFERROR(E335+0,E335),tbl_Onsite[Job Number],0)))),IFERROR(IF(IF(INDEX(tbl_Production[Current RMS No],IFERROR(MATCH(E335&amp;"",tbl_Production[Job Number],0),MATCH(IFERROR(E335+0,E335),tbl_Production[Job Number],0)))="",INDEX(tbl_Production[Qwilr Quote],IFERROR(MATCH(E335&amp;"",tbl_Production[Job Number],0),MATCH(IFERROR(E335+0,E335),tbl_Production[Job Number],0))),INDEX(tbl_Production[Current RMS No],IFERROR(MATCH(E335&amp;"",tbl_Production[Job Number],0),MATCH(IFERROR(E335+0,E335),tbl_Production[Job Number],0))))="","",IF(INDEX(tbl_Production[Current RMS No],IFERROR(MATCH(E335&amp;"",tbl_Production[Job Number],0),MATCH(IFERROR(E335+0,E335),tbl_Production[Job Number],0)))="",INDEX(tbl_Production[Qwilr Quote],IFERROR(MATCH(E335&amp;"",tbl_Production[Job Number],0),MATCH(IFERROR(E335+0,E335),tbl_Production[Job Number],0))),INDEX(tbl_Production[Current RMS No],IFERROR(MATCH(E335&amp;"",tbl_Production[Job Number],0),MATCH(IFERROR(E335+0,E335),tbl_Production[Job Number],0))))),IFERROR(IF(INDEX(tbl_Consulting[Qwilr Quote],IFERROR(MATCH(E335&amp;"",tbl_Consulting[Job Number],0),MATCH(IFERROR(E335+0,E335),tbl_Consulting[Job Number],0)))="","",INDEX(tbl_Consulting[Qwilr Quote],IFERROR(MATCH(E335&amp;"",tbl_Consulting[Job Number],0),MATCH(IFERROR(E335+0,E335),tbl_Consulting[Job Number],0)))),""))))</f>
        <v/>
      </c>
      <c r="AD335" s="25">
        <f>IF(AC335="","",IF(AND(LEFT(AC335,4)&lt;&gt;"http",IF(H335="Production",set_RMSBase,set_QwilrBase)=""),"",HYPERLINK(IF(LEFT(AC335,4)="http",AC335,IF(H335="Production",set_RMSBase,set_QwilrBase)&amp;AC335),"Open")))</f>
        <v/>
      </c>
      <c r="AE335" s="27">
        <f>IF(E335="","",IFERROR(INDEX(tbl_Production[Total Expense],IFERROR(MATCH(E335&amp;"",tbl_Production[Job Number],0),MATCH(IFERROR(E335+0,E335),tbl_Production[Job Number],0))),IFERROR(INDEX(tbl_Consulting[Total Expense],IFERROR(MATCH(E335&amp;"",tbl_Consulting[Job Number],0),MATCH(IFERROR(E335+0,E335),tbl_Consulting[Job Number],0))),0)))</f>
        <v/>
      </c>
      <c r="AF335" s="27">
        <f>IF(E335="","",Z335-N(AE335))</f>
        <v/>
      </c>
      <c r="AG335" s="29">
        <f>IFERROR(AF335/Z335,"")</f>
        <v/>
      </c>
      <c r="AH335" s="25">
        <f>IF(E335="","",IFERROR(IF(INDEX(tbl_Onsite[Notes],IFERROR(MATCH(E335&amp;"",tbl_Onsite[Job Number],0),MATCH(IFERROR(E335+0,E335),tbl_Onsite[Job Number],0)))="","",INDEX(tbl_Onsite[Notes],IFERROR(MATCH(E335&amp;"",tbl_Onsite[Job Number],0),MATCH(IFERROR(E335+0,E335),tbl_Onsite[Job Number],0)))),IFERROR(IF(INDEX(tbl_Production[Notes],IFERROR(MATCH(E335&amp;"",tbl_Production[Job Number],0),MATCH(IFERROR(E335+0,E335),tbl_Production[Job Number],0)))="","",INDEX(tbl_Production[Notes],IFERROR(MATCH(E335&amp;"",tbl_Production[Job Number],0),MATCH(IFERROR(E335+0,E335),tbl_Production[Job Number],0)))),IFERROR(IF(INDEX(tbl_Consulting[Notes],IFERROR(MATCH(E335&amp;"",tbl_Consulting[Job Number],0),MATCH(IFERROR(E335+0,E335),tbl_Consulting[Job Number],0)))="","",INDEX(tbl_Consulting[Notes],IFERROR(MATCH(E335&amp;"",tbl_Consulting[Job Number],0),MATCH(IFERROR(E335+0,E335),tbl_Consulting[Job Number],0)))),""))))</f>
        <v/>
      </c>
    </row>
    <row r="336" ht="15" customHeight="1">
      <c r="A336" s="22" t="n"/>
      <c r="B336" s="23">
        <f>IF(A336="","",EOMONTH(A336,0))</f>
        <v/>
      </c>
      <c r="C336" s="24" t="n"/>
      <c r="D336" s="24" t="n"/>
      <c r="E336" s="24" t="n"/>
      <c r="F336" s="25">
        <f>IF(E336="","",IF(COUNTIF(lst_Jobs,E336&amp;"")&gt;0,"OK","CHECK"))</f>
        <v/>
      </c>
      <c r="G336" s="24" t="n"/>
      <c r="H336" s="24" t="n"/>
      <c r="I336" s="24" t="n"/>
      <c r="J336" s="24" t="n"/>
      <c r="K336" s="24" t="n"/>
      <c r="L336" s="26" t="n"/>
      <c r="M336" s="27">
        <f>IF(L336="","",IF(K336="GST 10%",ROUND(L336*set_GSTRate,2),0))</f>
        <v/>
      </c>
      <c r="N336" s="27">
        <f>IF(L336="","",L336+M336)</f>
        <v/>
      </c>
      <c r="O336" s="24" t="n"/>
      <c r="P336" s="24" t="n"/>
      <c r="Q336" s="24" t="n"/>
      <c r="R336" s="22" t="n"/>
      <c r="S336" s="22" t="n"/>
      <c r="T336" s="24" t="n"/>
      <c r="U336" s="24" t="n"/>
      <c r="V336" s="2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25">
        <f>IF(E336="","",IF(COUNTIF(tbl_Onsite[Job Number],E336&amp;"")&gt;0,"Onsite",IF(COUNTIF(tbl_Production[Job Number],E336&amp;"")&gt;0,"Production",IF(COUNTIF(tbl_Consulting[Job Number],E336&amp;"")&gt;0,"Consulting","not set up yet"))))</f>
        <v/>
      </c>
      <c r="X336" s="25">
        <f>IF(E336="","",IFERROR(INDEX(lst_JobName,MATCH(E336&amp;"",lst_Jobs,0)),""))</f>
        <v/>
      </c>
      <c r="Y336" s="28">
        <f>IF(E336="","",COUNTIFS(tbl_Finance[Job Number],E336&amp;"",tbl_Finance[Ex GST],"&lt;&gt;"))</f>
        <v/>
      </c>
      <c r="Z336" s="27">
        <f>IF(E336="","",SUMIFS(tbl_Finance[Ex GST],tbl_Finance[Job Number],E336&amp;""))</f>
        <v/>
      </c>
      <c r="AA336" s="27">
        <f>IF(E336="","",SUMIFS(tbl_Finance[Ex GST],tbl_Finance[Job Number],E336&amp;"",tbl_Finance[Xero Invoice No],"&lt;&gt;"))</f>
        <v/>
      </c>
      <c r="AB336" s="27">
        <f>IF(E336="","",Z336-AA336)</f>
        <v/>
      </c>
      <c r="AC336" s="25">
        <f>IF(E336="","",IFERROR(IF(INDEX(tbl_Onsite[Qwilr Quote],IFERROR(MATCH(E336&amp;"",tbl_Onsite[Job Number],0),MATCH(IFERROR(E336+0,E336),tbl_Onsite[Job Number],0)))="","",INDEX(tbl_Onsite[Qwilr Quote],IFERROR(MATCH(E336&amp;"",tbl_Onsite[Job Number],0),MATCH(IFERROR(E336+0,E336),tbl_Onsite[Job Number],0)))),IFERROR(IF(IF(INDEX(tbl_Production[Current RMS No],IFERROR(MATCH(E336&amp;"",tbl_Production[Job Number],0),MATCH(IFERROR(E336+0,E336),tbl_Production[Job Number],0)))="",INDEX(tbl_Production[Qwilr Quote],IFERROR(MATCH(E336&amp;"",tbl_Production[Job Number],0),MATCH(IFERROR(E336+0,E336),tbl_Production[Job Number],0))),INDEX(tbl_Production[Current RMS No],IFERROR(MATCH(E336&amp;"",tbl_Production[Job Number],0),MATCH(IFERROR(E336+0,E336),tbl_Production[Job Number],0))))="","",IF(INDEX(tbl_Production[Current RMS No],IFERROR(MATCH(E336&amp;"",tbl_Production[Job Number],0),MATCH(IFERROR(E336+0,E336),tbl_Production[Job Number],0)))="",INDEX(tbl_Production[Qwilr Quote],IFERROR(MATCH(E336&amp;"",tbl_Production[Job Number],0),MATCH(IFERROR(E336+0,E336),tbl_Production[Job Number],0))),INDEX(tbl_Production[Current RMS No],IFERROR(MATCH(E336&amp;"",tbl_Production[Job Number],0),MATCH(IFERROR(E336+0,E336),tbl_Production[Job Number],0))))),IFERROR(IF(INDEX(tbl_Consulting[Qwilr Quote],IFERROR(MATCH(E336&amp;"",tbl_Consulting[Job Number],0),MATCH(IFERROR(E336+0,E336),tbl_Consulting[Job Number],0)))="","",INDEX(tbl_Consulting[Qwilr Quote],IFERROR(MATCH(E336&amp;"",tbl_Consulting[Job Number],0),MATCH(IFERROR(E336+0,E336),tbl_Consulting[Job Number],0)))),""))))</f>
        <v/>
      </c>
      <c r="AD336" s="25">
        <f>IF(AC336="","",IF(AND(LEFT(AC336,4)&lt;&gt;"http",IF(H336="Production",set_RMSBase,set_QwilrBase)=""),"",HYPERLINK(IF(LEFT(AC336,4)="http",AC336,IF(H336="Production",set_RMSBase,set_QwilrBase)&amp;AC336),"Open")))</f>
        <v/>
      </c>
      <c r="AE336" s="27">
        <f>IF(E336="","",IFERROR(INDEX(tbl_Production[Total Expense],IFERROR(MATCH(E336&amp;"",tbl_Production[Job Number],0),MATCH(IFERROR(E336+0,E336),tbl_Production[Job Number],0))),IFERROR(INDEX(tbl_Consulting[Total Expense],IFERROR(MATCH(E336&amp;"",tbl_Consulting[Job Number],0),MATCH(IFERROR(E336+0,E336),tbl_Consulting[Job Number],0))),0)))</f>
        <v/>
      </c>
      <c r="AF336" s="27">
        <f>IF(E336="","",Z336-N(AE336))</f>
        <v/>
      </c>
      <c r="AG336" s="29">
        <f>IFERROR(AF336/Z336,"")</f>
        <v/>
      </c>
      <c r="AH336" s="25">
        <f>IF(E336="","",IFERROR(IF(INDEX(tbl_Onsite[Notes],IFERROR(MATCH(E336&amp;"",tbl_Onsite[Job Number],0),MATCH(IFERROR(E336+0,E336),tbl_Onsite[Job Number],0)))="","",INDEX(tbl_Onsite[Notes],IFERROR(MATCH(E336&amp;"",tbl_Onsite[Job Number],0),MATCH(IFERROR(E336+0,E336),tbl_Onsite[Job Number],0)))),IFERROR(IF(INDEX(tbl_Production[Notes],IFERROR(MATCH(E336&amp;"",tbl_Production[Job Number],0),MATCH(IFERROR(E336+0,E336),tbl_Production[Job Number],0)))="","",INDEX(tbl_Production[Notes],IFERROR(MATCH(E336&amp;"",tbl_Production[Job Number],0),MATCH(IFERROR(E336+0,E336),tbl_Production[Job Number],0)))),IFERROR(IF(INDEX(tbl_Consulting[Notes],IFERROR(MATCH(E336&amp;"",tbl_Consulting[Job Number],0),MATCH(IFERROR(E336+0,E336),tbl_Consulting[Job Number],0)))="","",INDEX(tbl_Consulting[Notes],IFERROR(MATCH(E336&amp;"",tbl_Consulting[Job Number],0),MATCH(IFERROR(E336+0,E336),tbl_Consulting[Job Number],0)))),""))))</f>
        <v/>
      </c>
    </row>
    <row r="337" ht="15" customHeight="1">
      <c r="A337" s="22" t="n"/>
      <c r="B337" s="23">
        <f>IF(A337="","",EOMONTH(A337,0))</f>
        <v/>
      </c>
      <c r="C337" s="24" t="n"/>
      <c r="D337" s="24" t="n"/>
      <c r="E337" s="24" t="n"/>
      <c r="F337" s="25">
        <f>IF(E337="","",IF(COUNTIF(lst_Jobs,E337&amp;"")&gt;0,"OK","CHECK"))</f>
        <v/>
      </c>
      <c r="G337" s="24" t="n"/>
      <c r="H337" s="24" t="n"/>
      <c r="I337" s="24" t="n"/>
      <c r="J337" s="24" t="n"/>
      <c r="K337" s="24" t="n"/>
      <c r="L337" s="26" t="n"/>
      <c r="M337" s="27">
        <f>IF(L337="","",IF(K337="GST 10%",ROUND(L337*set_GSTRate,2),0))</f>
        <v/>
      </c>
      <c r="N337" s="27">
        <f>IF(L337="","",L337+M337)</f>
        <v/>
      </c>
      <c r="O337" s="24" t="n"/>
      <c r="P337" s="24" t="n"/>
      <c r="Q337" s="24" t="n"/>
      <c r="R337" s="22" t="n"/>
      <c r="S337" s="22" t="n"/>
      <c r="T337" s="24" t="n"/>
      <c r="U337" s="24" t="n"/>
      <c r="V337" s="2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25">
        <f>IF(E337="","",IF(COUNTIF(tbl_Onsite[Job Number],E337&amp;"")&gt;0,"Onsite",IF(COUNTIF(tbl_Production[Job Number],E337&amp;"")&gt;0,"Production",IF(COUNTIF(tbl_Consulting[Job Number],E337&amp;"")&gt;0,"Consulting","not set up yet"))))</f>
        <v/>
      </c>
      <c r="X337" s="25">
        <f>IF(E337="","",IFERROR(INDEX(lst_JobName,MATCH(E337&amp;"",lst_Jobs,0)),""))</f>
        <v/>
      </c>
      <c r="Y337" s="28">
        <f>IF(E337="","",COUNTIFS(tbl_Finance[Job Number],E337&amp;"",tbl_Finance[Ex GST],"&lt;&gt;"))</f>
        <v/>
      </c>
      <c r="Z337" s="27">
        <f>IF(E337="","",SUMIFS(tbl_Finance[Ex GST],tbl_Finance[Job Number],E337&amp;""))</f>
        <v/>
      </c>
      <c r="AA337" s="27">
        <f>IF(E337="","",SUMIFS(tbl_Finance[Ex GST],tbl_Finance[Job Number],E337&amp;"",tbl_Finance[Xero Invoice No],"&lt;&gt;"))</f>
        <v/>
      </c>
      <c r="AB337" s="27">
        <f>IF(E337="","",Z337-AA337)</f>
        <v/>
      </c>
      <c r="AC337" s="25">
        <f>IF(E337="","",IFERROR(IF(INDEX(tbl_Onsite[Qwilr Quote],IFERROR(MATCH(E337&amp;"",tbl_Onsite[Job Number],0),MATCH(IFERROR(E337+0,E337),tbl_Onsite[Job Number],0)))="","",INDEX(tbl_Onsite[Qwilr Quote],IFERROR(MATCH(E337&amp;"",tbl_Onsite[Job Number],0),MATCH(IFERROR(E337+0,E337),tbl_Onsite[Job Number],0)))),IFERROR(IF(IF(INDEX(tbl_Production[Current RMS No],IFERROR(MATCH(E337&amp;"",tbl_Production[Job Number],0),MATCH(IFERROR(E337+0,E337),tbl_Production[Job Number],0)))="",INDEX(tbl_Production[Qwilr Quote],IFERROR(MATCH(E337&amp;"",tbl_Production[Job Number],0),MATCH(IFERROR(E337+0,E337),tbl_Production[Job Number],0))),INDEX(tbl_Production[Current RMS No],IFERROR(MATCH(E337&amp;"",tbl_Production[Job Number],0),MATCH(IFERROR(E337+0,E337),tbl_Production[Job Number],0))))="","",IF(INDEX(tbl_Production[Current RMS No],IFERROR(MATCH(E337&amp;"",tbl_Production[Job Number],0),MATCH(IFERROR(E337+0,E337),tbl_Production[Job Number],0)))="",INDEX(tbl_Production[Qwilr Quote],IFERROR(MATCH(E337&amp;"",tbl_Production[Job Number],0),MATCH(IFERROR(E337+0,E337),tbl_Production[Job Number],0))),INDEX(tbl_Production[Current RMS No],IFERROR(MATCH(E337&amp;"",tbl_Production[Job Number],0),MATCH(IFERROR(E337+0,E337),tbl_Production[Job Number],0))))),IFERROR(IF(INDEX(tbl_Consulting[Qwilr Quote],IFERROR(MATCH(E337&amp;"",tbl_Consulting[Job Number],0),MATCH(IFERROR(E337+0,E337),tbl_Consulting[Job Number],0)))="","",INDEX(tbl_Consulting[Qwilr Quote],IFERROR(MATCH(E337&amp;"",tbl_Consulting[Job Number],0),MATCH(IFERROR(E337+0,E337),tbl_Consulting[Job Number],0)))),""))))</f>
        <v/>
      </c>
      <c r="AD337" s="25">
        <f>IF(AC337="","",IF(AND(LEFT(AC337,4)&lt;&gt;"http",IF(H337="Production",set_RMSBase,set_QwilrBase)=""),"",HYPERLINK(IF(LEFT(AC337,4)="http",AC337,IF(H337="Production",set_RMSBase,set_QwilrBase)&amp;AC337),"Open")))</f>
        <v/>
      </c>
      <c r="AE337" s="27">
        <f>IF(E337="","",IFERROR(INDEX(tbl_Production[Total Expense],IFERROR(MATCH(E337&amp;"",tbl_Production[Job Number],0),MATCH(IFERROR(E337+0,E337),tbl_Production[Job Number],0))),IFERROR(INDEX(tbl_Consulting[Total Expense],IFERROR(MATCH(E337&amp;"",tbl_Consulting[Job Number],0),MATCH(IFERROR(E337+0,E337),tbl_Consulting[Job Number],0))),0)))</f>
        <v/>
      </c>
      <c r="AF337" s="27">
        <f>IF(E337="","",Z337-N(AE337))</f>
        <v/>
      </c>
      <c r="AG337" s="29">
        <f>IFERROR(AF337/Z337,"")</f>
        <v/>
      </c>
      <c r="AH337" s="25">
        <f>IF(E337="","",IFERROR(IF(INDEX(tbl_Onsite[Notes],IFERROR(MATCH(E337&amp;"",tbl_Onsite[Job Number],0),MATCH(IFERROR(E337+0,E337),tbl_Onsite[Job Number],0)))="","",INDEX(tbl_Onsite[Notes],IFERROR(MATCH(E337&amp;"",tbl_Onsite[Job Number],0),MATCH(IFERROR(E337+0,E337),tbl_Onsite[Job Number],0)))),IFERROR(IF(INDEX(tbl_Production[Notes],IFERROR(MATCH(E337&amp;"",tbl_Production[Job Number],0),MATCH(IFERROR(E337+0,E337),tbl_Production[Job Number],0)))="","",INDEX(tbl_Production[Notes],IFERROR(MATCH(E337&amp;"",tbl_Production[Job Number],0),MATCH(IFERROR(E337+0,E337),tbl_Production[Job Number],0)))),IFERROR(IF(INDEX(tbl_Consulting[Notes],IFERROR(MATCH(E337&amp;"",tbl_Consulting[Job Number],0),MATCH(IFERROR(E337+0,E337),tbl_Consulting[Job Number],0)))="","",INDEX(tbl_Consulting[Notes],IFERROR(MATCH(E337&amp;"",tbl_Consulting[Job Number],0),MATCH(IFERROR(E337+0,E337),tbl_Consulting[Job Number],0)))),""))))</f>
        <v/>
      </c>
    </row>
    <row r="338" ht="15" customHeight="1">
      <c r="A338" s="22" t="n"/>
      <c r="B338" s="23">
        <f>IF(A338="","",EOMONTH(A338,0))</f>
        <v/>
      </c>
      <c r="C338" s="24" t="n"/>
      <c r="D338" s="24" t="n"/>
      <c r="E338" s="24" t="n"/>
      <c r="F338" s="25">
        <f>IF(E338="","",IF(COUNTIF(lst_Jobs,E338&amp;"")&gt;0,"OK","CHECK"))</f>
        <v/>
      </c>
      <c r="G338" s="24" t="n"/>
      <c r="H338" s="24" t="n"/>
      <c r="I338" s="24" t="n"/>
      <c r="J338" s="24" t="n"/>
      <c r="K338" s="24" t="n"/>
      <c r="L338" s="26" t="n"/>
      <c r="M338" s="27">
        <f>IF(L338="","",IF(K338="GST 10%",ROUND(L338*set_GSTRate,2),0))</f>
        <v/>
      </c>
      <c r="N338" s="27">
        <f>IF(L338="","",L338+M338)</f>
        <v/>
      </c>
      <c r="O338" s="24" t="n"/>
      <c r="P338" s="24" t="n"/>
      <c r="Q338" s="24" t="n"/>
      <c r="R338" s="22" t="n"/>
      <c r="S338" s="22" t="n"/>
      <c r="T338" s="24" t="n"/>
      <c r="U338" s="24" t="n"/>
      <c r="V338" s="2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25">
        <f>IF(E338="","",IF(COUNTIF(tbl_Onsite[Job Number],E338&amp;"")&gt;0,"Onsite",IF(COUNTIF(tbl_Production[Job Number],E338&amp;"")&gt;0,"Production",IF(COUNTIF(tbl_Consulting[Job Number],E338&amp;"")&gt;0,"Consulting","not set up yet"))))</f>
        <v/>
      </c>
      <c r="X338" s="25">
        <f>IF(E338="","",IFERROR(INDEX(lst_JobName,MATCH(E338&amp;"",lst_Jobs,0)),""))</f>
        <v/>
      </c>
      <c r="Y338" s="28">
        <f>IF(E338="","",COUNTIFS(tbl_Finance[Job Number],E338&amp;"",tbl_Finance[Ex GST],"&lt;&gt;"))</f>
        <v/>
      </c>
      <c r="Z338" s="27">
        <f>IF(E338="","",SUMIFS(tbl_Finance[Ex GST],tbl_Finance[Job Number],E338&amp;""))</f>
        <v/>
      </c>
      <c r="AA338" s="27">
        <f>IF(E338="","",SUMIFS(tbl_Finance[Ex GST],tbl_Finance[Job Number],E338&amp;"",tbl_Finance[Xero Invoice No],"&lt;&gt;"))</f>
        <v/>
      </c>
      <c r="AB338" s="27">
        <f>IF(E338="","",Z338-AA338)</f>
        <v/>
      </c>
      <c r="AC338" s="25">
        <f>IF(E338="","",IFERROR(IF(INDEX(tbl_Onsite[Qwilr Quote],IFERROR(MATCH(E338&amp;"",tbl_Onsite[Job Number],0),MATCH(IFERROR(E338+0,E338),tbl_Onsite[Job Number],0)))="","",INDEX(tbl_Onsite[Qwilr Quote],IFERROR(MATCH(E338&amp;"",tbl_Onsite[Job Number],0),MATCH(IFERROR(E338+0,E338),tbl_Onsite[Job Number],0)))),IFERROR(IF(IF(INDEX(tbl_Production[Current RMS No],IFERROR(MATCH(E338&amp;"",tbl_Production[Job Number],0),MATCH(IFERROR(E338+0,E338),tbl_Production[Job Number],0)))="",INDEX(tbl_Production[Qwilr Quote],IFERROR(MATCH(E338&amp;"",tbl_Production[Job Number],0),MATCH(IFERROR(E338+0,E338),tbl_Production[Job Number],0))),INDEX(tbl_Production[Current RMS No],IFERROR(MATCH(E338&amp;"",tbl_Production[Job Number],0),MATCH(IFERROR(E338+0,E338),tbl_Production[Job Number],0))))="","",IF(INDEX(tbl_Production[Current RMS No],IFERROR(MATCH(E338&amp;"",tbl_Production[Job Number],0),MATCH(IFERROR(E338+0,E338),tbl_Production[Job Number],0)))="",INDEX(tbl_Production[Qwilr Quote],IFERROR(MATCH(E338&amp;"",tbl_Production[Job Number],0),MATCH(IFERROR(E338+0,E338),tbl_Production[Job Number],0))),INDEX(tbl_Production[Current RMS No],IFERROR(MATCH(E338&amp;"",tbl_Production[Job Number],0),MATCH(IFERROR(E338+0,E338),tbl_Production[Job Number],0))))),IFERROR(IF(INDEX(tbl_Consulting[Qwilr Quote],IFERROR(MATCH(E338&amp;"",tbl_Consulting[Job Number],0),MATCH(IFERROR(E338+0,E338),tbl_Consulting[Job Number],0)))="","",INDEX(tbl_Consulting[Qwilr Quote],IFERROR(MATCH(E338&amp;"",tbl_Consulting[Job Number],0),MATCH(IFERROR(E338+0,E338),tbl_Consulting[Job Number],0)))),""))))</f>
        <v/>
      </c>
      <c r="AD338" s="25">
        <f>IF(AC338="","",IF(AND(LEFT(AC338,4)&lt;&gt;"http",IF(H338="Production",set_RMSBase,set_QwilrBase)=""),"",HYPERLINK(IF(LEFT(AC338,4)="http",AC338,IF(H338="Production",set_RMSBase,set_QwilrBase)&amp;AC338),"Open")))</f>
        <v/>
      </c>
      <c r="AE338" s="27">
        <f>IF(E338="","",IFERROR(INDEX(tbl_Production[Total Expense],IFERROR(MATCH(E338&amp;"",tbl_Production[Job Number],0),MATCH(IFERROR(E338+0,E338),tbl_Production[Job Number],0))),IFERROR(INDEX(tbl_Consulting[Total Expense],IFERROR(MATCH(E338&amp;"",tbl_Consulting[Job Number],0),MATCH(IFERROR(E338+0,E338),tbl_Consulting[Job Number],0))),0)))</f>
        <v/>
      </c>
      <c r="AF338" s="27">
        <f>IF(E338="","",Z338-N(AE338))</f>
        <v/>
      </c>
      <c r="AG338" s="29">
        <f>IFERROR(AF338/Z338,"")</f>
        <v/>
      </c>
      <c r="AH338" s="25">
        <f>IF(E338="","",IFERROR(IF(INDEX(tbl_Onsite[Notes],IFERROR(MATCH(E338&amp;"",tbl_Onsite[Job Number],0),MATCH(IFERROR(E338+0,E338),tbl_Onsite[Job Number],0)))="","",INDEX(tbl_Onsite[Notes],IFERROR(MATCH(E338&amp;"",tbl_Onsite[Job Number],0),MATCH(IFERROR(E338+0,E338),tbl_Onsite[Job Number],0)))),IFERROR(IF(INDEX(tbl_Production[Notes],IFERROR(MATCH(E338&amp;"",tbl_Production[Job Number],0),MATCH(IFERROR(E338+0,E338),tbl_Production[Job Number],0)))="","",INDEX(tbl_Production[Notes],IFERROR(MATCH(E338&amp;"",tbl_Production[Job Number],0),MATCH(IFERROR(E338+0,E338),tbl_Production[Job Number],0)))),IFERROR(IF(INDEX(tbl_Consulting[Notes],IFERROR(MATCH(E338&amp;"",tbl_Consulting[Job Number],0),MATCH(IFERROR(E338+0,E338),tbl_Consulting[Job Number],0)))="","",INDEX(tbl_Consulting[Notes],IFERROR(MATCH(E338&amp;"",tbl_Consulting[Job Number],0),MATCH(IFERROR(E338+0,E338),tbl_Consulting[Job Number],0)))),""))))</f>
        <v/>
      </c>
    </row>
    <row r="339" ht="15" customHeight="1">
      <c r="A339" s="22" t="n"/>
      <c r="B339" s="23">
        <f>IF(A339="","",EOMONTH(A339,0))</f>
        <v/>
      </c>
      <c r="C339" s="24" t="n"/>
      <c r="D339" s="24" t="n"/>
      <c r="E339" s="24" t="n"/>
      <c r="F339" s="25">
        <f>IF(E339="","",IF(COUNTIF(lst_Jobs,E339&amp;"")&gt;0,"OK","CHECK"))</f>
        <v/>
      </c>
      <c r="G339" s="24" t="n"/>
      <c r="H339" s="24" t="n"/>
      <c r="I339" s="24" t="n"/>
      <c r="J339" s="24" t="n"/>
      <c r="K339" s="24" t="n"/>
      <c r="L339" s="26" t="n"/>
      <c r="M339" s="27">
        <f>IF(L339="","",IF(K339="GST 10%",ROUND(L339*set_GSTRate,2),0))</f>
        <v/>
      </c>
      <c r="N339" s="27">
        <f>IF(L339="","",L339+M339)</f>
        <v/>
      </c>
      <c r="O339" s="24" t="n"/>
      <c r="P339" s="24" t="n"/>
      <c r="Q339" s="24" t="n"/>
      <c r="R339" s="22" t="n"/>
      <c r="S339" s="22" t="n"/>
      <c r="T339" s="24" t="n"/>
      <c r="U339" s="24" t="n"/>
      <c r="V339" s="2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25">
        <f>IF(E339="","",IF(COUNTIF(tbl_Onsite[Job Number],E339&amp;"")&gt;0,"Onsite",IF(COUNTIF(tbl_Production[Job Number],E339&amp;"")&gt;0,"Production",IF(COUNTIF(tbl_Consulting[Job Number],E339&amp;"")&gt;0,"Consulting","not set up yet"))))</f>
        <v/>
      </c>
      <c r="X339" s="25">
        <f>IF(E339="","",IFERROR(INDEX(lst_JobName,MATCH(E339&amp;"",lst_Jobs,0)),""))</f>
        <v/>
      </c>
      <c r="Y339" s="28">
        <f>IF(E339="","",COUNTIFS(tbl_Finance[Job Number],E339&amp;"",tbl_Finance[Ex GST],"&lt;&gt;"))</f>
        <v/>
      </c>
      <c r="Z339" s="27">
        <f>IF(E339="","",SUMIFS(tbl_Finance[Ex GST],tbl_Finance[Job Number],E339&amp;""))</f>
        <v/>
      </c>
      <c r="AA339" s="27">
        <f>IF(E339="","",SUMIFS(tbl_Finance[Ex GST],tbl_Finance[Job Number],E339&amp;"",tbl_Finance[Xero Invoice No],"&lt;&gt;"))</f>
        <v/>
      </c>
      <c r="AB339" s="27">
        <f>IF(E339="","",Z339-AA339)</f>
        <v/>
      </c>
      <c r="AC339" s="25">
        <f>IF(E339="","",IFERROR(IF(INDEX(tbl_Onsite[Qwilr Quote],IFERROR(MATCH(E339&amp;"",tbl_Onsite[Job Number],0),MATCH(IFERROR(E339+0,E339),tbl_Onsite[Job Number],0)))="","",INDEX(tbl_Onsite[Qwilr Quote],IFERROR(MATCH(E339&amp;"",tbl_Onsite[Job Number],0),MATCH(IFERROR(E339+0,E339),tbl_Onsite[Job Number],0)))),IFERROR(IF(IF(INDEX(tbl_Production[Current RMS No],IFERROR(MATCH(E339&amp;"",tbl_Production[Job Number],0),MATCH(IFERROR(E339+0,E339),tbl_Production[Job Number],0)))="",INDEX(tbl_Production[Qwilr Quote],IFERROR(MATCH(E339&amp;"",tbl_Production[Job Number],0),MATCH(IFERROR(E339+0,E339),tbl_Production[Job Number],0))),INDEX(tbl_Production[Current RMS No],IFERROR(MATCH(E339&amp;"",tbl_Production[Job Number],0),MATCH(IFERROR(E339+0,E339),tbl_Production[Job Number],0))))="","",IF(INDEX(tbl_Production[Current RMS No],IFERROR(MATCH(E339&amp;"",tbl_Production[Job Number],0),MATCH(IFERROR(E339+0,E339),tbl_Production[Job Number],0)))="",INDEX(tbl_Production[Qwilr Quote],IFERROR(MATCH(E339&amp;"",tbl_Production[Job Number],0),MATCH(IFERROR(E339+0,E339),tbl_Production[Job Number],0))),INDEX(tbl_Production[Current RMS No],IFERROR(MATCH(E339&amp;"",tbl_Production[Job Number],0),MATCH(IFERROR(E339+0,E339),tbl_Production[Job Number],0))))),IFERROR(IF(INDEX(tbl_Consulting[Qwilr Quote],IFERROR(MATCH(E339&amp;"",tbl_Consulting[Job Number],0),MATCH(IFERROR(E339+0,E339),tbl_Consulting[Job Number],0)))="","",INDEX(tbl_Consulting[Qwilr Quote],IFERROR(MATCH(E339&amp;"",tbl_Consulting[Job Number],0),MATCH(IFERROR(E339+0,E339),tbl_Consulting[Job Number],0)))),""))))</f>
        <v/>
      </c>
      <c r="AD339" s="25">
        <f>IF(AC339="","",IF(AND(LEFT(AC339,4)&lt;&gt;"http",IF(H339="Production",set_RMSBase,set_QwilrBase)=""),"",HYPERLINK(IF(LEFT(AC339,4)="http",AC339,IF(H339="Production",set_RMSBase,set_QwilrBase)&amp;AC339),"Open")))</f>
        <v/>
      </c>
      <c r="AE339" s="27">
        <f>IF(E339="","",IFERROR(INDEX(tbl_Production[Total Expense],IFERROR(MATCH(E339&amp;"",tbl_Production[Job Number],0),MATCH(IFERROR(E339+0,E339),tbl_Production[Job Number],0))),IFERROR(INDEX(tbl_Consulting[Total Expense],IFERROR(MATCH(E339&amp;"",tbl_Consulting[Job Number],0),MATCH(IFERROR(E339+0,E339),tbl_Consulting[Job Number],0))),0)))</f>
        <v/>
      </c>
      <c r="AF339" s="27">
        <f>IF(E339="","",Z339-N(AE339))</f>
        <v/>
      </c>
      <c r="AG339" s="29">
        <f>IFERROR(AF339/Z339,"")</f>
        <v/>
      </c>
      <c r="AH339" s="25">
        <f>IF(E339="","",IFERROR(IF(INDEX(tbl_Onsite[Notes],IFERROR(MATCH(E339&amp;"",tbl_Onsite[Job Number],0),MATCH(IFERROR(E339+0,E339),tbl_Onsite[Job Number],0)))="","",INDEX(tbl_Onsite[Notes],IFERROR(MATCH(E339&amp;"",tbl_Onsite[Job Number],0),MATCH(IFERROR(E339+0,E339),tbl_Onsite[Job Number],0)))),IFERROR(IF(INDEX(tbl_Production[Notes],IFERROR(MATCH(E339&amp;"",tbl_Production[Job Number],0),MATCH(IFERROR(E339+0,E339),tbl_Production[Job Number],0)))="","",INDEX(tbl_Production[Notes],IFERROR(MATCH(E339&amp;"",tbl_Production[Job Number],0),MATCH(IFERROR(E339+0,E339),tbl_Production[Job Number],0)))),IFERROR(IF(INDEX(tbl_Consulting[Notes],IFERROR(MATCH(E339&amp;"",tbl_Consulting[Job Number],0),MATCH(IFERROR(E339+0,E339),tbl_Consulting[Job Number],0)))="","",INDEX(tbl_Consulting[Notes],IFERROR(MATCH(E339&amp;"",tbl_Consulting[Job Number],0),MATCH(IFERROR(E339+0,E339),tbl_Consulting[Job Number],0)))),""))))</f>
        <v/>
      </c>
    </row>
    <row r="340" ht="15" customHeight="1">
      <c r="A340" s="22" t="n"/>
      <c r="B340" s="23">
        <f>IF(A340="","",EOMONTH(A340,0))</f>
        <v/>
      </c>
      <c r="C340" s="24" t="n"/>
      <c r="D340" s="24" t="n"/>
      <c r="E340" s="24" t="n"/>
      <c r="F340" s="25">
        <f>IF(E340="","",IF(COUNTIF(lst_Jobs,E340&amp;"")&gt;0,"OK","CHECK"))</f>
        <v/>
      </c>
      <c r="G340" s="24" t="n"/>
      <c r="H340" s="24" t="n"/>
      <c r="I340" s="24" t="n"/>
      <c r="J340" s="24" t="n"/>
      <c r="K340" s="24" t="n"/>
      <c r="L340" s="26" t="n"/>
      <c r="M340" s="27">
        <f>IF(L340="","",IF(K340="GST 10%",ROUND(L340*set_GSTRate,2),0))</f>
        <v/>
      </c>
      <c r="N340" s="27">
        <f>IF(L340="","",L340+M340)</f>
        <v/>
      </c>
      <c r="O340" s="24" t="n"/>
      <c r="P340" s="24" t="n"/>
      <c r="Q340" s="24" t="n"/>
      <c r="R340" s="22" t="n"/>
      <c r="S340" s="22" t="n"/>
      <c r="T340" s="24" t="n"/>
      <c r="U340" s="24" t="n"/>
      <c r="V340" s="2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25">
        <f>IF(E340="","",IF(COUNTIF(tbl_Onsite[Job Number],E340&amp;"")&gt;0,"Onsite",IF(COUNTIF(tbl_Production[Job Number],E340&amp;"")&gt;0,"Production",IF(COUNTIF(tbl_Consulting[Job Number],E340&amp;"")&gt;0,"Consulting","not set up yet"))))</f>
        <v/>
      </c>
      <c r="X340" s="25">
        <f>IF(E340="","",IFERROR(INDEX(lst_JobName,MATCH(E340&amp;"",lst_Jobs,0)),""))</f>
        <v/>
      </c>
      <c r="Y340" s="28">
        <f>IF(E340="","",COUNTIFS(tbl_Finance[Job Number],E340&amp;"",tbl_Finance[Ex GST],"&lt;&gt;"))</f>
        <v/>
      </c>
      <c r="Z340" s="27">
        <f>IF(E340="","",SUMIFS(tbl_Finance[Ex GST],tbl_Finance[Job Number],E340&amp;""))</f>
        <v/>
      </c>
      <c r="AA340" s="27">
        <f>IF(E340="","",SUMIFS(tbl_Finance[Ex GST],tbl_Finance[Job Number],E340&amp;"",tbl_Finance[Xero Invoice No],"&lt;&gt;"))</f>
        <v/>
      </c>
      <c r="AB340" s="27">
        <f>IF(E340="","",Z340-AA340)</f>
        <v/>
      </c>
      <c r="AC340" s="25">
        <f>IF(E340="","",IFERROR(IF(INDEX(tbl_Onsite[Qwilr Quote],IFERROR(MATCH(E340&amp;"",tbl_Onsite[Job Number],0),MATCH(IFERROR(E340+0,E340),tbl_Onsite[Job Number],0)))="","",INDEX(tbl_Onsite[Qwilr Quote],IFERROR(MATCH(E340&amp;"",tbl_Onsite[Job Number],0),MATCH(IFERROR(E340+0,E340),tbl_Onsite[Job Number],0)))),IFERROR(IF(IF(INDEX(tbl_Production[Current RMS No],IFERROR(MATCH(E340&amp;"",tbl_Production[Job Number],0),MATCH(IFERROR(E340+0,E340),tbl_Production[Job Number],0)))="",INDEX(tbl_Production[Qwilr Quote],IFERROR(MATCH(E340&amp;"",tbl_Production[Job Number],0),MATCH(IFERROR(E340+0,E340),tbl_Production[Job Number],0))),INDEX(tbl_Production[Current RMS No],IFERROR(MATCH(E340&amp;"",tbl_Production[Job Number],0),MATCH(IFERROR(E340+0,E340),tbl_Production[Job Number],0))))="","",IF(INDEX(tbl_Production[Current RMS No],IFERROR(MATCH(E340&amp;"",tbl_Production[Job Number],0),MATCH(IFERROR(E340+0,E340),tbl_Production[Job Number],0)))="",INDEX(tbl_Production[Qwilr Quote],IFERROR(MATCH(E340&amp;"",tbl_Production[Job Number],0),MATCH(IFERROR(E340+0,E340),tbl_Production[Job Number],0))),INDEX(tbl_Production[Current RMS No],IFERROR(MATCH(E340&amp;"",tbl_Production[Job Number],0),MATCH(IFERROR(E340+0,E340),tbl_Production[Job Number],0))))),IFERROR(IF(INDEX(tbl_Consulting[Qwilr Quote],IFERROR(MATCH(E340&amp;"",tbl_Consulting[Job Number],0),MATCH(IFERROR(E340+0,E340),tbl_Consulting[Job Number],0)))="","",INDEX(tbl_Consulting[Qwilr Quote],IFERROR(MATCH(E340&amp;"",tbl_Consulting[Job Number],0),MATCH(IFERROR(E340+0,E340),tbl_Consulting[Job Number],0)))),""))))</f>
        <v/>
      </c>
      <c r="AD340" s="25">
        <f>IF(AC340="","",IF(AND(LEFT(AC340,4)&lt;&gt;"http",IF(H340="Production",set_RMSBase,set_QwilrBase)=""),"",HYPERLINK(IF(LEFT(AC340,4)="http",AC340,IF(H340="Production",set_RMSBase,set_QwilrBase)&amp;AC340),"Open")))</f>
        <v/>
      </c>
      <c r="AE340" s="27">
        <f>IF(E340="","",IFERROR(INDEX(tbl_Production[Total Expense],IFERROR(MATCH(E340&amp;"",tbl_Production[Job Number],0),MATCH(IFERROR(E340+0,E340),tbl_Production[Job Number],0))),IFERROR(INDEX(tbl_Consulting[Total Expense],IFERROR(MATCH(E340&amp;"",tbl_Consulting[Job Number],0),MATCH(IFERROR(E340+0,E340),tbl_Consulting[Job Number],0))),0)))</f>
        <v/>
      </c>
      <c r="AF340" s="27">
        <f>IF(E340="","",Z340-N(AE340))</f>
        <v/>
      </c>
      <c r="AG340" s="29">
        <f>IFERROR(AF340/Z340,"")</f>
        <v/>
      </c>
      <c r="AH340" s="25">
        <f>IF(E340="","",IFERROR(IF(INDEX(tbl_Onsite[Notes],IFERROR(MATCH(E340&amp;"",tbl_Onsite[Job Number],0),MATCH(IFERROR(E340+0,E340),tbl_Onsite[Job Number],0)))="","",INDEX(tbl_Onsite[Notes],IFERROR(MATCH(E340&amp;"",tbl_Onsite[Job Number],0),MATCH(IFERROR(E340+0,E340),tbl_Onsite[Job Number],0)))),IFERROR(IF(INDEX(tbl_Production[Notes],IFERROR(MATCH(E340&amp;"",tbl_Production[Job Number],0),MATCH(IFERROR(E340+0,E340),tbl_Production[Job Number],0)))="","",INDEX(tbl_Production[Notes],IFERROR(MATCH(E340&amp;"",tbl_Production[Job Number],0),MATCH(IFERROR(E340+0,E340),tbl_Production[Job Number],0)))),IFERROR(IF(INDEX(tbl_Consulting[Notes],IFERROR(MATCH(E340&amp;"",tbl_Consulting[Job Number],0),MATCH(IFERROR(E340+0,E340),tbl_Consulting[Job Number],0)))="","",INDEX(tbl_Consulting[Notes],IFERROR(MATCH(E340&amp;"",tbl_Consulting[Job Number],0),MATCH(IFERROR(E340+0,E340),tbl_Consulting[Job Number],0)))),""))))</f>
        <v/>
      </c>
    </row>
    <row r="341" ht="15" customHeight="1">
      <c r="A341" s="22" t="n"/>
      <c r="B341" s="23">
        <f>IF(A341="","",EOMONTH(A341,0))</f>
        <v/>
      </c>
      <c r="C341" s="24" t="n"/>
      <c r="D341" s="24" t="n"/>
      <c r="E341" s="24" t="n"/>
      <c r="F341" s="25">
        <f>IF(E341="","",IF(COUNTIF(lst_Jobs,E341&amp;"")&gt;0,"OK","CHECK"))</f>
        <v/>
      </c>
      <c r="G341" s="24" t="n"/>
      <c r="H341" s="24" t="n"/>
      <c r="I341" s="24" t="n"/>
      <c r="J341" s="24" t="n"/>
      <c r="K341" s="24" t="n"/>
      <c r="L341" s="26" t="n"/>
      <c r="M341" s="27">
        <f>IF(L341="","",IF(K341="GST 10%",ROUND(L341*set_GSTRate,2),0))</f>
        <v/>
      </c>
      <c r="N341" s="27">
        <f>IF(L341="","",L341+M341)</f>
        <v/>
      </c>
      <c r="O341" s="24" t="n"/>
      <c r="P341" s="24" t="n"/>
      <c r="Q341" s="24" t="n"/>
      <c r="R341" s="22" t="n"/>
      <c r="S341" s="22" t="n"/>
      <c r="T341" s="24" t="n"/>
      <c r="U341" s="24" t="n"/>
      <c r="V341" s="2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25">
        <f>IF(E341="","",IF(COUNTIF(tbl_Onsite[Job Number],E341&amp;"")&gt;0,"Onsite",IF(COUNTIF(tbl_Production[Job Number],E341&amp;"")&gt;0,"Production",IF(COUNTIF(tbl_Consulting[Job Number],E341&amp;"")&gt;0,"Consulting","not set up yet"))))</f>
        <v/>
      </c>
      <c r="X341" s="25">
        <f>IF(E341="","",IFERROR(INDEX(lst_JobName,MATCH(E341&amp;"",lst_Jobs,0)),""))</f>
        <v/>
      </c>
      <c r="Y341" s="28">
        <f>IF(E341="","",COUNTIFS(tbl_Finance[Job Number],E341&amp;"",tbl_Finance[Ex GST],"&lt;&gt;"))</f>
        <v/>
      </c>
      <c r="Z341" s="27">
        <f>IF(E341="","",SUMIFS(tbl_Finance[Ex GST],tbl_Finance[Job Number],E341&amp;""))</f>
        <v/>
      </c>
      <c r="AA341" s="27">
        <f>IF(E341="","",SUMIFS(tbl_Finance[Ex GST],tbl_Finance[Job Number],E341&amp;"",tbl_Finance[Xero Invoice No],"&lt;&gt;"))</f>
        <v/>
      </c>
      <c r="AB341" s="27">
        <f>IF(E341="","",Z341-AA341)</f>
        <v/>
      </c>
      <c r="AC341" s="25">
        <f>IF(E341="","",IFERROR(IF(INDEX(tbl_Onsite[Qwilr Quote],IFERROR(MATCH(E341&amp;"",tbl_Onsite[Job Number],0),MATCH(IFERROR(E341+0,E341),tbl_Onsite[Job Number],0)))="","",INDEX(tbl_Onsite[Qwilr Quote],IFERROR(MATCH(E341&amp;"",tbl_Onsite[Job Number],0),MATCH(IFERROR(E341+0,E341),tbl_Onsite[Job Number],0)))),IFERROR(IF(IF(INDEX(tbl_Production[Current RMS No],IFERROR(MATCH(E341&amp;"",tbl_Production[Job Number],0),MATCH(IFERROR(E341+0,E341),tbl_Production[Job Number],0)))="",INDEX(tbl_Production[Qwilr Quote],IFERROR(MATCH(E341&amp;"",tbl_Production[Job Number],0),MATCH(IFERROR(E341+0,E341),tbl_Production[Job Number],0))),INDEX(tbl_Production[Current RMS No],IFERROR(MATCH(E341&amp;"",tbl_Production[Job Number],0),MATCH(IFERROR(E341+0,E341),tbl_Production[Job Number],0))))="","",IF(INDEX(tbl_Production[Current RMS No],IFERROR(MATCH(E341&amp;"",tbl_Production[Job Number],0),MATCH(IFERROR(E341+0,E341),tbl_Production[Job Number],0)))="",INDEX(tbl_Production[Qwilr Quote],IFERROR(MATCH(E341&amp;"",tbl_Production[Job Number],0),MATCH(IFERROR(E341+0,E341),tbl_Production[Job Number],0))),INDEX(tbl_Production[Current RMS No],IFERROR(MATCH(E341&amp;"",tbl_Production[Job Number],0),MATCH(IFERROR(E341+0,E341),tbl_Production[Job Number],0))))),IFERROR(IF(INDEX(tbl_Consulting[Qwilr Quote],IFERROR(MATCH(E341&amp;"",tbl_Consulting[Job Number],0),MATCH(IFERROR(E341+0,E341),tbl_Consulting[Job Number],0)))="","",INDEX(tbl_Consulting[Qwilr Quote],IFERROR(MATCH(E341&amp;"",tbl_Consulting[Job Number],0),MATCH(IFERROR(E341+0,E341),tbl_Consulting[Job Number],0)))),""))))</f>
        <v/>
      </c>
      <c r="AD341" s="25">
        <f>IF(AC341="","",IF(AND(LEFT(AC341,4)&lt;&gt;"http",IF(H341="Production",set_RMSBase,set_QwilrBase)=""),"",HYPERLINK(IF(LEFT(AC341,4)="http",AC341,IF(H341="Production",set_RMSBase,set_QwilrBase)&amp;AC341),"Open")))</f>
        <v/>
      </c>
      <c r="AE341" s="27">
        <f>IF(E341="","",IFERROR(INDEX(tbl_Production[Total Expense],IFERROR(MATCH(E341&amp;"",tbl_Production[Job Number],0),MATCH(IFERROR(E341+0,E341),tbl_Production[Job Number],0))),IFERROR(INDEX(tbl_Consulting[Total Expense],IFERROR(MATCH(E341&amp;"",tbl_Consulting[Job Number],0),MATCH(IFERROR(E341+0,E341),tbl_Consulting[Job Number],0))),0)))</f>
        <v/>
      </c>
      <c r="AF341" s="27">
        <f>IF(E341="","",Z341-N(AE341))</f>
        <v/>
      </c>
      <c r="AG341" s="29">
        <f>IFERROR(AF341/Z341,"")</f>
        <v/>
      </c>
      <c r="AH341" s="25">
        <f>IF(E341="","",IFERROR(IF(INDEX(tbl_Onsite[Notes],IFERROR(MATCH(E341&amp;"",tbl_Onsite[Job Number],0),MATCH(IFERROR(E341+0,E341),tbl_Onsite[Job Number],0)))="","",INDEX(tbl_Onsite[Notes],IFERROR(MATCH(E341&amp;"",tbl_Onsite[Job Number],0),MATCH(IFERROR(E341+0,E341),tbl_Onsite[Job Number],0)))),IFERROR(IF(INDEX(tbl_Production[Notes],IFERROR(MATCH(E341&amp;"",tbl_Production[Job Number],0),MATCH(IFERROR(E341+0,E341),tbl_Production[Job Number],0)))="","",INDEX(tbl_Production[Notes],IFERROR(MATCH(E341&amp;"",tbl_Production[Job Number],0),MATCH(IFERROR(E341+0,E341),tbl_Production[Job Number],0)))),IFERROR(IF(INDEX(tbl_Consulting[Notes],IFERROR(MATCH(E341&amp;"",tbl_Consulting[Job Number],0),MATCH(IFERROR(E341+0,E341),tbl_Consulting[Job Number],0)))="","",INDEX(tbl_Consulting[Notes],IFERROR(MATCH(E341&amp;"",tbl_Consulting[Job Number],0),MATCH(IFERROR(E341+0,E341),tbl_Consulting[Job Number],0)))),""))))</f>
        <v/>
      </c>
    </row>
    <row r="342" ht="15" customHeight="1">
      <c r="A342" s="22" t="n"/>
      <c r="B342" s="23">
        <f>IF(A342="","",EOMONTH(A342,0))</f>
        <v/>
      </c>
      <c r="C342" s="24" t="n"/>
      <c r="D342" s="24" t="n"/>
      <c r="E342" s="24" t="n"/>
      <c r="F342" s="25">
        <f>IF(E342="","",IF(COUNTIF(lst_Jobs,E342&amp;"")&gt;0,"OK","CHECK"))</f>
        <v/>
      </c>
      <c r="G342" s="24" t="n"/>
      <c r="H342" s="24" t="n"/>
      <c r="I342" s="24" t="n"/>
      <c r="J342" s="24" t="n"/>
      <c r="K342" s="24" t="n"/>
      <c r="L342" s="26" t="n"/>
      <c r="M342" s="27">
        <f>IF(L342="","",IF(K342="GST 10%",ROUND(L342*set_GSTRate,2),0))</f>
        <v/>
      </c>
      <c r="N342" s="27">
        <f>IF(L342="","",L342+M342)</f>
        <v/>
      </c>
      <c r="O342" s="24" t="n"/>
      <c r="P342" s="24" t="n"/>
      <c r="Q342" s="24" t="n"/>
      <c r="R342" s="22" t="n"/>
      <c r="S342" s="22" t="n"/>
      <c r="T342" s="24" t="n"/>
      <c r="U342" s="24" t="n"/>
      <c r="V342" s="2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25">
        <f>IF(E342="","",IF(COUNTIF(tbl_Onsite[Job Number],E342&amp;"")&gt;0,"Onsite",IF(COUNTIF(tbl_Production[Job Number],E342&amp;"")&gt;0,"Production",IF(COUNTIF(tbl_Consulting[Job Number],E342&amp;"")&gt;0,"Consulting","not set up yet"))))</f>
        <v/>
      </c>
      <c r="X342" s="25">
        <f>IF(E342="","",IFERROR(INDEX(lst_JobName,MATCH(E342&amp;"",lst_Jobs,0)),""))</f>
        <v/>
      </c>
      <c r="Y342" s="28">
        <f>IF(E342="","",COUNTIFS(tbl_Finance[Job Number],E342&amp;"",tbl_Finance[Ex GST],"&lt;&gt;"))</f>
        <v/>
      </c>
      <c r="Z342" s="27">
        <f>IF(E342="","",SUMIFS(tbl_Finance[Ex GST],tbl_Finance[Job Number],E342&amp;""))</f>
        <v/>
      </c>
      <c r="AA342" s="27">
        <f>IF(E342="","",SUMIFS(tbl_Finance[Ex GST],tbl_Finance[Job Number],E342&amp;"",tbl_Finance[Xero Invoice No],"&lt;&gt;"))</f>
        <v/>
      </c>
      <c r="AB342" s="27">
        <f>IF(E342="","",Z342-AA342)</f>
        <v/>
      </c>
      <c r="AC342" s="25">
        <f>IF(E342="","",IFERROR(IF(INDEX(tbl_Onsite[Qwilr Quote],IFERROR(MATCH(E342&amp;"",tbl_Onsite[Job Number],0),MATCH(IFERROR(E342+0,E342),tbl_Onsite[Job Number],0)))="","",INDEX(tbl_Onsite[Qwilr Quote],IFERROR(MATCH(E342&amp;"",tbl_Onsite[Job Number],0),MATCH(IFERROR(E342+0,E342),tbl_Onsite[Job Number],0)))),IFERROR(IF(IF(INDEX(tbl_Production[Current RMS No],IFERROR(MATCH(E342&amp;"",tbl_Production[Job Number],0),MATCH(IFERROR(E342+0,E342),tbl_Production[Job Number],0)))="",INDEX(tbl_Production[Qwilr Quote],IFERROR(MATCH(E342&amp;"",tbl_Production[Job Number],0),MATCH(IFERROR(E342+0,E342),tbl_Production[Job Number],0))),INDEX(tbl_Production[Current RMS No],IFERROR(MATCH(E342&amp;"",tbl_Production[Job Number],0),MATCH(IFERROR(E342+0,E342),tbl_Production[Job Number],0))))="","",IF(INDEX(tbl_Production[Current RMS No],IFERROR(MATCH(E342&amp;"",tbl_Production[Job Number],0),MATCH(IFERROR(E342+0,E342),tbl_Production[Job Number],0)))="",INDEX(tbl_Production[Qwilr Quote],IFERROR(MATCH(E342&amp;"",tbl_Production[Job Number],0),MATCH(IFERROR(E342+0,E342),tbl_Production[Job Number],0))),INDEX(tbl_Production[Current RMS No],IFERROR(MATCH(E342&amp;"",tbl_Production[Job Number],0),MATCH(IFERROR(E342+0,E342),tbl_Production[Job Number],0))))),IFERROR(IF(INDEX(tbl_Consulting[Qwilr Quote],IFERROR(MATCH(E342&amp;"",tbl_Consulting[Job Number],0),MATCH(IFERROR(E342+0,E342),tbl_Consulting[Job Number],0)))="","",INDEX(tbl_Consulting[Qwilr Quote],IFERROR(MATCH(E342&amp;"",tbl_Consulting[Job Number],0),MATCH(IFERROR(E342+0,E342),tbl_Consulting[Job Number],0)))),""))))</f>
        <v/>
      </c>
      <c r="AD342" s="25">
        <f>IF(AC342="","",IF(AND(LEFT(AC342,4)&lt;&gt;"http",IF(H342="Production",set_RMSBase,set_QwilrBase)=""),"",HYPERLINK(IF(LEFT(AC342,4)="http",AC342,IF(H342="Production",set_RMSBase,set_QwilrBase)&amp;AC342),"Open")))</f>
        <v/>
      </c>
      <c r="AE342" s="27">
        <f>IF(E342="","",IFERROR(INDEX(tbl_Production[Total Expense],IFERROR(MATCH(E342&amp;"",tbl_Production[Job Number],0),MATCH(IFERROR(E342+0,E342),tbl_Production[Job Number],0))),IFERROR(INDEX(tbl_Consulting[Total Expense],IFERROR(MATCH(E342&amp;"",tbl_Consulting[Job Number],0),MATCH(IFERROR(E342+0,E342),tbl_Consulting[Job Number],0))),0)))</f>
        <v/>
      </c>
      <c r="AF342" s="27">
        <f>IF(E342="","",Z342-N(AE342))</f>
        <v/>
      </c>
      <c r="AG342" s="29">
        <f>IFERROR(AF342/Z342,"")</f>
        <v/>
      </c>
      <c r="AH342" s="25">
        <f>IF(E342="","",IFERROR(IF(INDEX(tbl_Onsite[Notes],IFERROR(MATCH(E342&amp;"",tbl_Onsite[Job Number],0),MATCH(IFERROR(E342+0,E342),tbl_Onsite[Job Number],0)))="","",INDEX(tbl_Onsite[Notes],IFERROR(MATCH(E342&amp;"",tbl_Onsite[Job Number],0),MATCH(IFERROR(E342+0,E342),tbl_Onsite[Job Number],0)))),IFERROR(IF(INDEX(tbl_Production[Notes],IFERROR(MATCH(E342&amp;"",tbl_Production[Job Number],0),MATCH(IFERROR(E342+0,E342),tbl_Production[Job Number],0)))="","",INDEX(tbl_Production[Notes],IFERROR(MATCH(E342&amp;"",tbl_Production[Job Number],0),MATCH(IFERROR(E342+0,E342),tbl_Production[Job Number],0)))),IFERROR(IF(INDEX(tbl_Consulting[Notes],IFERROR(MATCH(E342&amp;"",tbl_Consulting[Job Number],0),MATCH(IFERROR(E342+0,E342),tbl_Consulting[Job Number],0)))="","",INDEX(tbl_Consulting[Notes],IFERROR(MATCH(E342&amp;"",tbl_Consulting[Job Number],0),MATCH(IFERROR(E342+0,E342),tbl_Consulting[Job Number],0)))),""))))</f>
        <v/>
      </c>
    </row>
    <row r="343" ht="15" customHeight="1">
      <c r="A343" s="22" t="n"/>
      <c r="B343" s="23">
        <f>IF(A343="","",EOMONTH(A343,0))</f>
        <v/>
      </c>
      <c r="C343" s="24" t="n"/>
      <c r="D343" s="24" t="n"/>
      <c r="E343" s="24" t="n"/>
      <c r="F343" s="25">
        <f>IF(E343="","",IF(COUNTIF(lst_Jobs,E343&amp;"")&gt;0,"OK","CHECK"))</f>
        <v/>
      </c>
      <c r="G343" s="24" t="n"/>
      <c r="H343" s="24" t="n"/>
      <c r="I343" s="24" t="n"/>
      <c r="J343" s="24" t="n"/>
      <c r="K343" s="24" t="n"/>
      <c r="L343" s="26" t="n"/>
      <c r="M343" s="27">
        <f>IF(L343="","",IF(K343="GST 10%",ROUND(L343*set_GSTRate,2),0))</f>
        <v/>
      </c>
      <c r="N343" s="27">
        <f>IF(L343="","",L343+M343)</f>
        <v/>
      </c>
      <c r="O343" s="24" t="n"/>
      <c r="P343" s="24" t="n"/>
      <c r="Q343" s="24" t="n"/>
      <c r="R343" s="22" t="n"/>
      <c r="S343" s="22" t="n"/>
      <c r="T343" s="24" t="n"/>
      <c r="U343" s="24" t="n"/>
      <c r="V343" s="2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25">
        <f>IF(E343="","",IF(COUNTIF(tbl_Onsite[Job Number],E343&amp;"")&gt;0,"Onsite",IF(COUNTIF(tbl_Production[Job Number],E343&amp;"")&gt;0,"Production",IF(COUNTIF(tbl_Consulting[Job Number],E343&amp;"")&gt;0,"Consulting","not set up yet"))))</f>
        <v/>
      </c>
      <c r="X343" s="25">
        <f>IF(E343="","",IFERROR(INDEX(lst_JobName,MATCH(E343&amp;"",lst_Jobs,0)),""))</f>
        <v/>
      </c>
      <c r="Y343" s="28">
        <f>IF(E343="","",COUNTIFS(tbl_Finance[Job Number],E343&amp;"",tbl_Finance[Ex GST],"&lt;&gt;"))</f>
        <v/>
      </c>
      <c r="Z343" s="27">
        <f>IF(E343="","",SUMIFS(tbl_Finance[Ex GST],tbl_Finance[Job Number],E343&amp;""))</f>
        <v/>
      </c>
      <c r="AA343" s="27">
        <f>IF(E343="","",SUMIFS(tbl_Finance[Ex GST],tbl_Finance[Job Number],E343&amp;"",tbl_Finance[Xero Invoice No],"&lt;&gt;"))</f>
        <v/>
      </c>
      <c r="AB343" s="27">
        <f>IF(E343="","",Z343-AA343)</f>
        <v/>
      </c>
      <c r="AC343" s="25">
        <f>IF(E343="","",IFERROR(IF(INDEX(tbl_Onsite[Qwilr Quote],IFERROR(MATCH(E343&amp;"",tbl_Onsite[Job Number],0),MATCH(IFERROR(E343+0,E343),tbl_Onsite[Job Number],0)))="","",INDEX(tbl_Onsite[Qwilr Quote],IFERROR(MATCH(E343&amp;"",tbl_Onsite[Job Number],0),MATCH(IFERROR(E343+0,E343),tbl_Onsite[Job Number],0)))),IFERROR(IF(IF(INDEX(tbl_Production[Current RMS No],IFERROR(MATCH(E343&amp;"",tbl_Production[Job Number],0),MATCH(IFERROR(E343+0,E343),tbl_Production[Job Number],0)))="",INDEX(tbl_Production[Qwilr Quote],IFERROR(MATCH(E343&amp;"",tbl_Production[Job Number],0),MATCH(IFERROR(E343+0,E343),tbl_Production[Job Number],0))),INDEX(tbl_Production[Current RMS No],IFERROR(MATCH(E343&amp;"",tbl_Production[Job Number],0),MATCH(IFERROR(E343+0,E343),tbl_Production[Job Number],0))))="","",IF(INDEX(tbl_Production[Current RMS No],IFERROR(MATCH(E343&amp;"",tbl_Production[Job Number],0),MATCH(IFERROR(E343+0,E343),tbl_Production[Job Number],0)))="",INDEX(tbl_Production[Qwilr Quote],IFERROR(MATCH(E343&amp;"",tbl_Production[Job Number],0),MATCH(IFERROR(E343+0,E343),tbl_Production[Job Number],0))),INDEX(tbl_Production[Current RMS No],IFERROR(MATCH(E343&amp;"",tbl_Production[Job Number],0),MATCH(IFERROR(E343+0,E343),tbl_Production[Job Number],0))))),IFERROR(IF(INDEX(tbl_Consulting[Qwilr Quote],IFERROR(MATCH(E343&amp;"",tbl_Consulting[Job Number],0),MATCH(IFERROR(E343+0,E343),tbl_Consulting[Job Number],0)))="","",INDEX(tbl_Consulting[Qwilr Quote],IFERROR(MATCH(E343&amp;"",tbl_Consulting[Job Number],0),MATCH(IFERROR(E343+0,E343),tbl_Consulting[Job Number],0)))),""))))</f>
        <v/>
      </c>
      <c r="AD343" s="25">
        <f>IF(AC343="","",IF(AND(LEFT(AC343,4)&lt;&gt;"http",IF(H343="Production",set_RMSBase,set_QwilrBase)=""),"",HYPERLINK(IF(LEFT(AC343,4)="http",AC343,IF(H343="Production",set_RMSBase,set_QwilrBase)&amp;AC343),"Open")))</f>
        <v/>
      </c>
      <c r="AE343" s="27">
        <f>IF(E343="","",IFERROR(INDEX(tbl_Production[Total Expense],IFERROR(MATCH(E343&amp;"",tbl_Production[Job Number],0),MATCH(IFERROR(E343+0,E343),tbl_Production[Job Number],0))),IFERROR(INDEX(tbl_Consulting[Total Expense],IFERROR(MATCH(E343&amp;"",tbl_Consulting[Job Number],0),MATCH(IFERROR(E343+0,E343),tbl_Consulting[Job Number],0))),0)))</f>
        <v/>
      </c>
      <c r="AF343" s="27">
        <f>IF(E343="","",Z343-N(AE343))</f>
        <v/>
      </c>
      <c r="AG343" s="29">
        <f>IFERROR(AF343/Z343,"")</f>
        <v/>
      </c>
      <c r="AH343" s="25">
        <f>IF(E343="","",IFERROR(IF(INDEX(tbl_Onsite[Notes],IFERROR(MATCH(E343&amp;"",tbl_Onsite[Job Number],0),MATCH(IFERROR(E343+0,E343),tbl_Onsite[Job Number],0)))="","",INDEX(tbl_Onsite[Notes],IFERROR(MATCH(E343&amp;"",tbl_Onsite[Job Number],0),MATCH(IFERROR(E343+0,E343),tbl_Onsite[Job Number],0)))),IFERROR(IF(INDEX(tbl_Production[Notes],IFERROR(MATCH(E343&amp;"",tbl_Production[Job Number],0),MATCH(IFERROR(E343+0,E343),tbl_Production[Job Number],0)))="","",INDEX(tbl_Production[Notes],IFERROR(MATCH(E343&amp;"",tbl_Production[Job Number],0),MATCH(IFERROR(E343+0,E343),tbl_Production[Job Number],0)))),IFERROR(IF(INDEX(tbl_Consulting[Notes],IFERROR(MATCH(E343&amp;"",tbl_Consulting[Job Number],0),MATCH(IFERROR(E343+0,E343),tbl_Consulting[Job Number],0)))="","",INDEX(tbl_Consulting[Notes],IFERROR(MATCH(E343&amp;"",tbl_Consulting[Job Number],0),MATCH(IFERROR(E343+0,E343),tbl_Consulting[Job Number],0)))),""))))</f>
        <v/>
      </c>
    </row>
    <row r="344" ht="15" customHeight="1">
      <c r="A344" s="22" t="n"/>
      <c r="B344" s="23">
        <f>IF(A344="","",EOMONTH(A344,0))</f>
        <v/>
      </c>
      <c r="C344" s="24" t="n"/>
      <c r="D344" s="24" t="n"/>
      <c r="E344" s="24" t="n"/>
      <c r="F344" s="25">
        <f>IF(E344="","",IF(COUNTIF(lst_Jobs,E344&amp;"")&gt;0,"OK","CHECK"))</f>
        <v/>
      </c>
      <c r="G344" s="24" t="n"/>
      <c r="H344" s="24" t="n"/>
      <c r="I344" s="24" t="n"/>
      <c r="J344" s="24" t="n"/>
      <c r="K344" s="24" t="n"/>
      <c r="L344" s="26" t="n"/>
      <c r="M344" s="27">
        <f>IF(L344="","",IF(K344="GST 10%",ROUND(L344*set_GSTRate,2),0))</f>
        <v/>
      </c>
      <c r="N344" s="27">
        <f>IF(L344="","",L344+M344)</f>
        <v/>
      </c>
      <c r="O344" s="24" t="n"/>
      <c r="P344" s="24" t="n"/>
      <c r="Q344" s="24" t="n"/>
      <c r="R344" s="22" t="n"/>
      <c r="S344" s="22" t="n"/>
      <c r="T344" s="24" t="n"/>
      <c r="U344" s="24" t="n"/>
      <c r="V344" s="2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25">
        <f>IF(E344="","",IF(COUNTIF(tbl_Onsite[Job Number],E344&amp;"")&gt;0,"Onsite",IF(COUNTIF(tbl_Production[Job Number],E344&amp;"")&gt;0,"Production",IF(COUNTIF(tbl_Consulting[Job Number],E344&amp;"")&gt;0,"Consulting","not set up yet"))))</f>
        <v/>
      </c>
      <c r="X344" s="25">
        <f>IF(E344="","",IFERROR(INDEX(lst_JobName,MATCH(E344&amp;"",lst_Jobs,0)),""))</f>
        <v/>
      </c>
      <c r="Y344" s="28">
        <f>IF(E344="","",COUNTIFS(tbl_Finance[Job Number],E344&amp;"",tbl_Finance[Ex GST],"&lt;&gt;"))</f>
        <v/>
      </c>
      <c r="Z344" s="27">
        <f>IF(E344="","",SUMIFS(tbl_Finance[Ex GST],tbl_Finance[Job Number],E344&amp;""))</f>
        <v/>
      </c>
      <c r="AA344" s="27">
        <f>IF(E344="","",SUMIFS(tbl_Finance[Ex GST],tbl_Finance[Job Number],E344&amp;"",tbl_Finance[Xero Invoice No],"&lt;&gt;"))</f>
        <v/>
      </c>
      <c r="AB344" s="27">
        <f>IF(E344="","",Z344-AA344)</f>
        <v/>
      </c>
      <c r="AC344" s="25">
        <f>IF(E344="","",IFERROR(IF(INDEX(tbl_Onsite[Qwilr Quote],IFERROR(MATCH(E344&amp;"",tbl_Onsite[Job Number],0),MATCH(IFERROR(E344+0,E344),tbl_Onsite[Job Number],0)))="","",INDEX(tbl_Onsite[Qwilr Quote],IFERROR(MATCH(E344&amp;"",tbl_Onsite[Job Number],0),MATCH(IFERROR(E344+0,E344),tbl_Onsite[Job Number],0)))),IFERROR(IF(IF(INDEX(tbl_Production[Current RMS No],IFERROR(MATCH(E344&amp;"",tbl_Production[Job Number],0),MATCH(IFERROR(E344+0,E344),tbl_Production[Job Number],0)))="",INDEX(tbl_Production[Qwilr Quote],IFERROR(MATCH(E344&amp;"",tbl_Production[Job Number],0),MATCH(IFERROR(E344+0,E344),tbl_Production[Job Number],0))),INDEX(tbl_Production[Current RMS No],IFERROR(MATCH(E344&amp;"",tbl_Production[Job Number],0),MATCH(IFERROR(E344+0,E344),tbl_Production[Job Number],0))))="","",IF(INDEX(tbl_Production[Current RMS No],IFERROR(MATCH(E344&amp;"",tbl_Production[Job Number],0),MATCH(IFERROR(E344+0,E344),tbl_Production[Job Number],0)))="",INDEX(tbl_Production[Qwilr Quote],IFERROR(MATCH(E344&amp;"",tbl_Production[Job Number],0),MATCH(IFERROR(E344+0,E344),tbl_Production[Job Number],0))),INDEX(tbl_Production[Current RMS No],IFERROR(MATCH(E344&amp;"",tbl_Production[Job Number],0),MATCH(IFERROR(E344+0,E344),tbl_Production[Job Number],0))))),IFERROR(IF(INDEX(tbl_Consulting[Qwilr Quote],IFERROR(MATCH(E344&amp;"",tbl_Consulting[Job Number],0),MATCH(IFERROR(E344+0,E344),tbl_Consulting[Job Number],0)))="","",INDEX(tbl_Consulting[Qwilr Quote],IFERROR(MATCH(E344&amp;"",tbl_Consulting[Job Number],0),MATCH(IFERROR(E344+0,E344),tbl_Consulting[Job Number],0)))),""))))</f>
        <v/>
      </c>
      <c r="AD344" s="25">
        <f>IF(AC344="","",IF(AND(LEFT(AC344,4)&lt;&gt;"http",IF(H344="Production",set_RMSBase,set_QwilrBase)=""),"",HYPERLINK(IF(LEFT(AC344,4)="http",AC344,IF(H344="Production",set_RMSBase,set_QwilrBase)&amp;AC344),"Open")))</f>
        <v/>
      </c>
      <c r="AE344" s="27">
        <f>IF(E344="","",IFERROR(INDEX(tbl_Production[Total Expense],IFERROR(MATCH(E344&amp;"",tbl_Production[Job Number],0),MATCH(IFERROR(E344+0,E344),tbl_Production[Job Number],0))),IFERROR(INDEX(tbl_Consulting[Total Expense],IFERROR(MATCH(E344&amp;"",tbl_Consulting[Job Number],0),MATCH(IFERROR(E344+0,E344),tbl_Consulting[Job Number],0))),0)))</f>
        <v/>
      </c>
      <c r="AF344" s="27">
        <f>IF(E344="","",Z344-N(AE344))</f>
        <v/>
      </c>
      <c r="AG344" s="29">
        <f>IFERROR(AF344/Z344,"")</f>
        <v/>
      </c>
      <c r="AH344" s="25">
        <f>IF(E344="","",IFERROR(IF(INDEX(tbl_Onsite[Notes],IFERROR(MATCH(E344&amp;"",tbl_Onsite[Job Number],0),MATCH(IFERROR(E344+0,E344),tbl_Onsite[Job Number],0)))="","",INDEX(tbl_Onsite[Notes],IFERROR(MATCH(E344&amp;"",tbl_Onsite[Job Number],0),MATCH(IFERROR(E344+0,E344),tbl_Onsite[Job Number],0)))),IFERROR(IF(INDEX(tbl_Production[Notes],IFERROR(MATCH(E344&amp;"",tbl_Production[Job Number],0),MATCH(IFERROR(E344+0,E344),tbl_Production[Job Number],0)))="","",INDEX(tbl_Production[Notes],IFERROR(MATCH(E344&amp;"",tbl_Production[Job Number],0),MATCH(IFERROR(E344+0,E344),tbl_Production[Job Number],0)))),IFERROR(IF(INDEX(tbl_Consulting[Notes],IFERROR(MATCH(E344&amp;"",tbl_Consulting[Job Number],0),MATCH(IFERROR(E344+0,E344),tbl_Consulting[Job Number],0)))="","",INDEX(tbl_Consulting[Notes],IFERROR(MATCH(E344&amp;"",tbl_Consulting[Job Number],0),MATCH(IFERROR(E344+0,E344),tbl_Consulting[Job Number],0)))),""))))</f>
        <v/>
      </c>
    </row>
    <row r="345" ht="15" customHeight="1">
      <c r="A345" s="22" t="n"/>
      <c r="B345" s="23">
        <f>IF(A345="","",EOMONTH(A345,0))</f>
        <v/>
      </c>
      <c r="C345" s="24" t="n"/>
      <c r="D345" s="24" t="n"/>
      <c r="E345" s="24" t="n"/>
      <c r="F345" s="25">
        <f>IF(E345="","",IF(COUNTIF(lst_Jobs,E345&amp;"")&gt;0,"OK","CHECK"))</f>
        <v/>
      </c>
      <c r="G345" s="24" t="n"/>
      <c r="H345" s="24" t="n"/>
      <c r="I345" s="24" t="n"/>
      <c r="J345" s="24" t="n"/>
      <c r="K345" s="24" t="n"/>
      <c r="L345" s="26" t="n"/>
      <c r="M345" s="27">
        <f>IF(L345="","",IF(K345="GST 10%",ROUND(L345*set_GSTRate,2),0))</f>
        <v/>
      </c>
      <c r="N345" s="27">
        <f>IF(L345="","",L345+M345)</f>
        <v/>
      </c>
      <c r="O345" s="24" t="n"/>
      <c r="P345" s="24" t="n"/>
      <c r="Q345" s="24" t="n"/>
      <c r="R345" s="22" t="n"/>
      <c r="S345" s="22" t="n"/>
      <c r="T345" s="24" t="n"/>
      <c r="U345" s="24" t="n"/>
      <c r="V345" s="2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25">
        <f>IF(E345="","",IF(COUNTIF(tbl_Onsite[Job Number],E345&amp;"")&gt;0,"Onsite",IF(COUNTIF(tbl_Production[Job Number],E345&amp;"")&gt;0,"Production",IF(COUNTIF(tbl_Consulting[Job Number],E345&amp;"")&gt;0,"Consulting","not set up yet"))))</f>
        <v/>
      </c>
      <c r="X345" s="25">
        <f>IF(E345="","",IFERROR(INDEX(lst_JobName,MATCH(E345&amp;"",lst_Jobs,0)),""))</f>
        <v/>
      </c>
      <c r="Y345" s="28">
        <f>IF(E345="","",COUNTIFS(tbl_Finance[Job Number],E345&amp;"",tbl_Finance[Ex GST],"&lt;&gt;"))</f>
        <v/>
      </c>
      <c r="Z345" s="27">
        <f>IF(E345="","",SUMIFS(tbl_Finance[Ex GST],tbl_Finance[Job Number],E345&amp;""))</f>
        <v/>
      </c>
      <c r="AA345" s="27">
        <f>IF(E345="","",SUMIFS(tbl_Finance[Ex GST],tbl_Finance[Job Number],E345&amp;"",tbl_Finance[Xero Invoice No],"&lt;&gt;"))</f>
        <v/>
      </c>
      <c r="AB345" s="27">
        <f>IF(E345="","",Z345-AA345)</f>
        <v/>
      </c>
      <c r="AC345" s="25">
        <f>IF(E345="","",IFERROR(IF(INDEX(tbl_Onsite[Qwilr Quote],IFERROR(MATCH(E345&amp;"",tbl_Onsite[Job Number],0),MATCH(IFERROR(E345+0,E345),tbl_Onsite[Job Number],0)))="","",INDEX(tbl_Onsite[Qwilr Quote],IFERROR(MATCH(E345&amp;"",tbl_Onsite[Job Number],0),MATCH(IFERROR(E345+0,E345),tbl_Onsite[Job Number],0)))),IFERROR(IF(IF(INDEX(tbl_Production[Current RMS No],IFERROR(MATCH(E345&amp;"",tbl_Production[Job Number],0),MATCH(IFERROR(E345+0,E345),tbl_Production[Job Number],0)))="",INDEX(tbl_Production[Qwilr Quote],IFERROR(MATCH(E345&amp;"",tbl_Production[Job Number],0),MATCH(IFERROR(E345+0,E345),tbl_Production[Job Number],0))),INDEX(tbl_Production[Current RMS No],IFERROR(MATCH(E345&amp;"",tbl_Production[Job Number],0),MATCH(IFERROR(E345+0,E345),tbl_Production[Job Number],0))))="","",IF(INDEX(tbl_Production[Current RMS No],IFERROR(MATCH(E345&amp;"",tbl_Production[Job Number],0),MATCH(IFERROR(E345+0,E345),tbl_Production[Job Number],0)))="",INDEX(tbl_Production[Qwilr Quote],IFERROR(MATCH(E345&amp;"",tbl_Production[Job Number],0),MATCH(IFERROR(E345+0,E345),tbl_Production[Job Number],0))),INDEX(tbl_Production[Current RMS No],IFERROR(MATCH(E345&amp;"",tbl_Production[Job Number],0),MATCH(IFERROR(E345+0,E345),tbl_Production[Job Number],0))))),IFERROR(IF(INDEX(tbl_Consulting[Qwilr Quote],IFERROR(MATCH(E345&amp;"",tbl_Consulting[Job Number],0),MATCH(IFERROR(E345+0,E345),tbl_Consulting[Job Number],0)))="","",INDEX(tbl_Consulting[Qwilr Quote],IFERROR(MATCH(E345&amp;"",tbl_Consulting[Job Number],0),MATCH(IFERROR(E345+0,E345),tbl_Consulting[Job Number],0)))),""))))</f>
        <v/>
      </c>
      <c r="AD345" s="25">
        <f>IF(AC345="","",IF(AND(LEFT(AC345,4)&lt;&gt;"http",IF(H345="Production",set_RMSBase,set_QwilrBase)=""),"",HYPERLINK(IF(LEFT(AC345,4)="http",AC345,IF(H345="Production",set_RMSBase,set_QwilrBase)&amp;AC345),"Open")))</f>
        <v/>
      </c>
      <c r="AE345" s="27">
        <f>IF(E345="","",IFERROR(INDEX(tbl_Production[Total Expense],IFERROR(MATCH(E345&amp;"",tbl_Production[Job Number],0),MATCH(IFERROR(E345+0,E345),tbl_Production[Job Number],0))),IFERROR(INDEX(tbl_Consulting[Total Expense],IFERROR(MATCH(E345&amp;"",tbl_Consulting[Job Number],0),MATCH(IFERROR(E345+0,E345),tbl_Consulting[Job Number],0))),0)))</f>
        <v/>
      </c>
      <c r="AF345" s="27">
        <f>IF(E345="","",Z345-N(AE345))</f>
        <v/>
      </c>
      <c r="AG345" s="29">
        <f>IFERROR(AF345/Z345,"")</f>
        <v/>
      </c>
      <c r="AH345" s="25">
        <f>IF(E345="","",IFERROR(IF(INDEX(tbl_Onsite[Notes],IFERROR(MATCH(E345&amp;"",tbl_Onsite[Job Number],0),MATCH(IFERROR(E345+0,E345),tbl_Onsite[Job Number],0)))="","",INDEX(tbl_Onsite[Notes],IFERROR(MATCH(E345&amp;"",tbl_Onsite[Job Number],0),MATCH(IFERROR(E345+0,E345),tbl_Onsite[Job Number],0)))),IFERROR(IF(INDEX(tbl_Production[Notes],IFERROR(MATCH(E345&amp;"",tbl_Production[Job Number],0),MATCH(IFERROR(E345+0,E345),tbl_Production[Job Number],0)))="","",INDEX(tbl_Production[Notes],IFERROR(MATCH(E345&amp;"",tbl_Production[Job Number],0),MATCH(IFERROR(E345+0,E345),tbl_Production[Job Number],0)))),IFERROR(IF(INDEX(tbl_Consulting[Notes],IFERROR(MATCH(E345&amp;"",tbl_Consulting[Job Number],0),MATCH(IFERROR(E345+0,E345),tbl_Consulting[Job Number],0)))="","",INDEX(tbl_Consulting[Notes],IFERROR(MATCH(E345&amp;"",tbl_Consulting[Job Number],0),MATCH(IFERROR(E345+0,E345),tbl_Consulting[Job Number],0)))),""))))</f>
        <v/>
      </c>
    </row>
    <row r="346" ht="15" customHeight="1">
      <c r="A346" s="22" t="n"/>
      <c r="B346" s="23">
        <f>IF(A346="","",EOMONTH(A346,0))</f>
        <v/>
      </c>
      <c r="C346" s="24" t="n"/>
      <c r="D346" s="24" t="n"/>
      <c r="E346" s="24" t="n"/>
      <c r="F346" s="25">
        <f>IF(E346="","",IF(COUNTIF(lst_Jobs,E346&amp;"")&gt;0,"OK","CHECK"))</f>
        <v/>
      </c>
      <c r="G346" s="24" t="n"/>
      <c r="H346" s="24" t="n"/>
      <c r="I346" s="24" t="n"/>
      <c r="J346" s="24" t="n"/>
      <c r="K346" s="24" t="n"/>
      <c r="L346" s="26" t="n"/>
      <c r="M346" s="27">
        <f>IF(L346="","",IF(K346="GST 10%",ROUND(L346*set_GSTRate,2),0))</f>
        <v/>
      </c>
      <c r="N346" s="27">
        <f>IF(L346="","",L346+M346)</f>
        <v/>
      </c>
      <c r="O346" s="24" t="n"/>
      <c r="P346" s="24" t="n"/>
      <c r="Q346" s="24" t="n"/>
      <c r="R346" s="22" t="n"/>
      <c r="S346" s="22" t="n"/>
      <c r="T346" s="24" t="n"/>
      <c r="U346" s="24" t="n"/>
      <c r="V346" s="2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25">
        <f>IF(E346="","",IF(COUNTIF(tbl_Onsite[Job Number],E346&amp;"")&gt;0,"Onsite",IF(COUNTIF(tbl_Production[Job Number],E346&amp;"")&gt;0,"Production",IF(COUNTIF(tbl_Consulting[Job Number],E346&amp;"")&gt;0,"Consulting","not set up yet"))))</f>
        <v/>
      </c>
      <c r="X346" s="25">
        <f>IF(E346="","",IFERROR(INDEX(lst_JobName,MATCH(E346&amp;"",lst_Jobs,0)),""))</f>
        <v/>
      </c>
      <c r="Y346" s="28">
        <f>IF(E346="","",COUNTIFS(tbl_Finance[Job Number],E346&amp;"",tbl_Finance[Ex GST],"&lt;&gt;"))</f>
        <v/>
      </c>
      <c r="Z346" s="27">
        <f>IF(E346="","",SUMIFS(tbl_Finance[Ex GST],tbl_Finance[Job Number],E346&amp;""))</f>
        <v/>
      </c>
      <c r="AA346" s="27">
        <f>IF(E346="","",SUMIFS(tbl_Finance[Ex GST],tbl_Finance[Job Number],E346&amp;"",tbl_Finance[Xero Invoice No],"&lt;&gt;"))</f>
        <v/>
      </c>
      <c r="AB346" s="27">
        <f>IF(E346="","",Z346-AA346)</f>
        <v/>
      </c>
      <c r="AC346" s="25">
        <f>IF(E346="","",IFERROR(IF(INDEX(tbl_Onsite[Qwilr Quote],IFERROR(MATCH(E346&amp;"",tbl_Onsite[Job Number],0),MATCH(IFERROR(E346+0,E346),tbl_Onsite[Job Number],0)))="","",INDEX(tbl_Onsite[Qwilr Quote],IFERROR(MATCH(E346&amp;"",tbl_Onsite[Job Number],0),MATCH(IFERROR(E346+0,E346),tbl_Onsite[Job Number],0)))),IFERROR(IF(IF(INDEX(tbl_Production[Current RMS No],IFERROR(MATCH(E346&amp;"",tbl_Production[Job Number],0),MATCH(IFERROR(E346+0,E346),tbl_Production[Job Number],0)))="",INDEX(tbl_Production[Qwilr Quote],IFERROR(MATCH(E346&amp;"",tbl_Production[Job Number],0),MATCH(IFERROR(E346+0,E346),tbl_Production[Job Number],0))),INDEX(tbl_Production[Current RMS No],IFERROR(MATCH(E346&amp;"",tbl_Production[Job Number],0),MATCH(IFERROR(E346+0,E346),tbl_Production[Job Number],0))))="","",IF(INDEX(tbl_Production[Current RMS No],IFERROR(MATCH(E346&amp;"",tbl_Production[Job Number],0),MATCH(IFERROR(E346+0,E346),tbl_Production[Job Number],0)))="",INDEX(tbl_Production[Qwilr Quote],IFERROR(MATCH(E346&amp;"",tbl_Production[Job Number],0),MATCH(IFERROR(E346+0,E346),tbl_Production[Job Number],0))),INDEX(tbl_Production[Current RMS No],IFERROR(MATCH(E346&amp;"",tbl_Production[Job Number],0),MATCH(IFERROR(E346+0,E346),tbl_Production[Job Number],0))))),IFERROR(IF(INDEX(tbl_Consulting[Qwilr Quote],IFERROR(MATCH(E346&amp;"",tbl_Consulting[Job Number],0),MATCH(IFERROR(E346+0,E346),tbl_Consulting[Job Number],0)))="","",INDEX(tbl_Consulting[Qwilr Quote],IFERROR(MATCH(E346&amp;"",tbl_Consulting[Job Number],0),MATCH(IFERROR(E346+0,E346),tbl_Consulting[Job Number],0)))),""))))</f>
        <v/>
      </c>
      <c r="AD346" s="25">
        <f>IF(AC346="","",IF(AND(LEFT(AC346,4)&lt;&gt;"http",IF(H346="Production",set_RMSBase,set_QwilrBase)=""),"",HYPERLINK(IF(LEFT(AC346,4)="http",AC346,IF(H346="Production",set_RMSBase,set_QwilrBase)&amp;AC346),"Open")))</f>
        <v/>
      </c>
      <c r="AE346" s="27">
        <f>IF(E346="","",IFERROR(INDEX(tbl_Production[Total Expense],IFERROR(MATCH(E346&amp;"",tbl_Production[Job Number],0),MATCH(IFERROR(E346+0,E346),tbl_Production[Job Number],0))),IFERROR(INDEX(tbl_Consulting[Total Expense],IFERROR(MATCH(E346&amp;"",tbl_Consulting[Job Number],0),MATCH(IFERROR(E346+0,E346),tbl_Consulting[Job Number],0))),0)))</f>
        <v/>
      </c>
      <c r="AF346" s="27">
        <f>IF(E346="","",Z346-N(AE346))</f>
        <v/>
      </c>
      <c r="AG346" s="29">
        <f>IFERROR(AF346/Z346,"")</f>
        <v/>
      </c>
      <c r="AH346" s="25">
        <f>IF(E346="","",IFERROR(IF(INDEX(tbl_Onsite[Notes],IFERROR(MATCH(E346&amp;"",tbl_Onsite[Job Number],0),MATCH(IFERROR(E346+0,E346),tbl_Onsite[Job Number],0)))="","",INDEX(tbl_Onsite[Notes],IFERROR(MATCH(E346&amp;"",tbl_Onsite[Job Number],0),MATCH(IFERROR(E346+0,E346),tbl_Onsite[Job Number],0)))),IFERROR(IF(INDEX(tbl_Production[Notes],IFERROR(MATCH(E346&amp;"",tbl_Production[Job Number],0),MATCH(IFERROR(E346+0,E346),tbl_Production[Job Number],0)))="","",INDEX(tbl_Production[Notes],IFERROR(MATCH(E346&amp;"",tbl_Production[Job Number],0),MATCH(IFERROR(E346+0,E346),tbl_Production[Job Number],0)))),IFERROR(IF(INDEX(tbl_Consulting[Notes],IFERROR(MATCH(E346&amp;"",tbl_Consulting[Job Number],0),MATCH(IFERROR(E346+0,E346),tbl_Consulting[Job Number],0)))="","",INDEX(tbl_Consulting[Notes],IFERROR(MATCH(E346&amp;"",tbl_Consulting[Job Number],0),MATCH(IFERROR(E346+0,E346),tbl_Consulting[Job Number],0)))),""))))</f>
        <v/>
      </c>
    </row>
    <row r="347" ht="15" customHeight="1">
      <c r="A347" s="22" t="n"/>
      <c r="B347" s="23">
        <f>IF(A347="","",EOMONTH(A347,0))</f>
        <v/>
      </c>
      <c r="C347" s="24" t="n"/>
      <c r="D347" s="24" t="n"/>
      <c r="E347" s="24" t="n"/>
      <c r="F347" s="25">
        <f>IF(E347="","",IF(COUNTIF(lst_Jobs,E347&amp;"")&gt;0,"OK","CHECK"))</f>
        <v/>
      </c>
      <c r="G347" s="24" t="n"/>
      <c r="H347" s="24" t="n"/>
      <c r="I347" s="24" t="n"/>
      <c r="J347" s="24" t="n"/>
      <c r="K347" s="24" t="n"/>
      <c r="L347" s="26" t="n"/>
      <c r="M347" s="27">
        <f>IF(L347="","",IF(K347="GST 10%",ROUND(L347*set_GSTRate,2),0))</f>
        <v/>
      </c>
      <c r="N347" s="27">
        <f>IF(L347="","",L347+M347)</f>
        <v/>
      </c>
      <c r="O347" s="24" t="n"/>
      <c r="P347" s="24" t="n"/>
      <c r="Q347" s="24" t="n"/>
      <c r="R347" s="22" t="n"/>
      <c r="S347" s="22" t="n"/>
      <c r="T347" s="24" t="n"/>
      <c r="U347" s="24" t="n"/>
      <c r="V347" s="2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25">
        <f>IF(E347="","",IF(COUNTIF(tbl_Onsite[Job Number],E347&amp;"")&gt;0,"Onsite",IF(COUNTIF(tbl_Production[Job Number],E347&amp;"")&gt;0,"Production",IF(COUNTIF(tbl_Consulting[Job Number],E347&amp;"")&gt;0,"Consulting","not set up yet"))))</f>
        <v/>
      </c>
      <c r="X347" s="25">
        <f>IF(E347="","",IFERROR(INDEX(lst_JobName,MATCH(E347&amp;"",lst_Jobs,0)),""))</f>
        <v/>
      </c>
      <c r="Y347" s="28">
        <f>IF(E347="","",COUNTIFS(tbl_Finance[Job Number],E347&amp;"",tbl_Finance[Ex GST],"&lt;&gt;"))</f>
        <v/>
      </c>
      <c r="Z347" s="27">
        <f>IF(E347="","",SUMIFS(tbl_Finance[Ex GST],tbl_Finance[Job Number],E347&amp;""))</f>
        <v/>
      </c>
      <c r="AA347" s="27">
        <f>IF(E347="","",SUMIFS(tbl_Finance[Ex GST],tbl_Finance[Job Number],E347&amp;"",tbl_Finance[Xero Invoice No],"&lt;&gt;"))</f>
        <v/>
      </c>
      <c r="AB347" s="27">
        <f>IF(E347="","",Z347-AA347)</f>
        <v/>
      </c>
      <c r="AC347" s="25">
        <f>IF(E347="","",IFERROR(IF(INDEX(tbl_Onsite[Qwilr Quote],IFERROR(MATCH(E347&amp;"",tbl_Onsite[Job Number],0),MATCH(IFERROR(E347+0,E347),tbl_Onsite[Job Number],0)))="","",INDEX(tbl_Onsite[Qwilr Quote],IFERROR(MATCH(E347&amp;"",tbl_Onsite[Job Number],0),MATCH(IFERROR(E347+0,E347),tbl_Onsite[Job Number],0)))),IFERROR(IF(IF(INDEX(tbl_Production[Current RMS No],IFERROR(MATCH(E347&amp;"",tbl_Production[Job Number],0),MATCH(IFERROR(E347+0,E347),tbl_Production[Job Number],0)))="",INDEX(tbl_Production[Qwilr Quote],IFERROR(MATCH(E347&amp;"",tbl_Production[Job Number],0),MATCH(IFERROR(E347+0,E347),tbl_Production[Job Number],0))),INDEX(tbl_Production[Current RMS No],IFERROR(MATCH(E347&amp;"",tbl_Production[Job Number],0),MATCH(IFERROR(E347+0,E347),tbl_Production[Job Number],0))))="","",IF(INDEX(tbl_Production[Current RMS No],IFERROR(MATCH(E347&amp;"",tbl_Production[Job Number],0),MATCH(IFERROR(E347+0,E347),tbl_Production[Job Number],0)))="",INDEX(tbl_Production[Qwilr Quote],IFERROR(MATCH(E347&amp;"",tbl_Production[Job Number],0),MATCH(IFERROR(E347+0,E347),tbl_Production[Job Number],0))),INDEX(tbl_Production[Current RMS No],IFERROR(MATCH(E347&amp;"",tbl_Production[Job Number],0),MATCH(IFERROR(E347+0,E347),tbl_Production[Job Number],0))))),IFERROR(IF(INDEX(tbl_Consulting[Qwilr Quote],IFERROR(MATCH(E347&amp;"",tbl_Consulting[Job Number],0),MATCH(IFERROR(E347+0,E347),tbl_Consulting[Job Number],0)))="","",INDEX(tbl_Consulting[Qwilr Quote],IFERROR(MATCH(E347&amp;"",tbl_Consulting[Job Number],0),MATCH(IFERROR(E347+0,E347),tbl_Consulting[Job Number],0)))),""))))</f>
        <v/>
      </c>
      <c r="AD347" s="25">
        <f>IF(AC347="","",IF(AND(LEFT(AC347,4)&lt;&gt;"http",IF(H347="Production",set_RMSBase,set_QwilrBase)=""),"",HYPERLINK(IF(LEFT(AC347,4)="http",AC347,IF(H347="Production",set_RMSBase,set_QwilrBase)&amp;AC347),"Open")))</f>
        <v/>
      </c>
      <c r="AE347" s="27">
        <f>IF(E347="","",IFERROR(INDEX(tbl_Production[Total Expense],IFERROR(MATCH(E347&amp;"",tbl_Production[Job Number],0),MATCH(IFERROR(E347+0,E347),tbl_Production[Job Number],0))),IFERROR(INDEX(tbl_Consulting[Total Expense],IFERROR(MATCH(E347&amp;"",tbl_Consulting[Job Number],0),MATCH(IFERROR(E347+0,E347),tbl_Consulting[Job Number],0))),0)))</f>
        <v/>
      </c>
      <c r="AF347" s="27">
        <f>IF(E347="","",Z347-N(AE347))</f>
        <v/>
      </c>
      <c r="AG347" s="29">
        <f>IFERROR(AF347/Z347,"")</f>
        <v/>
      </c>
      <c r="AH347" s="25">
        <f>IF(E347="","",IFERROR(IF(INDEX(tbl_Onsite[Notes],IFERROR(MATCH(E347&amp;"",tbl_Onsite[Job Number],0),MATCH(IFERROR(E347+0,E347),tbl_Onsite[Job Number],0)))="","",INDEX(tbl_Onsite[Notes],IFERROR(MATCH(E347&amp;"",tbl_Onsite[Job Number],0),MATCH(IFERROR(E347+0,E347),tbl_Onsite[Job Number],0)))),IFERROR(IF(INDEX(tbl_Production[Notes],IFERROR(MATCH(E347&amp;"",tbl_Production[Job Number],0),MATCH(IFERROR(E347+0,E347),tbl_Production[Job Number],0)))="","",INDEX(tbl_Production[Notes],IFERROR(MATCH(E347&amp;"",tbl_Production[Job Number],0),MATCH(IFERROR(E347+0,E347),tbl_Production[Job Number],0)))),IFERROR(IF(INDEX(tbl_Consulting[Notes],IFERROR(MATCH(E347&amp;"",tbl_Consulting[Job Number],0),MATCH(IFERROR(E347+0,E347),tbl_Consulting[Job Number],0)))="","",INDEX(tbl_Consulting[Notes],IFERROR(MATCH(E347&amp;"",tbl_Consulting[Job Number],0),MATCH(IFERROR(E347+0,E347),tbl_Consulting[Job Number],0)))),""))))</f>
        <v/>
      </c>
    </row>
    <row r="348" ht="15" customHeight="1">
      <c r="A348" s="22" t="n"/>
      <c r="B348" s="23">
        <f>IF(A348="","",EOMONTH(A348,0))</f>
        <v/>
      </c>
      <c r="C348" s="24" t="n"/>
      <c r="D348" s="24" t="n"/>
      <c r="E348" s="24" t="n"/>
      <c r="F348" s="25">
        <f>IF(E348="","",IF(COUNTIF(lst_Jobs,E348&amp;"")&gt;0,"OK","CHECK"))</f>
        <v/>
      </c>
      <c r="G348" s="24" t="n"/>
      <c r="H348" s="24" t="n"/>
      <c r="I348" s="24" t="n"/>
      <c r="J348" s="24" t="n"/>
      <c r="K348" s="24" t="n"/>
      <c r="L348" s="26" t="n"/>
      <c r="M348" s="27">
        <f>IF(L348="","",IF(K348="GST 10%",ROUND(L348*set_GSTRate,2),0))</f>
        <v/>
      </c>
      <c r="N348" s="27">
        <f>IF(L348="","",L348+M348)</f>
        <v/>
      </c>
      <c r="O348" s="24" t="n"/>
      <c r="P348" s="24" t="n"/>
      <c r="Q348" s="24" t="n"/>
      <c r="R348" s="22" t="n"/>
      <c r="S348" s="22" t="n"/>
      <c r="T348" s="24" t="n"/>
      <c r="U348" s="24" t="n"/>
      <c r="V348" s="2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25">
        <f>IF(E348="","",IF(COUNTIF(tbl_Onsite[Job Number],E348&amp;"")&gt;0,"Onsite",IF(COUNTIF(tbl_Production[Job Number],E348&amp;"")&gt;0,"Production",IF(COUNTIF(tbl_Consulting[Job Number],E348&amp;"")&gt;0,"Consulting","not set up yet"))))</f>
        <v/>
      </c>
      <c r="X348" s="25">
        <f>IF(E348="","",IFERROR(INDEX(lst_JobName,MATCH(E348&amp;"",lst_Jobs,0)),""))</f>
        <v/>
      </c>
      <c r="Y348" s="28">
        <f>IF(E348="","",COUNTIFS(tbl_Finance[Job Number],E348&amp;"",tbl_Finance[Ex GST],"&lt;&gt;"))</f>
        <v/>
      </c>
      <c r="Z348" s="27">
        <f>IF(E348="","",SUMIFS(tbl_Finance[Ex GST],tbl_Finance[Job Number],E348&amp;""))</f>
        <v/>
      </c>
      <c r="AA348" s="27">
        <f>IF(E348="","",SUMIFS(tbl_Finance[Ex GST],tbl_Finance[Job Number],E348&amp;"",tbl_Finance[Xero Invoice No],"&lt;&gt;"))</f>
        <v/>
      </c>
      <c r="AB348" s="27">
        <f>IF(E348="","",Z348-AA348)</f>
        <v/>
      </c>
      <c r="AC348" s="25">
        <f>IF(E348="","",IFERROR(IF(INDEX(tbl_Onsite[Qwilr Quote],IFERROR(MATCH(E348&amp;"",tbl_Onsite[Job Number],0),MATCH(IFERROR(E348+0,E348),tbl_Onsite[Job Number],0)))="","",INDEX(tbl_Onsite[Qwilr Quote],IFERROR(MATCH(E348&amp;"",tbl_Onsite[Job Number],0),MATCH(IFERROR(E348+0,E348),tbl_Onsite[Job Number],0)))),IFERROR(IF(IF(INDEX(tbl_Production[Current RMS No],IFERROR(MATCH(E348&amp;"",tbl_Production[Job Number],0),MATCH(IFERROR(E348+0,E348),tbl_Production[Job Number],0)))="",INDEX(tbl_Production[Qwilr Quote],IFERROR(MATCH(E348&amp;"",tbl_Production[Job Number],0),MATCH(IFERROR(E348+0,E348),tbl_Production[Job Number],0))),INDEX(tbl_Production[Current RMS No],IFERROR(MATCH(E348&amp;"",tbl_Production[Job Number],0),MATCH(IFERROR(E348+0,E348),tbl_Production[Job Number],0))))="","",IF(INDEX(tbl_Production[Current RMS No],IFERROR(MATCH(E348&amp;"",tbl_Production[Job Number],0),MATCH(IFERROR(E348+0,E348),tbl_Production[Job Number],0)))="",INDEX(tbl_Production[Qwilr Quote],IFERROR(MATCH(E348&amp;"",tbl_Production[Job Number],0),MATCH(IFERROR(E348+0,E348),tbl_Production[Job Number],0))),INDEX(tbl_Production[Current RMS No],IFERROR(MATCH(E348&amp;"",tbl_Production[Job Number],0),MATCH(IFERROR(E348+0,E348),tbl_Production[Job Number],0))))),IFERROR(IF(INDEX(tbl_Consulting[Qwilr Quote],IFERROR(MATCH(E348&amp;"",tbl_Consulting[Job Number],0),MATCH(IFERROR(E348+0,E348),tbl_Consulting[Job Number],0)))="","",INDEX(tbl_Consulting[Qwilr Quote],IFERROR(MATCH(E348&amp;"",tbl_Consulting[Job Number],0),MATCH(IFERROR(E348+0,E348),tbl_Consulting[Job Number],0)))),""))))</f>
        <v/>
      </c>
      <c r="AD348" s="25">
        <f>IF(AC348="","",IF(AND(LEFT(AC348,4)&lt;&gt;"http",IF(H348="Production",set_RMSBase,set_QwilrBase)=""),"",HYPERLINK(IF(LEFT(AC348,4)="http",AC348,IF(H348="Production",set_RMSBase,set_QwilrBase)&amp;AC348),"Open")))</f>
        <v/>
      </c>
      <c r="AE348" s="27">
        <f>IF(E348="","",IFERROR(INDEX(tbl_Production[Total Expense],IFERROR(MATCH(E348&amp;"",tbl_Production[Job Number],0),MATCH(IFERROR(E348+0,E348),tbl_Production[Job Number],0))),IFERROR(INDEX(tbl_Consulting[Total Expense],IFERROR(MATCH(E348&amp;"",tbl_Consulting[Job Number],0),MATCH(IFERROR(E348+0,E348),tbl_Consulting[Job Number],0))),0)))</f>
        <v/>
      </c>
      <c r="AF348" s="27">
        <f>IF(E348="","",Z348-N(AE348))</f>
        <v/>
      </c>
      <c r="AG348" s="29">
        <f>IFERROR(AF348/Z348,"")</f>
        <v/>
      </c>
      <c r="AH348" s="25">
        <f>IF(E348="","",IFERROR(IF(INDEX(tbl_Onsite[Notes],IFERROR(MATCH(E348&amp;"",tbl_Onsite[Job Number],0),MATCH(IFERROR(E348+0,E348),tbl_Onsite[Job Number],0)))="","",INDEX(tbl_Onsite[Notes],IFERROR(MATCH(E348&amp;"",tbl_Onsite[Job Number],0),MATCH(IFERROR(E348+0,E348),tbl_Onsite[Job Number],0)))),IFERROR(IF(INDEX(tbl_Production[Notes],IFERROR(MATCH(E348&amp;"",tbl_Production[Job Number],0),MATCH(IFERROR(E348+0,E348),tbl_Production[Job Number],0)))="","",INDEX(tbl_Production[Notes],IFERROR(MATCH(E348&amp;"",tbl_Production[Job Number],0),MATCH(IFERROR(E348+0,E348),tbl_Production[Job Number],0)))),IFERROR(IF(INDEX(tbl_Consulting[Notes],IFERROR(MATCH(E348&amp;"",tbl_Consulting[Job Number],0),MATCH(IFERROR(E348+0,E348),tbl_Consulting[Job Number],0)))="","",INDEX(tbl_Consulting[Notes],IFERROR(MATCH(E348&amp;"",tbl_Consulting[Job Number],0),MATCH(IFERROR(E348+0,E348),tbl_Consulting[Job Number],0)))),""))))</f>
        <v/>
      </c>
    </row>
    <row r="349" ht="15" customHeight="1">
      <c r="A349" s="22" t="n"/>
      <c r="B349" s="23">
        <f>IF(A349="","",EOMONTH(A349,0))</f>
        <v/>
      </c>
      <c r="C349" s="24" t="n"/>
      <c r="D349" s="24" t="n"/>
      <c r="E349" s="24" t="n"/>
      <c r="F349" s="25">
        <f>IF(E349="","",IF(COUNTIF(lst_Jobs,E349&amp;"")&gt;0,"OK","CHECK"))</f>
        <v/>
      </c>
      <c r="G349" s="24" t="n"/>
      <c r="H349" s="24" t="n"/>
      <c r="I349" s="24" t="n"/>
      <c r="J349" s="24" t="n"/>
      <c r="K349" s="24" t="n"/>
      <c r="L349" s="26" t="n"/>
      <c r="M349" s="27">
        <f>IF(L349="","",IF(K349="GST 10%",ROUND(L349*set_GSTRate,2),0))</f>
        <v/>
      </c>
      <c r="N349" s="27">
        <f>IF(L349="","",L349+M349)</f>
        <v/>
      </c>
      <c r="O349" s="24" t="n"/>
      <c r="P349" s="24" t="n"/>
      <c r="Q349" s="24" t="n"/>
      <c r="R349" s="22" t="n"/>
      <c r="S349" s="22" t="n"/>
      <c r="T349" s="24" t="n"/>
      <c r="U349" s="24" t="n"/>
      <c r="V349" s="2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25">
        <f>IF(E349="","",IF(COUNTIF(tbl_Onsite[Job Number],E349&amp;"")&gt;0,"Onsite",IF(COUNTIF(tbl_Production[Job Number],E349&amp;"")&gt;0,"Production",IF(COUNTIF(tbl_Consulting[Job Number],E349&amp;"")&gt;0,"Consulting","not set up yet"))))</f>
        <v/>
      </c>
      <c r="X349" s="25">
        <f>IF(E349="","",IFERROR(INDEX(lst_JobName,MATCH(E349&amp;"",lst_Jobs,0)),""))</f>
        <v/>
      </c>
      <c r="Y349" s="28">
        <f>IF(E349="","",COUNTIFS(tbl_Finance[Job Number],E349&amp;"",tbl_Finance[Ex GST],"&lt;&gt;"))</f>
        <v/>
      </c>
      <c r="Z349" s="27">
        <f>IF(E349="","",SUMIFS(tbl_Finance[Ex GST],tbl_Finance[Job Number],E349&amp;""))</f>
        <v/>
      </c>
      <c r="AA349" s="27">
        <f>IF(E349="","",SUMIFS(tbl_Finance[Ex GST],tbl_Finance[Job Number],E349&amp;"",tbl_Finance[Xero Invoice No],"&lt;&gt;"))</f>
        <v/>
      </c>
      <c r="AB349" s="27">
        <f>IF(E349="","",Z349-AA349)</f>
        <v/>
      </c>
      <c r="AC349" s="25">
        <f>IF(E349="","",IFERROR(IF(INDEX(tbl_Onsite[Qwilr Quote],IFERROR(MATCH(E349&amp;"",tbl_Onsite[Job Number],0),MATCH(IFERROR(E349+0,E349),tbl_Onsite[Job Number],0)))="","",INDEX(tbl_Onsite[Qwilr Quote],IFERROR(MATCH(E349&amp;"",tbl_Onsite[Job Number],0),MATCH(IFERROR(E349+0,E349),tbl_Onsite[Job Number],0)))),IFERROR(IF(IF(INDEX(tbl_Production[Current RMS No],IFERROR(MATCH(E349&amp;"",tbl_Production[Job Number],0),MATCH(IFERROR(E349+0,E349),tbl_Production[Job Number],0)))="",INDEX(tbl_Production[Qwilr Quote],IFERROR(MATCH(E349&amp;"",tbl_Production[Job Number],0),MATCH(IFERROR(E349+0,E349),tbl_Production[Job Number],0))),INDEX(tbl_Production[Current RMS No],IFERROR(MATCH(E349&amp;"",tbl_Production[Job Number],0),MATCH(IFERROR(E349+0,E349),tbl_Production[Job Number],0))))="","",IF(INDEX(tbl_Production[Current RMS No],IFERROR(MATCH(E349&amp;"",tbl_Production[Job Number],0),MATCH(IFERROR(E349+0,E349),tbl_Production[Job Number],0)))="",INDEX(tbl_Production[Qwilr Quote],IFERROR(MATCH(E349&amp;"",tbl_Production[Job Number],0),MATCH(IFERROR(E349+0,E349),tbl_Production[Job Number],0))),INDEX(tbl_Production[Current RMS No],IFERROR(MATCH(E349&amp;"",tbl_Production[Job Number],0),MATCH(IFERROR(E349+0,E349),tbl_Production[Job Number],0))))),IFERROR(IF(INDEX(tbl_Consulting[Qwilr Quote],IFERROR(MATCH(E349&amp;"",tbl_Consulting[Job Number],0),MATCH(IFERROR(E349+0,E349),tbl_Consulting[Job Number],0)))="","",INDEX(tbl_Consulting[Qwilr Quote],IFERROR(MATCH(E349&amp;"",tbl_Consulting[Job Number],0),MATCH(IFERROR(E349+0,E349),tbl_Consulting[Job Number],0)))),""))))</f>
        <v/>
      </c>
      <c r="AD349" s="25">
        <f>IF(AC349="","",IF(AND(LEFT(AC349,4)&lt;&gt;"http",IF(H349="Production",set_RMSBase,set_QwilrBase)=""),"",HYPERLINK(IF(LEFT(AC349,4)="http",AC349,IF(H349="Production",set_RMSBase,set_QwilrBase)&amp;AC349),"Open")))</f>
        <v/>
      </c>
      <c r="AE349" s="27">
        <f>IF(E349="","",IFERROR(INDEX(tbl_Production[Total Expense],IFERROR(MATCH(E349&amp;"",tbl_Production[Job Number],0),MATCH(IFERROR(E349+0,E349),tbl_Production[Job Number],0))),IFERROR(INDEX(tbl_Consulting[Total Expense],IFERROR(MATCH(E349&amp;"",tbl_Consulting[Job Number],0),MATCH(IFERROR(E349+0,E349),tbl_Consulting[Job Number],0))),0)))</f>
        <v/>
      </c>
      <c r="AF349" s="27">
        <f>IF(E349="","",Z349-N(AE349))</f>
        <v/>
      </c>
      <c r="AG349" s="29">
        <f>IFERROR(AF349/Z349,"")</f>
        <v/>
      </c>
      <c r="AH349" s="25">
        <f>IF(E349="","",IFERROR(IF(INDEX(tbl_Onsite[Notes],IFERROR(MATCH(E349&amp;"",tbl_Onsite[Job Number],0),MATCH(IFERROR(E349+0,E349),tbl_Onsite[Job Number],0)))="","",INDEX(tbl_Onsite[Notes],IFERROR(MATCH(E349&amp;"",tbl_Onsite[Job Number],0),MATCH(IFERROR(E349+0,E349),tbl_Onsite[Job Number],0)))),IFERROR(IF(INDEX(tbl_Production[Notes],IFERROR(MATCH(E349&amp;"",tbl_Production[Job Number],0),MATCH(IFERROR(E349+0,E349),tbl_Production[Job Number],0)))="","",INDEX(tbl_Production[Notes],IFERROR(MATCH(E349&amp;"",tbl_Production[Job Number],0),MATCH(IFERROR(E349+0,E349),tbl_Production[Job Number],0)))),IFERROR(IF(INDEX(tbl_Consulting[Notes],IFERROR(MATCH(E349&amp;"",tbl_Consulting[Job Number],0),MATCH(IFERROR(E349+0,E349),tbl_Consulting[Job Number],0)))="","",INDEX(tbl_Consulting[Notes],IFERROR(MATCH(E349&amp;"",tbl_Consulting[Job Number],0),MATCH(IFERROR(E349+0,E349),tbl_Consulting[Job Number],0)))),""))))</f>
        <v/>
      </c>
    </row>
    <row r="350" ht="15" customHeight="1">
      <c r="A350" s="22" t="n"/>
      <c r="B350" s="23">
        <f>IF(A350="","",EOMONTH(A350,0))</f>
        <v/>
      </c>
      <c r="C350" s="24" t="n"/>
      <c r="D350" s="24" t="n"/>
      <c r="E350" s="24" t="n"/>
      <c r="F350" s="25">
        <f>IF(E350="","",IF(COUNTIF(lst_Jobs,E350&amp;"")&gt;0,"OK","CHECK"))</f>
        <v/>
      </c>
      <c r="G350" s="24" t="n"/>
      <c r="H350" s="24" t="n"/>
      <c r="I350" s="24" t="n"/>
      <c r="J350" s="24" t="n"/>
      <c r="K350" s="24" t="n"/>
      <c r="L350" s="26" t="n"/>
      <c r="M350" s="27">
        <f>IF(L350="","",IF(K350="GST 10%",ROUND(L350*set_GSTRate,2),0))</f>
        <v/>
      </c>
      <c r="N350" s="27">
        <f>IF(L350="","",L350+M350)</f>
        <v/>
      </c>
      <c r="O350" s="24" t="n"/>
      <c r="P350" s="24" t="n"/>
      <c r="Q350" s="24" t="n"/>
      <c r="R350" s="22" t="n"/>
      <c r="S350" s="22" t="n"/>
      <c r="T350" s="24" t="n"/>
      <c r="U350" s="24" t="n"/>
      <c r="V350" s="2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25">
        <f>IF(E350="","",IF(COUNTIF(tbl_Onsite[Job Number],E350&amp;"")&gt;0,"Onsite",IF(COUNTIF(tbl_Production[Job Number],E350&amp;"")&gt;0,"Production",IF(COUNTIF(tbl_Consulting[Job Number],E350&amp;"")&gt;0,"Consulting","not set up yet"))))</f>
        <v/>
      </c>
      <c r="X350" s="25">
        <f>IF(E350="","",IFERROR(INDEX(lst_JobName,MATCH(E350&amp;"",lst_Jobs,0)),""))</f>
        <v/>
      </c>
      <c r="Y350" s="28">
        <f>IF(E350="","",COUNTIFS(tbl_Finance[Job Number],E350&amp;"",tbl_Finance[Ex GST],"&lt;&gt;"))</f>
        <v/>
      </c>
      <c r="Z350" s="27">
        <f>IF(E350="","",SUMIFS(tbl_Finance[Ex GST],tbl_Finance[Job Number],E350&amp;""))</f>
        <v/>
      </c>
      <c r="AA350" s="27">
        <f>IF(E350="","",SUMIFS(tbl_Finance[Ex GST],tbl_Finance[Job Number],E350&amp;"",tbl_Finance[Xero Invoice No],"&lt;&gt;"))</f>
        <v/>
      </c>
      <c r="AB350" s="27">
        <f>IF(E350="","",Z350-AA350)</f>
        <v/>
      </c>
      <c r="AC350" s="25">
        <f>IF(E350="","",IFERROR(IF(INDEX(tbl_Onsite[Qwilr Quote],IFERROR(MATCH(E350&amp;"",tbl_Onsite[Job Number],0),MATCH(IFERROR(E350+0,E350),tbl_Onsite[Job Number],0)))="","",INDEX(tbl_Onsite[Qwilr Quote],IFERROR(MATCH(E350&amp;"",tbl_Onsite[Job Number],0),MATCH(IFERROR(E350+0,E350),tbl_Onsite[Job Number],0)))),IFERROR(IF(IF(INDEX(tbl_Production[Current RMS No],IFERROR(MATCH(E350&amp;"",tbl_Production[Job Number],0),MATCH(IFERROR(E350+0,E350),tbl_Production[Job Number],0)))="",INDEX(tbl_Production[Qwilr Quote],IFERROR(MATCH(E350&amp;"",tbl_Production[Job Number],0),MATCH(IFERROR(E350+0,E350),tbl_Production[Job Number],0))),INDEX(tbl_Production[Current RMS No],IFERROR(MATCH(E350&amp;"",tbl_Production[Job Number],0),MATCH(IFERROR(E350+0,E350),tbl_Production[Job Number],0))))="","",IF(INDEX(tbl_Production[Current RMS No],IFERROR(MATCH(E350&amp;"",tbl_Production[Job Number],0),MATCH(IFERROR(E350+0,E350),tbl_Production[Job Number],0)))="",INDEX(tbl_Production[Qwilr Quote],IFERROR(MATCH(E350&amp;"",tbl_Production[Job Number],0),MATCH(IFERROR(E350+0,E350),tbl_Production[Job Number],0))),INDEX(tbl_Production[Current RMS No],IFERROR(MATCH(E350&amp;"",tbl_Production[Job Number],0),MATCH(IFERROR(E350+0,E350),tbl_Production[Job Number],0))))),IFERROR(IF(INDEX(tbl_Consulting[Qwilr Quote],IFERROR(MATCH(E350&amp;"",tbl_Consulting[Job Number],0),MATCH(IFERROR(E350+0,E350),tbl_Consulting[Job Number],0)))="","",INDEX(tbl_Consulting[Qwilr Quote],IFERROR(MATCH(E350&amp;"",tbl_Consulting[Job Number],0),MATCH(IFERROR(E350+0,E350),tbl_Consulting[Job Number],0)))),""))))</f>
        <v/>
      </c>
      <c r="AD350" s="25">
        <f>IF(AC350="","",IF(AND(LEFT(AC350,4)&lt;&gt;"http",IF(H350="Production",set_RMSBase,set_QwilrBase)=""),"",HYPERLINK(IF(LEFT(AC350,4)="http",AC350,IF(H350="Production",set_RMSBase,set_QwilrBase)&amp;AC350),"Open")))</f>
        <v/>
      </c>
      <c r="AE350" s="27">
        <f>IF(E350="","",IFERROR(INDEX(tbl_Production[Total Expense],IFERROR(MATCH(E350&amp;"",tbl_Production[Job Number],0),MATCH(IFERROR(E350+0,E350),tbl_Production[Job Number],0))),IFERROR(INDEX(tbl_Consulting[Total Expense],IFERROR(MATCH(E350&amp;"",tbl_Consulting[Job Number],0),MATCH(IFERROR(E350+0,E350),tbl_Consulting[Job Number],0))),0)))</f>
        <v/>
      </c>
      <c r="AF350" s="27">
        <f>IF(E350="","",Z350-N(AE350))</f>
        <v/>
      </c>
      <c r="AG350" s="29">
        <f>IFERROR(AF350/Z350,"")</f>
        <v/>
      </c>
      <c r="AH350" s="25">
        <f>IF(E350="","",IFERROR(IF(INDEX(tbl_Onsite[Notes],IFERROR(MATCH(E350&amp;"",tbl_Onsite[Job Number],0),MATCH(IFERROR(E350+0,E350),tbl_Onsite[Job Number],0)))="","",INDEX(tbl_Onsite[Notes],IFERROR(MATCH(E350&amp;"",tbl_Onsite[Job Number],0),MATCH(IFERROR(E350+0,E350),tbl_Onsite[Job Number],0)))),IFERROR(IF(INDEX(tbl_Production[Notes],IFERROR(MATCH(E350&amp;"",tbl_Production[Job Number],0),MATCH(IFERROR(E350+0,E350),tbl_Production[Job Number],0)))="","",INDEX(tbl_Production[Notes],IFERROR(MATCH(E350&amp;"",tbl_Production[Job Number],0),MATCH(IFERROR(E350+0,E350),tbl_Production[Job Number],0)))),IFERROR(IF(INDEX(tbl_Consulting[Notes],IFERROR(MATCH(E350&amp;"",tbl_Consulting[Job Number],0),MATCH(IFERROR(E350+0,E350),tbl_Consulting[Job Number],0)))="","",INDEX(tbl_Consulting[Notes],IFERROR(MATCH(E350&amp;"",tbl_Consulting[Job Number],0),MATCH(IFERROR(E350+0,E350),tbl_Consulting[Job Number],0)))),""))))</f>
        <v/>
      </c>
    </row>
    <row r="351" ht="15" customHeight="1">
      <c r="A351" s="22" t="n"/>
      <c r="B351" s="23">
        <f>IF(A351="","",EOMONTH(A351,0))</f>
        <v/>
      </c>
      <c r="C351" s="24" t="n"/>
      <c r="D351" s="24" t="n"/>
      <c r="E351" s="24" t="n"/>
      <c r="F351" s="25">
        <f>IF(E351="","",IF(COUNTIF(lst_Jobs,E351&amp;"")&gt;0,"OK","CHECK"))</f>
        <v/>
      </c>
      <c r="G351" s="24" t="n"/>
      <c r="H351" s="24" t="n"/>
      <c r="I351" s="24" t="n"/>
      <c r="J351" s="24" t="n"/>
      <c r="K351" s="24" t="n"/>
      <c r="L351" s="26" t="n"/>
      <c r="M351" s="27">
        <f>IF(L351="","",IF(K351="GST 10%",ROUND(L351*set_GSTRate,2),0))</f>
        <v/>
      </c>
      <c r="N351" s="27">
        <f>IF(L351="","",L351+M351)</f>
        <v/>
      </c>
      <c r="O351" s="24" t="n"/>
      <c r="P351" s="24" t="n"/>
      <c r="Q351" s="24" t="n"/>
      <c r="R351" s="22" t="n"/>
      <c r="S351" s="22" t="n"/>
      <c r="T351" s="24" t="n"/>
      <c r="U351" s="24" t="n"/>
      <c r="V351" s="2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25">
        <f>IF(E351="","",IF(COUNTIF(tbl_Onsite[Job Number],E351&amp;"")&gt;0,"Onsite",IF(COUNTIF(tbl_Production[Job Number],E351&amp;"")&gt;0,"Production",IF(COUNTIF(tbl_Consulting[Job Number],E351&amp;"")&gt;0,"Consulting","not set up yet"))))</f>
        <v/>
      </c>
      <c r="X351" s="25">
        <f>IF(E351="","",IFERROR(INDEX(lst_JobName,MATCH(E351&amp;"",lst_Jobs,0)),""))</f>
        <v/>
      </c>
      <c r="Y351" s="28">
        <f>IF(E351="","",COUNTIFS(tbl_Finance[Job Number],E351&amp;"",tbl_Finance[Ex GST],"&lt;&gt;"))</f>
        <v/>
      </c>
      <c r="Z351" s="27">
        <f>IF(E351="","",SUMIFS(tbl_Finance[Ex GST],tbl_Finance[Job Number],E351&amp;""))</f>
        <v/>
      </c>
      <c r="AA351" s="27">
        <f>IF(E351="","",SUMIFS(tbl_Finance[Ex GST],tbl_Finance[Job Number],E351&amp;"",tbl_Finance[Xero Invoice No],"&lt;&gt;"))</f>
        <v/>
      </c>
      <c r="AB351" s="27">
        <f>IF(E351="","",Z351-AA351)</f>
        <v/>
      </c>
      <c r="AC351" s="25">
        <f>IF(E351="","",IFERROR(IF(INDEX(tbl_Onsite[Qwilr Quote],IFERROR(MATCH(E351&amp;"",tbl_Onsite[Job Number],0),MATCH(IFERROR(E351+0,E351),tbl_Onsite[Job Number],0)))="","",INDEX(tbl_Onsite[Qwilr Quote],IFERROR(MATCH(E351&amp;"",tbl_Onsite[Job Number],0),MATCH(IFERROR(E351+0,E351),tbl_Onsite[Job Number],0)))),IFERROR(IF(IF(INDEX(tbl_Production[Current RMS No],IFERROR(MATCH(E351&amp;"",tbl_Production[Job Number],0),MATCH(IFERROR(E351+0,E351),tbl_Production[Job Number],0)))="",INDEX(tbl_Production[Qwilr Quote],IFERROR(MATCH(E351&amp;"",tbl_Production[Job Number],0),MATCH(IFERROR(E351+0,E351),tbl_Production[Job Number],0))),INDEX(tbl_Production[Current RMS No],IFERROR(MATCH(E351&amp;"",tbl_Production[Job Number],0),MATCH(IFERROR(E351+0,E351),tbl_Production[Job Number],0))))="","",IF(INDEX(tbl_Production[Current RMS No],IFERROR(MATCH(E351&amp;"",tbl_Production[Job Number],0),MATCH(IFERROR(E351+0,E351),tbl_Production[Job Number],0)))="",INDEX(tbl_Production[Qwilr Quote],IFERROR(MATCH(E351&amp;"",tbl_Production[Job Number],0),MATCH(IFERROR(E351+0,E351),tbl_Production[Job Number],0))),INDEX(tbl_Production[Current RMS No],IFERROR(MATCH(E351&amp;"",tbl_Production[Job Number],0),MATCH(IFERROR(E351+0,E351),tbl_Production[Job Number],0))))),IFERROR(IF(INDEX(tbl_Consulting[Qwilr Quote],IFERROR(MATCH(E351&amp;"",tbl_Consulting[Job Number],0),MATCH(IFERROR(E351+0,E351),tbl_Consulting[Job Number],0)))="","",INDEX(tbl_Consulting[Qwilr Quote],IFERROR(MATCH(E351&amp;"",tbl_Consulting[Job Number],0),MATCH(IFERROR(E351+0,E351),tbl_Consulting[Job Number],0)))),""))))</f>
        <v/>
      </c>
      <c r="AD351" s="25">
        <f>IF(AC351="","",IF(AND(LEFT(AC351,4)&lt;&gt;"http",IF(H351="Production",set_RMSBase,set_QwilrBase)=""),"",HYPERLINK(IF(LEFT(AC351,4)="http",AC351,IF(H351="Production",set_RMSBase,set_QwilrBase)&amp;AC351),"Open")))</f>
        <v/>
      </c>
      <c r="AE351" s="27">
        <f>IF(E351="","",IFERROR(INDEX(tbl_Production[Total Expense],IFERROR(MATCH(E351&amp;"",tbl_Production[Job Number],0),MATCH(IFERROR(E351+0,E351),tbl_Production[Job Number],0))),IFERROR(INDEX(tbl_Consulting[Total Expense],IFERROR(MATCH(E351&amp;"",tbl_Consulting[Job Number],0),MATCH(IFERROR(E351+0,E351),tbl_Consulting[Job Number],0))),0)))</f>
        <v/>
      </c>
      <c r="AF351" s="27">
        <f>IF(E351="","",Z351-N(AE351))</f>
        <v/>
      </c>
      <c r="AG351" s="29">
        <f>IFERROR(AF351/Z351,"")</f>
        <v/>
      </c>
      <c r="AH351" s="25">
        <f>IF(E351="","",IFERROR(IF(INDEX(tbl_Onsite[Notes],IFERROR(MATCH(E351&amp;"",tbl_Onsite[Job Number],0),MATCH(IFERROR(E351+0,E351),tbl_Onsite[Job Number],0)))="","",INDEX(tbl_Onsite[Notes],IFERROR(MATCH(E351&amp;"",tbl_Onsite[Job Number],0),MATCH(IFERROR(E351+0,E351),tbl_Onsite[Job Number],0)))),IFERROR(IF(INDEX(tbl_Production[Notes],IFERROR(MATCH(E351&amp;"",tbl_Production[Job Number],0),MATCH(IFERROR(E351+0,E351),tbl_Production[Job Number],0)))="","",INDEX(tbl_Production[Notes],IFERROR(MATCH(E351&amp;"",tbl_Production[Job Number],0),MATCH(IFERROR(E351+0,E351),tbl_Production[Job Number],0)))),IFERROR(IF(INDEX(tbl_Consulting[Notes],IFERROR(MATCH(E351&amp;"",tbl_Consulting[Job Number],0),MATCH(IFERROR(E351+0,E351),tbl_Consulting[Job Number],0)))="","",INDEX(tbl_Consulting[Notes],IFERROR(MATCH(E351&amp;"",tbl_Consulting[Job Number],0),MATCH(IFERROR(E351+0,E351),tbl_Consulting[Job Number],0)))),""))))</f>
        <v/>
      </c>
    </row>
    <row r="352" ht="15" customHeight="1">
      <c r="A352" s="22" t="n"/>
      <c r="B352" s="23">
        <f>IF(A352="","",EOMONTH(A352,0))</f>
        <v/>
      </c>
      <c r="C352" s="24" t="n"/>
      <c r="D352" s="24" t="n"/>
      <c r="E352" s="24" t="n"/>
      <c r="F352" s="25">
        <f>IF(E352="","",IF(COUNTIF(lst_Jobs,E352&amp;"")&gt;0,"OK","CHECK"))</f>
        <v/>
      </c>
      <c r="G352" s="24" t="n"/>
      <c r="H352" s="24" t="n"/>
      <c r="I352" s="24" t="n"/>
      <c r="J352" s="24" t="n"/>
      <c r="K352" s="24" t="n"/>
      <c r="L352" s="26" t="n"/>
      <c r="M352" s="27">
        <f>IF(L352="","",IF(K352="GST 10%",ROUND(L352*set_GSTRate,2),0))</f>
        <v/>
      </c>
      <c r="N352" s="27">
        <f>IF(L352="","",L352+M352)</f>
        <v/>
      </c>
      <c r="O352" s="24" t="n"/>
      <c r="P352" s="24" t="n"/>
      <c r="Q352" s="24" t="n"/>
      <c r="R352" s="22" t="n"/>
      <c r="S352" s="22" t="n"/>
      <c r="T352" s="24" t="n"/>
      <c r="U352" s="24" t="n"/>
      <c r="V352" s="2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25">
        <f>IF(E352="","",IF(COUNTIF(tbl_Onsite[Job Number],E352&amp;"")&gt;0,"Onsite",IF(COUNTIF(tbl_Production[Job Number],E352&amp;"")&gt;0,"Production",IF(COUNTIF(tbl_Consulting[Job Number],E352&amp;"")&gt;0,"Consulting","not set up yet"))))</f>
        <v/>
      </c>
      <c r="X352" s="25">
        <f>IF(E352="","",IFERROR(INDEX(lst_JobName,MATCH(E352&amp;"",lst_Jobs,0)),""))</f>
        <v/>
      </c>
      <c r="Y352" s="28">
        <f>IF(E352="","",COUNTIFS(tbl_Finance[Job Number],E352&amp;"",tbl_Finance[Ex GST],"&lt;&gt;"))</f>
        <v/>
      </c>
      <c r="Z352" s="27">
        <f>IF(E352="","",SUMIFS(tbl_Finance[Ex GST],tbl_Finance[Job Number],E352&amp;""))</f>
        <v/>
      </c>
      <c r="AA352" s="27">
        <f>IF(E352="","",SUMIFS(tbl_Finance[Ex GST],tbl_Finance[Job Number],E352&amp;"",tbl_Finance[Xero Invoice No],"&lt;&gt;"))</f>
        <v/>
      </c>
      <c r="AB352" s="27">
        <f>IF(E352="","",Z352-AA352)</f>
        <v/>
      </c>
      <c r="AC352" s="25">
        <f>IF(E352="","",IFERROR(IF(INDEX(tbl_Onsite[Qwilr Quote],IFERROR(MATCH(E352&amp;"",tbl_Onsite[Job Number],0),MATCH(IFERROR(E352+0,E352),tbl_Onsite[Job Number],0)))="","",INDEX(tbl_Onsite[Qwilr Quote],IFERROR(MATCH(E352&amp;"",tbl_Onsite[Job Number],0),MATCH(IFERROR(E352+0,E352),tbl_Onsite[Job Number],0)))),IFERROR(IF(IF(INDEX(tbl_Production[Current RMS No],IFERROR(MATCH(E352&amp;"",tbl_Production[Job Number],0),MATCH(IFERROR(E352+0,E352),tbl_Production[Job Number],0)))="",INDEX(tbl_Production[Qwilr Quote],IFERROR(MATCH(E352&amp;"",tbl_Production[Job Number],0),MATCH(IFERROR(E352+0,E352),tbl_Production[Job Number],0))),INDEX(tbl_Production[Current RMS No],IFERROR(MATCH(E352&amp;"",tbl_Production[Job Number],0),MATCH(IFERROR(E352+0,E352),tbl_Production[Job Number],0))))="","",IF(INDEX(tbl_Production[Current RMS No],IFERROR(MATCH(E352&amp;"",tbl_Production[Job Number],0),MATCH(IFERROR(E352+0,E352),tbl_Production[Job Number],0)))="",INDEX(tbl_Production[Qwilr Quote],IFERROR(MATCH(E352&amp;"",tbl_Production[Job Number],0),MATCH(IFERROR(E352+0,E352),tbl_Production[Job Number],0))),INDEX(tbl_Production[Current RMS No],IFERROR(MATCH(E352&amp;"",tbl_Production[Job Number],0),MATCH(IFERROR(E352+0,E352),tbl_Production[Job Number],0))))),IFERROR(IF(INDEX(tbl_Consulting[Qwilr Quote],IFERROR(MATCH(E352&amp;"",tbl_Consulting[Job Number],0),MATCH(IFERROR(E352+0,E352),tbl_Consulting[Job Number],0)))="","",INDEX(tbl_Consulting[Qwilr Quote],IFERROR(MATCH(E352&amp;"",tbl_Consulting[Job Number],0),MATCH(IFERROR(E352+0,E352),tbl_Consulting[Job Number],0)))),""))))</f>
        <v/>
      </c>
      <c r="AD352" s="25">
        <f>IF(AC352="","",IF(AND(LEFT(AC352,4)&lt;&gt;"http",IF(H352="Production",set_RMSBase,set_QwilrBase)=""),"",HYPERLINK(IF(LEFT(AC352,4)="http",AC352,IF(H352="Production",set_RMSBase,set_QwilrBase)&amp;AC352),"Open")))</f>
        <v/>
      </c>
      <c r="AE352" s="27">
        <f>IF(E352="","",IFERROR(INDEX(tbl_Production[Total Expense],IFERROR(MATCH(E352&amp;"",tbl_Production[Job Number],0),MATCH(IFERROR(E352+0,E352),tbl_Production[Job Number],0))),IFERROR(INDEX(tbl_Consulting[Total Expense],IFERROR(MATCH(E352&amp;"",tbl_Consulting[Job Number],0),MATCH(IFERROR(E352+0,E352),tbl_Consulting[Job Number],0))),0)))</f>
        <v/>
      </c>
      <c r="AF352" s="27">
        <f>IF(E352="","",Z352-N(AE352))</f>
        <v/>
      </c>
      <c r="AG352" s="29">
        <f>IFERROR(AF352/Z352,"")</f>
        <v/>
      </c>
      <c r="AH352" s="25">
        <f>IF(E352="","",IFERROR(IF(INDEX(tbl_Onsite[Notes],IFERROR(MATCH(E352&amp;"",tbl_Onsite[Job Number],0),MATCH(IFERROR(E352+0,E352),tbl_Onsite[Job Number],0)))="","",INDEX(tbl_Onsite[Notes],IFERROR(MATCH(E352&amp;"",tbl_Onsite[Job Number],0),MATCH(IFERROR(E352+0,E352),tbl_Onsite[Job Number],0)))),IFERROR(IF(INDEX(tbl_Production[Notes],IFERROR(MATCH(E352&amp;"",tbl_Production[Job Number],0),MATCH(IFERROR(E352+0,E352),tbl_Production[Job Number],0)))="","",INDEX(tbl_Production[Notes],IFERROR(MATCH(E352&amp;"",tbl_Production[Job Number],0),MATCH(IFERROR(E352+0,E352),tbl_Production[Job Number],0)))),IFERROR(IF(INDEX(tbl_Consulting[Notes],IFERROR(MATCH(E352&amp;"",tbl_Consulting[Job Number],0),MATCH(IFERROR(E352+0,E352),tbl_Consulting[Job Number],0)))="","",INDEX(tbl_Consulting[Notes],IFERROR(MATCH(E352&amp;"",tbl_Consulting[Job Number],0),MATCH(IFERROR(E352+0,E352),tbl_Consulting[Job Number],0)))),""))))</f>
        <v/>
      </c>
    </row>
    <row r="353" ht="15" customHeight="1">
      <c r="A353" s="22" t="n"/>
      <c r="B353" s="23">
        <f>IF(A353="","",EOMONTH(A353,0))</f>
        <v/>
      </c>
      <c r="C353" s="24" t="n"/>
      <c r="D353" s="24" t="n"/>
      <c r="E353" s="24" t="n"/>
      <c r="F353" s="25">
        <f>IF(E353="","",IF(COUNTIF(lst_Jobs,E353&amp;"")&gt;0,"OK","CHECK"))</f>
        <v/>
      </c>
      <c r="G353" s="24" t="n"/>
      <c r="H353" s="24" t="n"/>
      <c r="I353" s="24" t="n"/>
      <c r="J353" s="24" t="n"/>
      <c r="K353" s="24" t="n"/>
      <c r="L353" s="26" t="n"/>
      <c r="M353" s="27">
        <f>IF(L353="","",IF(K353="GST 10%",ROUND(L353*set_GSTRate,2),0))</f>
        <v/>
      </c>
      <c r="N353" s="27">
        <f>IF(L353="","",L353+M353)</f>
        <v/>
      </c>
      <c r="O353" s="24" t="n"/>
      <c r="P353" s="24" t="n"/>
      <c r="Q353" s="24" t="n"/>
      <c r="R353" s="22" t="n"/>
      <c r="S353" s="22" t="n"/>
      <c r="T353" s="24" t="n"/>
      <c r="U353" s="24" t="n"/>
      <c r="V353" s="2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25">
        <f>IF(E353="","",IF(COUNTIF(tbl_Onsite[Job Number],E353&amp;"")&gt;0,"Onsite",IF(COUNTIF(tbl_Production[Job Number],E353&amp;"")&gt;0,"Production",IF(COUNTIF(tbl_Consulting[Job Number],E353&amp;"")&gt;0,"Consulting","not set up yet"))))</f>
        <v/>
      </c>
      <c r="X353" s="25">
        <f>IF(E353="","",IFERROR(INDEX(lst_JobName,MATCH(E353&amp;"",lst_Jobs,0)),""))</f>
        <v/>
      </c>
      <c r="Y353" s="28">
        <f>IF(E353="","",COUNTIFS(tbl_Finance[Job Number],E353&amp;"",tbl_Finance[Ex GST],"&lt;&gt;"))</f>
        <v/>
      </c>
      <c r="Z353" s="27">
        <f>IF(E353="","",SUMIFS(tbl_Finance[Ex GST],tbl_Finance[Job Number],E353&amp;""))</f>
        <v/>
      </c>
      <c r="AA353" s="27">
        <f>IF(E353="","",SUMIFS(tbl_Finance[Ex GST],tbl_Finance[Job Number],E353&amp;"",tbl_Finance[Xero Invoice No],"&lt;&gt;"))</f>
        <v/>
      </c>
      <c r="AB353" s="27">
        <f>IF(E353="","",Z353-AA353)</f>
        <v/>
      </c>
      <c r="AC353" s="25">
        <f>IF(E353="","",IFERROR(IF(INDEX(tbl_Onsite[Qwilr Quote],IFERROR(MATCH(E353&amp;"",tbl_Onsite[Job Number],0),MATCH(IFERROR(E353+0,E353),tbl_Onsite[Job Number],0)))="","",INDEX(tbl_Onsite[Qwilr Quote],IFERROR(MATCH(E353&amp;"",tbl_Onsite[Job Number],0),MATCH(IFERROR(E353+0,E353),tbl_Onsite[Job Number],0)))),IFERROR(IF(IF(INDEX(tbl_Production[Current RMS No],IFERROR(MATCH(E353&amp;"",tbl_Production[Job Number],0),MATCH(IFERROR(E353+0,E353),tbl_Production[Job Number],0)))="",INDEX(tbl_Production[Qwilr Quote],IFERROR(MATCH(E353&amp;"",tbl_Production[Job Number],0),MATCH(IFERROR(E353+0,E353),tbl_Production[Job Number],0))),INDEX(tbl_Production[Current RMS No],IFERROR(MATCH(E353&amp;"",tbl_Production[Job Number],0),MATCH(IFERROR(E353+0,E353),tbl_Production[Job Number],0))))="","",IF(INDEX(tbl_Production[Current RMS No],IFERROR(MATCH(E353&amp;"",tbl_Production[Job Number],0),MATCH(IFERROR(E353+0,E353),tbl_Production[Job Number],0)))="",INDEX(tbl_Production[Qwilr Quote],IFERROR(MATCH(E353&amp;"",tbl_Production[Job Number],0),MATCH(IFERROR(E353+0,E353),tbl_Production[Job Number],0))),INDEX(tbl_Production[Current RMS No],IFERROR(MATCH(E353&amp;"",tbl_Production[Job Number],0),MATCH(IFERROR(E353+0,E353),tbl_Production[Job Number],0))))),IFERROR(IF(INDEX(tbl_Consulting[Qwilr Quote],IFERROR(MATCH(E353&amp;"",tbl_Consulting[Job Number],0),MATCH(IFERROR(E353+0,E353),tbl_Consulting[Job Number],0)))="","",INDEX(tbl_Consulting[Qwilr Quote],IFERROR(MATCH(E353&amp;"",tbl_Consulting[Job Number],0),MATCH(IFERROR(E353+0,E353),tbl_Consulting[Job Number],0)))),""))))</f>
        <v/>
      </c>
      <c r="AD353" s="25">
        <f>IF(AC353="","",IF(AND(LEFT(AC353,4)&lt;&gt;"http",IF(H353="Production",set_RMSBase,set_QwilrBase)=""),"",HYPERLINK(IF(LEFT(AC353,4)="http",AC353,IF(H353="Production",set_RMSBase,set_QwilrBase)&amp;AC353),"Open")))</f>
        <v/>
      </c>
      <c r="AE353" s="27">
        <f>IF(E353="","",IFERROR(INDEX(tbl_Production[Total Expense],IFERROR(MATCH(E353&amp;"",tbl_Production[Job Number],0),MATCH(IFERROR(E353+0,E353),tbl_Production[Job Number],0))),IFERROR(INDEX(tbl_Consulting[Total Expense],IFERROR(MATCH(E353&amp;"",tbl_Consulting[Job Number],0),MATCH(IFERROR(E353+0,E353),tbl_Consulting[Job Number],0))),0)))</f>
        <v/>
      </c>
      <c r="AF353" s="27">
        <f>IF(E353="","",Z353-N(AE353))</f>
        <v/>
      </c>
      <c r="AG353" s="29">
        <f>IFERROR(AF353/Z353,"")</f>
        <v/>
      </c>
      <c r="AH353" s="25">
        <f>IF(E353="","",IFERROR(IF(INDEX(tbl_Onsite[Notes],IFERROR(MATCH(E353&amp;"",tbl_Onsite[Job Number],0),MATCH(IFERROR(E353+0,E353),tbl_Onsite[Job Number],0)))="","",INDEX(tbl_Onsite[Notes],IFERROR(MATCH(E353&amp;"",tbl_Onsite[Job Number],0),MATCH(IFERROR(E353+0,E353),tbl_Onsite[Job Number],0)))),IFERROR(IF(INDEX(tbl_Production[Notes],IFERROR(MATCH(E353&amp;"",tbl_Production[Job Number],0),MATCH(IFERROR(E353+0,E353),tbl_Production[Job Number],0)))="","",INDEX(tbl_Production[Notes],IFERROR(MATCH(E353&amp;"",tbl_Production[Job Number],0),MATCH(IFERROR(E353+0,E353),tbl_Production[Job Number],0)))),IFERROR(IF(INDEX(tbl_Consulting[Notes],IFERROR(MATCH(E353&amp;"",tbl_Consulting[Job Number],0),MATCH(IFERROR(E353+0,E353),tbl_Consulting[Job Number],0)))="","",INDEX(tbl_Consulting[Notes],IFERROR(MATCH(E353&amp;"",tbl_Consulting[Job Number],0),MATCH(IFERROR(E353+0,E353),tbl_Consulting[Job Number],0)))),""))))</f>
        <v/>
      </c>
    </row>
    <row r="354" ht="15" customHeight="1">
      <c r="A354" s="22" t="n"/>
      <c r="B354" s="23">
        <f>IF(A354="","",EOMONTH(A354,0))</f>
        <v/>
      </c>
      <c r="C354" s="24" t="n"/>
      <c r="D354" s="24" t="n"/>
      <c r="E354" s="24" t="n"/>
      <c r="F354" s="25">
        <f>IF(E354="","",IF(COUNTIF(lst_Jobs,E354&amp;"")&gt;0,"OK","CHECK"))</f>
        <v/>
      </c>
      <c r="G354" s="24" t="n"/>
      <c r="H354" s="24" t="n"/>
      <c r="I354" s="24" t="n"/>
      <c r="J354" s="24" t="n"/>
      <c r="K354" s="24" t="n"/>
      <c r="L354" s="26" t="n"/>
      <c r="M354" s="27">
        <f>IF(L354="","",IF(K354="GST 10%",ROUND(L354*set_GSTRate,2),0))</f>
        <v/>
      </c>
      <c r="N354" s="27">
        <f>IF(L354="","",L354+M354)</f>
        <v/>
      </c>
      <c r="O354" s="24" t="n"/>
      <c r="P354" s="24" t="n"/>
      <c r="Q354" s="24" t="n"/>
      <c r="R354" s="22" t="n"/>
      <c r="S354" s="22" t="n"/>
      <c r="T354" s="24" t="n"/>
      <c r="U354" s="24" t="n"/>
      <c r="V354" s="2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25">
        <f>IF(E354="","",IF(COUNTIF(tbl_Onsite[Job Number],E354&amp;"")&gt;0,"Onsite",IF(COUNTIF(tbl_Production[Job Number],E354&amp;"")&gt;0,"Production",IF(COUNTIF(tbl_Consulting[Job Number],E354&amp;"")&gt;0,"Consulting","not set up yet"))))</f>
        <v/>
      </c>
      <c r="X354" s="25">
        <f>IF(E354="","",IFERROR(INDEX(lst_JobName,MATCH(E354&amp;"",lst_Jobs,0)),""))</f>
        <v/>
      </c>
      <c r="Y354" s="28">
        <f>IF(E354="","",COUNTIFS(tbl_Finance[Job Number],E354&amp;"",tbl_Finance[Ex GST],"&lt;&gt;"))</f>
        <v/>
      </c>
      <c r="Z354" s="27">
        <f>IF(E354="","",SUMIFS(tbl_Finance[Ex GST],tbl_Finance[Job Number],E354&amp;""))</f>
        <v/>
      </c>
      <c r="AA354" s="27">
        <f>IF(E354="","",SUMIFS(tbl_Finance[Ex GST],tbl_Finance[Job Number],E354&amp;"",tbl_Finance[Xero Invoice No],"&lt;&gt;"))</f>
        <v/>
      </c>
      <c r="AB354" s="27">
        <f>IF(E354="","",Z354-AA354)</f>
        <v/>
      </c>
      <c r="AC354" s="25">
        <f>IF(E354="","",IFERROR(IF(INDEX(tbl_Onsite[Qwilr Quote],IFERROR(MATCH(E354&amp;"",tbl_Onsite[Job Number],0),MATCH(IFERROR(E354+0,E354),tbl_Onsite[Job Number],0)))="","",INDEX(tbl_Onsite[Qwilr Quote],IFERROR(MATCH(E354&amp;"",tbl_Onsite[Job Number],0),MATCH(IFERROR(E354+0,E354),tbl_Onsite[Job Number],0)))),IFERROR(IF(IF(INDEX(tbl_Production[Current RMS No],IFERROR(MATCH(E354&amp;"",tbl_Production[Job Number],0),MATCH(IFERROR(E354+0,E354),tbl_Production[Job Number],0)))="",INDEX(tbl_Production[Qwilr Quote],IFERROR(MATCH(E354&amp;"",tbl_Production[Job Number],0),MATCH(IFERROR(E354+0,E354),tbl_Production[Job Number],0))),INDEX(tbl_Production[Current RMS No],IFERROR(MATCH(E354&amp;"",tbl_Production[Job Number],0),MATCH(IFERROR(E354+0,E354),tbl_Production[Job Number],0))))="","",IF(INDEX(tbl_Production[Current RMS No],IFERROR(MATCH(E354&amp;"",tbl_Production[Job Number],0),MATCH(IFERROR(E354+0,E354),tbl_Production[Job Number],0)))="",INDEX(tbl_Production[Qwilr Quote],IFERROR(MATCH(E354&amp;"",tbl_Production[Job Number],0),MATCH(IFERROR(E354+0,E354),tbl_Production[Job Number],0))),INDEX(tbl_Production[Current RMS No],IFERROR(MATCH(E354&amp;"",tbl_Production[Job Number],0),MATCH(IFERROR(E354+0,E354),tbl_Production[Job Number],0))))),IFERROR(IF(INDEX(tbl_Consulting[Qwilr Quote],IFERROR(MATCH(E354&amp;"",tbl_Consulting[Job Number],0),MATCH(IFERROR(E354+0,E354),tbl_Consulting[Job Number],0)))="","",INDEX(tbl_Consulting[Qwilr Quote],IFERROR(MATCH(E354&amp;"",tbl_Consulting[Job Number],0),MATCH(IFERROR(E354+0,E354),tbl_Consulting[Job Number],0)))),""))))</f>
        <v/>
      </c>
      <c r="AD354" s="25">
        <f>IF(AC354="","",IF(AND(LEFT(AC354,4)&lt;&gt;"http",IF(H354="Production",set_RMSBase,set_QwilrBase)=""),"",HYPERLINK(IF(LEFT(AC354,4)="http",AC354,IF(H354="Production",set_RMSBase,set_QwilrBase)&amp;AC354),"Open")))</f>
        <v/>
      </c>
      <c r="AE354" s="27">
        <f>IF(E354="","",IFERROR(INDEX(tbl_Production[Total Expense],IFERROR(MATCH(E354&amp;"",tbl_Production[Job Number],0),MATCH(IFERROR(E354+0,E354),tbl_Production[Job Number],0))),IFERROR(INDEX(tbl_Consulting[Total Expense],IFERROR(MATCH(E354&amp;"",tbl_Consulting[Job Number],0),MATCH(IFERROR(E354+0,E354),tbl_Consulting[Job Number],0))),0)))</f>
        <v/>
      </c>
      <c r="AF354" s="27">
        <f>IF(E354="","",Z354-N(AE354))</f>
        <v/>
      </c>
      <c r="AG354" s="29">
        <f>IFERROR(AF354/Z354,"")</f>
        <v/>
      </c>
      <c r="AH354" s="25">
        <f>IF(E354="","",IFERROR(IF(INDEX(tbl_Onsite[Notes],IFERROR(MATCH(E354&amp;"",tbl_Onsite[Job Number],0),MATCH(IFERROR(E354+0,E354),tbl_Onsite[Job Number],0)))="","",INDEX(tbl_Onsite[Notes],IFERROR(MATCH(E354&amp;"",tbl_Onsite[Job Number],0),MATCH(IFERROR(E354+0,E354),tbl_Onsite[Job Number],0)))),IFERROR(IF(INDEX(tbl_Production[Notes],IFERROR(MATCH(E354&amp;"",tbl_Production[Job Number],0),MATCH(IFERROR(E354+0,E354),tbl_Production[Job Number],0)))="","",INDEX(tbl_Production[Notes],IFERROR(MATCH(E354&amp;"",tbl_Production[Job Number],0),MATCH(IFERROR(E354+0,E354),tbl_Production[Job Number],0)))),IFERROR(IF(INDEX(tbl_Consulting[Notes],IFERROR(MATCH(E354&amp;"",tbl_Consulting[Job Number],0),MATCH(IFERROR(E354+0,E354),tbl_Consulting[Job Number],0)))="","",INDEX(tbl_Consulting[Notes],IFERROR(MATCH(E354&amp;"",tbl_Consulting[Job Number],0),MATCH(IFERROR(E354+0,E354),tbl_Consulting[Job Number],0)))),""))))</f>
        <v/>
      </c>
    </row>
    <row r="355" ht="15" customHeight="1">
      <c r="A355" s="22" t="n"/>
      <c r="B355" s="23">
        <f>IF(A355="","",EOMONTH(A355,0))</f>
        <v/>
      </c>
      <c r="C355" s="24" t="n"/>
      <c r="D355" s="24" t="n"/>
      <c r="E355" s="24" t="n"/>
      <c r="F355" s="25">
        <f>IF(E355="","",IF(COUNTIF(lst_Jobs,E355&amp;"")&gt;0,"OK","CHECK"))</f>
        <v/>
      </c>
      <c r="G355" s="24" t="n"/>
      <c r="H355" s="24" t="n"/>
      <c r="I355" s="24" t="n"/>
      <c r="J355" s="24" t="n"/>
      <c r="K355" s="24" t="n"/>
      <c r="L355" s="26" t="n"/>
      <c r="M355" s="27">
        <f>IF(L355="","",IF(K355="GST 10%",ROUND(L355*set_GSTRate,2),0))</f>
        <v/>
      </c>
      <c r="N355" s="27">
        <f>IF(L355="","",L355+M355)</f>
        <v/>
      </c>
      <c r="O355" s="24" t="n"/>
      <c r="P355" s="24" t="n"/>
      <c r="Q355" s="24" t="n"/>
      <c r="R355" s="22" t="n"/>
      <c r="S355" s="22" t="n"/>
      <c r="T355" s="24" t="n"/>
      <c r="U355" s="24" t="n"/>
      <c r="V355" s="2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25">
        <f>IF(E355="","",IF(COUNTIF(tbl_Onsite[Job Number],E355&amp;"")&gt;0,"Onsite",IF(COUNTIF(tbl_Production[Job Number],E355&amp;"")&gt;0,"Production",IF(COUNTIF(tbl_Consulting[Job Number],E355&amp;"")&gt;0,"Consulting","not set up yet"))))</f>
        <v/>
      </c>
      <c r="X355" s="25">
        <f>IF(E355="","",IFERROR(INDEX(lst_JobName,MATCH(E355&amp;"",lst_Jobs,0)),""))</f>
        <v/>
      </c>
      <c r="Y355" s="28">
        <f>IF(E355="","",COUNTIFS(tbl_Finance[Job Number],E355&amp;"",tbl_Finance[Ex GST],"&lt;&gt;"))</f>
        <v/>
      </c>
      <c r="Z355" s="27">
        <f>IF(E355="","",SUMIFS(tbl_Finance[Ex GST],tbl_Finance[Job Number],E355&amp;""))</f>
        <v/>
      </c>
      <c r="AA355" s="27">
        <f>IF(E355="","",SUMIFS(tbl_Finance[Ex GST],tbl_Finance[Job Number],E355&amp;"",tbl_Finance[Xero Invoice No],"&lt;&gt;"))</f>
        <v/>
      </c>
      <c r="AB355" s="27">
        <f>IF(E355="","",Z355-AA355)</f>
        <v/>
      </c>
      <c r="AC355" s="25">
        <f>IF(E355="","",IFERROR(IF(INDEX(tbl_Onsite[Qwilr Quote],IFERROR(MATCH(E355&amp;"",tbl_Onsite[Job Number],0),MATCH(IFERROR(E355+0,E355),tbl_Onsite[Job Number],0)))="","",INDEX(tbl_Onsite[Qwilr Quote],IFERROR(MATCH(E355&amp;"",tbl_Onsite[Job Number],0),MATCH(IFERROR(E355+0,E355),tbl_Onsite[Job Number],0)))),IFERROR(IF(IF(INDEX(tbl_Production[Current RMS No],IFERROR(MATCH(E355&amp;"",tbl_Production[Job Number],0),MATCH(IFERROR(E355+0,E355),tbl_Production[Job Number],0)))="",INDEX(tbl_Production[Qwilr Quote],IFERROR(MATCH(E355&amp;"",tbl_Production[Job Number],0),MATCH(IFERROR(E355+0,E355),tbl_Production[Job Number],0))),INDEX(tbl_Production[Current RMS No],IFERROR(MATCH(E355&amp;"",tbl_Production[Job Number],0),MATCH(IFERROR(E355+0,E355),tbl_Production[Job Number],0))))="","",IF(INDEX(tbl_Production[Current RMS No],IFERROR(MATCH(E355&amp;"",tbl_Production[Job Number],0),MATCH(IFERROR(E355+0,E355),tbl_Production[Job Number],0)))="",INDEX(tbl_Production[Qwilr Quote],IFERROR(MATCH(E355&amp;"",tbl_Production[Job Number],0),MATCH(IFERROR(E355+0,E355),tbl_Production[Job Number],0))),INDEX(tbl_Production[Current RMS No],IFERROR(MATCH(E355&amp;"",tbl_Production[Job Number],0),MATCH(IFERROR(E355+0,E355),tbl_Production[Job Number],0))))),IFERROR(IF(INDEX(tbl_Consulting[Qwilr Quote],IFERROR(MATCH(E355&amp;"",tbl_Consulting[Job Number],0),MATCH(IFERROR(E355+0,E355),tbl_Consulting[Job Number],0)))="","",INDEX(tbl_Consulting[Qwilr Quote],IFERROR(MATCH(E355&amp;"",tbl_Consulting[Job Number],0),MATCH(IFERROR(E355+0,E355),tbl_Consulting[Job Number],0)))),""))))</f>
        <v/>
      </c>
      <c r="AD355" s="25">
        <f>IF(AC355="","",IF(AND(LEFT(AC355,4)&lt;&gt;"http",IF(H355="Production",set_RMSBase,set_QwilrBase)=""),"",HYPERLINK(IF(LEFT(AC355,4)="http",AC355,IF(H355="Production",set_RMSBase,set_QwilrBase)&amp;AC355),"Open")))</f>
        <v/>
      </c>
      <c r="AE355" s="27">
        <f>IF(E355="","",IFERROR(INDEX(tbl_Production[Total Expense],IFERROR(MATCH(E355&amp;"",tbl_Production[Job Number],0),MATCH(IFERROR(E355+0,E355),tbl_Production[Job Number],0))),IFERROR(INDEX(tbl_Consulting[Total Expense],IFERROR(MATCH(E355&amp;"",tbl_Consulting[Job Number],0),MATCH(IFERROR(E355+0,E355),tbl_Consulting[Job Number],0))),0)))</f>
        <v/>
      </c>
      <c r="AF355" s="27">
        <f>IF(E355="","",Z355-N(AE355))</f>
        <v/>
      </c>
      <c r="AG355" s="29">
        <f>IFERROR(AF355/Z355,"")</f>
        <v/>
      </c>
      <c r="AH355" s="25">
        <f>IF(E355="","",IFERROR(IF(INDEX(tbl_Onsite[Notes],IFERROR(MATCH(E355&amp;"",tbl_Onsite[Job Number],0),MATCH(IFERROR(E355+0,E355),tbl_Onsite[Job Number],0)))="","",INDEX(tbl_Onsite[Notes],IFERROR(MATCH(E355&amp;"",tbl_Onsite[Job Number],0),MATCH(IFERROR(E355+0,E355),tbl_Onsite[Job Number],0)))),IFERROR(IF(INDEX(tbl_Production[Notes],IFERROR(MATCH(E355&amp;"",tbl_Production[Job Number],0),MATCH(IFERROR(E355+0,E355),tbl_Production[Job Number],0)))="","",INDEX(tbl_Production[Notes],IFERROR(MATCH(E355&amp;"",tbl_Production[Job Number],0),MATCH(IFERROR(E355+0,E355),tbl_Production[Job Number],0)))),IFERROR(IF(INDEX(tbl_Consulting[Notes],IFERROR(MATCH(E355&amp;"",tbl_Consulting[Job Number],0),MATCH(IFERROR(E355+0,E355),tbl_Consulting[Job Number],0)))="","",INDEX(tbl_Consulting[Notes],IFERROR(MATCH(E355&amp;"",tbl_Consulting[Job Number],0),MATCH(IFERROR(E355+0,E355),tbl_Consulting[Job Number],0)))),""))))</f>
        <v/>
      </c>
    </row>
    <row r="356" ht="15" customHeight="1">
      <c r="A356" s="22" t="n"/>
      <c r="B356" s="23">
        <f>IF(A356="","",EOMONTH(A356,0))</f>
        <v/>
      </c>
      <c r="C356" s="24" t="n"/>
      <c r="D356" s="24" t="n"/>
      <c r="E356" s="24" t="n"/>
      <c r="F356" s="25">
        <f>IF(E356="","",IF(COUNTIF(lst_Jobs,E356&amp;"")&gt;0,"OK","CHECK"))</f>
        <v/>
      </c>
      <c r="G356" s="24" t="n"/>
      <c r="H356" s="24" t="n"/>
      <c r="I356" s="24" t="n"/>
      <c r="J356" s="24" t="n"/>
      <c r="K356" s="24" t="n"/>
      <c r="L356" s="26" t="n"/>
      <c r="M356" s="27">
        <f>IF(L356="","",IF(K356="GST 10%",ROUND(L356*set_GSTRate,2),0))</f>
        <v/>
      </c>
      <c r="N356" s="27">
        <f>IF(L356="","",L356+M356)</f>
        <v/>
      </c>
      <c r="O356" s="24" t="n"/>
      <c r="P356" s="24" t="n"/>
      <c r="Q356" s="24" t="n"/>
      <c r="R356" s="22" t="n"/>
      <c r="S356" s="22" t="n"/>
      <c r="T356" s="24" t="n"/>
      <c r="U356" s="24" t="n"/>
      <c r="V356" s="2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25">
        <f>IF(E356="","",IF(COUNTIF(tbl_Onsite[Job Number],E356&amp;"")&gt;0,"Onsite",IF(COUNTIF(tbl_Production[Job Number],E356&amp;"")&gt;0,"Production",IF(COUNTIF(tbl_Consulting[Job Number],E356&amp;"")&gt;0,"Consulting","not set up yet"))))</f>
        <v/>
      </c>
      <c r="X356" s="25">
        <f>IF(E356="","",IFERROR(INDEX(lst_JobName,MATCH(E356&amp;"",lst_Jobs,0)),""))</f>
        <v/>
      </c>
      <c r="Y356" s="28">
        <f>IF(E356="","",COUNTIFS(tbl_Finance[Job Number],E356&amp;"",tbl_Finance[Ex GST],"&lt;&gt;"))</f>
        <v/>
      </c>
      <c r="Z356" s="27">
        <f>IF(E356="","",SUMIFS(tbl_Finance[Ex GST],tbl_Finance[Job Number],E356&amp;""))</f>
        <v/>
      </c>
      <c r="AA356" s="27">
        <f>IF(E356="","",SUMIFS(tbl_Finance[Ex GST],tbl_Finance[Job Number],E356&amp;"",tbl_Finance[Xero Invoice No],"&lt;&gt;"))</f>
        <v/>
      </c>
      <c r="AB356" s="27">
        <f>IF(E356="","",Z356-AA356)</f>
        <v/>
      </c>
      <c r="AC356" s="25">
        <f>IF(E356="","",IFERROR(IF(INDEX(tbl_Onsite[Qwilr Quote],IFERROR(MATCH(E356&amp;"",tbl_Onsite[Job Number],0),MATCH(IFERROR(E356+0,E356),tbl_Onsite[Job Number],0)))="","",INDEX(tbl_Onsite[Qwilr Quote],IFERROR(MATCH(E356&amp;"",tbl_Onsite[Job Number],0),MATCH(IFERROR(E356+0,E356),tbl_Onsite[Job Number],0)))),IFERROR(IF(IF(INDEX(tbl_Production[Current RMS No],IFERROR(MATCH(E356&amp;"",tbl_Production[Job Number],0),MATCH(IFERROR(E356+0,E356),tbl_Production[Job Number],0)))="",INDEX(tbl_Production[Qwilr Quote],IFERROR(MATCH(E356&amp;"",tbl_Production[Job Number],0),MATCH(IFERROR(E356+0,E356),tbl_Production[Job Number],0))),INDEX(tbl_Production[Current RMS No],IFERROR(MATCH(E356&amp;"",tbl_Production[Job Number],0),MATCH(IFERROR(E356+0,E356),tbl_Production[Job Number],0))))="","",IF(INDEX(tbl_Production[Current RMS No],IFERROR(MATCH(E356&amp;"",tbl_Production[Job Number],0),MATCH(IFERROR(E356+0,E356),tbl_Production[Job Number],0)))="",INDEX(tbl_Production[Qwilr Quote],IFERROR(MATCH(E356&amp;"",tbl_Production[Job Number],0),MATCH(IFERROR(E356+0,E356),tbl_Production[Job Number],0))),INDEX(tbl_Production[Current RMS No],IFERROR(MATCH(E356&amp;"",tbl_Production[Job Number],0),MATCH(IFERROR(E356+0,E356),tbl_Production[Job Number],0))))),IFERROR(IF(INDEX(tbl_Consulting[Qwilr Quote],IFERROR(MATCH(E356&amp;"",tbl_Consulting[Job Number],0),MATCH(IFERROR(E356+0,E356),tbl_Consulting[Job Number],0)))="","",INDEX(tbl_Consulting[Qwilr Quote],IFERROR(MATCH(E356&amp;"",tbl_Consulting[Job Number],0),MATCH(IFERROR(E356+0,E356),tbl_Consulting[Job Number],0)))),""))))</f>
        <v/>
      </c>
      <c r="AD356" s="25">
        <f>IF(AC356="","",IF(AND(LEFT(AC356,4)&lt;&gt;"http",IF(H356="Production",set_RMSBase,set_QwilrBase)=""),"",HYPERLINK(IF(LEFT(AC356,4)="http",AC356,IF(H356="Production",set_RMSBase,set_QwilrBase)&amp;AC356),"Open")))</f>
        <v/>
      </c>
      <c r="AE356" s="27">
        <f>IF(E356="","",IFERROR(INDEX(tbl_Production[Total Expense],IFERROR(MATCH(E356&amp;"",tbl_Production[Job Number],0),MATCH(IFERROR(E356+0,E356),tbl_Production[Job Number],0))),IFERROR(INDEX(tbl_Consulting[Total Expense],IFERROR(MATCH(E356&amp;"",tbl_Consulting[Job Number],0),MATCH(IFERROR(E356+0,E356),tbl_Consulting[Job Number],0))),0)))</f>
        <v/>
      </c>
      <c r="AF356" s="27">
        <f>IF(E356="","",Z356-N(AE356))</f>
        <v/>
      </c>
      <c r="AG356" s="29">
        <f>IFERROR(AF356/Z356,"")</f>
        <v/>
      </c>
      <c r="AH356" s="25">
        <f>IF(E356="","",IFERROR(IF(INDEX(tbl_Onsite[Notes],IFERROR(MATCH(E356&amp;"",tbl_Onsite[Job Number],0),MATCH(IFERROR(E356+0,E356),tbl_Onsite[Job Number],0)))="","",INDEX(tbl_Onsite[Notes],IFERROR(MATCH(E356&amp;"",tbl_Onsite[Job Number],0),MATCH(IFERROR(E356+0,E356),tbl_Onsite[Job Number],0)))),IFERROR(IF(INDEX(tbl_Production[Notes],IFERROR(MATCH(E356&amp;"",tbl_Production[Job Number],0),MATCH(IFERROR(E356+0,E356),tbl_Production[Job Number],0)))="","",INDEX(tbl_Production[Notes],IFERROR(MATCH(E356&amp;"",tbl_Production[Job Number],0),MATCH(IFERROR(E356+0,E356),tbl_Production[Job Number],0)))),IFERROR(IF(INDEX(tbl_Consulting[Notes],IFERROR(MATCH(E356&amp;"",tbl_Consulting[Job Number],0),MATCH(IFERROR(E356+0,E356),tbl_Consulting[Job Number],0)))="","",INDEX(tbl_Consulting[Notes],IFERROR(MATCH(E356&amp;"",tbl_Consulting[Job Number],0),MATCH(IFERROR(E356+0,E356),tbl_Consulting[Job Number],0)))),""))))</f>
        <v/>
      </c>
    </row>
    <row r="357" ht="15" customHeight="1">
      <c r="A357" s="22" t="n"/>
      <c r="B357" s="23">
        <f>IF(A357="","",EOMONTH(A357,0))</f>
        <v/>
      </c>
      <c r="C357" s="24" t="n"/>
      <c r="D357" s="24" t="n"/>
      <c r="E357" s="24" t="n"/>
      <c r="F357" s="25">
        <f>IF(E357="","",IF(COUNTIF(lst_Jobs,E357&amp;"")&gt;0,"OK","CHECK"))</f>
        <v/>
      </c>
      <c r="G357" s="24" t="n"/>
      <c r="H357" s="24" t="n"/>
      <c r="I357" s="24" t="n"/>
      <c r="J357" s="24" t="n"/>
      <c r="K357" s="24" t="n"/>
      <c r="L357" s="26" t="n"/>
      <c r="M357" s="27">
        <f>IF(L357="","",IF(K357="GST 10%",ROUND(L357*set_GSTRate,2),0))</f>
        <v/>
      </c>
      <c r="N357" s="27">
        <f>IF(L357="","",L357+M357)</f>
        <v/>
      </c>
      <c r="O357" s="24" t="n"/>
      <c r="P357" s="24" t="n"/>
      <c r="Q357" s="24" t="n"/>
      <c r="R357" s="22" t="n"/>
      <c r="S357" s="22" t="n"/>
      <c r="T357" s="24" t="n"/>
      <c r="U357" s="24" t="n"/>
      <c r="V357" s="2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25">
        <f>IF(E357="","",IF(COUNTIF(tbl_Onsite[Job Number],E357&amp;"")&gt;0,"Onsite",IF(COUNTIF(tbl_Production[Job Number],E357&amp;"")&gt;0,"Production",IF(COUNTIF(tbl_Consulting[Job Number],E357&amp;"")&gt;0,"Consulting","not set up yet"))))</f>
        <v/>
      </c>
      <c r="X357" s="25">
        <f>IF(E357="","",IFERROR(INDEX(lst_JobName,MATCH(E357&amp;"",lst_Jobs,0)),""))</f>
        <v/>
      </c>
      <c r="Y357" s="28">
        <f>IF(E357="","",COUNTIFS(tbl_Finance[Job Number],E357&amp;"",tbl_Finance[Ex GST],"&lt;&gt;"))</f>
        <v/>
      </c>
      <c r="Z357" s="27">
        <f>IF(E357="","",SUMIFS(tbl_Finance[Ex GST],tbl_Finance[Job Number],E357&amp;""))</f>
        <v/>
      </c>
      <c r="AA357" s="27">
        <f>IF(E357="","",SUMIFS(tbl_Finance[Ex GST],tbl_Finance[Job Number],E357&amp;"",tbl_Finance[Xero Invoice No],"&lt;&gt;"))</f>
        <v/>
      </c>
      <c r="AB357" s="27">
        <f>IF(E357="","",Z357-AA357)</f>
        <v/>
      </c>
      <c r="AC357" s="25">
        <f>IF(E357="","",IFERROR(IF(INDEX(tbl_Onsite[Qwilr Quote],IFERROR(MATCH(E357&amp;"",tbl_Onsite[Job Number],0),MATCH(IFERROR(E357+0,E357),tbl_Onsite[Job Number],0)))="","",INDEX(tbl_Onsite[Qwilr Quote],IFERROR(MATCH(E357&amp;"",tbl_Onsite[Job Number],0),MATCH(IFERROR(E357+0,E357),tbl_Onsite[Job Number],0)))),IFERROR(IF(IF(INDEX(tbl_Production[Current RMS No],IFERROR(MATCH(E357&amp;"",tbl_Production[Job Number],0),MATCH(IFERROR(E357+0,E357),tbl_Production[Job Number],0)))="",INDEX(tbl_Production[Qwilr Quote],IFERROR(MATCH(E357&amp;"",tbl_Production[Job Number],0),MATCH(IFERROR(E357+0,E357),tbl_Production[Job Number],0))),INDEX(tbl_Production[Current RMS No],IFERROR(MATCH(E357&amp;"",tbl_Production[Job Number],0),MATCH(IFERROR(E357+0,E357),tbl_Production[Job Number],0))))="","",IF(INDEX(tbl_Production[Current RMS No],IFERROR(MATCH(E357&amp;"",tbl_Production[Job Number],0),MATCH(IFERROR(E357+0,E357),tbl_Production[Job Number],0)))="",INDEX(tbl_Production[Qwilr Quote],IFERROR(MATCH(E357&amp;"",tbl_Production[Job Number],0),MATCH(IFERROR(E357+0,E357),tbl_Production[Job Number],0))),INDEX(tbl_Production[Current RMS No],IFERROR(MATCH(E357&amp;"",tbl_Production[Job Number],0),MATCH(IFERROR(E357+0,E357),tbl_Production[Job Number],0))))),IFERROR(IF(INDEX(tbl_Consulting[Qwilr Quote],IFERROR(MATCH(E357&amp;"",tbl_Consulting[Job Number],0),MATCH(IFERROR(E357+0,E357),tbl_Consulting[Job Number],0)))="","",INDEX(tbl_Consulting[Qwilr Quote],IFERROR(MATCH(E357&amp;"",tbl_Consulting[Job Number],0),MATCH(IFERROR(E357+0,E357),tbl_Consulting[Job Number],0)))),""))))</f>
        <v/>
      </c>
      <c r="AD357" s="25">
        <f>IF(AC357="","",IF(AND(LEFT(AC357,4)&lt;&gt;"http",IF(H357="Production",set_RMSBase,set_QwilrBase)=""),"",HYPERLINK(IF(LEFT(AC357,4)="http",AC357,IF(H357="Production",set_RMSBase,set_QwilrBase)&amp;AC357),"Open")))</f>
        <v/>
      </c>
      <c r="AE357" s="27">
        <f>IF(E357="","",IFERROR(INDEX(tbl_Production[Total Expense],IFERROR(MATCH(E357&amp;"",tbl_Production[Job Number],0),MATCH(IFERROR(E357+0,E357),tbl_Production[Job Number],0))),IFERROR(INDEX(tbl_Consulting[Total Expense],IFERROR(MATCH(E357&amp;"",tbl_Consulting[Job Number],0),MATCH(IFERROR(E357+0,E357),tbl_Consulting[Job Number],0))),0)))</f>
        <v/>
      </c>
      <c r="AF357" s="27">
        <f>IF(E357="","",Z357-N(AE357))</f>
        <v/>
      </c>
      <c r="AG357" s="29">
        <f>IFERROR(AF357/Z357,"")</f>
        <v/>
      </c>
      <c r="AH357" s="25">
        <f>IF(E357="","",IFERROR(IF(INDEX(tbl_Onsite[Notes],IFERROR(MATCH(E357&amp;"",tbl_Onsite[Job Number],0),MATCH(IFERROR(E357+0,E357),tbl_Onsite[Job Number],0)))="","",INDEX(tbl_Onsite[Notes],IFERROR(MATCH(E357&amp;"",tbl_Onsite[Job Number],0),MATCH(IFERROR(E357+0,E357),tbl_Onsite[Job Number],0)))),IFERROR(IF(INDEX(tbl_Production[Notes],IFERROR(MATCH(E357&amp;"",tbl_Production[Job Number],0),MATCH(IFERROR(E357+0,E357),tbl_Production[Job Number],0)))="","",INDEX(tbl_Production[Notes],IFERROR(MATCH(E357&amp;"",tbl_Production[Job Number],0),MATCH(IFERROR(E357+0,E357),tbl_Production[Job Number],0)))),IFERROR(IF(INDEX(tbl_Consulting[Notes],IFERROR(MATCH(E357&amp;"",tbl_Consulting[Job Number],0),MATCH(IFERROR(E357+0,E357),tbl_Consulting[Job Number],0)))="","",INDEX(tbl_Consulting[Notes],IFERROR(MATCH(E357&amp;"",tbl_Consulting[Job Number],0),MATCH(IFERROR(E357+0,E357),tbl_Consulting[Job Number],0)))),""))))</f>
        <v/>
      </c>
    </row>
    <row r="358" ht="15" customHeight="1">
      <c r="A358" s="22" t="n"/>
      <c r="B358" s="23">
        <f>IF(A358="","",EOMONTH(A358,0))</f>
        <v/>
      </c>
      <c r="C358" s="24" t="n"/>
      <c r="D358" s="24" t="n"/>
      <c r="E358" s="24" t="n"/>
      <c r="F358" s="25">
        <f>IF(E358="","",IF(COUNTIF(lst_Jobs,E358&amp;"")&gt;0,"OK","CHECK"))</f>
        <v/>
      </c>
      <c r="G358" s="24" t="n"/>
      <c r="H358" s="24" t="n"/>
      <c r="I358" s="24" t="n"/>
      <c r="J358" s="24" t="n"/>
      <c r="K358" s="24" t="n"/>
      <c r="L358" s="26" t="n"/>
      <c r="M358" s="27">
        <f>IF(L358="","",IF(K358="GST 10%",ROUND(L358*set_GSTRate,2),0))</f>
        <v/>
      </c>
      <c r="N358" s="27">
        <f>IF(L358="","",L358+M358)</f>
        <v/>
      </c>
      <c r="O358" s="24" t="n"/>
      <c r="P358" s="24" t="n"/>
      <c r="Q358" s="24" t="n"/>
      <c r="R358" s="22" t="n"/>
      <c r="S358" s="22" t="n"/>
      <c r="T358" s="24" t="n"/>
      <c r="U358" s="24" t="n"/>
      <c r="V358" s="2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25">
        <f>IF(E358="","",IF(COUNTIF(tbl_Onsite[Job Number],E358&amp;"")&gt;0,"Onsite",IF(COUNTIF(tbl_Production[Job Number],E358&amp;"")&gt;0,"Production",IF(COUNTIF(tbl_Consulting[Job Number],E358&amp;"")&gt;0,"Consulting","not set up yet"))))</f>
        <v/>
      </c>
      <c r="X358" s="25">
        <f>IF(E358="","",IFERROR(INDEX(lst_JobName,MATCH(E358&amp;"",lst_Jobs,0)),""))</f>
        <v/>
      </c>
      <c r="Y358" s="28">
        <f>IF(E358="","",COUNTIFS(tbl_Finance[Job Number],E358&amp;"",tbl_Finance[Ex GST],"&lt;&gt;"))</f>
        <v/>
      </c>
      <c r="Z358" s="27">
        <f>IF(E358="","",SUMIFS(tbl_Finance[Ex GST],tbl_Finance[Job Number],E358&amp;""))</f>
        <v/>
      </c>
      <c r="AA358" s="27">
        <f>IF(E358="","",SUMIFS(tbl_Finance[Ex GST],tbl_Finance[Job Number],E358&amp;"",tbl_Finance[Xero Invoice No],"&lt;&gt;"))</f>
        <v/>
      </c>
      <c r="AB358" s="27">
        <f>IF(E358="","",Z358-AA358)</f>
        <v/>
      </c>
      <c r="AC358" s="25">
        <f>IF(E358="","",IFERROR(IF(INDEX(tbl_Onsite[Qwilr Quote],IFERROR(MATCH(E358&amp;"",tbl_Onsite[Job Number],0),MATCH(IFERROR(E358+0,E358),tbl_Onsite[Job Number],0)))="","",INDEX(tbl_Onsite[Qwilr Quote],IFERROR(MATCH(E358&amp;"",tbl_Onsite[Job Number],0),MATCH(IFERROR(E358+0,E358),tbl_Onsite[Job Number],0)))),IFERROR(IF(IF(INDEX(tbl_Production[Current RMS No],IFERROR(MATCH(E358&amp;"",tbl_Production[Job Number],0),MATCH(IFERROR(E358+0,E358),tbl_Production[Job Number],0)))="",INDEX(tbl_Production[Qwilr Quote],IFERROR(MATCH(E358&amp;"",tbl_Production[Job Number],0),MATCH(IFERROR(E358+0,E358),tbl_Production[Job Number],0))),INDEX(tbl_Production[Current RMS No],IFERROR(MATCH(E358&amp;"",tbl_Production[Job Number],0),MATCH(IFERROR(E358+0,E358),tbl_Production[Job Number],0))))="","",IF(INDEX(tbl_Production[Current RMS No],IFERROR(MATCH(E358&amp;"",tbl_Production[Job Number],0),MATCH(IFERROR(E358+0,E358),tbl_Production[Job Number],0)))="",INDEX(tbl_Production[Qwilr Quote],IFERROR(MATCH(E358&amp;"",tbl_Production[Job Number],0),MATCH(IFERROR(E358+0,E358),tbl_Production[Job Number],0))),INDEX(tbl_Production[Current RMS No],IFERROR(MATCH(E358&amp;"",tbl_Production[Job Number],0),MATCH(IFERROR(E358+0,E358),tbl_Production[Job Number],0))))),IFERROR(IF(INDEX(tbl_Consulting[Qwilr Quote],IFERROR(MATCH(E358&amp;"",tbl_Consulting[Job Number],0),MATCH(IFERROR(E358+0,E358),tbl_Consulting[Job Number],0)))="","",INDEX(tbl_Consulting[Qwilr Quote],IFERROR(MATCH(E358&amp;"",tbl_Consulting[Job Number],0),MATCH(IFERROR(E358+0,E358),tbl_Consulting[Job Number],0)))),""))))</f>
        <v/>
      </c>
      <c r="AD358" s="25">
        <f>IF(AC358="","",IF(AND(LEFT(AC358,4)&lt;&gt;"http",IF(H358="Production",set_RMSBase,set_QwilrBase)=""),"",HYPERLINK(IF(LEFT(AC358,4)="http",AC358,IF(H358="Production",set_RMSBase,set_QwilrBase)&amp;AC358),"Open")))</f>
        <v/>
      </c>
      <c r="AE358" s="27">
        <f>IF(E358="","",IFERROR(INDEX(tbl_Production[Total Expense],IFERROR(MATCH(E358&amp;"",tbl_Production[Job Number],0),MATCH(IFERROR(E358+0,E358),tbl_Production[Job Number],0))),IFERROR(INDEX(tbl_Consulting[Total Expense],IFERROR(MATCH(E358&amp;"",tbl_Consulting[Job Number],0),MATCH(IFERROR(E358+0,E358),tbl_Consulting[Job Number],0))),0)))</f>
        <v/>
      </c>
      <c r="AF358" s="27">
        <f>IF(E358="","",Z358-N(AE358))</f>
        <v/>
      </c>
      <c r="AG358" s="29">
        <f>IFERROR(AF358/Z358,"")</f>
        <v/>
      </c>
      <c r="AH358" s="25">
        <f>IF(E358="","",IFERROR(IF(INDEX(tbl_Onsite[Notes],IFERROR(MATCH(E358&amp;"",tbl_Onsite[Job Number],0),MATCH(IFERROR(E358+0,E358),tbl_Onsite[Job Number],0)))="","",INDEX(tbl_Onsite[Notes],IFERROR(MATCH(E358&amp;"",tbl_Onsite[Job Number],0),MATCH(IFERROR(E358+0,E358),tbl_Onsite[Job Number],0)))),IFERROR(IF(INDEX(tbl_Production[Notes],IFERROR(MATCH(E358&amp;"",tbl_Production[Job Number],0),MATCH(IFERROR(E358+0,E358),tbl_Production[Job Number],0)))="","",INDEX(tbl_Production[Notes],IFERROR(MATCH(E358&amp;"",tbl_Production[Job Number],0),MATCH(IFERROR(E358+0,E358),tbl_Production[Job Number],0)))),IFERROR(IF(INDEX(tbl_Consulting[Notes],IFERROR(MATCH(E358&amp;"",tbl_Consulting[Job Number],0),MATCH(IFERROR(E358+0,E358),tbl_Consulting[Job Number],0)))="","",INDEX(tbl_Consulting[Notes],IFERROR(MATCH(E358&amp;"",tbl_Consulting[Job Number],0),MATCH(IFERROR(E358+0,E358),tbl_Consulting[Job Number],0)))),""))))</f>
        <v/>
      </c>
    </row>
    <row r="359" ht="15" customHeight="1">
      <c r="A359" s="22" t="n"/>
      <c r="B359" s="23">
        <f>IF(A359="","",EOMONTH(A359,0))</f>
        <v/>
      </c>
      <c r="C359" s="24" t="n"/>
      <c r="D359" s="24" t="n"/>
      <c r="E359" s="24" t="n"/>
      <c r="F359" s="25">
        <f>IF(E359="","",IF(COUNTIF(lst_Jobs,E359&amp;"")&gt;0,"OK","CHECK"))</f>
        <v/>
      </c>
      <c r="G359" s="24" t="n"/>
      <c r="H359" s="24" t="n"/>
      <c r="I359" s="24" t="n"/>
      <c r="J359" s="24" t="n"/>
      <c r="K359" s="24" t="n"/>
      <c r="L359" s="26" t="n"/>
      <c r="M359" s="27">
        <f>IF(L359="","",IF(K359="GST 10%",ROUND(L359*set_GSTRate,2),0))</f>
        <v/>
      </c>
      <c r="N359" s="27">
        <f>IF(L359="","",L359+M359)</f>
        <v/>
      </c>
      <c r="O359" s="24" t="n"/>
      <c r="P359" s="24" t="n"/>
      <c r="Q359" s="24" t="n"/>
      <c r="R359" s="22" t="n"/>
      <c r="S359" s="22" t="n"/>
      <c r="T359" s="24" t="n"/>
      <c r="U359" s="24" t="n"/>
      <c r="V359" s="2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25">
        <f>IF(E359="","",IF(COUNTIF(tbl_Onsite[Job Number],E359&amp;"")&gt;0,"Onsite",IF(COUNTIF(tbl_Production[Job Number],E359&amp;"")&gt;0,"Production",IF(COUNTIF(tbl_Consulting[Job Number],E359&amp;"")&gt;0,"Consulting","not set up yet"))))</f>
        <v/>
      </c>
      <c r="X359" s="25">
        <f>IF(E359="","",IFERROR(INDEX(lst_JobName,MATCH(E359&amp;"",lst_Jobs,0)),""))</f>
        <v/>
      </c>
      <c r="Y359" s="28">
        <f>IF(E359="","",COUNTIFS(tbl_Finance[Job Number],E359&amp;"",tbl_Finance[Ex GST],"&lt;&gt;"))</f>
        <v/>
      </c>
      <c r="Z359" s="27">
        <f>IF(E359="","",SUMIFS(tbl_Finance[Ex GST],tbl_Finance[Job Number],E359&amp;""))</f>
        <v/>
      </c>
      <c r="AA359" s="27">
        <f>IF(E359="","",SUMIFS(tbl_Finance[Ex GST],tbl_Finance[Job Number],E359&amp;"",tbl_Finance[Xero Invoice No],"&lt;&gt;"))</f>
        <v/>
      </c>
      <c r="AB359" s="27">
        <f>IF(E359="","",Z359-AA359)</f>
        <v/>
      </c>
      <c r="AC359" s="25">
        <f>IF(E359="","",IFERROR(IF(INDEX(tbl_Onsite[Qwilr Quote],IFERROR(MATCH(E359&amp;"",tbl_Onsite[Job Number],0),MATCH(IFERROR(E359+0,E359),tbl_Onsite[Job Number],0)))="","",INDEX(tbl_Onsite[Qwilr Quote],IFERROR(MATCH(E359&amp;"",tbl_Onsite[Job Number],0),MATCH(IFERROR(E359+0,E359),tbl_Onsite[Job Number],0)))),IFERROR(IF(IF(INDEX(tbl_Production[Current RMS No],IFERROR(MATCH(E359&amp;"",tbl_Production[Job Number],0),MATCH(IFERROR(E359+0,E359),tbl_Production[Job Number],0)))="",INDEX(tbl_Production[Qwilr Quote],IFERROR(MATCH(E359&amp;"",tbl_Production[Job Number],0),MATCH(IFERROR(E359+0,E359),tbl_Production[Job Number],0))),INDEX(tbl_Production[Current RMS No],IFERROR(MATCH(E359&amp;"",tbl_Production[Job Number],0),MATCH(IFERROR(E359+0,E359),tbl_Production[Job Number],0))))="","",IF(INDEX(tbl_Production[Current RMS No],IFERROR(MATCH(E359&amp;"",tbl_Production[Job Number],0),MATCH(IFERROR(E359+0,E359),tbl_Production[Job Number],0)))="",INDEX(tbl_Production[Qwilr Quote],IFERROR(MATCH(E359&amp;"",tbl_Production[Job Number],0),MATCH(IFERROR(E359+0,E359),tbl_Production[Job Number],0))),INDEX(tbl_Production[Current RMS No],IFERROR(MATCH(E359&amp;"",tbl_Production[Job Number],0),MATCH(IFERROR(E359+0,E359),tbl_Production[Job Number],0))))),IFERROR(IF(INDEX(tbl_Consulting[Qwilr Quote],IFERROR(MATCH(E359&amp;"",tbl_Consulting[Job Number],0),MATCH(IFERROR(E359+0,E359),tbl_Consulting[Job Number],0)))="","",INDEX(tbl_Consulting[Qwilr Quote],IFERROR(MATCH(E359&amp;"",tbl_Consulting[Job Number],0),MATCH(IFERROR(E359+0,E359),tbl_Consulting[Job Number],0)))),""))))</f>
        <v/>
      </c>
      <c r="AD359" s="25">
        <f>IF(AC359="","",IF(AND(LEFT(AC359,4)&lt;&gt;"http",IF(H359="Production",set_RMSBase,set_QwilrBase)=""),"",HYPERLINK(IF(LEFT(AC359,4)="http",AC359,IF(H359="Production",set_RMSBase,set_QwilrBase)&amp;AC359),"Open")))</f>
        <v/>
      </c>
      <c r="AE359" s="27">
        <f>IF(E359="","",IFERROR(INDEX(tbl_Production[Total Expense],IFERROR(MATCH(E359&amp;"",tbl_Production[Job Number],0),MATCH(IFERROR(E359+0,E359),tbl_Production[Job Number],0))),IFERROR(INDEX(tbl_Consulting[Total Expense],IFERROR(MATCH(E359&amp;"",tbl_Consulting[Job Number],0),MATCH(IFERROR(E359+0,E359),tbl_Consulting[Job Number],0))),0)))</f>
        <v/>
      </c>
      <c r="AF359" s="27">
        <f>IF(E359="","",Z359-N(AE359))</f>
        <v/>
      </c>
      <c r="AG359" s="29">
        <f>IFERROR(AF359/Z359,"")</f>
        <v/>
      </c>
      <c r="AH359" s="25">
        <f>IF(E359="","",IFERROR(IF(INDEX(tbl_Onsite[Notes],IFERROR(MATCH(E359&amp;"",tbl_Onsite[Job Number],0),MATCH(IFERROR(E359+0,E359),tbl_Onsite[Job Number],0)))="","",INDEX(tbl_Onsite[Notes],IFERROR(MATCH(E359&amp;"",tbl_Onsite[Job Number],0),MATCH(IFERROR(E359+0,E359),tbl_Onsite[Job Number],0)))),IFERROR(IF(INDEX(tbl_Production[Notes],IFERROR(MATCH(E359&amp;"",tbl_Production[Job Number],0),MATCH(IFERROR(E359+0,E359),tbl_Production[Job Number],0)))="","",INDEX(tbl_Production[Notes],IFERROR(MATCH(E359&amp;"",tbl_Production[Job Number],0),MATCH(IFERROR(E359+0,E359),tbl_Production[Job Number],0)))),IFERROR(IF(INDEX(tbl_Consulting[Notes],IFERROR(MATCH(E359&amp;"",tbl_Consulting[Job Number],0),MATCH(IFERROR(E359+0,E359),tbl_Consulting[Job Number],0)))="","",INDEX(tbl_Consulting[Notes],IFERROR(MATCH(E359&amp;"",tbl_Consulting[Job Number],0),MATCH(IFERROR(E359+0,E359),tbl_Consulting[Job Number],0)))),""))))</f>
        <v/>
      </c>
    </row>
    <row r="360" ht="15" customHeight="1">
      <c r="A360" s="22" t="n"/>
      <c r="B360" s="23">
        <f>IF(A360="","",EOMONTH(A360,0))</f>
        <v/>
      </c>
      <c r="C360" s="24" t="n"/>
      <c r="D360" s="24" t="n"/>
      <c r="E360" s="24" t="n"/>
      <c r="F360" s="25">
        <f>IF(E360="","",IF(COUNTIF(lst_Jobs,E360&amp;"")&gt;0,"OK","CHECK"))</f>
        <v/>
      </c>
      <c r="G360" s="24" t="n"/>
      <c r="H360" s="24" t="n"/>
      <c r="I360" s="24" t="n"/>
      <c r="J360" s="24" t="n"/>
      <c r="K360" s="24" t="n"/>
      <c r="L360" s="26" t="n"/>
      <c r="M360" s="27">
        <f>IF(L360="","",IF(K360="GST 10%",ROUND(L360*set_GSTRate,2),0))</f>
        <v/>
      </c>
      <c r="N360" s="27">
        <f>IF(L360="","",L360+M360)</f>
        <v/>
      </c>
      <c r="O360" s="24" t="n"/>
      <c r="P360" s="24" t="n"/>
      <c r="Q360" s="24" t="n"/>
      <c r="R360" s="22" t="n"/>
      <c r="S360" s="22" t="n"/>
      <c r="T360" s="24" t="n"/>
      <c r="U360" s="24" t="n"/>
      <c r="V360" s="2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25">
        <f>IF(E360="","",IF(COUNTIF(tbl_Onsite[Job Number],E360&amp;"")&gt;0,"Onsite",IF(COUNTIF(tbl_Production[Job Number],E360&amp;"")&gt;0,"Production",IF(COUNTIF(tbl_Consulting[Job Number],E360&amp;"")&gt;0,"Consulting","not set up yet"))))</f>
        <v/>
      </c>
      <c r="X360" s="25">
        <f>IF(E360="","",IFERROR(INDEX(lst_JobName,MATCH(E360&amp;"",lst_Jobs,0)),""))</f>
        <v/>
      </c>
      <c r="Y360" s="28">
        <f>IF(E360="","",COUNTIFS(tbl_Finance[Job Number],E360&amp;"",tbl_Finance[Ex GST],"&lt;&gt;"))</f>
        <v/>
      </c>
      <c r="Z360" s="27">
        <f>IF(E360="","",SUMIFS(tbl_Finance[Ex GST],tbl_Finance[Job Number],E360&amp;""))</f>
        <v/>
      </c>
      <c r="AA360" s="27">
        <f>IF(E360="","",SUMIFS(tbl_Finance[Ex GST],tbl_Finance[Job Number],E360&amp;"",tbl_Finance[Xero Invoice No],"&lt;&gt;"))</f>
        <v/>
      </c>
      <c r="AB360" s="27">
        <f>IF(E360="","",Z360-AA360)</f>
        <v/>
      </c>
      <c r="AC360" s="25">
        <f>IF(E360="","",IFERROR(IF(INDEX(tbl_Onsite[Qwilr Quote],IFERROR(MATCH(E360&amp;"",tbl_Onsite[Job Number],0),MATCH(IFERROR(E360+0,E360),tbl_Onsite[Job Number],0)))="","",INDEX(tbl_Onsite[Qwilr Quote],IFERROR(MATCH(E360&amp;"",tbl_Onsite[Job Number],0),MATCH(IFERROR(E360+0,E360),tbl_Onsite[Job Number],0)))),IFERROR(IF(IF(INDEX(tbl_Production[Current RMS No],IFERROR(MATCH(E360&amp;"",tbl_Production[Job Number],0),MATCH(IFERROR(E360+0,E360),tbl_Production[Job Number],0)))="",INDEX(tbl_Production[Qwilr Quote],IFERROR(MATCH(E360&amp;"",tbl_Production[Job Number],0),MATCH(IFERROR(E360+0,E360),tbl_Production[Job Number],0))),INDEX(tbl_Production[Current RMS No],IFERROR(MATCH(E360&amp;"",tbl_Production[Job Number],0),MATCH(IFERROR(E360+0,E360),tbl_Production[Job Number],0))))="","",IF(INDEX(tbl_Production[Current RMS No],IFERROR(MATCH(E360&amp;"",tbl_Production[Job Number],0),MATCH(IFERROR(E360+0,E360),tbl_Production[Job Number],0)))="",INDEX(tbl_Production[Qwilr Quote],IFERROR(MATCH(E360&amp;"",tbl_Production[Job Number],0),MATCH(IFERROR(E360+0,E360),tbl_Production[Job Number],0))),INDEX(tbl_Production[Current RMS No],IFERROR(MATCH(E360&amp;"",tbl_Production[Job Number],0),MATCH(IFERROR(E360+0,E360),tbl_Production[Job Number],0))))),IFERROR(IF(INDEX(tbl_Consulting[Qwilr Quote],IFERROR(MATCH(E360&amp;"",tbl_Consulting[Job Number],0),MATCH(IFERROR(E360+0,E360),tbl_Consulting[Job Number],0)))="","",INDEX(tbl_Consulting[Qwilr Quote],IFERROR(MATCH(E360&amp;"",tbl_Consulting[Job Number],0),MATCH(IFERROR(E360+0,E360),tbl_Consulting[Job Number],0)))),""))))</f>
        <v/>
      </c>
      <c r="AD360" s="25">
        <f>IF(AC360="","",IF(AND(LEFT(AC360,4)&lt;&gt;"http",IF(H360="Production",set_RMSBase,set_QwilrBase)=""),"",HYPERLINK(IF(LEFT(AC360,4)="http",AC360,IF(H360="Production",set_RMSBase,set_QwilrBase)&amp;AC360),"Open")))</f>
        <v/>
      </c>
      <c r="AE360" s="27">
        <f>IF(E360="","",IFERROR(INDEX(tbl_Production[Total Expense],IFERROR(MATCH(E360&amp;"",tbl_Production[Job Number],0),MATCH(IFERROR(E360+0,E360),tbl_Production[Job Number],0))),IFERROR(INDEX(tbl_Consulting[Total Expense],IFERROR(MATCH(E360&amp;"",tbl_Consulting[Job Number],0),MATCH(IFERROR(E360+0,E360),tbl_Consulting[Job Number],0))),0)))</f>
        <v/>
      </c>
      <c r="AF360" s="27">
        <f>IF(E360="","",Z360-N(AE360))</f>
        <v/>
      </c>
      <c r="AG360" s="29">
        <f>IFERROR(AF360/Z360,"")</f>
        <v/>
      </c>
      <c r="AH360" s="25">
        <f>IF(E360="","",IFERROR(IF(INDEX(tbl_Onsite[Notes],IFERROR(MATCH(E360&amp;"",tbl_Onsite[Job Number],0),MATCH(IFERROR(E360+0,E360),tbl_Onsite[Job Number],0)))="","",INDEX(tbl_Onsite[Notes],IFERROR(MATCH(E360&amp;"",tbl_Onsite[Job Number],0),MATCH(IFERROR(E360+0,E360),tbl_Onsite[Job Number],0)))),IFERROR(IF(INDEX(tbl_Production[Notes],IFERROR(MATCH(E360&amp;"",tbl_Production[Job Number],0),MATCH(IFERROR(E360+0,E360),tbl_Production[Job Number],0)))="","",INDEX(tbl_Production[Notes],IFERROR(MATCH(E360&amp;"",tbl_Production[Job Number],0),MATCH(IFERROR(E360+0,E360),tbl_Production[Job Number],0)))),IFERROR(IF(INDEX(tbl_Consulting[Notes],IFERROR(MATCH(E360&amp;"",tbl_Consulting[Job Number],0),MATCH(IFERROR(E360+0,E360),tbl_Consulting[Job Number],0)))="","",INDEX(tbl_Consulting[Notes],IFERROR(MATCH(E360&amp;"",tbl_Consulting[Job Number],0),MATCH(IFERROR(E360+0,E360),tbl_Consulting[Job Number],0)))),""))))</f>
        <v/>
      </c>
    </row>
    <row r="361" ht="15" customHeight="1">
      <c r="A361" s="22" t="n"/>
      <c r="B361" s="23">
        <f>IF(A361="","",EOMONTH(A361,0))</f>
        <v/>
      </c>
      <c r="C361" s="24" t="n"/>
      <c r="D361" s="24" t="n"/>
      <c r="E361" s="24" t="n"/>
      <c r="F361" s="25">
        <f>IF(E361="","",IF(COUNTIF(lst_Jobs,E361&amp;"")&gt;0,"OK","CHECK"))</f>
        <v/>
      </c>
      <c r="G361" s="24" t="n"/>
      <c r="H361" s="24" t="n"/>
      <c r="I361" s="24" t="n"/>
      <c r="J361" s="24" t="n"/>
      <c r="K361" s="24" t="n"/>
      <c r="L361" s="26" t="n"/>
      <c r="M361" s="27">
        <f>IF(L361="","",IF(K361="GST 10%",ROUND(L361*set_GSTRate,2),0))</f>
        <v/>
      </c>
      <c r="N361" s="27">
        <f>IF(L361="","",L361+M361)</f>
        <v/>
      </c>
      <c r="O361" s="24" t="n"/>
      <c r="P361" s="24" t="n"/>
      <c r="Q361" s="24" t="n"/>
      <c r="R361" s="22" t="n"/>
      <c r="S361" s="22" t="n"/>
      <c r="T361" s="24" t="n"/>
      <c r="U361" s="24" t="n"/>
      <c r="V361" s="2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25">
        <f>IF(E361="","",IF(COUNTIF(tbl_Onsite[Job Number],E361&amp;"")&gt;0,"Onsite",IF(COUNTIF(tbl_Production[Job Number],E361&amp;"")&gt;0,"Production",IF(COUNTIF(tbl_Consulting[Job Number],E361&amp;"")&gt;0,"Consulting","not set up yet"))))</f>
        <v/>
      </c>
      <c r="X361" s="25">
        <f>IF(E361="","",IFERROR(INDEX(lst_JobName,MATCH(E361&amp;"",lst_Jobs,0)),""))</f>
        <v/>
      </c>
      <c r="Y361" s="28">
        <f>IF(E361="","",COUNTIFS(tbl_Finance[Job Number],E361&amp;"",tbl_Finance[Ex GST],"&lt;&gt;"))</f>
        <v/>
      </c>
      <c r="Z361" s="27">
        <f>IF(E361="","",SUMIFS(tbl_Finance[Ex GST],tbl_Finance[Job Number],E361&amp;""))</f>
        <v/>
      </c>
      <c r="AA361" s="27">
        <f>IF(E361="","",SUMIFS(tbl_Finance[Ex GST],tbl_Finance[Job Number],E361&amp;"",tbl_Finance[Xero Invoice No],"&lt;&gt;"))</f>
        <v/>
      </c>
      <c r="AB361" s="27">
        <f>IF(E361="","",Z361-AA361)</f>
        <v/>
      </c>
      <c r="AC361" s="25">
        <f>IF(E361="","",IFERROR(IF(INDEX(tbl_Onsite[Qwilr Quote],IFERROR(MATCH(E361&amp;"",tbl_Onsite[Job Number],0),MATCH(IFERROR(E361+0,E361),tbl_Onsite[Job Number],0)))="","",INDEX(tbl_Onsite[Qwilr Quote],IFERROR(MATCH(E361&amp;"",tbl_Onsite[Job Number],0),MATCH(IFERROR(E361+0,E361),tbl_Onsite[Job Number],0)))),IFERROR(IF(IF(INDEX(tbl_Production[Current RMS No],IFERROR(MATCH(E361&amp;"",tbl_Production[Job Number],0),MATCH(IFERROR(E361+0,E361),tbl_Production[Job Number],0)))="",INDEX(tbl_Production[Qwilr Quote],IFERROR(MATCH(E361&amp;"",tbl_Production[Job Number],0),MATCH(IFERROR(E361+0,E361),tbl_Production[Job Number],0))),INDEX(tbl_Production[Current RMS No],IFERROR(MATCH(E361&amp;"",tbl_Production[Job Number],0),MATCH(IFERROR(E361+0,E361),tbl_Production[Job Number],0))))="","",IF(INDEX(tbl_Production[Current RMS No],IFERROR(MATCH(E361&amp;"",tbl_Production[Job Number],0),MATCH(IFERROR(E361+0,E361),tbl_Production[Job Number],0)))="",INDEX(tbl_Production[Qwilr Quote],IFERROR(MATCH(E361&amp;"",tbl_Production[Job Number],0),MATCH(IFERROR(E361+0,E361),tbl_Production[Job Number],0))),INDEX(tbl_Production[Current RMS No],IFERROR(MATCH(E361&amp;"",tbl_Production[Job Number],0),MATCH(IFERROR(E361+0,E361),tbl_Production[Job Number],0))))),IFERROR(IF(INDEX(tbl_Consulting[Qwilr Quote],IFERROR(MATCH(E361&amp;"",tbl_Consulting[Job Number],0),MATCH(IFERROR(E361+0,E361),tbl_Consulting[Job Number],0)))="","",INDEX(tbl_Consulting[Qwilr Quote],IFERROR(MATCH(E361&amp;"",tbl_Consulting[Job Number],0),MATCH(IFERROR(E361+0,E361),tbl_Consulting[Job Number],0)))),""))))</f>
        <v/>
      </c>
      <c r="AD361" s="25">
        <f>IF(AC361="","",IF(AND(LEFT(AC361,4)&lt;&gt;"http",IF(H361="Production",set_RMSBase,set_QwilrBase)=""),"",HYPERLINK(IF(LEFT(AC361,4)="http",AC361,IF(H361="Production",set_RMSBase,set_QwilrBase)&amp;AC361),"Open")))</f>
        <v/>
      </c>
      <c r="AE361" s="27">
        <f>IF(E361="","",IFERROR(INDEX(tbl_Production[Total Expense],IFERROR(MATCH(E361&amp;"",tbl_Production[Job Number],0),MATCH(IFERROR(E361+0,E361),tbl_Production[Job Number],0))),IFERROR(INDEX(tbl_Consulting[Total Expense],IFERROR(MATCH(E361&amp;"",tbl_Consulting[Job Number],0),MATCH(IFERROR(E361+0,E361),tbl_Consulting[Job Number],0))),0)))</f>
        <v/>
      </c>
      <c r="AF361" s="27">
        <f>IF(E361="","",Z361-N(AE361))</f>
        <v/>
      </c>
      <c r="AG361" s="29">
        <f>IFERROR(AF361/Z361,"")</f>
        <v/>
      </c>
      <c r="AH361" s="25">
        <f>IF(E361="","",IFERROR(IF(INDEX(tbl_Onsite[Notes],IFERROR(MATCH(E361&amp;"",tbl_Onsite[Job Number],0),MATCH(IFERROR(E361+0,E361),tbl_Onsite[Job Number],0)))="","",INDEX(tbl_Onsite[Notes],IFERROR(MATCH(E361&amp;"",tbl_Onsite[Job Number],0),MATCH(IFERROR(E361+0,E361),tbl_Onsite[Job Number],0)))),IFERROR(IF(INDEX(tbl_Production[Notes],IFERROR(MATCH(E361&amp;"",tbl_Production[Job Number],0),MATCH(IFERROR(E361+0,E361),tbl_Production[Job Number],0)))="","",INDEX(tbl_Production[Notes],IFERROR(MATCH(E361&amp;"",tbl_Production[Job Number],0),MATCH(IFERROR(E361+0,E361),tbl_Production[Job Number],0)))),IFERROR(IF(INDEX(tbl_Consulting[Notes],IFERROR(MATCH(E361&amp;"",tbl_Consulting[Job Number],0),MATCH(IFERROR(E361+0,E361),tbl_Consulting[Job Number],0)))="","",INDEX(tbl_Consulting[Notes],IFERROR(MATCH(E361&amp;"",tbl_Consulting[Job Number],0),MATCH(IFERROR(E361+0,E361),tbl_Consulting[Job Number],0)))),""))))</f>
        <v/>
      </c>
    </row>
    <row r="362" ht="15" customHeight="1">
      <c r="A362" s="22" t="n"/>
      <c r="B362" s="23">
        <f>IF(A362="","",EOMONTH(A362,0))</f>
        <v/>
      </c>
      <c r="C362" s="24" t="n"/>
      <c r="D362" s="24" t="n"/>
      <c r="E362" s="24" t="n"/>
      <c r="F362" s="25">
        <f>IF(E362="","",IF(COUNTIF(lst_Jobs,E362&amp;"")&gt;0,"OK","CHECK"))</f>
        <v/>
      </c>
      <c r="G362" s="24" t="n"/>
      <c r="H362" s="24" t="n"/>
      <c r="I362" s="24" t="n"/>
      <c r="J362" s="24" t="n"/>
      <c r="K362" s="24" t="n"/>
      <c r="L362" s="26" t="n"/>
      <c r="M362" s="27">
        <f>IF(L362="","",IF(K362="GST 10%",ROUND(L362*set_GSTRate,2),0))</f>
        <v/>
      </c>
      <c r="N362" s="27">
        <f>IF(L362="","",L362+M362)</f>
        <v/>
      </c>
      <c r="O362" s="24" t="n"/>
      <c r="P362" s="24" t="n"/>
      <c r="Q362" s="24" t="n"/>
      <c r="R362" s="22" t="n"/>
      <c r="S362" s="22" t="n"/>
      <c r="T362" s="24" t="n"/>
      <c r="U362" s="24" t="n"/>
      <c r="V362" s="2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25">
        <f>IF(E362="","",IF(COUNTIF(tbl_Onsite[Job Number],E362&amp;"")&gt;0,"Onsite",IF(COUNTIF(tbl_Production[Job Number],E362&amp;"")&gt;0,"Production",IF(COUNTIF(tbl_Consulting[Job Number],E362&amp;"")&gt;0,"Consulting","not set up yet"))))</f>
        <v/>
      </c>
      <c r="X362" s="25">
        <f>IF(E362="","",IFERROR(INDEX(lst_JobName,MATCH(E362&amp;"",lst_Jobs,0)),""))</f>
        <v/>
      </c>
      <c r="Y362" s="28">
        <f>IF(E362="","",COUNTIFS(tbl_Finance[Job Number],E362&amp;"",tbl_Finance[Ex GST],"&lt;&gt;"))</f>
        <v/>
      </c>
      <c r="Z362" s="27">
        <f>IF(E362="","",SUMIFS(tbl_Finance[Ex GST],tbl_Finance[Job Number],E362&amp;""))</f>
        <v/>
      </c>
      <c r="AA362" s="27">
        <f>IF(E362="","",SUMIFS(tbl_Finance[Ex GST],tbl_Finance[Job Number],E362&amp;"",tbl_Finance[Xero Invoice No],"&lt;&gt;"))</f>
        <v/>
      </c>
      <c r="AB362" s="27">
        <f>IF(E362="","",Z362-AA362)</f>
        <v/>
      </c>
      <c r="AC362" s="25">
        <f>IF(E362="","",IFERROR(IF(INDEX(tbl_Onsite[Qwilr Quote],IFERROR(MATCH(E362&amp;"",tbl_Onsite[Job Number],0),MATCH(IFERROR(E362+0,E362),tbl_Onsite[Job Number],0)))="","",INDEX(tbl_Onsite[Qwilr Quote],IFERROR(MATCH(E362&amp;"",tbl_Onsite[Job Number],0),MATCH(IFERROR(E362+0,E362),tbl_Onsite[Job Number],0)))),IFERROR(IF(IF(INDEX(tbl_Production[Current RMS No],IFERROR(MATCH(E362&amp;"",tbl_Production[Job Number],0),MATCH(IFERROR(E362+0,E362),tbl_Production[Job Number],0)))="",INDEX(tbl_Production[Qwilr Quote],IFERROR(MATCH(E362&amp;"",tbl_Production[Job Number],0),MATCH(IFERROR(E362+0,E362),tbl_Production[Job Number],0))),INDEX(tbl_Production[Current RMS No],IFERROR(MATCH(E362&amp;"",tbl_Production[Job Number],0),MATCH(IFERROR(E362+0,E362),tbl_Production[Job Number],0))))="","",IF(INDEX(tbl_Production[Current RMS No],IFERROR(MATCH(E362&amp;"",tbl_Production[Job Number],0),MATCH(IFERROR(E362+0,E362),tbl_Production[Job Number],0)))="",INDEX(tbl_Production[Qwilr Quote],IFERROR(MATCH(E362&amp;"",tbl_Production[Job Number],0),MATCH(IFERROR(E362+0,E362),tbl_Production[Job Number],0))),INDEX(tbl_Production[Current RMS No],IFERROR(MATCH(E362&amp;"",tbl_Production[Job Number],0),MATCH(IFERROR(E362+0,E362),tbl_Production[Job Number],0))))),IFERROR(IF(INDEX(tbl_Consulting[Qwilr Quote],IFERROR(MATCH(E362&amp;"",tbl_Consulting[Job Number],0),MATCH(IFERROR(E362+0,E362),tbl_Consulting[Job Number],0)))="","",INDEX(tbl_Consulting[Qwilr Quote],IFERROR(MATCH(E362&amp;"",tbl_Consulting[Job Number],0),MATCH(IFERROR(E362+0,E362),tbl_Consulting[Job Number],0)))),""))))</f>
        <v/>
      </c>
      <c r="AD362" s="25">
        <f>IF(AC362="","",IF(AND(LEFT(AC362,4)&lt;&gt;"http",IF(H362="Production",set_RMSBase,set_QwilrBase)=""),"",HYPERLINK(IF(LEFT(AC362,4)="http",AC362,IF(H362="Production",set_RMSBase,set_QwilrBase)&amp;AC362),"Open")))</f>
        <v/>
      </c>
      <c r="AE362" s="27">
        <f>IF(E362="","",IFERROR(INDEX(tbl_Production[Total Expense],IFERROR(MATCH(E362&amp;"",tbl_Production[Job Number],0),MATCH(IFERROR(E362+0,E362),tbl_Production[Job Number],0))),IFERROR(INDEX(tbl_Consulting[Total Expense],IFERROR(MATCH(E362&amp;"",tbl_Consulting[Job Number],0),MATCH(IFERROR(E362+0,E362),tbl_Consulting[Job Number],0))),0)))</f>
        <v/>
      </c>
      <c r="AF362" s="27">
        <f>IF(E362="","",Z362-N(AE362))</f>
        <v/>
      </c>
      <c r="AG362" s="29">
        <f>IFERROR(AF362/Z362,"")</f>
        <v/>
      </c>
      <c r="AH362" s="25">
        <f>IF(E362="","",IFERROR(IF(INDEX(tbl_Onsite[Notes],IFERROR(MATCH(E362&amp;"",tbl_Onsite[Job Number],0),MATCH(IFERROR(E362+0,E362),tbl_Onsite[Job Number],0)))="","",INDEX(tbl_Onsite[Notes],IFERROR(MATCH(E362&amp;"",tbl_Onsite[Job Number],0),MATCH(IFERROR(E362+0,E362),tbl_Onsite[Job Number],0)))),IFERROR(IF(INDEX(tbl_Production[Notes],IFERROR(MATCH(E362&amp;"",tbl_Production[Job Number],0),MATCH(IFERROR(E362+0,E362),tbl_Production[Job Number],0)))="","",INDEX(tbl_Production[Notes],IFERROR(MATCH(E362&amp;"",tbl_Production[Job Number],0),MATCH(IFERROR(E362+0,E362),tbl_Production[Job Number],0)))),IFERROR(IF(INDEX(tbl_Consulting[Notes],IFERROR(MATCH(E362&amp;"",tbl_Consulting[Job Number],0),MATCH(IFERROR(E362+0,E362),tbl_Consulting[Job Number],0)))="","",INDEX(tbl_Consulting[Notes],IFERROR(MATCH(E362&amp;"",tbl_Consulting[Job Number],0),MATCH(IFERROR(E362+0,E362),tbl_Consulting[Job Number],0)))),""))))</f>
        <v/>
      </c>
    </row>
    <row r="363" ht="15" customHeight="1">
      <c r="A363" s="22" t="n"/>
      <c r="B363" s="23">
        <f>IF(A363="","",EOMONTH(A363,0))</f>
        <v/>
      </c>
      <c r="C363" s="24" t="n"/>
      <c r="D363" s="24" t="n"/>
      <c r="E363" s="24" t="n"/>
      <c r="F363" s="25">
        <f>IF(E363="","",IF(COUNTIF(lst_Jobs,E363&amp;"")&gt;0,"OK","CHECK"))</f>
        <v/>
      </c>
      <c r="G363" s="24" t="n"/>
      <c r="H363" s="24" t="n"/>
      <c r="I363" s="24" t="n"/>
      <c r="J363" s="24" t="n"/>
      <c r="K363" s="24" t="n"/>
      <c r="L363" s="26" t="n"/>
      <c r="M363" s="27">
        <f>IF(L363="","",IF(K363="GST 10%",ROUND(L363*set_GSTRate,2),0))</f>
        <v/>
      </c>
      <c r="N363" s="27">
        <f>IF(L363="","",L363+M363)</f>
        <v/>
      </c>
      <c r="O363" s="24" t="n"/>
      <c r="P363" s="24" t="n"/>
      <c r="Q363" s="24" t="n"/>
      <c r="R363" s="22" t="n"/>
      <c r="S363" s="22" t="n"/>
      <c r="T363" s="24" t="n"/>
      <c r="U363" s="24" t="n"/>
      <c r="V363" s="2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25">
        <f>IF(E363="","",IF(COUNTIF(tbl_Onsite[Job Number],E363&amp;"")&gt;0,"Onsite",IF(COUNTIF(tbl_Production[Job Number],E363&amp;"")&gt;0,"Production",IF(COUNTIF(tbl_Consulting[Job Number],E363&amp;"")&gt;0,"Consulting","not set up yet"))))</f>
        <v/>
      </c>
      <c r="X363" s="25">
        <f>IF(E363="","",IFERROR(INDEX(lst_JobName,MATCH(E363&amp;"",lst_Jobs,0)),""))</f>
        <v/>
      </c>
      <c r="Y363" s="28">
        <f>IF(E363="","",COUNTIFS(tbl_Finance[Job Number],E363&amp;"",tbl_Finance[Ex GST],"&lt;&gt;"))</f>
        <v/>
      </c>
      <c r="Z363" s="27">
        <f>IF(E363="","",SUMIFS(tbl_Finance[Ex GST],tbl_Finance[Job Number],E363&amp;""))</f>
        <v/>
      </c>
      <c r="AA363" s="27">
        <f>IF(E363="","",SUMIFS(tbl_Finance[Ex GST],tbl_Finance[Job Number],E363&amp;"",tbl_Finance[Xero Invoice No],"&lt;&gt;"))</f>
        <v/>
      </c>
      <c r="AB363" s="27">
        <f>IF(E363="","",Z363-AA363)</f>
        <v/>
      </c>
      <c r="AC363" s="25">
        <f>IF(E363="","",IFERROR(IF(INDEX(tbl_Onsite[Qwilr Quote],IFERROR(MATCH(E363&amp;"",tbl_Onsite[Job Number],0),MATCH(IFERROR(E363+0,E363),tbl_Onsite[Job Number],0)))="","",INDEX(tbl_Onsite[Qwilr Quote],IFERROR(MATCH(E363&amp;"",tbl_Onsite[Job Number],0),MATCH(IFERROR(E363+0,E363),tbl_Onsite[Job Number],0)))),IFERROR(IF(IF(INDEX(tbl_Production[Current RMS No],IFERROR(MATCH(E363&amp;"",tbl_Production[Job Number],0),MATCH(IFERROR(E363+0,E363),tbl_Production[Job Number],0)))="",INDEX(tbl_Production[Qwilr Quote],IFERROR(MATCH(E363&amp;"",tbl_Production[Job Number],0),MATCH(IFERROR(E363+0,E363),tbl_Production[Job Number],0))),INDEX(tbl_Production[Current RMS No],IFERROR(MATCH(E363&amp;"",tbl_Production[Job Number],0),MATCH(IFERROR(E363+0,E363),tbl_Production[Job Number],0))))="","",IF(INDEX(tbl_Production[Current RMS No],IFERROR(MATCH(E363&amp;"",tbl_Production[Job Number],0),MATCH(IFERROR(E363+0,E363),tbl_Production[Job Number],0)))="",INDEX(tbl_Production[Qwilr Quote],IFERROR(MATCH(E363&amp;"",tbl_Production[Job Number],0),MATCH(IFERROR(E363+0,E363),tbl_Production[Job Number],0))),INDEX(tbl_Production[Current RMS No],IFERROR(MATCH(E363&amp;"",tbl_Production[Job Number],0),MATCH(IFERROR(E363+0,E363),tbl_Production[Job Number],0))))),IFERROR(IF(INDEX(tbl_Consulting[Qwilr Quote],IFERROR(MATCH(E363&amp;"",tbl_Consulting[Job Number],0),MATCH(IFERROR(E363+0,E363),tbl_Consulting[Job Number],0)))="","",INDEX(tbl_Consulting[Qwilr Quote],IFERROR(MATCH(E363&amp;"",tbl_Consulting[Job Number],0),MATCH(IFERROR(E363+0,E363),tbl_Consulting[Job Number],0)))),""))))</f>
        <v/>
      </c>
      <c r="AD363" s="25">
        <f>IF(AC363="","",IF(AND(LEFT(AC363,4)&lt;&gt;"http",IF(H363="Production",set_RMSBase,set_QwilrBase)=""),"",HYPERLINK(IF(LEFT(AC363,4)="http",AC363,IF(H363="Production",set_RMSBase,set_QwilrBase)&amp;AC363),"Open")))</f>
        <v/>
      </c>
      <c r="AE363" s="27">
        <f>IF(E363="","",IFERROR(INDEX(tbl_Production[Total Expense],IFERROR(MATCH(E363&amp;"",tbl_Production[Job Number],0),MATCH(IFERROR(E363+0,E363),tbl_Production[Job Number],0))),IFERROR(INDEX(tbl_Consulting[Total Expense],IFERROR(MATCH(E363&amp;"",tbl_Consulting[Job Number],0),MATCH(IFERROR(E363+0,E363),tbl_Consulting[Job Number],0))),0)))</f>
        <v/>
      </c>
      <c r="AF363" s="27">
        <f>IF(E363="","",Z363-N(AE363))</f>
        <v/>
      </c>
      <c r="AG363" s="29">
        <f>IFERROR(AF363/Z363,"")</f>
        <v/>
      </c>
      <c r="AH363" s="25">
        <f>IF(E363="","",IFERROR(IF(INDEX(tbl_Onsite[Notes],IFERROR(MATCH(E363&amp;"",tbl_Onsite[Job Number],0),MATCH(IFERROR(E363+0,E363),tbl_Onsite[Job Number],0)))="","",INDEX(tbl_Onsite[Notes],IFERROR(MATCH(E363&amp;"",tbl_Onsite[Job Number],0),MATCH(IFERROR(E363+0,E363),tbl_Onsite[Job Number],0)))),IFERROR(IF(INDEX(tbl_Production[Notes],IFERROR(MATCH(E363&amp;"",tbl_Production[Job Number],0),MATCH(IFERROR(E363+0,E363),tbl_Production[Job Number],0)))="","",INDEX(tbl_Production[Notes],IFERROR(MATCH(E363&amp;"",tbl_Production[Job Number],0),MATCH(IFERROR(E363+0,E363),tbl_Production[Job Number],0)))),IFERROR(IF(INDEX(tbl_Consulting[Notes],IFERROR(MATCH(E363&amp;"",tbl_Consulting[Job Number],0),MATCH(IFERROR(E363+0,E363),tbl_Consulting[Job Number],0)))="","",INDEX(tbl_Consulting[Notes],IFERROR(MATCH(E363&amp;"",tbl_Consulting[Job Number],0),MATCH(IFERROR(E363+0,E363),tbl_Consulting[Job Number],0)))),""))))</f>
        <v/>
      </c>
    </row>
    <row r="364" ht="15" customHeight="1">
      <c r="A364" s="22" t="n"/>
      <c r="B364" s="23">
        <f>IF(A364="","",EOMONTH(A364,0))</f>
        <v/>
      </c>
      <c r="C364" s="24" t="n"/>
      <c r="D364" s="24" t="n"/>
      <c r="E364" s="24" t="n"/>
      <c r="F364" s="25">
        <f>IF(E364="","",IF(COUNTIF(lst_Jobs,E364&amp;"")&gt;0,"OK","CHECK"))</f>
        <v/>
      </c>
      <c r="G364" s="24" t="n"/>
      <c r="H364" s="24" t="n"/>
      <c r="I364" s="24" t="n"/>
      <c r="J364" s="24" t="n"/>
      <c r="K364" s="24" t="n"/>
      <c r="L364" s="26" t="n"/>
      <c r="M364" s="27">
        <f>IF(L364="","",IF(K364="GST 10%",ROUND(L364*set_GSTRate,2),0))</f>
        <v/>
      </c>
      <c r="N364" s="27">
        <f>IF(L364="","",L364+M364)</f>
        <v/>
      </c>
      <c r="O364" s="24" t="n"/>
      <c r="P364" s="24" t="n"/>
      <c r="Q364" s="24" t="n"/>
      <c r="R364" s="22" t="n"/>
      <c r="S364" s="22" t="n"/>
      <c r="T364" s="24" t="n"/>
      <c r="U364" s="24" t="n"/>
      <c r="V364" s="2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25">
        <f>IF(E364="","",IF(COUNTIF(tbl_Onsite[Job Number],E364&amp;"")&gt;0,"Onsite",IF(COUNTIF(tbl_Production[Job Number],E364&amp;"")&gt;0,"Production",IF(COUNTIF(tbl_Consulting[Job Number],E364&amp;"")&gt;0,"Consulting","not set up yet"))))</f>
        <v/>
      </c>
      <c r="X364" s="25">
        <f>IF(E364="","",IFERROR(INDEX(lst_JobName,MATCH(E364&amp;"",lst_Jobs,0)),""))</f>
        <v/>
      </c>
      <c r="Y364" s="28">
        <f>IF(E364="","",COUNTIFS(tbl_Finance[Job Number],E364&amp;"",tbl_Finance[Ex GST],"&lt;&gt;"))</f>
        <v/>
      </c>
      <c r="Z364" s="27">
        <f>IF(E364="","",SUMIFS(tbl_Finance[Ex GST],tbl_Finance[Job Number],E364&amp;""))</f>
        <v/>
      </c>
      <c r="AA364" s="27">
        <f>IF(E364="","",SUMIFS(tbl_Finance[Ex GST],tbl_Finance[Job Number],E364&amp;"",tbl_Finance[Xero Invoice No],"&lt;&gt;"))</f>
        <v/>
      </c>
      <c r="AB364" s="27">
        <f>IF(E364="","",Z364-AA364)</f>
        <v/>
      </c>
      <c r="AC364" s="25">
        <f>IF(E364="","",IFERROR(IF(INDEX(tbl_Onsite[Qwilr Quote],IFERROR(MATCH(E364&amp;"",tbl_Onsite[Job Number],0),MATCH(IFERROR(E364+0,E364),tbl_Onsite[Job Number],0)))="","",INDEX(tbl_Onsite[Qwilr Quote],IFERROR(MATCH(E364&amp;"",tbl_Onsite[Job Number],0),MATCH(IFERROR(E364+0,E364),tbl_Onsite[Job Number],0)))),IFERROR(IF(IF(INDEX(tbl_Production[Current RMS No],IFERROR(MATCH(E364&amp;"",tbl_Production[Job Number],0),MATCH(IFERROR(E364+0,E364),tbl_Production[Job Number],0)))="",INDEX(tbl_Production[Qwilr Quote],IFERROR(MATCH(E364&amp;"",tbl_Production[Job Number],0),MATCH(IFERROR(E364+0,E364),tbl_Production[Job Number],0))),INDEX(tbl_Production[Current RMS No],IFERROR(MATCH(E364&amp;"",tbl_Production[Job Number],0),MATCH(IFERROR(E364+0,E364),tbl_Production[Job Number],0))))="","",IF(INDEX(tbl_Production[Current RMS No],IFERROR(MATCH(E364&amp;"",tbl_Production[Job Number],0),MATCH(IFERROR(E364+0,E364),tbl_Production[Job Number],0)))="",INDEX(tbl_Production[Qwilr Quote],IFERROR(MATCH(E364&amp;"",tbl_Production[Job Number],0),MATCH(IFERROR(E364+0,E364),tbl_Production[Job Number],0))),INDEX(tbl_Production[Current RMS No],IFERROR(MATCH(E364&amp;"",tbl_Production[Job Number],0),MATCH(IFERROR(E364+0,E364),tbl_Production[Job Number],0))))),IFERROR(IF(INDEX(tbl_Consulting[Qwilr Quote],IFERROR(MATCH(E364&amp;"",tbl_Consulting[Job Number],0),MATCH(IFERROR(E364+0,E364),tbl_Consulting[Job Number],0)))="","",INDEX(tbl_Consulting[Qwilr Quote],IFERROR(MATCH(E364&amp;"",tbl_Consulting[Job Number],0),MATCH(IFERROR(E364+0,E364),tbl_Consulting[Job Number],0)))),""))))</f>
        <v/>
      </c>
      <c r="AD364" s="25">
        <f>IF(AC364="","",IF(AND(LEFT(AC364,4)&lt;&gt;"http",IF(H364="Production",set_RMSBase,set_QwilrBase)=""),"",HYPERLINK(IF(LEFT(AC364,4)="http",AC364,IF(H364="Production",set_RMSBase,set_QwilrBase)&amp;AC364),"Open")))</f>
        <v/>
      </c>
      <c r="AE364" s="27">
        <f>IF(E364="","",IFERROR(INDEX(tbl_Production[Total Expense],IFERROR(MATCH(E364&amp;"",tbl_Production[Job Number],0),MATCH(IFERROR(E364+0,E364),tbl_Production[Job Number],0))),IFERROR(INDEX(tbl_Consulting[Total Expense],IFERROR(MATCH(E364&amp;"",tbl_Consulting[Job Number],0),MATCH(IFERROR(E364+0,E364),tbl_Consulting[Job Number],0))),0)))</f>
        <v/>
      </c>
      <c r="AF364" s="27">
        <f>IF(E364="","",Z364-N(AE364))</f>
        <v/>
      </c>
      <c r="AG364" s="29">
        <f>IFERROR(AF364/Z364,"")</f>
        <v/>
      </c>
      <c r="AH364" s="25">
        <f>IF(E364="","",IFERROR(IF(INDEX(tbl_Onsite[Notes],IFERROR(MATCH(E364&amp;"",tbl_Onsite[Job Number],0),MATCH(IFERROR(E364+0,E364),tbl_Onsite[Job Number],0)))="","",INDEX(tbl_Onsite[Notes],IFERROR(MATCH(E364&amp;"",tbl_Onsite[Job Number],0),MATCH(IFERROR(E364+0,E364),tbl_Onsite[Job Number],0)))),IFERROR(IF(INDEX(tbl_Production[Notes],IFERROR(MATCH(E364&amp;"",tbl_Production[Job Number],0),MATCH(IFERROR(E364+0,E364),tbl_Production[Job Number],0)))="","",INDEX(tbl_Production[Notes],IFERROR(MATCH(E364&amp;"",tbl_Production[Job Number],0),MATCH(IFERROR(E364+0,E364),tbl_Production[Job Number],0)))),IFERROR(IF(INDEX(tbl_Consulting[Notes],IFERROR(MATCH(E364&amp;"",tbl_Consulting[Job Number],0),MATCH(IFERROR(E364+0,E364),tbl_Consulting[Job Number],0)))="","",INDEX(tbl_Consulting[Notes],IFERROR(MATCH(E364&amp;"",tbl_Consulting[Job Number],0),MATCH(IFERROR(E364+0,E364),tbl_Consulting[Job Number],0)))),""))))</f>
        <v/>
      </c>
    </row>
    <row r="365" ht="15" customHeight="1">
      <c r="A365" s="22" t="n"/>
      <c r="B365" s="23">
        <f>IF(A365="","",EOMONTH(A365,0))</f>
        <v/>
      </c>
      <c r="C365" s="24" t="n"/>
      <c r="D365" s="24" t="n"/>
      <c r="E365" s="24" t="n"/>
      <c r="F365" s="25">
        <f>IF(E365="","",IF(COUNTIF(lst_Jobs,E365&amp;"")&gt;0,"OK","CHECK"))</f>
        <v/>
      </c>
      <c r="G365" s="24" t="n"/>
      <c r="H365" s="24" t="n"/>
      <c r="I365" s="24" t="n"/>
      <c r="J365" s="24" t="n"/>
      <c r="K365" s="24" t="n"/>
      <c r="L365" s="26" t="n"/>
      <c r="M365" s="27">
        <f>IF(L365="","",IF(K365="GST 10%",ROUND(L365*set_GSTRate,2),0))</f>
        <v/>
      </c>
      <c r="N365" s="27">
        <f>IF(L365="","",L365+M365)</f>
        <v/>
      </c>
      <c r="O365" s="24" t="n"/>
      <c r="P365" s="24" t="n"/>
      <c r="Q365" s="24" t="n"/>
      <c r="R365" s="22" t="n"/>
      <c r="S365" s="22" t="n"/>
      <c r="T365" s="24" t="n"/>
      <c r="U365" s="24" t="n"/>
      <c r="V365" s="2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25">
        <f>IF(E365="","",IF(COUNTIF(tbl_Onsite[Job Number],E365&amp;"")&gt;0,"Onsite",IF(COUNTIF(tbl_Production[Job Number],E365&amp;"")&gt;0,"Production",IF(COUNTIF(tbl_Consulting[Job Number],E365&amp;"")&gt;0,"Consulting","not set up yet"))))</f>
        <v/>
      </c>
      <c r="X365" s="25">
        <f>IF(E365="","",IFERROR(INDEX(lst_JobName,MATCH(E365&amp;"",lst_Jobs,0)),""))</f>
        <v/>
      </c>
      <c r="Y365" s="28">
        <f>IF(E365="","",COUNTIFS(tbl_Finance[Job Number],E365&amp;"",tbl_Finance[Ex GST],"&lt;&gt;"))</f>
        <v/>
      </c>
      <c r="Z365" s="27">
        <f>IF(E365="","",SUMIFS(tbl_Finance[Ex GST],tbl_Finance[Job Number],E365&amp;""))</f>
        <v/>
      </c>
      <c r="AA365" s="27">
        <f>IF(E365="","",SUMIFS(tbl_Finance[Ex GST],tbl_Finance[Job Number],E365&amp;"",tbl_Finance[Xero Invoice No],"&lt;&gt;"))</f>
        <v/>
      </c>
      <c r="AB365" s="27">
        <f>IF(E365="","",Z365-AA365)</f>
        <v/>
      </c>
      <c r="AC365" s="25">
        <f>IF(E365="","",IFERROR(IF(INDEX(tbl_Onsite[Qwilr Quote],IFERROR(MATCH(E365&amp;"",tbl_Onsite[Job Number],0),MATCH(IFERROR(E365+0,E365),tbl_Onsite[Job Number],0)))="","",INDEX(tbl_Onsite[Qwilr Quote],IFERROR(MATCH(E365&amp;"",tbl_Onsite[Job Number],0),MATCH(IFERROR(E365+0,E365),tbl_Onsite[Job Number],0)))),IFERROR(IF(IF(INDEX(tbl_Production[Current RMS No],IFERROR(MATCH(E365&amp;"",tbl_Production[Job Number],0),MATCH(IFERROR(E365+0,E365),tbl_Production[Job Number],0)))="",INDEX(tbl_Production[Qwilr Quote],IFERROR(MATCH(E365&amp;"",tbl_Production[Job Number],0),MATCH(IFERROR(E365+0,E365),tbl_Production[Job Number],0))),INDEX(tbl_Production[Current RMS No],IFERROR(MATCH(E365&amp;"",tbl_Production[Job Number],0),MATCH(IFERROR(E365+0,E365),tbl_Production[Job Number],0))))="","",IF(INDEX(tbl_Production[Current RMS No],IFERROR(MATCH(E365&amp;"",tbl_Production[Job Number],0),MATCH(IFERROR(E365+0,E365),tbl_Production[Job Number],0)))="",INDEX(tbl_Production[Qwilr Quote],IFERROR(MATCH(E365&amp;"",tbl_Production[Job Number],0),MATCH(IFERROR(E365+0,E365),tbl_Production[Job Number],0))),INDEX(tbl_Production[Current RMS No],IFERROR(MATCH(E365&amp;"",tbl_Production[Job Number],0),MATCH(IFERROR(E365+0,E365),tbl_Production[Job Number],0))))),IFERROR(IF(INDEX(tbl_Consulting[Qwilr Quote],IFERROR(MATCH(E365&amp;"",tbl_Consulting[Job Number],0),MATCH(IFERROR(E365+0,E365),tbl_Consulting[Job Number],0)))="","",INDEX(tbl_Consulting[Qwilr Quote],IFERROR(MATCH(E365&amp;"",tbl_Consulting[Job Number],0),MATCH(IFERROR(E365+0,E365),tbl_Consulting[Job Number],0)))),""))))</f>
        <v/>
      </c>
      <c r="AD365" s="25">
        <f>IF(AC365="","",IF(AND(LEFT(AC365,4)&lt;&gt;"http",IF(H365="Production",set_RMSBase,set_QwilrBase)=""),"",HYPERLINK(IF(LEFT(AC365,4)="http",AC365,IF(H365="Production",set_RMSBase,set_QwilrBase)&amp;AC365),"Open")))</f>
        <v/>
      </c>
      <c r="AE365" s="27">
        <f>IF(E365="","",IFERROR(INDEX(tbl_Production[Total Expense],IFERROR(MATCH(E365&amp;"",tbl_Production[Job Number],0),MATCH(IFERROR(E365+0,E365),tbl_Production[Job Number],0))),IFERROR(INDEX(tbl_Consulting[Total Expense],IFERROR(MATCH(E365&amp;"",tbl_Consulting[Job Number],0),MATCH(IFERROR(E365+0,E365),tbl_Consulting[Job Number],0))),0)))</f>
        <v/>
      </c>
      <c r="AF365" s="27">
        <f>IF(E365="","",Z365-N(AE365))</f>
        <v/>
      </c>
      <c r="AG365" s="29">
        <f>IFERROR(AF365/Z365,"")</f>
        <v/>
      </c>
      <c r="AH365" s="25">
        <f>IF(E365="","",IFERROR(IF(INDEX(tbl_Onsite[Notes],IFERROR(MATCH(E365&amp;"",tbl_Onsite[Job Number],0),MATCH(IFERROR(E365+0,E365),tbl_Onsite[Job Number],0)))="","",INDEX(tbl_Onsite[Notes],IFERROR(MATCH(E365&amp;"",tbl_Onsite[Job Number],0),MATCH(IFERROR(E365+0,E365),tbl_Onsite[Job Number],0)))),IFERROR(IF(INDEX(tbl_Production[Notes],IFERROR(MATCH(E365&amp;"",tbl_Production[Job Number],0),MATCH(IFERROR(E365+0,E365),tbl_Production[Job Number],0)))="","",INDEX(tbl_Production[Notes],IFERROR(MATCH(E365&amp;"",tbl_Production[Job Number],0),MATCH(IFERROR(E365+0,E365),tbl_Production[Job Number],0)))),IFERROR(IF(INDEX(tbl_Consulting[Notes],IFERROR(MATCH(E365&amp;"",tbl_Consulting[Job Number],0),MATCH(IFERROR(E365+0,E365),tbl_Consulting[Job Number],0)))="","",INDEX(tbl_Consulting[Notes],IFERROR(MATCH(E365&amp;"",tbl_Consulting[Job Number],0),MATCH(IFERROR(E365+0,E365),tbl_Consulting[Job Number],0)))),""))))</f>
        <v/>
      </c>
    </row>
    <row r="366" ht="15" customHeight="1">
      <c r="A366" s="22" t="n"/>
      <c r="B366" s="23">
        <f>IF(A366="","",EOMONTH(A366,0))</f>
        <v/>
      </c>
      <c r="C366" s="24" t="n"/>
      <c r="D366" s="24" t="n"/>
      <c r="E366" s="24" t="n"/>
      <c r="F366" s="25">
        <f>IF(E366="","",IF(COUNTIF(lst_Jobs,E366&amp;"")&gt;0,"OK","CHECK"))</f>
        <v/>
      </c>
      <c r="G366" s="24" t="n"/>
      <c r="H366" s="24" t="n"/>
      <c r="I366" s="24" t="n"/>
      <c r="J366" s="24" t="n"/>
      <c r="K366" s="24" t="n"/>
      <c r="L366" s="26" t="n"/>
      <c r="M366" s="27">
        <f>IF(L366="","",IF(K366="GST 10%",ROUND(L366*set_GSTRate,2),0))</f>
        <v/>
      </c>
      <c r="N366" s="27">
        <f>IF(L366="","",L366+M366)</f>
        <v/>
      </c>
      <c r="O366" s="24" t="n"/>
      <c r="P366" s="24" t="n"/>
      <c r="Q366" s="24" t="n"/>
      <c r="R366" s="22" t="n"/>
      <c r="S366" s="22" t="n"/>
      <c r="T366" s="24" t="n"/>
      <c r="U366" s="24" t="n"/>
      <c r="V366" s="2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25">
        <f>IF(E366="","",IF(COUNTIF(tbl_Onsite[Job Number],E366&amp;"")&gt;0,"Onsite",IF(COUNTIF(tbl_Production[Job Number],E366&amp;"")&gt;0,"Production",IF(COUNTIF(tbl_Consulting[Job Number],E366&amp;"")&gt;0,"Consulting","not set up yet"))))</f>
        <v/>
      </c>
      <c r="X366" s="25">
        <f>IF(E366="","",IFERROR(INDEX(lst_JobName,MATCH(E366&amp;"",lst_Jobs,0)),""))</f>
        <v/>
      </c>
      <c r="Y366" s="28">
        <f>IF(E366="","",COUNTIFS(tbl_Finance[Job Number],E366&amp;"",tbl_Finance[Ex GST],"&lt;&gt;"))</f>
        <v/>
      </c>
      <c r="Z366" s="27">
        <f>IF(E366="","",SUMIFS(tbl_Finance[Ex GST],tbl_Finance[Job Number],E366&amp;""))</f>
        <v/>
      </c>
      <c r="AA366" s="27">
        <f>IF(E366="","",SUMIFS(tbl_Finance[Ex GST],tbl_Finance[Job Number],E366&amp;"",tbl_Finance[Xero Invoice No],"&lt;&gt;"))</f>
        <v/>
      </c>
      <c r="AB366" s="27">
        <f>IF(E366="","",Z366-AA366)</f>
        <v/>
      </c>
      <c r="AC366" s="25">
        <f>IF(E366="","",IFERROR(IF(INDEX(tbl_Onsite[Qwilr Quote],IFERROR(MATCH(E366&amp;"",tbl_Onsite[Job Number],0),MATCH(IFERROR(E366+0,E366),tbl_Onsite[Job Number],0)))="","",INDEX(tbl_Onsite[Qwilr Quote],IFERROR(MATCH(E366&amp;"",tbl_Onsite[Job Number],0),MATCH(IFERROR(E366+0,E366),tbl_Onsite[Job Number],0)))),IFERROR(IF(IF(INDEX(tbl_Production[Current RMS No],IFERROR(MATCH(E366&amp;"",tbl_Production[Job Number],0),MATCH(IFERROR(E366+0,E366),tbl_Production[Job Number],0)))="",INDEX(tbl_Production[Qwilr Quote],IFERROR(MATCH(E366&amp;"",tbl_Production[Job Number],0),MATCH(IFERROR(E366+0,E366),tbl_Production[Job Number],0))),INDEX(tbl_Production[Current RMS No],IFERROR(MATCH(E366&amp;"",tbl_Production[Job Number],0),MATCH(IFERROR(E366+0,E366),tbl_Production[Job Number],0))))="","",IF(INDEX(tbl_Production[Current RMS No],IFERROR(MATCH(E366&amp;"",tbl_Production[Job Number],0),MATCH(IFERROR(E366+0,E366),tbl_Production[Job Number],0)))="",INDEX(tbl_Production[Qwilr Quote],IFERROR(MATCH(E366&amp;"",tbl_Production[Job Number],0),MATCH(IFERROR(E366+0,E366),tbl_Production[Job Number],0))),INDEX(tbl_Production[Current RMS No],IFERROR(MATCH(E366&amp;"",tbl_Production[Job Number],0),MATCH(IFERROR(E366+0,E366),tbl_Production[Job Number],0))))),IFERROR(IF(INDEX(tbl_Consulting[Qwilr Quote],IFERROR(MATCH(E366&amp;"",tbl_Consulting[Job Number],0),MATCH(IFERROR(E366+0,E366),tbl_Consulting[Job Number],0)))="","",INDEX(tbl_Consulting[Qwilr Quote],IFERROR(MATCH(E366&amp;"",tbl_Consulting[Job Number],0),MATCH(IFERROR(E366+0,E366),tbl_Consulting[Job Number],0)))),""))))</f>
        <v/>
      </c>
      <c r="AD366" s="25">
        <f>IF(AC366="","",IF(AND(LEFT(AC366,4)&lt;&gt;"http",IF(H366="Production",set_RMSBase,set_QwilrBase)=""),"",HYPERLINK(IF(LEFT(AC366,4)="http",AC366,IF(H366="Production",set_RMSBase,set_QwilrBase)&amp;AC366),"Open")))</f>
        <v/>
      </c>
      <c r="AE366" s="27">
        <f>IF(E366="","",IFERROR(INDEX(tbl_Production[Total Expense],IFERROR(MATCH(E366&amp;"",tbl_Production[Job Number],0),MATCH(IFERROR(E366+0,E366),tbl_Production[Job Number],0))),IFERROR(INDEX(tbl_Consulting[Total Expense],IFERROR(MATCH(E366&amp;"",tbl_Consulting[Job Number],0),MATCH(IFERROR(E366+0,E366),tbl_Consulting[Job Number],0))),0)))</f>
        <v/>
      </c>
      <c r="AF366" s="27">
        <f>IF(E366="","",Z366-N(AE366))</f>
        <v/>
      </c>
      <c r="AG366" s="29">
        <f>IFERROR(AF366/Z366,"")</f>
        <v/>
      </c>
      <c r="AH366" s="25">
        <f>IF(E366="","",IFERROR(IF(INDEX(tbl_Onsite[Notes],IFERROR(MATCH(E366&amp;"",tbl_Onsite[Job Number],0),MATCH(IFERROR(E366+0,E366),tbl_Onsite[Job Number],0)))="","",INDEX(tbl_Onsite[Notes],IFERROR(MATCH(E366&amp;"",tbl_Onsite[Job Number],0),MATCH(IFERROR(E366+0,E366),tbl_Onsite[Job Number],0)))),IFERROR(IF(INDEX(tbl_Production[Notes],IFERROR(MATCH(E366&amp;"",tbl_Production[Job Number],0),MATCH(IFERROR(E366+0,E366),tbl_Production[Job Number],0)))="","",INDEX(tbl_Production[Notes],IFERROR(MATCH(E366&amp;"",tbl_Production[Job Number],0),MATCH(IFERROR(E366+0,E366),tbl_Production[Job Number],0)))),IFERROR(IF(INDEX(tbl_Consulting[Notes],IFERROR(MATCH(E366&amp;"",tbl_Consulting[Job Number],0),MATCH(IFERROR(E366+0,E366),tbl_Consulting[Job Number],0)))="","",INDEX(tbl_Consulting[Notes],IFERROR(MATCH(E366&amp;"",tbl_Consulting[Job Number],0),MATCH(IFERROR(E366+0,E366),tbl_Consulting[Job Number],0)))),""))))</f>
        <v/>
      </c>
    </row>
    <row r="367" ht="15" customHeight="1">
      <c r="A367" s="22" t="n"/>
      <c r="B367" s="23">
        <f>IF(A367="","",EOMONTH(A367,0))</f>
        <v/>
      </c>
      <c r="C367" s="24" t="n"/>
      <c r="D367" s="24" t="n"/>
      <c r="E367" s="24" t="n"/>
      <c r="F367" s="25">
        <f>IF(E367="","",IF(COUNTIF(lst_Jobs,E367&amp;"")&gt;0,"OK","CHECK"))</f>
        <v/>
      </c>
      <c r="G367" s="24" t="n"/>
      <c r="H367" s="24" t="n"/>
      <c r="I367" s="24" t="n"/>
      <c r="J367" s="24" t="n"/>
      <c r="K367" s="24" t="n"/>
      <c r="L367" s="26" t="n"/>
      <c r="M367" s="27">
        <f>IF(L367="","",IF(K367="GST 10%",ROUND(L367*set_GSTRate,2),0))</f>
        <v/>
      </c>
      <c r="N367" s="27">
        <f>IF(L367="","",L367+M367)</f>
        <v/>
      </c>
      <c r="O367" s="24" t="n"/>
      <c r="P367" s="24" t="n"/>
      <c r="Q367" s="24" t="n"/>
      <c r="R367" s="22" t="n"/>
      <c r="S367" s="22" t="n"/>
      <c r="T367" s="24" t="n"/>
      <c r="U367" s="24" t="n"/>
      <c r="V367" s="2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25">
        <f>IF(E367="","",IF(COUNTIF(tbl_Onsite[Job Number],E367&amp;"")&gt;0,"Onsite",IF(COUNTIF(tbl_Production[Job Number],E367&amp;"")&gt;0,"Production",IF(COUNTIF(tbl_Consulting[Job Number],E367&amp;"")&gt;0,"Consulting","not set up yet"))))</f>
        <v/>
      </c>
      <c r="X367" s="25">
        <f>IF(E367="","",IFERROR(INDEX(lst_JobName,MATCH(E367&amp;"",lst_Jobs,0)),""))</f>
        <v/>
      </c>
      <c r="Y367" s="28">
        <f>IF(E367="","",COUNTIFS(tbl_Finance[Job Number],E367&amp;"",tbl_Finance[Ex GST],"&lt;&gt;"))</f>
        <v/>
      </c>
      <c r="Z367" s="27">
        <f>IF(E367="","",SUMIFS(tbl_Finance[Ex GST],tbl_Finance[Job Number],E367&amp;""))</f>
        <v/>
      </c>
      <c r="AA367" s="27">
        <f>IF(E367="","",SUMIFS(tbl_Finance[Ex GST],tbl_Finance[Job Number],E367&amp;"",tbl_Finance[Xero Invoice No],"&lt;&gt;"))</f>
        <v/>
      </c>
      <c r="AB367" s="27">
        <f>IF(E367="","",Z367-AA367)</f>
        <v/>
      </c>
      <c r="AC367" s="25">
        <f>IF(E367="","",IFERROR(IF(INDEX(tbl_Onsite[Qwilr Quote],IFERROR(MATCH(E367&amp;"",tbl_Onsite[Job Number],0),MATCH(IFERROR(E367+0,E367),tbl_Onsite[Job Number],0)))="","",INDEX(tbl_Onsite[Qwilr Quote],IFERROR(MATCH(E367&amp;"",tbl_Onsite[Job Number],0),MATCH(IFERROR(E367+0,E367),tbl_Onsite[Job Number],0)))),IFERROR(IF(IF(INDEX(tbl_Production[Current RMS No],IFERROR(MATCH(E367&amp;"",tbl_Production[Job Number],0),MATCH(IFERROR(E367+0,E367),tbl_Production[Job Number],0)))="",INDEX(tbl_Production[Qwilr Quote],IFERROR(MATCH(E367&amp;"",tbl_Production[Job Number],0),MATCH(IFERROR(E367+0,E367),tbl_Production[Job Number],0))),INDEX(tbl_Production[Current RMS No],IFERROR(MATCH(E367&amp;"",tbl_Production[Job Number],0),MATCH(IFERROR(E367+0,E367),tbl_Production[Job Number],0))))="","",IF(INDEX(tbl_Production[Current RMS No],IFERROR(MATCH(E367&amp;"",tbl_Production[Job Number],0),MATCH(IFERROR(E367+0,E367),tbl_Production[Job Number],0)))="",INDEX(tbl_Production[Qwilr Quote],IFERROR(MATCH(E367&amp;"",tbl_Production[Job Number],0),MATCH(IFERROR(E367+0,E367),tbl_Production[Job Number],0))),INDEX(tbl_Production[Current RMS No],IFERROR(MATCH(E367&amp;"",tbl_Production[Job Number],0),MATCH(IFERROR(E367+0,E367),tbl_Production[Job Number],0))))),IFERROR(IF(INDEX(tbl_Consulting[Qwilr Quote],IFERROR(MATCH(E367&amp;"",tbl_Consulting[Job Number],0),MATCH(IFERROR(E367+0,E367),tbl_Consulting[Job Number],0)))="","",INDEX(tbl_Consulting[Qwilr Quote],IFERROR(MATCH(E367&amp;"",tbl_Consulting[Job Number],0),MATCH(IFERROR(E367+0,E367),tbl_Consulting[Job Number],0)))),""))))</f>
        <v/>
      </c>
      <c r="AD367" s="25">
        <f>IF(AC367="","",IF(AND(LEFT(AC367,4)&lt;&gt;"http",IF(H367="Production",set_RMSBase,set_QwilrBase)=""),"",HYPERLINK(IF(LEFT(AC367,4)="http",AC367,IF(H367="Production",set_RMSBase,set_QwilrBase)&amp;AC367),"Open")))</f>
        <v/>
      </c>
      <c r="AE367" s="27">
        <f>IF(E367="","",IFERROR(INDEX(tbl_Production[Total Expense],IFERROR(MATCH(E367&amp;"",tbl_Production[Job Number],0),MATCH(IFERROR(E367+0,E367),tbl_Production[Job Number],0))),IFERROR(INDEX(tbl_Consulting[Total Expense],IFERROR(MATCH(E367&amp;"",tbl_Consulting[Job Number],0),MATCH(IFERROR(E367+0,E367),tbl_Consulting[Job Number],0))),0)))</f>
        <v/>
      </c>
      <c r="AF367" s="27">
        <f>IF(E367="","",Z367-N(AE367))</f>
        <v/>
      </c>
      <c r="AG367" s="29">
        <f>IFERROR(AF367/Z367,"")</f>
        <v/>
      </c>
      <c r="AH367" s="25">
        <f>IF(E367="","",IFERROR(IF(INDEX(tbl_Onsite[Notes],IFERROR(MATCH(E367&amp;"",tbl_Onsite[Job Number],0),MATCH(IFERROR(E367+0,E367),tbl_Onsite[Job Number],0)))="","",INDEX(tbl_Onsite[Notes],IFERROR(MATCH(E367&amp;"",tbl_Onsite[Job Number],0),MATCH(IFERROR(E367+0,E367),tbl_Onsite[Job Number],0)))),IFERROR(IF(INDEX(tbl_Production[Notes],IFERROR(MATCH(E367&amp;"",tbl_Production[Job Number],0),MATCH(IFERROR(E367+0,E367),tbl_Production[Job Number],0)))="","",INDEX(tbl_Production[Notes],IFERROR(MATCH(E367&amp;"",tbl_Production[Job Number],0),MATCH(IFERROR(E367+0,E367),tbl_Production[Job Number],0)))),IFERROR(IF(INDEX(tbl_Consulting[Notes],IFERROR(MATCH(E367&amp;"",tbl_Consulting[Job Number],0),MATCH(IFERROR(E367+0,E367),tbl_Consulting[Job Number],0)))="","",INDEX(tbl_Consulting[Notes],IFERROR(MATCH(E367&amp;"",tbl_Consulting[Job Number],0),MATCH(IFERROR(E367+0,E367),tbl_Consulting[Job Number],0)))),""))))</f>
        <v/>
      </c>
    </row>
    <row r="368" ht="15" customHeight="1">
      <c r="A368" s="22" t="n"/>
      <c r="B368" s="23">
        <f>IF(A368="","",EOMONTH(A368,0))</f>
        <v/>
      </c>
      <c r="C368" s="24" t="n"/>
      <c r="D368" s="24" t="n"/>
      <c r="E368" s="24" t="n"/>
      <c r="F368" s="25">
        <f>IF(E368="","",IF(COUNTIF(lst_Jobs,E368&amp;"")&gt;0,"OK","CHECK"))</f>
        <v/>
      </c>
      <c r="G368" s="24" t="n"/>
      <c r="H368" s="24" t="n"/>
      <c r="I368" s="24" t="n"/>
      <c r="J368" s="24" t="n"/>
      <c r="K368" s="24" t="n"/>
      <c r="L368" s="26" t="n"/>
      <c r="M368" s="27">
        <f>IF(L368="","",IF(K368="GST 10%",ROUND(L368*set_GSTRate,2),0))</f>
        <v/>
      </c>
      <c r="N368" s="27">
        <f>IF(L368="","",L368+M368)</f>
        <v/>
      </c>
      <c r="O368" s="24" t="n"/>
      <c r="P368" s="24" t="n"/>
      <c r="Q368" s="24" t="n"/>
      <c r="R368" s="22" t="n"/>
      <c r="S368" s="22" t="n"/>
      <c r="T368" s="24" t="n"/>
      <c r="U368" s="24" t="n"/>
      <c r="V368" s="2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25">
        <f>IF(E368="","",IF(COUNTIF(tbl_Onsite[Job Number],E368&amp;"")&gt;0,"Onsite",IF(COUNTIF(tbl_Production[Job Number],E368&amp;"")&gt;0,"Production",IF(COUNTIF(tbl_Consulting[Job Number],E368&amp;"")&gt;0,"Consulting","not set up yet"))))</f>
        <v/>
      </c>
      <c r="X368" s="25">
        <f>IF(E368="","",IFERROR(INDEX(lst_JobName,MATCH(E368&amp;"",lst_Jobs,0)),""))</f>
        <v/>
      </c>
      <c r="Y368" s="28">
        <f>IF(E368="","",COUNTIFS(tbl_Finance[Job Number],E368&amp;"",tbl_Finance[Ex GST],"&lt;&gt;"))</f>
        <v/>
      </c>
      <c r="Z368" s="27">
        <f>IF(E368="","",SUMIFS(tbl_Finance[Ex GST],tbl_Finance[Job Number],E368&amp;""))</f>
        <v/>
      </c>
      <c r="AA368" s="27">
        <f>IF(E368="","",SUMIFS(tbl_Finance[Ex GST],tbl_Finance[Job Number],E368&amp;"",tbl_Finance[Xero Invoice No],"&lt;&gt;"))</f>
        <v/>
      </c>
      <c r="AB368" s="27">
        <f>IF(E368="","",Z368-AA368)</f>
        <v/>
      </c>
      <c r="AC368" s="25">
        <f>IF(E368="","",IFERROR(IF(INDEX(tbl_Onsite[Qwilr Quote],IFERROR(MATCH(E368&amp;"",tbl_Onsite[Job Number],0),MATCH(IFERROR(E368+0,E368),tbl_Onsite[Job Number],0)))="","",INDEX(tbl_Onsite[Qwilr Quote],IFERROR(MATCH(E368&amp;"",tbl_Onsite[Job Number],0),MATCH(IFERROR(E368+0,E368),tbl_Onsite[Job Number],0)))),IFERROR(IF(IF(INDEX(tbl_Production[Current RMS No],IFERROR(MATCH(E368&amp;"",tbl_Production[Job Number],0),MATCH(IFERROR(E368+0,E368),tbl_Production[Job Number],0)))="",INDEX(tbl_Production[Qwilr Quote],IFERROR(MATCH(E368&amp;"",tbl_Production[Job Number],0),MATCH(IFERROR(E368+0,E368),tbl_Production[Job Number],0))),INDEX(tbl_Production[Current RMS No],IFERROR(MATCH(E368&amp;"",tbl_Production[Job Number],0),MATCH(IFERROR(E368+0,E368),tbl_Production[Job Number],0))))="","",IF(INDEX(tbl_Production[Current RMS No],IFERROR(MATCH(E368&amp;"",tbl_Production[Job Number],0),MATCH(IFERROR(E368+0,E368),tbl_Production[Job Number],0)))="",INDEX(tbl_Production[Qwilr Quote],IFERROR(MATCH(E368&amp;"",tbl_Production[Job Number],0),MATCH(IFERROR(E368+0,E368),tbl_Production[Job Number],0))),INDEX(tbl_Production[Current RMS No],IFERROR(MATCH(E368&amp;"",tbl_Production[Job Number],0),MATCH(IFERROR(E368+0,E368),tbl_Production[Job Number],0))))),IFERROR(IF(INDEX(tbl_Consulting[Qwilr Quote],IFERROR(MATCH(E368&amp;"",tbl_Consulting[Job Number],0),MATCH(IFERROR(E368+0,E368),tbl_Consulting[Job Number],0)))="","",INDEX(tbl_Consulting[Qwilr Quote],IFERROR(MATCH(E368&amp;"",tbl_Consulting[Job Number],0),MATCH(IFERROR(E368+0,E368),tbl_Consulting[Job Number],0)))),""))))</f>
        <v/>
      </c>
      <c r="AD368" s="25">
        <f>IF(AC368="","",IF(AND(LEFT(AC368,4)&lt;&gt;"http",IF(H368="Production",set_RMSBase,set_QwilrBase)=""),"",HYPERLINK(IF(LEFT(AC368,4)="http",AC368,IF(H368="Production",set_RMSBase,set_QwilrBase)&amp;AC368),"Open")))</f>
        <v/>
      </c>
      <c r="AE368" s="27">
        <f>IF(E368="","",IFERROR(INDEX(tbl_Production[Total Expense],IFERROR(MATCH(E368&amp;"",tbl_Production[Job Number],0),MATCH(IFERROR(E368+0,E368),tbl_Production[Job Number],0))),IFERROR(INDEX(tbl_Consulting[Total Expense],IFERROR(MATCH(E368&amp;"",tbl_Consulting[Job Number],0),MATCH(IFERROR(E368+0,E368),tbl_Consulting[Job Number],0))),0)))</f>
        <v/>
      </c>
      <c r="AF368" s="27">
        <f>IF(E368="","",Z368-N(AE368))</f>
        <v/>
      </c>
      <c r="AG368" s="29">
        <f>IFERROR(AF368/Z368,"")</f>
        <v/>
      </c>
      <c r="AH368" s="25">
        <f>IF(E368="","",IFERROR(IF(INDEX(tbl_Onsite[Notes],IFERROR(MATCH(E368&amp;"",tbl_Onsite[Job Number],0),MATCH(IFERROR(E368+0,E368),tbl_Onsite[Job Number],0)))="","",INDEX(tbl_Onsite[Notes],IFERROR(MATCH(E368&amp;"",tbl_Onsite[Job Number],0),MATCH(IFERROR(E368+0,E368),tbl_Onsite[Job Number],0)))),IFERROR(IF(INDEX(tbl_Production[Notes],IFERROR(MATCH(E368&amp;"",tbl_Production[Job Number],0),MATCH(IFERROR(E368+0,E368),tbl_Production[Job Number],0)))="","",INDEX(tbl_Production[Notes],IFERROR(MATCH(E368&amp;"",tbl_Production[Job Number],0),MATCH(IFERROR(E368+0,E368),tbl_Production[Job Number],0)))),IFERROR(IF(INDEX(tbl_Consulting[Notes],IFERROR(MATCH(E368&amp;"",tbl_Consulting[Job Number],0),MATCH(IFERROR(E368+0,E368),tbl_Consulting[Job Number],0)))="","",INDEX(tbl_Consulting[Notes],IFERROR(MATCH(E368&amp;"",tbl_Consulting[Job Number],0),MATCH(IFERROR(E368+0,E368),tbl_Consulting[Job Number],0)))),""))))</f>
        <v/>
      </c>
    </row>
    <row r="369" ht="15" customHeight="1">
      <c r="A369" s="22" t="n"/>
      <c r="B369" s="23">
        <f>IF(A369="","",EOMONTH(A369,0))</f>
        <v/>
      </c>
      <c r="C369" s="24" t="n"/>
      <c r="D369" s="24" t="n"/>
      <c r="E369" s="24" t="n"/>
      <c r="F369" s="25">
        <f>IF(E369="","",IF(COUNTIF(lst_Jobs,E369&amp;"")&gt;0,"OK","CHECK"))</f>
        <v/>
      </c>
      <c r="G369" s="24" t="n"/>
      <c r="H369" s="24" t="n"/>
      <c r="I369" s="24" t="n"/>
      <c r="J369" s="24" t="n"/>
      <c r="K369" s="24" t="n"/>
      <c r="L369" s="26" t="n"/>
      <c r="M369" s="27">
        <f>IF(L369="","",IF(K369="GST 10%",ROUND(L369*set_GSTRate,2),0))</f>
        <v/>
      </c>
      <c r="N369" s="27">
        <f>IF(L369="","",L369+M369)</f>
        <v/>
      </c>
      <c r="O369" s="24" t="n"/>
      <c r="P369" s="24" t="n"/>
      <c r="Q369" s="24" t="n"/>
      <c r="R369" s="22" t="n"/>
      <c r="S369" s="22" t="n"/>
      <c r="T369" s="24" t="n"/>
      <c r="U369" s="24" t="n"/>
      <c r="V369" s="2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25">
        <f>IF(E369="","",IF(COUNTIF(tbl_Onsite[Job Number],E369&amp;"")&gt;0,"Onsite",IF(COUNTIF(tbl_Production[Job Number],E369&amp;"")&gt;0,"Production",IF(COUNTIF(tbl_Consulting[Job Number],E369&amp;"")&gt;0,"Consulting","not set up yet"))))</f>
        <v/>
      </c>
      <c r="X369" s="25">
        <f>IF(E369="","",IFERROR(INDEX(lst_JobName,MATCH(E369&amp;"",lst_Jobs,0)),""))</f>
        <v/>
      </c>
      <c r="Y369" s="28">
        <f>IF(E369="","",COUNTIFS(tbl_Finance[Job Number],E369&amp;"",tbl_Finance[Ex GST],"&lt;&gt;"))</f>
        <v/>
      </c>
      <c r="Z369" s="27">
        <f>IF(E369="","",SUMIFS(tbl_Finance[Ex GST],tbl_Finance[Job Number],E369&amp;""))</f>
        <v/>
      </c>
      <c r="AA369" s="27">
        <f>IF(E369="","",SUMIFS(tbl_Finance[Ex GST],tbl_Finance[Job Number],E369&amp;"",tbl_Finance[Xero Invoice No],"&lt;&gt;"))</f>
        <v/>
      </c>
      <c r="AB369" s="27">
        <f>IF(E369="","",Z369-AA369)</f>
        <v/>
      </c>
      <c r="AC369" s="25">
        <f>IF(E369="","",IFERROR(IF(INDEX(tbl_Onsite[Qwilr Quote],IFERROR(MATCH(E369&amp;"",tbl_Onsite[Job Number],0),MATCH(IFERROR(E369+0,E369),tbl_Onsite[Job Number],0)))="","",INDEX(tbl_Onsite[Qwilr Quote],IFERROR(MATCH(E369&amp;"",tbl_Onsite[Job Number],0),MATCH(IFERROR(E369+0,E369),tbl_Onsite[Job Number],0)))),IFERROR(IF(IF(INDEX(tbl_Production[Current RMS No],IFERROR(MATCH(E369&amp;"",tbl_Production[Job Number],0),MATCH(IFERROR(E369+0,E369),tbl_Production[Job Number],0)))="",INDEX(tbl_Production[Qwilr Quote],IFERROR(MATCH(E369&amp;"",tbl_Production[Job Number],0),MATCH(IFERROR(E369+0,E369),tbl_Production[Job Number],0))),INDEX(tbl_Production[Current RMS No],IFERROR(MATCH(E369&amp;"",tbl_Production[Job Number],0),MATCH(IFERROR(E369+0,E369),tbl_Production[Job Number],0))))="","",IF(INDEX(tbl_Production[Current RMS No],IFERROR(MATCH(E369&amp;"",tbl_Production[Job Number],0),MATCH(IFERROR(E369+0,E369),tbl_Production[Job Number],0)))="",INDEX(tbl_Production[Qwilr Quote],IFERROR(MATCH(E369&amp;"",tbl_Production[Job Number],0),MATCH(IFERROR(E369+0,E369),tbl_Production[Job Number],0))),INDEX(tbl_Production[Current RMS No],IFERROR(MATCH(E369&amp;"",tbl_Production[Job Number],0),MATCH(IFERROR(E369+0,E369),tbl_Production[Job Number],0))))),IFERROR(IF(INDEX(tbl_Consulting[Qwilr Quote],IFERROR(MATCH(E369&amp;"",tbl_Consulting[Job Number],0),MATCH(IFERROR(E369+0,E369),tbl_Consulting[Job Number],0)))="","",INDEX(tbl_Consulting[Qwilr Quote],IFERROR(MATCH(E369&amp;"",tbl_Consulting[Job Number],0),MATCH(IFERROR(E369+0,E369),tbl_Consulting[Job Number],0)))),""))))</f>
        <v/>
      </c>
      <c r="AD369" s="25">
        <f>IF(AC369="","",IF(AND(LEFT(AC369,4)&lt;&gt;"http",IF(H369="Production",set_RMSBase,set_QwilrBase)=""),"",HYPERLINK(IF(LEFT(AC369,4)="http",AC369,IF(H369="Production",set_RMSBase,set_QwilrBase)&amp;AC369),"Open")))</f>
        <v/>
      </c>
      <c r="AE369" s="27">
        <f>IF(E369="","",IFERROR(INDEX(tbl_Production[Total Expense],IFERROR(MATCH(E369&amp;"",tbl_Production[Job Number],0),MATCH(IFERROR(E369+0,E369),tbl_Production[Job Number],0))),IFERROR(INDEX(tbl_Consulting[Total Expense],IFERROR(MATCH(E369&amp;"",tbl_Consulting[Job Number],0),MATCH(IFERROR(E369+0,E369),tbl_Consulting[Job Number],0))),0)))</f>
        <v/>
      </c>
      <c r="AF369" s="27">
        <f>IF(E369="","",Z369-N(AE369))</f>
        <v/>
      </c>
      <c r="AG369" s="29">
        <f>IFERROR(AF369/Z369,"")</f>
        <v/>
      </c>
      <c r="AH369" s="25">
        <f>IF(E369="","",IFERROR(IF(INDEX(tbl_Onsite[Notes],IFERROR(MATCH(E369&amp;"",tbl_Onsite[Job Number],0),MATCH(IFERROR(E369+0,E369),tbl_Onsite[Job Number],0)))="","",INDEX(tbl_Onsite[Notes],IFERROR(MATCH(E369&amp;"",tbl_Onsite[Job Number],0),MATCH(IFERROR(E369+0,E369),tbl_Onsite[Job Number],0)))),IFERROR(IF(INDEX(tbl_Production[Notes],IFERROR(MATCH(E369&amp;"",tbl_Production[Job Number],0),MATCH(IFERROR(E369+0,E369),tbl_Production[Job Number],0)))="","",INDEX(tbl_Production[Notes],IFERROR(MATCH(E369&amp;"",tbl_Production[Job Number],0),MATCH(IFERROR(E369+0,E369),tbl_Production[Job Number],0)))),IFERROR(IF(INDEX(tbl_Consulting[Notes],IFERROR(MATCH(E369&amp;"",tbl_Consulting[Job Number],0),MATCH(IFERROR(E369+0,E369),tbl_Consulting[Job Number],0)))="","",INDEX(tbl_Consulting[Notes],IFERROR(MATCH(E369&amp;"",tbl_Consulting[Job Number],0),MATCH(IFERROR(E369+0,E369),tbl_Consulting[Job Number],0)))),""))))</f>
        <v/>
      </c>
    </row>
    <row r="370" ht="15" customHeight="1">
      <c r="A370" s="22" t="n"/>
      <c r="B370" s="23">
        <f>IF(A370="","",EOMONTH(A370,0))</f>
        <v/>
      </c>
      <c r="C370" s="24" t="n"/>
      <c r="D370" s="24" t="n"/>
      <c r="E370" s="24" t="n"/>
      <c r="F370" s="25">
        <f>IF(E370="","",IF(COUNTIF(lst_Jobs,E370&amp;"")&gt;0,"OK","CHECK"))</f>
        <v/>
      </c>
      <c r="G370" s="24" t="n"/>
      <c r="H370" s="24" t="n"/>
      <c r="I370" s="24" t="n"/>
      <c r="J370" s="24" t="n"/>
      <c r="K370" s="24" t="n"/>
      <c r="L370" s="26" t="n"/>
      <c r="M370" s="27">
        <f>IF(L370="","",IF(K370="GST 10%",ROUND(L370*set_GSTRate,2),0))</f>
        <v/>
      </c>
      <c r="N370" s="27">
        <f>IF(L370="","",L370+M370)</f>
        <v/>
      </c>
      <c r="O370" s="24" t="n"/>
      <c r="P370" s="24" t="n"/>
      <c r="Q370" s="24" t="n"/>
      <c r="R370" s="22" t="n"/>
      <c r="S370" s="22" t="n"/>
      <c r="T370" s="24" t="n"/>
      <c r="U370" s="24" t="n"/>
      <c r="V370" s="2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25">
        <f>IF(E370="","",IF(COUNTIF(tbl_Onsite[Job Number],E370&amp;"")&gt;0,"Onsite",IF(COUNTIF(tbl_Production[Job Number],E370&amp;"")&gt;0,"Production",IF(COUNTIF(tbl_Consulting[Job Number],E370&amp;"")&gt;0,"Consulting","not set up yet"))))</f>
        <v/>
      </c>
      <c r="X370" s="25">
        <f>IF(E370="","",IFERROR(INDEX(lst_JobName,MATCH(E370&amp;"",lst_Jobs,0)),""))</f>
        <v/>
      </c>
      <c r="Y370" s="28">
        <f>IF(E370="","",COUNTIFS(tbl_Finance[Job Number],E370&amp;"",tbl_Finance[Ex GST],"&lt;&gt;"))</f>
        <v/>
      </c>
      <c r="Z370" s="27">
        <f>IF(E370="","",SUMIFS(tbl_Finance[Ex GST],tbl_Finance[Job Number],E370&amp;""))</f>
        <v/>
      </c>
      <c r="AA370" s="27">
        <f>IF(E370="","",SUMIFS(tbl_Finance[Ex GST],tbl_Finance[Job Number],E370&amp;"",tbl_Finance[Xero Invoice No],"&lt;&gt;"))</f>
        <v/>
      </c>
      <c r="AB370" s="27">
        <f>IF(E370="","",Z370-AA370)</f>
        <v/>
      </c>
      <c r="AC370" s="25">
        <f>IF(E370="","",IFERROR(IF(INDEX(tbl_Onsite[Qwilr Quote],IFERROR(MATCH(E370&amp;"",tbl_Onsite[Job Number],0),MATCH(IFERROR(E370+0,E370),tbl_Onsite[Job Number],0)))="","",INDEX(tbl_Onsite[Qwilr Quote],IFERROR(MATCH(E370&amp;"",tbl_Onsite[Job Number],0),MATCH(IFERROR(E370+0,E370),tbl_Onsite[Job Number],0)))),IFERROR(IF(IF(INDEX(tbl_Production[Current RMS No],IFERROR(MATCH(E370&amp;"",tbl_Production[Job Number],0),MATCH(IFERROR(E370+0,E370),tbl_Production[Job Number],0)))="",INDEX(tbl_Production[Qwilr Quote],IFERROR(MATCH(E370&amp;"",tbl_Production[Job Number],0),MATCH(IFERROR(E370+0,E370),tbl_Production[Job Number],0))),INDEX(tbl_Production[Current RMS No],IFERROR(MATCH(E370&amp;"",tbl_Production[Job Number],0),MATCH(IFERROR(E370+0,E370),tbl_Production[Job Number],0))))="","",IF(INDEX(tbl_Production[Current RMS No],IFERROR(MATCH(E370&amp;"",tbl_Production[Job Number],0),MATCH(IFERROR(E370+0,E370),tbl_Production[Job Number],0)))="",INDEX(tbl_Production[Qwilr Quote],IFERROR(MATCH(E370&amp;"",tbl_Production[Job Number],0),MATCH(IFERROR(E370+0,E370),tbl_Production[Job Number],0))),INDEX(tbl_Production[Current RMS No],IFERROR(MATCH(E370&amp;"",tbl_Production[Job Number],0),MATCH(IFERROR(E370+0,E370),tbl_Production[Job Number],0))))),IFERROR(IF(INDEX(tbl_Consulting[Qwilr Quote],IFERROR(MATCH(E370&amp;"",tbl_Consulting[Job Number],0),MATCH(IFERROR(E370+0,E370),tbl_Consulting[Job Number],0)))="","",INDEX(tbl_Consulting[Qwilr Quote],IFERROR(MATCH(E370&amp;"",tbl_Consulting[Job Number],0),MATCH(IFERROR(E370+0,E370),tbl_Consulting[Job Number],0)))),""))))</f>
        <v/>
      </c>
      <c r="AD370" s="25">
        <f>IF(AC370="","",IF(AND(LEFT(AC370,4)&lt;&gt;"http",IF(H370="Production",set_RMSBase,set_QwilrBase)=""),"",HYPERLINK(IF(LEFT(AC370,4)="http",AC370,IF(H370="Production",set_RMSBase,set_QwilrBase)&amp;AC370),"Open")))</f>
        <v/>
      </c>
      <c r="AE370" s="27">
        <f>IF(E370="","",IFERROR(INDEX(tbl_Production[Total Expense],IFERROR(MATCH(E370&amp;"",tbl_Production[Job Number],0),MATCH(IFERROR(E370+0,E370),tbl_Production[Job Number],0))),IFERROR(INDEX(tbl_Consulting[Total Expense],IFERROR(MATCH(E370&amp;"",tbl_Consulting[Job Number],0),MATCH(IFERROR(E370+0,E370),tbl_Consulting[Job Number],0))),0)))</f>
        <v/>
      </c>
      <c r="AF370" s="27">
        <f>IF(E370="","",Z370-N(AE370))</f>
        <v/>
      </c>
      <c r="AG370" s="29">
        <f>IFERROR(AF370/Z370,"")</f>
        <v/>
      </c>
      <c r="AH370" s="25">
        <f>IF(E370="","",IFERROR(IF(INDEX(tbl_Onsite[Notes],IFERROR(MATCH(E370&amp;"",tbl_Onsite[Job Number],0),MATCH(IFERROR(E370+0,E370),tbl_Onsite[Job Number],0)))="","",INDEX(tbl_Onsite[Notes],IFERROR(MATCH(E370&amp;"",tbl_Onsite[Job Number],0),MATCH(IFERROR(E370+0,E370),tbl_Onsite[Job Number],0)))),IFERROR(IF(INDEX(tbl_Production[Notes],IFERROR(MATCH(E370&amp;"",tbl_Production[Job Number],0),MATCH(IFERROR(E370+0,E370),tbl_Production[Job Number],0)))="","",INDEX(tbl_Production[Notes],IFERROR(MATCH(E370&amp;"",tbl_Production[Job Number],0),MATCH(IFERROR(E370+0,E370),tbl_Production[Job Number],0)))),IFERROR(IF(INDEX(tbl_Consulting[Notes],IFERROR(MATCH(E370&amp;"",tbl_Consulting[Job Number],0),MATCH(IFERROR(E370+0,E370),tbl_Consulting[Job Number],0)))="","",INDEX(tbl_Consulting[Notes],IFERROR(MATCH(E370&amp;"",tbl_Consulting[Job Number],0),MATCH(IFERROR(E370+0,E370),tbl_Consulting[Job Number],0)))),""))))</f>
        <v/>
      </c>
    </row>
    <row r="371" ht="15" customHeight="1">
      <c r="A371" s="22" t="n"/>
      <c r="B371" s="23">
        <f>IF(A371="","",EOMONTH(A371,0))</f>
        <v/>
      </c>
      <c r="C371" s="24" t="n"/>
      <c r="D371" s="24" t="n"/>
      <c r="E371" s="24" t="n"/>
      <c r="F371" s="25">
        <f>IF(E371="","",IF(COUNTIF(lst_Jobs,E371&amp;"")&gt;0,"OK","CHECK"))</f>
        <v/>
      </c>
      <c r="G371" s="24" t="n"/>
      <c r="H371" s="24" t="n"/>
      <c r="I371" s="24" t="n"/>
      <c r="J371" s="24" t="n"/>
      <c r="K371" s="24" t="n"/>
      <c r="L371" s="26" t="n"/>
      <c r="M371" s="27">
        <f>IF(L371="","",IF(K371="GST 10%",ROUND(L371*set_GSTRate,2),0))</f>
        <v/>
      </c>
      <c r="N371" s="27">
        <f>IF(L371="","",L371+M371)</f>
        <v/>
      </c>
      <c r="O371" s="24" t="n"/>
      <c r="P371" s="24" t="n"/>
      <c r="Q371" s="24" t="n"/>
      <c r="R371" s="22" t="n"/>
      <c r="S371" s="22" t="n"/>
      <c r="T371" s="24" t="n"/>
      <c r="U371" s="24" t="n"/>
      <c r="V371" s="2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25">
        <f>IF(E371="","",IF(COUNTIF(tbl_Onsite[Job Number],E371&amp;"")&gt;0,"Onsite",IF(COUNTIF(tbl_Production[Job Number],E371&amp;"")&gt;0,"Production",IF(COUNTIF(tbl_Consulting[Job Number],E371&amp;"")&gt;0,"Consulting","not set up yet"))))</f>
        <v/>
      </c>
      <c r="X371" s="25">
        <f>IF(E371="","",IFERROR(INDEX(lst_JobName,MATCH(E371&amp;"",lst_Jobs,0)),""))</f>
        <v/>
      </c>
      <c r="Y371" s="28">
        <f>IF(E371="","",COUNTIFS(tbl_Finance[Job Number],E371&amp;"",tbl_Finance[Ex GST],"&lt;&gt;"))</f>
        <v/>
      </c>
      <c r="Z371" s="27">
        <f>IF(E371="","",SUMIFS(tbl_Finance[Ex GST],tbl_Finance[Job Number],E371&amp;""))</f>
        <v/>
      </c>
      <c r="AA371" s="27">
        <f>IF(E371="","",SUMIFS(tbl_Finance[Ex GST],tbl_Finance[Job Number],E371&amp;"",tbl_Finance[Xero Invoice No],"&lt;&gt;"))</f>
        <v/>
      </c>
      <c r="AB371" s="27">
        <f>IF(E371="","",Z371-AA371)</f>
        <v/>
      </c>
      <c r="AC371" s="25">
        <f>IF(E371="","",IFERROR(IF(INDEX(tbl_Onsite[Qwilr Quote],IFERROR(MATCH(E371&amp;"",tbl_Onsite[Job Number],0),MATCH(IFERROR(E371+0,E371),tbl_Onsite[Job Number],0)))="","",INDEX(tbl_Onsite[Qwilr Quote],IFERROR(MATCH(E371&amp;"",tbl_Onsite[Job Number],0),MATCH(IFERROR(E371+0,E371),tbl_Onsite[Job Number],0)))),IFERROR(IF(IF(INDEX(tbl_Production[Current RMS No],IFERROR(MATCH(E371&amp;"",tbl_Production[Job Number],0),MATCH(IFERROR(E371+0,E371),tbl_Production[Job Number],0)))="",INDEX(tbl_Production[Qwilr Quote],IFERROR(MATCH(E371&amp;"",tbl_Production[Job Number],0),MATCH(IFERROR(E371+0,E371),tbl_Production[Job Number],0))),INDEX(tbl_Production[Current RMS No],IFERROR(MATCH(E371&amp;"",tbl_Production[Job Number],0),MATCH(IFERROR(E371+0,E371),tbl_Production[Job Number],0))))="","",IF(INDEX(tbl_Production[Current RMS No],IFERROR(MATCH(E371&amp;"",tbl_Production[Job Number],0),MATCH(IFERROR(E371+0,E371),tbl_Production[Job Number],0)))="",INDEX(tbl_Production[Qwilr Quote],IFERROR(MATCH(E371&amp;"",tbl_Production[Job Number],0),MATCH(IFERROR(E371+0,E371),tbl_Production[Job Number],0))),INDEX(tbl_Production[Current RMS No],IFERROR(MATCH(E371&amp;"",tbl_Production[Job Number],0),MATCH(IFERROR(E371+0,E371),tbl_Production[Job Number],0))))),IFERROR(IF(INDEX(tbl_Consulting[Qwilr Quote],IFERROR(MATCH(E371&amp;"",tbl_Consulting[Job Number],0),MATCH(IFERROR(E371+0,E371),tbl_Consulting[Job Number],0)))="","",INDEX(tbl_Consulting[Qwilr Quote],IFERROR(MATCH(E371&amp;"",tbl_Consulting[Job Number],0),MATCH(IFERROR(E371+0,E371),tbl_Consulting[Job Number],0)))),""))))</f>
        <v/>
      </c>
      <c r="AD371" s="25">
        <f>IF(AC371="","",IF(AND(LEFT(AC371,4)&lt;&gt;"http",IF(H371="Production",set_RMSBase,set_QwilrBase)=""),"",HYPERLINK(IF(LEFT(AC371,4)="http",AC371,IF(H371="Production",set_RMSBase,set_QwilrBase)&amp;AC371),"Open")))</f>
        <v/>
      </c>
      <c r="AE371" s="27">
        <f>IF(E371="","",IFERROR(INDEX(tbl_Production[Total Expense],IFERROR(MATCH(E371&amp;"",tbl_Production[Job Number],0),MATCH(IFERROR(E371+0,E371),tbl_Production[Job Number],0))),IFERROR(INDEX(tbl_Consulting[Total Expense],IFERROR(MATCH(E371&amp;"",tbl_Consulting[Job Number],0),MATCH(IFERROR(E371+0,E371),tbl_Consulting[Job Number],0))),0)))</f>
        <v/>
      </c>
      <c r="AF371" s="27">
        <f>IF(E371="","",Z371-N(AE371))</f>
        <v/>
      </c>
      <c r="AG371" s="29">
        <f>IFERROR(AF371/Z371,"")</f>
        <v/>
      </c>
      <c r="AH371" s="25">
        <f>IF(E371="","",IFERROR(IF(INDEX(tbl_Onsite[Notes],IFERROR(MATCH(E371&amp;"",tbl_Onsite[Job Number],0),MATCH(IFERROR(E371+0,E371),tbl_Onsite[Job Number],0)))="","",INDEX(tbl_Onsite[Notes],IFERROR(MATCH(E371&amp;"",tbl_Onsite[Job Number],0),MATCH(IFERROR(E371+0,E371),tbl_Onsite[Job Number],0)))),IFERROR(IF(INDEX(tbl_Production[Notes],IFERROR(MATCH(E371&amp;"",tbl_Production[Job Number],0),MATCH(IFERROR(E371+0,E371),tbl_Production[Job Number],0)))="","",INDEX(tbl_Production[Notes],IFERROR(MATCH(E371&amp;"",tbl_Production[Job Number],0),MATCH(IFERROR(E371+0,E371),tbl_Production[Job Number],0)))),IFERROR(IF(INDEX(tbl_Consulting[Notes],IFERROR(MATCH(E371&amp;"",tbl_Consulting[Job Number],0),MATCH(IFERROR(E371+0,E371),tbl_Consulting[Job Number],0)))="","",INDEX(tbl_Consulting[Notes],IFERROR(MATCH(E371&amp;"",tbl_Consulting[Job Number],0),MATCH(IFERROR(E371+0,E371),tbl_Consulting[Job Number],0)))),""))))</f>
        <v/>
      </c>
    </row>
    <row r="372" ht="15" customHeight="1">
      <c r="A372" s="22" t="n"/>
      <c r="B372" s="23">
        <f>IF(A372="","",EOMONTH(A372,0))</f>
        <v/>
      </c>
      <c r="C372" s="24" t="n"/>
      <c r="D372" s="24" t="n"/>
      <c r="E372" s="24" t="n"/>
      <c r="F372" s="25">
        <f>IF(E372="","",IF(COUNTIF(lst_Jobs,E372&amp;"")&gt;0,"OK","CHECK"))</f>
        <v/>
      </c>
      <c r="G372" s="24" t="n"/>
      <c r="H372" s="24" t="n"/>
      <c r="I372" s="24" t="n"/>
      <c r="J372" s="24" t="n"/>
      <c r="K372" s="24" t="n"/>
      <c r="L372" s="26" t="n"/>
      <c r="M372" s="27">
        <f>IF(L372="","",IF(K372="GST 10%",ROUND(L372*set_GSTRate,2),0))</f>
        <v/>
      </c>
      <c r="N372" s="27">
        <f>IF(L372="","",L372+M372)</f>
        <v/>
      </c>
      <c r="O372" s="24" t="n"/>
      <c r="P372" s="24" t="n"/>
      <c r="Q372" s="24" t="n"/>
      <c r="R372" s="22" t="n"/>
      <c r="S372" s="22" t="n"/>
      <c r="T372" s="24" t="n"/>
      <c r="U372" s="24" t="n"/>
      <c r="V372" s="2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25">
        <f>IF(E372="","",IF(COUNTIF(tbl_Onsite[Job Number],E372&amp;"")&gt;0,"Onsite",IF(COUNTIF(tbl_Production[Job Number],E372&amp;"")&gt;0,"Production",IF(COUNTIF(tbl_Consulting[Job Number],E372&amp;"")&gt;0,"Consulting","not set up yet"))))</f>
        <v/>
      </c>
      <c r="X372" s="25">
        <f>IF(E372="","",IFERROR(INDEX(lst_JobName,MATCH(E372&amp;"",lst_Jobs,0)),""))</f>
        <v/>
      </c>
      <c r="Y372" s="28">
        <f>IF(E372="","",COUNTIFS(tbl_Finance[Job Number],E372&amp;"",tbl_Finance[Ex GST],"&lt;&gt;"))</f>
        <v/>
      </c>
      <c r="Z372" s="27">
        <f>IF(E372="","",SUMIFS(tbl_Finance[Ex GST],tbl_Finance[Job Number],E372&amp;""))</f>
        <v/>
      </c>
      <c r="AA372" s="27">
        <f>IF(E372="","",SUMIFS(tbl_Finance[Ex GST],tbl_Finance[Job Number],E372&amp;"",tbl_Finance[Xero Invoice No],"&lt;&gt;"))</f>
        <v/>
      </c>
      <c r="AB372" s="27">
        <f>IF(E372="","",Z372-AA372)</f>
        <v/>
      </c>
      <c r="AC372" s="25">
        <f>IF(E372="","",IFERROR(IF(INDEX(tbl_Onsite[Qwilr Quote],IFERROR(MATCH(E372&amp;"",tbl_Onsite[Job Number],0),MATCH(IFERROR(E372+0,E372),tbl_Onsite[Job Number],0)))="","",INDEX(tbl_Onsite[Qwilr Quote],IFERROR(MATCH(E372&amp;"",tbl_Onsite[Job Number],0),MATCH(IFERROR(E372+0,E372),tbl_Onsite[Job Number],0)))),IFERROR(IF(IF(INDEX(tbl_Production[Current RMS No],IFERROR(MATCH(E372&amp;"",tbl_Production[Job Number],0),MATCH(IFERROR(E372+0,E372),tbl_Production[Job Number],0)))="",INDEX(tbl_Production[Qwilr Quote],IFERROR(MATCH(E372&amp;"",tbl_Production[Job Number],0),MATCH(IFERROR(E372+0,E372),tbl_Production[Job Number],0))),INDEX(tbl_Production[Current RMS No],IFERROR(MATCH(E372&amp;"",tbl_Production[Job Number],0),MATCH(IFERROR(E372+0,E372),tbl_Production[Job Number],0))))="","",IF(INDEX(tbl_Production[Current RMS No],IFERROR(MATCH(E372&amp;"",tbl_Production[Job Number],0),MATCH(IFERROR(E372+0,E372),tbl_Production[Job Number],0)))="",INDEX(tbl_Production[Qwilr Quote],IFERROR(MATCH(E372&amp;"",tbl_Production[Job Number],0),MATCH(IFERROR(E372+0,E372),tbl_Production[Job Number],0))),INDEX(tbl_Production[Current RMS No],IFERROR(MATCH(E372&amp;"",tbl_Production[Job Number],0),MATCH(IFERROR(E372+0,E372),tbl_Production[Job Number],0))))),IFERROR(IF(INDEX(tbl_Consulting[Qwilr Quote],IFERROR(MATCH(E372&amp;"",tbl_Consulting[Job Number],0),MATCH(IFERROR(E372+0,E372),tbl_Consulting[Job Number],0)))="","",INDEX(tbl_Consulting[Qwilr Quote],IFERROR(MATCH(E372&amp;"",tbl_Consulting[Job Number],0),MATCH(IFERROR(E372+0,E372),tbl_Consulting[Job Number],0)))),""))))</f>
        <v/>
      </c>
      <c r="AD372" s="25">
        <f>IF(AC372="","",IF(AND(LEFT(AC372,4)&lt;&gt;"http",IF(H372="Production",set_RMSBase,set_QwilrBase)=""),"",HYPERLINK(IF(LEFT(AC372,4)="http",AC372,IF(H372="Production",set_RMSBase,set_QwilrBase)&amp;AC372),"Open")))</f>
        <v/>
      </c>
      <c r="AE372" s="27">
        <f>IF(E372="","",IFERROR(INDEX(tbl_Production[Total Expense],IFERROR(MATCH(E372&amp;"",tbl_Production[Job Number],0),MATCH(IFERROR(E372+0,E372),tbl_Production[Job Number],0))),IFERROR(INDEX(tbl_Consulting[Total Expense],IFERROR(MATCH(E372&amp;"",tbl_Consulting[Job Number],0),MATCH(IFERROR(E372+0,E372),tbl_Consulting[Job Number],0))),0)))</f>
        <v/>
      </c>
      <c r="AF372" s="27">
        <f>IF(E372="","",Z372-N(AE372))</f>
        <v/>
      </c>
      <c r="AG372" s="29">
        <f>IFERROR(AF372/Z372,"")</f>
        <v/>
      </c>
      <c r="AH372" s="25">
        <f>IF(E372="","",IFERROR(IF(INDEX(tbl_Onsite[Notes],IFERROR(MATCH(E372&amp;"",tbl_Onsite[Job Number],0),MATCH(IFERROR(E372+0,E372),tbl_Onsite[Job Number],0)))="","",INDEX(tbl_Onsite[Notes],IFERROR(MATCH(E372&amp;"",tbl_Onsite[Job Number],0),MATCH(IFERROR(E372+0,E372),tbl_Onsite[Job Number],0)))),IFERROR(IF(INDEX(tbl_Production[Notes],IFERROR(MATCH(E372&amp;"",tbl_Production[Job Number],0),MATCH(IFERROR(E372+0,E372),tbl_Production[Job Number],0)))="","",INDEX(tbl_Production[Notes],IFERROR(MATCH(E372&amp;"",tbl_Production[Job Number],0),MATCH(IFERROR(E372+0,E372),tbl_Production[Job Number],0)))),IFERROR(IF(INDEX(tbl_Consulting[Notes],IFERROR(MATCH(E372&amp;"",tbl_Consulting[Job Number],0),MATCH(IFERROR(E372+0,E372),tbl_Consulting[Job Number],0)))="","",INDEX(tbl_Consulting[Notes],IFERROR(MATCH(E372&amp;"",tbl_Consulting[Job Number],0),MATCH(IFERROR(E372+0,E372),tbl_Consulting[Job Number],0)))),""))))</f>
        <v/>
      </c>
    </row>
    <row r="373" ht="15" customHeight="1">
      <c r="A373" s="22" t="n"/>
      <c r="B373" s="23">
        <f>IF(A373="","",EOMONTH(A373,0))</f>
        <v/>
      </c>
      <c r="C373" s="24" t="n"/>
      <c r="D373" s="24" t="n"/>
      <c r="E373" s="24" t="n"/>
      <c r="F373" s="25">
        <f>IF(E373="","",IF(COUNTIF(lst_Jobs,E373&amp;"")&gt;0,"OK","CHECK"))</f>
        <v/>
      </c>
      <c r="G373" s="24" t="n"/>
      <c r="H373" s="24" t="n"/>
      <c r="I373" s="24" t="n"/>
      <c r="J373" s="24" t="n"/>
      <c r="K373" s="24" t="n"/>
      <c r="L373" s="26" t="n"/>
      <c r="M373" s="27">
        <f>IF(L373="","",IF(K373="GST 10%",ROUND(L373*set_GSTRate,2),0))</f>
        <v/>
      </c>
      <c r="N373" s="27">
        <f>IF(L373="","",L373+M373)</f>
        <v/>
      </c>
      <c r="O373" s="24" t="n"/>
      <c r="P373" s="24" t="n"/>
      <c r="Q373" s="24" t="n"/>
      <c r="R373" s="22" t="n"/>
      <c r="S373" s="22" t="n"/>
      <c r="T373" s="24" t="n"/>
      <c r="U373" s="24" t="n"/>
      <c r="V373" s="2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25">
        <f>IF(E373="","",IF(COUNTIF(tbl_Onsite[Job Number],E373&amp;"")&gt;0,"Onsite",IF(COUNTIF(tbl_Production[Job Number],E373&amp;"")&gt;0,"Production",IF(COUNTIF(tbl_Consulting[Job Number],E373&amp;"")&gt;0,"Consulting","not set up yet"))))</f>
        <v/>
      </c>
      <c r="X373" s="25">
        <f>IF(E373="","",IFERROR(INDEX(lst_JobName,MATCH(E373&amp;"",lst_Jobs,0)),""))</f>
        <v/>
      </c>
      <c r="Y373" s="28">
        <f>IF(E373="","",COUNTIFS(tbl_Finance[Job Number],E373&amp;"",tbl_Finance[Ex GST],"&lt;&gt;"))</f>
        <v/>
      </c>
      <c r="Z373" s="27">
        <f>IF(E373="","",SUMIFS(tbl_Finance[Ex GST],tbl_Finance[Job Number],E373&amp;""))</f>
        <v/>
      </c>
      <c r="AA373" s="27">
        <f>IF(E373="","",SUMIFS(tbl_Finance[Ex GST],tbl_Finance[Job Number],E373&amp;"",tbl_Finance[Xero Invoice No],"&lt;&gt;"))</f>
        <v/>
      </c>
      <c r="AB373" s="27">
        <f>IF(E373="","",Z373-AA373)</f>
        <v/>
      </c>
      <c r="AC373" s="25">
        <f>IF(E373="","",IFERROR(IF(INDEX(tbl_Onsite[Qwilr Quote],IFERROR(MATCH(E373&amp;"",tbl_Onsite[Job Number],0),MATCH(IFERROR(E373+0,E373),tbl_Onsite[Job Number],0)))="","",INDEX(tbl_Onsite[Qwilr Quote],IFERROR(MATCH(E373&amp;"",tbl_Onsite[Job Number],0),MATCH(IFERROR(E373+0,E373),tbl_Onsite[Job Number],0)))),IFERROR(IF(IF(INDEX(tbl_Production[Current RMS No],IFERROR(MATCH(E373&amp;"",tbl_Production[Job Number],0),MATCH(IFERROR(E373+0,E373),tbl_Production[Job Number],0)))="",INDEX(tbl_Production[Qwilr Quote],IFERROR(MATCH(E373&amp;"",tbl_Production[Job Number],0),MATCH(IFERROR(E373+0,E373),tbl_Production[Job Number],0))),INDEX(tbl_Production[Current RMS No],IFERROR(MATCH(E373&amp;"",tbl_Production[Job Number],0),MATCH(IFERROR(E373+0,E373),tbl_Production[Job Number],0))))="","",IF(INDEX(tbl_Production[Current RMS No],IFERROR(MATCH(E373&amp;"",tbl_Production[Job Number],0),MATCH(IFERROR(E373+0,E373),tbl_Production[Job Number],0)))="",INDEX(tbl_Production[Qwilr Quote],IFERROR(MATCH(E373&amp;"",tbl_Production[Job Number],0),MATCH(IFERROR(E373+0,E373),tbl_Production[Job Number],0))),INDEX(tbl_Production[Current RMS No],IFERROR(MATCH(E373&amp;"",tbl_Production[Job Number],0),MATCH(IFERROR(E373+0,E373),tbl_Production[Job Number],0))))),IFERROR(IF(INDEX(tbl_Consulting[Qwilr Quote],IFERROR(MATCH(E373&amp;"",tbl_Consulting[Job Number],0),MATCH(IFERROR(E373+0,E373),tbl_Consulting[Job Number],0)))="","",INDEX(tbl_Consulting[Qwilr Quote],IFERROR(MATCH(E373&amp;"",tbl_Consulting[Job Number],0),MATCH(IFERROR(E373+0,E373),tbl_Consulting[Job Number],0)))),""))))</f>
        <v/>
      </c>
      <c r="AD373" s="25">
        <f>IF(AC373="","",IF(AND(LEFT(AC373,4)&lt;&gt;"http",IF(H373="Production",set_RMSBase,set_QwilrBase)=""),"",HYPERLINK(IF(LEFT(AC373,4)="http",AC373,IF(H373="Production",set_RMSBase,set_QwilrBase)&amp;AC373),"Open")))</f>
        <v/>
      </c>
      <c r="AE373" s="27">
        <f>IF(E373="","",IFERROR(INDEX(tbl_Production[Total Expense],IFERROR(MATCH(E373&amp;"",tbl_Production[Job Number],0),MATCH(IFERROR(E373+0,E373),tbl_Production[Job Number],0))),IFERROR(INDEX(tbl_Consulting[Total Expense],IFERROR(MATCH(E373&amp;"",tbl_Consulting[Job Number],0),MATCH(IFERROR(E373+0,E373),tbl_Consulting[Job Number],0))),0)))</f>
        <v/>
      </c>
      <c r="AF373" s="27">
        <f>IF(E373="","",Z373-N(AE373))</f>
        <v/>
      </c>
      <c r="AG373" s="29">
        <f>IFERROR(AF373/Z373,"")</f>
        <v/>
      </c>
      <c r="AH373" s="25">
        <f>IF(E373="","",IFERROR(IF(INDEX(tbl_Onsite[Notes],IFERROR(MATCH(E373&amp;"",tbl_Onsite[Job Number],0),MATCH(IFERROR(E373+0,E373),tbl_Onsite[Job Number],0)))="","",INDEX(tbl_Onsite[Notes],IFERROR(MATCH(E373&amp;"",tbl_Onsite[Job Number],0),MATCH(IFERROR(E373+0,E373),tbl_Onsite[Job Number],0)))),IFERROR(IF(INDEX(tbl_Production[Notes],IFERROR(MATCH(E373&amp;"",tbl_Production[Job Number],0),MATCH(IFERROR(E373+0,E373),tbl_Production[Job Number],0)))="","",INDEX(tbl_Production[Notes],IFERROR(MATCH(E373&amp;"",tbl_Production[Job Number],0),MATCH(IFERROR(E373+0,E373),tbl_Production[Job Number],0)))),IFERROR(IF(INDEX(tbl_Consulting[Notes],IFERROR(MATCH(E373&amp;"",tbl_Consulting[Job Number],0),MATCH(IFERROR(E373+0,E373),tbl_Consulting[Job Number],0)))="","",INDEX(tbl_Consulting[Notes],IFERROR(MATCH(E373&amp;"",tbl_Consulting[Job Number],0),MATCH(IFERROR(E373+0,E373),tbl_Consulting[Job Number],0)))),""))))</f>
        <v/>
      </c>
    </row>
    <row r="374" ht="15" customHeight="1">
      <c r="A374" s="22" t="n"/>
      <c r="B374" s="23">
        <f>IF(A374="","",EOMONTH(A374,0))</f>
        <v/>
      </c>
      <c r="C374" s="24" t="n"/>
      <c r="D374" s="24" t="n"/>
      <c r="E374" s="24" t="n"/>
      <c r="F374" s="25">
        <f>IF(E374="","",IF(COUNTIF(lst_Jobs,E374&amp;"")&gt;0,"OK","CHECK"))</f>
        <v/>
      </c>
      <c r="G374" s="24" t="n"/>
      <c r="H374" s="24" t="n"/>
      <c r="I374" s="24" t="n"/>
      <c r="J374" s="24" t="n"/>
      <c r="K374" s="24" t="n"/>
      <c r="L374" s="26" t="n"/>
      <c r="M374" s="27">
        <f>IF(L374="","",IF(K374="GST 10%",ROUND(L374*set_GSTRate,2),0))</f>
        <v/>
      </c>
      <c r="N374" s="27">
        <f>IF(L374="","",L374+M374)</f>
        <v/>
      </c>
      <c r="O374" s="24" t="n"/>
      <c r="P374" s="24" t="n"/>
      <c r="Q374" s="24" t="n"/>
      <c r="R374" s="22" t="n"/>
      <c r="S374" s="22" t="n"/>
      <c r="T374" s="24" t="n"/>
      <c r="U374" s="24" t="n"/>
      <c r="V374" s="2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25">
        <f>IF(E374="","",IF(COUNTIF(tbl_Onsite[Job Number],E374&amp;"")&gt;0,"Onsite",IF(COUNTIF(tbl_Production[Job Number],E374&amp;"")&gt;0,"Production",IF(COUNTIF(tbl_Consulting[Job Number],E374&amp;"")&gt;0,"Consulting","not set up yet"))))</f>
        <v/>
      </c>
      <c r="X374" s="25">
        <f>IF(E374="","",IFERROR(INDEX(lst_JobName,MATCH(E374&amp;"",lst_Jobs,0)),""))</f>
        <v/>
      </c>
      <c r="Y374" s="28">
        <f>IF(E374="","",COUNTIFS(tbl_Finance[Job Number],E374&amp;"",tbl_Finance[Ex GST],"&lt;&gt;"))</f>
        <v/>
      </c>
      <c r="Z374" s="27">
        <f>IF(E374="","",SUMIFS(tbl_Finance[Ex GST],tbl_Finance[Job Number],E374&amp;""))</f>
        <v/>
      </c>
      <c r="AA374" s="27">
        <f>IF(E374="","",SUMIFS(tbl_Finance[Ex GST],tbl_Finance[Job Number],E374&amp;"",tbl_Finance[Xero Invoice No],"&lt;&gt;"))</f>
        <v/>
      </c>
      <c r="AB374" s="27">
        <f>IF(E374="","",Z374-AA374)</f>
        <v/>
      </c>
      <c r="AC374" s="25">
        <f>IF(E374="","",IFERROR(IF(INDEX(tbl_Onsite[Qwilr Quote],IFERROR(MATCH(E374&amp;"",tbl_Onsite[Job Number],0),MATCH(IFERROR(E374+0,E374),tbl_Onsite[Job Number],0)))="","",INDEX(tbl_Onsite[Qwilr Quote],IFERROR(MATCH(E374&amp;"",tbl_Onsite[Job Number],0),MATCH(IFERROR(E374+0,E374),tbl_Onsite[Job Number],0)))),IFERROR(IF(IF(INDEX(tbl_Production[Current RMS No],IFERROR(MATCH(E374&amp;"",tbl_Production[Job Number],0),MATCH(IFERROR(E374+0,E374),tbl_Production[Job Number],0)))="",INDEX(tbl_Production[Qwilr Quote],IFERROR(MATCH(E374&amp;"",tbl_Production[Job Number],0),MATCH(IFERROR(E374+0,E374),tbl_Production[Job Number],0))),INDEX(tbl_Production[Current RMS No],IFERROR(MATCH(E374&amp;"",tbl_Production[Job Number],0),MATCH(IFERROR(E374+0,E374),tbl_Production[Job Number],0))))="","",IF(INDEX(tbl_Production[Current RMS No],IFERROR(MATCH(E374&amp;"",tbl_Production[Job Number],0),MATCH(IFERROR(E374+0,E374),tbl_Production[Job Number],0)))="",INDEX(tbl_Production[Qwilr Quote],IFERROR(MATCH(E374&amp;"",tbl_Production[Job Number],0),MATCH(IFERROR(E374+0,E374),tbl_Production[Job Number],0))),INDEX(tbl_Production[Current RMS No],IFERROR(MATCH(E374&amp;"",tbl_Production[Job Number],0),MATCH(IFERROR(E374+0,E374),tbl_Production[Job Number],0))))),IFERROR(IF(INDEX(tbl_Consulting[Qwilr Quote],IFERROR(MATCH(E374&amp;"",tbl_Consulting[Job Number],0),MATCH(IFERROR(E374+0,E374),tbl_Consulting[Job Number],0)))="","",INDEX(tbl_Consulting[Qwilr Quote],IFERROR(MATCH(E374&amp;"",tbl_Consulting[Job Number],0),MATCH(IFERROR(E374+0,E374),tbl_Consulting[Job Number],0)))),""))))</f>
        <v/>
      </c>
      <c r="AD374" s="25">
        <f>IF(AC374="","",IF(AND(LEFT(AC374,4)&lt;&gt;"http",IF(H374="Production",set_RMSBase,set_QwilrBase)=""),"",HYPERLINK(IF(LEFT(AC374,4)="http",AC374,IF(H374="Production",set_RMSBase,set_QwilrBase)&amp;AC374),"Open")))</f>
        <v/>
      </c>
      <c r="AE374" s="27">
        <f>IF(E374="","",IFERROR(INDEX(tbl_Production[Total Expense],IFERROR(MATCH(E374&amp;"",tbl_Production[Job Number],0),MATCH(IFERROR(E374+0,E374),tbl_Production[Job Number],0))),IFERROR(INDEX(tbl_Consulting[Total Expense],IFERROR(MATCH(E374&amp;"",tbl_Consulting[Job Number],0),MATCH(IFERROR(E374+0,E374),tbl_Consulting[Job Number],0))),0)))</f>
        <v/>
      </c>
      <c r="AF374" s="27">
        <f>IF(E374="","",Z374-N(AE374))</f>
        <v/>
      </c>
      <c r="AG374" s="29">
        <f>IFERROR(AF374/Z374,"")</f>
        <v/>
      </c>
      <c r="AH374" s="25">
        <f>IF(E374="","",IFERROR(IF(INDEX(tbl_Onsite[Notes],IFERROR(MATCH(E374&amp;"",tbl_Onsite[Job Number],0),MATCH(IFERROR(E374+0,E374),tbl_Onsite[Job Number],0)))="","",INDEX(tbl_Onsite[Notes],IFERROR(MATCH(E374&amp;"",tbl_Onsite[Job Number],0),MATCH(IFERROR(E374+0,E374),tbl_Onsite[Job Number],0)))),IFERROR(IF(INDEX(tbl_Production[Notes],IFERROR(MATCH(E374&amp;"",tbl_Production[Job Number],0),MATCH(IFERROR(E374+0,E374),tbl_Production[Job Number],0)))="","",INDEX(tbl_Production[Notes],IFERROR(MATCH(E374&amp;"",tbl_Production[Job Number],0),MATCH(IFERROR(E374+0,E374),tbl_Production[Job Number],0)))),IFERROR(IF(INDEX(tbl_Consulting[Notes],IFERROR(MATCH(E374&amp;"",tbl_Consulting[Job Number],0),MATCH(IFERROR(E374+0,E374),tbl_Consulting[Job Number],0)))="","",INDEX(tbl_Consulting[Notes],IFERROR(MATCH(E374&amp;"",tbl_Consulting[Job Number],0),MATCH(IFERROR(E374+0,E374),tbl_Consulting[Job Number],0)))),""))))</f>
        <v/>
      </c>
    </row>
    <row r="375" ht="15" customHeight="1">
      <c r="A375" s="22" t="n"/>
      <c r="B375" s="23">
        <f>IF(A375="","",EOMONTH(A375,0))</f>
        <v/>
      </c>
      <c r="C375" s="24" t="n"/>
      <c r="D375" s="24" t="n"/>
      <c r="E375" s="24" t="n"/>
      <c r="F375" s="25">
        <f>IF(E375="","",IF(COUNTIF(lst_Jobs,E375&amp;"")&gt;0,"OK","CHECK"))</f>
        <v/>
      </c>
      <c r="G375" s="24" t="n"/>
      <c r="H375" s="24" t="n"/>
      <c r="I375" s="24" t="n"/>
      <c r="J375" s="24" t="n"/>
      <c r="K375" s="24" t="n"/>
      <c r="L375" s="26" t="n"/>
      <c r="M375" s="27">
        <f>IF(L375="","",IF(K375="GST 10%",ROUND(L375*set_GSTRate,2),0))</f>
        <v/>
      </c>
      <c r="N375" s="27">
        <f>IF(L375="","",L375+M375)</f>
        <v/>
      </c>
      <c r="O375" s="24" t="n"/>
      <c r="P375" s="24" t="n"/>
      <c r="Q375" s="24" t="n"/>
      <c r="R375" s="22" t="n"/>
      <c r="S375" s="22" t="n"/>
      <c r="T375" s="24" t="n"/>
      <c r="U375" s="24" t="n"/>
      <c r="V375" s="2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25">
        <f>IF(E375="","",IF(COUNTIF(tbl_Onsite[Job Number],E375&amp;"")&gt;0,"Onsite",IF(COUNTIF(tbl_Production[Job Number],E375&amp;"")&gt;0,"Production",IF(COUNTIF(tbl_Consulting[Job Number],E375&amp;"")&gt;0,"Consulting","not set up yet"))))</f>
        <v/>
      </c>
      <c r="X375" s="25">
        <f>IF(E375="","",IFERROR(INDEX(lst_JobName,MATCH(E375&amp;"",lst_Jobs,0)),""))</f>
        <v/>
      </c>
      <c r="Y375" s="28">
        <f>IF(E375="","",COUNTIFS(tbl_Finance[Job Number],E375&amp;"",tbl_Finance[Ex GST],"&lt;&gt;"))</f>
        <v/>
      </c>
      <c r="Z375" s="27">
        <f>IF(E375="","",SUMIFS(tbl_Finance[Ex GST],tbl_Finance[Job Number],E375&amp;""))</f>
        <v/>
      </c>
      <c r="AA375" s="27">
        <f>IF(E375="","",SUMIFS(tbl_Finance[Ex GST],tbl_Finance[Job Number],E375&amp;"",tbl_Finance[Xero Invoice No],"&lt;&gt;"))</f>
        <v/>
      </c>
      <c r="AB375" s="27">
        <f>IF(E375="","",Z375-AA375)</f>
        <v/>
      </c>
      <c r="AC375" s="25">
        <f>IF(E375="","",IFERROR(IF(INDEX(tbl_Onsite[Qwilr Quote],IFERROR(MATCH(E375&amp;"",tbl_Onsite[Job Number],0),MATCH(IFERROR(E375+0,E375),tbl_Onsite[Job Number],0)))="","",INDEX(tbl_Onsite[Qwilr Quote],IFERROR(MATCH(E375&amp;"",tbl_Onsite[Job Number],0),MATCH(IFERROR(E375+0,E375),tbl_Onsite[Job Number],0)))),IFERROR(IF(IF(INDEX(tbl_Production[Current RMS No],IFERROR(MATCH(E375&amp;"",tbl_Production[Job Number],0),MATCH(IFERROR(E375+0,E375),tbl_Production[Job Number],0)))="",INDEX(tbl_Production[Qwilr Quote],IFERROR(MATCH(E375&amp;"",tbl_Production[Job Number],0),MATCH(IFERROR(E375+0,E375),tbl_Production[Job Number],0))),INDEX(tbl_Production[Current RMS No],IFERROR(MATCH(E375&amp;"",tbl_Production[Job Number],0),MATCH(IFERROR(E375+0,E375),tbl_Production[Job Number],0))))="","",IF(INDEX(tbl_Production[Current RMS No],IFERROR(MATCH(E375&amp;"",tbl_Production[Job Number],0),MATCH(IFERROR(E375+0,E375),tbl_Production[Job Number],0)))="",INDEX(tbl_Production[Qwilr Quote],IFERROR(MATCH(E375&amp;"",tbl_Production[Job Number],0),MATCH(IFERROR(E375+0,E375),tbl_Production[Job Number],0))),INDEX(tbl_Production[Current RMS No],IFERROR(MATCH(E375&amp;"",tbl_Production[Job Number],0),MATCH(IFERROR(E375+0,E375),tbl_Production[Job Number],0))))),IFERROR(IF(INDEX(tbl_Consulting[Qwilr Quote],IFERROR(MATCH(E375&amp;"",tbl_Consulting[Job Number],0),MATCH(IFERROR(E375+0,E375),tbl_Consulting[Job Number],0)))="","",INDEX(tbl_Consulting[Qwilr Quote],IFERROR(MATCH(E375&amp;"",tbl_Consulting[Job Number],0),MATCH(IFERROR(E375+0,E375),tbl_Consulting[Job Number],0)))),""))))</f>
        <v/>
      </c>
      <c r="AD375" s="25">
        <f>IF(AC375="","",IF(AND(LEFT(AC375,4)&lt;&gt;"http",IF(H375="Production",set_RMSBase,set_QwilrBase)=""),"",HYPERLINK(IF(LEFT(AC375,4)="http",AC375,IF(H375="Production",set_RMSBase,set_QwilrBase)&amp;AC375),"Open")))</f>
        <v/>
      </c>
      <c r="AE375" s="27">
        <f>IF(E375="","",IFERROR(INDEX(tbl_Production[Total Expense],IFERROR(MATCH(E375&amp;"",tbl_Production[Job Number],0),MATCH(IFERROR(E375+0,E375),tbl_Production[Job Number],0))),IFERROR(INDEX(tbl_Consulting[Total Expense],IFERROR(MATCH(E375&amp;"",tbl_Consulting[Job Number],0),MATCH(IFERROR(E375+0,E375),tbl_Consulting[Job Number],0))),0)))</f>
        <v/>
      </c>
      <c r="AF375" s="27">
        <f>IF(E375="","",Z375-N(AE375))</f>
        <v/>
      </c>
      <c r="AG375" s="29">
        <f>IFERROR(AF375/Z375,"")</f>
        <v/>
      </c>
      <c r="AH375" s="25">
        <f>IF(E375="","",IFERROR(IF(INDEX(tbl_Onsite[Notes],IFERROR(MATCH(E375&amp;"",tbl_Onsite[Job Number],0),MATCH(IFERROR(E375+0,E375),tbl_Onsite[Job Number],0)))="","",INDEX(tbl_Onsite[Notes],IFERROR(MATCH(E375&amp;"",tbl_Onsite[Job Number],0),MATCH(IFERROR(E375+0,E375),tbl_Onsite[Job Number],0)))),IFERROR(IF(INDEX(tbl_Production[Notes],IFERROR(MATCH(E375&amp;"",tbl_Production[Job Number],0),MATCH(IFERROR(E375+0,E375),tbl_Production[Job Number],0)))="","",INDEX(tbl_Production[Notes],IFERROR(MATCH(E375&amp;"",tbl_Production[Job Number],0),MATCH(IFERROR(E375+0,E375),tbl_Production[Job Number],0)))),IFERROR(IF(INDEX(tbl_Consulting[Notes],IFERROR(MATCH(E375&amp;"",tbl_Consulting[Job Number],0),MATCH(IFERROR(E375+0,E375),tbl_Consulting[Job Number],0)))="","",INDEX(tbl_Consulting[Notes],IFERROR(MATCH(E375&amp;"",tbl_Consulting[Job Number],0),MATCH(IFERROR(E375+0,E375),tbl_Consulting[Job Number],0)))),""))))</f>
        <v/>
      </c>
    </row>
    <row r="376" ht="15" customHeight="1">
      <c r="A376" s="22" t="n"/>
      <c r="B376" s="23">
        <f>IF(A376="","",EOMONTH(A376,0))</f>
        <v/>
      </c>
      <c r="C376" s="24" t="n"/>
      <c r="D376" s="24" t="n"/>
      <c r="E376" s="24" t="n"/>
      <c r="F376" s="25">
        <f>IF(E376="","",IF(COUNTIF(lst_Jobs,E376&amp;"")&gt;0,"OK","CHECK"))</f>
        <v/>
      </c>
      <c r="G376" s="24" t="n"/>
      <c r="H376" s="24" t="n"/>
      <c r="I376" s="24" t="n"/>
      <c r="J376" s="24" t="n"/>
      <c r="K376" s="24" t="n"/>
      <c r="L376" s="26" t="n"/>
      <c r="M376" s="27">
        <f>IF(L376="","",IF(K376="GST 10%",ROUND(L376*set_GSTRate,2),0))</f>
        <v/>
      </c>
      <c r="N376" s="27">
        <f>IF(L376="","",L376+M376)</f>
        <v/>
      </c>
      <c r="O376" s="24" t="n"/>
      <c r="P376" s="24" t="n"/>
      <c r="Q376" s="24" t="n"/>
      <c r="R376" s="22" t="n"/>
      <c r="S376" s="22" t="n"/>
      <c r="T376" s="24" t="n"/>
      <c r="U376" s="24" t="n"/>
      <c r="V376" s="2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25">
        <f>IF(E376="","",IF(COUNTIF(tbl_Onsite[Job Number],E376&amp;"")&gt;0,"Onsite",IF(COUNTIF(tbl_Production[Job Number],E376&amp;"")&gt;0,"Production",IF(COUNTIF(tbl_Consulting[Job Number],E376&amp;"")&gt;0,"Consulting","not set up yet"))))</f>
        <v/>
      </c>
      <c r="X376" s="25">
        <f>IF(E376="","",IFERROR(INDEX(lst_JobName,MATCH(E376&amp;"",lst_Jobs,0)),""))</f>
        <v/>
      </c>
      <c r="Y376" s="28">
        <f>IF(E376="","",COUNTIFS(tbl_Finance[Job Number],E376&amp;"",tbl_Finance[Ex GST],"&lt;&gt;"))</f>
        <v/>
      </c>
      <c r="Z376" s="27">
        <f>IF(E376="","",SUMIFS(tbl_Finance[Ex GST],tbl_Finance[Job Number],E376&amp;""))</f>
        <v/>
      </c>
      <c r="AA376" s="27">
        <f>IF(E376="","",SUMIFS(tbl_Finance[Ex GST],tbl_Finance[Job Number],E376&amp;"",tbl_Finance[Xero Invoice No],"&lt;&gt;"))</f>
        <v/>
      </c>
      <c r="AB376" s="27">
        <f>IF(E376="","",Z376-AA376)</f>
        <v/>
      </c>
      <c r="AC376" s="25">
        <f>IF(E376="","",IFERROR(IF(INDEX(tbl_Onsite[Qwilr Quote],IFERROR(MATCH(E376&amp;"",tbl_Onsite[Job Number],0),MATCH(IFERROR(E376+0,E376),tbl_Onsite[Job Number],0)))="","",INDEX(tbl_Onsite[Qwilr Quote],IFERROR(MATCH(E376&amp;"",tbl_Onsite[Job Number],0),MATCH(IFERROR(E376+0,E376),tbl_Onsite[Job Number],0)))),IFERROR(IF(IF(INDEX(tbl_Production[Current RMS No],IFERROR(MATCH(E376&amp;"",tbl_Production[Job Number],0),MATCH(IFERROR(E376+0,E376),tbl_Production[Job Number],0)))="",INDEX(tbl_Production[Qwilr Quote],IFERROR(MATCH(E376&amp;"",tbl_Production[Job Number],0),MATCH(IFERROR(E376+0,E376),tbl_Production[Job Number],0))),INDEX(tbl_Production[Current RMS No],IFERROR(MATCH(E376&amp;"",tbl_Production[Job Number],0),MATCH(IFERROR(E376+0,E376),tbl_Production[Job Number],0))))="","",IF(INDEX(tbl_Production[Current RMS No],IFERROR(MATCH(E376&amp;"",tbl_Production[Job Number],0),MATCH(IFERROR(E376+0,E376),tbl_Production[Job Number],0)))="",INDEX(tbl_Production[Qwilr Quote],IFERROR(MATCH(E376&amp;"",tbl_Production[Job Number],0),MATCH(IFERROR(E376+0,E376),tbl_Production[Job Number],0))),INDEX(tbl_Production[Current RMS No],IFERROR(MATCH(E376&amp;"",tbl_Production[Job Number],0),MATCH(IFERROR(E376+0,E376),tbl_Production[Job Number],0))))),IFERROR(IF(INDEX(tbl_Consulting[Qwilr Quote],IFERROR(MATCH(E376&amp;"",tbl_Consulting[Job Number],0),MATCH(IFERROR(E376+0,E376),tbl_Consulting[Job Number],0)))="","",INDEX(tbl_Consulting[Qwilr Quote],IFERROR(MATCH(E376&amp;"",tbl_Consulting[Job Number],0),MATCH(IFERROR(E376+0,E376),tbl_Consulting[Job Number],0)))),""))))</f>
        <v/>
      </c>
      <c r="AD376" s="25">
        <f>IF(AC376="","",IF(AND(LEFT(AC376,4)&lt;&gt;"http",IF(H376="Production",set_RMSBase,set_QwilrBase)=""),"",HYPERLINK(IF(LEFT(AC376,4)="http",AC376,IF(H376="Production",set_RMSBase,set_QwilrBase)&amp;AC376),"Open")))</f>
        <v/>
      </c>
      <c r="AE376" s="27">
        <f>IF(E376="","",IFERROR(INDEX(tbl_Production[Total Expense],IFERROR(MATCH(E376&amp;"",tbl_Production[Job Number],0),MATCH(IFERROR(E376+0,E376),tbl_Production[Job Number],0))),IFERROR(INDEX(tbl_Consulting[Total Expense],IFERROR(MATCH(E376&amp;"",tbl_Consulting[Job Number],0),MATCH(IFERROR(E376+0,E376),tbl_Consulting[Job Number],0))),0)))</f>
        <v/>
      </c>
      <c r="AF376" s="27">
        <f>IF(E376="","",Z376-N(AE376))</f>
        <v/>
      </c>
      <c r="AG376" s="29">
        <f>IFERROR(AF376/Z376,"")</f>
        <v/>
      </c>
      <c r="AH376" s="25">
        <f>IF(E376="","",IFERROR(IF(INDEX(tbl_Onsite[Notes],IFERROR(MATCH(E376&amp;"",tbl_Onsite[Job Number],0),MATCH(IFERROR(E376+0,E376),tbl_Onsite[Job Number],0)))="","",INDEX(tbl_Onsite[Notes],IFERROR(MATCH(E376&amp;"",tbl_Onsite[Job Number],0),MATCH(IFERROR(E376+0,E376),tbl_Onsite[Job Number],0)))),IFERROR(IF(INDEX(tbl_Production[Notes],IFERROR(MATCH(E376&amp;"",tbl_Production[Job Number],0),MATCH(IFERROR(E376+0,E376),tbl_Production[Job Number],0)))="","",INDEX(tbl_Production[Notes],IFERROR(MATCH(E376&amp;"",tbl_Production[Job Number],0),MATCH(IFERROR(E376+0,E376),tbl_Production[Job Number],0)))),IFERROR(IF(INDEX(tbl_Consulting[Notes],IFERROR(MATCH(E376&amp;"",tbl_Consulting[Job Number],0),MATCH(IFERROR(E376+0,E376),tbl_Consulting[Job Number],0)))="","",INDEX(tbl_Consulting[Notes],IFERROR(MATCH(E376&amp;"",tbl_Consulting[Job Number],0),MATCH(IFERROR(E376+0,E376),tbl_Consulting[Job Number],0)))),""))))</f>
        <v/>
      </c>
    </row>
    <row r="377" ht="15" customHeight="1">
      <c r="A377" s="22" t="n"/>
      <c r="B377" s="23">
        <f>IF(A377="","",EOMONTH(A377,0))</f>
        <v/>
      </c>
      <c r="C377" s="24" t="n"/>
      <c r="D377" s="24" t="n"/>
      <c r="E377" s="24" t="n"/>
      <c r="F377" s="25">
        <f>IF(E377="","",IF(COUNTIF(lst_Jobs,E377&amp;"")&gt;0,"OK","CHECK"))</f>
        <v/>
      </c>
      <c r="G377" s="24" t="n"/>
      <c r="H377" s="24" t="n"/>
      <c r="I377" s="24" t="n"/>
      <c r="J377" s="24" t="n"/>
      <c r="K377" s="24" t="n"/>
      <c r="L377" s="26" t="n"/>
      <c r="M377" s="27">
        <f>IF(L377="","",IF(K377="GST 10%",ROUND(L377*set_GSTRate,2),0))</f>
        <v/>
      </c>
      <c r="N377" s="27">
        <f>IF(L377="","",L377+M377)</f>
        <v/>
      </c>
      <c r="O377" s="24" t="n"/>
      <c r="P377" s="24" t="n"/>
      <c r="Q377" s="24" t="n"/>
      <c r="R377" s="22" t="n"/>
      <c r="S377" s="22" t="n"/>
      <c r="T377" s="24" t="n"/>
      <c r="U377" s="24" t="n"/>
      <c r="V377" s="2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25">
        <f>IF(E377="","",IF(COUNTIF(tbl_Onsite[Job Number],E377&amp;"")&gt;0,"Onsite",IF(COUNTIF(tbl_Production[Job Number],E377&amp;"")&gt;0,"Production",IF(COUNTIF(tbl_Consulting[Job Number],E377&amp;"")&gt;0,"Consulting","not set up yet"))))</f>
        <v/>
      </c>
      <c r="X377" s="25">
        <f>IF(E377="","",IFERROR(INDEX(lst_JobName,MATCH(E377&amp;"",lst_Jobs,0)),""))</f>
        <v/>
      </c>
      <c r="Y377" s="28">
        <f>IF(E377="","",COUNTIFS(tbl_Finance[Job Number],E377&amp;"",tbl_Finance[Ex GST],"&lt;&gt;"))</f>
        <v/>
      </c>
      <c r="Z377" s="27">
        <f>IF(E377="","",SUMIFS(tbl_Finance[Ex GST],tbl_Finance[Job Number],E377&amp;""))</f>
        <v/>
      </c>
      <c r="AA377" s="27">
        <f>IF(E377="","",SUMIFS(tbl_Finance[Ex GST],tbl_Finance[Job Number],E377&amp;"",tbl_Finance[Xero Invoice No],"&lt;&gt;"))</f>
        <v/>
      </c>
      <c r="AB377" s="27">
        <f>IF(E377="","",Z377-AA377)</f>
        <v/>
      </c>
      <c r="AC377" s="25">
        <f>IF(E377="","",IFERROR(IF(INDEX(tbl_Onsite[Qwilr Quote],IFERROR(MATCH(E377&amp;"",tbl_Onsite[Job Number],0),MATCH(IFERROR(E377+0,E377),tbl_Onsite[Job Number],0)))="","",INDEX(tbl_Onsite[Qwilr Quote],IFERROR(MATCH(E377&amp;"",tbl_Onsite[Job Number],0),MATCH(IFERROR(E377+0,E377),tbl_Onsite[Job Number],0)))),IFERROR(IF(IF(INDEX(tbl_Production[Current RMS No],IFERROR(MATCH(E377&amp;"",tbl_Production[Job Number],0),MATCH(IFERROR(E377+0,E377),tbl_Production[Job Number],0)))="",INDEX(tbl_Production[Qwilr Quote],IFERROR(MATCH(E377&amp;"",tbl_Production[Job Number],0),MATCH(IFERROR(E377+0,E377),tbl_Production[Job Number],0))),INDEX(tbl_Production[Current RMS No],IFERROR(MATCH(E377&amp;"",tbl_Production[Job Number],0),MATCH(IFERROR(E377+0,E377),tbl_Production[Job Number],0))))="","",IF(INDEX(tbl_Production[Current RMS No],IFERROR(MATCH(E377&amp;"",tbl_Production[Job Number],0),MATCH(IFERROR(E377+0,E377),tbl_Production[Job Number],0)))="",INDEX(tbl_Production[Qwilr Quote],IFERROR(MATCH(E377&amp;"",tbl_Production[Job Number],0),MATCH(IFERROR(E377+0,E377),tbl_Production[Job Number],0))),INDEX(tbl_Production[Current RMS No],IFERROR(MATCH(E377&amp;"",tbl_Production[Job Number],0),MATCH(IFERROR(E377+0,E377),tbl_Production[Job Number],0))))),IFERROR(IF(INDEX(tbl_Consulting[Qwilr Quote],IFERROR(MATCH(E377&amp;"",tbl_Consulting[Job Number],0),MATCH(IFERROR(E377+0,E377),tbl_Consulting[Job Number],0)))="","",INDEX(tbl_Consulting[Qwilr Quote],IFERROR(MATCH(E377&amp;"",tbl_Consulting[Job Number],0),MATCH(IFERROR(E377+0,E377),tbl_Consulting[Job Number],0)))),""))))</f>
        <v/>
      </c>
      <c r="AD377" s="25">
        <f>IF(AC377="","",IF(AND(LEFT(AC377,4)&lt;&gt;"http",IF(H377="Production",set_RMSBase,set_QwilrBase)=""),"",HYPERLINK(IF(LEFT(AC377,4)="http",AC377,IF(H377="Production",set_RMSBase,set_QwilrBase)&amp;AC377),"Open")))</f>
        <v/>
      </c>
      <c r="AE377" s="27">
        <f>IF(E377="","",IFERROR(INDEX(tbl_Production[Total Expense],IFERROR(MATCH(E377&amp;"",tbl_Production[Job Number],0),MATCH(IFERROR(E377+0,E377),tbl_Production[Job Number],0))),IFERROR(INDEX(tbl_Consulting[Total Expense],IFERROR(MATCH(E377&amp;"",tbl_Consulting[Job Number],0),MATCH(IFERROR(E377+0,E377),tbl_Consulting[Job Number],0))),0)))</f>
        <v/>
      </c>
      <c r="AF377" s="27">
        <f>IF(E377="","",Z377-N(AE377))</f>
        <v/>
      </c>
      <c r="AG377" s="29">
        <f>IFERROR(AF377/Z377,"")</f>
        <v/>
      </c>
      <c r="AH377" s="25">
        <f>IF(E377="","",IFERROR(IF(INDEX(tbl_Onsite[Notes],IFERROR(MATCH(E377&amp;"",tbl_Onsite[Job Number],0),MATCH(IFERROR(E377+0,E377),tbl_Onsite[Job Number],0)))="","",INDEX(tbl_Onsite[Notes],IFERROR(MATCH(E377&amp;"",tbl_Onsite[Job Number],0),MATCH(IFERROR(E377+0,E377),tbl_Onsite[Job Number],0)))),IFERROR(IF(INDEX(tbl_Production[Notes],IFERROR(MATCH(E377&amp;"",tbl_Production[Job Number],0),MATCH(IFERROR(E377+0,E377),tbl_Production[Job Number],0)))="","",INDEX(tbl_Production[Notes],IFERROR(MATCH(E377&amp;"",tbl_Production[Job Number],0),MATCH(IFERROR(E377+0,E377),tbl_Production[Job Number],0)))),IFERROR(IF(INDEX(tbl_Consulting[Notes],IFERROR(MATCH(E377&amp;"",tbl_Consulting[Job Number],0),MATCH(IFERROR(E377+0,E377),tbl_Consulting[Job Number],0)))="","",INDEX(tbl_Consulting[Notes],IFERROR(MATCH(E377&amp;"",tbl_Consulting[Job Number],0),MATCH(IFERROR(E377+0,E377),tbl_Consulting[Job Number],0)))),""))))</f>
        <v/>
      </c>
    </row>
    <row r="378" ht="15" customHeight="1">
      <c r="A378" s="22" t="n"/>
      <c r="B378" s="23">
        <f>IF(A378="","",EOMONTH(A378,0))</f>
        <v/>
      </c>
      <c r="C378" s="24" t="n"/>
      <c r="D378" s="24" t="n"/>
      <c r="E378" s="24" t="n"/>
      <c r="F378" s="25">
        <f>IF(E378="","",IF(COUNTIF(lst_Jobs,E378&amp;"")&gt;0,"OK","CHECK"))</f>
        <v/>
      </c>
      <c r="G378" s="24" t="n"/>
      <c r="H378" s="24" t="n"/>
      <c r="I378" s="24" t="n"/>
      <c r="J378" s="24" t="n"/>
      <c r="K378" s="24" t="n"/>
      <c r="L378" s="26" t="n"/>
      <c r="M378" s="27">
        <f>IF(L378="","",IF(K378="GST 10%",ROUND(L378*set_GSTRate,2),0))</f>
        <v/>
      </c>
      <c r="N378" s="27">
        <f>IF(L378="","",L378+M378)</f>
        <v/>
      </c>
      <c r="O378" s="24" t="n"/>
      <c r="P378" s="24" t="n"/>
      <c r="Q378" s="24" t="n"/>
      <c r="R378" s="22" t="n"/>
      <c r="S378" s="22" t="n"/>
      <c r="T378" s="24" t="n"/>
      <c r="U378" s="24" t="n"/>
      <c r="V378" s="2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25">
        <f>IF(E378="","",IF(COUNTIF(tbl_Onsite[Job Number],E378&amp;"")&gt;0,"Onsite",IF(COUNTIF(tbl_Production[Job Number],E378&amp;"")&gt;0,"Production",IF(COUNTIF(tbl_Consulting[Job Number],E378&amp;"")&gt;0,"Consulting","not set up yet"))))</f>
        <v/>
      </c>
      <c r="X378" s="25">
        <f>IF(E378="","",IFERROR(INDEX(lst_JobName,MATCH(E378&amp;"",lst_Jobs,0)),""))</f>
        <v/>
      </c>
      <c r="Y378" s="28">
        <f>IF(E378="","",COUNTIFS(tbl_Finance[Job Number],E378&amp;"",tbl_Finance[Ex GST],"&lt;&gt;"))</f>
        <v/>
      </c>
      <c r="Z378" s="27">
        <f>IF(E378="","",SUMIFS(tbl_Finance[Ex GST],tbl_Finance[Job Number],E378&amp;""))</f>
        <v/>
      </c>
      <c r="AA378" s="27">
        <f>IF(E378="","",SUMIFS(tbl_Finance[Ex GST],tbl_Finance[Job Number],E378&amp;"",tbl_Finance[Xero Invoice No],"&lt;&gt;"))</f>
        <v/>
      </c>
      <c r="AB378" s="27">
        <f>IF(E378="","",Z378-AA378)</f>
        <v/>
      </c>
      <c r="AC378" s="25">
        <f>IF(E378="","",IFERROR(IF(INDEX(tbl_Onsite[Qwilr Quote],IFERROR(MATCH(E378&amp;"",tbl_Onsite[Job Number],0),MATCH(IFERROR(E378+0,E378),tbl_Onsite[Job Number],0)))="","",INDEX(tbl_Onsite[Qwilr Quote],IFERROR(MATCH(E378&amp;"",tbl_Onsite[Job Number],0),MATCH(IFERROR(E378+0,E378),tbl_Onsite[Job Number],0)))),IFERROR(IF(IF(INDEX(tbl_Production[Current RMS No],IFERROR(MATCH(E378&amp;"",tbl_Production[Job Number],0),MATCH(IFERROR(E378+0,E378),tbl_Production[Job Number],0)))="",INDEX(tbl_Production[Qwilr Quote],IFERROR(MATCH(E378&amp;"",tbl_Production[Job Number],0),MATCH(IFERROR(E378+0,E378),tbl_Production[Job Number],0))),INDEX(tbl_Production[Current RMS No],IFERROR(MATCH(E378&amp;"",tbl_Production[Job Number],0),MATCH(IFERROR(E378+0,E378),tbl_Production[Job Number],0))))="","",IF(INDEX(tbl_Production[Current RMS No],IFERROR(MATCH(E378&amp;"",tbl_Production[Job Number],0),MATCH(IFERROR(E378+0,E378),tbl_Production[Job Number],0)))="",INDEX(tbl_Production[Qwilr Quote],IFERROR(MATCH(E378&amp;"",tbl_Production[Job Number],0),MATCH(IFERROR(E378+0,E378),tbl_Production[Job Number],0))),INDEX(tbl_Production[Current RMS No],IFERROR(MATCH(E378&amp;"",tbl_Production[Job Number],0),MATCH(IFERROR(E378+0,E378),tbl_Production[Job Number],0))))),IFERROR(IF(INDEX(tbl_Consulting[Qwilr Quote],IFERROR(MATCH(E378&amp;"",tbl_Consulting[Job Number],0),MATCH(IFERROR(E378+0,E378),tbl_Consulting[Job Number],0)))="","",INDEX(tbl_Consulting[Qwilr Quote],IFERROR(MATCH(E378&amp;"",tbl_Consulting[Job Number],0),MATCH(IFERROR(E378+0,E378),tbl_Consulting[Job Number],0)))),""))))</f>
        <v/>
      </c>
      <c r="AD378" s="25">
        <f>IF(AC378="","",IF(AND(LEFT(AC378,4)&lt;&gt;"http",IF(H378="Production",set_RMSBase,set_QwilrBase)=""),"",HYPERLINK(IF(LEFT(AC378,4)="http",AC378,IF(H378="Production",set_RMSBase,set_QwilrBase)&amp;AC378),"Open")))</f>
        <v/>
      </c>
      <c r="AE378" s="27">
        <f>IF(E378="","",IFERROR(INDEX(tbl_Production[Total Expense],IFERROR(MATCH(E378&amp;"",tbl_Production[Job Number],0),MATCH(IFERROR(E378+0,E378),tbl_Production[Job Number],0))),IFERROR(INDEX(tbl_Consulting[Total Expense],IFERROR(MATCH(E378&amp;"",tbl_Consulting[Job Number],0),MATCH(IFERROR(E378+0,E378),tbl_Consulting[Job Number],0))),0)))</f>
        <v/>
      </c>
      <c r="AF378" s="27">
        <f>IF(E378="","",Z378-N(AE378))</f>
        <v/>
      </c>
      <c r="AG378" s="29">
        <f>IFERROR(AF378/Z378,"")</f>
        <v/>
      </c>
      <c r="AH378" s="25">
        <f>IF(E378="","",IFERROR(IF(INDEX(tbl_Onsite[Notes],IFERROR(MATCH(E378&amp;"",tbl_Onsite[Job Number],0),MATCH(IFERROR(E378+0,E378),tbl_Onsite[Job Number],0)))="","",INDEX(tbl_Onsite[Notes],IFERROR(MATCH(E378&amp;"",tbl_Onsite[Job Number],0),MATCH(IFERROR(E378+0,E378),tbl_Onsite[Job Number],0)))),IFERROR(IF(INDEX(tbl_Production[Notes],IFERROR(MATCH(E378&amp;"",tbl_Production[Job Number],0),MATCH(IFERROR(E378+0,E378),tbl_Production[Job Number],0)))="","",INDEX(tbl_Production[Notes],IFERROR(MATCH(E378&amp;"",tbl_Production[Job Number],0),MATCH(IFERROR(E378+0,E378),tbl_Production[Job Number],0)))),IFERROR(IF(INDEX(tbl_Consulting[Notes],IFERROR(MATCH(E378&amp;"",tbl_Consulting[Job Number],0),MATCH(IFERROR(E378+0,E378),tbl_Consulting[Job Number],0)))="","",INDEX(tbl_Consulting[Notes],IFERROR(MATCH(E378&amp;"",tbl_Consulting[Job Number],0),MATCH(IFERROR(E378+0,E378),tbl_Consulting[Job Number],0)))),""))))</f>
        <v/>
      </c>
    </row>
    <row r="379" ht="15" customHeight="1">
      <c r="A379" s="22" t="n"/>
      <c r="B379" s="23">
        <f>IF(A379="","",EOMONTH(A379,0))</f>
        <v/>
      </c>
      <c r="C379" s="24" t="n"/>
      <c r="D379" s="24" t="n"/>
      <c r="E379" s="24" t="n"/>
      <c r="F379" s="25">
        <f>IF(E379="","",IF(COUNTIF(lst_Jobs,E379&amp;"")&gt;0,"OK","CHECK"))</f>
        <v/>
      </c>
      <c r="G379" s="24" t="n"/>
      <c r="H379" s="24" t="n"/>
      <c r="I379" s="24" t="n"/>
      <c r="J379" s="24" t="n"/>
      <c r="K379" s="24" t="n"/>
      <c r="L379" s="26" t="n"/>
      <c r="M379" s="27">
        <f>IF(L379="","",IF(K379="GST 10%",ROUND(L379*set_GSTRate,2),0))</f>
        <v/>
      </c>
      <c r="N379" s="27">
        <f>IF(L379="","",L379+M379)</f>
        <v/>
      </c>
      <c r="O379" s="24" t="n"/>
      <c r="P379" s="24" t="n"/>
      <c r="Q379" s="24" t="n"/>
      <c r="R379" s="22" t="n"/>
      <c r="S379" s="22" t="n"/>
      <c r="T379" s="24" t="n"/>
      <c r="U379" s="24" t="n"/>
      <c r="V379" s="2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25">
        <f>IF(E379="","",IF(COUNTIF(tbl_Onsite[Job Number],E379&amp;"")&gt;0,"Onsite",IF(COUNTIF(tbl_Production[Job Number],E379&amp;"")&gt;0,"Production",IF(COUNTIF(tbl_Consulting[Job Number],E379&amp;"")&gt;0,"Consulting","not set up yet"))))</f>
        <v/>
      </c>
      <c r="X379" s="25">
        <f>IF(E379="","",IFERROR(INDEX(lst_JobName,MATCH(E379&amp;"",lst_Jobs,0)),""))</f>
        <v/>
      </c>
      <c r="Y379" s="28">
        <f>IF(E379="","",COUNTIFS(tbl_Finance[Job Number],E379&amp;"",tbl_Finance[Ex GST],"&lt;&gt;"))</f>
        <v/>
      </c>
      <c r="Z379" s="27">
        <f>IF(E379="","",SUMIFS(tbl_Finance[Ex GST],tbl_Finance[Job Number],E379&amp;""))</f>
        <v/>
      </c>
      <c r="AA379" s="27">
        <f>IF(E379="","",SUMIFS(tbl_Finance[Ex GST],tbl_Finance[Job Number],E379&amp;"",tbl_Finance[Xero Invoice No],"&lt;&gt;"))</f>
        <v/>
      </c>
      <c r="AB379" s="27">
        <f>IF(E379="","",Z379-AA379)</f>
        <v/>
      </c>
      <c r="AC379" s="25">
        <f>IF(E379="","",IFERROR(IF(INDEX(tbl_Onsite[Qwilr Quote],IFERROR(MATCH(E379&amp;"",tbl_Onsite[Job Number],0),MATCH(IFERROR(E379+0,E379),tbl_Onsite[Job Number],0)))="","",INDEX(tbl_Onsite[Qwilr Quote],IFERROR(MATCH(E379&amp;"",tbl_Onsite[Job Number],0),MATCH(IFERROR(E379+0,E379),tbl_Onsite[Job Number],0)))),IFERROR(IF(IF(INDEX(tbl_Production[Current RMS No],IFERROR(MATCH(E379&amp;"",tbl_Production[Job Number],0),MATCH(IFERROR(E379+0,E379),tbl_Production[Job Number],0)))="",INDEX(tbl_Production[Qwilr Quote],IFERROR(MATCH(E379&amp;"",tbl_Production[Job Number],0),MATCH(IFERROR(E379+0,E379),tbl_Production[Job Number],0))),INDEX(tbl_Production[Current RMS No],IFERROR(MATCH(E379&amp;"",tbl_Production[Job Number],0),MATCH(IFERROR(E379+0,E379),tbl_Production[Job Number],0))))="","",IF(INDEX(tbl_Production[Current RMS No],IFERROR(MATCH(E379&amp;"",tbl_Production[Job Number],0),MATCH(IFERROR(E379+0,E379),tbl_Production[Job Number],0)))="",INDEX(tbl_Production[Qwilr Quote],IFERROR(MATCH(E379&amp;"",tbl_Production[Job Number],0),MATCH(IFERROR(E379+0,E379),tbl_Production[Job Number],0))),INDEX(tbl_Production[Current RMS No],IFERROR(MATCH(E379&amp;"",tbl_Production[Job Number],0),MATCH(IFERROR(E379+0,E379),tbl_Production[Job Number],0))))),IFERROR(IF(INDEX(tbl_Consulting[Qwilr Quote],IFERROR(MATCH(E379&amp;"",tbl_Consulting[Job Number],0),MATCH(IFERROR(E379+0,E379),tbl_Consulting[Job Number],0)))="","",INDEX(tbl_Consulting[Qwilr Quote],IFERROR(MATCH(E379&amp;"",tbl_Consulting[Job Number],0),MATCH(IFERROR(E379+0,E379),tbl_Consulting[Job Number],0)))),""))))</f>
        <v/>
      </c>
      <c r="AD379" s="25">
        <f>IF(AC379="","",IF(AND(LEFT(AC379,4)&lt;&gt;"http",IF(H379="Production",set_RMSBase,set_QwilrBase)=""),"",HYPERLINK(IF(LEFT(AC379,4)="http",AC379,IF(H379="Production",set_RMSBase,set_QwilrBase)&amp;AC379),"Open")))</f>
        <v/>
      </c>
      <c r="AE379" s="27">
        <f>IF(E379="","",IFERROR(INDEX(tbl_Production[Total Expense],IFERROR(MATCH(E379&amp;"",tbl_Production[Job Number],0),MATCH(IFERROR(E379+0,E379),tbl_Production[Job Number],0))),IFERROR(INDEX(tbl_Consulting[Total Expense],IFERROR(MATCH(E379&amp;"",tbl_Consulting[Job Number],0),MATCH(IFERROR(E379+0,E379),tbl_Consulting[Job Number],0))),0)))</f>
        <v/>
      </c>
      <c r="AF379" s="27">
        <f>IF(E379="","",Z379-N(AE379))</f>
        <v/>
      </c>
      <c r="AG379" s="29">
        <f>IFERROR(AF379/Z379,"")</f>
        <v/>
      </c>
      <c r="AH379" s="25">
        <f>IF(E379="","",IFERROR(IF(INDEX(tbl_Onsite[Notes],IFERROR(MATCH(E379&amp;"",tbl_Onsite[Job Number],0),MATCH(IFERROR(E379+0,E379),tbl_Onsite[Job Number],0)))="","",INDEX(tbl_Onsite[Notes],IFERROR(MATCH(E379&amp;"",tbl_Onsite[Job Number],0),MATCH(IFERROR(E379+0,E379),tbl_Onsite[Job Number],0)))),IFERROR(IF(INDEX(tbl_Production[Notes],IFERROR(MATCH(E379&amp;"",tbl_Production[Job Number],0),MATCH(IFERROR(E379+0,E379),tbl_Production[Job Number],0)))="","",INDEX(tbl_Production[Notes],IFERROR(MATCH(E379&amp;"",tbl_Production[Job Number],0),MATCH(IFERROR(E379+0,E379),tbl_Production[Job Number],0)))),IFERROR(IF(INDEX(tbl_Consulting[Notes],IFERROR(MATCH(E379&amp;"",tbl_Consulting[Job Number],0),MATCH(IFERROR(E379+0,E379),tbl_Consulting[Job Number],0)))="","",INDEX(tbl_Consulting[Notes],IFERROR(MATCH(E379&amp;"",tbl_Consulting[Job Number],0),MATCH(IFERROR(E379+0,E379),tbl_Consulting[Job Number],0)))),""))))</f>
        <v/>
      </c>
    </row>
    <row r="380" ht="15" customHeight="1">
      <c r="A380" s="22" t="n"/>
      <c r="B380" s="23">
        <f>IF(A380="","",EOMONTH(A380,0))</f>
        <v/>
      </c>
      <c r="C380" s="24" t="n"/>
      <c r="D380" s="24" t="n"/>
      <c r="E380" s="24" t="n"/>
      <c r="F380" s="25">
        <f>IF(E380="","",IF(COUNTIF(lst_Jobs,E380&amp;"")&gt;0,"OK","CHECK"))</f>
        <v/>
      </c>
      <c r="G380" s="24" t="n"/>
      <c r="H380" s="24" t="n"/>
      <c r="I380" s="24" t="n"/>
      <c r="J380" s="24" t="n"/>
      <c r="K380" s="24" t="n"/>
      <c r="L380" s="26" t="n"/>
      <c r="M380" s="27">
        <f>IF(L380="","",IF(K380="GST 10%",ROUND(L380*set_GSTRate,2),0))</f>
        <v/>
      </c>
      <c r="N380" s="27">
        <f>IF(L380="","",L380+M380)</f>
        <v/>
      </c>
      <c r="O380" s="24" t="n"/>
      <c r="P380" s="24" t="n"/>
      <c r="Q380" s="24" t="n"/>
      <c r="R380" s="22" t="n"/>
      <c r="S380" s="22" t="n"/>
      <c r="T380" s="24" t="n"/>
      <c r="U380" s="24" t="n"/>
      <c r="V380" s="2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25">
        <f>IF(E380="","",IF(COUNTIF(tbl_Onsite[Job Number],E380&amp;"")&gt;0,"Onsite",IF(COUNTIF(tbl_Production[Job Number],E380&amp;"")&gt;0,"Production",IF(COUNTIF(tbl_Consulting[Job Number],E380&amp;"")&gt;0,"Consulting","not set up yet"))))</f>
        <v/>
      </c>
      <c r="X380" s="25">
        <f>IF(E380="","",IFERROR(INDEX(lst_JobName,MATCH(E380&amp;"",lst_Jobs,0)),""))</f>
        <v/>
      </c>
      <c r="Y380" s="28">
        <f>IF(E380="","",COUNTIFS(tbl_Finance[Job Number],E380&amp;"",tbl_Finance[Ex GST],"&lt;&gt;"))</f>
        <v/>
      </c>
      <c r="Z380" s="27">
        <f>IF(E380="","",SUMIFS(tbl_Finance[Ex GST],tbl_Finance[Job Number],E380&amp;""))</f>
        <v/>
      </c>
      <c r="AA380" s="27">
        <f>IF(E380="","",SUMIFS(tbl_Finance[Ex GST],tbl_Finance[Job Number],E380&amp;"",tbl_Finance[Xero Invoice No],"&lt;&gt;"))</f>
        <v/>
      </c>
      <c r="AB380" s="27">
        <f>IF(E380="","",Z380-AA380)</f>
        <v/>
      </c>
      <c r="AC380" s="25">
        <f>IF(E380="","",IFERROR(IF(INDEX(tbl_Onsite[Qwilr Quote],IFERROR(MATCH(E380&amp;"",tbl_Onsite[Job Number],0),MATCH(IFERROR(E380+0,E380),tbl_Onsite[Job Number],0)))="","",INDEX(tbl_Onsite[Qwilr Quote],IFERROR(MATCH(E380&amp;"",tbl_Onsite[Job Number],0),MATCH(IFERROR(E380+0,E380),tbl_Onsite[Job Number],0)))),IFERROR(IF(IF(INDEX(tbl_Production[Current RMS No],IFERROR(MATCH(E380&amp;"",tbl_Production[Job Number],0),MATCH(IFERROR(E380+0,E380),tbl_Production[Job Number],0)))="",INDEX(tbl_Production[Qwilr Quote],IFERROR(MATCH(E380&amp;"",tbl_Production[Job Number],0),MATCH(IFERROR(E380+0,E380),tbl_Production[Job Number],0))),INDEX(tbl_Production[Current RMS No],IFERROR(MATCH(E380&amp;"",tbl_Production[Job Number],0),MATCH(IFERROR(E380+0,E380),tbl_Production[Job Number],0))))="","",IF(INDEX(tbl_Production[Current RMS No],IFERROR(MATCH(E380&amp;"",tbl_Production[Job Number],0),MATCH(IFERROR(E380+0,E380),tbl_Production[Job Number],0)))="",INDEX(tbl_Production[Qwilr Quote],IFERROR(MATCH(E380&amp;"",tbl_Production[Job Number],0),MATCH(IFERROR(E380+0,E380),tbl_Production[Job Number],0))),INDEX(tbl_Production[Current RMS No],IFERROR(MATCH(E380&amp;"",tbl_Production[Job Number],0),MATCH(IFERROR(E380+0,E380),tbl_Production[Job Number],0))))),IFERROR(IF(INDEX(tbl_Consulting[Qwilr Quote],IFERROR(MATCH(E380&amp;"",tbl_Consulting[Job Number],0),MATCH(IFERROR(E380+0,E380),tbl_Consulting[Job Number],0)))="","",INDEX(tbl_Consulting[Qwilr Quote],IFERROR(MATCH(E380&amp;"",tbl_Consulting[Job Number],0),MATCH(IFERROR(E380+0,E380),tbl_Consulting[Job Number],0)))),""))))</f>
        <v/>
      </c>
      <c r="AD380" s="25">
        <f>IF(AC380="","",IF(AND(LEFT(AC380,4)&lt;&gt;"http",IF(H380="Production",set_RMSBase,set_QwilrBase)=""),"",HYPERLINK(IF(LEFT(AC380,4)="http",AC380,IF(H380="Production",set_RMSBase,set_QwilrBase)&amp;AC380),"Open")))</f>
        <v/>
      </c>
      <c r="AE380" s="27">
        <f>IF(E380="","",IFERROR(INDEX(tbl_Production[Total Expense],IFERROR(MATCH(E380&amp;"",tbl_Production[Job Number],0),MATCH(IFERROR(E380+0,E380),tbl_Production[Job Number],0))),IFERROR(INDEX(tbl_Consulting[Total Expense],IFERROR(MATCH(E380&amp;"",tbl_Consulting[Job Number],0),MATCH(IFERROR(E380+0,E380),tbl_Consulting[Job Number],0))),0)))</f>
        <v/>
      </c>
      <c r="AF380" s="27">
        <f>IF(E380="","",Z380-N(AE380))</f>
        <v/>
      </c>
      <c r="AG380" s="29">
        <f>IFERROR(AF380/Z380,"")</f>
        <v/>
      </c>
      <c r="AH380" s="25">
        <f>IF(E380="","",IFERROR(IF(INDEX(tbl_Onsite[Notes],IFERROR(MATCH(E380&amp;"",tbl_Onsite[Job Number],0),MATCH(IFERROR(E380+0,E380),tbl_Onsite[Job Number],0)))="","",INDEX(tbl_Onsite[Notes],IFERROR(MATCH(E380&amp;"",tbl_Onsite[Job Number],0),MATCH(IFERROR(E380+0,E380),tbl_Onsite[Job Number],0)))),IFERROR(IF(INDEX(tbl_Production[Notes],IFERROR(MATCH(E380&amp;"",tbl_Production[Job Number],0),MATCH(IFERROR(E380+0,E380),tbl_Production[Job Number],0)))="","",INDEX(tbl_Production[Notes],IFERROR(MATCH(E380&amp;"",tbl_Production[Job Number],0),MATCH(IFERROR(E380+0,E380),tbl_Production[Job Number],0)))),IFERROR(IF(INDEX(tbl_Consulting[Notes],IFERROR(MATCH(E380&amp;"",tbl_Consulting[Job Number],0),MATCH(IFERROR(E380+0,E380),tbl_Consulting[Job Number],0)))="","",INDEX(tbl_Consulting[Notes],IFERROR(MATCH(E380&amp;"",tbl_Consulting[Job Number],0),MATCH(IFERROR(E380+0,E380),tbl_Consulting[Job Number],0)))),""))))</f>
        <v/>
      </c>
    </row>
    <row r="381" ht="15" customHeight="1">
      <c r="A381" s="22" t="n"/>
      <c r="B381" s="23">
        <f>IF(A381="","",EOMONTH(A381,0))</f>
        <v/>
      </c>
      <c r="C381" s="24" t="n"/>
      <c r="D381" s="24" t="n"/>
      <c r="E381" s="24" t="n"/>
      <c r="F381" s="25">
        <f>IF(E381="","",IF(COUNTIF(lst_Jobs,E381&amp;"")&gt;0,"OK","CHECK"))</f>
        <v/>
      </c>
      <c r="G381" s="24" t="n"/>
      <c r="H381" s="24" t="n"/>
      <c r="I381" s="24" t="n"/>
      <c r="J381" s="24" t="n"/>
      <c r="K381" s="24" t="n"/>
      <c r="L381" s="26" t="n"/>
      <c r="M381" s="27">
        <f>IF(L381="","",IF(K381="GST 10%",ROUND(L381*set_GSTRate,2),0))</f>
        <v/>
      </c>
      <c r="N381" s="27">
        <f>IF(L381="","",L381+M381)</f>
        <v/>
      </c>
      <c r="O381" s="24" t="n"/>
      <c r="P381" s="24" t="n"/>
      <c r="Q381" s="24" t="n"/>
      <c r="R381" s="22" t="n"/>
      <c r="S381" s="22" t="n"/>
      <c r="T381" s="24" t="n"/>
      <c r="U381" s="24" t="n"/>
      <c r="V381" s="2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25">
        <f>IF(E381="","",IF(COUNTIF(tbl_Onsite[Job Number],E381&amp;"")&gt;0,"Onsite",IF(COUNTIF(tbl_Production[Job Number],E381&amp;"")&gt;0,"Production",IF(COUNTIF(tbl_Consulting[Job Number],E381&amp;"")&gt;0,"Consulting","not set up yet"))))</f>
        <v/>
      </c>
      <c r="X381" s="25">
        <f>IF(E381="","",IFERROR(INDEX(lst_JobName,MATCH(E381&amp;"",lst_Jobs,0)),""))</f>
        <v/>
      </c>
      <c r="Y381" s="28">
        <f>IF(E381="","",COUNTIFS(tbl_Finance[Job Number],E381&amp;"",tbl_Finance[Ex GST],"&lt;&gt;"))</f>
        <v/>
      </c>
      <c r="Z381" s="27">
        <f>IF(E381="","",SUMIFS(tbl_Finance[Ex GST],tbl_Finance[Job Number],E381&amp;""))</f>
        <v/>
      </c>
      <c r="AA381" s="27">
        <f>IF(E381="","",SUMIFS(tbl_Finance[Ex GST],tbl_Finance[Job Number],E381&amp;"",tbl_Finance[Xero Invoice No],"&lt;&gt;"))</f>
        <v/>
      </c>
      <c r="AB381" s="27">
        <f>IF(E381="","",Z381-AA381)</f>
        <v/>
      </c>
      <c r="AC381" s="25">
        <f>IF(E381="","",IFERROR(IF(INDEX(tbl_Onsite[Qwilr Quote],IFERROR(MATCH(E381&amp;"",tbl_Onsite[Job Number],0),MATCH(IFERROR(E381+0,E381),tbl_Onsite[Job Number],0)))="","",INDEX(tbl_Onsite[Qwilr Quote],IFERROR(MATCH(E381&amp;"",tbl_Onsite[Job Number],0),MATCH(IFERROR(E381+0,E381),tbl_Onsite[Job Number],0)))),IFERROR(IF(IF(INDEX(tbl_Production[Current RMS No],IFERROR(MATCH(E381&amp;"",tbl_Production[Job Number],0),MATCH(IFERROR(E381+0,E381),tbl_Production[Job Number],0)))="",INDEX(tbl_Production[Qwilr Quote],IFERROR(MATCH(E381&amp;"",tbl_Production[Job Number],0),MATCH(IFERROR(E381+0,E381),tbl_Production[Job Number],0))),INDEX(tbl_Production[Current RMS No],IFERROR(MATCH(E381&amp;"",tbl_Production[Job Number],0),MATCH(IFERROR(E381+0,E381),tbl_Production[Job Number],0))))="","",IF(INDEX(tbl_Production[Current RMS No],IFERROR(MATCH(E381&amp;"",tbl_Production[Job Number],0),MATCH(IFERROR(E381+0,E381),tbl_Production[Job Number],0)))="",INDEX(tbl_Production[Qwilr Quote],IFERROR(MATCH(E381&amp;"",tbl_Production[Job Number],0),MATCH(IFERROR(E381+0,E381),tbl_Production[Job Number],0))),INDEX(tbl_Production[Current RMS No],IFERROR(MATCH(E381&amp;"",tbl_Production[Job Number],0),MATCH(IFERROR(E381+0,E381),tbl_Production[Job Number],0))))),IFERROR(IF(INDEX(tbl_Consulting[Qwilr Quote],IFERROR(MATCH(E381&amp;"",tbl_Consulting[Job Number],0),MATCH(IFERROR(E381+0,E381),tbl_Consulting[Job Number],0)))="","",INDEX(tbl_Consulting[Qwilr Quote],IFERROR(MATCH(E381&amp;"",tbl_Consulting[Job Number],0),MATCH(IFERROR(E381+0,E381),tbl_Consulting[Job Number],0)))),""))))</f>
        <v/>
      </c>
      <c r="AD381" s="25">
        <f>IF(AC381="","",IF(AND(LEFT(AC381,4)&lt;&gt;"http",IF(H381="Production",set_RMSBase,set_QwilrBase)=""),"",HYPERLINK(IF(LEFT(AC381,4)="http",AC381,IF(H381="Production",set_RMSBase,set_QwilrBase)&amp;AC381),"Open")))</f>
        <v/>
      </c>
      <c r="AE381" s="27">
        <f>IF(E381="","",IFERROR(INDEX(tbl_Production[Total Expense],IFERROR(MATCH(E381&amp;"",tbl_Production[Job Number],0),MATCH(IFERROR(E381+0,E381),tbl_Production[Job Number],0))),IFERROR(INDEX(tbl_Consulting[Total Expense],IFERROR(MATCH(E381&amp;"",tbl_Consulting[Job Number],0),MATCH(IFERROR(E381+0,E381),tbl_Consulting[Job Number],0))),0)))</f>
        <v/>
      </c>
      <c r="AF381" s="27">
        <f>IF(E381="","",Z381-N(AE381))</f>
        <v/>
      </c>
      <c r="AG381" s="29">
        <f>IFERROR(AF381/Z381,"")</f>
        <v/>
      </c>
      <c r="AH381" s="25">
        <f>IF(E381="","",IFERROR(IF(INDEX(tbl_Onsite[Notes],IFERROR(MATCH(E381&amp;"",tbl_Onsite[Job Number],0),MATCH(IFERROR(E381+0,E381),tbl_Onsite[Job Number],0)))="","",INDEX(tbl_Onsite[Notes],IFERROR(MATCH(E381&amp;"",tbl_Onsite[Job Number],0),MATCH(IFERROR(E381+0,E381),tbl_Onsite[Job Number],0)))),IFERROR(IF(INDEX(tbl_Production[Notes],IFERROR(MATCH(E381&amp;"",tbl_Production[Job Number],0),MATCH(IFERROR(E381+0,E381),tbl_Production[Job Number],0)))="","",INDEX(tbl_Production[Notes],IFERROR(MATCH(E381&amp;"",tbl_Production[Job Number],0),MATCH(IFERROR(E381+0,E381),tbl_Production[Job Number],0)))),IFERROR(IF(INDEX(tbl_Consulting[Notes],IFERROR(MATCH(E381&amp;"",tbl_Consulting[Job Number],0),MATCH(IFERROR(E381+0,E381),tbl_Consulting[Job Number],0)))="","",INDEX(tbl_Consulting[Notes],IFERROR(MATCH(E381&amp;"",tbl_Consulting[Job Number],0),MATCH(IFERROR(E381+0,E381),tbl_Consulting[Job Number],0)))),""))))</f>
        <v/>
      </c>
    </row>
    <row r="382" ht="15" customHeight="1">
      <c r="A382" s="22" t="n"/>
      <c r="B382" s="23">
        <f>IF(A382="","",EOMONTH(A382,0))</f>
        <v/>
      </c>
      <c r="C382" s="24" t="n"/>
      <c r="D382" s="24" t="n"/>
      <c r="E382" s="24" t="n"/>
      <c r="F382" s="25">
        <f>IF(E382="","",IF(COUNTIF(lst_Jobs,E382&amp;"")&gt;0,"OK","CHECK"))</f>
        <v/>
      </c>
      <c r="G382" s="24" t="n"/>
      <c r="H382" s="24" t="n"/>
      <c r="I382" s="24" t="n"/>
      <c r="J382" s="24" t="n"/>
      <c r="K382" s="24" t="n"/>
      <c r="L382" s="26" t="n"/>
      <c r="M382" s="27">
        <f>IF(L382="","",IF(K382="GST 10%",ROUND(L382*set_GSTRate,2),0))</f>
        <v/>
      </c>
      <c r="N382" s="27">
        <f>IF(L382="","",L382+M382)</f>
        <v/>
      </c>
      <c r="O382" s="24" t="n"/>
      <c r="P382" s="24" t="n"/>
      <c r="Q382" s="24" t="n"/>
      <c r="R382" s="22" t="n"/>
      <c r="S382" s="22" t="n"/>
      <c r="T382" s="24" t="n"/>
      <c r="U382" s="24" t="n"/>
      <c r="V382" s="2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25">
        <f>IF(E382="","",IF(COUNTIF(tbl_Onsite[Job Number],E382&amp;"")&gt;0,"Onsite",IF(COUNTIF(tbl_Production[Job Number],E382&amp;"")&gt;0,"Production",IF(COUNTIF(tbl_Consulting[Job Number],E382&amp;"")&gt;0,"Consulting","not set up yet"))))</f>
        <v/>
      </c>
      <c r="X382" s="25">
        <f>IF(E382="","",IFERROR(INDEX(lst_JobName,MATCH(E382&amp;"",lst_Jobs,0)),""))</f>
        <v/>
      </c>
      <c r="Y382" s="28">
        <f>IF(E382="","",COUNTIFS(tbl_Finance[Job Number],E382&amp;"",tbl_Finance[Ex GST],"&lt;&gt;"))</f>
        <v/>
      </c>
      <c r="Z382" s="27">
        <f>IF(E382="","",SUMIFS(tbl_Finance[Ex GST],tbl_Finance[Job Number],E382&amp;""))</f>
        <v/>
      </c>
      <c r="AA382" s="27">
        <f>IF(E382="","",SUMIFS(tbl_Finance[Ex GST],tbl_Finance[Job Number],E382&amp;"",tbl_Finance[Xero Invoice No],"&lt;&gt;"))</f>
        <v/>
      </c>
      <c r="AB382" s="27">
        <f>IF(E382="","",Z382-AA382)</f>
        <v/>
      </c>
      <c r="AC382" s="25">
        <f>IF(E382="","",IFERROR(IF(INDEX(tbl_Onsite[Qwilr Quote],IFERROR(MATCH(E382&amp;"",tbl_Onsite[Job Number],0),MATCH(IFERROR(E382+0,E382),tbl_Onsite[Job Number],0)))="","",INDEX(tbl_Onsite[Qwilr Quote],IFERROR(MATCH(E382&amp;"",tbl_Onsite[Job Number],0),MATCH(IFERROR(E382+0,E382),tbl_Onsite[Job Number],0)))),IFERROR(IF(IF(INDEX(tbl_Production[Current RMS No],IFERROR(MATCH(E382&amp;"",tbl_Production[Job Number],0),MATCH(IFERROR(E382+0,E382),tbl_Production[Job Number],0)))="",INDEX(tbl_Production[Qwilr Quote],IFERROR(MATCH(E382&amp;"",tbl_Production[Job Number],0),MATCH(IFERROR(E382+0,E382),tbl_Production[Job Number],0))),INDEX(tbl_Production[Current RMS No],IFERROR(MATCH(E382&amp;"",tbl_Production[Job Number],0),MATCH(IFERROR(E382+0,E382),tbl_Production[Job Number],0))))="","",IF(INDEX(tbl_Production[Current RMS No],IFERROR(MATCH(E382&amp;"",tbl_Production[Job Number],0),MATCH(IFERROR(E382+0,E382),tbl_Production[Job Number],0)))="",INDEX(tbl_Production[Qwilr Quote],IFERROR(MATCH(E382&amp;"",tbl_Production[Job Number],0),MATCH(IFERROR(E382+0,E382),tbl_Production[Job Number],0))),INDEX(tbl_Production[Current RMS No],IFERROR(MATCH(E382&amp;"",tbl_Production[Job Number],0),MATCH(IFERROR(E382+0,E382),tbl_Production[Job Number],0))))),IFERROR(IF(INDEX(tbl_Consulting[Qwilr Quote],IFERROR(MATCH(E382&amp;"",tbl_Consulting[Job Number],0),MATCH(IFERROR(E382+0,E382),tbl_Consulting[Job Number],0)))="","",INDEX(tbl_Consulting[Qwilr Quote],IFERROR(MATCH(E382&amp;"",tbl_Consulting[Job Number],0),MATCH(IFERROR(E382+0,E382),tbl_Consulting[Job Number],0)))),""))))</f>
        <v/>
      </c>
      <c r="AD382" s="25">
        <f>IF(AC382="","",IF(AND(LEFT(AC382,4)&lt;&gt;"http",IF(H382="Production",set_RMSBase,set_QwilrBase)=""),"",HYPERLINK(IF(LEFT(AC382,4)="http",AC382,IF(H382="Production",set_RMSBase,set_QwilrBase)&amp;AC382),"Open")))</f>
        <v/>
      </c>
      <c r="AE382" s="27">
        <f>IF(E382="","",IFERROR(INDEX(tbl_Production[Total Expense],IFERROR(MATCH(E382&amp;"",tbl_Production[Job Number],0),MATCH(IFERROR(E382+0,E382),tbl_Production[Job Number],0))),IFERROR(INDEX(tbl_Consulting[Total Expense],IFERROR(MATCH(E382&amp;"",tbl_Consulting[Job Number],0),MATCH(IFERROR(E382+0,E382),tbl_Consulting[Job Number],0))),0)))</f>
        <v/>
      </c>
      <c r="AF382" s="27">
        <f>IF(E382="","",Z382-N(AE382))</f>
        <v/>
      </c>
      <c r="AG382" s="29">
        <f>IFERROR(AF382/Z382,"")</f>
        <v/>
      </c>
      <c r="AH382" s="25">
        <f>IF(E382="","",IFERROR(IF(INDEX(tbl_Onsite[Notes],IFERROR(MATCH(E382&amp;"",tbl_Onsite[Job Number],0),MATCH(IFERROR(E382+0,E382),tbl_Onsite[Job Number],0)))="","",INDEX(tbl_Onsite[Notes],IFERROR(MATCH(E382&amp;"",tbl_Onsite[Job Number],0),MATCH(IFERROR(E382+0,E382),tbl_Onsite[Job Number],0)))),IFERROR(IF(INDEX(tbl_Production[Notes],IFERROR(MATCH(E382&amp;"",tbl_Production[Job Number],0),MATCH(IFERROR(E382+0,E382),tbl_Production[Job Number],0)))="","",INDEX(tbl_Production[Notes],IFERROR(MATCH(E382&amp;"",tbl_Production[Job Number],0),MATCH(IFERROR(E382+0,E382),tbl_Production[Job Number],0)))),IFERROR(IF(INDEX(tbl_Consulting[Notes],IFERROR(MATCH(E382&amp;"",tbl_Consulting[Job Number],0),MATCH(IFERROR(E382+0,E382),tbl_Consulting[Job Number],0)))="","",INDEX(tbl_Consulting[Notes],IFERROR(MATCH(E382&amp;"",tbl_Consulting[Job Number],0),MATCH(IFERROR(E382+0,E382),tbl_Consulting[Job Number],0)))),""))))</f>
        <v/>
      </c>
    </row>
    <row r="383" ht="15" customHeight="1">
      <c r="A383" s="22" t="n"/>
      <c r="B383" s="23">
        <f>IF(A383="","",EOMONTH(A383,0))</f>
        <v/>
      </c>
      <c r="C383" s="24" t="n"/>
      <c r="D383" s="24" t="n"/>
      <c r="E383" s="24" t="n"/>
      <c r="F383" s="25">
        <f>IF(E383="","",IF(COUNTIF(lst_Jobs,E383&amp;"")&gt;0,"OK","CHECK"))</f>
        <v/>
      </c>
      <c r="G383" s="24" t="n"/>
      <c r="H383" s="24" t="n"/>
      <c r="I383" s="24" t="n"/>
      <c r="J383" s="24" t="n"/>
      <c r="K383" s="24" t="n"/>
      <c r="L383" s="26" t="n"/>
      <c r="M383" s="27">
        <f>IF(L383="","",IF(K383="GST 10%",ROUND(L383*set_GSTRate,2),0))</f>
        <v/>
      </c>
      <c r="N383" s="27">
        <f>IF(L383="","",L383+M383)</f>
        <v/>
      </c>
      <c r="O383" s="24" t="n"/>
      <c r="P383" s="24" t="n"/>
      <c r="Q383" s="24" t="n"/>
      <c r="R383" s="22" t="n"/>
      <c r="S383" s="22" t="n"/>
      <c r="T383" s="24" t="n"/>
      <c r="U383" s="24" t="n"/>
      <c r="V383" s="2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25">
        <f>IF(E383="","",IF(COUNTIF(tbl_Onsite[Job Number],E383&amp;"")&gt;0,"Onsite",IF(COUNTIF(tbl_Production[Job Number],E383&amp;"")&gt;0,"Production",IF(COUNTIF(tbl_Consulting[Job Number],E383&amp;"")&gt;0,"Consulting","not set up yet"))))</f>
        <v/>
      </c>
      <c r="X383" s="25">
        <f>IF(E383="","",IFERROR(INDEX(lst_JobName,MATCH(E383&amp;"",lst_Jobs,0)),""))</f>
        <v/>
      </c>
      <c r="Y383" s="28">
        <f>IF(E383="","",COUNTIFS(tbl_Finance[Job Number],E383&amp;"",tbl_Finance[Ex GST],"&lt;&gt;"))</f>
        <v/>
      </c>
      <c r="Z383" s="27">
        <f>IF(E383="","",SUMIFS(tbl_Finance[Ex GST],tbl_Finance[Job Number],E383&amp;""))</f>
        <v/>
      </c>
      <c r="AA383" s="27">
        <f>IF(E383="","",SUMIFS(tbl_Finance[Ex GST],tbl_Finance[Job Number],E383&amp;"",tbl_Finance[Xero Invoice No],"&lt;&gt;"))</f>
        <v/>
      </c>
      <c r="AB383" s="27">
        <f>IF(E383="","",Z383-AA383)</f>
        <v/>
      </c>
      <c r="AC383" s="25">
        <f>IF(E383="","",IFERROR(IF(INDEX(tbl_Onsite[Qwilr Quote],IFERROR(MATCH(E383&amp;"",tbl_Onsite[Job Number],0),MATCH(IFERROR(E383+0,E383),tbl_Onsite[Job Number],0)))="","",INDEX(tbl_Onsite[Qwilr Quote],IFERROR(MATCH(E383&amp;"",tbl_Onsite[Job Number],0),MATCH(IFERROR(E383+0,E383),tbl_Onsite[Job Number],0)))),IFERROR(IF(IF(INDEX(tbl_Production[Current RMS No],IFERROR(MATCH(E383&amp;"",tbl_Production[Job Number],0),MATCH(IFERROR(E383+0,E383),tbl_Production[Job Number],0)))="",INDEX(tbl_Production[Qwilr Quote],IFERROR(MATCH(E383&amp;"",tbl_Production[Job Number],0),MATCH(IFERROR(E383+0,E383),tbl_Production[Job Number],0))),INDEX(tbl_Production[Current RMS No],IFERROR(MATCH(E383&amp;"",tbl_Production[Job Number],0),MATCH(IFERROR(E383+0,E383),tbl_Production[Job Number],0))))="","",IF(INDEX(tbl_Production[Current RMS No],IFERROR(MATCH(E383&amp;"",tbl_Production[Job Number],0),MATCH(IFERROR(E383+0,E383),tbl_Production[Job Number],0)))="",INDEX(tbl_Production[Qwilr Quote],IFERROR(MATCH(E383&amp;"",tbl_Production[Job Number],0),MATCH(IFERROR(E383+0,E383),tbl_Production[Job Number],0))),INDEX(tbl_Production[Current RMS No],IFERROR(MATCH(E383&amp;"",tbl_Production[Job Number],0),MATCH(IFERROR(E383+0,E383),tbl_Production[Job Number],0))))),IFERROR(IF(INDEX(tbl_Consulting[Qwilr Quote],IFERROR(MATCH(E383&amp;"",tbl_Consulting[Job Number],0),MATCH(IFERROR(E383+0,E383),tbl_Consulting[Job Number],0)))="","",INDEX(tbl_Consulting[Qwilr Quote],IFERROR(MATCH(E383&amp;"",tbl_Consulting[Job Number],0),MATCH(IFERROR(E383+0,E383),tbl_Consulting[Job Number],0)))),""))))</f>
        <v/>
      </c>
      <c r="AD383" s="25">
        <f>IF(AC383="","",IF(AND(LEFT(AC383,4)&lt;&gt;"http",IF(H383="Production",set_RMSBase,set_QwilrBase)=""),"",HYPERLINK(IF(LEFT(AC383,4)="http",AC383,IF(H383="Production",set_RMSBase,set_QwilrBase)&amp;AC383),"Open")))</f>
        <v/>
      </c>
      <c r="AE383" s="27">
        <f>IF(E383="","",IFERROR(INDEX(tbl_Production[Total Expense],IFERROR(MATCH(E383&amp;"",tbl_Production[Job Number],0),MATCH(IFERROR(E383+0,E383),tbl_Production[Job Number],0))),IFERROR(INDEX(tbl_Consulting[Total Expense],IFERROR(MATCH(E383&amp;"",tbl_Consulting[Job Number],0),MATCH(IFERROR(E383+0,E383),tbl_Consulting[Job Number],0))),0)))</f>
        <v/>
      </c>
      <c r="AF383" s="27">
        <f>IF(E383="","",Z383-N(AE383))</f>
        <v/>
      </c>
      <c r="AG383" s="29">
        <f>IFERROR(AF383/Z383,"")</f>
        <v/>
      </c>
      <c r="AH383" s="25">
        <f>IF(E383="","",IFERROR(IF(INDEX(tbl_Onsite[Notes],IFERROR(MATCH(E383&amp;"",tbl_Onsite[Job Number],0),MATCH(IFERROR(E383+0,E383),tbl_Onsite[Job Number],0)))="","",INDEX(tbl_Onsite[Notes],IFERROR(MATCH(E383&amp;"",tbl_Onsite[Job Number],0),MATCH(IFERROR(E383+0,E383),tbl_Onsite[Job Number],0)))),IFERROR(IF(INDEX(tbl_Production[Notes],IFERROR(MATCH(E383&amp;"",tbl_Production[Job Number],0),MATCH(IFERROR(E383+0,E383),tbl_Production[Job Number],0)))="","",INDEX(tbl_Production[Notes],IFERROR(MATCH(E383&amp;"",tbl_Production[Job Number],0),MATCH(IFERROR(E383+0,E383),tbl_Production[Job Number],0)))),IFERROR(IF(INDEX(tbl_Consulting[Notes],IFERROR(MATCH(E383&amp;"",tbl_Consulting[Job Number],0),MATCH(IFERROR(E383+0,E383),tbl_Consulting[Job Number],0)))="","",INDEX(tbl_Consulting[Notes],IFERROR(MATCH(E383&amp;"",tbl_Consulting[Job Number],0),MATCH(IFERROR(E383+0,E383),tbl_Consulting[Job Number],0)))),""))))</f>
        <v/>
      </c>
    </row>
    <row r="384" ht="15" customHeight="1">
      <c r="A384" s="22" t="n"/>
      <c r="B384" s="23">
        <f>IF(A384="","",EOMONTH(A384,0))</f>
        <v/>
      </c>
      <c r="C384" s="24" t="n"/>
      <c r="D384" s="24" t="n"/>
      <c r="E384" s="24" t="n"/>
      <c r="F384" s="25">
        <f>IF(E384="","",IF(COUNTIF(lst_Jobs,E384&amp;"")&gt;0,"OK","CHECK"))</f>
        <v/>
      </c>
      <c r="G384" s="24" t="n"/>
      <c r="H384" s="24" t="n"/>
      <c r="I384" s="24" t="n"/>
      <c r="J384" s="24" t="n"/>
      <c r="K384" s="24" t="n"/>
      <c r="L384" s="26" t="n"/>
      <c r="M384" s="27">
        <f>IF(L384="","",IF(K384="GST 10%",ROUND(L384*set_GSTRate,2),0))</f>
        <v/>
      </c>
      <c r="N384" s="27">
        <f>IF(L384="","",L384+M384)</f>
        <v/>
      </c>
      <c r="O384" s="24" t="n"/>
      <c r="P384" s="24" t="n"/>
      <c r="Q384" s="24" t="n"/>
      <c r="R384" s="22" t="n"/>
      <c r="S384" s="22" t="n"/>
      <c r="T384" s="24" t="n"/>
      <c r="U384" s="24" t="n"/>
      <c r="V384" s="2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25">
        <f>IF(E384="","",IF(COUNTIF(tbl_Onsite[Job Number],E384&amp;"")&gt;0,"Onsite",IF(COUNTIF(tbl_Production[Job Number],E384&amp;"")&gt;0,"Production",IF(COUNTIF(tbl_Consulting[Job Number],E384&amp;"")&gt;0,"Consulting","not set up yet"))))</f>
        <v/>
      </c>
      <c r="X384" s="25">
        <f>IF(E384="","",IFERROR(INDEX(lst_JobName,MATCH(E384&amp;"",lst_Jobs,0)),""))</f>
        <v/>
      </c>
      <c r="Y384" s="28">
        <f>IF(E384="","",COUNTIFS(tbl_Finance[Job Number],E384&amp;"",tbl_Finance[Ex GST],"&lt;&gt;"))</f>
        <v/>
      </c>
      <c r="Z384" s="27">
        <f>IF(E384="","",SUMIFS(tbl_Finance[Ex GST],tbl_Finance[Job Number],E384&amp;""))</f>
        <v/>
      </c>
      <c r="AA384" s="27">
        <f>IF(E384="","",SUMIFS(tbl_Finance[Ex GST],tbl_Finance[Job Number],E384&amp;"",tbl_Finance[Xero Invoice No],"&lt;&gt;"))</f>
        <v/>
      </c>
      <c r="AB384" s="27">
        <f>IF(E384="","",Z384-AA384)</f>
        <v/>
      </c>
      <c r="AC384" s="25">
        <f>IF(E384="","",IFERROR(IF(INDEX(tbl_Onsite[Qwilr Quote],IFERROR(MATCH(E384&amp;"",tbl_Onsite[Job Number],0),MATCH(IFERROR(E384+0,E384),tbl_Onsite[Job Number],0)))="","",INDEX(tbl_Onsite[Qwilr Quote],IFERROR(MATCH(E384&amp;"",tbl_Onsite[Job Number],0),MATCH(IFERROR(E384+0,E384),tbl_Onsite[Job Number],0)))),IFERROR(IF(IF(INDEX(tbl_Production[Current RMS No],IFERROR(MATCH(E384&amp;"",tbl_Production[Job Number],0),MATCH(IFERROR(E384+0,E384),tbl_Production[Job Number],0)))="",INDEX(tbl_Production[Qwilr Quote],IFERROR(MATCH(E384&amp;"",tbl_Production[Job Number],0),MATCH(IFERROR(E384+0,E384),tbl_Production[Job Number],0))),INDEX(tbl_Production[Current RMS No],IFERROR(MATCH(E384&amp;"",tbl_Production[Job Number],0),MATCH(IFERROR(E384+0,E384),tbl_Production[Job Number],0))))="","",IF(INDEX(tbl_Production[Current RMS No],IFERROR(MATCH(E384&amp;"",tbl_Production[Job Number],0),MATCH(IFERROR(E384+0,E384),tbl_Production[Job Number],0)))="",INDEX(tbl_Production[Qwilr Quote],IFERROR(MATCH(E384&amp;"",tbl_Production[Job Number],0),MATCH(IFERROR(E384+0,E384),tbl_Production[Job Number],0))),INDEX(tbl_Production[Current RMS No],IFERROR(MATCH(E384&amp;"",tbl_Production[Job Number],0),MATCH(IFERROR(E384+0,E384),tbl_Production[Job Number],0))))),IFERROR(IF(INDEX(tbl_Consulting[Qwilr Quote],IFERROR(MATCH(E384&amp;"",tbl_Consulting[Job Number],0),MATCH(IFERROR(E384+0,E384),tbl_Consulting[Job Number],0)))="","",INDEX(tbl_Consulting[Qwilr Quote],IFERROR(MATCH(E384&amp;"",tbl_Consulting[Job Number],0),MATCH(IFERROR(E384+0,E384),tbl_Consulting[Job Number],0)))),""))))</f>
        <v/>
      </c>
      <c r="AD384" s="25">
        <f>IF(AC384="","",IF(AND(LEFT(AC384,4)&lt;&gt;"http",IF(H384="Production",set_RMSBase,set_QwilrBase)=""),"",HYPERLINK(IF(LEFT(AC384,4)="http",AC384,IF(H384="Production",set_RMSBase,set_QwilrBase)&amp;AC384),"Open")))</f>
        <v/>
      </c>
      <c r="AE384" s="27">
        <f>IF(E384="","",IFERROR(INDEX(tbl_Production[Total Expense],IFERROR(MATCH(E384&amp;"",tbl_Production[Job Number],0),MATCH(IFERROR(E384+0,E384),tbl_Production[Job Number],0))),IFERROR(INDEX(tbl_Consulting[Total Expense],IFERROR(MATCH(E384&amp;"",tbl_Consulting[Job Number],0),MATCH(IFERROR(E384+0,E384),tbl_Consulting[Job Number],0))),0)))</f>
        <v/>
      </c>
      <c r="AF384" s="27">
        <f>IF(E384="","",Z384-N(AE384))</f>
        <v/>
      </c>
      <c r="AG384" s="29">
        <f>IFERROR(AF384/Z384,"")</f>
        <v/>
      </c>
      <c r="AH384" s="25">
        <f>IF(E384="","",IFERROR(IF(INDEX(tbl_Onsite[Notes],IFERROR(MATCH(E384&amp;"",tbl_Onsite[Job Number],0),MATCH(IFERROR(E384+0,E384),tbl_Onsite[Job Number],0)))="","",INDEX(tbl_Onsite[Notes],IFERROR(MATCH(E384&amp;"",tbl_Onsite[Job Number],0),MATCH(IFERROR(E384+0,E384),tbl_Onsite[Job Number],0)))),IFERROR(IF(INDEX(tbl_Production[Notes],IFERROR(MATCH(E384&amp;"",tbl_Production[Job Number],0),MATCH(IFERROR(E384+0,E384),tbl_Production[Job Number],0)))="","",INDEX(tbl_Production[Notes],IFERROR(MATCH(E384&amp;"",tbl_Production[Job Number],0),MATCH(IFERROR(E384+0,E384),tbl_Production[Job Number],0)))),IFERROR(IF(INDEX(tbl_Consulting[Notes],IFERROR(MATCH(E384&amp;"",tbl_Consulting[Job Number],0),MATCH(IFERROR(E384+0,E384),tbl_Consulting[Job Number],0)))="","",INDEX(tbl_Consulting[Notes],IFERROR(MATCH(E384&amp;"",tbl_Consulting[Job Number],0),MATCH(IFERROR(E384+0,E384),tbl_Consulting[Job Number],0)))),""))))</f>
        <v/>
      </c>
    </row>
    <row r="385" ht="15" customHeight="1">
      <c r="A385" s="22" t="n"/>
      <c r="B385" s="23">
        <f>IF(A385="","",EOMONTH(A385,0))</f>
        <v/>
      </c>
      <c r="C385" s="24" t="n"/>
      <c r="D385" s="24" t="n"/>
      <c r="E385" s="24" t="n"/>
      <c r="F385" s="25">
        <f>IF(E385="","",IF(COUNTIF(lst_Jobs,E385&amp;"")&gt;0,"OK","CHECK"))</f>
        <v/>
      </c>
      <c r="G385" s="24" t="n"/>
      <c r="H385" s="24" t="n"/>
      <c r="I385" s="24" t="n"/>
      <c r="J385" s="24" t="n"/>
      <c r="K385" s="24" t="n"/>
      <c r="L385" s="26" t="n"/>
      <c r="M385" s="27">
        <f>IF(L385="","",IF(K385="GST 10%",ROUND(L385*set_GSTRate,2),0))</f>
        <v/>
      </c>
      <c r="N385" s="27">
        <f>IF(L385="","",L385+M385)</f>
        <v/>
      </c>
      <c r="O385" s="24" t="n"/>
      <c r="P385" s="24" t="n"/>
      <c r="Q385" s="24" t="n"/>
      <c r="R385" s="22" t="n"/>
      <c r="S385" s="22" t="n"/>
      <c r="T385" s="24" t="n"/>
      <c r="U385" s="24" t="n"/>
      <c r="V385" s="2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25">
        <f>IF(E385="","",IF(COUNTIF(tbl_Onsite[Job Number],E385&amp;"")&gt;0,"Onsite",IF(COUNTIF(tbl_Production[Job Number],E385&amp;"")&gt;0,"Production",IF(COUNTIF(tbl_Consulting[Job Number],E385&amp;"")&gt;0,"Consulting","not set up yet"))))</f>
        <v/>
      </c>
      <c r="X385" s="25">
        <f>IF(E385="","",IFERROR(INDEX(lst_JobName,MATCH(E385&amp;"",lst_Jobs,0)),""))</f>
        <v/>
      </c>
      <c r="Y385" s="28">
        <f>IF(E385="","",COUNTIFS(tbl_Finance[Job Number],E385&amp;"",tbl_Finance[Ex GST],"&lt;&gt;"))</f>
        <v/>
      </c>
      <c r="Z385" s="27">
        <f>IF(E385="","",SUMIFS(tbl_Finance[Ex GST],tbl_Finance[Job Number],E385&amp;""))</f>
        <v/>
      </c>
      <c r="AA385" s="27">
        <f>IF(E385="","",SUMIFS(tbl_Finance[Ex GST],tbl_Finance[Job Number],E385&amp;"",tbl_Finance[Xero Invoice No],"&lt;&gt;"))</f>
        <v/>
      </c>
      <c r="AB385" s="27">
        <f>IF(E385="","",Z385-AA385)</f>
        <v/>
      </c>
      <c r="AC385" s="25">
        <f>IF(E385="","",IFERROR(IF(INDEX(tbl_Onsite[Qwilr Quote],IFERROR(MATCH(E385&amp;"",tbl_Onsite[Job Number],0),MATCH(IFERROR(E385+0,E385),tbl_Onsite[Job Number],0)))="","",INDEX(tbl_Onsite[Qwilr Quote],IFERROR(MATCH(E385&amp;"",tbl_Onsite[Job Number],0),MATCH(IFERROR(E385+0,E385),tbl_Onsite[Job Number],0)))),IFERROR(IF(IF(INDEX(tbl_Production[Current RMS No],IFERROR(MATCH(E385&amp;"",tbl_Production[Job Number],0),MATCH(IFERROR(E385+0,E385),tbl_Production[Job Number],0)))="",INDEX(tbl_Production[Qwilr Quote],IFERROR(MATCH(E385&amp;"",tbl_Production[Job Number],0),MATCH(IFERROR(E385+0,E385),tbl_Production[Job Number],0))),INDEX(tbl_Production[Current RMS No],IFERROR(MATCH(E385&amp;"",tbl_Production[Job Number],0),MATCH(IFERROR(E385+0,E385),tbl_Production[Job Number],0))))="","",IF(INDEX(tbl_Production[Current RMS No],IFERROR(MATCH(E385&amp;"",tbl_Production[Job Number],0),MATCH(IFERROR(E385+0,E385),tbl_Production[Job Number],0)))="",INDEX(tbl_Production[Qwilr Quote],IFERROR(MATCH(E385&amp;"",tbl_Production[Job Number],0),MATCH(IFERROR(E385+0,E385),tbl_Production[Job Number],0))),INDEX(tbl_Production[Current RMS No],IFERROR(MATCH(E385&amp;"",tbl_Production[Job Number],0),MATCH(IFERROR(E385+0,E385),tbl_Production[Job Number],0))))),IFERROR(IF(INDEX(tbl_Consulting[Qwilr Quote],IFERROR(MATCH(E385&amp;"",tbl_Consulting[Job Number],0),MATCH(IFERROR(E385+0,E385),tbl_Consulting[Job Number],0)))="","",INDEX(tbl_Consulting[Qwilr Quote],IFERROR(MATCH(E385&amp;"",tbl_Consulting[Job Number],0),MATCH(IFERROR(E385+0,E385),tbl_Consulting[Job Number],0)))),""))))</f>
        <v/>
      </c>
      <c r="AD385" s="25">
        <f>IF(AC385="","",IF(AND(LEFT(AC385,4)&lt;&gt;"http",IF(H385="Production",set_RMSBase,set_QwilrBase)=""),"",HYPERLINK(IF(LEFT(AC385,4)="http",AC385,IF(H385="Production",set_RMSBase,set_QwilrBase)&amp;AC385),"Open")))</f>
        <v/>
      </c>
      <c r="AE385" s="27">
        <f>IF(E385="","",IFERROR(INDEX(tbl_Production[Total Expense],IFERROR(MATCH(E385&amp;"",tbl_Production[Job Number],0),MATCH(IFERROR(E385+0,E385),tbl_Production[Job Number],0))),IFERROR(INDEX(tbl_Consulting[Total Expense],IFERROR(MATCH(E385&amp;"",tbl_Consulting[Job Number],0),MATCH(IFERROR(E385+0,E385),tbl_Consulting[Job Number],0))),0)))</f>
        <v/>
      </c>
      <c r="AF385" s="27">
        <f>IF(E385="","",Z385-N(AE385))</f>
        <v/>
      </c>
      <c r="AG385" s="29">
        <f>IFERROR(AF385/Z385,"")</f>
        <v/>
      </c>
      <c r="AH385" s="25">
        <f>IF(E385="","",IFERROR(IF(INDEX(tbl_Onsite[Notes],IFERROR(MATCH(E385&amp;"",tbl_Onsite[Job Number],0),MATCH(IFERROR(E385+0,E385),tbl_Onsite[Job Number],0)))="","",INDEX(tbl_Onsite[Notes],IFERROR(MATCH(E385&amp;"",tbl_Onsite[Job Number],0),MATCH(IFERROR(E385+0,E385),tbl_Onsite[Job Number],0)))),IFERROR(IF(INDEX(tbl_Production[Notes],IFERROR(MATCH(E385&amp;"",tbl_Production[Job Number],0),MATCH(IFERROR(E385+0,E385),tbl_Production[Job Number],0)))="","",INDEX(tbl_Production[Notes],IFERROR(MATCH(E385&amp;"",tbl_Production[Job Number],0),MATCH(IFERROR(E385+0,E385),tbl_Production[Job Number],0)))),IFERROR(IF(INDEX(tbl_Consulting[Notes],IFERROR(MATCH(E385&amp;"",tbl_Consulting[Job Number],0),MATCH(IFERROR(E385+0,E385),tbl_Consulting[Job Number],0)))="","",INDEX(tbl_Consulting[Notes],IFERROR(MATCH(E385&amp;"",tbl_Consulting[Job Number],0),MATCH(IFERROR(E385+0,E385),tbl_Consulting[Job Number],0)))),""))))</f>
        <v/>
      </c>
    </row>
    <row r="386" ht="15" customHeight="1">
      <c r="A386" s="22" t="n"/>
      <c r="B386" s="23">
        <f>IF(A386="","",EOMONTH(A386,0))</f>
        <v/>
      </c>
      <c r="C386" s="24" t="n"/>
      <c r="D386" s="24" t="n"/>
      <c r="E386" s="24" t="n"/>
      <c r="F386" s="25">
        <f>IF(E386="","",IF(COUNTIF(lst_Jobs,E386&amp;"")&gt;0,"OK","CHECK"))</f>
        <v/>
      </c>
      <c r="G386" s="24" t="n"/>
      <c r="H386" s="24" t="n"/>
      <c r="I386" s="24" t="n"/>
      <c r="J386" s="24" t="n"/>
      <c r="K386" s="24" t="n"/>
      <c r="L386" s="26" t="n"/>
      <c r="M386" s="27">
        <f>IF(L386="","",IF(K386="GST 10%",ROUND(L386*set_GSTRate,2),0))</f>
        <v/>
      </c>
      <c r="N386" s="27">
        <f>IF(L386="","",L386+M386)</f>
        <v/>
      </c>
      <c r="O386" s="24" t="n"/>
      <c r="P386" s="24" t="n"/>
      <c r="Q386" s="24" t="n"/>
      <c r="R386" s="22" t="n"/>
      <c r="S386" s="22" t="n"/>
      <c r="T386" s="24" t="n"/>
      <c r="U386" s="24" t="n"/>
      <c r="V386" s="2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25">
        <f>IF(E386="","",IF(COUNTIF(tbl_Onsite[Job Number],E386&amp;"")&gt;0,"Onsite",IF(COUNTIF(tbl_Production[Job Number],E386&amp;"")&gt;0,"Production",IF(COUNTIF(tbl_Consulting[Job Number],E386&amp;"")&gt;0,"Consulting","not set up yet"))))</f>
        <v/>
      </c>
      <c r="X386" s="25">
        <f>IF(E386="","",IFERROR(INDEX(lst_JobName,MATCH(E386&amp;"",lst_Jobs,0)),""))</f>
        <v/>
      </c>
      <c r="Y386" s="28">
        <f>IF(E386="","",COUNTIFS(tbl_Finance[Job Number],E386&amp;"",tbl_Finance[Ex GST],"&lt;&gt;"))</f>
        <v/>
      </c>
      <c r="Z386" s="27">
        <f>IF(E386="","",SUMIFS(tbl_Finance[Ex GST],tbl_Finance[Job Number],E386&amp;""))</f>
        <v/>
      </c>
      <c r="AA386" s="27">
        <f>IF(E386="","",SUMIFS(tbl_Finance[Ex GST],tbl_Finance[Job Number],E386&amp;"",tbl_Finance[Xero Invoice No],"&lt;&gt;"))</f>
        <v/>
      </c>
      <c r="AB386" s="27">
        <f>IF(E386="","",Z386-AA386)</f>
        <v/>
      </c>
      <c r="AC386" s="25">
        <f>IF(E386="","",IFERROR(IF(INDEX(tbl_Onsite[Qwilr Quote],IFERROR(MATCH(E386&amp;"",tbl_Onsite[Job Number],0),MATCH(IFERROR(E386+0,E386),tbl_Onsite[Job Number],0)))="","",INDEX(tbl_Onsite[Qwilr Quote],IFERROR(MATCH(E386&amp;"",tbl_Onsite[Job Number],0),MATCH(IFERROR(E386+0,E386),tbl_Onsite[Job Number],0)))),IFERROR(IF(IF(INDEX(tbl_Production[Current RMS No],IFERROR(MATCH(E386&amp;"",tbl_Production[Job Number],0),MATCH(IFERROR(E386+0,E386),tbl_Production[Job Number],0)))="",INDEX(tbl_Production[Qwilr Quote],IFERROR(MATCH(E386&amp;"",tbl_Production[Job Number],0),MATCH(IFERROR(E386+0,E386),tbl_Production[Job Number],0))),INDEX(tbl_Production[Current RMS No],IFERROR(MATCH(E386&amp;"",tbl_Production[Job Number],0),MATCH(IFERROR(E386+0,E386),tbl_Production[Job Number],0))))="","",IF(INDEX(tbl_Production[Current RMS No],IFERROR(MATCH(E386&amp;"",tbl_Production[Job Number],0),MATCH(IFERROR(E386+0,E386),tbl_Production[Job Number],0)))="",INDEX(tbl_Production[Qwilr Quote],IFERROR(MATCH(E386&amp;"",tbl_Production[Job Number],0),MATCH(IFERROR(E386+0,E386),tbl_Production[Job Number],0))),INDEX(tbl_Production[Current RMS No],IFERROR(MATCH(E386&amp;"",tbl_Production[Job Number],0),MATCH(IFERROR(E386+0,E386),tbl_Production[Job Number],0))))),IFERROR(IF(INDEX(tbl_Consulting[Qwilr Quote],IFERROR(MATCH(E386&amp;"",tbl_Consulting[Job Number],0),MATCH(IFERROR(E386+0,E386),tbl_Consulting[Job Number],0)))="","",INDEX(tbl_Consulting[Qwilr Quote],IFERROR(MATCH(E386&amp;"",tbl_Consulting[Job Number],0),MATCH(IFERROR(E386+0,E386),tbl_Consulting[Job Number],0)))),""))))</f>
        <v/>
      </c>
      <c r="AD386" s="25">
        <f>IF(AC386="","",IF(AND(LEFT(AC386,4)&lt;&gt;"http",IF(H386="Production",set_RMSBase,set_QwilrBase)=""),"",HYPERLINK(IF(LEFT(AC386,4)="http",AC386,IF(H386="Production",set_RMSBase,set_QwilrBase)&amp;AC386),"Open")))</f>
        <v/>
      </c>
      <c r="AE386" s="27">
        <f>IF(E386="","",IFERROR(INDEX(tbl_Production[Total Expense],IFERROR(MATCH(E386&amp;"",tbl_Production[Job Number],0),MATCH(IFERROR(E386+0,E386),tbl_Production[Job Number],0))),IFERROR(INDEX(tbl_Consulting[Total Expense],IFERROR(MATCH(E386&amp;"",tbl_Consulting[Job Number],0),MATCH(IFERROR(E386+0,E386),tbl_Consulting[Job Number],0))),0)))</f>
        <v/>
      </c>
      <c r="AF386" s="27">
        <f>IF(E386="","",Z386-N(AE386))</f>
        <v/>
      </c>
      <c r="AG386" s="29">
        <f>IFERROR(AF386/Z386,"")</f>
        <v/>
      </c>
      <c r="AH386" s="25">
        <f>IF(E386="","",IFERROR(IF(INDEX(tbl_Onsite[Notes],IFERROR(MATCH(E386&amp;"",tbl_Onsite[Job Number],0),MATCH(IFERROR(E386+0,E386),tbl_Onsite[Job Number],0)))="","",INDEX(tbl_Onsite[Notes],IFERROR(MATCH(E386&amp;"",tbl_Onsite[Job Number],0),MATCH(IFERROR(E386+0,E386),tbl_Onsite[Job Number],0)))),IFERROR(IF(INDEX(tbl_Production[Notes],IFERROR(MATCH(E386&amp;"",tbl_Production[Job Number],0),MATCH(IFERROR(E386+0,E386),tbl_Production[Job Number],0)))="","",INDEX(tbl_Production[Notes],IFERROR(MATCH(E386&amp;"",tbl_Production[Job Number],0),MATCH(IFERROR(E386+0,E386),tbl_Production[Job Number],0)))),IFERROR(IF(INDEX(tbl_Consulting[Notes],IFERROR(MATCH(E386&amp;"",tbl_Consulting[Job Number],0),MATCH(IFERROR(E386+0,E386),tbl_Consulting[Job Number],0)))="","",INDEX(tbl_Consulting[Notes],IFERROR(MATCH(E386&amp;"",tbl_Consulting[Job Number],0),MATCH(IFERROR(E386+0,E386),tbl_Consulting[Job Number],0)))),""))))</f>
        <v/>
      </c>
    </row>
    <row r="387" ht="15" customHeight="1">
      <c r="A387" s="22" t="n"/>
      <c r="B387" s="23">
        <f>IF(A387="","",EOMONTH(A387,0))</f>
        <v/>
      </c>
      <c r="C387" s="24" t="n"/>
      <c r="D387" s="24" t="n"/>
      <c r="E387" s="24" t="n"/>
      <c r="F387" s="25">
        <f>IF(E387="","",IF(COUNTIF(lst_Jobs,E387&amp;"")&gt;0,"OK","CHECK"))</f>
        <v/>
      </c>
      <c r="G387" s="24" t="n"/>
      <c r="H387" s="24" t="n"/>
      <c r="I387" s="24" t="n"/>
      <c r="J387" s="24" t="n"/>
      <c r="K387" s="24" t="n"/>
      <c r="L387" s="26" t="n"/>
      <c r="M387" s="27">
        <f>IF(L387="","",IF(K387="GST 10%",ROUND(L387*set_GSTRate,2),0))</f>
        <v/>
      </c>
      <c r="N387" s="27">
        <f>IF(L387="","",L387+M387)</f>
        <v/>
      </c>
      <c r="O387" s="24" t="n"/>
      <c r="P387" s="24" t="n"/>
      <c r="Q387" s="24" t="n"/>
      <c r="R387" s="22" t="n"/>
      <c r="S387" s="22" t="n"/>
      <c r="T387" s="24" t="n"/>
      <c r="U387" s="24" t="n"/>
      <c r="V387" s="2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25">
        <f>IF(E387="","",IF(COUNTIF(tbl_Onsite[Job Number],E387&amp;"")&gt;0,"Onsite",IF(COUNTIF(tbl_Production[Job Number],E387&amp;"")&gt;0,"Production",IF(COUNTIF(tbl_Consulting[Job Number],E387&amp;"")&gt;0,"Consulting","not set up yet"))))</f>
        <v/>
      </c>
      <c r="X387" s="25">
        <f>IF(E387="","",IFERROR(INDEX(lst_JobName,MATCH(E387&amp;"",lst_Jobs,0)),""))</f>
        <v/>
      </c>
      <c r="Y387" s="28">
        <f>IF(E387="","",COUNTIFS(tbl_Finance[Job Number],E387&amp;"",tbl_Finance[Ex GST],"&lt;&gt;"))</f>
        <v/>
      </c>
      <c r="Z387" s="27">
        <f>IF(E387="","",SUMIFS(tbl_Finance[Ex GST],tbl_Finance[Job Number],E387&amp;""))</f>
        <v/>
      </c>
      <c r="AA387" s="27">
        <f>IF(E387="","",SUMIFS(tbl_Finance[Ex GST],tbl_Finance[Job Number],E387&amp;"",tbl_Finance[Xero Invoice No],"&lt;&gt;"))</f>
        <v/>
      </c>
      <c r="AB387" s="27">
        <f>IF(E387="","",Z387-AA387)</f>
        <v/>
      </c>
      <c r="AC387" s="25">
        <f>IF(E387="","",IFERROR(IF(INDEX(tbl_Onsite[Qwilr Quote],IFERROR(MATCH(E387&amp;"",tbl_Onsite[Job Number],0),MATCH(IFERROR(E387+0,E387),tbl_Onsite[Job Number],0)))="","",INDEX(tbl_Onsite[Qwilr Quote],IFERROR(MATCH(E387&amp;"",tbl_Onsite[Job Number],0),MATCH(IFERROR(E387+0,E387),tbl_Onsite[Job Number],0)))),IFERROR(IF(IF(INDEX(tbl_Production[Current RMS No],IFERROR(MATCH(E387&amp;"",tbl_Production[Job Number],0),MATCH(IFERROR(E387+0,E387),tbl_Production[Job Number],0)))="",INDEX(tbl_Production[Qwilr Quote],IFERROR(MATCH(E387&amp;"",tbl_Production[Job Number],0),MATCH(IFERROR(E387+0,E387),tbl_Production[Job Number],0))),INDEX(tbl_Production[Current RMS No],IFERROR(MATCH(E387&amp;"",tbl_Production[Job Number],0),MATCH(IFERROR(E387+0,E387),tbl_Production[Job Number],0))))="","",IF(INDEX(tbl_Production[Current RMS No],IFERROR(MATCH(E387&amp;"",tbl_Production[Job Number],0),MATCH(IFERROR(E387+0,E387),tbl_Production[Job Number],0)))="",INDEX(tbl_Production[Qwilr Quote],IFERROR(MATCH(E387&amp;"",tbl_Production[Job Number],0),MATCH(IFERROR(E387+0,E387),tbl_Production[Job Number],0))),INDEX(tbl_Production[Current RMS No],IFERROR(MATCH(E387&amp;"",tbl_Production[Job Number],0),MATCH(IFERROR(E387+0,E387),tbl_Production[Job Number],0))))),IFERROR(IF(INDEX(tbl_Consulting[Qwilr Quote],IFERROR(MATCH(E387&amp;"",tbl_Consulting[Job Number],0),MATCH(IFERROR(E387+0,E387),tbl_Consulting[Job Number],0)))="","",INDEX(tbl_Consulting[Qwilr Quote],IFERROR(MATCH(E387&amp;"",tbl_Consulting[Job Number],0),MATCH(IFERROR(E387+0,E387),tbl_Consulting[Job Number],0)))),""))))</f>
        <v/>
      </c>
      <c r="AD387" s="25">
        <f>IF(AC387="","",IF(AND(LEFT(AC387,4)&lt;&gt;"http",IF(H387="Production",set_RMSBase,set_QwilrBase)=""),"",HYPERLINK(IF(LEFT(AC387,4)="http",AC387,IF(H387="Production",set_RMSBase,set_QwilrBase)&amp;AC387),"Open")))</f>
        <v/>
      </c>
      <c r="AE387" s="27">
        <f>IF(E387="","",IFERROR(INDEX(tbl_Production[Total Expense],IFERROR(MATCH(E387&amp;"",tbl_Production[Job Number],0),MATCH(IFERROR(E387+0,E387),tbl_Production[Job Number],0))),IFERROR(INDEX(tbl_Consulting[Total Expense],IFERROR(MATCH(E387&amp;"",tbl_Consulting[Job Number],0),MATCH(IFERROR(E387+0,E387),tbl_Consulting[Job Number],0))),0)))</f>
        <v/>
      </c>
      <c r="AF387" s="27">
        <f>IF(E387="","",Z387-N(AE387))</f>
        <v/>
      </c>
      <c r="AG387" s="29">
        <f>IFERROR(AF387/Z387,"")</f>
        <v/>
      </c>
      <c r="AH387" s="25">
        <f>IF(E387="","",IFERROR(IF(INDEX(tbl_Onsite[Notes],IFERROR(MATCH(E387&amp;"",tbl_Onsite[Job Number],0),MATCH(IFERROR(E387+0,E387),tbl_Onsite[Job Number],0)))="","",INDEX(tbl_Onsite[Notes],IFERROR(MATCH(E387&amp;"",tbl_Onsite[Job Number],0),MATCH(IFERROR(E387+0,E387),tbl_Onsite[Job Number],0)))),IFERROR(IF(INDEX(tbl_Production[Notes],IFERROR(MATCH(E387&amp;"",tbl_Production[Job Number],0),MATCH(IFERROR(E387+0,E387),tbl_Production[Job Number],0)))="","",INDEX(tbl_Production[Notes],IFERROR(MATCH(E387&amp;"",tbl_Production[Job Number],0),MATCH(IFERROR(E387+0,E387),tbl_Production[Job Number],0)))),IFERROR(IF(INDEX(tbl_Consulting[Notes],IFERROR(MATCH(E387&amp;"",tbl_Consulting[Job Number],0),MATCH(IFERROR(E387+0,E387),tbl_Consulting[Job Number],0)))="","",INDEX(tbl_Consulting[Notes],IFERROR(MATCH(E387&amp;"",tbl_Consulting[Job Number],0),MATCH(IFERROR(E387+0,E387),tbl_Consulting[Job Number],0)))),""))))</f>
        <v/>
      </c>
    </row>
    <row r="388" ht="15" customHeight="1">
      <c r="A388" s="22" t="n"/>
      <c r="B388" s="23">
        <f>IF(A388="","",EOMONTH(A388,0))</f>
        <v/>
      </c>
      <c r="C388" s="24" t="n"/>
      <c r="D388" s="24" t="n"/>
      <c r="E388" s="24" t="n"/>
      <c r="F388" s="25">
        <f>IF(E388="","",IF(COUNTIF(lst_Jobs,E388&amp;"")&gt;0,"OK","CHECK"))</f>
        <v/>
      </c>
      <c r="G388" s="24" t="n"/>
      <c r="H388" s="24" t="n"/>
      <c r="I388" s="24" t="n"/>
      <c r="J388" s="24" t="n"/>
      <c r="K388" s="24" t="n"/>
      <c r="L388" s="26" t="n"/>
      <c r="M388" s="27">
        <f>IF(L388="","",IF(K388="GST 10%",ROUND(L388*set_GSTRate,2),0))</f>
        <v/>
      </c>
      <c r="N388" s="27">
        <f>IF(L388="","",L388+M388)</f>
        <v/>
      </c>
      <c r="O388" s="24" t="n"/>
      <c r="P388" s="24" t="n"/>
      <c r="Q388" s="24" t="n"/>
      <c r="R388" s="22" t="n"/>
      <c r="S388" s="22" t="n"/>
      <c r="T388" s="24" t="n"/>
      <c r="U388" s="24" t="n"/>
      <c r="V388" s="2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25">
        <f>IF(E388="","",IF(COUNTIF(tbl_Onsite[Job Number],E388&amp;"")&gt;0,"Onsite",IF(COUNTIF(tbl_Production[Job Number],E388&amp;"")&gt;0,"Production",IF(COUNTIF(tbl_Consulting[Job Number],E388&amp;"")&gt;0,"Consulting","not set up yet"))))</f>
        <v/>
      </c>
      <c r="X388" s="25">
        <f>IF(E388="","",IFERROR(INDEX(lst_JobName,MATCH(E388&amp;"",lst_Jobs,0)),""))</f>
        <v/>
      </c>
      <c r="Y388" s="28">
        <f>IF(E388="","",COUNTIFS(tbl_Finance[Job Number],E388&amp;"",tbl_Finance[Ex GST],"&lt;&gt;"))</f>
        <v/>
      </c>
      <c r="Z388" s="27">
        <f>IF(E388="","",SUMIFS(tbl_Finance[Ex GST],tbl_Finance[Job Number],E388&amp;""))</f>
        <v/>
      </c>
      <c r="AA388" s="27">
        <f>IF(E388="","",SUMIFS(tbl_Finance[Ex GST],tbl_Finance[Job Number],E388&amp;"",tbl_Finance[Xero Invoice No],"&lt;&gt;"))</f>
        <v/>
      </c>
      <c r="AB388" s="27">
        <f>IF(E388="","",Z388-AA388)</f>
        <v/>
      </c>
      <c r="AC388" s="25">
        <f>IF(E388="","",IFERROR(IF(INDEX(tbl_Onsite[Qwilr Quote],IFERROR(MATCH(E388&amp;"",tbl_Onsite[Job Number],0),MATCH(IFERROR(E388+0,E388),tbl_Onsite[Job Number],0)))="","",INDEX(tbl_Onsite[Qwilr Quote],IFERROR(MATCH(E388&amp;"",tbl_Onsite[Job Number],0),MATCH(IFERROR(E388+0,E388),tbl_Onsite[Job Number],0)))),IFERROR(IF(IF(INDEX(tbl_Production[Current RMS No],IFERROR(MATCH(E388&amp;"",tbl_Production[Job Number],0),MATCH(IFERROR(E388+0,E388),tbl_Production[Job Number],0)))="",INDEX(tbl_Production[Qwilr Quote],IFERROR(MATCH(E388&amp;"",tbl_Production[Job Number],0),MATCH(IFERROR(E388+0,E388),tbl_Production[Job Number],0))),INDEX(tbl_Production[Current RMS No],IFERROR(MATCH(E388&amp;"",tbl_Production[Job Number],0),MATCH(IFERROR(E388+0,E388),tbl_Production[Job Number],0))))="","",IF(INDEX(tbl_Production[Current RMS No],IFERROR(MATCH(E388&amp;"",tbl_Production[Job Number],0),MATCH(IFERROR(E388+0,E388),tbl_Production[Job Number],0)))="",INDEX(tbl_Production[Qwilr Quote],IFERROR(MATCH(E388&amp;"",tbl_Production[Job Number],0),MATCH(IFERROR(E388+0,E388),tbl_Production[Job Number],0))),INDEX(tbl_Production[Current RMS No],IFERROR(MATCH(E388&amp;"",tbl_Production[Job Number],0),MATCH(IFERROR(E388+0,E388),tbl_Production[Job Number],0))))),IFERROR(IF(INDEX(tbl_Consulting[Qwilr Quote],IFERROR(MATCH(E388&amp;"",tbl_Consulting[Job Number],0),MATCH(IFERROR(E388+0,E388),tbl_Consulting[Job Number],0)))="","",INDEX(tbl_Consulting[Qwilr Quote],IFERROR(MATCH(E388&amp;"",tbl_Consulting[Job Number],0),MATCH(IFERROR(E388+0,E388),tbl_Consulting[Job Number],0)))),""))))</f>
        <v/>
      </c>
      <c r="AD388" s="25">
        <f>IF(AC388="","",IF(AND(LEFT(AC388,4)&lt;&gt;"http",IF(H388="Production",set_RMSBase,set_QwilrBase)=""),"",HYPERLINK(IF(LEFT(AC388,4)="http",AC388,IF(H388="Production",set_RMSBase,set_QwilrBase)&amp;AC388),"Open")))</f>
        <v/>
      </c>
      <c r="AE388" s="27">
        <f>IF(E388="","",IFERROR(INDEX(tbl_Production[Total Expense],IFERROR(MATCH(E388&amp;"",tbl_Production[Job Number],0),MATCH(IFERROR(E388+0,E388),tbl_Production[Job Number],0))),IFERROR(INDEX(tbl_Consulting[Total Expense],IFERROR(MATCH(E388&amp;"",tbl_Consulting[Job Number],0),MATCH(IFERROR(E388+0,E388),tbl_Consulting[Job Number],0))),0)))</f>
        <v/>
      </c>
      <c r="AF388" s="27">
        <f>IF(E388="","",Z388-N(AE388))</f>
        <v/>
      </c>
      <c r="AG388" s="29">
        <f>IFERROR(AF388/Z388,"")</f>
        <v/>
      </c>
      <c r="AH388" s="25">
        <f>IF(E388="","",IFERROR(IF(INDEX(tbl_Onsite[Notes],IFERROR(MATCH(E388&amp;"",tbl_Onsite[Job Number],0),MATCH(IFERROR(E388+0,E388),tbl_Onsite[Job Number],0)))="","",INDEX(tbl_Onsite[Notes],IFERROR(MATCH(E388&amp;"",tbl_Onsite[Job Number],0),MATCH(IFERROR(E388+0,E388),tbl_Onsite[Job Number],0)))),IFERROR(IF(INDEX(tbl_Production[Notes],IFERROR(MATCH(E388&amp;"",tbl_Production[Job Number],0),MATCH(IFERROR(E388+0,E388),tbl_Production[Job Number],0)))="","",INDEX(tbl_Production[Notes],IFERROR(MATCH(E388&amp;"",tbl_Production[Job Number],0),MATCH(IFERROR(E388+0,E388),tbl_Production[Job Number],0)))),IFERROR(IF(INDEX(tbl_Consulting[Notes],IFERROR(MATCH(E388&amp;"",tbl_Consulting[Job Number],0),MATCH(IFERROR(E388+0,E388),tbl_Consulting[Job Number],0)))="","",INDEX(tbl_Consulting[Notes],IFERROR(MATCH(E388&amp;"",tbl_Consulting[Job Number],0),MATCH(IFERROR(E388+0,E388),tbl_Consulting[Job Number],0)))),""))))</f>
        <v/>
      </c>
    </row>
    <row r="389" ht="15" customHeight="1">
      <c r="A389" s="22" t="n"/>
      <c r="B389" s="23">
        <f>IF(A389="","",EOMONTH(A389,0))</f>
        <v/>
      </c>
      <c r="C389" s="24" t="n"/>
      <c r="D389" s="24" t="n"/>
      <c r="E389" s="24" t="n"/>
      <c r="F389" s="25">
        <f>IF(E389="","",IF(COUNTIF(lst_Jobs,E389&amp;"")&gt;0,"OK","CHECK"))</f>
        <v/>
      </c>
      <c r="G389" s="24" t="n"/>
      <c r="H389" s="24" t="n"/>
      <c r="I389" s="24" t="n"/>
      <c r="J389" s="24" t="n"/>
      <c r="K389" s="24" t="n"/>
      <c r="L389" s="26" t="n"/>
      <c r="M389" s="27">
        <f>IF(L389="","",IF(K389="GST 10%",ROUND(L389*set_GSTRate,2),0))</f>
        <v/>
      </c>
      <c r="N389" s="27">
        <f>IF(L389="","",L389+M389)</f>
        <v/>
      </c>
      <c r="O389" s="24" t="n"/>
      <c r="P389" s="24" t="n"/>
      <c r="Q389" s="24" t="n"/>
      <c r="R389" s="22" t="n"/>
      <c r="S389" s="22" t="n"/>
      <c r="T389" s="24" t="n"/>
      <c r="U389" s="24" t="n"/>
      <c r="V389" s="2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25">
        <f>IF(E389="","",IF(COUNTIF(tbl_Onsite[Job Number],E389&amp;"")&gt;0,"Onsite",IF(COUNTIF(tbl_Production[Job Number],E389&amp;"")&gt;0,"Production",IF(COUNTIF(tbl_Consulting[Job Number],E389&amp;"")&gt;0,"Consulting","not set up yet"))))</f>
        <v/>
      </c>
      <c r="X389" s="25">
        <f>IF(E389="","",IFERROR(INDEX(lst_JobName,MATCH(E389&amp;"",lst_Jobs,0)),""))</f>
        <v/>
      </c>
      <c r="Y389" s="28">
        <f>IF(E389="","",COUNTIFS(tbl_Finance[Job Number],E389&amp;"",tbl_Finance[Ex GST],"&lt;&gt;"))</f>
        <v/>
      </c>
      <c r="Z389" s="27">
        <f>IF(E389="","",SUMIFS(tbl_Finance[Ex GST],tbl_Finance[Job Number],E389&amp;""))</f>
        <v/>
      </c>
      <c r="AA389" s="27">
        <f>IF(E389="","",SUMIFS(tbl_Finance[Ex GST],tbl_Finance[Job Number],E389&amp;"",tbl_Finance[Xero Invoice No],"&lt;&gt;"))</f>
        <v/>
      </c>
      <c r="AB389" s="27">
        <f>IF(E389="","",Z389-AA389)</f>
        <v/>
      </c>
      <c r="AC389" s="25">
        <f>IF(E389="","",IFERROR(IF(INDEX(tbl_Onsite[Qwilr Quote],IFERROR(MATCH(E389&amp;"",tbl_Onsite[Job Number],0),MATCH(IFERROR(E389+0,E389),tbl_Onsite[Job Number],0)))="","",INDEX(tbl_Onsite[Qwilr Quote],IFERROR(MATCH(E389&amp;"",tbl_Onsite[Job Number],0),MATCH(IFERROR(E389+0,E389),tbl_Onsite[Job Number],0)))),IFERROR(IF(IF(INDEX(tbl_Production[Current RMS No],IFERROR(MATCH(E389&amp;"",tbl_Production[Job Number],0),MATCH(IFERROR(E389+0,E389),tbl_Production[Job Number],0)))="",INDEX(tbl_Production[Qwilr Quote],IFERROR(MATCH(E389&amp;"",tbl_Production[Job Number],0),MATCH(IFERROR(E389+0,E389),tbl_Production[Job Number],0))),INDEX(tbl_Production[Current RMS No],IFERROR(MATCH(E389&amp;"",tbl_Production[Job Number],0),MATCH(IFERROR(E389+0,E389),tbl_Production[Job Number],0))))="","",IF(INDEX(tbl_Production[Current RMS No],IFERROR(MATCH(E389&amp;"",tbl_Production[Job Number],0),MATCH(IFERROR(E389+0,E389),tbl_Production[Job Number],0)))="",INDEX(tbl_Production[Qwilr Quote],IFERROR(MATCH(E389&amp;"",tbl_Production[Job Number],0),MATCH(IFERROR(E389+0,E389),tbl_Production[Job Number],0))),INDEX(tbl_Production[Current RMS No],IFERROR(MATCH(E389&amp;"",tbl_Production[Job Number],0),MATCH(IFERROR(E389+0,E389),tbl_Production[Job Number],0))))),IFERROR(IF(INDEX(tbl_Consulting[Qwilr Quote],IFERROR(MATCH(E389&amp;"",tbl_Consulting[Job Number],0),MATCH(IFERROR(E389+0,E389),tbl_Consulting[Job Number],0)))="","",INDEX(tbl_Consulting[Qwilr Quote],IFERROR(MATCH(E389&amp;"",tbl_Consulting[Job Number],0),MATCH(IFERROR(E389+0,E389),tbl_Consulting[Job Number],0)))),""))))</f>
        <v/>
      </c>
      <c r="AD389" s="25">
        <f>IF(AC389="","",IF(AND(LEFT(AC389,4)&lt;&gt;"http",IF(H389="Production",set_RMSBase,set_QwilrBase)=""),"",HYPERLINK(IF(LEFT(AC389,4)="http",AC389,IF(H389="Production",set_RMSBase,set_QwilrBase)&amp;AC389),"Open")))</f>
        <v/>
      </c>
      <c r="AE389" s="27">
        <f>IF(E389="","",IFERROR(INDEX(tbl_Production[Total Expense],IFERROR(MATCH(E389&amp;"",tbl_Production[Job Number],0),MATCH(IFERROR(E389+0,E389),tbl_Production[Job Number],0))),IFERROR(INDEX(tbl_Consulting[Total Expense],IFERROR(MATCH(E389&amp;"",tbl_Consulting[Job Number],0),MATCH(IFERROR(E389+0,E389),tbl_Consulting[Job Number],0))),0)))</f>
        <v/>
      </c>
      <c r="AF389" s="27">
        <f>IF(E389="","",Z389-N(AE389))</f>
        <v/>
      </c>
      <c r="AG389" s="29">
        <f>IFERROR(AF389/Z389,"")</f>
        <v/>
      </c>
      <c r="AH389" s="25">
        <f>IF(E389="","",IFERROR(IF(INDEX(tbl_Onsite[Notes],IFERROR(MATCH(E389&amp;"",tbl_Onsite[Job Number],0),MATCH(IFERROR(E389+0,E389),tbl_Onsite[Job Number],0)))="","",INDEX(tbl_Onsite[Notes],IFERROR(MATCH(E389&amp;"",tbl_Onsite[Job Number],0),MATCH(IFERROR(E389+0,E389),tbl_Onsite[Job Number],0)))),IFERROR(IF(INDEX(tbl_Production[Notes],IFERROR(MATCH(E389&amp;"",tbl_Production[Job Number],0),MATCH(IFERROR(E389+0,E389),tbl_Production[Job Number],0)))="","",INDEX(tbl_Production[Notes],IFERROR(MATCH(E389&amp;"",tbl_Production[Job Number],0),MATCH(IFERROR(E389+0,E389),tbl_Production[Job Number],0)))),IFERROR(IF(INDEX(tbl_Consulting[Notes],IFERROR(MATCH(E389&amp;"",tbl_Consulting[Job Number],0),MATCH(IFERROR(E389+0,E389),tbl_Consulting[Job Number],0)))="","",INDEX(tbl_Consulting[Notes],IFERROR(MATCH(E389&amp;"",tbl_Consulting[Job Number],0),MATCH(IFERROR(E389+0,E389),tbl_Consulting[Job Number],0)))),""))))</f>
        <v/>
      </c>
    </row>
    <row r="390" ht="15" customHeight="1">
      <c r="A390" s="22" t="n"/>
      <c r="B390" s="23">
        <f>IF(A390="","",EOMONTH(A390,0))</f>
        <v/>
      </c>
      <c r="C390" s="24" t="n"/>
      <c r="D390" s="24" t="n"/>
      <c r="E390" s="24" t="n"/>
      <c r="F390" s="25">
        <f>IF(E390="","",IF(COUNTIF(lst_Jobs,E390&amp;"")&gt;0,"OK","CHECK"))</f>
        <v/>
      </c>
      <c r="G390" s="24" t="n"/>
      <c r="H390" s="24" t="n"/>
      <c r="I390" s="24" t="n"/>
      <c r="J390" s="24" t="n"/>
      <c r="K390" s="24" t="n"/>
      <c r="L390" s="26" t="n"/>
      <c r="M390" s="27">
        <f>IF(L390="","",IF(K390="GST 10%",ROUND(L390*set_GSTRate,2),0))</f>
        <v/>
      </c>
      <c r="N390" s="27">
        <f>IF(L390="","",L390+M390)</f>
        <v/>
      </c>
      <c r="O390" s="24" t="n"/>
      <c r="P390" s="24" t="n"/>
      <c r="Q390" s="24" t="n"/>
      <c r="R390" s="22" t="n"/>
      <c r="S390" s="22" t="n"/>
      <c r="T390" s="24" t="n"/>
      <c r="U390" s="24" t="n"/>
      <c r="V390" s="2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25">
        <f>IF(E390="","",IF(COUNTIF(tbl_Onsite[Job Number],E390&amp;"")&gt;0,"Onsite",IF(COUNTIF(tbl_Production[Job Number],E390&amp;"")&gt;0,"Production",IF(COUNTIF(tbl_Consulting[Job Number],E390&amp;"")&gt;0,"Consulting","not set up yet"))))</f>
        <v/>
      </c>
      <c r="X390" s="25">
        <f>IF(E390="","",IFERROR(INDEX(lst_JobName,MATCH(E390&amp;"",lst_Jobs,0)),""))</f>
        <v/>
      </c>
      <c r="Y390" s="28">
        <f>IF(E390="","",COUNTIFS(tbl_Finance[Job Number],E390&amp;"",tbl_Finance[Ex GST],"&lt;&gt;"))</f>
        <v/>
      </c>
      <c r="Z390" s="27">
        <f>IF(E390="","",SUMIFS(tbl_Finance[Ex GST],tbl_Finance[Job Number],E390&amp;""))</f>
        <v/>
      </c>
      <c r="AA390" s="27">
        <f>IF(E390="","",SUMIFS(tbl_Finance[Ex GST],tbl_Finance[Job Number],E390&amp;"",tbl_Finance[Xero Invoice No],"&lt;&gt;"))</f>
        <v/>
      </c>
      <c r="AB390" s="27">
        <f>IF(E390="","",Z390-AA390)</f>
        <v/>
      </c>
      <c r="AC390" s="25">
        <f>IF(E390="","",IFERROR(IF(INDEX(tbl_Onsite[Qwilr Quote],IFERROR(MATCH(E390&amp;"",tbl_Onsite[Job Number],0),MATCH(IFERROR(E390+0,E390),tbl_Onsite[Job Number],0)))="","",INDEX(tbl_Onsite[Qwilr Quote],IFERROR(MATCH(E390&amp;"",tbl_Onsite[Job Number],0),MATCH(IFERROR(E390+0,E390),tbl_Onsite[Job Number],0)))),IFERROR(IF(IF(INDEX(tbl_Production[Current RMS No],IFERROR(MATCH(E390&amp;"",tbl_Production[Job Number],0),MATCH(IFERROR(E390+0,E390),tbl_Production[Job Number],0)))="",INDEX(tbl_Production[Qwilr Quote],IFERROR(MATCH(E390&amp;"",tbl_Production[Job Number],0),MATCH(IFERROR(E390+0,E390),tbl_Production[Job Number],0))),INDEX(tbl_Production[Current RMS No],IFERROR(MATCH(E390&amp;"",tbl_Production[Job Number],0),MATCH(IFERROR(E390+0,E390),tbl_Production[Job Number],0))))="","",IF(INDEX(tbl_Production[Current RMS No],IFERROR(MATCH(E390&amp;"",tbl_Production[Job Number],0),MATCH(IFERROR(E390+0,E390),tbl_Production[Job Number],0)))="",INDEX(tbl_Production[Qwilr Quote],IFERROR(MATCH(E390&amp;"",tbl_Production[Job Number],0),MATCH(IFERROR(E390+0,E390),tbl_Production[Job Number],0))),INDEX(tbl_Production[Current RMS No],IFERROR(MATCH(E390&amp;"",tbl_Production[Job Number],0),MATCH(IFERROR(E390+0,E390),tbl_Production[Job Number],0))))),IFERROR(IF(INDEX(tbl_Consulting[Qwilr Quote],IFERROR(MATCH(E390&amp;"",tbl_Consulting[Job Number],0),MATCH(IFERROR(E390+0,E390),tbl_Consulting[Job Number],0)))="","",INDEX(tbl_Consulting[Qwilr Quote],IFERROR(MATCH(E390&amp;"",tbl_Consulting[Job Number],0),MATCH(IFERROR(E390+0,E390),tbl_Consulting[Job Number],0)))),""))))</f>
        <v/>
      </c>
      <c r="AD390" s="25">
        <f>IF(AC390="","",IF(AND(LEFT(AC390,4)&lt;&gt;"http",IF(H390="Production",set_RMSBase,set_QwilrBase)=""),"",HYPERLINK(IF(LEFT(AC390,4)="http",AC390,IF(H390="Production",set_RMSBase,set_QwilrBase)&amp;AC390),"Open")))</f>
        <v/>
      </c>
      <c r="AE390" s="27">
        <f>IF(E390="","",IFERROR(INDEX(tbl_Production[Total Expense],IFERROR(MATCH(E390&amp;"",tbl_Production[Job Number],0),MATCH(IFERROR(E390+0,E390),tbl_Production[Job Number],0))),IFERROR(INDEX(tbl_Consulting[Total Expense],IFERROR(MATCH(E390&amp;"",tbl_Consulting[Job Number],0),MATCH(IFERROR(E390+0,E390),tbl_Consulting[Job Number],0))),0)))</f>
        <v/>
      </c>
      <c r="AF390" s="27">
        <f>IF(E390="","",Z390-N(AE390))</f>
        <v/>
      </c>
      <c r="AG390" s="29">
        <f>IFERROR(AF390/Z390,"")</f>
        <v/>
      </c>
      <c r="AH390" s="25">
        <f>IF(E390="","",IFERROR(IF(INDEX(tbl_Onsite[Notes],IFERROR(MATCH(E390&amp;"",tbl_Onsite[Job Number],0),MATCH(IFERROR(E390+0,E390),tbl_Onsite[Job Number],0)))="","",INDEX(tbl_Onsite[Notes],IFERROR(MATCH(E390&amp;"",tbl_Onsite[Job Number],0),MATCH(IFERROR(E390+0,E390),tbl_Onsite[Job Number],0)))),IFERROR(IF(INDEX(tbl_Production[Notes],IFERROR(MATCH(E390&amp;"",tbl_Production[Job Number],0),MATCH(IFERROR(E390+0,E390),tbl_Production[Job Number],0)))="","",INDEX(tbl_Production[Notes],IFERROR(MATCH(E390&amp;"",tbl_Production[Job Number],0),MATCH(IFERROR(E390+0,E390),tbl_Production[Job Number],0)))),IFERROR(IF(INDEX(tbl_Consulting[Notes],IFERROR(MATCH(E390&amp;"",tbl_Consulting[Job Number],0),MATCH(IFERROR(E390+0,E390),tbl_Consulting[Job Number],0)))="","",INDEX(tbl_Consulting[Notes],IFERROR(MATCH(E390&amp;"",tbl_Consulting[Job Number],0),MATCH(IFERROR(E390+0,E390),tbl_Consulting[Job Number],0)))),""))))</f>
        <v/>
      </c>
    </row>
    <row r="391" ht="15" customHeight="1">
      <c r="A391" s="22" t="n"/>
      <c r="B391" s="23">
        <f>IF(A391="","",EOMONTH(A391,0))</f>
        <v/>
      </c>
      <c r="C391" s="24" t="n"/>
      <c r="D391" s="24" t="n"/>
      <c r="E391" s="24" t="n"/>
      <c r="F391" s="25">
        <f>IF(E391="","",IF(COUNTIF(lst_Jobs,E391&amp;"")&gt;0,"OK","CHECK"))</f>
        <v/>
      </c>
      <c r="G391" s="24" t="n"/>
      <c r="H391" s="24" t="n"/>
      <c r="I391" s="24" t="n"/>
      <c r="J391" s="24" t="n"/>
      <c r="K391" s="24" t="n"/>
      <c r="L391" s="26" t="n"/>
      <c r="M391" s="27">
        <f>IF(L391="","",IF(K391="GST 10%",ROUND(L391*set_GSTRate,2),0))</f>
        <v/>
      </c>
      <c r="N391" s="27">
        <f>IF(L391="","",L391+M391)</f>
        <v/>
      </c>
      <c r="O391" s="24" t="n"/>
      <c r="P391" s="24" t="n"/>
      <c r="Q391" s="24" t="n"/>
      <c r="R391" s="22" t="n"/>
      <c r="S391" s="22" t="n"/>
      <c r="T391" s="24" t="n"/>
      <c r="U391" s="24" t="n"/>
      <c r="V391" s="2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25">
        <f>IF(E391="","",IF(COUNTIF(tbl_Onsite[Job Number],E391&amp;"")&gt;0,"Onsite",IF(COUNTIF(tbl_Production[Job Number],E391&amp;"")&gt;0,"Production",IF(COUNTIF(tbl_Consulting[Job Number],E391&amp;"")&gt;0,"Consulting","not set up yet"))))</f>
        <v/>
      </c>
      <c r="X391" s="25">
        <f>IF(E391="","",IFERROR(INDEX(lst_JobName,MATCH(E391&amp;"",lst_Jobs,0)),""))</f>
        <v/>
      </c>
      <c r="Y391" s="28">
        <f>IF(E391="","",COUNTIFS(tbl_Finance[Job Number],E391&amp;"",tbl_Finance[Ex GST],"&lt;&gt;"))</f>
        <v/>
      </c>
      <c r="Z391" s="27">
        <f>IF(E391="","",SUMIFS(tbl_Finance[Ex GST],tbl_Finance[Job Number],E391&amp;""))</f>
        <v/>
      </c>
      <c r="AA391" s="27">
        <f>IF(E391="","",SUMIFS(tbl_Finance[Ex GST],tbl_Finance[Job Number],E391&amp;"",tbl_Finance[Xero Invoice No],"&lt;&gt;"))</f>
        <v/>
      </c>
      <c r="AB391" s="27">
        <f>IF(E391="","",Z391-AA391)</f>
        <v/>
      </c>
      <c r="AC391" s="25">
        <f>IF(E391="","",IFERROR(IF(INDEX(tbl_Onsite[Qwilr Quote],IFERROR(MATCH(E391&amp;"",tbl_Onsite[Job Number],0),MATCH(IFERROR(E391+0,E391),tbl_Onsite[Job Number],0)))="","",INDEX(tbl_Onsite[Qwilr Quote],IFERROR(MATCH(E391&amp;"",tbl_Onsite[Job Number],0),MATCH(IFERROR(E391+0,E391),tbl_Onsite[Job Number],0)))),IFERROR(IF(IF(INDEX(tbl_Production[Current RMS No],IFERROR(MATCH(E391&amp;"",tbl_Production[Job Number],0),MATCH(IFERROR(E391+0,E391),tbl_Production[Job Number],0)))="",INDEX(tbl_Production[Qwilr Quote],IFERROR(MATCH(E391&amp;"",tbl_Production[Job Number],0),MATCH(IFERROR(E391+0,E391),tbl_Production[Job Number],0))),INDEX(tbl_Production[Current RMS No],IFERROR(MATCH(E391&amp;"",tbl_Production[Job Number],0),MATCH(IFERROR(E391+0,E391),tbl_Production[Job Number],0))))="","",IF(INDEX(tbl_Production[Current RMS No],IFERROR(MATCH(E391&amp;"",tbl_Production[Job Number],0),MATCH(IFERROR(E391+0,E391),tbl_Production[Job Number],0)))="",INDEX(tbl_Production[Qwilr Quote],IFERROR(MATCH(E391&amp;"",tbl_Production[Job Number],0),MATCH(IFERROR(E391+0,E391),tbl_Production[Job Number],0))),INDEX(tbl_Production[Current RMS No],IFERROR(MATCH(E391&amp;"",tbl_Production[Job Number],0),MATCH(IFERROR(E391+0,E391),tbl_Production[Job Number],0))))),IFERROR(IF(INDEX(tbl_Consulting[Qwilr Quote],IFERROR(MATCH(E391&amp;"",tbl_Consulting[Job Number],0),MATCH(IFERROR(E391+0,E391),tbl_Consulting[Job Number],0)))="","",INDEX(tbl_Consulting[Qwilr Quote],IFERROR(MATCH(E391&amp;"",tbl_Consulting[Job Number],0),MATCH(IFERROR(E391+0,E391),tbl_Consulting[Job Number],0)))),""))))</f>
        <v/>
      </c>
      <c r="AD391" s="25">
        <f>IF(AC391="","",IF(AND(LEFT(AC391,4)&lt;&gt;"http",IF(H391="Production",set_RMSBase,set_QwilrBase)=""),"",HYPERLINK(IF(LEFT(AC391,4)="http",AC391,IF(H391="Production",set_RMSBase,set_QwilrBase)&amp;AC391),"Open")))</f>
        <v/>
      </c>
      <c r="AE391" s="27">
        <f>IF(E391="","",IFERROR(INDEX(tbl_Production[Total Expense],IFERROR(MATCH(E391&amp;"",tbl_Production[Job Number],0),MATCH(IFERROR(E391+0,E391),tbl_Production[Job Number],0))),IFERROR(INDEX(tbl_Consulting[Total Expense],IFERROR(MATCH(E391&amp;"",tbl_Consulting[Job Number],0),MATCH(IFERROR(E391+0,E391),tbl_Consulting[Job Number],0))),0)))</f>
        <v/>
      </c>
      <c r="AF391" s="27">
        <f>IF(E391="","",Z391-N(AE391))</f>
        <v/>
      </c>
      <c r="AG391" s="29">
        <f>IFERROR(AF391/Z391,"")</f>
        <v/>
      </c>
      <c r="AH391" s="25">
        <f>IF(E391="","",IFERROR(IF(INDEX(tbl_Onsite[Notes],IFERROR(MATCH(E391&amp;"",tbl_Onsite[Job Number],0),MATCH(IFERROR(E391+0,E391),tbl_Onsite[Job Number],0)))="","",INDEX(tbl_Onsite[Notes],IFERROR(MATCH(E391&amp;"",tbl_Onsite[Job Number],0),MATCH(IFERROR(E391+0,E391),tbl_Onsite[Job Number],0)))),IFERROR(IF(INDEX(tbl_Production[Notes],IFERROR(MATCH(E391&amp;"",tbl_Production[Job Number],0),MATCH(IFERROR(E391+0,E391),tbl_Production[Job Number],0)))="","",INDEX(tbl_Production[Notes],IFERROR(MATCH(E391&amp;"",tbl_Production[Job Number],0),MATCH(IFERROR(E391+0,E391),tbl_Production[Job Number],0)))),IFERROR(IF(INDEX(tbl_Consulting[Notes],IFERROR(MATCH(E391&amp;"",tbl_Consulting[Job Number],0),MATCH(IFERROR(E391+0,E391),tbl_Consulting[Job Number],0)))="","",INDEX(tbl_Consulting[Notes],IFERROR(MATCH(E391&amp;"",tbl_Consulting[Job Number],0),MATCH(IFERROR(E391+0,E391),tbl_Consulting[Job Number],0)))),""))))</f>
        <v/>
      </c>
    </row>
    <row r="392" ht="15" customHeight="1">
      <c r="A392" s="22" t="n"/>
      <c r="B392" s="23">
        <f>IF(A392="","",EOMONTH(A392,0))</f>
        <v/>
      </c>
      <c r="C392" s="24" t="n"/>
      <c r="D392" s="24" t="n"/>
      <c r="E392" s="24" t="n"/>
      <c r="F392" s="25">
        <f>IF(E392="","",IF(COUNTIF(lst_Jobs,E392&amp;"")&gt;0,"OK","CHECK"))</f>
        <v/>
      </c>
      <c r="G392" s="24" t="n"/>
      <c r="H392" s="24" t="n"/>
      <c r="I392" s="24" t="n"/>
      <c r="J392" s="24" t="n"/>
      <c r="K392" s="24" t="n"/>
      <c r="L392" s="26" t="n"/>
      <c r="M392" s="27">
        <f>IF(L392="","",IF(K392="GST 10%",ROUND(L392*set_GSTRate,2),0))</f>
        <v/>
      </c>
      <c r="N392" s="27">
        <f>IF(L392="","",L392+M392)</f>
        <v/>
      </c>
      <c r="O392" s="24" t="n"/>
      <c r="P392" s="24" t="n"/>
      <c r="Q392" s="24" t="n"/>
      <c r="R392" s="22" t="n"/>
      <c r="S392" s="22" t="n"/>
      <c r="T392" s="24" t="n"/>
      <c r="U392" s="24" t="n"/>
      <c r="V392" s="2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25">
        <f>IF(E392="","",IF(COUNTIF(tbl_Onsite[Job Number],E392&amp;"")&gt;0,"Onsite",IF(COUNTIF(tbl_Production[Job Number],E392&amp;"")&gt;0,"Production",IF(COUNTIF(tbl_Consulting[Job Number],E392&amp;"")&gt;0,"Consulting","not set up yet"))))</f>
        <v/>
      </c>
      <c r="X392" s="25">
        <f>IF(E392="","",IFERROR(INDEX(lst_JobName,MATCH(E392&amp;"",lst_Jobs,0)),""))</f>
        <v/>
      </c>
      <c r="Y392" s="28">
        <f>IF(E392="","",COUNTIFS(tbl_Finance[Job Number],E392&amp;"",tbl_Finance[Ex GST],"&lt;&gt;"))</f>
        <v/>
      </c>
      <c r="Z392" s="27">
        <f>IF(E392="","",SUMIFS(tbl_Finance[Ex GST],tbl_Finance[Job Number],E392&amp;""))</f>
        <v/>
      </c>
      <c r="AA392" s="27">
        <f>IF(E392="","",SUMIFS(tbl_Finance[Ex GST],tbl_Finance[Job Number],E392&amp;"",tbl_Finance[Xero Invoice No],"&lt;&gt;"))</f>
        <v/>
      </c>
      <c r="AB392" s="27">
        <f>IF(E392="","",Z392-AA392)</f>
        <v/>
      </c>
      <c r="AC392" s="25">
        <f>IF(E392="","",IFERROR(IF(INDEX(tbl_Onsite[Qwilr Quote],IFERROR(MATCH(E392&amp;"",tbl_Onsite[Job Number],0),MATCH(IFERROR(E392+0,E392),tbl_Onsite[Job Number],0)))="","",INDEX(tbl_Onsite[Qwilr Quote],IFERROR(MATCH(E392&amp;"",tbl_Onsite[Job Number],0),MATCH(IFERROR(E392+0,E392),tbl_Onsite[Job Number],0)))),IFERROR(IF(IF(INDEX(tbl_Production[Current RMS No],IFERROR(MATCH(E392&amp;"",tbl_Production[Job Number],0),MATCH(IFERROR(E392+0,E392),tbl_Production[Job Number],0)))="",INDEX(tbl_Production[Qwilr Quote],IFERROR(MATCH(E392&amp;"",tbl_Production[Job Number],0),MATCH(IFERROR(E392+0,E392),tbl_Production[Job Number],0))),INDEX(tbl_Production[Current RMS No],IFERROR(MATCH(E392&amp;"",tbl_Production[Job Number],0),MATCH(IFERROR(E392+0,E392),tbl_Production[Job Number],0))))="","",IF(INDEX(tbl_Production[Current RMS No],IFERROR(MATCH(E392&amp;"",tbl_Production[Job Number],0),MATCH(IFERROR(E392+0,E392),tbl_Production[Job Number],0)))="",INDEX(tbl_Production[Qwilr Quote],IFERROR(MATCH(E392&amp;"",tbl_Production[Job Number],0),MATCH(IFERROR(E392+0,E392),tbl_Production[Job Number],0))),INDEX(tbl_Production[Current RMS No],IFERROR(MATCH(E392&amp;"",tbl_Production[Job Number],0),MATCH(IFERROR(E392+0,E392),tbl_Production[Job Number],0))))),IFERROR(IF(INDEX(tbl_Consulting[Qwilr Quote],IFERROR(MATCH(E392&amp;"",tbl_Consulting[Job Number],0),MATCH(IFERROR(E392+0,E392),tbl_Consulting[Job Number],0)))="","",INDEX(tbl_Consulting[Qwilr Quote],IFERROR(MATCH(E392&amp;"",tbl_Consulting[Job Number],0),MATCH(IFERROR(E392+0,E392),tbl_Consulting[Job Number],0)))),""))))</f>
        <v/>
      </c>
      <c r="AD392" s="25">
        <f>IF(AC392="","",IF(AND(LEFT(AC392,4)&lt;&gt;"http",IF(H392="Production",set_RMSBase,set_QwilrBase)=""),"",HYPERLINK(IF(LEFT(AC392,4)="http",AC392,IF(H392="Production",set_RMSBase,set_QwilrBase)&amp;AC392),"Open")))</f>
        <v/>
      </c>
      <c r="AE392" s="27">
        <f>IF(E392="","",IFERROR(INDEX(tbl_Production[Total Expense],IFERROR(MATCH(E392&amp;"",tbl_Production[Job Number],0),MATCH(IFERROR(E392+0,E392),tbl_Production[Job Number],0))),IFERROR(INDEX(tbl_Consulting[Total Expense],IFERROR(MATCH(E392&amp;"",tbl_Consulting[Job Number],0),MATCH(IFERROR(E392+0,E392),tbl_Consulting[Job Number],0))),0)))</f>
        <v/>
      </c>
      <c r="AF392" s="27">
        <f>IF(E392="","",Z392-N(AE392))</f>
        <v/>
      </c>
      <c r="AG392" s="29">
        <f>IFERROR(AF392/Z392,"")</f>
        <v/>
      </c>
      <c r="AH392" s="25">
        <f>IF(E392="","",IFERROR(IF(INDEX(tbl_Onsite[Notes],IFERROR(MATCH(E392&amp;"",tbl_Onsite[Job Number],0),MATCH(IFERROR(E392+0,E392),tbl_Onsite[Job Number],0)))="","",INDEX(tbl_Onsite[Notes],IFERROR(MATCH(E392&amp;"",tbl_Onsite[Job Number],0),MATCH(IFERROR(E392+0,E392),tbl_Onsite[Job Number],0)))),IFERROR(IF(INDEX(tbl_Production[Notes],IFERROR(MATCH(E392&amp;"",tbl_Production[Job Number],0),MATCH(IFERROR(E392+0,E392),tbl_Production[Job Number],0)))="","",INDEX(tbl_Production[Notes],IFERROR(MATCH(E392&amp;"",tbl_Production[Job Number],0),MATCH(IFERROR(E392+0,E392),tbl_Production[Job Number],0)))),IFERROR(IF(INDEX(tbl_Consulting[Notes],IFERROR(MATCH(E392&amp;"",tbl_Consulting[Job Number],0),MATCH(IFERROR(E392+0,E392),tbl_Consulting[Job Number],0)))="","",INDEX(tbl_Consulting[Notes],IFERROR(MATCH(E392&amp;"",tbl_Consulting[Job Number],0),MATCH(IFERROR(E392+0,E392),tbl_Consulting[Job Number],0)))),""))))</f>
        <v/>
      </c>
    </row>
    <row r="393" ht="15" customHeight="1">
      <c r="A393" s="22" t="n"/>
      <c r="B393" s="23">
        <f>IF(A393="","",EOMONTH(A393,0))</f>
        <v/>
      </c>
      <c r="C393" s="24" t="n"/>
      <c r="D393" s="24" t="n"/>
      <c r="E393" s="24" t="n"/>
      <c r="F393" s="25">
        <f>IF(E393="","",IF(COUNTIF(lst_Jobs,E393&amp;"")&gt;0,"OK","CHECK"))</f>
        <v/>
      </c>
      <c r="G393" s="24" t="n"/>
      <c r="H393" s="24" t="n"/>
      <c r="I393" s="24" t="n"/>
      <c r="J393" s="24" t="n"/>
      <c r="K393" s="24" t="n"/>
      <c r="L393" s="26" t="n"/>
      <c r="M393" s="27">
        <f>IF(L393="","",IF(K393="GST 10%",ROUND(L393*set_GSTRate,2),0))</f>
        <v/>
      </c>
      <c r="N393" s="27">
        <f>IF(L393="","",L393+M393)</f>
        <v/>
      </c>
      <c r="O393" s="24" t="n"/>
      <c r="P393" s="24" t="n"/>
      <c r="Q393" s="24" t="n"/>
      <c r="R393" s="22" t="n"/>
      <c r="S393" s="22" t="n"/>
      <c r="T393" s="24" t="n"/>
      <c r="U393" s="24" t="n"/>
      <c r="V393" s="2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25">
        <f>IF(E393="","",IF(COUNTIF(tbl_Onsite[Job Number],E393&amp;"")&gt;0,"Onsite",IF(COUNTIF(tbl_Production[Job Number],E393&amp;"")&gt;0,"Production",IF(COUNTIF(tbl_Consulting[Job Number],E393&amp;"")&gt;0,"Consulting","not set up yet"))))</f>
        <v/>
      </c>
      <c r="X393" s="25">
        <f>IF(E393="","",IFERROR(INDEX(lst_JobName,MATCH(E393&amp;"",lst_Jobs,0)),""))</f>
        <v/>
      </c>
      <c r="Y393" s="28">
        <f>IF(E393="","",COUNTIFS(tbl_Finance[Job Number],E393&amp;"",tbl_Finance[Ex GST],"&lt;&gt;"))</f>
        <v/>
      </c>
      <c r="Z393" s="27">
        <f>IF(E393="","",SUMIFS(tbl_Finance[Ex GST],tbl_Finance[Job Number],E393&amp;""))</f>
        <v/>
      </c>
      <c r="AA393" s="27">
        <f>IF(E393="","",SUMIFS(tbl_Finance[Ex GST],tbl_Finance[Job Number],E393&amp;"",tbl_Finance[Xero Invoice No],"&lt;&gt;"))</f>
        <v/>
      </c>
      <c r="AB393" s="27">
        <f>IF(E393="","",Z393-AA393)</f>
        <v/>
      </c>
      <c r="AC393" s="25">
        <f>IF(E393="","",IFERROR(IF(INDEX(tbl_Onsite[Qwilr Quote],IFERROR(MATCH(E393&amp;"",tbl_Onsite[Job Number],0),MATCH(IFERROR(E393+0,E393),tbl_Onsite[Job Number],0)))="","",INDEX(tbl_Onsite[Qwilr Quote],IFERROR(MATCH(E393&amp;"",tbl_Onsite[Job Number],0),MATCH(IFERROR(E393+0,E393),tbl_Onsite[Job Number],0)))),IFERROR(IF(IF(INDEX(tbl_Production[Current RMS No],IFERROR(MATCH(E393&amp;"",tbl_Production[Job Number],0),MATCH(IFERROR(E393+0,E393),tbl_Production[Job Number],0)))="",INDEX(tbl_Production[Qwilr Quote],IFERROR(MATCH(E393&amp;"",tbl_Production[Job Number],0),MATCH(IFERROR(E393+0,E393),tbl_Production[Job Number],0))),INDEX(tbl_Production[Current RMS No],IFERROR(MATCH(E393&amp;"",tbl_Production[Job Number],0),MATCH(IFERROR(E393+0,E393),tbl_Production[Job Number],0))))="","",IF(INDEX(tbl_Production[Current RMS No],IFERROR(MATCH(E393&amp;"",tbl_Production[Job Number],0),MATCH(IFERROR(E393+0,E393),tbl_Production[Job Number],0)))="",INDEX(tbl_Production[Qwilr Quote],IFERROR(MATCH(E393&amp;"",tbl_Production[Job Number],0),MATCH(IFERROR(E393+0,E393),tbl_Production[Job Number],0))),INDEX(tbl_Production[Current RMS No],IFERROR(MATCH(E393&amp;"",tbl_Production[Job Number],0),MATCH(IFERROR(E393+0,E393),tbl_Production[Job Number],0))))),IFERROR(IF(INDEX(tbl_Consulting[Qwilr Quote],IFERROR(MATCH(E393&amp;"",tbl_Consulting[Job Number],0),MATCH(IFERROR(E393+0,E393),tbl_Consulting[Job Number],0)))="","",INDEX(tbl_Consulting[Qwilr Quote],IFERROR(MATCH(E393&amp;"",tbl_Consulting[Job Number],0),MATCH(IFERROR(E393+0,E393),tbl_Consulting[Job Number],0)))),""))))</f>
        <v/>
      </c>
      <c r="AD393" s="25">
        <f>IF(AC393="","",IF(AND(LEFT(AC393,4)&lt;&gt;"http",IF(H393="Production",set_RMSBase,set_QwilrBase)=""),"",HYPERLINK(IF(LEFT(AC393,4)="http",AC393,IF(H393="Production",set_RMSBase,set_QwilrBase)&amp;AC393),"Open")))</f>
        <v/>
      </c>
      <c r="AE393" s="27">
        <f>IF(E393="","",IFERROR(INDEX(tbl_Production[Total Expense],IFERROR(MATCH(E393&amp;"",tbl_Production[Job Number],0),MATCH(IFERROR(E393+0,E393),tbl_Production[Job Number],0))),IFERROR(INDEX(tbl_Consulting[Total Expense],IFERROR(MATCH(E393&amp;"",tbl_Consulting[Job Number],0),MATCH(IFERROR(E393+0,E393),tbl_Consulting[Job Number],0))),0)))</f>
        <v/>
      </c>
      <c r="AF393" s="27">
        <f>IF(E393="","",Z393-N(AE393))</f>
        <v/>
      </c>
      <c r="AG393" s="29">
        <f>IFERROR(AF393/Z393,"")</f>
        <v/>
      </c>
      <c r="AH393" s="25">
        <f>IF(E393="","",IFERROR(IF(INDEX(tbl_Onsite[Notes],IFERROR(MATCH(E393&amp;"",tbl_Onsite[Job Number],0),MATCH(IFERROR(E393+0,E393),tbl_Onsite[Job Number],0)))="","",INDEX(tbl_Onsite[Notes],IFERROR(MATCH(E393&amp;"",tbl_Onsite[Job Number],0),MATCH(IFERROR(E393+0,E393),tbl_Onsite[Job Number],0)))),IFERROR(IF(INDEX(tbl_Production[Notes],IFERROR(MATCH(E393&amp;"",tbl_Production[Job Number],0),MATCH(IFERROR(E393+0,E393),tbl_Production[Job Number],0)))="","",INDEX(tbl_Production[Notes],IFERROR(MATCH(E393&amp;"",tbl_Production[Job Number],0),MATCH(IFERROR(E393+0,E393),tbl_Production[Job Number],0)))),IFERROR(IF(INDEX(tbl_Consulting[Notes],IFERROR(MATCH(E393&amp;"",tbl_Consulting[Job Number],0),MATCH(IFERROR(E393+0,E393),tbl_Consulting[Job Number],0)))="","",INDEX(tbl_Consulting[Notes],IFERROR(MATCH(E393&amp;"",tbl_Consulting[Job Number],0),MATCH(IFERROR(E393+0,E393),tbl_Consulting[Job Number],0)))),""))))</f>
        <v/>
      </c>
    </row>
    <row r="394" ht="15" customHeight="1">
      <c r="A394" s="22" t="n"/>
      <c r="B394" s="23">
        <f>IF(A394="","",EOMONTH(A394,0))</f>
        <v/>
      </c>
      <c r="C394" s="24" t="n"/>
      <c r="D394" s="24" t="n"/>
      <c r="E394" s="24" t="n"/>
      <c r="F394" s="25">
        <f>IF(E394="","",IF(COUNTIF(lst_Jobs,E394&amp;"")&gt;0,"OK","CHECK"))</f>
        <v/>
      </c>
      <c r="G394" s="24" t="n"/>
      <c r="H394" s="24" t="n"/>
      <c r="I394" s="24" t="n"/>
      <c r="J394" s="24" t="n"/>
      <c r="K394" s="24" t="n"/>
      <c r="L394" s="26" t="n"/>
      <c r="M394" s="27">
        <f>IF(L394="","",IF(K394="GST 10%",ROUND(L394*set_GSTRate,2),0))</f>
        <v/>
      </c>
      <c r="N394" s="27">
        <f>IF(L394="","",L394+M394)</f>
        <v/>
      </c>
      <c r="O394" s="24" t="n"/>
      <c r="P394" s="24" t="n"/>
      <c r="Q394" s="24" t="n"/>
      <c r="R394" s="22" t="n"/>
      <c r="S394" s="22" t="n"/>
      <c r="T394" s="24" t="n"/>
      <c r="U394" s="24" t="n"/>
      <c r="V394" s="2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25">
        <f>IF(E394="","",IF(COUNTIF(tbl_Onsite[Job Number],E394&amp;"")&gt;0,"Onsite",IF(COUNTIF(tbl_Production[Job Number],E394&amp;"")&gt;0,"Production",IF(COUNTIF(tbl_Consulting[Job Number],E394&amp;"")&gt;0,"Consulting","not set up yet"))))</f>
        <v/>
      </c>
      <c r="X394" s="25">
        <f>IF(E394="","",IFERROR(INDEX(lst_JobName,MATCH(E394&amp;"",lst_Jobs,0)),""))</f>
        <v/>
      </c>
      <c r="Y394" s="28">
        <f>IF(E394="","",COUNTIFS(tbl_Finance[Job Number],E394&amp;"",tbl_Finance[Ex GST],"&lt;&gt;"))</f>
        <v/>
      </c>
      <c r="Z394" s="27">
        <f>IF(E394="","",SUMIFS(tbl_Finance[Ex GST],tbl_Finance[Job Number],E394&amp;""))</f>
        <v/>
      </c>
      <c r="AA394" s="27">
        <f>IF(E394="","",SUMIFS(tbl_Finance[Ex GST],tbl_Finance[Job Number],E394&amp;"",tbl_Finance[Xero Invoice No],"&lt;&gt;"))</f>
        <v/>
      </c>
      <c r="AB394" s="27">
        <f>IF(E394="","",Z394-AA394)</f>
        <v/>
      </c>
      <c r="AC394" s="25">
        <f>IF(E394="","",IFERROR(IF(INDEX(tbl_Onsite[Qwilr Quote],IFERROR(MATCH(E394&amp;"",tbl_Onsite[Job Number],0),MATCH(IFERROR(E394+0,E394),tbl_Onsite[Job Number],0)))="","",INDEX(tbl_Onsite[Qwilr Quote],IFERROR(MATCH(E394&amp;"",tbl_Onsite[Job Number],0),MATCH(IFERROR(E394+0,E394),tbl_Onsite[Job Number],0)))),IFERROR(IF(IF(INDEX(tbl_Production[Current RMS No],IFERROR(MATCH(E394&amp;"",tbl_Production[Job Number],0),MATCH(IFERROR(E394+0,E394),tbl_Production[Job Number],0)))="",INDEX(tbl_Production[Qwilr Quote],IFERROR(MATCH(E394&amp;"",tbl_Production[Job Number],0),MATCH(IFERROR(E394+0,E394),tbl_Production[Job Number],0))),INDEX(tbl_Production[Current RMS No],IFERROR(MATCH(E394&amp;"",tbl_Production[Job Number],0),MATCH(IFERROR(E394+0,E394),tbl_Production[Job Number],0))))="","",IF(INDEX(tbl_Production[Current RMS No],IFERROR(MATCH(E394&amp;"",tbl_Production[Job Number],0),MATCH(IFERROR(E394+0,E394),tbl_Production[Job Number],0)))="",INDEX(tbl_Production[Qwilr Quote],IFERROR(MATCH(E394&amp;"",tbl_Production[Job Number],0),MATCH(IFERROR(E394+0,E394),tbl_Production[Job Number],0))),INDEX(tbl_Production[Current RMS No],IFERROR(MATCH(E394&amp;"",tbl_Production[Job Number],0),MATCH(IFERROR(E394+0,E394),tbl_Production[Job Number],0))))),IFERROR(IF(INDEX(tbl_Consulting[Qwilr Quote],IFERROR(MATCH(E394&amp;"",tbl_Consulting[Job Number],0),MATCH(IFERROR(E394+0,E394),tbl_Consulting[Job Number],0)))="","",INDEX(tbl_Consulting[Qwilr Quote],IFERROR(MATCH(E394&amp;"",tbl_Consulting[Job Number],0),MATCH(IFERROR(E394+0,E394),tbl_Consulting[Job Number],0)))),""))))</f>
        <v/>
      </c>
      <c r="AD394" s="25">
        <f>IF(AC394="","",IF(AND(LEFT(AC394,4)&lt;&gt;"http",IF(H394="Production",set_RMSBase,set_QwilrBase)=""),"",HYPERLINK(IF(LEFT(AC394,4)="http",AC394,IF(H394="Production",set_RMSBase,set_QwilrBase)&amp;AC394),"Open")))</f>
        <v/>
      </c>
      <c r="AE394" s="27">
        <f>IF(E394="","",IFERROR(INDEX(tbl_Production[Total Expense],IFERROR(MATCH(E394&amp;"",tbl_Production[Job Number],0),MATCH(IFERROR(E394+0,E394),tbl_Production[Job Number],0))),IFERROR(INDEX(tbl_Consulting[Total Expense],IFERROR(MATCH(E394&amp;"",tbl_Consulting[Job Number],0),MATCH(IFERROR(E394+0,E394),tbl_Consulting[Job Number],0))),0)))</f>
        <v/>
      </c>
      <c r="AF394" s="27">
        <f>IF(E394="","",Z394-N(AE394))</f>
        <v/>
      </c>
      <c r="AG394" s="29">
        <f>IFERROR(AF394/Z394,"")</f>
        <v/>
      </c>
      <c r="AH394" s="25">
        <f>IF(E394="","",IFERROR(IF(INDEX(tbl_Onsite[Notes],IFERROR(MATCH(E394&amp;"",tbl_Onsite[Job Number],0),MATCH(IFERROR(E394+0,E394),tbl_Onsite[Job Number],0)))="","",INDEX(tbl_Onsite[Notes],IFERROR(MATCH(E394&amp;"",tbl_Onsite[Job Number],0),MATCH(IFERROR(E394+0,E394),tbl_Onsite[Job Number],0)))),IFERROR(IF(INDEX(tbl_Production[Notes],IFERROR(MATCH(E394&amp;"",tbl_Production[Job Number],0),MATCH(IFERROR(E394+0,E394),tbl_Production[Job Number],0)))="","",INDEX(tbl_Production[Notes],IFERROR(MATCH(E394&amp;"",tbl_Production[Job Number],0),MATCH(IFERROR(E394+0,E394),tbl_Production[Job Number],0)))),IFERROR(IF(INDEX(tbl_Consulting[Notes],IFERROR(MATCH(E394&amp;"",tbl_Consulting[Job Number],0),MATCH(IFERROR(E394+0,E394),tbl_Consulting[Job Number],0)))="","",INDEX(tbl_Consulting[Notes],IFERROR(MATCH(E394&amp;"",tbl_Consulting[Job Number],0),MATCH(IFERROR(E394+0,E394),tbl_Consulting[Job Number],0)))),""))))</f>
        <v/>
      </c>
    </row>
    <row r="395" ht="15" customHeight="1">
      <c r="A395" s="22" t="n"/>
      <c r="B395" s="23">
        <f>IF(A395="","",EOMONTH(A395,0))</f>
        <v/>
      </c>
      <c r="C395" s="24" t="n"/>
      <c r="D395" s="24" t="n"/>
      <c r="E395" s="24" t="n"/>
      <c r="F395" s="25">
        <f>IF(E395="","",IF(COUNTIF(lst_Jobs,E395&amp;"")&gt;0,"OK","CHECK"))</f>
        <v/>
      </c>
      <c r="G395" s="24" t="n"/>
      <c r="H395" s="24" t="n"/>
      <c r="I395" s="24" t="n"/>
      <c r="J395" s="24" t="n"/>
      <c r="K395" s="24" t="n"/>
      <c r="L395" s="26" t="n"/>
      <c r="M395" s="27">
        <f>IF(L395="","",IF(K395="GST 10%",ROUND(L395*set_GSTRate,2),0))</f>
        <v/>
      </c>
      <c r="N395" s="27">
        <f>IF(L395="","",L395+M395)</f>
        <v/>
      </c>
      <c r="O395" s="24" t="n"/>
      <c r="P395" s="24" t="n"/>
      <c r="Q395" s="24" t="n"/>
      <c r="R395" s="22" t="n"/>
      <c r="S395" s="22" t="n"/>
      <c r="T395" s="24" t="n"/>
      <c r="U395" s="24" t="n"/>
      <c r="V395" s="2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25">
        <f>IF(E395="","",IF(COUNTIF(tbl_Onsite[Job Number],E395&amp;"")&gt;0,"Onsite",IF(COUNTIF(tbl_Production[Job Number],E395&amp;"")&gt;0,"Production",IF(COUNTIF(tbl_Consulting[Job Number],E395&amp;"")&gt;0,"Consulting","not set up yet"))))</f>
        <v/>
      </c>
      <c r="X395" s="25">
        <f>IF(E395="","",IFERROR(INDEX(lst_JobName,MATCH(E395&amp;"",lst_Jobs,0)),""))</f>
        <v/>
      </c>
      <c r="Y395" s="28">
        <f>IF(E395="","",COUNTIFS(tbl_Finance[Job Number],E395&amp;"",tbl_Finance[Ex GST],"&lt;&gt;"))</f>
        <v/>
      </c>
      <c r="Z395" s="27">
        <f>IF(E395="","",SUMIFS(tbl_Finance[Ex GST],tbl_Finance[Job Number],E395&amp;""))</f>
        <v/>
      </c>
      <c r="AA395" s="27">
        <f>IF(E395="","",SUMIFS(tbl_Finance[Ex GST],tbl_Finance[Job Number],E395&amp;"",tbl_Finance[Xero Invoice No],"&lt;&gt;"))</f>
        <v/>
      </c>
      <c r="AB395" s="27">
        <f>IF(E395="","",Z395-AA395)</f>
        <v/>
      </c>
      <c r="AC395" s="25">
        <f>IF(E395="","",IFERROR(IF(INDEX(tbl_Onsite[Qwilr Quote],IFERROR(MATCH(E395&amp;"",tbl_Onsite[Job Number],0),MATCH(IFERROR(E395+0,E395),tbl_Onsite[Job Number],0)))="","",INDEX(tbl_Onsite[Qwilr Quote],IFERROR(MATCH(E395&amp;"",tbl_Onsite[Job Number],0),MATCH(IFERROR(E395+0,E395),tbl_Onsite[Job Number],0)))),IFERROR(IF(IF(INDEX(tbl_Production[Current RMS No],IFERROR(MATCH(E395&amp;"",tbl_Production[Job Number],0),MATCH(IFERROR(E395+0,E395),tbl_Production[Job Number],0)))="",INDEX(tbl_Production[Qwilr Quote],IFERROR(MATCH(E395&amp;"",tbl_Production[Job Number],0),MATCH(IFERROR(E395+0,E395),tbl_Production[Job Number],0))),INDEX(tbl_Production[Current RMS No],IFERROR(MATCH(E395&amp;"",tbl_Production[Job Number],0),MATCH(IFERROR(E395+0,E395),tbl_Production[Job Number],0))))="","",IF(INDEX(tbl_Production[Current RMS No],IFERROR(MATCH(E395&amp;"",tbl_Production[Job Number],0),MATCH(IFERROR(E395+0,E395),tbl_Production[Job Number],0)))="",INDEX(tbl_Production[Qwilr Quote],IFERROR(MATCH(E395&amp;"",tbl_Production[Job Number],0),MATCH(IFERROR(E395+0,E395),tbl_Production[Job Number],0))),INDEX(tbl_Production[Current RMS No],IFERROR(MATCH(E395&amp;"",tbl_Production[Job Number],0),MATCH(IFERROR(E395+0,E395),tbl_Production[Job Number],0))))),IFERROR(IF(INDEX(tbl_Consulting[Qwilr Quote],IFERROR(MATCH(E395&amp;"",tbl_Consulting[Job Number],0),MATCH(IFERROR(E395+0,E395),tbl_Consulting[Job Number],0)))="","",INDEX(tbl_Consulting[Qwilr Quote],IFERROR(MATCH(E395&amp;"",tbl_Consulting[Job Number],0),MATCH(IFERROR(E395+0,E395),tbl_Consulting[Job Number],0)))),""))))</f>
        <v/>
      </c>
      <c r="AD395" s="25">
        <f>IF(AC395="","",IF(AND(LEFT(AC395,4)&lt;&gt;"http",IF(H395="Production",set_RMSBase,set_QwilrBase)=""),"",HYPERLINK(IF(LEFT(AC395,4)="http",AC395,IF(H395="Production",set_RMSBase,set_QwilrBase)&amp;AC395),"Open")))</f>
        <v/>
      </c>
      <c r="AE395" s="27">
        <f>IF(E395="","",IFERROR(INDEX(tbl_Production[Total Expense],IFERROR(MATCH(E395&amp;"",tbl_Production[Job Number],0),MATCH(IFERROR(E395+0,E395),tbl_Production[Job Number],0))),IFERROR(INDEX(tbl_Consulting[Total Expense],IFERROR(MATCH(E395&amp;"",tbl_Consulting[Job Number],0),MATCH(IFERROR(E395+0,E395),tbl_Consulting[Job Number],0))),0)))</f>
        <v/>
      </c>
      <c r="AF395" s="27">
        <f>IF(E395="","",Z395-N(AE395))</f>
        <v/>
      </c>
      <c r="AG395" s="29">
        <f>IFERROR(AF395/Z395,"")</f>
        <v/>
      </c>
      <c r="AH395" s="25">
        <f>IF(E395="","",IFERROR(IF(INDEX(tbl_Onsite[Notes],IFERROR(MATCH(E395&amp;"",tbl_Onsite[Job Number],0),MATCH(IFERROR(E395+0,E395),tbl_Onsite[Job Number],0)))="","",INDEX(tbl_Onsite[Notes],IFERROR(MATCH(E395&amp;"",tbl_Onsite[Job Number],0),MATCH(IFERROR(E395+0,E395),tbl_Onsite[Job Number],0)))),IFERROR(IF(INDEX(tbl_Production[Notes],IFERROR(MATCH(E395&amp;"",tbl_Production[Job Number],0),MATCH(IFERROR(E395+0,E395),tbl_Production[Job Number],0)))="","",INDEX(tbl_Production[Notes],IFERROR(MATCH(E395&amp;"",tbl_Production[Job Number],0),MATCH(IFERROR(E395+0,E395),tbl_Production[Job Number],0)))),IFERROR(IF(INDEX(tbl_Consulting[Notes],IFERROR(MATCH(E395&amp;"",tbl_Consulting[Job Number],0),MATCH(IFERROR(E395+0,E395),tbl_Consulting[Job Number],0)))="","",INDEX(tbl_Consulting[Notes],IFERROR(MATCH(E395&amp;"",tbl_Consulting[Job Number],0),MATCH(IFERROR(E395+0,E395),tbl_Consulting[Job Number],0)))),""))))</f>
        <v/>
      </c>
    </row>
    <row r="396" ht="15" customHeight="1">
      <c r="A396" s="22" t="n"/>
      <c r="B396" s="23">
        <f>IF(A396="","",EOMONTH(A396,0))</f>
        <v/>
      </c>
      <c r="C396" s="24" t="n"/>
      <c r="D396" s="24" t="n"/>
      <c r="E396" s="24" t="n"/>
      <c r="F396" s="25">
        <f>IF(E396="","",IF(COUNTIF(lst_Jobs,E396&amp;"")&gt;0,"OK","CHECK"))</f>
        <v/>
      </c>
      <c r="G396" s="24" t="n"/>
      <c r="H396" s="24" t="n"/>
      <c r="I396" s="24" t="n"/>
      <c r="J396" s="24" t="n"/>
      <c r="K396" s="24" t="n"/>
      <c r="L396" s="26" t="n"/>
      <c r="M396" s="27">
        <f>IF(L396="","",IF(K396="GST 10%",ROUND(L396*set_GSTRate,2),0))</f>
        <v/>
      </c>
      <c r="N396" s="27">
        <f>IF(L396="","",L396+M396)</f>
        <v/>
      </c>
      <c r="O396" s="24" t="n"/>
      <c r="P396" s="24" t="n"/>
      <c r="Q396" s="24" t="n"/>
      <c r="R396" s="22" t="n"/>
      <c r="S396" s="22" t="n"/>
      <c r="T396" s="24" t="n"/>
      <c r="U396" s="24" t="n"/>
      <c r="V396" s="2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25">
        <f>IF(E396="","",IF(COUNTIF(tbl_Onsite[Job Number],E396&amp;"")&gt;0,"Onsite",IF(COUNTIF(tbl_Production[Job Number],E396&amp;"")&gt;0,"Production",IF(COUNTIF(tbl_Consulting[Job Number],E396&amp;"")&gt;0,"Consulting","not set up yet"))))</f>
        <v/>
      </c>
      <c r="X396" s="25">
        <f>IF(E396="","",IFERROR(INDEX(lst_JobName,MATCH(E396&amp;"",lst_Jobs,0)),""))</f>
        <v/>
      </c>
      <c r="Y396" s="28">
        <f>IF(E396="","",COUNTIFS(tbl_Finance[Job Number],E396&amp;"",tbl_Finance[Ex GST],"&lt;&gt;"))</f>
        <v/>
      </c>
      <c r="Z396" s="27">
        <f>IF(E396="","",SUMIFS(tbl_Finance[Ex GST],tbl_Finance[Job Number],E396&amp;""))</f>
        <v/>
      </c>
      <c r="AA396" s="27">
        <f>IF(E396="","",SUMIFS(tbl_Finance[Ex GST],tbl_Finance[Job Number],E396&amp;"",tbl_Finance[Xero Invoice No],"&lt;&gt;"))</f>
        <v/>
      </c>
      <c r="AB396" s="27">
        <f>IF(E396="","",Z396-AA396)</f>
        <v/>
      </c>
      <c r="AC396" s="25">
        <f>IF(E396="","",IFERROR(IF(INDEX(tbl_Onsite[Qwilr Quote],IFERROR(MATCH(E396&amp;"",tbl_Onsite[Job Number],0),MATCH(IFERROR(E396+0,E396),tbl_Onsite[Job Number],0)))="","",INDEX(tbl_Onsite[Qwilr Quote],IFERROR(MATCH(E396&amp;"",tbl_Onsite[Job Number],0),MATCH(IFERROR(E396+0,E396),tbl_Onsite[Job Number],0)))),IFERROR(IF(IF(INDEX(tbl_Production[Current RMS No],IFERROR(MATCH(E396&amp;"",tbl_Production[Job Number],0),MATCH(IFERROR(E396+0,E396),tbl_Production[Job Number],0)))="",INDEX(tbl_Production[Qwilr Quote],IFERROR(MATCH(E396&amp;"",tbl_Production[Job Number],0),MATCH(IFERROR(E396+0,E396),tbl_Production[Job Number],0))),INDEX(tbl_Production[Current RMS No],IFERROR(MATCH(E396&amp;"",tbl_Production[Job Number],0),MATCH(IFERROR(E396+0,E396),tbl_Production[Job Number],0))))="","",IF(INDEX(tbl_Production[Current RMS No],IFERROR(MATCH(E396&amp;"",tbl_Production[Job Number],0),MATCH(IFERROR(E396+0,E396),tbl_Production[Job Number],0)))="",INDEX(tbl_Production[Qwilr Quote],IFERROR(MATCH(E396&amp;"",tbl_Production[Job Number],0),MATCH(IFERROR(E396+0,E396),tbl_Production[Job Number],0))),INDEX(tbl_Production[Current RMS No],IFERROR(MATCH(E396&amp;"",tbl_Production[Job Number],0),MATCH(IFERROR(E396+0,E396),tbl_Production[Job Number],0))))),IFERROR(IF(INDEX(tbl_Consulting[Qwilr Quote],IFERROR(MATCH(E396&amp;"",tbl_Consulting[Job Number],0),MATCH(IFERROR(E396+0,E396),tbl_Consulting[Job Number],0)))="","",INDEX(tbl_Consulting[Qwilr Quote],IFERROR(MATCH(E396&amp;"",tbl_Consulting[Job Number],0),MATCH(IFERROR(E396+0,E396),tbl_Consulting[Job Number],0)))),""))))</f>
        <v/>
      </c>
      <c r="AD396" s="25">
        <f>IF(AC396="","",IF(AND(LEFT(AC396,4)&lt;&gt;"http",IF(H396="Production",set_RMSBase,set_QwilrBase)=""),"",HYPERLINK(IF(LEFT(AC396,4)="http",AC396,IF(H396="Production",set_RMSBase,set_QwilrBase)&amp;AC396),"Open")))</f>
        <v/>
      </c>
      <c r="AE396" s="27">
        <f>IF(E396="","",IFERROR(INDEX(tbl_Production[Total Expense],IFERROR(MATCH(E396&amp;"",tbl_Production[Job Number],0),MATCH(IFERROR(E396+0,E396),tbl_Production[Job Number],0))),IFERROR(INDEX(tbl_Consulting[Total Expense],IFERROR(MATCH(E396&amp;"",tbl_Consulting[Job Number],0),MATCH(IFERROR(E396+0,E396),tbl_Consulting[Job Number],0))),0)))</f>
        <v/>
      </c>
      <c r="AF396" s="27">
        <f>IF(E396="","",Z396-N(AE396))</f>
        <v/>
      </c>
      <c r="AG396" s="29">
        <f>IFERROR(AF396/Z396,"")</f>
        <v/>
      </c>
      <c r="AH396" s="25">
        <f>IF(E396="","",IFERROR(IF(INDEX(tbl_Onsite[Notes],IFERROR(MATCH(E396&amp;"",tbl_Onsite[Job Number],0),MATCH(IFERROR(E396+0,E396),tbl_Onsite[Job Number],0)))="","",INDEX(tbl_Onsite[Notes],IFERROR(MATCH(E396&amp;"",tbl_Onsite[Job Number],0),MATCH(IFERROR(E396+0,E396),tbl_Onsite[Job Number],0)))),IFERROR(IF(INDEX(tbl_Production[Notes],IFERROR(MATCH(E396&amp;"",tbl_Production[Job Number],0),MATCH(IFERROR(E396+0,E396),tbl_Production[Job Number],0)))="","",INDEX(tbl_Production[Notes],IFERROR(MATCH(E396&amp;"",tbl_Production[Job Number],0),MATCH(IFERROR(E396+0,E396),tbl_Production[Job Number],0)))),IFERROR(IF(INDEX(tbl_Consulting[Notes],IFERROR(MATCH(E396&amp;"",tbl_Consulting[Job Number],0),MATCH(IFERROR(E396+0,E396),tbl_Consulting[Job Number],0)))="","",INDEX(tbl_Consulting[Notes],IFERROR(MATCH(E396&amp;"",tbl_Consulting[Job Number],0),MATCH(IFERROR(E396+0,E396),tbl_Consulting[Job Number],0)))),""))))</f>
        <v/>
      </c>
    </row>
    <row r="397" ht="15" customHeight="1">
      <c r="A397" s="22" t="n"/>
      <c r="B397" s="23">
        <f>IF(A397="","",EOMONTH(A397,0))</f>
        <v/>
      </c>
      <c r="C397" s="24" t="n"/>
      <c r="D397" s="24" t="n"/>
      <c r="E397" s="24" t="n"/>
      <c r="F397" s="25">
        <f>IF(E397="","",IF(COUNTIF(lst_Jobs,E397&amp;"")&gt;0,"OK","CHECK"))</f>
        <v/>
      </c>
      <c r="G397" s="24" t="n"/>
      <c r="H397" s="24" t="n"/>
      <c r="I397" s="24" t="n"/>
      <c r="J397" s="24" t="n"/>
      <c r="K397" s="24" t="n"/>
      <c r="L397" s="26" t="n"/>
      <c r="M397" s="27">
        <f>IF(L397="","",IF(K397="GST 10%",ROUND(L397*set_GSTRate,2),0))</f>
        <v/>
      </c>
      <c r="N397" s="27">
        <f>IF(L397="","",L397+M397)</f>
        <v/>
      </c>
      <c r="O397" s="24" t="n"/>
      <c r="P397" s="24" t="n"/>
      <c r="Q397" s="24" t="n"/>
      <c r="R397" s="22" t="n"/>
      <c r="S397" s="22" t="n"/>
      <c r="T397" s="24" t="n"/>
      <c r="U397" s="24" t="n"/>
      <c r="V397" s="2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25">
        <f>IF(E397="","",IF(COUNTIF(tbl_Onsite[Job Number],E397&amp;"")&gt;0,"Onsite",IF(COUNTIF(tbl_Production[Job Number],E397&amp;"")&gt;0,"Production",IF(COUNTIF(tbl_Consulting[Job Number],E397&amp;"")&gt;0,"Consulting","not set up yet"))))</f>
        <v/>
      </c>
      <c r="X397" s="25">
        <f>IF(E397="","",IFERROR(INDEX(lst_JobName,MATCH(E397&amp;"",lst_Jobs,0)),""))</f>
        <v/>
      </c>
      <c r="Y397" s="28">
        <f>IF(E397="","",COUNTIFS(tbl_Finance[Job Number],E397&amp;"",tbl_Finance[Ex GST],"&lt;&gt;"))</f>
        <v/>
      </c>
      <c r="Z397" s="27">
        <f>IF(E397="","",SUMIFS(tbl_Finance[Ex GST],tbl_Finance[Job Number],E397&amp;""))</f>
        <v/>
      </c>
      <c r="AA397" s="27">
        <f>IF(E397="","",SUMIFS(tbl_Finance[Ex GST],tbl_Finance[Job Number],E397&amp;"",tbl_Finance[Xero Invoice No],"&lt;&gt;"))</f>
        <v/>
      </c>
      <c r="AB397" s="27">
        <f>IF(E397="","",Z397-AA397)</f>
        <v/>
      </c>
      <c r="AC397" s="25">
        <f>IF(E397="","",IFERROR(IF(INDEX(tbl_Onsite[Qwilr Quote],IFERROR(MATCH(E397&amp;"",tbl_Onsite[Job Number],0),MATCH(IFERROR(E397+0,E397),tbl_Onsite[Job Number],0)))="","",INDEX(tbl_Onsite[Qwilr Quote],IFERROR(MATCH(E397&amp;"",tbl_Onsite[Job Number],0),MATCH(IFERROR(E397+0,E397),tbl_Onsite[Job Number],0)))),IFERROR(IF(IF(INDEX(tbl_Production[Current RMS No],IFERROR(MATCH(E397&amp;"",tbl_Production[Job Number],0),MATCH(IFERROR(E397+0,E397),tbl_Production[Job Number],0)))="",INDEX(tbl_Production[Qwilr Quote],IFERROR(MATCH(E397&amp;"",tbl_Production[Job Number],0),MATCH(IFERROR(E397+0,E397),tbl_Production[Job Number],0))),INDEX(tbl_Production[Current RMS No],IFERROR(MATCH(E397&amp;"",tbl_Production[Job Number],0),MATCH(IFERROR(E397+0,E397),tbl_Production[Job Number],0))))="","",IF(INDEX(tbl_Production[Current RMS No],IFERROR(MATCH(E397&amp;"",tbl_Production[Job Number],0),MATCH(IFERROR(E397+0,E397),tbl_Production[Job Number],0)))="",INDEX(tbl_Production[Qwilr Quote],IFERROR(MATCH(E397&amp;"",tbl_Production[Job Number],0),MATCH(IFERROR(E397+0,E397),tbl_Production[Job Number],0))),INDEX(tbl_Production[Current RMS No],IFERROR(MATCH(E397&amp;"",tbl_Production[Job Number],0),MATCH(IFERROR(E397+0,E397),tbl_Production[Job Number],0))))),IFERROR(IF(INDEX(tbl_Consulting[Qwilr Quote],IFERROR(MATCH(E397&amp;"",tbl_Consulting[Job Number],0),MATCH(IFERROR(E397+0,E397),tbl_Consulting[Job Number],0)))="","",INDEX(tbl_Consulting[Qwilr Quote],IFERROR(MATCH(E397&amp;"",tbl_Consulting[Job Number],0),MATCH(IFERROR(E397+0,E397),tbl_Consulting[Job Number],0)))),""))))</f>
        <v/>
      </c>
      <c r="AD397" s="25">
        <f>IF(AC397="","",IF(AND(LEFT(AC397,4)&lt;&gt;"http",IF(H397="Production",set_RMSBase,set_QwilrBase)=""),"",HYPERLINK(IF(LEFT(AC397,4)="http",AC397,IF(H397="Production",set_RMSBase,set_QwilrBase)&amp;AC397),"Open")))</f>
        <v/>
      </c>
      <c r="AE397" s="27">
        <f>IF(E397="","",IFERROR(INDEX(tbl_Production[Total Expense],IFERROR(MATCH(E397&amp;"",tbl_Production[Job Number],0),MATCH(IFERROR(E397+0,E397),tbl_Production[Job Number],0))),IFERROR(INDEX(tbl_Consulting[Total Expense],IFERROR(MATCH(E397&amp;"",tbl_Consulting[Job Number],0),MATCH(IFERROR(E397+0,E397),tbl_Consulting[Job Number],0))),0)))</f>
        <v/>
      </c>
      <c r="AF397" s="27">
        <f>IF(E397="","",Z397-N(AE397))</f>
        <v/>
      </c>
      <c r="AG397" s="29">
        <f>IFERROR(AF397/Z397,"")</f>
        <v/>
      </c>
      <c r="AH397" s="25">
        <f>IF(E397="","",IFERROR(IF(INDEX(tbl_Onsite[Notes],IFERROR(MATCH(E397&amp;"",tbl_Onsite[Job Number],0),MATCH(IFERROR(E397+0,E397),tbl_Onsite[Job Number],0)))="","",INDEX(tbl_Onsite[Notes],IFERROR(MATCH(E397&amp;"",tbl_Onsite[Job Number],0),MATCH(IFERROR(E397+0,E397),tbl_Onsite[Job Number],0)))),IFERROR(IF(INDEX(tbl_Production[Notes],IFERROR(MATCH(E397&amp;"",tbl_Production[Job Number],0),MATCH(IFERROR(E397+0,E397),tbl_Production[Job Number],0)))="","",INDEX(tbl_Production[Notes],IFERROR(MATCH(E397&amp;"",tbl_Production[Job Number],0),MATCH(IFERROR(E397+0,E397),tbl_Production[Job Number],0)))),IFERROR(IF(INDEX(tbl_Consulting[Notes],IFERROR(MATCH(E397&amp;"",tbl_Consulting[Job Number],0),MATCH(IFERROR(E397+0,E397),tbl_Consulting[Job Number],0)))="","",INDEX(tbl_Consulting[Notes],IFERROR(MATCH(E397&amp;"",tbl_Consulting[Job Number],0),MATCH(IFERROR(E397+0,E397),tbl_Consulting[Job Number],0)))),""))))</f>
        <v/>
      </c>
    </row>
    <row r="398" ht="15" customHeight="1">
      <c r="A398" s="22" t="n"/>
      <c r="B398" s="23">
        <f>IF(A398="","",EOMONTH(A398,0))</f>
        <v/>
      </c>
      <c r="C398" s="24" t="n"/>
      <c r="D398" s="24" t="n"/>
      <c r="E398" s="24" t="n"/>
      <c r="F398" s="25">
        <f>IF(E398="","",IF(COUNTIF(lst_Jobs,E398&amp;"")&gt;0,"OK","CHECK"))</f>
        <v/>
      </c>
      <c r="G398" s="24" t="n"/>
      <c r="H398" s="24" t="n"/>
      <c r="I398" s="24" t="n"/>
      <c r="J398" s="24" t="n"/>
      <c r="K398" s="24" t="n"/>
      <c r="L398" s="26" t="n"/>
      <c r="M398" s="27">
        <f>IF(L398="","",IF(K398="GST 10%",ROUND(L398*set_GSTRate,2),0))</f>
        <v/>
      </c>
      <c r="N398" s="27">
        <f>IF(L398="","",L398+M398)</f>
        <v/>
      </c>
      <c r="O398" s="24" t="n"/>
      <c r="P398" s="24" t="n"/>
      <c r="Q398" s="24" t="n"/>
      <c r="R398" s="22" t="n"/>
      <c r="S398" s="22" t="n"/>
      <c r="T398" s="24" t="n"/>
      <c r="U398" s="24" t="n"/>
      <c r="V398" s="2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25">
        <f>IF(E398="","",IF(COUNTIF(tbl_Onsite[Job Number],E398&amp;"")&gt;0,"Onsite",IF(COUNTIF(tbl_Production[Job Number],E398&amp;"")&gt;0,"Production",IF(COUNTIF(tbl_Consulting[Job Number],E398&amp;"")&gt;0,"Consulting","not set up yet"))))</f>
        <v/>
      </c>
      <c r="X398" s="25">
        <f>IF(E398="","",IFERROR(INDEX(lst_JobName,MATCH(E398&amp;"",lst_Jobs,0)),""))</f>
        <v/>
      </c>
      <c r="Y398" s="28">
        <f>IF(E398="","",COUNTIFS(tbl_Finance[Job Number],E398&amp;"",tbl_Finance[Ex GST],"&lt;&gt;"))</f>
        <v/>
      </c>
      <c r="Z398" s="27">
        <f>IF(E398="","",SUMIFS(tbl_Finance[Ex GST],tbl_Finance[Job Number],E398&amp;""))</f>
        <v/>
      </c>
      <c r="AA398" s="27">
        <f>IF(E398="","",SUMIFS(tbl_Finance[Ex GST],tbl_Finance[Job Number],E398&amp;"",tbl_Finance[Xero Invoice No],"&lt;&gt;"))</f>
        <v/>
      </c>
      <c r="AB398" s="27">
        <f>IF(E398="","",Z398-AA398)</f>
        <v/>
      </c>
      <c r="AC398" s="25">
        <f>IF(E398="","",IFERROR(IF(INDEX(tbl_Onsite[Qwilr Quote],IFERROR(MATCH(E398&amp;"",tbl_Onsite[Job Number],0),MATCH(IFERROR(E398+0,E398),tbl_Onsite[Job Number],0)))="","",INDEX(tbl_Onsite[Qwilr Quote],IFERROR(MATCH(E398&amp;"",tbl_Onsite[Job Number],0),MATCH(IFERROR(E398+0,E398),tbl_Onsite[Job Number],0)))),IFERROR(IF(IF(INDEX(tbl_Production[Current RMS No],IFERROR(MATCH(E398&amp;"",tbl_Production[Job Number],0),MATCH(IFERROR(E398+0,E398),tbl_Production[Job Number],0)))="",INDEX(tbl_Production[Qwilr Quote],IFERROR(MATCH(E398&amp;"",tbl_Production[Job Number],0),MATCH(IFERROR(E398+0,E398),tbl_Production[Job Number],0))),INDEX(tbl_Production[Current RMS No],IFERROR(MATCH(E398&amp;"",tbl_Production[Job Number],0),MATCH(IFERROR(E398+0,E398),tbl_Production[Job Number],0))))="","",IF(INDEX(tbl_Production[Current RMS No],IFERROR(MATCH(E398&amp;"",tbl_Production[Job Number],0),MATCH(IFERROR(E398+0,E398),tbl_Production[Job Number],0)))="",INDEX(tbl_Production[Qwilr Quote],IFERROR(MATCH(E398&amp;"",tbl_Production[Job Number],0),MATCH(IFERROR(E398+0,E398),tbl_Production[Job Number],0))),INDEX(tbl_Production[Current RMS No],IFERROR(MATCH(E398&amp;"",tbl_Production[Job Number],0),MATCH(IFERROR(E398+0,E398),tbl_Production[Job Number],0))))),IFERROR(IF(INDEX(tbl_Consulting[Qwilr Quote],IFERROR(MATCH(E398&amp;"",tbl_Consulting[Job Number],0),MATCH(IFERROR(E398+0,E398),tbl_Consulting[Job Number],0)))="","",INDEX(tbl_Consulting[Qwilr Quote],IFERROR(MATCH(E398&amp;"",tbl_Consulting[Job Number],0),MATCH(IFERROR(E398+0,E398),tbl_Consulting[Job Number],0)))),""))))</f>
        <v/>
      </c>
      <c r="AD398" s="25">
        <f>IF(AC398="","",IF(AND(LEFT(AC398,4)&lt;&gt;"http",IF(H398="Production",set_RMSBase,set_QwilrBase)=""),"",HYPERLINK(IF(LEFT(AC398,4)="http",AC398,IF(H398="Production",set_RMSBase,set_QwilrBase)&amp;AC398),"Open")))</f>
        <v/>
      </c>
      <c r="AE398" s="27">
        <f>IF(E398="","",IFERROR(INDEX(tbl_Production[Total Expense],IFERROR(MATCH(E398&amp;"",tbl_Production[Job Number],0),MATCH(IFERROR(E398+0,E398),tbl_Production[Job Number],0))),IFERROR(INDEX(tbl_Consulting[Total Expense],IFERROR(MATCH(E398&amp;"",tbl_Consulting[Job Number],0),MATCH(IFERROR(E398+0,E398),tbl_Consulting[Job Number],0))),0)))</f>
        <v/>
      </c>
      <c r="AF398" s="27">
        <f>IF(E398="","",Z398-N(AE398))</f>
        <v/>
      </c>
      <c r="AG398" s="29">
        <f>IFERROR(AF398/Z398,"")</f>
        <v/>
      </c>
      <c r="AH398" s="25">
        <f>IF(E398="","",IFERROR(IF(INDEX(tbl_Onsite[Notes],IFERROR(MATCH(E398&amp;"",tbl_Onsite[Job Number],0),MATCH(IFERROR(E398+0,E398),tbl_Onsite[Job Number],0)))="","",INDEX(tbl_Onsite[Notes],IFERROR(MATCH(E398&amp;"",tbl_Onsite[Job Number],0),MATCH(IFERROR(E398+0,E398),tbl_Onsite[Job Number],0)))),IFERROR(IF(INDEX(tbl_Production[Notes],IFERROR(MATCH(E398&amp;"",tbl_Production[Job Number],0),MATCH(IFERROR(E398+0,E398),tbl_Production[Job Number],0)))="","",INDEX(tbl_Production[Notes],IFERROR(MATCH(E398&amp;"",tbl_Production[Job Number],0),MATCH(IFERROR(E398+0,E398),tbl_Production[Job Number],0)))),IFERROR(IF(INDEX(tbl_Consulting[Notes],IFERROR(MATCH(E398&amp;"",tbl_Consulting[Job Number],0),MATCH(IFERROR(E398+0,E398),tbl_Consulting[Job Number],0)))="","",INDEX(tbl_Consulting[Notes],IFERROR(MATCH(E398&amp;"",tbl_Consulting[Job Number],0),MATCH(IFERROR(E398+0,E398),tbl_Consulting[Job Number],0)))),""))))</f>
        <v/>
      </c>
    </row>
    <row r="399" ht="15" customHeight="1">
      <c r="A399" s="22" t="n"/>
      <c r="B399" s="23">
        <f>IF(A399="","",EOMONTH(A399,0))</f>
        <v/>
      </c>
      <c r="C399" s="24" t="n"/>
      <c r="D399" s="24" t="n"/>
      <c r="E399" s="24" t="n"/>
      <c r="F399" s="25">
        <f>IF(E399="","",IF(COUNTIF(lst_Jobs,E399&amp;"")&gt;0,"OK","CHECK"))</f>
        <v/>
      </c>
      <c r="G399" s="24" t="n"/>
      <c r="H399" s="24" t="n"/>
      <c r="I399" s="24" t="n"/>
      <c r="J399" s="24" t="n"/>
      <c r="K399" s="24" t="n"/>
      <c r="L399" s="26" t="n"/>
      <c r="M399" s="27">
        <f>IF(L399="","",IF(K399="GST 10%",ROUND(L399*set_GSTRate,2),0))</f>
        <v/>
      </c>
      <c r="N399" s="27">
        <f>IF(L399="","",L399+M399)</f>
        <v/>
      </c>
      <c r="O399" s="24" t="n"/>
      <c r="P399" s="24" t="n"/>
      <c r="Q399" s="24" t="n"/>
      <c r="R399" s="22" t="n"/>
      <c r="S399" s="22" t="n"/>
      <c r="T399" s="24" t="n"/>
      <c r="U399" s="24" t="n"/>
      <c r="V399" s="2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25">
        <f>IF(E399="","",IF(COUNTIF(tbl_Onsite[Job Number],E399&amp;"")&gt;0,"Onsite",IF(COUNTIF(tbl_Production[Job Number],E399&amp;"")&gt;0,"Production",IF(COUNTIF(tbl_Consulting[Job Number],E399&amp;"")&gt;0,"Consulting","not set up yet"))))</f>
        <v/>
      </c>
      <c r="X399" s="25">
        <f>IF(E399="","",IFERROR(INDEX(lst_JobName,MATCH(E399&amp;"",lst_Jobs,0)),""))</f>
        <v/>
      </c>
      <c r="Y399" s="28">
        <f>IF(E399="","",COUNTIFS(tbl_Finance[Job Number],E399&amp;"",tbl_Finance[Ex GST],"&lt;&gt;"))</f>
        <v/>
      </c>
      <c r="Z399" s="27">
        <f>IF(E399="","",SUMIFS(tbl_Finance[Ex GST],tbl_Finance[Job Number],E399&amp;""))</f>
        <v/>
      </c>
      <c r="AA399" s="27">
        <f>IF(E399="","",SUMIFS(tbl_Finance[Ex GST],tbl_Finance[Job Number],E399&amp;"",tbl_Finance[Xero Invoice No],"&lt;&gt;"))</f>
        <v/>
      </c>
      <c r="AB399" s="27">
        <f>IF(E399="","",Z399-AA399)</f>
        <v/>
      </c>
      <c r="AC399" s="25">
        <f>IF(E399="","",IFERROR(IF(INDEX(tbl_Onsite[Qwilr Quote],IFERROR(MATCH(E399&amp;"",tbl_Onsite[Job Number],0),MATCH(IFERROR(E399+0,E399),tbl_Onsite[Job Number],0)))="","",INDEX(tbl_Onsite[Qwilr Quote],IFERROR(MATCH(E399&amp;"",tbl_Onsite[Job Number],0),MATCH(IFERROR(E399+0,E399),tbl_Onsite[Job Number],0)))),IFERROR(IF(IF(INDEX(tbl_Production[Current RMS No],IFERROR(MATCH(E399&amp;"",tbl_Production[Job Number],0),MATCH(IFERROR(E399+0,E399),tbl_Production[Job Number],0)))="",INDEX(tbl_Production[Qwilr Quote],IFERROR(MATCH(E399&amp;"",tbl_Production[Job Number],0),MATCH(IFERROR(E399+0,E399),tbl_Production[Job Number],0))),INDEX(tbl_Production[Current RMS No],IFERROR(MATCH(E399&amp;"",tbl_Production[Job Number],0),MATCH(IFERROR(E399+0,E399),tbl_Production[Job Number],0))))="","",IF(INDEX(tbl_Production[Current RMS No],IFERROR(MATCH(E399&amp;"",tbl_Production[Job Number],0),MATCH(IFERROR(E399+0,E399),tbl_Production[Job Number],0)))="",INDEX(tbl_Production[Qwilr Quote],IFERROR(MATCH(E399&amp;"",tbl_Production[Job Number],0),MATCH(IFERROR(E399+0,E399),tbl_Production[Job Number],0))),INDEX(tbl_Production[Current RMS No],IFERROR(MATCH(E399&amp;"",tbl_Production[Job Number],0),MATCH(IFERROR(E399+0,E399),tbl_Production[Job Number],0))))),IFERROR(IF(INDEX(tbl_Consulting[Qwilr Quote],IFERROR(MATCH(E399&amp;"",tbl_Consulting[Job Number],0),MATCH(IFERROR(E399+0,E399),tbl_Consulting[Job Number],0)))="","",INDEX(tbl_Consulting[Qwilr Quote],IFERROR(MATCH(E399&amp;"",tbl_Consulting[Job Number],0),MATCH(IFERROR(E399+0,E399),tbl_Consulting[Job Number],0)))),""))))</f>
        <v/>
      </c>
      <c r="AD399" s="25">
        <f>IF(AC399="","",IF(AND(LEFT(AC399,4)&lt;&gt;"http",IF(H399="Production",set_RMSBase,set_QwilrBase)=""),"",HYPERLINK(IF(LEFT(AC399,4)="http",AC399,IF(H399="Production",set_RMSBase,set_QwilrBase)&amp;AC399),"Open")))</f>
        <v/>
      </c>
      <c r="AE399" s="27">
        <f>IF(E399="","",IFERROR(INDEX(tbl_Production[Total Expense],IFERROR(MATCH(E399&amp;"",tbl_Production[Job Number],0),MATCH(IFERROR(E399+0,E399),tbl_Production[Job Number],0))),IFERROR(INDEX(tbl_Consulting[Total Expense],IFERROR(MATCH(E399&amp;"",tbl_Consulting[Job Number],0),MATCH(IFERROR(E399+0,E399),tbl_Consulting[Job Number],0))),0)))</f>
        <v/>
      </c>
      <c r="AF399" s="27">
        <f>IF(E399="","",Z399-N(AE399))</f>
        <v/>
      </c>
      <c r="AG399" s="29">
        <f>IFERROR(AF399/Z399,"")</f>
        <v/>
      </c>
      <c r="AH399" s="25">
        <f>IF(E399="","",IFERROR(IF(INDEX(tbl_Onsite[Notes],IFERROR(MATCH(E399&amp;"",tbl_Onsite[Job Number],0),MATCH(IFERROR(E399+0,E399),tbl_Onsite[Job Number],0)))="","",INDEX(tbl_Onsite[Notes],IFERROR(MATCH(E399&amp;"",tbl_Onsite[Job Number],0),MATCH(IFERROR(E399+0,E399),tbl_Onsite[Job Number],0)))),IFERROR(IF(INDEX(tbl_Production[Notes],IFERROR(MATCH(E399&amp;"",tbl_Production[Job Number],0),MATCH(IFERROR(E399+0,E399),tbl_Production[Job Number],0)))="","",INDEX(tbl_Production[Notes],IFERROR(MATCH(E399&amp;"",tbl_Production[Job Number],0),MATCH(IFERROR(E399+0,E399),tbl_Production[Job Number],0)))),IFERROR(IF(INDEX(tbl_Consulting[Notes],IFERROR(MATCH(E399&amp;"",tbl_Consulting[Job Number],0),MATCH(IFERROR(E399+0,E399),tbl_Consulting[Job Number],0)))="","",INDEX(tbl_Consulting[Notes],IFERROR(MATCH(E399&amp;"",tbl_Consulting[Job Number],0),MATCH(IFERROR(E399+0,E399),tbl_Consulting[Job Number],0)))),""))))</f>
        <v/>
      </c>
    </row>
    <row r="400" ht="15" customHeight="1">
      <c r="A400" s="22" t="n"/>
      <c r="B400" s="23">
        <f>IF(A400="","",EOMONTH(A400,0))</f>
        <v/>
      </c>
      <c r="C400" s="24" t="n"/>
      <c r="D400" s="24" t="n"/>
      <c r="E400" s="24" t="n"/>
      <c r="F400" s="25">
        <f>IF(E400="","",IF(COUNTIF(lst_Jobs,E400&amp;"")&gt;0,"OK","CHECK"))</f>
        <v/>
      </c>
      <c r="G400" s="24" t="n"/>
      <c r="H400" s="24" t="n"/>
      <c r="I400" s="24" t="n"/>
      <c r="J400" s="24" t="n"/>
      <c r="K400" s="24" t="n"/>
      <c r="L400" s="26" t="n"/>
      <c r="M400" s="27">
        <f>IF(L400="","",IF(K400="GST 10%",ROUND(L400*set_GSTRate,2),0))</f>
        <v/>
      </c>
      <c r="N400" s="27">
        <f>IF(L400="","",L400+M400)</f>
        <v/>
      </c>
      <c r="O400" s="24" t="n"/>
      <c r="P400" s="24" t="n"/>
      <c r="Q400" s="24" t="n"/>
      <c r="R400" s="22" t="n"/>
      <c r="S400" s="22" t="n"/>
      <c r="T400" s="24" t="n"/>
      <c r="U400" s="24" t="n"/>
      <c r="V400" s="2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25">
        <f>IF(E400="","",IF(COUNTIF(tbl_Onsite[Job Number],E400&amp;"")&gt;0,"Onsite",IF(COUNTIF(tbl_Production[Job Number],E400&amp;"")&gt;0,"Production",IF(COUNTIF(tbl_Consulting[Job Number],E400&amp;"")&gt;0,"Consulting","not set up yet"))))</f>
        <v/>
      </c>
      <c r="X400" s="25">
        <f>IF(E400="","",IFERROR(INDEX(lst_JobName,MATCH(E400&amp;"",lst_Jobs,0)),""))</f>
        <v/>
      </c>
      <c r="Y400" s="28">
        <f>IF(E400="","",COUNTIFS(tbl_Finance[Job Number],E400&amp;"",tbl_Finance[Ex GST],"&lt;&gt;"))</f>
        <v/>
      </c>
      <c r="Z400" s="27">
        <f>IF(E400="","",SUMIFS(tbl_Finance[Ex GST],tbl_Finance[Job Number],E400&amp;""))</f>
        <v/>
      </c>
      <c r="AA400" s="27">
        <f>IF(E400="","",SUMIFS(tbl_Finance[Ex GST],tbl_Finance[Job Number],E400&amp;"",tbl_Finance[Xero Invoice No],"&lt;&gt;"))</f>
        <v/>
      </c>
      <c r="AB400" s="27">
        <f>IF(E400="","",Z400-AA400)</f>
        <v/>
      </c>
      <c r="AC400" s="25">
        <f>IF(E400="","",IFERROR(IF(INDEX(tbl_Onsite[Qwilr Quote],IFERROR(MATCH(E400&amp;"",tbl_Onsite[Job Number],0),MATCH(IFERROR(E400+0,E400),tbl_Onsite[Job Number],0)))="","",INDEX(tbl_Onsite[Qwilr Quote],IFERROR(MATCH(E400&amp;"",tbl_Onsite[Job Number],0),MATCH(IFERROR(E400+0,E400),tbl_Onsite[Job Number],0)))),IFERROR(IF(IF(INDEX(tbl_Production[Current RMS No],IFERROR(MATCH(E400&amp;"",tbl_Production[Job Number],0),MATCH(IFERROR(E400+0,E400),tbl_Production[Job Number],0)))="",INDEX(tbl_Production[Qwilr Quote],IFERROR(MATCH(E400&amp;"",tbl_Production[Job Number],0),MATCH(IFERROR(E400+0,E400),tbl_Production[Job Number],0))),INDEX(tbl_Production[Current RMS No],IFERROR(MATCH(E400&amp;"",tbl_Production[Job Number],0),MATCH(IFERROR(E400+0,E400),tbl_Production[Job Number],0))))="","",IF(INDEX(tbl_Production[Current RMS No],IFERROR(MATCH(E400&amp;"",tbl_Production[Job Number],0),MATCH(IFERROR(E400+0,E400),tbl_Production[Job Number],0)))="",INDEX(tbl_Production[Qwilr Quote],IFERROR(MATCH(E400&amp;"",tbl_Production[Job Number],0),MATCH(IFERROR(E400+0,E400),tbl_Production[Job Number],0))),INDEX(tbl_Production[Current RMS No],IFERROR(MATCH(E400&amp;"",tbl_Production[Job Number],0),MATCH(IFERROR(E400+0,E400),tbl_Production[Job Number],0))))),IFERROR(IF(INDEX(tbl_Consulting[Qwilr Quote],IFERROR(MATCH(E400&amp;"",tbl_Consulting[Job Number],0),MATCH(IFERROR(E400+0,E400),tbl_Consulting[Job Number],0)))="","",INDEX(tbl_Consulting[Qwilr Quote],IFERROR(MATCH(E400&amp;"",tbl_Consulting[Job Number],0),MATCH(IFERROR(E400+0,E400),tbl_Consulting[Job Number],0)))),""))))</f>
        <v/>
      </c>
      <c r="AD400" s="25">
        <f>IF(AC400="","",IF(AND(LEFT(AC400,4)&lt;&gt;"http",IF(H400="Production",set_RMSBase,set_QwilrBase)=""),"",HYPERLINK(IF(LEFT(AC400,4)="http",AC400,IF(H400="Production",set_RMSBase,set_QwilrBase)&amp;AC400),"Open")))</f>
        <v/>
      </c>
      <c r="AE400" s="27">
        <f>IF(E400="","",IFERROR(INDEX(tbl_Production[Total Expense],IFERROR(MATCH(E400&amp;"",tbl_Production[Job Number],0),MATCH(IFERROR(E400+0,E400),tbl_Production[Job Number],0))),IFERROR(INDEX(tbl_Consulting[Total Expense],IFERROR(MATCH(E400&amp;"",tbl_Consulting[Job Number],0),MATCH(IFERROR(E400+0,E400),tbl_Consulting[Job Number],0))),0)))</f>
        <v/>
      </c>
      <c r="AF400" s="27">
        <f>IF(E400="","",Z400-N(AE400))</f>
        <v/>
      </c>
      <c r="AG400" s="29">
        <f>IFERROR(AF400/Z400,"")</f>
        <v/>
      </c>
      <c r="AH400" s="25">
        <f>IF(E400="","",IFERROR(IF(INDEX(tbl_Onsite[Notes],IFERROR(MATCH(E400&amp;"",tbl_Onsite[Job Number],0),MATCH(IFERROR(E400+0,E400),tbl_Onsite[Job Number],0)))="","",INDEX(tbl_Onsite[Notes],IFERROR(MATCH(E400&amp;"",tbl_Onsite[Job Number],0),MATCH(IFERROR(E400+0,E400),tbl_Onsite[Job Number],0)))),IFERROR(IF(INDEX(tbl_Production[Notes],IFERROR(MATCH(E400&amp;"",tbl_Production[Job Number],0),MATCH(IFERROR(E400+0,E400),tbl_Production[Job Number],0)))="","",INDEX(tbl_Production[Notes],IFERROR(MATCH(E400&amp;"",tbl_Production[Job Number],0),MATCH(IFERROR(E400+0,E400),tbl_Production[Job Number],0)))),IFERROR(IF(INDEX(tbl_Consulting[Notes],IFERROR(MATCH(E400&amp;"",tbl_Consulting[Job Number],0),MATCH(IFERROR(E400+0,E400),tbl_Consulting[Job Number],0)))="","",INDEX(tbl_Consulting[Notes],IFERROR(MATCH(E400&amp;"",tbl_Consulting[Job Number],0),MATCH(IFERROR(E400+0,E400),tbl_Consulting[Job Number],0)))),""))))</f>
        <v/>
      </c>
    </row>
    <row r="401" ht="15" customHeight="1">
      <c r="A401" s="22" t="n"/>
      <c r="B401" s="23">
        <f>IF(A401="","",EOMONTH(A401,0))</f>
        <v/>
      </c>
      <c r="C401" s="24" t="n"/>
      <c r="D401" s="24" t="n"/>
      <c r="E401" s="24" t="n"/>
      <c r="F401" s="25">
        <f>IF(E401="","",IF(COUNTIF(lst_Jobs,E401&amp;"")&gt;0,"OK","CHECK"))</f>
        <v/>
      </c>
      <c r="G401" s="24" t="n"/>
      <c r="H401" s="24" t="n"/>
      <c r="I401" s="24" t="n"/>
      <c r="J401" s="24" t="n"/>
      <c r="K401" s="24" t="n"/>
      <c r="L401" s="26" t="n"/>
      <c r="M401" s="27">
        <f>IF(L401="","",IF(K401="GST 10%",ROUND(L401*set_GSTRate,2),0))</f>
        <v/>
      </c>
      <c r="N401" s="27">
        <f>IF(L401="","",L401+M401)</f>
        <v/>
      </c>
      <c r="O401" s="24" t="n"/>
      <c r="P401" s="24" t="n"/>
      <c r="Q401" s="24" t="n"/>
      <c r="R401" s="22" t="n"/>
      <c r="S401" s="22" t="n"/>
      <c r="T401" s="24" t="n"/>
      <c r="U401" s="24" t="n"/>
      <c r="V401" s="2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25">
        <f>IF(E401="","",IF(COUNTIF(tbl_Onsite[Job Number],E401&amp;"")&gt;0,"Onsite",IF(COUNTIF(tbl_Production[Job Number],E401&amp;"")&gt;0,"Production",IF(COUNTIF(tbl_Consulting[Job Number],E401&amp;"")&gt;0,"Consulting","not set up yet"))))</f>
        <v/>
      </c>
      <c r="X401" s="25">
        <f>IF(E401="","",IFERROR(INDEX(lst_JobName,MATCH(E401&amp;"",lst_Jobs,0)),""))</f>
        <v/>
      </c>
      <c r="Y401" s="28">
        <f>IF(E401="","",COUNTIFS(tbl_Finance[Job Number],E401&amp;"",tbl_Finance[Ex GST],"&lt;&gt;"))</f>
        <v/>
      </c>
      <c r="Z401" s="27">
        <f>IF(E401="","",SUMIFS(tbl_Finance[Ex GST],tbl_Finance[Job Number],E401&amp;""))</f>
        <v/>
      </c>
      <c r="AA401" s="27">
        <f>IF(E401="","",SUMIFS(tbl_Finance[Ex GST],tbl_Finance[Job Number],E401&amp;"",tbl_Finance[Xero Invoice No],"&lt;&gt;"))</f>
        <v/>
      </c>
      <c r="AB401" s="27">
        <f>IF(E401="","",Z401-AA401)</f>
        <v/>
      </c>
      <c r="AC401" s="25">
        <f>IF(E401="","",IFERROR(IF(INDEX(tbl_Onsite[Qwilr Quote],IFERROR(MATCH(E401&amp;"",tbl_Onsite[Job Number],0),MATCH(IFERROR(E401+0,E401),tbl_Onsite[Job Number],0)))="","",INDEX(tbl_Onsite[Qwilr Quote],IFERROR(MATCH(E401&amp;"",tbl_Onsite[Job Number],0),MATCH(IFERROR(E401+0,E401),tbl_Onsite[Job Number],0)))),IFERROR(IF(IF(INDEX(tbl_Production[Current RMS No],IFERROR(MATCH(E401&amp;"",tbl_Production[Job Number],0),MATCH(IFERROR(E401+0,E401),tbl_Production[Job Number],0)))="",INDEX(tbl_Production[Qwilr Quote],IFERROR(MATCH(E401&amp;"",tbl_Production[Job Number],0),MATCH(IFERROR(E401+0,E401),tbl_Production[Job Number],0))),INDEX(tbl_Production[Current RMS No],IFERROR(MATCH(E401&amp;"",tbl_Production[Job Number],0),MATCH(IFERROR(E401+0,E401),tbl_Production[Job Number],0))))="","",IF(INDEX(tbl_Production[Current RMS No],IFERROR(MATCH(E401&amp;"",tbl_Production[Job Number],0),MATCH(IFERROR(E401+0,E401),tbl_Production[Job Number],0)))="",INDEX(tbl_Production[Qwilr Quote],IFERROR(MATCH(E401&amp;"",tbl_Production[Job Number],0),MATCH(IFERROR(E401+0,E401),tbl_Production[Job Number],0))),INDEX(tbl_Production[Current RMS No],IFERROR(MATCH(E401&amp;"",tbl_Production[Job Number],0),MATCH(IFERROR(E401+0,E401),tbl_Production[Job Number],0))))),IFERROR(IF(INDEX(tbl_Consulting[Qwilr Quote],IFERROR(MATCH(E401&amp;"",tbl_Consulting[Job Number],0),MATCH(IFERROR(E401+0,E401),tbl_Consulting[Job Number],0)))="","",INDEX(tbl_Consulting[Qwilr Quote],IFERROR(MATCH(E401&amp;"",tbl_Consulting[Job Number],0),MATCH(IFERROR(E401+0,E401),tbl_Consulting[Job Number],0)))),""))))</f>
        <v/>
      </c>
      <c r="AD401" s="25">
        <f>IF(AC401="","",IF(AND(LEFT(AC401,4)&lt;&gt;"http",IF(H401="Production",set_RMSBase,set_QwilrBase)=""),"",HYPERLINK(IF(LEFT(AC401,4)="http",AC401,IF(H401="Production",set_RMSBase,set_QwilrBase)&amp;AC401),"Open")))</f>
        <v/>
      </c>
      <c r="AE401" s="27">
        <f>IF(E401="","",IFERROR(INDEX(tbl_Production[Total Expense],IFERROR(MATCH(E401&amp;"",tbl_Production[Job Number],0),MATCH(IFERROR(E401+0,E401),tbl_Production[Job Number],0))),IFERROR(INDEX(tbl_Consulting[Total Expense],IFERROR(MATCH(E401&amp;"",tbl_Consulting[Job Number],0),MATCH(IFERROR(E401+0,E401),tbl_Consulting[Job Number],0))),0)))</f>
        <v/>
      </c>
      <c r="AF401" s="27">
        <f>IF(E401="","",Z401-N(AE401))</f>
        <v/>
      </c>
      <c r="AG401" s="29">
        <f>IFERROR(AF401/Z401,"")</f>
        <v/>
      </c>
      <c r="AH401" s="25">
        <f>IF(E401="","",IFERROR(IF(INDEX(tbl_Onsite[Notes],IFERROR(MATCH(E401&amp;"",tbl_Onsite[Job Number],0),MATCH(IFERROR(E401+0,E401),tbl_Onsite[Job Number],0)))="","",INDEX(tbl_Onsite[Notes],IFERROR(MATCH(E401&amp;"",tbl_Onsite[Job Number],0),MATCH(IFERROR(E401+0,E401),tbl_Onsite[Job Number],0)))),IFERROR(IF(INDEX(tbl_Production[Notes],IFERROR(MATCH(E401&amp;"",tbl_Production[Job Number],0),MATCH(IFERROR(E401+0,E401),tbl_Production[Job Number],0)))="","",INDEX(tbl_Production[Notes],IFERROR(MATCH(E401&amp;"",tbl_Production[Job Number],0),MATCH(IFERROR(E401+0,E401),tbl_Production[Job Number],0)))),IFERROR(IF(INDEX(tbl_Consulting[Notes],IFERROR(MATCH(E401&amp;"",tbl_Consulting[Job Number],0),MATCH(IFERROR(E401+0,E401),tbl_Consulting[Job Number],0)))="","",INDEX(tbl_Consulting[Notes],IFERROR(MATCH(E401&amp;"",tbl_Consulting[Job Number],0),MATCH(IFERROR(E401+0,E401),tbl_Consulting[Job Number],0)))),""))))</f>
        <v/>
      </c>
    </row>
    <row r="402" ht="15" customHeight="1">
      <c r="A402" s="22" t="n"/>
      <c r="B402" s="23">
        <f>IF(A402="","",EOMONTH(A402,0))</f>
        <v/>
      </c>
      <c r="C402" s="24" t="n"/>
      <c r="D402" s="24" t="n"/>
      <c r="E402" s="24" t="n"/>
      <c r="F402" s="25">
        <f>IF(E402="","",IF(COUNTIF(lst_Jobs,E402&amp;"")&gt;0,"OK","CHECK"))</f>
        <v/>
      </c>
      <c r="G402" s="24" t="n"/>
      <c r="H402" s="24" t="n"/>
      <c r="I402" s="24" t="n"/>
      <c r="J402" s="24" t="n"/>
      <c r="K402" s="24" t="n"/>
      <c r="L402" s="26" t="n"/>
      <c r="M402" s="27">
        <f>IF(L402="","",IF(K402="GST 10%",ROUND(L402*set_GSTRate,2),0))</f>
        <v/>
      </c>
      <c r="N402" s="27">
        <f>IF(L402="","",L402+M402)</f>
        <v/>
      </c>
      <c r="O402" s="24" t="n"/>
      <c r="P402" s="24" t="n"/>
      <c r="Q402" s="24" t="n"/>
      <c r="R402" s="22" t="n"/>
      <c r="S402" s="22" t="n"/>
      <c r="T402" s="24" t="n"/>
      <c r="U402" s="24" t="n"/>
      <c r="V402" s="2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25">
        <f>IF(E402="","",IF(COUNTIF(tbl_Onsite[Job Number],E402&amp;"")&gt;0,"Onsite",IF(COUNTIF(tbl_Production[Job Number],E402&amp;"")&gt;0,"Production",IF(COUNTIF(tbl_Consulting[Job Number],E402&amp;"")&gt;0,"Consulting","not set up yet"))))</f>
        <v/>
      </c>
      <c r="X402" s="25">
        <f>IF(E402="","",IFERROR(INDEX(lst_JobName,MATCH(E402&amp;"",lst_Jobs,0)),""))</f>
        <v/>
      </c>
      <c r="Y402" s="28">
        <f>IF(E402="","",COUNTIFS(tbl_Finance[Job Number],E402&amp;"",tbl_Finance[Ex GST],"&lt;&gt;"))</f>
        <v/>
      </c>
      <c r="Z402" s="27">
        <f>IF(E402="","",SUMIFS(tbl_Finance[Ex GST],tbl_Finance[Job Number],E402&amp;""))</f>
        <v/>
      </c>
      <c r="AA402" s="27">
        <f>IF(E402="","",SUMIFS(tbl_Finance[Ex GST],tbl_Finance[Job Number],E402&amp;"",tbl_Finance[Xero Invoice No],"&lt;&gt;"))</f>
        <v/>
      </c>
      <c r="AB402" s="27">
        <f>IF(E402="","",Z402-AA402)</f>
        <v/>
      </c>
      <c r="AC402" s="25">
        <f>IF(E402="","",IFERROR(IF(INDEX(tbl_Onsite[Qwilr Quote],IFERROR(MATCH(E402&amp;"",tbl_Onsite[Job Number],0),MATCH(IFERROR(E402+0,E402),tbl_Onsite[Job Number],0)))="","",INDEX(tbl_Onsite[Qwilr Quote],IFERROR(MATCH(E402&amp;"",tbl_Onsite[Job Number],0),MATCH(IFERROR(E402+0,E402),tbl_Onsite[Job Number],0)))),IFERROR(IF(IF(INDEX(tbl_Production[Current RMS No],IFERROR(MATCH(E402&amp;"",tbl_Production[Job Number],0),MATCH(IFERROR(E402+0,E402),tbl_Production[Job Number],0)))="",INDEX(tbl_Production[Qwilr Quote],IFERROR(MATCH(E402&amp;"",tbl_Production[Job Number],0),MATCH(IFERROR(E402+0,E402),tbl_Production[Job Number],0))),INDEX(tbl_Production[Current RMS No],IFERROR(MATCH(E402&amp;"",tbl_Production[Job Number],0),MATCH(IFERROR(E402+0,E402),tbl_Production[Job Number],0))))="","",IF(INDEX(tbl_Production[Current RMS No],IFERROR(MATCH(E402&amp;"",tbl_Production[Job Number],0),MATCH(IFERROR(E402+0,E402),tbl_Production[Job Number],0)))="",INDEX(tbl_Production[Qwilr Quote],IFERROR(MATCH(E402&amp;"",tbl_Production[Job Number],0),MATCH(IFERROR(E402+0,E402),tbl_Production[Job Number],0))),INDEX(tbl_Production[Current RMS No],IFERROR(MATCH(E402&amp;"",tbl_Production[Job Number],0),MATCH(IFERROR(E402+0,E402),tbl_Production[Job Number],0))))),IFERROR(IF(INDEX(tbl_Consulting[Qwilr Quote],IFERROR(MATCH(E402&amp;"",tbl_Consulting[Job Number],0),MATCH(IFERROR(E402+0,E402),tbl_Consulting[Job Number],0)))="","",INDEX(tbl_Consulting[Qwilr Quote],IFERROR(MATCH(E402&amp;"",tbl_Consulting[Job Number],0),MATCH(IFERROR(E402+0,E402),tbl_Consulting[Job Number],0)))),""))))</f>
        <v/>
      </c>
      <c r="AD402" s="25">
        <f>IF(AC402="","",IF(AND(LEFT(AC402,4)&lt;&gt;"http",IF(H402="Production",set_RMSBase,set_QwilrBase)=""),"",HYPERLINK(IF(LEFT(AC402,4)="http",AC402,IF(H402="Production",set_RMSBase,set_QwilrBase)&amp;AC402),"Open")))</f>
        <v/>
      </c>
      <c r="AE402" s="27">
        <f>IF(E402="","",IFERROR(INDEX(tbl_Production[Total Expense],IFERROR(MATCH(E402&amp;"",tbl_Production[Job Number],0),MATCH(IFERROR(E402+0,E402),tbl_Production[Job Number],0))),IFERROR(INDEX(tbl_Consulting[Total Expense],IFERROR(MATCH(E402&amp;"",tbl_Consulting[Job Number],0),MATCH(IFERROR(E402+0,E402),tbl_Consulting[Job Number],0))),0)))</f>
        <v/>
      </c>
      <c r="AF402" s="27">
        <f>IF(E402="","",Z402-N(AE402))</f>
        <v/>
      </c>
      <c r="AG402" s="29">
        <f>IFERROR(AF402/Z402,"")</f>
        <v/>
      </c>
      <c r="AH402" s="25">
        <f>IF(E402="","",IFERROR(IF(INDEX(tbl_Onsite[Notes],IFERROR(MATCH(E402&amp;"",tbl_Onsite[Job Number],0),MATCH(IFERROR(E402+0,E402),tbl_Onsite[Job Number],0)))="","",INDEX(tbl_Onsite[Notes],IFERROR(MATCH(E402&amp;"",tbl_Onsite[Job Number],0),MATCH(IFERROR(E402+0,E402),tbl_Onsite[Job Number],0)))),IFERROR(IF(INDEX(tbl_Production[Notes],IFERROR(MATCH(E402&amp;"",tbl_Production[Job Number],0),MATCH(IFERROR(E402+0,E402),tbl_Production[Job Number],0)))="","",INDEX(tbl_Production[Notes],IFERROR(MATCH(E402&amp;"",tbl_Production[Job Number],0),MATCH(IFERROR(E402+0,E402),tbl_Production[Job Number],0)))),IFERROR(IF(INDEX(tbl_Consulting[Notes],IFERROR(MATCH(E402&amp;"",tbl_Consulting[Job Number],0),MATCH(IFERROR(E402+0,E402),tbl_Consulting[Job Number],0)))="","",INDEX(tbl_Consulting[Notes],IFERROR(MATCH(E402&amp;"",tbl_Consulting[Job Number],0),MATCH(IFERROR(E402+0,E402),tbl_Consulting[Job Number],0)))),""))))</f>
        <v/>
      </c>
    </row>
    <row r="403" ht="15" customHeight="1">
      <c r="A403" s="22" t="n"/>
      <c r="B403" s="23">
        <f>IF(A403="","",EOMONTH(A403,0))</f>
        <v/>
      </c>
      <c r="C403" s="24" t="n"/>
      <c r="D403" s="24" t="n"/>
      <c r="E403" s="24" t="n"/>
      <c r="F403" s="25">
        <f>IF(E403="","",IF(COUNTIF(lst_Jobs,E403&amp;"")&gt;0,"OK","CHECK"))</f>
        <v/>
      </c>
      <c r="G403" s="24" t="n"/>
      <c r="H403" s="24" t="n"/>
      <c r="I403" s="24" t="n"/>
      <c r="J403" s="24" t="n"/>
      <c r="K403" s="24" t="n"/>
      <c r="L403" s="26" t="n"/>
      <c r="M403" s="27">
        <f>IF(L403="","",IF(K403="GST 10%",ROUND(L403*set_GSTRate,2),0))</f>
        <v/>
      </c>
      <c r="N403" s="27">
        <f>IF(L403="","",L403+M403)</f>
        <v/>
      </c>
      <c r="O403" s="24" t="n"/>
      <c r="P403" s="24" t="n"/>
      <c r="Q403" s="24" t="n"/>
      <c r="R403" s="22" t="n"/>
      <c r="S403" s="22" t="n"/>
      <c r="T403" s="24" t="n"/>
      <c r="U403" s="24" t="n"/>
      <c r="V403" s="2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25">
        <f>IF(E403="","",IF(COUNTIF(tbl_Onsite[Job Number],E403&amp;"")&gt;0,"Onsite",IF(COUNTIF(tbl_Production[Job Number],E403&amp;"")&gt;0,"Production",IF(COUNTIF(tbl_Consulting[Job Number],E403&amp;"")&gt;0,"Consulting","not set up yet"))))</f>
        <v/>
      </c>
      <c r="X403" s="25">
        <f>IF(E403="","",IFERROR(INDEX(lst_JobName,MATCH(E403&amp;"",lst_Jobs,0)),""))</f>
        <v/>
      </c>
      <c r="Y403" s="28">
        <f>IF(E403="","",COUNTIFS(tbl_Finance[Job Number],E403&amp;"",tbl_Finance[Ex GST],"&lt;&gt;"))</f>
        <v/>
      </c>
      <c r="Z403" s="27">
        <f>IF(E403="","",SUMIFS(tbl_Finance[Ex GST],tbl_Finance[Job Number],E403&amp;""))</f>
        <v/>
      </c>
      <c r="AA403" s="27">
        <f>IF(E403="","",SUMIFS(tbl_Finance[Ex GST],tbl_Finance[Job Number],E403&amp;"",tbl_Finance[Xero Invoice No],"&lt;&gt;"))</f>
        <v/>
      </c>
      <c r="AB403" s="27">
        <f>IF(E403="","",Z403-AA403)</f>
        <v/>
      </c>
      <c r="AC403" s="25">
        <f>IF(E403="","",IFERROR(IF(INDEX(tbl_Onsite[Qwilr Quote],IFERROR(MATCH(E403&amp;"",tbl_Onsite[Job Number],0),MATCH(IFERROR(E403+0,E403),tbl_Onsite[Job Number],0)))="","",INDEX(tbl_Onsite[Qwilr Quote],IFERROR(MATCH(E403&amp;"",tbl_Onsite[Job Number],0),MATCH(IFERROR(E403+0,E403),tbl_Onsite[Job Number],0)))),IFERROR(IF(IF(INDEX(tbl_Production[Current RMS No],IFERROR(MATCH(E403&amp;"",tbl_Production[Job Number],0),MATCH(IFERROR(E403+0,E403),tbl_Production[Job Number],0)))="",INDEX(tbl_Production[Qwilr Quote],IFERROR(MATCH(E403&amp;"",tbl_Production[Job Number],0),MATCH(IFERROR(E403+0,E403),tbl_Production[Job Number],0))),INDEX(tbl_Production[Current RMS No],IFERROR(MATCH(E403&amp;"",tbl_Production[Job Number],0),MATCH(IFERROR(E403+0,E403),tbl_Production[Job Number],0))))="","",IF(INDEX(tbl_Production[Current RMS No],IFERROR(MATCH(E403&amp;"",tbl_Production[Job Number],0),MATCH(IFERROR(E403+0,E403),tbl_Production[Job Number],0)))="",INDEX(tbl_Production[Qwilr Quote],IFERROR(MATCH(E403&amp;"",tbl_Production[Job Number],0),MATCH(IFERROR(E403+0,E403),tbl_Production[Job Number],0))),INDEX(tbl_Production[Current RMS No],IFERROR(MATCH(E403&amp;"",tbl_Production[Job Number],0),MATCH(IFERROR(E403+0,E403),tbl_Production[Job Number],0))))),IFERROR(IF(INDEX(tbl_Consulting[Qwilr Quote],IFERROR(MATCH(E403&amp;"",tbl_Consulting[Job Number],0),MATCH(IFERROR(E403+0,E403),tbl_Consulting[Job Number],0)))="","",INDEX(tbl_Consulting[Qwilr Quote],IFERROR(MATCH(E403&amp;"",tbl_Consulting[Job Number],0),MATCH(IFERROR(E403+0,E403),tbl_Consulting[Job Number],0)))),""))))</f>
        <v/>
      </c>
      <c r="AD403" s="25">
        <f>IF(AC403="","",IF(AND(LEFT(AC403,4)&lt;&gt;"http",IF(H403="Production",set_RMSBase,set_QwilrBase)=""),"",HYPERLINK(IF(LEFT(AC403,4)="http",AC403,IF(H403="Production",set_RMSBase,set_QwilrBase)&amp;AC403),"Open")))</f>
        <v/>
      </c>
      <c r="AE403" s="27">
        <f>IF(E403="","",IFERROR(INDEX(tbl_Production[Total Expense],IFERROR(MATCH(E403&amp;"",tbl_Production[Job Number],0),MATCH(IFERROR(E403+0,E403),tbl_Production[Job Number],0))),IFERROR(INDEX(tbl_Consulting[Total Expense],IFERROR(MATCH(E403&amp;"",tbl_Consulting[Job Number],0),MATCH(IFERROR(E403+0,E403),tbl_Consulting[Job Number],0))),0)))</f>
        <v/>
      </c>
      <c r="AF403" s="27">
        <f>IF(E403="","",Z403-N(AE403))</f>
        <v/>
      </c>
      <c r="AG403" s="29">
        <f>IFERROR(AF403/Z403,"")</f>
        <v/>
      </c>
      <c r="AH403" s="25">
        <f>IF(E403="","",IFERROR(IF(INDEX(tbl_Onsite[Notes],IFERROR(MATCH(E403&amp;"",tbl_Onsite[Job Number],0),MATCH(IFERROR(E403+0,E403),tbl_Onsite[Job Number],0)))="","",INDEX(tbl_Onsite[Notes],IFERROR(MATCH(E403&amp;"",tbl_Onsite[Job Number],0),MATCH(IFERROR(E403+0,E403),tbl_Onsite[Job Number],0)))),IFERROR(IF(INDEX(tbl_Production[Notes],IFERROR(MATCH(E403&amp;"",tbl_Production[Job Number],0),MATCH(IFERROR(E403+0,E403),tbl_Production[Job Number],0)))="","",INDEX(tbl_Production[Notes],IFERROR(MATCH(E403&amp;"",tbl_Production[Job Number],0),MATCH(IFERROR(E403+0,E403),tbl_Production[Job Number],0)))),IFERROR(IF(INDEX(tbl_Consulting[Notes],IFERROR(MATCH(E403&amp;"",tbl_Consulting[Job Number],0),MATCH(IFERROR(E403+0,E403),tbl_Consulting[Job Number],0)))="","",INDEX(tbl_Consulting[Notes],IFERROR(MATCH(E403&amp;"",tbl_Consulting[Job Number],0),MATCH(IFERROR(E403+0,E403),tbl_Consulting[Job Number],0)))),""))))</f>
        <v/>
      </c>
    </row>
    <row r="404" ht="15" customHeight="1">
      <c r="A404" s="22" t="n"/>
      <c r="B404" s="23">
        <f>IF(A404="","",EOMONTH(A404,0))</f>
        <v/>
      </c>
      <c r="C404" s="24" t="n"/>
      <c r="D404" s="24" t="n"/>
      <c r="E404" s="24" t="n"/>
      <c r="F404" s="25">
        <f>IF(E404="","",IF(COUNTIF(lst_Jobs,E404&amp;"")&gt;0,"OK","CHECK"))</f>
        <v/>
      </c>
      <c r="G404" s="24" t="n"/>
      <c r="H404" s="24" t="n"/>
      <c r="I404" s="24" t="n"/>
      <c r="J404" s="24" t="n"/>
      <c r="K404" s="24" t="n"/>
      <c r="L404" s="26" t="n"/>
      <c r="M404" s="27">
        <f>IF(L404="","",IF(K404="GST 10%",ROUND(L404*set_GSTRate,2),0))</f>
        <v/>
      </c>
      <c r="N404" s="27">
        <f>IF(L404="","",L404+M404)</f>
        <v/>
      </c>
      <c r="O404" s="24" t="n"/>
      <c r="P404" s="24" t="n"/>
      <c r="Q404" s="24" t="n"/>
      <c r="R404" s="22" t="n"/>
      <c r="S404" s="22" t="n"/>
      <c r="T404" s="24" t="n"/>
      <c r="U404" s="24" t="n"/>
      <c r="V404" s="2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25">
        <f>IF(E404="","",IF(COUNTIF(tbl_Onsite[Job Number],E404&amp;"")&gt;0,"Onsite",IF(COUNTIF(tbl_Production[Job Number],E404&amp;"")&gt;0,"Production",IF(COUNTIF(tbl_Consulting[Job Number],E404&amp;"")&gt;0,"Consulting","not set up yet"))))</f>
        <v/>
      </c>
      <c r="X404" s="25">
        <f>IF(E404="","",IFERROR(INDEX(lst_JobName,MATCH(E404&amp;"",lst_Jobs,0)),""))</f>
        <v/>
      </c>
      <c r="Y404" s="28">
        <f>IF(E404="","",COUNTIFS(tbl_Finance[Job Number],E404&amp;"",tbl_Finance[Ex GST],"&lt;&gt;"))</f>
        <v/>
      </c>
      <c r="Z404" s="27">
        <f>IF(E404="","",SUMIFS(tbl_Finance[Ex GST],tbl_Finance[Job Number],E404&amp;""))</f>
        <v/>
      </c>
      <c r="AA404" s="27">
        <f>IF(E404="","",SUMIFS(tbl_Finance[Ex GST],tbl_Finance[Job Number],E404&amp;"",tbl_Finance[Xero Invoice No],"&lt;&gt;"))</f>
        <v/>
      </c>
      <c r="AB404" s="27">
        <f>IF(E404="","",Z404-AA404)</f>
        <v/>
      </c>
      <c r="AC404" s="25">
        <f>IF(E404="","",IFERROR(IF(INDEX(tbl_Onsite[Qwilr Quote],IFERROR(MATCH(E404&amp;"",tbl_Onsite[Job Number],0),MATCH(IFERROR(E404+0,E404),tbl_Onsite[Job Number],0)))="","",INDEX(tbl_Onsite[Qwilr Quote],IFERROR(MATCH(E404&amp;"",tbl_Onsite[Job Number],0),MATCH(IFERROR(E404+0,E404),tbl_Onsite[Job Number],0)))),IFERROR(IF(IF(INDEX(tbl_Production[Current RMS No],IFERROR(MATCH(E404&amp;"",tbl_Production[Job Number],0),MATCH(IFERROR(E404+0,E404),tbl_Production[Job Number],0)))="",INDEX(tbl_Production[Qwilr Quote],IFERROR(MATCH(E404&amp;"",tbl_Production[Job Number],0),MATCH(IFERROR(E404+0,E404),tbl_Production[Job Number],0))),INDEX(tbl_Production[Current RMS No],IFERROR(MATCH(E404&amp;"",tbl_Production[Job Number],0),MATCH(IFERROR(E404+0,E404),tbl_Production[Job Number],0))))="","",IF(INDEX(tbl_Production[Current RMS No],IFERROR(MATCH(E404&amp;"",tbl_Production[Job Number],0),MATCH(IFERROR(E404+0,E404),tbl_Production[Job Number],0)))="",INDEX(tbl_Production[Qwilr Quote],IFERROR(MATCH(E404&amp;"",tbl_Production[Job Number],0),MATCH(IFERROR(E404+0,E404),tbl_Production[Job Number],0))),INDEX(tbl_Production[Current RMS No],IFERROR(MATCH(E404&amp;"",tbl_Production[Job Number],0),MATCH(IFERROR(E404+0,E404),tbl_Production[Job Number],0))))),IFERROR(IF(INDEX(tbl_Consulting[Qwilr Quote],IFERROR(MATCH(E404&amp;"",tbl_Consulting[Job Number],0),MATCH(IFERROR(E404+0,E404),tbl_Consulting[Job Number],0)))="","",INDEX(tbl_Consulting[Qwilr Quote],IFERROR(MATCH(E404&amp;"",tbl_Consulting[Job Number],0),MATCH(IFERROR(E404+0,E404),tbl_Consulting[Job Number],0)))),""))))</f>
        <v/>
      </c>
      <c r="AD404" s="25">
        <f>IF(AC404="","",IF(AND(LEFT(AC404,4)&lt;&gt;"http",IF(H404="Production",set_RMSBase,set_QwilrBase)=""),"",HYPERLINK(IF(LEFT(AC404,4)="http",AC404,IF(H404="Production",set_RMSBase,set_QwilrBase)&amp;AC404),"Open")))</f>
        <v/>
      </c>
      <c r="AE404" s="27">
        <f>IF(E404="","",IFERROR(INDEX(tbl_Production[Total Expense],IFERROR(MATCH(E404&amp;"",tbl_Production[Job Number],0),MATCH(IFERROR(E404+0,E404),tbl_Production[Job Number],0))),IFERROR(INDEX(tbl_Consulting[Total Expense],IFERROR(MATCH(E404&amp;"",tbl_Consulting[Job Number],0),MATCH(IFERROR(E404+0,E404),tbl_Consulting[Job Number],0))),0)))</f>
        <v/>
      </c>
      <c r="AF404" s="27">
        <f>IF(E404="","",Z404-N(AE404))</f>
        <v/>
      </c>
      <c r="AG404" s="29">
        <f>IFERROR(AF404/Z404,"")</f>
        <v/>
      </c>
      <c r="AH404" s="25">
        <f>IF(E404="","",IFERROR(IF(INDEX(tbl_Onsite[Notes],IFERROR(MATCH(E404&amp;"",tbl_Onsite[Job Number],0),MATCH(IFERROR(E404+0,E404),tbl_Onsite[Job Number],0)))="","",INDEX(tbl_Onsite[Notes],IFERROR(MATCH(E404&amp;"",tbl_Onsite[Job Number],0),MATCH(IFERROR(E404+0,E404),tbl_Onsite[Job Number],0)))),IFERROR(IF(INDEX(tbl_Production[Notes],IFERROR(MATCH(E404&amp;"",tbl_Production[Job Number],0),MATCH(IFERROR(E404+0,E404),tbl_Production[Job Number],0)))="","",INDEX(tbl_Production[Notes],IFERROR(MATCH(E404&amp;"",tbl_Production[Job Number],0),MATCH(IFERROR(E404+0,E404),tbl_Production[Job Number],0)))),IFERROR(IF(INDEX(tbl_Consulting[Notes],IFERROR(MATCH(E404&amp;"",tbl_Consulting[Job Number],0),MATCH(IFERROR(E404+0,E404),tbl_Consulting[Job Number],0)))="","",INDEX(tbl_Consulting[Notes],IFERROR(MATCH(E404&amp;"",tbl_Consulting[Job Number],0),MATCH(IFERROR(E404+0,E404),tbl_Consulting[Job Number],0)))),""))))</f>
        <v/>
      </c>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107"/>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Centre],$A8,tbl_WIP[Revenue or Cost],"&lt;&gt;Cost",tbl_WIP[Defer Start],"")+SUMIFS('Deferred Revenue'!$Q$6:$Q$607,'Deferred Revenue'!$F$6:$F$607,$A8,'Deferred Revenue'!$T$6:$T$607,"&lt;&gt;Cost")</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Centre],$A9,tbl_WIP[Revenue or Cost],"&lt;&gt;Cost",tbl_WIP[Defer Start],"")+SUMIFS('Deferred Revenue'!$Q$6:$Q$607,'Deferred Revenue'!$F$6:$F$607,$A9,'Deferred Revenue'!$T$6:$T$607,"&lt;&gt;Cost")</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Centre],$A10,tbl_WIP[Revenue or Cost],"&lt;&gt;Cost",tbl_WIP[Defer Start],"")+SUMIFS('Deferred Revenue'!$Q$6:$Q$607,'Deferred Revenue'!$F$6:$F$607,$A10,'Deferred Revenue'!$T$6:$T$607,"&lt;&gt;Cost")</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Centre],$A11,tbl_WIP[Revenue or Cost],"&lt;&gt;Cost",tbl_WIP[Defer Start],"")+SUMIFS('Deferred Revenue'!$Q$6:$Q$607,'Deferred Revenue'!$F$6:$F$607,$A11,'Deferred Revenue'!$T$6:$T$607,"&lt;&gt;Cost")</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Centre],$A12,tbl_WIP[Revenue or Cost],"&lt;&gt;Cost",tbl_WIP[Defer Start],"")+SUMIFS('Deferred Revenue'!$Q$6:$Q$607,'Deferred Revenue'!$F$6:$F$607,$A12,'Deferred Revenue'!$T$6:$T$607,"&lt;&gt;Cost")</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Centre],$A13,tbl_WIP[Revenue or Cost],"&lt;&gt;Cost",tbl_WIP[Defer Start],"")+SUMIFS('Deferred Revenue'!$Q$6:$Q$607,'Deferred Revenue'!$F$6:$F$607,$A13,'Deferred Revenue'!$T$6:$T$607,"&lt;&gt;Cost")</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Total</t>
        </is>
      </c>
      <c r="C18" s="33" t="inlineStr">
        <is>
          <t>Deferred / accrued revenue</t>
        </is>
      </c>
      <c r="D18" s="33" t="inlineStr">
        <is>
          <t>Deferred / accrued cost</t>
        </is>
      </c>
      <c r="E18" s="33" t="inlineStr"/>
      <c r="F18" s="33" t="inlineStr"/>
      <c r="G18" s="33" t="inlineStr"/>
      <c r="H18" s="33" t="inlineStr"/>
      <c r="I18" s="33" t="inlineStr">
        <is>
          <t>Check</t>
        </is>
      </c>
    </row>
    <row r="19">
      <c r="A19" s="41" t="inlineStr">
        <is>
          <t>Opening WIP balance (all months before this one)</t>
        </is>
      </c>
      <c r="B19" s="42">
        <f>C19+D19</f>
        <v/>
      </c>
      <c r="C19" s="43">
        <f>SUMIFS(tbl_WIP[Amount],tbl_WIP[Month],"&lt;&gt;",tbl_WIP[Month],"&lt;"&amp;$C$4,tbl_WIP[Revenue or Cost],"&lt;&gt;Cost",tbl_WIP[Defer Start],"")+SUMIFS('Deferred Revenue'!$P$6:$P$607,'Deferred Revenue'!$T$6:$T$607,"&lt;&gt;Cost")</f>
        <v/>
      </c>
      <c r="D19" s="43">
        <f>SUMIFS(tbl_WIP[Amount],tbl_WIP[Month],"&lt;&gt;",tbl_WIP[Month],"&lt;"&amp;$C$4,tbl_WIP[Revenue or Cost],"Cost",tbl_WIP[Defer Start],"")+SUMIFS('Deferred Revenue'!$P$6:$P$607,'Deferred Revenue'!$T$6:$T$607,"Cost")</f>
        <v/>
      </c>
      <c r="I19" s="44" t="n"/>
    </row>
    <row r="20">
      <c r="A20" s="41" t="inlineStr">
        <is>
          <t>Movement this month</t>
        </is>
      </c>
      <c r="B20" s="42">
        <f>C20+D20</f>
        <v/>
      </c>
      <c r="C20" s="43">
        <f>SUMIFS(tbl_WIP[Amount],tbl_WIP[Month],$C$4,tbl_WIP[Revenue or Cost],"&lt;&gt;Cost",tbl_WIP[Defer Start],"")+SUMIFS('Deferred Revenue'!$Q$6:$Q$607,'Deferred Revenue'!$T$6:$T$607,"&lt;&gt;Cost")</f>
        <v/>
      </c>
      <c r="D20" s="43">
        <f>SUMIFS(tbl_WIP[Amount],tbl_WIP[Month],$C$4,tbl_WIP[Revenue or Cost],"Cost",tbl_WIP[Defer Start],"")+SUMIFS('Deferred Revenue'!$Q$6:$Q$607,'Deferred Revenue'!$T$6:$T$607,"Cost")</f>
        <v/>
      </c>
      <c r="I20" s="44" t="n"/>
    </row>
    <row r="21">
      <c r="A21" s="45" t="inlineStr">
        <is>
          <t>Closing WIP balance per this tracker</t>
        </is>
      </c>
      <c r="B21" s="46">
        <f>B19+B20</f>
        <v/>
      </c>
      <c r="C21" s="46">
        <f>C19+C20</f>
        <v/>
      </c>
      <c r="D21" s="46">
        <f>D19+D20</f>
        <v/>
      </c>
      <c r="I21" s="44" t="n"/>
    </row>
    <row r="22">
      <c r="A22" s="41" t="inlineStr">
        <is>
          <t>Closing balance per the WIP Schedule file</t>
        </is>
      </c>
      <c r="B22" s="37" t="n"/>
      <c r="I22" s="44" t="n"/>
    </row>
    <row r="23">
      <c r="A23" s="45" t="inlineStr">
        <is>
          <t>Variance - tracker vs WIP Schedule</t>
        </is>
      </c>
      <c r="B23" s="42">
        <f>IF(B22="","",B21-B22)</f>
        <v/>
      </c>
      <c r="I23" s="47">
        <f>IF(B22="","Enter WIP Schedule figure",IF(ROUND(B23,2)=0,"Reconciled","CHECK"))</f>
        <v/>
      </c>
    </row>
    <row r="24">
      <c r="A24" s="41" t="inlineStr">
        <is>
          <t>Closing balance per Xero GL 11300</t>
        </is>
      </c>
      <c r="B24" s="37" t="n"/>
      <c r="I24" s="44" t="n"/>
    </row>
    <row r="25">
      <c r="A25" s="45" t="inlineStr">
        <is>
          <t>Variance - tracker vs Xero</t>
        </is>
      </c>
      <c r="B25" s="42">
        <f>IF(B24="","",B21-B24)</f>
        <v/>
      </c>
      <c r="I25" s="47">
        <f>IF(B24="","Enter Xero 11300 balance",IF(ROUND(B25,2)=0,"Reconciled","CHECK"))</f>
        <v/>
      </c>
    </row>
    <row r="26">
      <c r="A26" s="32" t="inlineStr">
        <is>
          <t>GL 11300 nets deferred revenue against deferred cost, so Xero shows one figure and cannot split it. The Revenue or Cost column on WIP Movements splits it here. Only the Total column should be compared to Xero.</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8">
        <f>SUMPRODUCT(--(tbl_Finance[Date]=""),--(tbl_Finance[Ex GST]&lt;&gt;""))</f>
        <v/>
      </c>
      <c r="I30" s="47">
        <f>IF(B30=0,"Clear","REVIEW")</f>
        <v/>
      </c>
    </row>
    <row r="31">
      <c r="A31" s="41" t="inlineStr">
        <is>
          <t>Invoice lines with an amount but no job number</t>
        </is>
      </c>
      <c r="B31" s="48">
        <f>COUNTIFS(tbl_Finance[Ex GST],"&lt;&gt;",tbl_Finance[Job Number],"")</f>
        <v/>
      </c>
      <c r="I31" s="47">
        <f>IF(B31=0,"Clear","REVIEW")</f>
        <v/>
      </c>
    </row>
    <row r="32">
      <c r="A32" s="41" t="inlineStr">
        <is>
          <t>Job numbers not found in the Xero job list</t>
        </is>
      </c>
      <c r="B32" s="48">
        <f>COUNTIF(tbl_Finance[Job in Xero?],"CHECK")</f>
        <v/>
      </c>
      <c r="I32" s="47">
        <f>IF(B32=0,"Clear","REVIEW")</f>
        <v/>
      </c>
    </row>
    <row r="33">
      <c r="A33" s="41" t="inlineStr">
        <is>
          <t>Marked posted to Xero but no invoice number</t>
        </is>
      </c>
      <c r="B33" s="48">
        <f>COUNTIFS(tbl_Finance[Posted to Xero],"Y",tbl_Finance[Xero Invoice No],"")</f>
        <v/>
      </c>
      <c r="I33" s="47">
        <f>IF(B33=0,"Clear","REVIEW")</f>
        <v/>
      </c>
    </row>
    <row r="34">
      <c r="A34" s="41" t="inlineStr">
        <is>
          <t>Invoice lines with an amount but no cost centre</t>
        </is>
      </c>
      <c r="B34" s="48">
        <f>COUNTIFS(tbl_Finance[Ex GST],"&lt;&gt;",tbl_Finance[Cost Centre],"")</f>
        <v/>
      </c>
      <c r="I34" s="47">
        <f>IF(B34=0,"Clear","REVIEW")</f>
        <v/>
      </c>
    </row>
    <row r="35">
      <c r="A35" s="41" t="inlineStr">
        <is>
          <t>Invoice lines with an amount but no tax code</t>
        </is>
      </c>
      <c r="B35" s="48">
        <f>COUNTIFS(tbl_Finance[Ex GST],"&lt;&gt;",tbl_Finance[Tax Code],"")</f>
        <v/>
      </c>
      <c r="I35" s="47">
        <f>IF(B35=0,"Clear","REVIEW")</f>
        <v/>
      </c>
    </row>
    <row r="36">
      <c r="A36" s="41" t="inlineStr">
        <is>
          <t>Invoice lines with an amount but no revenue GL code</t>
        </is>
      </c>
      <c r="B36" s="48">
        <f>COUNTIFS(tbl_Finance[Ex GST],"&lt;&gt;",tbl_Finance[Revenue GL],"")</f>
        <v/>
      </c>
      <c r="I36" s="47">
        <f>IF(B36=0,"Clear","REVIEW")</f>
        <v/>
      </c>
    </row>
    <row r="37">
      <c r="A37" s="41" t="inlineStr">
        <is>
          <t>Anything flagged in the Issue column</t>
        </is>
      </c>
      <c r="B37" s="48">
        <f>COUNTIF(tbl_Finance[Issue],"?*")</f>
        <v/>
      </c>
      <c r="I37" s="47">
        <f>IF(B37=0,"Clear","REVIEW")</f>
        <v/>
      </c>
    </row>
    <row r="38">
      <c r="A38" s="41" t="inlineStr">
        <is>
          <t>Flagged "To WIP = Y" but no matching WIP movement</t>
        </is>
      </c>
      <c r="B38" s="48">
        <f>SUMPRODUCT(--(tbl_Finance[To WIP]="Y"),--(tbl_Finance[Xero Invoice No]&lt;&gt;""),--(COUNTIF(tbl_WIP[Xero Invoice No],tbl_Finance[Xero Invoice No]&amp;"")=0))</f>
        <v/>
      </c>
      <c r="I38" s="47">
        <f>IF(B38=0,"Clear","REVIEW")</f>
        <v/>
      </c>
    </row>
    <row r="39">
      <c r="A39" s="41" t="inlineStr">
        <is>
          <t>WIP movements with an amount but no month or no job</t>
        </is>
      </c>
      <c r="B39" s="48">
        <f>COUNTIFS(tbl_WIP[Month],"",tbl_WIP[Amount],"&lt;&gt;")+COUNTIFS(tbl_WIP[Job Number],"",tbl_WIP[Amount],"&lt;&gt;")</f>
        <v/>
      </c>
      <c r="I39" s="47">
        <f>IF(B39=0,"Clear","REVIEW")</f>
        <v/>
      </c>
    </row>
    <row r="40">
      <c r="A40" s="41" t="inlineStr">
        <is>
          <t>WIP job numbers not found in the Xero job list</t>
        </is>
      </c>
      <c r="B40" s="48">
        <f>COUNTIF(tbl_WIP[Job in Xero?],"CHECK")</f>
        <v/>
      </c>
      <c r="I40" s="47">
        <f>IF(B40=0,"Clear","REVIEW")</f>
        <v/>
      </c>
    </row>
    <row r="41">
      <c r="A41" s="41" t="inlineStr">
        <is>
          <t>Consulting revenue split does not equal the job revenue</t>
        </is>
      </c>
      <c r="B41" s="48">
        <f>COUNTIF(tbl_Consulting[Revenue Split Check],"MISMATCH")</f>
        <v/>
      </c>
      <c r="I41" s="47">
        <f>IF(B41=0,"Clear","REVIEW")</f>
        <v/>
      </c>
    </row>
    <row r="42">
      <c r="A42" s="41" t="inlineStr">
        <is>
          <t>Invoiced jobs not set up on any department sheet</t>
        </is>
      </c>
      <c r="B42" s="48">
        <f>COUNTIF(tbl_Finance[On Dept Sheet],"not set up yet")</f>
        <v/>
      </c>
      <c r="I42" s="47">
        <f>IF(B42=0,"Clear","REVIEW")</f>
        <v/>
      </c>
    </row>
    <row r="43">
      <c r="A43" s="41" t="inlineStr">
        <is>
          <t>Job numbers sitting on more than one department sheet</t>
        </is>
      </c>
      <c r="B43" s="48">
        <f>SUMPRODUCT(--(tbl_Onsite[Job Number]&lt;&gt;""),--(COUNTIF(tbl_Production[Job Number],tbl_Onsite[Job Number]&amp;"")&gt;0))+SUMPRODUCT(--(tbl_Onsite[Job Number]&lt;&gt;""),--(COUNTIF(tbl_Consulting[Job Number],tbl_Onsite[Job Number]&amp;"")&gt;0))+SUMPRODUCT(--(tbl_Production[Job Number]&lt;&gt;""),--(COUNTIF(tbl_Consulting[Job Number],tbl_Production[Job Number]&amp;"")&gt;0))</f>
        <v/>
      </c>
      <c r="I43" s="47">
        <f>IF(B43=0,"Clear","REVIEW")</f>
        <v/>
      </c>
    </row>
    <row r="44">
      <c r="A44" s="41" t="inlineStr">
        <is>
          <t>Jobs on a department sheet with no invoice yet</t>
        </is>
      </c>
      <c r="B44" s="48">
        <f>COUNTIFS(tbl_Onsite[Job Number],"&lt;&gt;",tbl_Onsite[Lines on Job],0)+COUNTIFS(tbl_Production[Job Number],"&lt;&gt;",tbl_Production[Lines on Job],0)+COUNTIFS(tbl_Consulting[Job Number],"&lt;&gt;",tbl_Consulting[Lines on Job],0)</f>
        <v/>
      </c>
      <c r="I44" s="47">
        <f>IF(B44=0,"Clear","REVIEW")</f>
        <v/>
      </c>
    </row>
    <row r="45">
      <c r="A45" s="41" t="inlineStr">
        <is>
          <t>Deferred lines that also have a manual WIP journal (would double count)</t>
        </is>
      </c>
      <c r="B45" s="48">
        <f>SUMPRODUCT(--(tbl_Finance[Defer Start]&lt;&gt;""),--(tbl_Finance[Xero Invoice No]&lt;&gt;""),--(COUNTIF(tbl_WIP[Xero Invoice No],tbl_Finance[Xero Invoice No]&amp;"")&gt;0))</f>
        <v/>
      </c>
      <c r="I45" s="47">
        <f>IF(B45=0,"Clear","REVIEW")</f>
        <v/>
      </c>
    </row>
    <row r="46">
      <c r="A46" s="41" t="inlineStr">
        <is>
          <t>Deferred lines missing an end date</t>
        </is>
      </c>
      <c r="B46" s="48">
        <f>SUMPRODUCT(--(tbl_Finance[Defer Start]&lt;&gt;""),--(tbl_Finance[Defer End]=""))+SUMPRODUCT(--(tbl_WIP[Defer Start]&lt;&gt;""),--(tbl_WIP[Defer End]=""))</f>
        <v/>
      </c>
      <c r="I46" s="47">
        <f>IF(B46=0,"Clear","REVIEW")</f>
        <v/>
      </c>
    </row>
    <row r="47">
      <c r="A47" s="41" t="inlineStr">
        <is>
          <t>WIP rows with an amount but Revenue or Cost not set</t>
        </is>
      </c>
      <c r="B47" s="48">
        <f>SUMPRODUCT(--(tbl_WIP[Amount]&lt;&gt;""),--(tbl_WIP[Revenue or Cost]=""))</f>
        <v/>
      </c>
      <c r="I47" s="47">
        <f>IF(B47=0,"Clear","REVIEW")</f>
        <v/>
      </c>
    </row>
    <row r="48">
      <c r="A48" s="41" t="inlineStr">
        <is>
          <t>Deferred cost rows with no P&amp;L Account to credit</t>
        </is>
      </c>
      <c r="B48" s="48">
        <f>COUNTIFS(tbl_WIP[Revenue or Cost],"Cost",tbl_WIP[P&amp;L Account],"",tbl_WIP[Amount],"&lt;&gt;")</f>
        <v/>
      </c>
      <c r="I48" s="47">
        <f>IF(B48=0,"Clear","REVIEW")</f>
        <v/>
      </c>
    </row>
    <row r="49">
      <c r="A49" s="41" t="inlineStr">
        <is>
          <t>Still sitting at "To Invoice" for the selected month</t>
        </is>
      </c>
      <c r="B49" s="48">
        <f>COUNTIFS(tbl_Finance[Month],$C$4,tbl_Finance[Status],"To Invoice")</f>
        <v/>
      </c>
      <c r="I49" s="47">
        <f>IF(B49=0,"Clear","REVIEW")</f>
        <v/>
      </c>
    </row>
    <row r="50">
      <c r="A50" s="41" t="inlineStr">
        <is>
          <t>Revenue dated this month with no invoice number - it is in the forecast</t>
        </is>
      </c>
      <c r="B50" s="48">
        <f>COUNTIFS(tbl_Finance[Month],$C$4,tbl_Finance[Xero Invoice No],"",tbl_Finance[Ex GST],"&lt;&gt;")</f>
        <v/>
      </c>
      <c r="I50" s="47">
        <f>IF(B50=0,"Clear","REVIEW")</f>
        <v/>
      </c>
    </row>
    <row r="51">
      <c r="A51" s="45" t="inlineStr">
        <is>
          <t>Value of invoice lines with no date (excluded from every month)</t>
        </is>
      </c>
      <c r="B51" s="49">
        <f>SUMPRODUCT(--(tbl_Finance[Date]=""),IFERROR(tbl_Finance[Ex GST]*1,0))</f>
        <v/>
      </c>
      <c r="I51" s="47">
        <f>IF(ROUND(B51,2)=0,"Clear","REVIEW")</f>
        <v/>
      </c>
    </row>
    <row r="53" ht="20" customHeight="1">
      <c r="A53" s="3" t="inlineStr">
        <is>
          <t>4.  WIP JOURNAL FOR THE MONTH  -  post this one journal in Xero</t>
        </is>
      </c>
    </row>
    <row r="54" ht="30" customHeight="1">
      <c r="A54" s="33" t="inlineStr">
        <is>
          <t>Account</t>
        </is>
      </c>
      <c r="B54" s="33" t="inlineStr">
        <is>
          <t>Cost Centre</t>
        </is>
      </c>
      <c r="C54" s="33" t="inlineStr">
        <is>
          <t>Debit</t>
        </is>
      </c>
      <c r="D54" s="33" t="inlineStr">
        <is>
          <t>Credit</t>
        </is>
      </c>
    </row>
    <row r="55">
      <c r="A55" s="50">
        <f>set_WIPAsset</f>
        <v/>
      </c>
      <c r="B55" s="50">
        <f>"(no tracking)"</f>
        <v/>
      </c>
      <c r="C55" s="43">
        <f>IF(ROUND((SUMIFS(tbl_WIP[Amount],tbl_WIP[Month],$C$4,tbl_WIP[Defer Start],"",tbl_WIP[Revenue or Cost],"&lt;&gt;Cost")+SUMIFS('Deferred Revenue'!$Q$6:$Q$607,'Deferred Revenue'!$T$6:$T$607,"&lt;&gt;Cost")),2)&gt;0,(SUMIFS(tbl_WIP[Amount],tbl_WIP[Month],$C$4,tbl_WIP[Defer Start],"",tbl_WIP[Revenue or Cost],"&lt;&gt;Cost")+SUMIFS('Deferred Revenue'!$Q$6:$Q$607,'Deferred Revenue'!$T$6:$T$607,"&lt;&gt;Cost")),"")</f>
        <v/>
      </c>
      <c r="D55" s="43">
        <f>IF(ROUND((SUMIFS(tbl_WIP[Amount],tbl_WIP[Month],$C$4,tbl_WIP[Defer Start],"",tbl_WIP[Revenue or Cost],"&lt;&gt;Cost")+SUMIFS('Deferred Revenue'!$Q$6:$Q$607,'Deferred Revenue'!$T$6:$T$607,"&lt;&gt;Cost")),2)&lt;0,-(SUMIFS(tbl_WIP[Amount],tbl_WIP[Month],$C$4,tbl_WIP[Defer Start],"",tbl_WIP[Revenue or Cost],"&lt;&gt;Cost")+SUMIFS('Deferred Revenue'!$Q$6:$Q$607,'Deferred Revenue'!$T$6:$T$607,"&lt;&gt;Cost")),"")</f>
        <v/>
      </c>
    </row>
    <row r="56">
      <c r="A56" s="50">
        <f>set_WIPIncome</f>
        <v/>
      </c>
      <c r="B56" s="50">
        <f>$A$8</f>
        <v/>
      </c>
      <c r="C56" s="43">
        <f>IF(ROUND($E$8,2)&lt;0,-$E$8,"")</f>
        <v/>
      </c>
      <c r="D56" s="43">
        <f>IF(ROUND($E$8,2)&gt;0,$E$8,"")</f>
        <v/>
      </c>
    </row>
    <row r="57">
      <c r="A57" s="50">
        <f>set_WIPIncome</f>
        <v/>
      </c>
      <c r="B57" s="50">
        <f>$A$9</f>
        <v/>
      </c>
      <c r="C57" s="43">
        <f>IF(ROUND($E$9,2)&lt;0,-$E$9,"")</f>
        <v/>
      </c>
      <c r="D57" s="43">
        <f>IF(ROUND($E$9,2)&gt;0,$E$9,"")</f>
        <v/>
      </c>
    </row>
    <row r="58">
      <c r="A58" s="50">
        <f>set_WIPIncome</f>
        <v/>
      </c>
      <c r="B58" s="50">
        <f>$A$10</f>
        <v/>
      </c>
      <c r="C58" s="43">
        <f>IF(ROUND($E$10,2)&lt;0,-$E$10,"")</f>
        <v/>
      </c>
      <c r="D58" s="43">
        <f>IF(ROUND($E$10,2)&gt;0,$E$10,"")</f>
        <v/>
      </c>
    </row>
    <row r="59">
      <c r="A59" s="50">
        <f>set_WIPIncome</f>
        <v/>
      </c>
      <c r="B59" s="50">
        <f>$A$11</f>
        <v/>
      </c>
      <c r="C59" s="43">
        <f>IF(ROUND($E$11,2)&lt;0,-$E$11,"")</f>
        <v/>
      </c>
      <c r="D59" s="43">
        <f>IF(ROUND($E$11,2)&gt;0,$E$11,"")</f>
        <v/>
      </c>
    </row>
    <row r="60">
      <c r="A60" s="50">
        <f>set_WIPIncome</f>
        <v/>
      </c>
      <c r="B60" s="50">
        <f>$A$12</f>
        <v/>
      </c>
      <c r="C60" s="43">
        <f>IF(ROUND($E$12,2)&lt;0,-$E$12,"")</f>
        <v/>
      </c>
      <c r="D60" s="43">
        <f>IF(ROUND($E$12,2)&gt;0,$E$12,"")</f>
        <v/>
      </c>
    </row>
    <row r="61">
      <c r="A61" s="50">
        <f>set_WIPIncome</f>
        <v/>
      </c>
      <c r="B61" s="50">
        <f>$A$13</f>
        <v/>
      </c>
      <c r="C61" s="43">
        <f>IF(ROUND($E$13,2)&lt;0,-$E$13,"")</f>
        <v/>
      </c>
      <c r="D61" s="43">
        <f>IF(ROUND($E$13,2)&gt;0,$E$13,"")</f>
        <v/>
      </c>
    </row>
    <row r="62">
      <c r="A62" s="50">
        <f>set_WIPIncome</f>
        <v/>
      </c>
      <c r="B62" s="50">
        <f>"(cost centre not set - fix it)"</f>
        <v/>
      </c>
      <c r="C62" s="43">
        <f>IF(ROUND(((SUMIFS(tbl_WIP[Amount],tbl_WIP[Month],$C$4,tbl_WIP[Defer Start],"",tbl_WIP[Revenue or Cost],"&lt;&gt;Cost")+SUMIFS('Deferred Revenue'!$Q$6:$Q$607,'Deferred Revenue'!$T$6:$T$607,"&lt;&gt;Cost"))-$E$14),2)&lt;0,-((SUMIFS(tbl_WIP[Amount],tbl_WIP[Month],$C$4,tbl_WIP[Defer Start],"",tbl_WIP[Revenue or Cost],"&lt;&gt;Cost")+SUMIFS('Deferred Revenue'!$Q$6:$Q$607,'Deferred Revenue'!$T$6:$T$607,"&lt;&gt;Cost"))-$E$14),"")</f>
        <v/>
      </c>
      <c r="D62" s="43">
        <f>IF(ROUND(((SUMIFS(tbl_WIP[Amount],tbl_WIP[Month],$C$4,tbl_WIP[Defer Start],"",tbl_WIP[Revenue or Cost],"&lt;&gt;Cost")+SUMIFS('Deferred Revenue'!$Q$6:$Q$607,'Deferred Revenue'!$T$6:$T$607,"&lt;&gt;Cost"))-$E$14),2)&gt;0,((SUMIFS(tbl_WIP[Amount],tbl_WIP[Month],$C$4,tbl_WIP[Defer Start],"",tbl_WIP[Revenue or Cost],"&lt;&gt;Cost")+SUMIFS('Deferred Revenue'!$Q$6:$Q$607,'Deferred Revenue'!$T$6:$T$607,"&lt;&gt;Cost"))-$E$14),"")</f>
        <v/>
      </c>
    </row>
    <row r="63">
      <c r="A63" s="51" t="inlineStr">
        <is>
          <t>TOTAL</t>
        </is>
      </c>
      <c r="B63" s="51" t="n"/>
      <c r="C63" s="42">
        <f>SUM(C55:C62)</f>
        <v/>
      </c>
      <c r="D63" s="42">
        <f>SUM(D55:D62)</f>
        <v/>
      </c>
      <c r="E63" s="45">
        <f>IF(ROUND($C$63,2)=ROUND($D$63,2),"Balanced","CHECK - does not balance")</f>
        <v/>
      </c>
    </row>
    <row r="64">
      <c r="A64" s="32" t="inlineStr">
        <is>
          <t>Narration to use</t>
        </is>
      </c>
      <c r="C64" s="50">
        <f>"WIP movement "&amp;TEXT($C$4,"mmmm yyyy")</f>
        <v/>
      </c>
      <c r="D64" s="52" t="n"/>
    </row>
    <row r="65">
      <c r="A65" s="32" t="inlineStr">
        <is>
          <t>Made up of - manual revenue rows on WIP Movements</t>
        </is>
      </c>
      <c r="C65" s="43">
        <f>SUMIFS(tbl_WIP[Amount],tbl_WIP[Month],$C$4,tbl_WIP[Defer Start],"",tbl_WIP[Revenue or Cost],"&lt;&gt;Cost")</f>
        <v/>
      </c>
    </row>
    <row r="66">
      <c r="A66" s="32" t="inlineStr">
        <is>
          <t>Made up of - revenue that spreads (Deferred Revenue sheet)</t>
        </is>
      </c>
      <c r="C66" s="43">
        <f>SUMIFS('Deferred Revenue'!$Q$6:$Q$607,'Deferred Revenue'!$T$6:$T$607,"&lt;&gt;Cost")</f>
        <v/>
      </c>
    </row>
    <row r="67">
      <c r="A67" s="32" t="inlineStr">
        <is>
          <t>Total revenue movement  -  section 2, revenue column</t>
        </is>
      </c>
      <c r="C67" s="42">
        <f>(SUMIFS(tbl_WIP[Amount],tbl_WIP[Month],$C$4,tbl_WIP[Defer Start],"",tbl_WIP[Revenue or Cost],"&lt;&gt;Cost")+SUMIFS('Deferred Revenue'!$Q$6:$Q$607,'Deferred Revenue'!$T$6:$T$607,"&lt;&gt;Cost"))</f>
        <v/>
      </c>
    </row>
    <row r="68">
      <c r="A68" s="32" t="inlineStr">
        <is>
          <t>Deferred / accrued cost movement  -  post these line by line</t>
        </is>
      </c>
      <c r="C68" s="42">
        <f>(SUMIFS(tbl_WIP[Amount],tbl_WIP[Month],$C$4,tbl_WIP[Defer Start],"",tbl_WIP[Revenue or Cost],"Cost")+SUMIFS('Deferred Revenue'!$Q$6:$Q$607,'Deferred Revenue'!$T$6:$T$607,"Cost"))</f>
        <v/>
      </c>
    </row>
    <row r="69">
      <c r="A69" s="32" t="inlineStr">
        <is>
          <t>Nothing here posts itself. The tracker works the movement out; you key this journal into Xero and put the reference back on the WIP Movements rows. The cost line above is not in this journal: every deferred cost credits the expense account its bill came from, so post those from WIP Movements with Revenue or Cost filtered to Cost.</t>
        </is>
      </c>
    </row>
    <row r="71" ht="20" customHeight="1">
      <c r="A71" s="3" t="inlineStr">
        <is>
          <t>5.  WORK WON  -  ZOHO / Current RMS / Qwilr vs what was invoiced</t>
        </is>
      </c>
    </row>
    <row r="72" ht="30" customHeight="1">
      <c r="A72" s="33" t="inlineStr">
        <is>
          <t>Source</t>
        </is>
      </c>
      <c r="B72" s="33" t="inlineStr">
        <is>
          <t>Opportunities</t>
        </is>
      </c>
      <c r="C72" s="33" t="inlineStr">
        <is>
          <t>Value Ex GST</t>
        </is>
      </c>
      <c r="D72" s="33" t="inlineStr"/>
      <c r="E72" s="33" t="inlineStr"/>
      <c r="F72" s="33" t="inlineStr"/>
      <c r="G72" s="33" t="inlineStr"/>
      <c r="H72" s="33" t="inlineStr"/>
      <c r="I72" s="33" t="inlineStr">
        <is>
          <t>Check</t>
        </is>
      </c>
    </row>
    <row r="73">
      <c r="A73" s="34" t="inlineStr">
        <is>
          <t>ZOHO</t>
        </is>
      </c>
      <c r="B73" s="53">
        <f>COUNTIFS(tbl_Won[Month],$C$4,tbl_Won[Source],$A73,tbl_Won[Status],"Won")</f>
        <v/>
      </c>
      <c r="C73" s="36">
        <f>SUMIFS(tbl_Won[Value Ex GST],tbl_Won[Month],$C$4,tbl_Won[Source],$A73,tbl_Won[Status],"Won")</f>
        <v/>
      </c>
    </row>
    <row r="74">
      <c r="A74" s="34" t="inlineStr">
        <is>
          <t>Current RMS</t>
        </is>
      </c>
      <c r="B74" s="53">
        <f>COUNTIFS(tbl_Won[Month],$C$4,tbl_Won[Source],$A74,tbl_Won[Status],"Won")</f>
        <v/>
      </c>
      <c r="C74" s="36">
        <f>SUMIFS(tbl_Won[Value Ex GST],tbl_Won[Month],$C$4,tbl_Won[Source],$A74,tbl_Won[Status],"Won")</f>
        <v/>
      </c>
    </row>
    <row r="75">
      <c r="A75" s="34" t="inlineStr">
        <is>
          <t>Qwilr</t>
        </is>
      </c>
      <c r="B75" s="53">
        <f>COUNTIFS(tbl_Won[Month],$C$4,tbl_Won[Source],$A75,tbl_Won[Status],"Won")</f>
        <v/>
      </c>
      <c r="C75" s="36">
        <f>SUMIFS(tbl_Won[Value Ex GST],tbl_Won[Month],$C$4,tbl_Won[Source],$A75,tbl_Won[Status],"Won")</f>
        <v/>
      </c>
    </row>
    <row r="76">
      <c r="A76" s="34" t="inlineStr">
        <is>
          <t>Other</t>
        </is>
      </c>
      <c r="B76" s="53">
        <f>COUNTIFS(tbl_Won[Month],$C$4,tbl_Won[Source],$A76,tbl_Won[Status],"Won")</f>
        <v/>
      </c>
      <c r="C76" s="36">
        <f>SUMIFS(tbl_Won[Value Ex GST],tbl_Won[Month],$C$4,tbl_Won[Source],$A76,tbl_Won[Status],"Won")</f>
        <v/>
      </c>
    </row>
    <row r="77">
      <c r="A77" s="34" t="inlineStr">
        <is>
          <t>TOTAL WON THIS MONTH</t>
        </is>
      </c>
      <c r="B77" s="53">
        <f>SUM(B73:B76)</f>
        <v/>
      </c>
      <c r="C77" s="36">
        <f>SUM(C73:C76)</f>
        <v/>
      </c>
    </row>
    <row r="78">
      <c r="A78" s="54" t="inlineStr">
        <is>
          <t>Invoiced this month (Finance, Ex GST)</t>
        </is>
      </c>
      <c r="B78" s="53" t="n"/>
      <c r="C78" s="36">
        <f>$B$14</f>
        <v/>
      </c>
    </row>
    <row r="79">
      <c r="A79" s="34" t="inlineStr">
        <is>
          <t>Won less invoiced</t>
        </is>
      </c>
      <c r="B79" s="53" t="n"/>
      <c r="C79" s="36">
        <f>$C$77-$C$78</f>
        <v/>
      </c>
    </row>
    <row r="80">
      <c r="A80" s="54" t="inlineStr">
        <is>
          <t>Won this month, still not invoiced against the job</t>
        </is>
      </c>
      <c r="B80" s="53" t="n"/>
      <c r="C80" s="36">
        <f>SUMIFS(tbl_Won[Still to Invoice],tbl_Won[Month],$C$4,tbl_Won[Status],"Won")</f>
        <v/>
      </c>
    </row>
    <row r="81">
      <c r="A81" s="54" t="inlineStr">
        <is>
          <t>Won with a job number Xero does not have</t>
        </is>
      </c>
      <c r="B81" s="53" t="n"/>
      <c r="C81" s="36">
        <f>COUNTIFS(tbl_Won[Month],$C$4,tbl_Won[Status],"Won",tbl_Won[Job in Xero?],"CHECK")</f>
        <v/>
      </c>
    </row>
    <row r="82">
      <c r="A82" s="32" t="inlineStr">
        <is>
          <t>A sense check, not a source. Revenue only ever comes off the Finance sheet. A big gap either way is worth a look: work won and never invoiced, or invoiced with no opportunity behind it.</t>
        </is>
      </c>
    </row>
    <row r="84" ht="20" customHeight="1">
      <c r="A84" s="3" t="inlineStr">
        <is>
          <t>6.  FORECAST  -  work with no invoice against it</t>
        </is>
      </c>
    </row>
    <row r="85" ht="30" customHeight="1">
      <c r="A85" s="33" t="inlineStr">
        <is>
          <t>Cost Centre</t>
        </is>
      </c>
      <c r="B85" s="33" t="inlineStr">
        <is>
          <t>Finance: to invoice</t>
        </is>
      </c>
      <c r="C85" s="33" t="inlineStr">
        <is>
          <t>Won, not invoiced</t>
        </is>
      </c>
      <c r="D85" s="33" t="inlineStr">
        <is>
          <t>Total forecast</t>
        </is>
      </c>
      <c r="E85" s="33" t="inlineStr"/>
      <c r="F85" s="33" t="inlineStr"/>
      <c r="G85" s="33" t="inlineStr"/>
      <c r="H85" s="33" t="inlineStr"/>
      <c r="I85" s="33" t="inlineStr"/>
    </row>
    <row r="86">
      <c r="A86" s="50" t="inlineStr">
        <is>
          <t>ONSITE</t>
        </is>
      </c>
      <c r="B86" s="43">
        <f>SUMIFS(tbl_Finance[Ex GST],tbl_Finance[Cost Centre],$A86,tbl_Finance[Xero Invoice No],"")</f>
        <v/>
      </c>
      <c r="C86" s="43">
        <f>SUMIFS(tbl_Won[Still to Invoice],tbl_Won[Cost Centre],$A86,tbl_Won[Status],"Won")</f>
        <v/>
      </c>
      <c r="D86" s="43">
        <f>B86+C86</f>
        <v/>
      </c>
    </row>
    <row r="87">
      <c r="A87" s="50" t="inlineStr">
        <is>
          <t>PRODUCTION</t>
        </is>
      </c>
      <c r="B87" s="43">
        <f>SUMIFS(tbl_Finance[Ex GST],tbl_Finance[Cost Centre],$A87,tbl_Finance[Xero Invoice No],"")</f>
        <v/>
      </c>
      <c r="C87" s="43">
        <f>SUMIFS(tbl_Won[Still to Invoice],tbl_Won[Cost Centre],$A87,tbl_Won[Status],"Won")</f>
        <v/>
      </c>
      <c r="D87" s="43">
        <f>B87+C87</f>
        <v/>
      </c>
    </row>
    <row r="88">
      <c r="A88" s="50" t="inlineStr">
        <is>
          <t>VIDEO</t>
        </is>
      </c>
      <c r="B88" s="43">
        <f>SUMIFS(tbl_Finance[Ex GST],tbl_Finance[Cost Centre],$A88,tbl_Finance[Xero Invoice No],"")</f>
        <v/>
      </c>
      <c r="C88" s="43">
        <f>SUMIFS(tbl_Won[Still to Invoice],tbl_Won[Cost Centre],$A88,tbl_Won[Status],"Won")</f>
        <v/>
      </c>
      <c r="D88" s="43">
        <f>B88+C88</f>
        <v/>
      </c>
    </row>
    <row r="89">
      <c r="A89" s="50" t="inlineStr">
        <is>
          <t>INTEGRATION</t>
        </is>
      </c>
      <c r="B89" s="43">
        <f>SUMIFS(tbl_Finance[Ex GST],tbl_Finance[Cost Centre],$A89,tbl_Finance[Xero Invoice No],"")</f>
        <v/>
      </c>
      <c r="C89" s="43">
        <f>SUMIFS(tbl_Won[Still to Invoice],tbl_Won[Cost Centre],$A89,tbl_Won[Status],"Won")</f>
        <v/>
      </c>
      <c r="D89" s="43">
        <f>B89+C89</f>
        <v/>
      </c>
    </row>
    <row r="90">
      <c r="A90" s="50" t="inlineStr">
        <is>
          <t>CONSULTING</t>
        </is>
      </c>
      <c r="B90" s="43">
        <f>SUMIFS(tbl_Finance[Ex GST],tbl_Finance[Cost Centre],$A90,tbl_Finance[Xero Invoice No],"")</f>
        <v/>
      </c>
      <c r="C90" s="43">
        <f>SUMIFS(tbl_Won[Still to Invoice],tbl_Won[Cost Centre],$A90,tbl_Won[Status],"Won")</f>
        <v/>
      </c>
      <c r="D90" s="43">
        <f>B90+C90</f>
        <v/>
      </c>
    </row>
    <row r="91">
      <c r="A91" s="50" t="inlineStr">
        <is>
          <t>CTS</t>
        </is>
      </c>
      <c r="B91" s="43">
        <f>SUMIFS(tbl_Finance[Ex GST],tbl_Finance[Cost Centre],$A91,tbl_Finance[Xero Invoice No],"")</f>
        <v/>
      </c>
      <c r="C91" s="43">
        <f>SUMIFS(tbl_Won[Still to Invoice],tbl_Won[Cost Centre],$A91,tbl_Won[Status],"Won")</f>
        <v/>
      </c>
      <c r="D91" s="43">
        <f>B91+C91</f>
        <v/>
      </c>
    </row>
    <row r="92">
      <c r="A92" s="51" t="inlineStr">
        <is>
          <t>TOTAL FORECAST</t>
        </is>
      </c>
      <c r="B92" s="42">
        <f>SUM(B86:B91)</f>
        <v/>
      </c>
      <c r="C92" s="42">
        <f>SUM(C86:C91)</f>
        <v/>
      </c>
      <c r="D92" s="42">
        <f>SUM(D86:D91)</f>
        <v/>
      </c>
    </row>
    <row r="93">
      <c r="A93" s="55" t="inlineStr">
        <is>
          <t>Department sheets  -  expected revenue not yet on Finance</t>
        </is>
      </c>
    </row>
    <row r="94">
      <c r="A94" s="41" t="inlineStr">
        <is>
          <t xml:space="preserve">   Onsite</t>
        </is>
      </c>
      <c r="D94" s="36">
        <f>SUM(tbl_Onsite[Not Yet on Finance])</f>
        <v/>
      </c>
    </row>
    <row r="95">
      <c r="A95" s="41" t="inlineStr">
        <is>
          <t xml:space="preserve">   Production</t>
        </is>
      </c>
      <c r="D95" s="36">
        <f>SUM(tbl_Production[Not Yet on Finance])</f>
        <v/>
      </c>
    </row>
    <row r="96">
      <c r="A96" s="41" t="inlineStr">
        <is>
          <t xml:space="preserve">   Consulting</t>
        </is>
      </c>
      <c r="D96" s="36">
        <f>SUM(tbl_Consulting[Not Yet on Finance])</f>
        <v/>
      </c>
    </row>
    <row r="97">
      <c r="A97" s="56" t="inlineStr">
        <is>
          <t>TOTAL FORECAST  -  everything with no invoice against it</t>
        </is>
      </c>
      <c r="D97" s="57">
        <f>$D$92+SUM($D$94:$D$96)</f>
        <v/>
      </c>
    </row>
    <row r="98">
      <c r="A98" s="41" t="inlineStr">
        <is>
          <t>Not in the forecast above  -  open opportunities, not yet won</t>
        </is>
      </c>
      <c r="D98" s="36">
        <f>SUMIFS(tbl_Won[Value Ex GST],tbl_Won[Status],"Open")</f>
        <v/>
      </c>
    </row>
    <row r="99">
      <c r="A99" s="41" t="inlineStr">
        <is>
          <t>Not in the forecast above  -  deferred revenue still to release (already invoiced)</t>
        </is>
      </c>
      <c r="D99" s="36">
        <f>-SUMIFS('Deferred Revenue'!$R$6:$R$607,'Deferred Revenue'!$T$6:$T$607,"&lt;&gt;Cost")</f>
        <v/>
      </c>
    </row>
    <row r="100">
      <c r="A100" s="41" t="inlineStr">
        <is>
          <t>Jobs on a department sheet with no invoice line at all (count)</t>
        </is>
      </c>
      <c r="D100" s="53">
        <f>COUNTIFS(tbl_Onsite[Job Number],"&lt;&gt;",tbl_Onsite[Lines on Job],0)+COUNTIFS(tbl_Production[Job Number],"&lt;&gt;",tbl_Production[Lines on Job],0)+COUNTIFS(tbl_Consulting[Job Number],"&lt;&gt;",tbl_Consulting[Lines on Job],0)</f>
        <v/>
      </c>
    </row>
    <row r="101">
      <c r="A101" s="32" t="inlineStr">
        <is>
          <t>Nothing here is revenue yet. Finance: to invoice is a line already on the Finance sheet with no invoice number on it. Won, not invoiced is the value won less everything Finance already holds against that job, so the two columns add up without counting the same work twice. The department lines are Expected Revenue Ex GST less whatever Finance already holds for that job, which is where a job still sitting in WIP shows up.</t>
        </is>
      </c>
    </row>
    <row r="103" ht="20" customHeight="1">
      <c r="A103" s="3" t="inlineStr">
        <is>
          <t>7.  SIGN-OFF</t>
        </is>
      </c>
    </row>
    <row r="104">
      <c r="A104" s="45" t="inlineStr">
        <is>
          <t>Prepared by</t>
        </is>
      </c>
      <c r="B104" s="58" t="n"/>
      <c r="C104" s="59" t="n"/>
      <c r="D104" s="52" t="n"/>
      <c r="E104" s="32" t="inlineStr">
        <is>
          <t>Accounts Assistant</t>
        </is>
      </c>
    </row>
    <row r="105">
      <c r="A105" s="45" t="inlineStr">
        <is>
          <t>Reviewed by</t>
        </is>
      </c>
      <c r="B105" s="58" t="n"/>
      <c r="C105" s="59" t="n"/>
      <c r="D105" s="52" t="n"/>
      <c r="E105" s="32" t="inlineStr">
        <is>
          <t>Finance Operations Manager</t>
        </is>
      </c>
    </row>
    <row r="106">
      <c r="A106" s="45" t="inlineStr">
        <is>
          <t>Date closed</t>
        </is>
      </c>
      <c r="B106" s="58" t="n"/>
      <c r="C106" s="59" t="n"/>
      <c r="D106" s="52" t="n"/>
    </row>
    <row r="107">
      <c r="A107" s="45" t="inlineStr">
        <is>
          <t>Notes / carried forward items</t>
        </is>
      </c>
      <c r="B107" s="58" t="n"/>
      <c r="C107" s="59" t="n"/>
      <c r="D107" s="52" t="n"/>
    </row>
  </sheetData>
  <mergeCells count="12">
    <mergeCell ref="B104:D104"/>
    <mergeCell ref="A71:I71"/>
    <mergeCell ref="A28:I28"/>
    <mergeCell ref="A103:I103"/>
    <mergeCell ref="A84:I84"/>
    <mergeCell ref="B107:D107"/>
    <mergeCell ref="A17:I17"/>
    <mergeCell ref="B105:D105"/>
    <mergeCell ref="A6:I6"/>
    <mergeCell ref="A53:I53"/>
    <mergeCell ref="B106:D106"/>
    <mergeCell ref="C64:D64"/>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51">
    <cfRule type="expression" priority="5" dxfId="1">
      <formula>I30="REVIEW"</formula>
    </cfRule>
    <cfRule type="expression" priority="6" dxfId="2">
      <formula>I30="Clear"</formula>
    </cfRule>
  </conditionalFormatting>
  <conditionalFormatting sqref="B30:B50">
    <cfRule type="cellIs" priority="7" operator="greaterThan" dxfId="0">
      <formula>0</formula>
    </cfRule>
  </conditionalFormatting>
  <conditionalFormatting sqref="E63">
    <cfRule type="expression" priority="8" dxfId="1">
      <formula>LEFT($E$63,5)="CHECK"</formula>
    </cfRule>
  </conditionalFormatting>
  <conditionalFormatting sqref="A62:D62">
    <cfRule type="expression" priority="9" dxfId="1">
      <formula>ROUND(N($C$62)+N($D$62),2)&lt;&gt;0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60">
        <f>'Month-End'!C4</f>
        <v/>
      </c>
      <c r="D4" s="32" t="inlineStr">
        <is>
          <t>&lt;- set this on the Month-End sheet</t>
        </is>
      </c>
    </row>
    <row r="6">
      <c r="A6" s="45" t="inlineStr">
        <is>
          <t>Opening total</t>
        </is>
      </c>
      <c r="B6" s="61">
        <f>SUMIFS(tbl_WIP[Amount],tbl_WIP[Month],"&lt;&gt;",tbl_WIP[Month],"&lt;"&amp;$C$4,tbl_WIP[Defer Start],"")+SUM('Deferred Revenue'!$P$6:$P$607)</f>
        <v/>
      </c>
    </row>
    <row r="7">
      <c r="A7" s="45" t="inlineStr">
        <is>
          <t>Movement this month</t>
        </is>
      </c>
      <c r="B7" s="61">
        <f>SUMIFS(tbl_WIP[Amount],tbl_WIP[Month],$C$4,tbl_WIP[Defer Start],"")+SUM('Deferred Revenue'!$Q$6:$Q$607)</f>
        <v/>
      </c>
    </row>
    <row r="8">
      <c r="A8" s="45" t="inlineStr">
        <is>
          <t>Closing total</t>
        </is>
      </c>
      <c r="B8" s="46">
        <f>B6+B7</f>
        <v/>
      </c>
    </row>
    <row r="9">
      <c r="A9" s="45" t="inlineStr">
        <is>
          <t>Of which is on a job Xero does not have - fix these</t>
        </is>
      </c>
      <c r="B9" s="61">
        <f>SUMIFS(tbl_WIP[Amount],tbl_WIP[Job in Xero?],"CHECK",tbl_WIP[Month],"&lt;="&amp;$C$4,tbl_WIP[Defer Start],"")</f>
        <v/>
      </c>
    </row>
    <row r="10">
      <c r="A10" s="45" t="inlineStr">
        <is>
          <t>Closing listed below, job by job</t>
        </is>
      </c>
      <c r="B10" s="46">
        <f>B8-B9</f>
        <v/>
      </c>
      <c r="D10" s="55">
        <f>COUNTIF($F$12:$F$434,"yes")&amp;" jobs carry a balance  -  filter column F to 'yes' to see only those"</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62" t="inlineStr">
        <is>
          <t>1144</t>
        </is>
      </c>
      <c r="B12" s="62" t="inlineStr">
        <is>
          <t>Bankwest PER Half Tech</t>
        </is>
      </c>
      <c r="C12" s="43">
        <f>SUMIFS(tbl_WIP[Amount],tbl_WIP[Job Number],$A12,tbl_WIP[Month],"&lt;&gt;",tbl_WIP[Month],"&lt;"&amp;$C$4,tbl_WIP[Defer Start],"")+SUMIF('Deferred Revenue'!$E$6:$E$607,$A12,'Deferred Revenue'!$P$6:$P$607)</f>
        <v/>
      </c>
      <c r="D12" s="43">
        <f>SUMIFS(tbl_WIP[Amount],tbl_WIP[Job Number],$A12,tbl_WIP[Month],$C$4,tbl_WIP[Defer Start],"")+SUMIF('Deferred Revenue'!$E$6:$E$607,$A12,'Deferred Revenue'!$Q$6:$Q$607)</f>
        <v/>
      </c>
      <c r="E12" s="43">
        <f>C12+D12</f>
        <v/>
      </c>
      <c r="F12" s="50">
        <f>IF(ROUND(C12,2)+ROUND(D12,2)=0,"","yes")</f>
        <v/>
      </c>
      <c r="G12" s="63" t="n"/>
      <c r="H12" s="43">
        <f>IF($G12="","",$E12-$G12)</f>
        <v/>
      </c>
    </row>
    <row r="13">
      <c r="A13" s="62" t="inlineStr">
        <is>
          <t>1350</t>
        </is>
      </c>
      <c r="B13" s="62" t="inlineStr">
        <is>
          <t>CBA Brisbane ONS</t>
        </is>
      </c>
      <c r="C13" s="43">
        <f>SUMIFS(tbl_WIP[Amount],tbl_WIP[Job Number],$A13,tbl_WIP[Month],"&lt;&gt;",tbl_WIP[Month],"&lt;"&amp;$C$4,tbl_WIP[Defer Start],"")+SUMIF('Deferred Revenue'!$E$6:$E$607,$A13,'Deferred Revenue'!$P$6:$P$607)</f>
        <v/>
      </c>
      <c r="D13" s="43">
        <f>SUMIFS(tbl_WIP[Amount],tbl_WIP[Job Number],$A13,tbl_WIP[Month],$C$4,tbl_WIP[Defer Start],"")+SUMIF('Deferred Revenue'!$E$6:$E$607,$A13,'Deferred Revenue'!$Q$6:$Q$607)</f>
        <v/>
      </c>
      <c r="E13" s="43">
        <f>C13+D13</f>
        <v/>
      </c>
      <c r="F13" s="50">
        <f>IF(ROUND(C13,2)+ROUND(D13,2)=0,"","yes")</f>
        <v/>
      </c>
      <c r="G13" s="63" t="n"/>
      <c r="H13" s="43">
        <f>IF($G13="","",$E13-$G13)</f>
        <v/>
      </c>
    </row>
    <row r="14">
      <c r="A14" s="62" t="inlineStr">
        <is>
          <t>1400</t>
        </is>
      </c>
      <c r="B14" s="62" t="inlineStr">
        <is>
          <t>DTTL Mel Tech FT 2</t>
        </is>
      </c>
      <c r="C14" s="43">
        <f>SUMIFS(tbl_WIP[Amount],tbl_WIP[Job Number],$A14,tbl_WIP[Month],"&lt;&gt;",tbl_WIP[Month],"&lt;"&amp;$C$4,tbl_WIP[Defer Start],"")+SUMIF('Deferred Revenue'!$E$6:$E$607,$A14,'Deferred Revenue'!$P$6:$P$607)</f>
        <v/>
      </c>
      <c r="D14" s="43">
        <f>SUMIFS(tbl_WIP[Amount],tbl_WIP[Job Number],$A14,tbl_WIP[Month],$C$4,tbl_WIP[Defer Start],"")+SUMIF('Deferred Revenue'!$E$6:$E$607,$A14,'Deferred Revenue'!$Q$6:$Q$607)</f>
        <v/>
      </c>
      <c r="E14" s="43">
        <f>C14+D14</f>
        <v/>
      </c>
      <c r="F14" s="50">
        <f>IF(ROUND(C14,2)+ROUND(D14,2)=0,"","yes")</f>
        <v/>
      </c>
      <c r="G14" s="63" t="n"/>
      <c r="H14" s="43">
        <f>IF($G14="","",$E14-$G14)</f>
        <v/>
      </c>
    </row>
    <row r="15">
      <c r="A15" s="62" t="inlineStr">
        <is>
          <t>1401</t>
        </is>
      </c>
      <c r="B15" s="62" t="inlineStr">
        <is>
          <t>DTTL SYD FT Tech 2</t>
        </is>
      </c>
      <c r="C15" s="43">
        <f>SUMIFS(tbl_WIP[Amount],tbl_WIP[Job Number],$A15,tbl_WIP[Month],"&lt;&gt;",tbl_WIP[Month],"&lt;"&amp;$C$4,tbl_WIP[Defer Start],"")+SUMIF('Deferred Revenue'!$E$6:$E$607,$A15,'Deferred Revenue'!$P$6:$P$607)</f>
        <v/>
      </c>
      <c r="D15" s="43">
        <f>SUMIFS(tbl_WIP[Amount],tbl_WIP[Job Number],$A15,tbl_WIP[Month],$C$4,tbl_WIP[Defer Start],"")+SUMIF('Deferred Revenue'!$E$6:$E$607,$A15,'Deferred Revenue'!$Q$6:$Q$607)</f>
        <v/>
      </c>
      <c r="E15" s="43">
        <f>C15+D15</f>
        <v/>
      </c>
      <c r="F15" s="50">
        <f>IF(ROUND(C15,2)+ROUND(D15,2)=0,"","yes")</f>
        <v/>
      </c>
      <c r="G15" s="63" t="n"/>
      <c r="H15" s="43">
        <f>IF($G15="","",$E15-$G15)</f>
        <v/>
      </c>
    </row>
    <row r="16">
      <c r="A16" s="62" t="inlineStr">
        <is>
          <t>1530</t>
        </is>
      </c>
      <c r="B16" s="62" t="inlineStr">
        <is>
          <t>DTTL BNE Onsite</t>
        </is>
      </c>
      <c r="C16" s="43">
        <f>SUMIFS(tbl_WIP[Amount],tbl_WIP[Job Number],$A16,tbl_WIP[Month],"&lt;&gt;",tbl_WIP[Month],"&lt;"&amp;$C$4,tbl_WIP[Defer Start],"")+SUMIF('Deferred Revenue'!$E$6:$E$607,$A16,'Deferred Revenue'!$P$6:$P$607)</f>
        <v/>
      </c>
      <c r="D16" s="43">
        <f>SUMIFS(tbl_WIP[Amount],tbl_WIP[Job Number],$A16,tbl_WIP[Month],$C$4,tbl_WIP[Defer Start],"")+SUMIF('Deferred Revenue'!$E$6:$E$607,$A16,'Deferred Revenue'!$Q$6:$Q$607)</f>
        <v/>
      </c>
      <c r="E16" s="43">
        <f>C16+D16</f>
        <v/>
      </c>
      <c r="F16" s="50">
        <f>IF(ROUND(C16,2)+ROUND(D16,2)=0,"","yes")</f>
        <v/>
      </c>
      <c r="G16" s="63" t="n"/>
      <c r="H16" s="43">
        <f>IF($G16="","",$E16-$G16)</f>
        <v/>
      </c>
    </row>
    <row r="17">
      <c r="A17" s="62" t="inlineStr">
        <is>
          <t>1668</t>
        </is>
      </c>
      <c r="B17" s="62" t="inlineStr">
        <is>
          <t>CBA Dedicated Tech</t>
        </is>
      </c>
      <c r="C17" s="43">
        <f>SUMIFS(tbl_WIP[Amount],tbl_WIP[Job Number],$A17,tbl_WIP[Month],"&lt;&gt;",tbl_WIP[Month],"&lt;"&amp;$C$4,tbl_WIP[Defer Start],"")+SUMIF('Deferred Revenue'!$E$6:$E$607,$A17,'Deferred Revenue'!$P$6:$P$607)</f>
        <v/>
      </c>
      <c r="D17" s="43">
        <f>SUMIFS(tbl_WIP[Amount],tbl_WIP[Job Number],$A17,tbl_WIP[Month],$C$4,tbl_WIP[Defer Start],"")+SUMIF('Deferred Revenue'!$E$6:$E$607,$A17,'Deferred Revenue'!$Q$6:$Q$607)</f>
        <v/>
      </c>
      <c r="E17" s="43">
        <f>C17+D17</f>
        <v/>
      </c>
      <c r="F17" s="50">
        <f>IF(ROUND(C17,2)+ROUND(D17,2)=0,"","yes")</f>
        <v/>
      </c>
      <c r="G17" s="63" t="n"/>
      <c r="H17" s="43">
        <f>IF($G17="","",$E17-$G17)</f>
        <v/>
      </c>
    </row>
    <row r="18">
      <c r="A18" s="62" t="inlineStr">
        <is>
          <t>1750</t>
        </is>
      </c>
      <c r="B18" s="62" t="inlineStr">
        <is>
          <t>Bankwest Spotify</t>
        </is>
      </c>
      <c r="C18" s="43">
        <f>SUMIFS(tbl_WIP[Amount],tbl_WIP[Job Number],$A18,tbl_WIP[Month],"&lt;&gt;",tbl_WIP[Month],"&lt;"&amp;$C$4,tbl_WIP[Defer Start],"")+SUMIF('Deferred Revenue'!$E$6:$E$607,$A18,'Deferred Revenue'!$P$6:$P$607)</f>
        <v/>
      </c>
      <c r="D18" s="43">
        <f>SUMIFS(tbl_WIP[Amount],tbl_WIP[Job Number],$A18,tbl_WIP[Month],$C$4,tbl_WIP[Defer Start],"")+SUMIF('Deferred Revenue'!$E$6:$E$607,$A18,'Deferred Revenue'!$Q$6:$Q$607)</f>
        <v/>
      </c>
      <c r="E18" s="43">
        <f>C18+D18</f>
        <v/>
      </c>
      <c r="F18" s="50">
        <f>IF(ROUND(C18,2)+ROUND(D18,2)=0,"","yes")</f>
        <v/>
      </c>
      <c r="G18" s="63" t="n"/>
      <c r="H18" s="43">
        <f>IF($G18="","",$E18-$G18)</f>
        <v/>
      </c>
    </row>
    <row r="19">
      <c r="A19" s="62" t="inlineStr">
        <is>
          <t>1755</t>
        </is>
      </c>
      <c r="B19" s="62" t="inlineStr">
        <is>
          <t>CBA Spotify</t>
        </is>
      </c>
      <c r="C19" s="43">
        <f>SUMIFS(tbl_WIP[Amount],tbl_WIP[Job Number],$A19,tbl_WIP[Month],"&lt;&gt;",tbl_WIP[Month],"&lt;"&amp;$C$4,tbl_WIP[Defer Start],"")+SUMIF('Deferred Revenue'!$E$6:$E$607,$A19,'Deferred Revenue'!$P$6:$P$607)</f>
        <v/>
      </c>
      <c r="D19" s="43">
        <f>SUMIFS(tbl_WIP[Amount],tbl_WIP[Job Number],$A19,tbl_WIP[Month],$C$4,tbl_WIP[Defer Start],"")+SUMIF('Deferred Revenue'!$E$6:$E$607,$A19,'Deferred Revenue'!$Q$6:$Q$607)</f>
        <v/>
      </c>
      <c r="E19" s="43">
        <f>C19+D19</f>
        <v/>
      </c>
      <c r="F19" s="50">
        <f>IF(ROUND(C19,2)+ROUND(D19,2)=0,"","yes")</f>
        <v/>
      </c>
      <c r="G19" s="63" t="n"/>
      <c r="H19" s="43">
        <f>IF($G19="","",$E19-$G19)</f>
        <v/>
      </c>
    </row>
    <row r="20">
      <c r="A20" s="62" t="inlineStr">
        <is>
          <t>1771</t>
        </is>
      </c>
      <c r="B20" s="62" t="inlineStr">
        <is>
          <t>Integration - Training</t>
        </is>
      </c>
      <c r="C20" s="43">
        <f>SUMIFS(tbl_WIP[Amount],tbl_WIP[Job Number],$A20,tbl_WIP[Month],"&lt;&gt;",tbl_WIP[Month],"&lt;"&amp;$C$4,tbl_WIP[Defer Start],"")+SUMIF('Deferred Revenue'!$E$6:$E$607,$A20,'Deferred Revenue'!$P$6:$P$607)</f>
        <v/>
      </c>
      <c r="D20" s="43">
        <f>SUMIFS(tbl_WIP[Amount],tbl_WIP[Job Number],$A20,tbl_WIP[Month],$C$4,tbl_WIP[Defer Start],"")+SUMIF('Deferred Revenue'!$E$6:$E$607,$A20,'Deferred Revenue'!$Q$6:$Q$607)</f>
        <v/>
      </c>
      <c r="E20" s="43">
        <f>C20+D20</f>
        <v/>
      </c>
      <c r="F20" s="50">
        <f>IF(ROUND(C20,2)+ROUND(D20,2)=0,"","yes")</f>
        <v/>
      </c>
      <c r="G20" s="63" t="n"/>
      <c r="H20" s="43">
        <f>IF($G20="","",$E20-$G20)</f>
        <v/>
      </c>
    </row>
    <row r="21">
      <c r="A21" s="62" t="inlineStr">
        <is>
          <t>1862</t>
        </is>
      </c>
      <c r="B21" s="62" t="inlineStr">
        <is>
          <t>DTTL ADL Onsite</t>
        </is>
      </c>
      <c r="C21" s="43">
        <f>SUMIFS(tbl_WIP[Amount],tbl_WIP[Job Number],$A21,tbl_WIP[Month],"&lt;&gt;",tbl_WIP[Month],"&lt;"&amp;$C$4,tbl_WIP[Defer Start],"")+SUMIF('Deferred Revenue'!$E$6:$E$607,$A21,'Deferred Revenue'!$P$6:$P$607)</f>
        <v/>
      </c>
      <c r="D21" s="43">
        <f>SUMIFS(tbl_WIP[Amount],tbl_WIP[Job Number],$A21,tbl_WIP[Month],$C$4,tbl_WIP[Defer Start],"")+SUMIF('Deferred Revenue'!$E$6:$E$607,$A21,'Deferred Revenue'!$Q$6:$Q$607)</f>
        <v/>
      </c>
      <c r="E21" s="43">
        <f>C21+D21</f>
        <v/>
      </c>
      <c r="F21" s="50">
        <f>IF(ROUND(C21,2)+ROUND(D21,2)=0,"","yes")</f>
        <v/>
      </c>
      <c r="G21" s="63" t="n"/>
      <c r="H21" s="43">
        <f>IF($G21="","",$E21-$G21)</f>
        <v/>
      </c>
    </row>
    <row r="22">
      <c r="A22" s="62" t="inlineStr">
        <is>
          <t>20250731</t>
        </is>
      </c>
      <c r="B22" s="62" t="inlineStr">
        <is>
          <t>PWC National Pool of Hours</t>
        </is>
      </c>
      <c r="C22" s="43">
        <f>SUMIFS(tbl_WIP[Amount],tbl_WIP[Job Number],$A22,tbl_WIP[Month],"&lt;&gt;",tbl_WIP[Month],"&lt;"&amp;$C$4,tbl_WIP[Defer Start],"")+SUMIF('Deferred Revenue'!$E$6:$E$607,$A22,'Deferred Revenue'!$P$6:$P$607)</f>
        <v/>
      </c>
      <c r="D22" s="43">
        <f>SUMIFS(tbl_WIP[Amount],tbl_WIP[Job Number],$A22,tbl_WIP[Month],$C$4,tbl_WIP[Defer Start],"")+SUMIF('Deferred Revenue'!$E$6:$E$607,$A22,'Deferred Revenue'!$Q$6:$Q$607)</f>
        <v/>
      </c>
      <c r="E22" s="43">
        <f>C22+D22</f>
        <v/>
      </c>
      <c r="F22" s="50">
        <f>IF(ROUND(C22,2)+ROUND(D22,2)=0,"","yes")</f>
        <v/>
      </c>
      <c r="G22" s="63" t="n"/>
      <c r="H22" s="43">
        <f>IF($G22="","",$E22-$G22)</f>
        <v/>
      </c>
    </row>
    <row r="23">
      <c r="A23" s="62" t="inlineStr">
        <is>
          <t>2026021101</t>
        </is>
      </c>
      <c r="B23" s="62" t="inlineStr">
        <is>
          <t>AusPayNet Quarterly AV Support &amp; Maintenance 2026</t>
        </is>
      </c>
      <c r="C23" s="43">
        <f>SUMIFS(tbl_WIP[Amount],tbl_WIP[Job Number],$A23,tbl_WIP[Month],"&lt;&gt;",tbl_WIP[Month],"&lt;"&amp;$C$4,tbl_WIP[Defer Start],"")+SUMIF('Deferred Revenue'!$E$6:$E$607,$A23,'Deferred Revenue'!$P$6:$P$607)</f>
        <v/>
      </c>
      <c r="D23" s="43">
        <f>SUMIFS(tbl_WIP[Amount],tbl_WIP[Job Number],$A23,tbl_WIP[Month],$C$4,tbl_WIP[Defer Start],"")+SUMIF('Deferred Revenue'!$E$6:$E$607,$A23,'Deferred Revenue'!$Q$6:$Q$607)</f>
        <v/>
      </c>
      <c r="E23" s="43">
        <f>C23+D23</f>
        <v/>
      </c>
      <c r="F23" s="50">
        <f>IF(ROUND(C23,2)+ROUND(D23,2)=0,"","yes")</f>
        <v/>
      </c>
      <c r="G23" s="63" t="n"/>
      <c r="H23" s="43">
        <f>IF($G23="","",$E23-$G23)</f>
        <v/>
      </c>
    </row>
    <row r="24">
      <c r="A24" s="62" t="inlineStr">
        <is>
          <t>20260801</t>
        </is>
      </c>
      <c r="B24" s="62" t="inlineStr">
        <is>
          <t>CTS Day 2026</t>
        </is>
      </c>
      <c r="C24" s="43">
        <f>SUMIFS(tbl_WIP[Amount],tbl_WIP[Job Number],$A24,tbl_WIP[Month],"&lt;&gt;",tbl_WIP[Month],"&lt;"&amp;$C$4,tbl_WIP[Defer Start],"")+SUMIF('Deferred Revenue'!$E$6:$E$607,$A24,'Deferred Revenue'!$P$6:$P$607)</f>
        <v/>
      </c>
      <c r="D24" s="43">
        <f>SUMIFS(tbl_WIP[Amount],tbl_WIP[Job Number],$A24,tbl_WIP[Month],$C$4,tbl_WIP[Defer Start],"")+SUMIF('Deferred Revenue'!$E$6:$E$607,$A24,'Deferred Revenue'!$Q$6:$Q$607)</f>
        <v/>
      </c>
      <c r="E24" s="43">
        <f>C24+D24</f>
        <v/>
      </c>
      <c r="F24" s="50">
        <f>IF(ROUND(C24,2)+ROUND(D24,2)=0,"","yes")</f>
        <v/>
      </c>
      <c r="G24" s="63" t="n"/>
      <c r="H24" s="43">
        <f>IF($G24="","",$E24-$G24)</f>
        <v/>
      </c>
    </row>
    <row r="25">
      <c r="A25" s="62" t="inlineStr">
        <is>
          <t>2192</t>
        </is>
      </c>
      <c r="B25" s="62" t="inlineStr">
        <is>
          <t>Bankwest Additional Tech</t>
        </is>
      </c>
      <c r="C25" s="43">
        <f>SUMIFS(tbl_WIP[Amount],tbl_WIP[Job Number],$A25,tbl_WIP[Month],"&lt;&gt;",tbl_WIP[Month],"&lt;"&amp;$C$4,tbl_WIP[Defer Start],"")+SUMIF('Deferred Revenue'!$E$6:$E$607,$A25,'Deferred Revenue'!$P$6:$P$607)</f>
        <v/>
      </c>
      <c r="D25" s="43">
        <f>SUMIFS(tbl_WIP[Amount],tbl_WIP[Job Number],$A25,tbl_WIP[Month],$C$4,tbl_WIP[Defer Start],"")+SUMIF('Deferred Revenue'!$E$6:$E$607,$A25,'Deferred Revenue'!$Q$6:$Q$607)</f>
        <v/>
      </c>
      <c r="E25" s="43">
        <f>C25+D25</f>
        <v/>
      </c>
      <c r="F25" s="50">
        <f>IF(ROUND(C25,2)+ROUND(D25,2)=0,"","yes")</f>
        <v/>
      </c>
      <c r="G25" s="63" t="n"/>
      <c r="H25" s="43">
        <f>IF($G25="","",$E25-$G25)</f>
        <v/>
      </c>
    </row>
    <row r="26">
      <c r="A26" s="62" t="inlineStr">
        <is>
          <t>2347</t>
        </is>
      </c>
      <c r="B26" s="62" t="inlineStr">
        <is>
          <t>DTTL Dedicated Tech</t>
        </is>
      </c>
      <c r="C26" s="43">
        <f>SUMIFS(tbl_WIP[Amount],tbl_WIP[Job Number],$A26,tbl_WIP[Month],"&lt;&gt;",tbl_WIP[Month],"&lt;"&amp;$C$4,tbl_WIP[Defer Start],"")+SUMIF('Deferred Revenue'!$E$6:$E$607,$A26,'Deferred Revenue'!$P$6:$P$607)</f>
        <v/>
      </c>
      <c r="D26" s="43">
        <f>SUMIFS(tbl_WIP[Amount],tbl_WIP[Job Number],$A26,tbl_WIP[Month],$C$4,tbl_WIP[Defer Start],"")+SUMIF('Deferred Revenue'!$E$6:$E$607,$A26,'Deferred Revenue'!$Q$6:$Q$607)</f>
        <v/>
      </c>
      <c r="E26" s="43">
        <f>C26+D26</f>
        <v/>
      </c>
      <c r="F26" s="50">
        <f>IF(ROUND(C26,2)+ROUND(D26,2)=0,"","yes")</f>
        <v/>
      </c>
      <c r="G26" s="63" t="n"/>
      <c r="H26" s="43">
        <f>IF($G26="","",$E26-$G26)</f>
        <v/>
      </c>
    </row>
    <row r="27">
      <c r="A27" s="62" t="inlineStr">
        <is>
          <t>2392</t>
        </is>
      </c>
      <c r="B27" s="62" t="inlineStr">
        <is>
          <t>PWC – MEL Technician</t>
        </is>
      </c>
      <c r="C27" s="43">
        <f>SUMIFS(tbl_WIP[Amount],tbl_WIP[Job Number],$A27,tbl_WIP[Month],"&lt;&gt;",tbl_WIP[Month],"&lt;"&amp;$C$4,tbl_WIP[Defer Start],"")+SUMIF('Deferred Revenue'!$E$6:$E$607,$A27,'Deferred Revenue'!$P$6:$P$607)</f>
        <v/>
      </c>
      <c r="D27" s="43">
        <f>SUMIFS(tbl_WIP[Amount],tbl_WIP[Job Number],$A27,tbl_WIP[Month],$C$4,tbl_WIP[Defer Start],"")+SUMIF('Deferred Revenue'!$E$6:$E$607,$A27,'Deferred Revenue'!$Q$6:$Q$607)</f>
        <v/>
      </c>
      <c r="E27" s="43">
        <f>C27+D27</f>
        <v/>
      </c>
      <c r="F27" s="50">
        <f>IF(ROUND(C27,2)+ROUND(D27,2)=0,"","yes")</f>
        <v/>
      </c>
      <c r="G27" s="63" t="n"/>
      <c r="H27" s="43">
        <f>IF($G27="","",$E27-$G27)</f>
        <v/>
      </c>
    </row>
    <row r="28">
      <c r="A28" s="62" t="inlineStr">
        <is>
          <t>2402</t>
        </is>
      </c>
      <c r="B28" s="62" t="inlineStr">
        <is>
          <t>DTTL SYD FT Tech 1</t>
        </is>
      </c>
      <c r="C28" s="43">
        <f>SUMIFS(tbl_WIP[Amount],tbl_WIP[Job Number],$A28,tbl_WIP[Month],"&lt;&gt;",tbl_WIP[Month],"&lt;"&amp;$C$4,tbl_WIP[Defer Start],"")+SUMIF('Deferred Revenue'!$E$6:$E$607,$A28,'Deferred Revenue'!$P$6:$P$607)</f>
        <v/>
      </c>
      <c r="D28" s="43">
        <f>SUMIFS(tbl_WIP[Amount],tbl_WIP[Job Number],$A28,tbl_WIP[Month],$C$4,tbl_WIP[Defer Start],"")+SUMIF('Deferred Revenue'!$E$6:$E$607,$A28,'Deferred Revenue'!$Q$6:$Q$607)</f>
        <v/>
      </c>
      <c r="E28" s="43">
        <f>C28+D28</f>
        <v/>
      </c>
      <c r="F28" s="50">
        <f>IF(ROUND(C28,2)+ROUND(D28,2)=0,"","yes")</f>
        <v/>
      </c>
      <c r="G28" s="63" t="n"/>
      <c r="H28" s="43">
        <f>IF($G28="","",$E28-$G28)</f>
        <v/>
      </c>
    </row>
    <row r="29">
      <c r="A29" s="62" t="inlineStr">
        <is>
          <t>2407312</t>
        </is>
      </c>
      <c r="B29" s="62" t="inlineStr">
        <is>
          <t>Hills Performance Centre</t>
        </is>
      </c>
      <c r="C29" s="43">
        <f>SUMIFS(tbl_WIP[Amount],tbl_WIP[Job Number],$A29,tbl_WIP[Month],"&lt;&gt;",tbl_WIP[Month],"&lt;"&amp;$C$4,tbl_WIP[Defer Start],"")+SUMIF('Deferred Revenue'!$E$6:$E$607,$A29,'Deferred Revenue'!$P$6:$P$607)</f>
        <v/>
      </c>
      <c r="D29" s="43">
        <f>SUMIFS(tbl_WIP[Amount],tbl_WIP[Job Number],$A29,tbl_WIP[Month],$C$4,tbl_WIP[Defer Start],"")+SUMIF('Deferred Revenue'!$E$6:$E$607,$A29,'Deferred Revenue'!$Q$6:$Q$607)</f>
        <v/>
      </c>
      <c r="E29" s="43">
        <f>C29+D29</f>
        <v/>
      </c>
      <c r="F29" s="50">
        <f>IF(ROUND(C29,2)+ROUND(D29,2)=0,"","yes")</f>
        <v/>
      </c>
      <c r="G29" s="63" t="n"/>
      <c r="H29" s="43">
        <f>IF($G29="","",$E29-$G29)</f>
        <v/>
      </c>
    </row>
    <row r="30">
      <c r="A30" s="62" t="inlineStr">
        <is>
          <t>24102501</t>
        </is>
      </c>
      <c r="B30" s="62" t="inlineStr">
        <is>
          <t>PWC - MEL Tech 12Months</t>
        </is>
      </c>
      <c r="C30" s="43">
        <f>SUMIFS(tbl_WIP[Amount],tbl_WIP[Job Number],$A30,tbl_WIP[Month],"&lt;&gt;",tbl_WIP[Month],"&lt;"&amp;$C$4,tbl_WIP[Defer Start],"")+SUMIF('Deferred Revenue'!$E$6:$E$607,$A30,'Deferred Revenue'!$P$6:$P$607)</f>
        <v/>
      </c>
      <c r="D30" s="43">
        <f>SUMIFS(tbl_WIP[Amount],tbl_WIP[Job Number],$A30,tbl_WIP[Month],$C$4,tbl_WIP[Defer Start],"")+SUMIF('Deferred Revenue'!$E$6:$E$607,$A30,'Deferred Revenue'!$Q$6:$Q$607)</f>
        <v/>
      </c>
      <c r="E30" s="43">
        <f>C30+D30</f>
        <v/>
      </c>
      <c r="F30" s="50">
        <f>IF(ROUND(C30,2)+ROUND(D30,2)=0,"","yes")</f>
        <v/>
      </c>
      <c r="G30" s="63" t="n"/>
      <c r="H30" s="43">
        <f>IF($G30="","",$E30-$G30)</f>
        <v/>
      </c>
    </row>
    <row r="31">
      <c r="A31" s="62" t="inlineStr">
        <is>
          <t>24121001</t>
        </is>
      </c>
      <c r="B31" s="62" t="inlineStr">
        <is>
          <t>BW PER Studio Equipment Supply</t>
        </is>
      </c>
      <c r="C31" s="43">
        <f>SUMIFS(tbl_WIP[Amount],tbl_WIP[Job Number],$A31,tbl_WIP[Month],"&lt;&gt;",tbl_WIP[Month],"&lt;"&amp;$C$4,tbl_WIP[Defer Start],"")+SUMIF('Deferred Revenue'!$E$6:$E$607,$A31,'Deferred Revenue'!$P$6:$P$607)</f>
        <v/>
      </c>
      <c r="D31" s="43">
        <f>SUMIFS(tbl_WIP[Amount],tbl_WIP[Job Number],$A31,tbl_WIP[Month],$C$4,tbl_WIP[Defer Start],"")+SUMIF('Deferred Revenue'!$E$6:$E$607,$A31,'Deferred Revenue'!$Q$6:$Q$607)</f>
        <v/>
      </c>
      <c r="E31" s="43">
        <f>C31+D31</f>
        <v/>
      </c>
      <c r="F31" s="50">
        <f>IF(ROUND(C31,2)+ROUND(D31,2)=0,"","yes")</f>
        <v/>
      </c>
      <c r="G31" s="63" t="n"/>
      <c r="H31" s="43">
        <f>IF($G31="","",$E31-$G31)</f>
        <v/>
      </c>
    </row>
    <row r="32">
      <c r="A32" s="62" t="inlineStr">
        <is>
          <t>2479</t>
        </is>
      </c>
      <c r="B32" s="62" t="inlineStr">
        <is>
          <t>CONSULTING - Quotes</t>
        </is>
      </c>
      <c r="C32" s="43">
        <f>SUMIFS(tbl_WIP[Amount],tbl_WIP[Job Number],$A32,tbl_WIP[Month],"&lt;&gt;",tbl_WIP[Month],"&lt;"&amp;$C$4,tbl_WIP[Defer Start],"")+SUMIF('Deferred Revenue'!$E$6:$E$607,$A32,'Deferred Revenue'!$P$6:$P$607)</f>
        <v/>
      </c>
      <c r="D32" s="43">
        <f>SUMIFS(tbl_WIP[Amount],tbl_WIP[Job Number],$A32,tbl_WIP[Month],$C$4,tbl_WIP[Defer Start],"")+SUMIF('Deferred Revenue'!$E$6:$E$607,$A32,'Deferred Revenue'!$Q$6:$Q$607)</f>
        <v/>
      </c>
      <c r="E32" s="43">
        <f>C32+D32</f>
        <v/>
      </c>
      <c r="F32" s="50">
        <f>IF(ROUND(C32,2)+ROUND(D32,2)=0,"","yes")</f>
        <v/>
      </c>
      <c r="G32" s="63" t="n"/>
      <c r="H32" s="43">
        <f>IF($G32="","",$E32-$G32)</f>
        <v/>
      </c>
    </row>
    <row r="33">
      <c r="A33" s="62" t="inlineStr">
        <is>
          <t>2480</t>
        </is>
      </c>
      <c r="B33" s="62" t="inlineStr">
        <is>
          <t>ONSITE - Quotes</t>
        </is>
      </c>
      <c r="C33" s="43">
        <f>SUMIFS(tbl_WIP[Amount],tbl_WIP[Job Number],$A33,tbl_WIP[Month],"&lt;&gt;",tbl_WIP[Month],"&lt;"&amp;$C$4,tbl_WIP[Defer Start],"")+SUMIF('Deferred Revenue'!$E$6:$E$607,$A33,'Deferred Revenue'!$P$6:$P$607)</f>
        <v/>
      </c>
      <c r="D33" s="43">
        <f>SUMIFS(tbl_WIP[Amount],tbl_WIP[Job Number],$A33,tbl_WIP[Month],$C$4,tbl_WIP[Defer Start],"")+SUMIF('Deferred Revenue'!$E$6:$E$607,$A33,'Deferred Revenue'!$Q$6:$Q$607)</f>
        <v/>
      </c>
      <c r="E33" s="43">
        <f>C33+D33</f>
        <v/>
      </c>
      <c r="F33" s="50">
        <f>IF(ROUND(C33,2)+ROUND(D33,2)=0,"","yes")</f>
        <v/>
      </c>
      <c r="G33" s="63" t="n"/>
      <c r="H33" s="43">
        <f>IF($G33="","",$E33-$G33)</f>
        <v/>
      </c>
    </row>
    <row r="34">
      <c r="A34" s="62" t="inlineStr">
        <is>
          <t>2481</t>
        </is>
      </c>
      <c r="B34" s="62" t="inlineStr">
        <is>
          <t>Production - Quotes</t>
        </is>
      </c>
      <c r="C34" s="43">
        <f>SUMIFS(tbl_WIP[Amount],tbl_WIP[Job Number],$A34,tbl_WIP[Month],"&lt;&gt;",tbl_WIP[Month],"&lt;"&amp;$C$4,tbl_WIP[Defer Start],"")+SUMIF('Deferred Revenue'!$E$6:$E$607,$A34,'Deferred Revenue'!$P$6:$P$607)</f>
        <v/>
      </c>
      <c r="D34" s="43">
        <f>SUMIFS(tbl_WIP[Amount],tbl_WIP[Job Number],$A34,tbl_WIP[Month],$C$4,tbl_WIP[Defer Start],"")+SUMIF('Deferred Revenue'!$E$6:$E$607,$A34,'Deferred Revenue'!$Q$6:$Q$607)</f>
        <v/>
      </c>
      <c r="E34" s="43">
        <f>C34+D34</f>
        <v/>
      </c>
      <c r="F34" s="50">
        <f>IF(ROUND(C34,2)+ROUND(D34,2)=0,"","yes")</f>
        <v/>
      </c>
      <c r="G34" s="63" t="n"/>
      <c r="H34" s="43">
        <f>IF($G34="","",$E34-$G34)</f>
        <v/>
      </c>
    </row>
    <row r="35">
      <c r="A35" s="62" t="inlineStr">
        <is>
          <t>2482</t>
        </is>
      </c>
      <c r="B35" s="62" t="inlineStr">
        <is>
          <t>VIDEO - Quotes</t>
        </is>
      </c>
      <c r="C35" s="43">
        <f>SUMIFS(tbl_WIP[Amount],tbl_WIP[Job Number],$A35,tbl_WIP[Month],"&lt;&gt;",tbl_WIP[Month],"&lt;"&amp;$C$4,tbl_WIP[Defer Start],"")+SUMIF('Deferred Revenue'!$E$6:$E$607,$A35,'Deferred Revenue'!$P$6:$P$607)</f>
        <v/>
      </c>
      <c r="D35" s="43">
        <f>SUMIFS(tbl_WIP[Amount],tbl_WIP[Job Number],$A35,tbl_WIP[Month],$C$4,tbl_WIP[Defer Start],"")+SUMIF('Deferred Revenue'!$E$6:$E$607,$A35,'Deferred Revenue'!$Q$6:$Q$607)</f>
        <v/>
      </c>
      <c r="E35" s="43">
        <f>C35+D35</f>
        <v/>
      </c>
      <c r="F35" s="50">
        <f>IF(ROUND(C35,2)+ROUND(D35,2)=0,"","yes")</f>
        <v/>
      </c>
      <c r="G35" s="63" t="n"/>
      <c r="H35" s="43">
        <f>IF($G35="","",$E35-$G35)</f>
        <v/>
      </c>
    </row>
    <row r="36">
      <c r="A36" s="62" t="inlineStr">
        <is>
          <t>2488</t>
        </is>
      </c>
      <c r="B36" s="62" t="inlineStr">
        <is>
          <t>PWC IT P/T BNE</t>
        </is>
      </c>
      <c r="C36" s="43">
        <f>SUMIFS(tbl_WIP[Amount],tbl_WIP[Job Number],$A36,tbl_WIP[Month],"&lt;&gt;",tbl_WIP[Month],"&lt;"&amp;$C$4,tbl_WIP[Defer Start],"")+SUMIF('Deferred Revenue'!$E$6:$E$607,$A36,'Deferred Revenue'!$P$6:$P$607)</f>
        <v/>
      </c>
      <c r="D36" s="43">
        <f>SUMIFS(tbl_WIP[Amount],tbl_WIP[Job Number],$A36,tbl_WIP[Month],$C$4,tbl_WIP[Defer Start],"")+SUMIF('Deferred Revenue'!$E$6:$E$607,$A36,'Deferred Revenue'!$Q$6:$Q$607)</f>
        <v/>
      </c>
      <c r="E36" s="43">
        <f>C36+D36</f>
        <v/>
      </c>
      <c r="F36" s="50">
        <f>IF(ROUND(C36,2)+ROUND(D36,2)=0,"","yes")</f>
        <v/>
      </c>
      <c r="G36" s="63" t="n"/>
      <c r="H36" s="43">
        <f>IF($G36="","",$E36-$G36)</f>
        <v/>
      </c>
    </row>
    <row r="37">
      <c r="A37" s="62" t="inlineStr">
        <is>
          <t>25011601</t>
        </is>
      </c>
      <c r="B37" s="62" t="inlineStr">
        <is>
          <t>DTTL Hobart ITS AV Ref</t>
        </is>
      </c>
      <c r="C37" s="43">
        <f>SUMIFS(tbl_WIP[Amount],tbl_WIP[Job Number],$A37,tbl_WIP[Month],"&lt;&gt;",tbl_WIP[Month],"&lt;"&amp;$C$4,tbl_WIP[Defer Start],"")+SUMIF('Deferred Revenue'!$E$6:$E$607,$A37,'Deferred Revenue'!$P$6:$P$607)</f>
        <v/>
      </c>
      <c r="D37" s="43">
        <f>SUMIFS(tbl_WIP[Amount],tbl_WIP[Job Number],$A37,tbl_WIP[Month],$C$4,tbl_WIP[Defer Start],"")+SUMIF('Deferred Revenue'!$E$6:$E$607,$A37,'Deferred Revenue'!$Q$6:$Q$607)</f>
        <v/>
      </c>
      <c r="E37" s="43">
        <f>C37+D37</f>
        <v/>
      </c>
      <c r="F37" s="50">
        <f>IF(ROUND(C37,2)+ROUND(D37,2)=0,"","yes")</f>
        <v/>
      </c>
      <c r="G37" s="63" t="n"/>
      <c r="H37" s="43">
        <f>IF($G37="","",$E37-$G37)</f>
        <v/>
      </c>
    </row>
    <row r="38">
      <c r="A38" s="62" t="inlineStr">
        <is>
          <t>2501738</t>
        </is>
      </c>
      <c r="B38" s="62" t="inlineStr">
        <is>
          <t>APA HYR25 &amp; FYR25</t>
        </is>
      </c>
      <c r="C38" s="43">
        <f>SUMIFS(tbl_WIP[Amount],tbl_WIP[Job Number],$A38,tbl_WIP[Month],"&lt;&gt;",tbl_WIP[Month],"&lt;"&amp;$C$4,tbl_WIP[Defer Start],"")+SUMIF('Deferred Revenue'!$E$6:$E$607,$A38,'Deferred Revenue'!$P$6:$P$607)</f>
        <v/>
      </c>
      <c r="D38" s="43">
        <f>SUMIFS(tbl_WIP[Amount],tbl_WIP[Job Number],$A38,tbl_WIP[Month],$C$4,tbl_WIP[Defer Start],"")+SUMIF('Deferred Revenue'!$E$6:$E$607,$A38,'Deferred Revenue'!$Q$6:$Q$607)</f>
        <v/>
      </c>
      <c r="E38" s="43">
        <f>C38+D38</f>
        <v/>
      </c>
      <c r="F38" s="50">
        <f>IF(ROUND(C38,2)+ROUND(D38,2)=0,"","yes")</f>
        <v/>
      </c>
      <c r="G38" s="63" t="n"/>
      <c r="H38" s="43">
        <f>IF($G38="","",$E38-$G38)</f>
        <v/>
      </c>
    </row>
    <row r="39">
      <c r="A39" s="62" t="inlineStr">
        <is>
          <t>2502</t>
        </is>
      </c>
      <c r="B39" s="62" t="inlineStr">
        <is>
          <t>ONS CBA (non-chargeable)</t>
        </is>
      </c>
      <c r="C39" s="43">
        <f>SUMIFS(tbl_WIP[Amount],tbl_WIP[Job Number],$A39,tbl_WIP[Month],"&lt;&gt;",tbl_WIP[Month],"&lt;"&amp;$C$4,tbl_WIP[Defer Start],"")+SUMIF('Deferred Revenue'!$E$6:$E$607,$A39,'Deferred Revenue'!$P$6:$P$607)</f>
        <v/>
      </c>
      <c r="D39" s="43">
        <f>SUMIFS(tbl_WIP[Amount],tbl_WIP[Job Number],$A39,tbl_WIP[Month],$C$4,tbl_WIP[Defer Start],"")+SUMIF('Deferred Revenue'!$E$6:$E$607,$A39,'Deferred Revenue'!$Q$6:$Q$607)</f>
        <v/>
      </c>
      <c r="E39" s="43">
        <f>C39+D39</f>
        <v/>
      </c>
      <c r="F39" s="50">
        <f>IF(ROUND(C39,2)+ROUND(D39,2)=0,"","yes")</f>
        <v/>
      </c>
      <c r="G39" s="63" t="n"/>
      <c r="H39" s="43">
        <f>IF($G39="","",$E39-$G39)</f>
        <v/>
      </c>
    </row>
    <row r="40">
      <c r="A40" s="62" t="inlineStr">
        <is>
          <t>25021901</t>
        </is>
      </c>
      <c r="B40" s="62" t="inlineStr">
        <is>
          <t>DAFF Technology Standard</t>
        </is>
      </c>
      <c r="C40" s="43">
        <f>SUMIFS(tbl_WIP[Amount],tbl_WIP[Job Number],$A40,tbl_WIP[Month],"&lt;&gt;",tbl_WIP[Month],"&lt;"&amp;$C$4,tbl_WIP[Defer Start],"")+SUMIF('Deferred Revenue'!$E$6:$E$607,$A40,'Deferred Revenue'!$P$6:$P$607)</f>
        <v/>
      </c>
      <c r="D40" s="43">
        <f>SUMIFS(tbl_WIP[Amount],tbl_WIP[Job Number],$A40,tbl_WIP[Month],$C$4,tbl_WIP[Defer Start],"")+SUMIF('Deferred Revenue'!$E$6:$E$607,$A40,'Deferred Revenue'!$Q$6:$Q$607)</f>
        <v/>
      </c>
      <c r="E40" s="43">
        <f>C40+D40</f>
        <v/>
      </c>
      <c r="F40" s="50">
        <f>IF(ROUND(C40,2)+ROUND(D40,2)=0,"","yes")</f>
        <v/>
      </c>
      <c r="G40" s="63" t="n"/>
      <c r="H40" s="43">
        <f>IF($G40="","",$E40-$G40)</f>
        <v/>
      </c>
    </row>
    <row r="41">
      <c r="A41" s="62" t="inlineStr">
        <is>
          <t>2503</t>
        </is>
      </c>
      <c r="B41" s="62" t="inlineStr">
        <is>
          <t>ONS DTTL (non-chargeable)</t>
        </is>
      </c>
      <c r="C41" s="43">
        <f>SUMIFS(tbl_WIP[Amount],tbl_WIP[Job Number],$A41,tbl_WIP[Month],"&lt;&gt;",tbl_WIP[Month],"&lt;"&amp;$C$4,tbl_WIP[Defer Start],"")+SUMIF('Deferred Revenue'!$E$6:$E$607,$A41,'Deferred Revenue'!$P$6:$P$607)</f>
        <v/>
      </c>
      <c r="D41" s="43">
        <f>SUMIFS(tbl_WIP[Amount],tbl_WIP[Job Number],$A41,tbl_WIP[Month],$C$4,tbl_WIP[Defer Start],"")+SUMIF('Deferred Revenue'!$E$6:$E$607,$A41,'Deferred Revenue'!$Q$6:$Q$607)</f>
        <v/>
      </c>
      <c r="E41" s="43">
        <f>C41+D41</f>
        <v/>
      </c>
      <c r="F41" s="50">
        <f>IF(ROUND(C41,2)+ROUND(D41,2)=0,"","yes")</f>
        <v/>
      </c>
      <c r="G41" s="63" t="n"/>
      <c r="H41" s="43">
        <f>IF($G41="","",$E41-$G41)</f>
        <v/>
      </c>
    </row>
    <row r="42">
      <c r="A42" s="62" t="inlineStr">
        <is>
          <t>25032701</t>
        </is>
      </c>
      <c r="B42" s="62" t="inlineStr">
        <is>
          <t>St Catherines Chargeable</t>
        </is>
      </c>
      <c r="C42" s="43">
        <f>SUMIFS(tbl_WIP[Amount],tbl_WIP[Job Number],$A42,tbl_WIP[Month],"&lt;&gt;",tbl_WIP[Month],"&lt;"&amp;$C$4,tbl_WIP[Defer Start],"")+SUMIF('Deferred Revenue'!$E$6:$E$607,$A42,'Deferred Revenue'!$P$6:$P$607)</f>
        <v/>
      </c>
      <c r="D42" s="43">
        <f>SUMIFS(tbl_WIP[Amount],tbl_WIP[Job Number],$A42,tbl_WIP[Month],$C$4,tbl_WIP[Defer Start],"")+SUMIF('Deferred Revenue'!$E$6:$E$607,$A42,'Deferred Revenue'!$Q$6:$Q$607)</f>
        <v/>
      </c>
      <c r="E42" s="43">
        <f>C42+D42</f>
        <v/>
      </c>
      <c r="F42" s="50">
        <f>IF(ROUND(C42,2)+ROUND(D42,2)=0,"","yes")</f>
        <v/>
      </c>
      <c r="G42" s="63" t="n"/>
      <c r="H42" s="43">
        <f>IF($G42="","",$E42-$G42)</f>
        <v/>
      </c>
    </row>
    <row r="43">
      <c r="A43" s="62" t="inlineStr">
        <is>
          <t>25032701NC</t>
        </is>
      </c>
      <c r="B43" s="62" t="inlineStr">
        <is>
          <t>St Catherines Non-Chgble</t>
        </is>
      </c>
      <c r="C43" s="43">
        <f>SUMIFS(tbl_WIP[Amount],tbl_WIP[Job Number],$A43,tbl_WIP[Month],"&lt;&gt;",tbl_WIP[Month],"&lt;"&amp;$C$4,tbl_WIP[Defer Start],"")+SUMIF('Deferred Revenue'!$E$6:$E$607,$A43,'Deferred Revenue'!$P$6:$P$607)</f>
        <v/>
      </c>
      <c r="D43" s="43">
        <f>SUMIFS(tbl_WIP[Amount],tbl_WIP[Job Number],$A43,tbl_WIP[Month],$C$4,tbl_WIP[Defer Start],"")+SUMIF('Deferred Revenue'!$E$6:$E$607,$A43,'Deferred Revenue'!$Q$6:$Q$607)</f>
        <v/>
      </c>
      <c r="E43" s="43">
        <f>C43+D43</f>
        <v/>
      </c>
      <c r="F43" s="50">
        <f>IF(ROUND(C43,2)+ROUND(D43,2)=0,"","yes")</f>
        <v/>
      </c>
      <c r="G43" s="63" t="n"/>
      <c r="H43" s="43">
        <f>IF($G43="","",$E43-$G43)</f>
        <v/>
      </c>
    </row>
    <row r="44">
      <c r="A44" s="62" t="inlineStr">
        <is>
          <t>2504</t>
        </is>
      </c>
      <c r="B44" s="62" t="inlineStr">
        <is>
          <t>ONS WBC (non-chargeable)</t>
        </is>
      </c>
      <c r="C44" s="43">
        <f>SUMIFS(tbl_WIP[Amount],tbl_WIP[Job Number],$A44,tbl_WIP[Month],"&lt;&gt;",tbl_WIP[Month],"&lt;"&amp;$C$4,tbl_WIP[Defer Start],"")+SUMIF('Deferred Revenue'!$E$6:$E$607,$A44,'Deferred Revenue'!$P$6:$P$607)</f>
        <v/>
      </c>
      <c r="D44" s="43">
        <f>SUMIFS(tbl_WIP[Amount],tbl_WIP[Job Number],$A44,tbl_WIP[Month],$C$4,tbl_WIP[Defer Start],"")+SUMIF('Deferred Revenue'!$E$6:$E$607,$A44,'Deferred Revenue'!$Q$6:$Q$607)</f>
        <v/>
      </c>
      <c r="E44" s="43">
        <f>C44+D44</f>
        <v/>
      </c>
      <c r="F44" s="50">
        <f>IF(ROUND(C44,2)+ROUND(D44,2)=0,"","yes")</f>
        <v/>
      </c>
      <c r="G44" s="63" t="n"/>
      <c r="H44" s="43">
        <f>IF($G44="","",$E44-$G44)</f>
        <v/>
      </c>
    </row>
    <row r="45">
      <c r="A45" s="62" t="inlineStr">
        <is>
          <t>25041502</t>
        </is>
      </c>
      <c r="B45" s="62" t="inlineStr">
        <is>
          <t>PDNSW DB License Ext</t>
        </is>
      </c>
      <c r="C45" s="43">
        <f>SUMIFS(tbl_WIP[Amount],tbl_WIP[Job Number],$A45,tbl_WIP[Month],"&lt;&gt;",tbl_WIP[Month],"&lt;"&amp;$C$4,tbl_WIP[Defer Start],"")+SUMIF('Deferred Revenue'!$E$6:$E$607,$A45,'Deferred Revenue'!$P$6:$P$607)</f>
        <v/>
      </c>
      <c r="D45" s="43">
        <f>SUMIFS(tbl_WIP[Amount],tbl_WIP[Job Number],$A45,tbl_WIP[Month],$C$4,tbl_WIP[Defer Start],"")+SUMIF('Deferred Revenue'!$E$6:$E$607,$A45,'Deferred Revenue'!$Q$6:$Q$607)</f>
        <v/>
      </c>
      <c r="E45" s="43">
        <f>C45+D45</f>
        <v/>
      </c>
      <c r="F45" s="50">
        <f>IF(ROUND(C45,2)+ROUND(D45,2)=0,"","yes")</f>
        <v/>
      </c>
      <c r="G45" s="63" t="n"/>
      <c r="H45" s="43">
        <f>IF($G45="","",$E45-$G45)</f>
        <v/>
      </c>
    </row>
    <row r="46">
      <c r="A46" s="62" t="inlineStr">
        <is>
          <t>2505</t>
        </is>
      </c>
      <c r="B46" s="62" t="inlineStr">
        <is>
          <t>ONS PWC (non-chargeable)</t>
        </is>
      </c>
      <c r="C46" s="43">
        <f>SUMIFS(tbl_WIP[Amount],tbl_WIP[Job Number],$A46,tbl_WIP[Month],"&lt;&gt;",tbl_WIP[Month],"&lt;"&amp;$C$4,tbl_WIP[Defer Start],"")+SUMIF('Deferred Revenue'!$E$6:$E$607,$A46,'Deferred Revenue'!$P$6:$P$607)</f>
        <v/>
      </c>
      <c r="D46" s="43">
        <f>SUMIFS(tbl_WIP[Amount],tbl_WIP[Job Number],$A46,tbl_WIP[Month],$C$4,tbl_WIP[Defer Start],"")+SUMIF('Deferred Revenue'!$E$6:$E$607,$A46,'Deferred Revenue'!$Q$6:$Q$607)</f>
        <v/>
      </c>
      <c r="E46" s="43">
        <f>C46+D46</f>
        <v/>
      </c>
      <c r="F46" s="50">
        <f>IF(ROUND(C46,2)+ROUND(D46,2)=0,"","yes")</f>
        <v/>
      </c>
      <c r="G46" s="63" t="n"/>
      <c r="H46" s="43">
        <f>IF($G46="","",$E46-$G46)</f>
        <v/>
      </c>
    </row>
    <row r="47">
      <c r="A47" s="62" t="inlineStr">
        <is>
          <t>25051302</t>
        </is>
      </c>
      <c r="B47" s="62" t="inlineStr">
        <is>
          <t>NSW Prop Bradfield Desk Booking + Penrith Additional</t>
        </is>
      </c>
      <c r="C47" s="43">
        <f>SUMIFS(tbl_WIP[Amount],tbl_WIP[Job Number],$A47,tbl_WIP[Month],"&lt;&gt;",tbl_WIP[Month],"&lt;"&amp;$C$4,tbl_WIP[Defer Start],"")+SUMIF('Deferred Revenue'!$E$6:$E$607,$A47,'Deferred Revenue'!$P$6:$P$607)</f>
        <v/>
      </c>
      <c r="D47" s="43">
        <f>SUMIFS(tbl_WIP[Amount],tbl_WIP[Job Number],$A47,tbl_WIP[Month],$C$4,tbl_WIP[Defer Start],"")+SUMIF('Deferred Revenue'!$E$6:$E$607,$A47,'Deferred Revenue'!$Q$6:$Q$607)</f>
        <v/>
      </c>
      <c r="E47" s="43">
        <f>C47+D47</f>
        <v/>
      </c>
      <c r="F47" s="50">
        <f>IF(ROUND(C47,2)+ROUND(D47,2)=0,"","yes")</f>
        <v/>
      </c>
      <c r="G47" s="63" t="n"/>
      <c r="H47" s="43">
        <f>IF($G47="","",$E47-$G47)</f>
        <v/>
      </c>
    </row>
    <row r="48">
      <c r="A48" s="62" t="inlineStr">
        <is>
          <t>25051403</t>
        </is>
      </c>
      <c r="B48" s="62" t="inlineStr">
        <is>
          <t>DTTL SYD Tech Supp TMT AP</t>
        </is>
      </c>
      <c r="C48" s="43">
        <f>SUMIFS(tbl_WIP[Amount],tbl_WIP[Job Number],$A48,tbl_WIP[Month],"&lt;&gt;",tbl_WIP[Month],"&lt;"&amp;$C$4,tbl_WIP[Defer Start],"")+SUMIF('Deferred Revenue'!$E$6:$E$607,$A48,'Deferred Revenue'!$P$6:$P$607)</f>
        <v/>
      </c>
      <c r="D48" s="43">
        <f>SUMIFS(tbl_WIP[Amount],tbl_WIP[Job Number],$A48,tbl_WIP[Month],$C$4,tbl_WIP[Defer Start],"")+SUMIF('Deferred Revenue'!$E$6:$E$607,$A48,'Deferred Revenue'!$Q$6:$Q$607)</f>
        <v/>
      </c>
      <c r="E48" s="43">
        <f>C48+D48</f>
        <v/>
      </c>
      <c r="F48" s="50">
        <f>IF(ROUND(C48,2)+ROUND(D48,2)=0,"","yes")</f>
        <v/>
      </c>
      <c r="G48" s="63" t="n"/>
      <c r="H48" s="43">
        <f>IF($G48="","",$E48-$G48)</f>
        <v/>
      </c>
    </row>
    <row r="49">
      <c r="A49" s="62" t="inlineStr">
        <is>
          <t>25052802</t>
        </is>
      </c>
      <c r="B49" s="62" t="inlineStr">
        <is>
          <t>Aus Retirement Trust Members Meeting 2025</t>
        </is>
      </c>
      <c r="C49" s="43">
        <f>SUMIFS(tbl_WIP[Amount],tbl_WIP[Job Number],$A49,tbl_WIP[Month],"&lt;&gt;",tbl_WIP[Month],"&lt;"&amp;$C$4,tbl_WIP[Defer Start],"")+SUMIF('Deferred Revenue'!$E$6:$E$607,$A49,'Deferred Revenue'!$P$6:$P$607)</f>
        <v/>
      </c>
      <c r="D49" s="43">
        <f>SUMIFS(tbl_WIP[Amount],tbl_WIP[Job Number],$A49,tbl_WIP[Month],$C$4,tbl_WIP[Defer Start],"")+SUMIF('Deferred Revenue'!$E$6:$E$607,$A49,'Deferred Revenue'!$Q$6:$Q$607)</f>
        <v/>
      </c>
      <c r="E49" s="43">
        <f>C49+D49</f>
        <v/>
      </c>
      <c r="F49" s="50">
        <f>IF(ROUND(C49,2)+ROUND(D49,2)=0,"","yes")</f>
        <v/>
      </c>
      <c r="G49" s="63" t="n"/>
      <c r="H49" s="43">
        <f>IF($G49="","",$E49-$G49)</f>
        <v/>
      </c>
    </row>
    <row r="50">
      <c r="A50" s="62" t="inlineStr">
        <is>
          <t>2505901</t>
        </is>
      </c>
      <c r="B50" s="62" t="inlineStr">
        <is>
          <t>COS Projector Lens Supply</t>
        </is>
      </c>
      <c r="C50" s="43">
        <f>SUMIFS(tbl_WIP[Amount],tbl_WIP[Job Number],$A50,tbl_WIP[Month],"&lt;&gt;",tbl_WIP[Month],"&lt;"&amp;$C$4,tbl_WIP[Defer Start],"")+SUMIF('Deferred Revenue'!$E$6:$E$607,$A50,'Deferred Revenue'!$P$6:$P$607)</f>
        <v/>
      </c>
      <c r="D50" s="43">
        <f>SUMIFS(tbl_WIP[Amount],tbl_WIP[Job Number],$A50,tbl_WIP[Month],$C$4,tbl_WIP[Defer Start],"")+SUMIF('Deferred Revenue'!$E$6:$E$607,$A50,'Deferred Revenue'!$Q$6:$Q$607)</f>
        <v/>
      </c>
      <c r="E50" s="43">
        <f>C50+D50</f>
        <v/>
      </c>
      <c r="F50" s="50">
        <f>IF(ROUND(C50,2)+ROUND(D50,2)=0,"","yes")</f>
        <v/>
      </c>
      <c r="G50" s="63" t="n"/>
      <c r="H50" s="43">
        <f>IF($G50="","",$E50-$G50)</f>
        <v/>
      </c>
    </row>
    <row r="51">
      <c r="A51" s="62" t="inlineStr">
        <is>
          <t>2506</t>
        </is>
      </c>
      <c r="B51" s="62" t="inlineStr">
        <is>
          <t>ONS BWEST (non-chargeable)</t>
        </is>
      </c>
      <c r="C51" s="43">
        <f>SUMIFS(tbl_WIP[Amount],tbl_WIP[Job Number],$A51,tbl_WIP[Month],"&lt;&gt;",tbl_WIP[Month],"&lt;"&amp;$C$4,tbl_WIP[Defer Start],"")+SUMIF('Deferred Revenue'!$E$6:$E$607,$A51,'Deferred Revenue'!$P$6:$P$607)</f>
        <v/>
      </c>
      <c r="D51" s="43">
        <f>SUMIFS(tbl_WIP[Amount],tbl_WIP[Job Number],$A51,tbl_WIP[Month],$C$4,tbl_WIP[Defer Start],"")+SUMIF('Deferred Revenue'!$E$6:$E$607,$A51,'Deferred Revenue'!$Q$6:$Q$607)</f>
        <v/>
      </c>
      <c r="E51" s="43">
        <f>C51+D51</f>
        <v/>
      </c>
      <c r="F51" s="50">
        <f>IF(ROUND(C51,2)+ROUND(D51,2)=0,"","yes")</f>
        <v/>
      </c>
      <c r="G51" s="63" t="n"/>
      <c r="H51" s="43">
        <f>IF($G51="","",$E51-$G51)</f>
        <v/>
      </c>
    </row>
    <row r="52">
      <c r="A52" s="62" t="inlineStr">
        <is>
          <t>25060301</t>
        </is>
      </c>
      <c r="B52" s="62" t="inlineStr">
        <is>
          <t>6PSQ L12 Desk Booking</t>
        </is>
      </c>
      <c r="C52" s="43">
        <f>SUMIFS(tbl_WIP[Amount],tbl_WIP[Job Number],$A52,tbl_WIP[Month],"&lt;&gt;",tbl_WIP[Month],"&lt;"&amp;$C$4,tbl_WIP[Defer Start],"")+SUMIF('Deferred Revenue'!$E$6:$E$607,$A52,'Deferred Revenue'!$P$6:$P$607)</f>
        <v/>
      </c>
      <c r="D52" s="43">
        <f>SUMIFS(tbl_WIP[Amount],tbl_WIP[Job Number],$A52,tbl_WIP[Month],$C$4,tbl_WIP[Defer Start],"")+SUMIF('Deferred Revenue'!$E$6:$E$607,$A52,'Deferred Revenue'!$Q$6:$Q$607)</f>
        <v/>
      </c>
      <c r="E52" s="43">
        <f>C52+D52</f>
        <v/>
      </c>
      <c r="F52" s="50">
        <f>IF(ROUND(C52,2)+ROUND(D52,2)=0,"","yes")</f>
        <v/>
      </c>
      <c r="G52" s="63" t="n"/>
      <c r="H52" s="43">
        <f>IF($G52="","",$E52-$G52)</f>
        <v/>
      </c>
    </row>
    <row r="53">
      <c r="A53" s="62" t="inlineStr">
        <is>
          <t>25060307</t>
        </is>
      </c>
      <c r="B53" s="62" t="inlineStr">
        <is>
          <t>DPIE Molesworth St D/B</t>
        </is>
      </c>
      <c r="C53" s="43">
        <f>SUMIFS(tbl_WIP[Amount],tbl_WIP[Job Number],$A53,tbl_WIP[Month],"&lt;&gt;",tbl_WIP[Month],"&lt;"&amp;$C$4,tbl_WIP[Defer Start],"")+SUMIF('Deferred Revenue'!$E$6:$E$607,$A53,'Deferred Revenue'!$P$6:$P$607)</f>
        <v/>
      </c>
      <c r="D53" s="43">
        <f>SUMIFS(tbl_WIP[Amount],tbl_WIP[Job Number],$A53,tbl_WIP[Month],$C$4,tbl_WIP[Defer Start],"")+SUMIF('Deferred Revenue'!$E$6:$E$607,$A53,'Deferred Revenue'!$Q$6:$Q$607)</f>
        <v/>
      </c>
      <c r="E53" s="43">
        <f>C53+D53</f>
        <v/>
      </c>
      <c r="F53" s="50">
        <f>IF(ROUND(C53,2)+ROUND(D53,2)=0,"","yes")</f>
        <v/>
      </c>
      <c r="G53" s="63" t="n"/>
      <c r="H53" s="43">
        <f>IF($G53="","",$E53-$G53)</f>
        <v/>
      </c>
    </row>
    <row r="54">
      <c r="A54" s="62" t="inlineStr">
        <is>
          <t>2506208</t>
        </is>
      </c>
      <c r="B54" s="62" t="inlineStr">
        <is>
          <t>CBA AGM 2026</t>
        </is>
      </c>
      <c r="C54" s="43">
        <f>SUMIFS(tbl_WIP[Amount],tbl_WIP[Job Number],$A54,tbl_WIP[Month],"&lt;&gt;",tbl_WIP[Month],"&lt;"&amp;$C$4,tbl_WIP[Defer Start],"")+SUMIF('Deferred Revenue'!$E$6:$E$607,$A54,'Deferred Revenue'!$P$6:$P$607)</f>
        <v/>
      </c>
      <c r="D54" s="43">
        <f>SUMIFS(tbl_WIP[Amount],tbl_WIP[Job Number],$A54,tbl_WIP[Month],$C$4,tbl_WIP[Defer Start],"")+SUMIF('Deferred Revenue'!$E$6:$E$607,$A54,'Deferred Revenue'!$Q$6:$Q$607)</f>
        <v/>
      </c>
      <c r="E54" s="43">
        <f>C54+D54</f>
        <v/>
      </c>
      <c r="F54" s="50">
        <f>IF(ROUND(C54,2)+ROUND(D54,2)=0,"","yes")</f>
        <v/>
      </c>
      <c r="G54" s="63" t="n"/>
      <c r="H54" s="43">
        <f>IF($G54="","",$E54-$G54)</f>
        <v/>
      </c>
    </row>
    <row r="55">
      <c r="A55" s="62" t="inlineStr">
        <is>
          <t>2506208V</t>
        </is>
      </c>
      <c r="B55" s="62" t="inlineStr">
        <is>
          <t>CBA AGM 2026</t>
        </is>
      </c>
      <c r="C55" s="43">
        <f>SUMIFS(tbl_WIP[Amount],tbl_WIP[Job Number],$A55,tbl_WIP[Month],"&lt;&gt;",tbl_WIP[Month],"&lt;"&amp;$C$4,tbl_WIP[Defer Start],"")+SUMIF('Deferred Revenue'!$E$6:$E$607,$A55,'Deferred Revenue'!$P$6:$P$607)</f>
        <v/>
      </c>
      <c r="D55" s="43">
        <f>SUMIFS(tbl_WIP[Amount],tbl_WIP[Job Number],$A55,tbl_WIP[Month],$C$4,tbl_WIP[Defer Start],"")+SUMIF('Deferred Revenue'!$E$6:$E$607,$A55,'Deferred Revenue'!$Q$6:$Q$607)</f>
        <v/>
      </c>
      <c r="E55" s="43">
        <f>C55+D55</f>
        <v/>
      </c>
      <c r="F55" s="50">
        <f>IF(ROUND(C55,2)+ROUND(D55,2)=0,"","yes")</f>
        <v/>
      </c>
      <c r="G55" s="63" t="n"/>
      <c r="H55" s="43">
        <f>IF($G55="","",$E55-$G55)</f>
        <v/>
      </c>
    </row>
    <row r="56">
      <c r="A56" s="62" t="inlineStr">
        <is>
          <t>25063001V</t>
        </is>
      </c>
      <c r="B56" s="62" t="inlineStr">
        <is>
          <t>APA All Hands Staff</t>
        </is>
      </c>
      <c r="C56" s="43">
        <f>SUMIFS(tbl_WIP[Amount],tbl_WIP[Job Number],$A56,tbl_WIP[Month],"&lt;&gt;",tbl_WIP[Month],"&lt;"&amp;$C$4,tbl_WIP[Defer Start],"")+SUMIF('Deferred Revenue'!$E$6:$E$607,$A56,'Deferred Revenue'!$P$6:$P$607)</f>
        <v/>
      </c>
      <c r="D56" s="43">
        <f>SUMIFS(tbl_WIP[Amount],tbl_WIP[Job Number],$A56,tbl_WIP[Month],$C$4,tbl_WIP[Defer Start],"")+SUMIF('Deferred Revenue'!$E$6:$E$607,$A56,'Deferred Revenue'!$Q$6:$Q$607)</f>
        <v/>
      </c>
      <c r="E56" s="43">
        <f>C56+D56</f>
        <v/>
      </c>
      <c r="F56" s="50">
        <f>IF(ROUND(C56,2)+ROUND(D56,2)=0,"","yes")</f>
        <v/>
      </c>
      <c r="G56" s="63" t="n"/>
      <c r="H56" s="43">
        <f>IF($G56="","",$E56-$G56)</f>
        <v/>
      </c>
    </row>
    <row r="57">
      <c r="A57" s="62" t="inlineStr">
        <is>
          <t>25070702</t>
        </is>
      </c>
      <c r="B57" s="62" t="inlineStr">
        <is>
          <t>APA VMS Brisbane &amp; Darwin</t>
        </is>
      </c>
      <c r="C57" s="43">
        <f>SUMIFS(tbl_WIP[Amount],tbl_WIP[Job Number],$A57,tbl_WIP[Month],"&lt;&gt;",tbl_WIP[Month],"&lt;"&amp;$C$4,tbl_WIP[Defer Start],"")+SUMIF('Deferred Revenue'!$E$6:$E$607,$A57,'Deferred Revenue'!$P$6:$P$607)</f>
        <v/>
      </c>
      <c r="D57" s="43">
        <f>SUMIFS(tbl_WIP[Amount],tbl_WIP[Job Number],$A57,tbl_WIP[Month],$C$4,tbl_WIP[Defer Start],"")+SUMIF('Deferred Revenue'!$E$6:$E$607,$A57,'Deferred Revenue'!$Q$6:$Q$607)</f>
        <v/>
      </c>
      <c r="E57" s="43">
        <f>C57+D57</f>
        <v/>
      </c>
      <c r="F57" s="50">
        <f>IF(ROUND(C57,2)+ROUND(D57,2)=0,"","yes")</f>
        <v/>
      </c>
      <c r="G57" s="63" t="n"/>
      <c r="H57" s="43">
        <f>IF($G57="","",$E57-$G57)</f>
        <v/>
      </c>
    </row>
    <row r="58">
      <c r="A58" s="62" t="inlineStr">
        <is>
          <t>2507203</t>
        </is>
      </c>
      <c r="B58" s="62" t="inlineStr">
        <is>
          <t>Hills Grammar Airmedia Supply</t>
        </is>
      </c>
      <c r="C58" s="43">
        <f>SUMIFS(tbl_WIP[Amount],tbl_WIP[Job Number],$A58,tbl_WIP[Month],"&lt;&gt;",tbl_WIP[Month],"&lt;"&amp;$C$4,tbl_WIP[Defer Start],"")+SUMIF('Deferred Revenue'!$E$6:$E$607,$A58,'Deferred Revenue'!$P$6:$P$607)</f>
        <v/>
      </c>
      <c r="D58" s="43">
        <f>SUMIFS(tbl_WIP[Amount],tbl_WIP[Job Number],$A58,tbl_WIP[Month],$C$4,tbl_WIP[Defer Start],"")+SUMIF('Deferred Revenue'!$E$6:$E$607,$A58,'Deferred Revenue'!$Q$6:$Q$607)</f>
        <v/>
      </c>
      <c r="E58" s="43">
        <f>C58+D58</f>
        <v/>
      </c>
      <c r="F58" s="50">
        <f>IF(ROUND(C58,2)+ROUND(D58,2)=0,"","yes")</f>
        <v/>
      </c>
      <c r="G58" s="63" t="n"/>
      <c r="H58" s="43">
        <f>IF($G58="","",$E58-$G58)</f>
        <v/>
      </c>
    </row>
    <row r="59">
      <c r="A59" s="62" t="inlineStr">
        <is>
          <t>25081402</t>
        </is>
      </c>
      <c r="B59" s="62" t="inlineStr">
        <is>
          <t>Hills Grammar Loan Airmedia Purchase</t>
        </is>
      </c>
      <c r="C59" s="43">
        <f>SUMIFS(tbl_WIP[Amount],tbl_WIP[Job Number],$A59,tbl_WIP[Month],"&lt;&gt;",tbl_WIP[Month],"&lt;"&amp;$C$4,tbl_WIP[Defer Start],"")+SUMIF('Deferred Revenue'!$E$6:$E$607,$A59,'Deferred Revenue'!$P$6:$P$607)</f>
        <v/>
      </c>
      <c r="D59" s="43">
        <f>SUMIFS(tbl_WIP[Amount],tbl_WIP[Job Number],$A59,tbl_WIP[Month],$C$4,tbl_WIP[Defer Start],"")+SUMIF('Deferred Revenue'!$E$6:$E$607,$A59,'Deferred Revenue'!$Q$6:$Q$607)</f>
        <v/>
      </c>
      <c r="E59" s="43">
        <f>C59+D59</f>
        <v/>
      </c>
      <c r="F59" s="50">
        <f>IF(ROUND(C59,2)+ROUND(D59,2)=0,"","yes")</f>
        <v/>
      </c>
      <c r="G59" s="63" t="n"/>
      <c r="H59" s="43">
        <f>IF($G59="","",$E59-$G59)</f>
        <v/>
      </c>
    </row>
    <row r="60">
      <c r="A60" s="62" t="inlineStr">
        <is>
          <t>25082501</t>
        </is>
      </c>
      <c r="B60" s="62" t="inlineStr">
        <is>
          <t>APA Sydney Tablet Brackets</t>
        </is>
      </c>
      <c r="C60" s="43">
        <f>SUMIFS(tbl_WIP[Amount],tbl_WIP[Job Number],$A60,tbl_WIP[Month],"&lt;&gt;",tbl_WIP[Month],"&lt;"&amp;$C$4,tbl_WIP[Defer Start],"")+SUMIF('Deferred Revenue'!$E$6:$E$607,$A60,'Deferred Revenue'!$P$6:$P$607)</f>
        <v/>
      </c>
      <c r="D60" s="43">
        <f>SUMIFS(tbl_WIP[Amount],tbl_WIP[Job Number],$A60,tbl_WIP[Month],$C$4,tbl_WIP[Defer Start],"")+SUMIF('Deferred Revenue'!$E$6:$E$607,$A60,'Deferred Revenue'!$Q$6:$Q$607)</f>
        <v/>
      </c>
      <c r="E60" s="43">
        <f>C60+D60</f>
        <v/>
      </c>
      <c r="F60" s="50">
        <f>IF(ROUND(C60,2)+ROUND(D60,2)=0,"","yes")</f>
        <v/>
      </c>
      <c r="G60" s="63" t="n"/>
      <c r="H60" s="43">
        <f>IF($G60="","",$E60-$G60)</f>
        <v/>
      </c>
    </row>
    <row r="61">
      <c r="A61" s="62" t="inlineStr">
        <is>
          <t>25091703</t>
        </is>
      </c>
      <c r="B61" s="62" t="inlineStr">
        <is>
          <t>Scentre Group Marion Superscreen (D10396) Test and Cert</t>
        </is>
      </c>
      <c r="C61" s="43">
        <f>SUMIFS(tbl_WIP[Amount],tbl_WIP[Job Number],$A61,tbl_WIP[Month],"&lt;&gt;",tbl_WIP[Month],"&lt;"&amp;$C$4,tbl_WIP[Defer Start],"")+SUMIF('Deferred Revenue'!$E$6:$E$607,$A61,'Deferred Revenue'!$P$6:$P$607)</f>
        <v/>
      </c>
      <c r="D61" s="43">
        <f>SUMIFS(tbl_WIP[Amount],tbl_WIP[Job Number],$A61,tbl_WIP[Month],$C$4,tbl_WIP[Defer Start],"")+SUMIF('Deferred Revenue'!$E$6:$E$607,$A61,'Deferred Revenue'!$Q$6:$Q$607)</f>
        <v/>
      </c>
      <c r="E61" s="43">
        <f>C61+D61</f>
        <v/>
      </c>
      <c r="F61" s="50">
        <f>IF(ROUND(C61,2)+ROUND(D61,2)=0,"","yes")</f>
        <v/>
      </c>
      <c r="G61" s="63" t="n"/>
      <c r="H61" s="43">
        <f>IF($G61="","",$E61-$G61)</f>
        <v/>
      </c>
    </row>
    <row r="62">
      <c r="A62" s="62" t="inlineStr">
        <is>
          <t>25101301</t>
        </is>
      </c>
      <c r="B62" s="62" t="inlineStr">
        <is>
          <t>PWC IT Support – Melbourne</t>
        </is>
      </c>
      <c r="C62" s="43">
        <f>SUMIFS(tbl_WIP[Amount],tbl_WIP[Job Number],$A62,tbl_WIP[Month],"&lt;&gt;",tbl_WIP[Month],"&lt;"&amp;$C$4,tbl_WIP[Defer Start],"")+SUMIF('Deferred Revenue'!$E$6:$E$607,$A62,'Deferred Revenue'!$P$6:$P$607)</f>
        <v/>
      </c>
      <c r="D62" s="43">
        <f>SUMIFS(tbl_WIP[Amount],tbl_WIP[Job Number],$A62,tbl_WIP[Month],$C$4,tbl_WIP[Defer Start],"")+SUMIF('Deferred Revenue'!$E$6:$E$607,$A62,'Deferred Revenue'!$Q$6:$Q$607)</f>
        <v/>
      </c>
      <c r="E62" s="43">
        <f>C62+D62</f>
        <v/>
      </c>
      <c r="F62" s="50">
        <f>IF(ROUND(C62,2)+ROUND(D62,2)=0,"","yes")</f>
        <v/>
      </c>
      <c r="G62" s="63" t="n"/>
      <c r="H62" s="43">
        <f>IF($G62="","",$E62-$G62)</f>
        <v/>
      </c>
    </row>
    <row r="63">
      <c r="A63" s="62" t="inlineStr">
        <is>
          <t>25101301B</t>
        </is>
      </c>
      <c r="B63" s="62" t="inlineStr">
        <is>
          <t>PWC IT Support – Sydney</t>
        </is>
      </c>
      <c r="C63" s="43">
        <f>SUMIFS(tbl_WIP[Amount],tbl_WIP[Job Number],$A63,tbl_WIP[Month],"&lt;&gt;",tbl_WIP[Month],"&lt;"&amp;$C$4,tbl_WIP[Defer Start],"")+SUMIF('Deferred Revenue'!$E$6:$E$607,$A63,'Deferred Revenue'!$P$6:$P$607)</f>
        <v/>
      </c>
      <c r="D63" s="43">
        <f>SUMIFS(tbl_WIP[Amount],tbl_WIP[Job Number],$A63,tbl_WIP[Month],$C$4,tbl_WIP[Defer Start],"")+SUMIF('Deferred Revenue'!$E$6:$E$607,$A63,'Deferred Revenue'!$Q$6:$Q$607)</f>
        <v/>
      </c>
      <c r="E63" s="43">
        <f>C63+D63</f>
        <v/>
      </c>
      <c r="F63" s="50">
        <f>IF(ROUND(C63,2)+ROUND(D63,2)=0,"","yes")</f>
        <v/>
      </c>
      <c r="G63" s="63" t="n"/>
      <c r="H63" s="43">
        <f>IF($G63="","",$E63-$G63)</f>
        <v/>
      </c>
    </row>
    <row r="64">
      <c r="A64" s="62" t="inlineStr">
        <is>
          <t>2510202</t>
        </is>
      </c>
      <c r="B64" s="62" t="inlineStr">
        <is>
          <t>HP Poly Room Assessment</t>
        </is>
      </c>
      <c r="C64" s="43">
        <f>SUMIFS(tbl_WIP[Amount],tbl_WIP[Job Number],$A64,tbl_WIP[Month],"&lt;&gt;",tbl_WIP[Month],"&lt;"&amp;$C$4,tbl_WIP[Defer Start],"")+SUMIF('Deferred Revenue'!$E$6:$E$607,$A64,'Deferred Revenue'!$P$6:$P$607)</f>
        <v/>
      </c>
      <c r="D64" s="43">
        <f>SUMIFS(tbl_WIP[Amount],tbl_WIP[Job Number],$A64,tbl_WIP[Month],$C$4,tbl_WIP[Defer Start],"")+SUMIF('Deferred Revenue'!$E$6:$E$607,$A64,'Deferred Revenue'!$Q$6:$Q$607)</f>
        <v/>
      </c>
      <c r="E64" s="43">
        <f>C64+D64</f>
        <v/>
      </c>
      <c r="F64" s="50">
        <f>IF(ROUND(C64,2)+ROUND(D64,2)=0,"","yes")</f>
        <v/>
      </c>
      <c r="G64" s="63" t="n"/>
      <c r="H64" s="43">
        <f>IF($G64="","",$E64-$G64)</f>
        <v/>
      </c>
    </row>
    <row r="65">
      <c r="A65" s="62" t="inlineStr">
        <is>
          <t>2510205</t>
        </is>
      </c>
      <c r="B65" s="62" t="inlineStr">
        <is>
          <t>NSW Property RGB Desk Booking</t>
        </is>
      </c>
      <c r="C65" s="43">
        <f>SUMIFS(tbl_WIP[Amount],tbl_WIP[Job Number],$A65,tbl_WIP[Month],"&lt;&gt;",tbl_WIP[Month],"&lt;"&amp;$C$4,tbl_WIP[Defer Start],"")+SUMIF('Deferred Revenue'!$E$6:$E$607,$A65,'Deferred Revenue'!$P$6:$P$607)</f>
        <v/>
      </c>
      <c r="D65" s="43">
        <f>SUMIFS(tbl_WIP[Amount],tbl_WIP[Job Number],$A65,tbl_WIP[Month],$C$4,tbl_WIP[Defer Start],"")+SUMIF('Deferred Revenue'!$E$6:$E$607,$A65,'Deferred Revenue'!$Q$6:$Q$607)</f>
        <v/>
      </c>
      <c r="E65" s="43">
        <f>C65+D65</f>
        <v/>
      </c>
      <c r="F65" s="50">
        <f>IF(ROUND(C65,2)+ROUND(D65,2)=0,"","yes")</f>
        <v/>
      </c>
      <c r="G65" s="63" t="n"/>
      <c r="H65" s="43">
        <f>IF($G65="","",$E65-$G65)</f>
        <v/>
      </c>
    </row>
    <row r="66">
      <c r="A66" s="62" t="inlineStr">
        <is>
          <t>2510210</t>
        </is>
      </c>
      <c r="B66" s="62" t="inlineStr">
        <is>
          <t>Scentre Group Westfield Bondi Screen Tests</t>
        </is>
      </c>
      <c r="C66" s="43">
        <f>SUMIFS(tbl_WIP[Amount],tbl_WIP[Job Number],$A66,tbl_WIP[Month],"&lt;&gt;",tbl_WIP[Month],"&lt;"&amp;$C$4,tbl_WIP[Defer Start],"")+SUMIF('Deferred Revenue'!$E$6:$E$607,$A66,'Deferred Revenue'!$P$6:$P$607)</f>
        <v/>
      </c>
      <c r="D66" s="43">
        <f>SUMIFS(tbl_WIP[Amount],tbl_WIP[Job Number],$A66,tbl_WIP[Month],$C$4,tbl_WIP[Defer Start],"")+SUMIF('Deferred Revenue'!$E$6:$E$607,$A66,'Deferred Revenue'!$Q$6:$Q$607)</f>
        <v/>
      </c>
      <c r="E66" s="43">
        <f>C66+D66</f>
        <v/>
      </c>
      <c r="F66" s="50">
        <f>IF(ROUND(C66,2)+ROUND(D66,2)=0,"","yes")</f>
        <v/>
      </c>
      <c r="G66" s="63" t="n"/>
      <c r="H66" s="43">
        <f>IF($G66="","",$E66-$G66)</f>
        <v/>
      </c>
    </row>
    <row r="67">
      <c r="A67" s="62" t="inlineStr">
        <is>
          <t>25102701</t>
        </is>
      </c>
      <c r="B67" s="62" t="inlineStr">
        <is>
          <t>DEWR - Studio Upgrade - Consulting, Design</t>
        </is>
      </c>
      <c r="C67" s="43">
        <f>SUMIFS(tbl_WIP[Amount],tbl_WIP[Job Number],$A67,tbl_WIP[Month],"&lt;&gt;",tbl_WIP[Month],"&lt;"&amp;$C$4,tbl_WIP[Defer Start],"")+SUMIF('Deferred Revenue'!$E$6:$E$607,$A67,'Deferred Revenue'!$P$6:$P$607)</f>
        <v/>
      </c>
      <c r="D67" s="43">
        <f>SUMIFS(tbl_WIP[Amount],tbl_WIP[Job Number],$A67,tbl_WIP[Month],$C$4,tbl_WIP[Defer Start],"")+SUMIF('Deferred Revenue'!$E$6:$E$607,$A67,'Deferred Revenue'!$Q$6:$Q$607)</f>
        <v/>
      </c>
      <c r="E67" s="43">
        <f>C67+D67</f>
        <v/>
      </c>
      <c r="F67" s="50">
        <f>IF(ROUND(C67,2)+ROUND(D67,2)=0,"","yes")</f>
        <v/>
      </c>
      <c r="G67" s="63" t="n"/>
      <c r="H67" s="43">
        <f>IF($G67="","",$E67-$G67)</f>
        <v/>
      </c>
    </row>
    <row r="68">
      <c r="A68" s="62" t="inlineStr">
        <is>
          <t>25102801</t>
        </is>
      </c>
      <c r="B68" s="62" t="inlineStr">
        <is>
          <t>DTTL SYD QQT Additional Mics Install in L45 Seminar Space</t>
        </is>
      </c>
      <c r="C68" s="43">
        <f>SUMIFS(tbl_WIP[Amount],tbl_WIP[Job Number],$A68,tbl_WIP[Month],"&lt;&gt;",tbl_WIP[Month],"&lt;"&amp;$C$4,tbl_WIP[Defer Start],"")+SUMIF('Deferred Revenue'!$E$6:$E$607,$A68,'Deferred Revenue'!$P$6:$P$607)</f>
        <v/>
      </c>
      <c r="D68" s="43">
        <f>SUMIFS(tbl_WIP[Amount],tbl_WIP[Job Number],$A68,tbl_WIP[Month],$C$4,tbl_WIP[Defer Start],"")+SUMIF('Deferred Revenue'!$E$6:$E$607,$A68,'Deferred Revenue'!$Q$6:$Q$607)</f>
        <v/>
      </c>
      <c r="E68" s="43">
        <f>C68+D68</f>
        <v/>
      </c>
      <c r="F68" s="50">
        <f>IF(ROUND(C68,2)+ROUND(D68,2)=0,"","yes")</f>
        <v/>
      </c>
      <c r="G68" s="63" t="n"/>
      <c r="H68" s="43">
        <f>IF($G68="","",$E68-$G68)</f>
        <v/>
      </c>
    </row>
    <row r="69">
      <c r="A69" s="62" t="inlineStr">
        <is>
          <t>25102802</t>
        </is>
      </c>
      <c r="B69" s="62" t="inlineStr">
        <is>
          <t>Novigi Meeting Space Inspection</t>
        </is>
      </c>
      <c r="C69" s="43">
        <f>SUMIFS(tbl_WIP[Amount],tbl_WIP[Job Number],$A69,tbl_WIP[Month],"&lt;&gt;",tbl_WIP[Month],"&lt;"&amp;$C$4,tbl_WIP[Defer Start],"")+SUMIF('Deferred Revenue'!$E$6:$E$607,$A69,'Deferred Revenue'!$P$6:$P$607)</f>
        <v/>
      </c>
      <c r="D69" s="43">
        <f>SUMIFS(tbl_WIP[Amount],tbl_WIP[Job Number],$A69,tbl_WIP[Month],$C$4,tbl_WIP[Defer Start],"")+SUMIF('Deferred Revenue'!$E$6:$E$607,$A69,'Deferred Revenue'!$Q$6:$Q$607)</f>
        <v/>
      </c>
      <c r="E69" s="43">
        <f>C69+D69</f>
        <v/>
      </c>
      <c r="F69" s="50">
        <f>IF(ROUND(C69,2)+ROUND(D69,2)=0,"","yes")</f>
        <v/>
      </c>
      <c r="G69" s="63" t="n"/>
      <c r="H69" s="43">
        <f>IF($G69="","",$E69-$G69)</f>
        <v/>
      </c>
    </row>
    <row r="70">
      <c r="A70" s="62" t="inlineStr">
        <is>
          <t>2510804</t>
        </is>
      </c>
      <c r="B70" s="62" t="inlineStr">
        <is>
          <t>CommSecurity Presynct QLD Desk Booking</t>
        </is>
      </c>
      <c r="C70" s="43">
        <f>SUMIFS(tbl_WIP[Amount],tbl_WIP[Job Number],$A70,tbl_WIP[Month],"&lt;&gt;",tbl_WIP[Month],"&lt;"&amp;$C$4,tbl_WIP[Defer Start],"")+SUMIF('Deferred Revenue'!$E$6:$E$607,$A70,'Deferred Revenue'!$P$6:$P$607)</f>
        <v/>
      </c>
      <c r="D70" s="43">
        <f>SUMIFS(tbl_WIP[Amount],tbl_WIP[Job Number],$A70,tbl_WIP[Month],$C$4,tbl_WIP[Defer Start],"")+SUMIF('Deferred Revenue'!$E$6:$E$607,$A70,'Deferred Revenue'!$Q$6:$Q$607)</f>
        <v/>
      </c>
      <c r="E70" s="43">
        <f>C70+D70</f>
        <v/>
      </c>
      <c r="F70" s="50">
        <f>IF(ROUND(C70,2)+ROUND(D70,2)=0,"","yes")</f>
        <v/>
      </c>
      <c r="G70" s="63" t="n"/>
      <c r="H70" s="43">
        <f>IF($G70="","",$E70-$G70)</f>
        <v/>
      </c>
    </row>
    <row r="71">
      <c r="A71" s="62" t="inlineStr">
        <is>
          <t>2510805</t>
        </is>
      </c>
      <c r="B71" s="62" t="inlineStr">
        <is>
          <t>PNSW Reconstruction Authority Newcastle</t>
        </is>
      </c>
      <c r="C71" s="43">
        <f>SUMIFS(tbl_WIP[Amount],tbl_WIP[Job Number],$A71,tbl_WIP[Month],"&lt;&gt;",tbl_WIP[Month],"&lt;"&amp;$C$4,tbl_WIP[Defer Start],"")+SUMIF('Deferred Revenue'!$E$6:$E$607,$A71,'Deferred Revenue'!$P$6:$P$607)</f>
        <v/>
      </c>
      <c r="D71" s="43">
        <f>SUMIFS(tbl_WIP[Amount],tbl_WIP[Job Number],$A71,tbl_WIP[Month],$C$4,tbl_WIP[Defer Start],"")+SUMIF('Deferred Revenue'!$E$6:$E$607,$A71,'Deferred Revenue'!$Q$6:$Q$607)</f>
        <v/>
      </c>
      <c r="E71" s="43">
        <f>C71+D71</f>
        <v/>
      </c>
      <c r="F71" s="50">
        <f>IF(ROUND(C71,2)+ROUND(D71,2)=0,"","yes")</f>
        <v/>
      </c>
      <c r="G71" s="63" t="n"/>
      <c r="H71" s="43">
        <f>IF($G71="","",$E71-$G71)</f>
        <v/>
      </c>
    </row>
    <row r="72">
      <c r="A72" s="62" t="inlineStr">
        <is>
          <t>25111203</t>
        </is>
      </c>
      <c r="B72" s="62" t="inlineStr">
        <is>
          <t>CoS | Barco E3 Sale</t>
        </is>
      </c>
      <c r="C72" s="43">
        <f>SUMIFS(tbl_WIP[Amount],tbl_WIP[Job Number],$A72,tbl_WIP[Month],"&lt;&gt;",tbl_WIP[Month],"&lt;"&amp;$C$4,tbl_WIP[Defer Start],"")+SUMIF('Deferred Revenue'!$E$6:$E$607,$A72,'Deferred Revenue'!$P$6:$P$607)</f>
        <v/>
      </c>
      <c r="D72" s="43">
        <f>SUMIFS(tbl_WIP[Amount],tbl_WIP[Job Number],$A72,tbl_WIP[Month],$C$4,tbl_WIP[Defer Start],"")+SUMIF('Deferred Revenue'!$E$6:$E$607,$A72,'Deferred Revenue'!$Q$6:$Q$607)</f>
        <v/>
      </c>
      <c r="E72" s="43">
        <f>C72+D72</f>
        <v/>
      </c>
      <c r="F72" s="50">
        <f>IF(ROUND(C72,2)+ROUND(D72,2)=0,"","yes")</f>
        <v/>
      </c>
      <c r="G72" s="63" t="n"/>
      <c r="H72" s="43">
        <f>IF($G72="","",$E72-$G72)</f>
        <v/>
      </c>
    </row>
    <row r="73">
      <c r="A73" s="62" t="inlineStr">
        <is>
          <t>25112801</t>
        </is>
      </c>
      <c r="B73" s="62" t="inlineStr">
        <is>
          <t>APA MEL - iPad &amp; Bouncepad Sale</t>
        </is>
      </c>
      <c r="C73" s="43">
        <f>SUMIFS(tbl_WIP[Amount],tbl_WIP[Job Number],$A73,tbl_WIP[Month],"&lt;&gt;",tbl_WIP[Month],"&lt;"&amp;$C$4,tbl_WIP[Defer Start],"")+SUMIF('Deferred Revenue'!$E$6:$E$607,$A73,'Deferred Revenue'!$P$6:$P$607)</f>
        <v/>
      </c>
      <c r="D73" s="43">
        <f>SUMIFS(tbl_WIP[Amount],tbl_WIP[Job Number],$A73,tbl_WIP[Month],$C$4,tbl_WIP[Defer Start],"")+SUMIF('Deferred Revenue'!$E$6:$E$607,$A73,'Deferred Revenue'!$Q$6:$Q$607)</f>
        <v/>
      </c>
      <c r="E73" s="43">
        <f>C73+D73</f>
        <v/>
      </c>
      <c r="F73" s="50">
        <f>IF(ROUND(C73,2)+ROUND(D73,2)=0,"","yes")</f>
        <v/>
      </c>
      <c r="G73" s="63" t="n"/>
      <c r="H73" s="43">
        <f>IF($G73="","",$E73-$G73)</f>
        <v/>
      </c>
    </row>
    <row r="74">
      <c r="A74" s="62" t="inlineStr">
        <is>
          <t>25121001</t>
        </is>
      </c>
      <c r="B74" s="62" t="inlineStr">
        <is>
          <t>HP Poly Mic System Sale and Install at Mission Australia</t>
        </is>
      </c>
      <c r="C74" s="43">
        <f>SUMIFS(tbl_WIP[Amount],tbl_WIP[Job Number],$A74,tbl_WIP[Month],"&lt;&gt;",tbl_WIP[Month],"&lt;"&amp;$C$4,tbl_WIP[Defer Start],"")+SUMIF('Deferred Revenue'!$E$6:$E$607,$A74,'Deferred Revenue'!$P$6:$P$607)</f>
        <v/>
      </c>
      <c r="D74" s="43">
        <f>SUMIFS(tbl_WIP[Amount],tbl_WIP[Job Number],$A74,tbl_WIP[Month],$C$4,tbl_WIP[Defer Start],"")+SUMIF('Deferred Revenue'!$E$6:$E$607,$A74,'Deferred Revenue'!$Q$6:$Q$607)</f>
        <v/>
      </c>
      <c r="E74" s="43">
        <f>C74+D74</f>
        <v/>
      </c>
      <c r="F74" s="50">
        <f>IF(ROUND(C74,2)+ROUND(D74,2)=0,"","yes")</f>
        <v/>
      </c>
      <c r="G74" s="63" t="n"/>
      <c r="H74" s="43">
        <f>IF($G74="","",$E74-$G74)</f>
        <v/>
      </c>
    </row>
    <row r="75">
      <c r="A75" s="62" t="inlineStr">
        <is>
          <t>25121007</t>
        </is>
      </c>
      <c r="B75" s="62" t="inlineStr">
        <is>
          <t>Novigi SYD/MEL boardroom Mic upgrade + Cable Tidy</t>
        </is>
      </c>
      <c r="C75" s="43">
        <f>SUMIFS(tbl_WIP[Amount],tbl_WIP[Job Number],$A75,tbl_WIP[Month],"&lt;&gt;",tbl_WIP[Month],"&lt;"&amp;$C$4,tbl_WIP[Defer Start],"")+SUMIF('Deferred Revenue'!$E$6:$E$607,$A75,'Deferred Revenue'!$P$6:$P$607)</f>
        <v/>
      </c>
      <c r="D75" s="43">
        <f>SUMIFS(tbl_WIP[Amount],tbl_WIP[Job Number],$A75,tbl_WIP[Month],$C$4,tbl_WIP[Defer Start],"")+SUMIF('Deferred Revenue'!$E$6:$E$607,$A75,'Deferred Revenue'!$Q$6:$Q$607)</f>
        <v/>
      </c>
      <c r="E75" s="43">
        <f>C75+D75</f>
        <v/>
      </c>
      <c r="F75" s="50">
        <f>IF(ROUND(C75,2)+ROUND(D75,2)=0,"","yes")</f>
        <v/>
      </c>
      <c r="G75" s="63" t="n"/>
      <c r="H75" s="43">
        <f>IF($G75="","",$E75-$G75)</f>
        <v/>
      </c>
    </row>
    <row r="76">
      <c r="A76" s="62" t="inlineStr">
        <is>
          <t>25121208</t>
        </is>
      </c>
      <c r="B76" s="62" t="inlineStr">
        <is>
          <t>APA HYR &amp; FYR Package 2026</t>
        </is>
      </c>
      <c r="C76" s="43">
        <f>SUMIFS(tbl_WIP[Amount],tbl_WIP[Job Number],$A76,tbl_WIP[Month],"&lt;&gt;",tbl_WIP[Month],"&lt;"&amp;$C$4,tbl_WIP[Defer Start],"")+SUMIF('Deferred Revenue'!$E$6:$E$607,$A76,'Deferred Revenue'!$P$6:$P$607)</f>
        <v/>
      </c>
      <c r="D76" s="43">
        <f>SUMIFS(tbl_WIP[Amount],tbl_WIP[Job Number],$A76,tbl_WIP[Month],$C$4,tbl_WIP[Defer Start],"")+SUMIF('Deferred Revenue'!$E$6:$E$607,$A76,'Deferred Revenue'!$Q$6:$Q$607)</f>
        <v/>
      </c>
      <c r="E76" s="43">
        <f>C76+D76</f>
        <v/>
      </c>
      <c r="F76" s="50">
        <f>IF(ROUND(C76,2)+ROUND(D76,2)=0,"","yes")</f>
        <v/>
      </c>
      <c r="G76" s="63" t="n"/>
      <c r="H76" s="43">
        <f>IF($G76="","",$E76-$G76)</f>
        <v/>
      </c>
    </row>
    <row r="77">
      <c r="A77" s="62" t="inlineStr">
        <is>
          <t>2512503</t>
        </is>
      </c>
      <c r="B77" s="62" t="inlineStr">
        <is>
          <t>Ventia EOY Town Hall 10.12.2025</t>
        </is>
      </c>
      <c r="C77" s="43">
        <f>SUMIFS(tbl_WIP[Amount],tbl_WIP[Job Number],$A77,tbl_WIP[Month],"&lt;&gt;",tbl_WIP[Month],"&lt;"&amp;$C$4,tbl_WIP[Defer Start],"")+SUMIF('Deferred Revenue'!$E$6:$E$607,$A77,'Deferred Revenue'!$P$6:$P$607)</f>
        <v/>
      </c>
      <c r="D77" s="43">
        <f>SUMIFS(tbl_WIP[Amount],tbl_WIP[Job Number],$A77,tbl_WIP[Month],$C$4,tbl_WIP[Defer Start],"")+SUMIF('Deferred Revenue'!$E$6:$E$607,$A77,'Deferred Revenue'!$Q$6:$Q$607)</f>
        <v/>
      </c>
      <c r="E77" s="43">
        <f>C77+D77</f>
        <v/>
      </c>
      <c r="F77" s="50">
        <f>IF(ROUND(C77,2)+ROUND(D77,2)=0,"","yes")</f>
        <v/>
      </c>
      <c r="G77" s="63" t="n"/>
      <c r="H77" s="43">
        <f>IF($G77="","",$E77-$G77)</f>
        <v/>
      </c>
    </row>
    <row r="78">
      <c r="A78" s="62" t="inlineStr">
        <is>
          <t>2512503V</t>
        </is>
      </c>
      <c r="B78" s="62" t="inlineStr">
        <is>
          <t>Ventia EOY Town Hall 10.12.2025</t>
        </is>
      </c>
      <c r="C78" s="43">
        <f>SUMIFS(tbl_WIP[Amount],tbl_WIP[Job Number],$A78,tbl_WIP[Month],"&lt;&gt;",tbl_WIP[Month],"&lt;"&amp;$C$4,tbl_WIP[Defer Start],"")+SUMIF('Deferred Revenue'!$E$6:$E$607,$A78,'Deferred Revenue'!$P$6:$P$607)</f>
        <v/>
      </c>
      <c r="D78" s="43">
        <f>SUMIFS(tbl_WIP[Amount],tbl_WIP[Job Number],$A78,tbl_WIP[Month],$C$4,tbl_WIP[Defer Start],"")+SUMIF('Deferred Revenue'!$E$6:$E$607,$A78,'Deferred Revenue'!$Q$6:$Q$607)</f>
        <v/>
      </c>
      <c r="E78" s="43">
        <f>C78+D78</f>
        <v/>
      </c>
      <c r="F78" s="50">
        <f>IF(ROUND(C78,2)+ROUND(D78,2)=0,"","yes")</f>
        <v/>
      </c>
      <c r="G78" s="63" t="n"/>
      <c r="H78" s="43">
        <f>IF($G78="","",$E78-$G78)</f>
        <v/>
      </c>
    </row>
    <row r="79">
      <c r="A79" s="62" t="inlineStr">
        <is>
          <t>2512804</t>
        </is>
      </c>
      <c r="B79" s="62" t="inlineStr">
        <is>
          <t>RSNSW Ordinary General Meeting 5.8.26</t>
        </is>
      </c>
      <c r="C79" s="43">
        <f>SUMIFS(tbl_WIP[Amount],tbl_WIP[Job Number],$A79,tbl_WIP[Month],"&lt;&gt;",tbl_WIP[Month],"&lt;"&amp;$C$4,tbl_WIP[Defer Start],"")+SUMIF('Deferred Revenue'!$E$6:$E$607,$A79,'Deferred Revenue'!$P$6:$P$607)</f>
        <v/>
      </c>
      <c r="D79" s="43">
        <f>SUMIFS(tbl_WIP[Amount],tbl_WIP[Job Number],$A79,tbl_WIP[Month],$C$4,tbl_WIP[Defer Start],"")+SUMIF('Deferred Revenue'!$E$6:$E$607,$A79,'Deferred Revenue'!$Q$6:$Q$607)</f>
        <v/>
      </c>
      <c r="E79" s="43">
        <f>C79+D79</f>
        <v/>
      </c>
      <c r="F79" s="50">
        <f>IF(ROUND(C79,2)+ROUND(D79,2)=0,"","yes")</f>
        <v/>
      </c>
      <c r="G79" s="63" t="n"/>
      <c r="H79" s="43">
        <f>IF($G79="","",$E79-$G79)</f>
        <v/>
      </c>
    </row>
    <row r="80">
      <c r="A80" s="62" t="inlineStr">
        <is>
          <t>2512804V</t>
        </is>
      </c>
      <c r="B80" s="62" t="inlineStr">
        <is>
          <t>RSNSW Ordinary General Meeting 5.8.26</t>
        </is>
      </c>
      <c r="C80" s="43">
        <f>SUMIFS(tbl_WIP[Amount],tbl_WIP[Job Number],$A80,tbl_WIP[Month],"&lt;&gt;",tbl_WIP[Month],"&lt;"&amp;$C$4,tbl_WIP[Defer Start],"")+SUMIF('Deferred Revenue'!$E$6:$E$607,$A80,'Deferred Revenue'!$P$6:$P$607)</f>
        <v/>
      </c>
      <c r="D80" s="43">
        <f>SUMIFS(tbl_WIP[Amount],tbl_WIP[Job Number],$A80,tbl_WIP[Month],$C$4,tbl_WIP[Defer Start],"")+SUMIF('Deferred Revenue'!$E$6:$E$607,$A80,'Deferred Revenue'!$Q$6:$Q$607)</f>
        <v/>
      </c>
      <c r="E80" s="43">
        <f>C80+D80</f>
        <v/>
      </c>
      <c r="F80" s="50">
        <f>IF(ROUND(C80,2)+ROUND(D80,2)=0,"","yes")</f>
        <v/>
      </c>
      <c r="G80" s="63" t="n"/>
      <c r="H80" s="43">
        <f>IF($G80="","",$E80-$G80)</f>
        <v/>
      </c>
    </row>
    <row r="81">
      <c r="A81" s="62" t="inlineStr">
        <is>
          <t>2512805</t>
        </is>
      </c>
      <c r="B81" s="62" t="inlineStr">
        <is>
          <t>RSNSW Ordinary General Meeting 7.10.2026</t>
        </is>
      </c>
      <c r="C81" s="43">
        <f>SUMIFS(tbl_WIP[Amount],tbl_WIP[Job Number],$A81,tbl_WIP[Month],"&lt;&gt;",tbl_WIP[Month],"&lt;"&amp;$C$4,tbl_WIP[Defer Start],"")+SUMIF('Deferred Revenue'!$E$6:$E$607,$A81,'Deferred Revenue'!$P$6:$P$607)</f>
        <v/>
      </c>
      <c r="D81" s="43">
        <f>SUMIFS(tbl_WIP[Amount],tbl_WIP[Job Number],$A81,tbl_WIP[Month],$C$4,tbl_WIP[Defer Start],"")+SUMIF('Deferred Revenue'!$E$6:$E$607,$A81,'Deferred Revenue'!$Q$6:$Q$607)</f>
        <v/>
      </c>
      <c r="E81" s="43">
        <f>C81+D81</f>
        <v/>
      </c>
      <c r="F81" s="50">
        <f>IF(ROUND(C81,2)+ROUND(D81,2)=0,"","yes")</f>
        <v/>
      </c>
      <c r="G81" s="63" t="n"/>
      <c r="H81" s="43">
        <f>IF($G81="","",$E81-$G81)</f>
        <v/>
      </c>
    </row>
    <row r="82">
      <c r="A82" s="62" t="inlineStr">
        <is>
          <t>2512805V</t>
        </is>
      </c>
      <c r="B82" s="62" t="inlineStr">
        <is>
          <t>RSNSW Ordinary General Meeting 7.10.2026</t>
        </is>
      </c>
      <c r="C82" s="43">
        <f>SUMIFS(tbl_WIP[Amount],tbl_WIP[Job Number],$A82,tbl_WIP[Month],"&lt;&gt;",tbl_WIP[Month],"&lt;"&amp;$C$4,tbl_WIP[Defer Start],"")+SUMIF('Deferred Revenue'!$E$6:$E$607,$A82,'Deferred Revenue'!$P$6:$P$607)</f>
        <v/>
      </c>
      <c r="D82" s="43">
        <f>SUMIFS(tbl_WIP[Amount],tbl_WIP[Job Number],$A82,tbl_WIP[Month],$C$4,tbl_WIP[Defer Start],"")+SUMIF('Deferred Revenue'!$E$6:$E$607,$A82,'Deferred Revenue'!$Q$6:$Q$607)</f>
        <v/>
      </c>
      <c r="E82" s="43">
        <f>C82+D82</f>
        <v/>
      </c>
      <c r="F82" s="50">
        <f>IF(ROUND(C82,2)+ROUND(D82,2)=0,"","yes")</f>
        <v/>
      </c>
      <c r="G82" s="63" t="n"/>
      <c r="H82" s="43">
        <f>IF($G82="","",$E82-$G82)</f>
        <v/>
      </c>
    </row>
    <row r="83">
      <c r="A83" s="62" t="inlineStr">
        <is>
          <t>2512806</t>
        </is>
      </c>
      <c r="B83" s="62" t="inlineStr">
        <is>
          <t>RSNSW Ordinary General Meeting 2.12.26</t>
        </is>
      </c>
      <c r="C83" s="43">
        <f>SUMIFS(tbl_WIP[Amount],tbl_WIP[Job Number],$A83,tbl_WIP[Month],"&lt;&gt;",tbl_WIP[Month],"&lt;"&amp;$C$4,tbl_WIP[Defer Start],"")+SUMIF('Deferred Revenue'!$E$6:$E$607,$A83,'Deferred Revenue'!$P$6:$P$607)</f>
        <v/>
      </c>
      <c r="D83" s="43">
        <f>SUMIFS(tbl_WIP[Amount],tbl_WIP[Job Number],$A83,tbl_WIP[Month],$C$4,tbl_WIP[Defer Start],"")+SUMIF('Deferred Revenue'!$E$6:$E$607,$A83,'Deferred Revenue'!$Q$6:$Q$607)</f>
        <v/>
      </c>
      <c r="E83" s="43">
        <f>C83+D83</f>
        <v/>
      </c>
      <c r="F83" s="50">
        <f>IF(ROUND(C83,2)+ROUND(D83,2)=0,"","yes")</f>
        <v/>
      </c>
      <c r="G83" s="63" t="n"/>
      <c r="H83" s="43">
        <f>IF($G83="","",$E83-$G83)</f>
        <v/>
      </c>
    </row>
    <row r="84">
      <c r="A84" s="62" t="inlineStr">
        <is>
          <t>2512806V</t>
        </is>
      </c>
      <c r="B84" s="62" t="inlineStr">
        <is>
          <t>RSNSW Ordinary General Meeting 2.12.26</t>
        </is>
      </c>
      <c r="C84" s="43">
        <f>SUMIFS(tbl_WIP[Amount],tbl_WIP[Job Number],$A84,tbl_WIP[Month],"&lt;&gt;",tbl_WIP[Month],"&lt;"&amp;$C$4,tbl_WIP[Defer Start],"")+SUMIF('Deferred Revenue'!$E$6:$E$607,$A84,'Deferred Revenue'!$P$6:$P$607)</f>
        <v/>
      </c>
      <c r="D84" s="43">
        <f>SUMIFS(tbl_WIP[Amount],tbl_WIP[Job Number],$A84,tbl_WIP[Month],$C$4,tbl_WIP[Defer Start],"")+SUMIF('Deferred Revenue'!$E$6:$E$607,$A84,'Deferred Revenue'!$Q$6:$Q$607)</f>
        <v/>
      </c>
      <c r="E84" s="43">
        <f>C84+D84</f>
        <v/>
      </c>
      <c r="F84" s="50">
        <f>IF(ROUND(C84,2)+ROUND(D84,2)=0,"","yes")</f>
        <v/>
      </c>
      <c r="G84" s="63" t="n"/>
      <c r="H84" s="43">
        <f>IF($G84="","",$E84-$G84)</f>
        <v/>
      </c>
    </row>
    <row r="85">
      <c r="A85" s="62" t="inlineStr">
        <is>
          <t>2519</t>
        </is>
      </c>
      <c r="B85" s="62" t="inlineStr">
        <is>
          <t>NSW Prop-6PSQ Visitor MG</t>
        </is>
      </c>
      <c r="C85" s="43">
        <f>SUMIFS(tbl_WIP[Amount],tbl_WIP[Job Number],$A85,tbl_WIP[Month],"&lt;&gt;",tbl_WIP[Month],"&lt;"&amp;$C$4,tbl_WIP[Defer Start],"")+SUMIF('Deferred Revenue'!$E$6:$E$607,$A85,'Deferred Revenue'!$P$6:$P$607)</f>
        <v/>
      </c>
      <c r="D85" s="43">
        <f>SUMIFS(tbl_WIP[Amount],tbl_WIP[Job Number],$A85,tbl_WIP[Month],$C$4,tbl_WIP[Defer Start],"")+SUMIF('Deferred Revenue'!$E$6:$E$607,$A85,'Deferred Revenue'!$Q$6:$Q$607)</f>
        <v/>
      </c>
      <c r="E85" s="43">
        <f>C85+D85</f>
        <v/>
      </c>
      <c r="F85" s="50">
        <f>IF(ROUND(C85,2)+ROUND(D85,2)=0,"","yes")</f>
        <v/>
      </c>
      <c r="G85" s="63" t="n"/>
      <c r="H85" s="43">
        <f>IF($G85="","",$E85-$G85)</f>
        <v/>
      </c>
    </row>
    <row r="86">
      <c r="A86" s="62" t="inlineStr">
        <is>
          <t>2521</t>
        </is>
      </c>
      <c r="B86" s="62" t="inlineStr">
        <is>
          <t>PWC - PER Tech</t>
        </is>
      </c>
      <c r="C86" s="43">
        <f>SUMIFS(tbl_WIP[Amount],tbl_WIP[Job Number],$A86,tbl_WIP[Month],"&lt;&gt;",tbl_WIP[Month],"&lt;"&amp;$C$4,tbl_WIP[Defer Start],"")+SUMIF('Deferred Revenue'!$E$6:$E$607,$A86,'Deferred Revenue'!$P$6:$P$607)</f>
        <v/>
      </c>
      <c r="D86" s="43">
        <f>SUMIFS(tbl_WIP[Amount],tbl_WIP[Job Number],$A86,tbl_WIP[Month],$C$4,tbl_WIP[Defer Start],"")+SUMIF('Deferred Revenue'!$E$6:$E$607,$A86,'Deferred Revenue'!$Q$6:$Q$607)</f>
        <v/>
      </c>
      <c r="E86" s="43">
        <f>C86+D86</f>
        <v/>
      </c>
      <c r="F86" s="50">
        <f>IF(ROUND(C86,2)+ROUND(D86,2)=0,"","yes")</f>
        <v/>
      </c>
      <c r="G86" s="63" t="n"/>
      <c r="H86" s="43">
        <f>IF($G86="","",$E86-$G86)</f>
        <v/>
      </c>
    </row>
    <row r="87">
      <c r="A87" s="62" t="inlineStr">
        <is>
          <t>2540</t>
        </is>
      </c>
      <c r="B87" s="62" t="inlineStr">
        <is>
          <t>PWC - SYD Tech</t>
        </is>
      </c>
      <c r="C87" s="43">
        <f>SUMIFS(tbl_WIP[Amount],tbl_WIP[Job Number],$A87,tbl_WIP[Month],"&lt;&gt;",tbl_WIP[Month],"&lt;"&amp;$C$4,tbl_WIP[Defer Start],"")+SUMIF('Deferred Revenue'!$E$6:$E$607,$A87,'Deferred Revenue'!$P$6:$P$607)</f>
        <v/>
      </c>
      <c r="D87" s="43">
        <f>SUMIFS(tbl_WIP[Amount],tbl_WIP[Job Number],$A87,tbl_WIP[Month],$C$4,tbl_WIP[Defer Start],"")+SUMIF('Deferred Revenue'!$E$6:$E$607,$A87,'Deferred Revenue'!$Q$6:$Q$607)</f>
        <v/>
      </c>
      <c r="E87" s="43">
        <f>C87+D87</f>
        <v/>
      </c>
      <c r="F87" s="50">
        <f>IF(ROUND(C87,2)+ROUND(D87,2)=0,"","yes")</f>
        <v/>
      </c>
      <c r="G87" s="63" t="n"/>
      <c r="H87" s="43">
        <f>IF($G87="","",$E87-$G87)</f>
        <v/>
      </c>
    </row>
    <row r="88">
      <c r="A88" s="62" t="inlineStr">
        <is>
          <t>2543</t>
        </is>
      </c>
      <c r="B88" s="62" t="inlineStr">
        <is>
          <t>DTTL MEL Tech (PT)</t>
        </is>
      </c>
      <c r="C88" s="43">
        <f>SUMIFS(tbl_WIP[Amount],tbl_WIP[Job Number],$A88,tbl_WIP[Month],"&lt;&gt;",tbl_WIP[Month],"&lt;"&amp;$C$4,tbl_WIP[Defer Start],"")+SUMIF('Deferred Revenue'!$E$6:$E$607,$A88,'Deferred Revenue'!$P$6:$P$607)</f>
        <v/>
      </c>
      <c r="D88" s="43">
        <f>SUMIFS(tbl_WIP[Amount],tbl_WIP[Job Number],$A88,tbl_WIP[Month],$C$4,tbl_WIP[Defer Start],"")+SUMIF('Deferred Revenue'!$E$6:$E$607,$A88,'Deferred Revenue'!$Q$6:$Q$607)</f>
        <v/>
      </c>
      <c r="E88" s="43">
        <f>C88+D88</f>
        <v/>
      </c>
      <c r="F88" s="50">
        <f>IF(ROUND(C88,2)+ROUND(D88,2)=0,"","yes")</f>
        <v/>
      </c>
      <c r="G88" s="63" t="n"/>
      <c r="H88" s="43">
        <f>IF($G88="","",$E88-$G88)</f>
        <v/>
      </c>
    </row>
    <row r="89">
      <c r="A89" s="62" t="inlineStr">
        <is>
          <t>2591012</t>
        </is>
      </c>
      <c r="B89" s="62" t="inlineStr">
        <is>
          <t>St. Luke's Non-chargeable</t>
        </is>
      </c>
      <c r="C89" s="43">
        <f>SUMIFS(tbl_WIP[Amount],tbl_WIP[Job Number],$A89,tbl_WIP[Month],"&lt;&gt;",tbl_WIP[Month],"&lt;"&amp;$C$4,tbl_WIP[Defer Start],"")+SUMIF('Deferred Revenue'!$E$6:$E$607,$A89,'Deferred Revenue'!$P$6:$P$607)</f>
        <v/>
      </c>
      <c r="D89" s="43">
        <f>SUMIFS(tbl_WIP[Amount],tbl_WIP[Job Number],$A89,tbl_WIP[Month],$C$4,tbl_WIP[Defer Start],"")+SUMIF('Deferred Revenue'!$E$6:$E$607,$A89,'Deferred Revenue'!$Q$6:$Q$607)</f>
        <v/>
      </c>
      <c r="E89" s="43">
        <f>C89+D89</f>
        <v/>
      </c>
      <c r="F89" s="50">
        <f>IF(ROUND(C89,2)+ROUND(D89,2)=0,"","yes")</f>
        <v/>
      </c>
      <c r="G89" s="63" t="n"/>
      <c r="H89" s="43">
        <f>IF($G89="","",$E89-$G89)</f>
        <v/>
      </c>
    </row>
    <row r="90">
      <c r="A90" s="62" t="inlineStr">
        <is>
          <t>2591012C</t>
        </is>
      </c>
      <c r="B90" s="62" t="inlineStr">
        <is>
          <t>St. Luke's Church</t>
        </is>
      </c>
      <c r="C90" s="43">
        <f>SUMIFS(tbl_WIP[Amount],tbl_WIP[Job Number],$A90,tbl_WIP[Month],"&lt;&gt;",tbl_WIP[Month],"&lt;"&amp;$C$4,tbl_WIP[Defer Start],"")+SUMIF('Deferred Revenue'!$E$6:$E$607,$A90,'Deferred Revenue'!$P$6:$P$607)</f>
        <v/>
      </c>
      <c r="D90" s="43">
        <f>SUMIFS(tbl_WIP[Amount],tbl_WIP[Job Number],$A90,tbl_WIP[Month],$C$4,tbl_WIP[Defer Start],"")+SUMIF('Deferred Revenue'!$E$6:$E$607,$A90,'Deferred Revenue'!$Q$6:$Q$607)</f>
        <v/>
      </c>
      <c r="E90" s="43">
        <f>C90+D90</f>
        <v/>
      </c>
      <c r="F90" s="50">
        <f>IF(ROUND(C90,2)+ROUND(D90,2)=0,"","yes")</f>
        <v/>
      </c>
      <c r="G90" s="63" t="n"/>
      <c r="H90" s="43">
        <f>IF($G90="","",$E90-$G90)</f>
        <v/>
      </c>
    </row>
    <row r="91">
      <c r="A91" s="62" t="inlineStr">
        <is>
          <t>2593</t>
        </is>
      </c>
      <c r="B91" s="62" t="inlineStr">
        <is>
          <t>PWC CBR Technician</t>
        </is>
      </c>
      <c r="C91" s="43">
        <f>SUMIFS(tbl_WIP[Amount],tbl_WIP[Job Number],$A91,tbl_WIP[Month],"&lt;&gt;",tbl_WIP[Month],"&lt;"&amp;$C$4,tbl_WIP[Defer Start],"")+SUMIF('Deferred Revenue'!$E$6:$E$607,$A91,'Deferred Revenue'!$P$6:$P$607)</f>
        <v/>
      </c>
      <c r="D91" s="43">
        <f>SUMIFS(tbl_WIP[Amount],tbl_WIP[Job Number],$A91,tbl_WIP[Month],$C$4,tbl_WIP[Defer Start],"")+SUMIF('Deferred Revenue'!$E$6:$E$607,$A91,'Deferred Revenue'!$Q$6:$Q$607)</f>
        <v/>
      </c>
      <c r="E91" s="43">
        <f>C91+D91</f>
        <v/>
      </c>
      <c r="F91" s="50">
        <f>IF(ROUND(C91,2)+ROUND(D91,2)=0,"","yes")</f>
        <v/>
      </c>
      <c r="G91" s="63" t="n"/>
      <c r="H91" s="43">
        <f>IF($G91="","",$E91-$G91)</f>
        <v/>
      </c>
    </row>
    <row r="92">
      <c r="A92" s="62" t="inlineStr">
        <is>
          <t>2598</t>
        </is>
      </c>
      <c r="B92" s="62" t="inlineStr">
        <is>
          <t>DTTL WA Tech</t>
        </is>
      </c>
      <c r="C92" s="43">
        <f>SUMIFS(tbl_WIP[Amount],tbl_WIP[Job Number],$A92,tbl_WIP[Month],"&lt;&gt;",tbl_WIP[Month],"&lt;"&amp;$C$4,tbl_WIP[Defer Start],"")+SUMIF('Deferred Revenue'!$E$6:$E$607,$A92,'Deferred Revenue'!$P$6:$P$607)</f>
        <v/>
      </c>
      <c r="D92" s="43">
        <f>SUMIFS(tbl_WIP[Amount],tbl_WIP[Job Number],$A92,tbl_WIP[Month],$C$4,tbl_WIP[Defer Start],"")+SUMIF('Deferred Revenue'!$E$6:$E$607,$A92,'Deferred Revenue'!$Q$6:$Q$607)</f>
        <v/>
      </c>
      <c r="E92" s="43">
        <f>C92+D92</f>
        <v/>
      </c>
      <c r="F92" s="50">
        <f>IF(ROUND(C92,2)+ROUND(D92,2)=0,"","yes")</f>
        <v/>
      </c>
      <c r="G92" s="63" t="n"/>
      <c r="H92" s="43">
        <f>IF($G92="","",$E92-$G92)</f>
        <v/>
      </c>
    </row>
    <row r="93">
      <c r="A93" s="62" t="inlineStr">
        <is>
          <t>26011404</t>
        </is>
      </c>
      <c r="B93" s="62" t="inlineStr">
        <is>
          <t>ASX CEO Connect (Extended Results) 1.9.26</t>
        </is>
      </c>
      <c r="C93" s="43">
        <f>SUMIFS(tbl_WIP[Amount],tbl_WIP[Job Number],$A93,tbl_WIP[Month],"&lt;&gt;",tbl_WIP[Month],"&lt;"&amp;$C$4,tbl_WIP[Defer Start],"")+SUMIF('Deferred Revenue'!$E$6:$E$607,$A93,'Deferred Revenue'!$P$6:$P$607)</f>
        <v/>
      </c>
      <c r="D93" s="43">
        <f>SUMIFS(tbl_WIP[Amount],tbl_WIP[Job Number],$A93,tbl_WIP[Month],$C$4,tbl_WIP[Defer Start],"")+SUMIF('Deferred Revenue'!$E$6:$E$607,$A93,'Deferred Revenue'!$Q$6:$Q$607)</f>
        <v/>
      </c>
      <c r="E93" s="43">
        <f>C93+D93</f>
        <v/>
      </c>
      <c r="F93" s="50">
        <f>IF(ROUND(C93,2)+ROUND(D93,2)=0,"","yes")</f>
        <v/>
      </c>
      <c r="G93" s="63" t="n"/>
      <c r="H93" s="43">
        <f>IF($G93="","",$E93-$G93)</f>
        <v/>
      </c>
    </row>
    <row r="94">
      <c r="A94" s="62" t="inlineStr">
        <is>
          <t>26011404V</t>
        </is>
      </c>
      <c r="B94" s="62" t="inlineStr">
        <is>
          <t>ASX CEO Connect (Extended Results) 1.9.26</t>
        </is>
      </c>
      <c r="C94" s="43">
        <f>SUMIFS(tbl_WIP[Amount],tbl_WIP[Job Number],$A94,tbl_WIP[Month],"&lt;&gt;",tbl_WIP[Month],"&lt;"&amp;$C$4,tbl_WIP[Defer Start],"")+SUMIF('Deferred Revenue'!$E$6:$E$607,$A94,'Deferred Revenue'!$P$6:$P$607)</f>
        <v/>
      </c>
      <c r="D94" s="43">
        <f>SUMIFS(tbl_WIP[Amount],tbl_WIP[Job Number],$A94,tbl_WIP[Month],$C$4,tbl_WIP[Defer Start],"")+SUMIF('Deferred Revenue'!$E$6:$E$607,$A94,'Deferred Revenue'!$Q$6:$Q$607)</f>
        <v/>
      </c>
      <c r="E94" s="43">
        <f>C94+D94</f>
        <v/>
      </c>
      <c r="F94" s="50">
        <f>IF(ROUND(C94,2)+ROUND(D94,2)=0,"","yes")</f>
        <v/>
      </c>
      <c r="G94" s="63" t="n"/>
      <c r="H94" s="43">
        <f>IF($G94="","",$E94-$G94)</f>
        <v/>
      </c>
    </row>
    <row r="95">
      <c r="A95" s="62" t="inlineStr">
        <is>
          <t>26011407</t>
        </is>
      </c>
      <c r="B95" s="62" t="inlineStr">
        <is>
          <t>ASX CEO Connect 27.10.26</t>
        </is>
      </c>
      <c r="C95" s="43">
        <f>SUMIFS(tbl_WIP[Amount],tbl_WIP[Job Number],$A95,tbl_WIP[Month],"&lt;&gt;",tbl_WIP[Month],"&lt;"&amp;$C$4,tbl_WIP[Defer Start],"")+SUMIF('Deferred Revenue'!$E$6:$E$607,$A95,'Deferred Revenue'!$P$6:$P$607)</f>
        <v/>
      </c>
      <c r="D95" s="43">
        <f>SUMIFS(tbl_WIP[Amount],tbl_WIP[Job Number],$A95,tbl_WIP[Month],$C$4,tbl_WIP[Defer Start],"")+SUMIF('Deferred Revenue'!$E$6:$E$607,$A95,'Deferred Revenue'!$Q$6:$Q$607)</f>
        <v/>
      </c>
      <c r="E95" s="43">
        <f>C95+D95</f>
        <v/>
      </c>
      <c r="F95" s="50">
        <f>IF(ROUND(C95,2)+ROUND(D95,2)=0,"","yes")</f>
        <v/>
      </c>
      <c r="G95" s="63" t="n"/>
      <c r="H95" s="43">
        <f>IF($G95="","",$E95-$G95)</f>
        <v/>
      </c>
    </row>
    <row r="96">
      <c r="A96" s="62" t="inlineStr">
        <is>
          <t>26011407V</t>
        </is>
      </c>
      <c r="B96" s="62" t="inlineStr">
        <is>
          <t>ASX CEO Connect 27.10.26</t>
        </is>
      </c>
      <c r="C96" s="43">
        <f>SUMIFS(tbl_WIP[Amount],tbl_WIP[Job Number],$A96,tbl_WIP[Month],"&lt;&gt;",tbl_WIP[Month],"&lt;"&amp;$C$4,tbl_WIP[Defer Start],"")+SUMIF('Deferred Revenue'!$E$6:$E$607,$A96,'Deferred Revenue'!$P$6:$P$607)</f>
        <v/>
      </c>
      <c r="D96" s="43">
        <f>SUMIFS(tbl_WIP[Amount],tbl_WIP[Job Number],$A96,tbl_WIP[Month],$C$4,tbl_WIP[Defer Start],"")+SUMIF('Deferred Revenue'!$E$6:$E$607,$A96,'Deferred Revenue'!$Q$6:$Q$607)</f>
        <v/>
      </c>
      <c r="E96" s="43">
        <f>C96+D96</f>
        <v/>
      </c>
      <c r="F96" s="50">
        <f>IF(ROUND(C96,2)+ROUND(D96,2)=0,"","yes")</f>
        <v/>
      </c>
      <c r="G96" s="63" t="n"/>
      <c r="H96" s="43">
        <f>IF($G96="","",$E96-$G96)</f>
        <v/>
      </c>
    </row>
    <row r="97">
      <c r="A97" s="62" t="inlineStr">
        <is>
          <t>26011408</t>
        </is>
      </c>
      <c r="B97" s="62" t="inlineStr">
        <is>
          <t>ASX CEO Connect 1.12.26</t>
        </is>
      </c>
      <c r="C97" s="43">
        <f>SUMIFS(tbl_WIP[Amount],tbl_WIP[Job Number],$A97,tbl_WIP[Month],"&lt;&gt;",tbl_WIP[Month],"&lt;"&amp;$C$4,tbl_WIP[Defer Start],"")+SUMIF('Deferred Revenue'!$E$6:$E$607,$A97,'Deferred Revenue'!$P$6:$P$607)</f>
        <v/>
      </c>
      <c r="D97" s="43">
        <f>SUMIFS(tbl_WIP[Amount],tbl_WIP[Job Number],$A97,tbl_WIP[Month],$C$4,tbl_WIP[Defer Start],"")+SUMIF('Deferred Revenue'!$E$6:$E$607,$A97,'Deferred Revenue'!$Q$6:$Q$607)</f>
        <v/>
      </c>
      <c r="E97" s="43">
        <f>C97+D97</f>
        <v/>
      </c>
      <c r="F97" s="50">
        <f>IF(ROUND(C97,2)+ROUND(D97,2)=0,"","yes")</f>
        <v/>
      </c>
      <c r="G97" s="63" t="n"/>
      <c r="H97" s="43">
        <f>IF($G97="","",$E97-$G97)</f>
        <v/>
      </c>
    </row>
    <row r="98">
      <c r="A98" s="62" t="inlineStr">
        <is>
          <t>26011408V</t>
        </is>
      </c>
      <c r="B98" s="62" t="inlineStr">
        <is>
          <t>ASX CEO Connect 1.12.26</t>
        </is>
      </c>
      <c r="C98" s="43">
        <f>SUMIFS(tbl_WIP[Amount],tbl_WIP[Job Number],$A98,tbl_WIP[Month],"&lt;&gt;",tbl_WIP[Month],"&lt;"&amp;$C$4,tbl_WIP[Defer Start],"")+SUMIF('Deferred Revenue'!$E$6:$E$607,$A98,'Deferred Revenue'!$P$6:$P$607)</f>
        <v/>
      </c>
      <c r="D98" s="43">
        <f>SUMIFS(tbl_WIP[Amount],tbl_WIP[Job Number],$A98,tbl_WIP[Month],$C$4,tbl_WIP[Defer Start],"")+SUMIF('Deferred Revenue'!$E$6:$E$607,$A98,'Deferred Revenue'!$Q$6:$Q$607)</f>
        <v/>
      </c>
      <c r="E98" s="43">
        <f>C98+D98</f>
        <v/>
      </c>
      <c r="F98" s="50">
        <f>IF(ROUND(C98,2)+ROUND(D98,2)=0,"","yes")</f>
        <v/>
      </c>
      <c r="G98" s="63" t="n"/>
      <c r="H98" s="43">
        <f>IF($G98="","",$E98-$G98)</f>
        <v/>
      </c>
    </row>
    <row r="99">
      <c r="A99" s="62" t="inlineStr">
        <is>
          <t>26011409</t>
        </is>
      </c>
      <c r="B99" s="62" t="inlineStr">
        <is>
          <t>ASX Investor Days Sydney &amp; Melbourne 2026</t>
        </is>
      </c>
      <c r="C99" s="43">
        <f>SUMIFS(tbl_WIP[Amount],tbl_WIP[Job Number],$A99,tbl_WIP[Month],"&lt;&gt;",tbl_WIP[Month],"&lt;"&amp;$C$4,tbl_WIP[Defer Start],"")+SUMIF('Deferred Revenue'!$E$6:$E$607,$A99,'Deferred Revenue'!$P$6:$P$607)</f>
        <v/>
      </c>
      <c r="D99" s="43">
        <f>SUMIFS(tbl_WIP[Amount],tbl_WIP[Job Number],$A99,tbl_WIP[Month],$C$4,tbl_WIP[Defer Start],"")+SUMIF('Deferred Revenue'!$E$6:$E$607,$A99,'Deferred Revenue'!$Q$6:$Q$607)</f>
        <v/>
      </c>
      <c r="E99" s="43">
        <f>C99+D99</f>
        <v/>
      </c>
      <c r="F99" s="50">
        <f>IF(ROUND(C99,2)+ROUND(D99,2)=0,"","yes")</f>
        <v/>
      </c>
      <c r="G99" s="63" t="n"/>
      <c r="H99" s="43">
        <f>IF($G99="","",$E99-$G99)</f>
        <v/>
      </c>
    </row>
    <row r="100">
      <c r="A100" s="62" t="inlineStr">
        <is>
          <t>26011501</t>
        </is>
      </c>
      <c r="B100" s="62" t="inlineStr">
        <is>
          <t>ASX Refinitiv Charity Golf Classic H/L Vid 2026</t>
        </is>
      </c>
      <c r="C100" s="43">
        <f>SUMIFS(tbl_WIP[Amount],tbl_WIP[Job Number],$A100,tbl_WIP[Month],"&lt;&gt;",tbl_WIP[Month],"&lt;"&amp;$C$4,tbl_WIP[Defer Start],"")+SUMIF('Deferred Revenue'!$E$6:$E$607,$A100,'Deferred Revenue'!$P$6:$P$607)</f>
        <v/>
      </c>
      <c r="D100" s="43">
        <f>SUMIFS(tbl_WIP[Amount],tbl_WIP[Job Number],$A100,tbl_WIP[Month],$C$4,tbl_WIP[Defer Start],"")+SUMIF('Deferred Revenue'!$E$6:$E$607,$A100,'Deferred Revenue'!$Q$6:$Q$607)</f>
        <v/>
      </c>
      <c r="E100" s="43">
        <f>C100+D100</f>
        <v/>
      </c>
      <c r="F100" s="50">
        <f>IF(ROUND(C100,2)+ROUND(D100,2)=0,"","yes")</f>
        <v/>
      </c>
      <c r="G100" s="63" t="n"/>
      <c r="H100" s="43">
        <f>IF($G100="","",$E100-$G100)</f>
        <v/>
      </c>
    </row>
    <row r="101">
      <c r="A101" s="62" t="inlineStr">
        <is>
          <t>26011502</t>
        </is>
      </c>
      <c r="B101" s="62" t="inlineStr">
        <is>
          <t>ASX Charity Regatta Highlights Video 2026</t>
        </is>
      </c>
      <c r="C101" s="43">
        <f>SUMIFS(tbl_WIP[Amount],tbl_WIP[Job Number],$A101,tbl_WIP[Month],"&lt;&gt;",tbl_WIP[Month],"&lt;"&amp;$C$4,tbl_WIP[Defer Start],"")+SUMIF('Deferred Revenue'!$E$6:$E$607,$A101,'Deferred Revenue'!$P$6:$P$607)</f>
        <v/>
      </c>
      <c r="D101" s="43">
        <f>SUMIFS(tbl_WIP[Amount],tbl_WIP[Job Number],$A101,tbl_WIP[Month],$C$4,tbl_WIP[Defer Start],"")+SUMIF('Deferred Revenue'!$E$6:$E$607,$A101,'Deferred Revenue'!$Q$6:$Q$607)</f>
        <v/>
      </c>
      <c r="E101" s="43">
        <f>C101+D101</f>
        <v/>
      </c>
      <c r="F101" s="50">
        <f>IF(ROUND(C101,2)+ROUND(D101,2)=0,"","yes")</f>
        <v/>
      </c>
      <c r="G101" s="63" t="n"/>
      <c r="H101" s="43">
        <f>IF($G101="","",$E101-$G101)</f>
        <v/>
      </c>
    </row>
    <row r="102">
      <c r="A102" s="62" t="inlineStr">
        <is>
          <t>26012301</t>
        </is>
      </c>
      <c r="B102" s="62" t="inlineStr">
        <is>
          <t>PWC IT Support - Brisbane</t>
        </is>
      </c>
      <c r="C102" s="43">
        <f>SUMIFS(tbl_WIP[Amount],tbl_WIP[Job Number],$A102,tbl_WIP[Month],"&lt;&gt;",tbl_WIP[Month],"&lt;"&amp;$C$4,tbl_WIP[Defer Start],"")+SUMIF('Deferred Revenue'!$E$6:$E$607,$A102,'Deferred Revenue'!$P$6:$P$607)</f>
        <v/>
      </c>
      <c r="D102" s="43">
        <f>SUMIFS(tbl_WIP[Amount],tbl_WIP[Job Number],$A102,tbl_WIP[Month],$C$4,tbl_WIP[Defer Start],"")+SUMIF('Deferred Revenue'!$E$6:$E$607,$A102,'Deferred Revenue'!$Q$6:$Q$607)</f>
        <v/>
      </c>
      <c r="E102" s="43">
        <f>C102+D102</f>
        <v/>
      </c>
      <c r="F102" s="50">
        <f>IF(ROUND(C102,2)+ROUND(D102,2)=0,"","yes")</f>
        <v/>
      </c>
      <c r="G102" s="63" t="n"/>
      <c r="H102" s="43">
        <f>IF($G102="","",$E102-$G102)</f>
        <v/>
      </c>
    </row>
    <row r="103">
      <c r="A103" s="62" t="inlineStr">
        <is>
          <t>2601701</t>
        </is>
      </c>
      <c r="B103" s="62" t="inlineStr">
        <is>
          <t>CEOi - TLP Brand Video</t>
        </is>
      </c>
      <c r="C103" s="43">
        <f>SUMIFS(tbl_WIP[Amount],tbl_WIP[Job Number],$A103,tbl_WIP[Month],"&lt;&gt;",tbl_WIP[Month],"&lt;"&amp;$C$4,tbl_WIP[Defer Start],"")+SUMIF('Deferred Revenue'!$E$6:$E$607,$A103,'Deferred Revenue'!$P$6:$P$607)</f>
        <v/>
      </c>
      <c r="D103" s="43">
        <f>SUMIFS(tbl_WIP[Amount],tbl_WIP[Job Number],$A103,tbl_WIP[Month],$C$4,tbl_WIP[Defer Start],"")+SUMIF('Deferred Revenue'!$E$6:$E$607,$A103,'Deferred Revenue'!$Q$6:$Q$607)</f>
        <v/>
      </c>
      <c r="E103" s="43">
        <f>C103+D103</f>
        <v/>
      </c>
      <c r="F103" s="50">
        <f>IF(ROUND(C103,2)+ROUND(D103,2)=0,"","yes")</f>
        <v/>
      </c>
      <c r="G103" s="63" t="n"/>
      <c r="H103" s="43">
        <f>IF($G103="","",$E103-$G103)</f>
        <v/>
      </c>
    </row>
    <row r="104">
      <c r="A104" s="62" t="inlineStr">
        <is>
          <t>26021602</t>
        </is>
      </c>
      <c r="B104" s="62" t="inlineStr">
        <is>
          <t>Gen E ABS AV Support (Canberra)</t>
        </is>
      </c>
      <c r="C104" s="43">
        <f>SUMIFS(tbl_WIP[Amount],tbl_WIP[Job Number],$A104,tbl_WIP[Month],"&lt;&gt;",tbl_WIP[Month],"&lt;"&amp;$C$4,tbl_WIP[Defer Start],"")+SUMIF('Deferred Revenue'!$E$6:$E$607,$A104,'Deferred Revenue'!$P$6:$P$607)</f>
        <v/>
      </c>
      <c r="D104" s="43">
        <f>SUMIFS(tbl_WIP[Amount],tbl_WIP[Job Number],$A104,tbl_WIP[Month],$C$4,tbl_WIP[Defer Start],"")+SUMIF('Deferred Revenue'!$E$6:$E$607,$A104,'Deferred Revenue'!$Q$6:$Q$607)</f>
        <v/>
      </c>
      <c r="E104" s="43">
        <f>C104+D104</f>
        <v/>
      </c>
      <c r="F104" s="50">
        <f>IF(ROUND(C104,2)+ROUND(D104,2)=0,"","yes")</f>
        <v/>
      </c>
      <c r="G104" s="63" t="n"/>
      <c r="H104" s="43">
        <f>IF($G104="","",$E104-$G104)</f>
        <v/>
      </c>
    </row>
    <row r="105">
      <c r="A105" s="62" t="inlineStr">
        <is>
          <t>26021602N</t>
        </is>
      </c>
      <c r="B105" s="62" t="inlineStr">
        <is>
          <t>Gen E ABS AV Support (Canberra) [ONS non-chargeable]</t>
        </is>
      </c>
      <c r="C105" s="43">
        <f>SUMIFS(tbl_WIP[Amount],tbl_WIP[Job Number],$A105,tbl_WIP[Month],"&lt;&gt;",tbl_WIP[Month],"&lt;"&amp;$C$4,tbl_WIP[Defer Start],"")+SUMIF('Deferred Revenue'!$E$6:$E$607,$A105,'Deferred Revenue'!$P$6:$P$607)</f>
        <v/>
      </c>
      <c r="D105" s="43">
        <f>SUMIFS(tbl_WIP[Amount],tbl_WIP[Job Number],$A105,tbl_WIP[Month],$C$4,tbl_WIP[Defer Start],"")+SUMIF('Deferred Revenue'!$E$6:$E$607,$A105,'Deferred Revenue'!$Q$6:$Q$607)</f>
        <v/>
      </c>
      <c r="E105" s="43">
        <f>C105+D105</f>
        <v/>
      </c>
      <c r="F105" s="50">
        <f>IF(ROUND(C105,2)+ROUND(D105,2)=0,"","yes")</f>
        <v/>
      </c>
      <c r="G105" s="63" t="n"/>
      <c r="H105" s="43">
        <f>IF($G105="","",$E105-$G105)</f>
        <v/>
      </c>
    </row>
    <row r="106">
      <c r="A106" s="62" t="inlineStr">
        <is>
          <t>26021801</t>
        </is>
      </c>
      <c r="B106" s="62" t="inlineStr">
        <is>
          <t>Aware Super Seminar Room AV Upgrade</t>
        </is>
      </c>
      <c r="C106" s="43">
        <f>SUMIFS(tbl_WIP[Amount],tbl_WIP[Job Number],$A106,tbl_WIP[Month],"&lt;&gt;",tbl_WIP[Month],"&lt;"&amp;$C$4,tbl_WIP[Defer Start],"")+SUMIF('Deferred Revenue'!$E$6:$E$607,$A106,'Deferred Revenue'!$P$6:$P$607)</f>
        <v/>
      </c>
      <c r="D106" s="43">
        <f>SUMIFS(tbl_WIP[Amount],tbl_WIP[Job Number],$A106,tbl_WIP[Month],$C$4,tbl_WIP[Defer Start],"")+SUMIF('Deferred Revenue'!$E$6:$E$607,$A106,'Deferred Revenue'!$Q$6:$Q$607)</f>
        <v/>
      </c>
      <c r="E106" s="43">
        <f>C106+D106</f>
        <v/>
      </c>
      <c r="F106" s="50">
        <f>IF(ROUND(C106,2)+ROUND(D106,2)=0,"","yes")</f>
        <v/>
      </c>
      <c r="G106" s="63" t="n"/>
      <c r="H106" s="43">
        <f>IF($G106="","",$E106-$G106)</f>
        <v/>
      </c>
    </row>
    <row r="107">
      <c r="A107" s="62" t="inlineStr">
        <is>
          <t>2602203</t>
        </is>
      </c>
      <c r="B107" s="62" t="inlineStr">
        <is>
          <t>YSG Studio Orange Room Upgrade</t>
        </is>
      </c>
      <c r="C107" s="43">
        <f>SUMIFS(tbl_WIP[Amount],tbl_WIP[Job Number],$A107,tbl_WIP[Month],"&lt;&gt;",tbl_WIP[Month],"&lt;"&amp;$C$4,tbl_WIP[Defer Start],"")+SUMIF('Deferred Revenue'!$E$6:$E$607,$A107,'Deferred Revenue'!$P$6:$P$607)</f>
        <v/>
      </c>
      <c r="D107" s="43">
        <f>SUMIFS(tbl_WIP[Amount],tbl_WIP[Job Number],$A107,tbl_WIP[Month],$C$4,tbl_WIP[Defer Start],"")+SUMIF('Deferred Revenue'!$E$6:$E$607,$A107,'Deferred Revenue'!$Q$6:$Q$607)</f>
        <v/>
      </c>
      <c r="E107" s="43">
        <f>C107+D107</f>
        <v/>
      </c>
      <c r="F107" s="50">
        <f>IF(ROUND(C107,2)+ROUND(D107,2)=0,"","yes")</f>
        <v/>
      </c>
      <c r="G107" s="63" t="n"/>
      <c r="H107" s="43">
        <f>IF($G107="","",$E107-$G107)</f>
        <v/>
      </c>
    </row>
    <row r="108">
      <c r="A108" s="62" t="inlineStr">
        <is>
          <t>26022301</t>
        </is>
      </c>
      <c r="B108" s="62" t="inlineStr">
        <is>
          <t>Aware Super AV Maintenance</t>
        </is>
      </c>
      <c r="C108" s="43">
        <f>SUMIFS(tbl_WIP[Amount],tbl_WIP[Job Number],$A108,tbl_WIP[Month],"&lt;&gt;",tbl_WIP[Month],"&lt;"&amp;$C$4,tbl_WIP[Defer Start],"")+SUMIF('Deferred Revenue'!$E$6:$E$607,$A108,'Deferred Revenue'!$P$6:$P$607)</f>
        <v/>
      </c>
      <c r="D108" s="43">
        <f>SUMIFS(tbl_WIP[Amount],tbl_WIP[Job Number],$A108,tbl_WIP[Month],$C$4,tbl_WIP[Defer Start],"")+SUMIF('Deferred Revenue'!$E$6:$E$607,$A108,'Deferred Revenue'!$Q$6:$Q$607)</f>
        <v/>
      </c>
      <c r="E108" s="43">
        <f>C108+D108</f>
        <v/>
      </c>
      <c r="F108" s="50">
        <f>IF(ROUND(C108,2)+ROUND(D108,2)=0,"","yes")</f>
        <v/>
      </c>
      <c r="G108" s="63" t="n"/>
      <c r="H108" s="43">
        <f>IF($G108="","",$E108-$G108)</f>
        <v/>
      </c>
    </row>
    <row r="109">
      <c r="A109" s="62" t="inlineStr">
        <is>
          <t>26022301C</t>
        </is>
      </c>
      <c r="B109" s="62" t="inlineStr">
        <is>
          <t>Aware Super AV Maintenance</t>
        </is>
      </c>
      <c r="C109" s="43">
        <f>SUMIFS(tbl_WIP[Amount],tbl_WIP[Job Number],$A109,tbl_WIP[Month],"&lt;&gt;",tbl_WIP[Month],"&lt;"&amp;$C$4,tbl_WIP[Defer Start],"")+SUMIF('Deferred Revenue'!$E$6:$E$607,$A109,'Deferred Revenue'!$P$6:$P$607)</f>
        <v/>
      </c>
      <c r="D109" s="43">
        <f>SUMIFS(tbl_WIP[Amount],tbl_WIP[Job Number],$A109,tbl_WIP[Month],$C$4,tbl_WIP[Defer Start],"")+SUMIF('Deferred Revenue'!$E$6:$E$607,$A109,'Deferred Revenue'!$Q$6:$Q$607)</f>
        <v/>
      </c>
      <c r="E109" s="43">
        <f>C109+D109</f>
        <v/>
      </c>
      <c r="F109" s="50">
        <f>IF(ROUND(C109,2)+ROUND(D109,2)=0,"","yes")</f>
        <v/>
      </c>
      <c r="G109" s="63" t="n"/>
      <c r="H109" s="43">
        <f>IF($G109="","",$E109-$G109)</f>
        <v/>
      </c>
    </row>
    <row r="110">
      <c r="A110" s="62" t="inlineStr">
        <is>
          <t>26022301NC</t>
        </is>
      </c>
      <c r="B110" s="62" t="inlineStr">
        <is>
          <t>Aware Super AV Maintenance Non-chargeable</t>
        </is>
      </c>
      <c r="C110" s="43">
        <f>SUMIFS(tbl_WIP[Amount],tbl_WIP[Job Number],$A110,tbl_WIP[Month],"&lt;&gt;",tbl_WIP[Month],"&lt;"&amp;$C$4,tbl_WIP[Defer Start],"")+SUMIF('Deferred Revenue'!$E$6:$E$607,$A110,'Deferred Revenue'!$P$6:$P$607)</f>
        <v/>
      </c>
      <c r="D110" s="43">
        <f>SUMIFS(tbl_WIP[Amount],tbl_WIP[Job Number],$A110,tbl_WIP[Month],$C$4,tbl_WIP[Defer Start],"")+SUMIF('Deferred Revenue'!$E$6:$E$607,$A110,'Deferred Revenue'!$Q$6:$Q$607)</f>
        <v/>
      </c>
      <c r="E110" s="43">
        <f>C110+D110</f>
        <v/>
      </c>
      <c r="F110" s="50">
        <f>IF(ROUND(C110,2)+ROUND(D110,2)=0,"","yes")</f>
        <v/>
      </c>
      <c r="G110" s="63" t="n"/>
      <c r="H110" s="43">
        <f>IF($G110="","",$E110-$G110)</f>
        <v/>
      </c>
    </row>
    <row r="111">
      <c r="A111" s="62" t="inlineStr">
        <is>
          <t>26022301P</t>
        </is>
      </c>
      <c r="B111" s="62" t="inlineStr">
        <is>
          <t>Aware Super AV Maintenance</t>
        </is>
      </c>
      <c r="C111" s="43">
        <f>SUMIFS(tbl_WIP[Amount],tbl_WIP[Job Number],$A111,tbl_WIP[Month],"&lt;&gt;",tbl_WIP[Month],"&lt;"&amp;$C$4,tbl_WIP[Defer Start],"")+SUMIF('Deferred Revenue'!$E$6:$E$607,$A111,'Deferred Revenue'!$P$6:$P$607)</f>
        <v/>
      </c>
      <c r="D111" s="43">
        <f>SUMIFS(tbl_WIP[Amount],tbl_WIP[Job Number],$A111,tbl_WIP[Month],$C$4,tbl_WIP[Defer Start],"")+SUMIF('Deferred Revenue'!$E$6:$E$607,$A111,'Deferred Revenue'!$Q$6:$Q$607)</f>
        <v/>
      </c>
      <c r="E111" s="43">
        <f>C111+D111</f>
        <v/>
      </c>
      <c r="F111" s="50">
        <f>IF(ROUND(C111,2)+ROUND(D111,2)=0,"","yes")</f>
        <v/>
      </c>
      <c r="G111" s="63" t="n"/>
      <c r="H111" s="43">
        <f>IF($G111="","",$E111-$G111)</f>
        <v/>
      </c>
    </row>
    <row r="112">
      <c r="A112" s="62" t="inlineStr">
        <is>
          <t>26022302</t>
        </is>
      </c>
      <c r="B112" s="62" t="inlineStr">
        <is>
          <t>GP - Talking Philanthropy - 18.9.26</t>
        </is>
      </c>
      <c r="C112" s="43">
        <f>SUMIFS(tbl_WIP[Amount],tbl_WIP[Job Number],$A112,tbl_WIP[Month],"&lt;&gt;",tbl_WIP[Month],"&lt;"&amp;$C$4,tbl_WIP[Defer Start],"")+SUMIF('Deferred Revenue'!$E$6:$E$607,$A112,'Deferred Revenue'!$P$6:$P$607)</f>
        <v/>
      </c>
      <c r="D112" s="43">
        <f>SUMIFS(tbl_WIP[Amount],tbl_WIP[Job Number],$A112,tbl_WIP[Month],$C$4,tbl_WIP[Defer Start],"")+SUMIF('Deferred Revenue'!$E$6:$E$607,$A112,'Deferred Revenue'!$Q$6:$Q$607)</f>
        <v/>
      </c>
      <c r="E112" s="43">
        <f>C112+D112</f>
        <v/>
      </c>
      <c r="F112" s="50">
        <f>IF(ROUND(C112,2)+ROUND(D112,2)=0,"","yes")</f>
        <v/>
      </c>
      <c r="G112" s="63" t="n"/>
      <c r="H112" s="43">
        <f>IF($G112="","",$E112-$G112)</f>
        <v/>
      </c>
    </row>
    <row r="113">
      <c r="A113" s="62" t="inlineStr">
        <is>
          <t>26022302V</t>
        </is>
      </c>
      <c r="B113" s="62" t="inlineStr">
        <is>
          <t>GP - Talking Philanthropy - 18.9.26</t>
        </is>
      </c>
      <c r="C113" s="43">
        <f>SUMIFS(tbl_WIP[Amount],tbl_WIP[Job Number],$A113,tbl_WIP[Month],"&lt;&gt;",tbl_WIP[Month],"&lt;"&amp;$C$4,tbl_WIP[Defer Start],"")+SUMIF('Deferred Revenue'!$E$6:$E$607,$A113,'Deferred Revenue'!$P$6:$P$607)</f>
        <v/>
      </c>
      <c r="D113" s="43">
        <f>SUMIFS(tbl_WIP[Amount],tbl_WIP[Job Number],$A113,tbl_WIP[Month],$C$4,tbl_WIP[Defer Start],"")+SUMIF('Deferred Revenue'!$E$6:$E$607,$A113,'Deferred Revenue'!$Q$6:$Q$607)</f>
        <v/>
      </c>
      <c r="E113" s="43">
        <f>C113+D113</f>
        <v/>
      </c>
      <c r="F113" s="50">
        <f>IF(ROUND(C113,2)+ROUND(D113,2)=0,"","yes")</f>
        <v/>
      </c>
      <c r="G113" s="63" t="n"/>
      <c r="H113" s="43">
        <f>IF($G113="","",$E113-$G113)</f>
        <v/>
      </c>
    </row>
    <row r="114">
      <c r="A114" s="62" t="inlineStr">
        <is>
          <t>26022601</t>
        </is>
      </c>
      <c r="B114" s="62" t="inlineStr">
        <is>
          <t>ART - Annual Members Meeting - 25.11.26</t>
        </is>
      </c>
      <c r="C114" s="43">
        <f>SUMIFS(tbl_WIP[Amount],tbl_WIP[Job Number],$A114,tbl_WIP[Month],"&lt;&gt;",tbl_WIP[Month],"&lt;"&amp;$C$4,tbl_WIP[Defer Start],"")+SUMIF('Deferred Revenue'!$E$6:$E$607,$A114,'Deferred Revenue'!$P$6:$P$607)</f>
        <v/>
      </c>
      <c r="D114" s="43">
        <f>SUMIFS(tbl_WIP[Amount],tbl_WIP[Job Number],$A114,tbl_WIP[Month],$C$4,tbl_WIP[Defer Start],"")+SUMIF('Deferred Revenue'!$E$6:$E$607,$A114,'Deferred Revenue'!$Q$6:$Q$607)</f>
        <v/>
      </c>
      <c r="E114" s="43">
        <f>C114+D114</f>
        <v/>
      </c>
      <c r="F114" s="50">
        <f>IF(ROUND(C114,2)+ROUND(D114,2)=0,"","yes")</f>
        <v/>
      </c>
      <c r="G114" s="63" t="n"/>
      <c r="H114" s="43">
        <f>IF($G114="","",$E114-$G114)</f>
        <v/>
      </c>
    </row>
    <row r="115">
      <c r="A115" s="62" t="inlineStr">
        <is>
          <t>26022601V</t>
        </is>
      </c>
      <c r="B115" s="62" t="inlineStr">
        <is>
          <t>ART - Annual Members Meeting - 25.11.26</t>
        </is>
      </c>
      <c r="C115" s="43">
        <f>SUMIFS(tbl_WIP[Amount],tbl_WIP[Job Number],$A115,tbl_WIP[Month],"&lt;&gt;",tbl_WIP[Month],"&lt;"&amp;$C$4,tbl_WIP[Defer Start],"")+SUMIF('Deferred Revenue'!$E$6:$E$607,$A115,'Deferred Revenue'!$P$6:$P$607)</f>
        <v/>
      </c>
      <c r="D115" s="43">
        <f>SUMIFS(tbl_WIP[Amount],tbl_WIP[Job Number],$A115,tbl_WIP[Month],$C$4,tbl_WIP[Defer Start],"")+SUMIF('Deferred Revenue'!$E$6:$E$607,$A115,'Deferred Revenue'!$Q$6:$Q$607)</f>
        <v/>
      </c>
      <c r="E115" s="43">
        <f>C115+D115</f>
        <v/>
      </c>
      <c r="F115" s="50">
        <f>IF(ROUND(C115,2)+ROUND(D115,2)=0,"","yes")</f>
        <v/>
      </c>
      <c r="G115" s="63" t="n"/>
      <c r="H115" s="43">
        <f>IF($G115="","",$E115-$G115)</f>
        <v/>
      </c>
    </row>
    <row r="116">
      <c r="A116" s="62" t="inlineStr">
        <is>
          <t>2602901</t>
        </is>
      </c>
      <c r="B116" s="62" t="inlineStr">
        <is>
          <t>HP-Telstra: Phone Modification</t>
        </is>
      </c>
      <c r="C116" s="43">
        <f>SUMIFS(tbl_WIP[Amount],tbl_WIP[Job Number],$A116,tbl_WIP[Month],"&lt;&gt;",tbl_WIP[Month],"&lt;"&amp;$C$4,tbl_WIP[Defer Start],"")+SUMIF('Deferred Revenue'!$E$6:$E$607,$A116,'Deferred Revenue'!$P$6:$P$607)</f>
        <v/>
      </c>
      <c r="D116" s="43">
        <f>SUMIFS(tbl_WIP[Amount],tbl_WIP[Job Number],$A116,tbl_WIP[Month],$C$4,tbl_WIP[Defer Start],"")+SUMIF('Deferred Revenue'!$E$6:$E$607,$A116,'Deferred Revenue'!$Q$6:$Q$607)</f>
        <v/>
      </c>
      <c r="E116" s="43">
        <f>C116+D116</f>
        <v/>
      </c>
      <c r="F116" s="50">
        <f>IF(ROUND(C116,2)+ROUND(D116,2)=0,"","yes")</f>
        <v/>
      </c>
      <c r="G116" s="63" t="n"/>
      <c r="H116" s="43">
        <f>IF($G116="","",$E116-$G116)</f>
        <v/>
      </c>
    </row>
    <row r="117">
      <c r="A117" s="62" t="inlineStr">
        <is>
          <t>2603104</t>
        </is>
      </c>
      <c r="B117" s="62" t="inlineStr">
        <is>
          <t>Cochlear FY26 Results 18.8.26</t>
        </is>
      </c>
      <c r="C117" s="43">
        <f>SUMIFS(tbl_WIP[Amount],tbl_WIP[Job Number],$A117,tbl_WIP[Month],"&lt;&gt;",tbl_WIP[Month],"&lt;"&amp;$C$4,tbl_WIP[Defer Start],"")+SUMIF('Deferred Revenue'!$E$6:$E$607,$A117,'Deferred Revenue'!$P$6:$P$607)</f>
        <v/>
      </c>
      <c r="D117" s="43">
        <f>SUMIFS(tbl_WIP[Amount],tbl_WIP[Job Number],$A117,tbl_WIP[Month],$C$4,tbl_WIP[Defer Start],"")+SUMIF('Deferred Revenue'!$E$6:$E$607,$A117,'Deferred Revenue'!$Q$6:$Q$607)</f>
        <v/>
      </c>
      <c r="E117" s="43">
        <f>C117+D117</f>
        <v/>
      </c>
      <c r="F117" s="50">
        <f>IF(ROUND(C117,2)+ROUND(D117,2)=0,"","yes")</f>
        <v/>
      </c>
      <c r="G117" s="63" t="n"/>
      <c r="H117" s="43">
        <f>IF($G117="","",$E117-$G117)</f>
        <v/>
      </c>
    </row>
    <row r="118">
      <c r="A118" s="62" t="inlineStr">
        <is>
          <t>2603104V</t>
        </is>
      </c>
      <c r="B118" s="62" t="inlineStr">
        <is>
          <t>Cochlear FY26 Results 18.8.26</t>
        </is>
      </c>
      <c r="C118" s="43">
        <f>SUMIFS(tbl_WIP[Amount],tbl_WIP[Job Number],$A118,tbl_WIP[Month],"&lt;&gt;",tbl_WIP[Month],"&lt;"&amp;$C$4,tbl_WIP[Defer Start],"")+SUMIF('Deferred Revenue'!$E$6:$E$607,$A118,'Deferred Revenue'!$P$6:$P$607)</f>
        <v/>
      </c>
      <c r="D118" s="43">
        <f>SUMIFS(tbl_WIP[Amount],tbl_WIP[Job Number],$A118,tbl_WIP[Month],$C$4,tbl_WIP[Defer Start],"")+SUMIF('Deferred Revenue'!$E$6:$E$607,$A118,'Deferred Revenue'!$Q$6:$Q$607)</f>
        <v/>
      </c>
      <c r="E118" s="43">
        <f>C118+D118</f>
        <v/>
      </c>
      <c r="F118" s="50">
        <f>IF(ROUND(C118,2)+ROUND(D118,2)=0,"","yes")</f>
        <v/>
      </c>
      <c r="G118" s="63" t="n"/>
      <c r="H118" s="43">
        <f>IF($G118="","",$E118-$G118)</f>
        <v/>
      </c>
    </row>
    <row r="119">
      <c r="A119" s="62" t="inlineStr">
        <is>
          <t>2603105</t>
        </is>
      </c>
      <c r="B119" s="62" t="inlineStr">
        <is>
          <t>Cochlear - AGM - 26.10.26</t>
        </is>
      </c>
      <c r="C119" s="43">
        <f>SUMIFS(tbl_WIP[Amount],tbl_WIP[Job Number],$A119,tbl_WIP[Month],"&lt;&gt;",tbl_WIP[Month],"&lt;"&amp;$C$4,tbl_WIP[Defer Start],"")+SUMIF('Deferred Revenue'!$E$6:$E$607,$A119,'Deferred Revenue'!$P$6:$P$607)</f>
        <v/>
      </c>
      <c r="D119" s="43">
        <f>SUMIFS(tbl_WIP[Amount],tbl_WIP[Job Number],$A119,tbl_WIP[Month],$C$4,tbl_WIP[Defer Start],"")+SUMIF('Deferred Revenue'!$E$6:$E$607,$A119,'Deferred Revenue'!$Q$6:$Q$607)</f>
        <v/>
      </c>
      <c r="E119" s="43">
        <f>C119+D119</f>
        <v/>
      </c>
      <c r="F119" s="50">
        <f>IF(ROUND(C119,2)+ROUND(D119,2)=0,"","yes")</f>
        <v/>
      </c>
      <c r="G119" s="63" t="n"/>
      <c r="H119" s="43">
        <f>IF($G119="","",$E119-$G119)</f>
        <v/>
      </c>
    </row>
    <row r="120">
      <c r="A120" s="62" t="inlineStr">
        <is>
          <t>2603105V</t>
        </is>
      </c>
      <c r="B120" s="62" t="inlineStr">
        <is>
          <t>Cochlear - AGM - 26.10.26</t>
        </is>
      </c>
      <c r="C120" s="43">
        <f>SUMIFS(tbl_WIP[Amount],tbl_WIP[Job Number],$A120,tbl_WIP[Month],"&lt;&gt;",tbl_WIP[Month],"&lt;"&amp;$C$4,tbl_WIP[Defer Start],"")+SUMIF('Deferred Revenue'!$E$6:$E$607,$A120,'Deferred Revenue'!$P$6:$P$607)</f>
        <v/>
      </c>
      <c r="D120" s="43">
        <f>SUMIFS(tbl_WIP[Amount],tbl_WIP[Job Number],$A120,tbl_WIP[Month],$C$4,tbl_WIP[Defer Start],"")+SUMIF('Deferred Revenue'!$E$6:$E$607,$A120,'Deferred Revenue'!$Q$6:$Q$607)</f>
        <v/>
      </c>
      <c r="E120" s="43">
        <f>C120+D120</f>
        <v/>
      </c>
      <c r="F120" s="50">
        <f>IF(ROUND(C120,2)+ROUND(D120,2)=0,"","yes")</f>
        <v/>
      </c>
      <c r="G120" s="63" t="n"/>
      <c r="H120" s="43">
        <f>IF($G120="","",$E120-$G120)</f>
        <v/>
      </c>
    </row>
    <row r="121">
      <c r="A121" s="62" t="inlineStr">
        <is>
          <t>2603202</t>
        </is>
      </c>
      <c r="B121" s="62" t="inlineStr">
        <is>
          <t>Property NSW 5 O’Keefe Ave Nowra Workplace Hub</t>
        </is>
      </c>
      <c r="C121" s="43">
        <f>SUMIFS(tbl_WIP[Amount],tbl_WIP[Job Number],$A121,tbl_WIP[Month],"&lt;&gt;",tbl_WIP[Month],"&lt;"&amp;$C$4,tbl_WIP[Defer Start],"")+SUMIF('Deferred Revenue'!$E$6:$E$607,$A121,'Deferred Revenue'!$P$6:$P$607)</f>
        <v/>
      </c>
      <c r="D121" s="43">
        <f>SUMIFS(tbl_WIP[Amount],tbl_WIP[Job Number],$A121,tbl_WIP[Month],$C$4,tbl_WIP[Defer Start],"")+SUMIF('Deferred Revenue'!$E$6:$E$607,$A121,'Deferred Revenue'!$Q$6:$Q$607)</f>
        <v/>
      </c>
      <c r="E121" s="43">
        <f>C121+D121</f>
        <v/>
      </c>
      <c r="F121" s="50">
        <f>IF(ROUND(C121,2)+ROUND(D121,2)=0,"","yes")</f>
        <v/>
      </c>
      <c r="G121" s="63" t="n"/>
      <c r="H121" s="43">
        <f>IF($G121="","",$E121-$G121)</f>
        <v/>
      </c>
    </row>
    <row r="122">
      <c r="A122" s="62" t="inlineStr">
        <is>
          <t>26032301</t>
        </is>
      </c>
      <c r="B122" s="62" t="inlineStr">
        <is>
          <t>RSNSW - OGM - 1.7.2026</t>
        </is>
      </c>
      <c r="C122" s="43">
        <f>SUMIFS(tbl_WIP[Amount],tbl_WIP[Job Number],$A122,tbl_WIP[Month],"&lt;&gt;",tbl_WIP[Month],"&lt;"&amp;$C$4,tbl_WIP[Defer Start],"")+SUMIF('Deferred Revenue'!$E$6:$E$607,$A122,'Deferred Revenue'!$P$6:$P$607)</f>
        <v/>
      </c>
      <c r="D122" s="43">
        <f>SUMIFS(tbl_WIP[Amount],tbl_WIP[Job Number],$A122,tbl_WIP[Month],$C$4,tbl_WIP[Defer Start],"")+SUMIF('Deferred Revenue'!$E$6:$E$607,$A122,'Deferred Revenue'!$Q$6:$Q$607)</f>
        <v/>
      </c>
      <c r="E122" s="43">
        <f>C122+D122</f>
        <v/>
      </c>
      <c r="F122" s="50">
        <f>IF(ROUND(C122,2)+ROUND(D122,2)=0,"","yes")</f>
        <v/>
      </c>
      <c r="G122" s="63" t="n"/>
      <c r="H122" s="43">
        <f>IF($G122="","",$E122-$G122)</f>
        <v/>
      </c>
    </row>
    <row r="123">
      <c r="A123" s="62" t="inlineStr">
        <is>
          <t>26032301V</t>
        </is>
      </c>
      <c r="B123" s="62" t="inlineStr">
        <is>
          <t>RSNSW - OGM - 1.7.2026</t>
        </is>
      </c>
      <c r="C123" s="43">
        <f>SUMIFS(tbl_WIP[Amount],tbl_WIP[Job Number],$A123,tbl_WIP[Month],"&lt;&gt;",tbl_WIP[Month],"&lt;"&amp;$C$4,tbl_WIP[Defer Start],"")+SUMIF('Deferred Revenue'!$E$6:$E$607,$A123,'Deferred Revenue'!$P$6:$P$607)</f>
        <v/>
      </c>
      <c r="D123" s="43">
        <f>SUMIFS(tbl_WIP[Amount],tbl_WIP[Job Number],$A123,tbl_WIP[Month],$C$4,tbl_WIP[Defer Start],"")+SUMIF('Deferred Revenue'!$E$6:$E$607,$A123,'Deferred Revenue'!$Q$6:$Q$607)</f>
        <v/>
      </c>
      <c r="E123" s="43">
        <f>C123+D123</f>
        <v/>
      </c>
      <c r="F123" s="50">
        <f>IF(ROUND(C123,2)+ROUND(D123,2)=0,"","yes")</f>
        <v/>
      </c>
      <c r="G123" s="63" t="n"/>
      <c r="H123" s="43">
        <f>IF($G123="","",$E123-$G123)</f>
        <v/>
      </c>
    </row>
    <row r="124">
      <c r="A124" s="62" t="inlineStr">
        <is>
          <t>26032302</t>
        </is>
      </c>
      <c r="B124" s="62" t="inlineStr">
        <is>
          <t>RSNSW - OGM - 2.9.2026</t>
        </is>
      </c>
      <c r="C124" s="43">
        <f>SUMIFS(tbl_WIP[Amount],tbl_WIP[Job Number],$A124,tbl_WIP[Month],"&lt;&gt;",tbl_WIP[Month],"&lt;"&amp;$C$4,tbl_WIP[Defer Start],"")+SUMIF('Deferred Revenue'!$E$6:$E$607,$A124,'Deferred Revenue'!$P$6:$P$607)</f>
        <v/>
      </c>
      <c r="D124" s="43">
        <f>SUMIFS(tbl_WIP[Amount],tbl_WIP[Job Number],$A124,tbl_WIP[Month],$C$4,tbl_WIP[Defer Start],"")+SUMIF('Deferred Revenue'!$E$6:$E$607,$A124,'Deferred Revenue'!$Q$6:$Q$607)</f>
        <v/>
      </c>
      <c r="E124" s="43">
        <f>C124+D124</f>
        <v/>
      </c>
      <c r="F124" s="50">
        <f>IF(ROUND(C124,2)+ROUND(D124,2)=0,"","yes")</f>
        <v/>
      </c>
      <c r="G124" s="63" t="n"/>
      <c r="H124" s="43">
        <f>IF($G124="","",$E124-$G124)</f>
        <v/>
      </c>
    </row>
    <row r="125">
      <c r="A125" s="62" t="inlineStr">
        <is>
          <t>26032302V</t>
        </is>
      </c>
      <c r="B125" s="62" t="inlineStr">
        <is>
          <t>RSNSW - OGM - 2.9.2026</t>
        </is>
      </c>
      <c r="C125" s="43">
        <f>SUMIFS(tbl_WIP[Amount],tbl_WIP[Job Number],$A125,tbl_WIP[Month],"&lt;&gt;",tbl_WIP[Month],"&lt;"&amp;$C$4,tbl_WIP[Defer Start],"")+SUMIF('Deferred Revenue'!$E$6:$E$607,$A125,'Deferred Revenue'!$P$6:$P$607)</f>
        <v/>
      </c>
      <c r="D125" s="43">
        <f>SUMIFS(tbl_WIP[Amount],tbl_WIP[Job Number],$A125,tbl_WIP[Month],$C$4,tbl_WIP[Defer Start],"")+SUMIF('Deferred Revenue'!$E$6:$E$607,$A125,'Deferred Revenue'!$Q$6:$Q$607)</f>
        <v/>
      </c>
      <c r="E125" s="43">
        <f>C125+D125</f>
        <v/>
      </c>
      <c r="F125" s="50">
        <f>IF(ROUND(C125,2)+ROUND(D125,2)=0,"","yes")</f>
        <v/>
      </c>
      <c r="G125" s="63" t="n"/>
      <c r="H125" s="43">
        <f>IF($G125="","",$E125-$G125)</f>
        <v/>
      </c>
    </row>
    <row r="126">
      <c r="A126" s="62" t="inlineStr">
        <is>
          <t>26032501</t>
        </is>
      </c>
      <c r="B126" s="62" t="inlineStr">
        <is>
          <t>ChorusCall - Regal Partners AGM - 28.5.26</t>
        </is>
      </c>
      <c r="C126" s="43">
        <f>SUMIFS(tbl_WIP[Amount],tbl_WIP[Job Number],$A126,tbl_WIP[Month],"&lt;&gt;",tbl_WIP[Month],"&lt;"&amp;$C$4,tbl_WIP[Defer Start],"")+SUMIF('Deferred Revenue'!$E$6:$E$607,$A126,'Deferred Revenue'!$P$6:$P$607)</f>
        <v/>
      </c>
      <c r="D126" s="43">
        <f>SUMIFS(tbl_WIP[Amount],tbl_WIP[Job Number],$A126,tbl_WIP[Month],$C$4,tbl_WIP[Defer Start],"")+SUMIF('Deferred Revenue'!$E$6:$E$607,$A126,'Deferred Revenue'!$Q$6:$Q$607)</f>
        <v/>
      </c>
      <c r="E126" s="43">
        <f>C126+D126</f>
        <v/>
      </c>
      <c r="F126" s="50">
        <f>IF(ROUND(C126,2)+ROUND(D126,2)=0,"","yes")</f>
        <v/>
      </c>
      <c r="G126" s="63" t="n"/>
      <c r="H126" s="43">
        <f>IF($G126="","",$E126-$G126)</f>
        <v/>
      </c>
    </row>
    <row r="127">
      <c r="A127" s="62" t="inlineStr">
        <is>
          <t>26032502</t>
        </is>
      </c>
      <c r="B127" s="62" t="inlineStr">
        <is>
          <t>3YS Owls - Governance Top 100 2026 - 30.10.26</t>
        </is>
      </c>
      <c r="C127" s="43">
        <f>SUMIFS(tbl_WIP[Amount],tbl_WIP[Job Number],$A127,tbl_WIP[Month],"&lt;&gt;",tbl_WIP[Month],"&lt;"&amp;$C$4,tbl_WIP[Defer Start],"")+SUMIF('Deferred Revenue'!$E$6:$E$607,$A127,'Deferred Revenue'!$P$6:$P$607)</f>
        <v/>
      </c>
      <c r="D127" s="43">
        <f>SUMIFS(tbl_WIP[Amount],tbl_WIP[Job Number],$A127,tbl_WIP[Month],$C$4,tbl_WIP[Defer Start],"")+SUMIF('Deferred Revenue'!$E$6:$E$607,$A127,'Deferred Revenue'!$Q$6:$Q$607)</f>
        <v/>
      </c>
      <c r="E127" s="43">
        <f>C127+D127</f>
        <v/>
      </c>
      <c r="F127" s="50">
        <f>IF(ROUND(C127,2)+ROUND(D127,2)=0,"","yes")</f>
        <v/>
      </c>
      <c r="G127" s="63" t="n"/>
      <c r="H127" s="43">
        <f>IF($G127="","",$E127-$G127)</f>
        <v/>
      </c>
    </row>
    <row r="128">
      <c r="A128" s="62" t="inlineStr">
        <is>
          <t>26032502V</t>
        </is>
      </c>
      <c r="B128" s="62" t="inlineStr">
        <is>
          <t>3YS Owls - Governance Top 100 2026 - 30.10.26</t>
        </is>
      </c>
      <c r="C128" s="43">
        <f>SUMIFS(tbl_WIP[Amount],tbl_WIP[Job Number],$A128,tbl_WIP[Month],"&lt;&gt;",tbl_WIP[Month],"&lt;"&amp;$C$4,tbl_WIP[Defer Start],"")+SUMIF('Deferred Revenue'!$E$6:$E$607,$A128,'Deferred Revenue'!$P$6:$P$607)</f>
        <v/>
      </c>
      <c r="D128" s="43">
        <f>SUMIFS(tbl_WIP[Amount],tbl_WIP[Job Number],$A128,tbl_WIP[Month],$C$4,tbl_WIP[Defer Start],"")+SUMIF('Deferred Revenue'!$E$6:$E$607,$A128,'Deferred Revenue'!$Q$6:$Q$607)</f>
        <v/>
      </c>
      <c r="E128" s="43">
        <f>C128+D128</f>
        <v/>
      </c>
      <c r="F128" s="50">
        <f>IF(ROUND(C128,2)+ROUND(D128,2)=0,"","yes")</f>
        <v/>
      </c>
      <c r="G128" s="63" t="n"/>
      <c r="H128" s="43">
        <f>IF($G128="","",$E128-$G128)</f>
        <v/>
      </c>
    </row>
    <row r="129">
      <c r="A129" s="62" t="inlineStr">
        <is>
          <t>26032701</t>
        </is>
      </c>
      <c r="B129" s="62" t="inlineStr">
        <is>
          <t>MUFG - A1N AGM - 7.5.26</t>
        </is>
      </c>
      <c r="C129" s="43">
        <f>SUMIFS(tbl_WIP[Amount],tbl_WIP[Job Number],$A129,tbl_WIP[Month],"&lt;&gt;",tbl_WIP[Month],"&lt;"&amp;$C$4,tbl_WIP[Defer Start],"")+SUMIF('Deferred Revenue'!$E$6:$E$607,$A129,'Deferred Revenue'!$P$6:$P$607)</f>
        <v/>
      </c>
      <c r="D129" s="43">
        <f>SUMIFS(tbl_WIP[Amount],tbl_WIP[Job Number],$A129,tbl_WIP[Month],$C$4,tbl_WIP[Defer Start],"")+SUMIF('Deferred Revenue'!$E$6:$E$607,$A129,'Deferred Revenue'!$Q$6:$Q$607)</f>
        <v/>
      </c>
      <c r="E129" s="43">
        <f>C129+D129</f>
        <v/>
      </c>
      <c r="F129" s="50">
        <f>IF(ROUND(C129,2)+ROUND(D129,2)=0,"","yes")</f>
        <v/>
      </c>
      <c r="G129" s="63" t="n"/>
      <c r="H129" s="43">
        <f>IF($G129="","",$E129-$G129)</f>
        <v/>
      </c>
    </row>
    <row r="130">
      <c r="A130" s="62" t="inlineStr">
        <is>
          <t>26032701V</t>
        </is>
      </c>
      <c r="B130" s="62" t="inlineStr">
        <is>
          <t>MUFG - A1N AGM - 7.5.26</t>
        </is>
      </c>
      <c r="C130" s="43">
        <f>SUMIFS(tbl_WIP[Amount],tbl_WIP[Job Number],$A130,tbl_WIP[Month],"&lt;&gt;",tbl_WIP[Month],"&lt;"&amp;$C$4,tbl_WIP[Defer Start],"")+SUMIF('Deferred Revenue'!$E$6:$E$607,$A130,'Deferred Revenue'!$P$6:$P$607)</f>
        <v/>
      </c>
      <c r="D130" s="43">
        <f>SUMIFS(tbl_WIP[Amount],tbl_WIP[Job Number],$A130,tbl_WIP[Month],$C$4,tbl_WIP[Defer Start],"")+SUMIF('Deferred Revenue'!$E$6:$E$607,$A130,'Deferred Revenue'!$Q$6:$Q$607)</f>
        <v/>
      </c>
      <c r="E130" s="43">
        <f>C130+D130</f>
        <v/>
      </c>
      <c r="F130" s="50">
        <f>IF(ROUND(C130,2)+ROUND(D130,2)=0,"","yes")</f>
        <v/>
      </c>
      <c r="G130" s="63" t="n"/>
      <c r="H130" s="43">
        <f>IF($G130="","",$E130-$G130)</f>
        <v/>
      </c>
    </row>
    <row r="131">
      <c r="A131" s="62" t="inlineStr">
        <is>
          <t>26032702</t>
        </is>
      </c>
      <c r="B131" s="62" t="inlineStr">
        <is>
          <t>Ventia Transport Australia and Ventia Networking 6.5.26</t>
        </is>
      </c>
      <c r="C131" s="43">
        <f>SUMIFS(tbl_WIP[Amount],tbl_WIP[Job Number],$A131,tbl_WIP[Month],"&lt;&gt;",tbl_WIP[Month],"&lt;"&amp;$C$4,tbl_WIP[Defer Start],"")+SUMIF('Deferred Revenue'!$E$6:$E$607,$A131,'Deferred Revenue'!$P$6:$P$607)</f>
        <v/>
      </c>
      <c r="D131" s="43">
        <f>SUMIFS(tbl_WIP[Amount],tbl_WIP[Job Number],$A131,tbl_WIP[Month],$C$4,tbl_WIP[Defer Start],"")+SUMIF('Deferred Revenue'!$E$6:$E$607,$A131,'Deferred Revenue'!$Q$6:$Q$607)</f>
        <v/>
      </c>
      <c r="E131" s="43">
        <f>C131+D131</f>
        <v/>
      </c>
      <c r="F131" s="50">
        <f>IF(ROUND(C131,2)+ROUND(D131,2)=0,"","yes")</f>
        <v/>
      </c>
      <c r="G131" s="63" t="n"/>
      <c r="H131" s="43">
        <f>IF($G131="","",$E131-$G131)</f>
        <v/>
      </c>
    </row>
    <row r="132">
      <c r="A132" s="62" t="inlineStr">
        <is>
          <t>26032704</t>
        </is>
      </c>
      <c r="B132" s="62" t="inlineStr">
        <is>
          <t>CBA LES - April 2026</t>
        </is>
      </c>
      <c r="C132" s="43">
        <f>SUMIFS(tbl_WIP[Amount],tbl_WIP[Job Number],$A132,tbl_WIP[Month],"&lt;&gt;",tbl_WIP[Month],"&lt;"&amp;$C$4,tbl_WIP[Defer Start],"")+SUMIF('Deferred Revenue'!$E$6:$E$607,$A132,'Deferred Revenue'!$P$6:$P$607)</f>
        <v/>
      </c>
      <c r="D132" s="43">
        <f>SUMIFS(tbl_WIP[Amount],tbl_WIP[Job Number],$A132,tbl_WIP[Month],$C$4,tbl_WIP[Defer Start],"")+SUMIF('Deferred Revenue'!$E$6:$E$607,$A132,'Deferred Revenue'!$Q$6:$Q$607)</f>
        <v/>
      </c>
      <c r="E132" s="43">
        <f>C132+D132</f>
        <v/>
      </c>
      <c r="F132" s="50">
        <f>IF(ROUND(C132,2)+ROUND(D132,2)=0,"","yes")</f>
        <v/>
      </c>
      <c r="G132" s="63" t="n"/>
      <c r="H132" s="43">
        <f>IF($G132="","",$E132-$G132)</f>
        <v/>
      </c>
    </row>
    <row r="133">
      <c r="A133" s="62" t="inlineStr">
        <is>
          <t>26033003</t>
        </is>
      </c>
      <c r="B133" s="62" t="inlineStr">
        <is>
          <t>DTTL 8PSQ Dream Big Microphones</t>
        </is>
      </c>
      <c r="C133" s="43">
        <f>SUMIFS(tbl_WIP[Amount],tbl_WIP[Job Number],$A133,tbl_WIP[Month],"&lt;&gt;",tbl_WIP[Month],"&lt;"&amp;$C$4,tbl_WIP[Defer Start],"")+SUMIF('Deferred Revenue'!$E$6:$E$607,$A133,'Deferred Revenue'!$P$6:$P$607)</f>
        <v/>
      </c>
      <c r="D133" s="43">
        <f>SUMIFS(tbl_WIP[Amount],tbl_WIP[Job Number],$A133,tbl_WIP[Month],$C$4,tbl_WIP[Defer Start],"")+SUMIF('Deferred Revenue'!$E$6:$E$607,$A133,'Deferred Revenue'!$Q$6:$Q$607)</f>
        <v/>
      </c>
      <c r="E133" s="43">
        <f>C133+D133</f>
        <v/>
      </c>
      <c r="F133" s="50">
        <f>IF(ROUND(C133,2)+ROUND(D133,2)=0,"","yes")</f>
        <v/>
      </c>
      <c r="G133" s="63" t="n"/>
      <c r="H133" s="43">
        <f>IF($G133="","",$E133-$G133)</f>
        <v/>
      </c>
    </row>
    <row r="134">
      <c r="A134" s="62" t="inlineStr">
        <is>
          <t>26033004</t>
        </is>
      </c>
      <c r="B134" s="62" t="inlineStr">
        <is>
          <t>DTTL Melbourne Bluetooth Audio</t>
        </is>
      </c>
      <c r="C134" s="43">
        <f>SUMIFS(tbl_WIP[Amount],tbl_WIP[Job Number],$A134,tbl_WIP[Month],"&lt;&gt;",tbl_WIP[Month],"&lt;"&amp;$C$4,tbl_WIP[Defer Start],"")+SUMIF('Deferred Revenue'!$E$6:$E$607,$A134,'Deferred Revenue'!$P$6:$P$607)</f>
        <v/>
      </c>
      <c r="D134" s="43">
        <f>SUMIFS(tbl_WIP[Amount],tbl_WIP[Job Number],$A134,tbl_WIP[Month],$C$4,tbl_WIP[Defer Start],"")+SUMIF('Deferred Revenue'!$E$6:$E$607,$A134,'Deferred Revenue'!$Q$6:$Q$607)</f>
        <v/>
      </c>
      <c r="E134" s="43">
        <f>C134+D134</f>
        <v/>
      </c>
      <c r="F134" s="50">
        <f>IF(ROUND(C134,2)+ROUND(D134,2)=0,"","yes")</f>
        <v/>
      </c>
      <c r="G134" s="63" t="n"/>
      <c r="H134" s="43">
        <f>IF($G134="","",$E134-$G134)</f>
        <v/>
      </c>
    </row>
    <row r="135">
      <c r="A135" s="62" t="inlineStr">
        <is>
          <t>26033005</t>
        </is>
      </c>
      <c r="B135" s="62" t="inlineStr">
        <is>
          <t>DTTL QQT &amp; 8PSQ Crestron Connect Adaptor</t>
        </is>
      </c>
      <c r="C135" s="43">
        <f>SUMIFS(tbl_WIP[Amount],tbl_WIP[Job Number],$A135,tbl_WIP[Month],"&lt;&gt;",tbl_WIP[Month],"&lt;"&amp;$C$4,tbl_WIP[Defer Start],"")+SUMIF('Deferred Revenue'!$E$6:$E$607,$A135,'Deferred Revenue'!$P$6:$P$607)</f>
        <v/>
      </c>
      <c r="D135" s="43">
        <f>SUMIFS(tbl_WIP[Amount],tbl_WIP[Job Number],$A135,tbl_WIP[Month],$C$4,tbl_WIP[Defer Start],"")+SUMIF('Deferred Revenue'!$E$6:$E$607,$A135,'Deferred Revenue'!$Q$6:$Q$607)</f>
        <v/>
      </c>
      <c r="E135" s="43">
        <f>C135+D135</f>
        <v/>
      </c>
      <c r="F135" s="50">
        <f>IF(ROUND(C135,2)+ROUND(D135,2)=0,"","yes")</f>
        <v/>
      </c>
      <c r="G135" s="63" t="n"/>
      <c r="H135" s="43">
        <f>IF($G135="","",$E135-$G135)</f>
        <v/>
      </c>
    </row>
    <row r="136">
      <c r="A136" s="62" t="inlineStr">
        <is>
          <t>26033006</t>
        </is>
      </c>
      <c r="B136" s="62" t="inlineStr">
        <is>
          <t>DTTL 8PSQ Bluetooth Audio</t>
        </is>
      </c>
      <c r="C136" s="43">
        <f>SUMIFS(tbl_WIP[Amount],tbl_WIP[Job Number],$A136,tbl_WIP[Month],"&lt;&gt;",tbl_WIP[Month],"&lt;"&amp;$C$4,tbl_WIP[Defer Start],"")+SUMIF('Deferred Revenue'!$E$6:$E$607,$A136,'Deferred Revenue'!$P$6:$P$607)</f>
        <v/>
      </c>
      <c r="D136" s="43">
        <f>SUMIFS(tbl_WIP[Amount],tbl_WIP[Job Number],$A136,tbl_WIP[Month],$C$4,tbl_WIP[Defer Start],"")+SUMIF('Deferred Revenue'!$E$6:$E$607,$A136,'Deferred Revenue'!$Q$6:$Q$607)</f>
        <v/>
      </c>
      <c r="E136" s="43">
        <f>C136+D136</f>
        <v/>
      </c>
      <c r="F136" s="50">
        <f>IF(ROUND(C136,2)+ROUND(D136,2)=0,"","yes")</f>
        <v/>
      </c>
      <c r="G136" s="63" t="n"/>
      <c r="H136" s="43">
        <f>IF($G136="","",$E136-$G136)</f>
        <v/>
      </c>
    </row>
    <row r="137">
      <c r="A137" s="62" t="inlineStr">
        <is>
          <t>26033007</t>
        </is>
      </c>
      <c r="B137" s="62" t="inlineStr">
        <is>
          <t>DTTL QQT Lv45 Seminar Wheels repair</t>
        </is>
      </c>
      <c r="C137" s="43">
        <f>SUMIFS(tbl_WIP[Amount],tbl_WIP[Job Number],$A137,tbl_WIP[Month],"&lt;&gt;",tbl_WIP[Month],"&lt;"&amp;$C$4,tbl_WIP[Defer Start],"")+SUMIF('Deferred Revenue'!$E$6:$E$607,$A137,'Deferred Revenue'!$P$6:$P$607)</f>
        <v/>
      </c>
      <c r="D137" s="43">
        <f>SUMIFS(tbl_WIP[Amount],tbl_WIP[Job Number],$A137,tbl_WIP[Month],$C$4,tbl_WIP[Defer Start],"")+SUMIF('Deferred Revenue'!$E$6:$E$607,$A137,'Deferred Revenue'!$Q$6:$Q$607)</f>
        <v/>
      </c>
      <c r="E137" s="43">
        <f>C137+D137</f>
        <v/>
      </c>
      <c r="F137" s="50">
        <f>IF(ROUND(C137,2)+ROUND(D137,2)=0,"","yes")</f>
        <v/>
      </c>
      <c r="G137" s="63" t="n"/>
      <c r="H137" s="43">
        <f>IF($G137="","",$E137-$G137)</f>
        <v/>
      </c>
    </row>
    <row r="138">
      <c r="A138" s="62" t="inlineStr">
        <is>
          <t>26033008</t>
        </is>
      </c>
      <c r="B138" s="62" t="inlineStr">
        <is>
          <t>DTTL MEL Repair of Lv31 LED panels</t>
        </is>
      </c>
      <c r="C138" s="43">
        <f>SUMIFS(tbl_WIP[Amount],tbl_WIP[Job Number],$A138,tbl_WIP[Month],"&lt;&gt;",tbl_WIP[Month],"&lt;"&amp;$C$4,tbl_WIP[Defer Start],"")+SUMIF('Deferred Revenue'!$E$6:$E$607,$A138,'Deferred Revenue'!$P$6:$P$607)</f>
        <v/>
      </c>
      <c r="D138" s="43">
        <f>SUMIFS(tbl_WIP[Amount],tbl_WIP[Job Number],$A138,tbl_WIP[Month],$C$4,tbl_WIP[Defer Start],"")+SUMIF('Deferred Revenue'!$E$6:$E$607,$A138,'Deferred Revenue'!$Q$6:$Q$607)</f>
        <v/>
      </c>
      <c r="E138" s="43">
        <f>C138+D138</f>
        <v/>
      </c>
      <c r="F138" s="50">
        <f>IF(ROUND(C138,2)+ROUND(D138,2)=0,"","yes")</f>
        <v/>
      </c>
      <c r="G138" s="63" t="n"/>
      <c r="H138" s="43">
        <f>IF($G138="","",$E138-$G138)</f>
        <v/>
      </c>
    </row>
    <row r="139">
      <c r="A139" s="62" t="inlineStr">
        <is>
          <t>26041603</t>
        </is>
      </c>
      <c r="B139" s="62" t="inlineStr">
        <is>
          <t>Optiver - Town Hall - 23.7.26</t>
        </is>
      </c>
      <c r="C139" s="43">
        <f>SUMIFS(tbl_WIP[Amount],tbl_WIP[Job Number],$A139,tbl_WIP[Month],"&lt;&gt;",tbl_WIP[Month],"&lt;"&amp;$C$4,tbl_WIP[Defer Start],"")+SUMIF('Deferred Revenue'!$E$6:$E$607,$A139,'Deferred Revenue'!$P$6:$P$607)</f>
        <v/>
      </c>
      <c r="D139" s="43">
        <f>SUMIFS(tbl_WIP[Amount],tbl_WIP[Job Number],$A139,tbl_WIP[Month],$C$4,tbl_WIP[Defer Start],"")+SUMIF('Deferred Revenue'!$E$6:$E$607,$A139,'Deferred Revenue'!$Q$6:$Q$607)</f>
        <v/>
      </c>
      <c r="E139" s="43">
        <f>C139+D139</f>
        <v/>
      </c>
      <c r="F139" s="50">
        <f>IF(ROUND(C139,2)+ROUND(D139,2)=0,"","yes")</f>
        <v/>
      </c>
      <c r="G139" s="63" t="n"/>
      <c r="H139" s="43">
        <f>IF($G139="","",$E139-$G139)</f>
        <v/>
      </c>
    </row>
    <row r="140">
      <c r="A140" s="62" t="inlineStr">
        <is>
          <t>26041603V</t>
        </is>
      </c>
      <c r="B140" s="62" t="inlineStr">
        <is>
          <t>Optiver - Town Hall - 23.7.26</t>
        </is>
      </c>
      <c r="C140" s="43">
        <f>SUMIFS(tbl_WIP[Amount],tbl_WIP[Job Number],$A140,tbl_WIP[Month],"&lt;&gt;",tbl_WIP[Month],"&lt;"&amp;$C$4,tbl_WIP[Defer Start],"")+SUMIF('Deferred Revenue'!$E$6:$E$607,$A140,'Deferred Revenue'!$P$6:$P$607)</f>
        <v/>
      </c>
      <c r="D140" s="43">
        <f>SUMIFS(tbl_WIP[Amount],tbl_WIP[Job Number],$A140,tbl_WIP[Month],$C$4,tbl_WIP[Defer Start],"")+SUMIF('Deferred Revenue'!$E$6:$E$607,$A140,'Deferred Revenue'!$Q$6:$Q$607)</f>
        <v/>
      </c>
      <c r="E140" s="43">
        <f>C140+D140</f>
        <v/>
      </c>
      <c r="F140" s="50">
        <f>IF(ROUND(C140,2)+ROUND(D140,2)=0,"","yes")</f>
        <v/>
      </c>
      <c r="G140" s="63" t="n"/>
      <c r="H140" s="43">
        <f>IF($G140="","",$E140-$G140)</f>
        <v/>
      </c>
    </row>
    <row r="141">
      <c r="A141" s="62" t="inlineStr">
        <is>
          <t>26041701</t>
        </is>
      </c>
      <c r="B141" s="62" t="inlineStr">
        <is>
          <t>N2 Dance End of Year Concert Videos 2026</t>
        </is>
      </c>
      <c r="C141" s="43">
        <f>SUMIFS(tbl_WIP[Amount],tbl_WIP[Job Number],$A141,tbl_WIP[Month],"&lt;&gt;",tbl_WIP[Month],"&lt;"&amp;$C$4,tbl_WIP[Defer Start],"")+SUMIF('Deferred Revenue'!$E$6:$E$607,$A141,'Deferred Revenue'!$P$6:$P$607)</f>
        <v/>
      </c>
      <c r="D141" s="43">
        <f>SUMIFS(tbl_WIP[Amount],tbl_WIP[Job Number],$A141,tbl_WIP[Month],$C$4,tbl_WIP[Defer Start],"")+SUMIF('Deferred Revenue'!$E$6:$E$607,$A141,'Deferred Revenue'!$Q$6:$Q$607)</f>
        <v/>
      </c>
      <c r="E141" s="43">
        <f>C141+D141</f>
        <v/>
      </c>
      <c r="F141" s="50">
        <f>IF(ROUND(C141,2)+ROUND(D141,2)=0,"","yes")</f>
        <v/>
      </c>
      <c r="G141" s="63" t="n"/>
      <c r="H141" s="43">
        <f>IF($G141="","",$E141-$G141)</f>
        <v/>
      </c>
    </row>
    <row r="142">
      <c r="A142" s="62" t="inlineStr">
        <is>
          <t>26042001</t>
        </is>
      </c>
      <c r="B142" s="62" t="inlineStr">
        <is>
          <t>ASX - AGM - 22.10.26</t>
        </is>
      </c>
      <c r="C142" s="43">
        <f>SUMIFS(tbl_WIP[Amount],tbl_WIP[Job Number],$A142,tbl_WIP[Month],"&lt;&gt;",tbl_WIP[Month],"&lt;"&amp;$C$4,tbl_WIP[Defer Start],"")+SUMIF('Deferred Revenue'!$E$6:$E$607,$A142,'Deferred Revenue'!$P$6:$P$607)</f>
        <v/>
      </c>
      <c r="D142" s="43">
        <f>SUMIFS(tbl_WIP[Amount],tbl_WIP[Job Number],$A142,tbl_WIP[Month],$C$4,tbl_WIP[Defer Start],"")+SUMIF('Deferred Revenue'!$E$6:$E$607,$A142,'Deferred Revenue'!$Q$6:$Q$607)</f>
        <v/>
      </c>
      <c r="E142" s="43">
        <f>C142+D142</f>
        <v/>
      </c>
      <c r="F142" s="50">
        <f>IF(ROUND(C142,2)+ROUND(D142,2)=0,"","yes")</f>
        <v/>
      </c>
      <c r="G142" s="63" t="n"/>
      <c r="H142" s="43">
        <f>IF($G142="","",$E142-$G142)</f>
        <v/>
      </c>
    </row>
    <row r="143">
      <c r="A143" s="62" t="inlineStr">
        <is>
          <t>26042001V</t>
        </is>
      </c>
      <c r="B143" s="62" t="inlineStr">
        <is>
          <t>ASX - AGM - 22.10.26</t>
        </is>
      </c>
      <c r="C143" s="43">
        <f>SUMIFS(tbl_WIP[Amount],tbl_WIP[Job Number],$A143,tbl_WIP[Month],"&lt;&gt;",tbl_WIP[Month],"&lt;"&amp;$C$4,tbl_WIP[Defer Start],"")+SUMIF('Deferred Revenue'!$E$6:$E$607,$A143,'Deferred Revenue'!$P$6:$P$607)</f>
        <v/>
      </c>
      <c r="D143" s="43">
        <f>SUMIFS(tbl_WIP[Amount],tbl_WIP[Job Number],$A143,tbl_WIP[Month],$C$4,tbl_WIP[Defer Start],"")+SUMIF('Deferred Revenue'!$E$6:$E$607,$A143,'Deferred Revenue'!$Q$6:$Q$607)</f>
        <v/>
      </c>
      <c r="E143" s="43">
        <f>C143+D143</f>
        <v/>
      </c>
      <c r="F143" s="50">
        <f>IF(ROUND(C143,2)+ROUND(D143,2)=0,"","yes")</f>
        <v/>
      </c>
      <c r="G143" s="63" t="n"/>
      <c r="H143" s="43">
        <f>IF($G143="","",$E143-$G143)</f>
        <v/>
      </c>
    </row>
    <row r="144">
      <c r="A144" s="62" t="inlineStr">
        <is>
          <t>2604201</t>
        </is>
      </c>
      <c r="B144" s="62" t="inlineStr">
        <is>
          <t>Bankwest - Stage Hire - 27.5.2026</t>
        </is>
      </c>
      <c r="C144" s="43">
        <f>SUMIFS(tbl_WIP[Amount],tbl_WIP[Job Number],$A144,tbl_WIP[Month],"&lt;&gt;",tbl_WIP[Month],"&lt;"&amp;$C$4,tbl_WIP[Defer Start],"")+SUMIF('Deferred Revenue'!$E$6:$E$607,$A144,'Deferred Revenue'!$P$6:$P$607)</f>
        <v/>
      </c>
      <c r="D144" s="43">
        <f>SUMIFS(tbl_WIP[Amount],tbl_WIP[Job Number],$A144,tbl_WIP[Month],$C$4,tbl_WIP[Defer Start],"")+SUMIF('Deferred Revenue'!$E$6:$E$607,$A144,'Deferred Revenue'!$Q$6:$Q$607)</f>
        <v/>
      </c>
      <c r="E144" s="43">
        <f>C144+D144</f>
        <v/>
      </c>
      <c r="F144" s="50">
        <f>IF(ROUND(C144,2)+ROUND(D144,2)=0,"","yes")</f>
        <v/>
      </c>
      <c r="G144" s="63" t="n"/>
      <c r="H144" s="43">
        <f>IF($G144="","",$E144-$G144)</f>
        <v/>
      </c>
    </row>
    <row r="145">
      <c r="A145" s="62" t="inlineStr">
        <is>
          <t>2604202</t>
        </is>
      </c>
      <c r="B145" s="62" t="inlineStr">
        <is>
          <t>Ventia - Ventia Awards - 30.7.26</t>
        </is>
      </c>
      <c r="C145" s="43">
        <f>SUMIFS(tbl_WIP[Amount],tbl_WIP[Job Number],$A145,tbl_WIP[Month],"&lt;&gt;",tbl_WIP[Month],"&lt;"&amp;$C$4,tbl_WIP[Defer Start],"")+SUMIF('Deferred Revenue'!$E$6:$E$607,$A145,'Deferred Revenue'!$P$6:$P$607)</f>
        <v/>
      </c>
      <c r="D145" s="43">
        <f>SUMIFS(tbl_WIP[Amount],tbl_WIP[Job Number],$A145,tbl_WIP[Month],$C$4,tbl_WIP[Defer Start],"")+SUMIF('Deferred Revenue'!$E$6:$E$607,$A145,'Deferred Revenue'!$Q$6:$Q$607)</f>
        <v/>
      </c>
      <c r="E145" s="43">
        <f>C145+D145</f>
        <v/>
      </c>
      <c r="F145" s="50">
        <f>IF(ROUND(C145,2)+ROUND(D145,2)=0,"","yes")</f>
        <v/>
      </c>
      <c r="G145" s="63" t="n"/>
      <c r="H145" s="43">
        <f>IF($G145="","",$E145-$G145)</f>
        <v/>
      </c>
    </row>
    <row r="146">
      <c r="A146" s="62" t="inlineStr">
        <is>
          <t>2604202V</t>
        </is>
      </c>
      <c r="B146" s="62" t="inlineStr">
        <is>
          <t>Ventia - Ventia Awards - 30.7.26</t>
        </is>
      </c>
      <c r="C146" s="43">
        <f>SUMIFS(tbl_WIP[Amount],tbl_WIP[Job Number],$A146,tbl_WIP[Month],"&lt;&gt;",tbl_WIP[Month],"&lt;"&amp;$C$4,tbl_WIP[Defer Start],"")+SUMIF('Deferred Revenue'!$E$6:$E$607,$A146,'Deferred Revenue'!$P$6:$P$607)</f>
        <v/>
      </c>
      <c r="D146" s="43">
        <f>SUMIFS(tbl_WIP[Amount],tbl_WIP[Job Number],$A146,tbl_WIP[Month],$C$4,tbl_WIP[Defer Start],"")+SUMIF('Deferred Revenue'!$E$6:$E$607,$A146,'Deferred Revenue'!$Q$6:$Q$607)</f>
        <v/>
      </c>
      <c r="E146" s="43">
        <f>C146+D146</f>
        <v/>
      </c>
      <c r="F146" s="50">
        <f>IF(ROUND(C146,2)+ROUND(D146,2)=0,"","yes")</f>
        <v/>
      </c>
      <c r="G146" s="63" t="n"/>
      <c r="H146" s="43">
        <f>IF($G146="","",$E146-$G146)</f>
        <v/>
      </c>
    </row>
    <row r="147">
      <c r="A147" s="62" t="inlineStr">
        <is>
          <t>2604203V</t>
        </is>
      </c>
      <c r="B147" s="62" t="inlineStr">
        <is>
          <t>Ventia - Investor Day - 4.5.2026</t>
        </is>
      </c>
      <c r="C147" s="43">
        <f>SUMIFS(tbl_WIP[Amount],tbl_WIP[Job Number],$A147,tbl_WIP[Month],"&lt;&gt;",tbl_WIP[Month],"&lt;"&amp;$C$4,tbl_WIP[Defer Start],"")+SUMIF('Deferred Revenue'!$E$6:$E$607,$A147,'Deferred Revenue'!$P$6:$P$607)</f>
        <v/>
      </c>
      <c r="D147" s="43">
        <f>SUMIFS(tbl_WIP[Amount],tbl_WIP[Job Number],$A147,tbl_WIP[Month],$C$4,tbl_WIP[Defer Start],"")+SUMIF('Deferred Revenue'!$E$6:$E$607,$A147,'Deferred Revenue'!$Q$6:$Q$607)</f>
        <v/>
      </c>
      <c r="E147" s="43">
        <f>C147+D147</f>
        <v/>
      </c>
      <c r="F147" s="50">
        <f>IF(ROUND(C147,2)+ROUND(D147,2)=0,"","yes")</f>
        <v/>
      </c>
      <c r="G147" s="63" t="n"/>
      <c r="H147" s="43">
        <f>IF($G147="","",$E147-$G147)</f>
        <v/>
      </c>
    </row>
    <row r="148">
      <c r="A148" s="62" t="inlineStr">
        <is>
          <t>2604204</t>
        </is>
      </c>
      <c r="B148" s="62" t="inlineStr">
        <is>
          <t>Ventia - AGM - 21.5.26</t>
        </is>
      </c>
      <c r="C148" s="43">
        <f>SUMIFS(tbl_WIP[Amount],tbl_WIP[Job Number],$A148,tbl_WIP[Month],"&lt;&gt;",tbl_WIP[Month],"&lt;"&amp;$C$4,tbl_WIP[Defer Start],"")+SUMIF('Deferred Revenue'!$E$6:$E$607,$A148,'Deferred Revenue'!$P$6:$P$607)</f>
        <v/>
      </c>
      <c r="D148" s="43">
        <f>SUMIFS(tbl_WIP[Amount],tbl_WIP[Job Number],$A148,tbl_WIP[Month],$C$4,tbl_WIP[Defer Start],"")+SUMIF('Deferred Revenue'!$E$6:$E$607,$A148,'Deferred Revenue'!$Q$6:$Q$607)</f>
        <v/>
      </c>
      <c r="E148" s="43">
        <f>C148+D148</f>
        <v/>
      </c>
      <c r="F148" s="50">
        <f>IF(ROUND(C148,2)+ROUND(D148,2)=0,"","yes")</f>
        <v/>
      </c>
      <c r="G148" s="63" t="n"/>
      <c r="H148" s="43">
        <f>IF($G148="","",$E148-$G148)</f>
        <v/>
      </c>
    </row>
    <row r="149">
      <c r="A149" s="62" t="inlineStr">
        <is>
          <t>2604204V</t>
        </is>
      </c>
      <c r="B149" s="62" t="inlineStr">
        <is>
          <t>Ventia - AGM - 21.5.26</t>
        </is>
      </c>
      <c r="C149" s="43">
        <f>SUMIFS(tbl_WIP[Amount],tbl_WIP[Job Number],$A149,tbl_WIP[Month],"&lt;&gt;",tbl_WIP[Month],"&lt;"&amp;$C$4,tbl_WIP[Defer Start],"")+SUMIF('Deferred Revenue'!$E$6:$E$607,$A149,'Deferred Revenue'!$P$6:$P$607)</f>
        <v/>
      </c>
      <c r="D149" s="43">
        <f>SUMIFS(tbl_WIP[Amount],tbl_WIP[Job Number],$A149,tbl_WIP[Month],$C$4,tbl_WIP[Defer Start],"")+SUMIF('Deferred Revenue'!$E$6:$E$607,$A149,'Deferred Revenue'!$Q$6:$Q$607)</f>
        <v/>
      </c>
      <c r="E149" s="43">
        <f>C149+D149</f>
        <v/>
      </c>
      <c r="F149" s="50">
        <f>IF(ROUND(C149,2)+ROUND(D149,2)=0,"","yes")</f>
        <v/>
      </c>
      <c r="G149" s="63" t="n"/>
      <c r="H149" s="43">
        <f>IF($G149="","",$E149-$G149)</f>
        <v/>
      </c>
    </row>
    <row r="150">
      <c r="A150" s="62" t="inlineStr">
        <is>
          <t>26042802</t>
        </is>
      </c>
      <c r="B150" s="62" t="inlineStr">
        <is>
          <t>DTTL DAR Meeting Room Extension Cable Install</t>
        </is>
      </c>
      <c r="C150" s="43">
        <f>SUMIFS(tbl_WIP[Amount],tbl_WIP[Job Number],$A150,tbl_WIP[Month],"&lt;&gt;",tbl_WIP[Month],"&lt;"&amp;$C$4,tbl_WIP[Defer Start],"")+SUMIF('Deferred Revenue'!$E$6:$E$607,$A150,'Deferred Revenue'!$P$6:$P$607)</f>
        <v/>
      </c>
      <c r="D150" s="43">
        <f>SUMIFS(tbl_WIP[Amount],tbl_WIP[Job Number],$A150,tbl_WIP[Month],$C$4,tbl_WIP[Defer Start],"")+SUMIF('Deferred Revenue'!$E$6:$E$607,$A150,'Deferred Revenue'!$Q$6:$Q$607)</f>
        <v/>
      </c>
      <c r="E150" s="43">
        <f>C150+D150</f>
        <v/>
      </c>
      <c r="F150" s="50">
        <f>IF(ROUND(C150,2)+ROUND(D150,2)=0,"","yes")</f>
        <v/>
      </c>
      <c r="G150" s="63" t="n"/>
      <c r="H150" s="43">
        <f>IF($G150="","",$E150-$G150)</f>
        <v/>
      </c>
    </row>
    <row r="151">
      <c r="A151" s="62" t="inlineStr">
        <is>
          <t>26043001</t>
        </is>
      </c>
      <c r="B151" s="62" t="inlineStr">
        <is>
          <t>CBA FT Tech MEL - 12 months</t>
        </is>
      </c>
      <c r="C151" s="43">
        <f>SUMIFS(tbl_WIP[Amount],tbl_WIP[Job Number],$A151,tbl_WIP[Month],"&lt;&gt;",tbl_WIP[Month],"&lt;"&amp;$C$4,tbl_WIP[Defer Start],"")+SUMIF('Deferred Revenue'!$E$6:$E$607,$A151,'Deferred Revenue'!$P$6:$P$607)</f>
        <v/>
      </c>
      <c r="D151" s="43">
        <f>SUMIFS(tbl_WIP[Amount],tbl_WIP[Job Number],$A151,tbl_WIP[Month],$C$4,tbl_WIP[Defer Start],"")+SUMIF('Deferred Revenue'!$E$6:$E$607,$A151,'Deferred Revenue'!$Q$6:$Q$607)</f>
        <v/>
      </c>
      <c r="E151" s="43">
        <f>C151+D151</f>
        <v/>
      </c>
      <c r="F151" s="50">
        <f>IF(ROUND(C151,2)+ROUND(D151,2)=0,"","yes")</f>
        <v/>
      </c>
      <c r="G151" s="63" t="n"/>
      <c r="H151" s="43">
        <f>IF($G151="","",$E151-$G151)</f>
        <v/>
      </c>
    </row>
    <row r="152">
      <c r="A152" s="62" t="inlineStr">
        <is>
          <t>26043002</t>
        </is>
      </c>
      <c r="B152" s="62" t="inlineStr">
        <is>
          <t>CTS Town Hall</t>
        </is>
      </c>
      <c r="C152" s="43">
        <f>SUMIFS(tbl_WIP[Amount],tbl_WIP[Job Number],$A152,tbl_WIP[Month],"&lt;&gt;",tbl_WIP[Month],"&lt;"&amp;$C$4,tbl_WIP[Defer Start],"")+SUMIF('Deferred Revenue'!$E$6:$E$607,$A152,'Deferred Revenue'!$P$6:$P$607)</f>
        <v/>
      </c>
      <c r="D152" s="43">
        <f>SUMIFS(tbl_WIP[Amount],tbl_WIP[Job Number],$A152,tbl_WIP[Month],$C$4,tbl_WIP[Defer Start],"")+SUMIF('Deferred Revenue'!$E$6:$E$607,$A152,'Deferred Revenue'!$Q$6:$Q$607)</f>
        <v/>
      </c>
      <c r="E152" s="43">
        <f>C152+D152</f>
        <v/>
      </c>
      <c r="F152" s="50">
        <f>IF(ROUND(C152,2)+ROUND(D152,2)=0,"","yes")</f>
        <v/>
      </c>
      <c r="G152" s="63" t="n"/>
      <c r="H152" s="43">
        <f>IF($G152="","",$E152-$G152)</f>
        <v/>
      </c>
    </row>
    <row r="153">
      <c r="A153" s="62" t="inlineStr">
        <is>
          <t>26043003</t>
        </is>
      </c>
      <c r="B153" s="62" t="inlineStr">
        <is>
          <t>PwC Screen Replacements SYD+MEL</t>
        </is>
      </c>
      <c r="C153" s="43">
        <f>SUMIFS(tbl_WIP[Amount],tbl_WIP[Job Number],$A153,tbl_WIP[Month],"&lt;&gt;",tbl_WIP[Month],"&lt;"&amp;$C$4,tbl_WIP[Defer Start],"")+SUMIF('Deferred Revenue'!$E$6:$E$607,$A153,'Deferred Revenue'!$P$6:$P$607)</f>
        <v/>
      </c>
      <c r="D153" s="43">
        <f>SUMIFS(tbl_WIP[Amount],tbl_WIP[Job Number],$A153,tbl_WIP[Month],$C$4,tbl_WIP[Defer Start],"")+SUMIF('Deferred Revenue'!$E$6:$E$607,$A153,'Deferred Revenue'!$Q$6:$Q$607)</f>
        <v/>
      </c>
      <c r="E153" s="43">
        <f>C153+D153</f>
        <v/>
      </c>
      <c r="F153" s="50">
        <f>IF(ROUND(C153,2)+ROUND(D153,2)=0,"","yes")</f>
        <v/>
      </c>
      <c r="G153" s="63" t="n"/>
      <c r="H153" s="43">
        <f>IF($G153="","",$E153-$G153)</f>
        <v/>
      </c>
    </row>
    <row r="154">
      <c r="A154" s="62" t="inlineStr">
        <is>
          <t>2604704</t>
        </is>
      </c>
      <c r="B154" s="62" t="inlineStr">
        <is>
          <t>Aware Super Seminar Room Audio Upgrade</t>
        </is>
      </c>
      <c r="C154" s="43">
        <f>SUMIFS(tbl_WIP[Amount],tbl_WIP[Job Number],$A154,tbl_WIP[Month],"&lt;&gt;",tbl_WIP[Month],"&lt;"&amp;$C$4,tbl_WIP[Defer Start],"")+SUMIF('Deferred Revenue'!$E$6:$E$607,$A154,'Deferred Revenue'!$P$6:$P$607)</f>
        <v/>
      </c>
      <c r="D154" s="43">
        <f>SUMIFS(tbl_WIP[Amount],tbl_WIP[Job Number],$A154,tbl_WIP[Month],$C$4,tbl_WIP[Defer Start],"")+SUMIF('Deferred Revenue'!$E$6:$E$607,$A154,'Deferred Revenue'!$Q$6:$Q$607)</f>
        <v/>
      </c>
      <c r="E154" s="43">
        <f>C154+D154</f>
        <v/>
      </c>
      <c r="F154" s="50">
        <f>IF(ROUND(C154,2)+ROUND(D154,2)=0,"","yes")</f>
        <v/>
      </c>
      <c r="G154" s="63" t="n"/>
      <c r="H154" s="43">
        <f>IF($G154="","",$E154-$G154)</f>
        <v/>
      </c>
    </row>
    <row r="155">
      <c r="A155" s="62" t="inlineStr">
        <is>
          <t>2604802</t>
        </is>
      </c>
      <c r="B155" s="62" t="inlineStr">
        <is>
          <t>PwC - Audio Support - 29.4.26</t>
        </is>
      </c>
      <c r="C155" s="43">
        <f>SUMIFS(tbl_WIP[Amount],tbl_WIP[Job Number],$A155,tbl_WIP[Month],"&lt;&gt;",tbl_WIP[Month],"&lt;"&amp;$C$4,tbl_WIP[Defer Start],"")+SUMIF('Deferred Revenue'!$E$6:$E$607,$A155,'Deferred Revenue'!$P$6:$P$607)</f>
        <v/>
      </c>
      <c r="D155" s="43">
        <f>SUMIFS(tbl_WIP[Amount],tbl_WIP[Job Number],$A155,tbl_WIP[Month],$C$4,tbl_WIP[Defer Start],"")+SUMIF('Deferred Revenue'!$E$6:$E$607,$A155,'Deferred Revenue'!$Q$6:$Q$607)</f>
        <v/>
      </c>
      <c r="E155" s="43">
        <f>C155+D155</f>
        <v/>
      </c>
      <c r="F155" s="50">
        <f>IF(ROUND(C155,2)+ROUND(D155,2)=0,"","yes")</f>
        <v/>
      </c>
      <c r="G155" s="63" t="n"/>
      <c r="H155" s="43">
        <f>IF($G155="","",$E155-$G155)</f>
        <v/>
      </c>
    </row>
    <row r="156">
      <c r="A156" s="62" t="inlineStr">
        <is>
          <t>26051101</t>
        </is>
      </c>
      <c r="B156" s="62" t="inlineStr">
        <is>
          <t>DTTL Mardi Gras/Vivid Event 27/05/26</t>
        </is>
      </c>
      <c r="C156" s="43">
        <f>SUMIFS(tbl_WIP[Amount],tbl_WIP[Job Number],$A156,tbl_WIP[Month],"&lt;&gt;",tbl_WIP[Month],"&lt;"&amp;$C$4,tbl_WIP[Defer Start],"")+SUMIF('Deferred Revenue'!$E$6:$E$607,$A156,'Deferred Revenue'!$P$6:$P$607)</f>
        <v/>
      </c>
      <c r="D156" s="43">
        <f>SUMIFS(tbl_WIP[Amount],tbl_WIP[Job Number],$A156,tbl_WIP[Month],$C$4,tbl_WIP[Defer Start],"")+SUMIF('Deferred Revenue'!$E$6:$E$607,$A156,'Deferred Revenue'!$Q$6:$Q$607)</f>
        <v/>
      </c>
      <c r="E156" s="43">
        <f>C156+D156</f>
        <v/>
      </c>
      <c r="F156" s="50">
        <f>IF(ROUND(C156,2)+ROUND(D156,2)=0,"","yes")</f>
        <v/>
      </c>
      <c r="G156" s="63" t="n"/>
      <c r="H156" s="43">
        <f>IF($G156="","",$E156-$G156)</f>
        <v/>
      </c>
    </row>
    <row r="157">
      <c r="A157" s="62" t="inlineStr">
        <is>
          <t>26051101V</t>
        </is>
      </c>
      <c r="B157" s="62" t="inlineStr">
        <is>
          <t>DTTL Mardi Gras/Vivid Event 27/05/26</t>
        </is>
      </c>
      <c r="C157" s="43">
        <f>SUMIFS(tbl_WIP[Amount],tbl_WIP[Job Number],$A157,tbl_WIP[Month],"&lt;&gt;",tbl_WIP[Month],"&lt;"&amp;$C$4,tbl_WIP[Defer Start],"")+SUMIF('Deferred Revenue'!$E$6:$E$607,$A157,'Deferred Revenue'!$P$6:$P$607)</f>
        <v/>
      </c>
      <c r="D157" s="43">
        <f>SUMIFS(tbl_WIP[Amount],tbl_WIP[Job Number],$A157,tbl_WIP[Month],$C$4,tbl_WIP[Defer Start],"")+SUMIF('Deferred Revenue'!$E$6:$E$607,$A157,'Deferred Revenue'!$Q$6:$Q$607)</f>
        <v/>
      </c>
      <c r="E157" s="43">
        <f>C157+D157</f>
        <v/>
      </c>
      <c r="F157" s="50">
        <f>IF(ROUND(C157,2)+ROUND(D157,2)=0,"","yes")</f>
        <v/>
      </c>
      <c r="G157" s="63" t="n"/>
      <c r="H157" s="43">
        <f>IF($G157="","",$E157-$G157)</f>
        <v/>
      </c>
    </row>
    <row r="158">
      <c r="A158" s="62" t="inlineStr">
        <is>
          <t>26051102</t>
        </is>
      </c>
      <c r="B158" s="62" t="inlineStr">
        <is>
          <t>DTTL - CEO Roadshow - 1.6.26</t>
        </is>
      </c>
      <c r="C158" s="43">
        <f>SUMIFS(tbl_WIP[Amount],tbl_WIP[Job Number],$A158,tbl_WIP[Month],"&lt;&gt;",tbl_WIP[Month],"&lt;"&amp;$C$4,tbl_WIP[Defer Start],"")+SUMIF('Deferred Revenue'!$E$6:$E$607,$A158,'Deferred Revenue'!$P$6:$P$607)</f>
        <v/>
      </c>
      <c r="D158" s="43">
        <f>SUMIFS(tbl_WIP[Amount],tbl_WIP[Job Number],$A158,tbl_WIP[Month],$C$4,tbl_WIP[Defer Start],"")+SUMIF('Deferred Revenue'!$E$6:$E$607,$A158,'Deferred Revenue'!$Q$6:$Q$607)</f>
        <v/>
      </c>
      <c r="E158" s="43">
        <f>C158+D158</f>
        <v/>
      </c>
      <c r="F158" s="50">
        <f>IF(ROUND(C158,2)+ROUND(D158,2)=0,"","yes")</f>
        <v/>
      </c>
      <c r="G158" s="63" t="n"/>
      <c r="H158" s="43">
        <f>IF($G158="","",$E158-$G158)</f>
        <v/>
      </c>
    </row>
    <row r="159">
      <c r="A159" s="62" t="inlineStr">
        <is>
          <t>26051102V</t>
        </is>
      </c>
      <c r="B159" s="62" t="inlineStr">
        <is>
          <t>DTTL - CEO Roadshow - 1.6.26</t>
        </is>
      </c>
      <c r="C159" s="43">
        <f>SUMIFS(tbl_WIP[Amount],tbl_WIP[Job Number],$A159,tbl_WIP[Month],"&lt;&gt;",tbl_WIP[Month],"&lt;"&amp;$C$4,tbl_WIP[Defer Start],"")+SUMIF('Deferred Revenue'!$E$6:$E$607,$A159,'Deferred Revenue'!$P$6:$P$607)</f>
        <v/>
      </c>
      <c r="D159" s="43">
        <f>SUMIFS(tbl_WIP[Amount],tbl_WIP[Job Number],$A159,tbl_WIP[Month],$C$4,tbl_WIP[Defer Start],"")+SUMIF('Deferred Revenue'!$E$6:$E$607,$A159,'Deferred Revenue'!$Q$6:$Q$607)</f>
        <v/>
      </c>
      <c r="E159" s="43">
        <f>C159+D159</f>
        <v/>
      </c>
      <c r="F159" s="50">
        <f>IF(ROUND(C159,2)+ROUND(D159,2)=0,"","yes")</f>
        <v/>
      </c>
      <c r="G159" s="63" t="n"/>
      <c r="H159" s="43">
        <f>IF($G159="","",$E159-$G159)</f>
        <v/>
      </c>
    </row>
    <row r="160">
      <c r="A160" s="62" t="inlineStr">
        <is>
          <t>26051103</t>
        </is>
      </c>
      <c r="B160" s="62" t="inlineStr">
        <is>
          <t>PwC PER Studio Support 25.05.26</t>
        </is>
      </c>
      <c r="C160" s="43">
        <f>SUMIFS(tbl_WIP[Amount],tbl_WIP[Job Number],$A160,tbl_WIP[Month],"&lt;&gt;",tbl_WIP[Month],"&lt;"&amp;$C$4,tbl_WIP[Defer Start],"")+SUMIF('Deferred Revenue'!$E$6:$E$607,$A160,'Deferred Revenue'!$P$6:$P$607)</f>
        <v/>
      </c>
      <c r="D160" s="43">
        <f>SUMIFS(tbl_WIP[Amount],tbl_WIP[Job Number],$A160,tbl_WIP[Month],$C$4,tbl_WIP[Defer Start],"")+SUMIF('Deferred Revenue'!$E$6:$E$607,$A160,'Deferred Revenue'!$Q$6:$Q$607)</f>
        <v/>
      </c>
      <c r="E160" s="43">
        <f>C160+D160</f>
        <v/>
      </c>
      <c r="F160" s="50">
        <f>IF(ROUND(C160,2)+ROUND(D160,2)=0,"","yes")</f>
        <v/>
      </c>
      <c r="G160" s="63" t="n"/>
      <c r="H160" s="43">
        <f>IF($G160="","",$E160-$G160)</f>
        <v/>
      </c>
    </row>
    <row r="161">
      <c r="A161" s="62" t="inlineStr">
        <is>
          <t>26051103V</t>
        </is>
      </c>
      <c r="B161" s="62" t="inlineStr">
        <is>
          <t>PwC PER Studio Support 25.05.26</t>
        </is>
      </c>
      <c r="C161" s="43">
        <f>SUMIFS(tbl_WIP[Amount],tbl_WIP[Job Number],$A161,tbl_WIP[Month],"&lt;&gt;",tbl_WIP[Month],"&lt;"&amp;$C$4,tbl_WIP[Defer Start],"")+SUMIF('Deferred Revenue'!$E$6:$E$607,$A161,'Deferred Revenue'!$P$6:$P$607)</f>
        <v/>
      </c>
      <c r="D161" s="43">
        <f>SUMIFS(tbl_WIP[Amount],tbl_WIP[Job Number],$A161,tbl_WIP[Month],$C$4,tbl_WIP[Defer Start],"")+SUMIF('Deferred Revenue'!$E$6:$E$607,$A161,'Deferred Revenue'!$Q$6:$Q$607)</f>
        <v/>
      </c>
      <c r="E161" s="43">
        <f>C161+D161</f>
        <v/>
      </c>
      <c r="F161" s="50">
        <f>IF(ROUND(C161,2)+ROUND(D161,2)=0,"","yes")</f>
        <v/>
      </c>
      <c r="G161" s="63" t="n"/>
      <c r="H161" s="43">
        <f>IF($G161="","",$E161-$G161)</f>
        <v/>
      </c>
    </row>
    <row r="162">
      <c r="A162" s="62" t="inlineStr">
        <is>
          <t>26051201</t>
        </is>
      </c>
      <c r="B162" s="62" t="inlineStr">
        <is>
          <t>ASX CEO Farewell Highlights</t>
        </is>
      </c>
      <c r="C162" s="43">
        <f>SUMIFS(tbl_WIP[Amount],tbl_WIP[Job Number],$A162,tbl_WIP[Month],"&lt;&gt;",tbl_WIP[Month],"&lt;"&amp;$C$4,tbl_WIP[Defer Start],"")+SUMIF('Deferred Revenue'!$E$6:$E$607,$A162,'Deferred Revenue'!$P$6:$P$607)</f>
        <v/>
      </c>
      <c r="D162" s="43">
        <f>SUMIFS(tbl_WIP[Amount],tbl_WIP[Job Number],$A162,tbl_WIP[Month],$C$4,tbl_WIP[Defer Start],"")+SUMIF('Deferred Revenue'!$E$6:$E$607,$A162,'Deferred Revenue'!$Q$6:$Q$607)</f>
        <v/>
      </c>
      <c r="E162" s="43">
        <f>C162+D162</f>
        <v/>
      </c>
      <c r="F162" s="50">
        <f>IF(ROUND(C162,2)+ROUND(D162,2)=0,"","yes")</f>
        <v/>
      </c>
      <c r="G162" s="63" t="n"/>
      <c r="H162" s="43">
        <f>IF($G162="","",$E162-$G162)</f>
        <v/>
      </c>
    </row>
    <row r="163">
      <c r="A163" s="62" t="inlineStr">
        <is>
          <t>26051301</t>
        </is>
      </c>
      <c r="B163" s="62" t="inlineStr">
        <is>
          <t>HP-BAE | Phone Mod</t>
        </is>
      </c>
      <c r="C163" s="43">
        <f>SUMIFS(tbl_WIP[Amount],tbl_WIP[Job Number],$A163,tbl_WIP[Month],"&lt;&gt;",tbl_WIP[Month],"&lt;"&amp;$C$4,tbl_WIP[Defer Start],"")+SUMIF('Deferred Revenue'!$E$6:$E$607,$A163,'Deferred Revenue'!$P$6:$P$607)</f>
        <v/>
      </c>
      <c r="D163" s="43">
        <f>SUMIFS(tbl_WIP[Amount],tbl_WIP[Job Number],$A163,tbl_WIP[Month],$C$4,tbl_WIP[Defer Start],"")+SUMIF('Deferred Revenue'!$E$6:$E$607,$A163,'Deferred Revenue'!$Q$6:$Q$607)</f>
        <v/>
      </c>
      <c r="E163" s="43">
        <f>C163+D163</f>
        <v/>
      </c>
      <c r="F163" s="50">
        <f>IF(ROUND(C163,2)+ROUND(D163,2)=0,"","yes")</f>
        <v/>
      </c>
      <c r="G163" s="63" t="n"/>
      <c r="H163" s="43">
        <f>IF($G163="","",$E163-$G163)</f>
        <v/>
      </c>
    </row>
    <row r="164">
      <c r="A164" s="62" t="inlineStr">
        <is>
          <t>26051401</t>
        </is>
      </c>
      <c r="B164" s="62" t="inlineStr">
        <is>
          <t>ASX - Business Meeting - 27.5.26</t>
        </is>
      </c>
      <c r="C164" s="43">
        <f>SUMIFS(tbl_WIP[Amount],tbl_WIP[Job Number],$A164,tbl_WIP[Month],"&lt;&gt;",tbl_WIP[Month],"&lt;"&amp;$C$4,tbl_WIP[Defer Start],"")+SUMIF('Deferred Revenue'!$E$6:$E$607,$A164,'Deferred Revenue'!$P$6:$P$607)</f>
        <v/>
      </c>
      <c r="D164" s="43">
        <f>SUMIFS(tbl_WIP[Amount],tbl_WIP[Job Number],$A164,tbl_WIP[Month],$C$4,tbl_WIP[Defer Start],"")+SUMIF('Deferred Revenue'!$E$6:$E$607,$A164,'Deferred Revenue'!$Q$6:$Q$607)</f>
        <v/>
      </c>
      <c r="E164" s="43">
        <f>C164+D164</f>
        <v/>
      </c>
      <c r="F164" s="50">
        <f>IF(ROUND(C164,2)+ROUND(D164,2)=0,"","yes")</f>
        <v/>
      </c>
      <c r="G164" s="63" t="n"/>
      <c r="H164" s="43">
        <f>IF($G164="","",$E164-$G164)</f>
        <v/>
      </c>
    </row>
    <row r="165">
      <c r="A165" s="62" t="inlineStr">
        <is>
          <t>26051401V</t>
        </is>
      </c>
      <c r="B165" s="62" t="inlineStr">
        <is>
          <t>ASX - Business Meeting - 27.5.26</t>
        </is>
      </c>
      <c r="C165" s="43">
        <f>SUMIFS(tbl_WIP[Amount],tbl_WIP[Job Number],$A165,tbl_WIP[Month],"&lt;&gt;",tbl_WIP[Month],"&lt;"&amp;$C$4,tbl_WIP[Defer Start],"")+SUMIF('Deferred Revenue'!$E$6:$E$607,$A165,'Deferred Revenue'!$P$6:$P$607)</f>
        <v/>
      </c>
      <c r="D165" s="43">
        <f>SUMIFS(tbl_WIP[Amount],tbl_WIP[Job Number],$A165,tbl_WIP[Month],$C$4,tbl_WIP[Defer Start],"")+SUMIF('Deferred Revenue'!$E$6:$E$607,$A165,'Deferred Revenue'!$Q$6:$Q$607)</f>
        <v/>
      </c>
      <c r="E165" s="43">
        <f>C165+D165</f>
        <v/>
      </c>
      <c r="F165" s="50">
        <f>IF(ROUND(C165,2)+ROUND(D165,2)=0,"","yes")</f>
        <v/>
      </c>
      <c r="G165" s="63" t="n"/>
      <c r="H165" s="43">
        <f>IF($G165="","",$E165-$G165)</f>
        <v/>
      </c>
    </row>
    <row r="166">
      <c r="A166" s="62" t="inlineStr">
        <is>
          <t>26051402</t>
        </is>
      </c>
      <c r="B166" s="62" t="inlineStr">
        <is>
          <t>PwC Foldback Monitor Hire</t>
        </is>
      </c>
      <c r="C166" s="43">
        <f>SUMIFS(tbl_WIP[Amount],tbl_WIP[Job Number],$A166,tbl_WIP[Month],"&lt;&gt;",tbl_WIP[Month],"&lt;"&amp;$C$4,tbl_WIP[Defer Start],"")+SUMIF('Deferred Revenue'!$E$6:$E$607,$A166,'Deferred Revenue'!$P$6:$P$607)</f>
        <v/>
      </c>
      <c r="D166" s="43">
        <f>SUMIFS(tbl_WIP[Amount],tbl_WIP[Job Number],$A166,tbl_WIP[Month],$C$4,tbl_WIP[Defer Start],"")+SUMIF('Deferred Revenue'!$E$6:$E$607,$A166,'Deferred Revenue'!$Q$6:$Q$607)</f>
        <v/>
      </c>
      <c r="E166" s="43">
        <f>C166+D166</f>
        <v/>
      </c>
      <c r="F166" s="50">
        <f>IF(ROUND(C166,2)+ROUND(D166,2)=0,"","yes")</f>
        <v/>
      </c>
      <c r="G166" s="63" t="n"/>
      <c r="H166" s="43">
        <f>IF($G166="","",$E166-$G166)</f>
        <v/>
      </c>
    </row>
    <row r="167">
      <c r="A167" s="62" t="inlineStr">
        <is>
          <t>26051801</t>
        </is>
      </c>
      <c r="B167" s="62" t="inlineStr">
        <is>
          <t>PwC | Mel Studio Equipment</t>
        </is>
      </c>
      <c r="C167" s="43">
        <f>SUMIFS(tbl_WIP[Amount],tbl_WIP[Job Number],$A167,tbl_WIP[Month],"&lt;&gt;",tbl_WIP[Month],"&lt;"&amp;$C$4,tbl_WIP[Defer Start],"")+SUMIF('Deferred Revenue'!$E$6:$E$607,$A167,'Deferred Revenue'!$P$6:$P$607)</f>
        <v/>
      </c>
      <c r="D167" s="43">
        <f>SUMIFS(tbl_WIP[Amount],tbl_WIP[Job Number],$A167,tbl_WIP[Month],$C$4,tbl_WIP[Defer Start],"")+SUMIF('Deferred Revenue'!$E$6:$E$607,$A167,'Deferred Revenue'!$Q$6:$Q$607)</f>
        <v/>
      </c>
      <c r="E167" s="43">
        <f>C167+D167</f>
        <v/>
      </c>
      <c r="F167" s="50">
        <f>IF(ROUND(C167,2)+ROUND(D167,2)=0,"","yes")</f>
        <v/>
      </c>
      <c r="G167" s="63" t="n"/>
      <c r="H167" s="43">
        <f>IF($G167="","",$E167-$G167)</f>
        <v/>
      </c>
    </row>
    <row r="168">
      <c r="A168" s="62" t="inlineStr">
        <is>
          <t>26051803</t>
        </is>
      </c>
      <c r="B168" s="62" t="inlineStr">
        <is>
          <t>AVIT - Taronga ZOO AV Support - May 2026</t>
        </is>
      </c>
      <c r="C168" s="43">
        <f>SUMIFS(tbl_WIP[Amount],tbl_WIP[Job Number],$A168,tbl_WIP[Month],"&lt;&gt;",tbl_WIP[Month],"&lt;"&amp;$C$4,tbl_WIP[Defer Start],"")+SUMIF('Deferred Revenue'!$E$6:$E$607,$A168,'Deferred Revenue'!$P$6:$P$607)</f>
        <v/>
      </c>
      <c r="D168" s="43">
        <f>SUMIFS(tbl_WIP[Amount],tbl_WIP[Job Number],$A168,tbl_WIP[Month],$C$4,tbl_WIP[Defer Start],"")+SUMIF('Deferred Revenue'!$E$6:$E$607,$A168,'Deferred Revenue'!$Q$6:$Q$607)</f>
        <v/>
      </c>
      <c r="E168" s="43">
        <f>C168+D168</f>
        <v/>
      </c>
      <c r="F168" s="50">
        <f>IF(ROUND(C168,2)+ROUND(D168,2)=0,"","yes")</f>
        <v/>
      </c>
      <c r="G168" s="63" t="n"/>
      <c r="H168" s="43">
        <f>IF($G168="","",$E168-$G168)</f>
        <v/>
      </c>
    </row>
    <row r="169">
      <c r="A169" s="62" t="inlineStr">
        <is>
          <t>26052001</t>
        </is>
      </c>
      <c r="B169" s="62" t="inlineStr">
        <is>
          <t>MeetMagic - AI Behaviour Event - 29.5.26</t>
        </is>
      </c>
      <c r="C169" s="43">
        <f>SUMIFS(tbl_WIP[Amount],tbl_WIP[Job Number],$A169,tbl_WIP[Month],"&lt;&gt;",tbl_WIP[Month],"&lt;"&amp;$C$4,tbl_WIP[Defer Start],"")+SUMIF('Deferred Revenue'!$E$6:$E$607,$A169,'Deferred Revenue'!$P$6:$P$607)</f>
        <v/>
      </c>
      <c r="D169" s="43">
        <f>SUMIFS(tbl_WIP[Amount],tbl_WIP[Job Number],$A169,tbl_WIP[Month],$C$4,tbl_WIP[Defer Start],"")+SUMIF('Deferred Revenue'!$E$6:$E$607,$A169,'Deferred Revenue'!$Q$6:$Q$607)</f>
        <v/>
      </c>
      <c r="E169" s="43">
        <f>C169+D169</f>
        <v/>
      </c>
      <c r="F169" s="50">
        <f>IF(ROUND(C169,2)+ROUND(D169,2)=0,"","yes")</f>
        <v/>
      </c>
      <c r="G169" s="63" t="n"/>
      <c r="H169" s="43">
        <f>IF($G169="","",$E169-$G169)</f>
        <v/>
      </c>
    </row>
    <row r="170">
      <c r="A170" s="62" t="inlineStr">
        <is>
          <t>26052001V</t>
        </is>
      </c>
      <c r="B170" s="62" t="inlineStr">
        <is>
          <t>MeetMagic - AI Behaviour Event - 29.5.26</t>
        </is>
      </c>
      <c r="C170" s="43">
        <f>SUMIFS(tbl_WIP[Amount],tbl_WIP[Job Number],$A170,tbl_WIP[Month],"&lt;&gt;",tbl_WIP[Month],"&lt;"&amp;$C$4,tbl_WIP[Defer Start],"")+SUMIF('Deferred Revenue'!$E$6:$E$607,$A170,'Deferred Revenue'!$P$6:$P$607)</f>
        <v/>
      </c>
      <c r="D170" s="43">
        <f>SUMIFS(tbl_WIP[Amount],tbl_WIP[Job Number],$A170,tbl_WIP[Month],$C$4,tbl_WIP[Defer Start],"")+SUMIF('Deferred Revenue'!$E$6:$E$607,$A170,'Deferred Revenue'!$Q$6:$Q$607)</f>
        <v/>
      </c>
      <c r="E170" s="43">
        <f>C170+D170</f>
        <v/>
      </c>
      <c r="F170" s="50">
        <f>IF(ROUND(C170,2)+ROUND(D170,2)=0,"","yes")</f>
        <v/>
      </c>
      <c r="G170" s="63" t="n"/>
      <c r="H170" s="43">
        <f>IF($G170="","",$E170-$G170)</f>
        <v/>
      </c>
    </row>
    <row r="171">
      <c r="A171" s="62" t="inlineStr">
        <is>
          <t>26052002</t>
        </is>
      </c>
      <c r="B171" s="62" t="inlineStr">
        <is>
          <t>DTTL BNE L23 Training Rooms Upgrade</t>
        </is>
      </c>
      <c r="C171" s="43">
        <f>SUMIFS(tbl_WIP[Amount],tbl_WIP[Job Number],$A171,tbl_WIP[Month],"&lt;&gt;",tbl_WIP[Month],"&lt;"&amp;$C$4,tbl_WIP[Defer Start],"")+SUMIF('Deferred Revenue'!$E$6:$E$607,$A171,'Deferred Revenue'!$P$6:$P$607)</f>
        <v/>
      </c>
      <c r="D171" s="43">
        <f>SUMIFS(tbl_WIP[Amount],tbl_WIP[Job Number],$A171,tbl_WIP[Month],$C$4,tbl_WIP[Defer Start],"")+SUMIF('Deferred Revenue'!$E$6:$E$607,$A171,'Deferred Revenue'!$Q$6:$Q$607)</f>
        <v/>
      </c>
      <c r="E171" s="43">
        <f>C171+D171</f>
        <v/>
      </c>
      <c r="F171" s="50">
        <f>IF(ROUND(C171,2)+ROUND(D171,2)=0,"","yes")</f>
        <v/>
      </c>
      <c r="G171" s="63" t="n"/>
      <c r="H171" s="43">
        <f>IF($G171="","",$E171-$G171)</f>
        <v/>
      </c>
    </row>
    <row r="172">
      <c r="A172" s="62" t="inlineStr">
        <is>
          <t>26052003</t>
        </is>
      </c>
      <c r="B172" s="62" t="inlineStr">
        <is>
          <t>DTTL Mobile Commbox Displays</t>
        </is>
      </c>
      <c r="C172" s="43">
        <f>SUMIFS(tbl_WIP[Amount],tbl_WIP[Job Number],$A172,tbl_WIP[Month],"&lt;&gt;",tbl_WIP[Month],"&lt;"&amp;$C$4,tbl_WIP[Defer Start],"")+SUMIF('Deferred Revenue'!$E$6:$E$607,$A172,'Deferred Revenue'!$P$6:$P$607)</f>
        <v/>
      </c>
      <c r="D172" s="43">
        <f>SUMIFS(tbl_WIP[Amount],tbl_WIP[Job Number],$A172,tbl_WIP[Month],$C$4,tbl_WIP[Defer Start],"")+SUMIF('Deferred Revenue'!$E$6:$E$607,$A172,'Deferred Revenue'!$Q$6:$Q$607)</f>
        <v/>
      </c>
      <c r="E172" s="43">
        <f>C172+D172</f>
        <v/>
      </c>
      <c r="F172" s="50">
        <f>IF(ROUND(C172,2)+ROUND(D172,2)=0,"","yes")</f>
        <v/>
      </c>
      <c r="G172" s="63" t="n"/>
      <c r="H172" s="43">
        <f>IF($G172="","",$E172-$G172)</f>
        <v/>
      </c>
    </row>
    <row r="173">
      <c r="A173" s="62" t="inlineStr">
        <is>
          <t>26052004</t>
        </is>
      </c>
      <c r="B173" s="62" t="inlineStr">
        <is>
          <t>CBA - Live Event Support - June 2026</t>
        </is>
      </c>
      <c r="C173" s="43">
        <f>SUMIFS(tbl_WIP[Amount],tbl_WIP[Job Number],$A173,tbl_WIP[Month],"&lt;&gt;",tbl_WIP[Month],"&lt;"&amp;$C$4,tbl_WIP[Defer Start],"")+SUMIF('Deferred Revenue'!$E$6:$E$607,$A173,'Deferred Revenue'!$P$6:$P$607)</f>
        <v/>
      </c>
      <c r="D173" s="43">
        <f>SUMIFS(tbl_WIP[Amount],tbl_WIP[Job Number],$A173,tbl_WIP[Month],$C$4,tbl_WIP[Defer Start],"")+SUMIF('Deferred Revenue'!$E$6:$E$607,$A173,'Deferred Revenue'!$Q$6:$Q$607)</f>
        <v/>
      </c>
      <c r="E173" s="43">
        <f>C173+D173</f>
        <v/>
      </c>
      <c r="F173" s="50">
        <f>IF(ROUND(C173,2)+ROUND(D173,2)=0,"","yes")</f>
        <v/>
      </c>
      <c r="G173" s="63" t="n"/>
      <c r="H173" s="43">
        <f>IF($G173="","",$E173-$G173)</f>
        <v/>
      </c>
    </row>
    <row r="174">
      <c r="A174" s="62" t="inlineStr">
        <is>
          <t>26052101</t>
        </is>
      </c>
      <c r="B174" s="62" t="inlineStr">
        <is>
          <t>MeetMagic - Human AI Event Highlights</t>
        </is>
      </c>
      <c r="C174" s="43">
        <f>SUMIFS(tbl_WIP[Amount],tbl_WIP[Job Number],$A174,tbl_WIP[Month],"&lt;&gt;",tbl_WIP[Month],"&lt;"&amp;$C$4,tbl_WIP[Defer Start],"")+SUMIF('Deferred Revenue'!$E$6:$E$607,$A174,'Deferred Revenue'!$P$6:$P$607)</f>
        <v/>
      </c>
      <c r="D174" s="43">
        <f>SUMIFS(tbl_WIP[Amount],tbl_WIP[Job Number],$A174,tbl_WIP[Month],$C$4,tbl_WIP[Defer Start],"")+SUMIF('Deferred Revenue'!$E$6:$E$607,$A174,'Deferred Revenue'!$Q$6:$Q$607)</f>
        <v/>
      </c>
      <c r="E174" s="43">
        <f>C174+D174</f>
        <v/>
      </c>
      <c r="F174" s="50">
        <f>IF(ROUND(C174,2)+ROUND(D174,2)=0,"","yes")</f>
        <v/>
      </c>
      <c r="G174" s="63" t="n"/>
      <c r="H174" s="43">
        <f>IF($G174="","",$E174-$G174)</f>
        <v/>
      </c>
    </row>
    <row r="175">
      <c r="A175" s="62" t="inlineStr">
        <is>
          <t>26052102</t>
        </is>
      </c>
      <c r="B175" s="62" t="inlineStr">
        <is>
          <t>HP-D3 | Austrac Phone Mods</t>
        </is>
      </c>
      <c r="C175" s="43">
        <f>SUMIFS(tbl_WIP[Amount],tbl_WIP[Job Number],$A175,tbl_WIP[Month],"&lt;&gt;",tbl_WIP[Month],"&lt;"&amp;$C$4,tbl_WIP[Defer Start],"")+SUMIF('Deferred Revenue'!$E$6:$E$607,$A175,'Deferred Revenue'!$P$6:$P$607)</f>
        <v/>
      </c>
      <c r="D175" s="43">
        <f>SUMIFS(tbl_WIP[Amount],tbl_WIP[Job Number],$A175,tbl_WIP[Month],$C$4,tbl_WIP[Defer Start],"")+SUMIF('Deferred Revenue'!$E$6:$E$607,$A175,'Deferred Revenue'!$Q$6:$Q$607)</f>
        <v/>
      </c>
      <c r="E175" s="43">
        <f>C175+D175</f>
        <v/>
      </c>
      <c r="F175" s="50">
        <f>IF(ROUND(C175,2)+ROUND(D175,2)=0,"","yes")</f>
        <v/>
      </c>
      <c r="G175" s="63" t="n"/>
      <c r="H175" s="43">
        <f>IF($G175="","",$E175-$G175)</f>
        <v/>
      </c>
    </row>
    <row r="176">
      <c r="A176" s="62" t="inlineStr">
        <is>
          <t>26052103</t>
        </is>
      </c>
      <c r="B176" s="62" t="inlineStr">
        <is>
          <t>Ventia - LTI FY26 Video Record</t>
        </is>
      </c>
      <c r="C176" s="43">
        <f>SUMIFS(tbl_WIP[Amount],tbl_WIP[Job Number],$A176,tbl_WIP[Month],"&lt;&gt;",tbl_WIP[Month],"&lt;"&amp;$C$4,tbl_WIP[Defer Start],"")+SUMIF('Deferred Revenue'!$E$6:$E$607,$A176,'Deferred Revenue'!$P$6:$P$607)</f>
        <v/>
      </c>
      <c r="D176" s="43">
        <f>SUMIFS(tbl_WIP[Amount],tbl_WIP[Job Number],$A176,tbl_WIP[Month],$C$4,tbl_WIP[Defer Start],"")+SUMIF('Deferred Revenue'!$E$6:$E$607,$A176,'Deferred Revenue'!$Q$6:$Q$607)</f>
        <v/>
      </c>
      <c r="E176" s="43">
        <f>C176+D176</f>
        <v/>
      </c>
      <c r="F176" s="50">
        <f>IF(ROUND(C176,2)+ROUND(D176,2)=0,"","yes")</f>
        <v/>
      </c>
      <c r="G176" s="63" t="n"/>
      <c r="H176" s="43">
        <f>IF($G176="","",$E176-$G176)</f>
        <v/>
      </c>
    </row>
    <row r="177">
      <c r="A177" s="62" t="inlineStr">
        <is>
          <t>26052501V</t>
        </is>
      </c>
      <c r="B177" s="62" t="inlineStr">
        <is>
          <t>AVIT - Taronga AV Event Support - 26-27.5.26</t>
        </is>
      </c>
      <c r="C177" s="43">
        <f>SUMIFS(tbl_WIP[Amount],tbl_WIP[Job Number],$A177,tbl_WIP[Month],"&lt;&gt;",tbl_WIP[Month],"&lt;"&amp;$C$4,tbl_WIP[Defer Start],"")+SUMIF('Deferred Revenue'!$E$6:$E$607,$A177,'Deferred Revenue'!$P$6:$P$607)</f>
        <v/>
      </c>
      <c r="D177" s="43">
        <f>SUMIFS(tbl_WIP[Amount],tbl_WIP[Job Number],$A177,tbl_WIP[Month],$C$4,tbl_WIP[Defer Start],"")+SUMIF('Deferred Revenue'!$E$6:$E$607,$A177,'Deferred Revenue'!$Q$6:$Q$607)</f>
        <v/>
      </c>
      <c r="E177" s="43">
        <f>C177+D177</f>
        <v/>
      </c>
      <c r="F177" s="50">
        <f>IF(ROUND(C177,2)+ROUND(D177,2)=0,"","yes")</f>
        <v/>
      </c>
      <c r="G177" s="63" t="n"/>
      <c r="H177" s="43">
        <f>IF($G177="","",$E177-$G177)</f>
        <v/>
      </c>
    </row>
    <row r="178">
      <c r="A178" s="62" t="inlineStr">
        <is>
          <t>26052502</t>
        </is>
      </c>
      <c r="B178" s="62" t="inlineStr">
        <is>
          <t>AVIT - Taronga AV Event Support 4-5.06.26</t>
        </is>
      </c>
      <c r="C178" s="43">
        <f>SUMIFS(tbl_WIP[Amount],tbl_WIP[Job Number],$A178,tbl_WIP[Month],"&lt;&gt;",tbl_WIP[Month],"&lt;"&amp;$C$4,tbl_WIP[Defer Start],"")+SUMIF('Deferred Revenue'!$E$6:$E$607,$A178,'Deferred Revenue'!$P$6:$P$607)</f>
        <v/>
      </c>
      <c r="D178" s="43">
        <f>SUMIFS(tbl_WIP[Amount],tbl_WIP[Job Number],$A178,tbl_WIP[Month],$C$4,tbl_WIP[Defer Start],"")+SUMIF('Deferred Revenue'!$E$6:$E$607,$A178,'Deferred Revenue'!$Q$6:$Q$607)</f>
        <v/>
      </c>
      <c r="E178" s="43">
        <f>C178+D178</f>
        <v/>
      </c>
      <c r="F178" s="50">
        <f>IF(ROUND(C178,2)+ROUND(D178,2)=0,"","yes")</f>
        <v/>
      </c>
      <c r="G178" s="63" t="n"/>
      <c r="H178" s="43">
        <f>IF($G178="","",$E178-$G178)</f>
        <v/>
      </c>
    </row>
    <row r="179">
      <c r="A179" s="62" t="inlineStr">
        <is>
          <t>26052502V</t>
        </is>
      </c>
      <c r="B179" s="62" t="inlineStr">
        <is>
          <t>AVIT - Taronga AV Event Support 4-5.06.26</t>
        </is>
      </c>
      <c r="C179" s="43">
        <f>SUMIFS(tbl_WIP[Amount],tbl_WIP[Job Number],$A179,tbl_WIP[Month],"&lt;&gt;",tbl_WIP[Month],"&lt;"&amp;$C$4,tbl_WIP[Defer Start],"")+SUMIF('Deferred Revenue'!$E$6:$E$607,$A179,'Deferred Revenue'!$P$6:$P$607)</f>
        <v/>
      </c>
      <c r="D179" s="43">
        <f>SUMIFS(tbl_WIP[Amount],tbl_WIP[Job Number],$A179,tbl_WIP[Month],$C$4,tbl_WIP[Defer Start],"")+SUMIF('Deferred Revenue'!$E$6:$E$607,$A179,'Deferred Revenue'!$Q$6:$Q$607)</f>
        <v/>
      </c>
      <c r="E179" s="43">
        <f>C179+D179</f>
        <v/>
      </c>
      <c r="F179" s="50">
        <f>IF(ROUND(C179,2)+ROUND(D179,2)=0,"","yes")</f>
        <v/>
      </c>
      <c r="G179" s="63" t="n"/>
      <c r="H179" s="43">
        <f>IF($G179="","",$E179-$G179)</f>
        <v/>
      </c>
    </row>
    <row r="180">
      <c r="A180" s="62" t="inlineStr">
        <is>
          <t>26052602</t>
        </is>
      </c>
      <c r="B180" s="62" t="inlineStr">
        <is>
          <t>DTTL MEL Display Supply</t>
        </is>
      </c>
      <c r="C180" s="43">
        <f>SUMIFS(tbl_WIP[Amount],tbl_WIP[Job Number],$A180,tbl_WIP[Month],"&lt;&gt;",tbl_WIP[Month],"&lt;"&amp;$C$4,tbl_WIP[Defer Start],"")+SUMIF('Deferred Revenue'!$E$6:$E$607,$A180,'Deferred Revenue'!$P$6:$P$607)</f>
        <v/>
      </c>
      <c r="D180" s="43">
        <f>SUMIFS(tbl_WIP[Amount],tbl_WIP[Job Number],$A180,tbl_WIP[Month],$C$4,tbl_WIP[Defer Start],"")+SUMIF('Deferred Revenue'!$E$6:$E$607,$A180,'Deferred Revenue'!$Q$6:$Q$607)</f>
        <v/>
      </c>
      <c r="E180" s="43">
        <f>C180+D180</f>
        <v/>
      </c>
      <c r="F180" s="50">
        <f>IF(ROUND(C180,2)+ROUND(D180,2)=0,"","yes")</f>
        <v/>
      </c>
      <c r="G180" s="63" t="n"/>
      <c r="H180" s="43">
        <f>IF($G180="","",$E180-$G180)</f>
        <v/>
      </c>
    </row>
    <row r="181">
      <c r="A181" s="62" t="inlineStr">
        <is>
          <t>26052701</t>
        </is>
      </c>
      <c r="B181" s="62" t="inlineStr">
        <is>
          <t>Aware | SYD 28.06 Equipment</t>
        </is>
      </c>
      <c r="C181" s="43">
        <f>SUMIFS(tbl_WIP[Amount],tbl_WIP[Job Number],$A181,tbl_WIP[Month],"&lt;&gt;",tbl_WIP[Month],"&lt;"&amp;$C$4,tbl_WIP[Defer Start],"")+SUMIF('Deferred Revenue'!$E$6:$E$607,$A181,'Deferred Revenue'!$P$6:$P$607)</f>
        <v/>
      </c>
      <c r="D181" s="43">
        <f>SUMIFS(tbl_WIP[Amount],tbl_WIP[Job Number],$A181,tbl_WIP[Month],$C$4,tbl_WIP[Defer Start],"")+SUMIF('Deferred Revenue'!$E$6:$E$607,$A181,'Deferred Revenue'!$Q$6:$Q$607)</f>
        <v/>
      </c>
      <c r="E181" s="43">
        <f>C181+D181</f>
        <v/>
      </c>
      <c r="F181" s="50">
        <f>IF(ROUND(C181,2)+ROUND(D181,2)=0,"","yes")</f>
        <v/>
      </c>
      <c r="G181" s="63" t="n"/>
      <c r="H181" s="43">
        <f>IF($G181="","",$E181-$G181)</f>
        <v/>
      </c>
    </row>
    <row r="182">
      <c r="A182" s="62" t="inlineStr">
        <is>
          <t>26052702</t>
        </is>
      </c>
      <c r="B182" s="62" t="inlineStr">
        <is>
          <t>ASX - FYR - 13.8.26</t>
        </is>
      </c>
      <c r="C182" s="43">
        <f>SUMIFS(tbl_WIP[Amount],tbl_WIP[Job Number],$A182,tbl_WIP[Month],"&lt;&gt;",tbl_WIP[Month],"&lt;"&amp;$C$4,tbl_WIP[Defer Start],"")+SUMIF('Deferred Revenue'!$E$6:$E$607,$A182,'Deferred Revenue'!$P$6:$P$607)</f>
        <v/>
      </c>
      <c r="D182" s="43">
        <f>SUMIFS(tbl_WIP[Amount],tbl_WIP[Job Number],$A182,tbl_WIP[Month],$C$4,tbl_WIP[Defer Start],"")+SUMIF('Deferred Revenue'!$E$6:$E$607,$A182,'Deferred Revenue'!$Q$6:$Q$607)</f>
        <v/>
      </c>
      <c r="E182" s="43">
        <f>C182+D182</f>
        <v/>
      </c>
      <c r="F182" s="50">
        <f>IF(ROUND(C182,2)+ROUND(D182,2)=0,"","yes")</f>
        <v/>
      </c>
      <c r="G182" s="63" t="n"/>
      <c r="H182" s="43">
        <f>IF($G182="","",$E182-$G182)</f>
        <v/>
      </c>
    </row>
    <row r="183">
      <c r="A183" s="62" t="inlineStr">
        <is>
          <t>26052702V</t>
        </is>
      </c>
      <c r="B183" s="62" t="inlineStr">
        <is>
          <t>ASX - FYR - 13.8.26</t>
        </is>
      </c>
      <c r="C183" s="43">
        <f>SUMIFS(tbl_WIP[Amount],tbl_WIP[Job Number],$A183,tbl_WIP[Month],"&lt;&gt;",tbl_WIP[Month],"&lt;"&amp;$C$4,tbl_WIP[Defer Start],"")+SUMIF('Deferred Revenue'!$E$6:$E$607,$A183,'Deferred Revenue'!$P$6:$P$607)</f>
        <v/>
      </c>
      <c r="D183" s="43">
        <f>SUMIFS(tbl_WIP[Amount],tbl_WIP[Job Number],$A183,tbl_WIP[Month],$C$4,tbl_WIP[Defer Start],"")+SUMIF('Deferred Revenue'!$E$6:$E$607,$A183,'Deferred Revenue'!$Q$6:$Q$607)</f>
        <v/>
      </c>
      <c r="E183" s="43">
        <f>C183+D183</f>
        <v/>
      </c>
      <c r="F183" s="50">
        <f>IF(ROUND(C183,2)+ROUND(D183,2)=0,"","yes")</f>
        <v/>
      </c>
      <c r="G183" s="63" t="n"/>
      <c r="H183" s="43">
        <f>IF($G183="","",$E183-$G183)</f>
        <v/>
      </c>
    </row>
    <row r="184">
      <c r="A184" s="62" t="inlineStr">
        <is>
          <t>26052703</t>
        </is>
      </c>
      <c r="B184" s="62" t="inlineStr">
        <is>
          <t>Microsoft Town Hall - 21.7.26</t>
        </is>
      </c>
      <c r="C184" s="43">
        <f>SUMIFS(tbl_WIP[Amount],tbl_WIP[Job Number],$A184,tbl_WIP[Month],"&lt;&gt;",tbl_WIP[Month],"&lt;"&amp;$C$4,tbl_WIP[Defer Start],"")+SUMIF('Deferred Revenue'!$E$6:$E$607,$A184,'Deferred Revenue'!$P$6:$P$607)</f>
        <v/>
      </c>
      <c r="D184" s="43">
        <f>SUMIFS(tbl_WIP[Amount],tbl_WIP[Job Number],$A184,tbl_WIP[Month],$C$4,tbl_WIP[Defer Start],"")+SUMIF('Deferred Revenue'!$E$6:$E$607,$A184,'Deferred Revenue'!$Q$6:$Q$607)</f>
        <v/>
      </c>
      <c r="E184" s="43">
        <f>C184+D184</f>
        <v/>
      </c>
      <c r="F184" s="50">
        <f>IF(ROUND(C184,2)+ROUND(D184,2)=0,"","yes")</f>
        <v/>
      </c>
      <c r="G184" s="63" t="n"/>
      <c r="H184" s="43">
        <f>IF($G184="","",$E184-$G184)</f>
        <v/>
      </c>
    </row>
    <row r="185">
      <c r="A185" s="62" t="inlineStr">
        <is>
          <t>26052703V</t>
        </is>
      </c>
      <c r="B185" s="62" t="inlineStr">
        <is>
          <t>Microsoft Town Hall - 21.7.26</t>
        </is>
      </c>
      <c r="C185" s="43">
        <f>SUMIFS(tbl_WIP[Amount],tbl_WIP[Job Number],$A185,tbl_WIP[Month],"&lt;&gt;",tbl_WIP[Month],"&lt;"&amp;$C$4,tbl_WIP[Defer Start],"")+SUMIF('Deferred Revenue'!$E$6:$E$607,$A185,'Deferred Revenue'!$P$6:$P$607)</f>
        <v/>
      </c>
      <c r="D185" s="43">
        <f>SUMIFS(tbl_WIP[Amount],tbl_WIP[Job Number],$A185,tbl_WIP[Month],$C$4,tbl_WIP[Defer Start],"")+SUMIF('Deferred Revenue'!$E$6:$E$607,$A185,'Deferred Revenue'!$Q$6:$Q$607)</f>
        <v/>
      </c>
      <c r="E185" s="43">
        <f>C185+D185</f>
        <v/>
      </c>
      <c r="F185" s="50">
        <f>IF(ROUND(C185,2)+ROUND(D185,2)=0,"","yes")</f>
        <v/>
      </c>
      <c r="G185" s="63" t="n"/>
      <c r="H185" s="43">
        <f>IF($G185="","",$E185-$G185)</f>
        <v/>
      </c>
    </row>
    <row r="186">
      <c r="A186" s="62" t="inlineStr">
        <is>
          <t>26052704</t>
        </is>
      </c>
      <c r="B186" s="62" t="inlineStr">
        <is>
          <t>AVIT - Pinsent Masons Technician Callout</t>
        </is>
      </c>
      <c r="C186" s="43">
        <f>SUMIFS(tbl_WIP[Amount],tbl_WIP[Job Number],$A186,tbl_WIP[Month],"&lt;&gt;",tbl_WIP[Month],"&lt;"&amp;$C$4,tbl_WIP[Defer Start],"")+SUMIF('Deferred Revenue'!$E$6:$E$607,$A186,'Deferred Revenue'!$P$6:$P$607)</f>
        <v/>
      </c>
      <c r="D186" s="43">
        <f>SUMIFS(tbl_WIP[Amount],tbl_WIP[Job Number],$A186,tbl_WIP[Month],$C$4,tbl_WIP[Defer Start],"")+SUMIF('Deferred Revenue'!$E$6:$E$607,$A186,'Deferred Revenue'!$Q$6:$Q$607)</f>
        <v/>
      </c>
      <c r="E186" s="43">
        <f>C186+D186</f>
        <v/>
      </c>
      <c r="F186" s="50">
        <f>IF(ROUND(C186,2)+ROUND(D186,2)=0,"","yes")</f>
        <v/>
      </c>
      <c r="G186" s="63" t="n"/>
      <c r="H186" s="43">
        <f>IF($G186="","",$E186-$G186)</f>
        <v/>
      </c>
    </row>
    <row r="187">
      <c r="A187" s="62" t="inlineStr">
        <is>
          <t>26052901</t>
        </is>
      </c>
      <c r="B187" s="62" t="inlineStr">
        <is>
          <t>Causeway Productions - Stool Hire - 1.6.27</t>
        </is>
      </c>
      <c r="C187" s="43">
        <f>SUMIFS(tbl_WIP[Amount],tbl_WIP[Job Number],$A187,tbl_WIP[Month],"&lt;&gt;",tbl_WIP[Month],"&lt;"&amp;$C$4,tbl_WIP[Defer Start],"")+SUMIF('Deferred Revenue'!$E$6:$E$607,$A187,'Deferred Revenue'!$P$6:$P$607)</f>
        <v/>
      </c>
      <c r="D187" s="43">
        <f>SUMIFS(tbl_WIP[Amount],tbl_WIP[Job Number],$A187,tbl_WIP[Month],$C$4,tbl_WIP[Defer Start],"")+SUMIF('Deferred Revenue'!$E$6:$E$607,$A187,'Deferred Revenue'!$Q$6:$Q$607)</f>
        <v/>
      </c>
      <c r="E187" s="43">
        <f>C187+D187</f>
        <v/>
      </c>
      <c r="F187" s="50">
        <f>IF(ROUND(C187,2)+ROUND(D187,2)=0,"","yes")</f>
        <v/>
      </c>
      <c r="G187" s="63" t="n"/>
      <c r="H187" s="43">
        <f>IF($G187="","",$E187-$G187)</f>
        <v/>
      </c>
    </row>
    <row r="188">
      <c r="A188" s="62" t="inlineStr">
        <is>
          <t>26052901V</t>
        </is>
      </c>
      <c r="B188" s="62" t="inlineStr">
        <is>
          <t>Causeway Productions - Stool Hire - 1.6.27</t>
        </is>
      </c>
      <c r="C188" s="43">
        <f>SUMIFS(tbl_WIP[Amount],tbl_WIP[Job Number],$A188,tbl_WIP[Month],"&lt;&gt;",tbl_WIP[Month],"&lt;"&amp;$C$4,tbl_WIP[Defer Start],"")+SUMIF('Deferred Revenue'!$E$6:$E$607,$A188,'Deferred Revenue'!$P$6:$P$607)</f>
        <v/>
      </c>
      <c r="D188" s="43">
        <f>SUMIFS(tbl_WIP[Amount],tbl_WIP[Job Number],$A188,tbl_WIP[Month],$C$4,tbl_WIP[Defer Start],"")+SUMIF('Deferred Revenue'!$E$6:$E$607,$A188,'Deferred Revenue'!$Q$6:$Q$607)</f>
        <v/>
      </c>
      <c r="E188" s="43">
        <f>C188+D188</f>
        <v/>
      </c>
      <c r="F188" s="50">
        <f>IF(ROUND(C188,2)+ROUND(D188,2)=0,"","yes")</f>
        <v/>
      </c>
      <c r="G188" s="63" t="n"/>
      <c r="H188" s="43">
        <f>IF($G188="","",$E188-$G188)</f>
        <v/>
      </c>
    </row>
    <row r="189">
      <c r="A189" s="62" t="inlineStr">
        <is>
          <t>2605401</t>
        </is>
      </c>
      <c r="B189" s="62" t="inlineStr">
        <is>
          <t>AGL FYR - Investor Briefing - 12.8.26</t>
        </is>
      </c>
      <c r="C189" s="43">
        <f>SUMIFS(tbl_WIP[Amount],tbl_WIP[Job Number],$A189,tbl_WIP[Month],"&lt;&gt;",tbl_WIP[Month],"&lt;"&amp;$C$4,tbl_WIP[Defer Start],"")+SUMIF('Deferred Revenue'!$E$6:$E$607,$A189,'Deferred Revenue'!$P$6:$P$607)</f>
        <v/>
      </c>
      <c r="D189" s="43">
        <f>SUMIFS(tbl_WIP[Amount],tbl_WIP[Job Number],$A189,tbl_WIP[Month],$C$4,tbl_WIP[Defer Start],"")+SUMIF('Deferred Revenue'!$E$6:$E$607,$A189,'Deferred Revenue'!$Q$6:$Q$607)</f>
        <v/>
      </c>
      <c r="E189" s="43">
        <f>C189+D189</f>
        <v/>
      </c>
      <c r="F189" s="50">
        <f>IF(ROUND(C189,2)+ROUND(D189,2)=0,"","yes")</f>
        <v/>
      </c>
      <c r="G189" s="63" t="n"/>
      <c r="H189" s="43">
        <f>IF($G189="","",$E189-$G189)</f>
        <v/>
      </c>
    </row>
    <row r="190">
      <c r="A190" s="62" t="inlineStr">
        <is>
          <t>2605401V</t>
        </is>
      </c>
      <c r="B190" s="62" t="inlineStr">
        <is>
          <t>AGL FYR - Investor Briefing - 12.8.26</t>
        </is>
      </c>
      <c r="C190" s="43">
        <f>SUMIFS(tbl_WIP[Amount],tbl_WIP[Job Number],$A190,tbl_WIP[Month],"&lt;&gt;",tbl_WIP[Month],"&lt;"&amp;$C$4,tbl_WIP[Defer Start],"")+SUMIF('Deferred Revenue'!$E$6:$E$607,$A190,'Deferred Revenue'!$P$6:$P$607)</f>
        <v/>
      </c>
      <c r="D190" s="43">
        <f>SUMIFS(tbl_WIP[Amount],tbl_WIP[Job Number],$A190,tbl_WIP[Month],$C$4,tbl_WIP[Defer Start],"")+SUMIF('Deferred Revenue'!$E$6:$E$607,$A190,'Deferred Revenue'!$Q$6:$Q$607)</f>
        <v/>
      </c>
      <c r="E190" s="43">
        <f>C190+D190</f>
        <v/>
      </c>
      <c r="F190" s="50">
        <f>IF(ROUND(C190,2)+ROUND(D190,2)=0,"","yes")</f>
        <v/>
      </c>
      <c r="G190" s="63" t="n"/>
      <c r="H190" s="43">
        <f>IF($G190="","",$E190-$G190)</f>
        <v/>
      </c>
    </row>
    <row r="191">
      <c r="A191" s="62" t="inlineStr">
        <is>
          <t>2605402</t>
        </is>
      </c>
      <c r="B191" s="62" t="inlineStr">
        <is>
          <t>AGL FYR - Employee Town Hall - 12.8.26</t>
        </is>
      </c>
      <c r="C191" s="43">
        <f>SUMIFS(tbl_WIP[Amount],tbl_WIP[Job Number],$A191,tbl_WIP[Month],"&lt;&gt;",tbl_WIP[Month],"&lt;"&amp;$C$4,tbl_WIP[Defer Start],"")+SUMIF('Deferred Revenue'!$E$6:$E$607,$A191,'Deferred Revenue'!$P$6:$P$607)</f>
        <v/>
      </c>
      <c r="D191" s="43">
        <f>SUMIFS(tbl_WIP[Amount],tbl_WIP[Job Number],$A191,tbl_WIP[Month],$C$4,tbl_WIP[Defer Start],"")+SUMIF('Deferred Revenue'!$E$6:$E$607,$A191,'Deferred Revenue'!$Q$6:$Q$607)</f>
        <v/>
      </c>
      <c r="E191" s="43">
        <f>C191+D191</f>
        <v/>
      </c>
      <c r="F191" s="50">
        <f>IF(ROUND(C191,2)+ROUND(D191,2)=0,"","yes")</f>
        <v/>
      </c>
      <c r="G191" s="63" t="n"/>
      <c r="H191" s="43">
        <f>IF($G191="","",$E191-$G191)</f>
        <v/>
      </c>
    </row>
    <row r="192">
      <c r="A192" s="62" t="inlineStr">
        <is>
          <t>2605402V</t>
        </is>
      </c>
      <c r="B192" s="62" t="inlineStr">
        <is>
          <t>AGL FYR - Employee Town Hall - 12.8.26</t>
        </is>
      </c>
      <c r="C192" s="43">
        <f>SUMIFS(tbl_WIP[Amount],tbl_WIP[Job Number],$A192,tbl_WIP[Month],"&lt;&gt;",tbl_WIP[Month],"&lt;"&amp;$C$4,tbl_WIP[Defer Start],"")+SUMIF('Deferred Revenue'!$E$6:$E$607,$A192,'Deferred Revenue'!$P$6:$P$607)</f>
        <v/>
      </c>
      <c r="D192" s="43">
        <f>SUMIFS(tbl_WIP[Amount],tbl_WIP[Job Number],$A192,tbl_WIP[Month],$C$4,tbl_WIP[Defer Start],"")+SUMIF('Deferred Revenue'!$E$6:$E$607,$A192,'Deferred Revenue'!$Q$6:$Q$607)</f>
        <v/>
      </c>
      <c r="E192" s="43">
        <f>C192+D192</f>
        <v/>
      </c>
      <c r="F192" s="50">
        <f>IF(ROUND(C192,2)+ROUND(D192,2)=0,"","yes")</f>
        <v/>
      </c>
      <c r="G192" s="63" t="n"/>
      <c r="H192" s="43">
        <f>IF($G192="","",$E192-$G192)</f>
        <v/>
      </c>
    </row>
    <row r="193">
      <c r="A193" s="62" t="inlineStr">
        <is>
          <t>2605403</t>
        </is>
      </c>
      <c r="B193" s="62" t="inlineStr">
        <is>
          <t>ARUP - Oves Awards - 23.7.26</t>
        </is>
      </c>
      <c r="C193" s="43">
        <f>SUMIFS(tbl_WIP[Amount],tbl_WIP[Job Number],$A193,tbl_WIP[Month],"&lt;&gt;",tbl_WIP[Month],"&lt;"&amp;$C$4,tbl_WIP[Defer Start],"")+SUMIF('Deferred Revenue'!$E$6:$E$607,$A193,'Deferred Revenue'!$P$6:$P$607)</f>
        <v/>
      </c>
      <c r="D193" s="43">
        <f>SUMIFS(tbl_WIP[Amount],tbl_WIP[Job Number],$A193,tbl_WIP[Month],$C$4,tbl_WIP[Defer Start],"")+SUMIF('Deferred Revenue'!$E$6:$E$607,$A193,'Deferred Revenue'!$Q$6:$Q$607)</f>
        <v/>
      </c>
      <c r="E193" s="43">
        <f>C193+D193</f>
        <v/>
      </c>
      <c r="F193" s="50">
        <f>IF(ROUND(C193,2)+ROUND(D193,2)=0,"","yes")</f>
        <v/>
      </c>
      <c r="G193" s="63" t="n"/>
      <c r="H193" s="43">
        <f>IF($G193="","",$E193-$G193)</f>
        <v/>
      </c>
    </row>
    <row r="194">
      <c r="A194" s="62" t="inlineStr">
        <is>
          <t>2605403V</t>
        </is>
      </c>
      <c r="B194" s="62" t="inlineStr">
        <is>
          <t>ARUP - Oves Awards - 23.7.26</t>
        </is>
      </c>
      <c r="C194" s="43">
        <f>SUMIFS(tbl_WIP[Amount],tbl_WIP[Job Number],$A194,tbl_WIP[Month],"&lt;&gt;",tbl_WIP[Month],"&lt;"&amp;$C$4,tbl_WIP[Defer Start],"")+SUMIF('Deferred Revenue'!$E$6:$E$607,$A194,'Deferred Revenue'!$P$6:$P$607)</f>
        <v/>
      </c>
      <c r="D194" s="43">
        <f>SUMIFS(tbl_WIP[Amount],tbl_WIP[Job Number],$A194,tbl_WIP[Month],$C$4,tbl_WIP[Defer Start],"")+SUMIF('Deferred Revenue'!$E$6:$E$607,$A194,'Deferred Revenue'!$Q$6:$Q$607)</f>
        <v/>
      </c>
      <c r="E194" s="43">
        <f>C194+D194</f>
        <v/>
      </c>
      <c r="F194" s="50">
        <f>IF(ROUND(C194,2)+ROUND(D194,2)=0,"","yes")</f>
        <v/>
      </c>
      <c r="G194" s="63" t="n"/>
      <c r="H194" s="43">
        <f>IF($G194="","",$E194-$G194)</f>
        <v/>
      </c>
    </row>
    <row r="195">
      <c r="A195" s="62" t="inlineStr">
        <is>
          <t>2605501</t>
        </is>
      </c>
      <c r="B195" s="62" t="inlineStr">
        <is>
          <t>DTTL Tech Support AWS AP AI Symposium</t>
        </is>
      </c>
      <c r="C195" s="43">
        <f>SUMIFS(tbl_WIP[Amount],tbl_WIP[Job Number],$A195,tbl_WIP[Month],"&lt;&gt;",tbl_WIP[Month],"&lt;"&amp;$C$4,tbl_WIP[Defer Start],"")+SUMIF('Deferred Revenue'!$E$6:$E$607,$A195,'Deferred Revenue'!$P$6:$P$607)</f>
        <v/>
      </c>
      <c r="D195" s="43">
        <f>SUMIFS(tbl_WIP[Amount],tbl_WIP[Job Number],$A195,tbl_WIP[Month],$C$4,tbl_WIP[Defer Start],"")+SUMIF('Deferred Revenue'!$E$6:$E$607,$A195,'Deferred Revenue'!$Q$6:$Q$607)</f>
        <v/>
      </c>
      <c r="E195" s="43">
        <f>C195+D195</f>
        <v/>
      </c>
      <c r="F195" s="50">
        <f>IF(ROUND(C195,2)+ROUND(D195,2)=0,"","yes")</f>
        <v/>
      </c>
      <c r="G195" s="63" t="n"/>
      <c r="H195" s="43">
        <f>IF($G195="","",$E195-$G195)</f>
        <v/>
      </c>
    </row>
    <row r="196">
      <c r="A196" s="62" t="inlineStr">
        <is>
          <t>2605502</t>
        </is>
      </c>
      <c r="B196" s="62" t="inlineStr">
        <is>
          <t>CBA BNE - Event Support - 13.5.26</t>
        </is>
      </c>
      <c r="C196" s="43">
        <f>SUMIFS(tbl_WIP[Amount],tbl_WIP[Job Number],$A196,tbl_WIP[Month],"&lt;&gt;",tbl_WIP[Month],"&lt;"&amp;$C$4,tbl_WIP[Defer Start],"")+SUMIF('Deferred Revenue'!$E$6:$E$607,$A196,'Deferred Revenue'!$P$6:$P$607)</f>
        <v/>
      </c>
      <c r="D196" s="43">
        <f>SUMIFS(tbl_WIP[Amount],tbl_WIP[Job Number],$A196,tbl_WIP[Month],$C$4,tbl_WIP[Defer Start],"")+SUMIF('Deferred Revenue'!$E$6:$E$607,$A196,'Deferred Revenue'!$Q$6:$Q$607)</f>
        <v/>
      </c>
      <c r="E196" s="43">
        <f>C196+D196</f>
        <v/>
      </c>
      <c r="F196" s="50">
        <f>IF(ROUND(C196,2)+ROUND(D196,2)=0,"","yes")</f>
        <v/>
      </c>
      <c r="G196" s="63" t="n"/>
      <c r="H196" s="43">
        <f>IF($G196="","",$E196-$G196)</f>
        <v/>
      </c>
    </row>
    <row r="197">
      <c r="A197" s="62" t="inlineStr">
        <is>
          <t>2605502V</t>
        </is>
      </c>
      <c r="B197" s="62" t="inlineStr">
        <is>
          <t>CBA BNE - Event Support - 13.5.26</t>
        </is>
      </c>
      <c r="C197" s="43">
        <f>SUMIFS(tbl_WIP[Amount],tbl_WIP[Job Number],$A197,tbl_WIP[Month],"&lt;&gt;",tbl_WIP[Month],"&lt;"&amp;$C$4,tbl_WIP[Defer Start],"")+SUMIF('Deferred Revenue'!$E$6:$E$607,$A197,'Deferred Revenue'!$P$6:$P$607)</f>
        <v/>
      </c>
      <c r="D197" s="43">
        <f>SUMIFS(tbl_WIP[Amount],tbl_WIP[Job Number],$A197,tbl_WIP[Month],$C$4,tbl_WIP[Defer Start],"")+SUMIF('Deferred Revenue'!$E$6:$E$607,$A197,'Deferred Revenue'!$Q$6:$Q$607)</f>
        <v/>
      </c>
      <c r="E197" s="43">
        <f>C197+D197</f>
        <v/>
      </c>
      <c r="F197" s="50">
        <f>IF(ROUND(C197,2)+ROUND(D197,2)=0,"","yes")</f>
        <v/>
      </c>
      <c r="G197" s="63" t="n"/>
      <c r="H197" s="43">
        <f>IF($G197="","",$E197-$G197)</f>
        <v/>
      </c>
    </row>
    <row r="198">
      <c r="A198" s="62" t="inlineStr">
        <is>
          <t>2605503</t>
        </is>
      </c>
      <c r="B198" s="62" t="inlineStr">
        <is>
          <t>DTTL L31 reception Led Wall Audio DSP Repair</t>
        </is>
      </c>
      <c r="C198" s="43">
        <f>SUMIFS(tbl_WIP[Amount],tbl_WIP[Job Number],$A198,tbl_WIP[Month],"&lt;&gt;",tbl_WIP[Month],"&lt;"&amp;$C$4,tbl_WIP[Defer Start],"")+SUMIF('Deferred Revenue'!$E$6:$E$607,$A198,'Deferred Revenue'!$P$6:$P$607)</f>
        <v/>
      </c>
      <c r="D198" s="43">
        <f>SUMIFS(tbl_WIP[Amount],tbl_WIP[Job Number],$A198,tbl_WIP[Month],$C$4,tbl_WIP[Defer Start],"")+SUMIF('Deferred Revenue'!$E$6:$E$607,$A198,'Deferred Revenue'!$Q$6:$Q$607)</f>
        <v/>
      </c>
      <c r="E198" s="43">
        <f>C198+D198</f>
        <v/>
      </c>
      <c r="F198" s="50">
        <f>IF(ROUND(C198,2)+ROUND(D198,2)=0,"","yes")</f>
        <v/>
      </c>
      <c r="G198" s="63" t="n"/>
      <c r="H198" s="43">
        <f>IF($G198="","",$E198-$G198)</f>
        <v/>
      </c>
    </row>
    <row r="199">
      <c r="A199" s="62" t="inlineStr">
        <is>
          <t>2605605</t>
        </is>
      </c>
      <c r="B199" s="62" t="inlineStr">
        <is>
          <t>DTTL Hobart AV Fitout</t>
        </is>
      </c>
      <c r="C199" s="43">
        <f>SUMIFS(tbl_WIP[Amount],tbl_WIP[Job Number],$A199,tbl_WIP[Month],"&lt;&gt;",tbl_WIP[Month],"&lt;"&amp;$C$4,tbl_WIP[Defer Start],"")+SUMIF('Deferred Revenue'!$E$6:$E$607,$A199,'Deferred Revenue'!$P$6:$P$607)</f>
        <v/>
      </c>
      <c r="D199" s="43">
        <f>SUMIFS(tbl_WIP[Amount],tbl_WIP[Job Number],$A199,tbl_WIP[Month],$C$4,tbl_WIP[Defer Start],"")+SUMIF('Deferred Revenue'!$E$6:$E$607,$A199,'Deferred Revenue'!$Q$6:$Q$607)</f>
        <v/>
      </c>
      <c r="E199" s="43">
        <f>C199+D199</f>
        <v/>
      </c>
      <c r="F199" s="50">
        <f>IF(ROUND(C199,2)+ROUND(D199,2)=0,"","yes")</f>
        <v/>
      </c>
      <c r="G199" s="63" t="n"/>
      <c r="H199" s="43">
        <f>IF($G199="","",$E199-$G199)</f>
        <v/>
      </c>
    </row>
    <row r="200">
      <c r="A200" s="62" t="inlineStr">
        <is>
          <t>2605606</t>
        </is>
      </c>
      <c r="B200" s="62" t="inlineStr">
        <is>
          <t>Ventia Internal Townhall 8.05.26</t>
        </is>
      </c>
      <c r="C200" s="43">
        <f>SUMIFS(tbl_WIP[Amount],tbl_WIP[Job Number],$A200,tbl_WIP[Month],"&lt;&gt;",tbl_WIP[Month],"&lt;"&amp;$C$4,tbl_WIP[Defer Start],"")+SUMIF('Deferred Revenue'!$E$6:$E$607,$A200,'Deferred Revenue'!$P$6:$P$607)</f>
        <v/>
      </c>
      <c r="D200" s="43">
        <f>SUMIFS(tbl_WIP[Amount],tbl_WIP[Job Number],$A200,tbl_WIP[Month],$C$4,tbl_WIP[Defer Start],"")+SUMIF('Deferred Revenue'!$E$6:$E$607,$A200,'Deferred Revenue'!$Q$6:$Q$607)</f>
        <v/>
      </c>
      <c r="E200" s="43">
        <f>C200+D200</f>
        <v/>
      </c>
      <c r="F200" s="50">
        <f>IF(ROUND(C200,2)+ROUND(D200,2)=0,"","yes")</f>
        <v/>
      </c>
      <c r="G200" s="63" t="n"/>
      <c r="H200" s="43">
        <f>IF($G200="","",$E200-$G200)</f>
        <v/>
      </c>
    </row>
    <row r="201">
      <c r="A201" s="62" t="inlineStr">
        <is>
          <t>2605606V</t>
        </is>
      </c>
      <c r="B201" s="62" t="inlineStr">
        <is>
          <t>Ventia Internal Townhall 8.05.26</t>
        </is>
      </c>
      <c r="C201" s="43">
        <f>SUMIFS(tbl_WIP[Amount],tbl_WIP[Job Number],$A201,tbl_WIP[Month],"&lt;&gt;",tbl_WIP[Month],"&lt;"&amp;$C$4,tbl_WIP[Defer Start],"")+SUMIF('Deferred Revenue'!$E$6:$E$607,$A201,'Deferred Revenue'!$P$6:$P$607)</f>
        <v/>
      </c>
      <c r="D201" s="43">
        <f>SUMIFS(tbl_WIP[Amount],tbl_WIP[Job Number],$A201,tbl_WIP[Month],$C$4,tbl_WIP[Defer Start],"")+SUMIF('Deferred Revenue'!$E$6:$E$607,$A201,'Deferred Revenue'!$Q$6:$Q$607)</f>
        <v/>
      </c>
      <c r="E201" s="43">
        <f>C201+D201</f>
        <v/>
      </c>
      <c r="F201" s="50">
        <f>IF(ROUND(C201,2)+ROUND(D201,2)=0,"","yes")</f>
        <v/>
      </c>
      <c r="G201" s="63" t="n"/>
      <c r="H201" s="43">
        <f>IF($G201="","",$E201-$G201)</f>
        <v/>
      </c>
    </row>
    <row r="202">
      <c r="A202" s="62" t="inlineStr">
        <is>
          <t>2605609</t>
        </is>
      </c>
      <c r="B202" s="62" t="inlineStr">
        <is>
          <t>ASX - CEO Farewell - 27.5.26</t>
        </is>
      </c>
      <c r="C202" s="43">
        <f>SUMIFS(tbl_WIP[Amount],tbl_WIP[Job Number],$A202,tbl_WIP[Month],"&lt;&gt;",tbl_WIP[Month],"&lt;"&amp;$C$4,tbl_WIP[Defer Start],"")+SUMIF('Deferred Revenue'!$E$6:$E$607,$A202,'Deferred Revenue'!$P$6:$P$607)</f>
        <v/>
      </c>
      <c r="D202" s="43">
        <f>SUMIFS(tbl_WIP[Amount],tbl_WIP[Job Number],$A202,tbl_WIP[Month],$C$4,tbl_WIP[Defer Start],"")+SUMIF('Deferred Revenue'!$E$6:$E$607,$A202,'Deferred Revenue'!$Q$6:$Q$607)</f>
        <v/>
      </c>
      <c r="E202" s="43">
        <f>C202+D202</f>
        <v/>
      </c>
      <c r="F202" s="50">
        <f>IF(ROUND(C202,2)+ROUND(D202,2)=0,"","yes")</f>
        <v/>
      </c>
      <c r="G202" s="63" t="n"/>
      <c r="H202" s="43">
        <f>IF($G202="","",$E202-$G202)</f>
        <v/>
      </c>
    </row>
    <row r="203">
      <c r="A203" s="62" t="inlineStr">
        <is>
          <t>2605609V</t>
        </is>
      </c>
      <c r="B203" s="62" t="inlineStr">
        <is>
          <t>ASX - CEO Farewell - 27.5.26</t>
        </is>
      </c>
      <c r="C203" s="43">
        <f>SUMIFS(tbl_WIP[Amount],tbl_WIP[Job Number],$A203,tbl_WIP[Month],"&lt;&gt;",tbl_WIP[Month],"&lt;"&amp;$C$4,tbl_WIP[Defer Start],"")+SUMIF('Deferred Revenue'!$E$6:$E$607,$A203,'Deferred Revenue'!$P$6:$P$607)</f>
        <v/>
      </c>
      <c r="D203" s="43">
        <f>SUMIFS(tbl_WIP[Amount],tbl_WIP[Job Number],$A203,tbl_WIP[Month],$C$4,tbl_WIP[Defer Start],"")+SUMIF('Deferred Revenue'!$E$6:$E$607,$A203,'Deferred Revenue'!$Q$6:$Q$607)</f>
        <v/>
      </c>
      <c r="E203" s="43">
        <f>C203+D203</f>
        <v/>
      </c>
      <c r="F203" s="50">
        <f>IF(ROUND(C203,2)+ROUND(D203,2)=0,"","yes")</f>
        <v/>
      </c>
      <c r="G203" s="63" t="n"/>
      <c r="H203" s="43">
        <f>IF($G203="","",$E203-$G203)</f>
        <v/>
      </c>
    </row>
    <row r="204">
      <c r="A204" s="62" t="inlineStr">
        <is>
          <t>2605610</t>
        </is>
      </c>
      <c r="B204" s="62" t="inlineStr">
        <is>
          <t>ASX CEO Farewell Additional Costs</t>
        </is>
      </c>
      <c r="C204" s="43">
        <f>SUMIFS(tbl_WIP[Amount],tbl_WIP[Job Number],$A204,tbl_WIP[Month],"&lt;&gt;",tbl_WIP[Month],"&lt;"&amp;$C$4,tbl_WIP[Defer Start],"")+SUMIF('Deferred Revenue'!$E$6:$E$607,$A204,'Deferred Revenue'!$P$6:$P$607)</f>
        <v/>
      </c>
      <c r="D204" s="43">
        <f>SUMIFS(tbl_WIP[Amount],tbl_WIP[Job Number],$A204,tbl_WIP[Month],$C$4,tbl_WIP[Defer Start],"")+SUMIF('Deferred Revenue'!$E$6:$E$607,$A204,'Deferred Revenue'!$Q$6:$Q$607)</f>
        <v/>
      </c>
      <c r="E204" s="43">
        <f>C204+D204</f>
        <v/>
      </c>
      <c r="F204" s="50">
        <f>IF(ROUND(C204,2)+ROUND(D204,2)=0,"","yes")</f>
        <v/>
      </c>
      <c r="G204" s="63" t="n"/>
      <c r="H204" s="43">
        <f>IF($G204="","",$E204-$G204)</f>
        <v/>
      </c>
    </row>
    <row r="205">
      <c r="A205" s="62" t="inlineStr">
        <is>
          <t>2605704</t>
        </is>
      </c>
      <c r="B205" s="62" t="inlineStr">
        <is>
          <t>CBA CBPS Auditorium Upgrade</t>
        </is>
      </c>
      <c r="C205" s="43">
        <f>SUMIFS(tbl_WIP[Amount],tbl_WIP[Job Number],$A205,tbl_WIP[Month],"&lt;&gt;",tbl_WIP[Month],"&lt;"&amp;$C$4,tbl_WIP[Defer Start],"")+SUMIF('Deferred Revenue'!$E$6:$E$607,$A205,'Deferred Revenue'!$P$6:$P$607)</f>
        <v/>
      </c>
      <c r="D205" s="43">
        <f>SUMIFS(tbl_WIP[Amount],tbl_WIP[Job Number],$A205,tbl_WIP[Month],$C$4,tbl_WIP[Defer Start],"")+SUMIF('Deferred Revenue'!$E$6:$E$607,$A205,'Deferred Revenue'!$Q$6:$Q$607)</f>
        <v/>
      </c>
      <c r="E205" s="43">
        <f>C205+D205</f>
        <v/>
      </c>
      <c r="F205" s="50">
        <f>IF(ROUND(C205,2)+ROUND(D205,2)=0,"","yes")</f>
        <v/>
      </c>
      <c r="G205" s="63" t="n"/>
      <c r="H205" s="43">
        <f>IF($G205="","",$E205-$G205)</f>
        <v/>
      </c>
    </row>
    <row r="206">
      <c r="A206" s="62" t="inlineStr">
        <is>
          <t>2605801</t>
        </is>
      </c>
      <c r="B206" s="62" t="inlineStr">
        <is>
          <t>Dimensional - AV Support - 3-4.6.26</t>
        </is>
      </c>
      <c r="C206" s="43">
        <f>SUMIFS(tbl_WIP[Amount],tbl_WIP[Job Number],$A206,tbl_WIP[Month],"&lt;&gt;",tbl_WIP[Month],"&lt;"&amp;$C$4,tbl_WIP[Defer Start],"")+SUMIF('Deferred Revenue'!$E$6:$E$607,$A206,'Deferred Revenue'!$P$6:$P$607)</f>
        <v/>
      </c>
      <c r="D206" s="43">
        <f>SUMIFS(tbl_WIP[Amount],tbl_WIP[Job Number],$A206,tbl_WIP[Month],$C$4,tbl_WIP[Defer Start],"")+SUMIF('Deferred Revenue'!$E$6:$E$607,$A206,'Deferred Revenue'!$Q$6:$Q$607)</f>
        <v/>
      </c>
      <c r="E206" s="43">
        <f>C206+D206</f>
        <v/>
      </c>
      <c r="F206" s="50">
        <f>IF(ROUND(C206,2)+ROUND(D206,2)=0,"","yes")</f>
        <v/>
      </c>
      <c r="G206" s="63" t="n"/>
      <c r="H206" s="43">
        <f>IF($G206="","",$E206-$G206)</f>
        <v/>
      </c>
    </row>
    <row r="207">
      <c r="A207" s="62" t="inlineStr">
        <is>
          <t>2605803</t>
        </is>
      </c>
      <c r="B207" s="62" t="inlineStr">
        <is>
          <t>St Catherine's - Dedicated Tech - 12.6.26</t>
        </is>
      </c>
      <c r="C207" s="43">
        <f>SUMIFS(tbl_WIP[Amount],tbl_WIP[Job Number],$A207,tbl_WIP[Month],"&lt;&gt;",tbl_WIP[Month],"&lt;"&amp;$C$4,tbl_WIP[Defer Start],"")+SUMIF('Deferred Revenue'!$E$6:$E$607,$A207,'Deferred Revenue'!$P$6:$P$607)</f>
        <v/>
      </c>
      <c r="D207" s="43">
        <f>SUMIFS(tbl_WIP[Amount],tbl_WIP[Job Number],$A207,tbl_WIP[Month],$C$4,tbl_WIP[Defer Start],"")+SUMIF('Deferred Revenue'!$E$6:$E$607,$A207,'Deferred Revenue'!$Q$6:$Q$607)</f>
        <v/>
      </c>
      <c r="E207" s="43">
        <f>C207+D207</f>
        <v/>
      </c>
      <c r="F207" s="50">
        <f>IF(ROUND(C207,2)+ROUND(D207,2)=0,"","yes")</f>
        <v/>
      </c>
      <c r="G207" s="63" t="n"/>
      <c r="H207" s="43">
        <f>IF($G207="","",$E207-$G207)</f>
        <v/>
      </c>
    </row>
    <row r="208">
      <c r="A208" s="62" t="inlineStr">
        <is>
          <t>2605804</t>
        </is>
      </c>
      <c r="B208" s="62" t="inlineStr">
        <is>
          <t>City of Sydney Supply of Barco Projector Shutters</t>
        </is>
      </c>
      <c r="C208" s="43">
        <f>SUMIFS(tbl_WIP[Amount],tbl_WIP[Job Number],$A208,tbl_WIP[Month],"&lt;&gt;",tbl_WIP[Month],"&lt;"&amp;$C$4,tbl_WIP[Defer Start],"")+SUMIF('Deferred Revenue'!$E$6:$E$607,$A208,'Deferred Revenue'!$P$6:$P$607)</f>
        <v/>
      </c>
      <c r="D208" s="43">
        <f>SUMIFS(tbl_WIP[Amount],tbl_WIP[Job Number],$A208,tbl_WIP[Month],$C$4,tbl_WIP[Defer Start],"")+SUMIF('Deferred Revenue'!$E$6:$E$607,$A208,'Deferred Revenue'!$Q$6:$Q$607)</f>
        <v/>
      </c>
      <c r="E208" s="43">
        <f>C208+D208</f>
        <v/>
      </c>
      <c r="F208" s="50">
        <f>IF(ROUND(C208,2)+ROUND(D208,2)=0,"","yes")</f>
        <v/>
      </c>
      <c r="G208" s="63" t="n"/>
      <c r="H208" s="43">
        <f>IF($G208="","",$E208-$G208)</f>
        <v/>
      </c>
    </row>
    <row r="209">
      <c r="A209" s="62" t="inlineStr">
        <is>
          <t>2605806</t>
        </is>
      </c>
      <c r="B209" s="62" t="inlineStr">
        <is>
          <t>Aware Super AV Fitout @ 555 Collins Street MEL</t>
        </is>
      </c>
      <c r="C209" s="43">
        <f>SUMIFS(tbl_WIP[Amount],tbl_WIP[Job Number],$A209,tbl_WIP[Month],"&lt;&gt;",tbl_WIP[Month],"&lt;"&amp;$C$4,tbl_WIP[Defer Start],"")+SUMIF('Deferred Revenue'!$E$6:$E$607,$A209,'Deferred Revenue'!$P$6:$P$607)</f>
        <v/>
      </c>
      <c r="D209" s="43">
        <f>SUMIFS(tbl_WIP[Amount],tbl_WIP[Job Number],$A209,tbl_WIP[Month],$C$4,tbl_WIP[Defer Start],"")+SUMIF('Deferred Revenue'!$E$6:$E$607,$A209,'Deferred Revenue'!$Q$6:$Q$607)</f>
        <v/>
      </c>
      <c r="E209" s="43">
        <f>C209+D209</f>
        <v/>
      </c>
      <c r="F209" s="50">
        <f>IF(ROUND(C209,2)+ROUND(D209,2)=0,"","yes")</f>
        <v/>
      </c>
      <c r="G209" s="63" t="n"/>
      <c r="H209" s="43">
        <f>IF($G209="","",$E209-$G209)</f>
        <v/>
      </c>
    </row>
    <row r="210">
      <c r="A210" s="62" t="inlineStr">
        <is>
          <t>26061001</t>
        </is>
      </c>
      <c r="B210" s="62" t="inlineStr">
        <is>
          <t>Garvan August All Clear Event 25.8.26</t>
        </is>
      </c>
      <c r="C210" s="43">
        <f>SUMIFS(tbl_WIP[Amount],tbl_WIP[Job Number],$A210,tbl_WIP[Month],"&lt;&gt;",tbl_WIP[Month],"&lt;"&amp;$C$4,tbl_WIP[Defer Start],"")+SUMIF('Deferred Revenue'!$E$6:$E$607,$A210,'Deferred Revenue'!$P$6:$P$607)</f>
        <v/>
      </c>
      <c r="D210" s="43">
        <f>SUMIFS(tbl_WIP[Amount],tbl_WIP[Job Number],$A210,tbl_WIP[Month],$C$4,tbl_WIP[Defer Start],"")+SUMIF('Deferred Revenue'!$E$6:$E$607,$A210,'Deferred Revenue'!$Q$6:$Q$607)</f>
        <v/>
      </c>
      <c r="E210" s="43">
        <f>C210+D210</f>
        <v/>
      </c>
      <c r="F210" s="50">
        <f>IF(ROUND(C210,2)+ROUND(D210,2)=0,"","yes")</f>
        <v/>
      </c>
      <c r="G210" s="63" t="n"/>
      <c r="H210" s="43">
        <f>IF($G210="","",$E210-$G210)</f>
        <v/>
      </c>
    </row>
    <row r="211">
      <c r="A211" s="62" t="inlineStr">
        <is>
          <t>26061002</t>
        </is>
      </c>
      <c r="B211" s="62" t="inlineStr">
        <is>
          <t>Optiver - Fireside Event Support - 18.6.26</t>
        </is>
      </c>
      <c r="C211" s="43">
        <f>SUMIFS(tbl_WIP[Amount],tbl_WIP[Job Number],$A211,tbl_WIP[Month],"&lt;&gt;",tbl_WIP[Month],"&lt;"&amp;$C$4,tbl_WIP[Defer Start],"")+SUMIF('Deferred Revenue'!$E$6:$E$607,$A211,'Deferred Revenue'!$P$6:$P$607)</f>
        <v/>
      </c>
      <c r="D211" s="43">
        <f>SUMIFS(tbl_WIP[Amount],tbl_WIP[Job Number],$A211,tbl_WIP[Month],$C$4,tbl_WIP[Defer Start],"")+SUMIF('Deferred Revenue'!$E$6:$E$607,$A211,'Deferred Revenue'!$Q$6:$Q$607)</f>
        <v/>
      </c>
      <c r="E211" s="43">
        <f>C211+D211</f>
        <v/>
      </c>
      <c r="F211" s="50">
        <f>IF(ROUND(C211,2)+ROUND(D211,2)=0,"","yes")</f>
        <v/>
      </c>
      <c r="G211" s="63" t="n"/>
      <c r="H211" s="43">
        <f>IF($G211="","",$E211-$G211)</f>
        <v/>
      </c>
    </row>
    <row r="212">
      <c r="A212" s="62" t="inlineStr">
        <is>
          <t>26061002V</t>
        </is>
      </c>
      <c r="B212" s="62" t="inlineStr">
        <is>
          <t>Optiver - Fireside Event Support - 18.6.26</t>
        </is>
      </c>
      <c r="C212" s="43">
        <f>SUMIFS(tbl_WIP[Amount],tbl_WIP[Job Number],$A212,tbl_WIP[Month],"&lt;&gt;",tbl_WIP[Month],"&lt;"&amp;$C$4,tbl_WIP[Defer Start],"")+SUMIF('Deferred Revenue'!$E$6:$E$607,$A212,'Deferred Revenue'!$P$6:$P$607)</f>
        <v/>
      </c>
      <c r="D212" s="43">
        <f>SUMIFS(tbl_WIP[Amount],tbl_WIP[Job Number],$A212,tbl_WIP[Month],$C$4,tbl_WIP[Defer Start],"")+SUMIF('Deferred Revenue'!$E$6:$E$607,$A212,'Deferred Revenue'!$Q$6:$Q$607)</f>
        <v/>
      </c>
      <c r="E212" s="43">
        <f>C212+D212</f>
        <v/>
      </c>
      <c r="F212" s="50">
        <f>IF(ROUND(C212,2)+ROUND(D212,2)=0,"","yes")</f>
        <v/>
      </c>
      <c r="G212" s="63" t="n"/>
      <c r="H212" s="43">
        <f>IF($G212="","",$E212-$G212)</f>
        <v/>
      </c>
    </row>
    <row r="213">
      <c r="A213" s="62" t="inlineStr">
        <is>
          <t>26061102</t>
        </is>
      </c>
      <c r="B213" s="62" t="inlineStr">
        <is>
          <t>CSE Invest Sri Lanka | 16.8.26</t>
        </is>
      </c>
      <c r="C213" s="43">
        <f>SUMIFS(tbl_WIP[Amount],tbl_WIP[Job Number],$A213,tbl_WIP[Month],"&lt;&gt;",tbl_WIP[Month],"&lt;"&amp;$C$4,tbl_WIP[Defer Start],"")+SUMIF('Deferred Revenue'!$E$6:$E$607,$A213,'Deferred Revenue'!$P$6:$P$607)</f>
        <v/>
      </c>
      <c r="D213" s="43">
        <f>SUMIFS(tbl_WIP[Amount],tbl_WIP[Job Number],$A213,tbl_WIP[Month],$C$4,tbl_WIP[Defer Start],"")+SUMIF('Deferred Revenue'!$E$6:$E$607,$A213,'Deferred Revenue'!$Q$6:$Q$607)</f>
        <v/>
      </c>
      <c r="E213" s="43">
        <f>C213+D213</f>
        <v/>
      </c>
      <c r="F213" s="50">
        <f>IF(ROUND(C213,2)+ROUND(D213,2)=0,"","yes")</f>
        <v/>
      </c>
      <c r="G213" s="63" t="n"/>
      <c r="H213" s="43">
        <f>IF($G213="","",$E213-$G213)</f>
        <v/>
      </c>
    </row>
    <row r="214">
      <c r="A214" s="62" t="inlineStr">
        <is>
          <t>26061102V</t>
        </is>
      </c>
      <c r="B214" s="62" t="inlineStr">
        <is>
          <t>CSE Invest Sri Lanka | 16.8.26</t>
        </is>
      </c>
      <c r="C214" s="43">
        <f>SUMIFS(tbl_WIP[Amount],tbl_WIP[Job Number],$A214,tbl_WIP[Month],"&lt;&gt;",tbl_WIP[Month],"&lt;"&amp;$C$4,tbl_WIP[Defer Start],"")+SUMIF('Deferred Revenue'!$E$6:$E$607,$A214,'Deferred Revenue'!$P$6:$P$607)</f>
        <v/>
      </c>
      <c r="D214" s="43">
        <f>SUMIFS(tbl_WIP[Amount],tbl_WIP[Job Number],$A214,tbl_WIP[Month],$C$4,tbl_WIP[Defer Start],"")+SUMIF('Deferred Revenue'!$E$6:$E$607,$A214,'Deferred Revenue'!$Q$6:$Q$607)</f>
        <v/>
      </c>
      <c r="E214" s="43">
        <f>C214+D214</f>
        <v/>
      </c>
      <c r="F214" s="50">
        <f>IF(ROUND(C214,2)+ROUND(D214,2)=0,"","yes")</f>
        <v/>
      </c>
      <c r="G214" s="63" t="n"/>
      <c r="H214" s="43">
        <f>IF($G214="","",$E214-$G214)</f>
        <v/>
      </c>
    </row>
    <row r="215">
      <c r="A215" s="62" t="inlineStr">
        <is>
          <t>26061103</t>
        </is>
      </c>
      <c r="B215" s="62" t="inlineStr">
        <is>
          <t>Circadia Australia Elevate | 14.8.26</t>
        </is>
      </c>
      <c r="C215" s="43">
        <f>SUMIFS(tbl_WIP[Amount],tbl_WIP[Job Number],$A215,tbl_WIP[Month],"&lt;&gt;",tbl_WIP[Month],"&lt;"&amp;$C$4,tbl_WIP[Defer Start],"")+SUMIF('Deferred Revenue'!$E$6:$E$607,$A215,'Deferred Revenue'!$P$6:$P$607)</f>
        <v/>
      </c>
      <c r="D215" s="43">
        <f>SUMIFS(tbl_WIP[Amount],tbl_WIP[Job Number],$A215,tbl_WIP[Month],$C$4,tbl_WIP[Defer Start],"")+SUMIF('Deferred Revenue'!$E$6:$E$607,$A215,'Deferred Revenue'!$Q$6:$Q$607)</f>
        <v/>
      </c>
      <c r="E215" s="43">
        <f>C215+D215</f>
        <v/>
      </c>
      <c r="F215" s="50">
        <f>IF(ROUND(C215,2)+ROUND(D215,2)=0,"","yes")</f>
        <v/>
      </c>
      <c r="G215" s="63" t="n"/>
      <c r="H215" s="43">
        <f>IF($G215="","",$E215-$G215)</f>
        <v/>
      </c>
    </row>
    <row r="216">
      <c r="A216" s="62" t="inlineStr">
        <is>
          <t>26061103V</t>
        </is>
      </c>
      <c r="B216" s="62" t="inlineStr">
        <is>
          <t>Circadia Australia Elevate | 14.8.26</t>
        </is>
      </c>
      <c r="C216" s="43">
        <f>SUMIFS(tbl_WIP[Amount],tbl_WIP[Job Number],$A216,tbl_WIP[Month],"&lt;&gt;",tbl_WIP[Month],"&lt;"&amp;$C$4,tbl_WIP[Defer Start],"")+SUMIF('Deferred Revenue'!$E$6:$E$607,$A216,'Deferred Revenue'!$P$6:$P$607)</f>
        <v/>
      </c>
      <c r="D216" s="43">
        <f>SUMIFS(tbl_WIP[Amount],tbl_WIP[Job Number],$A216,tbl_WIP[Month],$C$4,tbl_WIP[Defer Start],"")+SUMIF('Deferred Revenue'!$E$6:$E$607,$A216,'Deferred Revenue'!$Q$6:$Q$607)</f>
        <v/>
      </c>
      <c r="E216" s="43">
        <f>C216+D216</f>
        <v/>
      </c>
      <c r="F216" s="50">
        <f>IF(ROUND(C216,2)+ROUND(D216,2)=0,"","yes")</f>
        <v/>
      </c>
      <c r="G216" s="63" t="n"/>
      <c r="H216" s="43">
        <f>IF($G216="","",$E216-$G216)</f>
        <v/>
      </c>
    </row>
    <row r="217">
      <c r="A217" s="62" t="inlineStr">
        <is>
          <t>26061104</t>
        </is>
      </c>
      <c r="B217" s="62" t="inlineStr">
        <is>
          <t>MUFG - FYR26 - 12.8.26</t>
        </is>
      </c>
      <c r="C217" s="43">
        <f>SUMIFS(tbl_WIP[Amount],tbl_WIP[Job Number],$A217,tbl_WIP[Month],"&lt;&gt;",tbl_WIP[Month],"&lt;"&amp;$C$4,tbl_WIP[Defer Start],"")+SUMIF('Deferred Revenue'!$E$6:$E$607,$A217,'Deferred Revenue'!$P$6:$P$607)</f>
        <v/>
      </c>
      <c r="D217" s="43">
        <f>SUMIFS(tbl_WIP[Amount],tbl_WIP[Job Number],$A217,tbl_WIP[Month],$C$4,tbl_WIP[Defer Start],"")+SUMIF('Deferred Revenue'!$E$6:$E$607,$A217,'Deferred Revenue'!$Q$6:$Q$607)</f>
        <v/>
      </c>
      <c r="E217" s="43">
        <f>C217+D217</f>
        <v/>
      </c>
      <c r="F217" s="50">
        <f>IF(ROUND(C217,2)+ROUND(D217,2)=0,"","yes")</f>
        <v/>
      </c>
      <c r="G217" s="63" t="n"/>
      <c r="H217" s="43">
        <f>IF($G217="","",$E217-$G217)</f>
        <v/>
      </c>
    </row>
    <row r="218">
      <c r="A218" s="62" t="inlineStr">
        <is>
          <t>26061104V</t>
        </is>
      </c>
      <c r="B218" s="62" t="inlineStr">
        <is>
          <t>MUFG - FYR26 - 12.8.26</t>
        </is>
      </c>
      <c r="C218" s="43">
        <f>SUMIFS(tbl_WIP[Amount],tbl_WIP[Job Number],$A218,tbl_WIP[Month],"&lt;&gt;",tbl_WIP[Month],"&lt;"&amp;$C$4,tbl_WIP[Defer Start],"")+SUMIF('Deferred Revenue'!$E$6:$E$607,$A218,'Deferred Revenue'!$P$6:$P$607)</f>
        <v/>
      </c>
      <c r="D218" s="43">
        <f>SUMIFS(tbl_WIP[Amount],tbl_WIP[Job Number],$A218,tbl_WIP[Month],$C$4,tbl_WIP[Defer Start],"")+SUMIF('Deferred Revenue'!$E$6:$E$607,$A218,'Deferred Revenue'!$Q$6:$Q$607)</f>
        <v/>
      </c>
      <c r="E218" s="43">
        <f>C218+D218</f>
        <v/>
      </c>
      <c r="F218" s="50">
        <f>IF(ROUND(C218,2)+ROUND(D218,2)=0,"","yes")</f>
        <v/>
      </c>
      <c r="G218" s="63" t="n"/>
      <c r="H218" s="43">
        <f>IF($G218="","",$E218-$G218)</f>
        <v/>
      </c>
    </row>
    <row r="219">
      <c r="A219" s="62" t="inlineStr">
        <is>
          <t>26061105</t>
        </is>
      </c>
      <c r="B219" s="62" t="inlineStr">
        <is>
          <t>CBA - FYR 2026 - 12.8.26</t>
        </is>
      </c>
      <c r="C219" s="43">
        <f>SUMIFS(tbl_WIP[Amount],tbl_WIP[Job Number],$A219,tbl_WIP[Month],"&lt;&gt;",tbl_WIP[Month],"&lt;"&amp;$C$4,tbl_WIP[Defer Start],"")+SUMIF('Deferred Revenue'!$E$6:$E$607,$A219,'Deferred Revenue'!$P$6:$P$607)</f>
        <v/>
      </c>
      <c r="D219" s="43">
        <f>SUMIFS(tbl_WIP[Amount],tbl_WIP[Job Number],$A219,tbl_WIP[Month],$C$4,tbl_WIP[Defer Start],"")+SUMIF('Deferred Revenue'!$E$6:$E$607,$A219,'Deferred Revenue'!$Q$6:$Q$607)</f>
        <v/>
      </c>
      <c r="E219" s="43">
        <f>C219+D219</f>
        <v/>
      </c>
      <c r="F219" s="50">
        <f>IF(ROUND(C219,2)+ROUND(D219,2)=0,"","yes")</f>
        <v/>
      </c>
      <c r="G219" s="63" t="n"/>
      <c r="H219" s="43">
        <f>IF($G219="","",$E219-$G219)</f>
        <v/>
      </c>
    </row>
    <row r="220">
      <c r="A220" s="62" t="inlineStr">
        <is>
          <t>26061105V</t>
        </is>
      </c>
      <c r="B220" s="62" t="inlineStr">
        <is>
          <t>CBA - FYR 2026 - 12.8.26</t>
        </is>
      </c>
      <c r="C220" s="43">
        <f>SUMIFS(tbl_WIP[Amount],tbl_WIP[Job Number],$A220,tbl_WIP[Month],"&lt;&gt;",tbl_WIP[Month],"&lt;"&amp;$C$4,tbl_WIP[Defer Start],"")+SUMIF('Deferred Revenue'!$E$6:$E$607,$A220,'Deferred Revenue'!$P$6:$P$607)</f>
        <v/>
      </c>
      <c r="D220" s="43">
        <f>SUMIFS(tbl_WIP[Amount],tbl_WIP[Job Number],$A220,tbl_WIP[Month],$C$4,tbl_WIP[Defer Start],"")+SUMIF('Deferred Revenue'!$E$6:$E$607,$A220,'Deferred Revenue'!$Q$6:$Q$607)</f>
        <v/>
      </c>
      <c r="E220" s="43">
        <f>C220+D220</f>
        <v/>
      </c>
      <c r="F220" s="50">
        <f>IF(ROUND(C220,2)+ROUND(D220,2)=0,"","yes")</f>
        <v/>
      </c>
      <c r="G220" s="63" t="n"/>
      <c r="H220" s="43">
        <f>IF($G220="","",$E220-$G220)</f>
        <v/>
      </c>
    </row>
    <row r="221">
      <c r="A221" s="62" t="inlineStr">
        <is>
          <t>26061106</t>
        </is>
      </c>
      <c r="B221" s="62" t="inlineStr">
        <is>
          <t>TLC Full Year Results MEL</t>
        </is>
      </c>
      <c r="C221" s="43">
        <f>SUMIFS(tbl_WIP[Amount],tbl_WIP[Job Number],$A221,tbl_WIP[Month],"&lt;&gt;",tbl_WIP[Month],"&lt;"&amp;$C$4,tbl_WIP[Defer Start],"")+SUMIF('Deferred Revenue'!$E$6:$E$607,$A221,'Deferred Revenue'!$P$6:$P$607)</f>
        <v/>
      </c>
      <c r="D221" s="43">
        <f>SUMIFS(tbl_WIP[Amount],tbl_WIP[Job Number],$A221,tbl_WIP[Month],$C$4,tbl_WIP[Defer Start],"")+SUMIF('Deferred Revenue'!$E$6:$E$607,$A221,'Deferred Revenue'!$Q$6:$Q$607)</f>
        <v/>
      </c>
      <c r="E221" s="43">
        <f>C221+D221</f>
        <v/>
      </c>
      <c r="F221" s="50">
        <f>IF(ROUND(C221,2)+ROUND(D221,2)=0,"","yes")</f>
        <v/>
      </c>
      <c r="G221" s="63" t="n"/>
      <c r="H221" s="43">
        <f>IF($G221="","",$E221-$G221)</f>
        <v/>
      </c>
    </row>
    <row r="222">
      <c r="A222" s="62" t="inlineStr">
        <is>
          <t>26061106V</t>
        </is>
      </c>
      <c r="B222" s="62" t="inlineStr">
        <is>
          <t>TLC Full Year Results MEL</t>
        </is>
      </c>
      <c r="C222" s="43">
        <f>SUMIFS(tbl_WIP[Amount],tbl_WIP[Job Number],$A222,tbl_WIP[Month],"&lt;&gt;",tbl_WIP[Month],"&lt;"&amp;$C$4,tbl_WIP[Defer Start],"")+SUMIF('Deferred Revenue'!$E$6:$E$607,$A222,'Deferred Revenue'!$P$6:$P$607)</f>
        <v/>
      </c>
      <c r="D222" s="43">
        <f>SUMIFS(tbl_WIP[Amount],tbl_WIP[Job Number],$A222,tbl_WIP[Month],$C$4,tbl_WIP[Defer Start],"")+SUMIF('Deferred Revenue'!$E$6:$E$607,$A222,'Deferred Revenue'!$Q$6:$Q$607)</f>
        <v/>
      </c>
      <c r="E222" s="43">
        <f>C222+D222</f>
        <v/>
      </c>
      <c r="F222" s="50">
        <f>IF(ROUND(C222,2)+ROUND(D222,2)=0,"","yes")</f>
        <v/>
      </c>
      <c r="G222" s="63" t="n"/>
      <c r="H222" s="43">
        <f>IF($G222="","",$E222-$G222)</f>
        <v/>
      </c>
    </row>
    <row r="223">
      <c r="A223" s="62" t="inlineStr">
        <is>
          <t>26061107</t>
        </is>
      </c>
      <c r="B223" s="62" t="inlineStr">
        <is>
          <t>Downer - FYR 2026 - 20.8.26</t>
        </is>
      </c>
      <c r="C223" s="43">
        <f>SUMIFS(tbl_WIP[Amount],tbl_WIP[Job Number],$A223,tbl_WIP[Month],"&lt;&gt;",tbl_WIP[Month],"&lt;"&amp;$C$4,tbl_WIP[Defer Start],"")+SUMIF('Deferred Revenue'!$E$6:$E$607,$A223,'Deferred Revenue'!$P$6:$P$607)</f>
        <v/>
      </c>
      <c r="D223" s="43">
        <f>SUMIFS(tbl_WIP[Amount],tbl_WIP[Job Number],$A223,tbl_WIP[Month],$C$4,tbl_WIP[Defer Start],"")+SUMIF('Deferred Revenue'!$E$6:$E$607,$A223,'Deferred Revenue'!$Q$6:$Q$607)</f>
        <v/>
      </c>
      <c r="E223" s="43">
        <f>C223+D223</f>
        <v/>
      </c>
      <c r="F223" s="50">
        <f>IF(ROUND(C223,2)+ROUND(D223,2)=0,"","yes")</f>
        <v/>
      </c>
      <c r="G223" s="63" t="n"/>
      <c r="H223" s="43">
        <f>IF($G223="","",$E223-$G223)</f>
        <v/>
      </c>
    </row>
    <row r="224">
      <c r="A224" s="62" t="inlineStr">
        <is>
          <t>26061107V</t>
        </is>
      </c>
      <c r="B224" s="62" t="inlineStr">
        <is>
          <t>Downer - FYR 2026 - 20.8.26</t>
        </is>
      </c>
      <c r="C224" s="43">
        <f>SUMIFS(tbl_WIP[Amount],tbl_WIP[Job Number],$A224,tbl_WIP[Month],"&lt;&gt;",tbl_WIP[Month],"&lt;"&amp;$C$4,tbl_WIP[Defer Start],"")+SUMIF('Deferred Revenue'!$E$6:$E$607,$A224,'Deferred Revenue'!$P$6:$P$607)</f>
        <v/>
      </c>
      <c r="D224" s="43">
        <f>SUMIFS(tbl_WIP[Amount],tbl_WIP[Job Number],$A224,tbl_WIP[Month],$C$4,tbl_WIP[Defer Start],"")+SUMIF('Deferred Revenue'!$E$6:$E$607,$A224,'Deferred Revenue'!$Q$6:$Q$607)</f>
        <v/>
      </c>
      <c r="E224" s="43">
        <f>C224+D224</f>
        <v/>
      </c>
      <c r="F224" s="50">
        <f>IF(ROUND(C224,2)+ROUND(D224,2)=0,"","yes")</f>
        <v/>
      </c>
      <c r="G224" s="63" t="n"/>
      <c r="H224" s="43">
        <f>IF($G224="","",$E224-$G224)</f>
        <v/>
      </c>
    </row>
    <row r="225">
      <c r="A225" s="62" t="inlineStr">
        <is>
          <t>26061108</t>
        </is>
      </c>
      <c r="B225" s="62" t="inlineStr">
        <is>
          <t>APA - Qtly All Hands FYR26 - 20.8.26</t>
        </is>
      </c>
      <c r="C225" s="43">
        <f>SUMIFS(tbl_WIP[Amount],tbl_WIP[Job Number],$A225,tbl_WIP[Month],"&lt;&gt;",tbl_WIP[Month],"&lt;"&amp;$C$4,tbl_WIP[Defer Start],"")+SUMIF('Deferred Revenue'!$E$6:$E$607,$A225,'Deferred Revenue'!$P$6:$P$607)</f>
        <v/>
      </c>
      <c r="D225" s="43">
        <f>SUMIFS(tbl_WIP[Amount],tbl_WIP[Job Number],$A225,tbl_WIP[Month],$C$4,tbl_WIP[Defer Start],"")+SUMIF('Deferred Revenue'!$E$6:$E$607,$A225,'Deferred Revenue'!$Q$6:$Q$607)</f>
        <v/>
      </c>
      <c r="E225" s="43">
        <f>C225+D225</f>
        <v/>
      </c>
      <c r="F225" s="50">
        <f>IF(ROUND(C225,2)+ROUND(D225,2)=0,"","yes")</f>
        <v/>
      </c>
      <c r="G225" s="63" t="n"/>
      <c r="H225" s="43">
        <f>IF($G225="","",$E225-$G225)</f>
        <v/>
      </c>
    </row>
    <row r="226">
      <c r="A226" s="62" t="inlineStr">
        <is>
          <t>26061108V</t>
        </is>
      </c>
      <c r="B226" s="62" t="inlineStr">
        <is>
          <t>APA - Qtly All Hands FYR26 - 20.8.26</t>
        </is>
      </c>
      <c r="C226" s="43">
        <f>SUMIFS(tbl_WIP[Amount],tbl_WIP[Job Number],$A226,tbl_WIP[Month],"&lt;&gt;",tbl_WIP[Month],"&lt;"&amp;$C$4,tbl_WIP[Defer Start],"")+SUMIF('Deferred Revenue'!$E$6:$E$607,$A226,'Deferred Revenue'!$P$6:$P$607)</f>
        <v/>
      </c>
      <c r="D226" s="43">
        <f>SUMIFS(tbl_WIP[Amount],tbl_WIP[Job Number],$A226,tbl_WIP[Month],$C$4,tbl_WIP[Defer Start],"")+SUMIF('Deferred Revenue'!$E$6:$E$607,$A226,'Deferred Revenue'!$Q$6:$Q$607)</f>
        <v/>
      </c>
      <c r="E226" s="43">
        <f>C226+D226</f>
        <v/>
      </c>
      <c r="F226" s="50">
        <f>IF(ROUND(C226,2)+ROUND(D226,2)=0,"","yes")</f>
        <v/>
      </c>
      <c r="G226" s="63" t="n"/>
      <c r="H226" s="43">
        <f>IF($G226="","",$E226-$G226)</f>
        <v/>
      </c>
    </row>
    <row r="227">
      <c r="A227" s="62" t="inlineStr">
        <is>
          <t>26061109</t>
        </is>
      </c>
      <c r="B227" s="62" t="inlineStr">
        <is>
          <t>Ventia - FYR26 - 24.8.26</t>
        </is>
      </c>
      <c r="C227" s="43">
        <f>SUMIFS(tbl_WIP[Amount],tbl_WIP[Job Number],$A227,tbl_WIP[Month],"&lt;&gt;",tbl_WIP[Month],"&lt;"&amp;$C$4,tbl_WIP[Defer Start],"")+SUMIF('Deferred Revenue'!$E$6:$E$607,$A227,'Deferred Revenue'!$P$6:$P$607)</f>
        <v/>
      </c>
      <c r="D227" s="43">
        <f>SUMIFS(tbl_WIP[Amount],tbl_WIP[Job Number],$A227,tbl_WIP[Month],$C$4,tbl_WIP[Defer Start],"")+SUMIF('Deferred Revenue'!$E$6:$E$607,$A227,'Deferred Revenue'!$Q$6:$Q$607)</f>
        <v/>
      </c>
      <c r="E227" s="43">
        <f>C227+D227</f>
        <v/>
      </c>
      <c r="F227" s="50">
        <f>IF(ROUND(C227,2)+ROUND(D227,2)=0,"","yes")</f>
        <v/>
      </c>
      <c r="G227" s="63" t="n"/>
      <c r="H227" s="43">
        <f>IF($G227="","",$E227-$G227)</f>
        <v/>
      </c>
    </row>
    <row r="228">
      <c r="A228" s="62" t="inlineStr">
        <is>
          <t>26061109V</t>
        </is>
      </c>
      <c r="B228" s="62" t="inlineStr">
        <is>
          <t>Ventia - FYR26 - 24.8.26</t>
        </is>
      </c>
      <c r="C228" s="43">
        <f>SUMIFS(tbl_WIP[Amount],tbl_WIP[Job Number],$A228,tbl_WIP[Month],"&lt;&gt;",tbl_WIP[Month],"&lt;"&amp;$C$4,tbl_WIP[Defer Start],"")+SUMIF('Deferred Revenue'!$E$6:$E$607,$A228,'Deferred Revenue'!$P$6:$P$607)</f>
        <v/>
      </c>
      <c r="D228" s="43">
        <f>SUMIFS(tbl_WIP[Amount],tbl_WIP[Job Number],$A228,tbl_WIP[Month],$C$4,tbl_WIP[Defer Start],"")+SUMIF('Deferred Revenue'!$E$6:$E$607,$A228,'Deferred Revenue'!$Q$6:$Q$607)</f>
        <v/>
      </c>
      <c r="E228" s="43">
        <f>C228+D228</f>
        <v/>
      </c>
      <c r="F228" s="50">
        <f>IF(ROUND(C228,2)+ROUND(D228,2)=0,"","yes")</f>
        <v/>
      </c>
      <c r="G228" s="63" t="n"/>
      <c r="H228" s="43">
        <f>IF($G228="","",$E228-$G228)</f>
        <v/>
      </c>
    </row>
    <row r="229">
      <c r="A229" s="62" t="inlineStr">
        <is>
          <t>26061201</t>
        </is>
      </c>
      <c r="B229" s="62" t="inlineStr">
        <is>
          <t>PWC - Firmwide Webcast - 30.6.26</t>
        </is>
      </c>
      <c r="C229" s="43">
        <f>SUMIFS(tbl_WIP[Amount],tbl_WIP[Job Number],$A229,tbl_WIP[Month],"&lt;&gt;",tbl_WIP[Month],"&lt;"&amp;$C$4,tbl_WIP[Defer Start],"")+SUMIF('Deferred Revenue'!$E$6:$E$607,$A229,'Deferred Revenue'!$P$6:$P$607)</f>
        <v/>
      </c>
      <c r="D229" s="43">
        <f>SUMIFS(tbl_WIP[Amount],tbl_WIP[Job Number],$A229,tbl_WIP[Month],$C$4,tbl_WIP[Defer Start],"")+SUMIF('Deferred Revenue'!$E$6:$E$607,$A229,'Deferred Revenue'!$Q$6:$Q$607)</f>
        <v/>
      </c>
      <c r="E229" s="43">
        <f>C229+D229</f>
        <v/>
      </c>
      <c r="F229" s="50">
        <f>IF(ROUND(C229,2)+ROUND(D229,2)=0,"","yes")</f>
        <v/>
      </c>
      <c r="G229" s="63" t="n"/>
      <c r="H229" s="43">
        <f>IF($G229="","",$E229-$G229)</f>
        <v/>
      </c>
    </row>
    <row r="230">
      <c r="A230" s="62" t="inlineStr">
        <is>
          <t>26061201V</t>
        </is>
      </c>
      <c r="B230" s="62" t="inlineStr">
        <is>
          <t>PWC - Firmwide Webcast - 30.6.26</t>
        </is>
      </c>
      <c r="C230" s="43">
        <f>SUMIFS(tbl_WIP[Amount],tbl_WIP[Job Number],$A230,tbl_WIP[Month],"&lt;&gt;",tbl_WIP[Month],"&lt;"&amp;$C$4,tbl_WIP[Defer Start],"")+SUMIF('Deferred Revenue'!$E$6:$E$607,$A230,'Deferred Revenue'!$P$6:$P$607)</f>
        <v/>
      </c>
      <c r="D230" s="43">
        <f>SUMIFS(tbl_WIP[Amount],tbl_WIP[Job Number],$A230,tbl_WIP[Month],$C$4,tbl_WIP[Defer Start],"")+SUMIF('Deferred Revenue'!$E$6:$E$607,$A230,'Deferred Revenue'!$Q$6:$Q$607)</f>
        <v/>
      </c>
      <c r="E230" s="43">
        <f>C230+D230</f>
        <v/>
      </c>
      <c r="F230" s="50">
        <f>IF(ROUND(C230,2)+ROUND(D230,2)=0,"","yes")</f>
        <v/>
      </c>
      <c r="G230" s="63" t="n"/>
      <c r="H230" s="43">
        <f>IF($G230="","",$E230-$G230)</f>
        <v/>
      </c>
    </row>
    <row r="231">
      <c r="A231" s="62" t="inlineStr">
        <is>
          <t>26061202</t>
        </is>
      </c>
      <c r="B231" s="62" t="inlineStr">
        <is>
          <t>CBA AGM 2027</t>
        </is>
      </c>
      <c r="C231" s="43">
        <f>SUMIFS(tbl_WIP[Amount],tbl_WIP[Job Number],$A231,tbl_WIP[Month],"&lt;&gt;",tbl_WIP[Month],"&lt;"&amp;$C$4,tbl_WIP[Defer Start],"")+SUMIF('Deferred Revenue'!$E$6:$E$607,$A231,'Deferred Revenue'!$P$6:$P$607)</f>
        <v/>
      </c>
      <c r="D231" s="43">
        <f>SUMIFS(tbl_WIP[Amount],tbl_WIP[Job Number],$A231,tbl_WIP[Month],$C$4,tbl_WIP[Defer Start],"")+SUMIF('Deferred Revenue'!$E$6:$E$607,$A231,'Deferred Revenue'!$Q$6:$Q$607)</f>
        <v/>
      </c>
      <c r="E231" s="43">
        <f>C231+D231</f>
        <v/>
      </c>
      <c r="F231" s="50">
        <f>IF(ROUND(C231,2)+ROUND(D231,2)=0,"","yes")</f>
        <v/>
      </c>
      <c r="G231" s="63" t="n"/>
      <c r="H231" s="43">
        <f>IF($G231="","",$E231-$G231)</f>
        <v/>
      </c>
    </row>
    <row r="232">
      <c r="A232" s="62" t="inlineStr">
        <is>
          <t>26061202V</t>
        </is>
      </c>
      <c r="B232" s="62" t="inlineStr">
        <is>
          <t>CBA AGM 2027</t>
        </is>
      </c>
      <c r="C232" s="43">
        <f>SUMIFS(tbl_WIP[Amount],tbl_WIP[Job Number],$A232,tbl_WIP[Month],"&lt;&gt;",tbl_WIP[Month],"&lt;"&amp;$C$4,tbl_WIP[Defer Start],"")+SUMIF('Deferred Revenue'!$E$6:$E$607,$A232,'Deferred Revenue'!$P$6:$P$607)</f>
        <v/>
      </c>
      <c r="D232" s="43">
        <f>SUMIFS(tbl_WIP[Amount],tbl_WIP[Job Number],$A232,tbl_WIP[Month],$C$4,tbl_WIP[Defer Start],"")+SUMIF('Deferred Revenue'!$E$6:$E$607,$A232,'Deferred Revenue'!$Q$6:$Q$607)</f>
        <v/>
      </c>
      <c r="E232" s="43">
        <f>C232+D232</f>
        <v/>
      </c>
      <c r="F232" s="50">
        <f>IF(ROUND(C232,2)+ROUND(D232,2)=0,"","yes")</f>
        <v/>
      </c>
      <c r="G232" s="63" t="n"/>
      <c r="H232" s="43">
        <f>IF($G232="","",$E232-$G232)</f>
        <v/>
      </c>
    </row>
    <row r="233">
      <c r="A233" s="62" t="inlineStr">
        <is>
          <t>26061501</t>
        </is>
      </c>
      <c r="B233" s="62" t="inlineStr">
        <is>
          <t>DTTL MEL Lv29 Display Supply</t>
        </is>
      </c>
      <c r="C233" s="43">
        <f>SUMIFS(tbl_WIP[Amount],tbl_WIP[Job Number],$A233,tbl_WIP[Month],"&lt;&gt;",tbl_WIP[Month],"&lt;"&amp;$C$4,tbl_WIP[Defer Start],"")+SUMIF('Deferred Revenue'!$E$6:$E$607,$A233,'Deferred Revenue'!$P$6:$P$607)</f>
        <v/>
      </c>
      <c r="D233" s="43">
        <f>SUMIFS(tbl_WIP[Amount],tbl_WIP[Job Number],$A233,tbl_WIP[Month],$C$4,tbl_WIP[Defer Start],"")+SUMIF('Deferred Revenue'!$E$6:$E$607,$A233,'Deferred Revenue'!$Q$6:$Q$607)</f>
        <v/>
      </c>
      <c r="E233" s="43">
        <f>C233+D233</f>
        <v/>
      </c>
      <c r="F233" s="50">
        <f>IF(ROUND(C233,2)+ROUND(D233,2)=0,"","yes")</f>
        <v/>
      </c>
      <c r="G233" s="63" t="n"/>
      <c r="H233" s="43">
        <f>IF($G233="","",$E233-$G233)</f>
        <v/>
      </c>
    </row>
    <row r="234">
      <c r="A234" s="62" t="inlineStr">
        <is>
          <t>26061602</t>
        </is>
      </c>
      <c r="B234" s="62" t="inlineStr">
        <is>
          <t>ASX - CEO Connect (Extended) - 1.9.26</t>
        </is>
      </c>
      <c r="C234" s="43">
        <f>SUMIFS(tbl_WIP[Amount],tbl_WIP[Job Number],$A234,tbl_WIP[Month],"&lt;&gt;",tbl_WIP[Month],"&lt;"&amp;$C$4,tbl_WIP[Defer Start],"")+SUMIF('Deferred Revenue'!$E$6:$E$607,$A234,'Deferred Revenue'!$P$6:$P$607)</f>
        <v/>
      </c>
      <c r="D234" s="43">
        <f>SUMIFS(tbl_WIP[Amount],tbl_WIP[Job Number],$A234,tbl_WIP[Month],$C$4,tbl_WIP[Defer Start],"")+SUMIF('Deferred Revenue'!$E$6:$E$607,$A234,'Deferred Revenue'!$Q$6:$Q$607)</f>
        <v/>
      </c>
      <c r="E234" s="43">
        <f>C234+D234</f>
        <v/>
      </c>
      <c r="F234" s="50">
        <f>IF(ROUND(C234,2)+ROUND(D234,2)=0,"","yes")</f>
        <v/>
      </c>
      <c r="G234" s="63" t="n"/>
      <c r="H234" s="43">
        <f>IF($G234="","",$E234-$G234)</f>
        <v/>
      </c>
    </row>
    <row r="235">
      <c r="A235" s="62" t="inlineStr">
        <is>
          <t>26061602V</t>
        </is>
      </c>
      <c r="B235" s="62" t="inlineStr">
        <is>
          <t>ASX - CEO Connect (Extended) - 1.9.26</t>
        </is>
      </c>
      <c r="C235" s="43">
        <f>SUMIFS(tbl_WIP[Amount],tbl_WIP[Job Number],$A235,tbl_WIP[Month],"&lt;&gt;",tbl_WIP[Month],"&lt;"&amp;$C$4,tbl_WIP[Defer Start],"")+SUMIF('Deferred Revenue'!$E$6:$E$607,$A235,'Deferred Revenue'!$P$6:$P$607)</f>
        <v/>
      </c>
      <c r="D235" s="43">
        <f>SUMIFS(tbl_WIP[Amount],tbl_WIP[Job Number],$A235,tbl_WIP[Month],$C$4,tbl_WIP[Defer Start],"")+SUMIF('Deferred Revenue'!$E$6:$E$607,$A235,'Deferred Revenue'!$Q$6:$Q$607)</f>
        <v/>
      </c>
      <c r="E235" s="43">
        <f>C235+D235</f>
        <v/>
      </c>
      <c r="F235" s="50">
        <f>IF(ROUND(C235,2)+ROUND(D235,2)=0,"","yes")</f>
        <v/>
      </c>
      <c r="G235" s="63" t="n"/>
      <c r="H235" s="43">
        <f>IF($G235="","",$E235-$G235)</f>
        <v/>
      </c>
    </row>
    <row r="236">
      <c r="A236" s="62" t="inlineStr">
        <is>
          <t>26061605</t>
        </is>
      </c>
      <c r="B236" s="62" t="inlineStr">
        <is>
          <t>MUFG - IBM Ltd AGM - 27.10.26</t>
        </is>
      </c>
      <c r="C236" s="43">
        <f>SUMIFS(tbl_WIP[Amount],tbl_WIP[Job Number],$A236,tbl_WIP[Month],"&lt;&gt;",tbl_WIP[Month],"&lt;"&amp;$C$4,tbl_WIP[Defer Start],"")+SUMIF('Deferred Revenue'!$E$6:$E$607,$A236,'Deferred Revenue'!$P$6:$P$607)</f>
        <v/>
      </c>
      <c r="D236" s="43">
        <f>SUMIFS(tbl_WIP[Amount],tbl_WIP[Job Number],$A236,tbl_WIP[Month],$C$4,tbl_WIP[Defer Start],"")+SUMIF('Deferred Revenue'!$E$6:$E$607,$A236,'Deferred Revenue'!$Q$6:$Q$607)</f>
        <v/>
      </c>
      <c r="E236" s="43">
        <f>C236+D236</f>
        <v/>
      </c>
      <c r="F236" s="50">
        <f>IF(ROUND(C236,2)+ROUND(D236,2)=0,"","yes")</f>
        <v/>
      </c>
      <c r="G236" s="63" t="n"/>
      <c r="H236" s="43">
        <f>IF($G236="","",$E236-$G236)</f>
        <v/>
      </c>
    </row>
    <row r="237">
      <c r="A237" s="62" t="inlineStr">
        <is>
          <t>26061605V</t>
        </is>
      </c>
      <c r="B237" s="62" t="inlineStr">
        <is>
          <t>MUFG - IBM Ltd AGM - 27.10.26</t>
        </is>
      </c>
      <c r="C237" s="43">
        <f>SUMIFS(tbl_WIP[Amount],tbl_WIP[Job Number],$A237,tbl_WIP[Month],"&lt;&gt;",tbl_WIP[Month],"&lt;"&amp;$C$4,tbl_WIP[Defer Start],"")+SUMIF('Deferred Revenue'!$E$6:$E$607,$A237,'Deferred Revenue'!$P$6:$P$607)</f>
        <v/>
      </c>
      <c r="D237" s="43">
        <f>SUMIFS(tbl_WIP[Amount],tbl_WIP[Job Number],$A237,tbl_WIP[Month],$C$4,tbl_WIP[Defer Start],"")+SUMIF('Deferred Revenue'!$E$6:$E$607,$A237,'Deferred Revenue'!$Q$6:$Q$607)</f>
        <v/>
      </c>
      <c r="E237" s="43">
        <f>C237+D237</f>
        <v/>
      </c>
      <c r="F237" s="50">
        <f>IF(ROUND(C237,2)+ROUND(D237,2)=0,"","yes")</f>
        <v/>
      </c>
      <c r="G237" s="63" t="n"/>
      <c r="H237" s="43">
        <f>IF($G237="","",$E237-$G237)</f>
        <v/>
      </c>
    </row>
    <row r="238">
      <c r="A238" s="62" t="inlineStr">
        <is>
          <t>26061606</t>
        </is>
      </c>
      <c r="B238" s="62" t="inlineStr">
        <is>
          <t>MUFG - Endeavour AGM - 30.10.26</t>
        </is>
      </c>
      <c r="C238" s="43">
        <f>SUMIFS(tbl_WIP[Amount],tbl_WIP[Job Number],$A238,tbl_WIP[Month],"&lt;&gt;",tbl_WIP[Month],"&lt;"&amp;$C$4,tbl_WIP[Defer Start],"")+SUMIF('Deferred Revenue'!$E$6:$E$607,$A238,'Deferred Revenue'!$P$6:$P$607)</f>
        <v/>
      </c>
      <c r="D238" s="43">
        <f>SUMIFS(tbl_WIP[Amount],tbl_WIP[Job Number],$A238,tbl_WIP[Month],$C$4,tbl_WIP[Defer Start],"")+SUMIF('Deferred Revenue'!$E$6:$E$607,$A238,'Deferred Revenue'!$Q$6:$Q$607)</f>
        <v/>
      </c>
      <c r="E238" s="43">
        <f>C238+D238</f>
        <v/>
      </c>
      <c r="F238" s="50">
        <f>IF(ROUND(C238,2)+ROUND(D238,2)=0,"","yes")</f>
        <v/>
      </c>
      <c r="G238" s="63" t="n"/>
      <c r="H238" s="43">
        <f>IF($G238="","",$E238-$G238)</f>
        <v/>
      </c>
    </row>
    <row r="239">
      <c r="A239" s="62" t="inlineStr">
        <is>
          <t>26061606V</t>
        </is>
      </c>
      <c r="B239" s="62" t="inlineStr">
        <is>
          <t>MUFG - Endeavour AGM - 30.10.26</t>
        </is>
      </c>
      <c r="C239" s="43">
        <f>SUMIFS(tbl_WIP[Amount],tbl_WIP[Job Number],$A239,tbl_WIP[Month],"&lt;&gt;",tbl_WIP[Month],"&lt;"&amp;$C$4,tbl_WIP[Defer Start],"")+SUMIF('Deferred Revenue'!$E$6:$E$607,$A239,'Deferred Revenue'!$P$6:$P$607)</f>
        <v/>
      </c>
      <c r="D239" s="43">
        <f>SUMIFS(tbl_WIP[Amount],tbl_WIP[Job Number],$A239,tbl_WIP[Month],$C$4,tbl_WIP[Defer Start],"")+SUMIF('Deferred Revenue'!$E$6:$E$607,$A239,'Deferred Revenue'!$Q$6:$Q$607)</f>
        <v/>
      </c>
      <c r="E239" s="43">
        <f>C239+D239</f>
        <v/>
      </c>
      <c r="F239" s="50">
        <f>IF(ROUND(C239,2)+ROUND(D239,2)=0,"","yes")</f>
        <v/>
      </c>
      <c r="G239" s="63" t="n"/>
      <c r="H239" s="43">
        <f>IF($G239="","",$E239-$G239)</f>
        <v/>
      </c>
    </row>
    <row r="240">
      <c r="A240" s="62" t="inlineStr">
        <is>
          <t>26061607</t>
        </is>
      </c>
      <c r="B240" s="62" t="inlineStr">
        <is>
          <t>APA - Qtly All Hands (BNE) - 4.11.26</t>
        </is>
      </c>
      <c r="C240" s="43">
        <f>SUMIFS(tbl_WIP[Amount],tbl_WIP[Job Number],$A240,tbl_WIP[Month],"&lt;&gt;",tbl_WIP[Month],"&lt;"&amp;$C$4,tbl_WIP[Defer Start],"")+SUMIF('Deferred Revenue'!$E$6:$E$607,$A240,'Deferred Revenue'!$P$6:$P$607)</f>
        <v/>
      </c>
      <c r="D240" s="43">
        <f>SUMIFS(tbl_WIP[Amount],tbl_WIP[Job Number],$A240,tbl_WIP[Month],$C$4,tbl_WIP[Defer Start],"")+SUMIF('Deferred Revenue'!$E$6:$E$607,$A240,'Deferred Revenue'!$Q$6:$Q$607)</f>
        <v/>
      </c>
      <c r="E240" s="43">
        <f>C240+D240</f>
        <v/>
      </c>
      <c r="F240" s="50">
        <f>IF(ROUND(C240,2)+ROUND(D240,2)=0,"","yes")</f>
        <v/>
      </c>
      <c r="G240" s="63" t="n"/>
      <c r="H240" s="43">
        <f>IF($G240="","",$E240-$G240)</f>
        <v/>
      </c>
    </row>
    <row r="241">
      <c r="A241" s="62" t="inlineStr">
        <is>
          <t>26061607V</t>
        </is>
      </c>
      <c r="B241" s="62" t="inlineStr">
        <is>
          <t>APA - Qtly All Hands (BNE) - 4.11.26</t>
        </is>
      </c>
      <c r="C241" s="43">
        <f>SUMIFS(tbl_WIP[Amount],tbl_WIP[Job Number],$A241,tbl_WIP[Month],"&lt;&gt;",tbl_WIP[Month],"&lt;"&amp;$C$4,tbl_WIP[Defer Start],"")+SUMIF('Deferred Revenue'!$E$6:$E$607,$A241,'Deferred Revenue'!$P$6:$P$607)</f>
        <v/>
      </c>
      <c r="D241" s="43">
        <f>SUMIFS(tbl_WIP[Amount],tbl_WIP[Job Number],$A241,tbl_WIP[Month],$C$4,tbl_WIP[Defer Start],"")+SUMIF('Deferred Revenue'!$E$6:$E$607,$A241,'Deferred Revenue'!$Q$6:$Q$607)</f>
        <v/>
      </c>
      <c r="E241" s="43">
        <f>C241+D241</f>
        <v/>
      </c>
      <c r="F241" s="50">
        <f>IF(ROUND(C241,2)+ROUND(D241,2)=0,"","yes")</f>
        <v/>
      </c>
      <c r="G241" s="63" t="n"/>
      <c r="H241" s="43">
        <f>IF($G241="","",$E241-$G241)</f>
        <v/>
      </c>
    </row>
    <row r="242">
      <c r="A242" s="62" t="inlineStr">
        <is>
          <t>26061608</t>
        </is>
      </c>
      <c r="B242" s="62" t="inlineStr">
        <is>
          <t>APA - Qtly All Hands Sydney - Feb 27</t>
        </is>
      </c>
      <c r="C242" s="43">
        <f>SUMIFS(tbl_WIP[Amount],tbl_WIP[Job Number],$A242,tbl_WIP[Month],"&lt;&gt;",tbl_WIP[Month],"&lt;"&amp;$C$4,tbl_WIP[Defer Start],"")+SUMIF('Deferred Revenue'!$E$6:$E$607,$A242,'Deferred Revenue'!$P$6:$P$607)</f>
        <v/>
      </c>
      <c r="D242" s="43">
        <f>SUMIFS(tbl_WIP[Amount],tbl_WIP[Job Number],$A242,tbl_WIP[Month],$C$4,tbl_WIP[Defer Start],"")+SUMIF('Deferred Revenue'!$E$6:$E$607,$A242,'Deferred Revenue'!$Q$6:$Q$607)</f>
        <v/>
      </c>
      <c r="E242" s="43">
        <f>C242+D242</f>
        <v/>
      </c>
      <c r="F242" s="50">
        <f>IF(ROUND(C242,2)+ROUND(D242,2)=0,"","yes")</f>
        <v/>
      </c>
      <c r="G242" s="63" t="n"/>
      <c r="H242" s="43">
        <f>IF($G242="","",$E242-$G242)</f>
        <v/>
      </c>
    </row>
    <row r="243">
      <c r="A243" s="62" t="inlineStr">
        <is>
          <t>26061608V</t>
        </is>
      </c>
      <c r="B243" s="62" t="inlineStr">
        <is>
          <t>APA - Qtly All Hands Sydney - Feb 27</t>
        </is>
      </c>
      <c r="C243" s="43">
        <f>SUMIFS(tbl_WIP[Amount],tbl_WIP[Job Number],$A243,tbl_WIP[Month],"&lt;&gt;",tbl_WIP[Month],"&lt;"&amp;$C$4,tbl_WIP[Defer Start],"")+SUMIF('Deferred Revenue'!$E$6:$E$607,$A243,'Deferred Revenue'!$P$6:$P$607)</f>
        <v/>
      </c>
      <c r="D243" s="43">
        <f>SUMIFS(tbl_WIP[Amount],tbl_WIP[Job Number],$A243,tbl_WIP[Month],$C$4,tbl_WIP[Defer Start],"")+SUMIF('Deferred Revenue'!$E$6:$E$607,$A243,'Deferred Revenue'!$Q$6:$Q$607)</f>
        <v/>
      </c>
      <c r="E243" s="43">
        <f>C243+D243</f>
        <v/>
      </c>
      <c r="F243" s="50">
        <f>IF(ROUND(C243,2)+ROUND(D243,2)=0,"","yes")</f>
        <v/>
      </c>
      <c r="G243" s="63" t="n"/>
      <c r="H243" s="43">
        <f>IF($G243="","",$E243-$G243)</f>
        <v/>
      </c>
    </row>
    <row r="244">
      <c r="A244" s="62" t="inlineStr">
        <is>
          <t>26061609</t>
        </is>
      </c>
      <c r="B244" s="62" t="inlineStr">
        <is>
          <t>APA Qtly All Hands Perth - May 2027</t>
        </is>
      </c>
      <c r="C244" s="43">
        <f>SUMIFS(tbl_WIP[Amount],tbl_WIP[Job Number],$A244,tbl_WIP[Month],"&lt;&gt;",tbl_WIP[Month],"&lt;"&amp;$C$4,tbl_WIP[Defer Start],"")+SUMIF('Deferred Revenue'!$E$6:$E$607,$A244,'Deferred Revenue'!$P$6:$P$607)</f>
        <v/>
      </c>
      <c r="D244" s="43">
        <f>SUMIFS(tbl_WIP[Amount],tbl_WIP[Job Number],$A244,tbl_WIP[Month],$C$4,tbl_WIP[Defer Start],"")+SUMIF('Deferred Revenue'!$E$6:$E$607,$A244,'Deferred Revenue'!$Q$6:$Q$607)</f>
        <v/>
      </c>
      <c r="E244" s="43">
        <f>C244+D244</f>
        <v/>
      </c>
      <c r="F244" s="50">
        <f>IF(ROUND(C244,2)+ROUND(D244,2)=0,"","yes")</f>
        <v/>
      </c>
      <c r="G244" s="63" t="n"/>
      <c r="H244" s="43">
        <f>IF($G244="","",$E244-$G244)</f>
        <v/>
      </c>
    </row>
    <row r="245">
      <c r="A245" s="62" t="inlineStr">
        <is>
          <t>26061609V</t>
        </is>
      </c>
      <c r="B245" s="62" t="inlineStr">
        <is>
          <t>APA Qtly All Hands Perth - May 2027</t>
        </is>
      </c>
      <c r="C245" s="43">
        <f>SUMIFS(tbl_WIP[Amount],tbl_WIP[Job Number],$A245,tbl_WIP[Month],"&lt;&gt;",tbl_WIP[Month],"&lt;"&amp;$C$4,tbl_WIP[Defer Start],"")+SUMIF('Deferred Revenue'!$E$6:$E$607,$A245,'Deferred Revenue'!$P$6:$P$607)</f>
        <v/>
      </c>
      <c r="D245" s="43">
        <f>SUMIFS(tbl_WIP[Amount],tbl_WIP[Job Number],$A245,tbl_WIP[Month],$C$4,tbl_WIP[Defer Start],"")+SUMIF('Deferred Revenue'!$E$6:$E$607,$A245,'Deferred Revenue'!$Q$6:$Q$607)</f>
        <v/>
      </c>
      <c r="E245" s="43">
        <f>C245+D245</f>
        <v/>
      </c>
      <c r="F245" s="50">
        <f>IF(ROUND(C245,2)+ROUND(D245,2)=0,"","yes")</f>
        <v/>
      </c>
      <c r="G245" s="63" t="n"/>
      <c r="H245" s="43">
        <f>IF($G245="","",$E245-$G245)</f>
        <v/>
      </c>
    </row>
    <row r="246">
      <c r="A246" s="62" t="inlineStr">
        <is>
          <t>26061611</t>
        </is>
      </c>
      <c r="B246" s="62" t="inlineStr">
        <is>
          <t>QBE - Keynote Event - 27.10.26</t>
        </is>
      </c>
      <c r="C246" s="43">
        <f>SUMIFS(tbl_WIP[Amount],tbl_WIP[Job Number],$A246,tbl_WIP[Month],"&lt;&gt;",tbl_WIP[Month],"&lt;"&amp;$C$4,tbl_WIP[Defer Start],"")+SUMIF('Deferred Revenue'!$E$6:$E$607,$A246,'Deferred Revenue'!$P$6:$P$607)</f>
        <v/>
      </c>
      <c r="D246" s="43">
        <f>SUMIFS(tbl_WIP[Amount],tbl_WIP[Job Number],$A246,tbl_WIP[Month],$C$4,tbl_WIP[Defer Start],"")+SUMIF('Deferred Revenue'!$E$6:$E$607,$A246,'Deferred Revenue'!$Q$6:$Q$607)</f>
        <v/>
      </c>
      <c r="E246" s="43">
        <f>C246+D246</f>
        <v/>
      </c>
      <c r="F246" s="50">
        <f>IF(ROUND(C246,2)+ROUND(D246,2)=0,"","yes")</f>
        <v/>
      </c>
      <c r="G246" s="63" t="n"/>
      <c r="H246" s="43">
        <f>IF($G246="","",$E246-$G246)</f>
        <v/>
      </c>
    </row>
    <row r="247">
      <c r="A247" s="62" t="inlineStr">
        <is>
          <t>26061611V</t>
        </is>
      </c>
      <c r="B247" s="62" t="inlineStr">
        <is>
          <t>QBE - Keynote Event - 27.10.26</t>
        </is>
      </c>
      <c r="C247" s="43">
        <f>SUMIFS(tbl_WIP[Amount],tbl_WIP[Job Number],$A247,tbl_WIP[Month],"&lt;&gt;",tbl_WIP[Month],"&lt;"&amp;$C$4,tbl_WIP[Defer Start],"")+SUMIF('Deferred Revenue'!$E$6:$E$607,$A247,'Deferred Revenue'!$P$6:$P$607)</f>
        <v/>
      </c>
      <c r="D247" s="43">
        <f>SUMIFS(tbl_WIP[Amount],tbl_WIP[Job Number],$A247,tbl_WIP[Month],$C$4,tbl_WIP[Defer Start],"")+SUMIF('Deferred Revenue'!$E$6:$E$607,$A247,'Deferred Revenue'!$Q$6:$Q$607)</f>
        <v/>
      </c>
      <c r="E247" s="43">
        <f>C247+D247</f>
        <v/>
      </c>
      <c r="F247" s="50">
        <f>IF(ROUND(C247,2)+ROUND(D247,2)=0,"","yes")</f>
        <v/>
      </c>
      <c r="G247" s="63" t="n"/>
      <c r="H247" s="43">
        <f>IF($G247="","",$E247-$G247)</f>
        <v/>
      </c>
    </row>
    <row r="248">
      <c r="A248" s="62" t="inlineStr">
        <is>
          <t>26061612</t>
        </is>
      </c>
      <c r="B248" s="62" t="inlineStr">
        <is>
          <t>Chorus Call - Redox AGM - 7.10.26</t>
        </is>
      </c>
      <c r="C248" s="43">
        <f>SUMIFS(tbl_WIP[Amount],tbl_WIP[Job Number],$A248,tbl_WIP[Month],"&lt;&gt;",tbl_WIP[Month],"&lt;"&amp;$C$4,tbl_WIP[Defer Start],"")+SUMIF('Deferred Revenue'!$E$6:$E$607,$A248,'Deferred Revenue'!$P$6:$P$607)</f>
        <v/>
      </c>
      <c r="D248" s="43">
        <f>SUMIFS(tbl_WIP[Amount],tbl_WIP[Job Number],$A248,tbl_WIP[Month],$C$4,tbl_WIP[Defer Start],"")+SUMIF('Deferred Revenue'!$E$6:$E$607,$A248,'Deferred Revenue'!$Q$6:$Q$607)</f>
        <v/>
      </c>
      <c r="E248" s="43">
        <f>C248+D248</f>
        <v/>
      </c>
      <c r="F248" s="50">
        <f>IF(ROUND(C248,2)+ROUND(D248,2)=0,"","yes")</f>
        <v/>
      </c>
      <c r="G248" s="63" t="n"/>
      <c r="H248" s="43">
        <f>IF($G248="","",$E248-$G248)</f>
        <v/>
      </c>
    </row>
    <row r="249">
      <c r="A249" s="62" t="inlineStr">
        <is>
          <t>26061612V</t>
        </is>
      </c>
      <c r="B249" s="62" t="inlineStr">
        <is>
          <t>Chorus Call - Redox AGM - 7.10.26</t>
        </is>
      </c>
      <c r="C249" s="43">
        <f>SUMIFS(tbl_WIP[Amount],tbl_WIP[Job Number],$A249,tbl_WIP[Month],"&lt;&gt;",tbl_WIP[Month],"&lt;"&amp;$C$4,tbl_WIP[Defer Start],"")+SUMIF('Deferred Revenue'!$E$6:$E$607,$A249,'Deferred Revenue'!$P$6:$P$607)</f>
        <v/>
      </c>
      <c r="D249" s="43">
        <f>SUMIFS(tbl_WIP[Amount],tbl_WIP[Job Number],$A249,tbl_WIP[Month],$C$4,tbl_WIP[Defer Start],"")+SUMIF('Deferred Revenue'!$E$6:$E$607,$A249,'Deferred Revenue'!$Q$6:$Q$607)</f>
        <v/>
      </c>
      <c r="E249" s="43">
        <f>C249+D249</f>
        <v/>
      </c>
      <c r="F249" s="50">
        <f>IF(ROUND(C249,2)+ROUND(D249,2)=0,"","yes")</f>
        <v/>
      </c>
      <c r="G249" s="63" t="n"/>
      <c r="H249" s="43">
        <f>IF($G249="","",$E249-$G249)</f>
        <v/>
      </c>
    </row>
    <row r="250">
      <c r="A250" s="62" t="inlineStr">
        <is>
          <t>26061701</t>
        </is>
      </c>
      <c r="B250" s="62" t="inlineStr">
        <is>
          <t>CBA - LES - July 2026</t>
        </is>
      </c>
      <c r="C250" s="43">
        <f>SUMIFS(tbl_WIP[Amount],tbl_WIP[Job Number],$A250,tbl_WIP[Month],"&lt;&gt;",tbl_WIP[Month],"&lt;"&amp;$C$4,tbl_WIP[Defer Start],"")+SUMIF('Deferred Revenue'!$E$6:$E$607,$A250,'Deferred Revenue'!$P$6:$P$607)</f>
        <v/>
      </c>
      <c r="D250" s="43">
        <f>SUMIFS(tbl_WIP[Amount],tbl_WIP[Job Number],$A250,tbl_WIP[Month],$C$4,tbl_WIP[Defer Start],"")+SUMIF('Deferred Revenue'!$E$6:$E$607,$A250,'Deferred Revenue'!$Q$6:$Q$607)</f>
        <v/>
      </c>
      <c r="E250" s="43">
        <f>C250+D250</f>
        <v/>
      </c>
      <c r="F250" s="50">
        <f>IF(ROUND(C250,2)+ROUND(D250,2)=0,"","yes")</f>
        <v/>
      </c>
      <c r="G250" s="63" t="n"/>
      <c r="H250" s="43">
        <f>IF($G250="","",$E250-$G250)</f>
        <v/>
      </c>
    </row>
    <row r="251">
      <c r="A251" s="62" t="inlineStr">
        <is>
          <t>26061702</t>
        </is>
      </c>
      <c r="B251" s="62" t="inlineStr">
        <is>
          <t>Garvan - Morning Tea Event - 31.7.26</t>
        </is>
      </c>
      <c r="C251" s="43">
        <f>SUMIFS(tbl_WIP[Amount],tbl_WIP[Job Number],$A251,tbl_WIP[Month],"&lt;&gt;",tbl_WIP[Month],"&lt;"&amp;$C$4,tbl_WIP[Defer Start],"")+SUMIF('Deferred Revenue'!$E$6:$E$607,$A251,'Deferred Revenue'!$P$6:$P$607)</f>
        <v/>
      </c>
      <c r="D251" s="43">
        <f>SUMIFS(tbl_WIP[Amount],tbl_WIP[Job Number],$A251,tbl_WIP[Month],$C$4,tbl_WIP[Defer Start],"")+SUMIF('Deferred Revenue'!$E$6:$E$607,$A251,'Deferred Revenue'!$Q$6:$Q$607)</f>
        <v/>
      </c>
      <c r="E251" s="43">
        <f>C251+D251</f>
        <v/>
      </c>
      <c r="F251" s="50">
        <f>IF(ROUND(C251,2)+ROUND(D251,2)=0,"","yes")</f>
        <v/>
      </c>
      <c r="G251" s="63" t="n"/>
      <c r="H251" s="43">
        <f>IF($G251="","",$E251-$G251)</f>
        <v/>
      </c>
    </row>
    <row r="252">
      <c r="A252" s="62" t="inlineStr">
        <is>
          <t>26061801</t>
        </is>
      </c>
      <c r="B252" s="62" t="inlineStr">
        <is>
          <t>APA - Investor Briefing FYR26 - 20.8.26</t>
        </is>
      </c>
      <c r="C252" s="43">
        <f>SUMIFS(tbl_WIP[Amount],tbl_WIP[Job Number],$A252,tbl_WIP[Month],"&lt;&gt;",tbl_WIP[Month],"&lt;"&amp;$C$4,tbl_WIP[Defer Start],"")+SUMIF('Deferred Revenue'!$E$6:$E$607,$A252,'Deferred Revenue'!$P$6:$P$607)</f>
        <v/>
      </c>
      <c r="D252" s="43">
        <f>SUMIFS(tbl_WIP[Amount],tbl_WIP[Job Number],$A252,tbl_WIP[Month],$C$4,tbl_WIP[Defer Start],"")+SUMIF('Deferred Revenue'!$E$6:$E$607,$A252,'Deferred Revenue'!$Q$6:$Q$607)</f>
        <v/>
      </c>
      <c r="E252" s="43">
        <f>C252+D252</f>
        <v/>
      </c>
      <c r="F252" s="50">
        <f>IF(ROUND(C252,2)+ROUND(D252,2)=0,"","yes")</f>
        <v/>
      </c>
      <c r="G252" s="63" t="n"/>
      <c r="H252" s="43">
        <f>IF($G252="","",$E252-$G252)</f>
        <v/>
      </c>
    </row>
    <row r="253">
      <c r="A253" s="62" t="inlineStr">
        <is>
          <t>26061801V</t>
        </is>
      </c>
      <c r="B253" s="62" t="inlineStr">
        <is>
          <t>APA - Investor Briefing FYR26 - 20.8.26</t>
        </is>
      </c>
      <c r="C253" s="43">
        <f>SUMIFS(tbl_WIP[Amount],tbl_WIP[Job Number],$A253,tbl_WIP[Month],"&lt;&gt;",tbl_WIP[Month],"&lt;"&amp;$C$4,tbl_WIP[Defer Start],"")+SUMIF('Deferred Revenue'!$E$6:$E$607,$A253,'Deferred Revenue'!$P$6:$P$607)</f>
        <v/>
      </c>
      <c r="D253" s="43">
        <f>SUMIFS(tbl_WIP[Amount],tbl_WIP[Job Number],$A253,tbl_WIP[Month],$C$4,tbl_WIP[Defer Start],"")+SUMIF('Deferred Revenue'!$E$6:$E$607,$A253,'Deferred Revenue'!$Q$6:$Q$607)</f>
        <v/>
      </c>
      <c r="E253" s="43">
        <f>C253+D253</f>
        <v/>
      </c>
      <c r="F253" s="50">
        <f>IF(ROUND(C253,2)+ROUND(D253,2)=0,"","yes")</f>
        <v/>
      </c>
      <c r="G253" s="63" t="n"/>
      <c r="H253" s="43">
        <f>IF($G253="","",$E253-$G253)</f>
        <v/>
      </c>
    </row>
    <row r="254">
      <c r="A254" s="62" t="inlineStr">
        <is>
          <t>26062201</t>
        </is>
      </c>
      <c r="B254" s="62" t="inlineStr">
        <is>
          <t>PWC - Tax &amp; Legal Webcast 02.07.26</t>
        </is>
      </c>
      <c r="C254" s="43">
        <f>SUMIFS(tbl_WIP[Amount],tbl_WIP[Job Number],$A254,tbl_WIP[Month],"&lt;&gt;",tbl_WIP[Month],"&lt;"&amp;$C$4,tbl_WIP[Defer Start],"")+SUMIF('Deferred Revenue'!$E$6:$E$607,$A254,'Deferred Revenue'!$P$6:$P$607)</f>
        <v/>
      </c>
      <c r="D254" s="43">
        <f>SUMIFS(tbl_WIP[Amount],tbl_WIP[Job Number],$A254,tbl_WIP[Month],$C$4,tbl_WIP[Defer Start],"")+SUMIF('Deferred Revenue'!$E$6:$E$607,$A254,'Deferred Revenue'!$Q$6:$Q$607)</f>
        <v/>
      </c>
      <c r="E254" s="43">
        <f>C254+D254</f>
        <v/>
      </c>
      <c r="F254" s="50">
        <f>IF(ROUND(C254,2)+ROUND(D254,2)=0,"","yes")</f>
        <v/>
      </c>
      <c r="G254" s="63" t="n"/>
      <c r="H254" s="43">
        <f>IF($G254="","",$E254-$G254)</f>
        <v/>
      </c>
    </row>
    <row r="255">
      <c r="A255" s="62" t="inlineStr">
        <is>
          <t>26062201V</t>
        </is>
      </c>
      <c r="B255" s="62" t="inlineStr">
        <is>
          <t>PWC - Tax &amp; Legal Webcast 02.07.26</t>
        </is>
      </c>
      <c r="C255" s="43">
        <f>SUMIFS(tbl_WIP[Amount],tbl_WIP[Job Number],$A255,tbl_WIP[Month],"&lt;&gt;",tbl_WIP[Month],"&lt;"&amp;$C$4,tbl_WIP[Defer Start],"")+SUMIF('Deferred Revenue'!$E$6:$E$607,$A255,'Deferred Revenue'!$P$6:$P$607)</f>
        <v/>
      </c>
      <c r="D255" s="43">
        <f>SUMIFS(tbl_WIP[Amount],tbl_WIP[Job Number],$A255,tbl_WIP[Month],$C$4,tbl_WIP[Defer Start],"")+SUMIF('Deferred Revenue'!$E$6:$E$607,$A255,'Deferred Revenue'!$Q$6:$Q$607)</f>
        <v/>
      </c>
      <c r="E255" s="43">
        <f>C255+D255</f>
        <v/>
      </c>
      <c r="F255" s="50">
        <f>IF(ROUND(C255,2)+ROUND(D255,2)=0,"","yes")</f>
        <v/>
      </c>
      <c r="G255" s="63" t="n"/>
      <c r="H255" s="43">
        <f>IF($G255="","",$E255-$G255)</f>
        <v/>
      </c>
    </row>
    <row r="256">
      <c r="A256" s="62" t="inlineStr">
        <is>
          <t>26062202</t>
        </is>
      </c>
      <c r="B256" s="62" t="inlineStr">
        <is>
          <t>PWC - Early Careers Webcast - 29.7.26</t>
        </is>
      </c>
      <c r="C256" s="43">
        <f>SUMIFS(tbl_WIP[Amount],tbl_WIP[Job Number],$A256,tbl_WIP[Month],"&lt;&gt;",tbl_WIP[Month],"&lt;"&amp;$C$4,tbl_WIP[Defer Start],"")+SUMIF('Deferred Revenue'!$E$6:$E$607,$A256,'Deferred Revenue'!$P$6:$P$607)</f>
        <v/>
      </c>
      <c r="D256" s="43">
        <f>SUMIFS(tbl_WIP[Amount],tbl_WIP[Job Number],$A256,tbl_WIP[Month],$C$4,tbl_WIP[Defer Start],"")+SUMIF('Deferred Revenue'!$E$6:$E$607,$A256,'Deferred Revenue'!$Q$6:$Q$607)</f>
        <v/>
      </c>
      <c r="E256" s="43">
        <f>C256+D256</f>
        <v/>
      </c>
      <c r="F256" s="50">
        <f>IF(ROUND(C256,2)+ROUND(D256,2)=0,"","yes")</f>
        <v/>
      </c>
      <c r="G256" s="63" t="n"/>
      <c r="H256" s="43">
        <f>IF($G256="","",$E256-$G256)</f>
        <v/>
      </c>
    </row>
    <row r="257">
      <c r="A257" s="62" t="inlineStr">
        <is>
          <t>26062202V</t>
        </is>
      </c>
      <c r="B257" s="62" t="inlineStr">
        <is>
          <t>PWC - Early Careers Webcast - 29.7.26</t>
        </is>
      </c>
      <c r="C257" s="43">
        <f>SUMIFS(tbl_WIP[Amount],tbl_WIP[Job Number],$A257,tbl_WIP[Month],"&lt;&gt;",tbl_WIP[Month],"&lt;"&amp;$C$4,tbl_WIP[Defer Start],"")+SUMIF('Deferred Revenue'!$E$6:$E$607,$A257,'Deferred Revenue'!$P$6:$P$607)</f>
        <v/>
      </c>
      <c r="D257" s="43">
        <f>SUMIFS(tbl_WIP[Amount],tbl_WIP[Job Number],$A257,tbl_WIP[Month],$C$4,tbl_WIP[Defer Start],"")+SUMIF('Deferred Revenue'!$E$6:$E$607,$A257,'Deferred Revenue'!$Q$6:$Q$607)</f>
        <v/>
      </c>
      <c r="E257" s="43">
        <f>C257+D257</f>
        <v/>
      </c>
      <c r="F257" s="50">
        <f>IF(ROUND(C257,2)+ROUND(D257,2)=0,"","yes")</f>
        <v/>
      </c>
      <c r="G257" s="63" t="n"/>
      <c r="H257" s="43">
        <f>IF($G257="","",$E257-$G257)</f>
        <v/>
      </c>
    </row>
    <row r="258">
      <c r="A258" s="62" t="inlineStr">
        <is>
          <t>26062403</t>
        </is>
      </c>
      <c r="B258" s="62" t="inlineStr">
        <is>
          <t>CBA - CommBank Private Hosting 25.6.26</t>
        </is>
      </c>
      <c r="C258" s="43">
        <f>SUMIFS(tbl_WIP[Amount],tbl_WIP[Job Number],$A258,tbl_WIP[Month],"&lt;&gt;",tbl_WIP[Month],"&lt;"&amp;$C$4,tbl_WIP[Defer Start],"")+SUMIF('Deferred Revenue'!$E$6:$E$607,$A258,'Deferred Revenue'!$P$6:$P$607)</f>
        <v/>
      </c>
      <c r="D258" s="43">
        <f>SUMIFS(tbl_WIP[Amount],tbl_WIP[Job Number],$A258,tbl_WIP[Month],$C$4,tbl_WIP[Defer Start],"")+SUMIF('Deferred Revenue'!$E$6:$E$607,$A258,'Deferred Revenue'!$Q$6:$Q$607)</f>
        <v/>
      </c>
      <c r="E258" s="43">
        <f>C258+D258</f>
        <v/>
      </c>
      <c r="F258" s="50">
        <f>IF(ROUND(C258,2)+ROUND(D258,2)=0,"","yes")</f>
        <v/>
      </c>
      <c r="G258" s="63" t="n"/>
      <c r="H258" s="43">
        <f>IF($G258="","",$E258-$G258)</f>
        <v/>
      </c>
    </row>
    <row r="259">
      <c r="A259" s="62" t="inlineStr">
        <is>
          <t>26062403V</t>
        </is>
      </c>
      <c r="B259" s="62" t="inlineStr">
        <is>
          <t>CBA - CommBank Private Hosting 25.6.26</t>
        </is>
      </c>
      <c r="C259" s="43">
        <f>SUMIFS(tbl_WIP[Amount],tbl_WIP[Job Number],$A259,tbl_WIP[Month],"&lt;&gt;",tbl_WIP[Month],"&lt;"&amp;$C$4,tbl_WIP[Defer Start],"")+SUMIF('Deferred Revenue'!$E$6:$E$607,$A259,'Deferred Revenue'!$P$6:$P$607)</f>
        <v/>
      </c>
      <c r="D259" s="43">
        <f>SUMIFS(tbl_WIP[Amount],tbl_WIP[Job Number],$A259,tbl_WIP[Month],$C$4,tbl_WIP[Defer Start],"")+SUMIF('Deferred Revenue'!$E$6:$E$607,$A259,'Deferred Revenue'!$Q$6:$Q$607)</f>
        <v/>
      </c>
      <c r="E259" s="43">
        <f>C259+D259</f>
        <v/>
      </c>
      <c r="F259" s="50">
        <f>IF(ROUND(C259,2)+ROUND(D259,2)=0,"","yes")</f>
        <v/>
      </c>
      <c r="G259" s="63" t="n"/>
      <c r="H259" s="43">
        <f>IF($G259="","",$E259-$G259)</f>
        <v/>
      </c>
    </row>
    <row r="260">
      <c r="A260" s="62" t="inlineStr">
        <is>
          <t>26062501</t>
        </is>
      </c>
      <c r="B260" s="62" t="inlineStr">
        <is>
          <t>DTTL STL Travel (SYD-MEL Return)</t>
        </is>
      </c>
      <c r="C260" s="43">
        <f>SUMIFS(tbl_WIP[Amount],tbl_WIP[Job Number],$A260,tbl_WIP[Month],"&lt;&gt;",tbl_WIP[Month],"&lt;"&amp;$C$4,tbl_WIP[Defer Start],"")+SUMIF('Deferred Revenue'!$E$6:$E$607,$A260,'Deferred Revenue'!$P$6:$P$607)</f>
        <v/>
      </c>
      <c r="D260" s="43">
        <f>SUMIFS(tbl_WIP[Amount],tbl_WIP[Job Number],$A260,tbl_WIP[Month],$C$4,tbl_WIP[Defer Start],"")+SUMIF('Deferred Revenue'!$E$6:$E$607,$A260,'Deferred Revenue'!$Q$6:$Q$607)</f>
        <v/>
      </c>
      <c r="E260" s="43">
        <f>C260+D260</f>
        <v/>
      </c>
      <c r="F260" s="50">
        <f>IF(ROUND(C260,2)+ROUND(D260,2)=0,"","yes")</f>
        <v/>
      </c>
      <c r="G260" s="63" t="n"/>
      <c r="H260" s="43">
        <f>IF($G260="","",$E260-$G260)</f>
        <v/>
      </c>
    </row>
    <row r="261">
      <c r="A261" s="62" t="inlineStr">
        <is>
          <t>26062503</t>
        </is>
      </c>
      <c r="B261" s="62" t="inlineStr">
        <is>
          <t>Aware Super 24.16 UC Engine Replacement</t>
        </is>
      </c>
      <c r="C261" s="43">
        <f>SUMIFS(tbl_WIP[Amount],tbl_WIP[Job Number],$A261,tbl_WIP[Month],"&lt;&gt;",tbl_WIP[Month],"&lt;"&amp;$C$4,tbl_WIP[Defer Start],"")+SUMIF('Deferred Revenue'!$E$6:$E$607,$A261,'Deferred Revenue'!$P$6:$P$607)</f>
        <v/>
      </c>
      <c r="D261" s="43">
        <f>SUMIFS(tbl_WIP[Amount],tbl_WIP[Job Number],$A261,tbl_WIP[Month],$C$4,tbl_WIP[Defer Start],"")+SUMIF('Deferred Revenue'!$E$6:$E$607,$A261,'Deferred Revenue'!$Q$6:$Q$607)</f>
        <v/>
      </c>
      <c r="E261" s="43">
        <f>C261+D261</f>
        <v/>
      </c>
      <c r="F261" s="50">
        <f>IF(ROUND(C261,2)+ROUND(D261,2)=0,"","yes")</f>
        <v/>
      </c>
      <c r="G261" s="63" t="n"/>
      <c r="H261" s="43">
        <f>IF($G261="","",$E261-$G261)</f>
        <v/>
      </c>
    </row>
    <row r="262">
      <c r="A262" s="62" t="inlineStr">
        <is>
          <t>26062601</t>
        </is>
      </c>
      <c r="B262" s="62" t="inlineStr">
        <is>
          <t>Ventia - XELT Event - 29.6.26</t>
        </is>
      </c>
      <c r="C262" s="43">
        <f>SUMIFS(tbl_WIP[Amount],tbl_WIP[Job Number],$A262,tbl_WIP[Month],"&lt;&gt;",tbl_WIP[Month],"&lt;"&amp;$C$4,tbl_WIP[Defer Start],"")+SUMIF('Deferred Revenue'!$E$6:$E$607,$A262,'Deferred Revenue'!$P$6:$P$607)</f>
        <v/>
      </c>
      <c r="D262" s="43">
        <f>SUMIFS(tbl_WIP[Amount],tbl_WIP[Job Number],$A262,tbl_WIP[Month],$C$4,tbl_WIP[Defer Start],"")+SUMIF('Deferred Revenue'!$E$6:$E$607,$A262,'Deferred Revenue'!$Q$6:$Q$607)</f>
        <v/>
      </c>
      <c r="E262" s="43">
        <f>C262+D262</f>
        <v/>
      </c>
      <c r="F262" s="50">
        <f>IF(ROUND(C262,2)+ROUND(D262,2)=0,"","yes")</f>
        <v/>
      </c>
      <c r="G262" s="63" t="n"/>
      <c r="H262" s="43">
        <f>IF($G262="","",$E262-$G262)</f>
        <v/>
      </c>
    </row>
    <row r="263">
      <c r="A263" s="62" t="inlineStr">
        <is>
          <t>26062601V</t>
        </is>
      </c>
      <c r="B263" s="62" t="inlineStr">
        <is>
          <t>Ventia - XELT Event - 29.6.26</t>
        </is>
      </c>
      <c r="C263" s="43">
        <f>SUMIFS(tbl_WIP[Amount],tbl_WIP[Job Number],$A263,tbl_WIP[Month],"&lt;&gt;",tbl_WIP[Month],"&lt;"&amp;$C$4,tbl_WIP[Defer Start],"")+SUMIF('Deferred Revenue'!$E$6:$E$607,$A263,'Deferred Revenue'!$P$6:$P$607)</f>
        <v/>
      </c>
      <c r="D263" s="43">
        <f>SUMIFS(tbl_WIP[Amount],tbl_WIP[Job Number],$A263,tbl_WIP[Month],$C$4,tbl_WIP[Defer Start],"")+SUMIF('Deferred Revenue'!$E$6:$E$607,$A263,'Deferred Revenue'!$Q$6:$Q$607)</f>
        <v/>
      </c>
      <c r="E263" s="43">
        <f>C263+D263</f>
        <v/>
      </c>
      <c r="F263" s="50">
        <f>IF(ROUND(C263,2)+ROUND(D263,2)=0,"","yes")</f>
        <v/>
      </c>
      <c r="G263" s="63" t="n"/>
      <c r="H263" s="43">
        <f>IF($G263="","",$E263-$G263)</f>
        <v/>
      </c>
    </row>
    <row r="264">
      <c r="A264" s="62" t="inlineStr">
        <is>
          <t>26062901</t>
        </is>
      </c>
      <c r="B264" s="62" t="inlineStr">
        <is>
          <t>Aware | SYD 28.06 Services</t>
        </is>
      </c>
      <c r="C264" s="43">
        <f>SUMIFS(tbl_WIP[Amount],tbl_WIP[Job Number],$A264,tbl_WIP[Month],"&lt;&gt;",tbl_WIP[Month],"&lt;"&amp;$C$4,tbl_WIP[Defer Start],"")+SUMIF('Deferred Revenue'!$E$6:$E$607,$A264,'Deferred Revenue'!$P$6:$P$607)</f>
        <v/>
      </c>
      <c r="D264" s="43">
        <f>SUMIFS(tbl_WIP[Amount],tbl_WIP[Job Number],$A264,tbl_WIP[Month],$C$4,tbl_WIP[Defer Start],"")+SUMIF('Deferred Revenue'!$E$6:$E$607,$A264,'Deferred Revenue'!$Q$6:$Q$607)</f>
        <v/>
      </c>
      <c r="E264" s="43">
        <f>C264+D264</f>
        <v/>
      </c>
      <c r="F264" s="50">
        <f>IF(ROUND(C264,2)+ROUND(D264,2)=0,"","yes")</f>
        <v/>
      </c>
      <c r="G264" s="63" t="n"/>
      <c r="H264" s="43">
        <f>IF($G264="","",$E264-$G264)</f>
        <v/>
      </c>
    </row>
    <row r="265">
      <c r="A265" s="62" t="inlineStr">
        <is>
          <t>26062902</t>
        </is>
      </c>
      <c r="B265" s="62" t="inlineStr">
        <is>
          <t>Aware | SYD Occupancy Sensors</t>
        </is>
      </c>
      <c r="C265" s="43">
        <f>SUMIFS(tbl_WIP[Amount],tbl_WIP[Job Number],$A265,tbl_WIP[Month],"&lt;&gt;",tbl_WIP[Month],"&lt;"&amp;$C$4,tbl_WIP[Defer Start],"")+SUMIF('Deferred Revenue'!$E$6:$E$607,$A265,'Deferred Revenue'!$P$6:$P$607)</f>
        <v/>
      </c>
      <c r="D265" s="43">
        <f>SUMIFS(tbl_WIP[Amount],tbl_WIP[Job Number],$A265,tbl_WIP[Month],$C$4,tbl_WIP[Defer Start],"")+SUMIF('Deferred Revenue'!$E$6:$E$607,$A265,'Deferred Revenue'!$Q$6:$Q$607)</f>
        <v/>
      </c>
      <c r="E265" s="43">
        <f>C265+D265</f>
        <v/>
      </c>
      <c r="F265" s="50">
        <f>IF(ROUND(C265,2)+ROUND(D265,2)=0,"","yes")</f>
        <v/>
      </c>
      <c r="G265" s="63" t="n"/>
      <c r="H265" s="43">
        <f>IF($G265="","",$E265-$G265)</f>
        <v/>
      </c>
    </row>
    <row r="266">
      <c r="A266" s="62" t="inlineStr">
        <is>
          <t>26063002</t>
        </is>
      </c>
      <c r="B266" s="62" t="inlineStr">
        <is>
          <t>CEOi - CEO Connect - 11.8.26</t>
        </is>
      </c>
      <c r="C266" s="43">
        <f>SUMIFS(tbl_WIP[Amount],tbl_WIP[Job Number],$A266,tbl_WIP[Month],"&lt;&gt;",tbl_WIP[Month],"&lt;"&amp;$C$4,tbl_WIP[Defer Start],"")+SUMIF('Deferred Revenue'!$E$6:$E$607,$A266,'Deferred Revenue'!$P$6:$P$607)</f>
        <v/>
      </c>
      <c r="D266" s="43">
        <f>SUMIFS(tbl_WIP[Amount],tbl_WIP[Job Number],$A266,tbl_WIP[Month],$C$4,tbl_WIP[Defer Start],"")+SUMIF('Deferred Revenue'!$E$6:$E$607,$A266,'Deferred Revenue'!$Q$6:$Q$607)</f>
        <v/>
      </c>
      <c r="E266" s="43">
        <f>C266+D266</f>
        <v/>
      </c>
      <c r="F266" s="50">
        <f>IF(ROUND(C266,2)+ROUND(D266,2)=0,"","yes")</f>
        <v/>
      </c>
      <c r="G266" s="63" t="n"/>
      <c r="H266" s="43">
        <f>IF($G266="","",$E266-$G266)</f>
        <v/>
      </c>
    </row>
    <row r="267">
      <c r="A267" s="62" t="inlineStr">
        <is>
          <t>26063002V</t>
        </is>
      </c>
      <c r="B267" s="62" t="inlineStr">
        <is>
          <t>CEOi - CEO Connect - 11.8.26</t>
        </is>
      </c>
      <c r="C267" s="43">
        <f>SUMIFS(tbl_WIP[Amount],tbl_WIP[Job Number],$A267,tbl_WIP[Month],"&lt;&gt;",tbl_WIP[Month],"&lt;"&amp;$C$4,tbl_WIP[Defer Start],"")+SUMIF('Deferred Revenue'!$E$6:$E$607,$A267,'Deferred Revenue'!$P$6:$P$607)</f>
        <v/>
      </c>
      <c r="D267" s="43">
        <f>SUMIFS(tbl_WIP[Amount],tbl_WIP[Job Number],$A267,tbl_WIP[Month],$C$4,tbl_WIP[Defer Start],"")+SUMIF('Deferred Revenue'!$E$6:$E$607,$A267,'Deferred Revenue'!$Q$6:$Q$607)</f>
        <v/>
      </c>
      <c r="E267" s="43">
        <f>C267+D267</f>
        <v/>
      </c>
      <c r="F267" s="50">
        <f>IF(ROUND(C267,2)+ROUND(D267,2)=0,"","yes")</f>
        <v/>
      </c>
      <c r="G267" s="63" t="n"/>
      <c r="H267" s="43">
        <f>IF($G267="","",$E267-$G267)</f>
        <v/>
      </c>
    </row>
    <row r="268">
      <c r="A268" s="62" t="inlineStr">
        <is>
          <t>2606401V</t>
        </is>
      </c>
      <c r="B268" s="62" t="inlineStr">
        <is>
          <t>PWC - NRW Webcast - 11.6.26</t>
        </is>
      </c>
      <c r="C268" s="43">
        <f>SUMIFS(tbl_WIP[Amount],tbl_WIP[Job Number],$A268,tbl_WIP[Month],"&lt;&gt;",tbl_WIP[Month],"&lt;"&amp;$C$4,tbl_WIP[Defer Start],"")+SUMIF('Deferred Revenue'!$E$6:$E$607,$A268,'Deferred Revenue'!$P$6:$P$607)</f>
        <v/>
      </c>
      <c r="D268" s="43">
        <f>SUMIFS(tbl_WIP[Amount],tbl_WIP[Job Number],$A268,tbl_WIP[Month],$C$4,tbl_WIP[Defer Start],"")+SUMIF('Deferred Revenue'!$E$6:$E$607,$A268,'Deferred Revenue'!$Q$6:$Q$607)</f>
        <v/>
      </c>
      <c r="E268" s="43">
        <f>C268+D268</f>
        <v/>
      </c>
      <c r="F268" s="50">
        <f>IF(ROUND(C268,2)+ROUND(D268,2)=0,"","yes")</f>
        <v/>
      </c>
      <c r="G268" s="63" t="n"/>
      <c r="H268" s="43">
        <f>IF($G268="","",$E268-$G268)</f>
        <v/>
      </c>
    </row>
    <row r="269">
      <c r="A269" s="62" t="inlineStr">
        <is>
          <t>2606901</t>
        </is>
      </c>
      <c r="B269" s="62" t="inlineStr">
        <is>
          <t>PwC | Syd Studio Equipment</t>
        </is>
      </c>
      <c r="C269" s="43">
        <f>SUMIFS(tbl_WIP[Amount],tbl_WIP[Job Number],$A269,tbl_WIP[Month],"&lt;&gt;",tbl_WIP[Month],"&lt;"&amp;$C$4,tbl_WIP[Defer Start],"")+SUMIF('Deferred Revenue'!$E$6:$E$607,$A269,'Deferred Revenue'!$P$6:$P$607)</f>
        <v/>
      </c>
      <c r="D269" s="43">
        <f>SUMIFS(tbl_WIP[Amount],tbl_WIP[Job Number],$A269,tbl_WIP[Month],$C$4,tbl_WIP[Defer Start],"")+SUMIF('Deferred Revenue'!$E$6:$E$607,$A269,'Deferred Revenue'!$Q$6:$Q$607)</f>
        <v/>
      </c>
      <c r="E269" s="43">
        <f>C269+D269</f>
        <v/>
      </c>
      <c r="F269" s="50">
        <f>IF(ROUND(C269,2)+ROUND(D269,2)=0,"","yes")</f>
        <v/>
      </c>
      <c r="G269" s="63" t="n"/>
      <c r="H269" s="43">
        <f>IF($G269="","",$E269-$G269)</f>
        <v/>
      </c>
    </row>
    <row r="270">
      <c r="A270" s="62" t="inlineStr">
        <is>
          <t>2606902</t>
        </is>
      </c>
      <c r="B270" s="62" t="inlineStr">
        <is>
          <t>AVIT - Taronga AV Support - 9-11.6.26</t>
        </is>
      </c>
      <c r="C270" s="43">
        <f>SUMIFS(tbl_WIP[Amount],tbl_WIP[Job Number],$A270,tbl_WIP[Month],"&lt;&gt;",tbl_WIP[Month],"&lt;"&amp;$C$4,tbl_WIP[Defer Start],"")+SUMIF('Deferred Revenue'!$E$6:$E$607,$A270,'Deferred Revenue'!$P$6:$P$607)</f>
        <v/>
      </c>
      <c r="D270" s="43">
        <f>SUMIFS(tbl_WIP[Amount],tbl_WIP[Job Number],$A270,tbl_WIP[Month],$C$4,tbl_WIP[Defer Start],"")+SUMIF('Deferred Revenue'!$E$6:$E$607,$A270,'Deferred Revenue'!$Q$6:$Q$607)</f>
        <v/>
      </c>
      <c r="E270" s="43">
        <f>C270+D270</f>
        <v/>
      </c>
      <c r="F270" s="50">
        <f>IF(ROUND(C270,2)+ROUND(D270,2)=0,"","yes")</f>
        <v/>
      </c>
      <c r="G270" s="63" t="n"/>
      <c r="H270" s="43">
        <f>IF($G270="","",$E270-$G270)</f>
        <v/>
      </c>
    </row>
    <row r="271">
      <c r="A271" s="62" t="inlineStr">
        <is>
          <t>2606903</t>
        </is>
      </c>
      <c r="B271" s="62" t="inlineStr">
        <is>
          <t>Virgin FY26 Results</t>
        </is>
      </c>
      <c r="C271" s="43">
        <f>SUMIFS(tbl_WIP[Amount],tbl_WIP[Job Number],$A271,tbl_WIP[Month],"&lt;&gt;",tbl_WIP[Month],"&lt;"&amp;$C$4,tbl_WIP[Defer Start],"")+SUMIF('Deferred Revenue'!$E$6:$E$607,$A271,'Deferred Revenue'!$P$6:$P$607)</f>
        <v/>
      </c>
      <c r="D271" s="43">
        <f>SUMIFS(tbl_WIP[Amount],tbl_WIP[Job Number],$A271,tbl_WIP[Month],$C$4,tbl_WIP[Defer Start],"")+SUMIF('Deferred Revenue'!$E$6:$E$607,$A271,'Deferred Revenue'!$Q$6:$Q$607)</f>
        <v/>
      </c>
      <c r="E271" s="43">
        <f>C271+D271</f>
        <v/>
      </c>
      <c r="F271" s="50">
        <f>IF(ROUND(C271,2)+ROUND(D271,2)=0,"","yes")</f>
        <v/>
      </c>
      <c r="G271" s="63" t="n"/>
      <c r="H271" s="43">
        <f>IF($G271="","",$E271-$G271)</f>
        <v/>
      </c>
    </row>
    <row r="272">
      <c r="A272" s="62" t="inlineStr">
        <is>
          <t>2606903V</t>
        </is>
      </c>
      <c r="B272" s="62" t="inlineStr">
        <is>
          <t>Virgin FY26 Results</t>
        </is>
      </c>
      <c r="C272" s="43">
        <f>SUMIFS(tbl_WIP[Amount],tbl_WIP[Job Number],$A272,tbl_WIP[Month],"&lt;&gt;",tbl_WIP[Month],"&lt;"&amp;$C$4,tbl_WIP[Defer Start],"")+SUMIF('Deferred Revenue'!$E$6:$E$607,$A272,'Deferred Revenue'!$P$6:$P$607)</f>
        <v/>
      </c>
      <c r="D272" s="43">
        <f>SUMIFS(tbl_WIP[Amount],tbl_WIP[Job Number],$A272,tbl_WIP[Month],$C$4,tbl_WIP[Defer Start],"")+SUMIF('Deferred Revenue'!$E$6:$E$607,$A272,'Deferred Revenue'!$Q$6:$Q$607)</f>
        <v/>
      </c>
      <c r="E272" s="43">
        <f>C272+D272</f>
        <v/>
      </c>
      <c r="F272" s="50">
        <f>IF(ROUND(C272,2)+ROUND(D272,2)=0,"","yes")</f>
        <v/>
      </c>
      <c r="G272" s="63" t="n"/>
      <c r="H272" s="43">
        <f>IF($G272="","",$E272-$G272)</f>
        <v/>
      </c>
    </row>
    <row r="273">
      <c r="A273" s="62" t="inlineStr">
        <is>
          <t>2606904</t>
        </is>
      </c>
      <c r="B273" s="62" t="inlineStr">
        <is>
          <t>Symal - FYR26 (Melb) - 24.8.26</t>
        </is>
      </c>
      <c r="C273" s="43">
        <f>SUMIFS(tbl_WIP[Amount],tbl_WIP[Job Number],$A273,tbl_WIP[Month],"&lt;&gt;",tbl_WIP[Month],"&lt;"&amp;$C$4,tbl_WIP[Defer Start],"")+SUMIF('Deferred Revenue'!$E$6:$E$607,$A273,'Deferred Revenue'!$P$6:$P$607)</f>
        <v/>
      </c>
      <c r="D273" s="43">
        <f>SUMIFS(tbl_WIP[Amount],tbl_WIP[Job Number],$A273,tbl_WIP[Month],$C$4,tbl_WIP[Defer Start],"")+SUMIF('Deferred Revenue'!$E$6:$E$607,$A273,'Deferred Revenue'!$Q$6:$Q$607)</f>
        <v/>
      </c>
      <c r="E273" s="43">
        <f>C273+D273</f>
        <v/>
      </c>
      <c r="F273" s="50">
        <f>IF(ROUND(C273,2)+ROUND(D273,2)=0,"","yes")</f>
        <v/>
      </c>
      <c r="G273" s="63" t="n"/>
      <c r="H273" s="43">
        <f>IF($G273="","",$E273-$G273)</f>
        <v/>
      </c>
    </row>
    <row r="274">
      <c r="A274" s="62" t="inlineStr">
        <is>
          <t>2606904V</t>
        </is>
      </c>
      <c r="B274" s="62" t="inlineStr">
        <is>
          <t>Symal - FYR26 (Melb) - 24.8.26</t>
        </is>
      </c>
      <c r="C274" s="43">
        <f>SUMIFS(tbl_WIP[Amount],tbl_WIP[Job Number],$A274,tbl_WIP[Month],"&lt;&gt;",tbl_WIP[Month],"&lt;"&amp;$C$4,tbl_WIP[Defer Start],"")+SUMIF('Deferred Revenue'!$E$6:$E$607,$A274,'Deferred Revenue'!$P$6:$P$607)</f>
        <v/>
      </c>
      <c r="D274" s="43">
        <f>SUMIFS(tbl_WIP[Amount],tbl_WIP[Job Number],$A274,tbl_WIP[Month],$C$4,tbl_WIP[Defer Start],"")+SUMIF('Deferred Revenue'!$E$6:$E$607,$A274,'Deferred Revenue'!$Q$6:$Q$607)</f>
        <v/>
      </c>
      <c r="E274" s="43">
        <f>C274+D274</f>
        <v/>
      </c>
      <c r="F274" s="50">
        <f>IF(ROUND(C274,2)+ROUND(D274,2)=0,"","yes")</f>
        <v/>
      </c>
      <c r="G274" s="63" t="n"/>
      <c r="H274" s="43">
        <f>IF($G274="","",$E274-$G274)</f>
        <v/>
      </c>
    </row>
    <row r="275">
      <c r="A275" s="62" t="inlineStr">
        <is>
          <t>2606905</t>
        </is>
      </c>
      <c r="B275" s="62" t="inlineStr">
        <is>
          <t>Dimensional - Audio Tech Support - 22.6.26</t>
        </is>
      </c>
      <c r="C275" s="43">
        <f>SUMIFS(tbl_WIP[Amount],tbl_WIP[Job Number],$A275,tbl_WIP[Month],"&lt;&gt;",tbl_WIP[Month],"&lt;"&amp;$C$4,tbl_WIP[Defer Start],"")+SUMIF('Deferred Revenue'!$E$6:$E$607,$A275,'Deferred Revenue'!$P$6:$P$607)</f>
        <v/>
      </c>
      <c r="D275" s="43">
        <f>SUMIFS(tbl_WIP[Amount],tbl_WIP[Job Number],$A275,tbl_WIP[Month],$C$4,tbl_WIP[Defer Start],"")+SUMIF('Deferred Revenue'!$E$6:$E$607,$A275,'Deferred Revenue'!$Q$6:$Q$607)</f>
        <v/>
      </c>
      <c r="E275" s="43">
        <f>C275+D275</f>
        <v/>
      </c>
      <c r="F275" s="50">
        <f>IF(ROUND(C275,2)+ROUND(D275,2)=0,"","yes")</f>
        <v/>
      </c>
      <c r="G275" s="63" t="n"/>
      <c r="H275" s="43">
        <f>IF($G275="","",$E275-$G275)</f>
        <v/>
      </c>
    </row>
    <row r="276">
      <c r="A276" s="62" t="inlineStr">
        <is>
          <t>2606906</t>
        </is>
      </c>
      <c r="B276" s="62" t="inlineStr">
        <is>
          <t>St Catherines Case Study Video Non-Chrgable</t>
        </is>
      </c>
      <c r="C276" s="43">
        <f>SUMIFS(tbl_WIP[Amount],tbl_WIP[Job Number],$A276,tbl_WIP[Month],"&lt;&gt;",tbl_WIP[Month],"&lt;"&amp;$C$4,tbl_WIP[Defer Start],"")+SUMIF('Deferred Revenue'!$E$6:$E$607,$A276,'Deferred Revenue'!$P$6:$P$607)</f>
        <v/>
      </c>
      <c r="D276" s="43">
        <f>SUMIFS(tbl_WIP[Amount],tbl_WIP[Job Number],$A276,tbl_WIP[Month],$C$4,tbl_WIP[Defer Start],"")+SUMIF('Deferred Revenue'!$E$6:$E$607,$A276,'Deferred Revenue'!$Q$6:$Q$607)</f>
        <v/>
      </c>
      <c r="E276" s="43">
        <f>C276+D276</f>
        <v/>
      </c>
      <c r="F276" s="50">
        <f>IF(ROUND(C276,2)+ROUND(D276,2)=0,"","yes")</f>
        <v/>
      </c>
      <c r="G276" s="63" t="n"/>
      <c r="H276" s="43">
        <f>IF($G276="","",$E276-$G276)</f>
        <v/>
      </c>
    </row>
    <row r="277">
      <c r="A277" s="62" t="inlineStr">
        <is>
          <t>26071303</t>
        </is>
      </c>
      <c r="B277" s="62" t="inlineStr">
        <is>
          <t>Ventia - Melbourne Office Event - 30.7.26</t>
        </is>
      </c>
      <c r="C277" s="43">
        <f>SUMIFS(tbl_WIP[Amount],tbl_WIP[Job Number],$A277,tbl_WIP[Month],"&lt;&gt;",tbl_WIP[Month],"&lt;"&amp;$C$4,tbl_WIP[Defer Start],"")+SUMIF('Deferred Revenue'!$E$6:$E$607,$A277,'Deferred Revenue'!$P$6:$P$607)</f>
        <v/>
      </c>
      <c r="D277" s="43">
        <f>SUMIFS(tbl_WIP[Amount],tbl_WIP[Job Number],$A277,tbl_WIP[Month],$C$4,tbl_WIP[Defer Start],"")+SUMIF('Deferred Revenue'!$E$6:$E$607,$A277,'Deferred Revenue'!$Q$6:$Q$607)</f>
        <v/>
      </c>
      <c r="E277" s="43">
        <f>C277+D277</f>
        <v/>
      </c>
      <c r="F277" s="50">
        <f>IF(ROUND(C277,2)+ROUND(D277,2)=0,"","yes")</f>
        <v/>
      </c>
      <c r="G277" s="63" t="n"/>
      <c r="H277" s="43">
        <f>IF($G277="","",$E277-$G277)</f>
        <v/>
      </c>
    </row>
    <row r="278">
      <c r="A278" s="62" t="inlineStr">
        <is>
          <t>26071304</t>
        </is>
      </c>
      <c r="B278" s="62" t="inlineStr">
        <is>
          <t>YSG | Orange Room Upgrade</t>
        </is>
      </c>
      <c r="C278" s="43">
        <f>SUMIFS(tbl_WIP[Amount],tbl_WIP[Job Number],$A278,tbl_WIP[Month],"&lt;&gt;",tbl_WIP[Month],"&lt;"&amp;$C$4,tbl_WIP[Defer Start],"")+SUMIF('Deferred Revenue'!$E$6:$E$607,$A278,'Deferred Revenue'!$P$6:$P$607)</f>
        <v/>
      </c>
      <c r="D278" s="43">
        <f>SUMIFS(tbl_WIP[Amount],tbl_WIP[Job Number],$A278,tbl_WIP[Month],$C$4,tbl_WIP[Defer Start],"")+SUMIF('Deferred Revenue'!$E$6:$E$607,$A278,'Deferred Revenue'!$Q$6:$Q$607)</f>
        <v/>
      </c>
      <c r="E278" s="43">
        <f>C278+D278</f>
        <v/>
      </c>
      <c r="F278" s="50">
        <f>IF(ROUND(C278,2)+ROUND(D278,2)=0,"","yes")</f>
        <v/>
      </c>
      <c r="G278" s="63" t="n"/>
      <c r="H278" s="43">
        <f>IF($G278="","",$E278-$G278)</f>
        <v/>
      </c>
    </row>
    <row r="279">
      <c r="A279" s="62" t="inlineStr">
        <is>
          <t>26071403</t>
        </is>
      </c>
      <c r="B279" s="62" t="inlineStr">
        <is>
          <t>Elkiem - Studio Support - 4.11.26</t>
        </is>
      </c>
      <c r="C279" s="43">
        <f>SUMIFS(tbl_WIP[Amount],tbl_WIP[Job Number],$A279,tbl_WIP[Month],"&lt;&gt;",tbl_WIP[Month],"&lt;"&amp;$C$4,tbl_WIP[Defer Start],"")+SUMIF('Deferred Revenue'!$E$6:$E$607,$A279,'Deferred Revenue'!$P$6:$P$607)</f>
        <v/>
      </c>
      <c r="D279" s="43">
        <f>SUMIFS(tbl_WIP[Amount],tbl_WIP[Job Number],$A279,tbl_WIP[Month],$C$4,tbl_WIP[Defer Start],"")+SUMIF('Deferred Revenue'!$E$6:$E$607,$A279,'Deferred Revenue'!$Q$6:$Q$607)</f>
        <v/>
      </c>
      <c r="E279" s="43">
        <f>C279+D279</f>
        <v/>
      </c>
      <c r="F279" s="50">
        <f>IF(ROUND(C279,2)+ROUND(D279,2)=0,"","yes")</f>
        <v/>
      </c>
      <c r="G279" s="63" t="n"/>
      <c r="H279" s="43">
        <f>IF($G279="","",$E279-$G279)</f>
        <v/>
      </c>
    </row>
    <row r="280">
      <c r="A280" s="62" t="inlineStr">
        <is>
          <t>26071404</t>
        </is>
      </c>
      <c r="B280" s="62" t="inlineStr">
        <is>
          <t>Elkiem - Studio Support - 9.12.26</t>
        </is>
      </c>
      <c r="C280" s="43">
        <f>SUMIFS(tbl_WIP[Amount],tbl_WIP[Job Number],$A280,tbl_WIP[Month],"&lt;&gt;",tbl_WIP[Month],"&lt;"&amp;$C$4,tbl_WIP[Defer Start],"")+SUMIF('Deferred Revenue'!$E$6:$E$607,$A280,'Deferred Revenue'!$P$6:$P$607)</f>
        <v/>
      </c>
      <c r="D280" s="43">
        <f>SUMIFS(tbl_WIP[Amount],tbl_WIP[Job Number],$A280,tbl_WIP[Month],$C$4,tbl_WIP[Defer Start],"")+SUMIF('Deferred Revenue'!$E$6:$E$607,$A280,'Deferred Revenue'!$Q$6:$Q$607)</f>
        <v/>
      </c>
      <c r="E280" s="43">
        <f>C280+D280</f>
        <v/>
      </c>
      <c r="F280" s="50">
        <f>IF(ROUND(C280,2)+ROUND(D280,2)=0,"","yes")</f>
        <v/>
      </c>
      <c r="G280" s="63" t="n"/>
      <c r="H280" s="43">
        <f>IF($G280="","",$E280-$G280)</f>
        <v/>
      </c>
    </row>
    <row r="281">
      <c r="A281" s="62" t="inlineStr">
        <is>
          <t>26071405</t>
        </is>
      </c>
      <c r="B281" s="62" t="inlineStr">
        <is>
          <t>PWC - Event Technician - 29.7.26</t>
        </is>
      </c>
      <c r="C281" s="43">
        <f>SUMIFS(tbl_WIP[Amount],tbl_WIP[Job Number],$A281,tbl_WIP[Month],"&lt;&gt;",tbl_WIP[Month],"&lt;"&amp;$C$4,tbl_WIP[Defer Start],"")+SUMIF('Deferred Revenue'!$E$6:$E$607,$A281,'Deferred Revenue'!$P$6:$P$607)</f>
        <v/>
      </c>
      <c r="D281" s="43">
        <f>SUMIFS(tbl_WIP[Amount],tbl_WIP[Job Number],$A281,tbl_WIP[Month],$C$4,tbl_WIP[Defer Start],"")+SUMIF('Deferred Revenue'!$E$6:$E$607,$A281,'Deferred Revenue'!$Q$6:$Q$607)</f>
        <v/>
      </c>
      <c r="E281" s="43">
        <f>C281+D281</f>
        <v/>
      </c>
      <c r="F281" s="50">
        <f>IF(ROUND(C281,2)+ROUND(D281,2)=0,"","yes")</f>
        <v/>
      </c>
      <c r="G281" s="63" t="n"/>
      <c r="H281" s="43">
        <f>IF($G281="","",$E281-$G281)</f>
        <v/>
      </c>
    </row>
    <row r="282">
      <c r="A282" s="62" t="inlineStr">
        <is>
          <t>26071501</t>
        </is>
      </c>
      <c r="B282" s="62" t="inlineStr">
        <is>
          <t>Ventia - Half Year Results Briefing - 24.8.26</t>
        </is>
      </c>
      <c r="C282" s="43">
        <f>SUMIFS(tbl_WIP[Amount],tbl_WIP[Job Number],$A282,tbl_WIP[Month],"&lt;&gt;",tbl_WIP[Month],"&lt;"&amp;$C$4,tbl_WIP[Defer Start],"")+SUMIF('Deferred Revenue'!$E$6:$E$607,$A282,'Deferred Revenue'!$P$6:$P$607)</f>
        <v/>
      </c>
      <c r="D282" s="43">
        <f>SUMIFS(tbl_WIP[Amount],tbl_WIP[Job Number],$A282,tbl_WIP[Month],$C$4,tbl_WIP[Defer Start],"")+SUMIF('Deferred Revenue'!$E$6:$E$607,$A282,'Deferred Revenue'!$Q$6:$Q$607)</f>
        <v/>
      </c>
      <c r="E282" s="43">
        <f>C282+D282</f>
        <v/>
      </c>
      <c r="F282" s="50">
        <f>IF(ROUND(C282,2)+ROUND(D282,2)=0,"","yes")</f>
        <v/>
      </c>
      <c r="G282" s="63" t="n"/>
      <c r="H282" s="43">
        <f>IF($G282="","",$E282-$G282)</f>
        <v/>
      </c>
    </row>
    <row r="283">
      <c r="A283" s="62" t="inlineStr">
        <is>
          <t>26071501V</t>
        </is>
      </c>
      <c r="B283" s="62" t="inlineStr">
        <is>
          <t>Ventia - Half Year Results Briefing - 24.8.26</t>
        </is>
      </c>
      <c r="C283" s="43">
        <f>SUMIFS(tbl_WIP[Amount],tbl_WIP[Job Number],$A283,tbl_WIP[Month],"&lt;&gt;",tbl_WIP[Month],"&lt;"&amp;$C$4,tbl_WIP[Defer Start],"")+SUMIF('Deferred Revenue'!$E$6:$E$607,$A283,'Deferred Revenue'!$P$6:$P$607)</f>
        <v/>
      </c>
      <c r="D283" s="43">
        <f>SUMIFS(tbl_WIP[Amount],tbl_WIP[Job Number],$A283,tbl_WIP[Month],$C$4,tbl_WIP[Defer Start],"")+SUMIF('Deferred Revenue'!$E$6:$E$607,$A283,'Deferred Revenue'!$Q$6:$Q$607)</f>
        <v/>
      </c>
      <c r="E283" s="43">
        <f>C283+D283</f>
        <v/>
      </c>
      <c r="F283" s="50">
        <f>IF(ROUND(C283,2)+ROUND(D283,2)=0,"","yes")</f>
        <v/>
      </c>
      <c r="G283" s="63" t="n"/>
      <c r="H283" s="43">
        <f>IF($G283="","",$E283-$G283)</f>
        <v/>
      </c>
    </row>
    <row r="284">
      <c r="A284" s="62" t="inlineStr">
        <is>
          <t>26071601</t>
        </is>
      </c>
      <c r="B284" s="62" t="inlineStr">
        <is>
          <t>Aware | PER | Barry Marshall and Albany Rooms BYOD USB-C Replcmnt</t>
        </is>
      </c>
      <c r="C284" s="43">
        <f>SUMIFS(tbl_WIP[Amount],tbl_WIP[Job Number],$A284,tbl_WIP[Month],"&lt;&gt;",tbl_WIP[Month],"&lt;"&amp;$C$4,tbl_WIP[Defer Start],"")+SUMIF('Deferred Revenue'!$E$6:$E$607,$A284,'Deferred Revenue'!$P$6:$P$607)</f>
        <v/>
      </c>
      <c r="D284" s="43">
        <f>SUMIFS(tbl_WIP[Amount],tbl_WIP[Job Number],$A284,tbl_WIP[Month],$C$4,tbl_WIP[Defer Start],"")+SUMIF('Deferred Revenue'!$E$6:$E$607,$A284,'Deferred Revenue'!$Q$6:$Q$607)</f>
        <v/>
      </c>
      <c r="E284" s="43">
        <f>C284+D284</f>
        <v/>
      </c>
      <c r="F284" s="50">
        <f>IF(ROUND(C284,2)+ROUND(D284,2)=0,"","yes")</f>
        <v/>
      </c>
      <c r="G284" s="63" t="n"/>
      <c r="H284" s="43">
        <f>IF($G284="","",$E284-$G284)</f>
        <v/>
      </c>
    </row>
    <row r="285">
      <c r="A285" s="62" t="inlineStr">
        <is>
          <t>26071701</t>
        </is>
      </c>
      <c r="B285" s="62" t="inlineStr">
        <is>
          <t>ASX Live - 9.9.26</t>
        </is>
      </c>
      <c r="C285" s="43">
        <f>SUMIFS(tbl_WIP[Amount],tbl_WIP[Job Number],$A285,tbl_WIP[Month],"&lt;&gt;",tbl_WIP[Month],"&lt;"&amp;$C$4,tbl_WIP[Defer Start],"")+SUMIF('Deferred Revenue'!$E$6:$E$607,$A285,'Deferred Revenue'!$P$6:$P$607)</f>
        <v/>
      </c>
      <c r="D285" s="43">
        <f>SUMIFS(tbl_WIP[Amount],tbl_WIP[Job Number],$A285,tbl_WIP[Month],$C$4,tbl_WIP[Defer Start],"")+SUMIF('Deferred Revenue'!$E$6:$E$607,$A285,'Deferred Revenue'!$Q$6:$Q$607)</f>
        <v/>
      </c>
      <c r="E285" s="43">
        <f>C285+D285</f>
        <v/>
      </c>
      <c r="F285" s="50">
        <f>IF(ROUND(C285,2)+ROUND(D285,2)=0,"","yes")</f>
        <v/>
      </c>
      <c r="G285" s="63" t="n"/>
      <c r="H285" s="43">
        <f>IF($G285="","",$E285-$G285)</f>
        <v/>
      </c>
    </row>
    <row r="286">
      <c r="A286" s="62" t="inlineStr">
        <is>
          <t>26071701V</t>
        </is>
      </c>
      <c r="B286" s="62" t="inlineStr">
        <is>
          <t>ASX Live - 9.9.26</t>
        </is>
      </c>
      <c r="C286" s="43">
        <f>SUMIFS(tbl_WIP[Amount],tbl_WIP[Job Number],$A286,tbl_WIP[Month],"&lt;&gt;",tbl_WIP[Month],"&lt;"&amp;$C$4,tbl_WIP[Defer Start],"")+SUMIF('Deferred Revenue'!$E$6:$E$607,$A286,'Deferred Revenue'!$P$6:$P$607)</f>
        <v/>
      </c>
      <c r="D286" s="43">
        <f>SUMIFS(tbl_WIP[Amount],tbl_WIP[Job Number],$A286,tbl_WIP[Month],$C$4,tbl_WIP[Defer Start],"")+SUMIF('Deferred Revenue'!$E$6:$E$607,$A286,'Deferred Revenue'!$Q$6:$Q$607)</f>
        <v/>
      </c>
      <c r="E286" s="43">
        <f>C286+D286</f>
        <v/>
      </c>
      <c r="F286" s="50">
        <f>IF(ROUND(C286,2)+ROUND(D286,2)=0,"","yes")</f>
        <v/>
      </c>
      <c r="G286" s="63" t="n"/>
      <c r="H286" s="43">
        <f>IF($G286="","",$E286-$G286)</f>
        <v/>
      </c>
    </row>
    <row r="287">
      <c r="A287" s="62" t="inlineStr">
        <is>
          <t>26071901</t>
        </is>
      </c>
      <c r="B287" s="62" t="inlineStr">
        <is>
          <t>Elkiem - Studio Support - 11.8.26</t>
        </is>
      </c>
      <c r="C287" s="43">
        <f>SUMIFS(tbl_WIP[Amount],tbl_WIP[Job Number],$A287,tbl_WIP[Month],"&lt;&gt;",tbl_WIP[Month],"&lt;"&amp;$C$4,tbl_WIP[Defer Start],"")+SUMIF('Deferred Revenue'!$E$6:$E$607,$A287,'Deferred Revenue'!$P$6:$P$607)</f>
        <v/>
      </c>
      <c r="D287" s="43">
        <f>SUMIFS(tbl_WIP[Amount],tbl_WIP[Job Number],$A287,tbl_WIP[Month],$C$4,tbl_WIP[Defer Start],"")+SUMIF('Deferred Revenue'!$E$6:$E$607,$A287,'Deferred Revenue'!$Q$6:$Q$607)</f>
        <v/>
      </c>
      <c r="E287" s="43">
        <f>C287+D287</f>
        <v/>
      </c>
      <c r="F287" s="50">
        <f>IF(ROUND(C287,2)+ROUND(D287,2)=0,"","yes")</f>
        <v/>
      </c>
      <c r="G287" s="63" t="n"/>
      <c r="H287" s="43">
        <f>IF($G287="","",$E287-$G287)</f>
        <v/>
      </c>
    </row>
    <row r="288">
      <c r="A288" s="62" t="inlineStr">
        <is>
          <t>26072003</t>
        </is>
      </c>
      <c r="B288" s="62" t="inlineStr">
        <is>
          <t>CBA Live Event Support August 2026</t>
        </is>
      </c>
      <c r="C288" s="43">
        <f>SUMIFS(tbl_WIP[Amount],tbl_WIP[Job Number],$A288,tbl_WIP[Month],"&lt;&gt;",tbl_WIP[Month],"&lt;"&amp;$C$4,tbl_WIP[Defer Start],"")+SUMIF('Deferred Revenue'!$E$6:$E$607,$A288,'Deferred Revenue'!$P$6:$P$607)</f>
        <v/>
      </c>
      <c r="D288" s="43">
        <f>SUMIFS(tbl_WIP[Amount],tbl_WIP[Job Number],$A288,tbl_WIP[Month],$C$4,tbl_WIP[Defer Start],"")+SUMIF('Deferred Revenue'!$E$6:$E$607,$A288,'Deferred Revenue'!$Q$6:$Q$607)</f>
        <v/>
      </c>
      <c r="E288" s="43">
        <f>C288+D288</f>
        <v/>
      </c>
      <c r="F288" s="50">
        <f>IF(ROUND(C288,2)+ROUND(D288,2)=0,"","yes")</f>
        <v/>
      </c>
      <c r="G288" s="63" t="n"/>
      <c r="H288" s="43">
        <f>IF($G288="","",$E288-$G288)</f>
        <v/>
      </c>
    </row>
    <row r="289">
      <c r="A289" s="62" t="inlineStr">
        <is>
          <t>26072101</t>
        </is>
      </c>
      <c r="B289" s="62" t="inlineStr">
        <is>
          <t>Aware MEL 17.02 Amp Replacement</t>
        </is>
      </c>
      <c r="C289" s="43">
        <f>SUMIFS(tbl_WIP[Amount],tbl_WIP[Job Number],$A289,tbl_WIP[Month],"&lt;&gt;",tbl_WIP[Month],"&lt;"&amp;$C$4,tbl_WIP[Defer Start],"")+SUMIF('Deferred Revenue'!$E$6:$E$607,$A289,'Deferred Revenue'!$P$6:$P$607)</f>
        <v/>
      </c>
      <c r="D289" s="43">
        <f>SUMIFS(tbl_WIP[Amount],tbl_WIP[Job Number],$A289,tbl_WIP[Month],$C$4,tbl_WIP[Defer Start],"")+SUMIF('Deferred Revenue'!$E$6:$E$607,$A289,'Deferred Revenue'!$Q$6:$Q$607)</f>
        <v/>
      </c>
      <c r="E289" s="43">
        <f>C289+D289</f>
        <v/>
      </c>
      <c r="F289" s="50">
        <f>IF(ROUND(C289,2)+ROUND(D289,2)=0,"","yes")</f>
        <v/>
      </c>
      <c r="G289" s="63" t="n"/>
      <c r="H289" s="43">
        <f>IF($G289="","",$E289-$G289)</f>
        <v/>
      </c>
    </row>
    <row r="290">
      <c r="A290" s="62" t="inlineStr">
        <is>
          <t>26072101</t>
        </is>
      </c>
      <c r="B290" s="62" t="inlineStr">
        <is>
          <t>Aware_Mel 17.02 Amp Replacement</t>
        </is>
      </c>
      <c r="C290" s="43">
        <f>SUMIFS(tbl_WIP[Amount],tbl_WIP[Job Number],$A290,tbl_WIP[Month],"&lt;&gt;",tbl_WIP[Month],"&lt;"&amp;$C$4,tbl_WIP[Defer Start],"")+SUMIF('Deferred Revenue'!$E$6:$E$607,$A290,'Deferred Revenue'!$P$6:$P$607)</f>
        <v/>
      </c>
      <c r="D290" s="43">
        <f>SUMIFS(tbl_WIP[Amount],tbl_WIP[Job Number],$A290,tbl_WIP[Month],$C$4,tbl_WIP[Defer Start],"")+SUMIF('Deferred Revenue'!$E$6:$E$607,$A290,'Deferred Revenue'!$Q$6:$Q$607)</f>
        <v/>
      </c>
      <c r="E290" s="43">
        <f>C290+D290</f>
        <v/>
      </c>
      <c r="F290" s="50">
        <f>IF(ROUND(C290,2)+ROUND(D290,2)=0,"","yes")</f>
        <v/>
      </c>
      <c r="G290" s="63" t="n"/>
      <c r="H290" s="43">
        <f>IF($G290="","",$E290-$G290)</f>
        <v/>
      </c>
    </row>
    <row r="291">
      <c r="A291" s="62" t="inlineStr">
        <is>
          <t>26072102</t>
        </is>
      </c>
      <c r="B291" s="62" t="inlineStr">
        <is>
          <t>Ventia - RUOK? Day - 10.09.2026</t>
        </is>
      </c>
      <c r="C291" s="43">
        <f>SUMIFS(tbl_WIP[Amount],tbl_WIP[Job Number],$A291,tbl_WIP[Month],"&lt;&gt;",tbl_WIP[Month],"&lt;"&amp;$C$4,tbl_WIP[Defer Start],"")+SUMIF('Deferred Revenue'!$E$6:$E$607,$A291,'Deferred Revenue'!$P$6:$P$607)</f>
        <v/>
      </c>
      <c r="D291" s="43">
        <f>SUMIFS(tbl_WIP[Amount],tbl_WIP[Job Number],$A291,tbl_WIP[Month],$C$4,tbl_WIP[Defer Start],"")+SUMIF('Deferred Revenue'!$E$6:$E$607,$A291,'Deferred Revenue'!$Q$6:$Q$607)</f>
        <v/>
      </c>
      <c r="E291" s="43">
        <f>C291+D291</f>
        <v/>
      </c>
      <c r="F291" s="50">
        <f>IF(ROUND(C291,2)+ROUND(D291,2)=0,"","yes")</f>
        <v/>
      </c>
      <c r="G291" s="63" t="n"/>
      <c r="H291" s="43">
        <f>IF($G291="","",$E291-$G291)</f>
        <v/>
      </c>
    </row>
    <row r="292">
      <c r="A292" s="62" t="inlineStr">
        <is>
          <t>26072102V</t>
        </is>
      </c>
      <c r="B292" s="62" t="inlineStr">
        <is>
          <t>Ventia - RUOK? Day - 10.09.2026</t>
        </is>
      </c>
      <c r="C292" s="43">
        <f>SUMIFS(tbl_WIP[Amount],tbl_WIP[Job Number],$A292,tbl_WIP[Month],"&lt;&gt;",tbl_WIP[Month],"&lt;"&amp;$C$4,tbl_WIP[Defer Start],"")+SUMIF('Deferred Revenue'!$E$6:$E$607,$A292,'Deferred Revenue'!$P$6:$P$607)</f>
        <v/>
      </c>
      <c r="D292" s="43">
        <f>SUMIFS(tbl_WIP[Amount],tbl_WIP[Job Number],$A292,tbl_WIP[Month],$C$4,tbl_WIP[Defer Start],"")+SUMIF('Deferred Revenue'!$E$6:$E$607,$A292,'Deferred Revenue'!$Q$6:$Q$607)</f>
        <v/>
      </c>
      <c r="E292" s="43">
        <f>C292+D292</f>
        <v/>
      </c>
      <c r="F292" s="50">
        <f>IF(ROUND(C292,2)+ROUND(D292,2)=0,"","yes")</f>
        <v/>
      </c>
      <c r="G292" s="63" t="n"/>
      <c r="H292" s="43">
        <f>IF($G292="","",$E292-$G292)</f>
        <v/>
      </c>
    </row>
    <row r="293">
      <c r="A293" s="62" t="inlineStr">
        <is>
          <t>26072802</t>
        </is>
      </c>
      <c r="B293" s="62" t="inlineStr">
        <is>
          <t>ON24 KWM Sydney Event - 18.08.2026</t>
        </is>
      </c>
      <c r="C293" s="43">
        <f>SUMIFS(tbl_WIP[Amount],tbl_WIP[Job Number],$A293,tbl_WIP[Month],"&lt;&gt;",tbl_WIP[Month],"&lt;"&amp;$C$4,tbl_WIP[Defer Start],"")+SUMIF('Deferred Revenue'!$E$6:$E$607,$A293,'Deferred Revenue'!$P$6:$P$607)</f>
        <v/>
      </c>
      <c r="D293" s="43">
        <f>SUMIFS(tbl_WIP[Amount],tbl_WIP[Job Number],$A293,tbl_WIP[Month],$C$4,tbl_WIP[Defer Start],"")+SUMIF('Deferred Revenue'!$E$6:$E$607,$A293,'Deferred Revenue'!$Q$6:$Q$607)</f>
        <v/>
      </c>
      <c r="E293" s="43">
        <f>C293+D293</f>
        <v/>
      </c>
      <c r="F293" s="50">
        <f>IF(ROUND(C293,2)+ROUND(D293,2)=0,"","yes")</f>
        <v/>
      </c>
      <c r="G293" s="63" t="n"/>
      <c r="H293" s="43">
        <f>IF($G293="","",$E293-$G293)</f>
        <v/>
      </c>
    </row>
    <row r="294">
      <c r="A294" s="62" t="inlineStr">
        <is>
          <t>26072802V</t>
        </is>
      </c>
      <c r="B294" s="62" t="inlineStr">
        <is>
          <t>ON24 KWM Sydney Event - 18.08.2026</t>
        </is>
      </c>
      <c r="C294" s="43">
        <f>SUMIFS(tbl_WIP[Amount],tbl_WIP[Job Number],$A294,tbl_WIP[Month],"&lt;&gt;",tbl_WIP[Month],"&lt;"&amp;$C$4,tbl_WIP[Defer Start],"")+SUMIF('Deferred Revenue'!$E$6:$E$607,$A294,'Deferred Revenue'!$P$6:$P$607)</f>
        <v/>
      </c>
      <c r="D294" s="43">
        <f>SUMIFS(tbl_WIP[Amount],tbl_WIP[Job Number],$A294,tbl_WIP[Month],$C$4,tbl_WIP[Defer Start],"")+SUMIF('Deferred Revenue'!$E$6:$E$607,$A294,'Deferred Revenue'!$Q$6:$Q$607)</f>
        <v/>
      </c>
      <c r="E294" s="43">
        <f>C294+D294</f>
        <v/>
      </c>
      <c r="F294" s="50">
        <f>IF(ROUND(C294,2)+ROUND(D294,2)=0,"","yes")</f>
        <v/>
      </c>
      <c r="G294" s="63" t="n"/>
      <c r="H294" s="43">
        <f>IF($G294="","",$E294-$G294)</f>
        <v/>
      </c>
    </row>
    <row r="295">
      <c r="A295" s="62" t="inlineStr">
        <is>
          <t>26072902</t>
        </is>
      </c>
      <c r="B295" s="62" t="inlineStr">
        <is>
          <t>PWC AI Townhall 6.8.26</t>
        </is>
      </c>
      <c r="C295" s="43">
        <f>SUMIFS(tbl_WIP[Amount],tbl_WIP[Job Number],$A295,tbl_WIP[Month],"&lt;&gt;",tbl_WIP[Month],"&lt;"&amp;$C$4,tbl_WIP[Defer Start],"")+SUMIF('Deferred Revenue'!$E$6:$E$607,$A295,'Deferred Revenue'!$P$6:$P$607)</f>
        <v/>
      </c>
      <c r="D295" s="43">
        <f>SUMIFS(tbl_WIP[Amount],tbl_WIP[Job Number],$A295,tbl_WIP[Month],$C$4,tbl_WIP[Defer Start],"")+SUMIF('Deferred Revenue'!$E$6:$E$607,$A295,'Deferred Revenue'!$Q$6:$Q$607)</f>
        <v/>
      </c>
      <c r="E295" s="43">
        <f>C295+D295</f>
        <v/>
      </c>
      <c r="F295" s="50">
        <f>IF(ROUND(C295,2)+ROUND(D295,2)=0,"","yes")</f>
        <v/>
      </c>
      <c r="G295" s="63" t="n"/>
      <c r="H295" s="43">
        <f>IF($G295="","",$E295-$G295)</f>
        <v/>
      </c>
    </row>
    <row r="296">
      <c r="A296" s="62" t="inlineStr">
        <is>
          <t>26072902V</t>
        </is>
      </c>
      <c r="B296" s="62" t="inlineStr">
        <is>
          <t>PWC AI Townhall 6.8.26</t>
        </is>
      </c>
      <c r="C296" s="43">
        <f>SUMIFS(tbl_WIP[Amount],tbl_WIP[Job Number],$A296,tbl_WIP[Month],"&lt;&gt;",tbl_WIP[Month],"&lt;"&amp;$C$4,tbl_WIP[Defer Start],"")+SUMIF('Deferred Revenue'!$E$6:$E$607,$A296,'Deferred Revenue'!$P$6:$P$607)</f>
        <v/>
      </c>
      <c r="D296" s="43">
        <f>SUMIFS(tbl_WIP[Amount],tbl_WIP[Job Number],$A296,tbl_WIP[Month],$C$4,tbl_WIP[Defer Start],"")+SUMIF('Deferred Revenue'!$E$6:$E$607,$A296,'Deferred Revenue'!$Q$6:$Q$607)</f>
        <v/>
      </c>
      <c r="E296" s="43">
        <f>C296+D296</f>
        <v/>
      </c>
      <c r="F296" s="50">
        <f>IF(ROUND(C296,2)+ROUND(D296,2)=0,"","yes")</f>
        <v/>
      </c>
      <c r="G296" s="63" t="n"/>
      <c r="H296" s="43">
        <f>IF($G296="","",$E296-$G296)</f>
        <v/>
      </c>
    </row>
    <row r="297">
      <c r="A297" s="62" t="inlineStr">
        <is>
          <t>26072903</t>
        </is>
      </c>
      <c r="B297" s="62" t="inlineStr">
        <is>
          <t>PWC - GB Webcast - 11.8.26</t>
        </is>
      </c>
      <c r="C297" s="43">
        <f>SUMIFS(tbl_WIP[Amount],tbl_WIP[Job Number],$A297,tbl_WIP[Month],"&lt;&gt;",tbl_WIP[Month],"&lt;"&amp;$C$4,tbl_WIP[Defer Start],"")+SUMIF('Deferred Revenue'!$E$6:$E$607,$A297,'Deferred Revenue'!$P$6:$P$607)</f>
        <v/>
      </c>
      <c r="D297" s="43">
        <f>SUMIFS(tbl_WIP[Amount],tbl_WIP[Job Number],$A297,tbl_WIP[Month],$C$4,tbl_WIP[Defer Start],"")+SUMIF('Deferred Revenue'!$E$6:$E$607,$A297,'Deferred Revenue'!$Q$6:$Q$607)</f>
        <v/>
      </c>
      <c r="E297" s="43">
        <f>C297+D297</f>
        <v/>
      </c>
      <c r="F297" s="50">
        <f>IF(ROUND(C297,2)+ROUND(D297,2)=0,"","yes")</f>
        <v/>
      </c>
      <c r="G297" s="63" t="n"/>
      <c r="H297" s="43">
        <f>IF($G297="","",$E297-$G297)</f>
        <v/>
      </c>
    </row>
    <row r="298">
      <c r="A298" s="62" t="inlineStr">
        <is>
          <t>26072903V</t>
        </is>
      </c>
      <c r="B298" s="62" t="inlineStr">
        <is>
          <t>PWC - GB Webcast - 11.8.26</t>
        </is>
      </c>
      <c r="C298" s="43">
        <f>SUMIFS(tbl_WIP[Amount],tbl_WIP[Job Number],$A298,tbl_WIP[Month],"&lt;&gt;",tbl_WIP[Month],"&lt;"&amp;$C$4,tbl_WIP[Defer Start],"")+SUMIF('Deferred Revenue'!$E$6:$E$607,$A298,'Deferred Revenue'!$P$6:$P$607)</f>
        <v/>
      </c>
      <c r="D298" s="43">
        <f>SUMIFS(tbl_WIP[Amount],tbl_WIP[Job Number],$A298,tbl_WIP[Month],$C$4,tbl_WIP[Defer Start],"")+SUMIF('Deferred Revenue'!$E$6:$E$607,$A298,'Deferred Revenue'!$Q$6:$Q$607)</f>
        <v/>
      </c>
      <c r="E298" s="43">
        <f>C298+D298</f>
        <v/>
      </c>
      <c r="F298" s="50">
        <f>IF(ROUND(C298,2)+ROUND(D298,2)=0,"","yes")</f>
        <v/>
      </c>
      <c r="G298" s="63" t="n"/>
      <c r="H298" s="43">
        <f>IF($G298="","",$E298-$G298)</f>
        <v/>
      </c>
    </row>
    <row r="299">
      <c r="A299" s="62" t="inlineStr">
        <is>
          <t>26072906</t>
        </is>
      </c>
      <c r="B299" s="62" t="inlineStr">
        <is>
          <t>ASX Advisory Group on Corporate Governance</t>
        </is>
      </c>
      <c r="C299" s="43">
        <f>SUMIFS(tbl_WIP[Amount],tbl_WIP[Job Number],$A299,tbl_WIP[Month],"&lt;&gt;",tbl_WIP[Month],"&lt;"&amp;$C$4,tbl_WIP[Defer Start],"")+SUMIF('Deferred Revenue'!$E$6:$E$607,$A299,'Deferred Revenue'!$P$6:$P$607)</f>
        <v/>
      </c>
      <c r="D299" s="43">
        <f>SUMIFS(tbl_WIP[Amount],tbl_WIP[Job Number],$A299,tbl_WIP[Month],$C$4,tbl_WIP[Defer Start],"")+SUMIF('Deferred Revenue'!$E$6:$E$607,$A299,'Deferred Revenue'!$Q$6:$Q$607)</f>
        <v/>
      </c>
      <c r="E299" s="43">
        <f>C299+D299</f>
        <v/>
      </c>
      <c r="F299" s="50">
        <f>IF(ROUND(C299,2)+ROUND(D299,2)=0,"","yes")</f>
        <v/>
      </c>
      <c r="G299" s="63" t="n"/>
      <c r="H299" s="43">
        <f>IF($G299="","",$E299-$G299)</f>
        <v/>
      </c>
    </row>
    <row r="300">
      <c r="A300" s="62" t="inlineStr">
        <is>
          <t>26072906V</t>
        </is>
      </c>
      <c r="B300" s="62" t="inlineStr">
        <is>
          <t>ASX Advisory Group on Corporate Governance</t>
        </is>
      </c>
      <c r="C300" s="43">
        <f>SUMIFS(tbl_WIP[Amount],tbl_WIP[Job Number],$A300,tbl_WIP[Month],"&lt;&gt;",tbl_WIP[Month],"&lt;"&amp;$C$4,tbl_WIP[Defer Start],"")+SUMIF('Deferred Revenue'!$E$6:$E$607,$A300,'Deferred Revenue'!$P$6:$P$607)</f>
        <v/>
      </c>
      <c r="D300" s="43">
        <f>SUMIFS(tbl_WIP[Amount],tbl_WIP[Job Number],$A300,tbl_WIP[Month],$C$4,tbl_WIP[Defer Start],"")+SUMIF('Deferred Revenue'!$E$6:$E$607,$A300,'Deferred Revenue'!$Q$6:$Q$607)</f>
        <v/>
      </c>
      <c r="E300" s="43">
        <f>C300+D300</f>
        <v/>
      </c>
      <c r="F300" s="50">
        <f>IF(ROUND(C300,2)+ROUND(D300,2)=0,"","yes")</f>
        <v/>
      </c>
      <c r="G300" s="63" t="n"/>
      <c r="H300" s="43">
        <f>IF($G300="","",$E300-$G300)</f>
        <v/>
      </c>
    </row>
    <row r="301">
      <c r="A301" s="62" t="inlineStr">
        <is>
          <t>26073103</t>
        </is>
      </c>
      <c r="B301" s="62" t="inlineStr">
        <is>
          <t>DTTL PER AV &amp; Hospitality Tech (SEP26-FEB27)</t>
        </is>
      </c>
      <c r="C301" s="43">
        <f>SUMIFS(tbl_WIP[Amount],tbl_WIP[Job Number],$A301,tbl_WIP[Month],"&lt;&gt;",tbl_WIP[Month],"&lt;"&amp;$C$4,tbl_WIP[Defer Start],"")+SUMIF('Deferred Revenue'!$E$6:$E$607,$A301,'Deferred Revenue'!$P$6:$P$607)</f>
        <v/>
      </c>
      <c r="D301" s="43">
        <f>SUMIFS(tbl_WIP[Amount],tbl_WIP[Job Number],$A301,tbl_WIP[Month],$C$4,tbl_WIP[Defer Start],"")+SUMIF('Deferred Revenue'!$E$6:$E$607,$A301,'Deferred Revenue'!$Q$6:$Q$607)</f>
        <v/>
      </c>
      <c r="E301" s="43">
        <f>C301+D301</f>
        <v/>
      </c>
      <c r="F301" s="50">
        <f>IF(ROUND(C301,2)+ROUND(D301,2)=0,"","yes")</f>
        <v/>
      </c>
      <c r="G301" s="63" t="n"/>
      <c r="H301" s="43">
        <f>IF($G301="","",$E301-$G301)</f>
        <v/>
      </c>
    </row>
    <row r="302">
      <c r="A302" s="62" t="inlineStr">
        <is>
          <t>26073103N</t>
        </is>
      </c>
      <c r="B302" s="62" t="inlineStr">
        <is>
          <t>DTTL PER AV &amp; Hospitality Tech (SEP26-FEB27) [ONS] non-chargeable</t>
        </is>
      </c>
      <c r="C302" s="43">
        <f>SUMIFS(tbl_WIP[Amount],tbl_WIP[Job Number],$A302,tbl_WIP[Month],"&lt;&gt;",tbl_WIP[Month],"&lt;"&amp;$C$4,tbl_WIP[Defer Start],"")+SUMIF('Deferred Revenue'!$E$6:$E$607,$A302,'Deferred Revenue'!$P$6:$P$607)</f>
        <v/>
      </c>
      <c r="D302" s="43">
        <f>SUMIFS(tbl_WIP[Amount],tbl_WIP[Job Number],$A302,tbl_WIP[Month],$C$4,tbl_WIP[Defer Start],"")+SUMIF('Deferred Revenue'!$E$6:$E$607,$A302,'Deferred Revenue'!$Q$6:$Q$607)</f>
        <v/>
      </c>
      <c r="E302" s="43">
        <f>C302+D302</f>
        <v/>
      </c>
      <c r="F302" s="50">
        <f>IF(ROUND(C302,2)+ROUND(D302,2)=0,"","yes")</f>
        <v/>
      </c>
      <c r="G302" s="63" t="n"/>
      <c r="H302" s="43">
        <f>IF($G302="","",$E302-$G302)</f>
        <v/>
      </c>
    </row>
    <row r="303">
      <c r="A303" s="62" t="inlineStr">
        <is>
          <t>26073105</t>
        </is>
      </c>
      <c r="B303" s="62" t="inlineStr">
        <is>
          <t>Elkiem - Studio Support - 25.8.26</t>
        </is>
      </c>
      <c r="C303" s="43">
        <f>SUMIFS(tbl_WIP[Amount],tbl_WIP[Job Number],$A303,tbl_WIP[Month],"&lt;&gt;",tbl_WIP[Month],"&lt;"&amp;$C$4,tbl_WIP[Defer Start],"")+SUMIF('Deferred Revenue'!$E$6:$E$607,$A303,'Deferred Revenue'!$P$6:$P$607)</f>
        <v/>
      </c>
      <c r="D303" s="43">
        <f>SUMIFS(tbl_WIP[Amount],tbl_WIP[Job Number],$A303,tbl_WIP[Month],$C$4,tbl_WIP[Defer Start],"")+SUMIF('Deferred Revenue'!$E$6:$E$607,$A303,'Deferred Revenue'!$Q$6:$Q$607)</f>
        <v/>
      </c>
      <c r="E303" s="43">
        <f>C303+D303</f>
        <v/>
      </c>
      <c r="F303" s="50">
        <f>IF(ROUND(C303,2)+ROUND(D303,2)=0,"","yes")</f>
        <v/>
      </c>
      <c r="G303" s="63" t="n"/>
      <c r="H303" s="43">
        <f>IF($G303="","",$E303-$G303)</f>
        <v/>
      </c>
    </row>
    <row r="304">
      <c r="A304" s="62" t="inlineStr">
        <is>
          <t>26073106</t>
        </is>
      </c>
      <c r="B304" s="62" t="inlineStr">
        <is>
          <t>Elkiem - Studio Support - 18.9.26</t>
        </is>
      </c>
      <c r="C304" s="43">
        <f>SUMIFS(tbl_WIP[Amount],tbl_WIP[Job Number],$A304,tbl_WIP[Month],"&lt;&gt;",tbl_WIP[Month],"&lt;"&amp;$C$4,tbl_WIP[Defer Start],"")+SUMIF('Deferred Revenue'!$E$6:$E$607,$A304,'Deferred Revenue'!$P$6:$P$607)</f>
        <v/>
      </c>
      <c r="D304" s="43">
        <f>SUMIFS(tbl_WIP[Amount],tbl_WIP[Job Number],$A304,tbl_WIP[Month],$C$4,tbl_WIP[Defer Start],"")+SUMIF('Deferred Revenue'!$E$6:$E$607,$A304,'Deferred Revenue'!$Q$6:$Q$607)</f>
        <v/>
      </c>
      <c r="E304" s="43">
        <f>C304+D304</f>
        <v/>
      </c>
      <c r="F304" s="50">
        <f>IF(ROUND(C304,2)+ROUND(D304,2)=0,"","yes")</f>
        <v/>
      </c>
      <c r="G304" s="63" t="n"/>
      <c r="H304" s="43">
        <f>IF($G304="","",$E304-$G304)</f>
        <v/>
      </c>
    </row>
    <row r="305">
      <c r="A305" s="62" t="inlineStr">
        <is>
          <t>26073107</t>
        </is>
      </c>
      <c r="B305" s="62" t="inlineStr">
        <is>
          <t>DTTL Travel for Technician &amp; Coverage ADL-HOB</t>
        </is>
      </c>
      <c r="C305" s="43">
        <f>SUMIFS(tbl_WIP[Amount],tbl_WIP[Job Number],$A305,tbl_WIP[Month],"&lt;&gt;",tbl_WIP[Month],"&lt;"&amp;$C$4,tbl_WIP[Defer Start],"")+SUMIF('Deferred Revenue'!$E$6:$E$607,$A305,'Deferred Revenue'!$P$6:$P$607)</f>
        <v/>
      </c>
      <c r="D305" s="43">
        <f>SUMIFS(tbl_WIP[Amount],tbl_WIP[Job Number],$A305,tbl_WIP[Month],$C$4,tbl_WIP[Defer Start],"")+SUMIF('Deferred Revenue'!$E$6:$E$607,$A305,'Deferred Revenue'!$Q$6:$Q$607)</f>
        <v/>
      </c>
      <c r="E305" s="43">
        <f>C305+D305</f>
        <v/>
      </c>
      <c r="F305" s="50">
        <f>IF(ROUND(C305,2)+ROUND(D305,2)=0,"","yes")</f>
        <v/>
      </c>
      <c r="G305" s="63" t="n"/>
      <c r="H305" s="43">
        <f>IF($G305="","",$E305-$G305)</f>
        <v/>
      </c>
    </row>
    <row r="306">
      <c r="A306" s="62" t="inlineStr">
        <is>
          <t>26073110</t>
        </is>
      </c>
      <c r="B306" s="62" t="inlineStr">
        <is>
          <t>Garvan - Weizmann Dinner Event - 20.8.26</t>
        </is>
      </c>
      <c r="C306" s="43">
        <f>SUMIFS(tbl_WIP[Amount],tbl_WIP[Job Number],$A306,tbl_WIP[Month],"&lt;&gt;",tbl_WIP[Month],"&lt;"&amp;$C$4,tbl_WIP[Defer Start],"")+SUMIF('Deferred Revenue'!$E$6:$E$607,$A306,'Deferred Revenue'!$P$6:$P$607)</f>
        <v/>
      </c>
      <c r="D306" s="43">
        <f>SUMIFS(tbl_WIP[Amount],tbl_WIP[Job Number],$A306,tbl_WIP[Month],$C$4,tbl_WIP[Defer Start],"")+SUMIF('Deferred Revenue'!$E$6:$E$607,$A306,'Deferred Revenue'!$Q$6:$Q$607)</f>
        <v/>
      </c>
      <c r="E306" s="43">
        <f>C306+D306</f>
        <v/>
      </c>
      <c r="F306" s="50">
        <f>IF(ROUND(C306,2)+ROUND(D306,2)=0,"","yes")</f>
        <v/>
      </c>
      <c r="G306" s="63" t="n"/>
      <c r="H306" s="43">
        <f>IF($G306="","",$E306-$G306)</f>
        <v/>
      </c>
    </row>
    <row r="307">
      <c r="A307" s="62" t="inlineStr">
        <is>
          <t>26073110V</t>
        </is>
      </c>
      <c r="B307" s="62" t="inlineStr">
        <is>
          <t>Garvan - Weizmann Dinner Event - 20.8.26</t>
        </is>
      </c>
      <c r="C307" s="43">
        <f>SUMIFS(tbl_WIP[Amount],tbl_WIP[Job Number],$A307,tbl_WIP[Month],"&lt;&gt;",tbl_WIP[Month],"&lt;"&amp;$C$4,tbl_WIP[Defer Start],"")+SUMIF('Deferred Revenue'!$E$6:$E$607,$A307,'Deferred Revenue'!$P$6:$P$607)</f>
        <v/>
      </c>
      <c r="D307" s="43">
        <f>SUMIFS(tbl_WIP[Amount],tbl_WIP[Job Number],$A307,tbl_WIP[Month],$C$4,tbl_WIP[Defer Start],"")+SUMIF('Deferred Revenue'!$E$6:$E$607,$A307,'Deferred Revenue'!$Q$6:$Q$607)</f>
        <v/>
      </c>
      <c r="E307" s="43">
        <f>C307+D307</f>
        <v/>
      </c>
      <c r="F307" s="50">
        <f>IF(ROUND(C307,2)+ROUND(D307,2)=0,"","yes")</f>
        <v/>
      </c>
      <c r="G307" s="63" t="n"/>
      <c r="H307" s="43">
        <f>IF($G307="","",$E307-$G307)</f>
        <v/>
      </c>
    </row>
    <row r="308">
      <c r="A308" s="62" t="inlineStr">
        <is>
          <t>26073111</t>
        </is>
      </c>
      <c r="B308" s="62" t="inlineStr">
        <is>
          <t>Downer - FYR &amp; Employee Webcast - 25.8.26</t>
        </is>
      </c>
      <c r="C308" s="43">
        <f>SUMIFS(tbl_WIP[Amount],tbl_WIP[Job Number],$A308,tbl_WIP[Month],"&lt;&gt;",tbl_WIP[Month],"&lt;"&amp;$C$4,tbl_WIP[Defer Start],"")+SUMIF('Deferred Revenue'!$E$6:$E$607,$A308,'Deferred Revenue'!$P$6:$P$607)</f>
        <v/>
      </c>
      <c r="D308" s="43">
        <f>SUMIFS(tbl_WIP[Amount],tbl_WIP[Job Number],$A308,tbl_WIP[Month],$C$4,tbl_WIP[Defer Start],"")+SUMIF('Deferred Revenue'!$E$6:$E$607,$A308,'Deferred Revenue'!$Q$6:$Q$607)</f>
        <v/>
      </c>
      <c r="E308" s="43">
        <f>C308+D308</f>
        <v/>
      </c>
      <c r="F308" s="50">
        <f>IF(ROUND(C308,2)+ROUND(D308,2)=0,"","yes")</f>
        <v/>
      </c>
      <c r="G308" s="63" t="n"/>
      <c r="H308" s="43">
        <f>IF($G308="","",$E308-$G308)</f>
        <v/>
      </c>
    </row>
    <row r="309">
      <c r="A309" s="62" t="inlineStr">
        <is>
          <t>26073111V</t>
        </is>
      </c>
      <c r="B309" s="62" t="inlineStr">
        <is>
          <t>Downer - FYR &amp; Employee Webcast - 25.8.26</t>
        </is>
      </c>
      <c r="C309" s="43">
        <f>SUMIFS(tbl_WIP[Amount],tbl_WIP[Job Number],$A309,tbl_WIP[Month],"&lt;&gt;",tbl_WIP[Month],"&lt;"&amp;$C$4,tbl_WIP[Defer Start],"")+SUMIF('Deferred Revenue'!$E$6:$E$607,$A309,'Deferred Revenue'!$P$6:$P$607)</f>
        <v/>
      </c>
      <c r="D309" s="43">
        <f>SUMIFS(tbl_WIP[Amount],tbl_WIP[Job Number],$A309,tbl_WIP[Month],$C$4,tbl_WIP[Defer Start],"")+SUMIF('Deferred Revenue'!$E$6:$E$607,$A309,'Deferred Revenue'!$Q$6:$Q$607)</f>
        <v/>
      </c>
      <c r="E309" s="43">
        <f>C309+D309</f>
        <v/>
      </c>
      <c r="F309" s="50">
        <f>IF(ROUND(C309,2)+ROUND(D309,2)=0,"","yes")</f>
        <v/>
      </c>
      <c r="G309" s="63" t="n"/>
      <c r="H309" s="43">
        <f>IF($G309="","",$E309-$G309)</f>
        <v/>
      </c>
    </row>
    <row r="310">
      <c r="A310" s="62" t="inlineStr">
        <is>
          <t>2607703</t>
        </is>
      </c>
      <c r="B310" s="62" t="inlineStr">
        <is>
          <t>Garvan - YPO Event - 6.8.2026</t>
        </is>
      </c>
      <c r="C310" s="43">
        <f>SUMIFS(tbl_WIP[Amount],tbl_WIP[Job Number],$A310,tbl_WIP[Month],"&lt;&gt;",tbl_WIP[Month],"&lt;"&amp;$C$4,tbl_WIP[Defer Start],"")+SUMIF('Deferred Revenue'!$E$6:$E$607,$A310,'Deferred Revenue'!$P$6:$P$607)</f>
        <v/>
      </c>
      <c r="D310" s="43">
        <f>SUMIFS(tbl_WIP[Amount],tbl_WIP[Job Number],$A310,tbl_WIP[Month],$C$4,tbl_WIP[Defer Start],"")+SUMIF('Deferred Revenue'!$E$6:$E$607,$A310,'Deferred Revenue'!$Q$6:$Q$607)</f>
        <v/>
      </c>
      <c r="E310" s="43">
        <f>C310+D310</f>
        <v/>
      </c>
      <c r="F310" s="50">
        <f>IF(ROUND(C310,2)+ROUND(D310,2)=0,"","yes")</f>
        <v/>
      </c>
      <c r="G310" s="63" t="n"/>
      <c r="H310" s="43">
        <f>IF($G310="","",$E310-$G310)</f>
        <v/>
      </c>
    </row>
    <row r="311">
      <c r="A311" s="62" t="inlineStr">
        <is>
          <t>2607703V</t>
        </is>
      </c>
      <c r="B311" s="62" t="inlineStr">
        <is>
          <t>Garvan - YPO Event - 6.8.2026</t>
        </is>
      </c>
      <c r="C311" s="43">
        <f>SUMIFS(tbl_WIP[Amount],tbl_WIP[Job Number],$A311,tbl_WIP[Month],"&lt;&gt;",tbl_WIP[Month],"&lt;"&amp;$C$4,tbl_WIP[Defer Start],"")+SUMIF('Deferred Revenue'!$E$6:$E$607,$A311,'Deferred Revenue'!$P$6:$P$607)</f>
        <v/>
      </c>
      <c r="D311" s="43">
        <f>SUMIFS(tbl_WIP[Amount],tbl_WIP[Job Number],$A311,tbl_WIP[Month],$C$4,tbl_WIP[Defer Start],"")+SUMIF('Deferred Revenue'!$E$6:$E$607,$A311,'Deferred Revenue'!$Q$6:$Q$607)</f>
        <v/>
      </c>
      <c r="E311" s="43">
        <f>C311+D311</f>
        <v/>
      </c>
      <c r="F311" s="50">
        <f>IF(ROUND(C311,2)+ROUND(D311,2)=0,"","yes")</f>
        <v/>
      </c>
      <c r="G311" s="63" t="n"/>
      <c r="H311" s="43">
        <f>IF($G311="","",$E311-$G311)</f>
        <v/>
      </c>
    </row>
    <row r="312">
      <c r="A312" s="62" t="inlineStr">
        <is>
          <t>2608101</t>
        </is>
      </c>
      <c r="B312" s="62" t="inlineStr">
        <is>
          <t>ART - AMM Captioning - 25.11.26</t>
        </is>
      </c>
      <c r="C312" s="43">
        <f>SUMIFS(tbl_WIP[Amount],tbl_WIP[Job Number],$A312,tbl_WIP[Month],"&lt;&gt;",tbl_WIP[Month],"&lt;"&amp;$C$4,tbl_WIP[Defer Start],"")+SUMIF('Deferred Revenue'!$E$6:$E$607,$A312,'Deferred Revenue'!$P$6:$P$607)</f>
        <v/>
      </c>
      <c r="D312" s="43">
        <f>SUMIFS(tbl_WIP[Amount],tbl_WIP[Job Number],$A312,tbl_WIP[Month],$C$4,tbl_WIP[Defer Start],"")+SUMIF('Deferred Revenue'!$E$6:$E$607,$A312,'Deferred Revenue'!$Q$6:$Q$607)</f>
        <v/>
      </c>
      <c r="E312" s="43">
        <f>C312+D312</f>
        <v/>
      </c>
      <c r="F312" s="50">
        <f>IF(ROUND(C312,2)+ROUND(D312,2)=0,"","yes")</f>
        <v/>
      </c>
      <c r="G312" s="63" t="n"/>
      <c r="H312" s="43">
        <f>IF($G312="","",$E312-$G312)</f>
        <v/>
      </c>
    </row>
    <row r="313">
      <c r="A313" s="62" t="inlineStr">
        <is>
          <t>2608101V</t>
        </is>
      </c>
      <c r="B313" s="62" t="inlineStr">
        <is>
          <t>ART - AMM Captioning - 25.11.26</t>
        </is>
      </c>
      <c r="C313" s="43">
        <f>SUMIFS(tbl_WIP[Amount],tbl_WIP[Job Number],$A313,tbl_WIP[Month],"&lt;&gt;",tbl_WIP[Month],"&lt;"&amp;$C$4,tbl_WIP[Defer Start],"")+SUMIF('Deferred Revenue'!$E$6:$E$607,$A313,'Deferred Revenue'!$P$6:$P$607)</f>
        <v/>
      </c>
      <c r="D313" s="43">
        <f>SUMIFS(tbl_WIP[Amount],tbl_WIP[Job Number],$A313,tbl_WIP[Month],$C$4,tbl_WIP[Defer Start],"")+SUMIF('Deferred Revenue'!$E$6:$E$607,$A313,'Deferred Revenue'!$Q$6:$Q$607)</f>
        <v/>
      </c>
      <c r="E313" s="43">
        <f>C313+D313</f>
        <v/>
      </c>
      <c r="F313" s="50">
        <f>IF(ROUND(C313,2)+ROUND(D313,2)=0,"","yes")</f>
        <v/>
      </c>
      <c r="G313" s="63" t="n"/>
      <c r="H313" s="43">
        <f>IF($G313="","",$E313-$G313)</f>
        <v/>
      </c>
    </row>
    <row r="314">
      <c r="A314" s="62" t="inlineStr">
        <is>
          <t>2608102</t>
        </is>
      </c>
      <c r="B314" s="62" t="inlineStr">
        <is>
          <t>ART - Education Session Captioning - 25.11.26</t>
        </is>
      </c>
      <c r="C314" s="43">
        <f>SUMIFS(tbl_WIP[Amount],tbl_WIP[Job Number],$A314,tbl_WIP[Month],"&lt;&gt;",tbl_WIP[Month],"&lt;"&amp;$C$4,tbl_WIP[Defer Start],"")+SUMIF('Deferred Revenue'!$E$6:$E$607,$A314,'Deferred Revenue'!$P$6:$P$607)</f>
        <v/>
      </c>
      <c r="D314" s="43">
        <f>SUMIFS(tbl_WIP[Amount],tbl_WIP[Job Number],$A314,tbl_WIP[Month],$C$4,tbl_WIP[Defer Start],"")+SUMIF('Deferred Revenue'!$E$6:$E$607,$A314,'Deferred Revenue'!$Q$6:$Q$607)</f>
        <v/>
      </c>
      <c r="E314" s="43">
        <f>C314+D314</f>
        <v/>
      </c>
      <c r="F314" s="50">
        <f>IF(ROUND(C314,2)+ROUND(D314,2)=0,"","yes")</f>
        <v/>
      </c>
      <c r="G314" s="63" t="n"/>
      <c r="H314" s="43">
        <f>IF($G314="","",$E314-$G314)</f>
        <v/>
      </c>
    </row>
    <row r="315">
      <c r="A315" s="62" t="inlineStr">
        <is>
          <t>26081101</t>
        </is>
      </c>
      <c r="B315" s="62" t="inlineStr">
        <is>
          <t>Vega Global - Payments Forum - 17.9.26</t>
        </is>
      </c>
      <c r="C315" s="43">
        <f>SUMIFS(tbl_WIP[Amount],tbl_WIP[Job Number],$A315,tbl_WIP[Month],"&lt;&gt;",tbl_WIP[Month],"&lt;"&amp;$C$4,tbl_WIP[Defer Start],"")+SUMIF('Deferred Revenue'!$E$6:$E$607,$A315,'Deferred Revenue'!$P$6:$P$607)</f>
        <v/>
      </c>
      <c r="D315" s="43">
        <f>SUMIFS(tbl_WIP[Amount],tbl_WIP[Job Number],$A315,tbl_WIP[Month],$C$4,tbl_WIP[Defer Start],"")+SUMIF('Deferred Revenue'!$E$6:$E$607,$A315,'Deferred Revenue'!$Q$6:$Q$607)</f>
        <v/>
      </c>
      <c r="E315" s="43">
        <f>C315+D315</f>
        <v/>
      </c>
      <c r="F315" s="50">
        <f>IF(ROUND(C315,2)+ROUND(D315,2)=0,"","yes")</f>
        <v/>
      </c>
      <c r="G315" s="63" t="n"/>
      <c r="H315" s="43">
        <f>IF($G315="","",$E315-$G315)</f>
        <v/>
      </c>
    </row>
    <row r="316">
      <c r="A316" s="62" t="inlineStr">
        <is>
          <t>26081302</t>
        </is>
      </c>
      <c r="B316" s="62" t="inlineStr">
        <is>
          <t>Ubank - Volunteer Day - 11.11.26</t>
        </is>
      </c>
      <c r="C316" s="43">
        <f>SUMIFS(tbl_WIP[Amount],tbl_WIP[Job Number],$A316,tbl_WIP[Month],"&lt;&gt;",tbl_WIP[Month],"&lt;"&amp;$C$4,tbl_WIP[Defer Start],"")+SUMIF('Deferred Revenue'!$E$6:$E$607,$A316,'Deferred Revenue'!$P$6:$P$607)</f>
        <v/>
      </c>
      <c r="D316" s="43">
        <f>SUMIFS(tbl_WIP[Amount],tbl_WIP[Job Number],$A316,tbl_WIP[Month],$C$4,tbl_WIP[Defer Start],"")+SUMIF('Deferred Revenue'!$E$6:$E$607,$A316,'Deferred Revenue'!$Q$6:$Q$607)</f>
        <v/>
      </c>
      <c r="E316" s="43">
        <f>C316+D316</f>
        <v/>
      </c>
      <c r="F316" s="50">
        <f>IF(ROUND(C316,2)+ROUND(D316,2)=0,"","yes")</f>
        <v/>
      </c>
      <c r="G316" s="63" t="n"/>
      <c r="H316" s="43">
        <f>IF($G316="","",$E316-$G316)</f>
        <v/>
      </c>
    </row>
    <row r="317">
      <c r="A317" s="62" t="inlineStr">
        <is>
          <t>26081302V</t>
        </is>
      </c>
      <c r="B317" s="62" t="inlineStr">
        <is>
          <t>Ubank - Volunteer Day - 11.11.26</t>
        </is>
      </c>
      <c r="C317" s="43">
        <f>SUMIFS(tbl_WIP[Amount],tbl_WIP[Job Number],$A317,tbl_WIP[Month],"&lt;&gt;",tbl_WIP[Month],"&lt;"&amp;$C$4,tbl_WIP[Defer Start],"")+SUMIF('Deferred Revenue'!$E$6:$E$607,$A317,'Deferred Revenue'!$P$6:$P$607)</f>
        <v/>
      </c>
      <c r="D317" s="43">
        <f>SUMIFS(tbl_WIP[Amount],tbl_WIP[Job Number],$A317,tbl_WIP[Month],$C$4,tbl_WIP[Defer Start],"")+SUMIF('Deferred Revenue'!$E$6:$E$607,$A317,'Deferred Revenue'!$Q$6:$Q$607)</f>
        <v/>
      </c>
      <c r="E317" s="43">
        <f>C317+D317</f>
        <v/>
      </c>
      <c r="F317" s="50">
        <f>IF(ROUND(C317,2)+ROUND(D317,2)=0,"","yes")</f>
        <v/>
      </c>
      <c r="G317" s="63" t="n"/>
      <c r="H317" s="43">
        <f>IF($G317="","",$E317-$G317)</f>
        <v/>
      </c>
    </row>
    <row r="318">
      <c r="A318" s="62" t="inlineStr">
        <is>
          <t>26081402</t>
        </is>
      </c>
      <c r="B318" s="62" t="inlineStr">
        <is>
          <t>Dimensional - AV Support - 19.8.26</t>
        </is>
      </c>
      <c r="C318" s="43">
        <f>SUMIFS(tbl_WIP[Amount],tbl_WIP[Job Number],$A318,tbl_WIP[Month],"&lt;&gt;",tbl_WIP[Month],"&lt;"&amp;$C$4,tbl_WIP[Defer Start],"")+SUMIF('Deferred Revenue'!$E$6:$E$607,$A318,'Deferred Revenue'!$P$6:$P$607)</f>
        <v/>
      </c>
      <c r="D318" s="43">
        <f>SUMIFS(tbl_WIP[Amount],tbl_WIP[Job Number],$A318,tbl_WIP[Month],$C$4,tbl_WIP[Defer Start],"")+SUMIF('Deferred Revenue'!$E$6:$E$607,$A318,'Deferred Revenue'!$Q$6:$Q$607)</f>
        <v/>
      </c>
      <c r="E318" s="43">
        <f>C318+D318</f>
        <v/>
      </c>
      <c r="F318" s="50">
        <f>IF(ROUND(C318,2)+ROUND(D318,2)=0,"","yes")</f>
        <v/>
      </c>
      <c r="G318" s="63" t="n"/>
      <c r="H318" s="43">
        <f>IF($G318="","",$E318-$G318)</f>
        <v/>
      </c>
    </row>
    <row r="319">
      <c r="A319" s="62" t="inlineStr">
        <is>
          <t>26081801</t>
        </is>
      </c>
      <c r="B319" s="62" t="inlineStr">
        <is>
          <t>Microsoft - SME&amp;C Town Hall 14.10.2026</t>
        </is>
      </c>
      <c r="C319" s="43">
        <f>SUMIFS(tbl_WIP[Amount],tbl_WIP[Job Number],$A319,tbl_WIP[Month],"&lt;&gt;",tbl_WIP[Month],"&lt;"&amp;$C$4,tbl_WIP[Defer Start],"")+SUMIF('Deferred Revenue'!$E$6:$E$607,$A319,'Deferred Revenue'!$P$6:$P$607)</f>
        <v/>
      </c>
      <c r="D319" s="43">
        <f>SUMIFS(tbl_WIP[Amount],tbl_WIP[Job Number],$A319,tbl_WIP[Month],$C$4,tbl_WIP[Defer Start],"")+SUMIF('Deferred Revenue'!$E$6:$E$607,$A319,'Deferred Revenue'!$Q$6:$Q$607)</f>
        <v/>
      </c>
      <c r="E319" s="43">
        <f>C319+D319</f>
        <v/>
      </c>
      <c r="F319" s="50">
        <f>IF(ROUND(C319,2)+ROUND(D319,2)=0,"","yes")</f>
        <v/>
      </c>
      <c r="G319" s="63" t="n"/>
      <c r="H319" s="43">
        <f>IF($G319="","",$E319-$G319)</f>
        <v/>
      </c>
    </row>
    <row r="320">
      <c r="A320" s="62" t="inlineStr">
        <is>
          <t>26081801V</t>
        </is>
      </c>
      <c r="B320" s="62" t="inlineStr">
        <is>
          <t>Microsoft - SME&amp;C Town Hall 14.10.2026</t>
        </is>
      </c>
      <c r="C320" s="43">
        <f>SUMIFS(tbl_WIP[Amount],tbl_WIP[Job Number],$A320,tbl_WIP[Month],"&lt;&gt;",tbl_WIP[Month],"&lt;"&amp;$C$4,tbl_WIP[Defer Start],"")+SUMIF('Deferred Revenue'!$E$6:$E$607,$A320,'Deferred Revenue'!$P$6:$P$607)</f>
        <v/>
      </c>
      <c r="D320" s="43">
        <f>SUMIFS(tbl_WIP[Amount],tbl_WIP[Job Number],$A320,tbl_WIP[Month],$C$4,tbl_WIP[Defer Start],"")+SUMIF('Deferred Revenue'!$E$6:$E$607,$A320,'Deferred Revenue'!$Q$6:$Q$607)</f>
        <v/>
      </c>
      <c r="E320" s="43">
        <f>C320+D320</f>
        <v/>
      </c>
      <c r="F320" s="50">
        <f>IF(ROUND(C320,2)+ROUND(D320,2)=0,"","yes")</f>
        <v/>
      </c>
      <c r="G320" s="63" t="n"/>
      <c r="H320" s="43">
        <f>IF($G320="","",$E320-$G320)</f>
        <v/>
      </c>
    </row>
    <row r="321">
      <c r="A321" s="62" t="inlineStr">
        <is>
          <t>26081901</t>
        </is>
      </c>
      <c r="B321" s="62" t="inlineStr">
        <is>
          <t>AusPayNet Logitech Essentials for Room License Renewal</t>
        </is>
      </c>
      <c r="C321" s="43">
        <f>SUMIFS(tbl_WIP[Amount],tbl_WIP[Job Number],$A321,tbl_WIP[Month],"&lt;&gt;",tbl_WIP[Month],"&lt;"&amp;$C$4,tbl_WIP[Defer Start],"")+SUMIF('Deferred Revenue'!$E$6:$E$607,$A321,'Deferred Revenue'!$P$6:$P$607)</f>
        <v/>
      </c>
      <c r="D321" s="43">
        <f>SUMIFS(tbl_WIP[Amount],tbl_WIP[Job Number],$A321,tbl_WIP[Month],$C$4,tbl_WIP[Defer Start],"")+SUMIF('Deferred Revenue'!$E$6:$E$607,$A321,'Deferred Revenue'!$Q$6:$Q$607)</f>
        <v/>
      </c>
      <c r="E321" s="43">
        <f>C321+D321</f>
        <v/>
      </c>
      <c r="F321" s="50">
        <f>IF(ROUND(C321,2)+ROUND(D321,2)=0,"","yes")</f>
        <v/>
      </c>
      <c r="G321" s="63" t="n"/>
      <c r="H321" s="43">
        <f>IF($G321="","",$E321-$G321)</f>
        <v/>
      </c>
    </row>
    <row r="322">
      <c r="A322" s="62" t="inlineStr">
        <is>
          <t>26081904</t>
        </is>
      </c>
      <c r="B322" s="62" t="inlineStr">
        <is>
          <t>Garvan - AllClear Program Meeting - 2.9.26</t>
        </is>
      </c>
      <c r="C322" s="43">
        <f>SUMIFS(tbl_WIP[Amount],tbl_WIP[Job Number],$A322,tbl_WIP[Month],"&lt;&gt;",tbl_WIP[Month],"&lt;"&amp;$C$4,tbl_WIP[Defer Start],"")+SUMIF('Deferred Revenue'!$E$6:$E$607,$A322,'Deferred Revenue'!$P$6:$P$607)</f>
        <v/>
      </c>
      <c r="D322" s="43">
        <f>SUMIFS(tbl_WIP[Amount],tbl_WIP[Job Number],$A322,tbl_WIP[Month],$C$4,tbl_WIP[Defer Start],"")+SUMIF('Deferred Revenue'!$E$6:$E$607,$A322,'Deferred Revenue'!$Q$6:$Q$607)</f>
        <v/>
      </c>
      <c r="E322" s="43">
        <f>C322+D322</f>
        <v/>
      </c>
      <c r="F322" s="50">
        <f>IF(ROUND(C322,2)+ROUND(D322,2)=0,"","yes")</f>
        <v/>
      </c>
      <c r="G322" s="63" t="n"/>
      <c r="H322" s="43">
        <f>IF($G322="","",$E322-$G322)</f>
        <v/>
      </c>
    </row>
    <row r="323">
      <c r="A323" s="62" t="inlineStr">
        <is>
          <t>26082402</t>
        </is>
      </c>
      <c r="B323" s="62" t="inlineStr">
        <is>
          <t>TLC - 2026 AGM - 14.10.26</t>
        </is>
      </c>
      <c r="C323" s="43">
        <f>SUMIFS(tbl_WIP[Amount],tbl_WIP[Job Number],$A323,tbl_WIP[Month],"&lt;&gt;",tbl_WIP[Month],"&lt;"&amp;$C$4,tbl_WIP[Defer Start],"")+SUMIF('Deferred Revenue'!$E$6:$E$607,$A323,'Deferred Revenue'!$P$6:$P$607)</f>
        <v/>
      </c>
      <c r="D323" s="43">
        <f>SUMIFS(tbl_WIP[Amount],tbl_WIP[Job Number],$A323,tbl_WIP[Month],$C$4,tbl_WIP[Defer Start],"")+SUMIF('Deferred Revenue'!$E$6:$E$607,$A323,'Deferred Revenue'!$Q$6:$Q$607)</f>
        <v/>
      </c>
      <c r="E323" s="43">
        <f>C323+D323</f>
        <v/>
      </c>
      <c r="F323" s="50">
        <f>IF(ROUND(C323,2)+ROUND(D323,2)=0,"","yes")</f>
        <v/>
      </c>
      <c r="G323" s="63" t="n"/>
      <c r="H323" s="43">
        <f>IF($G323="","",$E323-$G323)</f>
        <v/>
      </c>
    </row>
    <row r="324">
      <c r="A324" s="62" t="inlineStr">
        <is>
          <t>26082402V</t>
        </is>
      </c>
      <c r="B324" s="62" t="inlineStr">
        <is>
          <t>TLC - 2026 AGM - 14.10.26</t>
        </is>
      </c>
      <c r="C324" s="43">
        <f>SUMIFS(tbl_WIP[Amount],tbl_WIP[Job Number],$A324,tbl_WIP[Month],"&lt;&gt;",tbl_WIP[Month],"&lt;"&amp;$C$4,tbl_WIP[Defer Start],"")+SUMIF('Deferred Revenue'!$E$6:$E$607,$A324,'Deferred Revenue'!$P$6:$P$607)</f>
        <v/>
      </c>
      <c r="D324" s="43">
        <f>SUMIFS(tbl_WIP[Amount],tbl_WIP[Job Number],$A324,tbl_WIP[Month],$C$4,tbl_WIP[Defer Start],"")+SUMIF('Deferred Revenue'!$E$6:$E$607,$A324,'Deferred Revenue'!$Q$6:$Q$607)</f>
        <v/>
      </c>
      <c r="E324" s="43">
        <f>C324+D324</f>
        <v/>
      </c>
      <c r="F324" s="50">
        <f>IF(ROUND(C324,2)+ROUND(D324,2)=0,"","yes")</f>
        <v/>
      </c>
      <c r="G324" s="63" t="n"/>
      <c r="H324" s="43">
        <f>IF($G324="","",$E324-$G324)</f>
        <v/>
      </c>
    </row>
    <row r="325">
      <c r="A325" s="62" t="inlineStr">
        <is>
          <t>26082501</t>
        </is>
      </c>
      <c r="B325" s="62" t="inlineStr">
        <is>
          <t>CBA - LES - September 2026</t>
        </is>
      </c>
      <c r="C325" s="43">
        <f>SUMIFS(tbl_WIP[Amount],tbl_WIP[Job Number],$A325,tbl_WIP[Month],"&lt;&gt;",tbl_WIP[Month],"&lt;"&amp;$C$4,tbl_WIP[Defer Start],"")+SUMIF('Deferred Revenue'!$E$6:$E$607,$A325,'Deferred Revenue'!$P$6:$P$607)</f>
        <v/>
      </c>
      <c r="D325" s="43">
        <f>SUMIFS(tbl_WIP[Amount],tbl_WIP[Job Number],$A325,tbl_WIP[Month],$C$4,tbl_WIP[Defer Start],"")+SUMIF('Deferred Revenue'!$E$6:$E$607,$A325,'Deferred Revenue'!$Q$6:$Q$607)</f>
        <v/>
      </c>
      <c r="E325" s="43">
        <f>C325+D325</f>
        <v/>
      </c>
      <c r="F325" s="50">
        <f>IF(ROUND(C325,2)+ROUND(D325,2)=0,"","yes")</f>
        <v/>
      </c>
      <c r="G325" s="63" t="n"/>
      <c r="H325" s="43">
        <f>IF($G325="","",$E325-$G325)</f>
        <v/>
      </c>
    </row>
    <row r="326">
      <c r="A326" s="62" t="inlineStr">
        <is>
          <t>26082502</t>
        </is>
      </c>
      <c r="B326" s="62" t="inlineStr">
        <is>
          <t>ICC - Presenter &amp; Speaker Preparation - September 2026</t>
        </is>
      </c>
      <c r="C326" s="43">
        <f>SUMIFS(tbl_WIP[Amount],tbl_WIP[Job Number],$A326,tbl_WIP[Month],"&lt;&gt;",tbl_WIP[Month],"&lt;"&amp;$C$4,tbl_WIP[Defer Start],"")+SUMIF('Deferred Revenue'!$E$6:$E$607,$A326,'Deferred Revenue'!$P$6:$P$607)</f>
        <v/>
      </c>
      <c r="D326" s="43">
        <f>SUMIFS(tbl_WIP[Amount],tbl_WIP[Job Number],$A326,tbl_WIP[Month],$C$4,tbl_WIP[Defer Start],"")+SUMIF('Deferred Revenue'!$E$6:$E$607,$A326,'Deferred Revenue'!$Q$6:$Q$607)</f>
        <v/>
      </c>
      <c r="E326" s="43">
        <f>C326+D326</f>
        <v/>
      </c>
      <c r="F326" s="50">
        <f>IF(ROUND(C326,2)+ROUND(D326,2)=0,"","yes")</f>
        <v/>
      </c>
      <c r="G326" s="63" t="n"/>
      <c r="H326" s="43">
        <f>IF($G326="","",$E326-$G326)</f>
        <v/>
      </c>
    </row>
    <row r="327">
      <c r="A327" s="62" t="inlineStr">
        <is>
          <t>26082502V</t>
        </is>
      </c>
      <c r="B327" s="62" t="inlineStr">
        <is>
          <t>ICC - Presenter &amp; Speaker Preparation - September 2026</t>
        </is>
      </c>
      <c r="C327" s="43">
        <f>SUMIFS(tbl_WIP[Amount],tbl_WIP[Job Number],$A327,tbl_WIP[Month],"&lt;&gt;",tbl_WIP[Month],"&lt;"&amp;$C$4,tbl_WIP[Defer Start],"")+SUMIF('Deferred Revenue'!$E$6:$E$607,$A327,'Deferred Revenue'!$P$6:$P$607)</f>
        <v/>
      </c>
      <c r="D327" s="43">
        <f>SUMIFS(tbl_WIP[Amount],tbl_WIP[Job Number],$A327,tbl_WIP[Month],$C$4,tbl_WIP[Defer Start],"")+SUMIF('Deferred Revenue'!$E$6:$E$607,$A327,'Deferred Revenue'!$Q$6:$Q$607)</f>
        <v/>
      </c>
      <c r="E327" s="43">
        <f>C327+D327</f>
        <v/>
      </c>
      <c r="F327" s="50">
        <f>IF(ROUND(C327,2)+ROUND(D327,2)=0,"","yes")</f>
        <v/>
      </c>
      <c r="G327" s="63" t="n"/>
      <c r="H327" s="43">
        <f>IF($G327="","",$E327-$G327)</f>
        <v/>
      </c>
    </row>
    <row r="328">
      <c r="A328" s="62" t="inlineStr">
        <is>
          <t>26082702</t>
        </is>
      </c>
      <c r="B328" s="62" t="inlineStr">
        <is>
          <t>Garvan - Breast Cancer Public Lecture - 1.10.26</t>
        </is>
      </c>
      <c r="C328" s="43">
        <f>SUMIFS(tbl_WIP[Amount],tbl_WIP[Job Number],$A328,tbl_WIP[Month],"&lt;&gt;",tbl_WIP[Month],"&lt;"&amp;$C$4,tbl_WIP[Defer Start],"")+SUMIF('Deferred Revenue'!$E$6:$E$607,$A328,'Deferred Revenue'!$P$6:$P$607)</f>
        <v/>
      </c>
      <c r="D328" s="43">
        <f>SUMIFS(tbl_WIP[Amount],tbl_WIP[Job Number],$A328,tbl_WIP[Month],$C$4,tbl_WIP[Defer Start],"")+SUMIF('Deferred Revenue'!$E$6:$E$607,$A328,'Deferred Revenue'!$Q$6:$Q$607)</f>
        <v/>
      </c>
      <c r="E328" s="43">
        <f>C328+D328</f>
        <v/>
      </c>
      <c r="F328" s="50">
        <f>IF(ROUND(C328,2)+ROUND(D328,2)=0,"","yes")</f>
        <v/>
      </c>
      <c r="G328" s="63" t="n"/>
      <c r="H328" s="43">
        <f>IF($G328="","",$E328-$G328)</f>
        <v/>
      </c>
    </row>
    <row r="329">
      <c r="A329" s="62" t="inlineStr">
        <is>
          <t>26082703</t>
        </is>
      </c>
      <c r="B329" s="62" t="inlineStr">
        <is>
          <t>APA - RUOK Day - 10.9.26</t>
        </is>
      </c>
      <c r="C329" s="43">
        <f>SUMIFS(tbl_WIP[Amount],tbl_WIP[Job Number],$A329,tbl_WIP[Month],"&lt;&gt;",tbl_WIP[Month],"&lt;"&amp;$C$4,tbl_WIP[Defer Start],"")+SUMIF('Deferred Revenue'!$E$6:$E$607,$A329,'Deferred Revenue'!$P$6:$P$607)</f>
        <v/>
      </c>
      <c r="D329" s="43">
        <f>SUMIFS(tbl_WIP[Amount],tbl_WIP[Job Number],$A329,tbl_WIP[Month],$C$4,tbl_WIP[Defer Start],"")+SUMIF('Deferred Revenue'!$E$6:$E$607,$A329,'Deferred Revenue'!$Q$6:$Q$607)</f>
        <v/>
      </c>
      <c r="E329" s="43">
        <f>C329+D329</f>
        <v/>
      </c>
      <c r="F329" s="50">
        <f>IF(ROUND(C329,2)+ROUND(D329,2)=0,"","yes")</f>
        <v/>
      </c>
      <c r="G329" s="63" t="n"/>
      <c r="H329" s="43">
        <f>IF($G329="","",$E329-$G329)</f>
        <v/>
      </c>
    </row>
    <row r="330">
      <c r="A330" s="62" t="inlineStr">
        <is>
          <t>26082703V</t>
        </is>
      </c>
      <c r="B330" s="62" t="inlineStr">
        <is>
          <t>APA - RUOK Day - 10.9.26</t>
        </is>
      </c>
      <c r="C330" s="43">
        <f>SUMIFS(tbl_WIP[Amount],tbl_WIP[Job Number],$A330,tbl_WIP[Month],"&lt;&gt;",tbl_WIP[Month],"&lt;"&amp;$C$4,tbl_WIP[Defer Start],"")+SUMIF('Deferred Revenue'!$E$6:$E$607,$A330,'Deferred Revenue'!$P$6:$P$607)</f>
        <v/>
      </c>
      <c r="D330" s="43">
        <f>SUMIFS(tbl_WIP[Amount],tbl_WIP[Job Number],$A330,tbl_WIP[Month],$C$4,tbl_WIP[Defer Start],"")+SUMIF('Deferred Revenue'!$E$6:$E$607,$A330,'Deferred Revenue'!$Q$6:$Q$607)</f>
        <v/>
      </c>
      <c r="E330" s="43">
        <f>C330+D330</f>
        <v/>
      </c>
      <c r="F330" s="50">
        <f>IF(ROUND(C330,2)+ROUND(D330,2)=0,"","yes")</f>
        <v/>
      </c>
      <c r="G330" s="63" t="n"/>
      <c r="H330" s="43">
        <f>IF($G330="","",$E330-$G330)</f>
        <v/>
      </c>
    </row>
    <row r="331">
      <c r="A331" s="62" t="inlineStr">
        <is>
          <t>26082704</t>
        </is>
      </c>
      <c r="B331" s="62" t="inlineStr">
        <is>
          <t>DTTL Travel for National STL &amp; Coverage SYD-PER</t>
        </is>
      </c>
      <c r="C331" s="43">
        <f>SUMIFS(tbl_WIP[Amount],tbl_WIP[Job Number],$A331,tbl_WIP[Month],"&lt;&gt;",tbl_WIP[Month],"&lt;"&amp;$C$4,tbl_WIP[Defer Start],"")+SUMIF('Deferred Revenue'!$E$6:$E$607,$A331,'Deferred Revenue'!$P$6:$P$607)</f>
        <v/>
      </c>
      <c r="D331" s="43">
        <f>SUMIFS(tbl_WIP[Amount],tbl_WIP[Job Number],$A331,tbl_WIP[Month],$C$4,tbl_WIP[Defer Start],"")+SUMIF('Deferred Revenue'!$E$6:$E$607,$A331,'Deferred Revenue'!$Q$6:$Q$607)</f>
        <v/>
      </c>
      <c r="E331" s="43">
        <f>C331+D331</f>
        <v/>
      </c>
      <c r="F331" s="50">
        <f>IF(ROUND(C331,2)+ROUND(D331,2)=0,"","yes")</f>
        <v/>
      </c>
      <c r="G331" s="63" t="n"/>
      <c r="H331" s="43">
        <f>IF($G331="","",$E331-$G331)</f>
        <v/>
      </c>
    </row>
    <row r="332">
      <c r="A332" s="62" t="inlineStr">
        <is>
          <t>26082801</t>
        </is>
      </c>
      <c r="B332" s="62" t="inlineStr">
        <is>
          <t>Ricoh Australia - SHELL AV Support</t>
        </is>
      </c>
      <c r="C332" s="43">
        <f>SUMIFS(tbl_WIP[Amount],tbl_WIP[Job Number],$A332,tbl_WIP[Month],"&lt;&gt;",tbl_WIP[Month],"&lt;"&amp;$C$4,tbl_WIP[Defer Start],"")+SUMIF('Deferred Revenue'!$E$6:$E$607,$A332,'Deferred Revenue'!$P$6:$P$607)</f>
        <v/>
      </c>
      <c r="D332" s="43">
        <f>SUMIFS(tbl_WIP[Amount],tbl_WIP[Job Number],$A332,tbl_WIP[Month],$C$4,tbl_WIP[Defer Start],"")+SUMIF('Deferred Revenue'!$E$6:$E$607,$A332,'Deferred Revenue'!$Q$6:$Q$607)</f>
        <v/>
      </c>
      <c r="E332" s="43">
        <f>C332+D332</f>
        <v/>
      </c>
      <c r="F332" s="50">
        <f>IF(ROUND(C332,2)+ROUND(D332,2)=0,"","yes")</f>
        <v/>
      </c>
      <c r="G332" s="63" t="n"/>
      <c r="H332" s="43">
        <f>IF($G332="","",$E332-$G332)</f>
        <v/>
      </c>
    </row>
    <row r="333">
      <c r="A333" s="62" t="inlineStr">
        <is>
          <t>2608402</t>
        </is>
      </c>
      <c r="B333" s="62" t="inlineStr">
        <is>
          <t>Garvan - Suttons Event - 15.10.26</t>
        </is>
      </c>
      <c r="C333" s="43">
        <f>SUMIFS(tbl_WIP[Amount],tbl_WIP[Job Number],$A333,tbl_WIP[Month],"&lt;&gt;",tbl_WIP[Month],"&lt;"&amp;$C$4,tbl_WIP[Defer Start],"")+SUMIF('Deferred Revenue'!$E$6:$E$607,$A333,'Deferred Revenue'!$P$6:$P$607)</f>
        <v/>
      </c>
      <c r="D333" s="43">
        <f>SUMIFS(tbl_WIP[Amount],tbl_WIP[Job Number],$A333,tbl_WIP[Month],$C$4,tbl_WIP[Defer Start],"")+SUMIF('Deferred Revenue'!$E$6:$E$607,$A333,'Deferred Revenue'!$Q$6:$Q$607)</f>
        <v/>
      </c>
      <c r="E333" s="43">
        <f>C333+D333</f>
        <v/>
      </c>
      <c r="F333" s="50">
        <f>IF(ROUND(C333,2)+ROUND(D333,2)=0,"","yes")</f>
        <v/>
      </c>
      <c r="G333" s="63" t="n"/>
      <c r="H333" s="43">
        <f>IF($G333="","",$E333-$G333)</f>
        <v/>
      </c>
    </row>
    <row r="334">
      <c r="A334" s="62" t="inlineStr">
        <is>
          <t>2608404</t>
        </is>
      </c>
      <c r="B334" s="62" t="inlineStr">
        <is>
          <t>St Vincents Public Hospital - Awards Night - 26.8.25</t>
        </is>
      </c>
      <c r="C334" s="43">
        <f>SUMIFS(tbl_WIP[Amount],tbl_WIP[Job Number],$A334,tbl_WIP[Month],"&lt;&gt;",tbl_WIP[Month],"&lt;"&amp;$C$4,tbl_WIP[Defer Start],"")+SUMIF('Deferred Revenue'!$E$6:$E$607,$A334,'Deferred Revenue'!$P$6:$P$607)</f>
        <v/>
      </c>
      <c r="D334" s="43">
        <f>SUMIFS(tbl_WIP[Amount],tbl_WIP[Job Number],$A334,tbl_WIP[Month],$C$4,tbl_WIP[Defer Start],"")+SUMIF('Deferred Revenue'!$E$6:$E$607,$A334,'Deferred Revenue'!$Q$6:$Q$607)</f>
        <v/>
      </c>
      <c r="E334" s="43">
        <f>C334+D334</f>
        <v/>
      </c>
      <c r="F334" s="50">
        <f>IF(ROUND(C334,2)+ROUND(D334,2)=0,"","yes")</f>
        <v/>
      </c>
      <c r="G334" s="63" t="n"/>
      <c r="H334" s="43">
        <f>IF($G334="","",$E334-$G334)</f>
        <v/>
      </c>
    </row>
    <row r="335">
      <c r="A335" s="62" t="inlineStr">
        <is>
          <t>2608404V</t>
        </is>
      </c>
      <c r="B335" s="62" t="inlineStr">
        <is>
          <t>St Vincents Public Hospital - Awards Night - 26.8.25</t>
        </is>
      </c>
      <c r="C335" s="43">
        <f>SUMIFS(tbl_WIP[Amount],tbl_WIP[Job Number],$A335,tbl_WIP[Month],"&lt;&gt;",tbl_WIP[Month],"&lt;"&amp;$C$4,tbl_WIP[Defer Start],"")+SUMIF('Deferred Revenue'!$E$6:$E$607,$A335,'Deferred Revenue'!$P$6:$P$607)</f>
        <v/>
      </c>
      <c r="D335" s="43">
        <f>SUMIFS(tbl_WIP[Amount],tbl_WIP[Job Number],$A335,tbl_WIP[Month],$C$4,tbl_WIP[Defer Start],"")+SUMIF('Deferred Revenue'!$E$6:$E$607,$A335,'Deferred Revenue'!$Q$6:$Q$607)</f>
        <v/>
      </c>
      <c r="E335" s="43">
        <f>C335+D335</f>
        <v/>
      </c>
      <c r="F335" s="50">
        <f>IF(ROUND(C335,2)+ROUND(D335,2)=0,"","yes")</f>
        <v/>
      </c>
      <c r="G335" s="63" t="n"/>
      <c r="H335" s="43">
        <f>IF($G335="","",$E335-$G335)</f>
        <v/>
      </c>
    </row>
    <row r="336">
      <c r="A336" s="62" t="inlineStr">
        <is>
          <t>2608604</t>
        </is>
      </c>
      <c r="B336" s="62" t="inlineStr">
        <is>
          <t>ASX - FYR Employee Town Hall - 13.8.26</t>
        </is>
      </c>
      <c r="C336" s="43">
        <f>SUMIFS(tbl_WIP[Amount],tbl_WIP[Job Number],$A336,tbl_WIP[Month],"&lt;&gt;",tbl_WIP[Month],"&lt;"&amp;$C$4,tbl_WIP[Defer Start],"")+SUMIF('Deferred Revenue'!$E$6:$E$607,$A336,'Deferred Revenue'!$P$6:$P$607)</f>
        <v/>
      </c>
      <c r="D336" s="43">
        <f>SUMIFS(tbl_WIP[Amount],tbl_WIP[Job Number],$A336,tbl_WIP[Month],$C$4,tbl_WIP[Defer Start],"")+SUMIF('Deferred Revenue'!$E$6:$E$607,$A336,'Deferred Revenue'!$Q$6:$Q$607)</f>
        <v/>
      </c>
      <c r="E336" s="43">
        <f>C336+D336</f>
        <v/>
      </c>
      <c r="F336" s="50">
        <f>IF(ROUND(C336,2)+ROUND(D336,2)=0,"","yes")</f>
        <v/>
      </c>
      <c r="G336" s="63" t="n"/>
      <c r="H336" s="43">
        <f>IF($G336="","",$E336-$G336)</f>
        <v/>
      </c>
    </row>
    <row r="337">
      <c r="A337" s="62" t="inlineStr">
        <is>
          <t>2608604V</t>
        </is>
      </c>
      <c r="B337" s="62" t="inlineStr">
        <is>
          <t>ASX - FYR Employee Town Hall - 13.8.26</t>
        </is>
      </c>
      <c r="C337" s="43">
        <f>SUMIFS(tbl_WIP[Amount],tbl_WIP[Job Number],$A337,tbl_WIP[Month],"&lt;&gt;",tbl_WIP[Month],"&lt;"&amp;$C$4,tbl_WIP[Defer Start],"")+SUMIF('Deferred Revenue'!$E$6:$E$607,$A337,'Deferred Revenue'!$P$6:$P$607)</f>
        <v/>
      </c>
      <c r="D337" s="43">
        <f>SUMIFS(tbl_WIP[Amount],tbl_WIP[Job Number],$A337,tbl_WIP[Month],$C$4,tbl_WIP[Defer Start],"")+SUMIF('Deferred Revenue'!$E$6:$E$607,$A337,'Deferred Revenue'!$Q$6:$Q$607)</f>
        <v/>
      </c>
      <c r="E337" s="43">
        <f>C337+D337</f>
        <v/>
      </c>
      <c r="F337" s="50">
        <f>IF(ROUND(C337,2)+ROUND(D337,2)=0,"","yes")</f>
        <v/>
      </c>
      <c r="G337" s="63" t="n"/>
      <c r="H337" s="43">
        <f>IF($G337="","",$E337-$G337)</f>
        <v/>
      </c>
    </row>
    <row r="338">
      <c r="A338" s="62" t="inlineStr">
        <is>
          <t>2608701</t>
        </is>
      </c>
      <c r="B338" s="62" t="inlineStr">
        <is>
          <t>Elkeim - Studio Support - 10.9.26</t>
        </is>
      </c>
      <c r="C338" s="43">
        <f>SUMIFS(tbl_WIP[Amount],tbl_WIP[Job Number],$A338,tbl_WIP[Month],"&lt;&gt;",tbl_WIP[Month],"&lt;"&amp;$C$4,tbl_WIP[Defer Start],"")+SUMIF('Deferred Revenue'!$E$6:$E$607,$A338,'Deferred Revenue'!$P$6:$P$607)</f>
        <v/>
      </c>
      <c r="D338" s="43">
        <f>SUMIFS(tbl_WIP[Amount],tbl_WIP[Job Number],$A338,tbl_WIP[Month],$C$4,tbl_WIP[Defer Start],"")+SUMIF('Deferred Revenue'!$E$6:$E$607,$A338,'Deferred Revenue'!$Q$6:$Q$607)</f>
        <v/>
      </c>
      <c r="E338" s="43">
        <f>C338+D338</f>
        <v/>
      </c>
      <c r="F338" s="50">
        <f>IF(ROUND(C338,2)+ROUND(D338,2)=0,"","yes")</f>
        <v/>
      </c>
      <c r="G338" s="63" t="n"/>
      <c r="H338" s="43">
        <f>IF($G338="","",$E338-$G338)</f>
        <v/>
      </c>
    </row>
    <row r="339">
      <c r="A339" s="62" t="inlineStr">
        <is>
          <t>2608702</t>
        </is>
      </c>
      <c r="B339" s="62" t="inlineStr">
        <is>
          <t>APA - Qtly All Hands SYD Screen Hire - 20.8.26</t>
        </is>
      </c>
      <c r="C339" s="43">
        <f>SUMIFS(tbl_WIP[Amount],tbl_WIP[Job Number],$A339,tbl_WIP[Month],"&lt;&gt;",tbl_WIP[Month],"&lt;"&amp;$C$4,tbl_WIP[Defer Start],"")+SUMIF('Deferred Revenue'!$E$6:$E$607,$A339,'Deferred Revenue'!$P$6:$P$607)</f>
        <v/>
      </c>
      <c r="D339" s="43">
        <f>SUMIFS(tbl_WIP[Amount],tbl_WIP[Job Number],$A339,tbl_WIP[Month],$C$4,tbl_WIP[Defer Start],"")+SUMIF('Deferred Revenue'!$E$6:$E$607,$A339,'Deferred Revenue'!$Q$6:$Q$607)</f>
        <v/>
      </c>
      <c r="E339" s="43">
        <f>C339+D339</f>
        <v/>
      </c>
      <c r="F339" s="50">
        <f>IF(ROUND(C339,2)+ROUND(D339,2)=0,"","yes")</f>
        <v/>
      </c>
      <c r="G339" s="63" t="n"/>
      <c r="H339" s="43">
        <f>IF($G339="","",$E339-$G339)</f>
        <v/>
      </c>
    </row>
    <row r="340">
      <c r="A340" s="62" t="inlineStr">
        <is>
          <t>26091002</t>
        </is>
      </c>
      <c r="B340" s="62" t="inlineStr">
        <is>
          <t>GP - Talking Philanthropy - Event Videography 18.9.26</t>
        </is>
      </c>
      <c r="C340" s="43">
        <f>SUMIFS(tbl_WIP[Amount],tbl_WIP[Job Number],$A340,tbl_WIP[Month],"&lt;&gt;",tbl_WIP[Month],"&lt;"&amp;$C$4,tbl_WIP[Defer Start],"")+SUMIF('Deferred Revenue'!$E$6:$E$607,$A340,'Deferred Revenue'!$P$6:$P$607)</f>
        <v/>
      </c>
      <c r="D340" s="43">
        <f>SUMIFS(tbl_WIP[Amount],tbl_WIP[Job Number],$A340,tbl_WIP[Month],$C$4,tbl_WIP[Defer Start],"")+SUMIF('Deferred Revenue'!$E$6:$E$607,$A340,'Deferred Revenue'!$Q$6:$Q$607)</f>
        <v/>
      </c>
      <c r="E340" s="43">
        <f>C340+D340</f>
        <v/>
      </c>
      <c r="F340" s="50">
        <f>IF(ROUND(C340,2)+ROUND(D340,2)=0,"","yes")</f>
        <v/>
      </c>
      <c r="G340" s="63" t="n"/>
      <c r="H340" s="43">
        <f>IF($G340="","",$E340-$G340)</f>
        <v/>
      </c>
    </row>
    <row r="341">
      <c r="A341" s="62" t="inlineStr">
        <is>
          <t>26091002V</t>
        </is>
      </c>
      <c r="B341" s="62" t="inlineStr">
        <is>
          <t>GP - Talking Philanthropy - Event Videography 18.9.26</t>
        </is>
      </c>
      <c r="C341" s="43">
        <f>SUMIFS(tbl_WIP[Amount],tbl_WIP[Job Number],$A341,tbl_WIP[Month],"&lt;&gt;",tbl_WIP[Month],"&lt;"&amp;$C$4,tbl_WIP[Defer Start],"")+SUMIF('Deferred Revenue'!$E$6:$E$607,$A341,'Deferred Revenue'!$P$6:$P$607)</f>
        <v/>
      </c>
      <c r="D341" s="43">
        <f>SUMIFS(tbl_WIP[Amount],tbl_WIP[Job Number],$A341,tbl_WIP[Month],$C$4,tbl_WIP[Defer Start],"")+SUMIF('Deferred Revenue'!$E$6:$E$607,$A341,'Deferred Revenue'!$Q$6:$Q$607)</f>
        <v/>
      </c>
      <c r="E341" s="43">
        <f>C341+D341</f>
        <v/>
      </c>
      <c r="F341" s="50">
        <f>IF(ROUND(C341,2)+ROUND(D341,2)=0,"","yes")</f>
        <v/>
      </c>
      <c r="G341" s="63" t="n"/>
      <c r="H341" s="43">
        <f>IF($G341="","",$E341-$G341)</f>
        <v/>
      </c>
    </row>
    <row r="342">
      <c r="A342" s="62" t="inlineStr">
        <is>
          <t>26091601</t>
        </is>
      </c>
      <c r="B342" s="62" t="inlineStr">
        <is>
          <t>Automic - September All Hands - 25.9.26</t>
        </is>
      </c>
      <c r="C342" s="43">
        <f>SUMIFS(tbl_WIP[Amount],tbl_WIP[Job Number],$A342,tbl_WIP[Month],"&lt;&gt;",tbl_WIP[Month],"&lt;"&amp;$C$4,tbl_WIP[Defer Start],"")+SUMIF('Deferred Revenue'!$E$6:$E$607,$A342,'Deferred Revenue'!$P$6:$P$607)</f>
        <v/>
      </c>
      <c r="D342" s="43">
        <f>SUMIFS(tbl_WIP[Amount],tbl_WIP[Job Number],$A342,tbl_WIP[Month],$C$4,tbl_WIP[Defer Start],"")+SUMIF('Deferred Revenue'!$E$6:$E$607,$A342,'Deferred Revenue'!$Q$6:$Q$607)</f>
        <v/>
      </c>
      <c r="E342" s="43">
        <f>C342+D342</f>
        <v/>
      </c>
      <c r="F342" s="50">
        <f>IF(ROUND(C342,2)+ROUND(D342,2)=0,"","yes")</f>
        <v/>
      </c>
      <c r="G342" s="63" t="n"/>
      <c r="H342" s="43">
        <f>IF($G342="","",$E342-$G342)</f>
        <v/>
      </c>
    </row>
    <row r="343">
      <c r="A343" s="62" t="inlineStr">
        <is>
          <t>26091601V</t>
        </is>
      </c>
      <c r="B343" s="62" t="inlineStr">
        <is>
          <t>Automic - September All Hands - 25.9.26</t>
        </is>
      </c>
      <c r="C343" s="43">
        <f>SUMIFS(tbl_WIP[Amount],tbl_WIP[Job Number],$A343,tbl_WIP[Month],"&lt;&gt;",tbl_WIP[Month],"&lt;"&amp;$C$4,tbl_WIP[Defer Start],"")+SUMIF('Deferred Revenue'!$E$6:$E$607,$A343,'Deferred Revenue'!$P$6:$P$607)</f>
        <v/>
      </c>
      <c r="D343" s="43">
        <f>SUMIFS(tbl_WIP[Amount],tbl_WIP[Job Number],$A343,tbl_WIP[Month],$C$4,tbl_WIP[Defer Start],"")+SUMIF('Deferred Revenue'!$E$6:$E$607,$A343,'Deferred Revenue'!$Q$6:$Q$607)</f>
        <v/>
      </c>
      <c r="E343" s="43">
        <f>C343+D343</f>
        <v/>
      </c>
      <c r="F343" s="50">
        <f>IF(ROUND(C343,2)+ROUND(D343,2)=0,"","yes")</f>
        <v/>
      </c>
      <c r="G343" s="63" t="n"/>
      <c r="H343" s="43">
        <f>IF($G343="","",$E343-$G343)</f>
        <v/>
      </c>
    </row>
    <row r="344">
      <c r="A344" s="62" t="inlineStr">
        <is>
          <t>26091604</t>
        </is>
      </c>
      <c r="B344" s="62" t="inlineStr">
        <is>
          <t>The George Institute - SYD CV Symposium - 29-30.10.26</t>
        </is>
      </c>
      <c r="C344" s="43">
        <f>SUMIFS(tbl_WIP[Amount],tbl_WIP[Job Number],$A344,tbl_WIP[Month],"&lt;&gt;",tbl_WIP[Month],"&lt;"&amp;$C$4,tbl_WIP[Defer Start],"")+SUMIF('Deferred Revenue'!$E$6:$E$607,$A344,'Deferred Revenue'!$P$6:$P$607)</f>
        <v/>
      </c>
      <c r="D344" s="43">
        <f>SUMIFS(tbl_WIP[Amount],tbl_WIP[Job Number],$A344,tbl_WIP[Month],$C$4,tbl_WIP[Defer Start],"")+SUMIF('Deferred Revenue'!$E$6:$E$607,$A344,'Deferred Revenue'!$Q$6:$Q$607)</f>
        <v/>
      </c>
      <c r="E344" s="43">
        <f>C344+D344</f>
        <v/>
      </c>
      <c r="F344" s="50">
        <f>IF(ROUND(C344,2)+ROUND(D344,2)=0,"","yes")</f>
        <v/>
      </c>
      <c r="G344" s="63" t="n"/>
      <c r="H344" s="43">
        <f>IF($G344="","",$E344-$G344)</f>
        <v/>
      </c>
    </row>
    <row r="345">
      <c r="A345" s="62" t="inlineStr">
        <is>
          <t>26091604V</t>
        </is>
      </c>
      <c r="B345" s="62" t="inlineStr">
        <is>
          <t>The George Institute - SYD CV Symposium - 29-30.10.26</t>
        </is>
      </c>
      <c r="C345" s="43">
        <f>SUMIFS(tbl_WIP[Amount],tbl_WIP[Job Number],$A345,tbl_WIP[Month],"&lt;&gt;",tbl_WIP[Month],"&lt;"&amp;$C$4,tbl_WIP[Defer Start],"")+SUMIF('Deferred Revenue'!$E$6:$E$607,$A345,'Deferred Revenue'!$P$6:$P$607)</f>
        <v/>
      </c>
      <c r="D345" s="43">
        <f>SUMIFS(tbl_WIP[Amount],tbl_WIP[Job Number],$A345,tbl_WIP[Month],$C$4,tbl_WIP[Defer Start],"")+SUMIF('Deferred Revenue'!$E$6:$E$607,$A345,'Deferred Revenue'!$Q$6:$Q$607)</f>
        <v/>
      </c>
      <c r="E345" s="43">
        <f>C345+D345</f>
        <v/>
      </c>
      <c r="F345" s="50">
        <f>IF(ROUND(C345,2)+ROUND(D345,2)=0,"","yes")</f>
        <v/>
      </c>
      <c r="G345" s="63" t="n"/>
      <c r="H345" s="43">
        <f>IF($G345="","",$E345-$G345)</f>
        <v/>
      </c>
    </row>
    <row r="346">
      <c r="A346" s="62" t="inlineStr">
        <is>
          <t>2609402</t>
        </is>
      </c>
      <c r="B346" s="62" t="inlineStr">
        <is>
          <t>MUFG - SUN Investor Day - 29.10.26</t>
        </is>
      </c>
      <c r="C346" s="43">
        <f>SUMIFS(tbl_WIP[Amount],tbl_WIP[Job Number],$A346,tbl_WIP[Month],"&lt;&gt;",tbl_WIP[Month],"&lt;"&amp;$C$4,tbl_WIP[Defer Start],"")+SUMIF('Deferred Revenue'!$E$6:$E$607,$A346,'Deferred Revenue'!$P$6:$P$607)</f>
        <v/>
      </c>
      <c r="D346" s="43">
        <f>SUMIFS(tbl_WIP[Amount],tbl_WIP[Job Number],$A346,tbl_WIP[Month],$C$4,tbl_WIP[Defer Start],"")+SUMIF('Deferred Revenue'!$E$6:$E$607,$A346,'Deferred Revenue'!$Q$6:$Q$607)</f>
        <v/>
      </c>
      <c r="E346" s="43">
        <f>C346+D346</f>
        <v/>
      </c>
      <c r="F346" s="50">
        <f>IF(ROUND(C346,2)+ROUND(D346,2)=0,"","yes")</f>
        <v/>
      </c>
      <c r="G346" s="63" t="n"/>
      <c r="H346" s="43">
        <f>IF($G346="","",$E346-$G346)</f>
        <v/>
      </c>
    </row>
    <row r="347">
      <c r="A347" s="62" t="inlineStr">
        <is>
          <t>2609402V</t>
        </is>
      </c>
      <c r="B347" s="62" t="inlineStr">
        <is>
          <t>MUFG - SUN Investor Day - 29.10.26</t>
        </is>
      </c>
      <c r="C347" s="43">
        <f>SUMIFS(tbl_WIP[Amount],tbl_WIP[Job Number],$A347,tbl_WIP[Month],"&lt;&gt;",tbl_WIP[Month],"&lt;"&amp;$C$4,tbl_WIP[Defer Start],"")+SUMIF('Deferred Revenue'!$E$6:$E$607,$A347,'Deferred Revenue'!$P$6:$P$607)</f>
        <v/>
      </c>
      <c r="D347" s="43">
        <f>SUMIFS(tbl_WIP[Amount],tbl_WIP[Job Number],$A347,tbl_WIP[Month],$C$4,tbl_WIP[Defer Start],"")+SUMIF('Deferred Revenue'!$E$6:$E$607,$A347,'Deferred Revenue'!$Q$6:$Q$607)</f>
        <v/>
      </c>
      <c r="E347" s="43">
        <f>C347+D347</f>
        <v/>
      </c>
      <c r="F347" s="50">
        <f>IF(ROUND(C347,2)+ROUND(D347,2)=0,"","yes")</f>
        <v/>
      </c>
      <c r="G347" s="63" t="n"/>
      <c r="H347" s="43">
        <f>IF($G347="","",$E347-$G347)</f>
        <v/>
      </c>
    </row>
    <row r="348">
      <c r="A348" s="62" t="inlineStr">
        <is>
          <t>2609801</t>
        </is>
      </c>
      <c r="B348" s="62" t="inlineStr">
        <is>
          <t>Elkiem - Studio Support - 16.9.26</t>
        </is>
      </c>
      <c r="C348" s="43">
        <f>SUMIFS(tbl_WIP[Amount],tbl_WIP[Job Number],$A348,tbl_WIP[Month],"&lt;&gt;",tbl_WIP[Month],"&lt;"&amp;$C$4,tbl_WIP[Defer Start],"")+SUMIF('Deferred Revenue'!$E$6:$E$607,$A348,'Deferred Revenue'!$P$6:$P$607)</f>
        <v/>
      </c>
      <c r="D348" s="43">
        <f>SUMIFS(tbl_WIP[Amount],tbl_WIP[Job Number],$A348,tbl_WIP[Month],$C$4,tbl_WIP[Defer Start],"")+SUMIF('Deferred Revenue'!$E$6:$E$607,$A348,'Deferred Revenue'!$Q$6:$Q$607)</f>
        <v/>
      </c>
      <c r="E348" s="43">
        <f>C348+D348</f>
        <v/>
      </c>
      <c r="F348" s="50">
        <f>IF(ROUND(C348,2)+ROUND(D348,2)=0,"","yes")</f>
        <v/>
      </c>
      <c r="G348" s="63" t="n"/>
      <c r="H348" s="43">
        <f>IF($G348="","",$E348-$G348)</f>
        <v/>
      </c>
    </row>
    <row r="349">
      <c r="A349" s="62" t="inlineStr">
        <is>
          <t>2645</t>
        </is>
      </c>
      <c r="B349" s="62" t="inlineStr">
        <is>
          <t>EY SYD Tech Support</t>
        </is>
      </c>
      <c r="C349" s="43">
        <f>SUMIFS(tbl_WIP[Amount],tbl_WIP[Job Number],$A349,tbl_WIP[Month],"&lt;&gt;",tbl_WIP[Month],"&lt;"&amp;$C$4,tbl_WIP[Defer Start],"")+SUMIF('Deferred Revenue'!$E$6:$E$607,$A349,'Deferred Revenue'!$P$6:$P$607)</f>
        <v/>
      </c>
      <c r="D349" s="43">
        <f>SUMIFS(tbl_WIP[Amount],tbl_WIP[Job Number],$A349,tbl_WIP[Month],$C$4,tbl_WIP[Defer Start],"")+SUMIF('Deferred Revenue'!$E$6:$E$607,$A349,'Deferred Revenue'!$Q$6:$Q$607)</f>
        <v/>
      </c>
      <c r="E349" s="43">
        <f>C349+D349</f>
        <v/>
      </c>
      <c r="F349" s="50">
        <f>IF(ROUND(C349,2)+ROUND(D349,2)=0,"","yes")</f>
        <v/>
      </c>
      <c r="G349" s="63" t="n"/>
      <c r="H349" s="43">
        <f>IF($G349="","",$E349-$G349)</f>
        <v/>
      </c>
    </row>
    <row r="350">
      <c r="A350" s="62" t="inlineStr">
        <is>
          <t>2648</t>
        </is>
      </c>
      <c r="B350" s="62" t="inlineStr">
        <is>
          <t>DTTL MEL Additional Tech</t>
        </is>
      </c>
      <c r="C350" s="43">
        <f>SUMIFS(tbl_WIP[Amount],tbl_WIP[Job Number],$A350,tbl_WIP[Month],"&lt;&gt;",tbl_WIP[Month],"&lt;"&amp;$C$4,tbl_WIP[Defer Start],"")+SUMIF('Deferred Revenue'!$E$6:$E$607,$A350,'Deferred Revenue'!$P$6:$P$607)</f>
        <v/>
      </c>
      <c r="D350" s="43">
        <f>SUMIFS(tbl_WIP[Amount],tbl_WIP[Job Number],$A350,tbl_WIP[Month],$C$4,tbl_WIP[Defer Start],"")+SUMIF('Deferred Revenue'!$E$6:$E$607,$A350,'Deferred Revenue'!$Q$6:$Q$607)</f>
        <v/>
      </c>
      <c r="E350" s="43">
        <f>C350+D350</f>
        <v/>
      </c>
      <c r="F350" s="50">
        <f>IF(ROUND(C350,2)+ROUND(D350,2)=0,"","yes")</f>
        <v/>
      </c>
      <c r="G350" s="63" t="n"/>
      <c r="H350" s="43">
        <f>IF($G350="","",$E350-$G350)</f>
        <v/>
      </c>
    </row>
    <row r="351">
      <c r="A351" s="62" t="inlineStr">
        <is>
          <t>2658</t>
        </is>
      </c>
      <c r="B351" s="62" t="inlineStr">
        <is>
          <t>EY MELB Tech</t>
        </is>
      </c>
      <c r="C351" s="43">
        <f>SUMIFS(tbl_WIP[Amount],tbl_WIP[Job Number],$A351,tbl_WIP[Month],"&lt;&gt;",tbl_WIP[Month],"&lt;"&amp;$C$4,tbl_WIP[Defer Start],"")+SUMIF('Deferred Revenue'!$E$6:$E$607,$A351,'Deferred Revenue'!$P$6:$P$607)</f>
        <v/>
      </c>
      <c r="D351" s="43">
        <f>SUMIFS(tbl_WIP[Amount],tbl_WIP[Job Number],$A351,tbl_WIP[Month],$C$4,tbl_WIP[Defer Start],"")+SUMIF('Deferred Revenue'!$E$6:$E$607,$A351,'Deferred Revenue'!$Q$6:$Q$607)</f>
        <v/>
      </c>
      <c r="E351" s="43">
        <f>C351+D351</f>
        <v/>
      </c>
      <c r="F351" s="50">
        <f>IF(ROUND(C351,2)+ROUND(D351,2)=0,"","yes")</f>
        <v/>
      </c>
      <c r="G351" s="63" t="n"/>
      <c r="H351" s="43">
        <f>IF($G351="","",$E351-$G351)</f>
        <v/>
      </c>
    </row>
    <row r="352">
      <c r="A352" s="62" t="inlineStr">
        <is>
          <t>2675</t>
        </is>
      </c>
      <c r="B352" s="62" t="inlineStr">
        <is>
          <t>ONS EY (non-chargeable)</t>
        </is>
      </c>
      <c r="C352" s="43">
        <f>SUMIFS(tbl_WIP[Amount],tbl_WIP[Job Number],$A352,tbl_WIP[Month],"&lt;&gt;",tbl_WIP[Month],"&lt;"&amp;$C$4,tbl_WIP[Defer Start],"")+SUMIF('Deferred Revenue'!$E$6:$E$607,$A352,'Deferred Revenue'!$P$6:$P$607)</f>
        <v/>
      </c>
      <c r="D352" s="43">
        <f>SUMIFS(tbl_WIP[Amount],tbl_WIP[Job Number],$A352,tbl_WIP[Month],$C$4,tbl_WIP[Defer Start],"")+SUMIF('Deferred Revenue'!$E$6:$E$607,$A352,'Deferred Revenue'!$Q$6:$Q$607)</f>
        <v/>
      </c>
      <c r="E352" s="43">
        <f>C352+D352</f>
        <v/>
      </c>
      <c r="F352" s="50">
        <f>IF(ROUND(C352,2)+ROUND(D352,2)=0,"","yes")</f>
        <v/>
      </c>
      <c r="G352" s="63" t="n"/>
      <c r="H352" s="43">
        <f>IF($G352="","",$E352-$G352)</f>
        <v/>
      </c>
    </row>
    <row r="353">
      <c r="A353" s="62" t="inlineStr">
        <is>
          <t>2685</t>
        </is>
      </c>
      <c r="B353" s="62" t="inlineStr">
        <is>
          <t>APA Proxyclick BNE &amp; DRW</t>
        </is>
      </c>
      <c r="C353" s="43">
        <f>SUMIFS(tbl_WIP[Amount],tbl_WIP[Job Number],$A353,tbl_WIP[Month],"&lt;&gt;",tbl_WIP[Month],"&lt;"&amp;$C$4,tbl_WIP[Defer Start],"")+SUMIF('Deferred Revenue'!$E$6:$E$607,$A353,'Deferred Revenue'!$P$6:$P$607)</f>
        <v/>
      </c>
      <c r="D353" s="43">
        <f>SUMIFS(tbl_WIP[Amount],tbl_WIP[Job Number],$A353,tbl_WIP[Month],$C$4,tbl_WIP[Defer Start],"")+SUMIF('Deferred Revenue'!$E$6:$E$607,$A353,'Deferred Revenue'!$Q$6:$Q$607)</f>
        <v/>
      </c>
      <c r="E353" s="43">
        <f>C353+D353</f>
        <v/>
      </c>
      <c r="F353" s="50">
        <f>IF(ROUND(C353,2)+ROUND(D353,2)=0,"","yes")</f>
        <v/>
      </c>
      <c r="G353" s="63" t="n"/>
      <c r="H353" s="43">
        <f>IF($G353="","",$E353-$G353)</f>
        <v/>
      </c>
    </row>
    <row r="354">
      <c r="A354" s="62" t="inlineStr">
        <is>
          <t>2706</t>
        </is>
      </c>
      <c r="B354" s="62" t="inlineStr">
        <is>
          <t>EPA 6PSQ Proxyclick VMS</t>
        </is>
      </c>
      <c r="C354" s="43">
        <f>SUMIFS(tbl_WIP[Amount],tbl_WIP[Job Number],$A354,tbl_WIP[Month],"&lt;&gt;",tbl_WIP[Month],"&lt;"&amp;$C$4,tbl_WIP[Defer Start],"")+SUMIF('Deferred Revenue'!$E$6:$E$607,$A354,'Deferred Revenue'!$P$6:$P$607)</f>
        <v/>
      </c>
      <c r="D354" s="43">
        <f>SUMIFS(tbl_WIP[Amount],tbl_WIP[Job Number],$A354,tbl_WIP[Month],$C$4,tbl_WIP[Defer Start],"")+SUMIF('Deferred Revenue'!$E$6:$E$607,$A354,'Deferred Revenue'!$Q$6:$Q$607)</f>
        <v/>
      </c>
      <c r="E354" s="43">
        <f>C354+D354</f>
        <v/>
      </c>
      <c r="F354" s="50">
        <f>IF(ROUND(C354,2)+ROUND(D354,2)=0,"","yes")</f>
        <v/>
      </c>
      <c r="G354" s="63" t="n"/>
      <c r="H354" s="43">
        <f>IF($G354="","",$E354-$G354)</f>
        <v/>
      </c>
    </row>
    <row r="355">
      <c r="A355" s="62" t="inlineStr">
        <is>
          <t>2719</t>
        </is>
      </c>
      <c r="B355" s="62" t="inlineStr">
        <is>
          <t>GSP - 6PSQProxyclickOnb</t>
        </is>
      </c>
      <c r="C355" s="43">
        <f>SUMIFS(tbl_WIP[Amount],tbl_WIP[Job Number],$A355,tbl_WIP[Month],"&lt;&gt;",tbl_WIP[Month],"&lt;"&amp;$C$4,tbl_WIP[Defer Start],"")+SUMIF('Deferred Revenue'!$E$6:$E$607,$A355,'Deferred Revenue'!$P$6:$P$607)</f>
        <v/>
      </c>
      <c r="D355" s="43">
        <f>SUMIFS(tbl_WIP[Amount],tbl_WIP[Job Number],$A355,tbl_WIP[Month],$C$4,tbl_WIP[Defer Start],"")+SUMIF('Deferred Revenue'!$E$6:$E$607,$A355,'Deferred Revenue'!$Q$6:$Q$607)</f>
        <v/>
      </c>
      <c r="E355" s="43">
        <f>C355+D355</f>
        <v/>
      </c>
      <c r="F355" s="50">
        <f>IF(ROUND(C355,2)+ROUND(D355,2)=0,"","yes")</f>
        <v/>
      </c>
      <c r="G355" s="63" t="n"/>
      <c r="H355" s="43">
        <f>IF($G355="","",$E355-$G355)</f>
        <v/>
      </c>
    </row>
    <row r="356">
      <c r="A356" s="62" t="inlineStr">
        <is>
          <t>2722</t>
        </is>
      </c>
      <c r="B356" s="62" t="inlineStr">
        <is>
          <t>PWC Monthly Consulting</t>
        </is>
      </c>
      <c r="C356" s="43">
        <f>SUMIFS(tbl_WIP[Amount],tbl_WIP[Job Number],$A356,tbl_WIP[Month],"&lt;&gt;",tbl_WIP[Month],"&lt;"&amp;$C$4,tbl_WIP[Defer Start],"")+SUMIF('Deferred Revenue'!$E$6:$E$607,$A356,'Deferred Revenue'!$P$6:$P$607)</f>
        <v/>
      </c>
      <c r="D356" s="43">
        <f>SUMIFS(tbl_WIP[Amount],tbl_WIP[Job Number],$A356,tbl_WIP[Month],$C$4,tbl_WIP[Defer Start],"")+SUMIF('Deferred Revenue'!$E$6:$E$607,$A356,'Deferred Revenue'!$Q$6:$Q$607)</f>
        <v/>
      </c>
      <c r="E356" s="43">
        <f>C356+D356</f>
        <v/>
      </c>
      <c r="F356" s="50">
        <f>IF(ROUND(C356,2)+ROUND(D356,2)=0,"","yes")</f>
        <v/>
      </c>
      <c r="G356" s="63" t="n"/>
      <c r="H356" s="43">
        <f>IF($G356="","",$E356-$G356)</f>
        <v/>
      </c>
    </row>
    <row r="357">
      <c r="A357" s="62" t="inlineStr">
        <is>
          <t>2726</t>
        </is>
      </c>
      <c r="B357" s="62" t="inlineStr">
        <is>
          <t>KPMG MEL Tech</t>
        </is>
      </c>
      <c r="C357" s="43">
        <f>SUMIFS(tbl_WIP[Amount],tbl_WIP[Job Number],$A357,tbl_WIP[Month],"&lt;&gt;",tbl_WIP[Month],"&lt;"&amp;$C$4,tbl_WIP[Defer Start],"")+SUMIF('Deferred Revenue'!$E$6:$E$607,$A357,'Deferred Revenue'!$P$6:$P$607)</f>
        <v/>
      </c>
      <c r="D357" s="43">
        <f>SUMIFS(tbl_WIP[Amount],tbl_WIP[Job Number],$A357,tbl_WIP[Month],$C$4,tbl_WIP[Defer Start],"")+SUMIF('Deferred Revenue'!$E$6:$E$607,$A357,'Deferred Revenue'!$Q$6:$Q$607)</f>
        <v/>
      </c>
      <c r="E357" s="43">
        <f>C357+D357</f>
        <v/>
      </c>
      <c r="F357" s="50">
        <f>IF(ROUND(C357,2)+ROUND(D357,2)=0,"","yes")</f>
        <v/>
      </c>
      <c r="G357" s="63" t="n"/>
      <c r="H357" s="43">
        <f>IF($G357="","",$E357-$G357)</f>
        <v/>
      </c>
    </row>
    <row r="358">
      <c r="A358" s="62" t="inlineStr">
        <is>
          <t>2756</t>
        </is>
      </c>
      <c r="B358" s="62" t="inlineStr">
        <is>
          <t>CTS Mgmt Meetings</t>
        </is>
      </c>
      <c r="C358" s="43">
        <f>SUMIFS(tbl_WIP[Amount],tbl_WIP[Job Number],$A358,tbl_WIP[Month],"&lt;&gt;",tbl_WIP[Month],"&lt;"&amp;$C$4,tbl_WIP[Defer Start],"")+SUMIF('Deferred Revenue'!$E$6:$E$607,$A358,'Deferred Revenue'!$P$6:$P$607)</f>
        <v/>
      </c>
      <c r="D358" s="43">
        <f>SUMIFS(tbl_WIP[Amount],tbl_WIP[Job Number],$A358,tbl_WIP[Month],$C$4,tbl_WIP[Defer Start],"")+SUMIF('Deferred Revenue'!$E$6:$E$607,$A358,'Deferred Revenue'!$Q$6:$Q$607)</f>
        <v/>
      </c>
      <c r="E358" s="43">
        <f>C358+D358</f>
        <v/>
      </c>
      <c r="F358" s="50">
        <f>IF(ROUND(C358,2)+ROUND(D358,2)=0,"","yes")</f>
        <v/>
      </c>
      <c r="G358" s="63" t="n"/>
      <c r="H358" s="43">
        <f>IF($G358="","",$E358-$G358)</f>
        <v/>
      </c>
    </row>
    <row r="359">
      <c r="A359" s="62" t="inlineStr">
        <is>
          <t>2834</t>
        </is>
      </c>
      <c r="B359" s="62" t="inlineStr">
        <is>
          <t>APA Young - Visitor Mgmt</t>
        </is>
      </c>
      <c r="C359" s="43">
        <f>SUMIFS(tbl_WIP[Amount],tbl_WIP[Job Number],$A359,tbl_WIP[Month],"&lt;&gt;",tbl_WIP[Month],"&lt;"&amp;$C$4,tbl_WIP[Defer Start],"")+SUMIF('Deferred Revenue'!$E$6:$E$607,$A359,'Deferred Revenue'!$P$6:$P$607)</f>
        <v/>
      </c>
      <c r="D359" s="43">
        <f>SUMIFS(tbl_WIP[Amount],tbl_WIP[Job Number],$A359,tbl_WIP[Month],$C$4,tbl_WIP[Defer Start],"")+SUMIF('Deferred Revenue'!$E$6:$E$607,$A359,'Deferred Revenue'!$Q$6:$Q$607)</f>
        <v/>
      </c>
      <c r="E359" s="43">
        <f>C359+D359</f>
        <v/>
      </c>
      <c r="F359" s="50">
        <f>IF(ROUND(C359,2)+ROUND(D359,2)=0,"","yes")</f>
        <v/>
      </c>
      <c r="G359" s="63" t="n"/>
      <c r="H359" s="43">
        <f>IF($G359="","",$E359-$G359)</f>
        <v/>
      </c>
    </row>
    <row r="360">
      <c r="A360" s="62" t="inlineStr">
        <is>
          <t>2838</t>
        </is>
      </c>
      <c r="B360" s="62" t="inlineStr">
        <is>
          <t>KPMG SYD Tech</t>
        </is>
      </c>
      <c r="C360" s="43">
        <f>SUMIFS(tbl_WIP[Amount],tbl_WIP[Job Number],$A360,tbl_WIP[Month],"&lt;&gt;",tbl_WIP[Month],"&lt;"&amp;$C$4,tbl_WIP[Defer Start],"")+SUMIF('Deferred Revenue'!$E$6:$E$607,$A360,'Deferred Revenue'!$P$6:$P$607)</f>
        <v/>
      </c>
      <c r="D360" s="43">
        <f>SUMIFS(tbl_WIP[Amount],tbl_WIP[Job Number],$A360,tbl_WIP[Month],$C$4,tbl_WIP[Defer Start],"")+SUMIF('Deferred Revenue'!$E$6:$E$607,$A360,'Deferred Revenue'!$Q$6:$Q$607)</f>
        <v/>
      </c>
      <c r="E360" s="43">
        <f>C360+D360</f>
        <v/>
      </c>
      <c r="F360" s="50">
        <f>IF(ROUND(C360,2)+ROUND(D360,2)=0,"","yes")</f>
        <v/>
      </c>
      <c r="G360" s="63" t="n"/>
      <c r="H360" s="43">
        <f>IF($G360="","",$E360-$G360)</f>
        <v/>
      </c>
    </row>
    <row r="361">
      <c r="A361" s="62" t="inlineStr">
        <is>
          <t>2846</t>
        </is>
      </c>
      <c r="B361" s="62" t="inlineStr">
        <is>
          <t>DTTL National STL</t>
        </is>
      </c>
      <c r="C361" s="43">
        <f>SUMIFS(tbl_WIP[Amount],tbl_WIP[Job Number],$A361,tbl_WIP[Month],"&lt;&gt;",tbl_WIP[Month],"&lt;"&amp;$C$4,tbl_WIP[Defer Start],"")+SUMIF('Deferred Revenue'!$E$6:$E$607,$A361,'Deferred Revenue'!$P$6:$P$607)</f>
        <v/>
      </c>
      <c r="D361" s="43">
        <f>SUMIFS(tbl_WIP[Amount],tbl_WIP[Job Number],$A361,tbl_WIP[Month],$C$4,tbl_WIP[Defer Start],"")+SUMIF('Deferred Revenue'!$E$6:$E$607,$A361,'Deferred Revenue'!$Q$6:$Q$607)</f>
        <v/>
      </c>
      <c r="E361" s="43">
        <f>C361+D361</f>
        <v/>
      </c>
      <c r="F361" s="50">
        <f>IF(ROUND(C361,2)+ROUND(D361,2)=0,"","yes")</f>
        <v/>
      </c>
      <c r="G361" s="63" t="n"/>
      <c r="H361" s="43">
        <f>IF($G361="","",$E361-$G361)</f>
        <v/>
      </c>
    </row>
    <row r="362">
      <c r="A362" s="62" t="inlineStr">
        <is>
          <t>2848</t>
        </is>
      </c>
      <c r="B362" s="62" t="inlineStr">
        <is>
          <t>APA ADL Visitor Mgmt</t>
        </is>
      </c>
      <c r="C362" s="43">
        <f>SUMIFS(tbl_WIP[Amount],tbl_WIP[Job Number],$A362,tbl_WIP[Month],"&lt;&gt;",tbl_WIP[Month],"&lt;"&amp;$C$4,tbl_WIP[Defer Start],"")+SUMIF('Deferred Revenue'!$E$6:$E$607,$A362,'Deferred Revenue'!$P$6:$P$607)</f>
        <v/>
      </c>
      <c r="D362" s="43">
        <f>SUMIFS(tbl_WIP[Amount],tbl_WIP[Job Number],$A362,tbl_WIP[Month],$C$4,tbl_WIP[Defer Start],"")+SUMIF('Deferred Revenue'!$E$6:$E$607,$A362,'Deferred Revenue'!$Q$6:$Q$607)</f>
        <v/>
      </c>
      <c r="E362" s="43">
        <f>C362+D362</f>
        <v/>
      </c>
      <c r="F362" s="50">
        <f>IF(ROUND(C362,2)+ROUND(D362,2)=0,"","yes")</f>
        <v/>
      </c>
      <c r="G362" s="63" t="n"/>
      <c r="H362" s="43">
        <f>IF($G362="","",$E362-$G362)</f>
        <v/>
      </c>
    </row>
    <row r="363">
      <c r="A363" s="62" t="inlineStr">
        <is>
          <t>2849</t>
        </is>
      </c>
      <c r="B363" s="62" t="inlineStr">
        <is>
          <t>DTTL SYD Internal</t>
        </is>
      </c>
      <c r="C363" s="43">
        <f>SUMIFS(tbl_WIP[Amount],tbl_WIP[Job Number],$A363,tbl_WIP[Month],"&lt;&gt;",tbl_WIP[Month],"&lt;"&amp;$C$4,tbl_WIP[Defer Start],"")+SUMIF('Deferred Revenue'!$E$6:$E$607,$A363,'Deferred Revenue'!$P$6:$P$607)</f>
        <v/>
      </c>
      <c r="D363" s="43">
        <f>SUMIFS(tbl_WIP[Amount],tbl_WIP[Job Number],$A363,tbl_WIP[Month],$C$4,tbl_WIP[Defer Start],"")+SUMIF('Deferred Revenue'!$E$6:$E$607,$A363,'Deferred Revenue'!$Q$6:$Q$607)</f>
        <v/>
      </c>
      <c r="E363" s="43">
        <f>C363+D363</f>
        <v/>
      </c>
      <c r="F363" s="50">
        <f>IF(ROUND(C363,2)+ROUND(D363,2)=0,"","yes")</f>
        <v/>
      </c>
      <c r="G363" s="63" t="n"/>
      <c r="H363" s="43">
        <f>IF($G363="","",$E363-$G363)</f>
        <v/>
      </c>
    </row>
    <row r="364">
      <c r="A364" s="62" t="inlineStr">
        <is>
          <t>2855</t>
        </is>
      </c>
      <c r="B364" s="62" t="inlineStr">
        <is>
          <t>APA Melbourne VMS</t>
        </is>
      </c>
      <c r="C364" s="43">
        <f>SUMIFS(tbl_WIP[Amount],tbl_WIP[Job Number],$A364,tbl_WIP[Month],"&lt;&gt;",tbl_WIP[Month],"&lt;"&amp;$C$4,tbl_WIP[Defer Start],"")+SUMIF('Deferred Revenue'!$E$6:$E$607,$A364,'Deferred Revenue'!$P$6:$P$607)</f>
        <v/>
      </c>
      <c r="D364" s="43">
        <f>SUMIFS(tbl_WIP[Amount],tbl_WIP[Job Number],$A364,tbl_WIP[Month],$C$4,tbl_WIP[Defer Start],"")+SUMIF('Deferred Revenue'!$E$6:$E$607,$A364,'Deferred Revenue'!$Q$6:$Q$607)</f>
        <v/>
      </c>
      <c r="E364" s="43">
        <f>C364+D364</f>
        <v/>
      </c>
      <c r="F364" s="50">
        <f>IF(ROUND(C364,2)+ROUND(D364,2)=0,"","yes")</f>
        <v/>
      </c>
      <c r="G364" s="63" t="n"/>
      <c r="H364" s="43">
        <f>IF($G364="","",$E364-$G364)</f>
        <v/>
      </c>
    </row>
    <row r="365">
      <c r="A365" s="62" t="inlineStr">
        <is>
          <t>2857</t>
        </is>
      </c>
      <c r="B365" s="62" t="inlineStr">
        <is>
          <t>APA Sydney Visitor Mgmt</t>
        </is>
      </c>
      <c r="C365" s="43">
        <f>SUMIFS(tbl_WIP[Amount],tbl_WIP[Job Number],$A365,tbl_WIP[Month],"&lt;&gt;",tbl_WIP[Month],"&lt;"&amp;$C$4,tbl_WIP[Defer Start],"")+SUMIF('Deferred Revenue'!$E$6:$E$607,$A365,'Deferred Revenue'!$P$6:$P$607)</f>
        <v/>
      </c>
      <c r="D365" s="43">
        <f>SUMIFS(tbl_WIP[Amount],tbl_WIP[Job Number],$A365,tbl_WIP[Month],$C$4,tbl_WIP[Defer Start],"")+SUMIF('Deferred Revenue'!$E$6:$E$607,$A365,'Deferred Revenue'!$Q$6:$Q$607)</f>
        <v/>
      </c>
      <c r="E365" s="43">
        <f>C365+D365</f>
        <v/>
      </c>
      <c r="F365" s="50">
        <f>IF(ROUND(C365,2)+ROUND(D365,2)=0,"","yes")</f>
        <v/>
      </c>
      <c r="G365" s="63" t="n"/>
      <c r="H365" s="43">
        <f>IF($G365="","",$E365-$G365)</f>
        <v/>
      </c>
    </row>
    <row r="366">
      <c r="A366" s="62" t="inlineStr">
        <is>
          <t>2877</t>
        </is>
      </c>
      <c r="B366" s="62" t="inlineStr">
        <is>
          <t>DEWR Maintenance Ext</t>
        </is>
      </c>
      <c r="C366" s="43">
        <f>SUMIFS(tbl_WIP[Amount],tbl_WIP[Job Number],$A366,tbl_WIP[Month],"&lt;&gt;",tbl_WIP[Month],"&lt;"&amp;$C$4,tbl_WIP[Defer Start],"")+SUMIF('Deferred Revenue'!$E$6:$E$607,$A366,'Deferred Revenue'!$P$6:$P$607)</f>
        <v/>
      </c>
      <c r="D366" s="43">
        <f>SUMIFS(tbl_WIP[Amount],tbl_WIP[Job Number],$A366,tbl_WIP[Month],$C$4,tbl_WIP[Defer Start],"")+SUMIF('Deferred Revenue'!$E$6:$E$607,$A366,'Deferred Revenue'!$Q$6:$Q$607)</f>
        <v/>
      </c>
      <c r="E366" s="43">
        <f>C366+D366</f>
        <v/>
      </c>
      <c r="F366" s="50">
        <f>IF(ROUND(C366,2)+ROUND(D366,2)=0,"","yes")</f>
        <v/>
      </c>
      <c r="G366" s="63" t="n"/>
      <c r="H366" s="43">
        <f>IF($G366="","",$E366-$G366)</f>
        <v/>
      </c>
    </row>
    <row r="367">
      <c r="A367" s="62" t="inlineStr">
        <is>
          <t>2879</t>
        </is>
      </c>
      <c r="B367" s="62" t="inlineStr">
        <is>
          <t>ONS Ricoh-QANTAS (non-chgble)</t>
        </is>
      </c>
      <c r="C367" s="43">
        <f>SUMIFS(tbl_WIP[Amount],tbl_WIP[Job Number],$A367,tbl_WIP[Month],"&lt;&gt;",tbl_WIP[Month],"&lt;"&amp;$C$4,tbl_WIP[Defer Start],"")+SUMIF('Deferred Revenue'!$E$6:$E$607,$A367,'Deferred Revenue'!$P$6:$P$607)</f>
        <v/>
      </c>
      <c r="D367" s="43">
        <f>SUMIFS(tbl_WIP[Amount],tbl_WIP[Job Number],$A367,tbl_WIP[Month],$C$4,tbl_WIP[Defer Start],"")+SUMIF('Deferred Revenue'!$E$6:$E$607,$A367,'Deferred Revenue'!$Q$6:$Q$607)</f>
        <v/>
      </c>
      <c r="E367" s="43">
        <f>C367+D367</f>
        <v/>
      </c>
      <c r="F367" s="50">
        <f>IF(ROUND(C367,2)+ROUND(D367,2)=0,"","yes")</f>
        <v/>
      </c>
      <c r="G367" s="63" t="n"/>
      <c r="H367" s="43">
        <f>IF($G367="","",$E367-$G367)</f>
        <v/>
      </c>
    </row>
    <row r="368">
      <c r="A368" s="62" t="inlineStr">
        <is>
          <t>2880</t>
        </is>
      </c>
      <c r="B368" s="62" t="inlineStr">
        <is>
          <t>Ricoh - QANTAS</t>
        </is>
      </c>
      <c r="C368" s="43">
        <f>SUMIFS(tbl_WIP[Amount],tbl_WIP[Job Number],$A368,tbl_WIP[Month],"&lt;&gt;",tbl_WIP[Month],"&lt;"&amp;$C$4,tbl_WIP[Defer Start],"")+SUMIF('Deferred Revenue'!$E$6:$E$607,$A368,'Deferred Revenue'!$P$6:$P$607)</f>
        <v/>
      </c>
      <c r="D368" s="43">
        <f>SUMIFS(tbl_WIP[Amount],tbl_WIP[Job Number],$A368,tbl_WIP[Month],$C$4,tbl_WIP[Defer Start],"")+SUMIF('Deferred Revenue'!$E$6:$E$607,$A368,'Deferred Revenue'!$Q$6:$Q$607)</f>
        <v/>
      </c>
      <c r="E368" s="43">
        <f>C368+D368</f>
        <v/>
      </c>
      <c r="F368" s="50">
        <f>IF(ROUND(C368,2)+ROUND(D368,2)=0,"","yes")</f>
        <v/>
      </c>
      <c r="G368" s="63" t="n"/>
      <c r="H368" s="43">
        <f>IF($G368="","",$E368-$G368)</f>
        <v/>
      </c>
    </row>
    <row r="369">
      <c r="A369" s="62" t="inlineStr">
        <is>
          <t>2892</t>
        </is>
      </c>
      <c r="B369" s="62" t="inlineStr">
        <is>
          <t>JP Morgan Onsite Tech</t>
        </is>
      </c>
      <c r="C369" s="43">
        <f>SUMIFS(tbl_WIP[Amount],tbl_WIP[Job Number],$A369,tbl_WIP[Month],"&lt;&gt;",tbl_WIP[Month],"&lt;"&amp;$C$4,tbl_WIP[Defer Start],"")+SUMIF('Deferred Revenue'!$E$6:$E$607,$A369,'Deferred Revenue'!$P$6:$P$607)</f>
        <v/>
      </c>
      <c r="D369" s="43">
        <f>SUMIFS(tbl_WIP[Amount],tbl_WIP[Job Number],$A369,tbl_WIP[Month],$C$4,tbl_WIP[Defer Start],"")+SUMIF('Deferred Revenue'!$E$6:$E$607,$A369,'Deferred Revenue'!$Q$6:$Q$607)</f>
        <v/>
      </c>
      <c r="E369" s="43">
        <f>C369+D369</f>
        <v/>
      </c>
      <c r="F369" s="50">
        <f>IF(ROUND(C369,2)+ROUND(D369,2)=0,"","yes")</f>
        <v/>
      </c>
      <c r="G369" s="63" t="n"/>
      <c r="H369" s="43">
        <f>IF($G369="","",$E369-$G369)</f>
        <v/>
      </c>
    </row>
    <row r="370">
      <c r="A370" s="62" t="inlineStr">
        <is>
          <t>2896</t>
        </is>
      </c>
      <c r="B370" s="62" t="inlineStr">
        <is>
          <t>ONS KPMG (non-chargeable)</t>
        </is>
      </c>
      <c r="C370" s="43">
        <f>SUMIFS(tbl_WIP[Amount],tbl_WIP[Job Number],$A370,tbl_WIP[Month],"&lt;&gt;",tbl_WIP[Month],"&lt;"&amp;$C$4,tbl_WIP[Defer Start],"")+SUMIF('Deferred Revenue'!$E$6:$E$607,$A370,'Deferred Revenue'!$P$6:$P$607)</f>
        <v/>
      </c>
      <c r="D370" s="43">
        <f>SUMIFS(tbl_WIP[Amount],tbl_WIP[Job Number],$A370,tbl_WIP[Month],$C$4,tbl_WIP[Defer Start],"")+SUMIF('Deferred Revenue'!$E$6:$E$607,$A370,'Deferred Revenue'!$Q$6:$Q$607)</f>
        <v/>
      </c>
      <c r="E370" s="43">
        <f>C370+D370</f>
        <v/>
      </c>
      <c r="F370" s="50">
        <f>IF(ROUND(C370,2)+ROUND(D370,2)=0,"","yes")</f>
        <v/>
      </c>
      <c r="G370" s="63" t="n"/>
      <c r="H370" s="43">
        <f>IF($G370="","",$E370-$G370)</f>
        <v/>
      </c>
    </row>
    <row r="371">
      <c r="A371" s="62" t="inlineStr">
        <is>
          <t>2897</t>
        </is>
      </c>
      <c r="B371" s="62" t="inlineStr">
        <is>
          <t>ONS JPM (non-chargeable)</t>
        </is>
      </c>
      <c r="C371" s="43">
        <f>SUMIFS(tbl_WIP[Amount],tbl_WIP[Job Number],$A371,tbl_WIP[Month],"&lt;&gt;",tbl_WIP[Month],"&lt;"&amp;$C$4,tbl_WIP[Defer Start],"")+SUMIF('Deferred Revenue'!$E$6:$E$607,$A371,'Deferred Revenue'!$P$6:$P$607)</f>
        <v/>
      </c>
      <c r="D371" s="43">
        <f>SUMIFS(tbl_WIP[Amount],tbl_WIP[Job Number],$A371,tbl_WIP[Month],$C$4,tbl_WIP[Defer Start],"")+SUMIF('Deferred Revenue'!$E$6:$E$607,$A371,'Deferred Revenue'!$Q$6:$Q$607)</f>
        <v/>
      </c>
      <c r="E371" s="43">
        <f>C371+D371</f>
        <v/>
      </c>
      <c r="F371" s="50">
        <f>IF(ROUND(C371,2)+ROUND(D371,2)=0,"","yes")</f>
        <v/>
      </c>
      <c r="G371" s="63" t="n"/>
      <c r="H371" s="43">
        <f>IF($G371="","",$E371-$G371)</f>
        <v/>
      </c>
    </row>
    <row r="372">
      <c r="A372" s="62" t="inlineStr">
        <is>
          <t>2900</t>
        </is>
      </c>
      <c r="B372" s="62" t="inlineStr">
        <is>
          <t>ONS Ammacus-Woolworths (non-chargeable)</t>
        </is>
      </c>
      <c r="C372" s="43">
        <f>SUMIFS(tbl_WIP[Amount],tbl_WIP[Job Number],$A372,tbl_WIP[Month],"&lt;&gt;",tbl_WIP[Month],"&lt;"&amp;$C$4,tbl_WIP[Defer Start],"")+SUMIF('Deferred Revenue'!$E$6:$E$607,$A372,'Deferred Revenue'!$P$6:$P$607)</f>
        <v/>
      </c>
      <c r="D372" s="43">
        <f>SUMIFS(tbl_WIP[Amount],tbl_WIP[Job Number],$A372,tbl_WIP[Month],$C$4,tbl_WIP[Defer Start],"")+SUMIF('Deferred Revenue'!$E$6:$E$607,$A372,'Deferred Revenue'!$Q$6:$Q$607)</f>
        <v/>
      </c>
      <c r="E372" s="43">
        <f>C372+D372</f>
        <v/>
      </c>
      <c r="F372" s="50">
        <f>IF(ROUND(C372,2)+ROUND(D372,2)=0,"","yes")</f>
        <v/>
      </c>
      <c r="G372" s="63" t="n"/>
      <c r="H372" s="43">
        <f>IF($G372="","",$E372-$G372)</f>
        <v/>
      </c>
    </row>
    <row r="373">
      <c r="A373" s="62" t="inlineStr">
        <is>
          <t>2906</t>
        </is>
      </c>
      <c r="B373" s="62" t="inlineStr">
        <is>
          <t>KPMG BNE Tech</t>
        </is>
      </c>
      <c r="C373" s="43">
        <f>SUMIFS(tbl_WIP[Amount],tbl_WIP[Job Number],$A373,tbl_WIP[Month],"&lt;&gt;",tbl_WIP[Month],"&lt;"&amp;$C$4,tbl_WIP[Defer Start],"")+SUMIF('Deferred Revenue'!$E$6:$E$607,$A373,'Deferred Revenue'!$P$6:$P$607)</f>
        <v/>
      </c>
      <c r="D373" s="43">
        <f>SUMIFS(tbl_WIP[Amount],tbl_WIP[Job Number],$A373,tbl_WIP[Month],$C$4,tbl_WIP[Defer Start],"")+SUMIF('Deferred Revenue'!$E$6:$E$607,$A373,'Deferred Revenue'!$Q$6:$Q$607)</f>
        <v/>
      </c>
      <c r="E373" s="43">
        <f>C373+D373</f>
        <v/>
      </c>
      <c r="F373" s="50">
        <f>IF(ROUND(C373,2)+ROUND(D373,2)=0,"","yes")</f>
        <v/>
      </c>
      <c r="G373" s="63" t="n"/>
      <c r="H373" s="43">
        <f>IF($G373="","",$E373-$G373)</f>
        <v/>
      </c>
    </row>
    <row r="374">
      <c r="A374" s="62" t="inlineStr">
        <is>
          <t>2907</t>
        </is>
      </c>
      <c r="B374" s="62" t="inlineStr">
        <is>
          <t>Ammacus-Woolworths Tech</t>
        </is>
      </c>
      <c r="C374" s="43">
        <f>SUMIFS(tbl_WIP[Amount],tbl_WIP[Job Number],$A374,tbl_WIP[Month],"&lt;&gt;",tbl_WIP[Month],"&lt;"&amp;$C$4,tbl_WIP[Defer Start],"")+SUMIF('Deferred Revenue'!$E$6:$E$607,$A374,'Deferred Revenue'!$P$6:$P$607)</f>
        <v/>
      </c>
      <c r="D374" s="43">
        <f>SUMIFS(tbl_WIP[Amount],tbl_WIP[Job Number],$A374,tbl_WIP[Month],$C$4,tbl_WIP[Defer Start],"")+SUMIF('Deferred Revenue'!$E$6:$E$607,$A374,'Deferred Revenue'!$Q$6:$Q$607)</f>
        <v/>
      </c>
      <c r="E374" s="43">
        <f>C374+D374</f>
        <v/>
      </c>
      <c r="F374" s="50">
        <f>IF(ROUND(C374,2)+ROUND(D374,2)=0,"","yes")</f>
        <v/>
      </c>
      <c r="G374" s="63" t="n"/>
      <c r="H374" s="43">
        <f>IF($G374="","",$E374-$G374)</f>
        <v/>
      </c>
    </row>
    <row r="375">
      <c r="A375" s="62" t="inlineStr">
        <is>
          <t>2910</t>
        </is>
      </c>
      <c r="B375" s="62" t="inlineStr">
        <is>
          <t>Office Move 2024</t>
        </is>
      </c>
      <c r="C375" s="43">
        <f>SUMIFS(tbl_WIP[Amount],tbl_WIP[Job Number],$A375,tbl_WIP[Month],"&lt;&gt;",tbl_WIP[Month],"&lt;"&amp;$C$4,tbl_WIP[Defer Start],"")+SUMIF('Deferred Revenue'!$E$6:$E$607,$A375,'Deferred Revenue'!$P$6:$P$607)</f>
        <v/>
      </c>
      <c r="D375" s="43">
        <f>SUMIFS(tbl_WIP[Amount],tbl_WIP[Job Number],$A375,tbl_WIP[Month],$C$4,tbl_WIP[Defer Start],"")+SUMIF('Deferred Revenue'!$E$6:$E$607,$A375,'Deferred Revenue'!$Q$6:$Q$607)</f>
        <v/>
      </c>
      <c r="E375" s="43">
        <f>C375+D375</f>
        <v/>
      </c>
      <c r="F375" s="50">
        <f>IF(ROUND(C375,2)+ROUND(D375,2)=0,"","yes")</f>
        <v/>
      </c>
      <c r="G375" s="63" t="n"/>
      <c r="H375" s="43">
        <f>IF($G375="","",$E375-$G375)</f>
        <v/>
      </c>
    </row>
    <row r="376">
      <c r="A376" s="62" t="inlineStr">
        <is>
          <t>2977</t>
        </is>
      </c>
      <c r="B376" s="62" t="inlineStr">
        <is>
          <t>St Catherine's School (CONS)</t>
        </is>
      </c>
      <c r="C376" s="43">
        <f>SUMIFS(tbl_WIP[Amount],tbl_WIP[Job Number],$A376,tbl_WIP[Month],"&lt;&gt;",tbl_WIP[Month],"&lt;"&amp;$C$4,tbl_WIP[Defer Start],"")+SUMIF('Deferred Revenue'!$E$6:$E$607,$A376,'Deferred Revenue'!$P$6:$P$607)</f>
        <v/>
      </c>
      <c r="D376" s="43">
        <f>SUMIFS(tbl_WIP[Amount],tbl_WIP[Job Number],$A376,tbl_WIP[Month],$C$4,tbl_WIP[Defer Start],"")+SUMIF('Deferred Revenue'!$E$6:$E$607,$A376,'Deferred Revenue'!$Q$6:$Q$607)</f>
        <v/>
      </c>
      <c r="E376" s="43">
        <f>C376+D376</f>
        <v/>
      </c>
      <c r="F376" s="50">
        <f>IF(ROUND(C376,2)+ROUND(D376,2)=0,"","yes")</f>
        <v/>
      </c>
      <c r="G376" s="63" t="n"/>
      <c r="H376" s="43">
        <f>IF($G376="","",$E376-$G376)</f>
        <v/>
      </c>
    </row>
    <row r="377">
      <c r="A377" s="62" t="inlineStr">
        <is>
          <t>3014</t>
        </is>
      </c>
      <c r="B377" s="62" t="inlineStr">
        <is>
          <t>ONS Ricoh/Campari (Chargeable)</t>
        </is>
      </c>
      <c r="C377" s="43">
        <f>SUMIFS(tbl_WIP[Amount],tbl_WIP[Job Number],$A377,tbl_WIP[Month],"&lt;&gt;",tbl_WIP[Month],"&lt;"&amp;$C$4,tbl_WIP[Defer Start],"")+SUMIF('Deferred Revenue'!$E$6:$E$607,$A377,'Deferred Revenue'!$P$6:$P$607)</f>
        <v/>
      </c>
      <c r="D377" s="43">
        <f>SUMIFS(tbl_WIP[Amount],tbl_WIP[Job Number],$A377,tbl_WIP[Month],$C$4,tbl_WIP[Defer Start],"")+SUMIF('Deferred Revenue'!$E$6:$E$607,$A377,'Deferred Revenue'!$Q$6:$Q$607)</f>
        <v/>
      </c>
      <c r="E377" s="43">
        <f>C377+D377</f>
        <v/>
      </c>
      <c r="F377" s="50">
        <f>IF(ROUND(C377,2)+ROUND(D377,2)=0,"","yes")</f>
        <v/>
      </c>
      <c r="G377" s="63" t="n"/>
      <c r="H377" s="43">
        <f>IF($G377="","",$E377-$G377)</f>
        <v/>
      </c>
    </row>
    <row r="378">
      <c r="A378" s="62" t="inlineStr">
        <is>
          <t>3015</t>
        </is>
      </c>
      <c r="B378" s="62" t="inlineStr">
        <is>
          <t>ONS Ricoh/Campari (Non Chgble)</t>
        </is>
      </c>
      <c r="C378" s="43">
        <f>SUMIFS(tbl_WIP[Amount],tbl_WIP[Job Number],$A378,tbl_WIP[Month],"&lt;&gt;",tbl_WIP[Month],"&lt;"&amp;$C$4,tbl_WIP[Defer Start],"")+SUMIF('Deferred Revenue'!$E$6:$E$607,$A378,'Deferred Revenue'!$P$6:$P$607)</f>
        <v/>
      </c>
      <c r="D378" s="43">
        <f>SUMIFS(tbl_WIP[Amount],tbl_WIP[Job Number],$A378,tbl_WIP[Month],$C$4,tbl_WIP[Defer Start],"")+SUMIF('Deferred Revenue'!$E$6:$E$607,$A378,'Deferred Revenue'!$Q$6:$Q$607)</f>
        <v/>
      </c>
      <c r="E378" s="43">
        <f>C378+D378</f>
        <v/>
      </c>
      <c r="F378" s="50">
        <f>IF(ROUND(C378,2)+ROUND(D378,2)=0,"","yes")</f>
        <v/>
      </c>
      <c r="G378" s="63" t="n"/>
      <c r="H378" s="43">
        <f>IF($G378="","",$E378-$G378)</f>
        <v/>
      </c>
    </row>
    <row r="379">
      <c r="A379" s="62" t="inlineStr">
        <is>
          <t>3027</t>
        </is>
      </c>
      <c r="B379" s="62" t="inlineStr">
        <is>
          <t>DPIE Elizabeth St Booking</t>
        </is>
      </c>
      <c r="C379" s="43">
        <f>SUMIFS(tbl_WIP[Amount],tbl_WIP[Job Number],$A379,tbl_WIP[Month],"&lt;&gt;",tbl_WIP[Month],"&lt;"&amp;$C$4,tbl_WIP[Defer Start],"")+SUMIF('Deferred Revenue'!$E$6:$E$607,$A379,'Deferred Revenue'!$P$6:$P$607)</f>
        <v/>
      </c>
      <c r="D379" s="43">
        <f>SUMIFS(tbl_WIP[Amount],tbl_WIP[Job Number],$A379,tbl_WIP[Month],$C$4,tbl_WIP[Defer Start],"")+SUMIF('Deferred Revenue'!$E$6:$E$607,$A379,'Deferred Revenue'!$Q$6:$Q$607)</f>
        <v/>
      </c>
      <c r="E379" s="43">
        <f>C379+D379</f>
        <v/>
      </c>
      <c r="F379" s="50">
        <f>IF(ROUND(C379,2)+ROUND(D379,2)=0,"","yes")</f>
        <v/>
      </c>
      <c r="G379" s="63" t="n"/>
      <c r="H379" s="43">
        <f>IF($G379="","",$E379-$G379)</f>
        <v/>
      </c>
    </row>
    <row r="380">
      <c r="A380" s="62" t="inlineStr">
        <is>
          <t>3028</t>
        </is>
      </c>
      <c r="B380" s="62" t="inlineStr">
        <is>
          <t>APA Kidman Park VMS</t>
        </is>
      </c>
      <c r="C380" s="43">
        <f>SUMIFS(tbl_WIP[Amount],tbl_WIP[Job Number],$A380,tbl_WIP[Month],"&lt;&gt;",tbl_WIP[Month],"&lt;"&amp;$C$4,tbl_WIP[Defer Start],"")+SUMIF('Deferred Revenue'!$E$6:$E$607,$A380,'Deferred Revenue'!$P$6:$P$607)</f>
        <v/>
      </c>
      <c r="D380" s="43">
        <f>SUMIFS(tbl_WIP[Amount],tbl_WIP[Job Number],$A380,tbl_WIP[Month],$C$4,tbl_WIP[Defer Start],"")+SUMIF('Deferred Revenue'!$E$6:$E$607,$A380,'Deferred Revenue'!$Q$6:$Q$607)</f>
        <v/>
      </c>
      <c r="E380" s="43">
        <f>C380+D380</f>
        <v/>
      </c>
      <c r="F380" s="50">
        <f>IF(ROUND(C380,2)+ROUND(D380,2)=0,"","yes")</f>
        <v/>
      </c>
      <c r="G380" s="63" t="n"/>
      <c r="H380" s="43">
        <f>IF($G380="","",$E380-$G380)</f>
        <v/>
      </c>
    </row>
    <row r="381">
      <c r="A381" s="62" t="inlineStr">
        <is>
          <t>3034</t>
        </is>
      </c>
      <c r="B381" s="62" t="inlineStr">
        <is>
          <t>ARUP ONS (non-chargeable)</t>
        </is>
      </c>
      <c r="C381" s="43">
        <f>SUMIFS(tbl_WIP[Amount],tbl_WIP[Job Number],$A381,tbl_WIP[Month],"&lt;&gt;",tbl_WIP[Month],"&lt;"&amp;$C$4,tbl_WIP[Defer Start],"")+SUMIF('Deferred Revenue'!$E$6:$E$607,$A381,'Deferred Revenue'!$P$6:$P$607)</f>
        <v/>
      </c>
      <c r="D381" s="43">
        <f>SUMIFS(tbl_WIP[Amount],tbl_WIP[Job Number],$A381,tbl_WIP[Month],$C$4,tbl_WIP[Defer Start],"")+SUMIF('Deferred Revenue'!$E$6:$E$607,$A381,'Deferred Revenue'!$Q$6:$Q$607)</f>
        <v/>
      </c>
      <c r="E381" s="43">
        <f>C381+D381</f>
        <v/>
      </c>
      <c r="F381" s="50">
        <f>IF(ROUND(C381,2)+ROUND(D381,2)=0,"","yes")</f>
        <v/>
      </c>
      <c r="G381" s="63" t="n"/>
      <c r="H381" s="43">
        <f>IF($G381="","",$E381-$G381)</f>
        <v/>
      </c>
    </row>
    <row r="382">
      <c r="A382" s="62" t="inlineStr">
        <is>
          <t>3035</t>
        </is>
      </c>
      <c r="B382" s="62" t="inlineStr">
        <is>
          <t>ARUP ONS National (Chargeable)</t>
        </is>
      </c>
      <c r="C382" s="43">
        <f>SUMIFS(tbl_WIP[Amount],tbl_WIP[Job Number],$A382,tbl_WIP[Month],"&lt;&gt;",tbl_WIP[Month],"&lt;"&amp;$C$4,tbl_WIP[Defer Start],"")+SUMIF('Deferred Revenue'!$E$6:$E$607,$A382,'Deferred Revenue'!$P$6:$P$607)</f>
        <v/>
      </c>
      <c r="D382" s="43">
        <f>SUMIFS(tbl_WIP[Amount],tbl_WIP[Job Number],$A382,tbl_WIP[Month],$C$4,tbl_WIP[Defer Start],"")+SUMIF('Deferred Revenue'!$E$6:$E$607,$A382,'Deferred Revenue'!$Q$6:$Q$607)</f>
        <v/>
      </c>
      <c r="E382" s="43">
        <f>C382+D382</f>
        <v/>
      </c>
      <c r="F382" s="50">
        <f>IF(ROUND(C382,2)+ROUND(D382,2)=0,"","yes")</f>
        <v/>
      </c>
      <c r="G382" s="63" t="n"/>
      <c r="H382" s="43">
        <f>IF($G382="","",$E382-$G382)</f>
        <v/>
      </c>
    </row>
    <row r="383">
      <c r="A383" s="62" t="inlineStr">
        <is>
          <t>3040</t>
        </is>
      </c>
      <c r="B383" s="62" t="inlineStr">
        <is>
          <t>Corrs MELB Office Reloc</t>
        </is>
      </c>
      <c r="C383" s="43">
        <f>SUMIFS(tbl_WIP[Amount],tbl_WIP[Job Number],$A383,tbl_WIP[Month],"&lt;&gt;",tbl_WIP[Month],"&lt;"&amp;$C$4,tbl_WIP[Defer Start],"")+SUMIF('Deferred Revenue'!$E$6:$E$607,$A383,'Deferred Revenue'!$P$6:$P$607)</f>
        <v/>
      </c>
      <c r="D383" s="43">
        <f>SUMIFS(tbl_WIP[Amount],tbl_WIP[Job Number],$A383,tbl_WIP[Month],$C$4,tbl_WIP[Defer Start],"")+SUMIF('Deferred Revenue'!$E$6:$E$607,$A383,'Deferred Revenue'!$Q$6:$Q$607)</f>
        <v/>
      </c>
      <c r="E383" s="43">
        <f>C383+D383</f>
        <v/>
      </c>
      <c r="F383" s="50">
        <f>IF(ROUND(C383,2)+ROUND(D383,2)=0,"","yes")</f>
        <v/>
      </c>
      <c r="G383" s="63" t="n"/>
      <c r="H383" s="43">
        <f>IF($G383="","",$E383-$G383)</f>
        <v/>
      </c>
    </row>
    <row r="384">
      <c r="A384" s="62" t="inlineStr">
        <is>
          <t>3042</t>
        </is>
      </c>
      <c r="B384" s="62" t="inlineStr">
        <is>
          <t>Corrs-PER Office Reloc</t>
        </is>
      </c>
      <c r="C384" s="43">
        <f>SUMIFS(tbl_WIP[Amount],tbl_WIP[Job Number],$A384,tbl_WIP[Month],"&lt;&gt;",tbl_WIP[Month],"&lt;"&amp;$C$4,tbl_WIP[Defer Start],"")+SUMIF('Deferred Revenue'!$E$6:$E$607,$A384,'Deferred Revenue'!$P$6:$P$607)</f>
        <v/>
      </c>
      <c r="D384" s="43">
        <f>SUMIFS(tbl_WIP[Amount],tbl_WIP[Job Number],$A384,tbl_WIP[Month],$C$4,tbl_WIP[Defer Start],"")+SUMIF('Deferred Revenue'!$E$6:$E$607,$A384,'Deferred Revenue'!$Q$6:$Q$607)</f>
        <v/>
      </c>
      <c r="E384" s="43">
        <f>C384+D384</f>
        <v/>
      </c>
      <c r="F384" s="50">
        <f>IF(ROUND(C384,2)+ROUND(D384,2)=0,"","yes")</f>
        <v/>
      </c>
      <c r="G384" s="63" t="n"/>
      <c r="H384" s="43">
        <f>IF($G384="","",$E384-$G384)</f>
        <v/>
      </c>
    </row>
    <row r="385">
      <c r="A385" s="62" t="inlineStr">
        <is>
          <t>3046</t>
        </is>
      </c>
      <c r="B385" s="62" t="inlineStr">
        <is>
          <t>Stone&amp;Chalk ONS [chargeable]</t>
        </is>
      </c>
      <c r="C385" s="43">
        <f>SUMIFS(tbl_WIP[Amount],tbl_WIP[Job Number],$A385,tbl_WIP[Month],"&lt;&gt;",tbl_WIP[Month],"&lt;"&amp;$C$4,tbl_WIP[Defer Start],"")+SUMIF('Deferred Revenue'!$E$6:$E$607,$A385,'Deferred Revenue'!$P$6:$P$607)</f>
        <v/>
      </c>
      <c r="D385" s="43">
        <f>SUMIFS(tbl_WIP[Amount],tbl_WIP[Job Number],$A385,tbl_WIP[Month],$C$4,tbl_WIP[Defer Start],"")+SUMIF('Deferred Revenue'!$E$6:$E$607,$A385,'Deferred Revenue'!$Q$6:$Q$607)</f>
        <v/>
      </c>
      <c r="E385" s="43">
        <f>C385+D385</f>
        <v/>
      </c>
      <c r="F385" s="50">
        <f>IF(ROUND(C385,2)+ROUND(D385,2)=0,"","yes")</f>
        <v/>
      </c>
      <c r="G385" s="63" t="n"/>
      <c r="H385" s="43">
        <f>IF($G385="","",$E385-$G385)</f>
        <v/>
      </c>
    </row>
    <row r="386">
      <c r="A386" s="62" t="inlineStr">
        <is>
          <t>3047</t>
        </is>
      </c>
      <c r="B386" s="62" t="inlineStr">
        <is>
          <t>Stone&amp;Chalk ONS [non-chargable]</t>
        </is>
      </c>
      <c r="C386" s="43">
        <f>SUMIFS(tbl_WIP[Amount],tbl_WIP[Job Number],$A386,tbl_WIP[Month],"&lt;&gt;",tbl_WIP[Month],"&lt;"&amp;$C$4,tbl_WIP[Defer Start],"")+SUMIF('Deferred Revenue'!$E$6:$E$607,$A386,'Deferred Revenue'!$P$6:$P$607)</f>
        <v/>
      </c>
      <c r="D386" s="43">
        <f>SUMIFS(tbl_WIP[Amount],tbl_WIP[Job Number],$A386,tbl_WIP[Month],$C$4,tbl_WIP[Defer Start],"")+SUMIF('Deferred Revenue'!$E$6:$E$607,$A386,'Deferred Revenue'!$Q$6:$Q$607)</f>
        <v/>
      </c>
      <c r="E386" s="43">
        <f>C386+D386</f>
        <v/>
      </c>
      <c r="F386" s="50">
        <f>IF(ROUND(C386,2)+ROUND(D386,2)=0,"","yes")</f>
        <v/>
      </c>
      <c r="G386" s="63" t="n"/>
      <c r="H386" s="43">
        <f>IF($G386="","",$E386-$G386)</f>
        <v/>
      </c>
    </row>
    <row r="387">
      <c r="A387" s="62" t="inlineStr">
        <is>
          <t>3048</t>
        </is>
      </c>
      <c r="B387" s="62" t="inlineStr">
        <is>
          <t>Stone &amp; Chalk Audit 2</t>
        </is>
      </c>
      <c r="C387" s="43">
        <f>SUMIFS(tbl_WIP[Amount],tbl_WIP[Job Number],$A387,tbl_WIP[Month],"&lt;&gt;",tbl_WIP[Month],"&lt;"&amp;$C$4,tbl_WIP[Defer Start],"")+SUMIF('Deferred Revenue'!$E$6:$E$607,$A387,'Deferred Revenue'!$P$6:$P$607)</f>
        <v/>
      </c>
      <c r="D387" s="43">
        <f>SUMIFS(tbl_WIP[Amount],tbl_WIP[Job Number],$A387,tbl_WIP[Month],$C$4,tbl_WIP[Defer Start],"")+SUMIF('Deferred Revenue'!$E$6:$E$607,$A387,'Deferred Revenue'!$Q$6:$Q$607)</f>
        <v/>
      </c>
      <c r="E387" s="43">
        <f>C387+D387</f>
        <v/>
      </c>
      <c r="F387" s="50">
        <f>IF(ROUND(C387,2)+ROUND(D387,2)=0,"","yes")</f>
        <v/>
      </c>
      <c r="G387" s="63" t="n"/>
      <c r="H387" s="43">
        <f>IF($G387="","",$E387-$G387)</f>
        <v/>
      </c>
    </row>
    <row r="388">
      <c r="A388" s="62" t="inlineStr">
        <is>
          <t>3056</t>
        </is>
      </c>
      <c r="B388" s="62" t="inlineStr">
        <is>
          <t>AusPayNet Onsite [Chargeable]</t>
        </is>
      </c>
      <c r="C388" s="43">
        <f>SUMIFS(tbl_WIP[Amount],tbl_WIP[Job Number],$A388,tbl_WIP[Month],"&lt;&gt;",tbl_WIP[Month],"&lt;"&amp;$C$4,tbl_WIP[Defer Start],"")+SUMIF('Deferred Revenue'!$E$6:$E$607,$A388,'Deferred Revenue'!$P$6:$P$607)</f>
        <v/>
      </c>
      <c r="D388" s="43">
        <f>SUMIFS(tbl_WIP[Amount],tbl_WIP[Job Number],$A388,tbl_WIP[Month],$C$4,tbl_WIP[Defer Start],"")+SUMIF('Deferred Revenue'!$E$6:$E$607,$A388,'Deferred Revenue'!$Q$6:$Q$607)</f>
        <v/>
      </c>
      <c r="E388" s="43">
        <f>C388+D388</f>
        <v/>
      </c>
      <c r="F388" s="50">
        <f>IF(ROUND(C388,2)+ROUND(D388,2)=0,"","yes")</f>
        <v/>
      </c>
      <c r="G388" s="63" t="n"/>
      <c r="H388" s="43">
        <f>IF($G388="","",$E388-$G388)</f>
        <v/>
      </c>
    </row>
    <row r="389">
      <c r="A389" s="62" t="inlineStr">
        <is>
          <t>3057</t>
        </is>
      </c>
      <c r="B389" s="62" t="inlineStr">
        <is>
          <t>AusPayNet ONS[Non-Chargeable]</t>
        </is>
      </c>
      <c r="C389" s="43">
        <f>SUMIFS(tbl_WIP[Amount],tbl_WIP[Job Number],$A389,tbl_WIP[Month],"&lt;&gt;",tbl_WIP[Month],"&lt;"&amp;$C$4,tbl_WIP[Defer Start],"")+SUMIF('Deferred Revenue'!$E$6:$E$607,$A389,'Deferred Revenue'!$P$6:$P$607)</f>
        <v/>
      </c>
      <c r="D389" s="43">
        <f>SUMIFS(tbl_WIP[Amount],tbl_WIP[Job Number],$A389,tbl_WIP[Month],$C$4,tbl_WIP[Defer Start],"")+SUMIF('Deferred Revenue'!$E$6:$E$607,$A389,'Deferred Revenue'!$Q$6:$Q$607)</f>
        <v/>
      </c>
      <c r="E389" s="43">
        <f>C389+D389</f>
        <v/>
      </c>
      <c r="F389" s="50">
        <f>IF(ROUND(C389,2)+ROUND(D389,2)=0,"","yes")</f>
        <v/>
      </c>
      <c r="G389" s="63" t="n"/>
      <c r="H389" s="43">
        <f>IF($G389="","",$E389-$G389)</f>
        <v/>
      </c>
    </row>
    <row r="390">
      <c r="A390" s="62" t="inlineStr">
        <is>
          <t>3059</t>
        </is>
      </c>
      <c r="B390" s="62" t="inlineStr">
        <is>
          <t>CBA AGM 2025</t>
        </is>
      </c>
      <c r="C390" s="43">
        <f>SUMIFS(tbl_WIP[Amount],tbl_WIP[Job Number],$A390,tbl_WIP[Month],"&lt;&gt;",tbl_WIP[Month],"&lt;"&amp;$C$4,tbl_WIP[Defer Start],"")+SUMIF('Deferred Revenue'!$E$6:$E$607,$A390,'Deferred Revenue'!$P$6:$P$607)</f>
        <v/>
      </c>
      <c r="D390" s="43">
        <f>SUMIFS(tbl_WIP[Amount],tbl_WIP[Job Number],$A390,tbl_WIP[Month],$C$4,tbl_WIP[Defer Start],"")+SUMIF('Deferred Revenue'!$E$6:$E$607,$A390,'Deferred Revenue'!$Q$6:$Q$607)</f>
        <v/>
      </c>
      <c r="E390" s="43">
        <f>C390+D390</f>
        <v/>
      </c>
      <c r="F390" s="50">
        <f>IF(ROUND(C390,2)+ROUND(D390,2)=0,"","yes")</f>
        <v/>
      </c>
      <c r="G390" s="63" t="n"/>
      <c r="H390" s="43">
        <f>IF($G390="","",$E390-$G390)</f>
        <v/>
      </c>
    </row>
    <row r="391">
      <c r="A391" s="62" t="inlineStr">
        <is>
          <t>3068</t>
        </is>
      </c>
      <c r="B391" s="62" t="inlineStr">
        <is>
          <t>DPIE Pitt and Penrith</t>
        </is>
      </c>
      <c r="C391" s="43">
        <f>SUMIFS(tbl_WIP[Amount],tbl_WIP[Job Number],$A391,tbl_WIP[Month],"&lt;&gt;",tbl_WIP[Month],"&lt;"&amp;$C$4,tbl_WIP[Defer Start],"")+SUMIF('Deferred Revenue'!$E$6:$E$607,$A391,'Deferred Revenue'!$P$6:$P$607)</f>
        <v/>
      </c>
      <c r="D391" s="43">
        <f>SUMIFS(tbl_WIP[Amount],tbl_WIP[Job Number],$A391,tbl_WIP[Month],$C$4,tbl_WIP[Defer Start],"")+SUMIF('Deferred Revenue'!$E$6:$E$607,$A391,'Deferred Revenue'!$Q$6:$Q$607)</f>
        <v/>
      </c>
      <c r="E391" s="43">
        <f>C391+D391</f>
        <v/>
      </c>
      <c r="F391" s="50">
        <f>IF(ROUND(C391,2)+ROUND(D391,2)=0,"","yes")</f>
        <v/>
      </c>
      <c r="G391" s="63" t="n"/>
      <c r="H391" s="43">
        <f>IF($G391="","",$E391-$G391)</f>
        <v/>
      </c>
    </row>
    <row r="392">
      <c r="A392" s="62" t="inlineStr">
        <is>
          <t>3072</t>
        </is>
      </c>
      <c r="B392" s="62" t="inlineStr">
        <is>
          <t>APA Thomastown</t>
        </is>
      </c>
      <c r="C392" s="43">
        <f>SUMIFS(tbl_WIP[Amount],tbl_WIP[Job Number],$A392,tbl_WIP[Month],"&lt;&gt;",tbl_WIP[Month],"&lt;"&amp;$C$4,tbl_WIP[Defer Start],"")+SUMIF('Deferred Revenue'!$E$6:$E$607,$A392,'Deferred Revenue'!$P$6:$P$607)</f>
        <v/>
      </c>
      <c r="D392" s="43">
        <f>SUMIFS(tbl_WIP[Amount],tbl_WIP[Job Number],$A392,tbl_WIP[Month],$C$4,tbl_WIP[Defer Start],"")+SUMIF('Deferred Revenue'!$E$6:$E$607,$A392,'Deferred Revenue'!$Q$6:$Q$607)</f>
        <v/>
      </c>
      <c r="E392" s="43">
        <f>C392+D392</f>
        <v/>
      </c>
      <c r="F392" s="50">
        <f>IF(ROUND(C392,2)+ROUND(D392,2)=0,"","yes")</f>
        <v/>
      </c>
      <c r="G392" s="63" t="n"/>
      <c r="H392" s="43">
        <f>IF($G392="","",$E392-$G392)</f>
        <v/>
      </c>
    </row>
    <row r="393">
      <c r="A393" s="62" t="inlineStr">
        <is>
          <t>585</t>
        </is>
      </c>
      <c r="B393" s="62" t="inlineStr">
        <is>
          <t>CBA Team Leader</t>
        </is>
      </c>
      <c r="C393" s="43">
        <f>SUMIFS(tbl_WIP[Amount],tbl_WIP[Job Number],$A393,tbl_WIP[Month],"&lt;&gt;",tbl_WIP[Month],"&lt;"&amp;$C$4,tbl_WIP[Defer Start],"")+SUMIF('Deferred Revenue'!$E$6:$E$607,$A393,'Deferred Revenue'!$P$6:$P$607)</f>
        <v/>
      </c>
      <c r="D393" s="43">
        <f>SUMIFS(tbl_WIP[Amount],tbl_WIP[Job Number],$A393,tbl_WIP[Month],$C$4,tbl_WIP[Defer Start],"")+SUMIF('Deferred Revenue'!$E$6:$E$607,$A393,'Deferred Revenue'!$Q$6:$Q$607)</f>
        <v/>
      </c>
      <c r="E393" s="43">
        <f>C393+D393</f>
        <v/>
      </c>
      <c r="F393" s="50">
        <f>IF(ROUND(C393,2)+ROUND(D393,2)=0,"","yes")</f>
        <v/>
      </c>
      <c r="G393" s="63" t="n"/>
      <c r="H393" s="43">
        <f>IF($G393="","",$E393-$G393)</f>
        <v/>
      </c>
    </row>
    <row r="394">
      <c r="A394" s="62" t="inlineStr">
        <is>
          <t>586</t>
        </is>
      </c>
      <c r="B394" s="62" t="inlineStr">
        <is>
          <t>CBA Tech NP</t>
        </is>
      </c>
      <c r="C394" s="43">
        <f>SUMIFS(tbl_WIP[Amount],tbl_WIP[Job Number],$A394,tbl_WIP[Month],"&lt;&gt;",tbl_WIP[Month],"&lt;"&amp;$C$4,tbl_WIP[Defer Start],"")+SUMIF('Deferred Revenue'!$E$6:$E$607,$A394,'Deferred Revenue'!$P$6:$P$607)</f>
        <v/>
      </c>
      <c r="D394" s="43">
        <f>SUMIFS(tbl_WIP[Amount],tbl_WIP[Job Number],$A394,tbl_WIP[Month],$C$4,tbl_WIP[Defer Start],"")+SUMIF('Deferred Revenue'!$E$6:$E$607,$A394,'Deferred Revenue'!$Q$6:$Q$607)</f>
        <v/>
      </c>
      <c r="E394" s="43">
        <f>C394+D394</f>
        <v/>
      </c>
      <c r="F394" s="50">
        <f>IF(ROUND(C394,2)+ROUND(D394,2)=0,"","yes")</f>
        <v/>
      </c>
      <c r="G394" s="63" t="n"/>
      <c r="H394" s="43">
        <f>IF($G394="","",$E394-$G394)</f>
        <v/>
      </c>
    </row>
    <row r="395">
      <c r="A395" s="62" t="inlineStr">
        <is>
          <t>587</t>
        </is>
      </c>
      <c r="B395" s="62" t="inlineStr">
        <is>
          <t>CBA Tech TN</t>
        </is>
      </c>
      <c r="C395" s="43">
        <f>SUMIFS(tbl_WIP[Amount],tbl_WIP[Job Number],$A395,tbl_WIP[Month],"&lt;&gt;",tbl_WIP[Month],"&lt;"&amp;$C$4,tbl_WIP[Defer Start],"")+SUMIF('Deferred Revenue'!$E$6:$E$607,$A395,'Deferred Revenue'!$P$6:$P$607)</f>
        <v/>
      </c>
      <c r="D395" s="43">
        <f>SUMIFS(tbl_WIP[Amount],tbl_WIP[Job Number],$A395,tbl_WIP[Month],$C$4,tbl_WIP[Defer Start],"")+SUMIF('Deferred Revenue'!$E$6:$E$607,$A395,'Deferred Revenue'!$Q$6:$Q$607)</f>
        <v/>
      </c>
      <c r="E395" s="43">
        <f>C395+D395</f>
        <v/>
      </c>
      <c r="F395" s="50">
        <f>IF(ROUND(C395,2)+ROUND(D395,2)=0,"","yes")</f>
        <v/>
      </c>
      <c r="G395" s="63" t="n"/>
      <c r="H395" s="43">
        <f>IF($G395="","",$E395-$G395)</f>
        <v/>
      </c>
    </row>
    <row r="396">
      <c r="A396" s="62" t="inlineStr">
        <is>
          <t>724</t>
        </is>
      </c>
      <c r="B396" s="62" t="inlineStr">
        <is>
          <t>DTTL SYD NTSL</t>
        </is>
      </c>
      <c r="C396" s="43">
        <f>SUMIFS(tbl_WIP[Amount],tbl_WIP[Job Number],$A396,tbl_WIP[Month],"&lt;&gt;",tbl_WIP[Month],"&lt;"&amp;$C$4,tbl_WIP[Defer Start],"")+SUMIF('Deferred Revenue'!$E$6:$E$607,$A396,'Deferred Revenue'!$P$6:$P$607)</f>
        <v/>
      </c>
      <c r="D396" s="43">
        <f>SUMIFS(tbl_WIP[Amount],tbl_WIP[Job Number],$A396,tbl_WIP[Month],$C$4,tbl_WIP[Defer Start],"")+SUMIF('Deferred Revenue'!$E$6:$E$607,$A396,'Deferred Revenue'!$Q$6:$Q$607)</f>
        <v/>
      </c>
      <c r="E396" s="43">
        <f>C396+D396</f>
        <v/>
      </c>
      <c r="F396" s="50">
        <f>IF(ROUND(C396,2)+ROUND(D396,2)=0,"","yes")</f>
        <v/>
      </c>
      <c r="G396" s="63" t="n"/>
      <c r="H396" s="43">
        <f>IF($G396="","",$E396-$G396)</f>
        <v/>
      </c>
    </row>
    <row r="397">
      <c r="A397" s="62" t="inlineStr">
        <is>
          <t>725</t>
        </is>
      </c>
      <c r="B397" s="62" t="inlineStr">
        <is>
          <t>DTTL Mel Tech FT 1</t>
        </is>
      </c>
      <c r="C397" s="43">
        <f>SUMIFS(tbl_WIP[Amount],tbl_WIP[Job Number],$A397,tbl_WIP[Month],"&lt;&gt;",tbl_WIP[Month],"&lt;"&amp;$C$4,tbl_WIP[Defer Start],"")+SUMIF('Deferred Revenue'!$E$6:$E$607,$A397,'Deferred Revenue'!$P$6:$P$607)</f>
        <v/>
      </c>
      <c r="D397" s="43">
        <f>SUMIFS(tbl_WIP[Amount],tbl_WIP[Job Number],$A397,tbl_WIP[Month],$C$4,tbl_WIP[Defer Start],"")+SUMIF('Deferred Revenue'!$E$6:$E$607,$A397,'Deferred Revenue'!$Q$6:$Q$607)</f>
        <v/>
      </c>
      <c r="E397" s="43">
        <f>C397+D397</f>
        <v/>
      </c>
      <c r="F397" s="50">
        <f>IF(ROUND(C397,2)+ROUND(D397,2)=0,"","yes")</f>
        <v/>
      </c>
      <c r="G397" s="63" t="n"/>
      <c r="H397" s="43">
        <f>IF($G397="","",$E397-$G397)</f>
        <v/>
      </c>
    </row>
    <row r="398">
      <c r="A398" s="62" t="inlineStr">
        <is>
          <t>729</t>
        </is>
      </c>
      <c r="B398" s="62" t="inlineStr">
        <is>
          <t>DTTL Consulting</t>
        </is>
      </c>
      <c r="C398" s="43">
        <f>SUMIFS(tbl_WIP[Amount],tbl_WIP[Job Number],$A398,tbl_WIP[Month],"&lt;&gt;",tbl_WIP[Month],"&lt;"&amp;$C$4,tbl_WIP[Defer Start],"")+SUMIF('Deferred Revenue'!$E$6:$E$607,$A398,'Deferred Revenue'!$P$6:$P$607)</f>
        <v/>
      </c>
      <c r="D398" s="43">
        <f>SUMIFS(tbl_WIP[Amount],tbl_WIP[Job Number],$A398,tbl_WIP[Month],$C$4,tbl_WIP[Defer Start],"")+SUMIF('Deferred Revenue'!$E$6:$E$607,$A398,'Deferred Revenue'!$Q$6:$Q$607)</f>
        <v/>
      </c>
      <c r="E398" s="43">
        <f>C398+D398</f>
        <v/>
      </c>
      <c r="F398" s="50">
        <f>IF(ROUND(C398,2)+ROUND(D398,2)=0,"","yes")</f>
        <v/>
      </c>
      <c r="G398" s="63" t="n"/>
      <c r="H398" s="43">
        <f>IF($G398="","",$E398-$G398)</f>
        <v/>
      </c>
    </row>
    <row r="399">
      <c r="A399" s="62" t="inlineStr">
        <is>
          <t>732</t>
        </is>
      </c>
      <c r="B399" s="62" t="inlineStr">
        <is>
          <t>Bank West Contract</t>
        </is>
      </c>
      <c r="C399" s="43">
        <f>SUMIFS(tbl_WIP[Amount],tbl_WIP[Job Number],$A399,tbl_WIP[Month],"&lt;&gt;",tbl_WIP[Month],"&lt;"&amp;$C$4,tbl_WIP[Defer Start],"")+SUMIF('Deferred Revenue'!$E$6:$E$607,$A399,'Deferred Revenue'!$P$6:$P$607)</f>
        <v/>
      </c>
      <c r="D399" s="43">
        <f>SUMIFS(tbl_WIP[Amount],tbl_WIP[Job Number],$A399,tbl_WIP[Month],$C$4,tbl_WIP[Defer Start],"")+SUMIF('Deferred Revenue'!$E$6:$E$607,$A399,'Deferred Revenue'!$Q$6:$Q$607)</f>
        <v/>
      </c>
      <c r="E399" s="43">
        <f>C399+D399</f>
        <v/>
      </c>
      <c r="F399" s="50">
        <f>IF(ROUND(C399,2)+ROUND(D399,2)=0,"","yes")</f>
        <v/>
      </c>
      <c r="G399" s="63" t="n"/>
      <c r="H399" s="43">
        <f>IF($G399="","",$E399-$G399)</f>
        <v/>
      </c>
    </row>
    <row r="400">
      <c r="A400" s="62" t="inlineStr">
        <is>
          <t>9000</t>
        </is>
      </c>
      <c r="B400" s="62" t="inlineStr">
        <is>
          <t>OFFICE / ADMIN</t>
        </is>
      </c>
      <c r="C400" s="43">
        <f>SUMIFS(tbl_WIP[Amount],tbl_WIP[Job Number],$A400,tbl_WIP[Month],"&lt;&gt;",tbl_WIP[Month],"&lt;"&amp;$C$4,tbl_WIP[Defer Start],"")+SUMIF('Deferred Revenue'!$E$6:$E$607,$A400,'Deferred Revenue'!$P$6:$P$607)</f>
        <v/>
      </c>
      <c r="D400" s="43">
        <f>SUMIFS(tbl_WIP[Amount],tbl_WIP[Job Number],$A400,tbl_WIP[Month],$C$4,tbl_WIP[Defer Start],"")+SUMIF('Deferred Revenue'!$E$6:$E$607,$A400,'Deferred Revenue'!$Q$6:$Q$607)</f>
        <v/>
      </c>
      <c r="E400" s="43">
        <f>C400+D400</f>
        <v/>
      </c>
      <c r="F400" s="50">
        <f>IF(ROUND(C400,2)+ROUND(D400,2)=0,"","yes")</f>
        <v/>
      </c>
      <c r="G400" s="63" t="n"/>
      <c r="H400" s="43">
        <f>IF($G400="","",$E400-$G400)</f>
        <v/>
      </c>
    </row>
    <row r="401">
      <c r="A401" s="62" t="inlineStr">
        <is>
          <t>9001</t>
        </is>
      </c>
      <c r="B401" s="62" t="inlineStr">
        <is>
          <t>OFFICE/ADMIN Orientation</t>
        </is>
      </c>
      <c r="C401" s="43">
        <f>SUMIFS(tbl_WIP[Amount],tbl_WIP[Job Number],$A401,tbl_WIP[Month],"&lt;&gt;",tbl_WIP[Month],"&lt;"&amp;$C$4,tbl_WIP[Defer Start],"")+SUMIF('Deferred Revenue'!$E$6:$E$607,$A401,'Deferred Revenue'!$P$6:$P$607)</f>
        <v/>
      </c>
      <c r="D401" s="43">
        <f>SUMIFS(tbl_WIP[Amount],tbl_WIP[Job Number],$A401,tbl_WIP[Month],$C$4,tbl_WIP[Defer Start],"")+SUMIF('Deferred Revenue'!$E$6:$E$607,$A401,'Deferred Revenue'!$Q$6:$Q$607)</f>
        <v/>
      </c>
      <c r="E401" s="43">
        <f>C401+D401</f>
        <v/>
      </c>
      <c r="F401" s="50">
        <f>IF(ROUND(C401,2)+ROUND(D401,2)=0,"","yes")</f>
        <v/>
      </c>
      <c r="G401" s="63" t="n"/>
      <c r="H401" s="43">
        <f>IF($G401="","",$E401-$G401)</f>
        <v/>
      </c>
    </row>
    <row r="402">
      <c r="A402" s="62" t="inlineStr">
        <is>
          <t>9050</t>
        </is>
      </c>
      <c r="B402" s="62" t="inlineStr">
        <is>
          <t>OFFICE ASSETS</t>
        </is>
      </c>
      <c r="C402" s="43">
        <f>SUMIFS(tbl_WIP[Amount],tbl_WIP[Job Number],$A402,tbl_WIP[Month],"&lt;&gt;",tbl_WIP[Month],"&lt;"&amp;$C$4,tbl_WIP[Defer Start],"")+SUMIF('Deferred Revenue'!$E$6:$E$607,$A402,'Deferred Revenue'!$P$6:$P$607)</f>
        <v/>
      </c>
      <c r="D402" s="43">
        <f>SUMIFS(tbl_WIP[Amount],tbl_WIP[Job Number],$A402,tbl_WIP[Month],$C$4,tbl_WIP[Defer Start],"")+SUMIF('Deferred Revenue'!$E$6:$E$607,$A402,'Deferred Revenue'!$Q$6:$Q$607)</f>
        <v/>
      </c>
      <c r="E402" s="43">
        <f>C402+D402</f>
        <v/>
      </c>
      <c r="F402" s="50">
        <f>IF(ROUND(C402,2)+ROUND(D402,2)=0,"","yes")</f>
        <v/>
      </c>
      <c r="G402" s="63" t="n"/>
      <c r="H402" s="43">
        <f>IF($G402="","",$E402-$G402)</f>
        <v/>
      </c>
    </row>
    <row r="403">
      <c r="A403" s="62" t="inlineStr">
        <is>
          <t>9100</t>
        </is>
      </c>
      <c r="B403" s="62" t="inlineStr">
        <is>
          <t>PRODUCTION</t>
        </is>
      </c>
      <c r="C403" s="43">
        <f>SUMIFS(tbl_WIP[Amount],tbl_WIP[Job Number],$A403,tbl_WIP[Month],"&lt;&gt;",tbl_WIP[Month],"&lt;"&amp;$C$4,tbl_WIP[Defer Start],"")+SUMIF('Deferred Revenue'!$E$6:$E$607,$A403,'Deferred Revenue'!$P$6:$P$607)</f>
        <v/>
      </c>
      <c r="D403" s="43">
        <f>SUMIFS(tbl_WIP[Amount],tbl_WIP[Job Number],$A403,tbl_WIP[Month],$C$4,tbl_WIP[Defer Start],"")+SUMIF('Deferred Revenue'!$E$6:$E$607,$A403,'Deferred Revenue'!$Q$6:$Q$607)</f>
        <v/>
      </c>
      <c r="E403" s="43">
        <f>C403+D403</f>
        <v/>
      </c>
      <c r="F403" s="50">
        <f>IF(ROUND(C403,2)+ROUND(D403,2)=0,"","yes")</f>
        <v/>
      </c>
      <c r="G403" s="63" t="n"/>
      <c r="H403" s="43">
        <f>IF($G403="","",$E403-$G403)</f>
        <v/>
      </c>
    </row>
    <row r="404">
      <c r="A404" s="62" t="inlineStr">
        <is>
          <t>9101</t>
        </is>
      </c>
      <c r="B404" s="62" t="inlineStr">
        <is>
          <t>PRODUCTION - Orientation</t>
        </is>
      </c>
      <c r="C404" s="43">
        <f>SUMIFS(tbl_WIP[Amount],tbl_WIP[Job Number],$A404,tbl_WIP[Month],"&lt;&gt;",tbl_WIP[Month],"&lt;"&amp;$C$4,tbl_WIP[Defer Start],"")+SUMIF('Deferred Revenue'!$E$6:$E$607,$A404,'Deferred Revenue'!$P$6:$P$607)</f>
        <v/>
      </c>
      <c r="D404" s="43">
        <f>SUMIFS(tbl_WIP[Amount],tbl_WIP[Job Number],$A404,tbl_WIP[Month],$C$4,tbl_WIP[Defer Start],"")+SUMIF('Deferred Revenue'!$E$6:$E$607,$A404,'Deferred Revenue'!$Q$6:$Q$607)</f>
        <v/>
      </c>
      <c r="E404" s="43">
        <f>C404+D404</f>
        <v/>
      </c>
      <c r="F404" s="50">
        <f>IF(ROUND(C404,2)+ROUND(D404,2)=0,"","yes")</f>
        <v/>
      </c>
      <c r="G404" s="63" t="n"/>
      <c r="H404" s="43">
        <f>IF($G404="","",$E404-$G404)</f>
        <v/>
      </c>
    </row>
    <row r="405">
      <c r="A405" s="62" t="inlineStr">
        <is>
          <t>9102</t>
        </is>
      </c>
      <c r="B405" s="62" t="inlineStr">
        <is>
          <t>Production - Training</t>
        </is>
      </c>
      <c r="C405" s="43">
        <f>SUMIFS(tbl_WIP[Amount],tbl_WIP[Job Number],$A405,tbl_WIP[Month],"&lt;&gt;",tbl_WIP[Month],"&lt;"&amp;$C$4,tbl_WIP[Defer Start],"")+SUMIF('Deferred Revenue'!$E$6:$E$607,$A405,'Deferred Revenue'!$P$6:$P$607)</f>
        <v/>
      </c>
      <c r="D405" s="43">
        <f>SUMIFS(tbl_WIP[Amount],tbl_WIP[Job Number],$A405,tbl_WIP[Month],$C$4,tbl_WIP[Defer Start],"")+SUMIF('Deferred Revenue'!$E$6:$E$607,$A405,'Deferred Revenue'!$Q$6:$Q$607)</f>
        <v/>
      </c>
      <c r="E405" s="43">
        <f>C405+D405</f>
        <v/>
      </c>
      <c r="F405" s="50">
        <f>IF(ROUND(C405,2)+ROUND(D405,2)=0,"","yes")</f>
        <v/>
      </c>
      <c r="G405" s="63" t="n"/>
      <c r="H405" s="43">
        <f>IF($G405="","",$E405-$G405)</f>
        <v/>
      </c>
    </row>
    <row r="406">
      <c r="A406" s="62" t="inlineStr">
        <is>
          <t>9105</t>
        </is>
      </c>
      <c r="B406" s="62" t="inlineStr">
        <is>
          <t>ONSITE (including PROD backup)</t>
        </is>
      </c>
      <c r="C406" s="43">
        <f>SUMIFS(tbl_WIP[Amount],tbl_WIP[Job Number],$A406,tbl_WIP[Month],"&lt;&gt;",tbl_WIP[Month],"&lt;"&amp;$C$4,tbl_WIP[Defer Start],"")+SUMIF('Deferred Revenue'!$E$6:$E$607,$A406,'Deferred Revenue'!$P$6:$P$607)</f>
        <v/>
      </c>
      <c r="D406" s="43">
        <f>SUMIFS(tbl_WIP[Amount],tbl_WIP[Job Number],$A406,tbl_WIP[Month],$C$4,tbl_WIP[Defer Start],"")+SUMIF('Deferred Revenue'!$E$6:$E$607,$A406,'Deferred Revenue'!$Q$6:$Q$607)</f>
        <v/>
      </c>
      <c r="E406" s="43">
        <f>C406+D406</f>
        <v/>
      </c>
      <c r="F406" s="50">
        <f>IF(ROUND(C406,2)+ROUND(D406,2)=0,"","yes")</f>
        <v/>
      </c>
      <c r="G406" s="63" t="n"/>
      <c r="H406" s="43">
        <f>IF($G406="","",$E406-$G406)</f>
        <v/>
      </c>
    </row>
    <row r="407">
      <c r="A407" s="62" t="inlineStr">
        <is>
          <t>9106</t>
        </is>
      </c>
      <c r="B407" s="62" t="inlineStr">
        <is>
          <t>ONSITE - Orientation</t>
        </is>
      </c>
      <c r="C407" s="43">
        <f>SUMIFS(tbl_WIP[Amount],tbl_WIP[Job Number],$A407,tbl_WIP[Month],"&lt;&gt;",tbl_WIP[Month],"&lt;"&amp;$C$4,tbl_WIP[Defer Start],"")+SUMIF('Deferred Revenue'!$E$6:$E$607,$A407,'Deferred Revenue'!$P$6:$P$607)</f>
        <v/>
      </c>
      <c r="D407" s="43">
        <f>SUMIFS(tbl_WIP[Amount],tbl_WIP[Job Number],$A407,tbl_WIP[Month],$C$4,tbl_WIP[Defer Start],"")+SUMIF('Deferred Revenue'!$E$6:$E$607,$A407,'Deferred Revenue'!$Q$6:$Q$607)</f>
        <v/>
      </c>
      <c r="E407" s="43">
        <f>C407+D407</f>
        <v/>
      </c>
      <c r="F407" s="50">
        <f>IF(ROUND(C407,2)+ROUND(D407,2)=0,"","yes")</f>
        <v/>
      </c>
      <c r="G407" s="63" t="n"/>
      <c r="H407" s="43">
        <f>IF($G407="","",$E407-$G407)</f>
        <v/>
      </c>
    </row>
    <row r="408">
      <c r="A408" s="62" t="inlineStr">
        <is>
          <t>9107</t>
        </is>
      </c>
      <c r="B408" s="62" t="inlineStr">
        <is>
          <t>ONSITE - Assets</t>
        </is>
      </c>
      <c r="C408" s="43">
        <f>SUMIFS(tbl_WIP[Amount],tbl_WIP[Job Number],$A408,tbl_WIP[Month],"&lt;&gt;",tbl_WIP[Month],"&lt;"&amp;$C$4,tbl_WIP[Defer Start],"")+SUMIF('Deferred Revenue'!$E$6:$E$607,$A408,'Deferred Revenue'!$P$6:$P$607)</f>
        <v/>
      </c>
      <c r="D408" s="43">
        <f>SUMIFS(tbl_WIP[Amount],tbl_WIP[Job Number],$A408,tbl_WIP[Month],$C$4,tbl_WIP[Defer Start],"")+SUMIF('Deferred Revenue'!$E$6:$E$607,$A408,'Deferred Revenue'!$Q$6:$Q$607)</f>
        <v/>
      </c>
      <c r="E408" s="43">
        <f>C408+D408</f>
        <v/>
      </c>
      <c r="F408" s="50">
        <f>IF(ROUND(C408,2)+ROUND(D408,2)=0,"","yes")</f>
        <v/>
      </c>
      <c r="G408" s="63" t="n"/>
      <c r="H408" s="43">
        <f>IF($G408="","",$E408-$G408)</f>
        <v/>
      </c>
    </row>
    <row r="409">
      <c r="A409" s="62" t="inlineStr">
        <is>
          <t>9108</t>
        </is>
      </c>
      <c r="B409" s="62" t="inlineStr">
        <is>
          <t>ONSITE - Sales</t>
        </is>
      </c>
      <c r="C409" s="43">
        <f>SUMIFS(tbl_WIP[Amount],tbl_WIP[Job Number],$A409,tbl_WIP[Month],"&lt;&gt;",tbl_WIP[Month],"&lt;"&amp;$C$4,tbl_WIP[Defer Start],"")+SUMIF('Deferred Revenue'!$E$6:$E$607,$A409,'Deferred Revenue'!$P$6:$P$607)</f>
        <v/>
      </c>
      <c r="D409" s="43">
        <f>SUMIFS(tbl_WIP[Amount],tbl_WIP[Job Number],$A409,tbl_WIP[Month],$C$4,tbl_WIP[Defer Start],"")+SUMIF('Deferred Revenue'!$E$6:$E$607,$A409,'Deferred Revenue'!$Q$6:$Q$607)</f>
        <v/>
      </c>
      <c r="E409" s="43">
        <f>C409+D409</f>
        <v/>
      </c>
      <c r="F409" s="50">
        <f>IF(ROUND(C409,2)+ROUND(D409,2)=0,"","yes")</f>
        <v/>
      </c>
      <c r="G409" s="63" t="n"/>
      <c r="H409" s="43">
        <f>IF($G409="","",$E409-$G409)</f>
        <v/>
      </c>
    </row>
    <row r="410">
      <c r="A410" s="62" t="inlineStr">
        <is>
          <t>9109</t>
        </is>
      </c>
      <c r="B410" s="62" t="inlineStr">
        <is>
          <t>ONSITE - Marketing</t>
        </is>
      </c>
      <c r="C410" s="43">
        <f>SUMIFS(tbl_WIP[Amount],tbl_WIP[Job Number],$A410,tbl_WIP[Month],"&lt;&gt;",tbl_WIP[Month],"&lt;"&amp;$C$4,tbl_WIP[Defer Start],"")+SUMIF('Deferred Revenue'!$E$6:$E$607,$A410,'Deferred Revenue'!$P$6:$P$607)</f>
        <v/>
      </c>
      <c r="D410" s="43">
        <f>SUMIFS(tbl_WIP[Amount],tbl_WIP[Job Number],$A410,tbl_WIP[Month],$C$4,tbl_WIP[Defer Start],"")+SUMIF('Deferred Revenue'!$E$6:$E$607,$A410,'Deferred Revenue'!$Q$6:$Q$607)</f>
        <v/>
      </c>
      <c r="E410" s="43">
        <f>C410+D410</f>
        <v/>
      </c>
      <c r="F410" s="50">
        <f>IF(ROUND(C410,2)+ROUND(D410,2)=0,"","yes")</f>
        <v/>
      </c>
      <c r="G410" s="63" t="n"/>
      <c r="H410" s="43">
        <f>IF($G410="","",$E410-$G410)</f>
        <v/>
      </c>
    </row>
    <row r="411">
      <c r="A411" s="62" t="inlineStr">
        <is>
          <t>9125</t>
        </is>
      </c>
      <c r="B411" s="62" t="inlineStr">
        <is>
          <t>VIDEO DEPT</t>
        </is>
      </c>
      <c r="C411" s="43">
        <f>SUMIFS(tbl_WIP[Amount],tbl_WIP[Job Number],$A411,tbl_WIP[Month],"&lt;&gt;",tbl_WIP[Month],"&lt;"&amp;$C$4,tbl_WIP[Defer Start],"")+SUMIF('Deferred Revenue'!$E$6:$E$607,$A411,'Deferred Revenue'!$P$6:$P$607)</f>
        <v/>
      </c>
      <c r="D411" s="43">
        <f>SUMIFS(tbl_WIP[Amount],tbl_WIP[Job Number],$A411,tbl_WIP[Month],$C$4,tbl_WIP[Defer Start],"")+SUMIF('Deferred Revenue'!$E$6:$E$607,$A411,'Deferred Revenue'!$Q$6:$Q$607)</f>
        <v/>
      </c>
      <c r="E411" s="43">
        <f>C411+D411</f>
        <v/>
      </c>
      <c r="F411" s="50">
        <f>IF(ROUND(C411,2)+ROUND(D411,2)=0,"","yes")</f>
        <v/>
      </c>
      <c r="G411" s="63" t="n"/>
      <c r="H411" s="43">
        <f>IF($G411="","",$E411-$G411)</f>
        <v/>
      </c>
    </row>
    <row r="412">
      <c r="A412" s="62" t="inlineStr">
        <is>
          <t>9126</t>
        </is>
      </c>
      <c r="B412" s="62" t="inlineStr">
        <is>
          <t>VIDEO - Orientation</t>
        </is>
      </c>
      <c r="C412" s="43">
        <f>SUMIFS(tbl_WIP[Amount],tbl_WIP[Job Number],$A412,tbl_WIP[Month],"&lt;&gt;",tbl_WIP[Month],"&lt;"&amp;$C$4,tbl_WIP[Defer Start],"")+SUMIF('Deferred Revenue'!$E$6:$E$607,$A412,'Deferred Revenue'!$P$6:$P$607)</f>
        <v/>
      </c>
      <c r="D412" s="43">
        <f>SUMIFS(tbl_WIP[Amount],tbl_WIP[Job Number],$A412,tbl_WIP[Month],$C$4,tbl_WIP[Defer Start],"")+SUMIF('Deferred Revenue'!$E$6:$E$607,$A412,'Deferred Revenue'!$Q$6:$Q$607)</f>
        <v/>
      </c>
      <c r="E412" s="43">
        <f>C412+D412</f>
        <v/>
      </c>
      <c r="F412" s="50">
        <f>IF(ROUND(C412,2)+ROUND(D412,2)=0,"","yes")</f>
        <v/>
      </c>
      <c r="G412" s="63" t="n"/>
      <c r="H412" s="43">
        <f>IF($G412="","",$E412-$G412)</f>
        <v/>
      </c>
    </row>
    <row r="413">
      <c r="A413" s="62" t="inlineStr">
        <is>
          <t>9127</t>
        </is>
      </c>
      <c r="B413" s="62" t="inlineStr">
        <is>
          <t>VIDEO - Assets</t>
        </is>
      </c>
      <c r="C413" s="43">
        <f>SUMIFS(tbl_WIP[Amount],tbl_WIP[Job Number],$A413,tbl_WIP[Month],"&lt;&gt;",tbl_WIP[Month],"&lt;"&amp;$C$4,tbl_WIP[Defer Start],"")+SUMIF('Deferred Revenue'!$E$6:$E$607,$A413,'Deferred Revenue'!$P$6:$P$607)</f>
        <v/>
      </c>
      <c r="D413" s="43">
        <f>SUMIFS(tbl_WIP[Amount],tbl_WIP[Job Number],$A413,tbl_WIP[Month],$C$4,tbl_WIP[Defer Start],"")+SUMIF('Deferred Revenue'!$E$6:$E$607,$A413,'Deferred Revenue'!$Q$6:$Q$607)</f>
        <v/>
      </c>
      <c r="E413" s="43">
        <f>C413+D413</f>
        <v/>
      </c>
      <c r="F413" s="50">
        <f>IF(ROUND(C413,2)+ROUND(D413,2)=0,"","yes")</f>
        <v/>
      </c>
      <c r="G413" s="63" t="n"/>
      <c r="H413" s="43">
        <f>IF($G413="","",$E413-$G413)</f>
        <v/>
      </c>
    </row>
    <row r="414">
      <c r="A414" s="62" t="inlineStr">
        <is>
          <t>9128</t>
        </is>
      </c>
      <c r="B414" s="62" t="inlineStr">
        <is>
          <t>VIDEO - Sales</t>
        </is>
      </c>
      <c r="C414" s="43">
        <f>SUMIFS(tbl_WIP[Amount],tbl_WIP[Job Number],$A414,tbl_WIP[Month],"&lt;&gt;",tbl_WIP[Month],"&lt;"&amp;$C$4,tbl_WIP[Defer Start],"")+SUMIF('Deferred Revenue'!$E$6:$E$607,$A414,'Deferred Revenue'!$P$6:$P$607)</f>
        <v/>
      </c>
      <c r="D414" s="43">
        <f>SUMIFS(tbl_WIP[Amount],tbl_WIP[Job Number],$A414,tbl_WIP[Month],$C$4,tbl_WIP[Defer Start],"")+SUMIF('Deferred Revenue'!$E$6:$E$607,$A414,'Deferred Revenue'!$Q$6:$Q$607)</f>
        <v/>
      </c>
      <c r="E414" s="43">
        <f>C414+D414</f>
        <v/>
      </c>
      <c r="F414" s="50">
        <f>IF(ROUND(C414,2)+ROUND(D414,2)=0,"","yes")</f>
        <v/>
      </c>
      <c r="G414" s="63" t="n"/>
      <c r="H414" s="43">
        <f>IF($G414="","",$E414-$G414)</f>
        <v/>
      </c>
    </row>
    <row r="415">
      <c r="A415" s="62" t="inlineStr">
        <is>
          <t>9129</t>
        </is>
      </c>
      <c r="B415" s="62" t="inlineStr">
        <is>
          <t>VIDEO - Marketing</t>
        </is>
      </c>
      <c r="C415" s="43">
        <f>SUMIFS(tbl_WIP[Amount],tbl_WIP[Job Number],$A415,tbl_WIP[Month],"&lt;&gt;",tbl_WIP[Month],"&lt;"&amp;$C$4,tbl_WIP[Defer Start],"")+SUMIF('Deferred Revenue'!$E$6:$E$607,$A415,'Deferred Revenue'!$P$6:$P$607)</f>
        <v/>
      </c>
      <c r="D415" s="43">
        <f>SUMIFS(tbl_WIP[Amount],tbl_WIP[Job Number],$A415,tbl_WIP[Month],$C$4,tbl_WIP[Defer Start],"")+SUMIF('Deferred Revenue'!$E$6:$E$607,$A415,'Deferred Revenue'!$Q$6:$Q$607)</f>
        <v/>
      </c>
      <c r="E415" s="43">
        <f>C415+D415</f>
        <v/>
      </c>
      <c r="F415" s="50">
        <f>IF(ROUND(C415,2)+ROUND(D415,2)=0,"","yes")</f>
        <v/>
      </c>
      <c r="G415" s="63" t="n"/>
      <c r="H415" s="43">
        <f>IF($G415="","",$E415-$G415)</f>
        <v/>
      </c>
    </row>
    <row r="416">
      <c r="A416" s="62" t="inlineStr">
        <is>
          <t>9150</t>
        </is>
      </c>
      <c r="B416" s="62" t="inlineStr">
        <is>
          <t>PRODUCTION - Assets</t>
        </is>
      </c>
      <c r="C416" s="43">
        <f>SUMIFS(tbl_WIP[Amount],tbl_WIP[Job Number],$A416,tbl_WIP[Month],"&lt;&gt;",tbl_WIP[Month],"&lt;"&amp;$C$4,tbl_WIP[Defer Start],"")+SUMIF('Deferred Revenue'!$E$6:$E$607,$A416,'Deferred Revenue'!$P$6:$P$607)</f>
        <v/>
      </c>
      <c r="D416" s="43">
        <f>SUMIFS(tbl_WIP[Amount],tbl_WIP[Job Number],$A416,tbl_WIP[Month],$C$4,tbl_WIP[Defer Start],"")+SUMIF('Deferred Revenue'!$E$6:$E$607,$A416,'Deferred Revenue'!$Q$6:$Q$607)</f>
        <v/>
      </c>
      <c r="E416" s="43">
        <f>C416+D416</f>
        <v/>
      </c>
      <c r="F416" s="50">
        <f>IF(ROUND(C416,2)+ROUND(D416,2)=0,"","yes")</f>
        <v/>
      </c>
      <c r="G416" s="63" t="n"/>
      <c r="H416" s="43">
        <f>IF($G416="","",$E416-$G416)</f>
        <v/>
      </c>
    </row>
    <row r="417">
      <c r="A417" s="62" t="inlineStr">
        <is>
          <t>9175</t>
        </is>
      </c>
      <c r="B417" s="62" t="inlineStr">
        <is>
          <t>PRODUCTION - Sales</t>
        </is>
      </c>
      <c r="C417" s="43">
        <f>SUMIFS(tbl_WIP[Amount],tbl_WIP[Job Number],$A417,tbl_WIP[Month],"&lt;&gt;",tbl_WIP[Month],"&lt;"&amp;$C$4,tbl_WIP[Defer Start],"")+SUMIF('Deferred Revenue'!$E$6:$E$607,$A417,'Deferred Revenue'!$P$6:$P$607)</f>
        <v/>
      </c>
      <c r="D417" s="43">
        <f>SUMIFS(tbl_WIP[Amount],tbl_WIP[Job Number],$A417,tbl_WIP[Month],$C$4,tbl_WIP[Defer Start],"")+SUMIF('Deferred Revenue'!$E$6:$E$607,$A417,'Deferred Revenue'!$Q$6:$Q$607)</f>
        <v/>
      </c>
      <c r="E417" s="43">
        <f>C417+D417</f>
        <v/>
      </c>
      <c r="F417" s="50">
        <f>IF(ROUND(C417,2)+ROUND(D417,2)=0,"","yes")</f>
        <v/>
      </c>
      <c r="G417" s="63" t="n"/>
      <c r="H417" s="43">
        <f>IF($G417="","",$E417-$G417)</f>
        <v/>
      </c>
    </row>
    <row r="418">
      <c r="A418" s="62" t="inlineStr">
        <is>
          <t>9176</t>
        </is>
      </c>
      <c r="B418" s="62" t="inlineStr">
        <is>
          <t>Production - Marketing</t>
        </is>
      </c>
      <c r="C418" s="43">
        <f>SUMIFS(tbl_WIP[Amount],tbl_WIP[Job Number],$A418,tbl_WIP[Month],"&lt;&gt;",tbl_WIP[Month],"&lt;"&amp;$C$4,tbl_WIP[Defer Start],"")+SUMIF('Deferred Revenue'!$E$6:$E$607,$A418,'Deferred Revenue'!$P$6:$P$607)</f>
        <v/>
      </c>
      <c r="D418" s="43">
        <f>SUMIFS(tbl_WIP[Amount],tbl_WIP[Job Number],$A418,tbl_WIP[Month],$C$4,tbl_WIP[Defer Start],"")+SUMIF('Deferred Revenue'!$E$6:$E$607,$A418,'Deferred Revenue'!$Q$6:$Q$607)</f>
        <v/>
      </c>
      <c r="E418" s="43">
        <f>C418+D418</f>
        <v/>
      </c>
      <c r="F418" s="50">
        <f>IF(ROUND(C418,2)+ROUND(D418,2)=0,"","yes")</f>
        <v/>
      </c>
      <c r="G418" s="63" t="n"/>
      <c r="H418" s="43">
        <f>IF($G418="","",$E418-$G418)</f>
        <v/>
      </c>
    </row>
    <row r="419">
      <c r="A419" s="62" t="inlineStr">
        <is>
          <t>9178</t>
        </is>
      </c>
      <c r="B419" s="62" t="inlineStr">
        <is>
          <t>Production – Webcasts</t>
        </is>
      </c>
      <c r="C419" s="43">
        <f>SUMIFS(tbl_WIP[Amount],tbl_WIP[Job Number],$A419,tbl_WIP[Month],"&lt;&gt;",tbl_WIP[Month],"&lt;"&amp;$C$4,tbl_WIP[Defer Start],"")+SUMIF('Deferred Revenue'!$E$6:$E$607,$A419,'Deferred Revenue'!$P$6:$P$607)</f>
        <v/>
      </c>
      <c r="D419" s="43">
        <f>SUMIFS(tbl_WIP[Amount],tbl_WIP[Job Number],$A419,tbl_WIP[Month],$C$4,tbl_WIP[Defer Start],"")+SUMIF('Deferred Revenue'!$E$6:$E$607,$A419,'Deferred Revenue'!$Q$6:$Q$607)</f>
        <v/>
      </c>
      <c r="E419" s="43">
        <f>C419+D419</f>
        <v/>
      </c>
      <c r="F419" s="50">
        <f>IF(ROUND(C419,2)+ROUND(D419,2)=0,"","yes")</f>
        <v/>
      </c>
      <c r="G419" s="63" t="n"/>
      <c r="H419" s="43">
        <f>IF($G419="","",$E419-$G419)</f>
        <v/>
      </c>
    </row>
    <row r="420">
      <c r="A420" s="62" t="inlineStr">
        <is>
          <t>9200</t>
        </is>
      </c>
      <c r="B420" s="62" t="inlineStr">
        <is>
          <t>INTEGRATION</t>
        </is>
      </c>
      <c r="C420" s="43">
        <f>SUMIFS(tbl_WIP[Amount],tbl_WIP[Job Number],$A420,tbl_WIP[Month],"&lt;&gt;",tbl_WIP[Month],"&lt;"&amp;$C$4,tbl_WIP[Defer Start],"")+SUMIF('Deferred Revenue'!$E$6:$E$607,$A420,'Deferred Revenue'!$P$6:$P$607)</f>
        <v/>
      </c>
      <c r="D420" s="43">
        <f>SUMIFS(tbl_WIP[Amount],tbl_WIP[Job Number],$A420,tbl_WIP[Month],$C$4,tbl_WIP[Defer Start],"")+SUMIF('Deferred Revenue'!$E$6:$E$607,$A420,'Deferred Revenue'!$Q$6:$Q$607)</f>
        <v/>
      </c>
      <c r="E420" s="43">
        <f>C420+D420</f>
        <v/>
      </c>
      <c r="F420" s="50">
        <f>IF(ROUND(C420,2)+ROUND(D420,2)=0,"","yes")</f>
        <v/>
      </c>
      <c r="G420" s="63" t="n"/>
      <c r="H420" s="43">
        <f>IF($G420="","",$E420-$G420)</f>
        <v/>
      </c>
    </row>
    <row r="421">
      <c r="A421" s="62" t="inlineStr">
        <is>
          <t>9201</t>
        </is>
      </c>
      <c r="B421" s="62" t="inlineStr">
        <is>
          <t>INTEGRATION - Orientation [INT</t>
        </is>
      </c>
      <c r="C421" s="43">
        <f>SUMIFS(tbl_WIP[Amount],tbl_WIP[Job Number],$A421,tbl_WIP[Month],"&lt;&gt;",tbl_WIP[Month],"&lt;"&amp;$C$4,tbl_WIP[Defer Start],"")+SUMIF('Deferred Revenue'!$E$6:$E$607,$A421,'Deferred Revenue'!$P$6:$P$607)</f>
        <v/>
      </c>
      <c r="D421" s="43">
        <f>SUMIFS(tbl_WIP[Amount],tbl_WIP[Job Number],$A421,tbl_WIP[Month],$C$4,tbl_WIP[Defer Start],"")+SUMIF('Deferred Revenue'!$E$6:$E$607,$A421,'Deferred Revenue'!$Q$6:$Q$607)</f>
        <v/>
      </c>
      <c r="E421" s="43">
        <f>C421+D421</f>
        <v/>
      </c>
      <c r="F421" s="50">
        <f>IF(ROUND(C421,2)+ROUND(D421,2)=0,"","yes")</f>
        <v/>
      </c>
      <c r="G421" s="63" t="n"/>
      <c r="H421" s="43">
        <f>IF($G421="","",$E421-$G421)</f>
        <v/>
      </c>
    </row>
    <row r="422">
      <c r="A422" s="62" t="inlineStr">
        <is>
          <t>9202</t>
        </is>
      </c>
      <c r="B422" s="62" t="inlineStr">
        <is>
          <t>INTEGRATION - Quotes</t>
        </is>
      </c>
      <c r="C422" s="43">
        <f>SUMIFS(tbl_WIP[Amount],tbl_WIP[Job Number],$A422,tbl_WIP[Month],"&lt;&gt;",tbl_WIP[Month],"&lt;"&amp;$C$4,tbl_WIP[Defer Start],"")+SUMIF('Deferred Revenue'!$E$6:$E$607,$A422,'Deferred Revenue'!$P$6:$P$607)</f>
        <v/>
      </c>
      <c r="D422" s="43">
        <f>SUMIFS(tbl_WIP[Amount],tbl_WIP[Job Number],$A422,tbl_WIP[Month],$C$4,tbl_WIP[Defer Start],"")+SUMIF('Deferred Revenue'!$E$6:$E$607,$A422,'Deferred Revenue'!$Q$6:$Q$607)</f>
        <v/>
      </c>
      <c r="E422" s="43">
        <f>C422+D422</f>
        <v/>
      </c>
      <c r="F422" s="50">
        <f>IF(ROUND(C422,2)+ROUND(D422,2)=0,"","yes")</f>
        <v/>
      </c>
      <c r="G422" s="63" t="n"/>
      <c r="H422" s="43">
        <f>IF($G422="","",$E422-$G422)</f>
        <v/>
      </c>
    </row>
    <row r="423">
      <c r="A423" s="62" t="inlineStr">
        <is>
          <t>9225</t>
        </is>
      </c>
      <c r="B423" s="62" t="inlineStr">
        <is>
          <t>Integration - SALES</t>
        </is>
      </c>
      <c r="C423" s="43">
        <f>SUMIFS(tbl_WIP[Amount],tbl_WIP[Job Number],$A423,tbl_WIP[Month],"&lt;&gt;",tbl_WIP[Month],"&lt;"&amp;$C$4,tbl_WIP[Defer Start],"")+SUMIF('Deferred Revenue'!$E$6:$E$607,$A423,'Deferred Revenue'!$P$6:$P$607)</f>
        <v/>
      </c>
      <c r="D423" s="43">
        <f>SUMIFS(tbl_WIP[Amount],tbl_WIP[Job Number],$A423,tbl_WIP[Month],$C$4,tbl_WIP[Defer Start],"")+SUMIF('Deferred Revenue'!$E$6:$E$607,$A423,'Deferred Revenue'!$Q$6:$Q$607)</f>
        <v/>
      </c>
      <c r="E423" s="43">
        <f>C423+D423</f>
        <v/>
      </c>
      <c r="F423" s="50">
        <f>IF(ROUND(C423,2)+ROUND(D423,2)=0,"","yes")</f>
        <v/>
      </c>
      <c r="G423" s="63" t="n"/>
      <c r="H423" s="43">
        <f>IF($G423="","",$E423-$G423)</f>
        <v/>
      </c>
    </row>
    <row r="424">
      <c r="A424" s="62" t="inlineStr">
        <is>
          <t>9226</t>
        </is>
      </c>
      <c r="B424" s="62" t="inlineStr">
        <is>
          <t>Integration - Marketing</t>
        </is>
      </c>
      <c r="C424" s="43">
        <f>SUMIFS(tbl_WIP[Amount],tbl_WIP[Job Number],$A424,tbl_WIP[Month],"&lt;&gt;",tbl_WIP[Month],"&lt;"&amp;$C$4,tbl_WIP[Defer Start],"")+SUMIF('Deferred Revenue'!$E$6:$E$607,$A424,'Deferred Revenue'!$P$6:$P$607)</f>
        <v/>
      </c>
      <c r="D424" s="43">
        <f>SUMIFS(tbl_WIP[Amount],tbl_WIP[Job Number],$A424,tbl_WIP[Month],$C$4,tbl_WIP[Defer Start],"")+SUMIF('Deferred Revenue'!$E$6:$E$607,$A424,'Deferred Revenue'!$Q$6:$Q$607)</f>
        <v/>
      </c>
      <c r="E424" s="43">
        <f>C424+D424</f>
        <v/>
      </c>
      <c r="F424" s="50">
        <f>IF(ROUND(C424,2)+ROUND(D424,2)=0,"","yes")</f>
        <v/>
      </c>
      <c r="G424" s="63" t="n"/>
      <c r="H424" s="43">
        <f>IF($G424="","",$E424-$G424)</f>
        <v/>
      </c>
    </row>
    <row r="425">
      <c r="A425" s="62" t="inlineStr">
        <is>
          <t>9300</t>
        </is>
      </c>
      <c r="B425" s="62" t="inlineStr">
        <is>
          <t>HUMAN RESOURCES</t>
        </is>
      </c>
      <c r="C425" s="43">
        <f>SUMIFS(tbl_WIP[Amount],tbl_WIP[Job Number],$A425,tbl_WIP[Month],"&lt;&gt;",tbl_WIP[Month],"&lt;"&amp;$C$4,tbl_WIP[Defer Start],"")+SUMIF('Deferred Revenue'!$E$6:$E$607,$A425,'Deferred Revenue'!$P$6:$P$607)</f>
        <v/>
      </c>
      <c r="D425" s="43">
        <f>SUMIFS(tbl_WIP[Amount],tbl_WIP[Job Number],$A425,tbl_WIP[Month],$C$4,tbl_WIP[Defer Start],"")+SUMIF('Deferred Revenue'!$E$6:$E$607,$A425,'Deferred Revenue'!$Q$6:$Q$607)</f>
        <v/>
      </c>
      <c r="E425" s="43">
        <f>C425+D425</f>
        <v/>
      </c>
      <c r="F425" s="50">
        <f>IF(ROUND(C425,2)+ROUND(D425,2)=0,"","yes")</f>
        <v/>
      </c>
      <c r="G425" s="63" t="n"/>
      <c r="H425" s="43">
        <f>IF($G425="","",$E425-$G425)</f>
        <v/>
      </c>
    </row>
    <row r="426">
      <c r="A426" s="62" t="inlineStr">
        <is>
          <t>9301</t>
        </is>
      </c>
      <c r="B426" s="62" t="inlineStr">
        <is>
          <t>Recruitment</t>
        </is>
      </c>
      <c r="C426" s="43">
        <f>SUMIFS(tbl_WIP[Amount],tbl_WIP[Job Number],$A426,tbl_WIP[Month],"&lt;&gt;",tbl_WIP[Month],"&lt;"&amp;$C$4,tbl_WIP[Defer Start],"")+SUMIF('Deferred Revenue'!$E$6:$E$607,$A426,'Deferred Revenue'!$P$6:$P$607)</f>
        <v/>
      </c>
      <c r="D426" s="43">
        <f>SUMIFS(tbl_WIP[Amount],tbl_WIP[Job Number],$A426,tbl_WIP[Month],$C$4,tbl_WIP[Defer Start],"")+SUMIF('Deferred Revenue'!$E$6:$E$607,$A426,'Deferred Revenue'!$Q$6:$Q$607)</f>
        <v/>
      </c>
      <c r="E426" s="43">
        <f>C426+D426</f>
        <v/>
      </c>
      <c r="F426" s="50">
        <f>IF(ROUND(C426,2)+ROUND(D426,2)=0,"","yes")</f>
        <v/>
      </c>
      <c r="G426" s="63" t="n"/>
      <c r="H426" s="43">
        <f>IF($G426="","",$E426-$G426)</f>
        <v/>
      </c>
    </row>
    <row r="427">
      <c r="A427" s="62" t="inlineStr">
        <is>
          <t>9350</t>
        </is>
      </c>
      <c r="B427" s="62" t="inlineStr">
        <is>
          <t>MARKETING (external)</t>
        </is>
      </c>
      <c r="C427" s="43">
        <f>SUMIFS(tbl_WIP[Amount],tbl_WIP[Job Number],$A427,tbl_WIP[Month],"&lt;&gt;",tbl_WIP[Month],"&lt;"&amp;$C$4,tbl_WIP[Defer Start],"")+SUMIF('Deferred Revenue'!$E$6:$E$607,$A427,'Deferred Revenue'!$P$6:$P$607)</f>
        <v/>
      </c>
      <c r="D427" s="43">
        <f>SUMIFS(tbl_WIP[Amount],tbl_WIP[Job Number],$A427,tbl_WIP[Month],$C$4,tbl_WIP[Defer Start],"")+SUMIF('Deferred Revenue'!$E$6:$E$607,$A427,'Deferred Revenue'!$Q$6:$Q$607)</f>
        <v/>
      </c>
      <c r="E427" s="43">
        <f>C427+D427</f>
        <v/>
      </c>
      <c r="F427" s="50">
        <f>IF(ROUND(C427,2)+ROUND(D427,2)=0,"","yes")</f>
        <v/>
      </c>
      <c r="G427" s="63" t="n"/>
      <c r="H427" s="43">
        <f>IF($G427="","",$E427-$G427)</f>
        <v/>
      </c>
    </row>
    <row r="428">
      <c r="A428" s="62" t="inlineStr">
        <is>
          <t>9375</t>
        </is>
      </c>
      <c r="B428" s="62" t="inlineStr">
        <is>
          <t>MARKETING / COMMS</t>
        </is>
      </c>
      <c r="C428" s="43">
        <f>SUMIFS(tbl_WIP[Amount],tbl_WIP[Job Number],$A428,tbl_WIP[Month],"&lt;&gt;",tbl_WIP[Month],"&lt;"&amp;$C$4,tbl_WIP[Defer Start],"")+SUMIF('Deferred Revenue'!$E$6:$E$607,$A428,'Deferred Revenue'!$P$6:$P$607)</f>
        <v/>
      </c>
      <c r="D428" s="43">
        <f>SUMIFS(tbl_WIP[Amount],tbl_WIP[Job Number],$A428,tbl_WIP[Month],$C$4,tbl_WIP[Defer Start],"")+SUMIF('Deferred Revenue'!$E$6:$E$607,$A428,'Deferred Revenue'!$Q$6:$Q$607)</f>
        <v/>
      </c>
      <c r="E428" s="43">
        <f>C428+D428</f>
        <v/>
      </c>
      <c r="F428" s="50">
        <f>IF(ROUND(C428,2)+ROUND(D428,2)=0,"","yes")</f>
        <v/>
      </c>
      <c r="G428" s="63" t="n"/>
      <c r="H428" s="43">
        <f>IF($G428="","",$E428-$G428)</f>
        <v/>
      </c>
    </row>
    <row r="429">
      <c r="A429" s="62" t="inlineStr">
        <is>
          <t>9400</t>
        </is>
      </c>
      <c r="B429" s="62" t="inlineStr">
        <is>
          <t>CONSULTING</t>
        </is>
      </c>
      <c r="C429" s="43">
        <f>SUMIFS(tbl_WIP[Amount],tbl_WIP[Job Number],$A429,tbl_WIP[Month],"&lt;&gt;",tbl_WIP[Month],"&lt;"&amp;$C$4,tbl_WIP[Defer Start],"")+SUMIF('Deferred Revenue'!$E$6:$E$607,$A429,'Deferred Revenue'!$P$6:$P$607)</f>
        <v/>
      </c>
      <c r="D429" s="43">
        <f>SUMIFS(tbl_WIP[Amount],tbl_WIP[Job Number],$A429,tbl_WIP[Month],$C$4,tbl_WIP[Defer Start],"")+SUMIF('Deferred Revenue'!$E$6:$E$607,$A429,'Deferred Revenue'!$Q$6:$Q$607)</f>
        <v/>
      </c>
      <c r="E429" s="43">
        <f>C429+D429</f>
        <v/>
      </c>
      <c r="F429" s="50">
        <f>IF(ROUND(C429,2)+ROUND(D429,2)=0,"","yes")</f>
        <v/>
      </c>
      <c r="G429" s="63" t="n"/>
      <c r="H429" s="43">
        <f>IF($G429="","",$E429-$G429)</f>
        <v/>
      </c>
    </row>
    <row r="430">
      <c r="A430" s="62" t="inlineStr">
        <is>
          <t>9402</t>
        </is>
      </c>
      <c r="B430" s="62" t="inlineStr">
        <is>
          <t>CONSULTING - Assets</t>
        </is>
      </c>
      <c r="C430" s="43">
        <f>SUMIFS(tbl_WIP[Amount],tbl_WIP[Job Number],$A430,tbl_WIP[Month],"&lt;&gt;",tbl_WIP[Month],"&lt;"&amp;$C$4,tbl_WIP[Defer Start],"")+SUMIF('Deferred Revenue'!$E$6:$E$607,$A430,'Deferred Revenue'!$P$6:$P$607)</f>
        <v/>
      </c>
      <c r="D430" s="43">
        <f>SUMIFS(tbl_WIP[Amount],tbl_WIP[Job Number],$A430,tbl_WIP[Month],$C$4,tbl_WIP[Defer Start],"")+SUMIF('Deferred Revenue'!$E$6:$E$607,$A430,'Deferred Revenue'!$Q$6:$Q$607)</f>
        <v/>
      </c>
      <c r="E430" s="43">
        <f>C430+D430</f>
        <v/>
      </c>
      <c r="F430" s="50">
        <f>IF(ROUND(C430,2)+ROUND(D430,2)=0,"","yes")</f>
        <v/>
      </c>
      <c r="G430" s="63" t="n"/>
      <c r="H430" s="43">
        <f>IF($G430="","",$E430-$G430)</f>
        <v/>
      </c>
    </row>
    <row r="431">
      <c r="A431" s="62" t="inlineStr">
        <is>
          <t>9403</t>
        </is>
      </c>
      <c r="B431" s="62" t="inlineStr">
        <is>
          <t>CONSULTING - Sales</t>
        </is>
      </c>
      <c r="C431" s="43">
        <f>SUMIFS(tbl_WIP[Amount],tbl_WIP[Job Number],$A431,tbl_WIP[Month],"&lt;&gt;",tbl_WIP[Month],"&lt;"&amp;$C$4,tbl_WIP[Defer Start],"")+SUMIF('Deferred Revenue'!$E$6:$E$607,$A431,'Deferred Revenue'!$P$6:$P$607)</f>
        <v/>
      </c>
      <c r="D431" s="43">
        <f>SUMIFS(tbl_WIP[Amount],tbl_WIP[Job Number],$A431,tbl_WIP[Month],$C$4,tbl_WIP[Defer Start],"")+SUMIF('Deferred Revenue'!$E$6:$E$607,$A431,'Deferred Revenue'!$Q$6:$Q$607)</f>
        <v/>
      </c>
      <c r="E431" s="43">
        <f>C431+D431</f>
        <v/>
      </c>
      <c r="F431" s="50">
        <f>IF(ROUND(C431,2)+ROUND(D431,2)=0,"","yes")</f>
        <v/>
      </c>
      <c r="G431" s="63" t="n"/>
      <c r="H431" s="43">
        <f>IF($G431="","",$E431-$G431)</f>
        <v/>
      </c>
    </row>
    <row r="432">
      <c r="A432" s="62" t="inlineStr">
        <is>
          <t>9405</t>
        </is>
      </c>
      <c r="B432" s="62" t="inlineStr">
        <is>
          <t>CONSULTING - Marketing</t>
        </is>
      </c>
      <c r="C432" s="43">
        <f>SUMIFS(tbl_WIP[Amount],tbl_WIP[Job Number],$A432,tbl_WIP[Month],"&lt;&gt;",tbl_WIP[Month],"&lt;"&amp;$C$4,tbl_WIP[Defer Start],"")+SUMIF('Deferred Revenue'!$E$6:$E$607,$A432,'Deferred Revenue'!$P$6:$P$607)</f>
        <v/>
      </c>
      <c r="D432" s="43">
        <f>SUMIFS(tbl_WIP[Amount],tbl_WIP[Job Number],$A432,tbl_WIP[Month],$C$4,tbl_WIP[Defer Start],"")+SUMIF('Deferred Revenue'!$E$6:$E$607,$A432,'Deferred Revenue'!$Q$6:$Q$607)</f>
        <v/>
      </c>
      <c r="E432" s="43">
        <f>C432+D432</f>
        <v/>
      </c>
      <c r="F432" s="50">
        <f>IF(ROUND(C432,2)+ROUND(D432,2)=0,"","yes")</f>
        <v/>
      </c>
      <c r="G432" s="63" t="n"/>
      <c r="H432" s="43">
        <f>IF($G432="","",$E432-$G432)</f>
        <v/>
      </c>
    </row>
    <row r="433">
      <c r="A433" s="62" t="inlineStr">
        <is>
          <t>9407</t>
        </is>
      </c>
      <c r="B433" s="62" t="inlineStr">
        <is>
          <t>CONSULTING - Training</t>
        </is>
      </c>
      <c r="C433" s="43">
        <f>SUMIFS(tbl_WIP[Amount],tbl_WIP[Job Number],$A433,tbl_WIP[Month],"&lt;&gt;",tbl_WIP[Month],"&lt;"&amp;$C$4,tbl_WIP[Defer Start],"")+SUMIF('Deferred Revenue'!$E$6:$E$607,$A433,'Deferred Revenue'!$P$6:$P$607)</f>
        <v/>
      </c>
      <c r="D433" s="43">
        <f>SUMIFS(tbl_WIP[Amount],tbl_WIP[Job Number],$A433,tbl_WIP[Month],$C$4,tbl_WIP[Defer Start],"")+SUMIF('Deferred Revenue'!$E$6:$E$607,$A433,'Deferred Revenue'!$Q$6:$Q$607)</f>
        <v/>
      </c>
      <c r="E433" s="43">
        <f>C433+D433</f>
        <v/>
      </c>
      <c r="F433" s="50">
        <f>IF(ROUND(C433,2)+ROUND(D433,2)=0,"","yes")</f>
        <v/>
      </c>
      <c r="G433" s="63" t="n"/>
      <c r="H433" s="43">
        <f>IF($G433="","",$E433-$G433)</f>
        <v/>
      </c>
    </row>
    <row r="434">
      <c r="A434" s="62" t="inlineStr">
        <is>
          <t>974</t>
        </is>
      </c>
      <c r="B434" s="62" t="inlineStr">
        <is>
          <t>DTTL 1300 Number</t>
        </is>
      </c>
      <c r="C434" s="43">
        <f>SUMIFS(tbl_WIP[Amount],tbl_WIP[Job Number],$A434,tbl_WIP[Month],"&lt;&gt;",tbl_WIP[Month],"&lt;"&amp;$C$4,tbl_WIP[Defer Start],"")+SUMIF('Deferred Revenue'!$E$6:$E$607,$A434,'Deferred Revenue'!$P$6:$P$607)</f>
        <v/>
      </c>
      <c r="D434" s="43">
        <f>SUMIFS(tbl_WIP[Amount],tbl_WIP[Job Number],$A434,tbl_WIP[Month],$C$4,tbl_WIP[Defer Start],"")+SUMIF('Deferred Revenue'!$E$6:$E$607,$A434,'Deferred Revenue'!$Q$6:$Q$607)</f>
        <v/>
      </c>
      <c r="E434" s="43">
        <f>C434+D434</f>
        <v/>
      </c>
      <c r="F434" s="50">
        <f>IF(ROUND(C434,2)+ROUND(D434,2)=0,"","yes")</f>
        <v/>
      </c>
      <c r="G434" s="63" t="n"/>
      <c r="H434" s="43">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T607"/>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 width="16" customWidth="1" min="19" max="19"/>
    <col width="11" customWidth="1" min="20" max="20"/>
  </cols>
  <sheetData>
    <row r="1" ht="24" customHeight="1">
      <c r="A1" s="18" t="inlineStr">
        <is>
          <t>Deferrals - revenue and cost, released automatically</t>
        </is>
      </c>
    </row>
    <row r="2" ht="16" customHeight="1">
      <c r="A2" s="2" t="inlineStr">
        <is>
          <t>Every line that carries a Defer Start and a Defer End - Finance invoices in the top block, WIP Movements rows in the block below it. The amount spreads evenly across those months and the WIP movement works itself out. Nothing is typed here.</t>
        </is>
      </c>
    </row>
    <row r="3" ht="6" customHeight="1">
      <c r="A3" s="30" t="inlineStr">
        <is>
          <t>Month</t>
        </is>
      </c>
      <c r="C3" s="60">
        <f>'Month-End'!C4</f>
        <v/>
      </c>
      <c r="D3" s="32" t="inlineStr">
        <is>
          <t>&lt;- set on the Month-End sheet</t>
        </is>
      </c>
    </row>
    <row r="5" ht="32" customHeight="1">
      <c r="A5" s="64" t="inlineStr">
        <is>
          <t>Line</t>
        </is>
      </c>
      <c r="B5" s="64" t="inlineStr">
        <is>
          <t>Date</t>
        </is>
      </c>
      <c r="C5" s="64" t="inlineStr">
        <is>
          <t>Xero Invoice No</t>
        </is>
      </c>
      <c r="D5" s="64" t="inlineStr">
        <is>
          <t>Client</t>
        </is>
      </c>
      <c r="E5" s="64" t="inlineStr">
        <is>
          <t>Job Number</t>
        </is>
      </c>
      <c r="F5" s="64" t="inlineStr">
        <is>
          <t>Cost Centre</t>
        </is>
      </c>
      <c r="G5" s="64" t="inlineStr">
        <is>
          <t>Ex GST</t>
        </is>
      </c>
      <c r="H5" s="64" t="inlineStr">
        <is>
          <t>Defer Start</t>
        </is>
      </c>
      <c r="I5" s="64" t="inlineStr">
        <is>
          <t>Defer End</t>
        </is>
      </c>
      <c r="J5" s="64" t="inlineStr">
        <is>
          <t>Months</t>
        </is>
      </c>
      <c r="K5" s="64" t="inlineStr">
        <is>
          <t>Per Month</t>
        </is>
      </c>
      <c r="L5" s="64" t="inlineStr">
        <is>
          <t>Recognised to date</t>
        </is>
      </c>
      <c r="M5" s="64" t="inlineStr">
        <is>
          <t>Recognised to prior</t>
        </is>
      </c>
      <c r="N5" s="64" t="inlineStr">
        <is>
          <t>Invoiced to date</t>
        </is>
      </c>
      <c r="O5" s="64" t="inlineStr">
        <is>
          <t>Invoiced to prior</t>
        </is>
      </c>
      <c r="P5" s="64" t="inlineStr">
        <is>
          <t>Opening WIP</t>
        </is>
      </c>
      <c r="Q5" s="64" t="inlineStr">
        <is>
          <t>Movement</t>
        </is>
      </c>
      <c r="R5" s="64" t="inlineStr">
        <is>
          <t>Closing WIP</t>
        </is>
      </c>
      <c r="S5" s="64" t="inlineStr">
        <is>
          <t>Source</t>
        </is>
      </c>
      <c r="T5" s="64" t="inlineStr">
        <is>
          <t>Rev/Cost</t>
        </is>
      </c>
    </row>
    <row r="6">
      <c r="A6" s="65">
        <f>ROW()-5</f>
        <v/>
      </c>
      <c r="B6" s="66">
        <f>IFERROR(INDEX(tbl_Finance[Date],$A6),"")</f>
        <v/>
      </c>
      <c r="C6" s="67">
        <f>IFERROR(INDEX(tbl_Finance[Xero Invoice No],$A6),"")</f>
        <v/>
      </c>
      <c r="D6" s="67">
        <f>IFERROR(INDEX(tbl_Finance[Client],$A6),"")</f>
        <v/>
      </c>
      <c r="E6" s="67">
        <f>IFERROR(INDEX(tbl_Finance[Job Number],$A6),"")</f>
        <v/>
      </c>
      <c r="F6" s="67">
        <f>IFERROR(INDEX(tbl_Finance[Cost Centre],$A6),"")</f>
        <v/>
      </c>
      <c r="G6" s="68">
        <f>IFERROR(INDEX(tbl_Finance[Ex GST],$A6),"")</f>
        <v/>
      </c>
      <c r="H6" s="66">
        <f>IFERROR(INDEX(tbl_Finance[Defer Start],$A6),"")</f>
        <v/>
      </c>
      <c r="I6" s="66">
        <f>IFERROR(INDEX(tbl_Finance[Defer End],$A6),"")</f>
        <v/>
      </c>
      <c r="J6" s="65">
        <f>IF(OR($H6="",$I6="",$G6=""),"",MAX(1,(YEAR($I6)-YEAR($H6))*12+MONTH($I6)-MONTH($H6)+1))</f>
        <v/>
      </c>
      <c r="K6" s="68">
        <f>IF($J6="","",$G6/$J6)</f>
        <v/>
      </c>
      <c r="L6" s="68">
        <f>IF($J6="",0,$K6*MAX(0,MIN(YEAR($C$3)*12+MONTH($C$3),YEAR($I6)*12+MONTH($I6))-(YEAR($H6)*12+MONTH($H6))+1))</f>
        <v/>
      </c>
      <c r="M6" s="68">
        <f>IF($J6="",0,$K6*MAX(0,MIN(YEAR($C$3)*12+MONTH($C$3)-1,YEAR($I6)*12+MONTH($I6))-(YEAR($H6)*12+MONTH($H6))+1))</f>
        <v/>
      </c>
      <c r="N6" s="68">
        <f>IF(OR($J6="",$B6=""),0,IF(YEAR($B6)*12+MONTH($B6)&lt;=YEAR($C$3)*12+MONTH($C$3),$G6,0))</f>
        <v/>
      </c>
      <c r="O6" s="68">
        <f>IF(OR($J6="",$B6=""),0,IF(YEAR($B6)*12+MONTH($B6)&lt;=YEAR($C$3)*12+MONTH($C$3)-1,$G6,0))</f>
        <v/>
      </c>
      <c r="P6" s="68">
        <f>$M6-$O6</f>
        <v/>
      </c>
      <c r="Q6" s="68">
        <f>($L6-$M6)-($N6-$O6)</f>
        <v/>
      </c>
      <c r="R6" s="68">
        <f>$L6-$N6</f>
        <v/>
      </c>
      <c r="S6" s="67">
        <f>"Finance invoice"</f>
        <v/>
      </c>
      <c r="T6" s="67">
        <f>"Revenue"</f>
        <v/>
      </c>
    </row>
    <row r="7">
      <c r="A7" s="65">
        <f>ROW()-5</f>
        <v/>
      </c>
      <c r="B7" s="66">
        <f>IFERROR(INDEX(tbl_Finance[Date],$A7),"")</f>
        <v/>
      </c>
      <c r="C7" s="67">
        <f>IFERROR(INDEX(tbl_Finance[Xero Invoice No],$A7),"")</f>
        <v/>
      </c>
      <c r="D7" s="67">
        <f>IFERROR(INDEX(tbl_Finance[Client],$A7),"")</f>
        <v/>
      </c>
      <c r="E7" s="67">
        <f>IFERROR(INDEX(tbl_Finance[Job Number],$A7),"")</f>
        <v/>
      </c>
      <c r="F7" s="67">
        <f>IFERROR(INDEX(tbl_Finance[Cost Centre],$A7),"")</f>
        <v/>
      </c>
      <c r="G7" s="68">
        <f>IFERROR(INDEX(tbl_Finance[Ex GST],$A7),"")</f>
        <v/>
      </c>
      <c r="H7" s="66">
        <f>IFERROR(INDEX(tbl_Finance[Defer Start],$A7),"")</f>
        <v/>
      </c>
      <c r="I7" s="66">
        <f>IFERROR(INDEX(tbl_Finance[Defer End],$A7),"")</f>
        <v/>
      </c>
      <c r="J7" s="65">
        <f>IF(OR($H7="",$I7="",$G7=""),"",MAX(1,(YEAR($I7)-YEAR($H7))*12+MONTH($I7)-MONTH($H7)+1))</f>
        <v/>
      </c>
      <c r="K7" s="68">
        <f>IF($J7="","",$G7/$J7)</f>
        <v/>
      </c>
      <c r="L7" s="68">
        <f>IF($J7="",0,$K7*MAX(0,MIN(YEAR($C$3)*12+MONTH($C$3),YEAR($I7)*12+MONTH($I7))-(YEAR($H7)*12+MONTH($H7))+1))</f>
        <v/>
      </c>
      <c r="M7" s="68">
        <f>IF($J7="",0,$K7*MAX(0,MIN(YEAR($C$3)*12+MONTH($C$3)-1,YEAR($I7)*12+MONTH($I7))-(YEAR($H7)*12+MONTH($H7))+1))</f>
        <v/>
      </c>
      <c r="N7" s="68">
        <f>IF(OR($J7="",$B7=""),0,IF(YEAR($B7)*12+MONTH($B7)&lt;=YEAR($C$3)*12+MONTH($C$3),$G7,0))</f>
        <v/>
      </c>
      <c r="O7" s="68">
        <f>IF(OR($J7="",$B7=""),0,IF(YEAR($B7)*12+MONTH($B7)&lt;=YEAR($C$3)*12+MONTH($C$3)-1,$G7,0))</f>
        <v/>
      </c>
      <c r="P7" s="68">
        <f>$M7-$O7</f>
        <v/>
      </c>
      <c r="Q7" s="68">
        <f>($L7-$M7)-($N7-$O7)</f>
        <v/>
      </c>
      <c r="R7" s="68">
        <f>$L7-$N7</f>
        <v/>
      </c>
      <c r="S7" s="67">
        <f>"Finance invoice"</f>
        <v/>
      </c>
      <c r="T7" s="67">
        <f>"Revenue"</f>
        <v/>
      </c>
    </row>
    <row r="8">
      <c r="A8" s="65">
        <f>ROW()-5</f>
        <v/>
      </c>
      <c r="B8" s="66">
        <f>IFERROR(INDEX(tbl_Finance[Date],$A8),"")</f>
        <v/>
      </c>
      <c r="C8" s="67">
        <f>IFERROR(INDEX(tbl_Finance[Xero Invoice No],$A8),"")</f>
        <v/>
      </c>
      <c r="D8" s="67">
        <f>IFERROR(INDEX(tbl_Finance[Client],$A8),"")</f>
        <v/>
      </c>
      <c r="E8" s="67">
        <f>IFERROR(INDEX(tbl_Finance[Job Number],$A8),"")</f>
        <v/>
      </c>
      <c r="F8" s="67">
        <f>IFERROR(INDEX(tbl_Finance[Cost Centre],$A8),"")</f>
        <v/>
      </c>
      <c r="G8" s="68">
        <f>IFERROR(INDEX(tbl_Finance[Ex GST],$A8),"")</f>
        <v/>
      </c>
      <c r="H8" s="66">
        <f>IFERROR(INDEX(tbl_Finance[Defer Start],$A8),"")</f>
        <v/>
      </c>
      <c r="I8" s="66">
        <f>IFERROR(INDEX(tbl_Finance[Defer End],$A8),"")</f>
        <v/>
      </c>
      <c r="J8" s="65">
        <f>IF(OR($H8="",$I8="",$G8=""),"",MAX(1,(YEAR($I8)-YEAR($H8))*12+MONTH($I8)-MONTH($H8)+1))</f>
        <v/>
      </c>
      <c r="K8" s="68">
        <f>IF($J8="","",$G8/$J8)</f>
        <v/>
      </c>
      <c r="L8" s="68">
        <f>IF($J8="",0,$K8*MAX(0,MIN(YEAR($C$3)*12+MONTH($C$3),YEAR($I8)*12+MONTH($I8))-(YEAR($H8)*12+MONTH($H8))+1))</f>
        <v/>
      </c>
      <c r="M8" s="68">
        <f>IF($J8="",0,$K8*MAX(0,MIN(YEAR($C$3)*12+MONTH($C$3)-1,YEAR($I8)*12+MONTH($I8))-(YEAR($H8)*12+MONTH($H8))+1))</f>
        <v/>
      </c>
      <c r="N8" s="68">
        <f>IF(OR($J8="",$B8=""),0,IF(YEAR($B8)*12+MONTH($B8)&lt;=YEAR($C$3)*12+MONTH($C$3),$G8,0))</f>
        <v/>
      </c>
      <c r="O8" s="68">
        <f>IF(OR($J8="",$B8=""),0,IF(YEAR($B8)*12+MONTH($B8)&lt;=YEAR($C$3)*12+MONTH($C$3)-1,$G8,0))</f>
        <v/>
      </c>
      <c r="P8" s="68">
        <f>$M8-$O8</f>
        <v/>
      </c>
      <c r="Q8" s="68">
        <f>($L8-$M8)-($N8-$O8)</f>
        <v/>
      </c>
      <c r="R8" s="68">
        <f>$L8-$N8</f>
        <v/>
      </c>
      <c r="S8" s="67">
        <f>"Finance invoice"</f>
        <v/>
      </c>
      <c r="T8" s="67">
        <f>"Revenue"</f>
        <v/>
      </c>
    </row>
    <row r="9">
      <c r="A9" s="65">
        <f>ROW()-5</f>
        <v/>
      </c>
      <c r="B9" s="66">
        <f>IFERROR(INDEX(tbl_Finance[Date],$A9),"")</f>
        <v/>
      </c>
      <c r="C9" s="67">
        <f>IFERROR(INDEX(tbl_Finance[Xero Invoice No],$A9),"")</f>
        <v/>
      </c>
      <c r="D9" s="67">
        <f>IFERROR(INDEX(tbl_Finance[Client],$A9),"")</f>
        <v/>
      </c>
      <c r="E9" s="67">
        <f>IFERROR(INDEX(tbl_Finance[Job Number],$A9),"")</f>
        <v/>
      </c>
      <c r="F9" s="67">
        <f>IFERROR(INDEX(tbl_Finance[Cost Centre],$A9),"")</f>
        <v/>
      </c>
      <c r="G9" s="68">
        <f>IFERROR(INDEX(tbl_Finance[Ex GST],$A9),"")</f>
        <v/>
      </c>
      <c r="H9" s="66">
        <f>IFERROR(INDEX(tbl_Finance[Defer Start],$A9),"")</f>
        <v/>
      </c>
      <c r="I9" s="66">
        <f>IFERROR(INDEX(tbl_Finance[Defer End],$A9),"")</f>
        <v/>
      </c>
      <c r="J9" s="65">
        <f>IF(OR($H9="",$I9="",$G9=""),"",MAX(1,(YEAR($I9)-YEAR($H9))*12+MONTH($I9)-MONTH($H9)+1))</f>
        <v/>
      </c>
      <c r="K9" s="68">
        <f>IF($J9="","",$G9/$J9)</f>
        <v/>
      </c>
      <c r="L9" s="68">
        <f>IF($J9="",0,$K9*MAX(0,MIN(YEAR($C$3)*12+MONTH($C$3),YEAR($I9)*12+MONTH($I9))-(YEAR($H9)*12+MONTH($H9))+1))</f>
        <v/>
      </c>
      <c r="M9" s="68">
        <f>IF($J9="",0,$K9*MAX(0,MIN(YEAR($C$3)*12+MONTH($C$3)-1,YEAR($I9)*12+MONTH($I9))-(YEAR($H9)*12+MONTH($H9))+1))</f>
        <v/>
      </c>
      <c r="N9" s="68">
        <f>IF(OR($J9="",$B9=""),0,IF(YEAR($B9)*12+MONTH($B9)&lt;=YEAR($C$3)*12+MONTH($C$3),$G9,0))</f>
        <v/>
      </c>
      <c r="O9" s="68">
        <f>IF(OR($J9="",$B9=""),0,IF(YEAR($B9)*12+MONTH($B9)&lt;=YEAR($C$3)*12+MONTH($C$3)-1,$G9,0))</f>
        <v/>
      </c>
      <c r="P9" s="68">
        <f>$M9-$O9</f>
        <v/>
      </c>
      <c r="Q9" s="68">
        <f>($L9-$M9)-($N9-$O9)</f>
        <v/>
      </c>
      <c r="R9" s="68">
        <f>$L9-$N9</f>
        <v/>
      </c>
      <c r="S9" s="67">
        <f>"Finance invoice"</f>
        <v/>
      </c>
      <c r="T9" s="67">
        <f>"Revenue"</f>
        <v/>
      </c>
    </row>
    <row r="10">
      <c r="A10" s="65">
        <f>ROW()-5</f>
        <v/>
      </c>
      <c r="B10" s="66">
        <f>IFERROR(INDEX(tbl_Finance[Date],$A10),"")</f>
        <v/>
      </c>
      <c r="C10" s="67">
        <f>IFERROR(INDEX(tbl_Finance[Xero Invoice No],$A10),"")</f>
        <v/>
      </c>
      <c r="D10" s="67">
        <f>IFERROR(INDEX(tbl_Finance[Client],$A10),"")</f>
        <v/>
      </c>
      <c r="E10" s="67">
        <f>IFERROR(INDEX(tbl_Finance[Job Number],$A10),"")</f>
        <v/>
      </c>
      <c r="F10" s="67">
        <f>IFERROR(INDEX(tbl_Finance[Cost Centre],$A10),"")</f>
        <v/>
      </c>
      <c r="G10" s="68">
        <f>IFERROR(INDEX(tbl_Finance[Ex GST],$A10),"")</f>
        <v/>
      </c>
      <c r="H10" s="66">
        <f>IFERROR(INDEX(tbl_Finance[Defer Start],$A10),"")</f>
        <v/>
      </c>
      <c r="I10" s="66">
        <f>IFERROR(INDEX(tbl_Finance[Defer End],$A10),"")</f>
        <v/>
      </c>
      <c r="J10" s="65">
        <f>IF(OR($H10="",$I10="",$G10=""),"",MAX(1,(YEAR($I10)-YEAR($H10))*12+MONTH($I10)-MONTH($H10)+1))</f>
        <v/>
      </c>
      <c r="K10" s="68">
        <f>IF($J10="","",$G10/$J10)</f>
        <v/>
      </c>
      <c r="L10" s="68">
        <f>IF($J10="",0,$K10*MAX(0,MIN(YEAR($C$3)*12+MONTH($C$3),YEAR($I10)*12+MONTH($I10))-(YEAR($H10)*12+MONTH($H10))+1))</f>
        <v/>
      </c>
      <c r="M10" s="68">
        <f>IF($J10="",0,$K10*MAX(0,MIN(YEAR($C$3)*12+MONTH($C$3)-1,YEAR($I10)*12+MONTH($I10))-(YEAR($H10)*12+MONTH($H10))+1))</f>
        <v/>
      </c>
      <c r="N10" s="68">
        <f>IF(OR($J10="",$B10=""),0,IF(YEAR($B10)*12+MONTH($B10)&lt;=YEAR($C$3)*12+MONTH($C$3),$G10,0))</f>
        <v/>
      </c>
      <c r="O10" s="68">
        <f>IF(OR($J10="",$B10=""),0,IF(YEAR($B10)*12+MONTH($B10)&lt;=YEAR($C$3)*12+MONTH($C$3)-1,$G10,0))</f>
        <v/>
      </c>
      <c r="P10" s="68">
        <f>$M10-$O10</f>
        <v/>
      </c>
      <c r="Q10" s="68">
        <f>($L10-$M10)-($N10-$O10)</f>
        <v/>
      </c>
      <c r="R10" s="68">
        <f>$L10-$N10</f>
        <v/>
      </c>
      <c r="S10" s="67">
        <f>"Finance invoice"</f>
        <v/>
      </c>
      <c r="T10" s="67">
        <f>"Revenue"</f>
        <v/>
      </c>
    </row>
    <row r="11">
      <c r="A11" s="65">
        <f>ROW()-5</f>
        <v/>
      </c>
      <c r="B11" s="66">
        <f>IFERROR(INDEX(tbl_Finance[Date],$A11),"")</f>
        <v/>
      </c>
      <c r="C11" s="67">
        <f>IFERROR(INDEX(tbl_Finance[Xero Invoice No],$A11),"")</f>
        <v/>
      </c>
      <c r="D11" s="67">
        <f>IFERROR(INDEX(tbl_Finance[Client],$A11),"")</f>
        <v/>
      </c>
      <c r="E11" s="67">
        <f>IFERROR(INDEX(tbl_Finance[Job Number],$A11),"")</f>
        <v/>
      </c>
      <c r="F11" s="67">
        <f>IFERROR(INDEX(tbl_Finance[Cost Centre],$A11),"")</f>
        <v/>
      </c>
      <c r="G11" s="68">
        <f>IFERROR(INDEX(tbl_Finance[Ex GST],$A11),"")</f>
        <v/>
      </c>
      <c r="H11" s="66">
        <f>IFERROR(INDEX(tbl_Finance[Defer Start],$A11),"")</f>
        <v/>
      </c>
      <c r="I11" s="66">
        <f>IFERROR(INDEX(tbl_Finance[Defer End],$A11),"")</f>
        <v/>
      </c>
      <c r="J11" s="65">
        <f>IF(OR($H11="",$I11="",$G11=""),"",MAX(1,(YEAR($I11)-YEAR($H11))*12+MONTH($I11)-MONTH($H11)+1))</f>
        <v/>
      </c>
      <c r="K11" s="68">
        <f>IF($J11="","",$G11/$J11)</f>
        <v/>
      </c>
      <c r="L11" s="68">
        <f>IF($J11="",0,$K11*MAX(0,MIN(YEAR($C$3)*12+MONTH($C$3),YEAR($I11)*12+MONTH($I11))-(YEAR($H11)*12+MONTH($H11))+1))</f>
        <v/>
      </c>
      <c r="M11" s="68">
        <f>IF($J11="",0,$K11*MAX(0,MIN(YEAR($C$3)*12+MONTH($C$3)-1,YEAR($I11)*12+MONTH($I11))-(YEAR($H11)*12+MONTH($H11))+1))</f>
        <v/>
      </c>
      <c r="N11" s="68">
        <f>IF(OR($J11="",$B11=""),0,IF(YEAR($B11)*12+MONTH($B11)&lt;=YEAR($C$3)*12+MONTH($C$3),$G11,0))</f>
        <v/>
      </c>
      <c r="O11" s="68">
        <f>IF(OR($J11="",$B11=""),0,IF(YEAR($B11)*12+MONTH($B11)&lt;=YEAR($C$3)*12+MONTH($C$3)-1,$G11,0))</f>
        <v/>
      </c>
      <c r="P11" s="68">
        <f>$M11-$O11</f>
        <v/>
      </c>
      <c r="Q11" s="68">
        <f>($L11-$M11)-($N11-$O11)</f>
        <v/>
      </c>
      <c r="R11" s="68">
        <f>$L11-$N11</f>
        <v/>
      </c>
      <c r="S11" s="67">
        <f>"Finance invoice"</f>
        <v/>
      </c>
      <c r="T11" s="67">
        <f>"Revenue"</f>
        <v/>
      </c>
    </row>
    <row r="12">
      <c r="A12" s="65">
        <f>ROW()-5</f>
        <v/>
      </c>
      <c r="B12" s="66">
        <f>IFERROR(INDEX(tbl_Finance[Date],$A12),"")</f>
        <v/>
      </c>
      <c r="C12" s="67">
        <f>IFERROR(INDEX(tbl_Finance[Xero Invoice No],$A12),"")</f>
        <v/>
      </c>
      <c r="D12" s="67">
        <f>IFERROR(INDEX(tbl_Finance[Client],$A12),"")</f>
        <v/>
      </c>
      <c r="E12" s="67">
        <f>IFERROR(INDEX(tbl_Finance[Job Number],$A12),"")</f>
        <v/>
      </c>
      <c r="F12" s="67">
        <f>IFERROR(INDEX(tbl_Finance[Cost Centre],$A12),"")</f>
        <v/>
      </c>
      <c r="G12" s="68">
        <f>IFERROR(INDEX(tbl_Finance[Ex GST],$A12),"")</f>
        <v/>
      </c>
      <c r="H12" s="66">
        <f>IFERROR(INDEX(tbl_Finance[Defer Start],$A12),"")</f>
        <v/>
      </c>
      <c r="I12" s="66">
        <f>IFERROR(INDEX(tbl_Finance[Defer End],$A12),"")</f>
        <v/>
      </c>
      <c r="J12" s="65">
        <f>IF(OR($H12="",$I12="",$G12=""),"",MAX(1,(YEAR($I12)-YEAR($H12))*12+MONTH($I12)-MONTH($H12)+1))</f>
        <v/>
      </c>
      <c r="K12" s="68">
        <f>IF($J12="","",$G12/$J12)</f>
        <v/>
      </c>
      <c r="L12" s="68">
        <f>IF($J12="",0,$K12*MAX(0,MIN(YEAR($C$3)*12+MONTH($C$3),YEAR($I12)*12+MONTH($I12))-(YEAR($H12)*12+MONTH($H12))+1))</f>
        <v/>
      </c>
      <c r="M12" s="68">
        <f>IF($J12="",0,$K12*MAX(0,MIN(YEAR($C$3)*12+MONTH($C$3)-1,YEAR($I12)*12+MONTH($I12))-(YEAR($H12)*12+MONTH($H12))+1))</f>
        <v/>
      </c>
      <c r="N12" s="68">
        <f>IF(OR($J12="",$B12=""),0,IF(YEAR($B12)*12+MONTH($B12)&lt;=YEAR($C$3)*12+MONTH($C$3),$G12,0))</f>
        <v/>
      </c>
      <c r="O12" s="68">
        <f>IF(OR($J12="",$B12=""),0,IF(YEAR($B12)*12+MONTH($B12)&lt;=YEAR($C$3)*12+MONTH($C$3)-1,$G12,0))</f>
        <v/>
      </c>
      <c r="P12" s="68">
        <f>$M12-$O12</f>
        <v/>
      </c>
      <c r="Q12" s="68">
        <f>($L12-$M12)-($N12-$O12)</f>
        <v/>
      </c>
      <c r="R12" s="68">
        <f>$L12-$N12</f>
        <v/>
      </c>
      <c r="S12" s="67">
        <f>"Finance invoice"</f>
        <v/>
      </c>
      <c r="T12" s="67">
        <f>"Revenue"</f>
        <v/>
      </c>
    </row>
    <row r="13">
      <c r="A13" s="65">
        <f>ROW()-5</f>
        <v/>
      </c>
      <c r="B13" s="66">
        <f>IFERROR(INDEX(tbl_Finance[Date],$A13),"")</f>
        <v/>
      </c>
      <c r="C13" s="67">
        <f>IFERROR(INDEX(tbl_Finance[Xero Invoice No],$A13),"")</f>
        <v/>
      </c>
      <c r="D13" s="67">
        <f>IFERROR(INDEX(tbl_Finance[Client],$A13),"")</f>
        <v/>
      </c>
      <c r="E13" s="67">
        <f>IFERROR(INDEX(tbl_Finance[Job Number],$A13),"")</f>
        <v/>
      </c>
      <c r="F13" s="67">
        <f>IFERROR(INDEX(tbl_Finance[Cost Centre],$A13),"")</f>
        <v/>
      </c>
      <c r="G13" s="68">
        <f>IFERROR(INDEX(tbl_Finance[Ex GST],$A13),"")</f>
        <v/>
      </c>
      <c r="H13" s="66">
        <f>IFERROR(INDEX(tbl_Finance[Defer Start],$A13),"")</f>
        <v/>
      </c>
      <c r="I13" s="66">
        <f>IFERROR(INDEX(tbl_Finance[Defer End],$A13),"")</f>
        <v/>
      </c>
      <c r="J13" s="65">
        <f>IF(OR($H13="",$I13="",$G13=""),"",MAX(1,(YEAR($I13)-YEAR($H13))*12+MONTH($I13)-MONTH($H13)+1))</f>
        <v/>
      </c>
      <c r="K13" s="68">
        <f>IF($J13="","",$G13/$J13)</f>
        <v/>
      </c>
      <c r="L13" s="68">
        <f>IF($J13="",0,$K13*MAX(0,MIN(YEAR($C$3)*12+MONTH($C$3),YEAR($I13)*12+MONTH($I13))-(YEAR($H13)*12+MONTH($H13))+1))</f>
        <v/>
      </c>
      <c r="M13" s="68">
        <f>IF($J13="",0,$K13*MAX(0,MIN(YEAR($C$3)*12+MONTH($C$3)-1,YEAR($I13)*12+MONTH($I13))-(YEAR($H13)*12+MONTH($H13))+1))</f>
        <v/>
      </c>
      <c r="N13" s="68">
        <f>IF(OR($J13="",$B13=""),0,IF(YEAR($B13)*12+MONTH($B13)&lt;=YEAR($C$3)*12+MONTH($C$3),$G13,0))</f>
        <v/>
      </c>
      <c r="O13" s="68">
        <f>IF(OR($J13="",$B13=""),0,IF(YEAR($B13)*12+MONTH($B13)&lt;=YEAR($C$3)*12+MONTH($C$3)-1,$G13,0))</f>
        <v/>
      </c>
      <c r="P13" s="68">
        <f>$M13-$O13</f>
        <v/>
      </c>
      <c r="Q13" s="68">
        <f>($L13-$M13)-($N13-$O13)</f>
        <v/>
      </c>
      <c r="R13" s="68">
        <f>$L13-$N13</f>
        <v/>
      </c>
      <c r="S13" s="67">
        <f>"Finance invoice"</f>
        <v/>
      </c>
      <c r="T13" s="67">
        <f>"Revenue"</f>
        <v/>
      </c>
    </row>
    <row r="14">
      <c r="A14" s="65">
        <f>ROW()-5</f>
        <v/>
      </c>
      <c r="B14" s="66">
        <f>IFERROR(INDEX(tbl_Finance[Date],$A14),"")</f>
        <v/>
      </c>
      <c r="C14" s="67">
        <f>IFERROR(INDEX(tbl_Finance[Xero Invoice No],$A14),"")</f>
        <v/>
      </c>
      <c r="D14" s="67">
        <f>IFERROR(INDEX(tbl_Finance[Client],$A14),"")</f>
        <v/>
      </c>
      <c r="E14" s="67">
        <f>IFERROR(INDEX(tbl_Finance[Job Number],$A14),"")</f>
        <v/>
      </c>
      <c r="F14" s="67">
        <f>IFERROR(INDEX(tbl_Finance[Cost Centre],$A14),"")</f>
        <v/>
      </c>
      <c r="G14" s="68">
        <f>IFERROR(INDEX(tbl_Finance[Ex GST],$A14),"")</f>
        <v/>
      </c>
      <c r="H14" s="66">
        <f>IFERROR(INDEX(tbl_Finance[Defer Start],$A14),"")</f>
        <v/>
      </c>
      <c r="I14" s="66">
        <f>IFERROR(INDEX(tbl_Finance[Defer End],$A14),"")</f>
        <v/>
      </c>
      <c r="J14" s="65">
        <f>IF(OR($H14="",$I14="",$G14=""),"",MAX(1,(YEAR($I14)-YEAR($H14))*12+MONTH($I14)-MONTH($H14)+1))</f>
        <v/>
      </c>
      <c r="K14" s="68">
        <f>IF($J14="","",$G14/$J14)</f>
        <v/>
      </c>
      <c r="L14" s="68">
        <f>IF($J14="",0,$K14*MAX(0,MIN(YEAR($C$3)*12+MONTH($C$3),YEAR($I14)*12+MONTH($I14))-(YEAR($H14)*12+MONTH($H14))+1))</f>
        <v/>
      </c>
      <c r="M14" s="68">
        <f>IF($J14="",0,$K14*MAX(0,MIN(YEAR($C$3)*12+MONTH($C$3)-1,YEAR($I14)*12+MONTH($I14))-(YEAR($H14)*12+MONTH($H14))+1))</f>
        <v/>
      </c>
      <c r="N14" s="68">
        <f>IF(OR($J14="",$B14=""),0,IF(YEAR($B14)*12+MONTH($B14)&lt;=YEAR($C$3)*12+MONTH($C$3),$G14,0))</f>
        <v/>
      </c>
      <c r="O14" s="68">
        <f>IF(OR($J14="",$B14=""),0,IF(YEAR($B14)*12+MONTH($B14)&lt;=YEAR($C$3)*12+MONTH($C$3)-1,$G14,0))</f>
        <v/>
      </c>
      <c r="P14" s="68">
        <f>$M14-$O14</f>
        <v/>
      </c>
      <c r="Q14" s="68">
        <f>($L14-$M14)-($N14-$O14)</f>
        <v/>
      </c>
      <c r="R14" s="68">
        <f>$L14-$N14</f>
        <v/>
      </c>
      <c r="S14" s="67">
        <f>"Finance invoice"</f>
        <v/>
      </c>
      <c r="T14" s="67">
        <f>"Revenue"</f>
        <v/>
      </c>
    </row>
    <row r="15">
      <c r="A15" s="65">
        <f>ROW()-5</f>
        <v/>
      </c>
      <c r="B15" s="66">
        <f>IFERROR(INDEX(tbl_Finance[Date],$A15),"")</f>
        <v/>
      </c>
      <c r="C15" s="67">
        <f>IFERROR(INDEX(tbl_Finance[Xero Invoice No],$A15),"")</f>
        <v/>
      </c>
      <c r="D15" s="67">
        <f>IFERROR(INDEX(tbl_Finance[Client],$A15),"")</f>
        <v/>
      </c>
      <c r="E15" s="67">
        <f>IFERROR(INDEX(tbl_Finance[Job Number],$A15),"")</f>
        <v/>
      </c>
      <c r="F15" s="67">
        <f>IFERROR(INDEX(tbl_Finance[Cost Centre],$A15),"")</f>
        <v/>
      </c>
      <c r="G15" s="68">
        <f>IFERROR(INDEX(tbl_Finance[Ex GST],$A15),"")</f>
        <v/>
      </c>
      <c r="H15" s="66">
        <f>IFERROR(INDEX(tbl_Finance[Defer Start],$A15),"")</f>
        <v/>
      </c>
      <c r="I15" s="66">
        <f>IFERROR(INDEX(tbl_Finance[Defer End],$A15),"")</f>
        <v/>
      </c>
      <c r="J15" s="65">
        <f>IF(OR($H15="",$I15="",$G15=""),"",MAX(1,(YEAR($I15)-YEAR($H15))*12+MONTH($I15)-MONTH($H15)+1))</f>
        <v/>
      </c>
      <c r="K15" s="68">
        <f>IF($J15="","",$G15/$J15)</f>
        <v/>
      </c>
      <c r="L15" s="68">
        <f>IF($J15="",0,$K15*MAX(0,MIN(YEAR($C$3)*12+MONTH($C$3),YEAR($I15)*12+MONTH($I15))-(YEAR($H15)*12+MONTH($H15))+1))</f>
        <v/>
      </c>
      <c r="M15" s="68">
        <f>IF($J15="",0,$K15*MAX(0,MIN(YEAR($C$3)*12+MONTH($C$3)-1,YEAR($I15)*12+MONTH($I15))-(YEAR($H15)*12+MONTH($H15))+1))</f>
        <v/>
      </c>
      <c r="N15" s="68">
        <f>IF(OR($J15="",$B15=""),0,IF(YEAR($B15)*12+MONTH($B15)&lt;=YEAR($C$3)*12+MONTH($C$3),$G15,0))</f>
        <v/>
      </c>
      <c r="O15" s="68">
        <f>IF(OR($J15="",$B15=""),0,IF(YEAR($B15)*12+MONTH($B15)&lt;=YEAR($C$3)*12+MONTH($C$3)-1,$G15,0))</f>
        <v/>
      </c>
      <c r="P15" s="68">
        <f>$M15-$O15</f>
        <v/>
      </c>
      <c r="Q15" s="68">
        <f>($L15-$M15)-($N15-$O15)</f>
        <v/>
      </c>
      <c r="R15" s="68">
        <f>$L15-$N15</f>
        <v/>
      </c>
      <c r="S15" s="67">
        <f>"Finance invoice"</f>
        <v/>
      </c>
      <c r="T15" s="67">
        <f>"Revenue"</f>
        <v/>
      </c>
    </row>
    <row r="16">
      <c r="A16" s="65">
        <f>ROW()-5</f>
        <v/>
      </c>
      <c r="B16" s="66">
        <f>IFERROR(INDEX(tbl_Finance[Date],$A16),"")</f>
        <v/>
      </c>
      <c r="C16" s="67">
        <f>IFERROR(INDEX(tbl_Finance[Xero Invoice No],$A16),"")</f>
        <v/>
      </c>
      <c r="D16" s="67">
        <f>IFERROR(INDEX(tbl_Finance[Client],$A16),"")</f>
        <v/>
      </c>
      <c r="E16" s="67">
        <f>IFERROR(INDEX(tbl_Finance[Job Number],$A16),"")</f>
        <v/>
      </c>
      <c r="F16" s="67">
        <f>IFERROR(INDEX(tbl_Finance[Cost Centre],$A16),"")</f>
        <v/>
      </c>
      <c r="G16" s="68">
        <f>IFERROR(INDEX(tbl_Finance[Ex GST],$A16),"")</f>
        <v/>
      </c>
      <c r="H16" s="66">
        <f>IFERROR(INDEX(tbl_Finance[Defer Start],$A16),"")</f>
        <v/>
      </c>
      <c r="I16" s="66">
        <f>IFERROR(INDEX(tbl_Finance[Defer End],$A16),"")</f>
        <v/>
      </c>
      <c r="J16" s="65">
        <f>IF(OR($H16="",$I16="",$G16=""),"",MAX(1,(YEAR($I16)-YEAR($H16))*12+MONTH($I16)-MONTH($H16)+1))</f>
        <v/>
      </c>
      <c r="K16" s="68">
        <f>IF($J16="","",$G16/$J16)</f>
        <v/>
      </c>
      <c r="L16" s="68">
        <f>IF($J16="",0,$K16*MAX(0,MIN(YEAR($C$3)*12+MONTH($C$3),YEAR($I16)*12+MONTH($I16))-(YEAR($H16)*12+MONTH($H16))+1))</f>
        <v/>
      </c>
      <c r="M16" s="68">
        <f>IF($J16="",0,$K16*MAX(0,MIN(YEAR($C$3)*12+MONTH($C$3)-1,YEAR($I16)*12+MONTH($I16))-(YEAR($H16)*12+MONTH($H16))+1))</f>
        <v/>
      </c>
      <c r="N16" s="68">
        <f>IF(OR($J16="",$B16=""),0,IF(YEAR($B16)*12+MONTH($B16)&lt;=YEAR($C$3)*12+MONTH($C$3),$G16,0))</f>
        <v/>
      </c>
      <c r="O16" s="68">
        <f>IF(OR($J16="",$B16=""),0,IF(YEAR($B16)*12+MONTH($B16)&lt;=YEAR($C$3)*12+MONTH($C$3)-1,$G16,0))</f>
        <v/>
      </c>
      <c r="P16" s="68">
        <f>$M16-$O16</f>
        <v/>
      </c>
      <c r="Q16" s="68">
        <f>($L16-$M16)-($N16-$O16)</f>
        <v/>
      </c>
      <c r="R16" s="68">
        <f>$L16-$N16</f>
        <v/>
      </c>
      <c r="S16" s="67">
        <f>"Finance invoice"</f>
        <v/>
      </c>
      <c r="T16" s="67">
        <f>"Revenue"</f>
        <v/>
      </c>
    </row>
    <row r="17">
      <c r="A17" s="65">
        <f>ROW()-5</f>
        <v/>
      </c>
      <c r="B17" s="66">
        <f>IFERROR(INDEX(tbl_Finance[Date],$A17),"")</f>
        <v/>
      </c>
      <c r="C17" s="67">
        <f>IFERROR(INDEX(tbl_Finance[Xero Invoice No],$A17),"")</f>
        <v/>
      </c>
      <c r="D17" s="67">
        <f>IFERROR(INDEX(tbl_Finance[Client],$A17),"")</f>
        <v/>
      </c>
      <c r="E17" s="67">
        <f>IFERROR(INDEX(tbl_Finance[Job Number],$A17),"")</f>
        <v/>
      </c>
      <c r="F17" s="67">
        <f>IFERROR(INDEX(tbl_Finance[Cost Centre],$A17),"")</f>
        <v/>
      </c>
      <c r="G17" s="68">
        <f>IFERROR(INDEX(tbl_Finance[Ex GST],$A17),"")</f>
        <v/>
      </c>
      <c r="H17" s="66">
        <f>IFERROR(INDEX(tbl_Finance[Defer Start],$A17),"")</f>
        <v/>
      </c>
      <c r="I17" s="66">
        <f>IFERROR(INDEX(tbl_Finance[Defer End],$A17),"")</f>
        <v/>
      </c>
      <c r="J17" s="65">
        <f>IF(OR($H17="",$I17="",$G17=""),"",MAX(1,(YEAR($I17)-YEAR($H17))*12+MONTH($I17)-MONTH($H17)+1))</f>
        <v/>
      </c>
      <c r="K17" s="68">
        <f>IF($J17="","",$G17/$J17)</f>
        <v/>
      </c>
      <c r="L17" s="68">
        <f>IF($J17="",0,$K17*MAX(0,MIN(YEAR($C$3)*12+MONTH($C$3),YEAR($I17)*12+MONTH($I17))-(YEAR($H17)*12+MONTH($H17))+1))</f>
        <v/>
      </c>
      <c r="M17" s="68">
        <f>IF($J17="",0,$K17*MAX(0,MIN(YEAR($C$3)*12+MONTH($C$3)-1,YEAR($I17)*12+MONTH($I17))-(YEAR($H17)*12+MONTH($H17))+1))</f>
        <v/>
      </c>
      <c r="N17" s="68">
        <f>IF(OR($J17="",$B17=""),0,IF(YEAR($B17)*12+MONTH($B17)&lt;=YEAR($C$3)*12+MONTH($C$3),$G17,0))</f>
        <v/>
      </c>
      <c r="O17" s="68">
        <f>IF(OR($J17="",$B17=""),0,IF(YEAR($B17)*12+MONTH($B17)&lt;=YEAR($C$3)*12+MONTH($C$3)-1,$G17,0))</f>
        <v/>
      </c>
      <c r="P17" s="68">
        <f>$M17-$O17</f>
        <v/>
      </c>
      <c r="Q17" s="68">
        <f>($L17-$M17)-($N17-$O17)</f>
        <v/>
      </c>
      <c r="R17" s="68">
        <f>$L17-$N17</f>
        <v/>
      </c>
      <c r="S17" s="67">
        <f>"Finance invoice"</f>
        <v/>
      </c>
      <c r="T17" s="67">
        <f>"Revenue"</f>
        <v/>
      </c>
    </row>
    <row r="18">
      <c r="A18" s="65">
        <f>ROW()-5</f>
        <v/>
      </c>
      <c r="B18" s="66">
        <f>IFERROR(INDEX(tbl_Finance[Date],$A18),"")</f>
        <v/>
      </c>
      <c r="C18" s="67">
        <f>IFERROR(INDEX(tbl_Finance[Xero Invoice No],$A18),"")</f>
        <v/>
      </c>
      <c r="D18" s="67">
        <f>IFERROR(INDEX(tbl_Finance[Client],$A18),"")</f>
        <v/>
      </c>
      <c r="E18" s="67">
        <f>IFERROR(INDEX(tbl_Finance[Job Number],$A18),"")</f>
        <v/>
      </c>
      <c r="F18" s="67">
        <f>IFERROR(INDEX(tbl_Finance[Cost Centre],$A18),"")</f>
        <v/>
      </c>
      <c r="G18" s="68">
        <f>IFERROR(INDEX(tbl_Finance[Ex GST],$A18),"")</f>
        <v/>
      </c>
      <c r="H18" s="66">
        <f>IFERROR(INDEX(tbl_Finance[Defer Start],$A18),"")</f>
        <v/>
      </c>
      <c r="I18" s="66">
        <f>IFERROR(INDEX(tbl_Finance[Defer End],$A18),"")</f>
        <v/>
      </c>
      <c r="J18" s="65">
        <f>IF(OR($H18="",$I18="",$G18=""),"",MAX(1,(YEAR($I18)-YEAR($H18))*12+MONTH($I18)-MONTH($H18)+1))</f>
        <v/>
      </c>
      <c r="K18" s="68">
        <f>IF($J18="","",$G18/$J18)</f>
        <v/>
      </c>
      <c r="L18" s="68">
        <f>IF($J18="",0,$K18*MAX(0,MIN(YEAR($C$3)*12+MONTH($C$3),YEAR($I18)*12+MONTH($I18))-(YEAR($H18)*12+MONTH($H18))+1))</f>
        <v/>
      </c>
      <c r="M18" s="68">
        <f>IF($J18="",0,$K18*MAX(0,MIN(YEAR($C$3)*12+MONTH($C$3)-1,YEAR($I18)*12+MONTH($I18))-(YEAR($H18)*12+MONTH($H18))+1))</f>
        <v/>
      </c>
      <c r="N18" s="68">
        <f>IF(OR($J18="",$B18=""),0,IF(YEAR($B18)*12+MONTH($B18)&lt;=YEAR($C$3)*12+MONTH($C$3),$G18,0))</f>
        <v/>
      </c>
      <c r="O18" s="68">
        <f>IF(OR($J18="",$B18=""),0,IF(YEAR($B18)*12+MONTH($B18)&lt;=YEAR($C$3)*12+MONTH($C$3)-1,$G18,0))</f>
        <v/>
      </c>
      <c r="P18" s="68">
        <f>$M18-$O18</f>
        <v/>
      </c>
      <c r="Q18" s="68">
        <f>($L18-$M18)-($N18-$O18)</f>
        <v/>
      </c>
      <c r="R18" s="68">
        <f>$L18-$N18</f>
        <v/>
      </c>
      <c r="S18" s="67">
        <f>"Finance invoice"</f>
        <v/>
      </c>
      <c r="T18" s="67">
        <f>"Revenue"</f>
        <v/>
      </c>
    </row>
    <row r="19">
      <c r="A19" s="65">
        <f>ROW()-5</f>
        <v/>
      </c>
      <c r="B19" s="66">
        <f>IFERROR(INDEX(tbl_Finance[Date],$A19),"")</f>
        <v/>
      </c>
      <c r="C19" s="67">
        <f>IFERROR(INDEX(tbl_Finance[Xero Invoice No],$A19),"")</f>
        <v/>
      </c>
      <c r="D19" s="67">
        <f>IFERROR(INDEX(tbl_Finance[Client],$A19),"")</f>
        <v/>
      </c>
      <c r="E19" s="67">
        <f>IFERROR(INDEX(tbl_Finance[Job Number],$A19),"")</f>
        <v/>
      </c>
      <c r="F19" s="67">
        <f>IFERROR(INDEX(tbl_Finance[Cost Centre],$A19),"")</f>
        <v/>
      </c>
      <c r="G19" s="68">
        <f>IFERROR(INDEX(tbl_Finance[Ex GST],$A19),"")</f>
        <v/>
      </c>
      <c r="H19" s="66">
        <f>IFERROR(INDEX(tbl_Finance[Defer Start],$A19),"")</f>
        <v/>
      </c>
      <c r="I19" s="66">
        <f>IFERROR(INDEX(tbl_Finance[Defer End],$A19),"")</f>
        <v/>
      </c>
      <c r="J19" s="65">
        <f>IF(OR($H19="",$I19="",$G19=""),"",MAX(1,(YEAR($I19)-YEAR($H19))*12+MONTH($I19)-MONTH($H19)+1))</f>
        <v/>
      </c>
      <c r="K19" s="68">
        <f>IF($J19="","",$G19/$J19)</f>
        <v/>
      </c>
      <c r="L19" s="68">
        <f>IF($J19="",0,$K19*MAX(0,MIN(YEAR($C$3)*12+MONTH($C$3),YEAR($I19)*12+MONTH($I19))-(YEAR($H19)*12+MONTH($H19))+1))</f>
        <v/>
      </c>
      <c r="M19" s="68">
        <f>IF($J19="",0,$K19*MAX(0,MIN(YEAR($C$3)*12+MONTH($C$3)-1,YEAR($I19)*12+MONTH($I19))-(YEAR($H19)*12+MONTH($H19))+1))</f>
        <v/>
      </c>
      <c r="N19" s="68">
        <f>IF(OR($J19="",$B19=""),0,IF(YEAR($B19)*12+MONTH($B19)&lt;=YEAR($C$3)*12+MONTH($C$3),$G19,0))</f>
        <v/>
      </c>
      <c r="O19" s="68">
        <f>IF(OR($J19="",$B19=""),0,IF(YEAR($B19)*12+MONTH($B19)&lt;=YEAR($C$3)*12+MONTH($C$3)-1,$G19,0))</f>
        <v/>
      </c>
      <c r="P19" s="68">
        <f>$M19-$O19</f>
        <v/>
      </c>
      <c r="Q19" s="68">
        <f>($L19-$M19)-($N19-$O19)</f>
        <v/>
      </c>
      <c r="R19" s="68">
        <f>$L19-$N19</f>
        <v/>
      </c>
      <c r="S19" s="67">
        <f>"Finance invoice"</f>
        <v/>
      </c>
      <c r="T19" s="67">
        <f>"Revenue"</f>
        <v/>
      </c>
    </row>
    <row r="20">
      <c r="A20" s="65">
        <f>ROW()-5</f>
        <v/>
      </c>
      <c r="B20" s="66">
        <f>IFERROR(INDEX(tbl_Finance[Date],$A20),"")</f>
        <v/>
      </c>
      <c r="C20" s="67">
        <f>IFERROR(INDEX(tbl_Finance[Xero Invoice No],$A20),"")</f>
        <v/>
      </c>
      <c r="D20" s="67">
        <f>IFERROR(INDEX(tbl_Finance[Client],$A20),"")</f>
        <v/>
      </c>
      <c r="E20" s="67">
        <f>IFERROR(INDEX(tbl_Finance[Job Number],$A20),"")</f>
        <v/>
      </c>
      <c r="F20" s="67">
        <f>IFERROR(INDEX(tbl_Finance[Cost Centre],$A20),"")</f>
        <v/>
      </c>
      <c r="G20" s="68">
        <f>IFERROR(INDEX(tbl_Finance[Ex GST],$A20),"")</f>
        <v/>
      </c>
      <c r="H20" s="66">
        <f>IFERROR(INDEX(tbl_Finance[Defer Start],$A20),"")</f>
        <v/>
      </c>
      <c r="I20" s="66">
        <f>IFERROR(INDEX(tbl_Finance[Defer End],$A20),"")</f>
        <v/>
      </c>
      <c r="J20" s="65">
        <f>IF(OR($H20="",$I20="",$G20=""),"",MAX(1,(YEAR($I20)-YEAR($H20))*12+MONTH($I20)-MONTH($H20)+1))</f>
        <v/>
      </c>
      <c r="K20" s="68">
        <f>IF($J20="","",$G20/$J20)</f>
        <v/>
      </c>
      <c r="L20" s="68">
        <f>IF($J20="",0,$K20*MAX(0,MIN(YEAR($C$3)*12+MONTH($C$3),YEAR($I20)*12+MONTH($I20))-(YEAR($H20)*12+MONTH($H20))+1))</f>
        <v/>
      </c>
      <c r="M20" s="68">
        <f>IF($J20="",0,$K20*MAX(0,MIN(YEAR($C$3)*12+MONTH($C$3)-1,YEAR($I20)*12+MONTH($I20))-(YEAR($H20)*12+MONTH($H20))+1))</f>
        <v/>
      </c>
      <c r="N20" s="68">
        <f>IF(OR($J20="",$B20=""),0,IF(YEAR($B20)*12+MONTH($B20)&lt;=YEAR($C$3)*12+MONTH($C$3),$G20,0))</f>
        <v/>
      </c>
      <c r="O20" s="68">
        <f>IF(OR($J20="",$B20=""),0,IF(YEAR($B20)*12+MONTH($B20)&lt;=YEAR($C$3)*12+MONTH($C$3)-1,$G20,0))</f>
        <v/>
      </c>
      <c r="P20" s="68">
        <f>$M20-$O20</f>
        <v/>
      </c>
      <c r="Q20" s="68">
        <f>($L20-$M20)-($N20-$O20)</f>
        <v/>
      </c>
      <c r="R20" s="68">
        <f>$L20-$N20</f>
        <v/>
      </c>
      <c r="S20" s="67">
        <f>"Finance invoice"</f>
        <v/>
      </c>
      <c r="T20" s="67">
        <f>"Revenue"</f>
        <v/>
      </c>
    </row>
    <row r="21">
      <c r="A21" s="65">
        <f>ROW()-5</f>
        <v/>
      </c>
      <c r="B21" s="66">
        <f>IFERROR(INDEX(tbl_Finance[Date],$A21),"")</f>
        <v/>
      </c>
      <c r="C21" s="67">
        <f>IFERROR(INDEX(tbl_Finance[Xero Invoice No],$A21),"")</f>
        <v/>
      </c>
      <c r="D21" s="67">
        <f>IFERROR(INDEX(tbl_Finance[Client],$A21),"")</f>
        <v/>
      </c>
      <c r="E21" s="67">
        <f>IFERROR(INDEX(tbl_Finance[Job Number],$A21),"")</f>
        <v/>
      </c>
      <c r="F21" s="67">
        <f>IFERROR(INDEX(tbl_Finance[Cost Centre],$A21),"")</f>
        <v/>
      </c>
      <c r="G21" s="68">
        <f>IFERROR(INDEX(tbl_Finance[Ex GST],$A21),"")</f>
        <v/>
      </c>
      <c r="H21" s="66">
        <f>IFERROR(INDEX(tbl_Finance[Defer Start],$A21),"")</f>
        <v/>
      </c>
      <c r="I21" s="66">
        <f>IFERROR(INDEX(tbl_Finance[Defer End],$A21),"")</f>
        <v/>
      </c>
      <c r="J21" s="65">
        <f>IF(OR($H21="",$I21="",$G21=""),"",MAX(1,(YEAR($I21)-YEAR($H21))*12+MONTH($I21)-MONTH($H21)+1))</f>
        <v/>
      </c>
      <c r="K21" s="68">
        <f>IF($J21="","",$G21/$J21)</f>
        <v/>
      </c>
      <c r="L21" s="68">
        <f>IF($J21="",0,$K21*MAX(0,MIN(YEAR($C$3)*12+MONTH($C$3),YEAR($I21)*12+MONTH($I21))-(YEAR($H21)*12+MONTH($H21))+1))</f>
        <v/>
      </c>
      <c r="M21" s="68">
        <f>IF($J21="",0,$K21*MAX(0,MIN(YEAR($C$3)*12+MONTH($C$3)-1,YEAR($I21)*12+MONTH($I21))-(YEAR($H21)*12+MONTH($H21))+1))</f>
        <v/>
      </c>
      <c r="N21" s="68">
        <f>IF(OR($J21="",$B21=""),0,IF(YEAR($B21)*12+MONTH($B21)&lt;=YEAR($C$3)*12+MONTH($C$3),$G21,0))</f>
        <v/>
      </c>
      <c r="O21" s="68">
        <f>IF(OR($J21="",$B21=""),0,IF(YEAR($B21)*12+MONTH($B21)&lt;=YEAR($C$3)*12+MONTH($C$3)-1,$G21,0))</f>
        <v/>
      </c>
      <c r="P21" s="68">
        <f>$M21-$O21</f>
        <v/>
      </c>
      <c r="Q21" s="68">
        <f>($L21-$M21)-($N21-$O21)</f>
        <v/>
      </c>
      <c r="R21" s="68">
        <f>$L21-$N21</f>
        <v/>
      </c>
      <c r="S21" s="67">
        <f>"Finance invoice"</f>
        <v/>
      </c>
      <c r="T21" s="67">
        <f>"Revenue"</f>
        <v/>
      </c>
    </row>
    <row r="22">
      <c r="A22" s="65">
        <f>ROW()-5</f>
        <v/>
      </c>
      <c r="B22" s="66">
        <f>IFERROR(INDEX(tbl_Finance[Date],$A22),"")</f>
        <v/>
      </c>
      <c r="C22" s="67">
        <f>IFERROR(INDEX(tbl_Finance[Xero Invoice No],$A22),"")</f>
        <v/>
      </c>
      <c r="D22" s="67">
        <f>IFERROR(INDEX(tbl_Finance[Client],$A22),"")</f>
        <v/>
      </c>
      <c r="E22" s="67">
        <f>IFERROR(INDEX(tbl_Finance[Job Number],$A22),"")</f>
        <v/>
      </c>
      <c r="F22" s="67">
        <f>IFERROR(INDEX(tbl_Finance[Cost Centre],$A22),"")</f>
        <v/>
      </c>
      <c r="G22" s="68">
        <f>IFERROR(INDEX(tbl_Finance[Ex GST],$A22),"")</f>
        <v/>
      </c>
      <c r="H22" s="66">
        <f>IFERROR(INDEX(tbl_Finance[Defer Start],$A22),"")</f>
        <v/>
      </c>
      <c r="I22" s="66">
        <f>IFERROR(INDEX(tbl_Finance[Defer End],$A22),"")</f>
        <v/>
      </c>
      <c r="J22" s="65">
        <f>IF(OR($H22="",$I22="",$G22=""),"",MAX(1,(YEAR($I22)-YEAR($H22))*12+MONTH($I22)-MONTH($H22)+1))</f>
        <v/>
      </c>
      <c r="K22" s="68">
        <f>IF($J22="","",$G22/$J22)</f>
        <v/>
      </c>
      <c r="L22" s="68">
        <f>IF($J22="",0,$K22*MAX(0,MIN(YEAR($C$3)*12+MONTH($C$3),YEAR($I22)*12+MONTH($I22))-(YEAR($H22)*12+MONTH($H22))+1))</f>
        <v/>
      </c>
      <c r="M22" s="68">
        <f>IF($J22="",0,$K22*MAX(0,MIN(YEAR($C$3)*12+MONTH($C$3)-1,YEAR($I22)*12+MONTH($I22))-(YEAR($H22)*12+MONTH($H22))+1))</f>
        <v/>
      </c>
      <c r="N22" s="68">
        <f>IF(OR($J22="",$B22=""),0,IF(YEAR($B22)*12+MONTH($B22)&lt;=YEAR($C$3)*12+MONTH($C$3),$G22,0))</f>
        <v/>
      </c>
      <c r="O22" s="68">
        <f>IF(OR($J22="",$B22=""),0,IF(YEAR($B22)*12+MONTH($B22)&lt;=YEAR($C$3)*12+MONTH($C$3)-1,$G22,0))</f>
        <v/>
      </c>
      <c r="P22" s="68">
        <f>$M22-$O22</f>
        <v/>
      </c>
      <c r="Q22" s="68">
        <f>($L22-$M22)-($N22-$O22)</f>
        <v/>
      </c>
      <c r="R22" s="68">
        <f>$L22-$N22</f>
        <v/>
      </c>
      <c r="S22" s="67">
        <f>"Finance invoice"</f>
        <v/>
      </c>
      <c r="T22" s="67">
        <f>"Revenue"</f>
        <v/>
      </c>
    </row>
    <row r="23">
      <c r="A23" s="65">
        <f>ROW()-5</f>
        <v/>
      </c>
      <c r="B23" s="66">
        <f>IFERROR(INDEX(tbl_Finance[Date],$A23),"")</f>
        <v/>
      </c>
      <c r="C23" s="67">
        <f>IFERROR(INDEX(tbl_Finance[Xero Invoice No],$A23),"")</f>
        <v/>
      </c>
      <c r="D23" s="67">
        <f>IFERROR(INDEX(tbl_Finance[Client],$A23),"")</f>
        <v/>
      </c>
      <c r="E23" s="67">
        <f>IFERROR(INDEX(tbl_Finance[Job Number],$A23),"")</f>
        <v/>
      </c>
      <c r="F23" s="67">
        <f>IFERROR(INDEX(tbl_Finance[Cost Centre],$A23),"")</f>
        <v/>
      </c>
      <c r="G23" s="68">
        <f>IFERROR(INDEX(tbl_Finance[Ex GST],$A23),"")</f>
        <v/>
      </c>
      <c r="H23" s="66">
        <f>IFERROR(INDEX(tbl_Finance[Defer Start],$A23),"")</f>
        <v/>
      </c>
      <c r="I23" s="66">
        <f>IFERROR(INDEX(tbl_Finance[Defer End],$A23),"")</f>
        <v/>
      </c>
      <c r="J23" s="65">
        <f>IF(OR($H23="",$I23="",$G23=""),"",MAX(1,(YEAR($I23)-YEAR($H23))*12+MONTH($I23)-MONTH($H23)+1))</f>
        <v/>
      </c>
      <c r="K23" s="68">
        <f>IF($J23="","",$G23/$J23)</f>
        <v/>
      </c>
      <c r="L23" s="68">
        <f>IF($J23="",0,$K23*MAX(0,MIN(YEAR($C$3)*12+MONTH($C$3),YEAR($I23)*12+MONTH($I23))-(YEAR($H23)*12+MONTH($H23))+1))</f>
        <v/>
      </c>
      <c r="M23" s="68">
        <f>IF($J23="",0,$K23*MAX(0,MIN(YEAR($C$3)*12+MONTH($C$3)-1,YEAR($I23)*12+MONTH($I23))-(YEAR($H23)*12+MONTH($H23))+1))</f>
        <v/>
      </c>
      <c r="N23" s="68">
        <f>IF(OR($J23="",$B23=""),0,IF(YEAR($B23)*12+MONTH($B23)&lt;=YEAR($C$3)*12+MONTH($C$3),$G23,0))</f>
        <v/>
      </c>
      <c r="O23" s="68">
        <f>IF(OR($J23="",$B23=""),0,IF(YEAR($B23)*12+MONTH($B23)&lt;=YEAR($C$3)*12+MONTH($C$3)-1,$G23,0))</f>
        <v/>
      </c>
      <c r="P23" s="68">
        <f>$M23-$O23</f>
        <v/>
      </c>
      <c r="Q23" s="68">
        <f>($L23-$M23)-($N23-$O23)</f>
        <v/>
      </c>
      <c r="R23" s="68">
        <f>$L23-$N23</f>
        <v/>
      </c>
      <c r="S23" s="67">
        <f>"Finance invoice"</f>
        <v/>
      </c>
      <c r="T23" s="67">
        <f>"Revenue"</f>
        <v/>
      </c>
    </row>
    <row r="24">
      <c r="A24" s="65">
        <f>ROW()-5</f>
        <v/>
      </c>
      <c r="B24" s="66">
        <f>IFERROR(INDEX(tbl_Finance[Date],$A24),"")</f>
        <v/>
      </c>
      <c r="C24" s="67">
        <f>IFERROR(INDEX(tbl_Finance[Xero Invoice No],$A24),"")</f>
        <v/>
      </c>
      <c r="D24" s="67">
        <f>IFERROR(INDEX(tbl_Finance[Client],$A24),"")</f>
        <v/>
      </c>
      <c r="E24" s="67">
        <f>IFERROR(INDEX(tbl_Finance[Job Number],$A24),"")</f>
        <v/>
      </c>
      <c r="F24" s="67">
        <f>IFERROR(INDEX(tbl_Finance[Cost Centre],$A24),"")</f>
        <v/>
      </c>
      <c r="G24" s="68">
        <f>IFERROR(INDEX(tbl_Finance[Ex GST],$A24),"")</f>
        <v/>
      </c>
      <c r="H24" s="66">
        <f>IFERROR(INDEX(tbl_Finance[Defer Start],$A24),"")</f>
        <v/>
      </c>
      <c r="I24" s="66">
        <f>IFERROR(INDEX(tbl_Finance[Defer End],$A24),"")</f>
        <v/>
      </c>
      <c r="J24" s="65">
        <f>IF(OR($H24="",$I24="",$G24=""),"",MAX(1,(YEAR($I24)-YEAR($H24))*12+MONTH($I24)-MONTH($H24)+1))</f>
        <v/>
      </c>
      <c r="K24" s="68">
        <f>IF($J24="","",$G24/$J24)</f>
        <v/>
      </c>
      <c r="L24" s="68">
        <f>IF($J24="",0,$K24*MAX(0,MIN(YEAR($C$3)*12+MONTH($C$3),YEAR($I24)*12+MONTH($I24))-(YEAR($H24)*12+MONTH($H24))+1))</f>
        <v/>
      </c>
      <c r="M24" s="68">
        <f>IF($J24="",0,$K24*MAX(0,MIN(YEAR($C$3)*12+MONTH($C$3)-1,YEAR($I24)*12+MONTH($I24))-(YEAR($H24)*12+MONTH($H24))+1))</f>
        <v/>
      </c>
      <c r="N24" s="68">
        <f>IF(OR($J24="",$B24=""),0,IF(YEAR($B24)*12+MONTH($B24)&lt;=YEAR($C$3)*12+MONTH($C$3),$G24,0))</f>
        <v/>
      </c>
      <c r="O24" s="68">
        <f>IF(OR($J24="",$B24=""),0,IF(YEAR($B24)*12+MONTH($B24)&lt;=YEAR($C$3)*12+MONTH($C$3)-1,$G24,0))</f>
        <v/>
      </c>
      <c r="P24" s="68">
        <f>$M24-$O24</f>
        <v/>
      </c>
      <c r="Q24" s="68">
        <f>($L24-$M24)-($N24-$O24)</f>
        <v/>
      </c>
      <c r="R24" s="68">
        <f>$L24-$N24</f>
        <v/>
      </c>
      <c r="S24" s="67">
        <f>"Finance invoice"</f>
        <v/>
      </c>
      <c r="T24" s="67">
        <f>"Revenue"</f>
        <v/>
      </c>
    </row>
    <row r="25">
      <c r="A25" s="65">
        <f>ROW()-5</f>
        <v/>
      </c>
      <c r="B25" s="66">
        <f>IFERROR(INDEX(tbl_Finance[Date],$A25),"")</f>
        <v/>
      </c>
      <c r="C25" s="67">
        <f>IFERROR(INDEX(tbl_Finance[Xero Invoice No],$A25),"")</f>
        <v/>
      </c>
      <c r="D25" s="67">
        <f>IFERROR(INDEX(tbl_Finance[Client],$A25),"")</f>
        <v/>
      </c>
      <c r="E25" s="67">
        <f>IFERROR(INDEX(tbl_Finance[Job Number],$A25),"")</f>
        <v/>
      </c>
      <c r="F25" s="67">
        <f>IFERROR(INDEX(tbl_Finance[Cost Centre],$A25),"")</f>
        <v/>
      </c>
      <c r="G25" s="68">
        <f>IFERROR(INDEX(tbl_Finance[Ex GST],$A25),"")</f>
        <v/>
      </c>
      <c r="H25" s="66">
        <f>IFERROR(INDEX(tbl_Finance[Defer Start],$A25),"")</f>
        <v/>
      </c>
      <c r="I25" s="66">
        <f>IFERROR(INDEX(tbl_Finance[Defer End],$A25),"")</f>
        <v/>
      </c>
      <c r="J25" s="65">
        <f>IF(OR($H25="",$I25="",$G25=""),"",MAX(1,(YEAR($I25)-YEAR($H25))*12+MONTH($I25)-MONTH($H25)+1))</f>
        <v/>
      </c>
      <c r="K25" s="68">
        <f>IF($J25="","",$G25/$J25)</f>
        <v/>
      </c>
      <c r="L25" s="68">
        <f>IF($J25="",0,$K25*MAX(0,MIN(YEAR($C$3)*12+MONTH($C$3),YEAR($I25)*12+MONTH($I25))-(YEAR($H25)*12+MONTH($H25))+1))</f>
        <v/>
      </c>
      <c r="M25" s="68">
        <f>IF($J25="",0,$K25*MAX(0,MIN(YEAR($C$3)*12+MONTH($C$3)-1,YEAR($I25)*12+MONTH($I25))-(YEAR($H25)*12+MONTH($H25))+1))</f>
        <v/>
      </c>
      <c r="N25" s="68">
        <f>IF(OR($J25="",$B25=""),0,IF(YEAR($B25)*12+MONTH($B25)&lt;=YEAR($C$3)*12+MONTH($C$3),$G25,0))</f>
        <v/>
      </c>
      <c r="O25" s="68">
        <f>IF(OR($J25="",$B25=""),0,IF(YEAR($B25)*12+MONTH($B25)&lt;=YEAR($C$3)*12+MONTH($C$3)-1,$G25,0))</f>
        <v/>
      </c>
      <c r="P25" s="68">
        <f>$M25-$O25</f>
        <v/>
      </c>
      <c r="Q25" s="68">
        <f>($L25-$M25)-($N25-$O25)</f>
        <v/>
      </c>
      <c r="R25" s="68">
        <f>$L25-$N25</f>
        <v/>
      </c>
      <c r="S25" s="67">
        <f>"Finance invoice"</f>
        <v/>
      </c>
      <c r="T25" s="67">
        <f>"Revenue"</f>
        <v/>
      </c>
    </row>
    <row r="26">
      <c r="A26" s="65">
        <f>ROW()-5</f>
        <v/>
      </c>
      <c r="B26" s="66">
        <f>IFERROR(INDEX(tbl_Finance[Date],$A26),"")</f>
        <v/>
      </c>
      <c r="C26" s="67">
        <f>IFERROR(INDEX(tbl_Finance[Xero Invoice No],$A26),"")</f>
        <v/>
      </c>
      <c r="D26" s="67">
        <f>IFERROR(INDEX(tbl_Finance[Client],$A26),"")</f>
        <v/>
      </c>
      <c r="E26" s="67">
        <f>IFERROR(INDEX(tbl_Finance[Job Number],$A26),"")</f>
        <v/>
      </c>
      <c r="F26" s="67">
        <f>IFERROR(INDEX(tbl_Finance[Cost Centre],$A26),"")</f>
        <v/>
      </c>
      <c r="G26" s="68">
        <f>IFERROR(INDEX(tbl_Finance[Ex GST],$A26),"")</f>
        <v/>
      </c>
      <c r="H26" s="66">
        <f>IFERROR(INDEX(tbl_Finance[Defer Start],$A26),"")</f>
        <v/>
      </c>
      <c r="I26" s="66">
        <f>IFERROR(INDEX(tbl_Finance[Defer End],$A26),"")</f>
        <v/>
      </c>
      <c r="J26" s="65">
        <f>IF(OR($H26="",$I26="",$G26=""),"",MAX(1,(YEAR($I26)-YEAR($H26))*12+MONTH($I26)-MONTH($H26)+1))</f>
        <v/>
      </c>
      <c r="K26" s="68">
        <f>IF($J26="","",$G26/$J26)</f>
        <v/>
      </c>
      <c r="L26" s="68">
        <f>IF($J26="",0,$K26*MAX(0,MIN(YEAR($C$3)*12+MONTH($C$3),YEAR($I26)*12+MONTH($I26))-(YEAR($H26)*12+MONTH($H26))+1))</f>
        <v/>
      </c>
      <c r="M26" s="68">
        <f>IF($J26="",0,$K26*MAX(0,MIN(YEAR($C$3)*12+MONTH($C$3)-1,YEAR($I26)*12+MONTH($I26))-(YEAR($H26)*12+MONTH($H26))+1))</f>
        <v/>
      </c>
      <c r="N26" s="68">
        <f>IF(OR($J26="",$B26=""),0,IF(YEAR($B26)*12+MONTH($B26)&lt;=YEAR($C$3)*12+MONTH($C$3),$G26,0))</f>
        <v/>
      </c>
      <c r="O26" s="68">
        <f>IF(OR($J26="",$B26=""),0,IF(YEAR($B26)*12+MONTH($B26)&lt;=YEAR($C$3)*12+MONTH($C$3)-1,$G26,0))</f>
        <v/>
      </c>
      <c r="P26" s="68">
        <f>$M26-$O26</f>
        <v/>
      </c>
      <c r="Q26" s="68">
        <f>($L26-$M26)-($N26-$O26)</f>
        <v/>
      </c>
      <c r="R26" s="68">
        <f>$L26-$N26</f>
        <v/>
      </c>
      <c r="S26" s="67">
        <f>"Finance invoice"</f>
        <v/>
      </c>
      <c r="T26" s="67">
        <f>"Revenue"</f>
        <v/>
      </c>
    </row>
    <row r="27">
      <c r="A27" s="65">
        <f>ROW()-5</f>
        <v/>
      </c>
      <c r="B27" s="66">
        <f>IFERROR(INDEX(tbl_Finance[Date],$A27),"")</f>
        <v/>
      </c>
      <c r="C27" s="67">
        <f>IFERROR(INDEX(tbl_Finance[Xero Invoice No],$A27),"")</f>
        <v/>
      </c>
      <c r="D27" s="67">
        <f>IFERROR(INDEX(tbl_Finance[Client],$A27),"")</f>
        <v/>
      </c>
      <c r="E27" s="67">
        <f>IFERROR(INDEX(tbl_Finance[Job Number],$A27),"")</f>
        <v/>
      </c>
      <c r="F27" s="67">
        <f>IFERROR(INDEX(tbl_Finance[Cost Centre],$A27),"")</f>
        <v/>
      </c>
      <c r="G27" s="68">
        <f>IFERROR(INDEX(tbl_Finance[Ex GST],$A27),"")</f>
        <v/>
      </c>
      <c r="H27" s="66">
        <f>IFERROR(INDEX(tbl_Finance[Defer Start],$A27),"")</f>
        <v/>
      </c>
      <c r="I27" s="66">
        <f>IFERROR(INDEX(tbl_Finance[Defer End],$A27),"")</f>
        <v/>
      </c>
      <c r="J27" s="65">
        <f>IF(OR($H27="",$I27="",$G27=""),"",MAX(1,(YEAR($I27)-YEAR($H27))*12+MONTH($I27)-MONTH($H27)+1))</f>
        <v/>
      </c>
      <c r="K27" s="68">
        <f>IF($J27="","",$G27/$J27)</f>
        <v/>
      </c>
      <c r="L27" s="68">
        <f>IF($J27="",0,$K27*MAX(0,MIN(YEAR($C$3)*12+MONTH($C$3),YEAR($I27)*12+MONTH($I27))-(YEAR($H27)*12+MONTH($H27))+1))</f>
        <v/>
      </c>
      <c r="M27" s="68">
        <f>IF($J27="",0,$K27*MAX(0,MIN(YEAR($C$3)*12+MONTH($C$3)-1,YEAR($I27)*12+MONTH($I27))-(YEAR($H27)*12+MONTH($H27))+1))</f>
        <v/>
      </c>
      <c r="N27" s="68">
        <f>IF(OR($J27="",$B27=""),0,IF(YEAR($B27)*12+MONTH($B27)&lt;=YEAR($C$3)*12+MONTH($C$3),$G27,0))</f>
        <v/>
      </c>
      <c r="O27" s="68">
        <f>IF(OR($J27="",$B27=""),0,IF(YEAR($B27)*12+MONTH($B27)&lt;=YEAR($C$3)*12+MONTH($C$3)-1,$G27,0))</f>
        <v/>
      </c>
      <c r="P27" s="68">
        <f>$M27-$O27</f>
        <v/>
      </c>
      <c r="Q27" s="68">
        <f>($L27-$M27)-($N27-$O27)</f>
        <v/>
      </c>
      <c r="R27" s="68">
        <f>$L27-$N27</f>
        <v/>
      </c>
      <c r="S27" s="67">
        <f>"Finance invoice"</f>
        <v/>
      </c>
      <c r="T27" s="67">
        <f>"Revenue"</f>
        <v/>
      </c>
    </row>
    <row r="28">
      <c r="A28" s="65">
        <f>ROW()-5</f>
        <v/>
      </c>
      <c r="B28" s="66">
        <f>IFERROR(INDEX(tbl_Finance[Date],$A28),"")</f>
        <v/>
      </c>
      <c r="C28" s="67">
        <f>IFERROR(INDEX(tbl_Finance[Xero Invoice No],$A28),"")</f>
        <v/>
      </c>
      <c r="D28" s="67">
        <f>IFERROR(INDEX(tbl_Finance[Client],$A28),"")</f>
        <v/>
      </c>
      <c r="E28" s="67">
        <f>IFERROR(INDEX(tbl_Finance[Job Number],$A28),"")</f>
        <v/>
      </c>
      <c r="F28" s="67">
        <f>IFERROR(INDEX(tbl_Finance[Cost Centre],$A28),"")</f>
        <v/>
      </c>
      <c r="G28" s="68">
        <f>IFERROR(INDEX(tbl_Finance[Ex GST],$A28),"")</f>
        <v/>
      </c>
      <c r="H28" s="66">
        <f>IFERROR(INDEX(tbl_Finance[Defer Start],$A28),"")</f>
        <v/>
      </c>
      <c r="I28" s="66">
        <f>IFERROR(INDEX(tbl_Finance[Defer End],$A28),"")</f>
        <v/>
      </c>
      <c r="J28" s="65">
        <f>IF(OR($H28="",$I28="",$G28=""),"",MAX(1,(YEAR($I28)-YEAR($H28))*12+MONTH($I28)-MONTH($H28)+1))</f>
        <v/>
      </c>
      <c r="K28" s="68">
        <f>IF($J28="","",$G28/$J28)</f>
        <v/>
      </c>
      <c r="L28" s="68">
        <f>IF($J28="",0,$K28*MAX(0,MIN(YEAR($C$3)*12+MONTH($C$3),YEAR($I28)*12+MONTH($I28))-(YEAR($H28)*12+MONTH($H28))+1))</f>
        <v/>
      </c>
      <c r="M28" s="68">
        <f>IF($J28="",0,$K28*MAX(0,MIN(YEAR($C$3)*12+MONTH($C$3)-1,YEAR($I28)*12+MONTH($I28))-(YEAR($H28)*12+MONTH($H28))+1))</f>
        <v/>
      </c>
      <c r="N28" s="68">
        <f>IF(OR($J28="",$B28=""),0,IF(YEAR($B28)*12+MONTH($B28)&lt;=YEAR($C$3)*12+MONTH($C$3),$G28,0))</f>
        <v/>
      </c>
      <c r="O28" s="68">
        <f>IF(OR($J28="",$B28=""),0,IF(YEAR($B28)*12+MONTH($B28)&lt;=YEAR($C$3)*12+MONTH($C$3)-1,$G28,0))</f>
        <v/>
      </c>
      <c r="P28" s="68">
        <f>$M28-$O28</f>
        <v/>
      </c>
      <c r="Q28" s="68">
        <f>($L28-$M28)-($N28-$O28)</f>
        <v/>
      </c>
      <c r="R28" s="68">
        <f>$L28-$N28</f>
        <v/>
      </c>
      <c r="S28" s="67">
        <f>"Finance invoice"</f>
        <v/>
      </c>
      <c r="T28" s="67">
        <f>"Revenue"</f>
        <v/>
      </c>
    </row>
    <row r="29">
      <c r="A29" s="65">
        <f>ROW()-5</f>
        <v/>
      </c>
      <c r="B29" s="66">
        <f>IFERROR(INDEX(tbl_Finance[Date],$A29),"")</f>
        <v/>
      </c>
      <c r="C29" s="67">
        <f>IFERROR(INDEX(tbl_Finance[Xero Invoice No],$A29),"")</f>
        <v/>
      </c>
      <c r="D29" s="67">
        <f>IFERROR(INDEX(tbl_Finance[Client],$A29),"")</f>
        <v/>
      </c>
      <c r="E29" s="67">
        <f>IFERROR(INDEX(tbl_Finance[Job Number],$A29),"")</f>
        <v/>
      </c>
      <c r="F29" s="67">
        <f>IFERROR(INDEX(tbl_Finance[Cost Centre],$A29),"")</f>
        <v/>
      </c>
      <c r="G29" s="68">
        <f>IFERROR(INDEX(tbl_Finance[Ex GST],$A29),"")</f>
        <v/>
      </c>
      <c r="H29" s="66">
        <f>IFERROR(INDEX(tbl_Finance[Defer Start],$A29),"")</f>
        <v/>
      </c>
      <c r="I29" s="66">
        <f>IFERROR(INDEX(tbl_Finance[Defer End],$A29),"")</f>
        <v/>
      </c>
      <c r="J29" s="65">
        <f>IF(OR($H29="",$I29="",$G29=""),"",MAX(1,(YEAR($I29)-YEAR($H29))*12+MONTH($I29)-MONTH($H29)+1))</f>
        <v/>
      </c>
      <c r="K29" s="68">
        <f>IF($J29="","",$G29/$J29)</f>
        <v/>
      </c>
      <c r="L29" s="68">
        <f>IF($J29="",0,$K29*MAX(0,MIN(YEAR($C$3)*12+MONTH($C$3),YEAR($I29)*12+MONTH($I29))-(YEAR($H29)*12+MONTH($H29))+1))</f>
        <v/>
      </c>
      <c r="M29" s="68">
        <f>IF($J29="",0,$K29*MAX(0,MIN(YEAR($C$3)*12+MONTH($C$3)-1,YEAR($I29)*12+MONTH($I29))-(YEAR($H29)*12+MONTH($H29))+1))</f>
        <v/>
      </c>
      <c r="N29" s="68">
        <f>IF(OR($J29="",$B29=""),0,IF(YEAR($B29)*12+MONTH($B29)&lt;=YEAR($C$3)*12+MONTH($C$3),$G29,0))</f>
        <v/>
      </c>
      <c r="O29" s="68">
        <f>IF(OR($J29="",$B29=""),0,IF(YEAR($B29)*12+MONTH($B29)&lt;=YEAR($C$3)*12+MONTH($C$3)-1,$G29,0))</f>
        <v/>
      </c>
      <c r="P29" s="68">
        <f>$M29-$O29</f>
        <v/>
      </c>
      <c r="Q29" s="68">
        <f>($L29-$M29)-($N29-$O29)</f>
        <v/>
      </c>
      <c r="R29" s="68">
        <f>$L29-$N29</f>
        <v/>
      </c>
      <c r="S29" s="67">
        <f>"Finance invoice"</f>
        <v/>
      </c>
      <c r="T29" s="67">
        <f>"Revenue"</f>
        <v/>
      </c>
    </row>
    <row r="30">
      <c r="A30" s="65">
        <f>ROW()-5</f>
        <v/>
      </c>
      <c r="B30" s="66">
        <f>IFERROR(INDEX(tbl_Finance[Date],$A30),"")</f>
        <v/>
      </c>
      <c r="C30" s="67">
        <f>IFERROR(INDEX(tbl_Finance[Xero Invoice No],$A30),"")</f>
        <v/>
      </c>
      <c r="D30" s="67">
        <f>IFERROR(INDEX(tbl_Finance[Client],$A30),"")</f>
        <v/>
      </c>
      <c r="E30" s="67">
        <f>IFERROR(INDEX(tbl_Finance[Job Number],$A30),"")</f>
        <v/>
      </c>
      <c r="F30" s="67">
        <f>IFERROR(INDEX(tbl_Finance[Cost Centre],$A30),"")</f>
        <v/>
      </c>
      <c r="G30" s="68">
        <f>IFERROR(INDEX(tbl_Finance[Ex GST],$A30),"")</f>
        <v/>
      </c>
      <c r="H30" s="66">
        <f>IFERROR(INDEX(tbl_Finance[Defer Start],$A30),"")</f>
        <v/>
      </c>
      <c r="I30" s="66">
        <f>IFERROR(INDEX(tbl_Finance[Defer End],$A30),"")</f>
        <v/>
      </c>
      <c r="J30" s="65">
        <f>IF(OR($H30="",$I30="",$G30=""),"",MAX(1,(YEAR($I30)-YEAR($H30))*12+MONTH($I30)-MONTH($H30)+1))</f>
        <v/>
      </c>
      <c r="K30" s="68">
        <f>IF($J30="","",$G30/$J30)</f>
        <v/>
      </c>
      <c r="L30" s="68">
        <f>IF($J30="",0,$K30*MAX(0,MIN(YEAR($C$3)*12+MONTH($C$3),YEAR($I30)*12+MONTH($I30))-(YEAR($H30)*12+MONTH($H30))+1))</f>
        <v/>
      </c>
      <c r="M30" s="68">
        <f>IF($J30="",0,$K30*MAX(0,MIN(YEAR($C$3)*12+MONTH($C$3)-1,YEAR($I30)*12+MONTH($I30))-(YEAR($H30)*12+MONTH($H30))+1))</f>
        <v/>
      </c>
      <c r="N30" s="68">
        <f>IF(OR($J30="",$B30=""),0,IF(YEAR($B30)*12+MONTH($B30)&lt;=YEAR($C$3)*12+MONTH($C$3),$G30,0))</f>
        <v/>
      </c>
      <c r="O30" s="68">
        <f>IF(OR($J30="",$B30=""),0,IF(YEAR($B30)*12+MONTH($B30)&lt;=YEAR($C$3)*12+MONTH($C$3)-1,$G30,0))</f>
        <v/>
      </c>
      <c r="P30" s="68">
        <f>$M30-$O30</f>
        <v/>
      </c>
      <c r="Q30" s="68">
        <f>($L30-$M30)-($N30-$O30)</f>
        <v/>
      </c>
      <c r="R30" s="68">
        <f>$L30-$N30</f>
        <v/>
      </c>
      <c r="S30" s="67">
        <f>"Finance invoice"</f>
        <v/>
      </c>
      <c r="T30" s="67">
        <f>"Revenue"</f>
        <v/>
      </c>
    </row>
    <row r="31">
      <c r="A31" s="65">
        <f>ROW()-5</f>
        <v/>
      </c>
      <c r="B31" s="66">
        <f>IFERROR(INDEX(tbl_Finance[Date],$A31),"")</f>
        <v/>
      </c>
      <c r="C31" s="67">
        <f>IFERROR(INDEX(tbl_Finance[Xero Invoice No],$A31),"")</f>
        <v/>
      </c>
      <c r="D31" s="67">
        <f>IFERROR(INDEX(tbl_Finance[Client],$A31),"")</f>
        <v/>
      </c>
      <c r="E31" s="67">
        <f>IFERROR(INDEX(tbl_Finance[Job Number],$A31),"")</f>
        <v/>
      </c>
      <c r="F31" s="67">
        <f>IFERROR(INDEX(tbl_Finance[Cost Centre],$A31),"")</f>
        <v/>
      </c>
      <c r="G31" s="68">
        <f>IFERROR(INDEX(tbl_Finance[Ex GST],$A31),"")</f>
        <v/>
      </c>
      <c r="H31" s="66">
        <f>IFERROR(INDEX(tbl_Finance[Defer Start],$A31),"")</f>
        <v/>
      </c>
      <c r="I31" s="66">
        <f>IFERROR(INDEX(tbl_Finance[Defer End],$A31),"")</f>
        <v/>
      </c>
      <c r="J31" s="65">
        <f>IF(OR($H31="",$I31="",$G31=""),"",MAX(1,(YEAR($I31)-YEAR($H31))*12+MONTH($I31)-MONTH($H31)+1))</f>
        <v/>
      </c>
      <c r="K31" s="68">
        <f>IF($J31="","",$G31/$J31)</f>
        <v/>
      </c>
      <c r="L31" s="68">
        <f>IF($J31="",0,$K31*MAX(0,MIN(YEAR($C$3)*12+MONTH($C$3),YEAR($I31)*12+MONTH($I31))-(YEAR($H31)*12+MONTH($H31))+1))</f>
        <v/>
      </c>
      <c r="M31" s="68">
        <f>IF($J31="",0,$K31*MAX(0,MIN(YEAR($C$3)*12+MONTH($C$3)-1,YEAR($I31)*12+MONTH($I31))-(YEAR($H31)*12+MONTH($H31))+1))</f>
        <v/>
      </c>
      <c r="N31" s="68">
        <f>IF(OR($J31="",$B31=""),0,IF(YEAR($B31)*12+MONTH($B31)&lt;=YEAR($C$3)*12+MONTH($C$3),$G31,0))</f>
        <v/>
      </c>
      <c r="O31" s="68">
        <f>IF(OR($J31="",$B31=""),0,IF(YEAR($B31)*12+MONTH($B31)&lt;=YEAR($C$3)*12+MONTH($C$3)-1,$G31,0))</f>
        <v/>
      </c>
      <c r="P31" s="68">
        <f>$M31-$O31</f>
        <v/>
      </c>
      <c r="Q31" s="68">
        <f>($L31-$M31)-($N31-$O31)</f>
        <v/>
      </c>
      <c r="R31" s="68">
        <f>$L31-$N31</f>
        <v/>
      </c>
      <c r="S31" s="67">
        <f>"Finance invoice"</f>
        <v/>
      </c>
      <c r="T31" s="67">
        <f>"Revenue"</f>
        <v/>
      </c>
    </row>
    <row r="32">
      <c r="A32" s="65">
        <f>ROW()-5</f>
        <v/>
      </c>
      <c r="B32" s="66">
        <f>IFERROR(INDEX(tbl_Finance[Date],$A32),"")</f>
        <v/>
      </c>
      <c r="C32" s="67">
        <f>IFERROR(INDEX(tbl_Finance[Xero Invoice No],$A32),"")</f>
        <v/>
      </c>
      <c r="D32" s="67">
        <f>IFERROR(INDEX(tbl_Finance[Client],$A32),"")</f>
        <v/>
      </c>
      <c r="E32" s="67">
        <f>IFERROR(INDEX(tbl_Finance[Job Number],$A32),"")</f>
        <v/>
      </c>
      <c r="F32" s="67">
        <f>IFERROR(INDEX(tbl_Finance[Cost Centre],$A32),"")</f>
        <v/>
      </c>
      <c r="G32" s="68">
        <f>IFERROR(INDEX(tbl_Finance[Ex GST],$A32),"")</f>
        <v/>
      </c>
      <c r="H32" s="66">
        <f>IFERROR(INDEX(tbl_Finance[Defer Start],$A32),"")</f>
        <v/>
      </c>
      <c r="I32" s="66">
        <f>IFERROR(INDEX(tbl_Finance[Defer End],$A32),"")</f>
        <v/>
      </c>
      <c r="J32" s="65">
        <f>IF(OR($H32="",$I32="",$G32=""),"",MAX(1,(YEAR($I32)-YEAR($H32))*12+MONTH($I32)-MONTH($H32)+1))</f>
        <v/>
      </c>
      <c r="K32" s="68">
        <f>IF($J32="","",$G32/$J32)</f>
        <v/>
      </c>
      <c r="L32" s="68">
        <f>IF($J32="",0,$K32*MAX(0,MIN(YEAR($C$3)*12+MONTH($C$3),YEAR($I32)*12+MONTH($I32))-(YEAR($H32)*12+MONTH($H32))+1))</f>
        <v/>
      </c>
      <c r="M32" s="68">
        <f>IF($J32="",0,$K32*MAX(0,MIN(YEAR($C$3)*12+MONTH($C$3)-1,YEAR($I32)*12+MONTH($I32))-(YEAR($H32)*12+MONTH($H32))+1))</f>
        <v/>
      </c>
      <c r="N32" s="68">
        <f>IF(OR($J32="",$B32=""),0,IF(YEAR($B32)*12+MONTH($B32)&lt;=YEAR($C$3)*12+MONTH($C$3),$G32,0))</f>
        <v/>
      </c>
      <c r="O32" s="68">
        <f>IF(OR($J32="",$B32=""),0,IF(YEAR($B32)*12+MONTH($B32)&lt;=YEAR($C$3)*12+MONTH($C$3)-1,$G32,0))</f>
        <v/>
      </c>
      <c r="P32" s="68">
        <f>$M32-$O32</f>
        <v/>
      </c>
      <c r="Q32" s="68">
        <f>($L32-$M32)-($N32-$O32)</f>
        <v/>
      </c>
      <c r="R32" s="68">
        <f>$L32-$N32</f>
        <v/>
      </c>
      <c r="S32" s="67">
        <f>"Finance invoice"</f>
        <v/>
      </c>
      <c r="T32" s="67">
        <f>"Revenue"</f>
        <v/>
      </c>
    </row>
    <row r="33">
      <c r="A33" s="65">
        <f>ROW()-5</f>
        <v/>
      </c>
      <c r="B33" s="66">
        <f>IFERROR(INDEX(tbl_Finance[Date],$A33),"")</f>
        <v/>
      </c>
      <c r="C33" s="67">
        <f>IFERROR(INDEX(tbl_Finance[Xero Invoice No],$A33),"")</f>
        <v/>
      </c>
      <c r="D33" s="67">
        <f>IFERROR(INDEX(tbl_Finance[Client],$A33),"")</f>
        <v/>
      </c>
      <c r="E33" s="67">
        <f>IFERROR(INDEX(tbl_Finance[Job Number],$A33),"")</f>
        <v/>
      </c>
      <c r="F33" s="67">
        <f>IFERROR(INDEX(tbl_Finance[Cost Centre],$A33),"")</f>
        <v/>
      </c>
      <c r="G33" s="68">
        <f>IFERROR(INDEX(tbl_Finance[Ex GST],$A33),"")</f>
        <v/>
      </c>
      <c r="H33" s="66">
        <f>IFERROR(INDEX(tbl_Finance[Defer Start],$A33),"")</f>
        <v/>
      </c>
      <c r="I33" s="66">
        <f>IFERROR(INDEX(tbl_Finance[Defer End],$A33),"")</f>
        <v/>
      </c>
      <c r="J33" s="65">
        <f>IF(OR($H33="",$I33="",$G33=""),"",MAX(1,(YEAR($I33)-YEAR($H33))*12+MONTH($I33)-MONTH($H33)+1))</f>
        <v/>
      </c>
      <c r="K33" s="68">
        <f>IF($J33="","",$G33/$J33)</f>
        <v/>
      </c>
      <c r="L33" s="68">
        <f>IF($J33="",0,$K33*MAX(0,MIN(YEAR($C$3)*12+MONTH($C$3),YEAR($I33)*12+MONTH($I33))-(YEAR($H33)*12+MONTH($H33))+1))</f>
        <v/>
      </c>
      <c r="M33" s="68">
        <f>IF($J33="",0,$K33*MAX(0,MIN(YEAR($C$3)*12+MONTH($C$3)-1,YEAR($I33)*12+MONTH($I33))-(YEAR($H33)*12+MONTH($H33))+1))</f>
        <v/>
      </c>
      <c r="N33" s="68">
        <f>IF(OR($J33="",$B33=""),0,IF(YEAR($B33)*12+MONTH($B33)&lt;=YEAR($C$3)*12+MONTH($C$3),$G33,0))</f>
        <v/>
      </c>
      <c r="O33" s="68">
        <f>IF(OR($J33="",$B33=""),0,IF(YEAR($B33)*12+MONTH($B33)&lt;=YEAR($C$3)*12+MONTH($C$3)-1,$G33,0))</f>
        <v/>
      </c>
      <c r="P33" s="68">
        <f>$M33-$O33</f>
        <v/>
      </c>
      <c r="Q33" s="68">
        <f>($L33-$M33)-($N33-$O33)</f>
        <v/>
      </c>
      <c r="R33" s="68">
        <f>$L33-$N33</f>
        <v/>
      </c>
      <c r="S33" s="67">
        <f>"Finance invoice"</f>
        <v/>
      </c>
      <c r="T33" s="67">
        <f>"Revenue"</f>
        <v/>
      </c>
    </row>
    <row r="34">
      <c r="A34" s="65">
        <f>ROW()-5</f>
        <v/>
      </c>
      <c r="B34" s="66">
        <f>IFERROR(INDEX(tbl_Finance[Date],$A34),"")</f>
        <v/>
      </c>
      <c r="C34" s="67">
        <f>IFERROR(INDEX(tbl_Finance[Xero Invoice No],$A34),"")</f>
        <v/>
      </c>
      <c r="D34" s="67">
        <f>IFERROR(INDEX(tbl_Finance[Client],$A34),"")</f>
        <v/>
      </c>
      <c r="E34" s="67">
        <f>IFERROR(INDEX(tbl_Finance[Job Number],$A34),"")</f>
        <v/>
      </c>
      <c r="F34" s="67">
        <f>IFERROR(INDEX(tbl_Finance[Cost Centre],$A34),"")</f>
        <v/>
      </c>
      <c r="G34" s="68">
        <f>IFERROR(INDEX(tbl_Finance[Ex GST],$A34),"")</f>
        <v/>
      </c>
      <c r="H34" s="66">
        <f>IFERROR(INDEX(tbl_Finance[Defer Start],$A34),"")</f>
        <v/>
      </c>
      <c r="I34" s="66">
        <f>IFERROR(INDEX(tbl_Finance[Defer End],$A34),"")</f>
        <v/>
      </c>
      <c r="J34" s="65">
        <f>IF(OR($H34="",$I34="",$G34=""),"",MAX(1,(YEAR($I34)-YEAR($H34))*12+MONTH($I34)-MONTH($H34)+1))</f>
        <v/>
      </c>
      <c r="K34" s="68">
        <f>IF($J34="","",$G34/$J34)</f>
        <v/>
      </c>
      <c r="L34" s="68">
        <f>IF($J34="",0,$K34*MAX(0,MIN(YEAR($C$3)*12+MONTH($C$3),YEAR($I34)*12+MONTH($I34))-(YEAR($H34)*12+MONTH($H34))+1))</f>
        <v/>
      </c>
      <c r="M34" s="68">
        <f>IF($J34="",0,$K34*MAX(0,MIN(YEAR($C$3)*12+MONTH($C$3)-1,YEAR($I34)*12+MONTH($I34))-(YEAR($H34)*12+MONTH($H34))+1))</f>
        <v/>
      </c>
      <c r="N34" s="68">
        <f>IF(OR($J34="",$B34=""),0,IF(YEAR($B34)*12+MONTH($B34)&lt;=YEAR($C$3)*12+MONTH($C$3),$G34,0))</f>
        <v/>
      </c>
      <c r="O34" s="68">
        <f>IF(OR($J34="",$B34=""),0,IF(YEAR($B34)*12+MONTH($B34)&lt;=YEAR($C$3)*12+MONTH($C$3)-1,$G34,0))</f>
        <v/>
      </c>
      <c r="P34" s="68">
        <f>$M34-$O34</f>
        <v/>
      </c>
      <c r="Q34" s="68">
        <f>($L34-$M34)-($N34-$O34)</f>
        <v/>
      </c>
      <c r="R34" s="68">
        <f>$L34-$N34</f>
        <v/>
      </c>
      <c r="S34" s="67">
        <f>"Finance invoice"</f>
        <v/>
      </c>
      <c r="T34" s="67">
        <f>"Revenue"</f>
        <v/>
      </c>
    </row>
    <row r="35">
      <c r="A35" s="65">
        <f>ROW()-5</f>
        <v/>
      </c>
      <c r="B35" s="66">
        <f>IFERROR(INDEX(tbl_Finance[Date],$A35),"")</f>
        <v/>
      </c>
      <c r="C35" s="67">
        <f>IFERROR(INDEX(tbl_Finance[Xero Invoice No],$A35),"")</f>
        <v/>
      </c>
      <c r="D35" s="67">
        <f>IFERROR(INDEX(tbl_Finance[Client],$A35),"")</f>
        <v/>
      </c>
      <c r="E35" s="67">
        <f>IFERROR(INDEX(tbl_Finance[Job Number],$A35),"")</f>
        <v/>
      </c>
      <c r="F35" s="67">
        <f>IFERROR(INDEX(tbl_Finance[Cost Centre],$A35),"")</f>
        <v/>
      </c>
      <c r="G35" s="68">
        <f>IFERROR(INDEX(tbl_Finance[Ex GST],$A35),"")</f>
        <v/>
      </c>
      <c r="H35" s="66">
        <f>IFERROR(INDEX(tbl_Finance[Defer Start],$A35),"")</f>
        <v/>
      </c>
      <c r="I35" s="66">
        <f>IFERROR(INDEX(tbl_Finance[Defer End],$A35),"")</f>
        <v/>
      </c>
      <c r="J35" s="65">
        <f>IF(OR($H35="",$I35="",$G35=""),"",MAX(1,(YEAR($I35)-YEAR($H35))*12+MONTH($I35)-MONTH($H35)+1))</f>
        <v/>
      </c>
      <c r="K35" s="68">
        <f>IF($J35="","",$G35/$J35)</f>
        <v/>
      </c>
      <c r="L35" s="68">
        <f>IF($J35="",0,$K35*MAX(0,MIN(YEAR($C$3)*12+MONTH($C$3),YEAR($I35)*12+MONTH($I35))-(YEAR($H35)*12+MONTH($H35))+1))</f>
        <v/>
      </c>
      <c r="M35" s="68">
        <f>IF($J35="",0,$K35*MAX(0,MIN(YEAR($C$3)*12+MONTH($C$3)-1,YEAR($I35)*12+MONTH($I35))-(YEAR($H35)*12+MONTH($H35))+1))</f>
        <v/>
      </c>
      <c r="N35" s="68">
        <f>IF(OR($J35="",$B35=""),0,IF(YEAR($B35)*12+MONTH($B35)&lt;=YEAR($C$3)*12+MONTH($C$3),$G35,0))</f>
        <v/>
      </c>
      <c r="O35" s="68">
        <f>IF(OR($J35="",$B35=""),0,IF(YEAR($B35)*12+MONTH($B35)&lt;=YEAR($C$3)*12+MONTH($C$3)-1,$G35,0))</f>
        <v/>
      </c>
      <c r="P35" s="68">
        <f>$M35-$O35</f>
        <v/>
      </c>
      <c r="Q35" s="68">
        <f>($L35-$M35)-($N35-$O35)</f>
        <v/>
      </c>
      <c r="R35" s="68">
        <f>$L35-$N35</f>
        <v/>
      </c>
      <c r="S35" s="67">
        <f>"Finance invoice"</f>
        <v/>
      </c>
      <c r="T35" s="67">
        <f>"Revenue"</f>
        <v/>
      </c>
    </row>
    <row r="36">
      <c r="A36" s="65">
        <f>ROW()-5</f>
        <v/>
      </c>
      <c r="B36" s="66">
        <f>IFERROR(INDEX(tbl_Finance[Date],$A36),"")</f>
        <v/>
      </c>
      <c r="C36" s="67">
        <f>IFERROR(INDEX(tbl_Finance[Xero Invoice No],$A36),"")</f>
        <v/>
      </c>
      <c r="D36" s="67">
        <f>IFERROR(INDEX(tbl_Finance[Client],$A36),"")</f>
        <v/>
      </c>
      <c r="E36" s="67">
        <f>IFERROR(INDEX(tbl_Finance[Job Number],$A36),"")</f>
        <v/>
      </c>
      <c r="F36" s="67">
        <f>IFERROR(INDEX(tbl_Finance[Cost Centre],$A36),"")</f>
        <v/>
      </c>
      <c r="G36" s="68">
        <f>IFERROR(INDEX(tbl_Finance[Ex GST],$A36),"")</f>
        <v/>
      </c>
      <c r="H36" s="66">
        <f>IFERROR(INDEX(tbl_Finance[Defer Start],$A36),"")</f>
        <v/>
      </c>
      <c r="I36" s="66">
        <f>IFERROR(INDEX(tbl_Finance[Defer End],$A36),"")</f>
        <v/>
      </c>
      <c r="J36" s="65">
        <f>IF(OR($H36="",$I36="",$G36=""),"",MAX(1,(YEAR($I36)-YEAR($H36))*12+MONTH($I36)-MONTH($H36)+1))</f>
        <v/>
      </c>
      <c r="K36" s="68">
        <f>IF($J36="","",$G36/$J36)</f>
        <v/>
      </c>
      <c r="L36" s="68">
        <f>IF($J36="",0,$K36*MAX(0,MIN(YEAR($C$3)*12+MONTH($C$3),YEAR($I36)*12+MONTH($I36))-(YEAR($H36)*12+MONTH($H36))+1))</f>
        <v/>
      </c>
      <c r="M36" s="68">
        <f>IF($J36="",0,$K36*MAX(0,MIN(YEAR($C$3)*12+MONTH($C$3)-1,YEAR($I36)*12+MONTH($I36))-(YEAR($H36)*12+MONTH($H36))+1))</f>
        <v/>
      </c>
      <c r="N36" s="68">
        <f>IF(OR($J36="",$B36=""),0,IF(YEAR($B36)*12+MONTH($B36)&lt;=YEAR($C$3)*12+MONTH($C$3),$G36,0))</f>
        <v/>
      </c>
      <c r="O36" s="68">
        <f>IF(OR($J36="",$B36=""),0,IF(YEAR($B36)*12+MONTH($B36)&lt;=YEAR($C$3)*12+MONTH($C$3)-1,$G36,0))</f>
        <v/>
      </c>
      <c r="P36" s="68">
        <f>$M36-$O36</f>
        <v/>
      </c>
      <c r="Q36" s="68">
        <f>($L36-$M36)-($N36-$O36)</f>
        <v/>
      </c>
      <c r="R36" s="68">
        <f>$L36-$N36</f>
        <v/>
      </c>
      <c r="S36" s="67">
        <f>"Finance invoice"</f>
        <v/>
      </c>
      <c r="T36" s="67">
        <f>"Revenue"</f>
        <v/>
      </c>
    </row>
    <row r="37">
      <c r="A37" s="65">
        <f>ROW()-5</f>
        <v/>
      </c>
      <c r="B37" s="66">
        <f>IFERROR(INDEX(tbl_Finance[Date],$A37),"")</f>
        <v/>
      </c>
      <c r="C37" s="67">
        <f>IFERROR(INDEX(tbl_Finance[Xero Invoice No],$A37),"")</f>
        <v/>
      </c>
      <c r="D37" s="67">
        <f>IFERROR(INDEX(tbl_Finance[Client],$A37),"")</f>
        <v/>
      </c>
      <c r="E37" s="67">
        <f>IFERROR(INDEX(tbl_Finance[Job Number],$A37),"")</f>
        <v/>
      </c>
      <c r="F37" s="67">
        <f>IFERROR(INDEX(tbl_Finance[Cost Centre],$A37),"")</f>
        <v/>
      </c>
      <c r="G37" s="68">
        <f>IFERROR(INDEX(tbl_Finance[Ex GST],$A37),"")</f>
        <v/>
      </c>
      <c r="H37" s="66">
        <f>IFERROR(INDEX(tbl_Finance[Defer Start],$A37),"")</f>
        <v/>
      </c>
      <c r="I37" s="66">
        <f>IFERROR(INDEX(tbl_Finance[Defer End],$A37),"")</f>
        <v/>
      </c>
      <c r="J37" s="65">
        <f>IF(OR($H37="",$I37="",$G37=""),"",MAX(1,(YEAR($I37)-YEAR($H37))*12+MONTH($I37)-MONTH($H37)+1))</f>
        <v/>
      </c>
      <c r="K37" s="68">
        <f>IF($J37="","",$G37/$J37)</f>
        <v/>
      </c>
      <c r="L37" s="68">
        <f>IF($J37="",0,$K37*MAX(0,MIN(YEAR($C$3)*12+MONTH($C$3),YEAR($I37)*12+MONTH($I37))-(YEAR($H37)*12+MONTH($H37))+1))</f>
        <v/>
      </c>
      <c r="M37" s="68">
        <f>IF($J37="",0,$K37*MAX(0,MIN(YEAR($C$3)*12+MONTH($C$3)-1,YEAR($I37)*12+MONTH($I37))-(YEAR($H37)*12+MONTH($H37))+1))</f>
        <v/>
      </c>
      <c r="N37" s="68">
        <f>IF(OR($J37="",$B37=""),0,IF(YEAR($B37)*12+MONTH($B37)&lt;=YEAR($C$3)*12+MONTH($C$3),$G37,0))</f>
        <v/>
      </c>
      <c r="O37" s="68">
        <f>IF(OR($J37="",$B37=""),0,IF(YEAR($B37)*12+MONTH($B37)&lt;=YEAR($C$3)*12+MONTH($C$3)-1,$G37,0))</f>
        <v/>
      </c>
      <c r="P37" s="68">
        <f>$M37-$O37</f>
        <v/>
      </c>
      <c r="Q37" s="68">
        <f>($L37-$M37)-($N37-$O37)</f>
        <v/>
      </c>
      <c r="R37" s="68">
        <f>$L37-$N37</f>
        <v/>
      </c>
      <c r="S37" s="67">
        <f>"Finance invoice"</f>
        <v/>
      </c>
      <c r="T37" s="67">
        <f>"Revenue"</f>
        <v/>
      </c>
    </row>
    <row r="38">
      <c r="A38" s="65">
        <f>ROW()-5</f>
        <v/>
      </c>
      <c r="B38" s="66">
        <f>IFERROR(INDEX(tbl_Finance[Date],$A38),"")</f>
        <v/>
      </c>
      <c r="C38" s="67">
        <f>IFERROR(INDEX(tbl_Finance[Xero Invoice No],$A38),"")</f>
        <v/>
      </c>
      <c r="D38" s="67">
        <f>IFERROR(INDEX(tbl_Finance[Client],$A38),"")</f>
        <v/>
      </c>
      <c r="E38" s="67">
        <f>IFERROR(INDEX(tbl_Finance[Job Number],$A38),"")</f>
        <v/>
      </c>
      <c r="F38" s="67">
        <f>IFERROR(INDEX(tbl_Finance[Cost Centre],$A38),"")</f>
        <v/>
      </c>
      <c r="G38" s="68">
        <f>IFERROR(INDEX(tbl_Finance[Ex GST],$A38),"")</f>
        <v/>
      </c>
      <c r="H38" s="66">
        <f>IFERROR(INDEX(tbl_Finance[Defer Start],$A38),"")</f>
        <v/>
      </c>
      <c r="I38" s="66">
        <f>IFERROR(INDEX(tbl_Finance[Defer End],$A38),"")</f>
        <v/>
      </c>
      <c r="J38" s="65">
        <f>IF(OR($H38="",$I38="",$G38=""),"",MAX(1,(YEAR($I38)-YEAR($H38))*12+MONTH($I38)-MONTH($H38)+1))</f>
        <v/>
      </c>
      <c r="K38" s="68">
        <f>IF($J38="","",$G38/$J38)</f>
        <v/>
      </c>
      <c r="L38" s="68">
        <f>IF($J38="",0,$K38*MAX(0,MIN(YEAR($C$3)*12+MONTH($C$3),YEAR($I38)*12+MONTH($I38))-(YEAR($H38)*12+MONTH($H38))+1))</f>
        <v/>
      </c>
      <c r="M38" s="68">
        <f>IF($J38="",0,$K38*MAX(0,MIN(YEAR($C$3)*12+MONTH($C$3)-1,YEAR($I38)*12+MONTH($I38))-(YEAR($H38)*12+MONTH($H38))+1))</f>
        <v/>
      </c>
      <c r="N38" s="68">
        <f>IF(OR($J38="",$B38=""),0,IF(YEAR($B38)*12+MONTH($B38)&lt;=YEAR($C$3)*12+MONTH($C$3),$G38,0))</f>
        <v/>
      </c>
      <c r="O38" s="68">
        <f>IF(OR($J38="",$B38=""),0,IF(YEAR($B38)*12+MONTH($B38)&lt;=YEAR($C$3)*12+MONTH($C$3)-1,$G38,0))</f>
        <v/>
      </c>
      <c r="P38" s="68">
        <f>$M38-$O38</f>
        <v/>
      </c>
      <c r="Q38" s="68">
        <f>($L38-$M38)-($N38-$O38)</f>
        <v/>
      </c>
      <c r="R38" s="68">
        <f>$L38-$N38</f>
        <v/>
      </c>
      <c r="S38" s="67">
        <f>"Finance invoice"</f>
        <v/>
      </c>
      <c r="T38" s="67">
        <f>"Revenue"</f>
        <v/>
      </c>
    </row>
    <row r="39">
      <c r="A39" s="65">
        <f>ROW()-5</f>
        <v/>
      </c>
      <c r="B39" s="66">
        <f>IFERROR(INDEX(tbl_Finance[Date],$A39),"")</f>
        <v/>
      </c>
      <c r="C39" s="67">
        <f>IFERROR(INDEX(tbl_Finance[Xero Invoice No],$A39),"")</f>
        <v/>
      </c>
      <c r="D39" s="67">
        <f>IFERROR(INDEX(tbl_Finance[Client],$A39),"")</f>
        <v/>
      </c>
      <c r="E39" s="67">
        <f>IFERROR(INDEX(tbl_Finance[Job Number],$A39),"")</f>
        <v/>
      </c>
      <c r="F39" s="67">
        <f>IFERROR(INDEX(tbl_Finance[Cost Centre],$A39),"")</f>
        <v/>
      </c>
      <c r="G39" s="68">
        <f>IFERROR(INDEX(tbl_Finance[Ex GST],$A39),"")</f>
        <v/>
      </c>
      <c r="H39" s="66">
        <f>IFERROR(INDEX(tbl_Finance[Defer Start],$A39),"")</f>
        <v/>
      </c>
      <c r="I39" s="66">
        <f>IFERROR(INDEX(tbl_Finance[Defer End],$A39),"")</f>
        <v/>
      </c>
      <c r="J39" s="65">
        <f>IF(OR($H39="",$I39="",$G39=""),"",MAX(1,(YEAR($I39)-YEAR($H39))*12+MONTH($I39)-MONTH($H39)+1))</f>
        <v/>
      </c>
      <c r="K39" s="68">
        <f>IF($J39="","",$G39/$J39)</f>
        <v/>
      </c>
      <c r="L39" s="68">
        <f>IF($J39="",0,$K39*MAX(0,MIN(YEAR($C$3)*12+MONTH($C$3),YEAR($I39)*12+MONTH($I39))-(YEAR($H39)*12+MONTH($H39))+1))</f>
        <v/>
      </c>
      <c r="M39" s="68">
        <f>IF($J39="",0,$K39*MAX(0,MIN(YEAR($C$3)*12+MONTH($C$3)-1,YEAR($I39)*12+MONTH($I39))-(YEAR($H39)*12+MONTH($H39))+1))</f>
        <v/>
      </c>
      <c r="N39" s="68">
        <f>IF(OR($J39="",$B39=""),0,IF(YEAR($B39)*12+MONTH($B39)&lt;=YEAR($C$3)*12+MONTH($C$3),$G39,0))</f>
        <v/>
      </c>
      <c r="O39" s="68">
        <f>IF(OR($J39="",$B39=""),0,IF(YEAR($B39)*12+MONTH($B39)&lt;=YEAR($C$3)*12+MONTH($C$3)-1,$G39,0))</f>
        <v/>
      </c>
      <c r="P39" s="68">
        <f>$M39-$O39</f>
        <v/>
      </c>
      <c r="Q39" s="68">
        <f>($L39-$M39)-($N39-$O39)</f>
        <v/>
      </c>
      <c r="R39" s="68">
        <f>$L39-$N39</f>
        <v/>
      </c>
      <c r="S39" s="67">
        <f>"Finance invoice"</f>
        <v/>
      </c>
      <c r="T39" s="67">
        <f>"Revenue"</f>
        <v/>
      </c>
    </row>
    <row r="40">
      <c r="A40" s="65">
        <f>ROW()-5</f>
        <v/>
      </c>
      <c r="B40" s="66">
        <f>IFERROR(INDEX(tbl_Finance[Date],$A40),"")</f>
        <v/>
      </c>
      <c r="C40" s="67">
        <f>IFERROR(INDEX(tbl_Finance[Xero Invoice No],$A40),"")</f>
        <v/>
      </c>
      <c r="D40" s="67">
        <f>IFERROR(INDEX(tbl_Finance[Client],$A40),"")</f>
        <v/>
      </c>
      <c r="E40" s="67">
        <f>IFERROR(INDEX(tbl_Finance[Job Number],$A40),"")</f>
        <v/>
      </c>
      <c r="F40" s="67">
        <f>IFERROR(INDEX(tbl_Finance[Cost Centre],$A40),"")</f>
        <v/>
      </c>
      <c r="G40" s="68">
        <f>IFERROR(INDEX(tbl_Finance[Ex GST],$A40),"")</f>
        <v/>
      </c>
      <c r="H40" s="66">
        <f>IFERROR(INDEX(tbl_Finance[Defer Start],$A40),"")</f>
        <v/>
      </c>
      <c r="I40" s="66">
        <f>IFERROR(INDEX(tbl_Finance[Defer End],$A40),"")</f>
        <v/>
      </c>
      <c r="J40" s="65">
        <f>IF(OR($H40="",$I40="",$G40=""),"",MAX(1,(YEAR($I40)-YEAR($H40))*12+MONTH($I40)-MONTH($H40)+1))</f>
        <v/>
      </c>
      <c r="K40" s="68">
        <f>IF($J40="","",$G40/$J40)</f>
        <v/>
      </c>
      <c r="L40" s="68">
        <f>IF($J40="",0,$K40*MAX(0,MIN(YEAR($C$3)*12+MONTH($C$3),YEAR($I40)*12+MONTH($I40))-(YEAR($H40)*12+MONTH($H40))+1))</f>
        <v/>
      </c>
      <c r="M40" s="68">
        <f>IF($J40="",0,$K40*MAX(0,MIN(YEAR($C$3)*12+MONTH($C$3)-1,YEAR($I40)*12+MONTH($I40))-(YEAR($H40)*12+MONTH($H40))+1))</f>
        <v/>
      </c>
      <c r="N40" s="68">
        <f>IF(OR($J40="",$B40=""),0,IF(YEAR($B40)*12+MONTH($B40)&lt;=YEAR($C$3)*12+MONTH($C$3),$G40,0))</f>
        <v/>
      </c>
      <c r="O40" s="68">
        <f>IF(OR($J40="",$B40=""),0,IF(YEAR($B40)*12+MONTH($B40)&lt;=YEAR($C$3)*12+MONTH($C$3)-1,$G40,0))</f>
        <v/>
      </c>
      <c r="P40" s="68">
        <f>$M40-$O40</f>
        <v/>
      </c>
      <c r="Q40" s="68">
        <f>($L40-$M40)-($N40-$O40)</f>
        <v/>
      </c>
      <c r="R40" s="68">
        <f>$L40-$N40</f>
        <v/>
      </c>
      <c r="S40" s="67">
        <f>"Finance invoice"</f>
        <v/>
      </c>
      <c r="T40" s="67">
        <f>"Revenue"</f>
        <v/>
      </c>
    </row>
    <row r="41">
      <c r="A41" s="65">
        <f>ROW()-5</f>
        <v/>
      </c>
      <c r="B41" s="66">
        <f>IFERROR(INDEX(tbl_Finance[Date],$A41),"")</f>
        <v/>
      </c>
      <c r="C41" s="67">
        <f>IFERROR(INDEX(tbl_Finance[Xero Invoice No],$A41),"")</f>
        <v/>
      </c>
      <c r="D41" s="67">
        <f>IFERROR(INDEX(tbl_Finance[Client],$A41),"")</f>
        <v/>
      </c>
      <c r="E41" s="67">
        <f>IFERROR(INDEX(tbl_Finance[Job Number],$A41),"")</f>
        <v/>
      </c>
      <c r="F41" s="67">
        <f>IFERROR(INDEX(tbl_Finance[Cost Centre],$A41),"")</f>
        <v/>
      </c>
      <c r="G41" s="68">
        <f>IFERROR(INDEX(tbl_Finance[Ex GST],$A41),"")</f>
        <v/>
      </c>
      <c r="H41" s="66">
        <f>IFERROR(INDEX(tbl_Finance[Defer Start],$A41),"")</f>
        <v/>
      </c>
      <c r="I41" s="66">
        <f>IFERROR(INDEX(tbl_Finance[Defer End],$A41),"")</f>
        <v/>
      </c>
      <c r="J41" s="65">
        <f>IF(OR($H41="",$I41="",$G41=""),"",MAX(1,(YEAR($I41)-YEAR($H41))*12+MONTH($I41)-MONTH($H41)+1))</f>
        <v/>
      </c>
      <c r="K41" s="68">
        <f>IF($J41="","",$G41/$J41)</f>
        <v/>
      </c>
      <c r="L41" s="68">
        <f>IF($J41="",0,$K41*MAX(0,MIN(YEAR($C$3)*12+MONTH($C$3),YEAR($I41)*12+MONTH($I41))-(YEAR($H41)*12+MONTH($H41))+1))</f>
        <v/>
      </c>
      <c r="M41" s="68">
        <f>IF($J41="",0,$K41*MAX(0,MIN(YEAR($C$3)*12+MONTH($C$3)-1,YEAR($I41)*12+MONTH($I41))-(YEAR($H41)*12+MONTH($H41))+1))</f>
        <v/>
      </c>
      <c r="N41" s="68">
        <f>IF(OR($J41="",$B41=""),0,IF(YEAR($B41)*12+MONTH($B41)&lt;=YEAR($C$3)*12+MONTH($C$3),$G41,0))</f>
        <v/>
      </c>
      <c r="O41" s="68">
        <f>IF(OR($J41="",$B41=""),0,IF(YEAR($B41)*12+MONTH($B41)&lt;=YEAR($C$3)*12+MONTH($C$3)-1,$G41,0))</f>
        <v/>
      </c>
      <c r="P41" s="68">
        <f>$M41-$O41</f>
        <v/>
      </c>
      <c r="Q41" s="68">
        <f>($L41-$M41)-($N41-$O41)</f>
        <v/>
      </c>
      <c r="R41" s="68">
        <f>$L41-$N41</f>
        <v/>
      </c>
      <c r="S41" s="67">
        <f>"Finance invoice"</f>
        <v/>
      </c>
      <c r="T41" s="67">
        <f>"Revenue"</f>
        <v/>
      </c>
    </row>
    <row r="42">
      <c r="A42" s="65">
        <f>ROW()-5</f>
        <v/>
      </c>
      <c r="B42" s="66">
        <f>IFERROR(INDEX(tbl_Finance[Date],$A42),"")</f>
        <v/>
      </c>
      <c r="C42" s="67">
        <f>IFERROR(INDEX(tbl_Finance[Xero Invoice No],$A42),"")</f>
        <v/>
      </c>
      <c r="D42" s="67">
        <f>IFERROR(INDEX(tbl_Finance[Client],$A42),"")</f>
        <v/>
      </c>
      <c r="E42" s="67">
        <f>IFERROR(INDEX(tbl_Finance[Job Number],$A42),"")</f>
        <v/>
      </c>
      <c r="F42" s="67">
        <f>IFERROR(INDEX(tbl_Finance[Cost Centre],$A42),"")</f>
        <v/>
      </c>
      <c r="G42" s="68">
        <f>IFERROR(INDEX(tbl_Finance[Ex GST],$A42),"")</f>
        <v/>
      </c>
      <c r="H42" s="66">
        <f>IFERROR(INDEX(tbl_Finance[Defer Start],$A42),"")</f>
        <v/>
      </c>
      <c r="I42" s="66">
        <f>IFERROR(INDEX(tbl_Finance[Defer End],$A42),"")</f>
        <v/>
      </c>
      <c r="J42" s="65">
        <f>IF(OR($H42="",$I42="",$G42=""),"",MAX(1,(YEAR($I42)-YEAR($H42))*12+MONTH($I42)-MONTH($H42)+1))</f>
        <v/>
      </c>
      <c r="K42" s="68">
        <f>IF($J42="","",$G42/$J42)</f>
        <v/>
      </c>
      <c r="L42" s="68">
        <f>IF($J42="",0,$K42*MAX(0,MIN(YEAR($C$3)*12+MONTH($C$3),YEAR($I42)*12+MONTH($I42))-(YEAR($H42)*12+MONTH($H42))+1))</f>
        <v/>
      </c>
      <c r="M42" s="68">
        <f>IF($J42="",0,$K42*MAX(0,MIN(YEAR($C$3)*12+MONTH($C$3)-1,YEAR($I42)*12+MONTH($I42))-(YEAR($H42)*12+MONTH($H42))+1))</f>
        <v/>
      </c>
      <c r="N42" s="68">
        <f>IF(OR($J42="",$B42=""),0,IF(YEAR($B42)*12+MONTH($B42)&lt;=YEAR($C$3)*12+MONTH($C$3),$G42,0))</f>
        <v/>
      </c>
      <c r="O42" s="68">
        <f>IF(OR($J42="",$B42=""),0,IF(YEAR($B42)*12+MONTH($B42)&lt;=YEAR($C$3)*12+MONTH($C$3)-1,$G42,0))</f>
        <v/>
      </c>
      <c r="P42" s="68">
        <f>$M42-$O42</f>
        <v/>
      </c>
      <c r="Q42" s="68">
        <f>($L42-$M42)-($N42-$O42)</f>
        <v/>
      </c>
      <c r="R42" s="68">
        <f>$L42-$N42</f>
        <v/>
      </c>
      <c r="S42" s="67">
        <f>"Finance invoice"</f>
        <v/>
      </c>
      <c r="T42" s="67">
        <f>"Revenue"</f>
        <v/>
      </c>
    </row>
    <row r="43">
      <c r="A43" s="65">
        <f>ROW()-5</f>
        <v/>
      </c>
      <c r="B43" s="66">
        <f>IFERROR(INDEX(tbl_Finance[Date],$A43),"")</f>
        <v/>
      </c>
      <c r="C43" s="67">
        <f>IFERROR(INDEX(tbl_Finance[Xero Invoice No],$A43),"")</f>
        <v/>
      </c>
      <c r="D43" s="67">
        <f>IFERROR(INDEX(tbl_Finance[Client],$A43),"")</f>
        <v/>
      </c>
      <c r="E43" s="67">
        <f>IFERROR(INDEX(tbl_Finance[Job Number],$A43),"")</f>
        <v/>
      </c>
      <c r="F43" s="67">
        <f>IFERROR(INDEX(tbl_Finance[Cost Centre],$A43),"")</f>
        <v/>
      </c>
      <c r="G43" s="68">
        <f>IFERROR(INDEX(tbl_Finance[Ex GST],$A43),"")</f>
        <v/>
      </c>
      <c r="H43" s="66">
        <f>IFERROR(INDEX(tbl_Finance[Defer Start],$A43),"")</f>
        <v/>
      </c>
      <c r="I43" s="66">
        <f>IFERROR(INDEX(tbl_Finance[Defer End],$A43),"")</f>
        <v/>
      </c>
      <c r="J43" s="65">
        <f>IF(OR($H43="",$I43="",$G43=""),"",MAX(1,(YEAR($I43)-YEAR($H43))*12+MONTH($I43)-MONTH($H43)+1))</f>
        <v/>
      </c>
      <c r="K43" s="68">
        <f>IF($J43="","",$G43/$J43)</f>
        <v/>
      </c>
      <c r="L43" s="68">
        <f>IF($J43="",0,$K43*MAX(0,MIN(YEAR($C$3)*12+MONTH($C$3),YEAR($I43)*12+MONTH($I43))-(YEAR($H43)*12+MONTH($H43))+1))</f>
        <v/>
      </c>
      <c r="M43" s="68">
        <f>IF($J43="",0,$K43*MAX(0,MIN(YEAR($C$3)*12+MONTH($C$3)-1,YEAR($I43)*12+MONTH($I43))-(YEAR($H43)*12+MONTH($H43))+1))</f>
        <v/>
      </c>
      <c r="N43" s="68">
        <f>IF(OR($J43="",$B43=""),0,IF(YEAR($B43)*12+MONTH($B43)&lt;=YEAR($C$3)*12+MONTH($C$3),$G43,0))</f>
        <v/>
      </c>
      <c r="O43" s="68">
        <f>IF(OR($J43="",$B43=""),0,IF(YEAR($B43)*12+MONTH($B43)&lt;=YEAR($C$3)*12+MONTH($C$3)-1,$G43,0))</f>
        <v/>
      </c>
      <c r="P43" s="68">
        <f>$M43-$O43</f>
        <v/>
      </c>
      <c r="Q43" s="68">
        <f>($L43-$M43)-($N43-$O43)</f>
        <v/>
      </c>
      <c r="R43" s="68">
        <f>$L43-$N43</f>
        <v/>
      </c>
      <c r="S43" s="67">
        <f>"Finance invoice"</f>
        <v/>
      </c>
      <c r="T43" s="67">
        <f>"Revenue"</f>
        <v/>
      </c>
    </row>
    <row r="44">
      <c r="A44" s="65">
        <f>ROW()-5</f>
        <v/>
      </c>
      <c r="B44" s="66">
        <f>IFERROR(INDEX(tbl_Finance[Date],$A44),"")</f>
        <v/>
      </c>
      <c r="C44" s="67">
        <f>IFERROR(INDEX(tbl_Finance[Xero Invoice No],$A44),"")</f>
        <v/>
      </c>
      <c r="D44" s="67">
        <f>IFERROR(INDEX(tbl_Finance[Client],$A44),"")</f>
        <v/>
      </c>
      <c r="E44" s="67">
        <f>IFERROR(INDEX(tbl_Finance[Job Number],$A44),"")</f>
        <v/>
      </c>
      <c r="F44" s="67">
        <f>IFERROR(INDEX(tbl_Finance[Cost Centre],$A44),"")</f>
        <v/>
      </c>
      <c r="G44" s="68">
        <f>IFERROR(INDEX(tbl_Finance[Ex GST],$A44),"")</f>
        <v/>
      </c>
      <c r="H44" s="66">
        <f>IFERROR(INDEX(tbl_Finance[Defer Start],$A44),"")</f>
        <v/>
      </c>
      <c r="I44" s="66">
        <f>IFERROR(INDEX(tbl_Finance[Defer End],$A44),"")</f>
        <v/>
      </c>
      <c r="J44" s="65">
        <f>IF(OR($H44="",$I44="",$G44=""),"",MAX(1,(YEAR($I44)-YEAR($H44))*12+MONTH($I44)-MONTH($H44)+1))</f>
        <v/>
      </c>
      <c r="K44" s="68">
        <f>IF($J44="","",$G44/$J44)</f>
        <v/>
      </c>
      <c r="L44" s="68">
        <f>IF($J44="",0,$K44*MAX(0,MIN(YEAR($C$3)*12+MONTH($C$3),YEAR($I44)*12+MONTH($I44))-(YEAR($H44)*12+MONTH($H44))+1))</f>
        <v/>
      </c>
      <c r="M44" s="68">
        <f>IF($J44="",0,$K44*MAX(0,MIN(YEAR($C$3)*12+MONTH($C$3)-1,YEAR($I44)*12+MONTH($I44))-(YEAR($H44)*12+MONTH($H44))+1))</f>
        <v/>
      </c>
      <c r="N44" s="68">
        <f>IF(OR($J44="",$B44=""),0,IF(YEAR($B44)*12+MONTH($B44)&lt;=YEAR($C$3)*12+MONTH($C$3),$G44,0))</f>
        <v/>
      </c>
      <c r="O44" s="68">
        <f>IF(OR($J44="",$B44=""),0,IF(YEAR($B44)*12+MONTH($B44)&lt;=YEAR($C$3)*12+MONTH($C$3)-1,$G44,0))</f>
        <v/>
      </c>
      <c r="P44" s="68">
        <f>$M44-$O44</f>
        <v/>
      </c>
      <c r="Q44" s="68">
        <f>($L44-$M44)-($N44-$O44)</f>
        <v/>
      </c>
      <c r="R44" s="68">
        <f>$L44-$N44</f>
        <v/>
      </c>
      <c r="S44" s="67">
        <f>"Finance invoice"</f>
        <v/>
      </c>
      <c r="T44" s="67">
        <f>"Revenue"</f>
        <v/>
      </c>
    </row>
    <row r="45">
      <c r="A45" s="65">
        <f>ROW()-5</f>
        <v/>
      </c>
      <c r="B45" s="66">
        <f>IFERROR(INDEX(tbl_Finance[Date],$A45),"")</f>
        <v/>
      </c>
      <c r="C45" s="67">
        <f>IFERROR(INDEX(tbl_Finance[Xero Invoice No],$A45),"")</f>
        <v/>
      </c>
      <c r="D45" s="67">
        <f>IFERROR(INDEX(tbl_Finance[Client],$A45),"")</f>
        <v/>
      </c>
      <c r="E45" s="67">
        <f>IFERROR(INDEX(tbl_Finance[Job Number],$A45),"")</f>
        <v/>
      </c>
      <c r="F45" s="67">
        <f>IFERROR(INDEX(tbl_Finance[Cost Centre],$A45),"")</f>
        <v/>
      </c>
      <c r="G45" s="68">
        <f>IFERROR(INDEX(tbl_Finance[Ex GST],$A45),"")</f>
        <v/>
      </c>
      <c r="H45" s="66">
        <f>IFERROR(INDEX(tbl_Finance[Defer Start],$A45),"")</f>
        <v/>
      </c>
      <c r="I45" s="66">
        <f>IFERROR(INDEX(tbl_Finance[Defer End],$A45),"")</f>
        <v/>
      </c>
      <c r="J45" s="65">
        <f>IF(OR($H45="",$I45="",$G45=""),"",MAX(1,(YEAR($I45)-YEAR($H45))*12+MONTH($I45)-MONTH($H45)+1))</f>
        <v/>
      </c>
      <c r="K45" s="68">
        <f>IF($J45="","",$G45/$J45)</f>
        <v/>
      </c>
      <c r="L45" s="68">
        <f>IF($J45="",0,$K45*MAX(0,MIN(YEAR($C$3)*12+MONTH($C$3),YEAR($I45)*12+MONTH($I45))-(YEAR($H45)*12+MONTH($H45))+1))</f>
        <v/>
      </c>
      <c r="M45" s="68">
        <f>IF($J45="",0,$K45*MAX(0,MIN(YEAR($C$3)*12+MONTH($C$3)-1,YEAR($I45)*12+MONTH($I45))-(YEAR($H45)*12+MONTH($H45))+1))</f>
        <v/>
      </c>
      <c r="N45" s="68">
        <f>IF(OR($J45="",$B45=""),0,IF(YEAR($B45)*12+MONTH($B45)&lt;=YEAR($C$3)*12+MONTH($C$3),$G45,0))</f>
        <v/>
      </c>
      <c r="O45" s="68">
        <f>IF(OR($J45="",$B45=""),0,IF(YEAR($B45)*12+MONTH($B45)&lt;=YEAR($C$3)*12+MONTH($C$3)-1,$G45,0))</f>
        <v/>
      </c>
      <c r="P45" s="68">
        <f>$M45-$O45</f>
        <v/>
      </c>
      <c r="Q45" s="68">
        <f>($L45-$M45)-($N45-$O45)</f>
        <v/>
      </c>
      <c r="R45" s="68">
        <f>$L45-$N45</f>
        <v/>
      </c>
      <c r="S45" s="67">
        <f>"Finance invoice"</f>
        <v/>
      </c>
      <c r="T45" s="67">
        <f>"Revenue"</f>
        <v/>
      </c>
    </row>
    <row r="46">
      <c r="A46" s="65">
        <f>ROW()-5</f>
        <v/>
      </c>
      <c r="B46" s="66">
        <f>IFERROR(INDEX(tbl_Finance[Date],$A46),"")</f>
        <v/>
      </c>
      <c r="C46" s="67">
        <f>IFERROR(INDEX(tbl_Finance[Xero Invoice No],$A46),"")</f>
        <v/>
      </c>
      <c r="D46" s="67">
        <f>IFERROR(INDEX(tbl_Finance[Client],$A46),"")</f>
        <v/>
      </c>
      <c r="E46" s="67">
        <f>IFERROR(INDEX(tbl_Finance[Job Number],$A46),"")</f>
        <v/>
      </c>
      <c r="F46" s="67">
        <f>IFERROR(INDEX(tbl_Finance[Cost Centre],$A46),"")</f>
        <v/>
      </c>
      <c r="G46" s="68">
        <f>IFERROR(INDEX(tbl_Finance[Ex GST],$A46),"")</f>
        <v/>
      </c>
      <c r="H46" s="66">
        <f>IFERROR(INDEX(tbl_Finance[Defer Start],$A46),"")</f>
        <v/>
      </c>
      <c r="I46" s="66">
        <f>IFERROR(INDEX(tbl_Finance[Defer End],$A46),"")</f>
        <v/>
      </c>
      <c r="J46" s="65">
        <f>IF(OR($H46="",$I46="",$G46=""),"",MAX(1,(YEAR($I46)-YEAR($H46))*12+MONTH($I46)-MONTH($H46)+1))</f>
        <v/>
      </c>
      <c r="K46" s="68">
        <f>IF($J46="","",$G46/$J46)</f>
        <v/>
      </c>
      <c r="L46" s="68">
        <f>IF($J46="",0,$K46*MAX(0,MIN(YEAR($C$3)*12+MONTH($C$3),YEAR($I46)*12+MONTH($I46))-(YEAR($H46)*12+MONTH($H46))+1))</f>
        <v/>
      </c>
      <c r="M46" s="68">
        <f>IF($J46="",0,$K46*MAX(0,MIN(YEAR($C$3)*12+MONTH($C$3)-1,YEAR($I46)*12+MONTH($I46))-(YEAR($H46)*12+MONTH($H46))+1))</f>
        <v/>
      </c>
      <c r="N46" s="68">
        <f>IF(OR($J46="",$B46=""),0,IF(YEAR($B46)*12+MONTH($B46)&lt;=YEAR($C$3)*12+MONTH($C$3),$G46,0))</f>
        <v/>
      </c>
      <c r="O46" s="68">
        <f>IF(OR($J46="",$B46=""),0,IF(YEAR($B46)*12+MONTH($B46)&lt;=YEAR($C$3)*12+MONTH($C$3)-1,$G46,0))</f>
        <v/>
      </c>
      <c r="P46" s="68">
        <f>$M46-$O46</f>
        <v/>
      </c>
      <c r="Q46" s="68">
        <f>($L46-$M46)-($N46-$O46)</f>
        <v/>
      </c>
      <c r="R46" s="68">
        <f>$L46-$N46</f>
        <v/>
      </c>
      <c r="S46" s="67">
        <f>"Finance invoice"</f>
        <v/>
      </c>
      <c r="T46" s="67">
        <f>"Revenue"</f>
        <v/>
      </c>
    </row>
    <row r="47">
      <c r="A47" s="65">
        <f>ROW()-5</f>
        <v/>
      </c>
      <c r="B47" s="66">
        <f>IFERROR(INDEX(tbl_Finance[Date],$A47),"")</f>
        <v/>
      </c>
      <c r="C47" s="67">
        <f>IFERROR(INDEX(tbl_Finance[Xero Invoice No],$A47),"")</f>
        <v/>
      </c>
      <c r="D47" s="67">
        <f>IFERROR(INDEX(tbl_Finance[Client],$A47),"")</f>
        <v/>
      </c>
      <c r="E47" s="67">
        <f>IFERROR(INDEX(tbl_Finance[Job Number],$A47),"")</f>
        <v/>
      </c>
      <c r="F47" s="67">
        <f>IFERROR(INDEX(tbl_Finance[Cost Centre],$A47),"")</f>
        <v/>
      </c>
      <c r="G47" s="68">
        <f>IFERROR(INDEX(tbl_Finance[Ex GST],$A47),"")</f>
        <v/>
      </c>
      <c r="H47" s="66">
        <f>IFERROR(INDEX(tbl_Finance[Defer Start],$A47),"")</f>
        <v/>
      </c>
      <c r="I47" s="66">
        <f>IFERROR(INDEX(tbl_Finance[Defer End],$A47),"")</f>
        <v/>
      </c>
      <c r="J47" s="65">
        <f>IF(OR($H47="",$I47="",$G47=""),"",MAX(1,(YEAR($I47)-YEAR($H47))*12+MONTH($I47)-MONTH($H47)+1))</f>
        <v/>
      </c>
      <c r="K47" s="68">
        <f>IF($J47="","",$G47/$J47)</f>
        <v/>
      </c>
      <c r="L47" s="68">
        <f>IF($J47="",0,$K47*MAX(0,MIN(YEAR($C$3)*12+MONTH($C$3),YEAR($I47)*12+MONTH($I47))-(YEAR($H47)*12+MONTH($H47))+1))</f>
        <v/>
      </c>
      <c r="M47" s="68">
        <f>IF($J47="",0,$K47*MAX(0,MIN(YEAR($C$3)*12+MONTH($C$3)-1,YEAR($I47)*12+MONTH($I47))-(YEAR($H47)*12+MONTH($H47))+1))</f>
        <v/>
      </c>
      <c r="N47" s="68">
        <f>IF(OR($J47="",$B47=""),0,IF(YEAR($B47)*12+MONTH($B47)&lt;=YEAR($C$3)*12+MONTH($C$3),$G47,0))</f>
        <v/>
      </c>
      <c r="O47" s="68">
        <f>IF(OR($J47="",$B47=""),0,IF(YEAR($B47)*12+MONTH($B47)&lt;=YEAR($C$3)*12+MONTH($C$3)-1,$G47,0))</f>
        <v/>
      </c>
      <c r="P47" s="68">
        <f>$M47-$O47</f>
        <v/>
      </c>
      <c r="Q47" s="68">
        <f>($L47-$M47)-($N47-$O47)</f>
        <v/>
      </c>
      <c r="R47" s="68">
        <f>$L47-$N47</f>
        <v/>
      </c>
      <c r="S47" s="67">
        <f>"Finance invoice"</f>
        <v/>
      </c>
      <c r="T47" s="67">
        <f>"Revenue"</f>
        <v/>
      </c>
    </row>
    <row r="48">
      <c r="A48" s="65">
        <f>ROW()-5</f>
        <v/>
      </c>
      <c r="B48" s="66">
        <f>IFERROR(INDEX(tbl_Finance[Date],$A48),"")</f>
        <v/>
      </c>
      <c r="C48" s="67">
        <f>IFERROR(INDEX(tbl_Finance[Xero Invoice No],$A48),"")</f>
        <v/>
      </c>
      <c r="D48" s="67">
        <f>IFERROR(INDEX(tbl_Finance[Client],$A48),"")</f>
        <v/>
      </c>
      <c r="E48" s="67">
        <f>IFERROR(INDEX(tbl_Finance[Job Number],$A48),"")</f>
        <v/>
      </c>
      <c r="F48" s="67">
        <f>IFERROR(INDEX(tbl_Finance[Cost Centre],$A48),"")</f>
        <v/>
      </c>
      <c r="G48" s="68">
        <f>IFERROR(INDEX(tbl_Finance[Ex GST],$A48),"")</f>
        <v/>
      </c>
      <c r="H48" s="66">
        <f>IFERROR(INDEX(tbl_Finance[Defer Start],$A48),"")</f>
        <v/>
      </c>
      <c r="I48" s="66">
        <f>IFERROR(INDEX(tbl_Finance[Defer End],$A48),"")</f>
        <v/>
      </c>
      <c r="J48" s="65">
        <f>IF(OR($H48="",$I48="",$G48=""),"",MAX(1,(YEAR($I48)-YEAR($H48))*12+MONTH($I48)-MONTH($H48)+1))</f>
        <v/>
      </c>
      <c r="K48" s="68">
        <f>IF($J48="","",$G48/$J48)</f>
        <v/>
      </c>
      <c r="L48" s="68">
        <f>IF($J48="",0,$K48*MAX(0,MIN(YEAR($C$3)*12+MONTH($C$3),YEAR($I48)*12+MONTH($I48))-(YEAR($H48)*12+MONTH($H48))+1))</f>
        <v/>
      </c>
      <c r="M48" s="68">
        <f>IF($J48="",0,$K48*MAX(0,MIN(YEAR($C$3)*12+MONTH($C$3)-1,YEAR($I48)*12+MONTH($I48))-(YEAR($H48)*12+MONTH($H48))+1))</f>
        <v/>
      </c>
      <c r="N48" s="68">
        <f>IF(OR($J48="",$B48=""),0,IF(YEAR($B48)*12+MONTH($B48)&lt;=YEAR($C$3)*12+MONTH($C$3),$G48,0))</f>
        <v/>
      </c>
      <c r="O48" s="68">
        <f>IF(OR($J48="",$B48=""),0,IF(YEAR($B48)*12+MONTH($B48)&lt;=YEAR($C$3)*12+MONTH($C$3)-1,$G48,0))</f>
        <v/>
      </c>
      <c r="P48" s="68">
        <f>$M48-$O48</f>
        <v/>
      </c>
      <c r="Q48" s="68">
        <f>($L48-$M48)-($N48-$O48)</f>
        <v/>
      </c>
      <c r="R48" s="68">
        <f>$L48-$N48</f>
        <v/>
      </c>
      <c r="S48" s="67">
        <f>"Finance invoice"</f>
        <v/>
      </c>
      <c r="T48" s="67">
        <f>"Revenue"</f>
        <v/>
      </c>
    </row>
    <row r="49">
      <c r="A49" s="65">
        <f>ROW()-5</f>
        <v/>
      </c>
      <c r="B49" s="66">
        <f>IFERROR(INDEX(tbl_Finance[Date],$A49),"")</f>
        <v/>
      </c>
      <c r="C49" s="67">
        <f>IFERROR(INDEX(tbl_Finance[Xero Invoice No],$A49),"")</f>
        <v/>
      </c>
      <c r="D49" s="67">
        <f>IFERROR(INDEX(tbl_Finance[Client],$A49),"")</f>
        <v/>
      </c>
      <c r="E49" s="67">
        <f>IFERROR(INDEX(tbl_Finance[Job Number],$A49),"")</f>
        <v/>
      </c>
      <c r="F49" s="67">
        <f>IFERROR(INDEX(tbl_Finance[Cost Centre],$A49),"")</f>
        <v/>
      </c>
      <c r="G49" s="68">
        <f>IFERROR(INDEX(tbl_Finance[Ex GST],$A49),"")</f>
        <v/>
      </c>
      <c r="H49" s="66">
        <f>IFERROR(INDEX(tbl_Finance[Defer Start],$A49),"")</f>
        <v/>
      </c>
      <c r="I49" s="66">
        <f>IFERROR(INDEX(tbl_Finance[Defer End],$A49),"")</f>
        <v/>
      </c>
      <c r="J49" s="65">
        <f>IF(OR($H49="",$I49="",$G49=""),"",MAX(1,(YEAR($I49)-YEAR($H49))*12+MONTH($I49)-MONTH($H49)+1))</f>
        <v/>
      </c>
      <c r="K49" s="68">
        <f>IF($J49="","",$G49/$J49)</f>
        <v/>
      </c>
      <c r="L49" s="68">
        <f>IF($J49="",0,$K49*MAX(0,MIN(YEAR($C$3)*12+MONTH($C$3),YEAR($I49)*12+MONTH($I49))-(YEAR($H49)*12+MONTH($H49))+1))</f>
        <v/>
      </c>
      <c r="M49" s="68">
        <f>IF($J49="",0,$K49*MAX(0,MIN(YEAR($C$3)*12+MONTH($C$3)-1,YEAR($I49)*12+MONTH($I49))-(YEAR($H49)*12+MONTH($H49))+1))</f>
        <v/>
      </c>
      <c r="N49" s="68">
        <f>IF(OR($J49="",$B49=""),0,IF(YEAR($B49)*12+MONTH($B49)&lt;=YEAR($C$3)*12+MONTH($C$3),$G49,0))</f>
        <v/>
      </c>
      <c r="O49" s="68">
        <f>IF(OR($J49="",$B49=""),0,IF(YEAR($B49)*12+MONTH($B49)&lt;=YEAR($C$3)*12+MONTH($C$3)-1,$G49,0))</f>
        <v/>
      </c>
      <c r="P49" s="68">
        <f>$M49-$O49</f>
        <v/>
      </c>
      <c r="Q49" s="68">
        <f>($L49-$M49)-($N49-$O49)</f>
        <v/>
      </c>
      <c r="R49" s="68">
        <f>$L49-$N49</f>
        <v/>
      </c>
      <c r="S49" s="67">
        <f>"Finance invoice"</f>
        <v/>
      </c>
      <c r="T49" s="67">
        <f>"Revenue"</f>
        <v/>
      </c>
    </row>
    <row r="50">
      <c r="A50" s="65">
        <f>ROW()-5</f>
        <v/>
      </c>
      <c r="B50" s="66">
        <f>IFERROR(INDEX(tbl_Finance[Date],$A50),"")</f>
        <v/>
      </c>
      <c r="C50" s="67">
        <f>IFERROR(INDEX(tbl_Finance[Xero Invoice No],$A50),"")</f>
        <v/>
      </c>
      <c r="D50" s="67">
        <f>IFERROR(INDEX(tbl_Finance[Client],$A50),"")</f>
        <v/>
      </c>
      <c r="E50" s="67">
        <f>IFERROR(INDEX(tbl_Finance[Job Number],$A50),"")</f>
        <v/>
      </c>
      <c r="F50" s="67">
        <f>IFERROR(INDEX(tbl_Finance[Cost Centre],$A50),"")</f>
        <v/>
      </c>
      <c r="G50" s="68">
        <f>IFERROR(INDEX(tbl_Finance[Ex GST],$A50),"")</f>
        <v/>
      </c>
      <c r="H50" s="66">
        <f>IFERROR(INDEX(tbl_Finance[Defer Start],$A50),"")</f>
        <v/>
      </c>
      <c r="I50" s="66">
        <f>IFERROR(INDEX(tbl_Finance[Defer End],$A50),"")</f>
        <v/>
      </c>
      <c r="J50" s="65">
        <f>IF(OR($H50="",$I50="",$G50=""),"",MAX(1,(YEAR($I50)-YEAR($H50))*12+MONTH($I50)-MONTH($H50)+1))</f>
        <v/>
      </c>
      <c r="K50" s="68">
        <f>IF($J50="","",$G50/$J50)</f>
        <v/>
      </c>
      <c r="L50" s="68">
        <f>IF($J50="",0,$K50*MAX(0,MIN(YEAR($C$3)*12+MONTH($C$3),YEAR($I50)*12+MONTH($I50))-(YEAR($H50)*12+MONTH($H50))+1))</f>
        <v/>
      </c>
      <c r="M50" s="68">
        <f>IF($J50="",0,$K50*MAX(0,MIN(YEAR($C$3)*12+MONTH($C$3)-1,YEAR($I50)*12+MONTH($I50))-(YEAR($H50)*12+MONTH($H50))+1))</f>
        <v/>
      </c>
      <c r="N50" s="68">
        <f>IF(OR($J50="",$B50=""),0,IF(YEAR($B50)*12+MONTH($B50)&lt;=YEAR($C$3)*12+MONTH($C$3),$G50,0))</f>
        <v/>
      </c>
      <c r="O50" s="68">
        <f>IF(OR($J50="",$B50=""),0,IF(YEAR($B50)*12+MONTH($B50)&lt;=YEAR($C$3)*12+MONTH($C$3)-1,$G50,0))</f>
        <v/>
      </c>
      <c r="P50" s="68">
        <f>$M50-$O50</f>
        <v/>
      </c>
      <c r="Q50" s="68">
        <f>($L50-$M50)-($N50-$O50)</f>
        <v/>
      </c>
      <c r="R50" s="68">
        <f>$L50-$N50</f>
        <v/>
      </c>
      <c r="S50" s="67">
        <f>"Finance invoice"</f>
        <v/>
      </c>
      <c r="T50" s="67">
        <f>"Revenue"</f>
        <v/>
      </c>
    </row>
    <row r="51">
      <c r="A51" s="65">
        <f>ROW()-5</f>
        <v/>
      </c>
      <c r="B51" s="66">
        <f>IFERROR(INDEX(tbl_Finance[Date],$A51),"")</f>
        <v/>
      </c>
      <c r="C51" s="67">
        <f>IFERROR(INDEX(tbl_Finance[Xero Invoice No],$A51),"")</f>
        <v/>
      </c>
      <c r="D51" s="67">
        <f>IFERROR(INDEX(tbl_Finance[Client],$A51),"")</f>
        <v/>
      </c>
      <c r="E51" s="67">
        <f>IFERROR(INDEX(tbl_Finance[Job Number],$A51),"")</f>
        <v/>
      </c>
      <c r="F51" s="67">
        <f>IFERROR(INDEX(tbl_Finance[Cost Centre],$A51),"")</f>
        <v/>
      </c>
      <c r="G51" s="68">
        <f>IFERROR(INDEX(tbl_Finance[Ex GST],$A51),"")</f>
        <v/>
      </c>
      <c r="H51" s="66">
        <f>IFERROR(INDEX(tbl_Finance[Defer Start],$A51),"")</f>
        <v/>
      </c>
      <c r="I51" s="66">
        <f>IFERROR(INDEX(tbl_Finance[Defer End],$A51),"")</f>
        <v/>
      </c>
      <c r="J51" s="65">
        <f>IF(OR($H51="",$I51="",$G51=""),"",MAX(1,(YEAR($I51)-YEAR($H51))*12+MONTH($I51)-MONTH($H51)+1))</f>
        <v/>
      </c>
      <c r="K51" s="68">
        <f>IF($J51="","",$G51/$J51)</f>
        <v/>
      </c>
      <c r="L51" s="68">
        <f>IF($J51="",0,$K51*MAX(0,MIN(YEAR($C$3)*12+MONTH($C$3),YEAR($I51)*12+MONTH($I51))-(YEAR($H51)*12+MONTH($H51))+1))</f>
        <v/>
      </c>
      <c r="M51" s="68">
        <f>IF($J51="",0,$K51*MAX(0,MIN(YEAR($C$3)*12+MONTH($C$3)-1,YEAR($I51)*12+MONTH($I51))-(YEAR($H51)*12+MONTH($H51))+1))</f>
        <v/>
      </c>
      <c r="N51" s="68">
        <f>IF(OR($J51="",$B51=""),0,IF(YEAR($B51)*12+MONTH($B51)&lt;=YEAR($C$3)*12+MONTH($C$3),$G51,0))</f>
        <v/>
      </c>
      <c r="O51" s="68">
        <f>IF(OR($J51="",$B51=""),0,IF(YEAR($B51)*12+MONTH($B51)&lt;=YEAR($C$3)*12+MONTH($C$3)-1,$G51,0))</f>
        <v/>
      </c>
      <c r="P51" s="68">
        <f>$M51-$O51</f>
        <v/>
      </c>
      <c r="Q51" s="68">
        <f>($L51-$M51)-($N51-$O51)</f>
        <v/>
      </c>
      <c r="R51" s="68">
        <f>$L51-$N51</f>
        <v/>
      </c>
      <c r="S51" s="67">
        <f>"Finance invoice"</f>
        <v/>
      </c>
      <c r="T51" s="67">
        <f>"Revenue"</f>
        <v/>
      </c>
    </row>
    <row r="52">
      <c r="A52" s="65">
        <f>ROW()-5</f>
        <v/>
      </c>
      <c r="B52" s="66">
        <f>IFERROR(INDEX(tbl_Finance[Date],$A52),"")</f>
        <v/>
      </c>
      <c r="C52" s="67">
        <f>IFERROR(INDEX(tbl_Finance[Xero Invoice No],$A52),"")</f>
        <v/>
      </c>
      <c r="D52" s="67">
        <f>IFERROR(INDEX(tbl_Finance[Client],$A52),"")</f>
        <v/>
      </c>
      <c r="E52" s="67">
        <f>IFERROR(INDEX(tbl_Finance[Job Number],$A52),"")</f>
        <v/>
      </c>
      <c r="F52" s="67">
        <f>IFERROR(INDEX(tbl_Finance[Cost Centre],$A52),"")</f>
        <v/>
      </c>
      <c r="G52" s="68">
        <f>IFERROR(INDEX(tbl_Finance[Ex GST],$A52),"")</f>
        <v/>
      </c>
      <c r="H52" s="66">
        <f>IFERROR(INDEX(tbl_Finance[Defer Start],$A52),"")</f>
        <v/>
      </c>
      <c r="I52" s="66">
        <f>IFERROR(INDEX(tbl_Finance[Defer End],$A52),"")</f>
        <v/>
      </c>
      <c r="J52" s="65">
        <f>IF(OR($H52="",$I52="",$G52=""),"",MAX(1,(YEAR($I52)-YEAR($H52))*12+MONTH($I52)-MONTH($H52)+1))</f>
        <v/>
      </c>
      <c r="K52" s="68">
        <f>IF($J52="","",$G52/$J52)</f>
        <v/>
      </c>
      <c r="L52" s="68">
        <f>IF($J52="",0,$K52*MAX(0,MIN(YEAR($C$3)*12+MONTH($C$3),YEAR($I52)*12+MONTH($I52))-(YEAR($H52)*12+MONTH($H52))+1))</f>
        <v/>
      </c>
      <c r="M52" s="68">
        <f>IF($J52="",0,$K52*MAX(0,MIN(YEAR($C$3)*12+MONTH($C$3)-1,YEAR($I52)*12+MONTH($I52))-(YEAR($H52)*12+MONTH($H52))+1))</f>
        <v/>
      </c>
      <c r="N52" s="68">
        <f>IF(OR($J52="",$B52=""),0,IF(YEAR($B52)*12+MONTH($B52)&lt;=YEAR($C$3)*12+MONTH($C$3),$G52,0))</f>
        <v/>
      </c>
      <c r="O52" s="68">
        <f>IF(OR($J52="",$B52=""),0,IF(YEAR($B52)*12+MONTH($B52)&lt;=YEAR($C$3)*12+MONTH($C$3)-1,$G52,0))</f>
        <v/>
      </c>
      <c r="P52" s="68">
        <f>$M52-$O52</f>
        <v/>
      </c>
      <c r="Q52" s="68">
        <f>($L52-$M52)-($N52-$O52)</f>
        <v/>
      </c>
      <c r="R52" s="68">
        <f>$L52-$N52</f>
        <v/>
      </c>
      <c r="S52" s="67">
        <f>"Finance invoice"</f>
        <v/>
      </c>
      <c r="T52" s="67">
        <f>"Revenue"</f>
        <v/>
      </c>
    </row>
    <row r="53">
      <c r="A53" s="65">
        <f>ROW()-5</f>
        <v/>
      </c>
      <c r="B53" s="66">
        <f>IFERROR(INDEX(tbl_Finance[Date],$A53),"")</f>
        <v/>
      </c>
      <c r="C53" s="67">
        <f>IFERROR(INDEX(tbl_Finance[Xero Invoice No],$A53),"")</f>
        <v/>
      </c>
      <c r="D53" s="67">
        <f>IFERROR(INDEX(tbl_Finance[Client],$A53),"")</f>
        <v/>
      </c>
      <c r="E53" s="67">
        <f>IFERROR(INDEX(tbl_Finance[Job Number],$A53),"")</f>
        <v/>
      </c>
      <c r="F53" s="67">
        <f>IFERROR(INDEX(tbl_Finance[Cost Centre],$A53),"")</f>
        <v/>
      </c>
      <c r="G53" s="68">
        <f>IFERROR(INDEX(tbl_Finance[Ex GST],$A53),"")</f>
        <v/>
      </c>
      <c r="H53" s="66">
        <f>IFERROR(INDEX(tbl_Finance[Defer Start],$A53),"")</f>
        <v/>
      </c>
      <c r="I53" s="66">
        <f>IFERROR(INDEX(tbl_Finance[Defer End],$A53),"")</f>
        <v/>
      </c>
      <c r="J53" s="65">
        <f>IF(OR($H53="",$I53="",$G53=""),"",MAX(1,(YEAR($I53)-YEAR($H53))*12+MONTH($I53)-MONTH($H53)+1))</f>
        <v/>
      </c>
      <c r="K53" s="68">
        <f>IF($J53="","",$G53/$J53)</f>
        <v/>
      </c>
      <c r="L53" s="68">
        <f>IF($J53="",0,$K53*MAX(0,MIN(YEAR($C$3)*12+MONTH($C$3),YEAR($I53)*12+MONTH($I53))-(YEAR($H53)*12+MONTH($H53))+1))</f>
        <v/>
      </c>
      <c r="M53" s="68">
        <f>IF($J53="",0,$K53*MAX(0,MIN(YEAR($C$3)*12+MONTH($C$3)-1,YEAR($I53)*12+MONTH($I53))-(YEAR($H53)*12+MONTH($H53))+1))</f>
        <v/>
      </c>
      <c r="N53" s="68">
        <f>IF(OR($J53="",$B53=""),0,IF(YEAR($B53)*12+MONTH($B53)&lt;=YEAR($C$3)*12+MONTH($C$3),$G53,0))</f>
        <v/>
      </c>
      <c r="O53" s="68">
        <f>IF(OR($J53="",$B53=""),0,IF(YEAR($B53)*12+MONTH($B53)&lt;=YEAR($C$3)*12+MONTH($C$3)-1,$G53,0))</f>
        <v/>
      </c>
      <c r="P53" s="68">
        <f>$M53-$O53</f>
        <v/>
      </c>
      <c r="Q53" s="68">
        <f>($L53-$M53)-($N53-$O53)</f>
        <v/>
      </c>
      <c r="R53" s="68">
        <f>$L53-$N53</f>
        <v/>
      </c>
      <c r="S53" s="67">
        <f>"Finance invoice"</f>
        <v/>
      </c>
      <c r="T53" s="67">
        <f>"Revenue"</f>
        <v/>
      </c>
    </row>
    <row r="54">
      <c r="A54" s="65">
        <f>ROW()-5</f>
        <v/>
      </c>
      <c r="B54" s="66">
        <f>IFERROR(INDEX(tbl_Finance[Date],$A54),"")</f>
        <v/>
      </c>
      <c r="C54" s="67">
        <f>IFERROR(INDEX(tbl_Finance[Xero Invoice No],$A54),"")</f>
        <v/>
      </c>
      <c r="D54" s="67">
        <f>IFERROR(INDEX(tbl_Finance[Client],$A54),"")</f>
        <v/>
      </c>
      <c r="E54" s="67">
        <f>IFERROR(INDEX(tbl_Finance[Job Number],$A54),"")</f>
        <v/>
      </c>
      <c r="F54" s="67">
        <f>IFERROR(INDEX(tbl_Finance[Cost Centre],$A54),"")</f>
        <v/>
      </c>
      <c r="G54" s="68">
        <f>IFERROR(INDEX(tbl_Finance[Ex GST],$A54),"")</f>
        <v/>
      </c>
      <c r="H54" s="66">
        <f>IFERROR(INDEX(tbl_Finance[Defer Start],$A54),"")</f>
        <v/>
      </c>
      <c r="I54" s="66">
        <f>IFERROR(INDEX(tbl_Finance[Defer End],$A54),"")</f>
        <v/>
      </c>
      <c r="J54" s="65">
        <f>IF(OR($H54="",$I54="",$G54=""),"",MAX(1,(YEAR($I54)-YEAR($H54))*12+MONTH($I54)-MONTH($H54)+1))</f>
        <v/>
      </c>
      <c r="K54" s="68">
        <f>IF($J54="","",$G54/$J54)</f>
        <v/>
      </c>
      <c r="L54" s="68">
        <f>IF($J54="",0,$K54*MAX(0,MIN(YEAR($C$3)*12+MONTH($C$3),YEAR($I54)*12+MONTH($I54))-(YEAR($H54)*12+MONTH($H54))+1))</f>
        <v/>
      </c>
      <c r="M54" s="68">
        <f>IF($J54="",0,$K54*MAX(0,MIN(YEAR($C$3)*12+MONTH($C$3)-1,YEAR($I54)*12+MONTH($I54))-(YEAR($H54)*12+MONTH($H54))+1))</f>
        <v/>
      </c>
      <c r="N54" s="68">
        <f>IF(OR($J54="",$B54=""),0,IF(YEAR($B54)*12+MONTH($B54)&lt;=YEAR($C$3)*12+MONTH($C$3),$G54,0))</f>
        <v/>
      </c>
      <c r="O54" s="68">
        <f>IF(OR($J54="",$B54=""),0,IF(YEAR($B54)*12+MONTH($B54)&lt;=YEAR($C$3)*12+MONTH($C$3)-1,$G54,0))</f>
        <v/>
      </c>
      <c r="P54" s="68">
        <f>$M54-$O54</f>
        <v/>
      </c>
      <c r="Q54" s="68">
        <f>($L54-$M54)-($N54-$O54)</f>
        <v/>
      </c>
      <c r="R54" s="68">
        <f>$L54-$N54</f>
        <v/>
      </c>
      <c r="S54" s="67">
        <f>"Finance invoice"</f>
        <v/>
      </c>
      <c r="T54" s="67">
        <f>"Revenue"</f>
        <v/>
      </c>
    </row>
    <row r="55">
      <c r="A55" s="65">
        <f>ROW()-5</f>
        <v/>
      </c>
      <c r="B55" s="66">
        <f>IFERROR(INDEX(tbl_Finance[Date],$A55),"")</f>
        <v/>
      </c>
      <c r="C55" s="67">
        <f>IFERROR(INDEX(tbl_Finance[Xero Invoice No],$A55),"")</f>
        <v/>
      </c>
      <c r="D55" s="67">
        <f>IFERROR(INDEX(tbl_Finance[Client],$A55),"")</f>
        <v/>
      </c>
      <c r="E55" s="67">
        <f>IFERROR(INDEX(tbl_Finance[Job Number],$A55),"")</f>
        <v/>
      </c>
      <c r="F55" s="67">
        <f>IFERROR(INDEX(tbl_Finance[Cost Centre],$A55),"")</f>
        <v/>
      </c>
      <c r="G55" s="68">
        <f>IFERROR(INDEX(tbl_Finance[Ex GST],$A55),"")</f>
        <v/>
      </c>
      <c r="H55" s="66">
        <f>IFERROR(INDEX(tbl_Finance[Defer Start],$A55),"")</f>
        <v/>
      </c>
      <c r="I55" s="66">
        <f>IFERROR(INDEX(tbl_Finance[Defer End],$A55),"")</f>
        <v/>
      </c>
      <c r="J55" s="65">
        <f>IF(OR($H55="",$I55="",$G55=""),"",MAX(1,(YEAR($I55)-YEAR($H55))*12+MONTH($I55)-MONTH($H55)+1))</f>
        <v/>
      </c>
      <c r="K55" s="68">
        <f>IF($J55="","",$G55/$J55)</f>
        <v/>
      </c>
      <c r="L55" s="68">
        <f>IF($J55="",0,$K55*MAX(0,MIN(YEAR($C$3)*12+MONTH($C$3),YEAR($I55)*12+MONTH($I55))-(YEAR($H55)*12+MONTH($H55))+1))</f>
        <v/>
      </c>
      <c r="M55" s="68">
        <f>IF($J55="",0,$K55*MAX(0,MIN(YEAR($C$3)*12+MONTH($C$3)-1,YEAR($I55)*12+MONTH($I55))-(YEAR($H55)*12+MONTH($H55))+1))</f>
        <v/>
      </c>
      <c r="N55" s="68">
        <f>IF(OR($J55="",$B55=""),0,IF(YEAR($B55)*12+MONTH($B55)&lt;=YEAR($C$3)*12+MONTH($C$3),$G55,0))</f>
        <v/>
      </c>
      <c r="O55" s="68">
        <f>IF(OR($J55="",$B55=""),0,IF(YEAR($B55)*12+MONTH($B55)&lt;=YEAR($C$3)*12+MONTH($C$3)-1,$G55,0))</f>
        <v/>
      </c>
      <c r="P55" s="68">
        <f>$M55-$O55</f>
        <v/>
      </c>
      <c r="Q55" s="68">
        <f>($L55-$M55)-($N55-$O55)</f>
        <v/>
      </c>
      <c r="R55" s="68">
        <f>$L55-$N55</f>
        <v/>
      </c>
      <c r="S55" s="67">
        <f>"Finance invoice"</f>
        <v/>
      </c>
      <c r="T55" s="67">
        <f>"Revenue"</f>
        <v/>
      </c>
    </row>
    <row r="56">
      <c r="A56" s="65">
        <f>ROW()-5</f>
        <v/>
      </c>
      <c r="B56" s="66">
        <f>IFERROR(INDEX(tbl_Finance[Date],$A56),"")</f>
        <v/>
      </c>
      <c r="C56" s="67">
        <f>IFERROR(INDEX(tbl_Finance[Xero Invoice No],$A56),"")</f>
        <v/>
      </c>
      <c r="D56" s="67">
        <f>IFERROR(INDEX(tbl_Finance[Client],$A56),"")</f>
        <v/>
      </c>
      <c r="E56" s="67">
        <f>IFERROR(INDEX(tbl_Finance[Job Number],$A56),"")</f>
        <v/>
      </c>
      <c r="F56" s="67">
        <f>IFERROR(INDEX(tbl_Finance[Cost Centre],$A56),"")</f>
        <v/>
      </c>
      <c r="G56" s="68">
        <f>IFERROR(INDEX(tbl_Finance[Ex GST],$A56),"")</f>
        <v/>
      </c>
      <c r="H56" s="66">
        <f>IFERROR(INDEX(tbl_Finance[Defer Start],$A56),"")</f>
        <v/>
      </c>
      <c r="I56" s="66">
        <f>IFERROR(INDEX(tbl_Finance[Defer End],$A56),"")</f>
        <v/>
      </c>
      <c r="J56" s="65">
        <f>IF(OR($H56="",$I56="",$G56=""),"",MAX(1,(YEAR($I56)-YEAR($H56))*12+MONTH($I56)-MONTH($H56)+1))</f>
        <v/>
      </c>
      <c r="K56" s="68">
        <f>IF($J56="","",$G56/$J56)</f>
        <v/>
      </c>
      <c r="L56" s="68">
        <f>IF($J56="",0,$K56*MAX(0,MIN(YEAR($C$3)*12+MONTH($C$3),YEAR($I56)*12+MONTH($I56))-(YEAR($H56)*12+MONTH($H56))+1))</f>
        <v/>
      </c>
      <c r="M56" s="68">
        <f>IF($J56="",0,$K56*MAX(0,MIN(YEAR($C$3)*12+MONTH($C$3)-1,YEAR($I56)*12+MONTH($I56))-(YEAR($H56)*12+MONTH($H56))+1))</f>
        <v/>
      </c>
      <c r="N56" s="68">
        <f>IF(OR($J56="",$B56=""),0,IF(YEAR($B56)*12+MONTH($B56)&lt;=YEAR($C$3)*12+MONTH($C$3),$G56,0))</f>
        <v/>
      </c>
      <c r="O56" s="68">
        <f>IF(OR($J56="",$B56=""),0,IF(YEAR($B56)*12+MONTH($B56)&lt;=YEAR($C$3)*12+MONTH($C$3)-1,$G56,0))</f>
        <v/>
      </c>
      <c r="P56" s="68">
        <f>$M56-$O56</f>
        <v/>
      </c>
      <c r="Q56" s="68">
        <f>($L56-$M56)-($N56-$O56)</f>
        <v/>
      </c>
      <c r="R56" s="68">
        <f>$L56-$N56</f>
        <v/>
      </c>
      <c r="S56" s="67">
        <f>"Finance invoice"</f>
        <v/>
      </c>
      <c r="T56" s="67">
        <f>"Revenue"</f>
        <v/>
      </c>
    </row>
    <row r="57">
      <c r="A57" s="65">
        <f>ROW()-5</f>
        <v/>
      </c>
      <c r="B57" s="66">
        <f>IFERROR(INDEX(tbl_Finance[Date],$A57),"")</f>
        <v/>
      </c>
      <c r="C57" s="67">
        <f>IFERROR(INDEX(tbl_Finance[Xero Invoice No],$A57),"")</f>
        <v/>
      </c>
      <c r="D57" s="67">
        <f>IFERROR(INDEX(tbl_Finance[Client],$A57),"")</f>
        <v/>
      </c>
      <c r="E57" s="67">
        <f>IFERROR(INDEX(tbl_Finance[Job Number],$A57),"")</f>
        <v/>
      </c>
      <c r="F57" s="67">
        <f>IFERROR(INDEX(tbl_Finance[Cost Centre],$A57),"")</f>
        <v/>
      </c>
      <c r="G57" s="68">
        <f>IFERROR(INDEX(tbl_Finance[Ex GST],$A57),"")</f>
        <v/>
      </c>
      <c r="H57" s="66">
        <f>IFERROR(INDEX(tbl_Finance[Defer Start],$A57),"")</f>
        <v/>
      </c>
      <c r="I57" s="66">
        <f>IFERROR(INDEX(tbl_Finance[Defer End],$A57),"")</f>
        <v/>
      </c>
      <c r="J57" s="65">
        <f>IF(OR($H57="",$I57="",$G57=""),"",MAX(1,(YEAR($I57)-YEAR($H57))*12+MONTH($I57)-MONTH($H57)+1))</f>
        <v/>
      </c>
      <c r="K57" s="68">
        <f>IF($J57="","",$G57/$J57)</f>
        <v/>
      </c>
      <c r="L57" s="68">
        <f>IF($J57="",0,$K57*MAX(0,MIN(YEAR($C$3)*12+MONTH($C$3),YEAR($I57)*12+MONTH($I57))-(YEAR($H57)*12+MONTH($H57))+1))</f>
        <v/>
      </c>
      <c r="M57" s="68">
        <f>IF($J57="",0,$K57*MAX(0,MIN(YEAR($C$3)*12+MONTH($C$3)-1,YEAR($I57)*12+MONTH($I57))-(YEAR($H57)*12+MONTH($H57))+1))</f>
        <v/>
      </c>
      <c r="N57" s="68">
        <f>IF(OR($J57="",$B57=""),0,IF(YEAR($B57)*12+MONTH($B57)&lt;=YEAR($C$3)*12+MONTH($C$3),$G57,0))</f>
        <v/>
      </c>
      <c r="O57" s="68">
        <f>IF(OR($J57="",$B57=""),0,IF(YEAR($B57)*12+MONTH($B57)&lt;=YEAR($C$3)*12+MONTH($C$3)-1,$G57,0))</f>
        <v/>
      </c>
      <c r="P57" s="68">
        <f>$M57-$O57</f>
        <v/>
      </c>
      <c r="Q57" s="68">
        <f>($L57-$M57)-($N57-$O57)</f>
        <v/>
      </c>
      <c r="R57" s="68">
        <f>$L57-$N57</f>
        <v/>
      </c>
      <c r="S57" s="67">
        <f>"Finance invoice"</f>
        <v/>
      </c>
      <c r="T57" s="67">
        <f>"Revenue"</f>
        <v/>
      </c>
    </row>
    <row r="58">
      <c r="A58" s="65">
        <f>ROW()-5</f>
        <v/>
      </c>
      <c r="B58" s="66">
        <f>IFERROR(INDEX(tbl_Finance[Date],$A58),"")</f>
        <v/>
      </c>
      <c r="C58" s="67">
        <f>IFERROR(INDEX(tbl_Finance[Xero Invoice No],$A58),"")</f>
        <v/>
      </c>
      <c r="D58" s="67">
        <f>IFERROR(INDEX(tbl_Finance[Client],$A58),"")</f>
        <v/>
      </c>
      <c r="E58" s="67">
        <f>IFERROR(INDEX(tbl_Finance[Job Number],$A58),"")</f>
        <v/>
      </c>
      <c r="F58" s="67">
        <f>IFERROR(INDEX(tbl_Finance[Cost Centre],$A58),"")</f>
        <v/>
      </c>
      <c r="G58" s="68">
        <f>IFERROR(INDEX(tbl_Finance[Ex GST],$A58),"")</f>
        <v/>
      </c>
      <c r="H58" s="66">
        <f>IFERROR(INDEX(tbl_Finance[Defer Start],$A58),"")</f>
        <v/>
      </c>
      <c r="I58" s="66">
        <f>IFERROR(INDEX(tbl_Finance[Defer End],$A58),"")</f>
        <v/>
      </c>
      <c r="J58" s="65">
        <f>IF(OR($H58="",$I58="",$G58=""),"",MAX(1,(YEAR($I58)-YEAR($H58))*12+MONTH($I58)-MONTH($H58)+1))</f>
        <v/>
      </c>
      <c r="K58" s="68">
        <f>IF($J58="","",$G58/$J58)</f>
        <v/>
      </c>
      <c r="L58" s="68">
        <f>IF($J58="",0,$K58*MAX(0,MIN(YEAR($C$3)*12+MONTH($C$3),YEAR($I58)*12+MONTH($I58))-(YEAR($H58)*12+MONTH($H58))+1))</f>
        <v/>
      </c>
      <c r="M58" s="68">
        <f>IF($J58="",0,$K58*MAX(0,MIN(YEAR($C$3)*12+MONTH($C$3)-1,YEAR($I58)*12+MONTH($I58))-(YEAR($H58)*12+MONTH($H58))+1))</f>
        <v/>
      </c>
      <c r="N58" s="68">
        <f>IF(OR($J58="",$B58=""),0,IF(YEAR($B58)*12+MONTH($B58)&lt;=YEAR($C$3)*12+MONTH($C$3),$G58,0))</f>
        <v/>
      </c>
      <c r="O58" s="68">
        <f>IF(OR($J58="",$B58=""),0,IF(YEAR($B58)*12+MONTH($B58)&lt;=YEAR($C$3)*12+MONTH($C$3)-1,$G58,0))</f>
        <v/>
      </c>
      <c r="P58" s="68">
        <f>$M58-$O58</f>
        <v/>
      </c>
      <c r="Q58" s="68">
        <f>($L58-$M58)-($N58-$O58)</f>
        <v/>
      </c>
      <c r="R58" s="68">
        <f>$L58-$N58</f>
        <v/>
      </c>
      <c r="S58" s="67">
        <f>"Finance invoice"</f>
        <v/>
      </c>
      <c r="T58" s="67">
        <f>"Revenue"</f>
        <v/>
      </c>
    </row>
    <row r="59">
      <c r="A59" s="65">
        <f>ROW()-5</f>
        <v/>
      </c>
      <c r="B59" s="66">
        <f>IFERROR(INDEX(tbl_Finance[Date],$A59),"")</f>
        <v/>
      </c>
      <c r="C59" s="67">
        <f>IFERROR(INDEX(tbl_Finance[Xero Invoice No],$A59),"")</f>
        <v/>
      </c>
      <c r="D59" s="67">
        <f>IFERROR(INDEX(tbl_Finance[Client],$A59),"")</f>
        <v/>
      </c>
      <c r="E59" s="67">
        <f>IFERROR(INDEX(tbl_Finance[Job Number],$A59),"")</f>
        <v/>
      </c>
      <c r="F59" s="67">
        <f>IFERROR(INDEX(tbl_Finance[Cost Centre],$A59),"")</f>
        <v/>
      </c>
      <c r="G59" s="68">
        <f>IFERROR(INDEX(tbl_Finance[Ex GST],$A59),"")</f>
        <v/>
      </c>
      <c r="H59" s="66">
        <f>IFERROR(INDEX(tbl_Finance[Defer Start],$A59),"")</f>
        <v/>
      </c>
      <c r="I59" s="66">
        <f>IFERROR(INDEX(tbl_Finance[Defer End],$A59),"")</f>
        <v/>
      </c>
      <c r="J59" s="65">
        <f>IF(OR($H59="",$I59="",$G59=""),"",MAX(1,(YEAR($I59)-YEAR($H59))*12+MONTH($I59)-MONTH($H59)+1))</f>
        <v/>
      </c>
      <c r="K59" s="68">
        <f>IF($J59="","",$G59/$J59)</f>
        <v/>
      </c>
      <c r="L59" s="68">
        <f>IF($J59="",0,$K59*MAX(0,MIN(YEAR($C$3)*12+MONTH($C$3),YEAR($I59)*12+MONTH($I59))-(YEAR($H59)*12+MONTH($H59))+1))</f>
        <v/>
      </c>
      <c r="M59" s="68">
        <f>IF($J59="",0,$K59*MAX(0,MIN(YEAR($C$3)*12+MONTH($C$3)-1,YEAR($I59)*12+MONTH($I59))-(YEAR($H59)*12+MONTH($H59))+1))</f>
        <v/>
      </c>
      <c r="N59" s="68">
        <f>IF(OR($J59="",$B59=""),0,IF(YEAR($B59)*12+MONTH($B59)&lt;=YEAR($C$3)*12+MONTH($C$3),$G59,0))</f>
        <v/>
      </c>
      <c r="O59" s="68">
        <f>IF(OR($J59="",$B59=""),0,IF(YEAR($B59)*12+MONTH($B59)&lt;=YEAR($C$3)*12+MONTH($C$3)-1,$G59,0))</f>
        <v/>
      </c>
      <c r="P59" s="68">
        <f>$M59-$O59</f>
        <v/>
      </c>
      <c r="Q59" s="68">
        <f>($L59-$M59)-($N59-$O59)</f>
        <v/>
      </c>
      <c r="R59" s="68">
        <f>$L59-$N59</f>
        <v/>
      </c>
      <c r="S59" s="67">
        <f>"Finance invoice"</f>
        <v/>
      </c>
      <c r="T59" s="67">
        <f>"Revenue"</f>
        <v/>
      </c>
    </row>
    <row r="60">
      <c r="A60" s="65">
        <f>ROW()-5</f>
        <v/>
      </c>
      <c r="B60" s="66">
        <f>IFERROR(INDEX(tbl_Finance[Date],$A60),"")</f>
        <v/>
      </c>
      <c r="C60" s="67">
        <f>IFERROR(INDEX(tbl_Finance[Xero Invoice No],$A60),"")</f>
        <v/>
      </c>
      <c r="D60" s="67">
        <f>IFERROR(INDEX(tbl_Finance[Client],$A60),"")</f>
        <v/>
      </c>
      <c r="E60" s="67">
        <f>IFERROR(INDEX(tbl_Finance[Job Number],$A60),"")</f>
        <v/>
      </c>
      <c r="F60" s="67">
        <f>IFERROR(INDEX(tbl_Finance[Cost Centre],$A60),"")</f>
        <v/>
      </c>
      <c r="G60" s="68">
        <f>IFERROR(INDEX(tbl_Finance[Ex GST],$A60),"")</f>
        <v/>
      </c>
      <c r="H60" s="66">
        <f>IFERROR(INDEX(tbl_Finance[Defer Start],$A60),"")</f>
        <v/>
      </c>
      <c r="I60" s="66">
        <f>IFERROR(INDEX(tbl_Finance[Defer End],$A60),"")</f>
        <v/>
      </c>
      <c r="J60" s="65">
        <f>IF(OR($H60="",$I60="",$G60=""),"",MAX(1,(YEAR($I60)-YEAR($H60))*12+MONTH($I60)-MONTH($H60)+1))</f>
        <v/>
      </c>
      <c r="K60" s="68">
        <f>IF($J60="","",$G60/$J60)</f>
        <v/>
      </c>
      <c r="L60" s="68">
        <f>IF($J60="",0,$K60*MAX(0,MIN(YEAR($C$3)*12+MONTH($C$3),YEAR($I60)*12+MONTH($I60))-(YEAR($H60)*12+MONTH($H60))+1))</f>
        <v/>
      </c>
      <c r="M60" s="68">
        <f>IF($J60="",0,$K60*MAX(0,MIN(YEAR($C$3)*12+MONTH($C$3)-1,YEAR($I60)*12+MONTH($I60))-(YEAR($H60)*12+MONTH($H60))+1))</f>
        <v/>
      </c>
      <c r="N60" s="68">
        <f>IF(OR($J60="",$B60=""),0,IF(YEAR($B60)*12+MONTH($B60)&lt;=YEAR($C$3)*12+MONTH($C$3),$G60,0))</f>
        <v/>
      </c>
      <c r="O60" s="68">
        <f>IF(OR($J60="",$B60=""),0,IF(YEAR($B60)*12+MONTH($B60)&lt;=YEAR($C$3)*12+MONTH($C$3)-1,$G60,0))</f>
        <v/>
      </c>
      <c r="P60" s="68">
        <f>$M60-$O60</f>
        <v/>
      </c>
      <c r="Q60" s="68">
        <f>($L60-$M60)-($N60-$O60)</f>
        <v/>
      </c>
      <c r="R60" s="68">
        <f>$L60-$N60</f>
        <v/>
      </c>
      <c r="S60" s="67">
        <f>"Finance invoice"</f>
        <v/>
      </c>
      <c r="T60" s="67">
        <f>"Revenue"</f>
        <v/>
      </c>
    </row>
    <row r="61">
      <c r="A61" s="65">
        <f>ROW()-5</f>
        <v/>
      </c>
      <c r="B61" s="66">
        <f>IFERROR(INDEX(tbl_Finance[Date],$A61),"")</f>
        <v/>
      </c>
      <c r="C61" s="67">
        <f>IFERROR(INDEX(tbl_Finance[Xero Invoice No],$A61),"")</f>
        <v/>
      </c>
      <c r="D61" s="67">
        <f>IFERROR(INDEX(tbl_Finance[Client],$A61),"")</f>
        <v/>
      </c>
      <c r="E61" s="67">
        <f>IFERROR(INDEX(tbl_Finance[Job Number],$A61),"")</f>
        <v/>
      </c>
      <c r="F61" s="67">
        <f>IFERROR(INDEX(tbl_Finance[Cost Centre],$A61),"")</f>
        <v/>
      </c>
      <c r="G61" s="68">
        <f>IFERROR(INDEX(tbl_Finance[Ex GST],$A61),"")</f>
        <v/>
      </c>
      <c r="H61" s="66">
        <f>IFERROR(INDEX(tbl_Finance[Defer Start],$A61),"")</f>
        <v/>
      </c>
      <c r="I61" s="66">
        <f>IFERROR(INDEX(tbl_Finance[Defer End],$A61),"")</f>
        <v/>
      </c>
      <c r="J61" s="65">
        <f>IF(OR($H61="",$I61="",$G61=""),"",MAX(1,(YEAR($I61)-YEAR($H61))*12+MONTH($I61)-MONTH($H61)+1))</f>
        <v/>
      </c>
      <c r="K61" s="68">
        <f>IF($J61="","",$G61/$J61)</f>
        <v/>
      </c>
      <c r="L61" s="68">
        <f>IF($J61="",0,$K61*MAX(0,MIN(YEAR($C$3)*12+MONTH($C$3),YEAR($I61)*12+MONTH($I61))-(YEAR($H61)*12+MONTH($H61))+1))</f>
        <v/>
      </c>
      <c r="M61" s="68">
        <f>IF($J61="",0,$K61*MAX(0,MIN(YEAR($C$3)*12+MONTH($C$3)-1,YEAR($I61)*12+MONTH($I61))-(YEAR($H61)*12+MONTH($H61))+1))</f>
        <v/>
      </c>
      <c r="N61" s="68">
        <f>IF(OR($J61="",$B61=""),0,IF(YEAR($B61)*12+MONTH($B61)&lt;=YEAR($C$3)*12+MONTH($C$3),$G61,0))</f>
        <v/>
      </c>
      <c r="O61" s="68">
        <f>IF(OR($J61="",$B61=""),0,IF(YEAR($B61)*12+MONTH($B61)&lt;=YEAR($C$3)*12+MONTH($C$3)-1,$G61,0))</f>
        <v/>
      </c>
      <c r="P61" s="68">
        <f>$M61-$O61</f>
        <v/>
      </c>
      <c r="Q61" s="68">
        <f>($L61-$M61)-($N61-$O61)</f>
        <v/>
      </c>
      <c r="R61" s="68">
        <f>$L61-$N61</f>
        <v/>
      </c>
      <c r="S61" s="67">
        <f>"Finance invoice"</f>
        <v/>
      </c>
      <c r="T61" s="67">
        <f>"Revenue"</f>
        <v/>
      </c>
    </row>
    <row r="62">
      <c r="A62" s="65">
        <f>ROW()-5</f>
        <v/>
      </c>
      <c r="B62" s="66">
        <f>IFERROR(INDEX(tbl_Finance[Date],$A62),"")</f>
        <v/>
      </c>
      <c r="C62" s="67">
        <f>IFERROR(INDEX(tbl_Finance[Xero Invoice No],$A62),"")</f>
        <v/>
      </c>
      <c r="D62" s="67">
        <f>IFERROR(INDEX(tbl_Finance[Client],$A62),"")</f>
        <v/>
      </c>
      <c r="E62" s="67">
        <f>IFERROR(INDEX(tbl_Finance[Job Number],$A62),"")</f>
        <v/>
      </c>
      <c r="F62" s="67">
        <f>IFERROR(INDEX(tbl_Finance[Cost Centre],$A62),"")</f>
        <v/>
      </c>
      <c r="G62" s="68">
        <f>IFERROR(INDEX(tbl_Finance[Ex GST],$A62),"")</f>
        <v/>
      </c>
      <c r="H62" s="66">
        <f>IFERROR(INDEX(tbl_Finance[Defer Start],$A62),"")</f>
        <v/>
      </c>
      <c r="I62" s="66">
        <f>IFERROR(INDEX(tbl_Finance[Defer End],$A62),"")</f>
        <v/>
      </c>
      <c r="J62" s="65">
        <f>IF(OR($H62="",$I62="",$G62=""),"",MAX(1,(YEAR($I62)-YEAR($H62))*12+MONTH($I62)-MONTH($H62)+1))</f>
        <v/>
      </c>
      <c r="K62" s="68">
        <f>IF($J62="","",$G62/$J62)</f>
        <v/>
      </c>
      <c r="L62" s="68">
        <f>IF($J62="",0,$K62*MAX(0,MIN(YEAR($C$3)*12+MONTH($C$3),YEAR($I62)*12+MONTH($I62))-(YEAR($H62)*12+MONTH($H62))+1))</f>
        <v/>
      </c>
      <c r="M62" s="68">
        <f>IF($J62="",0,$K62*MAX(0,MIN(YEAR($C$3)*12+MONTH($C$3)-1,YEAR($I62)*12+MONTH($I62))-(YEAR($H62)*12+MONTH($H62))+1))</f>
        <v/>
      </c>
      <c r="N62" s="68">
        <f>IF(OR($J62="",$B62=""),0,IF(YEAR($B62)*12+MONTH($B62)&lt;=YEAR($C$3)*12+MONTH($C$3),$G62,0))</f>
        <v/>
      </c>
      <c r="O62" s="68">
        <f>IF(OR($J62="",$B62=""),0,IF(YEAR($B62)*12+MONTH($B62)&lt;=YEAR($C$3)*12+MONTH($C$3)-1,$G62,0))</f>
        <v/>
      </c>
      <c r="P62" s="68">
        <f>$M62-$O62</f>
        <v/>
      </c>
      <c r="Q62" s="68">
        <f>($L62-$M62)-($N62-$O62)</f>
        <v/>
      </c>
      <c r="R62" s="68">
        <f>$L62-$N62</f>
        <v/>
      </c>
      <c r="S62" s="67">
        <f>"Finance invoice"</f>
        <v/>
      </c>
      <c r="T62" s="67">
        <f>"Revenue"</f>
        <v/>
      </c>
    </row>
    <row r="63">
      <c r="A63" s="65">
        <f>ROW()-5</f>
        <v/>
      </c>
      <c r="B63" s="66">
        <f>IFERROR(INDEX(tbl_Finance[Date],$A63),"")</f>
        <v/>
      </c>
      <c r="C63" s="67">
        <f>IFERROR(INDEX(tbl_Finance[Xero Invoice No],$A63),"")</f>
        <v/>
      </c>
      <c r="D63" s="67">
        <f>IFERROR(INDEX(tbl_Finance[Client],$A63),"")</f>
        <v/>
      </c>
      <c r="E63" s="67">
        <f>IFERROR(INDEX(tbl_Finance[Job Number],$A63),"")</f>
        <v/>
      </c>
      <c r="F63" s="67">
        <f>IFERROR(INDEX(tbl_Finance[Cost Centre],$A63),"")</f>
        <v/>
      </c>
      <c r="G63" s="68">
        <f>IFERROR(INDEX(tbl_Finance[Ex GST],$A63),"")</f>
        <v/>
      </c>
      <c r="H63" s="66">
        <f>IFERROR(INDEX(tbl_Finance[Defer Start],$A63),"")</f>
        <v/>
      </c>
      <c r="I63" s="66">
        <f>IFERROR(INDEX(tbl_Finance[Defer End],$A63),"")</f>
        <v/>
      </c>
      <c r="J63" s="65">
        <f>IF(OR($H63="",$I63="",$G63=""),"",MAX(1,(YEAR($I63)-YEAR($H63))*12+MONTH($I63)-MONTH($H63)+1))</f>
        <v/>
      </c>
      <c r="K63" s="68">
        <f>IF($J63="","",$G63/$J63)</f>
        <v/>
      </c>
      <c r="L63" s="68">
        <f>IF($J63="",0,$K63*MAX(0,MIN(YEAR($C$3)*12+MONTH($C$3),YEAR($I63)*12+MONTH($I63))-(YEAR($H63)*12+MONTH($H63))+1))</f>
        <v/>
      </c>
      <c r="M63" s="68">
        <f>IF($J63="",0,$K63*MAX(0,MIN(YEAR($C$3)*12+MONTH($C$3)-1,YEAR($I63)*12+MONTH($I63))-(YEAR($H63)*12+MONTH($H63))+1))</f>
        <v/>
      </c>
      <c r="N63" s="68">
        <f>IF(OR($J63="",$B63=""),0,IF(YEAR($B63)*12+MONTH($B63)&lt;=YEAR($C$3)*12+MONTH($C$3),$G63,0))</f>
        <v/>
      </c>
      <c r="O63" s="68">
        <f>IF(OR($J63="",$B63=""),0,IF(YEAR($B63)*12+MONTH($B63)&lt;=YEAR($C$3)*12+MONTH($C$3)-1,$G63,0))</f>
        <v/>
      </c>
      <c r="P63" s="68">
        <f>$M63-$O63</f>
        <v/>
      </c>
      <c r="Q63" s="68">
        <f>($L63-$M63)-($N63-$O63)</f>
        <v/>
      </c>
      <c r="R63" s="68">
        <f>$L63-$N63</f>
        <v/>
      </c>
      <c r="S63" s="67">
        <f>"Finance invoice"</f>
        <v/>
      </c>
      <c r="T63" s="67">
        <f>"Revenue"</f>
        <v/>
      </c>
    </row>
    <row r="64">
      <c r="A64" s="65">
        <f>ROW()-5</f>
        <v/>
      </c>
      <c r="B64" s="66">
        <f>IFERROR(INDEX(tbl_Finance[Date],$A64),"")</f>
        <v/>
      </c>
      <c r="C64" s="67">
        <f>IFERROR(INDEX(tbl_Finance[Xero Invoice No],$A64),"")</f>
        <v/>
      </c>
      <c r="D64" s="67">
        <f>IFERROR(INDEX(tbl_Finance[Client],$A64),"")</f>
        <v/>
      </c>
      <c r="E64" s="67">
        <f>IFERROR(INDEX(tbl_Finance[Job Number],$A64),"")</f>
        <v/>
      </c>
      <c r="F64" s="67">
        <f>IFERROR(INDEX(tbl_Finance[Cost Centre],$A64),"")</f>
        <v/>
      </c>
      <c r="G64" s="68">
        <f>IFERROR(INDEX(tbl_Finance[Ex GST],$A64),"")</f>
        <v/>
      </c>
      <c r="H64" s="66">
        <f>IFERROR(INDEX(tbl_Finance[Defer Start],$A64),"")</f>
        <v/>
      </c>
      <c r="I64" s="66">
        <f>IFERROR(INDEX(tbl_Finance[Defer End],$A64),"")</f>
        <v/>
      </c>
      <c r="J64" s="65">
        <f>IF(OR($H64="",$I64="",$G64=""),"",MAX(1,(YEAR($I64)-YEAR($H64))*12+MONTH($I64)-MONTH($H64)+1))</f>
        <v/>
      </c>
      <c r="K64" s="68">
        <f>IF($J64="","",$G64/$J64)</f>
        <v/>
      </c>
      <c r="L64" s="68">
        <f>IF($J64="",0,$K64*MAX(0,MIN(YEAR($C$3)*12+MONTH($C$3),YEAR($I64)*12+MONTH($I64))-(YEAR($H64)*12+MONTH($H64))+1))</f>
        <v/>
      </c>
      <c r="M64" s="68">
        <f>IF($J64="",0,$K64*MAX(0,MIN(YEAR($C$3)*12+MONTH($C$3)-1,YEAR($I64)*12+MONTH($I64))-(YEAR($H64)*12+MONTH($H64))+1))</f>
        <v/>
      </c>
      <c r="N64" s="68">
        <f>IF(OR($J64="",$B64=""),0,IF(YEAR($B64)*12+MONTH($B64)&lt;=YEAR($C$3)*12+MONTH($C$3),$G64,0))</f>
        <v/>
      </c>
      <c r="O64" s="68">
        <f>IF(OR($J64="",$B64=""),0,IF(YEAR($B64)*12+MONTH($B64)&lt;=YEAR($C$3)*12+MONTH($C$3)-1,$G64,0))</f>
        <v/>
      </c>
      <c r="P64" s="68">
        <f>$M64-$O64</f>
        <v/>
      </c>
      <c r="Q64" s="68">
        <f>($L64-$M64)-($N64-$O64)</f>
        <v/>
      </c>
      <c r="R64" s="68">
        <f>$L64-$N64</f>
        <v/>
      </c>
      <c r="S64" s="67">
        <f>"Finance invoice"</f>
        <v/>
      </c>
      <c r="T64" s="67">
        <f>"Revenue"</f>
        <v/>
      </c>
    </row>
    <row r="65">
      <c r="A65" s="65">
        <f>ROW()-5</f>
        <v/>
      </c>
      <c r="B65" s="66">
        <f>IFERROR(INDEX(tbl_Finance[Date],$A65),"")</f>
        <v/>
      </c>
      <c r="C65" s="67">
        <f>IFERROR(INDEX(tbl_Finance[Xero Invoice No],$A65),"")</f>
        <v/>
      </c>
      <c r="D65" s="67">
        <f>IFERROR(INDEX(tbl_Finance[Client],$A65),"")</f>
        <v/>
      </c>
      <c r="E65" s="67">
        <f>IFERROR(INDEX(tbl_Finance[Job Number],$A65),"")</f>
        <v/>
      </c>
      <c r="F65" s="67">
        <f>IFERROR(INDEX(tbl_Finance[Cost Centre],$A65),"")</f>
        <v/>
      </c>
      <c r="G65" s="68">
        <f>IFERROR(INDEX(tbl_Finance[Ex GST],$A65),"")</f>
        <v/>
      </c>
      <c r="H65" s="66">
        <f>IFERROR(INDEX(tbl_Finance[Defer Start],$A65),"")</f>
        <v/>
      </c>
      <c r="I65" s="66">
        <f>IFERROR(INDEX(tbl_Finance[Defer End],$A65),"")</f>
        <v/>
      </c>
      <c r="J65" s="65">
        <f>IF(OR($H65="",$I65="",$G65=""),"",MAX(1,(YEAR($I65)-YEAR($H65))*12+MONTH($I65)-MONTH($H65)+1))</f>
        <v/>
      </c>
      <c r="K65" s="68">
        <f>IF($J65="","",$G65/$J65)</f>
        <v/>
      </c>
      <c r="L65" s="68">
        <f>IF($J65="",0,$K65*MAX(0,MIN(YEAR($C$3)*12+MONTH($C$3),YEAR($I65)*12+MONTH($I65))-(YEAR($H65)*12+MONTH($H65))+1))</f>
        <v/>
      </c>
      <c r="M65" s="68">
        <f>IF($J65="",0,$K65*MAX(0,MIN(YEAR($C$3)*12+MONTH($C$3)-1,YEAR($I65)*12+MONTH($I65))-(YEAR($H65)*12+MONTH($H65))+1))</f>
        <v/>
      </c>
      <c r="N65" s="68">
        <f>IF(OR($J65="",$B65=""),0,IF(YEAR($B65)*12+MONTH($B65)&lt;=YEAR($C$3)*12+MONTH($C$3),$G65,0))</f>
        <v/>
      </c>
      <c r="O65" s="68">
        <f>IF(OR($J65="",$B65=""),0,IF(YEAR($B65)*12+MONTH($B65)&lt;=YEAR($C$3)*12+MONTH($C$3)-1,$G65,0))</f>
        <v/>
      </c>
      <c r="P65" s="68">
        <f>$M65-$O65</f>
        <v/>
      </c>
      <c r="Q65" s="68">
        <f>($L65-$M65)-($N65-$O65)</f>
        <v/>
      </c>
      <c r="R65" s="68">
        <f>$L65-$N65</f>
        <v/>
      </c>
      <c r="S65" s="67">
        <f>"Finance invoice"</f>
        <v/>
      </c>
      <c r="T65" s="67">
        <f>"Revenue"</f>
        <v/>
      </c>
    </row>
    <row r="66">
      <c r="A66" s="65">
        <f>ROW()-5</f>
        <v/>
      </c>
      <c r="B66" s="66">
        <f>IFERROR(INDEX(tbl_Finance[Date],$A66),"")</f>
        <v/>
      </c>
      <c r="C66" s="67">
        <f>IFERROR(INDEX(tbl_Finance[Xero Invoice No],$A66),"")</f>
        <v/>
      </c>
      <c r="D66" s="67">
        <f>IFERROR(INDEX(tbl_Finance[Client],$A66),"")</f>
        <v/>
      </c>
      <c r="E66" s="67">
        <f>IFERROR(INDEX(tbl_Finance[Job Number],$A66),"")</f>
        <v/>
      </c>
      <c r="F66" s="67">
        <f>IFERROR(INDEX(tbl_Finance[Cost Centre],$A66),"")</f>
        <v/>
      </c>
      <c r="G66" s="68">
        <f>IFERROR(INDEX(tbl_Finance[Ex GST],$A66),"")</f>
        <v/>
      </c>
      <c r="H66" s="66">
        <f>IFERROR(INDEX(tbl_Finance[Defer Start],$A66),"")</f>
        <v/>
      </c>
      <c r="I66" s="66">
        <f>IFERROR(INDEX(tbl_Finance[Defer End],$A66),"")</f>
        <v/>
      </c>
      <c r="J66" s="65">
        <f>IF(OR($H66="",$I66="",$G66=""),"",MAX(1,(YEAR($I66)-YEAR($H66))*12+MONTH($I66)-MONTH($H66)+1))</f>
        <v/>
      </c>
      <c r="K66" s="68">
        <f>IF($J66="","",$G66/$J66)</f>
        <v/>
      </c>
      <c r="L66" s="68">
        <f>IF($J66="",0,$K66*MAX(0,MIN(YEAR($C$3)*12+MONTH($C$3),YEAR($I66)*12+MONTH($I66))-(YEAR($H66)*12+MONTH($H66))+1))</f>
        <v/>
      </c>
      <c r="M66" s="68">
        <f>IF($J66="",0,$K66*MAX(0,MIN(YEAR($C$3)*12+MONTH($C$3)-1,YEAR($I66)*12+MONTH($I66))-(YEAR($H66)*12+MONTH($H66))+1))</f>
        <v/>
      </c>
      <c r="N66" s="68">
        <f>IF(OR($J66="",$B66=""),0,IF(YEAR($B66)*12+MONTH($B66)&lt;=YEAR($C$3)*12+MONTH($C$3),$G66,0))</f>
        <v/>
      </c>
      <c r="O66" s="68">
        <f>IF(OR($J66="",$B66=""),0,IF(YEAR($B66)*12+MONTH($B66)&lt;=YEAR($C$3)*12+MONTH($C$3)-1,$G66,0))</f>
        <v/>
      </c>
      <c r="P66" s="68">
        <f>$M66-$O66</f>
        <v/>
      </c>
      <c r="Q66" s="68">
        <f>($L66-$M66)-($N66-$O66)</f>
        <v/>
      </c>
      <c r="R66" s="68">
        <f>$L66-$N66</f>
        <v/>
      </c>
      <c r="S66" s="67">
        <f>"Finance invoice"</f>
        <v/>
      </c>
      <c r="T66" s="67">
        <f>"Revenue"</f>
        <v/>
      </c>
    </row>
    <row r="67">
      <c r="A67" s="65">
        <f>ROW()-5</f>
        <v/>
      </c>
      <c r="B67" s="66">
        <f>IFERROR(INDEX(tbl_Finance[Date],$A67),"")</f>
        <v/>
      </c>
      <c r="C67" s="67">
        <f>IFERROR(INDEX(tbl_Finance[Xero Invoice No],$A67),"")</f>
        <v/>
      </c>
      <c r="D67" s="67">
        <f>IFERROR(INDEX(tbl_Finance[Client],$A67),"")</f>
        <v/>
      </c>
      <c r="E67" s="67">
        <f>IFERROR(INDEX(tbl_Finance[Job Number],$A67),"")</f>
        <v/>
      </c>
      <c r="F67" s="67">
        <f>IFERROR(INDEX(tbl_Finance[Cost Centre],$A67),"")</f>
        <v/>
      </c>
      <c r="G67" s="68">
        <f>IFERROR(INDEX(tbl_Finance[Ex GST],$A67),"")</f>
        <v/>
      </c>
      <c r="H67" s="66">
        <f>IFERROR(INDEX(tbl_Finance[Defer Start],$A67),"")</f>
        <v/>
      </c>
      <c r="I67" s="66">
        <f>IFERROR(INDEX(tbl_Finance[Defer End],$A67),"")</f>
        <v/>
      </c>
      <c r="J67" s="65">
        <f>IF(OR($H67="",$I67="",$G67=""),"",MAX(1,(YEAR($I67)-YEAR($H67))*12+MONTH($I67)-MONTH($H67)+1))</f>
        <v/>
      </c>
      <c r="K67" s="68">
        <f>IF($J67="","",$G67/$J67)</f>
        <v/>
      </c>
      <c r="L67" s="68">
        <f>IF($J67="",0,$K67*MAX(0,MIN(YEAR($C$3)*12+MONTH($C$3),YEAR($I67)*12+MONTH($I67))-(YEAR($H67)*12+MONTH($H67))+1))</f>
        <v/>
      </c>
      <c r="M67" s="68">
        <f>IF($J67="",0,$K67*MAX(0,MIN(YEAR($C$3)*12+MONTH($C$3)-1,YEAR($I67)*12+MONTH($I67))-(YEAR($H67)*12+MONTH($H67))+1))</f>
        <v/>
      </c>
      <c r="N67" s="68">
        <f>IF(OR($J67="",$B67=""),0,IF(YEAR($B67)*12+MONTH($B67)&lt;=YEAR($C$3)*12+MONTH($C$3),$G67,0))</f>
        <v/>
      </c>
      <c r="O67" s="68">
        <f>IF(OR($J67="",$B67=""),0,IF(YEAR($B67)*12+MONTH($B67)&lt;=YEAR($C$3)*12+MONTH($C$3)-1,$G67,0))</f>
        <v/>
      </c>
      <c r="P67" s="68">
        <f>$M67-$O67</f>
        <v/>
      </c>
      <c r="Q67" s="68">
        <f>($L67-$M67)-($N67-$O67)</f>
        <v/>
      </c>
      <c r="R67" s="68">
        <f>$L67-$N67</f>
        <v/>
      </c>
      <c r="S67" s="67">
        <f>"Finance invoice"</f>
        <v/>
      </c>
      <c r="T67" s="67">
        <f>"Revenue"</f>
        <v/>
      </c>
    </row>
    <row r="68">
      <c r="A68" s="65">
        <f>ROW()-5</f>
        <v/>
      </c>
      <c r="B68" s="66">
        <f>IFERROR(INDEX(tbl_Finance[Date],$A68),"")</f>
        <v/>
      </c>
      <c r="C68" s="67">
        <f>IFERROR(INDEX(tbl_Finance[Xero Invoice No],$A68),"")</f>
        <v/>
      </c>
      <c r="D68" s="67">
        <f>IFERROR(INDEX(tbl_Finance[Client],$A68),"")</f>
        <v/>
      </c>
      <c r="E68" s="67">
        <f>IFERROR(INDEX(tbl_Finance[Job Number],$A68),"")</f>
        <v/>
      </c>
      <c r="F68" s="67">
        <f>IFERROR(INDEX(tbl_Finance[Cost Centre],$A68),"")</f>
        <v/>
      </c>
      <c r="G68" s="68">
        <f>IFERROR(INDEX(tbl_Finance[Ex GST],$A68),"")</f>
        <v/>
      </c>
      <c r="H68" s="66">
        <f>IFERROR(INDEX(tbl_Finance[Defer Start],$A68),"")</f>
        <v/>
      </c>
      <c r="I68" s="66">
        <f>IFERROR(INDEX(tbl_Finance[Defer End],$A68),"")</f>
        <v/>
      </c>
      <c r="J68" s="65">
        <f>IF(OR($H68="",$I68="",$G68=""),"",MAX(1,(YEAR($I68)-YEAR($H68))*12+MONTH($I68)-MONTH($H68)+1))</f>
        <v/>
      </c>
      <c r="K68" s="68">
        <f>IF($J68="","",$G68/$J68)</f>
        <v/>
      </c>
      <c r="L68" s="68">
        <f>IF($J68="",0,$K68*MAX(0,MIN(YEAR($C$3)*12+MONTH($C$3),YEAR($I68)*12+MONTH($I68))-(YEAR($H68)*12+MONTH($H68))+1))</f>
        <v/>
      </c>
      <c r="M68" s="68">
        <f>IF($J68="",0,$K68*MAX(0,MIN(YEAR($C$3)*12+MONTH($C$3)-1,YEAR($I68)*12+MONTH($I68))-(YEAR($H68)*12+MONTH($H68))+1))</f>
        <v/>
      </c>
      <c r="N68" s="68">
        <f>IF(OR($J68="",$B68=""),0,IF(YEAR($B68)*12+MONTH($B68)&lt;=YEAR($C$3)*12+MONTH($C$3),$G68,0))</f>
        <v/>
      </c>
      <c r="O68" s="68">
        <f>IF(OR($J68="",$B68=""),0,IF(YEAR($B68)*12+MONTH($B68)&lt;=YEAR($C$3)*12+MONTH($C$3)-1,$G68,0))</f>
        <v/>
      </c>
      <c r="P68" s="68">
        <f>$M68-$O68</f>
        <v/>
      </c>
      <c r="Q68" s="68">
        <f>($L68-$M68)-($N68-$O68)</f>
        <v/>
      </c>
      <c r="R68" s="68">
        <f>$L68-$N68</f>
        <v/>
      </c>
      <c r="S68" s="67">
        <f>"Finance invoice"</f>
        <v/>
      </c>
      <c r="T68" s="67">
        <f>"Revenue"</f>
        <v/>
      </c>
    </row>
    <row r="69">
      <c r="A69" s="65">
        <f>ROW()-5</f>
        <v/>
      </c>
      <c r="B69" s="66">
        <f>IFERROR(INDEX(tbl_Finance[Date],$A69),"")</f>
        <v/>
      </c>
      <c r="C69" s="67">
        <f>IFERROR(INDEX(tbl_Finance[Xero Invoice No],$A69),"")</f>
        <v/>
      </c>
      <c r="D69" s="67">
        <f>IFERROR(INDEX(tbl_Finance[Client],$A69),"")</f>
        <v/>
      </c>
      <c r="E69" s="67">
        <f>IFERROR(INDEX(tbl_Finance[Job Number],$A69),"")</f>
        <v/>
      </c>
      <c r="F69" s="67">
        <f>IFERROR(INDEX(tbl_Finance[Cost Centre],$A69),"")</f>
        <v/>
      </c>
      <c r="G69" s="68">
        <f>IFERROR(INDEX(tbl_Finance[Ex GST],$A69),"")</f>
        <v/>
      </c>
      <c r="H69" s="66">
        <f>IFERROR(INDEX(tbl_Finance[Defer Start],$A69),"")</f>
        <v/>
      </c>
      <c r="I69" s="66">
        <f>IFERROR(INDEX(tbl_Finance[Defer End],$A69),"")</f>
        <v/>
      </c>
      <c r="J69" s="65">
        <f>IF(OR($H69="",$I69="",$G69=""),"",MAX(1,(YEAR($I69)-YEAR($H69))*12+MONTH($I69)-MONTH($H69)+1))</f>
        <v/>
      </c>
      <c r="K69" s="68">
        <f>IF($J69="","",$G69/$J69)</f>
        <v/>
      </c>
      <c r="L69" s="68">
        <f>IF($J69="",0,$K69*MAX(0,MIN(YEAR($C$3)*12+MONTH($C$3),YEAR($I69)*12+MONTH($I69))-(YEAR($H69)*12+MONTH($H69))+1))</f>
        <v/>
      </c>
      <c r="M69" s="68">
        <f>IF($J69="",0,$K69*MAX(0,MIN(YEAR($C$3)*12+MONTH($C$3)-1,YEAR($I69)*12+MONTH($I69))-(YEAR($H69)*12+MONTH($H69))+1))</f>
        <v/>
      </c>
      <c r="N69" s="68">
        <f>IF(OR($J69="",$B69=""),0,IF(YEAR($B69)*12+MONTH($B69)&lt;=YEAR($C$3)*12+MONTH($C$3),$G69,0))</f>
        <v/>
      </c>
      <c r="O69" s="68">
        <f>IF(OR($J69="",$B69=""),0,IF(YEAR($B69)*12+MONTH($B69)&lt;=YEAR($C$3)*12+MONTH($C$3)-1,$G69,0))</f>
        <v/>
      </c>
      <c r="P69" s="68">
        <f>$M69-$O69</f>
        <v/>
      </c>
      <c r="Q69" s="68">
        <f>($L69-$M69)-($N69-$O69)</f>
        <v/>
      </c>
      <c r="R69" s="68">
        <f>$L69-$N69</f>
        <v/>
      </c>
      <c r="S69" s="67">
        <f>"Finance invoice"</f>
        <v/>
      </c>
      <c r="T69" s="67">
        <f>"Revenue"</f>
        <v/>
      </c>
    </row>
    <row r="70">
      <c r="A70" s="65">
        <f>ROW()-5</f>
        <v/>
      </c>
      <c r="B70" s="66">
        <f>IFERROR(INDEX(tbl_Finance[Date],$A70),"")</f>
        <v/>
      </c>
      <c r="C70" s="67">
        <f>IFERROR(INDEX(tbl_Finance[Xero Invoice No],$A70),"")</f>
        <v/>
      </c>
      <c r="D70" s="67">
        <f>IFERROR(INDEX(tbl_Finance[Client],$A70),"")</f>
        <v/>
      </c>
      <c r="E70" s="67">
        <f>IFERROR(INDEX(tbl_Finance[Job Number],$A70),"")</f>
        <v/>
      </c>
      <c r="F70" s="67">
        <f>IFERROR(INDEX(tbl_Finance[Cost Centre],$A70),"")</f>
        <v/>
      </c>
      <c r="G70" s="68">
        <f>IFERROR(INDEX(tbl_Finance[Ex GST],$A70),"")</f>
        <v/>
      </c>
      <c r="H70" s="66">
        <f>IFERROR(INDEX(tbl_Finance[Defer Start],$A70),"")</f>
        <v/>
      </c>
      <c r="I70" s="66">
        <f>IFERROR(INDEX(tbl_Finance[Defer End],$A70),"")</f>
        <v/>
      </c>
      <c r="J70" s="65">
        <f>IF(OR($H70="",$I70="",$G70=""),"",MAX(1,(YEAR($I70)-YEAR($H70))*12+MONTH($I70)-MONTH($H70)+1))</f>
        <v/>
      </c>
      <c r="K70" s="68">
        <f>IF($J70="","",$G70/$J70)</f>
        <v/>
      </c>
      <c r="L70" s="68">
        <f>IF($J70="",0,$K70*MAX(0,MIN(YEAR($C$3)*12+MONTH($C$3),YEAR($I70)*12+MONTH($I70))-(YEAR($H70)*12+MONTH($H70))+1))</f>
        <v/>
      </c>
      <c r="M70" s="68">
        <f>IF($J70="",0,$K70*MAX(0,MIN(YEAR($C$3)*12+MONTH($C$3)-1,YEAR($I70)*12+MONTH($I70))-(YEAR($H70)*12+MONTH($H70))+1))</f>
        <v/>
      </c>
      <c r="N70" s="68">
        <f>IF(OR($J70="",$B70=""),0,IF(YEAR($B70)*12+MONTH($B70)&lt;=YEAR($C$3)*12+MONTH($C$3),$G70,0))</f>
        <v/>
      </c>
      <c r="O70" s="68">
        <f>IF(OR($J70="",$B70=""),0,IF(YEAR($B70)*12+MONTH($B70)&lt;=YEAR($C$3)*12+MONTH($C$3)-1,$G70,0))</f>
        <v/>
      </c>
      <c r="P70" s="68">
        <f>$M70-$O70</f>
        <v/>
      </c>
      <c r="Q70" s="68">
        <f>($L70-$M70)-($N70-$O70)</f>
        <v/>
      </c>
      <c r="R70" s="68">
        <f>$L70-$N70</f>
        <v/>
      </c>
      <c r="S70" s="67">
        <f>"Finance invoice"</f>
        <v/>
      </c>
      <c r="T70" s="67">
        <f>"Revenue"</f>
        <v/>
      </c>
    </row>
    <row r="71">
      <c r="A71" s="65">
        <f>ROW()-5</f>
        <v/>
      </c>
      <c r="B71" s="66">
        <f>IFERROR(INDEX(tbl_Finance[Date],$A71),"")</f>
        <v/>
      </c>
      <c r="C71" s="67">
        <f>IFERROR(INDEX(tbl_Finance[Xero Invoice No],$A71),"")</f>
        <v/>
      </c>
      <c r="D71" s="67">
        <f>IFERROR(INDEX(tbl_Finance[Client],$A71),"")</f>
        <v/>
      </c>
      <c r="E71" s="67">
        <f>IFERROR(INDEX(tbl_Finance[Job Number],$A71),"")</f>
        <v/>
      </c>
      <c r="F71" s="67">
        <f>IFERROR(INDEX(tbl_Finance[Cost Centre],$A71),"")</f>
        <v/>
      </c>
      <c r="G71" s="68">
        <f>IFERROR(INDEX(tbl_Finance[Ex GST],$A71),"")</f>
        <v/>
      </c>
      <c r="H71" s="66">
        <f>IFERROR(INDEX(tbl_Finance[Defer Start],$A71),"")</f>
        <v/>
      </c>
      <c r="I71" s="66">
        <f>IFERROR(INDEX(tbl_Finance[Defer End],$A71),"")</f>
        <v/>
      </c>
      <c r="J71" s="65">
        <f>IF(OR($H71="",$I71="",$G71=""),"",MAX(1,(YEAR($I71)-YEAR($H71))*12+MONTH($I71)-MONTH($H71)+1))</f>
        <v/>
      </c>
      <c r="K71" s="68">
        <f>IF($J71="","",$G71/$J71)</f>
        <v/>
      </c>
      <c r="L71" s="68">
        <f>IF($J71="",0,$K71*MAX(0,MIN(YEAR($C$3)*12+MONTH($C$3),YEAR($I71)*12+MONTH($I71))-(YEAR($H71)*12+MONTH($H71))+1))</f>
        <v/>
      </c>
      <c r="M71" s="68">
        <f>IF($J71="",0,$K71*MAX(0,MIN(YEAR($C$3)*12+MONTH($C$3)-1,YEAR($I71)*12+MONTH($I71))-(YEAR($H71)*12+MONTH($H71))+1))</f>
        <v/>
      </c>
      <c r="N71" s="68">
        <f>IF(OR($J71="",$B71=""),0,IF(YEAR($B71)*12+MONTH($B71)&lt;=YEAR($C$3)*12+MONTH($C$3),$G71,0))</f>
        <v/>
      </c>
      <c r="O71" s="68">
        <f>IF(OR($J71="",$B71=""),0,IF(YEAR($B71)*12+MONTH($B71)&lt;=YEAR($C$3)*12+MONTH($C$3)-1,$G71,0))</f>
        <v/>
      </c>
      <c r="P71" s="68">
        <f>$M71-$O71</f>
        <v/>
      </c>
      <c r="Q71" s="68">
        <f>($L71-$M71)-($N71-$O71)</f>
        <v/>
      </c>
      <c r="R71" s="68">
        <f>$L71-$N71</f>
        <v/>
      </c>
      <c r="S71" s="67">
        <f>"Finance invoice"</f>
        <v/>
      </c>
      <c r="T71" s="67">
        <f>"Revenue"</f>
        <v/>
      </c>
    </row>
    <row r="72">
      <c r="A72" s="65">
        <f>ROW()-5</f>
        <v/>
      </c>
      <c r="B72" s="66">
        <f>IFERROR(INDEX(tbl_Finance[Date],$A72),"")</f>
        <v/>
      </c>
      <c r="C72" s="67">
        <f>IFERROR(INDEX(tbl_Finance[Xero Invoice No],$A72),"")</f>
        <v/>
      </c>
      <c r="D72" s="67">
        <f>IFERROR(INDEX(tbl_Finance[Client],$A72),"")</f>
        <v/>
      </c>
      <c r="E72" s="67">
        <f>IFERROR(INDEX(tbl_Finance[Job Number],$A72),"")</f>
        <v/>
      </c>
      <c r="F72" s="67">
        <f>IFERROR(INDEX(tbl_Finance[Cost Centre],$A72),"")</f>
        <v/>
      </c>
      <c r="G72" s="68">
        <f>IFERROR(INDEX(tbl_Finance[Ex GST],$A72),"")</f>
        <v/>
      </c>
      <c r="H72" s="66">
        <f>IFERROR(INDEX(tbl_Finance[Defer Start],$A72),"")</f>
        <v/>
      </c>
      <c r="I72" s="66">
        <f>IFERROR(INDEX(tbl_Finance[Defer End],$A72),"")</f>
        <v/>
      </c>
      <c r="J72" s="65">
        <f>IF(OR($H72="",$I72="",$G72=""),"",MAX(1,(YEAR($I72)-YEAR($H72))*12+MONTH($I72)-MONTH($H72)+1))</f>
        <v/>
      </c>
      <c r="K72" s="68">
        <f>IF($J72="","",$G72/$J72)</f>
        <v/>
      </c>
      <c r="L72" s="68">
        <f>IF($J72="",0,$K72*MAX(0,MIN(YEAR($C$3)*12+MONTH($C$3),YEAR($I72)*12+MONTH($I72))-(YEAR($H72)*12+MONTH($H72))+1))</f>
        <v/>
      </c>
      <c r="M72" s="68">
        <f>IF($J72="",0,$K72*MAX(0,MIN(YEAR($C$3)*12+MONTH($C$3)-1,YEAR($I72)*12+MONTH($I72))-(YEAR($H72)*12+MONTH($H72))+1))</f>
        <v/>
      </c>
      <c r="N72" s="68">
        <f>IF(OR($J72="",$B72=""),0,IF(YEAR($B72)*12+MONTH($B72)&lt;=YEAR($C$3)*12+MONTH($C$3),$G72,0))</f>
        <v/>
      </c>
      <c r="O72" s="68">
        <f>IF(OR($J72="",$B72=""),0,IF(YEAR($B72)*12+MONTH($B72)&lt;=YEAR($C$3)*12+MONTH($C$3)-1,$G72,0))</f>
        <v/>
      </c>
      <c r="P72" s="68">
        <f>$M72-$O72</f>
        <v/>
      </c>
      <c r="Q72" s="68">
        <f>($L72-$M72)-($N72-$O72)</f>
        <v/>
      </c>
      <c r="R72" s="68">
        <f>$L72-$N72</f>
        <v/>
      </c>
      <c r="S72" s="67">
        <f>"Finance invoice"</f>
        <v/>
      </c>
      <c r="T72" s="67">
        <f>"Revenue"</f>
        <v/>
      </c>
    </row>
    <row r="73">
      <c r="A73" s="65">
        <f>ROW()-5</f>
        <v/>
      </c>
      <c r="B73" s="66">
        <f>IFERROR(INDEX(tbl_Finance[Date],$A73),"")</f>
        <v/>
      </c>
      <c r="C73" s="67">
        <f>IFERROR(INDEX(tbl_Finance[Xero Invoice No],$A73),"")</f>
        <v/>
      </c>
      <c r="D73" s="67">
        <f>IFERROR(INDEX(tbl_Finance[Client],$A73),"")</f>
        <v/>
      </c>
      <c r="E73" s="67">
        <f>IFERROR(INDEX(tbl_Finance[Job Number],$A73),"")</f>
        <v/>
      </c>
      <c r="F73" s="67">
        <f>IFERROR(INDEX(tbl_Finance[Cost Centre],$A73),"")</f>
        <v/>
      </c>
      <c r="G73" s="68">
        <f>IFERROR(INDEX(tbl_Finance[Ex GST],$A73),"")</f>
        <v/>
      </c>
      <c r="H73" s="66">
        <f>IFERROR(INDEX(tbl_Finance[Defer Start],$A73),"")</f>
        <v/>
      </c>
      <c r="I73" s="66">
        <f>IFERROR(INDEX(tbl_Finance[Defer End],$A73),"")</f>
        <v/>
      </c>
      <c r="J73" s="65">
        <f>IF(OR($H73="",$I73="",$G73=""),"",MAX(1,(YEAR($I73)-YEAR($H73))*12+MONTH($I73)-MONTH($H73)+1))</f>
        <v/>
      </c>
      <c r="K73" s="68">
        <f>IF($J73="","",$G73/$J73)</f>
        <v/>
      </c>
      <c r="L73" s="68">
        <f>IF($J73="",0,$K73*MAX(0,MIN(YEAR($C$3)*12+MONTH($C$3),YEAR($I73)*12+MONTH($I73))-(YEAR($H73)*12+MONTH($H73))+1))</f>
        <v/>
      </c>
      <c r="M73" s="68">
        <f>IF($J73="",0,$K73*MAX(0,MIN(YEAR($C$3)*12+MONTH($C$3)-1,YEAR($I73)*12+MONTH($I73))-(YEAR($H73)*12+MONTH($H73))+1))</f>
        <v/>
      </c>
      <c r="N73" s="68">
        <f>IF(OR($J73="",$B73=""),0,IF(YEAR($B73)*12+MONTH($B73)&lt;=YEAR($C$3)*12+MONTH($C$3),$G73,0))</f>
        <v/>
      </c>
      <c r="O73" s="68">
        <f>IF(OR($J73="",$B73=""),0,IF(YEAR($B73)*12+MONTH($B73)&lt;=YEAR($C$3)*12+MONTH($C$3)-1,$G73,0))</f>
        <v/>
      </c>
      <c r="P73" s="68">
        <f>$M73-$O73</f>
        <v/>
      </c>
      <c r="Q73" s="68">
        <f>($L73-$M73)-($N73-$O73)</f>
        <v/>
      </c>
      <c r="R73" s="68">
        <f>$L73-$N73</f>
        <v/>
      </c>
      <c r="S73" s="67">
        <f>"Finance invoice"</f>
        <v/>
      </c>
      <c r="T73" s="67">
        <f>"Revenue"</f>
        <v/>
      </c>
    </row>
    <row r="74">
      <c r="A74" s="65">
        <f>ROW()-5</f>
        <v/>
      </c>
      <c r="B74" s="66">
        <f>IFERROR(INDEX(tbl_Finance[Date],$A74),"")</f>
        <v/>
      </c>
      <c r="C74" s="67">
        <f>IFERROR(INDEX(tbl_Finance[Xero Invoice No],$A74),"")</f>
        <v/>
      </c>
      <c r="D74" s="67">
        <f>IFERROR(INDEX(tbl_Finance[Client],$A74),"")</f>
        <v/>
      </c>
      <c r="E74" s="67">
        <f>IFERROR(INDEX(tbl_Finance[Job Number],$A74),"")</f>
        <v/>
      </c>
      <c r="F74" s="67">
        <f>IFERROR(INDEX(tbl_Finance[Cost Centre],$A74),"")</f>
        <v/>
      </c>
      <c r="G74" s="68">
        <f>IFERROR(INDEX(tbl_Finance[Ex GST],$A74),"")</f>
        <v/>
      </c>
      <c r="H74" s="66">
        <f>IFERROR(INDEX(tbl_Finance[Defer Start],$A74),"")</f>
        <v/>
      </c>
      <c r="I74" s="66">
        <f>IFERROR(INDEX(tbl_Finance[Defer End],$A74),"")</f>
        <v/>
      </c>
      <c r="J74" s="65">
        <f>IF(OR($H74="",$I74="",$G74=""),"",MAX(1,(YEAR($I74)-YEAR($H74))*12+MONTH($I74)-MONTH($H74)+1))</f>
        <v/>
      </c>
      <c r="K74" s="68">
        <f>IF($J74="","",$G74/$J74)</f>
        <v/>
      </c>
      <c r="L74" s="68">
        <f>IF($J74="",0,$K74*MAX(0,MIN(YEAR($C$3)*12+MONTH($C$3),YEAR($I74)*12+MONTH($I74))-(YEAR($H74)*12+MONTH($H74))+1))</f>
        <v/>
      </c>
      <c r="M74" s="68">
        <f>IF($J74="",0,$K74*MAX(0,MIN(YEAR($C$3)*12+MONTH($C$3)-1,YEAR($I74)*12+MONTH($I74))-(YEAR($H74)*12+MONTH($H74))+1))</f>
        <v/>
      </c>
      <c r="N74" s="68">
        <f>IF(OR($J74="",$B74=""),0,IF(YEAR($B74)*12+MONTH($B74)&lt;=YEAR($C$3)*12+MONTH($C$3),$G74,0))</f>
        <v/>
      </c>
      <c r="O74" s="68">
        <f>IF(OR($J74="",$B74=""),0,IF(YEAR($B74)*12+MONTH($B74)&lt;=YEAR($C$3)*12+MONTH($C$3)-1,$G74,0))</f>
        <v/>
      </c>
      <c r="P74" s="68">
        <f>$M74-$O74</f>
        <v/>
      </c>
      <c r="Q74" s="68">
        <f>($L74-$M74)-($N74-$O74)</f>
        <v/>
      </c>
      <c r="R74" s="68">
        <f>$L74-$N74</f>
        <v/>
      </c>
      <c r="S74" s="67">
        <f>"Finance invoice"</f>
        <v/>
      </c>
      <c r="T74" s="67">
        <f>"Revenue"</f>
        <v/>
      </c>
    </row>
    <row r="75">
      <c r="A75" s="65">
        <f>ROW()-5</f>
        <v/>
      </c>
      <c r="B75" s="66">
        <f>IFERROR(INDEX(tbl_Finance[Date],$A75),"")</f>
        <v/>
      </c>
      <c r="C75" s="67">
        <f>IFERROR(INDEX(tbl_Finance[Xero Invoice No],$A75),"")</f>
        <v/>
      </c>
      <c r="D75" s="67">
        <f>IFERROR(INDEX(tbl_Finance[Client],$A75),"")</f>
        <v/>
      </c>
      <c r="E75" s="67">
        <f>IFERROR(INDEX(tbl_Finance[Job Number],$A75),"")</f>
        <v/>
      </c>
      <c r="F75" s="67">
        <f>IFERROR(INDEX(tbl_Finance[Cost Centre],$A75),"")</f>
        <v/>
      </c>
      <c r="G75" s="68">
        <f>IFERROR(INDEX(tbl_Finance[Ex GST],$A75),"")</f>
        <v/>
      </c>
      <c r="H75" s="66">
        <f>IFERROR(INDEX(tbl_Finance[Defer Start],$A75),"")</f>
        <v/>
      </c>
      <c r="I75" s="66">
        <f>IFERROR(INDEX(tbl_Finance[Defer End],$A75),"")</f>
        <v/>
      </c>
      <c r="J75" s="65">
        <f>IF(OR($H75="",$I75="",$G75=""),"",MAX(1,(YEAR($I75)-YEAR($H75))*12+MONTH($I75)-MONTH($H75)+1))</f>
        <v/>
      </c>
      <c r="K75" s="68">
        <f>IF($J75="","",$G75/$J75)</f>
        <v/>
      </c>
      <c r="L75" s="68">
        <f>IF($J75="",0,$K75*MAX(0,MIN(YEAR($C$3)*12+MONTH($C$3),YEAR($I75)*12+MONTH($I75))-(YEAR($H75)*12+MONTH($H75))+1))</f>
        <v/>
      </c>
      <c r="M75" s="68">
        <f>IF($J75="",0,$K75*MAX(0,MIN(YEAR($C$3)*12+MONTH($C$3)-1,YEAR($I75)*12+MONTH($I75))-(YEAR($H75)*12+MONTH($H75))+1))</f>
        <v/>
      </c>
      <c r="N75" s="68">
        <f>IF(OR($J75="",$B75=""),0,IF(YEAR($B75)*12+MONTH($B75)&lt;=YEAR($C$3)*12+MONTH($C$3),$G75,0))</f>
        <v/>
      </c>
      <c r="O75" s="68">
        <f>IF(OR($J75="",$B75=""),0,IF(YEAR($B75)*12+MONTH($B75)&lt;=YEAR($C$3)*12+MONTH($C$3)-1,$G75,0))</f>
        <v/>
      </c>
      <c r="P75" s="68">
        <f>$M75-$O75</f>
        <v/>
      </c>
      <c r="Q75" s="68">
        <f>($L75-$M75)-($N75-$O75)</f>
        <v/>
      </c>
      <c r="R75" s="68">
        <f>$L75-$N75</f>
        <v/>
      </c>
      <c r="S75" s="67">
        <f>"Finance invoice"</f>
        <v/>
      </c>
      <c r="T75" s="67">
        <f>"Revenue"</f>
        <v/>
      </c>
    </row>
    <row r="76">
      <c r="A76" s="65">
        <f>ROW()-5</f>
        <v/>
      </c>
      <c r="B76" s="66">
        <f>IFERROR(INDEX(tbl_Finance[Date],$A76),"")</f>
        <v/>
      </c>
      <c r="C76" s="67">
        <f>IFERROR(INDEX(tbl_Finance[Xero Invoice No],$A76),"")</f>
        <v/>
      </c>
      <c r="D76" s="67">
        <f>IFERROR(INDEX(tbl_Finance[Client],$A76),"")</f>
        <v/>
      </c>
      <c r="E76" s="67">
        <f>IFERROR(INDEX(tbl_Finance[Job Number],$A76),"")</f>
        <v/>
      </c>
      <c r="F76" s="67">
        <f>IFERROR(INDEX(tbl_Finance[Cost Centre],$A76),"")</f>
        <v/>
      </c>
      <c r="G76" s="68">
        <f>IFERROR(INDEX(tbl_Finance[Ex GST],$A76),"")</f>
        <v/>
      </c>
      <c r="H76" s="66">
        <f>IFERROR(INDEX(tbl_Finance[Defer Start],$A76),"")</f>
        <v/>
      </c>
      <c r="I76" s="66">
        <f>IFERROR(INDEX(tbl_Finance[Defer End],$A76),"")</f>
        <v/>
      </c>
      <c r="J76" s="65">
        <f>IF(OR($H76="",$I76="",$G76=""),"",MAX(1,(YEAR($I76)-YEAR($H76))*12+MONTH($I76)-MONTH($H76)+1))</f>
        <v/>
      </c>
      <c r="K76" s="68">
        <f>IF($J76="","",$G76/$J76)</f>
        <v/>
      </c>
      <c r="L76" s="68">
        <f>IF($J76="",0,$K76*MAX(0,MIN(YEAR($C$3)*12+MONTH($C$3),YEAR($I76)*12+MONTH($I76))-(YEAR($H76)*12+MONTH($H76))+1))</f>
        <v/>
      </c>
      <c r="M76" s="68">
        <f>IF($J76="",0,$K76*MAX(0,MIN(YEAR($C$3)*12+MONTH($C$3)-1,YEAR($I76)*12+MONTH($I76))-(YEAR($H76)*12+MONTH($H76))+1))</f>
        <v/>
      </c>
      <c r="N76" s="68">
        <f>IF(OR($J76="",$B76=""),0,IF(YEAR($B76)*12+MONTH($B76)&lt;=YEAR($C$3)*12+MONTH($C$3),$G76,0))</f>
        <v/>
      </c>
      <c r="O76" s="68">
        <f>IF(OR($J76="",$B76=""),0,IF(YEAR($B76)*12+MONTH($B76)&lt;=YEAR($C$3)*12+MONTH($C$3)-1,$G76,0))</f>
        <v/>
      </c>
      <c r="P76" s="68">
        <f>$M76-$O76</f>
        <v/>
      </c>
      <c r="Q76" s="68">
        <f>($L76-$M76)-($N76-$O76)</f>
        <v/>
      </c>
      <c r="R76" s="68">
        <f>$L76-$N76</f>
        <v/>
      </c>
      <c r="S76" s="67">
        <f>"Finance invoice"</f>
        <v/>
      </c>
      <c r="T76" s="67">
        <f>"Revenue"</f>
        <v/>
      </c>
    </row>
    <row r="77">
      <c r="A77" s="65">
        <f>ROW()-5</f>
        <v/>
      </c>
      <c r="B77" s="66">
        <f>IFERROR(INDEX(tbl_Finance[Date],$A77),"")</f>
        <v/>
      </c>
      <c r="C77" s="67">
        <f>IFERROR(INDEX(tbl_Finance[Xero Invoice No],$A77),"")</f>
        <v/>
      </c>
      <c r="D77" s="67">
        <f>IFERROR(INDEX(tbl_Finance[Client],$A77),"")</f>
        <v/>
      </c>
      <c r="E77" s="67">
        <f>IFERROR(INDEX(tbl_Finance[Job Number],$A77),"")</f>
        <v/>
      </c>
      <c r="F77" s="67">
        <f>IFERROR(INDEX(tbl_Finance[Cost Centre],$A77),"")</f>
        <v/>
      </c>
      <c r="G77" s="68">
        <f>IFERROR(INDEX(tbl_Finance[Ex GST],$A77),"")</f>
        <v/>
      </c>
      <c r="H77" s="66">
        <f>IFERROR(INDEX(tbl_Finance[Defer Start],$A77),"")</f>
        <v/>
      </c>
      <c r="I77" s="66">
        <f>IFERROR(INDEX(tbl_Finance[Defer End],$A77),"")</f>
        <v/>
      </c>
      <c r="J77" s="65">
        <f>IF(OR($H77="",$I77="",$G77=""),"",MAX(1,(YEAR($I77)-YEAR($H77))*12+MONTH($I77)-MONTH($H77)+1))</f>
        <v/>
      </c>
      <c r="K77" s="68">
        <f>IF($J77="","",$G77/$J77)</f>
        <v/>
      </c>
      <c r="L77" s="68">
        <f>IF($J77="",0,$K77*MAX(0,MIN(YEAR($C$3)*12+MONTH($C$3),YEAR($I77)*12+MONTH($I77))-(YEAR($H77)*12+MONTH($H77))+1))</f>
        <v/>
      </c>
      <c r="M77" s="68">
        <f>IF($J77="",0,$K77*MAX(0,MIN(YEAR($C$3)*12+MONTH($C$3)-1,YEAR($I77)*12+MONTH($I77))-(YEAR($H77)*12+MONTH($H77))+1))</f>
        <v/>
      </c>
      <c r="N77" s="68">
        <f>IF(OR($J77="",$B77=""),0,IF(YEAR($B77)*12+MONTH($B77)&lt;=YEAR($C$3)*12+MONTH($C$3),$G77,0))</f>
        <v/>
      </c>
      <c r="O77" s="68">
        <f>IF(OR($J77="",$B77=""),0,IF(YEAR($B77)*12+MONTH($B77)&lt;=YEAR($C$3)*12+MONTH($C$3)-1,$G77,0))</f>
        <v/>
      </c>
      <c r="P77" s="68">
        <f>$M77-$O77</f>
        <v/>
      </c>
      <c r="Q77" s="68">
        <f>($L77-$M77)-($N77-$O77)</f>
        <v/>
      </c>
      <c r="R77" s="68">
        <f>$L77-$N77</f>
        <v/>
      </c>
      <c r="S77" s="67">
        <f>"Finance invoice"</f>
        <v/>
      </c>
      <c r="T77" s="67">
        <f>"Revenue"</f>
        <v/>
      </c>
    </row>
    <row r="78">
      <c r="A78" s="65">
        <f>ROW()-5</f>
        <v/>
      </c>
      <c r="B78" s="66">
        <f>IFERROR(INDEX(tbl_Finance[Date],$A78),"")</f>
        <v/>
      </c>
      <c r="C78" s="67">
        <f>IFERROR(INDEX(tbl_Finance[Xero Invoice No],$A78),"")</f>
        <v/>
      </c>
      <c r="D78" s="67">
        <f>IFERROR(INDEX(tbl_Finance[Client],$A78),"")</f>
        <v/>
      </c>
      <c r="E78" s="67">
        <f>IFERROR(INDEX(tbl_Finance[Job Number],$A78),"")</f>
        <v/>
      </c>
      <c r="F78" s="67">
        <f>IFERROR(INDEX(tbl_Finance[Cost Centre],$A78),"")</f>
        <v/>
      </c>
      <c r="G78" s="68">
        <f>IFERROR(INDEX(tbl_Finance[Ex GST],$A78),"")</f>
        <v/>
      </c>
      <c r="H78" s="66">
        <f>IFERROR(INDEX(tbl_Finance[Defer Start],$A78),"")</f>
        <v/>
      </c>
      <c r="I78" s="66">
        <f>IFERROR(INDEX(tbl_Finance[Defer End],$A78),"")</f>
        <v/>
      </c>
      <c r="J78" s="65">
        <f>IF(OR($H78="",$I78="",$G78=""),"",MAX(1,(YEAR($I78)-YEAR($H78))*12+MONTH($I78)-MONTH($H78)+1))</f>
        <v/>
      </c>
      <c r="K78" s="68">
        <f>IF($J78="","",$G78/$J78)</f>
        <v/>
      </c>
      <c r="L78" s="68">
        <f>IF($J78="",0,$K78*MAX(0,MIN(YEAR($C$3)*12+MONTH($C$3),YEAR($I78)*12+MONTH($I78))-(YEAR($H78)*12+MONTH($H78))+1))</f>
        <v/>
      </c>
      <c r="M78" s="68">
        <f>IF($J78="",0,$K78*MAX(0,MIN(YEAR($C$3)*12+MONTH($C$3)-1,YEAR($I78)*12+MONTH($I78))-(YEAR($H78)*12+MONTH($H78))+1))</f>
        <v/>
      </c>
      <c r="N78" s="68">
        <f>IF(OR($J78="",$B78=""),0,IF(YEAR($B78)*12+MONTH($B78)&lt;=YEAR($C$3)*12+MONTH($C$3),$G78,0))</f>
        <v/>
      </c>
      <c r="O78" s="68">
        <f>IF(OR($J78="",$B78=""),0,IF(YEAR($B78)*12+MONTH($B78)&lt;=YEAR($C$3)*12+MONTH($C$3)-1,$G78,0))</f>
        <v/>
      </c>
      <c r="P78" s="68">
        <f>$M78-$O78</f>
        <v/>
      </c>
      <c r="Q78" s="68">
        <f>($L78-$M78)-($N78-$O78)</f>
        <v/>
      </c>
      <c r="R78" s="68">
        <f>$L78-$N78</f>
        <v/>
      </c>
      <c r="S78" s="67">
        <f>"Finance invoice"</f>
        <v/>
      </c>
      <c r="T78" s="67">
        <f>"Revenue"</f>
        <v/>
      </c>
    </row>
    <row r="79">
      <c r="A79" s="65">
        <f>ROW()-5</f>
        <v/>
      </c>
      <c r="B79" s="66">
        <f>IFERROR(INDEX(tbl_Finance[Date],$A79),"")</f>
        <v/>
      </c>
      <c r="C79" s="67">
        <f>IFERROR(INDEX(tbl_Finance[Xero Invoice No],$A79),"")</f>
        <v/>
      </c>
      <c r="D79" s="67">
        <f>IFERROR(INDEX(tbl_Finance[Client],$A79),"")</f>
        <v/>
      </c>
      <c r="E79" s="67">
        <f>IFERROR(INDEX(tbl_Finance[Job Number],$A79),"")</f>
        <v/>
      </c>
      <c r="F79" s="67">
        <f>IFERROR(INDEX(tbl_Finance[Cost Centre],$A79),"")</f>
        <v/>
      </c>
      <c r="G79" s="68">
        <f>IFERROR(INDEX(tbl_Finance[Ex GST],$A79),"")</f>
        <v/>
      </c>
      <c r="H79" s="66">
        <f>IFERROR(INDEX(tbl_Finance[Defer Start],$A79),"")</f>
        <v/>
      </c>
      <c r="I79" s="66">
        <f>IFERROR(INDEX(tbl_Finance[Defer End],$A79),"")</f>
        <v/>
      </c>
      <c r="J79" s="65">
        <f>IF(OR($H79="",$I79="",$G79=""),"",MAX(1,(YEAR($I79)-YEAR($H79))*12+MONTH($I79)-MONTH($H79)+1))</f>
        <v/>
      </c>
      <c r="K79" s="68">
        <f>IF($J79="","",$G79/$J79)</f>
        <v/>
      </c>
      <c r="L79" s="68">
        <f>IF($J79="",0,$K79*MAX(0,MIN(YEAR($C$3)*12+MONTH($C$3),YEAR($I79)*12+MONTH($I79))-(YEAR($H79)*12+MONTH($H79))+1))</f>
        <v/>
      </c>
      <c r="M79" s="68">
        <f>IF($J79="",0,$K79*MAX(0,MIN(YEAR($C$3)*12+MONTH($C$3)-1,YEAR($I79)*12+MONTH($I79))-(YEAR($H79)*12+MONTH($H79))+1))</f>
        <v/>
      </c>
      <c r="N79" s="68">
        <f>IF(OR($J79="",$B79=""),0,IF(YEAR($B79)*12+MONTH($B79)&lt;=YEAR($C$3)*12+MONTH($C$3),$G79,0))</f>
        <v/>
      </c>
      <c r="O79" s="68">
        <f>IF(OR($J79="",$B79=""),0,IF(YEAR($B79)*12+MONTH($B79)&lt;=YEAR($C$3)*12+MONTH($C$3)-1,$G79,0))</f>
        <v/>
      </c>
      <c r="P79" s="68">
        <f>$M79-$O79</f>
        <v/>
      </c>
      <c r="Q79" s="68">
        <f>($L79-$M79)-($N79-$O79)</f>
        <v/>
      </c>
      <c r="R79" s="68">
        <f>$L79-$N79</f>
        <v/>
      </c>
      <c r="S79" s="67">
        <f>"Finance invoice"</f>
        <v/>
      </c>
      <c r="T79" s="67">
        <f>"Revenue"</f>
        <v/>
      </c>
    </row>
    <row r="80">
      <c r="A80" s="65">
        <f>ROW()-5</f>
        <v/>
      </c>
      <c r="B80" s="66">
        <f>IFERROR(INDEX(tbl_Finance[Date],$A80),"")</f>
        <v/>
      </c>
      <c r="C80" s="67">
        <f>IFERROR(INDEX(tbl_Finance[Xero Invoice No],$A80),"")</f>
        <v/>
      </c>
      <c r="D80" s="67">
        <f>IFERROR(INDEX(tbl_Finance[Client],$A80),"")</f>
        <v/>
      </c>
      <c r="E80" s="67">
        <f>IFERROR(INDEX(tbl_Finance[Job Number],$A80),"")</f>
        <v/>
      </c>
      <c r="F80" s="67">
        <f>IFERROR(INDEX(tbl_Finance[Cost Centre],$A80),"")</f>
        <v/>
      </c>
      <c r="G80" s="68">
        <f>IFERROR(INDEX(tbl_Finance[Ex GST],$A80),"")</f>
        <v/>
      </c>
      <c r="H80" s="66">
        <f>IFERROR(INDEX(tbl_Finance[Defer Start],$A80),"")</f>
        <v/>
      </c>
      <c r="I80" s="66">
        <f>IFERROR(INDEX(tbl_Finance[Defer End],$A80),"")</f>
        <v/>
      </c>
      <c r="J80" s="65">
        <f>IF(OR($H80="",$I80="",$G80=""),"",MAX(1,(YEAR($I80)-YEAR($H80))*12+MONTH($I80)-MONTH($H80)+1))</f>
        <v/>
      </c>
      <c r="K80" s="68">
        <f>IF($J80="","",$G80/$J80)</f>
        <v/>
      </c>
      <c r="L80" s="68">
        <f>IF($J80="",0,$K80*MAX(0,MIN(YEAR($C$3)*12+MONTH($C$3),YEAR($I80)*12+MONTH($I80))-(YEAR($H80)*12+MONTH($H80))+1))</f>
        <v/>
      </c>
      <c r="M80" s="68">
        <f>IF($J80="",0,$K80*MAX(0,MIN(YEAR($C$3)*12+MONTH($C$3)-1,YEAR($I80)*12+MONTH($I80))-(YEAR($H80)*12+MONTH($H80))+1))</f>
        <v/>
      </c>
      <c r="N80" s="68">
        <f>IF(OR($J80="",$B80=""),0,IF(YEAR($B80)*12+MONTH($B80)&lt;=YEAR($C$3)*12+MONTH($C$3),$G80,0))</f>
        <v/>
      </c>
      <c r="O80" s="68">
        <f>IF(OR($J80="",$B80=""),0,IF(YEAR($B80)*12+MONTH($B80)&lt;=YEAR($C$3)*12+MONTH($C$3)-1,$G80,0))</f>
        <v/>
      </c>
      <c r="P80" s="68">
        <f>$M80-$O80</f>
        <v/>
      </c>
      <c r="Q80" s="68">
        <f>($L80-$M80)-($N80-$O80)</f>
        <v/>
      </c>
      <c r="R80" s="68">
        <f>$L80-$N80</f>
        <v/>
      </c>
      <c r="S80" s="67">
        <f>"Finance invoice"</f>
        <v/>
      </c>
      <c r="T80" s="67">
        <f>"Revenue"</f>
        <v/>
      </c>
    </row>
    <row r="81">
      <c r="A81" s="65">
        <f>ROW()-5</f>
        <v/>
      </c>
      <c r="B81" s="66">
        <f>IFERROR(INDEX(tbl_Finance[Date],$A81),"")</f>
        <v/>
      </c>
      <c r="C81" s="67">
        <f>IFERROR(INDEX(tbl_Finance[Xero Invoice No],$A81),"")</f>
        <v/>
      </c>
      <c r="D81" s="67">
        <f>IFERROR(INDEX(tbl_Finance[Client],$A81),"")</f>
        <v/>
      </c>
      <c r="E81" s="67">
        <f>IFERROR(INDEX(tbl_Finance[Job Number],$A81),"")</f>
        <v/>
      </c>
      <c r="F81" s="67">
        <f>IFERROR(INDEX(tbl_Finance[Cost Centre],$A81),"")</f>
        <v/>
      </c>
      <c r="G81" s="68">
        <f>IFERROR(INDEX(tbl_Finance[Ex GST],$A81),"")</f>
        <v/>
      </c>
      <c r="H81" s="66">
        <f>IFERROR(INDEX(tbl_Finance[Defer Start],$A81),"")</f>
        <v/>
      </c>
      <c r="I81" s="66">
        <f>IFERROR(INDEX(tbl_Finance[Defer End],$A81),"")</f>
        <v/>
      </c>
      <c r="J81" s="65">
        <f>IF(OR($H81="",$I81="",$G81=""),"",MAX(1,(YEAR($I81)-YEAR($H81))*12+MONTH($I81)-MONTH($H81)+1))</f>
        <v/>
      </c>
      <c r="K81" s="68">
        <f>IF($J81="","",$G81/$J81)</f>
        <v/>
      </c>
      <c r="L81" s="68">
        <f>IF($J81="",0,$K81*MAX(0,MIN(YEAR($C$3)*12+MONTH($C$3),YEAR($I81)*12+MONTH($I81))-(YEAR($H81)*12+MONTH($H81))+1))</f>
        <v/>
      </c>
      <c r="M81" s="68">
        <f>IF($J81="",0,$K81*MAX(0,MIN(YEAR($C$3)*12+MONTH($C$3)-1,YEAR($I81)*12+MONTH($I81))-(YEAR($H81)*12+MONTH($H81))+1))</f>
        <v/>
      </c>
      <c r="N81" s="68">
        <f>IF(OR($J81="",$B81=""),0,IF(YEAR($B81)*12+MONTH($B81)&lt;=YEAR($C$3)*12+MONTH($C$3),$G81,0))</f>
        <v/>
      </c>
      <c r="O81" s="68">
        <f>IF(OR($J81="",$B81=""),0,IF(YEAR($B81)*12+MONTH($B81)&lt;=YEAR($C$3)*12+MONTH($C$3)-1,$G81,0))</f>
        <v/>
      </c>
      <c r="P81" s="68">
        <f>$M81-$O81</f>
        <v/>
      </c>
      <c r="Q81" s="68">
        <f>($L81-$M81)-($N81-$O81)</f>
        <v/>
      </c>
      <c r="R81" s="68">
        <f>$L81-$N81</f>
        <v/>
      </c>
      <c r="S81" s="67">
        <f>"Finance invoice"</f>
        <v/>
      </c>
      <c r="T81" s="67">
        <f>"Revenue"</f>
        <v/>
      </c>
    </row>
    <row r="82">
      <c r="A82" s="65">
        <f>ROW()-5</f>
        <v/>
      </c>
      <c r="B82" s="66">
        <f>IFERROR(INDEX(tbl_Finance[Date],$A82),"")</f>
        <v/>
      </c>
      <c r="C82" s="67">
        <f>IFERROR(INDEX(tbl_Finance[Xero Invoice No],$A82),"")</f>
        <v/>
      </c>
      <c r="D82" s="67">
        <f>IFERROR(INDEX(tbl_Finance[Client],$A82),"")</f>
        <v/>
      </c>
      <c r="E82" s="67">
        <f>IFERROR(INDEX(tbl_Finance[Job Number],$A82),"")</f>
        <v/>
      </c>
      <c r="F82" s="67">
        <f>IFERROR(INDEX(tbl_Finance[Cost Centre],$A82),"")</f>
        <v/>
      </c>
      <c r="G82" s="68">
        <f>IFERROR(INDEX(tbl_Finance[Ex GST],$A82),"")</f>
        <v/>
      </c>
      <c r="H82" s="66">
        <f>IFERROR(INDEX(tbl_Finance[Defer Start],$A82),"")</f>
        <v/>
      </c>
      <c r="I82" s="66">
        <f>IFERROR(INDEX(tbl_Finance[Defer End],$A82),"")</f>
        <v/>
      </c>
      <c r="J82" s="65">
        <f>IF(OR($H82="",$I82="",$G82=""),"",MAX(1,(YEAR($I82)-YEAR($H82))*12+MONTH($I82)-MONTH($H82)+1))</f>
        <v/>
      </c>
      <c r="K82" s="68">
        <f>IF($J82="","",$G82/$J82)</f>
        <v/>
      </c>
      <c r="L82" s="68">
        <f>IF($J82="",0,$K82*MAX(0,MIN(YEAR($C$3)*12+MONTH($C$3),YEAR($I82)*12+MONTH($I82))-(YEAR($H82)*12+MONTH($H82))+1))</f>
        <v/>
      </c>
      <c r="M82" s="68">
        <f>IF($J82="",0,$K82*MAX(0,MIN(YEAR($C$3)*12+MONTH($C$3)-1,YEAR($I82)*12+MONTH($I82))-(YEAR($H82)*12+MONTH($H82))+1))</f>
        <v/>
      </c>
      <c r="N82" s="68">
        <f>IF(OR($J82="",$B82=""),0,IF(YEAR($B82)*12+MONTH($B82)&lt;=YEAR($C$3)*12+MONTH($C$3),$G82,0))</f>
        <v/>
      </c>
      <c r="O82" s="68">
        <f>IF(OR($J82="",$B82=""),0,IF(YEAR($B82)*12+MONTH($B82)&lt;=YEAR($C$3)*12+MONTH($C$3)-1,$G82,0))</f>
        <v/>
      </c>
      <c r="P82" s="68">
        <f>$M82-$O82</f>
        <v/>
      </c>
      <c r="Q82" s="68">
        <f>($L82-$M82)-($N82-$O82)</f>
        <v/>
      </c>
      <c r="R82" s="68">
        <f>$L82-$N82</f>
        <v/>
      </c>
      <c r="S82" s="67">
        <f>"Finance invoice"</f>
        <v/>
      </c>
      <c r="T82" s="67">
        <f>"Revenue"</f>
        <v/>
      </c>
    </row>
    <row r="83">
      <c r="A83" s="65">
        <f>ROW()-5</f>
        <v/>
      </c>
      <c r="B83" s="66">
        <f>IFERROR(INDEX(tbl_Finance[Date],$A83),"")</f>
        <v/>
      </c>
      <c r="C83" s="67">
        <f>IFERROR(INDEX(tbl_Finance[Xero Invoice No],$A83),"")</f>
        <v/>
      </c>
      <c r="D83" s="67">
        <f>IFERROR(INDEX(tbl_Finance[Client],$A83),"")</f>
        <v/>
      </c>
      <c r="E83" s="67">
        <f>IFERROR(INDEX(tbl_Finance[Job Number],$A83),"")</f>
        <v/>
      </c>
      <c r="F83" s="67">
        <f>IFERROR(INDEX(tbl_Finance[Cost Centre],$A83),"")</f>
        <v/>
      </c>
      <c r="G83" s="68">
        <f>IFERROR(INDEX(tbl_Finance[Ex GST],$A83),"")</f>
        <v/>
      </c>
      <c r="H83" s="66">
        <f>IFERROR(INDEX(tbl_Finance[Defer Start],$A83),"")</f>
        <v/>
      </c>
      <c r="I83" s="66">
        <f>IFERROR(INDEX(tbl_Finance[Defer End],$A83),"")</f>
        <v/>
      </c>
      <c r="J83" s="65">
        <f>IF(OR($H83="",$I83="",$G83=""),"",MAX(1,(YEAR($I83)-YEAR($H83))*12+MONTH($I83)-MONTH($H83)+1))</f>
        <v/>
      </c>
      <c r="K83" s="68">
        <f>IF($J83="","",$G83/$J83)</f>
        <v/>
      </c>
      <c r="L83" s="68">
        <f>IF($J83="",0,$K83*MAX(0,MIN(YEAR($C$3)*12+MONTH($C$3),YEAR($I83)*12+MONTH($I83))-(YEAR($H83)*12+MONTH($H83))+1))</f>
        <v/>
      </c>
      <c r="M83" s="68">
        <f>IF($J83="",0,$K83*MAX(0,MIN(YEAR($C$3)*12+MONTH($C$3)-1,YEAR($I83)*12+MONTH($I83))-(YEAR($H83)*12+MONTH($H83))+1))</f>
        <v/>
      </c>
      <c r="N83" s="68">
        <f>IF(OR($J83="",$B83=""),0,IF(YEAR($B83)*12+MONTH($B83)&lt;=YEAR($C$3)*12+MONTH($C$3),$G83,0))</f>
        <v/>
      </c>
      <c r="O83" s="68">
        <f>IF(OR($J83="",$B83=""),0,IF(YEAR($B83)*12+MONTH($B83)&lt;=YEAR($C$3)*12+MONTH($C$3)-1,$G83,0))</f>
        <v/>
      </c>
      <c r="P83" s="68">
        <f>$M83-$O83</f>
        <v/>
      </c>
      <c r="Q83" s="68">
        <f>($L83-$M83)-($N83-$O83)</f>
        <v/>
      </c>
      <c r="R83" s="68">
        <f>$L83-$N83</f>
        <v/>
      </c>
      <c r="S83" s="67">
        <f>"Finance invoice"</f>
        <v/>
      </c>
      <c r="T83" s="67">
        <f>"Revenue"</f>
        <v/>
      </c>
    </row>
    <row r="84">
      <c r="A84" s="65">
        <f>ROW()-5</f>
        <v/>
      </c>
      <c r="B84" s="66">
        <f>IFERROR(INDEX(tbl_Finance[Date],$A84),"")</f>
        <v/>
      </c>
      <c r="C84" s="67">
        <f>IFERROR(INDEX(tbl_Finance[Xero Invoice No],$A84),"")</f>
        <v/>
      </c>
      <c r="D84" s="67">
        <f>IFERROR(INDEX(tbl_Finance[Client],$A84),"")</f>
        <v/>
      </c>
      <c r="E84" s="67">
        <f>IFERROR(INDEX(tbl_Finance[Job Number],$A84),"")</f>
        <v/>
      </c>
      <c r="F84" s="67">
        <f>IFERROR(INDEX(tbl_Finance[Cost Centre],$A84),"")</f>
        <v/>
      </c>
      <c r="G84" s="68">
        <f>IFERROR(INDEX(tbl_Finance[Ex GST],$A84),"")</f>
        <v/>
      </c>
      <c r="H84" s="66">
        <f>IFERROR(INDEX(tbl_Finance[Defer Start],$A84),"")</f>
        <v/>
      </c>
      <c r="I84" s="66">
        <f>IFERROR(INDEX(tbl_Finance[Defer End],$A84),"")</f>
        <v/>
      </c>
      <c r="J84" s="65">
        <f>IF(OR($H84="",$I84="",$G84=""),"",MAX(1,(YEAR($I84)-YEAR($H84))*12+MONTH($I84)-MONTH($H84)+1))</f>
        <v/>
      </c>
      <c r="K84" s="68">
        <f>IF($J84="","",$G84/$J84)</f>
        <v/>
      </c>
      <c r="L84" s="68">
        <f>IF($J84="",0,$K84*MAX(0,MIN(YEAR($C$3)*12+MONTH($C$3),YEAR($I84)*12+MONTH($I84))-(YEAR($H84)*12+MONTH($H84))+1))</f>
        <v/>
      </c>
      <c r="M84" s="68">
        <f>IF($J84="",0,$K84*MAX(0,MIN(YEAR($C$3)*12+MONTH($C$3)-1,YEAR($I84)*12+MONTH($I84))-(YEAR($H84)*12+MONTH($H84))+1))</f>
        <v/>
      </c>
      <c r="N84" s="68">
        <f>IF(OR($J84="",$B84=""),0,IF(YEAR($B84)*12+MONTH($B84)&lt;=YEAR($C$3)*12+MONTH($C$3),$G84,0))</f>
        <v/>
      </c>
      <c r="O84" s="68">
        <f>IF(OR($J84="",$B84=""),0,IF(YEAR($B84)*12+MONTH($B84)&lt;=YEAR($C$3)*12+MONTH($C$3)-1,$G84,0))</f>
        <v/>
      </c>
      <c r="P84" s="68">
        <f>$M84-$O84</f>
        <v/>
      </c>
      <c r="Q84" s="68">
        <f>($L84-$M84)-($N84-$O84)</f>
        <v/>
      </c>
      <c r="R84" s="68">
        <f>$L84-$N84</f>
        <v/>
      </c>
      <c r="S84" s="67">
        <f>"Finance invoice"</f>
        <v/>
      </c>
      <c r="T84" s="67">
        <f>"Revenue"</f>
        <v/>
      </c>
    </row>
    <row r="85">
      <c r="A85" s="65">
        <f>ROW()-5</f>
        <v/>
      </c>
      <c r="B85" s="66">
        <f>IFERROR(INDEX(tbl_Finance[Date],$A85),"")</f>
        <v/>
      </c>
      <c r="C85" s="67">
        <f>IFERROR(INDEX(tbl_Finance[Xero Invoice No],$A85),"")</f>
        <v/>
      </c>
      <c r="D85" s="67">
        <f>IFERROR(INDEX(tbl_Finance[Client],$A85),"")</f>
        <v/>
      </c>
      <c r="E85" s="67">
        <f>IFERROR(INDEX(tbl_Finance[Job Number],$A85),"")</f>
        <v/>
      </c>
      <c r="F85" s="67">
        <f>IFERROR(INDEX(tbl_Finance[Cost Centre],$A85),"")</f>
        <v/>
      </c>
      <c r="G85" s="68">
        <f>IFERROR(INDEX(tbl_Finance[Ex GST],$A85),"")</f>
        <v/>
      </c>
      <c r="H85" s="66">
        <f>IFERROR(INDEX(tbl_Finance[Defer Start],$A85),"")</f>
        <v/>
      </c>
      <c r="I85" s="66">
        <f>IFERROR(INDEX(tbl_Finance[Defer End],$A85),"")</f>
        <v/>
      </c>
      <c r="J85" s="65">
        <f>IF(OR($H85="",$I85="",$G85=""),"",MAX(1,(YEAR($I85)-YEAR($H85))*12+MONTH($I85)-MONTH($H85)+1))</f>
        <v/>
      </c>
      <c r="K85" s="68">
        <f>IF($J85="","",$G85/$J85)</f>
        <v/>
      </c>
      <c r="L85" s="68">
        <f>IF($J85="",0,$K85*MAX(0,MIN(YEAR($C$3)*12+MONTH($C$3),YEAR($I85)*12+MONTH($I85))-(YEAR($H85)*12+MONTH($H85))+1))</f>
        <v/>
      </c>
      <c r="M85" s="68">
        <f>IF($J85="",0,$K85*MAX(0,MIN(YEAR($C$3)*12+MONTH($C$3)-1,YEAR($I85)*12+MONTH($I85))-(YEAR($H85)*12+MONTH($H85))+1))</f>
        <v/>
      </c>
      <c r="N85" s="68">
        <f>IF(OR($J85="",$B85=""),0,IF(YEAR($B85)*12+MONTH($B85)&lt;=YEAR($C$3)*12+MONTH($C$3),$G85,0))</f>
        <v/>
      </c>
      <c r="O85" s="68">
        <f>IF(OR($J85="",$B85=""),0,IF(YEAR($B85)*12+MONTH($B85)&lt;=YEAR($C$3)*12+MONTH($C$3)-1,$G85,0))</f>
        <v/>
      </c>
      <c r="P85" s="68">
        <f>$M85-$O85</f>
        <v/>
      </c>
      <c r="Q85" s="68">
        <f>($L85-$M85)-($N85-$O85)</f>
        <v/>
      </c>
      <c r="R85" s="68">
        <f>$L85-$N85</f>
        <v/>
      </c>
      <c r="S85" s="67">
        <f>"Finance invoice"</f>
        <v/>
      </c>
      <c r="T85" s="67">
        <f>"Revenue"</f>
        <v/>
      </c>
    </row>
    <row r="86">
      <c r="A86" s="65">
        <f>ROW()-5</f>
        <v/>
      </c>
      <c r="B86" s="66">
        <f>IFERROR(INDEX(tbl_Finance[Date],$A86),"")</f>
        <v/>
      </c>
      <c r="C86" s="67">
        <f>IFERROR(INDEX(tbl_Finance[Xero Invoice No],$A86),"")</f>
        <v/>
      </c>
      <c r="D86" s="67">
        <f>IFERROR(INDEX(tbl_Finance[Client],$A86),"")</f>
        <v/>
      </c>
      <c r="E86" s="67">
        <f>IFERROR(INDEX(tbl_Finance[Job Number],$A86),"")</f>
        <v/>
      </c>
      <c r="F86" s="67">
        <f>IFERROR(INDEX(tbl_Finance[Cost Centre],$A86),"")</f>
        <v/>
      </c>
      <c r="G86" s="68">
        <f>IFERROR(INDEX(tbl_Finance[Ex GST],$A86),"")</f>
        <v/>
      </c>
      <c r="H86" s="66">
        <f>IFERROR(INDEX(tbl_Finance[Defer Start],$A86),"")</f>
        <v/>
      </c>
      <c r="I86" s="66">
        <f>IFERROR(INDEX(tbl_Finance[Defer End],$A86),"")</f>
        <v/>
      </c>
      <c r="J86" s="65">
        <f>IF(OR($H86="",$I86="",$G86=""),"",MAX(1,(YEAR($I86)-YEAR($H86))*12+MONTH($I86)-MONTH($H86)+1))</f>
        <v/>
      </c>
      <c r="K86" s="68">
        <f>IF($J86="","",$G86/$J86)</f>
        <v/>
      </c>
      <c r="L86" s="68">
        <f>IF($J86="",0,$K86*MAX(0,MIN(YEAR($C$3)*12+MONTH($C$3),YEAR($I86)*12+MONTH($I86))-(YEAR($H86)*12+MONTH($H86))+1))</f>
        <v/>
      </c>
      <c r="M86" s="68">
        <f>IF($J86="",0,$K86*MAX(0,MIN(YEAR($C$3)*12+MONTH($C$3)-1,YEAR($I86)*12+MONTH($I86))-(YEAR($H86)*12+MONTH($H86))+1))</f>
        <v/>
      </c>
      <c r="N86" s="68">
        <f>IF(OR($J86="",$B86=""),0,IF(YEAR($B86)*12+MONTH($B86)&lt;=YEAR($C$3)*12+MONTH($C$3),$G86,0))</f>
        <v/>
      </c>
      <c r="O86" s="68">
        <f>IF(OR($J86="",$B86=""),0,IF(YEAR($B86)*12+MONTH($B86)&lt;=YEAR($C$3)*12+MONTH($C$3)-1,$G86,0))</f>
        <v/>
      </c>
      <c r="P86" s="68">
        <f>$M86-$O86</f>
        <v/>
      </c>
      <c r="Q86" s="68">
        <f>($L86-$M86)-($N86-$O86)</f>
        <v/>
      </c>
      <c r="R86" s="68">
        <f>$L86-$N86</f>
        <v/>
      </c>
      <c r="S86" s="67">
        <f>"Finance invoice"</f>
        <v/>
      </c>
      <c r="T86" s="67">
        <f>"Revenue"</f>
        <v/>
      </c>
    </row>
    <row r="87">
      <c r="A87" s="65">
        <f>ROW()-5</f>
        <v/>
      </c>
      <c r="B87" s="66">
        <f>IFERROR(INDEX(tbl_Finance[Date],$A87),"")</f>
        <v/>
      </c>
      <c r="C87" s="67">
        <f>IFERROR(INDEX(tbl_Finance[Xero Invoice No],$A87),"")</f>
        <v/>
      </c>
      <c r="D87" s="67">
        <f>IFERROR(INDEX(tbl_Finance[Client],$A87),"")</f>
        <v/>
      </c>
      <c r="E87" s="67">
        <f>IFERROR(INDEX(tbl_Finance[Job Number],$A87),"")</f>
        <v/>
      </c>
      <c r="F87" s="67">
        <f>IFERROR(INDEX(tbl_Finance[Cost Centre],$A87),"")</f>
        <v/>
      </c>
      <c r="G87" s="68">
        <f>IFERROR(INDEX(tbl_Finance[Ex GST],$A87),"")</f>
        <v/>
      </c>
      <c r="H87" s="66">
        <f>IFERROR(INDEX(tbl_Finance[Defer Start],$A87),"")</f>
        <v/>
      </c>
      <c r="I87" s="66">
        <f>IFERROR(INDEX(tbl_Finance[Defer End],$A87),"")</f>
        <v/>
      </c>
      <c r="J87" s="65">
        <f>IF(OR($H87="",$I87="",$G87=""),"",MAX(1,(YEAR($I87)-YEAR($H87))*12+MONTH($I87)-MONTH($H87)+1))</f>
        <v/>
      </c>
      <c r="K87" s="68">
        <f>IF($J87="","",$G87/$J87)</f>
        <v/>
      </c>
      <c r="L87" s="68">
        <f>IF($J87="",0,$K87*MAX(0,MIN(YEAR($C$3)*12+MONTH($C$3),YEAR($I87)*12+MONTH($I87))-(YEAR($H87)*12+MONTH($H87))+1))</f>
        <v/>
      </c>
      <c r="M87" s="68">
        <f>IF($J87="",0,$K87*MAX(0,MIN(YEAR($C$3)*12+MONTH($C$3)-1,YEAR($I87)*12+MONTH($I87))-(YEAR($H87)*12+MONTH($H87))+1))</f>
        <v/>
      </c>
      <c r="N87" s="68">
        <f>IF(OR($J87="",$B87=""),0,IF(YEAR($B87)*12+MONTH($B87)&lt;=YEAR($C$3)*12+MONTH($C$3),$G87,0))</f>
        <v/>
      </c>
      <c r="O87" s="68">
        <f>IF(OR($J87="",$B87=""),0,IF(YEAR($B87)*12+MONTH($B87)&lt;=YEAR($C$3)*12+MONTH($C$3)-1,$G87,0))</f>
        <v/>
      </c>
      <c r="P87" s="68">
        <f>$M87-$O87</f>
        <v/>
      </c>
      <c r="Q87" s="68">
        <f>($L87-$M87)-($N87-$O87)</f>
        <v/>
      </c>
      <c r="R87" s="68">
        <f>$L87-$N87</f>
        <v/>
      </c>
      <c r="S87" s="67">
        <f>"Finance invoice"</f>
        <v/>
      </c>
      <c r="T87" s="67">
        <f>"Revenue"</f>
        <v/>
      </c>
    </row>
    <row r="88">
      <c r="A88" s="65">
        <f>ROW()-5</f>
        <v/>
      </c>
      <c r="B88" s="66">
        <f>IFERROR(INDEX(tbl_Finance[Date],$A88),"")</f>
        <v/>
      </c>
      <c r="C88" s="67">
        <f>IFERROR(INDEX(tbl_Finance[Xero Invoice No],$A88),"")</f>
        <v/>
      </c>
      <c r="D88" s="67">
        <f>IFERROR(INDEX(tbl_Finance[Client],$A88),"")</f>
        <v/>
      </c>
      <c r="E88" s="67">
        <f>IFERROR(INDEX(tbl_Finance[Job Number],$A88),"")</f>
        <v/>
      </c>
      <c r="F88" s="67">
        <f>IFERROR(INDEX(tbl_Finance[Cost Centre],$A88),"")</f>
        <v/>
      </c>
      <c r="G88" s="68">
        <f>IFERROR(INDEX(tbl_Finance[Ex GST],$A88),"")</f>
        <v/>
      </c>
      <c r="H88" s="66">
        <f>IFERROR(INDEX(tbl_Finance[Defer Start],$A88),"")</f>
        <v/>
      </c>
      <c r="I88" s="66">
        <f>IFERROR(INDEX(tbl_Finance[Defer End],$A88),"")</f>
        <v/>
      </c>
      <c r="J88" s="65">
        <f>IF(OR($H88="",$I88="",$G88=""),"",MAX(1,(YEAR($I88)-YEAR($H88))*12+MONTH($I88)-MONTH($H88)+1))</f>
        <v/>
      </c>
      <c r="K88" s="68">
        <f>IF($J88="","",$G88/$J88)</f>
        <v/>
      </c>
      <c r="L88" s="68">
        <f>IF($J88="",0,$K88*MAX(0,MIN(YEAR($C$3)*12+MONTH($C$3),YEAR($I88)*12+MONTH($I88))-(YEAR($H88)*12+MONTH($H88))+1))</f>
        <v/>
      </c>
      <c r="M88" s="68">
        <f>IF($J88="",0,$K88*MAX(0,MIN(YEAR($C$3)*12+MONTH($C$3)-1,YEAR($I88)*12+MONTH($I88))-(YEAR($H88)*12+MONTH($H88))+1))</f>
        <v/>
      </c>
      <c r="N88" s="68">
        <f>IF(OR($J88="",$B88=""),0,IF(YEAR($B88)*12+MONTH($B88)&lt;=YEAR($C$3)*12+MONTH($C$3),$G88,0))</f>
        <v/>
      </c>
      <c r="O88" s="68">
        <f>IF(OR($J88="",$B88=""),0,IF(YEAR($B88)*12+MONTH($B88)&lt;=YEAR($C$3)*12+MONTH($C$3)-1,$G88,0))</f>
        <v/>
      </c>
      <c r="P88" s="68">
        <f>$M88-$O88</f>
        <v/>
      </c>
      <c r="Q88" s="68">
        <f>($L88-$M88)-($N88-$O88)</f>
        <v/>
      </c>
      <c r="R88" s="68">
        <f>$L88-$N88</f>
        <v/>
      </c>
      <c r="S88" s="67">
        <f>"Finance invoice"</f>
        <v/>
      </c>
      <c r="T88" s="67">
        <f>"Revenue"</f>
        <v/>
      </c>
    </row>
    <row r="89">
      <c r="A89" s="65">
        <f>ROW()-5</f>
        <v/>
      </c>
      <c r="B89" s="66">
        <f>IFERROR(INDEX(tbl_Finance[Date],$A89),"")</f>
        <v/>
      </c>
      <c r="C89" s="67">
        <f>IFERROR(INDEX(tbl_Finance[Xero Invoice No],$A89),"")</f>
        <v/>
      </c>
      <c r="D89" s="67">
        <f>IFERROR(INDEX(tbl_Finance[Client],$A89),"")</f>
        <v/>
      </c>
      <c r="E89" s="67">
        <f>IFERROR(INDEX(tbl_Finance[Job Number],$A89),"")</f>
        <v/>
      </c>
      <c r="F89" s="67">
        <f>IFERROR(INDEX(tbl_Finance[Cost Centre],$A89),"")</f>
        <v/>
      </c>
      <c r="G89" s="68">
        <f>IFERROR(INDEX(tbl_Finance[Ex GST],$A89),"")</f>
        <v/>
      </c>
      <c r="H89" s="66">
        <f>IFERROR(INDEX(tbl_Finance[Defer Start],$A89),"")</f>
        <v/>
      </c>
      <c r="I89" s="66">
        <f>IFERROR(INDEX(tbl_Finance[Defer End],$A89),"")</f>
        <v/>
      </c>
      <c r="J89" s="65">
        <f>IF(OR($H89="",$I89="",$G89=""),"",MAX(1,(YEAR($I89)-YEAR($H89))*12+MONTH($I89)-MONTH($H89)+1))</f>
        <v/>
      </c>
      <c r="K89" s="68">
        <f>IF($J89="","",$G89/$J89)</f>
        <v/>
      </c>
      <c r="L89" s="68">
        <f>IF($J89="",0,$K89*MAX(0,MIN(YEAR($C$3)*12+MONTH($C$3),YEAR($I89)*12+MONTH($I89))-(YEAR($H89)*12+MONTH($H89))+1))</f>
        <v/>
      </c>
      <c r="M89" s="68">
        <f>IF($J89="",0,$K89*MAX(0,MIN(YEAR($C$3)*12+MONTH($C$3)-1,YEAR($I89)*12+MONTH($I89))-(YEAR($H89)*12+MONTH($H89))+1))</f>
        <v/>
      </c>
      <c r="N89" s="68">
        <f>IF(OR($J89="",$B89=""),0,IF(YEAR($B89)*12+MONTH($B89)&lt;=YEAR($C$3)*12+MONTH($C$3),$G89,0))</f>
        <v/>
      </c>
      <c r="O89" s="68">
        <f>IF(OR($J89="",$B89=""),0,IF(YEAR($B89)*12+MONTH($B89)&lt;=YEAR($C$3)*12+MONTH($C$3)-1,$G89,0))</f>
        <v/>
      </c>
      <c r="P89" s="68">
        <f>$M89-$O89</f>
        <v/>
      </c>
      <c r="Q89" s="68">
        <f>($L89-$M89)-($N89-$O89)</f>
        <v/>
      </c>
      <c r="R89" s="68">
        <f>$L89-$N89</f>
        <v/>
      </c>
      <c r="S89" s="67">
        <f>"Finance invoice"</f>
        <v/>
      </c>
      <c r="T89" s="67">
        <f>"Revenue"</f>
        <v/>
      </c>
    </row>
    <row r="90">
      <c r="A90" s="65">
        <f>ROW()-5</f>
        <v/>
      </c>
      <c r="B90" s="66">
        <f>IFERROR(INDEX(tbl_Finance[Date],$A90),"")</f>
        <v/>
      </c>
      <c r="C90" s="67">
        <f>IFERROR(INDEX(tbl_Finance[Xero Invoice No],$A90),"")</f>
        <v/>
      </c>
      <c r="D90" s="67">
        <f>IFERROR(INDEX(tbl_Finance[Client],$A90),"")</f>
        <v/>
      </c>
      <c r="E90" s="67">
        <f>IFERROR(INDEX(tbl_Finance[Job Number],$A90),"")</f>
        <v/>
      </c>
      <c r="F90" s="67">
        <f>IFERROR(INDEX(tbl_Finance[Cost Centre],$A90),"")</f>
        <v/>
      </c>
      <c r="G90" s="68">
        <f>IFERROR(INDEX(tbl_Finance[Ex GST],$A90),"")</f>
        <v/>
      </c>
      <c r="H90" s="66">
        <f>IFERROR(INDEX(tbl_Finance[Defer Start],$A90),"")</f>
        <v/>
      </c>
      <c r="I90" s="66">
        <f>IFERROR(INDEX(tbl_Finance[Defer End],$A90),"")</f>
        <v/>
      </c>
      <c r="J90" s="65">
        <f>IF(OR($H90="",$I90="",$G90=""),"",MAX(1,(YEAR($I90)-YEAR($H90))*12+MONTH($I90)-MONTH($H90)+1))</f>
        <v/>
      </c>
      <c r="K90" s="68">
        <f>IF($J90="","",$G90/$J90)</f>
        <v/>
      </c>
      <c r="L90" s="68">
        <f>IF($J90="",0,$K90*MAX(0,MIN(YEAR($C$3)*12+MONTH($C$3),YEAR($I90)*12+MONTH($I90))-(YEAR($H90)*12+MONTH($H90))+1))</f>
        <v/>
      </c>
      <c r="M90" s="68">
        <f>IF($J90="",0,$K90*MAX(0,MIN(YEAR($C$3)*12+MONTH($C$3)-1,YEAR($I90)*12+MONTH($I90))-(YEAR($H90)*12+MONTH($H90))+1))</f>
        <v/>
      </c>
      <c r="N90" s="68">
        <f>IF(OR($J90="",$B90=""),0,IF(YEAR($B90)*12+MONTH($B90)&lt;=YEAR($C$3)*12+MONTH($C$3),$G90,0))</f>
        <v/>
      </c>
      <c r="O90" s="68">
        <f>IF(OR($J90="",$B90=""),0,IF(YEAR($B90)*12+MONTH($B90)&lt;=YEAR($C$3)*12+MONTH($C$3)-1,$G90,0))</f>
        <v/>
      </c>
      <c r="P90" s="68">
        <f>$M90-$O90</f>
        <v/>
      </c>
      <c r="Q90" s="68">
        <f>($L90-$M90)-($N90-$O90)</f>
        <v/>
      </c>
      <c r="R90" s="68">
        <f>$L90-$N90</f>
        <v/>
      </c>
      <c r="S90" s="67">
        <f>"Finance invoice"</f>
        <v/>
      </c>
      <c r="T90" s="67">
        <f>"Revenue"</f>
        <v/>
      </c>
    </row>
    <row r="91">
      <c r="A91" s="65">
        <f>ROW()-5</f>
        <v/>
      </c>
      <c r="B91" s="66">
        <f>IFERROR(INDEX(tbl_Finance[Date],$A91),"")</f>
        <v/>
      </c>
      <c r="C91" s="67">
        <f>IFERROR(INDEX(tbl_Finance[Xero Invoice No],$A91),"")</f>
        <v/>
      </c>
      <c r="D91" s="67">
        <f>IFERROR(INDEX(tbl_Finance[Client],$A91),"")</f>
        <v/>
      </c>
      <c r="E91" s="67">
        <f>IFERROR(INDEX(tbl_Finance[Job Number],$A91),"")</f>
        <v/>
      </c>
      <c r="F91" s="67">
        <f>IFERROR(INDEX(tbl_Finance[Cost Centre],$A91),"")</f>
        <v/>
      </c>
      <c r="G91" s="68">
        <f>IFERROR(INDEX(tbl_Finance[Ex GST],$A91),"")</f>
        <v/>
      </c>
      <c r="H91" s="66">
        <f>IFERROR(INDEX(tbl_Finance[Defer Start],$A91),"")</f>
        <v/>
      </c>
      <c r="I91" s="66">
        <f>IFERROR(INDEX(tbl_Finance[Defer End],$A91),"")</f>
        <v/>
      </c>
      <c r="J91" s="65">
        <f>IF(OR($H91="",$I91="",$G91=""),"",MAX(1,(YEAR($I91)-YEAR($H91))*12+MONTH($I91)-MONTH($H91)+1))</f>
        <v/>
      </c>
      <c r="K91" s="68">
        <f>IF($J91="","",$G91/$J91)</f>
        <v/>
      </c>
      <c r="L91" s="68">
        <f>IF($J91="",0,$K91*MAX(0,MIN(YEAR($C$3)*12+MONTH($C$3),YEAR($I91)*12+MONTH($I91))-(YEAR($H91)*12+MONTH($H91))+1))</f>
        <v/>
      </c>
      <c r="M91" s="68">
        <f>IF($J91="",0,$K91*MAX(0,MIN(YEAR($C$3)*12+MONTH($C$3)-1,YEAR($I91)*12+MONTH($I91))-(YEAR($H91)*12+MONTH($H91))+1))</f>
        <v/>
      </c>
      <c r="N91" s="68">
        <f>IF(OR($J91="",$B91=""),0,IF(YEAR($B91)*12+MONTH($B91)&lt;=YEAR($C$3)*12+MONTH($C$3),$G91,0))</f>
        <v/>
      </c>
      <c r="O91" s="68">
        <f>IF(OR($J91="",$B91=""),0,IF(YEAR($B91)*12+MONTH($B91)&lt;=YEAR($C$3)*12+MONTH($C$3)-1,$G91,0))</f>
        <v/>
      </c>
      <c r="P91" s="68">
        <f>$M91-$O91</f>
        <v/>
      </c>
      <c r="Q91" s="68">
        <f>($L91-$M91)-($N91-$O91)</f>
        <v/>
      </c>
      <c r="R91" s="68">
        <f>$L91-$N91</f>
        <v/>
      </c>
      <c r="S91" s="67">
        <f>"Finance invoice"</f>
        <v/>
      </c>
      <c r="T91" s="67">
        <f>"Revenue"</f>
        <v/>
      </c>
    </row>
    <row r="92">
      <c r="A92" s="65">
        <f>ROW()-5</f>
        <v/>
      </c>
      <c r="B92" s="66">
        <f>IFERROR(INDEX(tbl_Finance[Date],$A92),"")</f>
        <v/>
      </c>
      <c r="C92" s="67">
        <f>IFERROR(INDEX(tbl_Finance[Xero Invoice No],$A92),"")</f>
        <v/>
      </c>
      <c r="D92" s="67">
        <f>IFERROR(INDEX(tbl_Finance[Client],$A92),"")</f>
        <v/>
      </c>
      <c r="E92" s="67">
        <f>IFERROR(INDEX(tbl_Finance[Job Number],$A92),"")</f>
        <v/>
      </c>
      <c r="F92" s="67">
        <f>IFERROR(INDEX(tbl_Finance[Cost Centre],$A92),"")</f>
        <v/>
      </c>
      <c r="G92" s="68">
        <f>IFERROR(INDEX(tbl_Finance[Ex GST],$A92),"")</f>
        <v/>
      </c>
      <c r="H92" s="66">
        <f>IFERROR(INDEX(tbl_Finance[Defer Start],$A92),"")</f>
        <v/>
      </c>
      <c r="I92" s="66">
        <f>IFERROR(INDEX(tbl_Finance[Defer End],$A92),"")</f>
        <v/>
      </c>
      <c r="J92" s="65">
        <f>IF(OR($H92="",$I92="",$G92=""),"",MAX(1,(YEAR($I92)-YEAR($H92))*12+MONTH($I92)-MONTH($H92)+1))</f>
        <v/>
      </c>
      <c r="K92" s="68">
        <f>IF($J92="","",$G92/$J92)</f>
        <v/>
      </c>
      <c r="L92" s="68">
        <f>IF($J92="",0,$K92*MAX(0,MIN(YEAR($C$3)*12+MONTH($C$3),YEAR($I92)*12+MONTH($I92))-(YEAR($H92)*12+MONTH($H92))+1))</f>
        <v/>
      </c>
      <c r="M92" s="68">
        <f>IF($J92="",0,$K92*MAX(0,MIN(YEAR($C$3)*12+MONTH($C$3)-1,YEAR($I92)*12+MONTH($I92))-(YEAR($H92)*12+MONTH($H92))+1))</f>
        <v/>
      </c>
      <c r="N92" s="68">
        <f>IF(OR($J92="",$B92=""),0,IF(YEAR($B92)*12+MONTH($B92)&lt;=YEAR($C$3)*12+MONTH($C$3),$G92,0))</f>
        <v/>
      </c>
      <c r="O92" s="68">
        <f>IF(OR($J92="",$B92=""),0,IF(YEAR($B92)*12+MONTH($B92)&lt;=YEAR($C$3)*12+MONTH($C$3)-1,$G92,0))</f>
        <v/>
      </c>
      <c r="P92" s="68">
        <f>$M92-$O92</f>
        <v/>
      </c>
      <c r="Q92" s="68">
        <f>($L92-$M92)-($N92-$O92)</f>
        <v/>
      </c>
      <c r="R92" s="68">
        <f>$L92-$N92</f>
        <v/>
      </c>
      <c r="S92" s="67">
        <f>"Finance invoice"</f>
        <v/>
      </c>
      <c r="T92" s="67">
        <f>"Revenue"</f>
        <v/>
      </c>
    </row>
    <row r="93">
      <c r="A93" s="65">
        <f>ROW()-5</f>
        <v/>
      </c>
      <c r="B93" s="66">
        <f>IFERROR(INDEX(tbl_Finance[Date],$A93),"")</f>
        <v/>
      </c>
      <c r="C93" s="67">
        <f>IFERROR(INDEX(tbl_Finance[Xero Invoice No],$A93),"")</f>
        <v/>
      </c>
      <c r="D93" s="67">
        <f>IFERROR(INDEX(tbl_Finance[Client],$A93),"")</f>
        <v/>
      </c>
      <c r="E93" s="67">
        <f>IFERROR(INDEX(tbl_Finance[Job Number],$A93),"")</f>
        <v/>
      </c>
      <c r="F93" s="67">
        <f>IFERROR(INDEX(tbl_Finance[Cost Centre],$A93),"")</f>
        <v/>
      </c>
      <c r="G93" s="68">
        <f>IFERROR(INDEX(tbl_Finance[Ex GST],$A93),"")</f>
        <v/>
      </c>
      <c r="H93" s="66">
        <f>IFERROR(INDEX(tbl_Finance[Defer Start],$A93),"")</f>
        <v/>
      </c>
      <c r="I93" s="66">
        <f>IFERROR(INDEX(tbl_Finance[Defer End],$A93),"")</f>
        <v/>
      </c>
      <c r="J93" s="65">
        <f>IF(OR($H93="",$I93="",$G93=""),"",MAX(1,(YEAR($I93)-YEAR($H93))*12+MONTH($I93)-MONTH($H93)+1))</f>
        <v/>
      </c>
      <c r="K93" s="68">
        <f>IF($J93="","",$G93/$J93)</f>
        <v/>
      </c>
      <c r="L93" s="68">
        <f>IF($J93="",0,$K93*MAX(0,MIN(YEAR($C$3)*12+MONTH($C$3),YEAR($I93)*12+MONTH($I93))-(YEAR($H93)*12+MONTH($H93))+1))</f>
        <v/>
      </c>
      <c r="M93" s="68">
        <f>IF($J93="",0,$K93*MAX(0,MIN(YEAR($C$3)*12+MONTH($C$3)-1,YEAR($I93)*12+MONTH($I93))-(YEAR($H93)*12+MONTH($H93))+1))</f>
        <v/>
      </c>
      <c r="N93" s="68">
        <f>IF(OR($J93="",$B93=""),0,IF(YEAR($B93)*12+MONTH($B93)&lt;=YEAR($C$3)*12+MONTH($C$3),$G93,0))</f>
        <v/>
      </c>
      <c r="O93" s="68">
        <f>IF(OR($J93="",$B93=""),0,IF(YEAR($B93)*12+MONTH($B93)&lt;=YEAR($C$3)*12+MONTH($C$3)-1,$G93,0))</f>
        <v/>
      </c>
      <c r="P93" s="68">
        <f>$M93-$O93</f>
        <v/>
      </c>
      <c r="Q93" s="68">
        <f>($L93-$M93)-($N93-$O93)</f>
        <v/>
      </c>
      <c r="R93" s="68">
        <f>$L93-$N93</f>
        <v/>
      </c>
      <c r="S93" s="67">
        <f>"Finance invoice"</f>
        <v/>
      </c>
      <c r="T93" s="67">
        <f>"Revenue"</f>
        <v/>
      </c>
    </row>
    <row r="94">
      <c r="A94" s="65">
        <f>ROW()-5</f>
        <v/>
      </c>
      <c r="B94" s="66">
        <f>IFERROR(INDEX(tbl_Finance[Date],$A94),"")</f>
        <v/>
      </c>
      <c r="C94" s="67">
        <f>IFERROR(INDEX(tbl_Finance[Xero Invoice No],$A94),"")</f>
        <v/>
      </c>
      <c r="D94" s="67">
        <f>IFERROR(INDEX(tbl_Finance[Client],$A94),"")</f>
        <v/>
      </c>
      <c r="E94" s="67">
        <f>IFERROR(INDEX(tbl_Finance[Job Number],$A94),"")</f>
        <v/>
      </c>
      <c r="F94" s="67">
        <f>IFERROR(INDEX(tbl_Finance[Cost Centre],$A94),"")</f>
        <v/>
      </c>
      <c r="G94" s="68">
        <f>IFERROR(INDEX(tbl_Finance[Ex GST],$A94),"")</f>
        <v/>
      </c>
      <c r="H94" s="66">
        <f>IFERROR(INDEX(tbl_Finance[Defer Start],$A94),"")</f>
        <v/>
      </c>
      <c r="I94" s="66">
        <f>IFERROR(INDEX(tbl_Finance[Defer End],$A94),"")</f>
        <v/>
      </c>
      <c r="J94" s="65">
        <f>IF(OR($H94="",$I94="",$G94=""),"",MAX(1,(YEAR($I94)-YEAR($H94))*12+MONTH($I94)-MONTH($H94)+1))</f>
        <v/>
      </c>
      <c r="K94" s="68">
        <f>IF($J94="","",$G94/$J94)</f>
        <v/>
      </c>
      <c r="L94" s="68">
        <f>IF($J94="",0,$K94*MAX(0,MIN(YEAR($C$3)*12+MONTH($C$3),YEAR($I94)*12+MONTH($I94))-(YEAR($H94)*12+MONTH($H94))+1))</f>
        <v/>
      </c>
      <c r="M94" s="68">
        <f>IF($J94="",0,$K94*MAX(0,MIN(YEAR($C$3)*12+MONTH($C$3)-1,YEAR($I94)*12+MONTH($I94))-(YEAR($H94)*12+MONTH($H94))+1))</f>
        <v/>
      </c>
      <c r="N94" s="68">
        <f>IF(OR($J94="",$B94=""),0,IF(YEAR($B94)*12+MONTH($B94)&lt;=YEAR($C$3)*12+MONTH($C$3),$G94,0))</f>
        <v/>
      </c>
      <c r="O94" s="68">
        <f>IF(OR($J94="",$B94=""),0,IF(YEAR($B94)*12+MONTH($B94)&lt;=YEAR($C$3)*12+MONTH($C$3)-1,$G94,0))</f>
        <v/>
      </c>
      <c r="P94" s="68">
        <f>$M94-$O94</f>
        <v/>
      </c>
      <c r="Q94" s="68">
        <f>($L94-$M94)-($N94-$O94)</f>
        <v/>
      </c>
      <c r="R94" s="68">
        <f>$L94-$N94</f>
        <v/>
      </c>
      <c r="S94" s="67">
        <f>"Finance invoice"</f>
        <v/>
      </c>
      <c r="T94" s="67">
        <f>"Revenue"</f>
        <v/>
      </c>
    </row>
    <row r="95">
      <c r="A95" s="65">
        <f>ROW()-5</f>
        <v/>
      </c>
      <c r="B95" s="66">
        <f>IFERROR(INDEX(tbl_Finance[Date],$A95),"")</f>
        <v/>
      </c>
      <c r="C95" s="67">
        <f>IFERROR(INDEX(tbl_Finance[Xero Invoice No],$A95),"")</f>
        <v/>
      </c>
      <c r="D95" s="67">
        <f>IFERROR(INDEX(tbl_Finance[Client],$A95),"")</f>
        <v/>
      </c>
      <c r="E95" s="67">
        <f>IFERROR(INDEX(tbl_Finance[Job Number],$A95),"")</f>
        <v/>
      </c>
      <c r="F95" s="67">
        <f>IFERROR(INDEX(tbl_Finance[Cost Centre],$A95),"")</f>
        <v/>
      </c>
      <c r="G95" s="68">
        <f>IFERROR(INDEX(tbl_Finance[Ex GST],$A95),"")</f>
        <v/>
      </c>
      <c r="H95" s="66">
        <f>IFERROR(INDEX(tbl_Finance[Defer Start],$A95),"")</f>
        <v/>
      </c>
      <c r="I95" s="66">
        <f>IFERROR(INDEX(tbl_Finance[Defer End],$A95),"")</f>
        <v/>
      </c>
      <c r="J95" s="65">
        <f>IF(OR($H95="",$I95="",$G95=""),"",MAX(1,(YEAR($I95)-YEAR($H95))*12+MONTH($I95)-MONTH($H95)+1))</f>
        <v/>
      </c>
      <c r="K95" s="68">
        <f>IF($J95="","",$G95/$J95)</f>
        <v/>
      </c>
      <c r="L95" s="68">
        <f>IF($J95="",0,$K95*MAX(0,MIN(YEAR($C$3)*12+MONTH($C$3),YEAR($I95)*12+MONTH($I95))-(YEAR($H95)*12+MONTH($H95))+1))</f>
        <v/>
      </c>
      <c r="M95" s="68">
        <f>IF($J95="",0,$K95*MAX(0,MIN(YEAR($C$3)*12+MONTH($C$3)-1,YEAR($I95)*12+MONTH($I95))-(YEAR($H95)*12+MONTH($H95))+1))</f>
        <v/>
      </c>
      <c r="N95" s="68">
        <f>IF(OR($J95="",$B95=""),0,IF(YEAR($B95)*12+MONTH($B95)&lt;=YEAR($C$3)*12+MONTH($C$3),$G95,0))</f>
        <v/>
      </c>
      <c r="O95" s="68">
        <f>IF(OR($J95="",$B95=""),0,IF(YEAR($B95)*12+MONTH($B95)&lt;=YEAR($C$3)*12+MONTH($C$3)-1,$G95,0))</f>
        <v/>
      </c>
      <c r="P95" s="68">
        <f>$M95-$O95</f>
        <v/>
      </c>
      <c r="Q95" s="68">
        <f>($L95-$M95)-($N95-$O95)</f>
        <v/>
      </c>
      <c r="R95" s="68">
        <f>$L95-$N95</f>
        <v/>
      </c>
      <c r="S95" s="67">
        <f>"Finance invoice"</f>
        <v/>
      </c>
      <c r="T95" s="67">
        <f>"Revenue"</f>
        <v/>
      </c>
    </row>
    <row r="96">
      <c r="A96" s="65">
        <f>ROW()-5</f>
        <v/>
      </c>
      <c r="B96" s="66">
        <f>IFERROR(INDEX(tbl_Finance[Date],$A96),"")</f>
        <v/>
      </c>
      <c r="C96" s="67">
        <f>IFERROR(INDEX(tbl_Finance[Xero Invoice No],$A96),"")</f>
        <v/>
      </c>
      <c r="D96" s="67">
        <f>IFERROR(INDEX(tbl_Finance[Client],$A96),"")</f>
        <v/>
      </c>
      <c r="E96" s="67">
        <f>IFERROR(INDEX(tbl_Finance[Job Number],$A96),"")</f>
        <v/>
      </c>
      <c r="F96" s="67">
        <f>IFERROR(INDEX(tbl_Finance[Cost Centre],$A96),"")</f>
        <v/>
      </c>
      <c r="G96" s="68">
        <f>IFERROR(INDEX(tbl_Finance[Ex GST],$A96),"")</f>
        <v/>
      </c>
      <c r="H96" s="66">
        <f>IFERROR(INDEX(tbl_Finance[Defer Start],$A96),"")</f>
        <v/>
      </c>
      <c r="I96" s="66">
        <f>IFERROR(INDEX(tbl_Finance[Defer End],$A96),"")</f>
        <v/>
      </c>
      <c r="J96" s="65">
        <f>IF(OR($H96="",$I96="",$G96=""),"",MAX(1,(YEAR($I96)-YEAR($H96))*12+MONTH($I96)-MONTH($H96)+1))</f>
        <v/>
      </c>
      <c r="K96" s="68">
        <f>IF($J96="","",$G96/$J96)</f>
        <v/>
      </c>
      <c r="L96" s="68">
        <f>IF($J96="",0,$K96*MAX(0,MIN(YEAR($C$3)*12+MONTH($C$3),YEAR($I96)*12+MONTH($I96))-(YEAR($H96)*12+MONTH($H96))+1))</f>
        <v/>
      </c>
      <c r="M96" s="68">
        <f>IF($J96="",0,$K96*MAX(0,MIN(YEAR($C$3)*12+MONTH($C$3)-1,YEAR($I96)*12+MONTH($I96))-(YEAR($H96)*12+MONTH($H96))+1))</f>
        <v/>
      </c>
      <c r="N96" s="68">
        <f>IF(OR($J96="",$B96=""),0,IF(YEAR($B96)*12+MONTH($B96)&lt;=YEAR($C$3)*12+MONTH($C$3),$G96,0))</f>
        <v/>
      </c>
      <c r="O96" s="68">
        <f>IF(OR($J96="",$B96=""),0,IF(YEAR($B96)*12+MONTH($B96)&lt;=YEAR($C$3)*12+MONTH($C$3)-1,$G96,0))</f>
        <v/>
      </c>
      <c r="P96" s="68">
        <f>$M96-$O96</f>
        <v/>
      </c>
      <c r="Q96" s="68">
        <f>($L96-$M96)-($N96-$O96)</f>
        <v/>
      </c>
      <c r="R96" s="68">
        <f>$L96-$N96</f>
        <v/>
      </c>
      <c r="S96" s="67">
        <f>"Finance invoice"</f>
        <v/>
      </c>
      <c r="T96" s="67">
        <f>"Revenue"</f>
        <v/>
      </c>
    </row>
    <row r="97">
      <c r="A97" s="65">
        <f>ROW()-5</f>
        <v/>
      </c>
      <c r="B97" s="66">
        <f>IFERROR(INDEX(tbl_Finance[Date],$A97),"")</f>
        <v/>
      </c>
      <c r="C97" s="67">
        <f>IFERROR(INDEX(tbl_Finance[Xero Invoice No],$A97),"")</f>
        <v/>
      </c>
      <c r="D97" s="67">
        <f>IFERROR(INDEX(tbl_Finance[Client],$A97),"")</f>
        <v/>
      </c>
      <c r="E97" s="67">
        <f>IFERROR(INDEX(tbl_Finance[Job Number],$A97),"")</f>
        <v/>
      </c>
      <c r="F97" s="67">
        <f>IFERROR(INDEX(tbl_Finance[Cost Centre],$A97),"")</f>
        <v/>
      </c>
      <c r="G97" s="68">
        <f>IFERROR(INDEX(tbl_Finance[Ex GST],$A97),"")</f>
        <v/>
      </c>
      <c r="H97" s="66">
        <f>IFERROR(INDEX(tbl_Finance[Defer Start],$A97),"")</f>
        <v/>
      </c>
      <c r="I97" s="66">
        <f>IFERROR(INDEX(tbl_Finance[Defer End],$A97),"")</f>
        <v/>
      </c>
      <c r="J97" s="65">
        <f>IF(OR($H97="",$I97="",$G97=""),"",MAX(1,(YEAR($I97)-YEAR($H97))*12+MONTH($I97)-MONTH($H97)+1))</f>
        <v/>
      </c>
      <c r="K97" s="68">
        <f>IF($J97="","",$G97/$J97)</f>
        <v/>
      </c>
      <c r="L97" s="68">
        <f>IF($J97="",0,$K97*MAX(0,MIN(YEAR($C$3)*12+MONTH($C$3),YEAR($I97)*12+MONTH($I97))-(YEAR($H97)*12+MONTH($H97))+1))</f>
        <v/>
      </c>
      <c r="M97" s="68">
        <f>IF($J97="",0,$K97*MAX(0,MIN(YEAR($C$3)*12+MONTH($C$3)-1,YEAR($I97)*12+MONTH($I97))-(YEAR($H97)*12+MONTH($H97))+1))</f>
        <v/>
      </c>
      <c r="N97" s="68">
        <f>IF(OR($J97="",$B97=""),0,IF(YEAR($B97)*12+MONTH($B97)&lt;=YEAR($C$3)*12+MONTH($C$3),$G97,0))</f>
        <v/>
      </c>
      <c r="O97" s="68">
        <f>IF(OR($J97="",$B97=""),0,IF(YEAR($B97)*12+MONTH($B97)&lt;=YEAR($C$3)*12+MONTH($C$3)-1,$G97,0))</f>
        <v/>
      </c>
      <c r="P97" s="68">
        <f>$M97-$O97</f>
        <v/>
      </c>
      <c r="Q97" s="68">
        <f>($L97-$M97)-($N97-$O97)</f>
        <v/>
      </c>
      <c r="R97" s="68">
        <f>$L97-$N97</f>
        <v/>
      </c>
      <c r="S97" s="67">
        <f>"Finance invoice"</f>
        <v/>
      </c>
      <c r="T97" s="67">
        <f>"Revenue"</f>
        <v/>
      </c>
    </row>
    <row r="98">
      <c r="A98" s="65">
        <f>ROW()-5</f>
        <v/>
      </c>
      <c r="B98" s="66">
        <f>IFERROR(INDEX(tbl_Finance[Date],$A98),"")</f>
        <v/>
      </c>
      <c r="C98" s="67">
        <f>IFERROR(INDEX(tbl_Finance[Xero Invoice No],$A98),"")</f>
        <v/>
      </c>
      <c r="D98" s="67">
        <f>IFERROR(INDEX(tbl_Finance[Client],$A98),"")</f>
        <v/>
      </c>
      <c r="E98" s="67">
        <f>IFERROR(INDEX(tbl_Finance[Job Number],$A98),"")</f>
        <v/>
      </c>
      <c r="F98" s="67">
        <f>IFERROR(INDEX(tbl_Finance[Cost Centre],$A98),"")</f>
        <v/>
      </c>
      <c r="G98" s="68">
        <f>IFERROR(INDEX(tbl_Finance[Ex GST],$A98),"")</f>
        <v/>
      </c>
      <c r="H98" s="66">
        <f>IFERROR(INDEX(tbl_Finance[Defer Start],$A98),"")</f>
        <v/>
      </c>
      <c r="I98" s="66">
        <f>IFERROR(INDEX(tbl_Finance[Defer End],$A98),"")</f>
        <v/>
      </c>
      <c r="J98" s="65">
        <f>IF(OR($H98="",$I98="",$G98=""),"",MAX(1,(YEAR($I98)-YEAR($H98))*12+MONTH($I98)-MONTH($H98)+1))</f>
        <v/>
      </c>
      <c r="K98" s="68">
        <f>IF($J98="","",$G98/$J98)</f>
        <v/>
      </c>
      <c r="L98" s="68">
        <f>IF($J98="",0,$K98*MAX(0,MIN(YEAR($C$3)*12+MONTH($C$3),YEAR($I98)*12+MONTH($I98))-(YEAR($H98)*12+MONTH($H98))+1))</f>
        <v/>
      </c>
      <c r="M98" s="68">
        <f>IF($J98="",0,$K98*MAX(0,MIN(YEAR($C$3)*12+MONTH($C$3)-1,YEAR($I98)*12+MONTH($I98))-(YEAR($H98)*12+MONTH($H98))+1))</f>
        <v/>
      </c>
      <c r="N98" s="68">
        <f>IF(OR($J98="",$B98=""),0,IF(YEAR($B98)*12+MONTH($B98)&lt;=YEAR($C$3)*12+MONTH($C$3),$G98,0))</f>
        <v/>
      </c>
      <c r="O98" s="68">
        <f>IF(OR($J98="",$B98=""),0,IF(YEAR($B98)*12+MONTH($B98)&lt;=YEAR($C$3)*12+MONTH($C$3)-1,$G98,0))</f>
        <v/>
      </c>
      <c r="P98" s="68">
        <f>$M98-$O98</f>
        <v/>
      </c>
      <c r="Q98" s="68">
        <f>($L98-$M98)-($N98-$O98)</f>
        <v/>
      </c>
      <c r="R98" s="68">
        <f>$L98-$N98</f>
        <v/>
      </c>
      <c r="S98" s="67">
        <f>"Finance invoice"</f>
        <v/>
      </c>
      <c r="T98" s="67">
        <f>"Revenue"</f>
        <v/>
      </c>
    </row>
    <row r="99">
      <c r="A99" s="65">
        <f>ROW()-5</f>
        <v/>
      </c>
      <c r="B99" s="66">
        <f>IFERROR(INDEX(tbl_Finance[Date],$A99),"")</f>
        <v/>
      </c>
      <c r="C99" s="67">
        <f>IFERROR(INDEX(tbl_Finance[Xero Invoice No],$A99),"")</f>
        <v/>
      </c>
      <c r="D99" s="67">
        <f>IFERROR(INDEX(tbl_Finance[Client],$A99),"")</f>
        <v/>
      </c>
      <c r="E99" s="67">
        <f>IFERROR(INDEX(tbl_Finance[Job Number],$A99),"")</f>
        <v/>
      </c>
      <c r="F99" s="67">
        <f>IFERROR(INDEX(tbl_Finance[Cost Centre],$A99),"")</f>
        <v/>
      </c>
      <c r="G99" s="68">
        <f>IFERROR(INDEX(tbl_Finance[Ex GST],$A99),"")</f>
        <v/>
      </c>
      <c r="H99" s="66">
        <f>IFERROR(INDEX(tbl_Finance[Defer Start],$A99),"")</f>
        <v/>
      </c>
      <c r="I99" s="66">
        <f>IFERROR(INDEX(tbl_Finance[Defer End],$A99),"")</f>
        <v/>
      </c>
      <c r="J99" s="65">
        <f>IF(OR($H99="",$I99="",$G99=""),"",MAX(1,(YEAR($I99)-YEAR($H99))*12+MONTH($I99)-MONTH($H99)+1))</f>
        <v/>
      </c>
      <c r="K99" s="68">
        <f>IF($J99="","",$G99/$J99)</f>
        <v/>
      </c>
      <c r="L99" s="68">
        <f>IF($J99="",0,$K99*MAX(0,MIN(YEAR($C$3)*12+MONTH($C$3),YEAR($I99)*12+MONTH($I99))-(YEAR($H99)*12+MONTH($H99))+1))</f>
        <v/>
      </c>
      <c r="M99" s="68">
        <f>IF($J99="",0,$K99*MAX(0,MIN(YEAR($C$3)*12+MONTH($C$3)-1,YEAR($I99)*12+MONTH($I99))-(YEAR($H99)*12+MONTH($H99))+1))</f>
        <v/>
      </c>
      <c r="N99" s="68">
        <f>IF(OR($J99="",$B99=""),0,IF(YEAR($B99)*12+MONTH($B99)&lt;=YEAR($C$3)*12+MONTH($C$3),$G99,0))</f>
        <v/>
      </c>
      <c r="O99" s="68">
        <f>IF(OR($J99="",$B99=""),0,IF(YEAR($B99)*12+MONTH($B99)&lt;=YEAR($C$3)*12+MONTH($C$3)-1,$G99,0))</f>
        <v/>
      </c>
      <c r="P99" s="68">
        <f>$M99-$O99</f>
        <v/>
      </c>
      <c r="Q99" s="68">
        <f>($L99-$M99)-($N99-$O99)</f>
        <v/>
      </c>
      <c r="R99" s="68">
        <f>$L99-$N99</f>
        <v/>
      </c>
      <c r="S99" s="67">
        <f>"Finance invoice"</f>
        <v/>
      </c>
      <c r="T99" s="67">
        <f>"Revenue"</f>
        <v/>
      </c>
    </row>
    <row r="100">
      <c r="A100" s="65">
        <f>ROW()-5</f>
        <v/>
      </c>
      <c r="B100" s="66">
        <f>IFERROR(INDEX(tbl_Finance[Date],$A100),"")</f>
        <v/>
      </c>
      <c r="C100" s="67">
        <f>IFERROR(INDEX(tbl_Finance[Xero Invoice No],$A100),"")</f>
        <v/>
      </c>
      <c r="D100" s="67">
        <f>IFERROR(INDEX(tbl_Finance[Client],$A100),"")</f>
        <v/>
      </c>
      <c r="E100" s="67">
        <f>IFERROR(INDEX(tbl_Finance[Job Number],$A100),"")</f>
        <v/>
      </c>
      <c r="F100" s="67">
        <f>IFERROR(INDEX(tbl_Finance[Cost Centre],$A100),"")</f>
        <v/>
      </c>
      <c r="G100" s="68">
        <f>IFERROR(INDEX(tbl_Finance[Ex GST],$A100),"")</f>
        <v/>
      </c>
      <c r="H100" s="66">
        <f>IFERROR(INDEX(tbl_Finance[Defer Start],$A100),"")</f>
        <v/>
      </c>
      <c r="I100" s="66">
        <f>IFERROR(INDEX(tbl_Finance[Defer End],$A100),"")</f>
        <v/>
      </c>
      <c r="J100" s="65">
        <f>IF(OR($H100="",$I100="",$G100=""),"",MAX(1,(YEAR($I100)-YEAR($H100))*12+MONTH($I100)-MONTH($H100)+1))</f>
        <v/>
      </c>
      <c r="K100" s="68">
        <f>IF($J100="","",$G100/$J100)</f>
        <v/>
      </c>
      <c r="L100" s="68">
        <f>IF($J100="",0,$K100*MAX(0,MIN(YEAR($C$3)*12+MONTH($C$3),YEAR($I100)*12+MONTH($I100))-(YEAR($H100)*12+MONTH($H100))+1))</f>
        <v/>
      </c>
      <c r="M100" s="68">
        <f>IF($J100="",0,$K100*MAX(0,MIN(YEAR($C$3)*12+MONTH($C$3)-1,YEAR($I100)*12+MONTH($I100))-(YEAR($H100)*12+MONTH($H100))+1))</f>
        <v/>
      </c>
      <c r="N100" s="68">
        <f>IF(OR($J100="",$B100=""),0,IF(YEAR($B100)*12+MONTH($B100)&lt;=YEAR($C$3)*12+MONTH($C$3),$G100,0))</f>
        <v/>
      </c>
      <c r="O100" s="68">
        <f>IF(OR($J100="",$B100=""),0,IF(YEAR($B100)*12+MONTH($B100)&lt;=YEAR($C$3)*12+MONTH($C$3)-1,$G100,0))</f>
        <v/>
      </c>
      <c r="P100" s="68">
        <f>$M100-$O100</f>
        <v/>
      </c>
      <c r="Q100" s="68">
        <f>($L100-$M100)-($N100-$O100)</f>
        <v/>
      </c>
      <c r="R100" s="68">
        <f>$L100-$N100</f>
        <v/>
      </c>
      <c r="S100" s="67">
        <f>"Finance invoice"</f>
        <v/>
      </c>
      <c r="T100" s="67">
        <f>"Revenue"</f>
        <v/>
      </c>
    </row>
    <row r="101">
      <c r="A101" s="65">
        <f>ROW()-5</f>
        <v/>
      </c>
      <c r="B101" s="66">
        <f>IFERROR(INDEX(tbl_Finance[Date],$A101),"")</f>
        <v/>
      </c>
      <c r="C101" s="67">
        <f>IFERROR(INDEX(tbl_Finance[Xero Invoice No],$A101),"")</f>
        <v/>
      </c>
      <c r="D101" s="67">
        <f>IFERROR(INDEX(tbl_Finance[Client],$A101),"")</f>
        <v/>
      </c>
      <c r="E101" s="67">
        <f>IFERROR(INDEX(tbl_Finance[Job Number],$A101),"")</f>
        <v/>
      </c>
      <c r="F101" s="67">
        <f>IFERROR(INDEX(tbl_Finance[Cost Centre],$A101),"")</f>
        <v/>
      </c>
      <c r="G101" s="68">
        <f>IFERROR(INDEX(tbl_Finance[Ex GST],$A101),"")</f>
        <v/>
      </c>
      <c r="H101" s="66">
        <f>IFERROR(INDEX(tbl_Finance[Defer Start],$A101),"")</f>
        <v/>
      </c>
      <c r="I101" s="66">
        <f>IFERROR(INDEX(tbl_Finance[Defer End],$A101),"")</f>
        <v/>
      </c>
      <c r="J101" s="65">
        <f>IF(OR($H101="",$I101="",$G101=""),"",MAX(1,(YEAR($I101)-YEAR($H101))*12+MONTH($I101)-MONTH($H101)+1))</f>
        <v/>
      </c>
      <c r="K101" s="68">
        <f>IF($J101="","",$G101/$J101)</f>
        <v/>
      </c>
      <c r="L101" s="68">
        <f>IF($J101="",0,$K101*MAX(0,MIN(YEAR($C$3)*12+MONTH($C$3),YEAR($I101)*12+MONTH($I101))-(YEAR($H101)*12+MONTH($H101))+1))</f>
        <v/>
      </c>
      <c r="M101" s="68">
        <f>IF($J101="",0,$K101*MAX(0,MIN(YEAR($C$3)*12+MONTH($C$3)-1,YEAR($I101)*12+MONTH($I101))-(YEAR($H101)*12+MONTH($H101))+1))</f>
        <v/>
      </c>
      <c r="N101" s="68">
        <f>IF(OR($J101="",$B101=""),0,IF(YEAR($B101)*12+MONTH($B101)&lt;=YEAR($C$3)*12+MONTH($C$3),$G101,0))</f>
        <v/>
      </c>
      <c r="O101" s="68">
        <f>IF(OR($J101="",$B101=""),0,IF(YEAR($B101)*12+MONTH($B101)&lt;=YEAR($C$3)*12+MONTH($C$3)-1,$G101,0))</f>
        <v/>
      </c>
      <c r="P101" s="68">
        <f>$M101-$O101</f>
        <v/>
      </c>
      <c r="Q101" s="68">
        <f>($L101-$M101)-($N101-$O101)</f>
        <v/>
      </c>
      <c r="R101" s="68">
        <f>$L101-$N101</f>
        <v/>
      </c>
      <c r="S101" s="67">
        <f>"Finance invoice"</f>
        <v/>
      </c>
      <c r="T101" s="67">
        <f>"Revenue"</f>
        <v/>
      </c>
    </row>
    <row r="102">
      <c r="A102" s="65">
        <f>ROW()-5</f>
        <v/>
      </c>
      <c r="B102" s="66">
        <f>IFERROR(INDEX(tbl_Finance[Date],$A102),"")</f>
        <v/>
      </c>
      <c r="C102" s="67">
        <f>IFERROR(INDEX(tbl_Finance[Xero Invoice No],$A102),"")</f>
        <v/>
      </c>
      <c r="D102" s="67">
        <f>IFERROR(INDEX(tbl_Finance[Client],$A102),"")</f>
        <v/>
      </c>
      <c r="E102" s="67">
        <f>IFERROR(INDEX(tbl_Finance[Job Number],$A102),"")</f>
        <v/>
      </c>
      <c r="F102" s="67">
        <f>IFERROR(INDEX(tbl_Finance[Cost Centre],$A102),"")</f>
        <v/>
      </c>
      <c r="G102" s="68">
        <f>IFERROR(INDEX(tbl_Finance[Ex GST],$A102),"")</f>
        <v/>
      </c>
      <c r="H102" s="66">
        <f>IFERROR(INDEX(tbl_Finance[Defer Start],$A102),"")</f>
        <v/>
      </c>
      <c r="I102" s="66">
        <f>IFERROR(INDEX(tbl_Finance[Defer End],$A102),"")</f>
        <v/>
      </c>
      <c r="J102" s="65">
        <f>IF(OR($H102="",$I102="",$G102=""),"",MAX(1,(YEAR($I102)-YEAR($H102))*12+MONTH($I102)-MONTH($H102)+1))</f>
        <v/>
      </c>
      <c r="K102" s="68">
        <f>IF($J102="","",$G102/$J102)</f>
        <v/>
      </c>
      <c r="L102" s="68">
        <f>IF($J102="",0,$K102*MAX(0,MIN(YEAR($C$3)*12+MONTH($C$3),YEAR($I102)*12+MONTH($I102))-(YEAR($H102)*12+MONTH($H102))+1))</f>
        <v/>
      </c>
      <c r="M102" s="68">
        <f>IF($J102="",0,$K102*MAX(0,MIN(YEAR($C$3)*12+MONTH($C$3)-1,YEAR($I102)*12+MONTH($I102))-(YEAR($H102)*12+MONTH($H102))+1))</f>
        <v/>
      </c>
      <c r="N102" s="68">
        <f>IF(OR($J102="",$B102=""),0,IF(YEAR($B102)*12+MONTH($B102)&lt;=YEAR($C$3)*12+MONTH($C$3),$G102,0))</f>
        <v/>
      </c>
      <c r="O102" s="68">
        <f>IF(OR($J102="",$B102=""),0,IF(YEAR($B102)*12+MONTH($B102)&lt;=YEAR($C$3)*12+MONTH($C$3)-1,$G102,0))</f>
        <v/>
      </c>
      <c r="P102" s="68">
        <f>$M102-$O102</f>
        <v/>
      </c>
      <c r="Q102" s="68">
        <f>($L102-$M102)-($N102-$O102)</f>
        <v/>
      </c>
      <c r="R102" s="68">
        <f>$L102-$N102</f>
        <v/>
      </c>
      <c r="S102" s="67">
        <f>"Finance invoice"</f>
        <v/>
      </c>
      <c r="T102" s="67">
        <f>"Revenue"</f>
        <v/>
      </c>
    </row>
    <row r="103">
      <c r="A103" s="65">
        <f>ROW()-5</f>
        <v/>
      </c>
      <c r="B103" s="66">
        <f>IFERROR(INDEX(tbl_Finance[Date],$A103),"")</f>
        <v/>
      </c>
      <c r="C103" s="67">
        <f>IFERROR(INDEX(tbl_Finance[Xero Invoice No],$A103),"")</f>
        <v/>
      </c>
      <c r="D103" s="67">
        <f>IFERROR(INDEX(tbl_Finance[Client],$A103),"")</f>
        <v/>
      </c>
      <c r="E103" s="67">
        <f>IFERROR(INDEX(tbl_Finance[Job Number],$A103),"")</f>
        <v/>
      </c>
      <c r="F103" s="67">
        <f>IFERROR(INDEX(tbl_Finance[Cost Centre],$A103),"")</f>
        <v/>
      </c>
      <c r="G103" s="68">
        <f>IFERROR(INDEX(tbl_Finance[Ex GST],$A103),"")</f>
        <v/>
      </c>
      <c r="H103" s="66">
        <f>IFERROR(INDEX(tbl_Finance[Defer Start],$A103),"")</f>
        <v/>
      </c>
      <c r="I103" s="66">
        <f>IFERROR(INDEX(tbl_Finance[Defer End],$A103),"")</f>
        <v/>
      </c>
      <c r="J103" s="65">
        <f>IF(OR($H103="",$I103="",$G103=""),"",MAX(1,(YEAR($I103)-YEAR($H103))*12+MONTH($I103)-MONTH($H103)+1))</f>
        <v/>
      </c>
      <c r="K103" s="68">
        <f>IF($J103="","",$G103/$J103)</f>
        <v/>
      </c>
      <c r="L103" s="68">
        <f>IF($J103="",0,$K103*MAX(0,MIN(YEAR($C$3)*12+MONTH($C$3),YEAR($I103)*12+MONTH($I103))-(YEAR($H103)*12+MONTH($H103))+1))</f>
        <v/>
      </c>
      <c r="M103" s="68">
        <f>IF($J103="",0,$K103*MAX(0,MIN(YEAR($C$3)*12+MONTH($C$3)-1,YEAR($I103)*12+MONTH($I103))-(YEAR($H103)*12+MONTH($H103))+1))</f>
        <v/>
      </c>
      <c r="N103" s="68">
        <f>IF(OR($J103="",$B103=""),0,IF(YEAR($B103)*12+MONTH($B103)&lt;=YEAR($C$3)*12+MONTH($C$3),$G103,0))</f>
        <v/>
      </c>
      <c r="O103" s="68">
        <f>IF(OR($J103="",$B103=""),0,IF(YEAR($B103)*12+MONTH($B103)&lt;=YEAR($C$3)*12+MONTH($C$3)-1,$G103,0))</f>
        <v/>
      </c>
      <c r="P103" s="68">
        <f>$M103-$O103</f>
        <v/>
      </c>
      <c r="Q103" s="68">
        <f>($L103-$M103)-($N103-$O103)</f>
        <v/>
      </c>
      <c r="R103" s="68">
        <f>$L103-$N103</f>
        <v/>
      </c>
      <c r="S103" s="67">
        <f>"Finance invoice"</f>
        <v/>
      </c>
      <c r="T103" s="67">
        <f>"Revenue"</f>
        <v/>
      </c>
    </row>
    <row r="104">
      <c r="A104" s="65">
        <f>ROW()-5</f>
        <v/>
      </c>
      <c r="B104" s="66">
        <f>IFERROR(INDEX(tbl_Finance[Date],$A104),"")</f>
        <v/>
      </c>
      <c r="C104" s="67">
        <f>IFERROR(INDEX(tbl_Finance[Xero Invoice No],$A104),"")</f>
        <v/>
      </c>
      <c r="D104" s="67">
        <f>IFERROR(INDEX(tbl_Finance[Client],$A104),"")</f>
        <v/>
      </c>
      <c r="E104" s="67">
        <f>IFERROR(INDEX(tbl_Finance[Job Number],$A104),"")</f>
        <v/>
      </c>
      <c r="F104" s="67">
        <f>IFERROR(INDEX(tbl_Finance[Cost Centre],$A104),"")</f>
        <v/>
      </c>
      <c r="G104" s="68">
        <f>IFERROR(INDEX(tbl_Finance[Ex GST],$A104),"")</f>
        <v/>
      </c>
      <c r="H104" s="66">
        <f>IFERROR(INDEX(tbl_Finance[Defer Start],$A104),"")</f>
        <v/>
      </c>
      <c r="I104" s="66">
        <f>IFERROR(INDEX(tbl_Finance[Defer End],$A104),"")</f>
        <v/>
      </c>
      <c r="J104" s="65">
        <f>IF(OR($H104="",$I104="",$G104=""),"",MAX(1,(YEAR($I104)-YEAR($H104))*12+MONTH($I104)-MONTH($H104)+1))</f>
        <v/>
      </c>
      <c r="K104" s="68">
        <f>IF($J104="","",$G104/$J104)</f>
        <v/>
      </c>
      <c r="L104" s="68">
        <f>IF($J104="",0,$K104*MAX(0,MIN(YEAR($C$3)*12+MONTH($C$3),YEAR($I104)*12+MONTH($I104))-(YEAR($H104)*12+MONTH($H104))+1))</f>
        <v/>
      </c>
      <c r="M104" s="68">
        <f>IF($J104="",0,$K104*MAX(0,MIN(YEAR($C$3)*12+MONTH($C$3)-1,YEAR($I104)*12+MONTH($I104))-(YEAR($H104)*12+MONTH($H104))+1))</f>
        <v/>
      </c>
      <c r="N104" s="68">
        <f>IF(OR($J104="",$B104=""),0,IF(YEAR($B104)*12+MONTH($B104)&lt;=YEAR($C$3)*12+MONTH($C$3),$G104,0))</f>
        <v/>
      </c>
      <c r="O104" s="68">
        <f>IF(OR($J104="",$B104=""),0,IF(YEAR($B104)*12+MONTH($B104)&lt;=YEAR($C$3)*12+MONTH($C$3)-1,$G104,0))</f>
        <v/>
      </c>
      <c r="P104" s="68">
        <f>$M104-$O104</f>
        <v/>
      </c>
      <c r="Q104" s="68">
        <f>($L104-$M104)-($N104-$O104)</f>
        <v/>
      </c>
      <c r="R104" s="68">
        <f>$L104-$N104</f>
        <v/>
      </c>
      <c r="S104" s="67">
        <f>"Finance invoice"</f>
        <v/>
      </c>
      <c r="T104" s="67">
        <f>"Revenue"</f>
        <v/>
      </c>
    </row>
    <row r="105">
      <c r="A105" s="65">
        <f>ROW()-5</f>
        <v/>
      </c>
      <c r="B105" s="66">
        <f>IFERROR(INDEX(tbl_Finance[Date],$A105),"")</f>
        <v/>
      </c>
      <c r="C105" s="67">
        <f>IFERROR(INDEX(tbl_Finance[Xero Invoice No],$A105),"")</f>
        <v/>
      </c>
      <c r="D105" s="67">
        <f>IFERROR(INDEX(tbl_Finance[Client],$A105),"")</f>
        <v/>
      </c>
      <c r="E105" s="67">
        <f>IFERROR(INDEX(tbl_Finance[Job Number],$A105),"")</f>
        <v/>
      </c>
      <c r="F105" s="67">
        <f>IFERROR(INDEX(tbl_Finance[Cost Centre],$A105),"")</f>
        <v/>
      </c>
      <c r="G105" s="68">
        <f>IFERROR(INDEX(tbl_Finance[Ex GST],$A105),"")</f>
        <v/>
      </c>
      <c r="H105" s="66">
        <f>IFERROR(INDEX(tbl_Finance[Defer Start],$A105),"")</f>
        <v/>
      </c>
      <c r="I105" s="66">
        <f>IFERROR(INDEX(tbl_Finance[Defer End],$A105),"")</f>
        <v/>
      </c>
      <c r="J105" s="65">
        <f>IF(OR($H105="",$I105="",$G105=""),"",MAX(1,(YEAR($I105)-YEAR($H105))*12+MONTH($I105)-MONTH($H105)+1))</f>
        <v/>
      </c>
      <c r="K105" s="68">
        <f>IF($J105="","",$G105/$J105)</f>
        <v/>
      </c>
      <c r="L105" s="68">
        <f>IF($J105="",0,$K105*MAX(0,MIN(YEAR($C$3)*12+MONTH($C$3),YEAR($I105)*12+MONTH($I105))-(YEAR($H105)*12+MONTH($H105))+1))</f>
        <v/>
      </c>
      <c r="M105" s="68">
        <f>IF($J105="",0,$K105*MAX(0,MIN(YEAR($C$3)*12+MONTH($C$3)-1,YEAR($I105)*12+MONTH($I105))-(YEAR($H105)*12+MONTH($H105))+1))</f>
        <v/>
      </c>
      <c r="N105" s="68">
        <f>IF(OR($J105="",$B105=""),0,IF(YEAR($B105)*12+MONTH($B105)&lt;=YEAR($C$3)*12+MONTH($C$3),$G105,0))</f>
        <v/>
      </c>
      <c r="O105" s="68">
        <f>IF(OR($J105="",$B105=""),0,IF(YEAR($B105)*12+MONTH($B105)&lt;=YEAR($C$3)*12+MONTH($C$3)-1,$G105,0))</f>
        <v/>
      </c>
      <c r="P105" s="68">
        <f>$M105-$O105</f>
        <v/>
      </c>
      <c r="Q105" s="68">
        <f>($L105-$M105)-($N105-$O105)</f>
        <v/>
      </c>
      <c r="R105" s="68">
        <f>$L105-$N105</f>
        <v/>
      </c>
      <c r="S105" s="67">
        <f>"Finance invoice"</f>
        <v/>
      </c>
      <c r="T105" s="67">
        <f>"Revenue"</f>
        <v/>
      </c>
    </row>
    <row r="106">
      <c r="A106" s="65">
        <f>ROW()-5</f>
        <v/>
      </c>
      <c r="B106" s="66">
        <f>IFERROR(INDEX(tbl_Finance[Date],$A106),"")</f>
        <v/>
      </c>
      <c r="C106" s="67">
        <f>IFERROR(INDEX(tbl_Finance[Xero Invoice No],$A106),"")</f>
        <v/>
      </c>
      <c r="D106" s="67">
        <f>IFERROR(INDEX(tbl_Finance[Client],$A106),"")</f>
        <v/>
      </c>
      <c r="E106" s="67">
        <f>IFERROR(INDEX(tbl_Finance[Job Number],$A106),"")</f>
        <v/>
      </c>
      <c r="F106" s="67">
        <f>IFERROR(INDEX(tbl_Finance[Cost Centre],$A106),"")</f>
        <v/>
      </c>
      <c r="G106" s="68">
        <f>IFERROR(INDEX(tbl_Finance[Ex GST],$A106),"")</f>
        <v/>
      </c>
      <c r="H106" s="66">
        <f>IFERROR(INDEX(tbl_Finance[Defer Start],$A106),"")</f>
        <v/>
      </c>
      <c r="I106" s="66">
        <f>IFERROR(INDEX(tbl_Finance[Defer End],$A106),"")</f>
        <v/>
      </c>
      <c r="J106" s="65">
        <f>IF(OR($H106="",$I106="",$G106=""),"",MAX(1,(YEAR($I106)-YEAR($H106))*12+MONTH($I106)-MONTH($H106)+1))</f>
        <v/>
      </c>
      <c r="K106" s="68">
        <f>IF($J106="","",$G106/$J106)</f>
        <v/>
      </c>
      <c r="L106" s="68">
        <f>IF($J106="",0,$K106*MAX(0,MIN(YEAR($C$3)*12+MONTH($C$3),YEAR($I106)*12+MONTH($I106))-(YEAR($H106)*12+MONTH($H106))+1))</f>
        <v/>
      </c>
      <c r="M106" s="68">
        <f>IF($J106="",0,$K106*MAX(0,MIN(YEAR($C$3)*12+MONTH($C$3)-1,YEAR($I106)*12+MONTH($I106))-(YEAR($H106)*12+MONTH($H106))+1))</f>
        <v/>
      </c>
      <c r="N106" s="68">
        <f>IF(OR($J106="",$B106=""),0,IF(YEAR($B106)*12+MONTH($B106)&lt;=YEAR($C$3)*12+MONTH($C$3),$G106,0))</f>
        <v/>
      </c>
      <c r="O106" s="68">
        <f>IF(OR($J106="",$B106=""),0,IF(YEAR($B106)*12+MONTH($B106)&lt;=YEAR($C$3)*12+MONTH($C$3)-1,$G106,0))</f>
        <v/>
      </c>
      <c r="P106" s="68">
        <f>$M106-$O106</f>
        <v/>
      </c>
      <c r="Q106" s="68">
        <f>($L106-$M106)-($N106-$O106)</f>
        <v/>
      </c>
      <c r="R106" s="68">
        <f>$L106-$N106</f>
        <v/>
      </c>
      <c r="S106" s="67">
        <f>"Finance invoice"</f>
        <v/>
      </c>
      <c r="T106" s="67">
        <f>"Revenue"</f>
        <v/>
      </c>
    </row>
    <row r="107">
      <c r="A107" s="65">
        <f>ROW()-5</f>
        <v/>
      </c>
      <c r="B107" s="66">
        <f>IFERROR(INDEX(tbl_Finance[Date],$A107),"")</f>
        <v/>
      </c>
      <c r="C107" s="67">
        <f>IFERROR(INDEX(tbl_Finance[Xero Invoice No],$A107),"")</f>
        <v/>
      </c>
      <c r="D107" s="67">
        <f>IFERROR(INDEX(tbl_Finance[Client],$A107),"")</f>
        <v/>
      </c>
      <c r="E107" s="67">
        <f>IFERROR(INDEX(tbl_Finance[Job Number],$A107),"")</f>
        <v/>
      </c>
      <c r="F107" s="67">
        <f>IFERROR(INDEX(tbl_Finance[Cost Centre],$A107),"")</f>
        <v/>
      </c>
      <c r="G107" s="68">
        <f>IFERROR(INDEX(tbl_Finance[Ex GST],$A107),"")</f>
        <v/>
      </c>
      <c r="H107" s="66">
        <f>IFERROR(INDEX(tbl_Finance[Defer Start],$A107),"")</f>
        <v/>
      </c>
      <c r="I107" s="66">
        <f>IFERROR(INDEX(tbl_Finance[Defer End],$A107),"")</f>
        <v/>
      </c>
      <c r="J107" s="65">
        <f>IF(OR($H107="",$I107="",$G107=""),"",MAX(1,(YEAR($I107)-YEAR($H107))*12+MONTH($I107)-MONTH($H107)+1))</f>
        <v/>
      </c>
      <c r="K107" s="68">
        <f>IF($J107="","",$G107/$J107)</f>
        <v/>
      </c>
      <c r="L107" s="68">
        <f>IF($J107="",0,$K107*MAX(0,MIN(YEAR($C$3)*12+MONTH($C$3),YEAR($I107)*12+MONTH($I107))-(YEAR($H107)*12+MONTH($H107))+1))</f>
        <v/>
      </c>
      <c r="M107" s="68">
        <f>IF($J107="",0,$K107*MAX(0,MIN(YEAR($C$3)*12+MONTH($C$3)-1,YEAR($I107)*12+MONTH($I107))-(YEAR($H107)*12+MONTH($H107))+1))</f>
        <v/>
      </c>
      <c r="N107" s="68">
        <f>IF(OR($J107="",$B107=""),0,IF(YEAR($B107)*12+MONTH($B107)&lt;=YEAR($C$3)*12+MONTH($C$3),$G107,0))</f>
        <v/>
      </c>
      <c r="O107" s="68">
        <f>IF(OR($J107="",$B107=""),0,IF(YEAR($B107)*12+MONTH($B107)&lt;=YEAR($C$3)*12+MONTH($C$3)-1,$G107,0))</f>
        <v/>
      </c>
      <c r="P107" s="68">
        <f>$M107-$O107</f>
        <v/>
      </c>
      <c r="Q107" s="68">
        <f>($L107-$M107)-($N107-$O107)</f>
        <v/>
      </c>
      <c r="R107" s="68">
        <f>$L107-$N107</f>
        <v/>
      </c>
      <c r="S107" s="67">
        <f>"Finance invoice"</f>
        <v/>
      </c>
      <c r="T107" s="67">
        <f>"Revenue"</f>
        <v/>
      </c>
    </row>
    <row r="108">
      <c r="A108" s="65">
        <f>ROW()-5</f>
        <v/>
      </c>
      <c r="B108" s="66">
        <f>IFERROR(INDEX(tbl_Finance[Date],$A108),"")</f>
        <v/>
      </c>
      <c r="C108" s="67">
        <f>IFERROR(INDEX(tbl_Finance[Xero Invoice No],$A108),"")</f>
        <v/>
      </c>
      <c r="D108" s="67">
        <f>IFERROR(INDEX(tbl_Finance[Client],$A108),"")</f>
        <v/>
      </c>
      <c r="E108" s="67">
        <f>IFERROR(INDEX(tbl_Finance[Job Number],$A108),"")</f>
        <v/>
      </c>
      <c r="F108" s="67">
        <f>IFERROR(INDEX(tbl_Finance[Cost Centre],$A108),"")</f>
        <v/>
      </c>
      <c r="G108" s="68">
        <f>IFERROR(INDEX(tbl_Finance[Ex GST],$A108),"")</f>
        <v/>
      </c>
      <c r="H108" s="66">
        <f>IFERROR(INDEX(tbl_Finance[Defer Start],$A108),"")</f>
        <v/>
      </c>
      <c r="I108" s="66">
        <f>IFERROR(INDEX(tbl_Finance[Defer End],$A108),"")</f>
        <v/>
      </c>
      <c r="J108" s="65">
        <f>IF(OR($H108="",$I108="",$G108=""),"",MAX(1,(YEAR($I108)-YEAR($H108))*12+MONTH($I108)-MONTH($H108)+1))</f>
        <v/>
      </c>
      <c r="K108" s="68">
        <f>IF($J108="","",$G108/$J108)</f>
        <v/>
      </c>
      <c r="L108" s="68">
        <f>IF($J108="",0,$K108*MAX(0,MIN(YEAR($C$3)*12+MONTH($C$3),YEAR($I108)*12+MONTH($I108))-(YEAR($H108)*12+MONTH($H108))+1))</f>
        <v/>
      </c>
      <c r="M108" s="68">
        <f>IF($J108="",0,$K108*MAX(0,MIN(YEAR($C$3)*12+MONTH($C$3)-1,YEAR($I108)*12+MONTH($I108))-(YEAR($H108)*12+MONTH($H108))+1))</f>
        <v/>
      </c>
      <c r="N108" s="68">
        <f>IF(OR($J108="",$B108=""),0,IF(YEAR($B108)*12+MONTH($B108)&lt;=YEAR($C$3)*12+MONTH($C$3),$G108,0))</f>
        <v/>
      </c>
      <c r="O108" s="68">
        <f>IF(OR($J108="",$B108=""),0,IF(YEAR($B108)*12+MONTH($B108)&lt;=YEAR($C$3)*12+MONTH($C$3)-1,$G108,0))</f>
        <v/>
      </c>
      <c r="P108" s="68">
        <f>$M108-$O108</f>
        <v/>
      </c>
      <c r="Q108" s="68">
        <f>($L108-$M108)-($N108-$O108)</f>
        <v/>
      </c>
      <c r="R108" s="68">
        <f>$L108-$N108</f>
        <v/>
      </c>
      <c r="S108" s="67">
        <f>"Finance invoice"</f>
        <v/>
      </c>
      <c r="T108" s="67">
        <f>"Revenue"</f>
        <v/>
      </c>
    </row>
    <row r="109">
      <c r="A109" s="65">
        <f>ROW()-5</f>
        <v/>
      </c>
      <c r="B109" s="66">
        <f>IFERROR(INDEX(tbl_Finance[Date],$A109),"")</f>
        <v/>
      </c>
      <c r="C109" s="67">
        <f>IFERROR(INDEX(tbl_Finance[Xero Invoice No],$A109),"")</f>
        <v/>
      </c>
      <c r="D109" s="67">
        <f>IFERROR(INDEX(tbl_Finance[Client],$A109),"")</f>
        <v/>
      </c>
      <c r="E109" s="67">
        <f>IFERROR(INDEX(tbl_Finance[Job Number],$A109),"")</f>
        <v/>
      </c>
      <c r="F109" s="67">
        <f>IFERROR(INDEX(tbl_Finance[Cost Centre],$A109),"")</f>
        <v/>
      </c>
      <c r="G109" s="68">
        <f>IFERROR(INDEX(tbl_Finance[Ex GST],$A109),"")</f>
        <v/>
      </c>
      <c r="H109" s="66">
        <f>IFERROR(INDEX(tbl_Finance[Defer Start],$A109),"")</f>
        <v/>
      </c>
      <c r="I109" s="66">
        <f>IFERROR(INDEX(tbl_Finance[Defer End],$A109),"")</f>
        <v/>
      </c>
      <c r="J109" s="65">
        <f>IF(OR($H109="",$I109="",$G109=""),"",MAX(1,(YEAR($I109)-YEAR($H109))*12+MONTH($I109)-MONTH($H109)+1))</f>
        <v/>
      </c>
      <c r="K109" s="68">
        <f>IF($J109="","",$G109/$J109)</f>
        <v/>
      </c>
      <c r="L109" s="68">
        <f>IF($J109="",0,$K109*MAX(0,MIN(YEAR($C$3)*12+MONTH($C$3),YEAR($I109)*12+MONTH($I109))-(YEAR($H109)*12+MONTH($H109))+1))</f>
        <v/>
      </c>
      <c r="M109" s="68">
        <f>IF($J109="",0,$K109*MAX(0,MIN(YEAR($C$3)*12+MONTH($C$3)-1,YEAR($I109)*12+MONTH($I109))-(YEAR($H109)*12+MONTH($H109))+1))</f>
        <v/>
      </c>
      <c r="N109" s="68">
        <f>IF(OR($J109="",$B109=""),0,IF(YEAR($B109)*12+MONTH($B109)&lt;=YEAR($C$3)*12+MONTH($C$3),$G109,0))</f>
        <v/>
      </c>
      <c r="O109" s="68">
        <f>IF(OR($J109="",$B109=""),0,IF(YEAR($B109)*12+MONTH($B109)&lt;=YEAR($C$3)*12+MONTH($C$3)-1,$G109,0))</f>
        <v/>
      </c>
      <c r="P109" s="68">
        <f>$M109-$O109</f>
        <v/>
      </c>
      <c r="Q109" s="68">
        <f>($L109-$M109)-($N109-$O109)</f>
        <v/>
      </c>
      <c r="R109" s="68">
        <f>$L109-$N109</f>
        <v/>
      </c>
      <c r="S109" s="67">
        <f>"Finance invoice"</f>
        <v/>
      </c>
      <c r="T109" s="67">
        <f>"Revenue"</f>
        <v/>
      </c>
    </row>
    <row r="110">
      <c r="A110" s="65">
        <f>ROW()-5</f>
        <v/>
      </c>
      <c r="B110" s="66">
        <f>IFERROR(INDEX(tbl_Finance[Date],$A110),"")</f>
        <v/>
      </c>
      <c r="C110" s="67">
        <f>IFERROR(INDEX(tbl_Finance[Xero Invoice No],$A110),"")</f>
        <v/>
      </c>
      <c r="D110" s="67">
        <f>IFERROR(INDEX(tbl_Finance[Client],$A110),"")</f>
        <v/>
      </c>
      <c r="E110" s="67">
        <f>IFERROR(INDEX(tbl_Finance[Job Number],$A110),"")</f>
        <v/>
      </c>
      <c r="F110" s="67">
        <f>IFERROR(INDEX(tbl_Finance[Cost Centre],$A110),"")</f>
        <v/>
      </c>
      <c r="G110" s="68">
        <f>IFERROR(INDEX(tbl_Finance[Ex GST],$A110),"")</f>
        <v/>
      </c>
      <c r="H110" s="66">
        <f>IFERROR(INDEX(tbl_Finance[Defer Start],$A110),"")</f>
        <v/>
      </c>
      <c r="I110" s="66">
        <f>IFERROR(INDEX(tbl_Finance[Defer End],$A110),"")</f>
        <v/>
      </c>
      <c r="J110" s="65">
        <f>IF(OR($H110="",$I110="",$G110=""),"",MAX(1,(YEAR($I110)-YEAR($H110))*12+MONTH($I110)-MONTH($H110)+1))</f>
        <v/>
      </c>
      <c r="K110" s="68">
        <f>IF($J110="","",$G110/$J110)</f>
        <v/>
      </c>
      <c r="L110" s="68">
        <f>IF($J110="",0,$K110*MAX(0,MIN(YEAR($C$3)*12+MONTH($C$3),YEAR($I110)*12+MONTH($I110))-(YEAR($H110)*12+MONTH($H110))+1))</f>
        <v/>
      </c>
      <c r="M110" s="68">
        <f>IF($J110="",0,$K110*MAX(0,MIN(YEAR($C$3)*12+MONTH($C$3)-1,YEAR($I110)*12+MONTH($I110))-(YEAR($H110)*12+MONTH($H110))+1))</f>
        <v/>
      </c>
      <c r="N110" s="68">
        <f>IF(OR($J110="",$B110=""),0,IF(YEAR($B110)*12+MONTH($B110)&lt;=YEAR($C$3)*12+MONTH($C$3),$G110,0))</f>
        <v/>
      </c>
      <c r="O110" s="68">
        <f>IF(OR($J110="",$B110=""),0,IF(YEAR($B110)*12+MONTH($B110)&lt;=YEAR($C$3)*12+MONTH($C$3)-1,$G110,0))</f>
        <v/>
      </c>
      <c r="P110" s="68">
        <f>$M110-$O110</f>
        <v/>
      </c>
      <c r="Q110" s="68">
        <f>($L110-$M110)-($N110-$O110)</f>
        <v/>
      </c>
      <c r="R110" s="68">
        <f>$L110-$N110</f>
        <v/>
      </c>
      <c r="S110" s="67">
        <f>"Finance invoice"</f>
        <v/>
      </c>
      <c r="T110" s="67">
        <f>"Revenue"</f>
        <v/>
      </c>
    </row>
    <row r="111">
      <c r="A111" s="65">
        <f>ROW()-5</f>
        <v/>
      </c>
      <c r="B111" s="66">
        <f>IFERROR(INDEX(tbl_Finance[Date],$A111),"")</f>
        <v/>
      </c>
      <c r="C111" s="67">
        <f>IFERROR(INDEX(tbl_Finance[Xero Invoice No],$A111),"")</f>
        <v/>
      </c>
      <c r="D111" s="67">
        <f>IFERROR(INDEX(tbl_Finance[Client],$A111),"")</f>
        <v/>
      </c>
      <c r="E111" s="67">
        <f>IFERROR(INDEX(tbl_Finance[Job Number],$A111),"")</f>
        <v/>
      </c>
      <c r="F111" s="67">
        <f>IFERROR(INDEX(tbl_Finance[Cost Centre],$A111),"")</f>
        <v/>
      </c>
      <c r="G111" s="68">
        <f>IFERROR(INDEX(tbl_Finance[Ex GST],$A111),"")</f>
        <v/>
      </c>
      <c r="H111" s="66">
        <f>IFERROR(INDEX(tbl_Finance[Defer Start],$A111),"")</f>
        <v/>
      </c>
      <c r="I111" s="66">
        <f>IFERROR(INDEX(tbl_Finance[Defer End],$A111),"")</f>
        <v/>
      </c>
      <c r="J111" s="65">
        <f>IF(OR($H111="",$I111="",$G111=""),"",MAX(1,(YEAR($I111)-YEAR($H111))*12+MONTH($I111)-MONTH($H111)+1))</f>
        <v/>
      </c>
      <c r="K111" s="68">
        <f>IF($J111="","",$G111/$J111)</f>
        <v/>
      </c>
      <c r="L111" s="68">
        <f>IF($J111="",0,$K111*MAX(0,MIN(YEAR($C$3)*12+MONTH($C$3),YEAR($I111)*12+MONTH($I111))-(YEAR($H111)*12+MONTH($H111))+1))</f>
        <v/>
      </c>
      <c r="M111" s="68">
        <f>IF($J111="",0,$K111*MAX(0,MIN(YEAR($C$3)*12+MONTH($C$3)-1,YEAR($I111)*12+MONTH($I111))-(YEAR($H111)*12+MONTH($H111))+1))</f>
        <v/>
      </c>
      <c r="N111" s="68">
        <f>IF(OR($J111="",$B111=""),0,IF(YEAR($B111)*12+MONTH($B111)&lt;=YEAR($C$3)*12+MONTH($C$3),$G111,0))</f>
        <v/>
      </c>
      <c r="O111" s="68">
        <f>IF(OR($J111="",$B111=""),0,IF(YEAR($B111)*12+MONTH($B111)&lt;=YEAR($C$3)*12+MONTH($C$3)-1,$G111,0))</f>
        <v/>
      </c>
      <c r="P111" s="68">
        <f>$M111-$O111</f>
        <v/>
      </c>
      <c r="Q111" s="68">
        <f>($L111-$M111)-($N111-$O111)</f>
        <v/>
      </c>
      <c r="R111" s="68">
        <f>$L111-$N111</f>
        <v/>
      </c>
      <c r="S111" s="67">
        <f>"Finance invoice"</f>
        <v/>
      </c>
      <c r="T111" s="67">
        <f>"Revenue"</f>
        <v/>
      </c>
    </row>
    <row r="112">
      <c r="A112" s="65">
        <f>ROW()-5</f>
        <v/>
      </c>
      <c r="B112" s="66">
        <f>IFERROR(INDEX(tbl_Finance[Date],$A112),"")</f>
        <v/>
      </c>
      <c r="C112" s="67">
        <f>IFERROR(INDEX(tbl_Finance[Xero Invoice No],$A112),"")</f>
        <v/>
      </c>
      <c r="D112" s="67">
        <f>IFERROR(INDEX(tbl_Finance[Client],$A112),"")</f>
        <v/>
      </c>
      <c r="E112" s="67">
        <f>IFERROR(INDEX(tbl_Finance[Job Number],$A112),"")</f>
        <v/>
      </c>
      <c r="F112" s="67">
        <f>IFERROR(INDEX(tbl_Finance[Cost Centre],$A112),"")</f>
        <v/>
      </c>
      <c r="G112" s="68">
        <f>IFERROR(INDEX(tbl_Finance[Ex GST],$A112),"")</f>
        <v/>
      </c>
      <c r="H112" s="66">
        <f>IFERROR(INDEX(tbl_Finance[Defer Start],$A112),"")</f>
        <v/>
      </c>
      <c r="I112" s="66">
        <f>IFERROR(INDEX(tbl_Finance[Defer End],$A112),"")</f>
        <v/>
      </c>
      <c r="J112" s="65">
        <f>IF(OR($H112="",$I112="",$G112=""),"",MAX(1,(YEAR($I112)-YEAR($H112))*12+MONTH($I112)-MONTH($H112)+1))</f>
        <v/>
      </c>
      <c r="K112" s="68">
        <f>IF($J112="","",$G112/$J112)</f>
        <v/>
      </c>
      <c r="L112" s="68">
        <f>IF($J112="",0,$K112*MAX(0,MIN(YEAR($C$3)*12+MONTH($C$3),YEAR($I112)*12+MONTH($I112))-(YEAR($H112)*12+MONTH($H112))+1))</f>
        <v/>
      </c>
      <c r="M112" s="68">
        <f>IF($J112="",0,$K112*MAX(0,MIN(YEAR($C$3)*12+MONTH($C$3)-1,YEAR($I112)*12+MONTH($I112))-(YEAR($H112)*12+MONTH($H112))+1))</f>
        <v/>
      </c>
      <c r="N112" s="68">
        <f>IF(OR($J112="",$B112=""),0,IF(YEAR($B112)*12+MONTH($B112)&lt;=YEAR($C$3)*12+MONTH($C$3),$G112,0))</f>
        <v/>
      </c>
      <c r="O112" s="68">
        <f>IF(OR($J112="",$B112=""),0,IF(YEAR($B112)*12+MONTH($B112)&lt;=YEAR($C$3)*12+MONTH($C$3)-1,$G112,0))</f>
        <v/>
      </c>
      <c r="P112" s="68">
        <f>$M112-$O112</f>
        <v/>
      </c>
      <c r="Q112" s="68">
        <f>($L112-$M112)-($N112-$O112)</f>
        <v/>
      </c>
      <c r="R112" s="68">
        <f>$L112-$N112</f>
        <v/>
      </c>
      <c r="S112" s="67">
        <f>"Finance invoice"</f>
        <v/>
      </c>
      <c r="T112" s="67">
        <f>"Revenue"</f>
        <v/>
      </c>
    </row>
    <row r="113">
      <c r="A113" s="65">
        <f>ROW()-5</f>
        <v/>
      </c>
      <c r="B113" s="66">
        <f>IFERROR(INDEX(tbl_Finance[Date],$A113),"")</f>
        <v/>
      </c>
      <c r="C113" s="67">
        <f>IFERROR(INDEX(tbl_Finance[Xero Invoice No],$A113),"")</f>
        <v/>
      </c>
      <c r="D113" s="67">
        <f>IFERROR(INDEX(tbl_Finance[Client],$A113),"")</f>
        <v/>
      </c>
      <c r="E113" s="67">
        <f>IFERROR(INDEX(tbl_Finance[Job Number],$A113),"")</f>
        <v/>
      </c>
      <c r="F113" s="67">
        <f>IFERROR(INDEX(tbl_Finance[Cost Centre],$A113),"")</f>
        <v/>
      </c>
      <c r="G113" s="68">
        <f>IFERROR(INDEX(tbl_Finance[Ex GST],$A113),"")</f>
        <v/>
      </c>
      <c r="H113" s="66">
        <f>IFERROR(INDEX(tbl_Finance[Defer Start],$A113),"")</f>
        <v/>
      </c>
      <c r="I113" s="66">
        <f>IFERROR(INDEX(tbl_Finance[Defer End],$A113),"")</f>
        <v/>
      </c>
      <c r="J113" s="65">
        <f>IF(OR($H113="",$I113="",$G113=""),"",MAX(1,(YEAR($I113)-YEAR($H113))*12+MONTH($I113)-MONTH($H113)+1))</f>
        <v/>
      </c>
      <c r="K113" s="68">
        <f>IF($J113="","",$G113/$J113)</f>
        <v/>
      </c>
      <c r="L113" s="68">
        <f>IF($J113="",0,$K113*MAX(0,MIN(YEAR($C$3)*12+MONTH($C$3),YEAR($I113)*12+MONTH($I113))-(YEAR($H113)*12+MONTH($H113))+1))</f>
        <v/>
      </c>
      <c r="M113" s="68">
        <f>IF($J113="",0,$K113*MAX(0,MIN(YEAR($C$3)*12+MONTH($C$3)-1,YEAR($I113)*12+MONTH($I113))-(YEAR($H113)*12+MONTH($H113))+1))</f>
        <v/>
      </c>
      <c r="N113" s="68">
        <f>IF(OR($J113="",$B113=""),0,IF(YEAR($B113)*12+MONTH($B113)&lt;=YEAR($C$3)*12+MONTH($C$3),$G113,0))</f>
        <v/>
      </c>
      <c r="O113" s="68">
        <f>IF(OR($J113="",$B113=""),0,IF(YEAR($B113)*12+MONTH($B113)&lt;=YEAR($C$3)*12+MONTH($C$3)-1,$G113,0))</f>
        <v/>
      </c>
      <c r="P113" s="68">
        <f>$M113-$O113</f>
        <v/>
      </c>
      <c r="Q113" s="68">
        <f>($L113-$M113)-($N113-$O113)</f>
        <v/>
      </c>
      <c r="R113" s="68">
        <f>$L113-$N113</f>
        <v/>
      </c>
      <c r="S113" s="67">
        <f>"Finance invoice"</f>
        <v/>
      </c>
      <c r="T113" s="67">
        <f>"Revenue"</f>
        <v/>
      </c>
    </row>
    <row r="114">
      <c r="A114" s="65">
        <f>ROW()-5</f>
        <v/>
      </c>
      <c r="B114" s="66">
        <f>IFERROR(INDEX(tbl_Finance[Date],$A114),"")</f>
        <v/>
      </c>
      <c r="C114" s="67">
        <f>IFERROR(INDEX(tbl_Finance[Xero Invoice No],$A114),"")</f>
        <v/>
      </c>
      <c r="D114" s="67">
        <f>IFERROR(INDEX(tbl_Finance[Client],$A114),"")</f>
        <v/>
      </c>
      <c r="E114" s="67">
        <f>IFERROR(INDEX(tbl_Finance[Job Number],$A114),"")</f>
        <v/>
      </c>
      <c r="F114" s="67">
        <f>IFERROR(INDEX(tbl_Finance[Cost Centre],$A114),"")</f>
        <v/>
      </c>
      <c r="G114" s="68">
        <f>IFERROR(INDEX(tbl_Finance[Ex GST],$A114),"")</f>
        <v/>
      </c>
      <c r="H114" s="66">
        <f>IFERROR(INDEX(tbl_Finance[Defer Start],$A114),"")</f>
        <v/>
      </c>
      <c r="I114" s="66">
        <f>IFERROR(INDEX(tbl_Finance[Defer End],$A114),"")</f>
        <v/>
      </c>
      <c r="J114" s="65">
        <f>IF(OR($H114="",$I114="",$G114=""),"",MAX(1,(YEAR($I114)-YEAR($H114))*12+MONTH($I114)-MONTH($H114)+1))</f>
        <v/>
      </c>
      <c r="K114" s="68">
        <f>IF($J114="","",$G114/$J114)</f>
        <v/>
      </c>
      <c r="L114" s="68">
        <f>IF($J114="",0,$K114*MAX(0,MIN(YEAR($C$3)*12+MONTH($C$3),YEAR($I114)*12+MONTH($I114))-(YEAR($H114)*12+MONTH($H114))+1))</f>
        <v/>
      </c>
      <c r="M114" s="68">
        <f>IF($J114="",0,$K114*MAX(0,MIN(YEAR($C$3)*12+MONTH($C$3)-1,YEAR($I114)*12+MONTH($I114))-(YEAR($H114)*12+MONTH($H114))+1))</f>
        <v/>
      </c>
      <c r="N114" s="68">
        <f>IF(OR($J114="",$B114=""),0,IF(YEAR($B114)*12+MONTH($B114)&lt;=YEAR($C$3)*12+MONTH($C$3),$G114,0))</f>
        <v/>
      </c>
      <c r="O114" s="68">
        <f>IF(OR($J114="",$B114=""),0,IF(YEAR($B114)*12+MONTH($B114)&lt;=YEAR($C$3)*12+MONTH($C$3)-1,$G114,0))</f>
        <v/>
      </c>
      <c r="P114" s="68">
        <f>$M114-$O114</f>
        <v/>
      </c>
      <c r="Q114" s="68">
        <f>($L114-$M114)-($N114-$O114)</f>
        <v/>
      </c>
      <c r="R114" s="68">
        <f>$L114-$N114</f>
        <v/>
      </c>
      <c r="S114" s="67">
        <f>"Finance invoice"</f>
        <v/>
      </c>
      <c r="T114" s="67">
        <f>"Revenue"</f>
        <v/>
      </c>
    </row>
    <row r="115">
      <c r="A115" s="65">
        <f>ROW()-5</f>
        <v/>
      </c>
      <c r="B115" s="66">
        <f>IFERROR(INDEX(tbl_Finance[Date],$A115),"")</f>
        <v/>
      </c>
      <c r="C115" s="67">
        <f>IFERROR(INDEX(tbl_Finance[Xero Invoice No],$A115),"")</f>
        <v/>
      </c>
      <c r="D115" s="67">
        <f>IFERROR(INDEX(tbl_Finance[Client],$A115),"")</f>
        <v/>
      </c>
      <c r="E115" s="67">
        <f>IFERROR(INDEX(tbl_Finance[Job Number],$A115),"")</f>
        <v/>
      </c>
      <c r="F115" s="67">
        <f>IFERROR(INDEX(tbl_Finance[Cost Centre],$A115),"")</f>
        <v/>
      </c>
      <c r="G115" s="68">
        <f>IFERROR(INDEX(tbl_Finance[Ex GST],$A115),"")</f>
        <v/>
      </c>
      <c r="H115" s="66">
        <f>IFERROR(INDEX(tbl_Finance[Defer Start],$A115),"")</f>
        <v/>
      </c>
      <c r="I115" s="66">
        <f>IFERROR(INDEX(tbl_Finance[Defer End],$A115),"")</f>
        <v/>
      </c>
      <c r="J115" s="65">
        <f>IF(OR($H115="",$I115="",$G115=""),"",MAX(1,(YEAR($I115)-YEAR($H115))*12+MONTH($I115)-MONTH($H115)+1))</f>
        <v/>
      </c>
      <c r="K115" s="68">
        <f>IF($J115="","",$G115/$J115)</f>
        <v/>
      </c>
      <c r="L115" s="68">
        <f>IF($J115="",0,$K115*MAX(0,MIN(YEAR($C$3)*12+MONTH($C$3),YEAR($I115)*12+MONTH($I115))-(YEAR($H115)*12+MONTH($H115))+1))</f>
        <v/>
      </c>
      <c r="M115" s="68">
        <f>IF($J115="",0,$K115*MAX(0,MIN(YEAR($C$3)*12+MONTH($C$3)-1,YEAR($I115)*12+MONTH($I115))-(YEAR($H115)*12+MONTH($H115))+1))</f>
        <v/>
      </c>
      <c r="N115" s="68">
        <f>IF(OR($J115="",$B115=""),0,IF(YEAR($B115)*12+MONTH($B115)&lt;=YEAR($C$3)*12+MONTH($C$3),$G115,0))</f>
        <v/>
      </c>
      <c r="O115" s="68">
        <f>IF(OR($J115="",$B115=""),0,IF(YEAR($B115)*12+MONTH($B115)&lt;=YEAR($C$3)*12+MONTH($C$3)-1,$G115,0))</f>
        <v/>
      </c>
      <c r="P115" s="68">
        <f>$M115-$O115</f>
        <v/>
      </c>
      <c r="Q115" s="68">
        <f>($L115-$M115)-($N115-$O115)</f>
        <v/>
      </c>
      <c r="R115" s="68">
        <f>$L115-$N115</f>
        <v/>
      </c>
      <c r="S115" s="67">
        <f>"Finance invoice"</f>
        <v/>
      </c>
      <c r="T115" s="67">
        <f>"Revenue"</f>
        <v/>
      </c>
    </row>
    <row r="116">
      <c r="A116" s="65">
        <f>ROW()-5</f>
        <v/>
      </c>
      <c r="B116" s="66">
        <f>IFERROR(INDEX(tbl_Finance[Date],$A116),"")</f>
        <v/>
      </c>
      <c r="C116" s="67">
        <f>IFERROR(INDEX(tbl_Finance[Xero Invoice No],$A116),"")</f>
        <v/>
      </c>
      <c r="D116" s="67">
        <f>IFERROR(INDEX(tbl_Finance[Client],$A116),"")</f>
        <v/>
      </c>
      <c r="E116" s="67">
        <f>IFERROR(INDEX(tbl_Finance[Job Number],$A116),"")</f>
        <v/>
      </c>
      <c r="F116" s="67">
        <f>IFERROR(INDEX(tbl_Finance[Cost Centre],$A116),"")</f>
        <v/>
      </c>
      <c r="G116" s="68">
        <f>IFERROR(INDEX(tbl_Finance[Ex GST],$A116),"")</f>
        <v/>
      </c>
      <c r="H116" s="66">
        <f>IFERROR(INDEX(tbl_Finance[Defer Start],$A116),"")</f>
        <v/>
      </c>
      <c r="I116" s="66">
        <f>IFERROR(INDEX(tbl_Finance[Defer End],$A116),"")</f>
        <v/>
      </c>
      <c r="J116" s="65">
        <f>IF(OR($H116="",$I116="",$G116=""),"",MAX(1,(YEAR($I116)-YEAR($H116))*12+MONTH($I116)-MONTH($H116)+1))</f>
        <v/>
      </c>
      <c r="K116" s="68">
        <f>IF($J116="","",$G116/$J116)</f>
        <v/>
      </c>
      <c r="L116" s="68">
        <f>IF($J116="",0,$K116*MAX(0,MIN(YEAR($C$3)*12+MONTH($C$3),YEAR($I116)*12+MONTH($I116))-(YEAR($H116)*12+MONTH($H116))+1))</f>
        <v/>
      </c>
      <c r="M116" s="68">
        <f>IF($J116="",0,$K116*MAX(0,MIN(YEAR($C$3)*12+MONTH($C$3)-1,YEAR($I116)*12+MONTH($I116))-(YEAR($H116)*12+MONTH($H116))+1))</f>
        <v/>
      </c>
      <c r="N116" s="68">
        <f>IF(OR($J116="",$B116=""),0,IF(YEAR($B116)*12+MONTH($B116)&lt;=YEAR($C$3)*12+MONTH($C$3),$G116,0))</f>
        <v/>
      </c>
      <c r="O116" s="68">
        <f>IF(OR($J116="",$B116=""),0,IF(YEAR($B116)*12+MONTH($B116)&lt;=YEAR($C$3)*12+MONTH($C$3)-1,$G116,0))</f>
        <v/>
      </c>
      <c r="P116" s="68">
        <f>$M116-$O116</f>
        <v/>
      </c>
      <c r="Q116" s="68">
        <f>($L116-$M116)-($N116-$O116)</f>
        <v/>
      </c>
      <c r="R116" s="68">
        <f>$L116-$N116</f>
        <v/>
      </c>
      <c r="S116" s="67">
        <f>"Finance invoice"</f>
        <v/>
      </c>
      <c r="T116" s="67">
        <f>"Revenue"</f>
        <v/>
      </c>
    </row>
    <row r="117">
      <c r="A117" s="65">
        <f>ROW()-5</f>
        <v/>
      </c>
      <c r="B117" s="66">
        <f>IFERROR(INDEX(tbl_Finance[Date],$A117),"")</f>
        <v/>
      </c>
      <c r="C117" s="67">
        <f>IFERROR(INDEX(tbl_Finance[Xero Invoice No],$A117),"")</f>
        <v/>
      </c>
      <c r="D117" s="67">
        <f>IFERROR(INDEX(tbl_Finance[Client],$A117),"")</f>
        <v/>
      </c>
      <c r="E117" s="67">
        <f>IFERROR(INDEX(tbl_Finance[Job Number],$A117),"")</f>
        <v/>
      </c>
      <c r="F117" s="67">
        <f>IFERROR(INDEX(tbl_Finance[Cost Centre],$A117),"")</f>
        <v/>
      </c>
      <c r="G117" s="68">
        <f>IFERROR(INDEX(tbl_Finance[Ex GST],$A117),"")</f>
        <v/>
      </c>
      <c r="H117" s="66">
        <f>IFERROR(INDEX(tbl_Finance[Defer Start],$A117),"")</f>
        <v/>
      </c>
      <c r="I117" s="66">
        <f>IFERROR(INDEX(tbl_Finance[Defer End],$A117),"")</f>
        <v/>
      </c>
      <c r="J117" s="65">
        <f>IF(OR($H117="",$I117="",$G117=""),"",MAX(1,(YEAR($I117)-YEAR($H117))*12+MONTH($I117)-MONTH($H117)+1))</f>
        <v/>
      </c>
      <c r="K117" s="68">
        <f>IF($J117="","",$G117/$J117)</f>
        <v/>
      </c>
      <c r="L117" s="68">
        <f>IF($J117="",0,$K117*MAX(0,MIN(YEAR($C$3)*12+MONTH($C$3),YEAR($I117)*12+MONTH($I117))-(YEAR($H117)*12+MONTH($H117))+1))</f>
        <v/>
      </c>
      <c r="M117" s="68">
        <f>IF($J117="",0,$K117*MAX(0,MIN(YEAR($C$3)*12+MONTH($C$3)-1,YEAR($I117)*12+MONTH($I117))-(YEAR($H117)*12+MONTH($H117))+1))</f>
        <v/>
      </c>
      <c r="N117" s="68">
        <f>IF(OR($J117="",$B117=""),0,IF(YEAR($B117)*12+MONTH($B117)&lt;=YEAR($C$3)*12+MONTH($C$3),$G117,0))</f>
        <v/>
      </c>
      <c r="O117" s="68">
        <f>IF(OR($J117="",$B117=""),0,IF(YEAR($B117)*12+MONTH($B117)&lt;=YEAR($C$3)*12+MONTH($C$3)-1,$G117,0))</f>
        <v/>
      </c>
      <c r="P117" s="68">
        <f>$M117-$O117</f>
        <v/>
      </c>
      <c r="Q117" s="68">
        <f>($L117-$M117)-($N117-$O117)</f>
        <v/>
      </c>
      <c r="R117" s="68">
        <f>$L117-$N117</f>
        <v/>
      </c>
      <c r="S117" s="67">
        <f>"Finance invoice"</f>
        <v/>
      </c>
      <c r="T117" s="67">
        <f>"Revenue"</f>
        <v/>
      </c>
    </row>
    <row r="118">
      <c r="A118" s="65">
        <f>ROW()-5</f>
        <v/>
      </c>
      <c r="B118" s="66">
        <f>IFERROR(INDEX(tbl_Finance[Date],$A118),"")</f>
        <v/>
      </c>
      <c r="C118" s="67">
        <f>IFERROR(INDEX(tbl_Finance[Xero Invoice No],$A118),"")</f>
        <v/>
      </c>
      <c r="D118" s="67">
        <f>IFERROR(INDEX(tbl_Finance[Client],$A118),"")</f>
        <v/>
      </c>
      <c r="E118" s="67">
        <f>IFERROR(INDEX(tbl_Finance[Job Number],$A118),"")</f>
        <v/>
      </c>
      <c r="F118" s="67">
        <f>IFERROR(INDEX(tbl_Finance[Cost Centre],$A118),"")</f>
        <v/>
      </c>
      <c r="G118" s="68">
        <f>IFERROR(INDEX(tbl_Finance[Ex GST],$A118),"")</f>
        <v/>
      </c>
      <c r="H118" s="66">
        <f>IFERROR(INDEX(tbl_Finance[Defer Start],$A118),"")</f>
        <v/>
      </c>
      <c r="I118" s="66">
        <f>IFERROR(INDEX(tbl_Finance[Defer End],$A118),"")</f>
        <v/>
      </c>
      <c r="J118" s="65">
        <f>IF(OR($H118="",$I118="",$G118=""),"",MAX(1,(YEAR($I118)-YEAR($H118))*12+MONTH($I118)-MONTH($H118)+1))</f>
        <v/>
      </c>
      <c r="K118" s="68">
        <f>IF($J118="","",$G118/$J118)</f>
        <v/>
      </c>
      <c r="L118" s="68">
        <f>IF($J118="",0,$K118*MAX(0,MIN(YEAR($C$3)*12+MONTH($C$3),YEAR($I118)*12+MONTH($I118))-(YEAR($H118)*12+MONTH($H118))+1))</f>
        <v/>
      </c>
      <c r="M118" s="68">
        <f>IF($J118="",0,$K118*MAX(0,MIN(YEAR($C$3)*12+MONTH($C$3)-1,YEAR($I118)*12+MONTH($I118))-(YEAR($H118)*12+MONTH($H118))+1))</f>
        <v/>
      </c>
      <c r="N118" s="68">
        <f>IF(OR($J118="",$B118=""),0,IF(YEAR($B118)*12+MONTH($B118)&lt;=YEAR($C$3)*12+MONTH($C$3),$G118,0))</f>
        <v/>
      </c>
      <c r="O118" s="68">
        <f>IF(OR($J118="",$B118=""),0,IF(YEAR($B118)*12+MONTH($B118)&lt;=YEAR($C$3)*12+MONTH($C$3)-1,$G118,0))</f>
        <v/>
      </c>
      <c r="P118" s="68">
        <f>$M118-$O118</f>
        <v/>
      </c>
      <c r="Q118" s="68">
        <f>($L118-$M118)-($N118-$O118)</f>
        <v/>
      </c>
      <c r="R118" s="68">
        <f>$L118-$N118</f>
        <v/>
      </c>
      <c r="S118" s="67">
        <f>"Finance invoice"</f>
        <v/>
      </c>
      <c r="T118" s="67">
        <f>"Revenue"</f>
        <v/>
      </c>
    </row>
    <row r="119">
      <c r="A119" s="65">
        <f>ROW()-5</f>
        <v/>
      </c>
      <c r="B119" s="66">
        <f>IFERROR(INDEX(tbl_Finance[Date],$A119),"")</f>
        <v/>
      </c>
      <c r="C119" s="67">
        <f>IFERROR(INDEX(tbl_Finance[Xero Invoice No],$A119),"")</f>
        <v/>
      </c>
      <c r="D119" s="67">
        <f>IFERROR(INDEX(tbl_Finance[Client],$A119),"")</f>
        <v/>
      </c>
      <c r="E119" s="67">
        <f>IFERROR(INDEX(tbl_Finance[Job Number],$A119),"")</f>
        <v/>
      </c>
      <c r="F119" s="67">
        <f>IFERROR(INDEX(tbl_Finance[Cost Centre],$A119),"")</f>
        <v/>
      </c>
      <c r="G119" s="68">
        <f>IFERROR(INDEX(tbl_Finance[Ex GST],$A119),"")</f>
        <v/>
      </c>
      <c r="H119" s="66">
        <f>IFERROR(INDEX(tbl_Finance[Defer Start],$A119),"")</f>
        <v/>
      </c>
      <c r="I119" s="66">
        <f>IFERROR(INDEX(tbl_Finance[Defer End],$A119),"")</f>
        <v/>
      </c>
      <c r="J119" s="65">
        <f>IF(OR($H119="",$I119="",$G119=""),"",MAX(1,(YEAR($I119)-YEAR($H119))*12+MONTH($I119)-MONTH($H119)+1))</f>
        <v/>
      </c>
      <c r="K119" s="68">
        <f>IF($J119="","",$G119/$J119)</f>
        <v/>
      </c>
      <c r="L119" s="68">
        <f>IF($J119="",0,$K119*MAX(0,MIN(YEAR($C$3)*12+MONTH($C$3),YEAR($I119)*12+MONTH($I119))-(YEAR($H119)*12+MONTH($H119))+1))</f>
        <v/>
      </c>
      <c r="M119" s="68">
        <f>IF($J119="",0,$K119*MAX(0,MIN(YEAR($C$3)*12+MONTH($C$3)-1,YEAR($I119)*12+MONTH($I119))-(YEAR($H119)*12+MONTH($H119))+1))</f>
        <v/>
      </c>
      <c r="N119" s="68">
        <f>IF(OR($J119="",$B119=""),0,IF(YEAR($B119)*12+MONTH($B119)&lt;=YEAR($C$3)*12+MONTH($C$3),$G119,0))</f>
        <v/>
      </c>
      <c r="O119" s="68">
        <f>IF(OR($J119="",$B119=""),0,IF(YEAR($B119)*12+MONTH($B119)&lt;=YEAR($C$3)*12+MONTH($C$3)-1,$G119,0))</f>
        <v/>
      </c>
      <c r="P119" s="68">
        <f>$M119-$O119</f>
        <v/>
      </c>
      <c r="Q119" s="68">
        <f>($L119-$M119)-($N119-$O119)</f>
        <v/>
      </c>
      <c r="R119" s="68">
        <f>$L119-$N119</f>
        <v/>
      </c>
      <c r="S119" s="67">
        <f>"Finance invoice"</f>
        <v/>
      </c>
      <c r="T119" s="67">
        <f>"Revenue"</f>
        <v/>
      </c>
    </row>
    <row r="120">
      <c r="A120" s="65">
        <f>ROW()-5</f>
        <v/>
      </c>
      <c r="B120" s="66">
        <f>IFERROR(INDEX(tbl_Finance[Date],$A120),"")</f>
        <v/>
      </c>
      <c r="C120" s="67">
        <f>IFERROR(INDEX(tbl_Finance[Xero Invoice No],$A120),"")</f>
        <v/>
      </c>
      <c r="D120" s="67">
        <f>IFERROR(INDEX(tbl_Finance[Client],$A120),"")</f>
        <v/>
      </c>
      <c r="E120" s="67">
        <f>IFERROR(INDEX(tbl_Finance[Job Number],$A120),"")</f>
        <v/>
      </c>
      <c r="F120" s="67">
        <f>IFERROR(INDEX(tbl_Finance[Cost Centre],$A120),"")</f>
        <v/>
      </c>
      <c r="G120" s="68">
        <f>IFERROR(INDEX(tbl_Finance[Ex GST],$A120),"")</f>
        <v/>
      </c>
      <c r="H120" s="66">
        <f>IFERROR(INDEX(tbl_Finance[Defer Start],$A120),"")</f>
        <v/>
      </c>
      <c r="I120" s="66">
        <f>IFERROR(INDEX(tbl_Finance[Defer End],$A120),"")</f>
        <v/>
      </c>
      <c r="J120" s="65">
        <f>IF(OR($H120="",$I120="",$G120=""),"",MAX(1,(YEAR($I120)-YEAR($H120))*12+MONTH($I120)-MONTH($H120)+1))</f>
        <v/>
      </c>
      <c r="K120" s="68">
        <f>IF($J120="","",$G120/$J120)</f>
        <v/>
      </c>
      <c r="L120" s="68">
        <f>IF($J120="",0,$K120*MAX(0,MIN(YEAR($C$3)*12+MONTH($C$3),YEAR($I120)*12+MONTH($I120))-(YEAR($H120)*12+MONTH($H120))+1))</f>
        <v/>
      </c>
      <c r="M120" s="68">
        <f>IF($J120="",0,$K120*MAX(0,MIN(YEAR($C$3)*12+MONTH($C$3)-1,YEAR($I120)*12+MONTH($I120))-(YEAR($H120)*12+MONTH($H120))+1))</f>
        <v/>
      </c>
      <c r="N120" s="68">
        <f>IF(OR($J120="",$B120=""),0,IF(YEAR($B120)*12+MONTH($B120)&lt;=YEAR($C$3)*12+MONTH($C$3),$G120,0))</f>
        <v/>
      </c>
      <c r="O120" s="68">
        <f>IF(OR($J120="",$B120=""),0,IF(YEAR($B120)*12+MONTH($B120)&lt;=YEAR($C$3)*12+MONTH($C$3)-1,$G120,0))</f>
        <v/>
      </c>
      <c r="P120" s="68">
        <f>$M120-$O120</f>
        <v/>
      </c>
      <c r="Q120" s="68">
        <f>($L120-$M120)-($N120-$O120)</f>
        <v/>
      </c>
      <c r="R120" s="68">
        <f>$L120-$N120</f>
        <v/>
      </c>
      <c r="S120" s="67">
        <f>"Finance invoice"</f>
        <v/>
      </c>
      <c r="T120" s="67">
        <f>"Revenue"</f>
        <v/>
      </c>
    </row>
    <row r="121">
      <c r="A121" s="65">
        <f>ROW()-5</f>
        <v/>
      </c>
      <c r="B121" s="66">
        <f>IFERROR(INDEX(tbl_Finance[Date],$A121),"")</f>
        <v/>
      </c>
      <c r="C121" s="67">
        <f>IFERROR(INDEX(tbl_Finance[Xero Invoice No],$A121),"")</f>
        <v/>
      </c>
      <c r="D121" s="67">
        <f>IFERROR(INDEX(tbl_Finance[Client],$A121),"")</f>
        <v/>
      </c>
      <c r="E121" s="67">
        <f>IFERROR(INDEX(tbl_Finance[Job Number],$A121),"")</f>
        <v/>
      </c>
      <c r="F121" s="67">
        <f>IFERROR(INDEX(tbl_Finance[Cost Centre],$A121),"")</f>
        <v/>
      </c>
      <c r="G121" s="68">
        <f>IFERROR(INDEX(tbl_Finance[Ex GST],$A121),"")</f>
        <v/>
      </c>
      <c r="H121" s="66">
        <f>IFERROR(INDEX(tbl_Finance[Defer Start],$A121),"")</f>
        <v/>
      </c>
      <c r="I121" s="66">
        <f>IFERROR(INDEX(tbl_Finance[Defer End],$A121),"")</f>
        <v/>
      </c>
      <c r="J121" s="65">
        <f>IF(OR($H121="",$I121="",$G121=""),"",MAX(1,(YEAR($I121)-YEAR($H121))*12+MONTH($I121)-MONTH($H121)+1))</f>
        <v/>
      </c>
      <c r="K121" s="68">
        <f>IF($J121="","",$G121/$J121)</f>
        <v/>
      </c>
      <c r="L121" s="68">
        <f>IF($J121="",0,$K121*MAX(0,MIN(YEAR($C$3)*12+MONTH($C$3),YEAR($I121)*12+MONTH($I121))-(YEAR($H121)*12+MONTH($H121))+1))</f>
        <v/>
      </c>
      <c r="M121" s="68">
        <f>IF($J121="",0,$K121*MAX(0,MIN(YEAR($C$3)*12+MONTH($C$3)-1,YEAR($I121)*12+MONTH($I121))-(YEAR($H121)*12+MONTH($H121))+1))</f>
        <v/>
      </c>
      <c r="N121" s="68">
        <f>IF(OR($J121="",$B121=""),0,IF(YEAR($B121)*12+MONTH($B121)&lt;=YEAR($C$3)*12+MONTH($C$3),$G121,0))</f>
        <v/>
      </c>
      <c r="O121" s="68">
        <f>IF(OR($J121="",$B121=""),0,IF(YEAR($B121)*12+MONTH($B121)&lt;=YEAR($C$3)*12+MONTH($C$3)-1,$G121,0))</f>
        <v/>
      </c>
      <c r="P121" s="68">
        <f>$M121-$O121</f>
        <v/>
      </c>
      <c r="Q121" s="68">
        <f>($L121-$M121)-($N121-$O121)</f>
        <v/>
      </c>
      <c r="R121" s="68">
        <f>$L121-$N121</f>
        <v/>
      </c>
      <c r="S121" s="67">
        <f>"Finance invoice"</f>
        <v/>
      </c>
      <c r="T121" s="67">
        <f>"Revenue"</f>
        <v/>
      </c>
    </row>
    <row r="122">
      <c r="A122" s="65">
        <f>ROW()-5</f>
        <v/>
      </c>
      <c r="B122" s="66">
        <f>IFERROR(INDEX(tbl_Finance[Date],$A122),"")</f>
        <v/>
      </c>
      <c r="C122" s="67">
        <f>IFERROR(INDEX(tbl_Finance[Xero Invoice No],$A122),"")</f>
        <v/>
      </c>
      <c r="D122" s="67">
        <f>IFERROR(INDEX(tbl_Finance[Client],$A122),"")</f>
        <v/>
      </c>
      <c r="E122" s="67">
        <f>IFERROR(INDEX(tbl_Finance[Job Number],$A122),"")</f>
        <v/>
      </c>
      <c r="F122" s="67">
        <f>IFERROR(INDEX(tbl_Finance[Cost Centre],$A122),"")</f>
        <v/>
      </c>
      <c r="G122" s="68">
        <f>IFERROR(INDEX(tbl_Finance[Ex GST],$A122),"")</f>
        <v/>
      </c>
      <c r="H122" s="66">
        <f>IFERROR(INDEX(tbl_Finance[Defer Start],$A122),"")</f>
        <v/>
      </c>
      <c r="I122" s="66">
        <f>IFERROR(INDEX(tbl_Finance[Defer End],$A122),"")</f>
        <v/>
      </c>
      <c r="J122" s="65">
        <f>IF(OR($H122="",$I122="",$G122=""),"",MAX(1,(YEAR($I122)-YEAR($H122))*12+MONTH($I122)-MONTH($H122)+1))</f>
        <v/>
      </c>
      <c r="K122" s="68">
        <f>IF($J122="","",$G122/$J122)</f>
        <v/>
      </c>
      <c r="L122" s="68">
        <f>IF($J122="",0,$K122*MAX(0,MIN(YEAR($C$3)*12+MONTH($C$3),YEAR($I122)*12+MONTH($I122))-(YEAR($H122)*12+MONTH($H122))+1))</f>
        <v/>
      </c>
      <c r="M122" s="68">
        <f>IF($J122="",0,$K122*MAX(0,MIN(YEAR($C$3)*12+MONTH($C$3)-1,YEAR($I122)*12+MONTH($I122))-(YEAR($H122)*12+MONTH($H122))+1))</f>
        <v/>
      </c>
      <c r="N122" s="68">
        <f>IF(OR($J122="",$B122=""),0,IF(YEAR($B122)*12+MONTH($B122)&lt;=YEAR($C$3)*12+MONTH($C$3),$G122,0))</f>
        <v/>
      </c>
      <c r="O122" s="68">
        <f>IF(OR($J122="",$B122=""),0,IF(YEAR($B122)*12+MONTH($B122)&lt;=YEAR($C$3)*12+MONTH($C$3)-1,$G122,0))</f>
        <v/>
      </c>
      <c r="P122" s="68">
        <f>$M122-$O122</f>
        <v/>
      </c>
      <c r="Q122" s="68">
        <f>($L122-$M122)-($N122-$O122)</f>
        <v/>
      </c>
      <c r="R122" s="68">
        <f>$L122-$N122</f>
        <v/>
      </c>
      <c r="S122" s="67">
        <f>"Finance invoice"</f>
        <v/>
      </c>
      <c r="T122" s="67">
        <f>"Revenue"</f>
        <v/>
      </c>
    </row>
    <row r="123">
      <c r="A123" s="65">
        <f>ROW()-5</f>
        <v/>
      </c>
      <c r="B123" s="66">
        <f>IFERROR(INDEX(tbl_Finance[Date],$A123),"")</f>
        <v/>
      </c>
      <c r="C123" s="67">
        <f>IFERROR(INDEX(tbl_Finance[Xero Invoice No],$A123),"")</f>
        <v/>
      </c>
      <c r="D123" s="67">
        <f>IFERROR(INDEX(tbl_Finance[Client],$A123),"")</f>
        <v/>
      </c>
      <c r="E123" s="67">
        <f>IFERROR(INDEX(tbl_Finance[Job Number],$A123),"")</f>
        <v/>
      </c>
      <c r="F123" s="67">
        <f>IFERROR(INDEX(tbl_Finance[Cost Centre],$A123),"")</f>
        <v/>
      </c>
      <c r="G123" s="68">
        <f>IFERROR(INDEX(tbl_Finance[Ex GST],$A123),"")</f>
        <v/>
      </c>
      <c r="H123" s="66">
        <f>IFERROR(INDEX(tbl_Finance[Defer Start],$A123),"")</f>
        <v/>
      </c>
      <c r="I123" s="66">
        <f>IFERROR(INDEX(tbl_Finance[Defer End],$A123),"")</f>
        <v/>
      </c>
      <c r="J123" s="65">
        <f>IF(OR($H123="",$I123="",$G123=""),"",MAX(1,(YEAR($I123)-YEAR($H123))*12+MONTH($I123)-MONTH($H123)+1))</f>
        <v/>
      </c>
      <c r="K123" s="68">
        <f>IF($J123="","",$G123/$J123)</f>
        <v/>
      </c>
      <c r="L123" s="68">
        <f>IF($J123="",0,$K123*MAX(0,MIN(YEAR($C$3)*12+MONTH($C$3),YEAR($I123)*12+MONTH($I123))-(YEAR($H123)*12+MONTH($H123))+1))</f>
        <v/>
      </c>
      <c r="M123" s="68">
        <f>IF($J123="",0,$K123*MAX(0,MIN(YEAR($C$3)*12+MONTH($C$3)-1,YEAR($I123)*12+MONTH($I123))-(YEAR($H123)*12+MONTH($H123))+1))</f>
        <v/>
      </c>
      <c r="N123" s="68">
        <f>IF(OR($J123="",$B123=""),0,IF(YEAR($B123)*12+MONTH($B123)&lt;=YEAR($C$3)*12+MONTH($C$3),$G123,0))</f>
        <v/>
      </c>
      <c r="O123" s="68">
        <f>IF(OR($J123="",$B123=""),0,IF(YEAR($B123)*12+MONTH($B123)&lt;=YEAR($C$3)*12+MONTH($C$3)-1,$G123,0))</f>
        <v/>
      </c>
      <c r="P123" s="68">
        <f>$M123-$O123</f>
        <v/>
      </c>
      <c r="Q123" s="68">
        <f>($L123-$M123)-($N123-$O123)</f>
        <v/>
      </c>
      <c r="R123" s="68">
        <f>$L123-$N123</f>
        <v/>
      </c>
      <c r="S123" s="67">
        <f>"Finance invoice"</f>
        <v/>
      </c>
      <c r="T123" s="67">
        <f>"Revenue"</f>
        <v/>
      </c>
    </row>
    <row r="124">
      <c r="A124" s="65">
        <f>ROW()-5</f>
        <v/>
      </c>
      <c r="B124" s="66">
        <f>IFERROR(INDEX(tbl_Finance[Date],$A124),"")</f>
        <v/>
      </c>
      <c r="C124" s="67">
        <f>IFERROR(INDEX(tbl_Finance[Xero Invoice No],$A124),"")</f>
        <v/>
      </c>
      <c r="D124" s="67">
        <f>IFERROR(INDEX(tbl_Finance[Client],$A124),"")</f>
        <v/>
      </c>
      <c r="E124" s="67">
        <f>IFERROR(INDEX(tbl_Finance[Job Number],$A124),"")</f>
        <v/>
      </c>
      <c r="F124" s="67">
        <f>IFERROR(INDEX(tbl_Finance[Cost Centre],$A124),"")</f>
        <v/>
      </c>
      <c r="G124" s="68">
        <f>IFERROR(INDEX(tbl_Finance[Ex GST],$A124),"")</f>
        <v/>
      </c>
      <c r="H124" s="66">
        <f>IFERROR(INDEX(tbl_Finance[Defer Start],$A124),"")</f>
        <v/>
      </c>
      <c r="I124" s="66">
        <f>IFERROR(INDEX(tbl_Finance[Defer End],$A124),"")</f>
        <v/>
      </c>
      <c r="J124" s="65">
        <f>IF(OR($H124="",$I124="",$G124=""),"",MAX(1,(YEAR($I124)-YEAR($H124))*12+MONTH($I124)-MONTH($H124)+1))</f>
        <v/>
      </c>
      <c r="K124" s="68">
        <f>IF($J124="","",$G124/$J124)</f>
        <v/>
      </c>
      <c r="L124" s="68">
        <f>IF($J124="",0,$K124*MAX(0,MIN(YEAR($C$3)*12+MONTH($C$3),YEAR($I124)*12+MONTH($I124))-(YEAR($H124)*12+MONTH($H124))+1))</f>
        <v/>
      </c>
      <c r="M124" s="68">
        <f>IF($J124="",0,$K124*MAX(0,MIN(YEAR($C$3)*12+MONTH($C$3)-1,YEAR($I124)*12+MONTH($I124))-(YEAR($H124)*12+MONTH($H124))+1))</f>
        <v/>
      </c>
      <c r="N124" s="68">
        <f>IF(OR($J124="",$B124=""),0,IF(YEAR($B124)*12+MONTH($B124)&lt;=YEAR($C$3)*12+MONTH($C$3),$G124,0))</f>
        <v/>
      </c>
      <c r="O124" s="68">
        <f>IF(OR($J124="",$B124=""),0,IF(YEAR($B124)*12+MONTH($B124)&lt;=YEAR($C$3)*12+MONTH($C$3)-1,$G124,0))</f>
        <v/>
      </c>
      <c r="P124" s="68">
        <f>$M124-$O124</f>
        <v/>
      </c>
      <c r="Q124" s="68">
        <f>($L124-$M124)-($N124-$O124)</f>
        <v/>
      </c>
      <c r="R124" s="68">
        <f>$L124-$N124</f>
        <v/>
      </c>
      <c r="S124" s="67">
        <f>"Finance invoice"</f>
        <v/>
      </c>
      <c r="T124" s="67">
        <f>"Revenue"</f>
        <v/>
      </c>
    </row>
    <row r="125">
      <c r="A125" s="65">
        <f>ROW()-5</f>
        <v/>
      </c>
      <c r="B125" s="66">
        <f>IFERROR(INDEX(tbl_Finance[Date],$A125),"")</f>
        <v/>
      </c>
      <c r="C125" s="67">
        <f>IFERROR(INDEX(tbl_Finance[Xero Invoice No],$A125),"")</f>
        <v/>
      </c>
      <c r="D125" s="67">
        <f>IFERROR(INDEX(tbl_Finance[Client],$A125),"")</f>
        <v/>
      </c>
      <c r="E125" s="67">
        <f>IFERROR(INDEX(tbl_Finance[Job Number],$A125),"")</f>
        <v/>
      </c>
      <c r="F125" s="67">
        <f>IFERROR(INDEX(tbl_Finance[Cost Centre],$A125),"")</f>
        <v/>
      </c>
      <c r="G125" s="68">
        <f>IFERROR(INDEX(tbl_Finance[Ex GST],$A125),"")</f>
        <v/>
      </c>
      <c r="H125" s="66">
        <f>IFERROR(INDEX(tbl_Finance[Defer Start],$A125),"")</f>
        <v/>
      </c>
      <c r="I125" s="66">
        <f>IFERROR(INDEX(tbl_Finance[Defer End],$A125),"")</f>
        <v/>
      </c>
      <c r="J125" s="65">
        <f>IF(OR($H125="",$I125="",$G125=""),"",MAX(1,(YEAR($I125)-YEAR($H125))*12+MONTH($I125)-MONTH($H125)+1))</f>
        <v/>
      </c>
      <c r="K125" s="68">
        <f>IF($J125="","",$G125/$J125)</f>
        <v/>
      </c>
      <c r="L125" s="68">
        <f>IF($J125="",0,$K125*MAX(0,MIN(YEAR($C$3)*12+MONTH($C$3),YEAR($I125)*12+MONTH($I125))-(YEAR($H125)*12+MONTH($H125))+1))</f>
        <v/>
      </c>
      <c r="M125" s="68">
        <f>IF($J125="",0,$K125*MAX(0,MIN(YEAR($C$3)*12+MONTH($C$3)-1,YEAR($I125)*12+MONTH($I125))-(YEAR($H125)*12+MONTH($H125))+1))</f>
        <v/>
      </c>
      <c r="N125" s="68">
        <f>IF(OR($J125="",$B125=""),0,IF(YEAR($B125)*12+MONTH($B125)&lt;=YEAR($C$3)*12+MONTH($C$3),$G125,0))</f>
        <v/>
      </c>
      <c r="O125" s="68">
        <f>IF(OR($J125="",$B125=""),0,IF(YEAR($B125)*12+MONTH($B125)&lt;=YEAR($C$3)*12+MONTH($C$3)-1,$G125,0))</f>
        <v/>
      </c>
      <c r="P125" s="68">
        <f>$M125-$O125</f>
        <v/>
      </c>
      <c r="Q125" s="68">
        <f>($L125-$M125)-($N125-$O125)</f>
        <v/>
      </c>
      <c r="R125" s="68">
        <f>$L125-$N125</f>
        <v/>
      </c>
      <c r="S125" s="67">
        <f>"Finance invoice"</f>
        <v/>
      </c>
      <c r="T125" s="67">
        <f>"Revenue"</f>
        <v/>
      </c>
    </row>
    <row r="126">
      <c r="A126" s="65">
        <f>ROW()-5</f>
        <v/>
      </c>
      <c r="B126" s="66">
        <f>IFERROR(INDEX(tbl_Finance[Date],$A126),"")</f>
        <v/>
      </c>
      <c r="C126" s="67">
        <f>IFERROR(INDEX(tbl_Finance[Xero Invoice No],$A126),"")</f>
        <v/>
      </c>
      <c r="D126" s="67">
        <f>IFERROR(INDEX(tbl_Finance[Client],$A126),"")</f>
        <v/>
      </c>
      <c r="E126" s="67">
        <f>IFERROR(INDEX(tbl_Finance[Job Number],$A126),"")</f>
        <v/>
      </c>
      <c r="F126" s="67">
        <f>IFERROR(INDEX(tbl_Finance[Cost Centre],$A126),"")</f>
        <v/>
      </c>
      <c r="G126" s="68">
        <f>IFERROR(INDEX(tbl_Finance[Ex GST],$A126),"")</f>
        <v/>
      </c>
      <c r="H126" s="66">
        <f>IFERROR(INDEX(tbl_Finance[Defer Start],$A126),"")</f>
        <v/>
      </c>
      <c r="I126" s="66">
        <f>IFERROR(INDEX(tbl_Finance[Defer End],$A126),"")</f>
        <v/>
      </c>
      <c r="J126" s="65">
        <f>IF(OR($H126="",$I126="",$G126=""),"",MAX(1,(YEAR($I126)-YEAR($H126))*12+MONTH($I126)-MONTH($H126)+1))</f>
        <v/>
      </c>
      <c r="K126" s="68">
        <f>IF($J126="","",$G126/$J126)</f>
        <v/>
      </c>
      <c r="L126" s="68">
        <f>IF($J126="",0,$K126*MAX(0,MIN(YEAR($C$3)*12+MONTH($C$3),YEAR($I126)*12+MONTH($I126))-(YEAR($H126)*12+MONTH($H126))+1))</f>
        <v/>
      </c>
      <c r="M126" s="68">
        <f>IF($J126="",0,$K126*MAX(0,MIN(YEAR($C$3)*12+MONTH($C$3)-1,YEAR($I126)*12+MONTH($I126))-(YEAR($H126)*12+MONTH($H126))+1))</f>
        <v/>
      </c>
      <c r="N126" s="68">
        <f>IF(OR($J126="",$B126=""),0,IF(YEAR($B126)*12+MONTH($B126)&lt;=YEAR($C$3)*12+MONTH($C$3),$G126,0))</f>
        <v/>
      </c>
      <c r="O126" s="68">
        <f>IF(OR($J126="",$B126=""),0,IF(YEAR($B126)*12+MONTH($B126)&lt;=YEAR($C$3)*12+MONTH($C$3)-1,$G126,0))</f>
        <v/>
      </c>
      <c r="P126" s="68">
        <f>$M126-$O126</f>
        <v/>
      </c>
      <c r="Q126" s="68">
        <f>($L126-$M126)-($N126-$O126)</f>
        <v/>
      </c>
      <c r="R126" s="68">
        <f>$L126-$N126</f>
        <v/>
      </c>
      <c r="S126" s="67">
        <f>"Finance invoice"</f>
        <v/>
      </c>
      <c r="T126" s="67">
        <f>"Revenue"</f>
        <v/>
      </c>
    </row>
    <row r="127">
      <c r="A127" s="65">
        <f>ROW()-5</f>
        <v/>
      </c>
      <c r="B127" s="66">
        <f>IFERROR(INDEX(tbl_Finance[Date],$A127),"")</f>
        <v/>
      </c>
      <c r="C127" s="67">
        <f>IFERROR(INDEX(tbl_Finance[Xero Invoice No],$A127),"")</f>
        <v/>
      </c>
      <c r="D127" s="67">
        <f>IFERROR(INDEX(tbl_Finance[Client],$A127),"")</f>
        <v/>
      </c>
      <c r="E127" s="67">
        <f>IFERROR(INDEX(tbl_Finance[Job Number],$A127),"")</f>
        <v/>
      </c>
      <c r="F127" s="67">
        <f>IFERROR(INDEX(tbl_Finance[Cost Centre],$A127),"")</f>
        <v/>
      </c>
      <c r="G127" s="68">
        <f>IFERROR(INDEX(tbl_Finance[Ex GST],$A127),"")</f>
        <v/>
      </c>
      <c r="H127" s="66">
        <f>IFERROR(INDEX(tbl_Finance[Defer Start],$A127),"")</f>
        <v/>
      </c>
      <c r="I127" s="66">
        <f>IFERROR(INDEX(tbl_Finance[Defer End],$A127),"")</f>
        <v/>
      </c>
      <c r="J127" s="65">
        <f>IF(OR($H127="",$I127="",$G127=""),"",MAX(1,(YEAR($I127)-YEAR($H127))*12+MONTH($I127)-MONTH($H127)+1))</f>
        <v/>
      </c>
      <c r="K127" s="68">
        <f>IF($J127="","",$G127/$J127)</f>
        <v/>
      </c>
      <c r="L127" s="68">
        <f>IF($J127="",0,$K127*MAX(0,MIN(YEAR($C$3)*12+MONTH($C$3),YEAR($I127)*12+MONTH($I127))-(YEAR($H127)*12+MONTH($H127))+1))</f>
        <v/>
      </c>
      <c r="M127" s="68">
        <f>IF($J127="",0,$K127*MAX(0,MIN(YEAR($C$3)*12+MONTH($C$3)-1,YEAR($I127)*12+MONTH($I127))-(YEAR($H127)*12+MONTH($H127))+1))</f>
        <v/>
      </c>
      <c r="N127" s="68">
        <f>IF(OR($J127="",$B127=""),0,IF(YEAR($B127)*12+MONTH($B127)&lt;=YEAR($C$3)*12+MONTH($C$3),$G127,0))</f>
        <v/>
      </c>
      <c r="O127" s="68">
        <f>IF(OR($J127="",$B127=""),0,IF(YEAR($B127)*12+MONTH($B127)&lt;=YEAR($C$3)*12+MONTH($C$3)-1,$G127,0))</f>
        <v/>
      </c>
      <c r="P127" s="68">
        <f>$M127-$O127</f>
        <v/>
      </c>
      <c r="Q127" s="68">
        <f>($L127-$M127)-($N127-$O127)</f>
        <v/>
      </c>
      <c r="R127" s="68">
        <f>$L127-$N127</f>
        <v/>
      </c>
      <c r="S127" s="67">
        <f>"Finance invoice"</f>
        <v/>
      </c>
      <c r="T127" s="67">
        <f>"Revenue"</f>
        <v/>
      </c>
    </row>
    <row r="128">
      <c r="A128" s="65">
        <f>ROW()-5</f>
        <v/>
      </c>
      <c r="B128" s="66">
        <f>IFERROR(INDEX(tbl_Finance[Date],$A128),"")</f>
        <v/>
      </c>
      <c r="C128" s="67">
        <f>IFERROR(INDEX(tbl_Finance[Xero Invoice No],$A128),"")</f>
        <v/>
      </c>
      <c r="D128" s="67">
        <f>IFERROR(INDEX(tbl_Finance[Client],$A128),"")</f>
        <v/>
      </c>
      <c r="E128" s="67">
        <f>IFERROR(INDEX(tbl_Finance[Job Number],$A128),"")</f>
        <v/>
      </c>
      <c r="F128" s="67">
        <f>IFERROR(INDEX(tbl_Finance[Cost Centre],$A128),"")</f>
        <v/>
      </c>
      <c r="G128" s="68">
        <f>IFERROR(INDEX(tbl_Finance[Ex GST],$A128),"")</f>
        <v/>
      </c>
      <c r="H128" s="66">
        <f>IFERROR(INDEX(tbl_Finance[Defer Start],$A128),"")</f>
        <v/>
      </c>
      <c r="I128" s="66">
        <f>IFERROR(INDEX(tbl_Finance[Defer End],$A128),"")</f>
        <v/>
      </c>
      <c r="J128" s="65">
        <f>IF(OR($H128="",$I128="",$G128=""),"",MAX(1,(YEAR($I128)-YEAR($H128))*12+MONTH($I128)-MONTH($H128)+1))</f>
        <v/>
      </c>
      <c r="K128" s="68">
        <f>IF($J128="","",$G128/$J128)</f>
        <v/>
      </c>
      <c r="L128" s="68">
        <f>IF($J128="",0,$K128*MAX(0,MIN(YEAR($C$3)*12+MONTH($C$3),YEAR($I128)*12+MONTH($I128))-(YEAR($H128)*12+MONTH($H128))+1))</f>
        <v/>
      </c>
      <c r="M128" s="68">
        <f>IF($J128="",0,$K128*MAX(0,MIN(YEAR($C$3)*12+MONTH($C$3)-1,YEAR($I128)*12+MONTH($I128))-(YEAR($H128)*12+MONTH($H128))+1))</f>
        <v/>
      </c>
      <c r="N128" s="68">
        <f>IF(OR($J128="",$B128=""),0,IF(YEAR($B128)*12+MONTH($B128)&lt;=YEAR($C$3)*12+MONTH($C$3),$G128,0))</f>
        <v/>
      </c>
      <c r="O128" s="68">
        <f>IF(OR($J128="",$B128=""),0,IF(YEAR($B128)*12+MONTH($B128)&lt;=YEAR($C$3)*12+MONTH($C$3)-1,$G128,0))</f>
        <v/>
      </c>
      <c r="P128" s="68">
        <f>$M128-$O128</f>
        <v/>
      </c>
      <c r="Q128" s="68">
        <f>($L128-$M128)-($N128-$O128)</f>
        <v/>
      </c>
      <c r="R128" s="68">
        <f>$L128-$N128</f>
        <v/>
      </c>
      <c r="S128" s="67">
        <f>"Finance invoice"</f>
        <v/>
      </c>
      <c r="T128" s="67">
        <f>"Revenue"</f>
        <v/>
      </c>
    </row>
    <row r="129">
      <c r="A129" s="65">
        <f>ROW()-5</f>
        <v/>
      </c>
      <c r="B129" s="66">
        <f>IFERROR(INDEX(tbl_Finance[Date],$A129),"")</f>
        <v/>
      </c>
      <c r="C129" s="67">
        <f>IFERROR(INDEX(tbl_Finance[Xero Invoice No],$A129),"")</f>
        <v/>
      </c>
      <c r="D129" s="67">
        <f>IFERROR(INDEX(tbl_Finance[Client],$A129),"")</f>
        <v/>
      </c>
      <c r="E129" s="67">
        <f>IFERROR(INDEX(tbl_Finance[Job Number],$A129),"")</f>
        <v/>
      </c>
      <c r="F129" s="67">
        <f>IFERROR(INDEX(tbl_Finance[Cost Centre],$A129),"")</f>
        <v/>
      </c>
      <c r="G129" s="68">
        <f>IFERROR(INDEX(tbl_Finance[Ex GST],$A129),"")</f>
        <v/>
      </c>
      <c r="H129" s="66">
        <f>IFERROR(INDEX(tbl_Finance[Defer Start],$A129),"")</f>
        <v/>
      </c>
      <c r="I129" s="66">
        <f>IFERROR(INDEX(tbl_Finance[Defer End],$A129),"")</f>
        <v/>
      </c>
      <c r="J129" s="65">
        <f>IF(OR($H129="",$I129="",$G129=""),"",MAX(1,(YEAR($I129)-YEAR($H129))*12+MONTH($I129)-MONTH($H129)+1))</f>
        <v/>
      </c>
      <c r="K129" s="68">
        <f>IF($J129="","",$G129/$J129)</f>
        <v/>
      </c>
      <c r="L129" s="68">
        <f>IF($J129="",0,$K129*MAX(0,MIN(YEAR($C$3)*12+MONTH($C$3),YEAR($I129)*12+MONTH($I129))-(YEAR($H129)*12+MONTH($H129))+1))</f>
        <v/>
      </c>
      <c r="M129" s="68">
        <f>IF($J129="",0,$K129*MAX(0,MIN(YEAR($C$3)*12+MONTH($C$3)-1,YEAR($I129)*12+MONTH($I129))-(YEAR($H129)*12+MONTH($H129))+1))</f>
        <v/>
      </c>
      <c r="N129" s="68">
        <f>IF(OR($J129="",$B129=""),0,IF(YEAR($B129)*12+MONTH($B129)&lt;=YEAR($C$3)*12+MONTH($C$3),$G129,0))</f>
        <v/>
      </c>
      <c r="O129" s="68">
        <f>IF(OR($J129="",$B129=""),0,IF(YEAR($B129)*12+MONTH($B129)&lt;=YEAR($C$3)*12+MONTH($C$3)-1,$G129,0))</f>
        <v/>
      </c>
      <c r="P129" s="68">
        <f>$M129-$O129</f>
        <v/>
      </c>
      <c r="Q129" s="68">
        <f>($L129-$M129)-($N129-$O129)</f>
        <v/>
      </c>
      <c r="R129" s="68">
        <f>$L129-$N129</f>
        <v/>
      </c>
      <c r="S129" s="67">
        <f>"Finance invoice"</f>
        <v/>
      </c>
      <c r="T129" s="67">
        <f>"Revenue"</f>
        <v/>
      </c>
    </row>
    <row r="130">
      <c r="A130" s="65">
        <f>ROW()-5</f>
        <v/>
      </c>
      <c r="B130" s="66">
        <f>IFERROR(INDEX(tbl_Finance[Date],$A130),"")</f>
        <v/>
      </c>
      <c r="C130" s="67">
        <f>IFERROR(INDEX(tbl_Finance[Xero Invoice No],$A130),"")</f>
        <v/>
      </c>
      <c r="D130" s="67">
        <f>IFERROR(INDEX(tbl_Finance[Client],$A130),"")</f>
        <v/>
      </c>
      <c r="E130" s="67">
        <f>IFERROR(INDEX(tbl_Finance[Job Number],$A130),"")</f>
        <v/>
      </c>
      <c r="F130" s="67">
        <f>IFERROR(INDEX(tbl_Finance[Cost Centre],$A130),"")</f>
        <v/>
      </c>
      <c r="G130" s="68">
        <f>IFERROR(INDEX(tbl_Finance[Ex GST],$A130),"")</f>
        <v/>
      </c>
      <c r="H130" s="66">
        <f>IFERROR(INDEX(tbl_Finance[Defer Start],$A130),"")</f>
        <v/>
      </c>
      <c r="I130" s="66">
        <f>IFERROR(INDEX(tbl_Finance[Defer End],$A130),"")</f>
        <v/>
      </c>
      <c r="J130" s="65">
        <f>IF(OR($H130="",$I130="",$G130=""),"",MAX(1,(YEAR($I130)-YEAR($H130))*12+MONTH($I130)-MONTH($H130)+1))</f>
        <v/>
      </c>
      <c r="K130" s="68">
        <f>IF($J130="","",$G130/$J130)</f>
        <v/>
      </c>
      <c r="L130" s="68">
        <f>IF($J130="",0,$K130*MAX(0,MIN(YEAR($C$3)*12+MONTH($C$3),YEAR($I130)*12+MONTH($I130))-(YEAR($H130)*12+MONTH($H130))+1))</f>
        <v/>
      </c>
      <c r="M130" s="68">
        <f>IF($J130="",0,$K130*MAX(0,MIN(YEAR($C$3)*12+MONTH($C$3)-1,YEAR($I130)*12+MONTH($I130))-(YEAR($H130)*12+MONTH($H130))+1))</f>
        <v/>
      </c>
      <c r="N130" s="68">
        <f>IF(OR($J130="",$B130=""),0,IF(YEAR($B130)*12+MONTH($B130)&lt;=YEAR($C$3)*12+MONTH($C$3),$G130,0))</f>
        <v/>
      </c>
      <c r="O130" s="68">
        <f>IF(OR($J130="",$B130=""),0,IF(YEAR($B130)*12+MONTH($B130)&lt;=YEAR($C$3)*12+MONTH($C$3)-1,$G130,0))</f>
        <v/>
      </c>
      <c r="P130" s="68">
        <f>$M130-$O130</f>
        <v/>
      </c>
      <c r="Q130" s="68">
        <f>($L130-$M130)-($N130-$O130)</f>
        <v/>
      </c>
      <c r="R130" s="68">
        <f>$L130-$N130</f>
        <v/>
      </c>
      <c r="S130" s="67">
        <f>"Finance invoice"</f>
        <v/>
      </c>
      <c r="T130" s="67">
        <f>"Revenue"</f>
        <v/>
      </c>
    </row>
    <row r="131">
      <c r="A131" s="65">
        <f>ROW()-5</f>
        <v/>
      </c>
      <c r="B131" s="66">
        <f>IFERROR(INDEX(tbl_Finance[Date],$A131),"")</f>
        <v/>
      </c>
      <c r="C131" s="67">
        <f>IFERROR(INDEX(tbl_Finance[Xero Invoice No],$A131),"")</f>
        <v/>
      </c>
      <c r="D131" s="67">
        <f>IFERROR(INDEX(tbl_Finance[Client],$A131),"")</f>
        <v/>
      </c>
      <c r="E131" s="67">
        <f>IFERROR(INDEX(tbl_Finance[Job Number],$A131),"")</f>
        <v/>
      </c>
      <c r="F131" s="67">
        <f>IFERROR(INDEX(tbl_Finance[Cost Centre],$A131),"")</f>
        <v/>
      </c>
      <c r="G131" s="68">
        <f>IFERROR(INDEX(tbl_Finance[Ex GST],$A131),"")</f>
        <v/>
      </c>
      <c r="H131" s="66">
        <f>IFERROR(INDEX(tbl_Finance[Defer Start],$A131),"")</f>
        <v/>
      </c>
      <c r="I131" s="66">
        <f>IFERROR(INDEX(tbl_Finance[Defer End],$A131),"")</f>
        <v/>
      </c>
      <c r="J131" s="65">
        <f>IF(OR($H131="",$I131="",$G131=""),"",MAX(1,(YEAR($I131)-YEAR($H131))*12+MONTH($I131)-MONTH($H131)+1))</f>
        <v/>
      </c>
      <c r="K131" s="68">
        <f>IF($J131="","",$G131/$J131)</f>
        <v/>
      </c>
      <c r="L131" s="68">
        <f>IF($J131="",0,$K131*MAX(0,MIN(YEAR($C$3)*12+MONTH($C$3),YEAR($I131)*12+MONTH($I131))-(YEAR($H131)*12+MONTH($H131))+1))</f>
        <v/>
      </c>
      <c r="M131" s="68">
        <f>IF($J131="",0,$K131*MAX(0,MIN(YEAR($C$3)*12+MONTH($C$3)-1,YEAR($I131)*12+MONTH($I131))-(YEAR($H131)*12+MONTH($H131))+1))</f>
        <v/>
      </c>
      <c r="N131" s="68">
        <f>IF(OR($J131="",$B131=""),0,IF(YEAR($B131)*12+MONTH($B131)&lt;=YEAR($C$3)*12+MONTH($C$3),$G131,0))</f>
        <v/>
      </c>
      <c r="O131" s="68">
        <f>IF(OR($J131="",$B131=""),0,IF(YEAR($B131)*12+MONTH($B131)&lt;=YEAR($C$3)*12+MONTH($C$3)-1,$G131,0))</f>
        <v/>
      </c>
      <c r="P131" s="68">
        <f>$M131-$O131</f>
        <v/>
      </c>
      <c r="Q131" s="68">
        <f>($L131-$M131)-($N131-$O131)</f>
        <v/>
      </c>
      <c r="R131" s="68">
        <f>$L131-$N131</f>
        <v/>
      </c>
      <c r="S131" s="67">
        <f>"Finance invoice"</f>
        <v/>
      </c>
      <c r="T131" s="67">
        <f>"Revenue"</f>
        <v/>
      </c>
    </row>
    <row r="132">
      <c r="A132" s="65">
        <f>ROW()-5</f>
        <v/>
      </c>
      <c r="B132" s="66">
        <f>IFERROR(INDEX(tbl_Finance[Date],$A132),"")</f>
        <v/>
      </c>
      <c r="C132" s="67">
        <f>IFERROR(INDEX(tbl_Finance[Xero Invoice No],$A132),"")</f>
        <v/>
      </c>
      <c r="D132" s="67">
        <f>IFERROR(INDEX(tbl_Finance[Client],$A132),"")</f>
        <v/>
      </c>
      <c r="E132" s="67">
        <f>IFERROR(INDEX(tbl_Finance[Job Number],$A132),"")</f>
        <v/>
      </c>
      <c r="F132" s="67">
        <f>IFERROR(INDEX(tbl_Finance[Cost Centre],$A132),"")</f>
        <v/>
      </c>
      <c r="G132" s="68">
        <f>IFERROR(INDEX(tbl_Finance[Ex GST],$A132),"")</f>
        <v/>
      </c>
      <c r="H132" s="66">
        <f>IFERROR(INDEX(tbl_Finance[Defer Start],$A132),"")</f>
        <v/>
      </c>
      <c r="I132" s="66">
        <f>IFERROR(INDEX(tbl_Finance[Defer End],$A132),"")</f>
        <v/>
      </c>
      <c r="J132" s="65">
        <f>IF(OR($H132="",$I132="",$G132=""),"",MAX(1,(YEAR($I132)-YEAR($H132))*12+MONTH($I132)-MONTH($H132)+1))</f>
        <v/>
      </c>
      <c r="K132" s="68">
        <f>IF($J132="","",$G132/$J132)</f>
        <v/>
      </c>
      <c r="L132" s="68">
        <f>IF($J132="",0,$K132*MAX(0,MIN(YEAR($C$3)*12+MONTH($C$3),YEAR($I132)*12+MONTH($I132))-(YEAR($H132)*12+MONTH($H132))+1))</f>
        <v/>
      </c>
      <c r="M132" s="68">
        <f>IF($J132="",0,$K132*MAX(0,MIN(YEAR($C$3)*12+MONTH($C$3)-1,YEAR($I132)*12+MONTH($I132))-(YEAR($H132)*12+MONTH($H132))+1))</f>
        <v/>
      </c>
      <c r="N132" s="68">
        <f>IF(OR($J132="",$B132=""),0,IF(YEAR($B132)*12+MONTH($B132)&lt;=YEAR($C$3)*12+MONTH($C$3),$G132,0))</f>
        <v/>
      </c>
      <c r="O132" s="68">
        <f>IF(OR($J132="",$B132=""),0,IF(YEAR($B132)*12+MONTH($B132)&lt;=YEAR($C$3)*12+MONTH($C$3)-1,$G132,0))</f>
        <v/>
      </c>
      <c r="P132" s="68">
        <f>$M132-$O132</f>
        <v/>
      </c>
      <c r="Q132" s="68">
        <f>($L132-$M132)-($N132-$O132)</f>
        <v/>
      </c>
      <c r="R132" s="68">
        <f>$L132-$N132</f>
        <v/>
      </c>
      <c r="S132" s="67">
        <f>"Finance invoice"</f>
        <v/>
      </c>
      <c r="T132" s="67">
        <f>"Revenue"</f>
        <v/>
      </c>
    </row>
    <row r="133">
      <c r="A133" s="65">
        <f>ROW()-5</f>
        <v/>
      </c>
      <c r="B133" s="66">
        <f>IFERROR(INDEX(tbl_Finance[Date],$A133),"")</f>
        <v/>
      </c>
      <c r="C133" s="67">
        <f>IFERROR(INDEX(tbl_Finance[Xero Invoice No],$A133),"")</f>
        <v/>
      </c>
      <c r="D133" s="67">
        <f>IFERROR(INDEX(tbl_Finance[Client],$A133),"")</f>
        <v/>
      </c>
      <c r="E133" s="67">
        <f>IFERROR(INDEX(tbl_Finance[Job Number],$A133),"")</f>
        <v/>
      </c>
      <c r="F133" s="67">
        <f>IFERROR(INDEX(tbl_Finance[Cost Centre],$A133),"")</f>
        <v/>
      </c>
      <c r="G133" s="68">
        <f>IFERROR(INDEX(tbl_Finance[Ex GST],$A133),"")</f>
        <v/>
      </c>
      <c r="H133" s="66">
        <f>IFERROR(INDEX(tbl_Finance[Defer Start],$A133),"")</f>
        <v/>
      </c>
      <c r="I133" s="66">
        <f>IFERROR(INDEX(tbl_Finance[Defer End],$A133),"")</f>
        <v/>
      </c>
      <c r="J133" s="65">
        <f>IF(OR($H133="",$I133="",$G133=""),"",MAX(1,(YEAR($I133)-YEAR($H133))*12+MONTH($I133)-MONTH($H133)+1))</f>
        <v/>
      </c>
      <c r="K133" s="68">
        <f>IF($J133="","",$G133/$J133)</f>
        <v/>
      </c>
      <c r="L133" s="68">
        <f>IF($J133="",0,$K133*MAX(0,MIN(YEAR($C$3)*12+MONTH($C$3),YEAR($I133)*12+MONTH($I133))-(YEAR($H133)*12+MONTH($H133))+1))</f>
        <v/>
      </c>
      <c r="M133" s="68">
        <f>IF($J133="",0,$K133*MAX(0,MIN(YEAR($C$3)*12+MONTH($C$3)-1,YEAR($I133)*12+MONTH($I133))-(YEAR($H133)*12+MONTH($H133))+1))</f>
        <v/>
      </c>
      <c r="N133" s="68">
        <f>IF(OR($J133="",$B133=""),0,IF(YEAR($B133)*12+MONTH($B133)&lt;=YEAR($C$3)*12+MONTH($C$3),$G133,0))</f>
        <v/>
      </c>
      <c r="O133" s="68">
        <f>IF(OR($J133="",$B133=""),0,IF(YEAR($B133)*12+MONTH($B133)&lt;=YEAR($C$3)*12+MONTH($C$3)-1,$G133,0))</f>
        <v/>
      </c>
      <c r="P133" s="68">
        <f>$M133-$O133</f>
        <v/>
      </c>
      <c r="Q133" s="68">
        <f>($L133-$M133)-($N133-$O133)</f>
        <v/>
      </c>
      <c r="R133" s="68">
        <f>$L133-$N133</f>
        <v/>
      </c>
      <c r="S133" s="67">
        <f>"Finance invoice"</f>
        <v/>
      </c>
      <c r="T133" s="67">
        <f>"Revenue"</f>
        <v/>
      </c>
    </row>
    <row r="134">
      <c r="A134" s="65">
        <f>ROW()-5</f>
        <v/>
      </c>
      <c r="B134" s="66">
        <f>IFERROR(INDEX(tbl_Finance[Date],$A134),"")</f>
        <v/>
      </c>
      <c r="C134" s="67">
        <f>IFERROR(INDEX(tbl_Finance[Xero Invoice No],$A134),"")</f>
        <v/>
      </c>
      <c r="D134" s="67">
        <f>IFERROR(INDEX(tbl_Finance[Client],$A134),"")</f>
        <v/>
      </c>
      <c r="E134" s="67">
        <f>IFERROR(INDEX(tbl_Finance[Job Number],$A134),"")</f>
        <v/>
      </c>
      <c r="F134" s="67">
        <f>IFERROR(INDEX(tbl_Finance[Cost Centre],$A134),"")</f>
        <v/>
      </c>
      <c r="G134" s="68">
        <f>IFERROR(INDEX(tbl_Finance[Ex GST],$A134),"")</f>
        <v/>
      </c>
      <c r="H134" s="66">
        <f>IFERROR(INDEX(tbl_Finance[Defer Start],$A134),"")</f>
        <v/>
      </c>
      <c r="I134" s="66">
        <f>IFERROR(INDEX(tbl_Finance[Defer End],$A134),"")</f>
        <v/>
      </c>
      <c r="J134" s="65">
        <f>IF(OR($H134="",$I134="",$G134=""),"",MAX(1,(YEAR($I134)-YEAR($H134))*12+MONTH($I134)-MONTH($H134)+1))</f>
        <v/>
      </c>
      <c r="K134" s="68">
        <f>IF($J134="","",$G134/$J134)</f>
        <v/>
      </c>
      <c r="L134" s="68">
        <f>IF($J134="",0,$K134*MAX(0,MIN(YEAR($C$3)*12+MONTH($C$3),YEAR($I134)*12+MONTH($I134))-(YEAR($H134)*12+MONTH($H134))+1))</f>
        <v/>
      </c>
      <c r="M134" s="68">
        <f>IF($J134="",0,$K134*MAX(0,MIN(YEAR($C$3)*12+MONTH($C$3)-1,YEAR($I134)*12+MONTH($I134))-(YEAR($H134)*12+MONTH($H134))+1))</f>
        <v/>
      </c>
      <c r="N134" s="68">
        <f>IF(OR($J134="",$B134=""),0,IF(YEAR($B134)*12+MONTH($B134)&lt;=YEAR($C$3)*12+MONTH($C$3),$G134,0))</f>
        <v/>
      </c>
      <c r="O134" s="68">
        <f>IF(OR($J134="",$B134=""),0,IF(YEAR($B134)*12+MONTH($B134)&lt;=YEAR($C$3)*12+MONTH($C$3)-1,$G134,0))</f>
        <v/>
      </c>
      <c r="P134" s="68">
        <f>$M134-$O134</f>
        <v/>
      </c>
      <c r="Q134" s="68">
        <f>($L134-$M134)-($N134-$O134)</f>
        <v/>
      </c>
      <c r="R134" s="68">
        <f>$L134-$N134</f>
        <v/>
      </c>
      <c r="S134" s="67">
        <f>"Finance invoice"</f>
        <v/>
      </c>
      <c r="T134" s="67">
        <f>"Revenue"</f>
        <v/>
      </c>
    </row>
    <row r="135">
      <c r="A135" s="65">
        <f>ROW()-5</f>
        <v/>
      </c>
      <c r="B135" s="66">
        <f>IFERROR(INDEX(tbl_Finance[Date],$A135),"")</f>
        <v/>
      </c>
      <c r="C135" s="67">
        <f>IFERROR(INDEX(tbl_Finance[Xero Invoice No],$A135),"")</f>
        <v/>
      </c>
      <c r="D135" s="67">
        <f>IFERROR(INDEX(tbl_Finance[Client],$A135),"")</f>
        <v/>
      </c>
      <c r="E135" s="67">
        <f>IFERROR(INDEX(tbl_Finance[Job Number],$A135),"")</f>
        <v/>
      </c>
      <c r="F135" s="67">
        <f>IFERROR(INDEX(tbl_Finance[Cost Centre],$A135),"")</f>
        <v/>
      </c>
      <c r="G135" s="68">
        <f>IFERROR(INDEX(tbl_Finance[Ex GST],$A135),"")</f>
        <v/>
      </c>
      <c r="H135" s="66">
        <f>IFERROR(INDEX(tbl_Finance[Defer Start],$A135),"")</f>
        <v/>
      </c>
      <c r="I135" s="66">
        <f>IFERROR(INDEX(tbl_Finance[Defer End],$A135),"")</f>
        <v/>
      </c>
      <c r="J135" s="65">
        <f>IF(OR($H135="",$I135="",$G135=""),"",MAX(1,(YEAR($I135)-YEAR($H135))*12+MONTH($I135)-MONTH($H135)+1))</f>
        <v/>
      </c>
      <c r="K135" s="68">
        <f>IF($J135="","",$G135/$J135)</f>
        <v/>
      </c>
      <c r="L135" s="68">
        <f>IF($J135="",0,$K135*MAX(0,MIN(YEAR($C$3)*12+MONTH($C$3),YEAR($I135)*12+MONTH($I135))-(YEAR($H135)*12+MONTH($H135))+1))</f>
        <v/>
      </c>
      <c r="M135" s="68">
        <f>IF($J135="",0,$K135*MAX(0,MIN(YEAR($C$3)*12+MONTH($C$3)-1,YEAR($I135)*12+MONTH($I135))-(YEAR($H135)*12+MONTH($H135))+1))</f>
        <v/>
      </c>
      <c r="N135" s="68">
        <f>IF(OR($J135="",$B135=""),0,IF(YEAR($B135)*12+MONTH($B135)&lt;=YEAR($C$3)*12+MONTH($C$3),$G135,0))</f>
        <v/>
      </c>
      <c r="O135" s="68">
        <f>IF(OR($J135="",$B135=""),0,IF(YEAR($B135)*12+MONTH($B135)&lt;=YEAR($C$3)*12+MONTH($C$3)-1,$G135,0))</f>
        <v/>
      </c>
      <c r="P135" s="68">
        <f>$M135-$O135</f>
        <v/>
      </c>
      <c r="Q135" s="68">
        <f>($L135-$M135)-($N135-$O135)</f>
        <v/>
      </c>
      <c r="R135" s="68">
        <f>$L135-$N135</f>
        <v/>
      </c>
      <c r="S135" s="67">
        <f>"Finance invoice"</f>
        <v/>
      </c>
      <c r="T135" s="67">
        <f>"Revenue"</f>
        <v/>
      </c>
    </row>
    <row r="136">
      <c r="A136" s="65">
        <f>ROW()-5</f>
        <v/>
      </c>
      <c r="B136" s="66">
        <f>IFERROR(INDEX(tbl_Finance[Date],$A136),"")</f>
        <v/>
      </c>
      <c r="C136" s="67">
        <f>IFERROR(INDEX(tbl_Finance[Xero Invoice No],$A136),"")</f>
        <v/>
      </c>
      <c r="D136" s="67">
        <f>IFERROR(INDEX(tbl_Finance[Client],$A136),"")</f>
        <v/>
      </c>
      <c r="E136" s="67">
        <f>IFERROR(INDEX(tbl_Finance[Job Number],$A136),"")</f>
        <v/>
      </c>
      <c r="F136" s="67">
        <f>IFERROR(INDEX(tbl_Finance[Cost Centre],$A136),"")</f>
        <v/>
      </c>
      <c r="G136" s="68">
        <f>IFERROR(INDEX(tbl_Finance[Ex GST],$A136),"")</f>
        <v/>
      </c>
      <c r="H136" s="66">
        <f>IFERROR(INDEX(tbl_Finance[Defer Start],$A136),"")</f>
        <v/>
      </c>
      <c r="I136" s="66">
        <f>IFERROR(INDEX(tbl_Finance[Defer End],$A136),"")</f>
        <v/>
      </c>
      <c r="J136" s="65">
        <f>IF(OR($H136="",$I136="",$G136=""),"",MAX(1,(YEAR($I136)-YEAR($H136))*12+MONTH($I136)-MONTH($H136)+1))</f>
        <v/>
      </c>
      <c r="K136" s="68">
        <f>IF($J136="","",$G136/$J136)</f>
        <v/>
      </c>
      <c r="L136" s="68">
        <f>IF($J136="",0,$K136*MAX(0,MIN(YEAR($C$3)*12+MONTH($C$3),YEAR($I136)*12+MONTH($I136))-(YEAR($H136)*12+MONTH($H136))+1))</f>
        <v/>
      </c>
      <c r="M136" s="68">
        <f>IF($J136="",0,$K136*MAX(0,MIN(YEAR($C$3)*12+MONTH($C$3)-1,YEAR($I136)*12+MONTH($I136))-(YEAR($H136)*12+MONTH($H136))+1))</f>
        <v/>
      </c>
      <c r="N136" s="68">
        <f>IF(OR($J136="",$B136=""),0,IF(YEAR($B136)*12+MONTH($B136)&lt;=YEAR($C$3)*12+MONTH($C$3),$G136,0))</f>
        <v/>
      </c>
      <c r="O136" s="68">
        <f>IF(OR($J136="",$B136=""),0,IF(YEAR($B136)*12+MONTH($B136)&lt;=YEAR($C$3)*12+MONTH($C$3)-1,$G136,0))</f>
        <v/>
      </c>
      <c r="P136" s="68">
        <f>$M136-$O136</f>
        <v/>
      </c>
      <c r="Q136" s="68">
        <f>($L136-$M136)-($N136-$O136)</f>
        <v/>
      </c>
      <c r="R136" s="68">
        <f>$L136-$N136</f>
        <v/>
      </c>
      <c r="S136" s="67">
        <f>"Finance invoice"</f>
        <v/>
      </c>
      <c r="T136" s="67">
        <f>"Revenue"</f>
        <v/>
      </c>
    </row>
    <row r="137">
      <c r="A137" s="65">
        <f>ROW()-5</f>
        <v/>
      </c>
      <c r="B137" s="66">
        <f>IFERROR(INDEX(tbl_Finance[Date],$A137),"")</f>
        <v/>
      </c>
      <c r="C137" s="67">
        <f>IFERROR(INDEX(tbl_Finance[Xero Invoice No],$A137),"")</f>
        <v/>
      </c>
      <c r="D137" s="67">
        <f>IFERROR(INDEX(tbl_Finance[Client],$A137),"")</f>
        <v/>
      </c>
      <c r="E137" s="67">
        <f>IFERROR(INDEX(tbl_Finance[Job Number],$A137),"")</f>
        <v/>
      </c>
      <c r="F137" s="67">
        <f>IFERROR(INDEX(tbl_Finance[Cost Centre],$A137),"")</f>
        <v/>
      </c>
      <c r="G137" s="68">
        <f>IFERROR(INDEX(tbl_Finance[Ex GST],$A137),"")</f>
        <v/>
      </c>
      <c r="H137" s="66">
        <f>IFERROR(INDEX(tbl_Finance[Defer Start],$A137),"")</f>
        <v/>
      </c>
      <c r="I137" s="66">
        <f>IFERROR(INDEX(tbl_Finance[Defer End],$A137),"")</f>
        <v/>
      </c>
      <c r="J137" s="65">
        <f>IF(OR($H137="",$I137="",$G137=""),"",MAX(1,(YEAR($I137)-YEAR($H137))*12+MONTH($I137)-MONTH($H137)+1))</f>
        <v/>
      </c>
      <c r="K137" s="68">
        <f>IF($J137="","",$G137/$J137)</f>
        <v/>
      </c>
      <c r="L137" s="68">
        <f>IF($J137="",0,$K137*MAX(0,MIN(YEAR($C$3)*12+MONTH($C$3),YEAR($I137)*12+MONTH($I137))-(YEAR($H137)*12+MONTH($H137))+1))</f>
        <v/>
      </c>
      <c r="M137" s="68">
        <f>IF($J137="",0,$K137*MAX(0,MIN(YEAR($C$3)*12+MONTH($C$3)-1,YEAR($I137)*12+MONTH($I137))-(YEAR($H137)*12+MONTH($H137))+1))</f>
        <v/>
      </c>
      <c r="N137" s="68">
        <f>IF(OR($J137="",$B137=""),0,IF(YEAR($B137)*12+MONTH($B137)&lt;=YEAR($C$3)*12+MONTH($C$3),$G137,0))</f>
        <v/>
      </c>
      <c r="O137" s="68">
        <f>IF(OR($J137="",$B137=""),0,IF(YEAR($B137)*12+MONTH($B137)&lt;=YEAR($C$3)*12+MONTH($C$3)-1,$G137,0))</f>
        <v/>
      </c>
      <c r="P137" s="68">
        <f>$M137-$O137</f>
        <v/>
      </c>
      <c r="Q137" s="68">
        <f>($L137-$M137)-($N137-$O137)</f>
        <v/>
      </c>
      <c r="R137" s="68">
        <f>$L137-$N137</f>
        <v/>
      </c>
      <c r="S137" s="67">
        <f>"Finance invoice"</f>
        <v/>
      </c>
      <c r="T137" s="67">
        <f>"Revenue"</f>
        <v/>
      </c>
    </row>
    <row r="138">
      <c r="A138" s="65">
        <f>ROW()-5</f>
        <v/>
      </c>
      <c r="B138" s="66">
        <f>IFERROR(INDEX(tbl_Finance[Date],$A138),"")</f>
        <v/>
      </c>
      <c r="C138" s="67">
        <f>IFERROR(INDEX(tbl_Finance[Xero Invoice No],$A138),"")</f>
        <v/>
      </c>
      <c r="D138" s="67">
        <f>IFERROR(INDEX(tbl_Finance[Client],$A138),"")</f>
        <v/>
      </c>
      <c r="E138" s="67">
        <f>IFERROR(INDEX(tbl_Finance[Job Number],$A138),"")</f>
        <v/>
      </c>
      <c r="F138" s="67">
        <f>IFERROR(INDEX(tbl_Finance[Cost Centre],$A138),"")</f>
        <v/>
      </c>
      <c r="G138" s="68">
        <f>IFERROR(INDEX(tbl_Finance[Ex GST],$A138),"")</f>
        <v/>
      </c>
      <c r="H138" s="66">
        <f>IFERROR(INDEX(tbl_Finance[Defer Start],$A138),"")</f>
        <v/>
      </c>
      <c r="I138" s="66">
        <f>IFERROR(INDEX(tbl_Finance[Defer End],$A138),"")</f>
        <v/>
      </c>
      <c r="J138" s="65">
        <f>IF(OR($H138="",$I138="",$G138=""),"",MAX(1,(YEAR($I138)-YEAR($H138))*12+MONTH($I138)-MONTH($H138)+1))</f>
        <v/>
      </c>
      <c r="K138" s="68">
        <f>IF($J138="","",$G138/$J138)</f>
        <v/>
      </c>
      <c r="L138" s="68">
        <f>IF($J138="",0,$K138*MAX(0,MIN(YEAR($C$3)*12+MONTH($C$3),YEAR($I138)*12+MONTH($I138))-(YEAR($H138)*12+MONTH($H138))+1))</f>
        <v/>
      </c>
      <c r="M138" s="68">
        <f>IF($J138="",0,$K138*MAX(0,MIN(YEAR($C$3)*12+MONTH($C$3)-1,YEAR($I138)*12+MONTH($I138))-(YEAR($H138)*12+MONTH($H138))+1))</f>
        <v/>
      </c>
      <c r="N138" s="68">
        <f>IF(OR($J138="",$B138=""),0,IF(YEAR($B138)*12+MONTH($B138)&lt;=YEAR($C$3)*12+MONTH($C$3),$G138,0))</f>
        <v/>
      </c>
      <c r="O138" s="68">
        <f>IF(OR($J138="",$B138=""),0,IF(YEAR($B138)*12+MONTH($B138)&lt;=YEAR($C$3)*12+MONTH($C$3)-1,$G138,0))</f>
        <v/>
      </c>
      <c r="P138" s="68">
        <f>$M138-$O138</f>
        <v/>
      </c>
      <c r="Q138" s="68">
        <f>($L138-$M138)-($N138-$O138)</f>
        <v/>
      </c>
      <c r="R138" s="68">
        <f>$L138-$N138</f>
        <v/>
      </c>
      <c r="S138" s="67">
        <f>"Finance invoice"</f>
        <v/>
      </c>
      <c r="T138" s="67">
        <f>"Revenue"</f>
        <v/>
      </c>
    </row>
    <row r="139">
      <c r="A139" s="65">
        <f>ROW()-5</f>
        <v/>
      </c>
      <c r="B139" s="66">
        <f>IFERROR(INDEX(tbl_Finance[Date],$A139),"")</f>
        <v/>
      </c>
      <c r="C139" s="67">
        <f>IFERROR(INDEX(tbl_Finance[Xero Invoice No],$A139),"")</f>
        <v/>
      </c>
      <c r="D139" s="67">
        <f>IFERROR(INDEX(tbl_Finance[Client],$A139),"")</f>
        <v/>
      </c>
      <c r="E139" s="67">
        <f>IFERROR(INDEX(tbl_Finance[Job Number],$A139),"")</f>
        <v/>
      </c>
      <c r="F139" s="67">
        <f>IFERROR(INDEX(tbl_Finance[Cost Centre],$A139),"")</f>
        <v/>
      </c>
      <c r="G139" s="68">
        <f>IFERROR(INDEX(tbl_Finance[Ex GST],$A139),"")</f>
        <v/>
      </c>
      <c r="H139" s="66">
        <f>IFERROR(INDEX(tbl_Finance[Defer Start],$A139),"")</f>
        <v/>
      </c>
      <c r="I139" s="66">
        <f>IFERROR(INDEX(tbl_Finance[Defer End],$A139),"")</f>
        <v/>
      </c>
      <c r="J139" s="65">
        <f>IF(OR($H139="",$I139="",$G139=""),"",MAX(1,(YEAR($I139)-YEAR($H139))*12+MONTH($I139)-MONTH($H139)+1))</f>
        <v/>
      </c>
      <c r="K139" s="68">
        <f>IF($J139="","",$G139/$J139)</f>
        <v/>
      </c>
      <c r="L139" s="68">
        <f>IF($J139="",0,$K139*MAX(0,MIN(YEAR($C$3)*12+MONTH($C$3),YEAR($I139)*12+MONTH($I139))-(YEAR($H139)*12+MONTH($H139))+1))</f>
        <v/>
      </c>
      <c r="M139" s="68">
        <f>IF($J139="",0,$K139*MAX(0,MIN(YEAR($C$3)*12+MONTH($C$3)-1,YEAR($I139)*12+MONTH($I139))-(YEAR($H139)*12+MONTH($H139))+1))</f>
        <v/>
      </c>
      <c r="N139" s="68">
        <f>IF(OR($J139="",$B139=""),0,IF(YEAR($B139)*12+MONTH($B139)&lt;=YEAR($C$3)*12+MONTH($C$3),$G139,0))</f>
        <v/>
      </c>
      <c r="O139" s="68">
        <f>IF(OR($J139="",$B139=""),0,IF(YEAR($B139)*12+MONTH($B139)&lt;=YEAR($C$3)*12+MONTH($C$3)-1,$G139,0))</f>
        <v/>
      </c>
      <c r="P139" s="68">
        <f>$M139-$O139</f>
        <v/>
      </c>
      <c r="Q139" s="68">
        <f>($L139-$M139)-($N139-$O139)</f>
        <v/>
      </c>
      <c r="R139" s="68">
        <f>$L139-$N139</f>
        <v/>
      </c>
      <c r="S139" s="67">
        <f>"Finance invoice"</f>
        <v/>
      </c>
      <c r="T139" s="67">
        <f>"Revenue"</f>
        <v/>
      </c>
    </row>
    <row r="140">
      <c r="A140" s="65">
        <f>ROW()-5</f>
        <v/>
      </c>
      <c r="B140" s="66">
        <f>IFERROR(INDEX(tbl_Finance[Date],$A140),"")</f>
        <v/>
      </c>
      <c r="C140" s="67">
        <f>IFERROR(INDEX(tbl_Finance[Xero Invoice No],$A140),"")</f>
        <v/>
      </c>
      <c r="D140" s="67">
        <f>IFERROR(INDEX(tbl_Finance[Client],$A140),"")</f>
        <v/>
      </c>
      <c r="E140" s="67">
        <f>IFERROR(INDEX(tbl_Finance[Job Number],$A140),"")</f>
        <v/>
      </c>
      <c r="F140" s="67">
        <f>IFERROR(INDEX(tbl_Finance[Cost Centre],$A140),"")</f>
        <v/>
      </c>
      <c r="G140" s="68">
        <f>IFERROR(INDEX(tbl_Finance[Ex GST],$A140),"")</f>
        <v/>
      </c>
      <c r="H140" s="66">
        <f>IFERROR(INDEX(tbl_Finance[Defer Start],$A140),"")</f>
        <v/>
      </c>
      <c r="I140" s="66">
        <f>IFERROR(INDEX(tbl_Finance[Defer End],$A140),"")</f>
        <v/>
      </c>
      <c r="J140" s="65">
        <f>IF(OR($H140="",$I140="",$G140=""),"",MAX(1,(YEAR($I140)-YEAR($H140))*12+MONTH($I140)-MONTH($H140)+1))</f>
        <v/>
      </c>
      <c r="K140" s="68">
        <f>IF($J140="","",$G140/$J140)</f>
        <v/>
      </c>
      <c r="L140" s="68">
        <f>IF($J140="",0,$K140*MAX(0,MIN(YEAR($C$3)*12+MONTH($C$3),YEAR($I140)*12+MONTH($I140))-(YEAR($H140)*12+MONTH($H140))+1))</f>
        <v/>
      </c>
      <c r="M140" s="68">
        <f>IF($J140="",0,$K140*MAX(0,MIN(YEAR($C$3)*12+MONTH($C$3)-1,YEAR($I140)*12+MONTH($I140))-(YEAR($H140)*12+MONTH($H140))+1))</f>
        <v/>
      </c>
      <c r="N140" s="68">
        <f>IF(OR($J140="",$B140=""),0,IF(YEAR($B140)*12+MONTH($B140)&lt;=YEAR($C$3)*12+MONTH($C$3),$G140,0))</f>
        <v/>
      </c>
      <c r="O140" s="68">
        <f>IF(OR($J140="",$B140=""),0,IF(YEAR($B140)*12+MONTH($B140)&lt;=YEAR($C$3)*12+MONTH($C$3)-1,$G140,0))</f>
        <v/>
      </c>
      <c r="P140" s="68">
        <f>$M140-$O140</f>
        <v/>
      </c>
      <c r="Q140" s="68">
        <f>($L140-$M140)-($N140-$O140)</f>
        <v/>
      </c>
      <c r="R140" s="68">
        <f>$L140-$N140</f>
        <v/>
      </c>
      <c r="S140" s="67">
        <f>"Finance invoice"</f>
        <v/>
      </c>
      <c r="T140" s="67">
        <f>"Revenue"</f>
        <v/>
      </c>
    </row>
    <row r="141">
      <c r="A141" s="65">
        <f>ROW()-5</f>
        <v/>
      </c>
      <c r="B141" s="66">
        <f>IFERROR(INDEX(tbl_Finance[Date],$A141),"")</f>
        <v/>
      </c>
      <c r="C141" s="67">
        <f>IFERROR(INDEX(tbl_Finance[Xero Invoice No],$A141),"")</f>
        <v/>
      </c>
      <c r="D141" s="67">
        <f>IFERROR(INDEX(tbl_Finance[Client],$A141),"")</f>
        <v/>
      </c>
      <c r="E141" s="67">
        <f>IFERROR(INDEX(tbl_Finance[Job Number],$A141),"")</f>
        <v/>
      </c>
      <c r="F141" s="67">
        <f>IFERROR(INDEX(tbl_Finance[Cost Centre],$A141),"")</f>
        <v/>
      </c>
      <c r="G141" s="68">
        <f>IFERROR(INDEX(tbl_Finance[Ex GST],$A141),"")</f>
        <v/>
      </c>
      <c r="H141" s="66">
        <f>IFERROR(INDEX(tbl_Finance[Defer Start],$A141),"")</f>
        <v/>
      </c>
      <c r="I141" s="66">
        <f>IFERROR(INDEX(tbl_Finance[Defer End],$A141),"")</f>
        <v/>
      </c>
      <c r="J141" s="65">
        <f>IF(OR($H141="",$I141="",$G141=""),"",MAX(1,(YEAR($I141)-YEAR($H141))*12+MONTH($I141)-MONTH($H141)+1))</f>
        <v/>
      </c>
      <c r="K141" s="68">
        <f>IF($J141="","",$G141/$J141)</f>
        <v/>
      </c>
      <c r="L141" s="68">
        <f>IF($J141="",0,$K141*MAX(0,MIN(YEAR($C$3)*12+MONTH($C$3),YEAR($I141)*12+MONTH($I141))-(YEAR($H141)*12+MONTH($H141))+1))</f>
        <v/>
      </c>
      <c r="M141" s="68">
        <f>IF($J141="",0,$K141*MAX(0,MIN(YEAR($C$3)*12+MONTH($C$3)-1,YEAR($I141)*12+MONTH($I141))-(YEAR($H141)*12+MONTH($H141))+1))</f>
        <v/>
      </c>
      <c r="N141" s="68">
        <f>IF(OR($J141="",$B141=""),0,IF(YEAR($B141)*12+MONTH($B141)&lt;=YEAR($C$3)*12+MONTH($C$3),$G141,0))</f>
        <v/>
      </c>
      <c r="O141" s="68">
        <f>IF(OR($J141="",$B141=""),0,IF(YEAR($B141)*12+MONTH($B141)&lt;=YEAR($C$3)*12+MONTH($C$3)-1,$G141,0))</f>
        <v/>
      </c>
      <c r="P141" s="68">
        <f>$M141-$O141</f>
        <v/>
      </c>
      <c r="Q141" s="68">
        <f>($L141-$M141)-($N141-$O141)</f>
        <v/>
      </c>
      <c r="R141" s="68">
        <f>$L141-$N141</f>
        <v/>
      </c>
      <c r="S141" s="67">
        <f>"Finance invoice"</f>
        <v/>
      </c>
      <c r="T141" s="67">
        <f>"Revenue"</f>
        <v/>
      </c>
    </row>
    <row r="142">
      <c r="A142" s="65">
        <f>ROW()-5</f>
        <v/>
      </c>
      <c r="B142" s="66">
        <f>IFERROR(INDEX(tbl_Finance[Date],$A142),"")</f>
        <v/>
      </c>
      <c r="C142" s="67">
        <f>IFERROR(INDEX(tbl_Finance[Xero Invoice No],$A142),"")</f>
        <v/>
      </c>
      <c r="D142" s="67">
        <f>IFERROR(INDEX(tbl_Finance[Client],$A142),"")</f>
        <v/>
      </c>
      <c r="E142" s="67">
        <f>IFERROR(INDEX(tbl_Finance[Job Number],$A142),"")</f>
        <v/>
      </c>
      <c r="F142" s="67">
        <f>IFERROR(INDEX(tbl_Finance[Cost Centre],$A142),"")</f>
        <v/>
      </c>
      <c r="G142" s="68">
        <f>IFERROR(INDEX(tbl_Finance[Ex GST],$A142),"")</f>
        <v/>
      </c>
      <c r="H142" s="66">
        <f>IFERROR(INDEX(tbl_Finance[Defer Start],$A142),"")</f>
        <v/>
      </c>
      <c r="I142" s="66">
        <f>IFERROR(INDEX(tbl_Finance[Defer End],$A142),"")</f>
        <v/>
      </c>
      <c r="J142" s="65">
        <f>IF(OR($H142="",$I142="",$G142=""),"",MAX(1,(YEAR($I142)-YEAR($H142))*12+MONTH($I142)-MONTH($H142)+1))</f>
        <v/>
      </c>
      <c r="K142" s="68">
        <f>IF($J142="","",$G142/$J142)</f>
        <v/>
      </c>
      <c r="L142" s="68">
        <f>IF($J142="",0,$K142*MAX(0,MIN(YEAR($C$3)*12+MONTH($C$3),YEAR($I142)*12+MONTH($I142))-(YEAR($H142)*12+MONTH($H142))+1))</f>
        <v/>
      </c>
      <c r="M142" s="68">
        <f>IF($J142="",0,$K142*MAX(0,MIN(YEAR($C$3)*12+MONTH($C$3)-1,YEAR($I142)*12+MONTH($I142))-(YEAR($H142)*12+MONTH($H142))+1))</f>
        <v/>
      </c>
      <c r="N142" s="68">
        <f>IF(OR($J142="",$B142=""),0,IF(YEAR($B142)*12+MONTH($B142)&lt;=YEAR($C$3)*12+MONTH($C$3),$G142,0))</f>
        <v/>
      </c>
      <c r="O142" s="68">
        <f>IF(OR($J142="",$B142=""),0,IF(YEAR($B142)*12+MONTH($B142)&lt;=YEAR($C$3)*12+MONTH($C$3)-1,$G142,0))</f>
        <v/>
      </c>
      <c r="P142" s="68">
        <f>$M142-$O142</f>
        <v/>
      </c>
      <c r="Q142" s="68">
        <f>($L142-$M142)-($N142-$O142)</f>
        <v/>
      </c>
      <c r="R142" s="68">
        <f>$L142-$N142</f>
        <v/>
      </c>
      <c r="S142" s="67">
        <f>"Finance invoice"</f>
        <v/>
      </c>
      <c r="T142" s="67">
        <f>"Revenue"</f>
        <v/>
      </c>
    </row>
    <row r="143">
      <c r="A143" s="65">
        <f>ROW()-5</f>
        <v/>
      </c>
      <c r="B143" s="66">
        <f>IFERROR(INDEX(tbl_Finance[Date],$A143),"")</f>
        <v/>
      </c>
      <c r="C143" s="67">
        <f>IFERROR(INDEX(tbl_Finance[Xero Invoice No],$A143),"")</f>
        <v/>
      </c>
      <c r="D143" s="67">
        <f>IFERROR(INDEX(tbl_Finance[Client],$A143),"")</f>
        <v/>
      </c>
      <c r="E143" s="67">
        <f>IFERROR(INDEX(tbl_Finance[Job Number],$A143),"")</f>
        <v/>
      </c>
      <c r="F143" s="67">
        <f>IFERROR(INDEX(tbl_Finance[Cost Centre],$A143),"")</f>
        <v/>
      </c>
      <c r="G143" s="68">
        <f>IFERROR(INDEX(tbl_Finance[Ex GST],$A143),"")</f>
        <v/>
      </c>
      <c r="H143" s="66">
        <f>IFERROR(INDEX(tbl_Finance[Defer Start],$A143),"")</f>
        <v/>
      </c>
      <c r="I143" s="66">
        <f>IFERROR(INDEX(tbl_Finance[Defer End],$A143),"")</f>
        <v/>
      </c>
      <c r="J143" s="65">
        <f>IF(OR($H143="",$I143="",$G143=""),"",MAX(1,(YEAR($I143)-YEAR($H143))*12+MONTH($I143)-MONTH($H143)+1))</f>
        <v/>
      </c>
      <c r="K143" s="68">
        <f>IF($J143="","",$G143/$J143)</f>
        <v/>
      </c>
      <c r="L143" s="68">
        <f>IF($J143="",0,$K143*MAX(0,MIN(YEAR($C$3)*12+MONTH($C$3),YEAR($I143)*12+MONTH($I143))-(YEAR($H143)*12+MONTH($H143))+1))</f>
        <v/>
      </c>
      <c r="M143" s="68">
        <f>IF($J143="",0,$K143*MAX(0,MIN(YEAR($C$3)*12+MONTH($C$3)-1,YEAR($I143)*12+MONTH($I143))-(YEAR($H143)*12+MONTH($H143))+1))</f>
        <v/>
      </c>
      <c r="N143" s="68">
        <f>IF(OR($J143="",$B143=""),0,IF(YEAR($B143)*12+MONTH($B143)&lt;=YEAR($C$3)*12+MONTH($C$3),$G143,0))</f>
        <v/>
      </c>
      <c r="O143" s="68">
        <f>IF(OR($J143="",$B143=""),0,IF(YEAR($B143)*12+MONTH($B143)&lt;=YEAR($C$3)*12+MONTH($C$3)-1,$G143,0))</f>
        <v/>
      </c>
      <c r="P143" s="68">
        <f>$M143-$O143</f>
        <v/>
      </c>
      <c r="Q143" s="68">
        <f>($L143-$M143)-($N143-$O143)</f>
        <v/>
      </c>
      <c r="R143" s="68">
        <f>$L143-$N143</f>
        <v/>
      </c>
      <c r="S143" s="67">
        <f>"Finance invoice"</f>
        <v/>
      </c>
      <c r="T143" s="67">
        <f>"Revenue"</f>
        <v/>
      </c>
    </row>
    <row r="144">
      <c r="A144" s="65">
        <f>ROW()-5</f>
        <v/>
      </c>
      <c r="B144" s="66">
        <f>IFERROR(INDEX(tbl_Finance[Date],$A144),"")</f>
        <v/>
      </c>
      <c r="C144" s="67">
        <f>IFERROR(INDEX(tbl_Finance[Xero Invoice No],$A144),"")</f>
        <v/>
      </c>
      <c r="D144" s="67">
        <f>IFERROR(INDEX(tbl_Finance[Client],$A144),"")</f>
        <v/>
      </c>
      <c r="E144" s="67">
        <f>IFERROR(INDEX(tbl_Finance[Job Number],$A144),"")</f>
        <v/>
      </c>
      <c r="F144" s="67">
        <f>IFERROR(INDEX(tbl_Finance[Cost Centre],$A144),"")</f>
        <v/>
      </c>
      <c r="G144" s="68">
        <f>IFERROR(INDEX(tbl_Finance[Ex GST],$A144),"")</f>
        <v/>
      </c>
      <c r="H144" s="66">
        <f>IFERROR(INDEX(tbl_Finance[Defer Start],$A144),"")</f>
        <v/>
      </c>
      <c r="I144" s="66">
        <f>IFERROR(INDEX(tbl_Finance[Defer End],$A144),"")</f>
        <v/>
      </c>
      <c r="J144" s="65">
        <f>IF(OR($H144="",$I144="",$G144=""),"",MAX(1,(YEAR($I144)-YEAR($H144))*12+MONTH($I144)-MONTH($H144)+1))</f>
        <v/>
      </c>
      <c r="K144" s="68">
        <f>IF($J144="","",$G144/$J144)</f>
        <v/>
      </c>
      <c r="L144" s="68">
        <f>IF($J144="",0,$K144*MAX(0,MIN(YEAR($C$3)*12+MONTH($C$3),YEAR($I144)*12+MONTH($I144))-(YEAR($H144)*12+MONTH($H144))+1))</f>
        <v/>
      </c>
      <c r="M144" s="68">
        <f>IF($J144="",0,$K144*MAX(0,MIN(YEAR($C$3)*12+MONTH($C$3)-1,YEAR($I144)*12+MONTH($I144))-(YEAR($H144)*12+MONTH($H144))+1))</f>
        <v/>
      </c>
      <c r="N144" s="68">
        <f>IF(OR($J144="",$B144=""),0,IF(YEAR($B144)*12+MONTH($B144)&lt;=YEAR($C$3)*12+MONTH($C$3),$G144,0))</f>
        <v/>
      </c>
      <c r="O144" s="68">
        <f>IF(OR($J144="",$B144=""),0,IF(YEAR($B144)*12+MONTH($B144)&lt;=YEAR($C$3)*12+MONTH($C$3)-1,$G144,0))</f>
        <v/>
      </c>
      <c r="P144" s="68">
        <f>$M144-$O144</f>
        <v/>
      </c>
      <c r="Q144" s="68">
        <f>($L144-$M144)-($N144-$O144)</f>
        <v/>
      </c>
      <c r="R144" s="68">
        <f>$L144-$N144</f>
        <v/>
      </c>
      <c r="S144" s="67">
        <f>"Finance invoice"</f>
        <v/>
      </c>
      <c r="T144" s="67">
        <f>"Revenue"</f>
        <v/>
      </c>
    </row>
    <row r="145">
      <c r="A145" s="65">
        <f>ROW()-5</f>
        <v/>
      </c>
      <c r="B145" s="66">
        <f>IFERROR(INDEX(tbl_Finance[Date],$A145),"")</f>
        <v/>
      </c>
      <c r="C145" s="67">
        <f>IFERROR(INDEX(tbl_Finance[Xero Invoice No],$A145),"")</f>
        <v/>
      </c>
      <c r="D145" s="67">
        <f>IFERROR(INDEX(tbl_Finance[Client],$A145),"")</f>
        <v/>
      </c>
      <c r="E145" s="67">
        <f>IFERROR(INDEX(tbl_Finance[Job Number],$A145),"")</f>
        <v/>
      </c>
      <c r="F145" s="67">
        <f>IFERROR(INDEX(tbl_Finance[Cost Centre],$A145),"")</f>
        <v/>
      </c>
      <c r="G145" s="68">
        <f>IFERROR(INDEX(tbl_Finance[Ex GST],$A145),"")</f>
        <v/>
      </c>
      <c r="H145" s="66">
        <f>IFERROR(INDEX(tbl_Finance[Defer Start],$A145),"")</f>
        <v/>
      </c>
      <c r="I145" s="66">
        <f>IFERROR(INDEX(tbl_Finance[Defer End],$A145),"")</f>
        <v/>
      </c>
      <c r="J145" s="65">
        <f>IF(OR($H145="",$I145="",$G145=""),"",MAX(1,(YEAR($I145)-YEAR($H145))*12+MONTH($I145)-MONTH($H145)+1))</f>
        <v/>
      </c>
      <c r="K145" s="68">
        <f>IF($J145="","",$G145/$J145)</f>
        <v/>
      </c>
      <c r="L145" s="68">
        <f>IF($J145="",0,$K145*MAX(0,MIN(YEAR($C$3)*12+MONTH($C$3),YEAR($I145)*12+MONTH($I145))-(YEAR($H145)*12+MONTH($H145))+1))</f>
        <v/>
      </c>
      <c r="M145" s="68">
        <f>IF($J145="",0,$K145*MAX(0,MIN(YEAR($C$3)*12+MONTH($C$3)-1,YEAR($I145)*12+MONTH($I145))-(YEAR($H145)*12+MONTH($H145))+1))</f>
        <v/>
      </c>
      <c r="N145" s="68">
        <f>IF(OR($J145="",$B145=""),0,IF(YEAR($B145)*12+MONTH($B145)&lt;=YEAR($C$3)*12+MONTH($C$3),$G145,0))</f>
        <v/>
      </c>
      <c r="O145" s="68">
        <f>IF(OR($J145="",$B145=""),0,IF(YEAR($B145)*12+MONTH($B145)&lt;=YEAR($C$3)*12+MONTH($C$3)-1,$G145,0))</f>
        <v/>
      </c>
      <c r="P145" s="68">
        <f>$M145-$O145</f>
        <v/>
      </c>
      <c r="Q145" s="68">
        <f>($L145-$M145)-($N145-$O145)</f>
        <v/>
      </c>
      <c r="R145" s="68">
        <f>$L145-$N145</f>
        <v/>
      </c>
      <c r="S145" s="67">
        <f>"Finance invoice"</f>
        <v/>
      </c>
      <c r="T145" s="67">
        <f>"Revenue"</f>
        <v/>
      </c>
    </row>
    <row r="146">
      <c r="A146" s="65">
        <f>ROW()-5</f>
        <v/>
      </c>
      <c r="B146" s="66">
        <f>IFERROR(INDEX(tbl_Finance[Date],$A146),"")</f>
        <v/>
      </c>
      <c r="C146" s="67">
        <f>IFERROR(INDEX(tbl_Finance[Xero Invoice No],$A146),"")</f>
        <v/>
      </c>
      <c r="D146" s="67">
        <f>IFERROR(INDEX(tbl_Finance[Client],$A146),"")</f>
        <v/>
      </c>
      <c r="E146" s="67">
        <f>IFERROR(INDEX(tbl_Finance[Job Number],$A146),"")</f>
        <v/>
      </c>
      <c r="F146" s="67">
        <f>IFERROR(INDEX(tbl_Finance[Cost Centre],$A146),"")</f>
        <v/>
      </c>
      <c r="G146" s="68">
        <f>IFERROR(INDEX(tbl_Finance[Ex GST],$A146),"")</f>
        <v/>
      </c>
      <c r="H146" s="66">
        <f>IFERROR(INDEX(tbl_Finance[Defer Start],$A146),"")</f>
        <v/>
      </c>
      <c r="I146" s="66">
        <f>IFERROR(INDEX(tbl_Finance[Defer End],$A146),"")</f>
        <v/>
      </c>
      <c r="J146" s="65">
        <f>IF(OR($H146="",$I146="",$G146=""),"",MAX(1,(YEAR($I146)-YEAR($H146))*12+MONTH($I146)-MONTH($H146)+1))</f>
        <v/>
      </c>
      <c r="K146" s="68">
        <f>IF($J146="","",$G146/$J146)</f>
        <v/>
      </c>
      <c r="L146" s="68">
        <f>IF($J146="",0,$K146*MAX(0,MIN(YEAR($C$3)*12+MONTH($C$3),YEAR($I146)*12+MONTH($I146))-(YEAR($H146)*12+MONTH($H146))+1))</f>
        <v/>
      </c>
      <c r="M146" s="68">
        <f>IF($J146="",0,$K146*MAX(0,MIN(YEAR($C$3)*12+MONTH($C$3)-1,YEAR($I146)*12+MONTH($I146))-(YEAR($H146)*12+MONTH($H146))+1))</f>
        <v/>
      </c>
      <c r="N146" s="68">
        <f>IF(OR($J146="",$B146=""),0,IF(YEAR($B146)*12+MONTH($B146)&lt;=YEAR($C$3)*12+MONTH($C$3),$G146,0))</f>
        <v/>
      </c>
      <c r="O146" s="68">
        <f>IF(OR($J146="",$B146=""),0,IF(YEAR($B146)*12+MONTH($B146)&lt;=YEAR($C$3)*12+MONTH($C$3)-1,$G146,0))</f>
        <v/>
      </c>
      <c r="P146" s="68">
        <f>$M146-$O146</f>
        <v/>
      </c>
      <c r="Q146" s="68">
        <f>($L146-$M146)-($N146-$O146)</f>
        <v/>
      </c>
      <c r="R146" s="68">
        <f>$L146-$N146</f>
        <v/>
      </c>
      <c r="S146" s="67">
        <f>"Finance invoice"</f>
        <v/>
      </c>
      <c r="T146" s="67">
        <f>"Revenue"</f>
        <v/>
      </c>
    </row>
    <row r="147">
      <c r="A147" s="65">
        <f>ROW()-5</f>
        <v/>
      </c>
      <c r="B147" s="66">
        <f>IFERROR(INDEX(tbl_Finance[Date],$A147),"")</f>
        <v/>
      </c>
      <c r="C147" s="67">
        <f>IFERROR(INDEX(tbl_Finance[Xero Invoice No],$A147),"")</f>
        <v/>
      </c>
      <c r="D147" s="67">
        <f>IFERROR(INDEX(tbl_Finance[Client],$A147),"")</f>
        <v/>
      </c>
      <c r="E147" s="67">
        <f>IFERROR(INDEX(tbl_Finance[Job Number],$A147),"")</f>
        <v/>
      </c>
      <c r="F147" s="67">
        <f>IFERROR(INDEX(tbl_Finance[Cost Centre],$A147),"")</f>
        <v/>
      </c>
      <c r="G147" s="68">
        <f>IFERROR(INDEX(tbl_Finance[Ex GST],$A147),"")</f>
        <v/>
      </c>
      <c r="H147" s="66">
        <f>IFERROR(INDEX(tbl_Finance[Defer Start],$A147),"")</f>
        <v/>
      </c>
      <c r="I147" s="66">
        <f>IFERROR(INDEX(tbl_Finance[Defer End],$A147),"")</f>
        <v/>
      </c>
      <c r="J147" s="65">
        <f>IF(OR($H147="",$I147="",$G147=""),"",MAX(1,(YEAR($I147)-YEAR($H147))*12+MONTH($I147)-MONTH($H147)+1))</f>
        <v/>
      </c>
      <c r="K147" s="68">
        <f>IF($J147="","",$G147/$J147)</f>
        <v/>
      </c>
      <c r="L147" s="68">
        <f>IF($J147="",0,$K147*MAX(0,MIN(YEAR($C$3)*12+MONTH($C$3),YEAR($I147)*12+MONTH($I147))-(YEAR($H147)*12+MONTH($H147))+1))</f>
        <v/>
      </c>
      <c r="M147" s="68">
        <f>IF($J147="",0,$K147*MAX(0,MIN(YEAR($C$3)*12+MONTH($C$3)-1,YEAR($I147)*12+MONTH($I147))-(YEAR($H147)*12+MONTH($H147))+1))</f>
        <v/>
      </c>
      <c r="N147" s="68">
        <f>IF(OR($J147="",$B147=""),0,IF(YEAR($B147)*12+MONTH($B147)&lt;=YEAR($C$3)*12+MONTH($C$3),$G147,0))</f>
        <v/>
      </c>
      <c r="O147" s="68">
        <f>IF(OR($J147="",$B147=""),0,IF(YEAR($B147)*12+MONTH($B147)&lt;=YEAR($C$3)*12+MONTH($C$3)-1,$G147,0))</f>
        <v/>
      </c>
      <c r="P147" s="68">
        <f>$M147-$O147</f>
        <v/>
      </c>
      <c r="Q147" s="68">
        <f>($L147-$M147)-($N147-$O147)</f>
        <v/>
      </c>
      <c r="R147" s="68">
        <f>$L147-$N147</f>
        <v/>
      </c>
      <c r="S147" s="67">
        <f>"Finance invoice"</f>
        <v/>
      </c>
      <c r="T147" s="67">
        <f>"Revenue"</f>
        <v/>
      </c>
    </row>
    <row r="148">
      <c r="A148" s="65">
        <f>ROW()-5</f>
        <v/>
      </c>
      <c r="B148" s="66">
        <f>IFERROR(INDEX(tbl_Finance[Date],$A148),"")</f>
        <v/>
      </c>
      <c r="C148" s="67">
        <f>IFERROR(INDEX(tbl_Finance[Xero Invoice No],$A148),"")</f>
        <v/>
      </c>
      <c r="D148" s="67">
        <f>IFERROR(INDEX(tbl_Finance[Client],$A148),"")</f>
        <v/>
      </c>
      <c r="E148" s="67">
        <f>IFERROR(INDEX(tbl_Finance[Job Number],$A148),"")</f>
        <v/>
      </c>
      <c r="F148" s="67">
        <f>IFERROR(INDEX(tbl_Finance[Cost Centre],$A148),"")</f>
        <v/>
      </c>
      <c r="G148" s="68">
        <f>IFERROR(INDEX(tbl_Finance[Ex GST],$A148),"")</f>
        <v/>
      </c>
      <c r="H148" s="66">
        <f>IFERROR(INDEX(tbl_Finance[Defer Start],$A148),"")</f>
        <v/>
      </c>
      <c r="I148" s="66">
        <f>IFERROR(INDEX(tbl_Finance[Defer End],$A148),"")</f>
        <v/>
      </c>
      <c r="J148" s="65">
        <f>IF(OR($H148="",$I148="",$G148=""),"",MAX(1,(YEAR($I148)-YEAR($H148))*12+MONTH($I148)-MONTH($H148)+1))</f>
        <v/>
      </c>
      <c r="K148" s="68">
        <f>IF($J148="","",$G148/$J148)</f>
        <v/>
      </c>
      <c r="L148" s="68">
        <f>IF($J148="",0,$K148*MAX(0,MIN(YEAR($C$3)*12+MONTH($C$3),YEAR($I148)*12+MONTH($I148))-(YEAR($H148)*12+MONTH($H148))+1))</f>
        <v/>
      </c>
      <c r="M148" s="68">
        <f>IF($J148="",0,$K148*MAX(0,MIN(YEAR($C$3)*12+MONTH($C$3)-1,YEAR($I148)*12+MONTH($I148))-(YEAR($H148)*12+MONTH($H148))+1))</f>
        <v/>
      </c>
      <c r="N148" s="68">
        <f>IF(OR($J148="",$B148=""),0,IF(YEAR($B148)*12+MONTH($B148)&lt;=YEAR($C$3)*12+MONTH($C$3),$G148,0))</f>
        <v/>
      </c>
      <c r="O148" s="68">
        <f>IF(OR($J148="",$B148=""),0,IF(YEAR($B148)*12+MONTH($B148)&lt;=YEAR($C$3)*12+MONTH($C$3)-1,$G148,0))</f>
        <v/>
      </c>
      <c r="P148" s="68">
        <f>$M148-$O148</f>
        <v/>
      </c>
      <c r="Q148" s="68">
        <f>($L148-$M148)-($N148-$O148)</f>
        <v/>
      </c>
      <c r="R148" s="68">
        <f>$L148-$N148</f>
        <v/>
      </c>
      <c r="S148" s="67">
        <f>"Finance invoice"</f>
        <v/>
      </c>
      <c r="T148" s="67">
        <f>"Revenue"</f>
        <v/>
      </c>
    </row>
    <row r="149">
      <c r="A149" s="65">
        <f>ROW()-5</f>
        <v/>
      </c>
      <c r="B149" s="66">
        <f>IFERROR(INDEX(tbl_Finance[Date],$A149),"")</f>
        <v/>
      </c>
      <c r="C149" s="67">
        <f>IFERROR(INDEX(tbl_Finance[Xero Invoice No],$A149),"")</f>
        <v/>
      </c>
      <c r="D149" s="67">
        <f>IFERROR(INDEX(tbl_Finance[Client],$A149),"")</f>
        <v/>
      </c>
      <c r="E149" s="67">
        <f>IFERROR(INDEX(tbl_Finance[Job Number],$A149),"")</f>
        <v/>
      </c>
      <c r="F149" s="67">
        <f>IFERROR(INDEX(tbl_Finance[Cost Centre],$A149),"")</f>
        <v/>
      </c>
      <c r="G149" s="68">
        <f>IFERROR(INDEX(tbl_Finance[Ex GST],$A149),"")</f>
        <v/>
      </c>
      <c r="H149" s="66">
        <f>IFERROR(INDEX(tbl_Finance[Defer Start],$A149),"")</f>
        <v/>
      </c>
      <c r="I149" s="66">
        <f>IFERROR(INDEX(tbl_Finance[Defer End],$A149),"")</f>
        <v/>
      </c>
      <c r="J149" s="65">
        <f>IF(OR($H149="",$I149="",$G149=""),"",MAX(1,(YEAR($I149)-YEAR($H149))*12+MONTH($I149)-MONTH($H149)+1))</f>
        <v/>
      </c>
      <c r="K149" s="68">
        <f>IF($J149="","",$G149/$J149)</f>
        <v/>
      </c>
      <c r="L149" s="68">
        <f>IF($J149="",0,$K149*MAX(0,MIN(YEAR($C$3)*12+MONTH($C$3),YEAR($I149)*12+MONTH($I149))-(YEAR($H149)*12+MONTH($H149))+1))</f>
        <v/>
      </c>
      <c r="M149" s="68">
        <f>IF($J149="",0,$K149*MAX(0,MIN(YEAR($C$3)*12+MONTH($C$3)-1,YEAR($I149)*12+MONTH($I149))-(YEAR($H149)*12+MONTH($H149))+1))</f>
        <v/>
      </c>
      <c r="N149" s="68">
        <f>IF(OR($J149="",$B149=""),0,IF(YEAR($B149)*12+MONTH($B149)&lt;=YEAR($C$3)*12+MONTH($C$3),$G149,0))</f>
        <v/>
      </c>
      <c r="O149" s="68">
        <f>IF(OR($J149="",$B149=""),0,IF(YEAR($B149)*12+MONTH($B149)&lt;=YEAR($C$3)*12+MONTH($C$3)-1,$G149,0))</f>
        <v/>
      </c>
      <c r="P149" s="68">
        <f>$M149-$O149</f>
        <v/>
      </c>
      <c r="Q149" s="68">
        <f>($L149-$M149)-($N149-$O149)</f>
        <v/>
      </c>
      <c r="R149" s="68">
        <f>$L149-$N149</f>
        <v/>
      </c>
      <c r="S149" s="67">
        <f>"Finance invoice"</f>
        <v/>
      </c>
      <c r="T149" s="67">
        <f>"Revenue"</f>
        <v/>
      </c>
    </row>
    <row r="150">
      <c r="A150" s="65">
        <f>ROW()-5</f>
        <v/>
      </c>
      <c r="B150" s="66">
        <f>IFERROR(INDEX(tbl_Finance[Date],$A150),"")</f>
        <v/>
      </c>
      <c r="C150" s="67">
        <f>IFERROR(INDEX(tbl_Finance[Xero Invoice No],$A150),"")</f>
        <v/>
      </c>
      <c r="D150" s="67">
        <f>IFERROR(INDEX(tbl_Finance[Client],$A150),"")</f>
        <v/>
      </c>
      <c r="E150" s="67">
        <f>IFERROR(INDEX(tbl_Finance[Job Number],$A150),"")</f>
        <v/>
      </c>
      <c r="F150" s="67">
        <f>IFERROR(INDEX(tbl_Finance[Cost Centre],$A150),"")</f>
        <v/>
      </c>
      <c r="G150" s="68">
        <f>IFERROR(INDEX(tbl_Finance[Ex GST],$A150),"")</f>
        <v/>
      </c>
      <c r="H150" s="66">
        <f>IFERROR(INDEX(tbl_Finance[Defer Start],$A150),"")</f>
        <v/>
      </c>
      <c r="I150" s="66">
        <f>IFERROR(INDEX(tbl_Finance[Defer End],$A150),"")</f>
        <v/>
      </c>
      <c r="J150" s="65">
        <f>IF(OR($H150="",$I150="",$G150=""),"",MAX(1,(YEAR($I150)-YEAR($H150))*12+MONTH($I150)-MONTH($H150)+1))</f>
        <v/>
      </c>
      <c r="K150" s="68">
        <f>IF($J150="","",$G150/$J150)</f>
        <v/>
      </c>
      <c r="L150" s="68">
        <f>IF($J150="",0,$K150*MAX(0,MIN(YEAR($C$3)*12+MONTH($C$3),YEAR($I150)*12+MONTH($I150))-(YEAR($H150)*12+MONTH($H150))+1))</f>
        <v/>
      </c>
      <c r="M150" s="68">
        <f>IF($J150="",0,$K150*MAX(0,MIN(YEAR($C$3)*12+MONTH($C$3)-1,YEAR($I150)*12+MONTH($I150))-(YEAR($H150)*12+MONTH($H150))+1))</f>
        <v/>
      </c>
      <c r="N150" s="68">
        <f>IF(OR($J150="",$B150=""),0,IF(YEAR($B150)*12+MONTH($B150)&lt;=YEAR($C$3)*12+MONTH($C$3),$G150,0))</f>
        <v/>
      </c>
      <c r="O150" s="68">
        <f>IF(OR($J150="",$B150=""),0,IF(YEAR($B150)*12+MONTH($B150)&lt;=YEAR($C$3)*12+MONTH($C$3)-1,$G150,0))</f>
        <v/>
      </c>
      <c r="P150" s="68">
        <f>$M150-$O150</f>
        <v/>
      </c>
      <c r="Q150" s="68">
        <f>($L150-$M150)-($N150-$O150)</f>
        <v/>
      </c>
      <c r="R150" s="68">
        <f>$L150-$N150</f>
        <v/>
      </c>
      <c r="S150" s="67">
        <f>"Finance invoice"</f>
        <v/>
      </c>
      <c r="T150" s="67">
        <f>"Revenue"</f>
        <v/>
      </c>
    </row>
    <row r="151">
      <c r="A151" s="65">
        <f>ROW()-5</f>
        <v/>
      </c>
      <c r="B151" s="66">
        <f>IFERROR(INDEX(tbl_Finance[Date],$A151),"")</f>
        <v/>
      </c>
      <c r="C151" s="67">
        <f>IFERROR(INDEX(tbl_Finance[Xero Invoice No],$A151),"")</f>
        <v/>
      </c>
      <c r="D151" s="67">
        <f>IFERROR(INDEX(tbl_Finance[Client],$A151),"")</f>
        <v/>
      </c>
      <c r="E151" s="67">
        <f>IFERROR(INDEX(tbl_Finance[Job Number],$A151),"")</f>
        <v/>
      </c>
      <c r="F151" s="67">
        <f>IFERROR(INDEX(tbl_Finance[Cost Centre],$A151),"")</f>
        <v/>
      </c>
      <c r="G151" s="68">
        <f>IFERROR(INDEX(tbl_Finance[Ex GST],$A151),"")</f>
        <v/>
      </c>
      <c r="H151" s="66">
        <f>IFERROR(INDEX(tbl_Finance[Defer Start],$A151),"")</f>
        <v/>
      </c>
      <c r="I151" s="66">
        <f>IFERROR(INDEX(tbl_Finance[Defer End],$A151),"")</f>
        <v/>
      </c>
      <c r="J151" s="65">
        <f>IF(OR($H151="",$I151="",$G151=""),"",MAX(1,(YEAR($I151)-YEAR($H151))*12+MONTH($I151)-MONTH($H151)+1))</f>
        <v/>
      </c>
      <c r="K151" s="68">
        <f>IF($J151="","",$G151/$J151)</f>
        <v/>
      </c>
      <c r="L151" s="68">
        <f>IF($J151="",0,$K151*MAX(0,MIN(YEAR($C$3)*12+MONTH($C$3),YEAR($I151)*12+MONTH($I151))-(YEAR($H151)*12+MONTH($H151))+1))</f>
        <v/>
      </c>
      <c r="M151" s="68">
        <f>IF($J151="",0,$K151*MAX(0,MIN(YEAR($C$3)*12+MONTH($C$3)-1,YEAR($I151)*12+MONTH($I151))-(YEAR($H151)*12+MONTH($H151))+1))</f>
        <v/>
      </c>
      <c r="N151" s="68">
        <f>IF(OR($J151="",$B151=""),0,IF(YEAR($B151)*12+MONTH($B151)&lt;=YEAR($C$3)*12+MONTH($C$3),$G151,0))</f>
        <v/>
      </c>
      <c r="O151" s="68">
        <f>IF(OR($J151="",$B151=""),0,IF(YEAR($B151)*12+MONTH($B151)&lt;=YEAR($C$3)*12+MONTH($C$3)-1,$G151,0))</f>
        <v/>
      </c>
      <c r="P151" s="68">
        <f>$M151-$O151</f>
        <v/>
      </c>
      <c r="Q151" s="68">
        <f>($L151-$M151)-($N151-$O151)</f>
        <v/>
      </c>
      <c r="R151" s="68">
        <f>$L151-$N151</f>
        <v/>
      </c>
      <c r="S151" s="67">
        <f>"Finance invoice"</f>
        <v/>
      </c>
      <c r="T151" s="67">
        <f>"Revenue"</f>
        <v/>
      </c>
    </row>
    <row r="152">
      <c r="A152" s="65">
        <f>ROW()-5</f>
        <v/>
      </c>
      <c r="B152" s="66">
        <f>IFERROR(INDEX(tbl_Finance[Date],$A152),"")</f>
        <v/>
      </c>
      <c r="C152" s="67">
        <f>IFERROR(INDEX(tbl_Finance[Xero Invoice No],$A152),"")</f>
        <v/>
      </c>
      <c r="D152" s="67">
        <f>IFERROR(INDEX(tbl_Finance[Client],$A152),"")</f>
        <v/>
      </c>
      <c r="E152" s="67">
        <f>IFERROR(INDEX(tbl_Finance[Job Number],$A152),"")</f>
        <v/>
      </c>
      <c r="F152" s="67">
        <f>IFERROR(INDEX(tbl_Finance[Cost Centre],$A152),"")</f>
        <v/>
      </c>
      <c r="G152" s="68">
        <f>IFERROR(INDEX(tbl_Finance[Ex GST],$A152),"")</f>
        <v/>
      </c>
      <c r="H152" s="66">
        <f>IFERROR(INDEX(tbl_Finance[Defer Start],$A152),"")</f>
        <v/>
      </c>
      <c r="I152" s="66">
        <f>IFERROR(INDEX(tbl_Finance[Defer End],$A152),"")</f>
        <v/>
      </c>
      <c r="J152" s="65">
        <f>IF(OR($H152="",$I152="",$G152=""),"",MAX(1,(YEAR($I152)-YEAR($H152))*12+MONTH($I152)-MONTH($H152)+1))</f>
        <v/>
      </c>
      <c r="K152" s="68">
        <f>IF($J152="","",$G152/$J152)</f>
        <v/>
      </c>
      <c r="L152" s="68">
        <f>IF($J152="",0,$K152*MAX(0,MIN(YEAR($C$3)*12+MONTH($C$3),YEAR($I152)*12+MONTH($I152))-(YEAR($H152)*12+MONTH($H152))+1))</f>
        <v/>
      </c>
      <c r="M152" s="68">
        <f>IF($J152="",0,$K152*MAX(0,MIN(YEAR($C$3)*12+MONTH($C$3)-1,YEAR($I152)*12+MONTH($I152))-(YEAR($H152)*12+MONTH($H152))+1))</f>
        <v/>
      </c>
      <c r="N152" s="68">
        <f>IF(OR($J152="",$B152=""),0,IF(YEAR($B152)*12+MONTH($B152)&lt;=YEAR($C$3)*12+MONTH($C$3),$G152,0))</f>
        <v/>
      </c>
      <c r="O152" s="68">
        <f>IF(OR($J152="",$B152=""),0,IF(YEAR($B152)*12+MONTH($B152)&lt;=YEAR($C$3)*12+MONTH($C$3)-1,$G152,0))</f>
        <v/>
      </c>
      <c r="P152" s="68">
        <f>$M152-$O152</f>
        <v/>
      </c>
      <c r="Q152" s="68">
        <f>($L152-$M152)-($N152-$O152)</f>
        <v/>
      </c>
      <c r="R152" s="68">
        <f>$L152-$N152</f>
        <v/>
      </c>
      <c r="S152" s="67">
        <f>"Finance invoice"</f>
        <v/>
      </c>
      <c r="T152" s="67">
        <f>"Revenue"</f>
        <v/>
      </c>
    </row>
    <row r="153">
      <c r="A153" s="65">
        <f>ROW()-5</f>
        <v/>
      </c>
      <c r="B153" s="66">
        <f>IFERROR(INDEX(tbl_Finance[Date],$A153),"")</f>
        <v/>
      </c>
      <c r="C153" s="67">
        <f>IFERROR(INDEX(tbl_Finance[Xero Invoice No],$A153),"")</f>
        <v/>
      </c>
      <c r="D153" s="67">
        <f>IFERROR(INDEX(tbl_Finance[Client],$A153),"")</f>
        <v/>
      </c>
      <c r="E153" s="67">
        <f>IFERROR(INDEX(tbl_Finance[Job Number],$A153),"")</f>
        <v/>
      </c>
      <c r="F153" s="67">
        <f>IFERROR(INDEX(tbl_Finance[Cost Centre],$A153),"")</f>
        <v/>
      </c>
      <c r="G153" s="68">
        <f>IFERROR(INDEX(tbl_Finance[Ex GST],$A153),"")</f>
        <v/>
      </c>
      <c r="H153" s="66">
        <f>IFERROR(INDEX(tbl_Finance[Defer Start],$A153),"")</f>
        <v/>
      </c>
      <c r="I153" s="66">
        <f>IFERROR(INDEX(tbl_Finance[Defer End],$A153),"")</f>
        <v/>
      </c>
      <c r="J153" s="65">
        <f>IF(OR($H153="",$I153="",$G153=""),"",MAX(1,(YEAR($I153)-YEAR($H153))*12+MONTH($I153)-MONTH($H153)+1))</f>
        <v/>
      </c>
      <c r="K153" s="68">
        <f>IF($J153="","",$G153/$J153)</f>
        <v/>
      </c>
      <c r="L153" s="68">
        <f>IF($J153="",0,$K153*MAX(0,MIN(YEAR($C$3)*12+MONTH($C$3),YEAR($I153)*12+MONTH($I153))-(YEAR($H153)*12+MONTH($H153))+1))</f>
        <v/>
      </c>
      <c r="M153" s="68">
        <f>IF($J153="",0,$K153*MAX(0,MIN(YEAR($C$3)*12+MONTH($C$3)-1,YEAR($I153)*12+MONTH($I153))-(YEAR($H153)*12+MONTH($H153))+1))</f>
        <v/>
      </c>
      <c r="N153" s="68">
        <f>IF(OR($J153="",$B153=""),0,IF(YEAR($B153)*12+MONTH($B153)&lt;=YEAR($C$3)*12+MONTH($C$3),$G153,0))</f>
        <v/>
      </c>
      <c r="O153" s="68">
        <f>IF(OR($J153="",$B153=""),0,IF(YEAR($B153)*12+MONTH($B153)&lt;=YEAR($C$3)*12+MONTH($C$3)-1,$G153,0))</f>
        <v/>
      </c>
      <c r="P153" s="68">
        <f>$M153-$O153</f>
        <v/>
      </c>
      <c r="Q153" s="68">
        <f>($L153-$M153)-($N153-$O153)</f>
        <v/>
      </c>
      <c r="R153" s="68">
        <f>$L153-$N153</f>
        <v/>
      </c>
      <c r="S153" s="67">
        <f>"Finance invoice"</f>
        <v/>
      </c>
      <c r="T153" s="67">
        <f>"Revenue"</f>
        <v/>
      </c>
    </row>
    <row r="154">
      <c r="A154" s="65">
        <f>ROW()-5</f>
        <v/>
      </c>
      <c r="B154" s="66">
        <f>IFERROR(INDEX(tbl_Finance[Date],$A154),"")</f>
        <v/>
      </c>
      <c r="C154" s="67">
        <f>IFERROR(INDEX(tbl_Finance[Xero Invoice No],$A154),"")</f>
        <v/>
      </c>
      <c r="D154" s="67">
        <f>IFERROR(INDEX(tbl_Finance[Client],$A154),"")</f>
        <v/>
      </c>
      <c r="E154" s="67">
        <f>IFERROR(INDEX(tbl_Finance[Job Number],$A154),"")</f>
        <v/>
      </c>
      <c r="F154" s="67">
        <f>IFERROR(INDEX(tbl_Finance[Cost Centre],$A154),"")</f>
        <v/>
      </c>
      <c r="G154" s="68">
        <f>IFERROR(INDEX(tbl_Finance[Ex GST],$A154),"")</f>
        <v/>
      </c>
      <c r="H154" s="66">
        <f>IFERROR(INDEX(tbl_Finance[Defer Start],$A154),"")</f>
        <v/>
      </c>
      <c r="I154" s="66">
        <f>IFERROR(INDEX(tbl_Finance[Defer End],$A154),"")</f>
        <v/>
      </c>
      <c r="J154" s="65">
        <f>IF(OR($H154="",$I154="",$G154=""),"",MAX(1,(YEAR($I154)-YEAR($H154))*12+MONTH($I154)-MONTH($H154)+1))</f>
        <v/>
      </c>
      <c r="K154" s="68">
        <f>IF($J154="","",$G154/$J154)</f>
        <v/>
      </c>
      <c r="L154" s="68">
        <f>IF($J154="",0,$K154*MAX(0,MIN(YEAR($C$3)*12+MONTH($C$3),YEAR($I154)*12+MONTH($I154))-(YEAR($H154)*12+MONTH($H154))+1))</f>
        <v/>
      </c>
      <c r="M154" s="68">
        <f>IF($J154="",0,$K154*MAX(0,MIN(YEAR($C$3)*12+MONTH($C$3)-1,YEAR($I154)*12+MONTH($I154))-(YEAR($H154)*12+MONTH($H154))+1))</f>
        <v/>
      </c>
      <c r="N154" s="68">
        <f>IF(OR($J154="",$B154=""),0,IF(YEAR($B154)*12+MONTH($B154)&lt;=YEAR($C$3)*12+MONTH($C$3),$G154,0))</f>
        <v/>
      </c>
      <c r="O154" s="68">
        <f>IF(OR($J154="",$B154=""),0,IF(YEAR($B154)*12+MONTH($B154)&lt;=YEAR($C$3)*12+MONTH($C$3)-1,$G154,0))</f>
        <v/>
      </c>
      <c r="P154" s="68">
        <f>$M154-$O154</f>
        <v/>
      </c>
      <c r="Q154" s="68">
        <f>($L154-$M154)-($N154-$O154)</f>
        <v/>
      </c>
      <c r="R154" s="68">
        <f>$L154-$N154</f>
        <v/>
      </c>
      <c r="S154" s="67">
        <f>"Finance invoice"</f>
        <v/>
      </c>
      <c r="T154" s="67">
        <f>"Revenue"</f>
        <v/>
      </c>
    </row>
    <row r="155">
      <c r="A155" s="65">
        <f>ROW()-5</f>
        <v/>
      </c>
      <c r="B155" s="66">
        <f>IFERROR(INDEX(tbl_Finance[Date],$A155),"")</f>
        <v/>
      </c>
      <c r="C155" s="67">
        <f>IFERROR(INDEX(tbl_Finance[Xero Invoice No],$A155),"")</f>
        <v/>
      </c>
      <c r="D155" s="67">
        <f>IFERROR(INDEX(tbl_Finance[Client],$A155),"")</f>
        <v/>
      </c>
      <c r="E155" s="67">
        <f>IFERROR(INDEX(tbl_Finance[Job Number],$A155),"")</f>
        <v/>
      </c>
      <c r="F155" s="67">
        <f>IFERROR(INDEX(tbl_Finance[Cost Centre],$A155),"")</f>
        <v/>
      </c>
      <c r="G155" s="68">
        <f>IFERROR(INDEX(tbl_Finance[Ex GST],$A155),"")</f>
        <v/>
      </c>
      <c r="H155" s="66">
        <f>IFERROR(INDEX(tbl_Finance[Defer Start],$A155),"")</f>
        <v/>
      </c>
      <c r="I155" s="66">
        <f>IFERROR(INDEX(tbl_Finance[Defer End],$A155),"")</f>
        <v/>
      </c>
      <c r="J155" s="65">
        <f>IF(OR($H155="",$I155="",$G155=""),"",MAX(1,(YEAR($I155)-YEAR($H155))*12+MONTH($I155)-MONTH($H155)+1))</f>
        <v/>
      </c>
      <c r="K155" s="68">
        <f>IF($J155="","",$G155/$J155)</f>
        <v/>
      </c>
      <c r="L155" s="68">
        <f>IF($J155="",0,$K155*MAX(0,MIN(YEAR($C$3)*12+MONTH($C$3),YEAR($I155)*12+MONTH($I155))-(YEAR($H155)*12+MONTH($H155))+1))</f>
        <v/>
      </c>
      <c r="M155" s="68">
        <f>IF($J155="",0,$K155*MAX(0,MIN(YEAR($C$3)*12+MONTH($C$3)-1,YEAR($I155)*12+MONTH($I155))-(YEAR($H155)*12+MONTH($H155))+1))</f>
        <v/>
      </c>
      <c r="N155" s="68">
        <f>IF(OR($J155="",$B155=""),0,IF(YEAR($B155)*12+MONTH($B155)&lt;=YEAR($C$3)*12+MONTH($C$3),$G155,0))</f>
        <v/>
      </c>
      <c r="O155" s="68">
        <f>IF(OR($J155="",$B155=""),0,IF(YEAR($B155)*12+MONTH($B155)&lt;=YEAR($C$3)*12+MONTH($C$3)-1,$G155,0))</f>
        <v/>
      </c>
      <c r="P155" s="68">
        <f>$M155-$O155</f>
        <v/>
      </c>
      <c r="Q155" s="68">
        <f>($L155-$M155)-($N155-$O155)</f>
        <v/>
      </c>
      <c r="R155" s="68">
        <f>$L155-$N155</f>
        <v/>
      </c>
      <c r="S155" s="67">
        <f>"Finance invoice"</f>
        <v/>
      </c>
      <c r="T155" s="67">
        <f>"Revenue"</f>
        <v/>
      </c>
    </row>
    <row r="156">
      <c r="A156" s="65">
        <f>ROW()-5</f>
        <v/>
      </c>
      <c r="B156" s="66">
        <f>IFERROR(INDEX(tbl_Finance[Date],$A156),"")</f>
        <v/>
      </c>
      <c r="C156" s="67">
        <f>IFERROR(INDEX(tbl_Finance[Xero Invoice No],$A156),"")</f>
        <v/>
      </c>
      <c r="D156" s="67">
        <f>IFERROR(INDEX(tbl_Finance[Client],$A156),"")</f>
        <v/>
      </c>
      <c r="E156" s="67">
        <f>IFERROR(INDEX(tbl_Finance[Job Number],$A156),"")</f>
        <v/>
      </c>
      <c r="F156" s="67">
        <f>IFERROR(INDEX(tbl_Finance[Cost Centre],$A156),"")</f>
        <v/>
      </c>
      <c r="G156" s="68">
        <f>IFERROR(INDEX(tbl_Finance[Ex GST],$A156),"")</f>
        <v/>
      </c>
      <c r="H156" s="66">
        <f>IFERROR(INDEX(tbl_Finance[Defer Start],$A156),"")</f>
        <v/>
      </c>
      <c r="I156" s="66">
        <f>IFERROR(INDEX(tbl_Finance[Defer End],$A156),"")</f>
        <v/>
      </c>
      <c r="J156" s="65">
        <f>IF(OR($H156="",$I156="",$G156=""),"",MAX(1,(YEAR($I156)-YEAR($H156))*12+MONTH($I156)-MONTH($H156)+1))</f>
        <v/>
      </c>
      <c r="K156" s="68">
        <f>IF($J156="","",$G156/$J156)</f>
        <v/>
      </c>
      <c r="L156" s="68">
        <f>IF($J156="",0,$K156*MAX(0,MIN(YEAR($C$3)*12+MONTH($C$3),YEAR($I156)*12+MONTH($I156))-(YEAR($H156)*12+MONTH($H156))+1))</f>
        <v/>
      </c>
      <c r="M156" s="68">
        <f>IF($J156="",0,$K156*MAX(0,MIN(YEAR($C$3)*12+MONTH($C$3)-1,YEAR($I156)*12+MONTH($I156))-(YEAR($H156)*12+MONTH($H156))+1))</f>
        <v/>
      </c>
      <c r="N156" s="68">
        <f>IF(OR($J156="",$B156=""),0,IF(YEAR($B156)*12+MONTH($B156)&lt;=YEAR($C$3)*12+MONTH($C$3),$G156,0))</f>
        <v/>
      </c>
      <c r="O156" s="68">
        <f>IF(OR($J156="",$B156=""),0,IF(YEAR($B156)*12+MONTH($B156)&lt;=YEAR($C$3)*12+MONTH($C$3)-1,$G156,0))</f>
        <v/>
      </c>
      <c r="P156" s="68">
        <f>$M156-$O156</f>
        <v/>
      </c>
      <c r="Q156" s="68">
        <f>($L156-$M156)-($N156-$O156)</f>
        <v/>
      </c>
      <c r="R156" s="68">
        <f>$L156-$N156</f>
        <v/>
      </c>
      <c r="S156" s="67">
        <f>"Finance invoice"</f>
        <v/>
      </c>
      <c r="T156" s="67">
        <f>"Revenue"</f>
        <v/>
      </c>
    </row>
    <row r="157">
      <c r="A157" s="65">
        <f>ROW()-5</f>
        <v/>
      </c>
      <c r="B157" s="66">
        <f>IFERROR(INDEX(tbl_Finance[Date],$A157),"")</f>
        <v/>
      </c>
      <c r="C157" s="67">
        <f>IFERROR(INDEX(tbl_Finance[Xero Invoice No],$A157),"")</f>
        <v/>
      </c>
      <c r="D157" s="67">
        <f>IFERROR(INDEX(tbl_Finance[Client],$A157),"")</f>
        <v/>
      </c>
      <c r="E157" s="67">
        <f>IFERROR(INDEX(tbl_Finance[Job Number],$A157),"")</f>
        <v/>
      </c>
      <c r="F157" s="67">
        <f>IFERROR(INDEX(tbl_Finance[Cost Centre],$A157),"")</f>
        <v/>
      </c>
      <c r="G157" s="68">
        <f>IFERROR(INDEX(tbl_Finance[Ex GST],$A157),"")</f>
        <v/>
      </c>
      <c r="H157" s="66">
        <f>IFERROR(INDEX(tbl_Finance[Defer Start],$A157),"")</f>
        <v/>
      </c>
      <c r="I157" s="66">
        <f>IFERROR(INDEX(tbl_Finance[Defer End],$A157),"")</f>
        <v/>
      </c>
      <c r="J157" s="65">
        <f>IF(OR($H157="",$I157="",$G157=""),"",MAX(1,(YEAR($I157)-YEAR($H157))*12+MONTH($I157)-MONTH($H157)+1))</f>
        <v/>
      </c>
      <c r="K157" s="68">
        <f>IF($J157="","",$G157/$J157)</f>
        <v/>
      </c>
      <c r="L157" s="68">
        <f>IF($J157="",0,$K157*MAX(0,MIN(YEAR($C$3)*12+MONTH($C$3),YEAR($I157)*12+MONTH($I157))-(YEAR($H157)*12+MONTH($H157))+1))</f>
        <v/>
      </c>
      <c r="M157" s="68">
        <f>IF($J157="",0,$K157*MAX(0,MIN(YEAR($C$3)*12+MONTH($C$3)-1,YEAR($I157)*12+MONTH($I157))-(YEAR($H157)*12+MONTH($H157))+1))</f>
        <v/>
      </c>
      <c r="N157" s="68">
        <f>IF(OR($J157="",$B157=""),0,IF(YEAR($B157)*12+MONTH($B157)&lt;=YEAR($C$3)*12+MONTH($C$3),$G157,0))</f>
        <v/>
      </c>
      <c r="O157" s="68">
        <f>IF(OR($J157="",$B157=""),0,IF(YEAR($B157)*12+MONTH($B157)&lt;=YEAR($C$3)*12+MONTH($C$3)-1,$G157,0))</f>
        <v/>
      </c>
      <c r="P157" s="68">
        <f>$M157-$O157</f>
        <v/>
      </c>
      <c r="Q157" s="68">
        <f>($L157-$M157)-($N157-$O157)</f>
        <v/>
      </c>
      <c r="R157" s="68">
        <f>$L157-$N157</f>
        <v/>
      </c>
      <c r="S157" s="67">
        <f>"Finance invoice"</f>
        <v/>
      </c>
      <c r="T157" s="67">
        <f>"Revenue"</f>
        <v/>
      </c>
    </row>
    <row r="158">
      <c r="A158" s="65">
        <f>ROW()-5</f>
        <v/>
      </c>
      <c r="B158" s="66">
        <f>IFERROR(INDEX(tbl_Finance[Date],$A158),"")</f>
        <v/>
      </c>
      <c r="C158" s="67">
        <f>IFERROR(INDEX(tbl_Finance[Xero Invoice No],$A158),"")</f>
        <v/>
      </c>
      <c r="D158" s="67">
        <f>IFERROR(INDEX(tbl_Finance[Client],$A158),"")</f>
        <v/>
      </c>
      <c r="E158" s="67">
        <f>IFERROR(INDEX(tbl_Finance[Job Number],$A158),"")</f>
        <v/>
      </c>
      <c r="F158" s="67">
        <f>IFERROR(INDEX(tbl_Finance[Cost Centre],$A158),"")</f>
        <v/>
      </c>
      <c r="G158" s="68">
        <f>IFERROR(INDEX(tbl_Finance[Ex GST],$A158),"")</f>
        <v/>
      </c>
      <c r="H158" s="66">
        <f>IFERROR(INDEX(tbl_Finance[Defer Start],$A158),"")</f>
        <v/>
      </c>
      <c r="I158" s="66">
        <f>IFERROR(INDEX(tbl_Finance[Defer End],$A158),"")</f>
        <v/>
      </c>
      <c r="J158" s="65">
        <f>IF(OR($H158="",$I158="",$G158=""),"",MAX(1,(YEAR($I158)-YEAR($H158))*12+MONTH($I158)-MONTH($H158)+1))</f>
        <v/>
      </c>
      <c r="K158" s="68">
        <f>IF($J158="","",$G158/$J158)</f>
        <v/>
      </c>
      <c r="L158" s="68">
        <f>IF($J158="",0,$K158*MAX(0,MIN(YEAR($C$3)*12+MONTH($C$3),YEAR($I158)*12+MONTH($I158))-(YEAR($H158)*12+MONTH($H158))+1))</f>
        <v/>
      </c>
      <c r="M158" s="68">
        <f>IF($J158="",0,$K158*MAX(0,MIN(YEAR($C$3)*12+MONTH($C$3)-1,YEAR($I158)*12+MONTH($I158))-(YEAR($H158)*12+MONTH($H158))+1))</f>
        <v/>
      </c>
      <c r="N158" s="68">
        <f>IF(OR($J158="",$B158=""),0,IF(YEAR($B158)*12+MONTH($B158)&lt;=YEAR($C$3)*12+MONTH($C$3),$G158,0))</f>
        <v/>
      </c>
      <c r="O158" s="68">
        <f>IF(OR($J158="",$B158=""),0,IF(YEAR($B158)*12+MONTH($B158)&lt;=YEAR($C$3)*12+MONTH($C$3)-1,$G158,0))</f>
        <v/>
      </c>
      <c r="P158" s="68">
        <f>$M158-$O158</f>
        <v/>
      </c>
      <c r="Q158" s="68">
        <f>($L158-$M158)-($N158-$O158)</f>
        <v/>
      </c>
      <c r="R158" s="68">
        <f>$L158-$N158</f>
        <v/>
      </c>
      <c r="S158" s="67">
        <f>"Finance invoice"</f>
        <v/>
      </c>
      <c r="T158" s="67">
        <f>"Revenue"</f>
        <v/>
      </c>
    </row>
    <row r="159">
      <c r="A159" s="65">
        <f>ROW()-5</f>
        <v/>
      </c>
      <c r="B159" s="66">
        <f>IFERROR(INDEX(tbl_Finance[Date],$A159),"")</f>
        <v/>
      </c>
      <c r="C159" s="67">
        <f>IFERROR(INDEX(tbl_Finance[Xero Invoice No],$A159),"")</f>
        <v/>
      </c>
      <c r="D159" s="67">
        <f>IFERROR(INDEX(tbl_Finance[Client],$A159),"")</f>
        <v/>
      </c>
      <c r="E159" s="67">
        <f>IFERROR(INDEX(tbl_Finance[Job Number],$A159),"")</f>
        <v/>
      </c>
      <c r="F159" s="67">
        <f>IFERROR(INDEX(tbl_Finance[Cost Centre],$A159),"")</f>
        <v/>
      </c>
      <c r="G159" s="68">
        <f>IFERROR(INDEX(tbl_Finance[Ex GST],$A159),"")</f>
        <v/>
      </c>
      <c r="H159" s="66">
        <f>IFERROR(INDEX(tbl_Finance[Defer Start],$A159),"")</f>
        <v/>
      </c>
      <c r="I159" s="66">
        <f>IFERROR(INDEX(tbl_Finance[Defer End],$A159),"")</f>
        <v/>
      </c>
      <c r="J159" s="65">
        <f>IF(OR($H159="",$I159="",$G159=""),"",MAX(1,(YEAR($I159)-YEAR($H159))*12+MONTH($I159)-MONTH($H159)+1))</f>
        <v/>
      </c>
      <c r="K159" s="68">
        <f>IF($J159="","",$G159/$J159)</f>
        <v/>
      </c>
      <c r="L159" s="68">
        <f>IF($J159="",0,$K159*MAX(0,MIN(YEAR($C$3)*12+MONTH($C$3),YEAR($I159)*12+MONTH($I159))-(YEAR($H159)*12+MONTH($H159))+1))</f>
        <v/>
      </c>
      <c r="M159" s="68">
        <f>IF($J159="",0,$K159*MAX(0,MIN(YEAR($C$3)*12+MONTH($C$3)-1,YEAR($I159)*12+MONTH($I159))-(YEAR($H159)*12+MONTH($H159))+1))</f>
        <v/>
      </c>
      <c r="N159" s="68">
        <f>IF(OR($J159="",$B159=""),0,IF(YEAR($B159)*12+MONTH($B159)&lt;=YEAR($C$3)*12+MONTH($C$3),$G159,0))</f>
        <v/>
      </c>
      <c r="O159" s="68">
        <f>IF(OR($J159="",$B159=""),0,IF(YEAR($B159)*12+MONTH($B159)&lt;=YEAR($C$3)*12+MONTH($C$3)-1,$G159,0))</f>
        <v/>
      </c>
      <c r="P159" s="68">
        <f>$M159-$O159</f>
        <v/>
      </c>
      <c r="Q159" s="68">
        <f>($L159-$M159)-($N159-$O159)</f>
        <v/>
      </c>
      <c r="R159" s="68">
        <f>$L159-$N159</f>
        <v/>
      </c>
      <c r="S159" s="67">
        <f>"Finance invoice"</f>
        <v/>
      </c>
      <c r="T159" s="67">
        <f>"Revenue"</f>
        <v/>
      </c>
    </row>
    <row r="160">
      <c r="A160" s="65">
        <f>ROW()-5</f>
        <v/>
      </c>
      <c r="B160" s="66">
        <f>IFERROR(INDEX(tbl_Finance[Date],$A160),"")</f>
        <v/>
      </c>
      <c r="C160" s="67">
        <f>IFERROR(INDEX(tbl_Finance[Xero Invoice No],$A160),"")</f>
        <v/>
      </c>
      <c r="D160" s="67">
        <f>IFERROR(INDEX(tbl_Finance[Client],$A160),"")</f>
        <v/>
      </c>
      <c r="E160" s="67">
        <f>IFERROR(INDEX(tbl_Finance[Job Number],$A160),"")</f>
        <v/>
      </c>
      <c r="F160" s="67">
        <f>IFERROR(INDEX(tbl_Finance[Cost Centre],$A160),"")</f>
        <v/>
      </c>
      <c r="G160" s="68">
        <f>IFERROR(INDEX(tbl_Finance[Ex GST],$A160),"")</f>
        <v/>
      </c>
      <c r="H160" s="66">
        <f>IFERROR(INDEX(tbl_Finance[Defer Start],$A160),"")</f>
        <v/>
      </c>
      <c r="I160" s="66">
        <f>IFERROR(INDEX(tbl_Finance[Defer End],$A160),"")</f>
        <v/>
      </c>
      <c r="J160" s="65">
        <f>IF(OR($H160="",$I160="",$G160=""),"",MAX(1,(YEAR($I160)-YEAR($H160))*12+MONTH($I160)-MONTH($H160)+1))</f>
        <v/>
      </c>
      <c r="K160" s="68">
        <f>IF($J160="","",$G160/$J160)</f>
        <v/>
      </c>
      <c r="L160" s="68">
        <f>IF($J160="",0,$K160*MAX(0,MIN(YEAR($C$3)*12+MONTH($C$3),YEAR($I160)*12+MONTH($I160))-(YEAR($H160)*12+MONTH($H160))+1))</f>
        <v/>
      </c>
      <c r="M160" s="68">
        <f>IF($J160="",0,$K160*MAX(0,MIN(YEAR($C$3)*12+MONTH($C$3)-1,YEAR($I160)*12+MONTH($I160))-(YEAR($H160)*12+MONTH($H160))+1))</f>
        <v/>
      </c>
      <c r="N160" s="68">
        <f>IF(OR($J160="",$B160=""),0,IF(YEAR($B160)*12+MONTH($B160)&lt;=YEAR($C$3)*12+MONTH($C$3),$G160,0))</f>
        <v/>
      </c>
      <c r="O160" s="68">
        <f>IF(OR($J160="",$B160=""),0,IF(YEAR($B160)*12+MONTH($B160)&lt;=YEAR($C$3)*12+MONTH($C$3)-1,$G160,0))</f>
        <v/>
      </c>
      <c r="P160" s="68">
        <f>$M160-$O160</f>
        <v/>
      </c>
      <c r="Q160" s="68">
        <f>($L160-$M160)-($N160-$O160)</f>
        <v/>
      </c>
      <c r="R160" s="68">
        <f>$L160-$N160</f>
        <v/>
      </c>
      <c r="S160" s="67">
        <f>"Finance invoice"</f>
        <v/>
      </c>
      <c r="T160" s="67">
        <f>"Revenue"</f>
        <v/>
      </c>
    </row>
    <row r="161">
      <c r="A161" s="65">
        <f>ROW()-5</f>
        <v/>
      </c>
      <c r="B161" s="66">
        <f>IFERROR(INDEX(tbl_Finance[Date],$A161),"")</f>
        <v/>
      </c>
      <c r="C161" s="67">
        <f>IFERROR(INDEX(tbl_Finance[Xero Invoice No],$A161),"")</f>
        <v/>
      </c>
      <c r="D161" s="67">
        <f>IFERROR(INDEX(tbl_Finance[Client],$A161),"")</f>
        <v/>
      </c>
      <c r="E161" s="67">
        <f>IFERROR(INDEX(tbl_Finance[Job Number],$A161),"")</f>
        <v/>
      </c>
      <c r="F161" s="67">
        <f>IFERROR(INDEX(tbl_Finance[Cost Centre],$A161),"")</f>
        <v/>
      </c>
      <c r="G161" s="68">
        <f>IFERROR(INDEX(tbl_Finance[Ex GST],$A161),"")</f>
        <v/>
      </c>
      <c r="H161" s="66">
        <f>IFERROR(INDEX(tbl_Finance[Defer Start],$A161),"")</f>
        <v/>
      </c>
      <c r="I161" s="66">
        <f>IFERROR(INDEX(tbl_Finance[Defer End],$A161),"")</f>
        <v/>
      </c>
      <c r="J161" s="65">
        <f>IF(OR($H161="",$I161="",$G161=""),"",MAX(1,(YEAR($I161)-YEAR($H161))*12+MONTH($I161)-MONTH($H161)+1))</f>
        <v/>
      </c>
      <c r="K161" s="68">
        <f>IF($J161="","",$G161/$J161)</f>
        <v/>
      </c>
      <c r="L161" s="68">
        <f>IF($J161="",0,$K161*MAX(0,MIN(YEAR($C$3)*12+MONTH($C$3),YEAR($I161)*12+MONTH($I161))-(YEAR($H161)*12+MONTH($H161))+1))</f>
        <v/>
      </c>
      <c r="M161" s="68">
        <f>IF($J161="",0,$K161*MAX(0,MIN(YEAR($C$3)*12+MONTH($C$3)-1,YEAR($I161)*12+MONTH($I161))-(YEAR($H161)*12+MONTH($H161))+1))</f>
        <v/>
      </c>
      <c r="N161" s="68">
        <f>IF(OR($J161="",$B161=""),0,IF(YEAR($B161)*12+MONTH($B161)&lt;=YEAR($C$3)*12+MONTH($C$3),$G161,0))</f>
        <v/>
      </c>
      <c r="O161" s="68">
        <f>IF(OR($J161="",$B161=""),0,IF(YEAR($B161)*12+MONTH($B161)&lt;=YEAR($C$3)*12+MONTH($C$3)-1,$G161,0))</f>
        <v/>
      </c>
      <c r="P161" s="68">
        <f>$M161-$O161</f>
        <v/>
      </c>
      <c r="Q161" s="68">
        <f>($L161-$M161)-($N161-$O161)</f>
        <v/>
      </c>
      <c r="R161" s="68">
        <f>$L161-$N161</f>
        <v/>
      </c>
      <c r="S161" s="67">
        <f>"Finance invoice"</f>
        <v/>
      </c>
      <c r="T161" s="67">
        <f>"Revenue"</f>
        <v/>
      </c>
    </row>
    <row r="162">
      <c r="A162" s="65">
        <f>ROW()-5</f>
        <v/>
      </c>
      <c r="B162" s="66">
        <f>IFERROR(INDEX(tbl_Finance[Date],$A162),"")</f>
        <v/>
      </c>
      <c r="C162" s="67">
        <f>IFERROR(INDEX(tbl_Finance[Xero Invoice No],$A162),"")</f>
        <v/>
      </c>
      <c r="D162" s="67">
        <f>IFERROR(INDEX(tbl_Finance[Client],$A162),"")</f>
        <v/>
      </c>
      <c r="E162" s="67">
        <f>IFERROR(INDEX(tbl_Finance[Job Number],$A162),"")</f>
        <v/>
      </c>
      <c r="F162" s="67">
        <f>IFERROR(INDEX(tbl_Finance[Cost Centre],$A162),"")</f>
        <v/>
      </c>
      <c r="G162" s="68">
        <f>IFERROR(INDEX(tbl_Finance[Ex GST],$A162),"")</f>
        <v/>
      </c>
      <c r="H162" s="66">
        <f>IFERROR(INDEX(tbl_Finance[Defer Start],$A162),"")</f>
        <v/>
      </c>
      <c r="I162" s="66">
        <f>IFERROR(INDEX(tbl_Finance[Defer End],$A162),"")</f>
        <v/>
      </c>
      <c r="J162" s="65">
        <f>IF(OR($H162="",$I162="",$G162=""),"",MAX(1,(YEAR($I162)-YEAR($H162))*12+MONTH($I162)-MONTH($H162)+1))</f>
        <v/>
      </c>
      <c r="K162" s="68">
        <f>IF($J162="","",$G162/$J162)</f>
        <v/>
      </c>
      <c r="L162" s="68">
        <f>IF($J162="",0,$K162*MAX(0,MIN(YEAR($C$3)*12+MONTH($C$3),YEAR($I162)*12+MONTH($I162))-(YEAR($H162)*12+MONTH($H162))+1))</f>
        <v/>
      </c>
      <c r="M162" s="68">
        <f>IF($J162="",0,$K162*MAX(0,MIN(YEAR($C$3)*12+MONTH($C$3)-1,YEAR($I162)*12+MONTH($I162))-(YEAR($H162)*12+MONTH($H162))+1))</f>
        <v/>
      </c>
      <c r="N162" s="68">
        <f>IF(OR($J162="",$B162=""),0,IF(YEAR($B162)*12+MONTH($B162)&lt;=YEAR($C$3)*12+MONTH($C$3),$G162,0))</f>
        <v/>
      </c>
      <c r="O162" s="68">
        <f>IF(OR($J162="",$B162=""),0,IF(YEAR($B162)*12+MONTH($B162)&lt;=YEAR($C$3)*12+MONTH($C$3)-1,$G162,0))</f>
        <v/>
      </c>
      <c r="P162" s="68">
        <f>$M162-$O162</f>
        <v/>
      </c>
      <c r="Q162" s="68">
        <f>($L162-$M162)-($N162-$O162)</f>
        <v/>
      </c>
      <c r="R162" s="68">
        <f>$L162-$N162</f>
        <v/>
      </c>
      <c r="S162" s="67">
        <f>"Finance invoice"</f>
        <v/>
      </c>
      <c r="T162" s="67">
        <f>"Revenue"</f>
        <v/>
      </c>
    </row>
    <row r="163">
      <c r="A163" s="65">
        <f>ROW()-5</f>
        <v/>
      </c>
      <c r="B163" s="66">
        <f>IFERROR(INDEX(tbl_Finance[Date],$A163),"")</f>
        <v/>
      </c>
      <c r="C163" s="67">
        <f>IFERROR(INDEX(tbl_Finance[Xero Invoice No],$A163),"")</f>
        <v/>
      </c>
      <c r="D163" s="67">
        <f>IFERROR(INDEX(tbl_Finance[Client],$A163),"")</f>
        <v/>
      </c>
      <c r="E163" s="67">
        <f>IFERROR(INDEX(tbl_Finance[Job Number],$A163),"")</f>
        <v/>
      </c>
      <c r="F163" s="67">
        <f>IFERROR(INDEX(tbl_Finance[Cost Centre],$A163),"")</f>
        <v/>
      </c>
      <c r="G163" s="68">
        <f>IFERROR(INDEX(tbl_Finance[Ex GST],$A163),"")</f>
        <v/>
      </c>
      <c r="H163" s="66">
        <f>IFERROR(INDEX(tbl_Finance[Defer Start],$A163),"")</f>
        <v/>
      </c>
      <c r="I163" s="66">
        <f>IFERROR(INDEX(tbl_Finance[Defer End],$A163),"")</f>
        <v/>
      </c>
      <c r="J163" s="65">
        <f>IF(OR($H163="",$I163="",$G163=""),"",MAX(1,(YEAR($I163)-YEAR($H163))*12+MONTH($I163)-MONTH($H163)+1))</f>
        <v/>
      </c>
      <c r="K163" s="68">
        <f>IF($J163="","",$G163/$J163)</f>
        <v/>
      </c>
      <c r="L163" s="68">
        <f>IF($J163="",0,$K163*MAX(0,MIN(YEAR($C$3)*12+MONTH($C$3),YEAR($I163)*12+MONTH($I163))-(YEAR($H163)*12+MONTH($H163))+1))</f>
        <v/>
      </c>
      <c r="M163" s="68">
        <f>IF($J163="",0,$K163*MAX(0,MIN(YEAR($C$3)*12+MONTH($C$3)-1,YEAR($I163)*12+MONTH($I163))-(YEAR($H163)*12+MONTH($H163))+1))</f>
        <v/>
      </c>
      <c r="N163" s="68">
        <f>IF(OR($J163="",$B163=""),0,IF(YEAR($B163)*12+MONTH($B163)&lt;=YEAR($C$3)*12+MONTH($C$3),$G163,0))</f>
        <v/>
      </c>
      <c r="O163" s="68">
        <f>IF(OR($J163="",$B163=""),0,IF(YEAR($B163)*12+MONTH($B163)&lt;=YEAR($C$3)*12+MONTH($C$3)-1,$G163,0))</f>
        <v/>
      </c>
      <c r="P163" s="68">
        <f>$M163-$O163</f>
        <v/>
      </c>
      <c r="Q163" s="68">
        <f>($L163-$M163)-($N163-$O163)</f>
        <v/>
      </c>
      <c r="R163" s="68">
        <f>$L163-$N163</f>
        <v/>
      </c>
      <c r="S163" s="67">
        <f>"Finance invoice"</f>
        <v/>
      </c>
      <c r="T163" s="67">
        <f>"Revenue"</f>
        <v/>
      </c>
    </row>
    <row r="164">
      <c r="A164" s="65">
        <f>ROW()-5</f>
        <v/>
      </c>
      <c r="B164" s="66">
        <f>IFERROR(INDEX(tbl_Finance[Date],$A164),"")</f>
        <v/>
      </c>
      <c r="C164" s="67">
        <f>IFERROR(INDEX(tbl_Finance[Xero Invoice No],$A164),"")</f>
        <v/>
      </c>
      <c r="D164" s="67">
        <f>IFERROR(INDEX(tbl_Finance[Client],$A164),"")</f>
        <v/>
      </c>
      <c r="E164" s="67">
        <f>IFERROR(INDEX(tbl_Finance[Job Number],$A164),"")</f>
        <v/>
      </c>
      <c r="F164" s="67">
        <f>IFERROR(INDEX(tbl_Finance[Cost Centre],$A164),"")</f>
        <v/>
      </c>
      <c r="G164" s="68">
        <f>IFERROR(INDEX(tbl_Finance[Ex GST],$A164),"")</f>
        <v/>
      </c>
      <c r="H164" s="66">
        <f>IFERROR(INDEX(tbl_Finance[Defer Start],$A164),"")</f>
        <v/>
      </c>
      <c r="I164" s="66">
        <f>IFERROR(INDEX(tbl_Finance[Defer End],$A164),"")</f>
        <v/>
      </c>
      <c r="J164" s="65">
        <f>IF(OR($H164="",$I164="",$G164=""),"",MAX(1,(YEAR($I164)-YEAR($H164))*12+MONTH($I164)-MONTH($H164)+1))</f>
        <v/>
      </c>
      <c r="K164" s="68">
        <f>IF($J164="","",$G164/$J164)</f>
        <v/>
      </c>
      <c r="L164" s="68">
        <f>IF($J164="",0,$K164*MAX(0,MIN(YEAR($C$3)*12+MONTH($C$3),YEAR($I164)*12+MONTH($I164))-(YEAR($H164)*12+MONTH($H164))+1))</f>
        <v/>
      </c>
      <c r="M164" s="68">
        <f>IF($J164="",0,$K164*MAX(0,MIN(YEAR($C$3)*12+MONTH($C$3)-1,YEAR($I164)*12+MONTH($I164))-(YEAR($H164)*12+MONTH($H164))+1))</f>
        <v/>
      </c>
      <c r="N164" s="68">
        <f>IF(OR($J164="",$B164=""),0,IF(YEAR($B164)*12+MONTH($B164)&lt;=YEAR($C$3)*12+MONTH($C$3),$G164,0))</f>
        <v/>
      </c>
      <c r="O164" s="68">
        <f>IF(OR($J164="",$B164=""),0,IF(YEAR($B164)*12+MONTH($B164)&lt;=YEAR($C$3)*12+MONTH($C$3)-1,$G164,0))</f>
        <v/>
      </c>
      <c r="P164" s="68">
        <f>$M164-$O164</f>
        <v/>
      </c>
      <c r="Q164" s="68">
        <f>($L164-$M164)-($N164-$O164)</f>
        <v/>
      </c>
      <c r="R164" s="68">
        <f>$L164-$N164</f>
        <v/>
      </c>
      <c r="S164" s="67">
        <f>"Finance invoice"</f>
        <v/>
      </c>
      <c r="T164" s="67">
        <f>"Revenue"</f>
        <v/>
      </c>
    </row>
    <row r="165">
      <c r="A165" s="65">
        <f>ROW()-5</f>
        <v/>
      </c>
      <c r="B165" s="66">
        <f>IFERROR(INDEX(tbl_Finance[Date],$A165),"")</f>
        <v/>
      </c>
      <c r="C165" s="67">
        <f>IFERROR(INDEX(tbl_Finance[Xero Invoice No],$A165),"")</f>
        <v/>
      </c>
      <c r="D165" s="67">
        <f>IFERROR(INDEX(tbl_Finance[Client],$A165),"")</f>
        <v/>
      </c>
      <c r="E165" s="67">
        <f>IFERROR(INDEX(tbl_Finance[Job Number],$A165),"")</f>
        <v/>
      </c>
      <c r="F165" s="67">
        <f>IFERROR(INDEX(tbl_Finance[Cost Centre],$A165),"")</f>
        <v/>
      </c>
      <c r="G165" s="68">
        <f>IFERROR(INDEX(tbl_Finance[Ex GST],$A165),"")</f>
        <v/>
      </c>
      <c r="H165" s="66">
        <f>IFERROR(INDEX(tbl_Finance[Defer Start],$A165),"")</f>
        <v/>
      </c>
      <c r="I165" s="66">
        <f>IFERROR(INDEX(tbl_Finance[Defer End],$A165),"")</f>
        <v/>
      </c>
      <c r="J165" s="65">
        <f>IF(OR($H165="",$I165="",$G165=""),"",MAX(1,(YEAR($I165)-YEAR($H165))*12+MONTH($I165)-MONTH($H165)+1))</f>
        <v/>
      </c>
      <c r="K165" s="68">
        <f>IF($J165="","",$G165/$J165)</f>
        <v/>
      </c>
      <c r="L165" s="68">
        <f>IF($J165="",0,$K165*MAX(0,MIN(YEAR($C$3)*12+MONTH($C$3),YEAR($I165)*12+MONTH($I165))-(YEAR($H165)*12+MONTH($H165))+1))</f>
        <v/>
      </c>
      <c r="M165" s="68">
        <f>IF($J165="",0,$K165*MAX(0,MIN(YEAR($C$3)*12+MONTH($C$3)-1,YEAR($I165)*12+MONTH($I165))-(YEAR($H165)*12+MONTH($H165))+1))</f>
        <v/>
      </c>
      <c r="N165" s="68">
        <f>IF(OR($J165="",$B165=""),0,IF(YEAR($B165)*12+MONTH($B165)&lt;=YEAR($C$3)*12+MONTH($C$3),$G165,0))</f>
        <v/>
      </c>
      <c r="O165" s="68">
        <f>IF(OR($J165="",$B165=""),0,IF(YEAR($B165)*12+MONTH($B165)&lt;=YEAR($C$3)*12+MONTH($C$3)-1,$G165,0))</f>
        <v/>
      </c>
      <c r="P165" s="68">
        <f>$M165-$O165</f>
        <v/>
      </c>
      <c r="Q165" s="68">
        <f>($L165-$M165)-($N165-$O165)</f>
        <v/>
      </c>
      <c r="R165" s="68">
        <f>$L165-$N165</f>
        <v/>
      </c>
      <c r="S165" s="67">
        <f>"Finance invoice"</f>
        <v/>
      </c>
      <c r="T165" s="67">
        <f>"Revenue"</f>
        <v/>
      </c>
    </row>
    <row r="166">
      <c r="A166" s="65">
        <f>ROW()-5</f>
        <v/>
      </c>
      <c r="B166" s="66">
        <f>IFERROR(INDEX(tbl_Finance[Date],$A166),"")</f>
        <v/>
      </c>
      <c r="C166" s="67">
        <f>IFERROR(INDEX(tbl_Finance[Xero Invoice No],$A166),"")</f>
        <v/>
      </c>
      <c r="D166" s="67">
        <f>IFERROR(INDEX(tbl_Finance[Client],$A166),"")</f>
        <v/>
      </c>
      <c r="E166" s="67">
        <f>IFERROR(INDEX(tbl_Finance[Job Number],$A166),"")</f>
        <v/>
      </c>
      <c r="F166" s="67">
        <f>IFERROR(INDEX(tbl_Finance[Cost Centre],$A166),"")</f>
        <v/>
      </c>
      <c r="G166" s="68">
        <f>IFERROR(INDEX(tbl_Finance[Ex GST],$A166),"")</f>
        <v/>
      </c>
      <c r="H166" s="66">
        <f>IFERROR(INDEX(tbl_Finance[Defer Start],$A166),"")</f>
        <v/>
      </c>
      <c r="I166" s="66">
        <f>IFERROR(INDEX(tbl_Finance[Defer End],$A166),"")</f>
        <v/>
      </c>
      <c r="J166" s="65">
        <f>IF(OR($H166="",$I166="",$G166=""),"",MAX(1,(YEAR($I166)-YEAR($H166))*12+MONTH($I166)-MONTH($H166)+1))</f>
        <v/>
      </c>
      <c r="K166" s="68">
        <f>IF($J166="","",$G166/$J166)</f>
        <v/>
      </c>
      <c r="L166" s="68">
        <f>IF($J166="",0,$K166*MAX(0,MIN(YEAR($C$3)*12+MONTH($C$3),YEAR($I166)*12+MONTH($I166))-(YEAR($H166)*12+MONTH($H166))+1))</f>
        <v/>
      </c>
      <c r="M166" s="68">
        <f>IF($J166="",0,$K166*MAX(0,MIN(YEAR($C$3)*12+MONTH($C$3)-1,YEAR($I166)*12+MONTH($I166))-(YEAR($H166)*12+MONTH($H166))+1))</f>
        <v/>
      </c>
      <c r="N166" s="68">
        <f>IF(OR($J166="",$B166=""),0,IF(YEAR($B166)*12+MONTH($B166)&lt;=YEAR($C$3)*12+MONTH($C$3),$G166,0))</f>
        <v/>
      </c>
      <c r="O166" s="68">
        <f>IF(OR($J166="",$B166=""),0,IF(YEAR($B166)*12+MONTH($B166)&lt;=YEAR($C$3)*12+MONTH($C$3)-1,$G166,0))</f>
        <v/>
      </c>
      <c r="P166" s="68">
        <f>$M166-$O166</f>
        <v/>
      </c>
      <c r="Q166" s="68">
        <f>($L166-$M166)-($N166-$O166)</f>
        <v/>
      </c>
      <c r="R166" s="68">
        <f>$L166-$N166</f>
        <v/>
      </c>
      <c r="S166" s="67">
        <f>"Finance invoice"</f>
        <v/>
      </c>
      <c r="T166" s="67">
        <f>"Revenue"</f>
        <v/>
      </c>
    </row>
    <row r="167">
      <c r="A167" s="65">
        <f>ROW()-5</f>
        <v/>
      </c>
      <c r="B167" s="66">
        <f>IFERROR(INDEX(tbl_Finance[Date],$A167),"")</f>
        <v/>
      </c>
      <c r="C167" s="67">
        <f>IFERROR(INDEX(tbl_Finance[Xero Invoice No],$A167),"")</f>
        <v/>
      </c>
      <c r="D167" s="67">
        <f>IFERROR(INDEX(tbl_Finance[Client],$A167),"")</f>
        <v/>
      </c>
      <c r="E167" s="67">
        <f>IFERROR(INDEX(tbl_Finance[Job Number],$A167),"")</f>
        <v/>
      </c>
      <c r="F167" s="67">
        <f>IFERROR(INDEX(tbl_Finance[Cost Centre],$A167),"")</f>
        <v/>
      </c>
      <c r="G167" s="68">
        <f>IFERROR(INDEX(tbl_Finance[Ex GST],$A167),"")</f>
        <v/>
      </c>
      <c r="H167" s="66">
        <f>IFERROR(INDEX(tbl_Finance[Defer Start],$A167),"")</f>
        <v/>
      </c>
      <c r="I167" s="66">
        <f>IFERROR(INDEX(tbl_Finance[Defer End],$A167),"")</f>
        <v/>
      </c>
      <c r="J167" s="65">
        <f>IF(OR($H167="",$I167="",$G167=""),"",MAX(1,(YEAR($I167)-YEAR($H167))*12+MONTH($I167)-MONTH($H167)+1))</f>
        <v/>
      </c>
      <c r="K167" s="68">
        <f>IF($J167="","",$G167/$J167)</f>
        <v/>
      </c>
      <c r="L167" s="68">
        <f>IF($J167="",0,$K167*MAX(0,MIN(YEAR($C$3)*12+MONTH($C$3),YEAR($I167)*12+MONTH($I167))-(YEAR($H167)*12+MONTH($H167))+1))</f>
        <v/>
      </c>
      <c r="M167" s="68">
        <f>IF($J167="",0,$K167*MAX(0,MIN(YEAR($C$3)*12+MONTH($C$3)-1,YEAR($I167)*12+MONTH($I167))-(YEAR($H167)*12+MONTH($H167))+1))</f>
        <v/>
      </c>
      <c r="N167" s="68">
        <f>IF(OR($J167="",$B167=""),0,IF(YEAR($B167)*12+MONTH($B167)&lt;=YEAR($C$3)*12+MONTH($C$3),$G167,0))</f>
        <v/>
      </c>
      <c r="O167" s="68">
        <f>IF(OR($J167="",$B167=""),0,IF(YEAR($B167)*12+MONTH($B167)&lt;=YEAR($C$3)*12+MONTH($C$3)-1,$G167,0))</f>
        <v/>
      </c>
      <c r="P167" s="68">
        <f>$M167-$O167</f>
        <v/>
      </c>
      <c r="Q167" s="68">
        <f>($L167-$M167)-($N167-$O167)</f>
        <v/>
      </c>
      <c r="R167" s="68">
        <f>$L167-$N167</f>
        <v/>
      </c>
      <c r="S167" s="67">
        <f>"Finance invoice"</f>
        <v/>
      </c>
      <c r="T167" s="67">
        <f>"Revenue"</f>
        <v/>
      </c>
    </row>
    <row r="168">
      <c r="A168" s="65">
        <f>ROW()-5</f>
        <v/>
      </c>
      <c r="B168" s="66">
        <f>IFERROR(INDEX(tbl_Finance[Date],$A168),"")</f>
        <v/>
      </c>
      <c r="C168" s="67">
        <f>IFERROR(INDEX(tbl_Finance[Xero Invoice No],$A168),"")</f>
        <v/>
      </c>
      <c r="D168" s="67">
        <f>IFERROR(INDEX(tbl_Finance[Client],$A168),"")</f>
        <v/>
      </c>
      <c r="E168" s="67">
        <f>IFERROR(INDEX(tbl_Finance[Job Number],$A168),"")</f>
        <v/>
      </c>
      <c r="F168" s="67">
        <f>IFERROR(INDEX(tbl_Finance[Cost Centre],$A168),"")</f>
        <v/>
      </c>
      <c r="G168" s="68">
        <f>IFERROR(INDEX(tbl_Finance[Ex GST],$A168),"")</f>
        <v/>
      </c>
      <c r="H168" s="66">
        <f>IFERROR(INDEX(tbl_Finance[Defer Start],$A168),"")</f>
        <v/>
      </c>
      <c r="I168" s="66">
        <f>IFERROR(INDEX(tbl_Finance[Defer End],$A168),"")</f>
        <v/>
      </c>
      <c r="J168" s="65">
        <f>IF(OR($H168="",$I168="",$G168=""),"",MAX(1,(YEAR($I168)-YEAR($H168))*12+MONTH($I168)-MONTH($H168)+1))</f>
        <v/>
      </c>
      <c r="K168" s="68">
        <f>IF($J168="","",$G168/$J168)</f>
        <v/>
      </c>
      <c r="L168" s="68">
        <f>IF($J168="",0,$K168*MAX(0,MIN(YEAR($C$3)*12+MONTH($C$3),YEAR($I168)*12+MONTH($I168))-(YEAR($H168)*12+MONTH($H168))+1))</f>
        <v/>
      </c>
      <c r="M168" s="68">
        <f>IF($J168="",0,$K168*MAX(0,MIN(YEAR($C$3)*12+MONTH($C$3)-1,YEAR($I168)*12+MONTH($I168))-(YEAR($H168)*12+MONTH($H168))+1))</f>
        <v/>
      </c>
      <c r="N168" s="68">
        <f>IF(OR($J168="",$B168=""),0,IF(YEAR($B168)*12+MONTH($B168)&lt;=YEAR($C$3)*12+MONTH($C$3),$G168,0))</f>
        <v/>
      </c>
      <c r="O168" s="68">
        <f>IF(OR($J168="",$B168=""),0,IF(YEAR($B168)*12+MONTH($B168)&lt;=YEAR($C$3)*12+MONTH($C$3)-1,$G168,0))</f>
        <v/>
      </c>
      <c r="P168" s="68">
        <f>$M168-$O168</f>
        <v/>
      </c>
      <c r="Q168" s="68">
        <f>($L168-$M168)-($N168-$O168)</f>
        <v/>
      </c>
      <c r="R168" s="68">
        <f>$L168-$N168</f>
        <v/>
      </c>
      <c r="S168" s="67">
        <f>"Finance invoice"</f>
        <v/>
      </c>
      <c r="T168" s="67">
        <f>"Revenue"</f>
        <v/>
      </c>
    </row>
    <row r="169">
      <c r="A169" s="65">
        <f>ROW()-5</f>
        <v/>
      </c>
      <c r="B169" s="66">
        <f>IFERROR(INDEX(tbl_Finance[Date],$A169),"")</f>
        <v/>
      </c>
      <c r="C169" s="67">
        <f>IFERROR(INDEX(tbl_Finance[Xero Invoice No],$A169),"")</f>
        <v/>
      </c>
      <c r="D169" s="67">
        <f>IFERROR(INDEX(tbl_Finance[Client],$A169),"")</f>
        <v/>
      </c>
      <c r="E169" s="67">
        <f>IFERROR(INDEX(tbl_Finance[Job Number],$A169),"")</f>
        <v/>
      </c>
      <c r="F169" s="67">
        <f>IFERROR(INDEX(tbl_Finance[Cost Centre],$A169),"")</f>
        <v/>
      </c>
      <c r="G169" s="68">
        <f>IFERROR(INDEX(tbl_Finance[Ex GST],$A169),"")</f>
        <v/>
      </c>
      <c r="H169" s="66">
        <f>IFERROR(INDEX(tbl_Finance[Defer Start],$A169),"")</f>
        <v/>
      </c>
      <c r="I169" s="66">
        <f>IFERROR(INDEX(tbl_Finance[Defer End],$A169),"")</f>
        <v/>
      </c>
      <c r="J169" s="65">
        <f>IF(OR($H169="",$I169="",$G169=""),"",MAX(1,(YEAR($I169)-YEAR($H169))*12+MONTH($I169)-MONTH($H169)+1))</f>
        <v/>
      </c>
      <c r="K169" s="68">
        <f>IF($J169="","",$G169/$J169)</f>
        <v/>
      </c>
      <c r="L169" s="68">
        <f>IF($J169="",0,$K169*MAX(0,MIN(YEAR($C$3)*12+MONTH($C$3),YEAR($I169)*12+MONTH($I169))-(YEAR($H169)*12+MONTH($H169))+1))</f>
        <v/>
      </c>
      <c r="M169" s="68">
        <f>IF($J169="",0,$K169*MAX(0,MIN(YEAR($C$3)*12+MONTH($C$3)-1,YEAR($I169)*12+MONTH($I169))-(YEAR($H169)*12+MONTH($H169))+1))</f>
        <v/>
      </c>
      <c r="N169" s="68">
        <f>IF(OR($J169="",$B169=""),0,IF(YEAR($B169)*12+MONTH($B169)&lt;=YEAR($C$3)*12+MONTH($C$3),$G169,0))</f>
        <v/>
      </c>
      <c r="O169" s="68">
        <f>IF(OR($J169="",$B169=""),0,IF(YEAR($B169)*12+MONTH($B169)&lt;=YEAR($C$3)*12+MONTH($C$3)-1,$G169,0))</f>
        <v/>
      </c>
      <c r="P169" s="68">
        <f>$M169-$O169</f>
        <v/>
      </c>
      <c r="Q169" s="68">
        <f>($L169-$M169)-($N169-$O169)</f>
        <v/>
      </c>
      <c r="R169" s="68">
        <f>$L169-$N169</f>
        <v/>
      </c>
      <c r="S169" s="67">
        <f>"Finance invoice"</f>
        <v/>
      </c>
      <c r="T169" s="67">
        <f>"Revenue"</f>
        <v/>
      </c>
    </row>
    <row r="170">
      <c r="A170" s="65">
        <f>ROW()-5</f>
        <v/>
      </c>
      <c r="B170" s="66">
        <f>IFERROR(INDEX(tbl_Finance[Date],$A170),"")</f>
        <v/>
      </c>
      <c r="C170" s="67">
        <f>IFERROR(INDEX(tbl_Finance[Xero Invoice No],$A170),"")</f>
        <v/>
      </c>
      <c r="D170" s="67">
        <f>IFERROR(INDEX(tbl_Finance[Client],$A170),"")</f>
        <v/>
      </c>
      <c r="E170" s="67">
        <f>IFERROR(INDEX(tbl_Finance[Job Number],$A170),"")</f>
        <v/>
      </c>
      <c r="F170" s="67">
        <f>IFERROR(INDEX(tbl_Finance[Cost Centre],$A170),"")</f>
        <v/>
      </c>
      <c r="G170" s="68">
        <f>IFERROR(INDEX(tbl_Finance[Ex GST],$A170),"")</f>
        <v/>
      </c>
      <c r="H170" s="66">
        <f>IFERROR(INDEX(tbl_Finance[Defer Start],$A170),"")</f>
        <v/>
      </c>
      <c r="I170" s="66">
        <f>IFERROR(INDEX(tbl_Finance[Defer End],$A170),"")</f>
        <v/>
      </c>
      <c r="J170" s="65">
        <f>IF(OR($H170="",$I170="",$G170=""),"",MAX(1,(YEAR($I170)-YEAR($H170))*12+MONTH($I170)-MONTH($H170)+1))</f>
        <v/>
      </c>
      <c r="K170" s="68">
        <f>IF($J170="","",$G170/$J170)</f>
        <v/>
      </c>
      <c r="L170" s="68">
        <f>IF($J170="",0,$K170*MAX(0,MIN(YEAR($C$3)*12+MONTH($C$3),YEAR($I170)*12+MONTH($I170))-(YEAR($H170)*12+MONTH($H170))+1))</f>
        <v/>
      </c>
      <c r="M170" s="68">
        <f>IF($J170="",0,$K170*MAX(0,MIN(YEAR($C$3)*12+MONTH($C$3)-1,YEAR($I170)*12+MONTH($I170))-(YEAR($H170)*12+MONTH($H170))+1))</f>
        <v/>
      </c>
      <c r="N170" s="68">
        <f>IF(OR($J170="",$B170=""),0,IF(YEAR($B170)*12+MONTH($B170)&lt;=YEAR($C$3)*12+MONTH($C$3),$G170,0))</f>
        <v/>
      </c>
      <c r="O170" s="68">
        <f>IF(OR($J170="",$B170=""),0,IF(YEAR($B170)*12+MONTH($B170)&lt;=YEAR($C$3)*12+MONTH($C$3)-1,$G170,0))</f>
        <v/>
      </c>
      <c r="P170" s="68">
        <f>$M170-$O170</f>
        <v/>
      </c>
      <c r="Q170" s="68">
        <f>($L170-$M170)-($N170-$O170)</f>
        <v/>
      </c>
      <c r="R170" s="68">
        <f>$L170-$N170</f>
        <v/>
      </c>
      <c r="S170" s="67">
        <f>"Finance invoice"</f>
        <v/>
      </c>
      <c r="T170" s="67">
        <f>"Revenue"</f>
        <v/>
      </c>
    </row>
    <row r="171">
      <c r="A171" s="65">
        <f>ROW()-5</f>
        <v/>
      </c>
      <c r="B171" s="66">
        <f>IFERROR(INDEX(tbl_Finance[Date],$A171),"")</f>
        <v/>
      </c>
      <c r="C171" s="67">
        <f>IFERROR(INDEX(tbl_Finance[Xero Invoice No],$A171),"")</f>
        <v/>
      </c>
      <c r="D171" s="67">
        <f>IFERROR(INDEX(tbl_Finance[Client],$A171),"")</f>
        <v/>
      </c>
      <c r="E171" s="67">
        <f>IFERROR(INDEX(tbl_Finance[Job Number],$A171),"")</f>
        <v/>
      </c>
      <c r="F171" s="67">
        <f>IFERROR(INDEX(tbl_Finance[Cost Centre],$A171),"")</f>
        <v/>
      </c>
      <c r="G171" s="68">
        <f>IFERROR(INDEX(tbl_Finance[Ex GST],$A171),"")</f>
        <v/>
      </c>
      <c r="H171" s="66">
        <f>IFERROR(INDEX(tbl_Finance[Defer Start],$A171),"")</f>
        <v/>
      </c>
      <c r="I171" s="66">
        <f>IFERROR(INDEX(tbl_Finance[Defer End],$A171),"")</f>
        <v/>
      </c>
      <c r="J171" s="65">
        <f>IF(OR($H171="",$I171="",$G171=""),"",MAX(1,(YEAR($I171)-YEAR($H171))*12+MONTH($I171)-MONTH($H171)+1))</f>
        <v/>
      </c>
      <c r="K171" s="68">
        <f>IF($J171="","",$G171/$J171)</f>
        <v/>
      </c>
      <c r="L171" s="68">
        <f>IF($J171="",0,$K171*MAX(0,MIN(YEAR($C$3)*12+MONTH($C$3),YEAR($I171)*12+MONTH($I171))-(YEAR($H171)*12+MONTH($H171))+1))</f>
        <v/>
      </c>
      <c r="M171" s="68">
        <f>IF($J171="",0,$K171*MAX(0,MIN(YEAR($C$3)*12+MONTH($C$3)-1,YEAR($I171)*12+MONTH($I171))-(YEAR($H171)*12+MONTH($H171))+1))</f>
        <v/>
      </c>
      <c r="N171" s="68">
        <f>IF(OR($J171="",$B171=""),0,IF(YEAR($B171)*12+MONTH($B171)&lt;=YEAR($C$3)*12+MONTH($C$3),$G171,0))</f>
        <v/>
      </c>
      <c r="O171" s="68">
        <f>IF(OR($J171="",$B171=""),0,IF(YEAR($B171)*12+MONTH($B171)&lt;=YEAR($C$3)*12+MONTH($C$3)-1,$G171,0))</f>
        <v/>
      </c>
      <c r="P171" s="68">
        <f>$M171-$O171</f>
        <v/>
      </c>
      <c r="Q171" s="68">
        <f>($L171-$M171)-($N171-$O171)</f>
        <v/>
      </c>
      <c r="R171" s="68">
        <f>$L171-$N171</f>
        <v/>
      </c>
      <c r="S171" s="67">
        <f>"Finance invoice"</f>
        <v/>
      </c>
      <c r="T171" s="67">
        <f>"Revenue"</f>
        <v/>
      </c>
    </row>
    <row r="172">
      <c r="A172" s="65">
        <f>ROW()-5</f>
        <v/>
      </c>
      <c r="B172" s="66">
        <f>IFERROR(INDEX(tbl_Finance[Date],$A172),"")</f>
        <v/>
      </c>
      <c r="C172" s="67">
        <f>IFERROR(INDEX(tbl_Finance[Xero Invoice No],$A172),"")</f>
        <v/>
      </c>
      <c r="D172" s="67">
        <f>IFERROR(INDEX(tbl_Finance[Client],$A172),"")</f>
        <v/>
      </c>
      <c r="E172" s="67">
        <f>IFERROR(INDEX(tbl_Finance[Job Number],$A172),"")</f>
        <v/>
      </c>
      <c r="F172" s="67">
        <f>IFERROR(INDEX(tbl_Finance[Cost Centre],$A172),"")</f>
        <v/>
      </c>
      <c r="G172" s="68">
        <f>IFERROR(INDEX(tbl_Finance[Ex GST],$A172),"")</f>
        <v/>
      </c>
      <c r="H172" s="66">
        <f>IFERROR(INDEX(tbl_Finance[Defer Start],$A172),"")</f>
        <v/>
      </c>
      <c r="I172" s="66">
        <f>IFERROR(INDEX(tbl_Finance[Defer End],$A172),"")</f>
        <v/>
      </c>
      <c r="J172" s="65">
        <f>IF(OR($H172="",$I172="",$G172=""),"",MAX(1,(YEAR($I172)-YEAR($H172))*12+MONTH($I172)-MONTH($H172)+1))</f>
        <v/>
      </c>
      <c r="K172" s="68">
        <f>IF($J172="","",$G172/$J172)</f>
        <v/>
      </c>
      <c r="L172" s="68">
        <f>IF($J172="",0,$K172*MAX(0,MIN(YEAR($C$3)*12+MONTH($C$3),YEAR($I172)*12+MONTH($I172))-(YEAR($H172)*12+MONTH($H172))+1))</f>
        <v/>
      </c>
      <c r="M172" s="68">
        <f>IF($J172="",0,$K172*MAX(0,MIN(YEAR($C$3)*12+MONTH($C$3)-1,YEAR($I172)*12+MONTH($I172))-(YEAR($H172)*12+MONTH($H172))+1))</f>
        <v/>
      </c>
      <c r="N172" s="68">
        <f>IF(OR($J172="",$B172=""),0,IF(YEAR($B172)*12+MONTH($B172)&lt;=YEAR($C$3)*12+MONTH($C$3),$G172,0))</f>
        <v/>
      </c>
      <c r="O172" s="68">
        <f>IF(OR($J172="",$B172=""),0,IF(YEAR($B172)*12+MONTH($B172)&lt;=YEAR($C$3)*12+MONTH($C$3)-1,$G172,0))</f>
        <v/>
      </c>
      <c r="P172" s="68">
        <f>$M172-$O172</f>
        <v/>
      </c>
      <c r="Q172" s="68">
        <f>($L172-$M172)-($N172-$O172)</f>
        <v/>
      </c>
      <c r="R172" s="68">
        <f>$L172-$N172</f>
        <v/>
      </c>
      <c r="S172" s="67">
        <f>"Finance invoice"</f>
        <v/>
      </c>
      <c r="T172" s="67">
        <f>"Revenue"</f>
        <v/>
      </c>
    </row>
    <row r="173">
      <c r="A173" s="65">
        <f>ROW()-5</f>
        <v/>
      </c>
      <c r="B173" s="66">
        <f>IFERROR(INDEX(tbl_Finance[Date],$A173),"")</f>
        <v/>
      </c>
      <c r="C173" s="67">
        <f>IFERROR(INDEX(tbl_Finance[Xero Invoice No],$A173),"")</f>
        <v/>
      </c>
      <c r="D173" s="67">
        <f>IFERROR(INDEX(tbl_Finance[Client],$A173),"")</f>
        <v/>
      </c>
      <c r="E173" s="67">
        <f>IFERROR(INDEX(tbl_Finance[Job Number],$A173),"")</f>
        <v/>
      </c>
      <c r="F173" s="67">
        <f>IFERROR(INDEX(tbl_Finance[Cost Centre],$A173),"")</f>
        <v/>
      </c>
      <c r="G173" s="68">
        <f>IFERROR(INDEX(tbl_Finance[Ex GST],$A173),"")</f>
        <v/>
      </c>
      <c r="H173" s="66">
        <f>IFERROR(INDEX(tbl_Finance[Defer Start],$A173),"")</f>
        <v/>
      </c>
      <c r="I173" s="66">
        <f>IFERROR(INDEX(tbl_Finance[Defer End],$A173),"")</f>
        <v/>
      </c>
      <c r="J173" s="65">
        <f>IF(OR($H173="",$I173="",$G173=""),"",MAX(1,(YEAR($I173)-YEAR($H173))*12+MONTH($I173)-MONTH($H173)+1))</f>
        <v/>
      </c>
      <c r="K173" s="68">
        <f>IF($J173="","",$G173/$J173)</f>
        <v/>
      </c>
      <c r="L173" s="68">
        <f>IF($J173="",0,$K173*MAX(0,MIN(YEAR($C$3)*12+MONTH($C$3),YEAR($I173)*12+MONTH($I173))-(YEAR($H173)*12+MONTH($H173))+1))</f>
        <v/>
      </c>
      <c r="M173" s="68">
        <f>IF($J173="",0,$K173*MAX(0,MIN(YEAR($C$3)*12+MONTH($C$3)-1,YEAR($I173)*12+MONTH($I173))-(YEAR($H173)*12+MONTH($H173))+1))</f>
        <v/>
      </c>
      <c r="N173" s="68">
        <f>IF(OR($J173="",$B173=""),0,IF(YEAR($B173)*12+MONTH($B173)&lt;=YEAR($C$3)*12+MONTH($C$3),$G173,0))</f>
        <v/>
      </c>
      <c r="O173" s="68">
        <f>IF(OR($J173="",$B173=""),0,IF(YEAR($B173)*12+MONTH($B173)&lt;=YEAR($C$3)*12+MONTH($C$3)-1,$G173,0))</f>
        <v/>
      </c>
      <c r="P173" s="68">
        <f>$M173-$O173</f>
        <v/>
      </c>
      <c r="Q173" s="68">
        <f>($L173-$M173)-($N173-$O173)</f>
        <v/>
      </c>
      <c r="R173" s="68">
        <f>$L173-$N173</f>
        <v/>
      </c>
      <c r="S173" s="67">
        <f>"Finance invoice"</f>
        <v/>
      </c>
      <c r="T173" s="67">
        <f>"Revenue"</f>
        <v/>
      </c>
    </row>
    <row r="174">
      <c r="A174" s="65">
        <f>ROW()-5</f>
        <v/>
      </c>
      <c r="B174" s="66">
        <f>IFERROR(INDEX(tbl_Finance[Date],$A174),"")</f>
        <v/>
      </c>
      <c r="C174" s="67">
        <f>IFERROR(INDEX(tbl_Finance[Xero Invoice No],$A174),"")</f>
        <v/>
      </c>
      <c r="D174" s="67">
        <f>IFERROR(INDEX(tbl_Finance[Client],$A174),"")</f>
        <v/>
      </c>
      <c r="E174" s="67">
        <f>IFERROR(INDEX(tbl_Finance[Job Number],$A174),"")</f>
        <v/>
      </c>
      <c r="F174" s="67">
        <f>IFERROR(INDEX(tbl_Finance[Cost Centre],$A174),"")</f>
        <v/>
      </c>
      <c r="G174" s="68">
        <f>IFERROR(INDEX(tbl_Finance[Ex GST],$A174),"")</f>
        <v/>
      </c>
      <c r="H174" s="66">
        <f>IFERROR(INDEX(tbl_Finance[Defer Start],$A174),"")</f>
        <v/>
      </c>
      <c r="I174" s="66">
        <f>IFERROR(INDEX(tbl_Finance[Defer End],$A174),"")</f>
        <v/>
      </c>
      <c r="J174" s="65">
        <f>IF(OR($H174="",$I174="",$G174=""),"",MAX(1,(YEAR($I174)-YEAR($H174))*12+MONTH($I174)-MONTH($H174)+1))</f>
        <v/>
      </c>
      <c r="K174" s="68">
        <f>IF($J174="","",$G174/$J174)</f>
        <v/>
      </c>
      <c r="L174" s="68">
        <f>IF($J174="",0,$K174*MAX(0,MIN(YEAR($C$3)*12+MONTH($C$3),YEAR($I174)*12+MONTH($I174))-(YEAR($H174)*12+MONTH($H174))+1))</f>
        <v/>
      </c>
      <c r="M174" s="68">
        <f>IF($J174="",0,$K174*MAX(0,MIN(YEAR($C$3)*12+MONTH($C$3)-1,YEAR($I174)*12+MONTH($I174))-(YEAR($H174)*12+MONTH($H174))+1))</f>
        <v/>
      </c>
      <c r="N174" s="68">
        <f>IF(OR($J174="",$B174=""),0,IF(YEAR($B174)*12+MONTH($B174)&lt;=YEAR($C$3)*12+MONTH($C$3),$G174,0))</f>
        <v/>
      </c>
      <c r="O174" s="68">
        <f>IF(OR($J174="",$B174=""),0,IF(YEAR($B174)*12+MONTH($B174)&lt;=YEAR($C$3)*12+MONTH($C$3)-1,$G174,0))</f>
        <v/>
      </c>
      <c r="P174" s="68">
        <f>$M174-$O174</f>
        <v/>
      </c>
      <c r="Q174" s="68">
        <f>($L174-$M174)-($N174-$O174)</f>
        <v/>
      </c>
      <c r="R174" s="68">
        <f>$L174-$N174</f>
        <v/>
      </c>
      <c r="S174" s="67">
        <f>"Finance invoice"</f>
        <v/>
      </c>
      <c r="T174" s="67">
        <f>"Revenue"</f>
        <v/>
      </c>
    </row>
    <row r="175">
      <c r="A175" s="65">
        <f>ROW()-5</f>
        <v/>
      </c>
      <c r="B175" s="66">
        <f>IFERROR(INDEX(tbl_Finance[Date],$A175),"")</f>
        <v/>
      </c>
      <c r="C175" s="67">
        <f>IFERROR(INDEX(tbl_Finance[Xero Invoice No],$A175),"")</f>
        <v/>
      </c>
      <c r="D175" s="67">
        <f>IFERROR(INDEX(tbl_Finance[Client],$A175),"")</f>
        <v/>
      </c>
      <c r="E175" s="67">
        <f>IFERROR(INDEX(tbl_Finance[Job Number],$A175),"")</f>
        <v/>
      </c>
      <c r="F175" s="67">
        <f>IFERROR(INDEX(tbl_Finance[Cost Centre],$A175),"")</f>
        <v/>
      </c>
      <c r="G175" s="68">
        <f>IFERROR(INDEX(tbl_Finance[Ex GST],$A175),"")</f>
        <v/>
      </c>
      <c r="H175" s="66">
        <f>IFERROR(INDEX(tbl_Finance[Defer Start],$A175),"")</f>
        <v/>
      </c>
      <c r="I175" s="66">
        <f>IFERROR(INDEX(tbl_Finance[Defer End],$A175),"")</f>
        <v/>
      </c>
      <c r="J175" s="65">
        <f>IF(OR($H175="",$I175="",$G175=""),"",MAX(1,(YEAR($I175)-YEAR($H175))*12+MONTH($I175)-MONTH($H175)+1))</f>
        <v/>
      </c>
      <c r="K175" s="68">
        <f>IF($J175="","",$G175/$J175)</f>
        <v/>
      </c>
      <c r="L175" s="68">
        <f>IF($J175="",0,$K175*MAX(0,MIN(YEAR($C$3)*12+MONTH($C$3),YEAR($I175)*12+MONTH($I175))-(YEAR($H175)*12+MONTH($H175))+1))</f>
        <v/>
      </c>
      <c r="M175" s="68">
        <f>IF($J175="",0,$K175*MAX(0,MIN(YEAR($C$3)*12+MONTH($C$3)-1,YEAR($I175)*12+MONTH($I175))-(YEAR($H175)*12+MONTH($H175))+1))</f>
        <v/>
      </c>
      <c r="N175" s="68">
        <f>IF(OR($J175="",$B175=""),0,IF(YEAR($B175)*12+MONTH($B175)&lt;=YEAR($C$3)*12+MONTH($C$3),$G175,0))</f>
        <v/>
      </c>
      <c r="O175" s="68">
        <f>IF(OR($J175="",$B175=""),0,IF(YEAR($B175)*12+MONTH($B175)&lt;=YEAR($C$3)*12+MONTH($C$3)-1,$G175,0))</f>
        <v/>
      </c>
      <c r="P175" s="68">
        <f>$M175-$O175</f>
        <v/>
      </c>
      <c r="Q175" s="68">
        <f>($L175-$M175)-($N175-$O175)</f>
        <v/>
      </c>
      <c r="R175" s="68">
        <f>$L175-$N175</f>
        <v/>
      </c>
      <c r="S175" s="67">
        <f>"Finance invoice"</f>
        <v/>
      </c>
      <c r="T175" s="67">
        <f>"Revenue"</f>
        <v/>
      </c>
    </row>
    <row r="176">
      <c r="A176" s="65">
        <f>ROW()-5</f>
        <v/>
      </c>
      <c r="B176" s="66">
        <f>IFERROR(INDEX(tbl_Finance[Date],$A176),"")</f>
        <v/>
      </c>
      <c r="C176" s="67">
        <f>IFERROR(INDEX(tbl_Finance[Xero Invoice No],$A176),"")</f>
        <v/>
      </c>
      <c r="D176" s="67">
        <f>IFERROR(INDEX(tbl_Finance[Client],$A176),"")</f>
        <v/>
      </c>
      <c r="E176" s="67">
        <f>IFERROR(INDEX(tbl_Finance[Job Number],$A176),"")</f>
        <v/>
      </c>
      <c r="F176" s="67">
        <f>IFERROR(INDEX(tbl_Finance[Cost Centre],$A176),"")</f>
        <v/>
      </c>
      <c r="G176" s="68">
        <f>IFERROR(INDEX(tbl_Finance[Ex GST],$A176),"")</f>
        <v/>
      </c>
      <c r="H176" s="66">
        <f>IFERROR(INDEX(tbl_Finance[Defer Start],$A176),"")</f>
        <v/>
      </c>
      <c r="I176" s="66">
        <f>IFERROR(INDEX(tbl_Finance[Defer End],$A176),"")</f>
        <v/>
      </c>
      <c r="J176" s="65">
        <f>IF(OR($H176="",$I176="",$G176=""),"",MAX(1,(YEAR($I176)-YEAR($H176))*12+MONTH($I176)-MONTH($H176)+1))</f>
        <v/>
      </c>
      <c r="K176" s="68">
        <f>IF($J176="","",$G176/$J176)</f>
        <v/>
      </c>
      <c r="L176" s="68">
        <f>IF($J176="",0,$K176*MAX(0,MIN(YEAR($C$3)*12+MONTH($C$3),YEAR($I176)*12+MONTH($I176))-(YEAR($H176)*12+MONTH($H176))+1))</f>
        <v/>
      </c>
      <c r="M176" s="68">
        <f>IF($J176="",0,$K176*MAX(0,MIN(YEAR($C$3)*12+MONTH($C$3)-1,YEAR($I176)*12+MONTH($I176))-(YEAR($H176)*12+MONTH($H176))+1))</f>
        <v/>
      </c>
      <c r="N176" s="68">
        <f>IF(OR($J176="",$B176=""),0,IF(YEAR($B176)*12+MONTH($B176)&lt;=YEAR($C$3)*12+MONTH($C$3),$G176,0))</f>
        <v/>
      </c>
      <c r="O176" s="68">
        <f>IF(OR($J176="",$B176=""),0,IF(YEAR($B176)*12+MONTH($B176)&lt;=YEAR($C$3)*12+MONTH($C$3)-1,$G176,0))</f>
        <v/>
      </c>
      <c r="P176" s="68">
        <f>$M176-$O176</f>
        <v/>
      </c>
      <c r="Q176" s="68">
        <f>($L176-$M176)-($N176-$O176)</f>
        <v/>
      </c>
      <c r="R176" s="68">
        <f>$L176-$N176</f>
        <v/>
      </c>
      <c r="S176" s="67">
        <f>"Finance invoice"</f>
        <v/>
      </c>
      <c r="T176" s="67">
        <f>"Revenue"</f>
        <v/>
      </c>
    </row>
    <row r="177">
      <c r="A177" s="65">
        <f>ROW()-5</f>
        <v/>
      </c>
      <c r="B177" s="66">
        <f>IFERROR(INDEX(tbl_Finance[Date],$A177),"")</f>
        <v/>
      </c>
      <c r="C177" s="67">
        <f>IFERROR(INDEX(tbl_Finance[Xero Invoice No],$A177),"")</f>
        <v/>
      </c>
      <c r="D177" s="67">
        <f>IFERROR(INDEX(tbl_Finance[Client],$A177),"")</f>
        <v/>
      </c>
      <c r="E177" s="67">
        <f>IFERROR(INDEX(tbl_Finance[Job Number],$A177),"")</f>
        <v/>
      </c>
      <c r="F177" s="67">
        <f>IFERROR(INDEX(tbl_Finance[Cost Centre],$A177),"")</f>
        <v/>
      </c>
      <c r="G177" s="68">
        <f>IFERROR(INDEX(tbl_Finance[Ex GST],$A177),"")</f>
        <v/>
      </c>
      <c r="H177" s="66">
        <f>IFERROR(INDEX(tbl_Finance[Defer Start],$A177),"")</f>
        <v/>
      </c>
      <c r="I177" s="66">
        <f>IFERROR(INDEX(tbl_Finance[Defer End],$A177),"")</f>
        <v/>
      </c>
      <c r="J177" s="65">
        <f>IF(OR($H177="",$I177="",$G177=""),"",MAX(1,(YEAR($I177)-YEAR($H177))*12+MONTH($I177)-MONTH($H177)+1))</f>
        <v/>
      </c>
      <c r="K177" s="68">
        <f>IF($J177="","",$G177/$J177)</f>
        <v/>
      </c>
      <c r="L177" s="68">
        <f>IF($J177="",0,$K177*MAX(0,MIN(YEAR($C$3)*12+MONTH($C$3),YEAR($I177)*12+MONTH($I177))-(YEAR($H177)*12+MONTH($H177))+1))</f>
        <v/>
      </c>
      <c r="M177" s="68">
        <f>IF($J177="",0,$K177*MAX(0,MIN(YEAR($C$3)*12+MONTH($C$3)-1,YEAR($I177)*12+MONTH($I177))-(YEAR($H177)*12+MONTH($H177))+1))</f>
        <v/>
      </c>
      <c r="N177" s="68">
        <f>IF(OR($J177="",$B177=""),0,IF(YEAR($B177)*12+MONTH($B177)&lt;=YEAR($C$3)*12+MONTH($C$3),$G177,0))</f>
        <v/>
      </c>
      <c r="O177" s="68">
        <f>IF(OR($J177="",$B177=""),0,IF(YEAR($B177)*12+MONTH($B177)&lt;=YEAR($C$3)*12+MONTH($C$3)-1,$G177,0))</f>
        <v/>
      </c>
      <c r="P177" s="68">
        <f>$M177-$O177</f>
        <v/>
      </c>
      <c r="Q177" s="68">
        <f>($L177-$M177)-($N177-$O177)</f>
        <v/>
      </c>
      <c r="R177" s="68">
        <f>$L177-$N177</f>
        <v/>
      </c>
      <c r="S177" s="67">
        <f>"Finance invoice"</f>
        <v/>
      </c>
      <c r="T177" s="67">
        <f>"Revenue"</f>
        <v/>
      </c>
    </row>
    <row r="178">
      <c r="A178" s="65">
        <f>ROW()-5</f>
        <v/>
      </c>
      <c r="B178" s="66">
        <f>IFERROR(INDEX(tbl_Finance[Date],$A178),"")</f>
        <v/>
      </c>
      <c r="C178" s="67">
        <f>IFERROR(INDEX(tbl_Finance[Xero Invoice No],$A178),"")</f>
        <v/>
      </c>
      <c r="D178" s="67">
        <f>IFERROR(INDEX(tbl_Finance[Client],$A178),"")</f>
        <v/>
      </c>
      <c r="E178" s="67">
        <f>IFERROR(INDEX(tbl_Finance[Job Number],$A178),"")</f>
        <v/>
      </c>
      <c r="F178" s="67">
        <f>IFERROR(INDEX(tbl_Finance[Cost Centre],$A178),"")</f>
        <v/>
      </c>
      <c r="G178" s="68">
        <f>IFERROR(INDEX(tbl_Finance[Ex GST],$A178),"")</f>
        <v/>
      </c>
      <c r="H178" s="66">
        <f>IFERROR(INDEX(tbl_Finance[Defer Start],$A178),"")</f>
        <v/>
      </c>
      <c r="I178" s="66">
        <f>IFERROR(INDEX(tbl_Finance[Defer End],$A178),"")</f>
        <v/>
      </c>
      <c r="J178" s="65">
        <f>IF(OR($H178="",$I178="",$G178=""),"",MAX(1,(YEAR($I178)-YEAR($H178))*12+MONTH($I178)-MONTH($H178)+1))</f>
        <v/>
      </c>
      <c r="K178" s="68">
        <f>IF($J178="","",$G178/$J178)</f>
        <v/>
      </c>
      <c r="L178" s="68">
        <f>IF($J178="",0,$K178*MAX(0,MIN(YEAR($C$3)*12+MONTH($C$3),YEAR($I178)*12+MONTH($I178))-(YEAR($H178)*12+MONTH($H178))+1))</f>
        <v/>
      </c>
      <c r="M178" s="68">
        <f>IF($J178="",0,$K178*MAX(0,MIN(YEAR($C$3)*12+MONTH($C$3)-1,YEAR($I178)*12+MONTH($I178))-(YEAR($H178)*12+MONTH($H178))+1))</f>
        <v/>
      </c>
      <c r="N178" s="68">
        <f>IF(OR($J178="",$B178=""),0,IF(YEAR($B178)*12+MONTH($B178)&lt;=YEAR($C$3)*12+MONTH($C$3),$G178,0))</f>
        <v/>
      </c>
      <c r="O178" s="68">
        <f>IF(OR($J178="",$B178=""),0,IF(YEAR($B178)*12+MONTH($B178)&lt;=YEAR($C$3)*12+MONTH($C$3)-1,$G178,0))</f>
        <v/>
      </c>
      <c r="P178" s="68">
        <f>$M178-$O178</f>
        <v/>
      </c>
      <c r="Q178" s="68">
        <f>($L178-$M178)-($N178-$O178)</f>
        <v/>
      </c>
      <c r="R178" s="68">
        <f>$L178-$N178</f>
        <v/>
      </c>
      <c r="S178" s="67">
        <f>"Finance invoice"</f>
        <v/>
      </c>
      <c r="T178" s="67">
        <f>"Revenue"</f>
        <v/>
      </c>
    </row>
    <row r="179">
      <c r="A179" s="65">
        <f>ROW()-5</f>
        <v/>
      </c>
      <c r="B179" s="66">
        <f>IFERROR(INDEX(tbl_Finance[Date],$A179),"")</f>
        <v/>
      </c>
      <c r="C179" s="67">
        <f>IFERROR(INDEX(tbl_Finance[Xero Invoice No],$A179),"")</f>
        <v/>
      </c>
      <c r="D179" s="67">
        <f>IFERROR(INDEX(tbl_Finance[Client],$A179),"")</f>
        <v/>
      </c>
      <c r="E179" s="67">
        <f>IFERROR(INDEX(tbl_Finance[Job Number],$A179),"")</f>
        <v/>
      </c>
      <c r="F179" s="67">
        <f>IFERROR(INDEX(tbl_Finance[Cost Centre],$A179),"")</f>
        <v/>
      </c>
      <c r="G179" s="68">
        <f>IFERROR(INDEX(tbl_Finance[Ex GST],$A179),"")</f>
        <v/>
      </c>
      <c r="H179" s="66">
        <f>IFERROR(INDEX(tbl_Finance[Defer Start],$A179),"")</f>
        <v/>
      </c>
      <c r="I179" s="66">
        <f>IFERROR(INDEX(tbl_Finance[Defer End],$A179),"")</f>
        <v/>
      </c>
      <c r="J179" s="65">
        <f>IF(OR($H179="",$I179="",$G179=""),"",MAX(1,(YEAR($I179)-YEAR($H179))*12+MONTH($I179)-MONTH($H179)+1))</f>
        <v/>
      </c>
      <c r="K179" s="68">
        <f>IF($J179="","",$G179/$J179)</f>
        <v/>
      </c>
      <c r="L179" s="68">
        <f>IF($J179="",0,$K179*MAX(0,MIN(YEAR($C$3)*12+MONTH($C$3),YEAR($I179)*12+MONTH($I179))-(YEAR($H179)*12+MONTH($H179))+1))</f>
        <v/>
      </c>
      <c r="M179" s="68">
        <f>IF($J179="",0,$K179*MAX(0,MIN(YEAR($C$3)*12+MONTH($C$3)-1,YEAR($I179)*12+MONTH($I179))-(YEAR($H179)*12+MONTH($H179))+1))</f>
        <v/>
      </c>
      <c r="N179" s="68">
        <f>IF(OR($J179="",$B179=""),0,IF(YEAR($B179)*12+MONTH($B179)&lt;=YEAR($C$3)*12+MONTH($C$3),$G179,0))</f>
        <v/>
      </c>
      <c r="O179" s="68">
        <f>IF(OR($J179="",$B179=""),0,IF(YEAR($B179)*12+MONTH($B179)&lt;=YEAR($C$3)*12+MONTH($C$3)-1,$G179,0))</f>
        <v/>
      </c>
      <c r="P179" s="68">
        <f>$M179-$O179</f>
        <v/>
      </c>
      <c r="Q179" s="68">
        <f>($L179-$M179)-($N179-$O179)</f>
        <v/>
      </c>
      <c r="R179" s="68">
        <f>$L179-$N179</f>
        <v/>
      </c>
      <c r="S179" s="67">
        <f>"Finance invoice"</f>
        <v/>
      </c>
      <c r="T179" s="67">
        <f>"Revenue"</f>
        <v/>
      </c>
    </row>
    <row r="180">
      <c r="A180" s="65">
        <f>ROW()-5</f>
        <v/>
      </c>
      <c r="B180" s="66">
        <f>IFERROR(INDEX(tbl_Finance[Date],$A180),"")</f>
        <v/>
      </c>
      <c r="C180" s="67">
        <f>IFERROR(INDEX(tbl_Finance[Xero Invoice No],$A180),"")</f>
        <v/>
      </c>
      <c r="D180" s="67">
        <f>IFERROR(INDEX(tbl_Finance[Client],$A180),"")</f>
        <v/>
      </c>
      <c r="E180" s="67">
        <f>IFERROR(INDEX(tbl_Finance[Job Number],$A180),"")</f>
        <v/>
      </c>
      <c r="F180" s="67">
        <f>IFERROR(INDEX(tbl_Finance[Cost Centre],$A180),"")</f>
        <v/>
      </c>
      <c r="G180" s="68">
        <f>IFERROR(INDEX(tbl_Finance[Ex GST],$A180),"")</f>
        <v/>
      </c>
      <c r="H180" s="66">
        <f>IFERROR(INDEX(tbl_Finance[Defer Start],$A180),"")</f>
        <v/>
      </c>
      <c r="I180" s="66">
        <f>IFERROR(INDEX(tbl_Finance[Defer End],$A180),"")</f>
        <v/>
      </c>
      <c r="J180" s="65">
        <f>IF(OR($H180="",$I180="",$G180=""),"",MAX(1,(YEAR($I180)-YEAR($H180))*12+MONTH($I180)-MONTH($H180)+1))</f>
        <v/>
      </c>
      <c r="K180" s="68">
        <f>IF($J180="","",$G180/$J180)</f>
        <v/>
      </c>
      <c r="L180" s="68">
        <f>IF($J180="",0,$K180*MAX(0,MIN(YEAR($C$3)*12+MONTH($C$3),YEAR($I180)*12+MONTH($I180))-(YEAR($H180)*12+MONTH($H180))+1))</f>
        <v/>
      </c>
      <c r="M180" s="68">
        <f>IF($J180="",0,$K180*MAX(0,MIN(YEAR($C$3)*12+MONTH($C$3)-1,YEAR($I180)*12+MONTH($I180))-(YEAR($H180)*12+MONTH($H180))+1))</f>
        <v/>
      </c>
      <c r="N180" s="68">
        <f>IF(OR($J180="",$B180=""),0,IF(YEAR($B180)*12+MONTH($B180)&lt;=YEAR($C$3)*12+MONTH($C$3),$G180,0))</f>
        <v/>
      </c>
      <c r="O180" s="68">
        <f>IF(OR($J180="",$B180=""),0,IF(YEAR($B180)*12+MONTH($B180)&lt;=YEAR($C$3)*12+MONTH($C$3)-1,$G180,0))</f>
        <v/>
      </c>
      <c r="P180" s="68">
        <f>$M180-$O180</f>
        <v/>
      </c>
      <c r="Q180" s="68">
        <f>($L180-$M180)-($N180-$O180)</f>
        <v/>
      </c>
      <c r="R180" s="68">
        <f>$L180-$N180</f>
        <v/>
      </c>
      <c r="S180" s="67">
        <f>"Finance invoice"</f>
        <v/>
      </c>
      <c r="T180" s="67">
        <f>"Revenue"</f>
        <v/>
      </c>
    </row>
    <row r="181">
      <c r="A181" s="65">
        <f>ROW()-5</f>
        <v/>
      </c>
      <c r="B181" s="66">
        <f>IFERROR(INDEX(tbl_Finance[Date],$A181),"")</f>
        <v/>
      </c>
      <c r="C181" s="67">
        <f>IFERROR(INDEX(tbl_Finance[Xero Invoice No],$A181),"")</f>
        <v/>
      </c>
      <c r="D181" s="67">
        <f>IFERROR(INDEX(tbl_Finance[Client],$A181),"")</f>
        <v/>
      </c>
      <c r="E181" s="67">
        <f>IFERROR(INDEX(tbl_Finance[Job Number],$A181),"")</f>
        <v/>
      </c>
      <c r="F181" s="67">
        <f>IFERROR(INDEX(tbl_Finance[Cost Centre],$A181),"")</f>
        <v/>
      </c>
      <c r="G181" s="68">
        <f>IFERROR(INDEX(tbl_Finance[Ex GST],$A181),"")</f>
        <v/>
      </c>
      <c r="H181" s="66">
        <f>IFERROR(INDEX(tbl_Finance[Defer Start],$A181),"")</f>
        <v/>
      </c>
      <c r="I181" s="66">
        <f>IFERROR(INDEX(tbl_Finance[Defer End],$A181),"")</f>
        <v/>
      </c>
      <c r="J181" s="65">
        <f>IF(OR($H181="",$I181="",$G181=""),"",MAX(1,(YEAR($I181)-YEAR($H181))*12+MONTH($I181)-MONTH($H181)+1))</f>
        <v/>
      </c>
      <c r="K181" s="68">
        <f>IF($J181="","",$G181/$J181)</f>
        <v/>
      </c>
      <c r="L181" s="68">
        <f>IF($J181="",0,$K181*MAX(0,MIN(YEAR($C$3)*12+MONTH($C$3),YEAR($I181)*12+MONTH($I181))-(YEAR($H181)*12+MONTH($H181))+1))</f>
        <v/>
      </c>
      <c r="M181" s="68">
        <f>IF($J181="",0,$K181*MAX(0,MIN(YEAR($C$3)*12+MONTH($C$3)-1,YEAR($I181)*12+MONTH($I181))-(YEAR($H181)*12+MONTH($H181))+1))</f>
        <v/>
      </c>
      <c r="N181" s="68">
        <f>IF(OR($J181="",$B181=""),0,IF(YEAR($B181)*12+MONTH($B181)&lt;=YEAR($C$3)*12+MONTH($C$3),$G181,0))</f>
        <v/>
      </c>
      <c r="O181" s="68">
        <f>IF(OR($J181="",$B181=""),0,IF(YEAR($B181)*12+MONTH($B181)&lt;=YEAR($C$3)*12+MONTH($C$3)-1,$G181,0))</f>
        <v/>
      </c>
      <c r="P181" s="68">
        <f>$M181-$O181</f>
        <v/>
      </c>
      <c r="Q181" s="68">
        <f>($L181-$M181)-($N181-$O181)</f>
        <v/>
      </c>
      <c r="R181" s="68">
        <f>$L181-$N181</f>
        <v/>
      </c>
      <c r="S181" s="67">
        <f>"Finance invoice"</f>
        <v/>
      </c>
      <c r="T181" s="67">
        <f>"Revenue"</f>
        <v/>
      </c>
    </row>
    <row r="182">
      <c r="A182" s="65">
        <f>ROW()-5</f>
        <v/>
      </c>
      <c r="B182" s="66">
        <f>IFERROR(INDEX(tbl_Finance[Date],$A182),"")</f>
        <v/>
      </c>
      <c r="C182" s="67">
        <f>IFERROR(INDEX(tbl_Finance[Xero Invoice No],$A182),"")</f>
        <v/>
      </c>
      <c r="D182" s="67">
        <f>IFERROR(INDEX(tbl_Finance[Client],$A182),"")</f>
        <v/>
      </c>
      <c r="E182" s="67">
        <f>IFERROR(INDEX(tbl_Finance[Job Number],$A182),"")</f>
        <v/>
      </c>
      <c r="F182" s="67">
        <f>IFERROR(INDEX(tbl_Finance[Cost Centre],$A182),"")</f>
        <v/>
      </c>
      <c r="G182" s="68">
        <f>IFERROR(INDEX(tbl_Finance[Ex GST],$A182),"")</f>
        <v/>
      </c>
      <c r="H182" s="66">
        <f>IFERROR(INDEX(tbl_Finance[Defer Start],$A182),"")</f>
        <v/>
      </c>
      <c r="I182" s="66">
        <f>IFERROR(INDEX(tbl_Finance[Defer End],$A182),"")</f>
        <v/>
      </c>
      <c r="J182" s="65">
        <f>IF(OR($H182="",$I182="",$G182=""),"",MAX(1,(YEAR($I182)-YEAR($H182))*12+MONTH($I182)-MONTH($H182)+1))</f>
        <v/>
      </c>
      <c r="K182" s="68">
        <f>IF($J182="","",$G182/$J182)</f>
        <v/>
      </c>
      <c r="L182" s="68">
        <f>IF($J182="",0,$K182*MAX(0,MIN(YEAR($C$3)*12+MONTH($C$3),YEAR($I182)*12+MONTH($I182))-(YEAR($H182)*12+MONTH($H182))+1))</f>
        <v/>
      </c>
      <c r="M182" s="68">
        <f>IF($J182="",0,$K182*MAX(0,MIN(YEAR($C$3)*12+MONTH($C$3)-1,YEAR($I182)*12+MONTH($I182))-(YEAR($H182)*12+MONTH($H182))+1))</f>
        <v/>
      </c>
      <c r="N182" s="68">
        <f>IF(OR($J182="",$B182=""),0,IF(YEAR($B182)*12+MONTH($B182)&lt;=YEAR($C$3)*12+MONTH($C$3),$G182,0))</f>
        <v/>
      </c>
      <c r="O182" s="68">
        <f>IF(OR($J182="",$B182=""),0,IF(YEAR($B182)*12+MONTH($B182)&lt;=YEAR($C$3)*12+MONTH($C$3)-1,$G182,0))</f>
        <v/>
      </c>
      <c r="P182" s="68">
        <f>$M182-$O182</f>
        <v/>
      </c>
      <c r="Q182" s="68">
        <f>($L182-$M182)-($N182-$O182)</f>
        <v/>
      </c>
      <c r="R182" s="68">
        <f>$L182-$N182</f>
        <v/>
      </c>
      <c r="S182" s="67">
        <f>"Finance invoice"</f>
        <v/>
      </c>
      <c r="T182" s="67">
        <f>"Revenue"</f>
        <v/>
      </c>
    </row>
    <row r="183">
      <c r="A183" s="65">
        <f>ROW()-5</f>
        <v/>
      </c>
      <c r="B183" s="66">
        <f>IFERROR(INDEX(tbl_Finance[Date],$A183),"")</f>
        <v/>
      </c>
      <c r="C183" s="67">
        <f>IFERROR(INDEX(tbl_Finance[Xero Invoice No],$A183),"")</f>
        <v/>
      </c>
      <c r="D183" s="67">
        <f>IFERROR(INDEX(tbl_Finance[Client],$A183),"")</f>
        <v/>
      </c>
      <c r="E183" s="67">
        <f>IFERROR(INDEX(tbl_Finance[Job Number],$A183),"")</f>
        <v/>
      </c>
      <c r="F183" s="67">
        <f>IFERROR(INDEX(tbl_Finance[Cost Centre],$A183),"")</f>
        <v/>
      </c>
      <c r="G183" s="68">
        <f>IFERROR(INDEX(tbl_Finance[Ex GST],$A183),"")</f>
        <v/>
      </c>
      <c r="H183" s="66">
        <f>IFERROR(INDEX(tbl_Finance[Defer Start],$A183),"")</f>
        <v/>
      </c>
      <c r="I183" s="66">
        <f>IFERROR(INDEX(tbl_Finance[Defer End],$A183),"")</f>
        <v/>
      </c>
      <c r="J183" s="65">
        <f>IF(OR($H183="",$I183="",$G183=""),"",MAX(1,(YEAR($I183)-YEAR($H183))*12+MONTH($I183)-MONTH($H183)+1))</f>
        <v/>
      </c>
      <c r="K183" s="68">
        <f>IF($J183="","",$G183/$J183)</f>
        <v/>
      </c>
      <c r="L183" s="68">
        <f>IF($J183="",0,$K183*MAX(0,MIN(YEAR($C$3)*12+MONTH($C$3),YEAR($I183)*12+MONTH($I183))-(YEAR($H183)*12+MONTH($H183))+1))</f>
        <v/>
      </c>
      <c r="M183" s="68">
        <f>IF($J183="",0,$K183*MAX(0,MIN(YEAR($C$3)*12+MONTH($C$3)-1,YEAR($I183)*12+MONTH($I183))-(YEAR($H183)*12+MONTH($H183))+1))</f>
        <v/>
      </c>
      <c r="N183" s="68">
        <f>IF(OR($J183="",$B183=""),0,IF(YEAR($B183)*12+MONTH($B183)&lt;=YEAR($C$3)*12+MONTH($C$3),$G183,0))</f>
        <v/>
      </c>
      <c r="O183" s="68">
        <f>IF(OR($J183="",$B183=""),0,IF(YEAR($B183)*12+MONTH($B183)&lt;=YEAR($C$3)*12+MONTH($C$3)-1,$G183,0))</f>
        <v/>
      </c>
      <c r="P183" s="68">
        <f>$M183-$O183</f>
        <v/>
      </c>
      <c r="Q183" s="68">
        <f>($L183-$M183)-($N183-$O183)</f>
        <v/>
      </c>
      <c r="R183" s="68">
        <f>$L183-$N183</f>
        <v/>
      </c>
      <c r="S183" s="67">
        <f>"Finance invoice"</f>
        <v/>
      </c>
      <c r="T183" s="67">
        <f>"Revenue"</f>
        <v/>
      </c>
    </row>
    <row r="184">
      <c r="A184" s="65">
        <f>ROW()-5</f>
        <v/>
      </c>
      <c r="B184" s="66">
        <f>IFERROR(INDEX(tbl_Finance[Date],$A184),"")</f>
        <v/>
      </c>
      <c r="C184" s="67">
        <f>IFERROR(INDEX(tbl_Finance[Xero Invoice No],$A184),"")</f>
        <v/>
      </c>
      <c r="D184" s="67">
        <f>IFERROR(INDEX(tbl_Finance[Client],$A184),"")</f>
        <v/>
      </c>
      <c r="E184" s="67">
        <f>IFERROR(INDEX(tbl_Finance[Job Number],$A184),"")</f>
        <v/>
      </c>
      <c r="F184" s="67">
        <f>IFERROR(INDEX(tbl_Finance[Cost Centre],$A184),"")</f>
        <v/>
      </c>
      <c r="G184" s="68">
        <f>IFERROR(INDEX(tbl_Finance[Ex GST],$A184),"")</f>
        <v/>
      </c>
      <c r="H184" s="66">
        <f>IFERROR(INDEX(tbl_Finance[Defer Start],$A184),"")</f>
        <v/>
      </c>
      <c r="I184" s="66">
        <f>IFERROR(INDEX(tbl_Finance[Defer End],$A184),"")</f>
        <v/>
      </c>
      <c r="J184" s="65">
        <f>IF(OR($H184="",$I184="",$G184=""),"",MAX(1,(YEAR($I184)-YEAR($H184))*12+MONTH($I184)-MONTH($H184)+1))</f>
        <v/>
      </c>
      <c r="K184" s="68">
        <f>IF($J184="","",$G184/$J184)</f>
        <v/>
      </c>
      <c r="L184" s="68">
        <f>IF($J184="",0,$K184*MAX(0,MIN(YEAR($C$3)*12+MONTH($C$3),YEAR($I184)*12+MONTH($I184))-(YEAR($H184)*12+MONTH($H184))+1))</f>
        <v/>
      </c>
      <c r="M184" s="68">
        <f>IF($J184="",0,$K184*MAX(0,MIN(YEAR($C$3)*12+MONTH($C$3)-1,YEAR($I184)*12+MONTH($I184))-(YEAR($H184)*12+MONTH($H184))+1))</f>
        <v/>
      </c>
      <c r="N184" s="68">
        <f>IF(OR($J184="",$B184=""),0,IF(YEAR($B184)*12+MONTH($B184)&lt;=YEAR($C$3)*12+MONTH($C$3),$G184,0))</f>
        <v/>
      </c>
      <c r="O184" s="68">
        <f>IF(OR($J184="",$B184=""),0,IF(YEAR($B184)*12+MONTH($B184)&lt;=YEAR($C$3)*12+MONTH($C$3)-1,$G184,0))</f>
        <v/>
      </c>
      <c r="P184" s="68">
        <f>$M184-$O184</f>
        <v/>
      </c>
      <c r="Q184" s="68">
        <f>($L184-$M184)-($N184-$O184)</f>
        <v/>
      </c>
      <c r="R184" s="68">
        <f>$L184-$N184</f>
        <v/>
      </c>
      <c r="S184" s="67">
        <f>"Finance invoice"</f>
        <v/>
      </c>
      <c r="T184" s="67">
        <f>"Revenue"</f>
        <v/>
      </c>
    </row>
    <row r="185">
      <c r="A185" s="65">
        <f>ROW()-5</f>
        <v/>
      </c>
      <c r="B185" s="66">
        <f>IFERROR(INDEX(tbl_Finance[Date],$A185),"")</f>
        <v/>
      </c>
      <c r="C185" s="67">
        <f>IFERROR(INDEX(tbl_Finance[Xero Invoice No],$A185),"")</f>
        <v/>
      </c>
      <c r="D185" s="67">
        <f>IFERROR(INDEX(tbl_Finance[Client],$A185),"")</f>
        <v/>
      </c>
      <c r="E185" s="67">
        <f>IFERROR(INDEX(tbl_Finance[Job Number],$A185),"")</f>
        <v/>
      </c>
      <c r="F185" s="67">
        <f>IFERROR(INDEX(tbl_Finance[Cost Centre],$A185),"")</f>
        <v/>
      </c>
      <c r="G185" s="68">
        <f>IFERROR(INDEX(tbl_Finance[Ex GST],$A185),"")</f>
        <v/>
      </c>
      <c r="H185" s="66">
        <f>IFERROR(INDEX(tbl_Finance[Defer Start],$A185),"")</f>
        <v/>
      </c>
      <c r="I185" s="66">
        <f>IFERROR(INDEX(tbl_Finance[Defer End],$A185),"")</f>
        <v/>
      </c>
      <c r="J185" s="65">
        <f>IF(OR($H185="",$I185="",$G185=""),"",MAX(1,(YEAR($I185)-YEAR($H185))*12+MONTH($I185)-MONTH($H185)+1))</f>
        <v/>
      </c>
      <c r="K185" s="68">
        <f>IF($J185="","",$G185/$J185)</f>
        <v/>
      </c>
      <c r="L185" s="68">
        <f>IF($J185="",0,$K185*MAX(0,MIN(YEAR($C$3)*12+MONTH($C$3),YEAR($I185)*12+MONTH($I185))-(YEAR($H185)*12+MONTH($H185))+1))</f>
        <v/>
      </c>
      <c r="M185" s="68">
        <f>IF($J185="",0,$K185*MAX(0,MIN(YEAR($C$3)*12+MONTH($C$3)-1,YEAR($I185)*12+MONTH($I185))-(YEAR($H185)*12+MONTH($H185))+1))</f>
        <v/>
      </c>
      <c r="N185" s="68">
        <f>IF(OR($J185="",$B185=""),0,IF(YEAR($B185)*12+MONTH($B185)&lt;=YEAR($C$3)*12+MONTH($C$3),$G185,0))</f>
        <v/>
      </c>
      <c r="O185" s="68">
        <f>IF(OR($J185="",$B185=""),0,IF(YEAR($B185)*12+MONTH($B185)&lt;=YEAR($C$3)*12+MONTH($C$3)-1,$G185,0))</f>
        <v/>
      </c>
      <c r="P185" s="68">
        <f>$M185-$O185</f>
        <v/>
      </c>
      <c r="Q185" s="68">
        <f>($L185-$M185)-($N185-$O185)</f>
        <v/>
      </c>
      <c r="R185" s="68">
        <f>$L185-$N185</f>
        <v/>
      </c>
      <c r="S185" s="67">
        <f>"Finance invoice"</f>
        <v/>
      </c>
      <c r="T185" s="67">
        <f>"Revenue"</f>
        <v/>
      </c>
    </row>
    <row r="186">
      <c r="A186" s="65">
        <f>ROW()-5</f>
        <v/>
      </c>
      <c r="B186" s="66">
        <f>IFERROR(INDEX(tbl_Finance[Date],$A186),"")</f>
        <v/>
      </c>
      <c r="C186" s="67">
        <f>IFERROR(INDEX(tbl_Finance[Xero Invoice No],$A186),"")</f>
        <v/>
      </c>
      <c r="D186" s="67">
        <f>IFERROR(INDEX(tbl_Finance[Client],$A186),"")</f>
        <v/>
      </c>
      <c r="E186" s="67">
        <f>IFERROR(INDEX(tbl_Finance[Job Number],$A186),"")</f>
        <v/>
      </c>
      <c r="F186" s="67">
        <f>IFERROR(INDEX(tbl_Finance[Cost Centre],$A186),"")</f>
        <v/>
      </c>
      <c r="G186" s="68">
        <f>IFERROR(INDEX(tbl_Finance[Ex GST],$A186),"")</f>
        <v/>
      </c>
      <c r="H186" s="66">
        <f>IFERROR(INDEX(tbl_Finance[Defer Start],$A186),"")</f>
        <v/>
      </c>
      <c r="I186" s="66">
        <f>IFERROR(INDEX(tbl_Finance[Defer End],$A186),"")</f>
        <v/>
      </c>
      <c r="J186" s="65">
        <f>IF(OR($H186="",$I186="",$G186=""),"",MAX(1,(YEAR($I186)-YEAR($H186))*12+MONTH($I186)-MONTH($H186)+1))</f>
        <v/>
      </c>
      <c r="K186" s="68">
        <f>IF($J186="","",$G186/$J186)</f>
        <v/>
      </c>
      <c r="L186" s="68">
        <f>IF($J186="",0,$K186*MAX(0,MIN(YEAR($C$3)*12+MONTH($C$3),YEAR($I186)*12+MONTH($I186))-(YEAR($H186)*12+MONTH($H186))+1))</f>
        <v/>
      </c>
      <c r="M186" s="68">
        <f>IF($J186="",0,$K186*MAX(0,MIN(YEAR($C$3)*12+MONTH($C$3)-1,YEAR($I186)*12+MONTH($I186))-(YEAR($H186)*12+MONTH($H186))+1))</f>
        <v/>
      </c>
      <c r="N186" s="68">
        <f>IF(OR($J186="",$B186=""),0,IF(YEAR($B186)*12+MONTH($B186)&lt;=YEAR($C$3)*12+MONTH($C$3),$G186,0))</f>
        <v/>
      </c>
      <c r="O186" s="68">
        <f>IF(OR($J186="",$B186=""),0,IF(YEAR($B186)*12+MONTH($B186)&lt;=YEAR($C$3)*12+MONTH($C$3)-1,$G186,0))</f>
        <v/>
      </c>
      <c r="P186" s="68">
        <f>$M186-$O186</f>
        <v/>
      </c>
      <c r="Q186" s="68">
        <f>($L186-$M186)-($N186-$O186)</f>
        <v/>
      </c>
      <c r="R186" s="68">
        <f>$L186-$N186</f>
        <v/>
      </c>
      <c r="S186" s="67">
        <f>"Finance invoice"</f>
        <v/>
      </c>
      <c r="T186" s="67">
        <f>"Revenue"</f>
        <v/>
      </c>
    </row>
    <row r="187">
      <c r="A187" s="65">
        <f>ROW()-5</f>
        <v/>
      </c>
      <c r="B187" s="66">
        <f>IFERROR(INDEX(tbl_Finance[Date],$A187),"")</f>
        <v/>
      </c>
      <c r="C187" s="67">
        <f>IFERROR(INDEX(tbl_Finance[Xero Invoice No],$A187),"")</f>
        <v/>
      </c>
      <c r="D187" s="67">
        <f>IFERROR(INDEX(tbl_Finance[Client],$A187),"")</f>
        <v/>
      </c>
      <c r="E187" s="67">
        <f>IFERROR(INDEX(tbl_Finance[Job Number],$A187),"")</f>
        <v/>
      </c>
      <c r="F187" s="67">
        <f>IFERROR(INDEX(tbl_Finance[Cost Centre],$A187),"")</f>
        <v/>
      </c>
      <c r="G187" s="68">
        <f>IFERROR(INDEX(tbl_Finance[Ex GST],$A187),"")</f>
        <v/>
      </c>
      <c r="H187" s="66">
        <f>IFERROR(INDEX(tbl_Finance[Defer Start],$A187),"")</f>
        <v/>
      </c>
      <c r="I187" s="66">
        <f>IFERROR(INDEX(tbl_Finance[Defer End],$A187),"")</f>
        <v/>
      </c>
      <c r="J187" s="65">
        <f>IF(OR($H187="",$I187="",$G187=""),"",MAX(1,(YEAR($I187)-YEAR($H187))*12+MONTH($I187)-MONTH($H187)+1))</f>
        <v/>
      </c>
      <c r="K187" s="68">
        <f>IF($J187="","",$G187/$J187)</f>
        <v/>
      </c>
      <c r="L187" s="68">
        <f>IF($J187="",0,$K187*MAX(0,MIN(YEAR($C$3)*12+MONTH($C$3),YEAR($I187)*12+MONTH($I187))-(YEAR($H187)*12+MONTH($H187))+1))</f>
        <v/>
      </c>
      <c r="M187" s="68">
        <f>IF($J187="",0,$K187*MAX(0,MIN(YEAR($C$3)*12+MONTH($C$3)-1,YEAR($I187)*12+MONTH($I187))-(YEAR($H187)*12+MONTH($H187))+1))</f>
        <v/>
      </c>
      <c r="N187" s="68">
        <f>IF(OR($J187="",$B187=""),0,IF(YEAR($B187)*12+MONTH($B187)&lt;=YEAR($C$3)*12+MONTH($C$3),$G187,0))</f>
        <v/>
      </c>
      <c r="O187" s="68">
        <f>IF(OR($J187="",$B187=""),0,IF(YEAR($B187)*12+MONTH($B187)&lt;=YEAR($C$3)*12+MONTH($C$3)-1,$G187,0))</f>
        <v/>
      </c>
      <c r="P187" s="68">
        <f>$M187-$O187</f>
        <v/>
      </c>
      <c r="Q187" s="68">
        <f>($L187-$M187)-($N187-$O187)</f>
        <v/>
      </c>
      <c r="R187" s="68">
        <f>$L187-$N187</f>
        <v/>
      </c>
      <c r="S187" s="67">
        <f>"Finance invoice"</f>
        <v/>
      </c>
      <c r="T187" s="67">
        <f>"Revenue"</f>
        <v/>
      </c>
    </row>
    <row r="188">
      <c r="A188" s="65">
        <f>ROW()-5</f>
        <v/>
      </c>
      <c r="B188" s="66">
        <f>IFERROR(INDEX(tbl_Finance[Date],$A188),"")</f>
        <v/>
      </c>
      <c r="C188" s="67">
        <f>IFERROR(INDEX(tbl_Finance[Xero Invoice No],$A188),"")</f>
        <v/>
      </c>
      <c r="D188" s="67">
        <f>IFERROR(INDEX(tbl_Finance[Client],$A188),"")</f>
        <v/>
      </c>
      <c r="E188" s="67">
        <f>IFERROR(INDEX(tbl_Finance[Job Number],$A188),"")</f>
        <v/>
      </c>
      <c r="F188" s="67">
        <f>IFERROR(INDEX(tbl_Finance[Cost Centre],$A188),"")</f>
        <v/>
      </c>
      <c r="G188" s="68">
        <f>IFERROR(INDEX(tbl_Finance[Ex GST],$A188),"")</f>
        <v/>
      </c>
      <c r="H188" s="66">
        <f>IFERROR(INDEX(tbl_Finance[Defer Start],$A188),"")</f>
        <v/>
      </c>
      <c r="I188" s="66">
        <f>IFERROR(INDEX(tbl_Finance[Defer End],$A188),"")</f>
        <v/>
      </c>
      <c r="J188" s="65">
        <f>IF(OR($H188="",$I188="",$G188=""),"",MAX(1,(YEAR($I188)-YEAR($H188))*12+MONTH($I188)-MONTH($H188)+1))</f>
        <v/>
      </c>
      <c r="K188" s="68">
        <f>IF($J188="","",$G188/$J188)</f>
        <v/>
      </c>
      <c r="L188" s="68">
        <f>IF($J188="",0,$K188*MAX(0,MIN(YEAR($C$3)*12+MONTH($C$3),YEAR($I188)*12+MONTH($I188))-(YEAR($H188)*12+MONTH($H188))+1))</f>
        <v/>
      </c>
      <c r="M188" s="68">
        <f>IF($J188="",0,$K188*MAX(0,MIN(YEAR($C$3)*12+MONTH($C$3)-1,YEAR($I188)*12+MONTH($I188))-(YEAR($H188)*12+MONTH($H188))+1))</f>
        <v/>
      </c>
      <c r="N188" s="68">
        <f>IF(OR($J188="",$B188=""),0,IF(YEAR($B188)*12+MONTH($B188)&lt;=YEAR($C$3)*12+MONTH($C$3),$G188,0))</f>
        <v/>
      </c>
      <c r="O188" s="68">
        <f>IF(OR($J188="",$B188=""),0,IF(YEAR($B188)*12+MONTH($B188)&lt;=YEAR($C$3)*12+MONTH($C$3)-1,$G188,0))</f>
        <v/>
      </c>
      <c r="P188" s="68">
        <f>$M188-$O188</f>
        <v/>
      </c>
      <c r="Q188" s="68">
        <f>($L188-$M188)-($N188-$O188)</f>
        <v/>
      </c>
      <c r="R188" s="68">
        <f>$L188-$N188</f>
        <v/>
      </c>
      <c r="S188" s="67">
        <f>"Finance invoice"</f>
        <v/>
      </c>
      <c r="T188" s="67">
        <f>"Revenue"</f>
        <v/>
      </c>
    </row>
    <row r="189">
      <c r="A189" s="65">
        <f>ROW()-5</f>
        <v/>
      </c>
      <c r="B189" s="66">
        <f>IFERROR(INDEX(tbl_Finance[Date],$A189),"")</f>
        <v/>
      </c>
      <c r="C189" s="67">
        <f>IFERROR(INDEX(tbl_Finance[Xero Invoice No],$A189),"")</f>
        <v/>
      </c>
      <c r="D189" s="67">
        <f>IFERROR(INDEX(tbl_Finance[Client],$A189),"")</f>
        <v/>
      </c>
      <c r="E189" s="67">
        <f>IFERROR(INDEX(tbl_Finance[Job Number],$A189),"")</f>
        <v/>
      </c>
      <c r="F189" s="67">
        <f>IFERROR(INDEX(tbl_Finance[Cost Centre],$A189),"")</f>
        <v/>
      </c>
      <c r="G189" s="68">
        <f>IFERROR(INDEX(tbl_Finance[Ex GST],$A189),"")</f>
        <v/>
      </c>
      <c r="H189" s="66">
        <f>IFERROR(INDEX(tbl_Finance[Defer Start],$A189),"")</f>
        <v/>
      </c>
      <c r="I189" s="66">
        <f>IFERROR(INDEX(tbl_Finance[Defer End],$A189),"")</f>
        <v/>
      </c>
      <c r="J189" s="65">
        <f>IF(OR($H189="",$I189="",$G189=""),"",MAX(1,(YEAR($I189)-YEAR($H189))*12+MONTH($I189)-MONTH($H189)+1))</f>
        <v/>
      </c>
      <c r="K189" s="68">
        <f>IF($J189="","",$G189/$J189)</f>
        <v/>
      </c>
      <c r="L189" s="68">
        <f>IF($J189="",0,$K189*MAX(0,MIN(YEAR($C$3)*12+MONTH($C$3),YEAR($I189)*12+MONTH($I189))-(YEAR($H189)*12+MONTH($H189))+1))</f>
        <v/>
      </c>
      <c r="M189" s="68">
        <f>IF($J189="",0,$K189*MAX(0,MIN(YEAR($C$3)*12+MONTH($C$3)-1,YEAR($I189)*12+MONTH($I189))-(YEAR($H189)*12+MONTH($H189))+1))</f>
        <v/>
      </c>
      <c r="N189" s="68">
        <f>IF(OR($J189="",$B189=""),0,IF(YEAR($B189)*12+MONTH($B189)&lt;=YEAR($C$3)*12+MONTH($C$3),$G189,0))</f>
        <v/>
      </c>
      <c r="O189" s="68">
        <f>IF(OR($J189="",$B189=""),0,IF(YEAR($B189)*12+MONTH($B189)&lt;=YEAR($C$3)*12+MONTH($C$3)-1,$G189,0))</f>
        <v/>
      </c>
      <c r="P189" s="68">
        <f>$M189-$O189</f>
        <v/>
      </c>
      <c r="Q189" s="68">
        <f>($L189-$M189)-($N189-$O189)</f>
        <v/>
      </c>
      <c r="R189" s="68">
        <f>$L189-$N189</f>
        <v/>
      </c>
      <c r="S189" s="67">
        <f>"Finance invoice"</f>
        <v/>
      </c>
      <c r="T189" s="67">
        <f>"Revenue"</f>
        <v/>
      </c>
    </row>
    <row r="190">
      <c r="A190" s="65">
        <f>ROW()-5</f>
        <v/>
      </c>
      <c r="B190" s="66">
        <f>IFERROR(INDEX(tbl_Finance[Date],$A190),"")</f>
        <v/>
      </c>
      <c r="C190" s="67">
        <f>IFERROR(INDEX(tbl_Finance[Xero Invoice No],$A190),"")</f>
        <v/>
      </c>
      <c r="D190" s="67">
        <f>IFERROR(INDEX(tbl_Finance[Client],$A190),"")</f>
        <v/>
      </c>
      <c r="E190" s="67">
        <f>IFERROR(INDEX(tbl_Finance[Job Number],$A190),"")</f>
        <v/>
      </c>
      <c r="F190" s="67">
        <f>IFERROR(INDEX(tbl_Finance[Cost Centre],$A190),"")</f>
        <v/>
      </c>
      <c r="G190" s="68">
        <f>IFERROR(INDEX(tbl_Finance[Ex GST],$A190),"")</f>
        <v/>
      </c>
      <c r="H190" s="66">
        <f>IFERROR(INDEX(tbl_Finance[Defer Start],$A190),"")</f>
        <v/>
      </c>
      <c r="I190" s="66">
        <f>IFERROR(INDEX(tbl_Finance[Defer End],$A190),"")</f>
        <v/>
      </c>
      <c r="J190" s="65">
        <f>IF(OR($H190="",$I190="",$G190=""),"",MAX(1,(YEAR($I190)-YEAR($H190))*12+MONTH($I190)-MONTH($H190)+1))</f>
        <v/>
      </c>
      <c r="K190" s="68">
        <f>IF($J190="","",$G190/$J190)</f>
        <v/>
      </c>
      <c r="L190" s="68">
        <f>IF($J190="",0,$K190*MAX(0,MIN(YEAR($C$3)*12+MONTH($C$3),YEAR($I190)*12+MONTH($I190))-(YEAR($H190)*12+MONTH($H190))+1))</f>
        <v/>
      </c>
      <c r="M190" s="68">
        <f>IF($J190="",0,$K190*MAX(0,MIN(YEAR($C$3)*12+MONTH($C$3)-1,YEAR($I190)*12+MONTH($I190))-(YEAR($H190)*12+MONTH($H190))+1))</f>
        <v/>
      </c>
      <c r="N190" s="68">
        <f>IF(OR($J190="",$B190=""),0,IF(YEAR($B190)*12+MONTH($B190)&lt;=YEAR($C$3)*12+MONTH($C$3),$G190,0))</f>
        <v/>
      </c>
      <c r="O190" s="68">
        <f>IF(OR($J190="",$B190=""),0,IF(YEAR($B190)*12+MONTH($B190)&lt;=YEAR($C$3)*12+MONTH($C$3)-1,$G190,0))</f>
        <v/>
      </c>
      <c r="P190" s="68">
        <f>$M190-$O190</f>
        <v/>
      </c>
      <c r="Q190" s="68">
        <f>($L190-$M190)-($N190-$O190)</f>
        <v/>
      </c>
      <c r="R190" s="68">
        <f>$L190-$N190</f>
        <v/>
      </c>
      <c r="S190" s="67">
        <f>"Finance invoice"</f>
        <v/>
      </c>
      <c r="T190" s="67">
        <f>"Revenue"</f>
        <v/>
      </c>
    </row>
    <row r="191">
      <c r="A191" s="65">
        <f>ROW()-5</f>
        <v/>
      </c>
      <c r="B191" s="66">
        <f>IFERROR(INDEX(tbl_Finance[Date],$A191),"")</f>
        <v/>
      </c>
      <c r="C191" s="67">
        <f>IFERROR(INDEX(tbl_Finance[Xero Invoice No],$A191),"")</f>
        <v/>
      </c>
      <c r="D191" s="67">
        <f>IFERROR(INDEX(tbl_Finance[Client],$A191),"")</f>
        <v/>
      </c>
      <c r="E191" s="67">
        <f>IFERROR(INDEX(tbl_Finance[Job Number],$A191),"")</f>
        <v/>
      </c>
      <c r="F191" s="67">
        <f>IFERROR(INDEX(tbl_Finance[Cost Centre],$A191),"")</f>
        <v/>
      </c>
      <c r="G191" s="68">
        <f>IFERROR(INDEX(tbl_Finance[Ex GST],$A191),"")</f>
        <v/>
      </c>
      <c r="H191" s="66">
        <f>IFERROR(INDEX(tbl_Finance[Defer Start],$A191),"")</f>
        <v/>
      </c>
      <c r="I191" s="66">
        <f>IFERROR(INDEX(tbl_Finance[Defer End],$A191),"")</f>
        <v/>
      </c>
      <c r="J191" s="65">
        <f>IF(OR($H191="",$I191="",$G191=""),"",MAX(1,(YEAR($I191)-YEAR($H191))*12+MONTH($I191)-MONTH($H191)+1))</f>
        <v/>
      </c>
      <c r="K191" s="68">
        <f>IF($J191="","",$G191/$J191)</f>
        <v/>
      </c>
      <c r="L191" s="68">
        <f>IF($J191="",0,$K191*MAX(0,MIN(YEAR($C$3)*12+MONTH($C$3),YEAR($I191)*12+MONTH($I191))-(YEAR($H191)*12+MONTH($H191))+1))</f>
        <v/>
      </c>
      <c r="M191" s="68">
        <f>IF($J191="",0,$K191*MAX(0,MIN(YEAR($C$3)*12+MONTH($C$3)-1,YEAR($I191)*12+MONTH($I191))-(YEAR($H191)*12+MONTH($H191))+1))</f>
        <v/>
      </c>
      <c r="N191" s="68">
        <f>IF(OR($J191="",$B191=""),0,IF(YEAR($B191)*12+MONTH($B191)&lt;=YEAR($C$3)*12+MONTH($C$3),$G191,0))</f>
        <v/>
      </c>
      <c r="O191" s="68">
        <f>IF(OR($J191="",$B191=""),0,IF(YEAR($B191)*12+MONTH($B191)&lt;=YEAR($C$3)*12+MONTH($C$3)-1,$G191,0))</f>
        <v/>
      </c>
      <c r="P191" s="68">
        <f>$M191-$O191</f>
        <v/>
      </c>
      <c r="Q191" s="68">
        <f>($L191-$M191)-($N191-$O191)</f>
        <v/>
      </c>
      <c r="R191" s="68">
        <f>$L191-$N191</f>
        <v/>
      </c>
      <c r="S191" s="67">
        <f>"Finance invoice"</f>
        <v/>
      </c>
      <c r="T191" s="67">
        <f>"Revenue"</f>
        <v/>
      </c>
    </row>
    <row r="192">
      <c r="A192" s="65">
        <f>ROW()-5</f>
        <v/>
      </c>
      <c r="B192" s="66">
        <f>IFERROR(INDEX(tbl_Finance[Date],$A192),"")</f>
        <v/>
      </c>
      <c r="C192" s="67">
        <f>IFERROR(INDEX(tbl_Finance[Xero Invoice No],$A192),"")</f>
        <v/>
      </c>
      <c r="D192" s="67">
        <f>IFERROR(INDEX(tbl_Finance[Client],$A192),"")</f>
        <v/>
      </c>
      <c r="E192" s="67">
        <f>IFERROR(INDEX(tbl_Finance[Job Number],$A192),"")</f>
        <v/>
      </c>
      <c r="F192" s="67">
        <f>IFERROR(INDEX(tbl_Finance[Cost Centre],$A192),"")</f>
        <v/>
      </c>
      <c r="G192" s="68">
        <f>IFERROR(INDEX(tbl_Finance[Ex GST],$A192),"")</f>
        <v/>
      </c>
      <c r="H192" s="66">
        <f>IFERROR(INDEX(tbl_Finance[Defer Start],$A192),"")</f>
        <v/>
      </c>
      <c r="I192" s="66">
        <f>IFERROR(INDEX(tbl_Finance[Defer End],$A192),"")</f>
        <v/>
      </c>
      <c r="J192" s="65">
        <f>IF(OR($H192="",$I192="",$G192=""),"",MAX(1,(YEAR($I192)-YEAR($H192))*12+MONTH($I192)-MONTH($H192)+1))</f>
        <v/>
      </c>
      <c r="K192" s="68">
        <f>IF($J192="","",$G192/$J192)</f>
        <v/>
      </c>
      <c r="L192" s="68">
        <f>IF($J192="",0,$K192*MAX(0,MIN(YEAR($C$3)*12+MONTH($C$3),YEAR($I192)*12+MONTH($I192))-(YEAR($H192)*12+MONTH($H192))+1))</f>
        <v/>
      </c>
      <c r="M192" s="68">
        <f>IF($J192="",0,$K192*MAX(0,MIN(YEAR($C$3)*12+MONTH($C$3)-1,YEAR($I192)*12+MONTH($I192))-(YEAR($H192)*12+MONTH($H192))+1))</f>
        <v/>
      </c>
      <c r="N192" s="68">
        <f>IF(OR($J192="",$B192=""),0,IF(YEAR($B192)*12+MONTH($B192)&lt;=YEAR($C$3)*12+MONTH($C$3),$G192,0))</f>
        <v/>
      </c>
      <c r="O192" s="68">
        <f>IF(OR($J192="",$B192=""),0,IF(YEAR($B192)*12+MONTH($B192)&lt;=YEAR($C$3)*12+MONTH($C$3)-1,$G192,0))</f>
        <v/>
      </c>
      <c r="P192" s="68">
        <f>$M192-$O192</f>
        <v/>
      </c>
      <c r="Q192" s="68">
        <f>($L192-$M192)-($N192-$O192)</f>
        <v/>
      </c>
      <c r="R192" s="68">
        <f>$L192-$N192</f>
        <v/>
      </c>
      <c r="S192" s="67">
        <f>"Finance invoice"</f>
        <v/>
      </c>
      <c r="T192" s="67">
        <f>"Revenue"</f>
        <v/>
      </c>
    </row>
    <row r="193">
      <c r="A193" s="65">
        <f>ROW()-5</f>
        <v/>
      </c>
      <c r="B193" s="66">
        <f>IFERROR(INDEX(tbl_Finance[Date],$A193),"")</f>
        <v/>
      </c>
      <c r="C193" s="67">
        <f>IFERROR(INDEX(tbl_Finance[Xero Invoice No],$A193),"")</f>
        <v/>
      </c>
      <c r="D193" s="67">
        <f>IFERROR(INDEX(tbl_Finance[Client],$A193),"")</f>
        <v/>
      </c>
      <c r="E193" s="67">
        <f>IFERROR(INDEX(tbl_Finance[Job Number],$A193),"")</f>
        <v/>
      </c>
      <c r="F193" s="67">
        <f>IFERROR(INDEX(tbl_Finance[Cost Centre],$A193),"")</f>
        <v/>
      </c>
      <c r="G193" s="68">
        <f>IFERROR(INDEX(tbl_Finance[Ex GST],$A193),"")</f>
        <v/>
      </c>
      <c r="H193" s="66">
        <f>IFERROR(INDEX(tbl_Finance[Defer Start],$A193),"")</f>
        <v/>
      </c>
      <c r="I193" s="66">
        <f>IFERROR(INDEX(tbl_Finance[Defer End],$A193),"")</f>
        <v/>
      </c>
      <c r="J193" s="65">
        <f>IF(OR($H193="",$I193="",$G193=""),"",MAX(1,(YEAR($I193)-YEAR($H193))*12+MONTH($I193)-MONTH($H193)+1))</f>
        <v/>
      </c>
      <c r="K193" s="68">
        <f>IF($J193="","",$G193/$J193)</f>
        <v/>
      </c>
      <c r="L193" s="68">
        <f>IF($J193="",0,$K193*MAX(0,MIN(YEAR($C$3)*12+MONTH($C$3),YEAR($I193)*12+MONTH($I193))-(YEAR($H193)*12+MONTH($H193))+1))</f>
        <v/>
      </c>
      <c r="M193" s="68">
        <f>IF($J193="",0,$K193*MAX(0,MIN(YEAR($C$3)*12+MONTH($C$3)-1,YEAR($I193)*12+MONTH($I193))-(YEAR($H193)*12+MONTH($H193))+1))</f>
        <v/>
      </c>
      <c r="N193" s="68">
        <f>IF(OR($J193="",$B193=""),0,IF(YEAR($B193)*12+MONTH($B193)&lt;=YEAR($C$3)*12+MONTH($C$3),$G193,0))</f>
        <v/>
      </c>
      <c r="O193" s="68">
        <f>IF(OR($J193="",$B193=""),0,IF(YEAR($B193)*12+MONTH($B193)&lt;=YEAR($C$3)*12+MONTH($C$3)-1,$G193,0))</f>
        <v/>
      </c>
      <c r="P193" s="68">
        <f>$M193-$O193</f>
        <v/>
      </c>
      <c r="Q193" s="68">
        <f>($L193-$M193)-($N193-$O193)</f>
        <v/>
      </c>
      <c r="R193" s="68">
        <f>$L193-$N193</f>
        <v/>
      </c>
      <c r="S193" s="67">
        <f>"Finance invoice"</f>
        <v/>
      </c>
      <c r="T193" s="67">
        <f>"Revenue"</f>
        <v/>
      </c>
    </row>
    <row r="194">
      <c r="A194" s="65">
        <f>ROW()-5</f>
        <v/>
      </c>
      <c r="B194" s="66">
        <f>IFERROR(INDEX(tbl_Finance[Date],$A194),"")</f>
        <v/>
      </c>
      <c r="C194" s="67">
        <f>IFERROR(INDEX(tbl_Finance[Xero Invoice No],$A194),"")</f>
        <v/>
      </c>
      <c r="D194" s="67">
        <f>IFERROR(INDEX(tbl_Finance[Client],$A194),"")</f>
        <v/>
      </c>
      <c r="E194" s="67">
        <f>IFERROR(INDEX(tbl_Finance[Job Number],$A194),"")</f>
        <v/>
      </c>
      <c r="F194" s="67">
        <f>IFERROR(INDEX(tbl_Finance[Cost Centre],$A194),"")</f>
        <v/>
      </c>
      <c r="G194" s="68">
        <f>IFERROR(INDEX(tbl_Finance[Ex GST],$A194),"")</f>
        <v/>
      </c>
      <c r="H194" s="66">
        <f>IFERROR(INDEX(tbl_Finance[Defer Start],$A194),"")</f>
        <v/>
      </c>
      <c r="I194" s="66">
        <f>IFERROR(INDEX(tbl_Finance[Defer End],$A194),"")</f>
        <v/>
      </c>
      <c r="J194" s="65">
        <f>IF(OR($H194="",$I194="",$G194=""),"",MAX(1,(YEAR($I194)-YEAR($H194))*12+MONTH($I194)-MONTH($H194)+1))</f>
        <v/>
      </c>
      <c r="K194" s="68">
        <f>IF($J194="","",$G194/$J194)</f>
        <v/>
      </c>
      <c r="L194" s="68">
        <f>IF($J194="",0,$K194*MAX(0,MIN(YEAR($C$3)*12+MONTH($C$3),YEAR($I194)*12+MONTH($I194))-(YEAR($H194)*12+MONTH($H194))+1))</f>
        <v/>
      </c>
      <c r="M194" s="68">
        <f>IF($J194="",0,$K194*MAX(0,MIN(YEAR($C$3)*12+MONTH($C$3)-1,YEAR($I194)*12+MONTH($I194))-(YEAR($H194)*12+MONTH($H194))+1))</f>
        <v/>
      </c>
      <c r="N194" s="68">
        <f>IF(OR($J194="",$B194=""),0,IF(YEAR($B194)*12+MONTH($B194)&lt;=YEAR($C$3)*12+MONTH($C$3),$G194,0))</f>
        <v/>
      </c>
      <c r="O194" s="68">
        <f>IF(OR($J194="",$B194=""),0,IF(YEAR($B194)*12+MONTH($B194)&lt;=YEAR($C$3)*12+MONTH($C$3)-1,$G194,0))</f>
        <v/>
      </c>
      <c r="P194" s="68">
        <f>$M194-$O194</f>
        <v/>
      </c>
      <c r="Q194" s="68">
        <f>($L194-$M194)-($N194-$O194)</f>
        <v/>
      </c>
      <c r="R194" s="68">
        <f>$L194-$N194</f>
        <v/>
      </c>
      <c r="S194" s="67">
        <f>"Finance invoice"</f>
        <v/>
      </c>
      <c r="T194" s="67">
        <f>"Revenue"</f>
        <v/>
      </c>
    </row>
    <row r="195">
      <c r="A195" s="65">
        <f>ROW()-5</f>
        <v/>
      </c>
      <c r="B195" s="66">
        <f>IFERROR(INDEX(tbl_Finance[Date],$A195),"")</f>
        <v/>
      </c>
      <c r="C195" s="67">
        <f>IFERROR(INDEX(tbl_Finance[Xero Invoice No],$A195),"")</f>
        <v/>
      </c>
      <c r="D195" s="67">
        <f>IFERROR(INDEX(tbl_Finance[Client],$A195),"")</f>
        <v/>
      </c>
      <c r="E195" s="67">
        <f>IFERROR(INDEX(tbl_Finance[Job Number],$A195),"")</f>
        <v/>
      </c>
      <c r="F195" s="67">
        <f>IFERROR(INDEX(tbl_Finance[Cost Centre],$A195),"")</f>
        <v/>
      </c>
      <c r="G195" s="68">
        <f>IFERROR(INDEX(tbl_Finance[Ex GST],$A195),"")</f>
        <v/>
      </c>
      <c r="H195" s="66">
        <f>IFERROR(INDEX(tbl_Finance[Defer Start],$A195),"")</f>
        <v/>
      </c>
      <c r="I195" s="66">
        <f>IFERROR(INDEX(tbl_Finance[Defer End],$A195),"")</f>
        <v/>
      </c>
      <c r="J195" s="65">
        <f>IF(OR($H195="",$I195="",$G195=""),"",MAX(1,(YEAR($I195)-YEAR($H195))*12+MONTH($I195)-MONTH($H195)+1))</f>
        <v/>
      </c>
      <c r="K195" s="68">
        <f>IF($J195="","",$G195/$J195)</f>
        <v/>
      </c>
      <c r="L195" s="68">
        <f>IF($J195="",0,$K195*MAX(0,MIN(YEAR($C$3)*12+MONTH($C$3),YEAR($I195)*12+MONTH($I195))-(YEAR($H195)*12+MONTH($H195))+1))</f>
        <v/>
      </c>
      <c r="M195" s="68">
        <f>IF($J195="",0,$K195*MAX(0,MIN(YEAR($C$3)*12+MONTH($C$3)-1,YEAR($I195)*12+MONTH($I195))-(YEAR($H195)*12+MONTH($H195))+1))</f>
        <v/>
      </c>
      <c r="N195" s="68">
        <f>IF(OR($J195="",$B195=""),0,IF(YEAR($B195)*12+MONTH($B195)&lt;=YEAR($C$3)*12+MONTH($C$3),$G195,0))</f>
        <v/>
      </c>
      <c r="O195" s="68">
        <f>IF(OR($J195="",$B195=""),0,IF(YEAR($B195)*12+MONTH($B195)&lt;=YEAR($C$3)*12+MONTH($C$3)-1,$G195,0))</f>
        <v/>
      </c>
      <c r="P195" s="68">
        <f>$M195-$O195</f>
        <v/>
      </c>
      <c r="Q195" s="68">
        <f>($L195-$M195)-($N195-$O195)</f>
        <v/>
      </c>
      <c r="R195" s="68">
        <f>$L195-$N195</f>
        <v/>
      </c>
      <c r="S195" s="67">
        <f>"Finance invoice"</f>
        <v/>
      </c>
      <c r="T195" s="67">
        <f>"Revenue"</f>
        <v/>
      </c>
    </row>
    <row r="196">
      <c r="A196" s="65">
        <f>ROW()-5</f>
        <v/>
      </c>
      <c r="B196" s="66">
        <f>IFERROR(INDEX(tbl_Finance[Date],$A196),"")</f>
        <v/>
      </c>
      <c r="C196" s="67">
        <f>IFERROR(INDEX(tbl_Finance[Xero Invoice No],$A196),"")</f>
        <v/>
      </c>
      <c r="D196" s="67">
        <f>IFERROR(INDEX(tbl_Finance[Client],$A196),"")</f>
        <v/>
      </c>
      <c r="E196" s="67">
        <f>IFERROR(INDEX(tbl_Finance[Job Number],$A196),"")</f>
        <v/>
      </c>
      <c r="F196" s="67">
        <f>IFERROR(INDEX(tbl_Finance[Cost Centre],$A196),"")</f>
        <v/>
      </c>
      <c r="G196" s="68">
        <f>IFERROR(INDEX(tbl_Finance[Ex GST],$A196),"")</f>
        <v/>
      </c>
      <c r="H196" s="66">
        <f>IFERROR(INDEX(tbl_Finance[Defer Start],$A196),"")</f>
        <v/>
      </c>
      <c r="I196" s="66">
        <f>IFERROR(INDEX(tbl_Finance[Defer End],$A196),"")</f>
        <v/>
      </c>
      <c r="J196" s="65">
        <f>IF(OR($H196="",$I196="",$G196=""),"",MAX(1,(YEAR($I196)-YEAR($H196))*12+MONTH($I196)-MONTH($H196)+1))</f>
        <v/>
      </c>
      <c r="K196" s="68">
        <f>IF($J196="","",$G196/$J196)</f>
        <v/>
      </c>
      <c r="L196" s="68">
        <f>IF($J196="",0,$K196*MAX(0,MIN(YEAR($C$3)*12+MONTH($C$3),YEAR($I196)*12+MONTH($I196))-(YEAR($H196)*12+MONTH($H196))+1))</f>
        <v/>
      </c>
      <c r="M196" s="68">
        <f>IF($J196="",0,$K196*MAX(0,MIN(YEAR($C$3)*12+MONTH($C$3)-1,YEAR($I196)*12+MONTH($I196))-(YEAR($H196)*12+MONTH($H196))+1))</f>
        <v/>
      </c>
      <c r="N196" s="68">
        <f>IF(OR($J196="",$B196=""),0,IF(YEAR($B196)*12+MONTH($B196)&lt;=YEAR($C$3)*12+MONTH($C$3),$G196,0))</f>
        <v/>
      </c>
      <c r="O196" s="68">
        <f>IF(OR($J196="",$B196=""),0,IF(YEAR($B196)*12+MONTH($B196)&lt;=YEAR($C$3)*12+MONTH($C$3)-1,$G196,0))</f>
        <v/>
      </c>
      <c r="P196" s="68">
        <f>$M196-$O196</f>
        <v/>
      </c>
      <c r="Q196" s="68">
        <f>($L196-$M196)-($N196-$O196)</f>
        <v/>
      </c>
      <c r="R196" s="68">
        <f>$L196-$N196</f>
        <v/>
      </c>
      <c r="S196" s="67">
        <f>"Finance invoice"</f>
        <v/>
      </c>
      <c r="T196" s="67">
        <f>"Revenue"</f>
        <v/>
      </c>
    </row>
    <row r="197">
      <c r="A197" s="65">
        <f>ROW()-5</f>
        <v/>
      </c>
      <c r="B197" s="66">
        <f>IFERROR(INDEX(tbl_Finance[Date],$A197),"")</f>
        <v/>
      </c>
      <c r="C197" s="67">
        <f>IFERROR(INDEX(tbl_Finance[Xero Invoice No],$A197),"")</f>
        <v/>
      </c>
      <c r="D197" s="67">
        <f>IFERROR(INDEX(tbl_Finance[Client],$A197),"")</f>
        <v/>
      </c>
      <c r="E197" s="67">
        <f>IFERROR(INDEX(tbl_Finance[Job Number],$A197),"")</f>
        <v/>
      </c>
      <c r="F197" s="67">
        <f>IFERROR(INDEX(tbl_Finance[Cost Centre],$A197),"")</f>
        <v/>
      </c>
      <c r="G197" s="68">
        <f>IFERROR(INDEX(tbl_Finance[Ex GST],$A197),"")</f>
        <v/>
      </c>
      <c r="H197" s="66">
        <f>IFERROR(INDEX(tbl_Finance[Defer Start],$A197),"")</f>
        <v/>
      </c>
      <c r="I197" s="66">
        <f>IFERROR(INDEX(tbl_Finance[Defer End],$A197),"")</f>
        <v/>
      </c>
      <c r="J197" s="65">
        <f>IF(OR($H197="",$I197="",$G197=""),"",MAX(1,(YEAR($I197)-YEAR($H197))*12+MONTH($I197)-MONTH($H197)+1))</f>
        <v/>
      </c>
      <c r="K197" s="68">
        <f>IF($J197="","",$G197/$J197)</f>
        <v/>
      </c>
      <c r="L197" s="68">
        <f>IF($J197="",0,$K197*MAX(0,MIN(YEAR($C$3)*12+MONTH($C$3),YEAR($I197)*12+MONTH($I197))-(YEAR($H197)*12+MONTH($H197))+1))</f>
        <v/>
      </c>
      <c r="M197" s="68">
        <f>IF($J197="",0,$K197*MAX(0,MIN(YEAR($C$3)*12+MONTH($C$3)-1,YEAR($I197)*12+MONTH($I197))-(YEAR($H197)*12+MONTH($H197))+1))</f>
        <v/>
      </c>
      <c r="N197" s="68">
        <f>IF(OR($J197="",$B197=""),0,IF(YEAR($B197)*12+MONTH($B197)&lt;=YEAR($C$3)*12+MONTH($C$3),$G197,0))</f>
        <v/>
      </c>
      <c r="O197" s="68">
        <f>IF(OR($J197="",$B197=""),0,IF(YEAR($B197)*12+MONTH($B197)&lt;=YEAR($C$3)*12+MONTH($C$3)-1,$G197,0))</f>
        <v/>
      </c>
      <c r="P197" s="68">
        <f>$M197-$O197</f>
        <v/>
      </c>
      <c r="Q197" s="68">
        <f>($L197-$M197)-($N197-$O197)</f>
        <v/>
      </c>
      <c r="R197" s="68">
        <f>$L197-$N197</f>
        <v/>
      </c>
      <c r="S197" s="67">
        <f>"Finance invoice"</f>
        <v/>
      </c>
      <c r="T197" s="67">
        <f>"Revenue"</f>
        <v/>
      </c>
    </row>
    <row r="198">
      <c r="A198" s="65">
        <f>ROW()-5</f>
        <v/>
      </c>
      <c r="B198" s="66">
        <f>IFERROR(INDEX(tbl_Finance[Date],$A198),"")</f>
        <v/>
      </c>
      <c r="C198" s="67">
        <f>IFERROR(INDEX(tbl_Finance[Xero Invoice No],$A198),"")</f>
        <v/>
      </c>
      <c r="D198" s="67">
        <f>IFERROR(INDEX(tbl_Finance[Client],$A198),"")</f>
        <v/>
      </c>
      <c r="E198" s="67">
        <f>IFERROR(INDEX(tbl_Finance[Job Number],$A198),"")</f>
        <v/>
      </c>
      <c r="F198" s="67">
        <f>IFERROR(INDEX(tbl_Finance[Cost Centre],$A198),"")</f>
        <v/>
      </c>
      <c r="G198" s="68">
        <f>IFERROR(INDEX(tbl_Finance[Ex GST],$A198),"")</f>
        <v/>
      </c>
      <c r="H198" s="66">
        <f>IFERROR(INDEX(tbl_Finance[Defer Start],$A198),"")</f>
        <v/>
      </c>
      <c r="I198" s="66">
        <f>IFERROR(INDEX(tbl_Finance[Defer End],$A198),"")</f>
        <v/>
      </c>
      <c r="J198" s="65">
        <f>IF(OR($H198="",$I198="",$G198=""),"",MAX(1,(YEAR($I198)-YEAR($H198))*12+MONTH($I198)-MONTH($H198)+1))</f>
        <v/>
      </c>
      <c r="K198" s="68">
        <f>IF($J198="","",$G198/$J198)</f>
        <v/>
      </c>
      <c r="L198" s="68">
        <f>IF($J198="",0,$K198*MAX(0,MIN(YEAR($C$3)*12+MONTH($C$3),YEAR($I198)*12+MONTH($I198))-(YEAR($H198)*12+MONTH($H198))+1))</f>
        <v/>
      </c>
      <c r="M198" s="68">
        <f>IF($J198="",0,$K198*MAX(0,MIN(YEAR($C$3)*12+MONTH($C$3)-1,YEAR($I198)*12+MONTH($I198))-(YEAR($H198)*12+MONTH($H198))+1))</f>
        <v/>
      </c>
      <c r="N198" s="68">
        <f>IF(OR($J198="",$B198=""),0,IF(YEAR($B198)*12+MONTH($B198)&lt;=YEAR($C$3)*12+MONTH($C$3),$G198,0))</f>
        <v/>
      </c>
      <c r="O198" s="68">
        <f>IF(OR($J198="",$B198=""),0,IF(YEAR($B198)*12+MONTH($B198)&lt;=YEAR($C$3)*12+MONTH($C$3)-1,$G198,0))</f>
        <v/>
      </c>
      <c r="P198" s="68">
        <f>$M198-$O198</f>
        <v/>
      </c>
      <c r="Q198" s="68">
        <f>($L198-$M198)-($N198-$O198)</f>
        <v/>
      </c>
      <c r="R198" s="68">
        <f>$L198-$N198</f>
        <v/>
      </c>
      <c r="S198" s="67">
        <f>"Finance invoice"</f>
        <v/>
      </c>
      <c r="T198" s="67">
        <f>"Revenue"</f>
        <v/>
      </c>
    </row>
    <row r="199">
      <c r="A199" s="65">
        <f>ROW()-5</f>
        <v/>
      </c>
      <c r="B199" s="66">
        <f>IFERROR(INDEX(tbl_Finance[Date],$A199),"")</f>
        <v/>
      </c>
      <c r="C199" s="67">
        <f>IFERROR(INDEX(tbl_Finance[Xero Invoice No],$A199),"")</f>
        <v/>
      </c>
      <c r="D199" s="67">
        <f>IFERROR(INDEX(tbl_Finance[Client],$A199),"")</f>
        <v/>
      </c>
      <c r="E199" s="67">
        <f>IFERROR(INDEX(tbl_Finance[Job Number],$A199),"")</f>
        <v/>
      </c>
      <c r="F199" s="67">
        <f>IFERROR(INDEX(tbl_Finance[Cost Centre],$A199),"")</f>
        <v/>
      </c>
      <c r="G199" s="68">
        <f>IFERROR(INDEX(tbl_Finance[Ex GST],$A199),"")</f>
        <v/>
      </c>
      <c r="H199" s="66">
        <f>IFERROR(INDEX(tbl_Finance[Defer Start],$A199),"")</f>
        <v/>
      </c>
      <c r="I199" s="66">
        <f>IFERROR(INDEX(tbl_Finance[Defer End],$A199),"")</f>
        <v/>
      </c>
      <c r="J199" s="65">
        <f>IF(OR($H199="",$I199="",$G199=""),"",MAX(1,(YEAR($I199)-YEAR($H199))*12+MONTH($I199)-MONTH($H199)+1))</f>
        <v/>
      </c>
      <c r="K199" s="68">
        <f>IF($J199="","",$G199/$J199)</f>
        <v/>
      </c>
      <c r="L199" s="68">
        <f>IF($J199="",0,$K199*MAX(0,MIN(YEAR($C$3)*12+MONTH($C$3),YEAR($I199)*12+MONTH($I199))-(YEAR($H199)*12+MONTH($H199))+1))</f>
        <v/>
      </c>
      <c r="M199" s="68">
        <f>IF($J199="",0,$K199*MAX(0,MIN(YEAR($C$3)*12+MONTH($C$3)-1,YEAR($I199)*12+MONTH($I199))-(YEAR($H199)*12+MONTH($H199))+1))</f>
        <v/>
      </c>
      <c r="N199" s="68">
        <f>IF(OR($J199="",$B199=""),0,IF(YEAR($B199)*12+MONTH($B199)&lt;=YEAR($C$3)*12+MONTH($C$3),$G199,0))</f>
        <v/>
      </c>
      <c r="O199" s="68">
        <f>IF(OR($J199="",$B199=""),0,IF(YEAR($B199)*12+MONTH($B199)&lt;=YEAR($C$3)*12+MONTH($C$3)-1,$G199,0))</f>
        <v/>
      </c>
      <c r="P199" s="68">
        <f>$M199-$O199</f>
        <v/>
      </c>
      <c r="Q199" s="68">
        <f>($L199-$M199)-($N199-$O199)</f>
        <v/>
      </c>
      <c r="R199" s="68">
        <f>$L199-$N199</f>
        <v/>
      </c>
      <c r="S199" s="67">
        <f>"Finance invoice"</f>
        <v/>
      </c>
      <c r="T199" s="67">
        <f>"Revenue"</f>
        <v/>
      </c>
    </row>
    <row r="200">
      <c r="A200" s="65">
        <f>ROW()-5</f>
        <v/>
      </c>
      <c r="B200" s="66">
        <f>IFERROR(INDEX(tbl_Finance[Date],$A200),"")</f>
        <v/>
      </c>
      <c r="C200" s="67">
        <f>IFERROR(INDEX(tbl_Finance[Xero Invoice No],$A200),"")</f>
        <v/>
      </c>
      <c r="D200" s="67">
        <f>IFERROR(INDEX(tbl_Finance[Client],$A200),"")</f>
        <v/>
      </c>
      <c r="E200" s="67">
        <f>IFERROR(INDEX(tbl_Finance[Job Number],$A200),"")</f>
        <v/>
      </c>
      <c r="F200" s="67">
        <f>IFERROR(INDEX(tbl_Finance[Cost Centre],$A200),"")</f>
        <v/>
      </c>
      <c r="G200" s="68">
        <f>IFERROR(INDEX(tbl_Finance[Ex GST],$A200),"")</f>
        <v/>
      </c>
      <c r="H200" s="66">
        <f>IFERROR(INDEX(tbl_Finance[Defer Start],$A200),"")</f>
        <v/>
      </c>
      <c r="I200" s="66">
        <f>IFERROR(INDEX(tbl_Finance[Defer End],$A200),"")</f>
        <v/>
      </c>
      <c r="J200" s="65">
        <f>IF(OR($H200="",$I200="",$G200=""),"",MAX(1,(YEAR($I200)-YEAR($H200))*12+MONTH($I200)-MONTH($H200)+1))</f>
        <v/>
      </c>
      <c r="K200" s="68">
        <f>IF($J200="","",$G200/$J200)</f>
        <v/>
      </c>
      <c r="L200" s="68">
        <f>IF($J200="",0,$K200*MAX(0,MIN(YEAR($C$3)*12+MONTH($C$3),YEAR($I200)*12+MONTH($I200))-(YEAR($H200)*12+MONTH($H200))+1))</f>
        <v/>
      </c>
      <c r="M200" s="68">
        <f>IF($J200="",0,$K200*MAX(0,MIN(YEAR($C$3)*12+MONTH($C$3)-1,YEAR($I200)*12+MONTH($I200))-(YEAR($H200)*12+MONTH($H200))+1))</f>
        <v/>
      </c>
      <c r="N200" s="68">
        <f>IF(OR($J200="",$B200=""),0,IF(YEAR($B200)*12+MONTH($B200)&lt;=YEAR($C$3)*12+MONTH($C$3),$G200,0))</f>
        <v/>
      </c>
      <c r="O200" s="68">
        <f>IF(OR($J200="",$B200=""),0,IF(YEAR($B200)*12+MONTH($B200)&lt;=YEAR($C$3)*12+MONTH($C$3)-1,$G200,0))</f>
        <v/>
      </c>
      <c r="P200" s="68">
        <f>$M200-$O200</f>
        <v/>
      </c>
      <c r="Q200" s="68">
        <f>($L200-$M200)-($N200-$O200)</f>
        <v/>
      </c>
      <c r="R200" s="68">
        <f>$L200-$N200</f>
        <v/>
      </c>
      <c r="S200" s="67">
        <f>"Finance invoice"</f>
        <v/>
      </c>
      <c r="T200" s="67">
        <f>"Revenue"</f>
        <v/>
      </c>
    </row>
    <row r="201">
      <c r="A201" s="65">
        <f>ROW()-5</f>
        <v/>
      </c>
      <c r="B201" s="66">
        <f>IFERROR(INDEX(tbl_Finance[Date],$A201),"")</f>
        <v/>
      </c>
      <c r="C201" s="67">
        <f>IFERROR(INDEX(tbl_Finance[Xero Invoice No],$A201),"")</f>
        <v/>
      </c>
      <c r="D201" s="67">
        <f>IFERROR(INDEX(tbl_Finance[Client],$A201),"")</f>
        <v/>
      </c>
      <c r="E201" s="67">
        <f>IFERROR(INDEX(tbl_Finance[Job Number],$A201),"")</f>
        <v/>
      </c>
      <c r="F201" s="67">
        <f>IFERROR(INDEX(tbl_Finance[Cost Centre],$A201),"")</f>
        <v/>
      </c>
      <c r="G201" s="68">
        <f>IFERROR(INDEX(tbl_Finance[Ex GST],$A201),"")</f>
        <v/>
      </c>
      <c r="H201" s="66">
        <f>IFERROR(INDEX(tbl_Finance[Defer Start],$A201),"")</f>
        <v/>
      </c>
      <c r="I201" s="66">
        <f>IFERROR(INDEX(tbl_Finance[Defer End],$A201),"")</f>
        <v/>
      </c>
      <c r="J201" s="65">
        <f>IF(OR($H201="",$I201="",$G201=""),"",MAX(1,(YEAR($I201)-YEAR($H201))*12+MONTH($I201)-MONTH($H201)+1))</f>
        <v/>
      </c>
      <c r="K201" s="68">
        <f>IF($J201="","",$G201/$J201)</f>
        <v/>
      </c>
      <c r="L201" s="68">
        <f>IF($J201="",0,$K201*MAX(0,MIN(YEAR($C$3)*12+MONTH($C$3),YEAR($I201)*12+MONTH($I201))-(YEAR($H201)*12+MONTH($H201))+1))</f>
        <v/>
      </c>
      <c r="M201" s="68">
        <f>IF($J201="",0,$K201*MAX(0,MIN(YEAR($C$3)*12+MONTH($C$3)-1,YEAR($I201)*12+MONTH($I201))-(YEAR($H201)*12+MONTH($H201))+1))</f>
        <v/>
      </c>
      <c r="N201" s="68">
        <f>IF(OR($J201="",$B201=""),0,IF(YEAR($B201)*12+MONTH($B201)&lt;=YEAR($C$3)*12+MONTH($C$3),$G201,0))</f>
        <v/>
      </c>
      <c r="O201" s="68">
        <f>IF(OR($J201="",$B201=""),0,IF(YEAR($B201)*12+MONTH($B201)&lt;=YEAR($C$3)*12+MONTH($C$3)-1,$G201,0))</f>
        <v/>
      </c>
      <c r="P201" s="68">
        <f>$M201-$O201</f>
        <v/>
      </c>
      <c r="Q201" s="68">
        <f>($L201-$M201)-($N201-$O201)</f>
        <v/>
      </c>
      <c r="R201" s="68">
        <f>$L201-$N201</f>
        <v/>
      </c>
      <c r="S201" s="67">
        <f>"Finance invoice"</f>
        <v/>
      </c>
      <c r="T201" s="67">
        <f>"Revenue"</f>
        <v/>
      </c>
    </row>
    <row r="202">
      <c r="A202" s="65">
        <f>ROW()-5</f>
        <v/>
      </c>
      <c r="B202" s="66">
        <f>IFERROR(INDEX(tbl_Finance[Date],$A202),"")</f>
        <v/>
      </c>
      <c r="C202" s="67">
        <f>IFERROR(INDEX(tbl_Finance[Xero Invoice No],$A202),"")</f>
        <v/>
      </c>
      <c r="D202" s="67">
        <f>IFERROR(INDEX(tbl_Finance[Client],$A202),"")</f>
        <v/>
      </c>
      <c r="E202" s="67">
        <f>IFERROR(INDEX(tbl_Finance[Job Number],$A202),"")</f>
        <v/>
      </c>
      <c r="F202" s="67">
        <f>IFERROR(INDEX(tbl_Finance[Cost Centre],$A202),"")</f>
        <v/>
      </c>
      <c r="G202" s="68">
        <f>IFERROR(INDEX(tbl_Finance[Ex GST],$A202),"")</f>
        <v/>
      </c>
      <c r="H202" s="66">
        <f>IFERROR(INDEX(tbl_Finance[Defer Start],$A202),"")</f>
        <v/>
      </c>
      <c r="I202" s="66">
        <f>IFERROR(INDEX(tbl_Finance[Defer End],$A202),"")</f>
        <v/>
      </c>
      <c r="J202" s="65">
        <f>IF(OR($H202="",$I202="",$G202=""),"",MAX(1,(YEAR($I202)-YEAR($H202))*12+MONTH($I202)-MONTH($H202)+1))</f>
        <v/>
      </c>
      <c r="K202" s="68">
        <f>IF($J202="","",$G202/$J202)</f>
        <v/>
      </c>
      <c r="L202" s="68">
        <f>IF($J202="",0,$K202*MAX(0,MIN(YEAR($C$3)*12+MONTH($C$3),YEAR($I202)*12+MONTH($I202))-(YEAR($H202)*12+MONTH($H202))+1))</f>
        <v/>
      </c>
      <c r="M202" s="68">
        <f>IF($J202="",0,$K202*MAX(0,MIN(YEAR($C$3)*12+MONTH($C$3)-1,YEAR($I202)*12+MONTH($I202))-(YEAR($H202)*12+MONTH($H202))+1))</f>
        <v/>
      </c>
      <c r="N202" s="68">
        <f>IF(OR($J202="",$B202=""),0,IF(YEAR($B202)*12+MONTH($B202)&lt;=YEAR($C$3)*12+MONTH($C$3),$G202,0))</f>
        <v/>
      </c>
      <c r="O202" s="68">
        <f>IF(OR($J202="",$B202=""),0,IF(YEAR($B202)*12+MONTH($B202)&lt;=YEAR($C$3)*12+MONTH($C$3)-1,$G202,0))</f>
        <v/>
      </c>
      <c r="P202" s="68">
        <f>$M202-$O202</f>
        <v/>
      </c>
      <c r="Q202" s="68">
        <f>($L202-$M202)-($N202-$O202)</f>
        <v/>
      </c>
      <c r="R202" s="68">
        <f>$L202-$N202</f>
        <v/>
      </c>
      <c r="S202" s="67">
        <f>"Finance invoice"</f>
        <v/>
      </c>
      <c r="T202" s="67">
        <f>"Revenue"</f>
        <v/>
      </c>
    </row>
    <row r="203">
      <c r="A203" s="65">
        <f>ROW()-5</f>
        <v/>
      </c>
      <c r="B203" s="66">
        <f>IFERROR(INDEX(tbl_Finance[Date],$A203),"")</f>
        <v/>
      </c>
      <c r="C203" s="67">
        <f>IFERROR(INDEX(tbl_Finance[Xero Invoice No],$A203),"")</f>
        <v/>
      </c>
      <c r="D203" s="67">
        <f>IFERROR(INDEX(tbl_Finance[Client],$A203),"")</f>
        <v/>
      </c>
      <c r="E203" s="67">
        <f>IFERROR(INDEX(tbl_Finance[Job Number],$A203),"")</f>
        <v/>
      </c>
      <c r="F203" s="67">
        <f>IFERROR(INDEX(tbl_Finance[Cost Centre],$A203),"")</f>
        <v/>
      </c>
      <c r="G203" s="68">
        <f>IFERROR(INDEX(tbl_Finance[Ex GST],$A203),"")</f>
        <v/>
      </c>
      <c r="H203" s="66">
        <f>IFERROR(INDEX(tbl_Finance[Defer Start],$A203),"")</f>
        <v/>
      </c>
      <c r="I203" s="66">
        <f>IFERROR(INDEX(tbl_Finance[Defer End],$A203),"")</f>
        <v/>
      </c>
      <c r="J203" s="65">
        <f>IF(OR($H203="",$I203="",$G203=""),"",MAX(1,(YEAR($I203)-YEAR($H203))*12+MONTH($I203)-MONTH($H203)+1))</f>
        <v/>
      </c>
      <c r="K203" s="68">
        <f>IF($J203="","",$G203/$J203)</f>
        <v/>
      </c>
      <c r="L203" s="68">
        <f>IF($J203="",0,$K203*MAX(0,MIN(YEAR($C$3)*12+MONTH($C$3),YEAR($I203)*12+MONTH($I203))-(YEAR($H203)*12+MONTH($H203))+1))</f>
        <v/>
      </c>
      <c r="M203" s="68">
        <f>IF($J203="",0,$K203*MAX(0,MIN(YEAR($C$3)*12+MONTH($C$3)-1,YEAR($I203)*12+MONTH($I203))-(YEAR($H203)*12+MONTH($H203))+1))</f>
        <v/>
      </c>
      <c r="N203" s="68">
        <f>IF(OR($J203="",$B203=""),0,IF(YEAR($B203)*12+MONTH($B203)&lt;=YEAR($C$3)*12+MONTH($C$3),$G203,0))</f>
        <v/>
      </c>
      <c r="O203" s="68">
        <f>IF(OR($J203="",$B203=""),0,IF(YEAR($B203)*12+MONTH($B203)&lt;=YEAR($C$3)*12+MONTH($C$3)-1,$G203,0))</f>
        <v/>
      </c>
      <c r="P203" s="68">
        <f>$M203-$O203</f>
        <v/>
      </c>
      <c r="Q203" s="68">
        <f>($L203-$M203)-($N203-$O203)</f>
        <v/>
      </c>
      <c r="R203" s="68">
        <f>$L203-$N203</f>
        <v/>
      </c>
      <c r="S203" s="67">
        <f>"Finance invoice"</f>
        <v/>
      </c>
      <c r="T203" s="67">
        <f>"Revenue"</f>
        <v/>
      </c>
    </row>
    <row r="204">
      <c r="A204" s="65">
        <f>ROW()-5</f>
        <v/>
      </c>
      <c r="B204" s="66">
        <f>IFERROR(INDEX(tbl_Finance[Date],$A204),"")</f>
        <v/>
      </c>
      <c r="C204" s="67">
        <f>IFERROR(INDEX(tbl_Finance[Xero Invoice No],$A204),"")</f>
        <v/>
      </c>
      <c r="D204" s="67">
        <f>IFERROR(INDEX(tbl_Finance[Client],$A204),"")</f>
        <v/>
      </c>
      <c r="E204" s="67">
        <f>IFERROR(INDEX(tbl_Finance[Job Number],$A204),"")</f>
        <v/>
      </c>
      <c r="F204" s="67">
        <f>IFERROR(INDEX(tbl_Finance[Cost Centre],$A204),"")</f>
        <v/>
      </c>
      <c r="G204" s="68">
        <f>IFERROR(INDEX(tbl_Finance[Ex GST],$A204),"")</f>
        <v/>
      </c>
      <c r="H204" s="66">
        <f>IFERROR(INDEX(tbl_Finance[Defer Start],$A204),"")</f>
        <v/>
      </c>
      <c r="I204" s="66">
        <f>IFERROR(INDEX(tbl_Finance[Defer End],$A204),"")</f>
        <v/>
      </c>
      <c r="J204" s="65">
        <f>IF(OR($H204="",$I204="",$G204=""),"",MAX(1,(YEAR($I204)-YEAR($H204))*12+MONTH($I204)-MONTH($H204)+1))</f>
        <v/>
      </c>
      <c r="K204" s="68">
        <f>IF($J204="","",$G204/$J204)</f>
        <v/>
      </c>
      <c r="L204" s="68">
        <f>IF($J204="",0,$K204*MAX(0,MIN(YEAR($C$3)*12+MONTH($C$3),YEAR($I204)*12+MONTH($I204))-(YEAR($H204)*12+MONTH($H204))+1))</f>
        <v/>
      </c>
      <c r="M204" s="68">
        <f>IF($J204="",0,$K204*MAX(0,MIN(YEAR($C$3)*12+MONTH($C$3)-1,YEAR($I204)*12+MONTH($I204))-(YEAR($H204)*12+MONTH($H204))+1))</f>
        <v/>
      </c>
      <c r="N204" s="68">
        <f>IF(OR($J204="",$B204=""),0,IF(YEAR($B204)*12+MONTH($B204)&lt;=YEAR($C$3)*12+MONTH($C$3),$G204,0))</f>
        <v/>
      </c>
      <c r="O204" s="68">
        <f>IF(OR($J204="",$B204=""),0,IF(YEAR($B204)*12+MONTH($B204)&lt;=YEAR($C$3)*12+MONTH($C$3)-1,$G204,0))</f>
        <v/>
      </c>
      <c r="P204" s="68">
        <f>$M204-$O204</f>
        <v/>
      </c>
      <c r="Q204" s="68">
        <f>($L204-$M204)-($N204-$O204)</f>
        <v/>
      </c>
      <c r="R204" s="68">
        <f>$L204-$N204</f>
        <v/>
      </c>
      <c r="S204" s="67">
        <f>"Finance invoice"</f>
        <v/>
      </c>
      <c r="T204" s="67">
        <f>"Revenue"</f>
        <v/>
      </c>
    </row>
    <row r="205">
      <c r="A205" s="65">
        <f>ROW()-5</f>
        <v/>
      </c>
      <c r="B205" s="66">
        <f>IFERROR(INDEX(tbl_Finance[Date],$A205),"")</f>
        <v/>
      </c>
      <c r="C205" s="67">
        <f>IFERROR(INDEX(tbl_Finance[Xero Invoice No],$A205),"")</f>
        <v/>
      </c>
      <c r="D205" s="67">
        <f>IFERROR(INDEX(tbl_Finance[Client],$A205),"")</f>
        <v/>
      </c>
      <c r="E205" s="67">
        <f>IFERROR(INDEX(tbl_Finance[Job Number],$A205),"")</f>
        <v/>
      </c>
      <c r="F205" s="67">
        <f>IFERROR(INDEX(tbl_Finance[Cost Centre],$A205),"")</f>
        <v/>
      </c>
      <c r="G205" s="68">
        <f>IFERROR(INDEX(tbl_Finance[Ex GST],$A205),"")</f>
        <v/>
      </c>
      <c r="H205" s="66">
        <f>IFERROR(INDEX(tbl_Finance[Defer Start],$A205),"")</f>
        <v/>
      </c>
      <c r="I205" s="66">
        <f>IFERROR(INDEX(tbl_Finance[Defer End],$A205),"")</f>
        <v/>
      </c>
      <c r="J205" s="65">
        <f>IF(OR($H205="",$I205="",$G205=""),"",MAX(1,(YEAR($I205)-YEAR($H205))*12+MONTH($I205)-MONTH($H205)+1))</f>
        <v/>
      </c>
      <c r="K205" s="68">
        <f>IF($J205="","",$G205/$J205)</f>
        <v/>
      </c>
      <c r="L205" s="68">
        <f>IF($J205="",0,$K205*MAX(0,MIN(YEAR($C$3)*12+MONTH($C$3),YEAR($I205)*12+MONTH($I205))-(YEAR($H205)*12+MONTH($H205))+1))</f>
        <v/>
      </c>
      <c r="M205" s="68">
        <f>IF($J205="",0,$K205*MAX(0,MIN(YEAR($C$3)*12+MONTH($C$3)-1,YEAR($I205)*12+MONTH($I205))-(YEAR($H205)*12+MONTH($H205))+1))</f>
        <v/>
      </c>
      <c r="N205" s="68">
        <f>IF(OR($J205="",$B205=""),0,IF(YEAR($B205)*12+MONTH($B205)&lt;=YEAR($C$3)*12+MONTH($C$3),$G205,0))</f>
        <v/>
      </c>
      <c r="O205" s="68">
        <f>IF(OR($J205="",$B205=""),0,IF(YEAR($B205)*12+MONTH($B205)&lt;=YEAR($C$3)*12+MONTH($C$3)-1,$G205,0))</f>
        <v/>
      </c>
      <c r="P205" s="68">
        <f>$M205-$O205</f>
        <v/>
      </c>
      <c r="Q205" s="68">
        <f>($L205-$M205)-($N205-$O205)</f>
        <v/>
      </c>
      <c r="R205" s="68">
        <f>$L205-$N205</f>
        <v/>
      </c>
      <c r="S205" s="67">
        <f>"Finance invoice"</f>
        <v/>
      </c>
      <c r="T205" s="67">
        <f>"Revenue"</f>
        <v/>
      </c>
    </row>
    <row r="206">
      <c r="A206" s="65">
        <f>ROW()-5</f>
        <v/>
      </c>
      <c r="B206" s="66">
        <f>IFERROR(INDEX(tbl_Finance[Date],$A206),"")</f>
        <v/>
      </c>
      <c r="C206" s="67">
        <f>IFERROR(INDEX(tbl_Finance[Xero Invoice No],$A206),"")</f>
        <v/>
      </c>
      <c r="D206" s="67">
        <f>IFERROR(INDEX(tbl_Finance[Client],$A206),"")</f>
        <v/>
      </c>
      <c r="E206" s="67">
        <f>IFERROR(INDEX(tbl_Finance[Job Number],$A206),"")</f>
        <v/>
      </c>
      <c r="F206" s="67">
        <f>IFERROR(INDEX(tbl_Finance[Cost Centre],$A206),"")</f>
        <v/>
      </c>
      <c r="G206" s="68">
        <f>IFERROR(INDEX(tbl_Finance[Ex GST],$A206),"")</f>
        <v/>
      </c>
      <c r="H206" s="66">
        <f>IFERROR(INDEX(tbl_Finance[Defer Start],$A206),"")</f>
        <v/>
      </c>
      <c r="I206" s="66">
        <f>IFERROR(INDEX(tbl_Finance[Defer End],$A206),"")</f>
        <v/>
      </c>
      <c r="J206" s="65">
        <f>IF(OR($H206="",$I206="",$G206=""),"",MAX(1,(YEAR($I206)-YEAR($H206))*12+MONTH($I206)-MONTH($H206)+1))</f>
        <v/>
      </c>
      <c r="K206" s="68">
        <f>IF($J206="","",$G206/$J206)</f>
        <v/>
      </c>
      <c r="L206" s="68">
        <f>IF($J206="",0,$K206*MAX(0,MIN(YEAR($C$3)*12+MONTH($C$3),YEAR($I206)*12+MONTH($I206))-(YEAR($H206)*12+MONTH($H206))+1))</f>
        <v/>
      </c>
      <c r="M206" s="68">
        <f>IF($J206="",0,$K206*MAX(0,MIN(YEAR($C$3)*12+MONTH($C$3)-1,YEAR($I206)*12+MONTH($I206))-(YEAR($H206)*12+MONTH($H206))+1))</f>
        <v/>
      </c>
      <c r="N206" s="68">
        <f>IF(OR($J206="",$B206=""),0,IF(YEAR($B206)*12+MONTH($B206)&lt;=YEAR($C$3)*12+MONTH($C$3),$G206,0))</f>
        <v/>
      </c>
      <c r="O206" s="68">
        <f>IF(OR($J206="",$B206=""),0,IF(YEAR($B206)*12+MONTH($B206)&lt;=YEAR($C$3)*12+MONTH($C$3)-1,$G206,0))</f>
        <v/>
      </c>
      <c r="P206" s="68">
        <f>$M206-$O206</f>
        <v/>
      </c>
      <c r="Q206" s="68">
        <f>($L206-$M206)-($N206-$O206)</f>
        <v/>
      </c>
      <c r="R206" s="68">
        <f>$L206-$N206</f>
        <v/>
      </c>
      <c r="S206" s="67">
        <f>"Finance invoice"</f>
        <v/>
      </c>
      <c r="T206" s="67">
        <f>"Revenue"</f>
        <v/>
      </c>
    </row>
    <row r="207">
      <c r="A207" s="65">
        <f>ROW()-5</f>
        <v/>
      </c>
      <c r="B207" s="66">
        <f>IFERROR(INDEX(tbl_Finance[Date],$A207),"")</f>
        <v/>
      </c>
      <c r="C207" s="67">
        <f>IFERROR(INDEX(tbl_Finance[Xero Invoice No],$A207),"")</f>
        <v/>
      </c>
      <c r="D207" s="67">
        <f>IFERROR(INDEX(tbl_Finance[Client],$A207),"")</f>
        <v/>
      </c>
      <c r="E207" s="67">
        <f>IFERROR(INDEX(tbl_Finance[Job Number],$A207),"")</f>
        <v/>
      </c>
      <c r="F207" s="67">
        <f>IFERROR(INDEX(tbl_Finance[Cost Centre],$A207),"")</f>
        <v/>
      </c>
      <c r="G207" s="68">
        <f>IFERROR(INDEX(tbl_Finance[Ex GST],$A207),"")</f>
        <v/>
      </c>
      <c r="H207" s="66">
        <f>IFERROR(INDEX(tbl_Finance[Defer Start],$A207),"")</f>
        <v/>
      </c>
      <c r="I207" s="66">
        <f>IFERROR(INDEX(tbl_Finance[Defer End],$A207),"")</f>
        <v/>
      </c>
      <c r="J207" s="65">
        <f>IF(OR($H207="",$I207="",$G207=""),"",MAX(1,(YEAR($I207)-YEAR($H207))*12+MONTH($I207)-MONTH($H207)+1))</f>
        <v/>
      </c>
      <c r="K207" s="68">
        <f>IF($J207="","",$G207/$J207)</f>
        <v/>
      </c>
      <c r="L207" s="68">
        <f>IF($J207="",0,$K207*MAX(0,MIN(YEAR($C$3)*12+MONTH($C$3),YEAR($I207)*12+MONTH($I207))-(YEAR($H207)*12+MONTH($H207))+1))</f>
        <v/>
      </c>
      <c r="M207" s="68">
        <f>IF($J207="",0,$K207*MAX(0,MIN(YEAR($C$3)*12+MONTH($C$3)-1,YEAR($I207)*12+MONTH($I207))-(YEAR($H207)*12+MONTH($H207))+1))</f>
        <v/>
      </c>
      <c r="N207" s="68">
        <f>IF(OR($J207="",$B207=""),0,IF(YEAR($B207)*12+MONTH($B207)&lt;=YEAR($C$3)*12+MONTH($C$3),$G207,0))</f>
        <v/>
      </c>
      <c r="O207" s="68">
        <f>IF(OR($J207="",$B207=""),0,IF(YEAR($B207)*12+MONTH($B207)&lt;=YEAR($C$3)*12+MONTH($C$3)-1,$G207,0))</f>
        <v/>
      </c>
      <c r="P207" s="68">
        <f>$M207-$O207</f>
        <v/>
      </c>
      <c r="Q207" s="68">
        <f>($L207-$M207)-($N207-$O207)</f>
        <v/>
      </c>
      <c r="R207" s="68">
        <f>$L207-$N207</f>
        <v/>
      </c>
      <c r="S207" s="67">
        <f>"Finance invoice"</f>
        <v/>
      </c>
      <c r="T207" s="67">
        <f>"Revenue"</f>
        <v/>
      </c>
    </row>
    <row r="208">
      <c r="A208" s="65">
        <f>ROW()-5</f>
        <v/>
      </c>
      <c r="B208" s="66">
        <f>IFERROR(INDEX(tbl_Finance[Date],$A208),"")</f>
        <v/>
      </c>
      <c r="C208" s="67">
        <f>IFERROR(INDEX(tbl_Finance[Xero Invoice No],$A208),"")</f>
        <v/>
      </c>
      <c r="D208" s="67">
        <f>IFERROR(INDEX(tbl_Finance[Client],$A208),"")</f>
        <v/>
      </c>
      <c r="E208" s="67">
        <f>IFERROR(INDEX(tbl_Finance[Job Number],$A208),"")</f>
        <v/>
      </c>
      <c r="F208" s="67">
        <f>IFERROR(INDEX(tbl_Finance[Cost Centre],$A208),"")</f>
        <v/>
      </c>
      <c r="G208" s="68">
        <f>IFERROR(INDEX(tbl_Finance[Ex GST],$A208),"")</f>
        <v/>
      </c>
      <c r="H208" s="66">
        <f>IFERROR(INDEX(tbl_Finance[Defer Start],$A208),"")</f>
        <v/>
      </c>
      <c r="I208" s="66">
        <f>IFERROR(INDEX(tbl_Finance[Defer End],$A208),"")</f>
        <v/>
      </c>
      <c r="J208" s="65">
        <f>IF(OR($H208="",$I208="",$G208=""),"",MAX(1,(YEAR($I208)-YEAR($H208))*12+MONTH($I208)-MONTH($H208)+1))</f>
        <v/>
      </c>
      <c r="K208" s="68">
        <f>IF($J208="","",$G208/$J208)</f>
        <v/>
      </c>
      <c r="L208" s="68">
        <f>IF($J208="",0,$K208*MAX(0,MIN(YEAR($C$3)*12+MONTH($C$3),YEAR($I208)*12+MONTH($I208))-(YEAR($H208)*12+MONTH($H208))+1))</f>
        <v/>
      </c>
      <c r="M208" s="68">
        <f>IF($J208="",0,$K208*MAX(0,MIN(YEAR($C$3)*12+MONTH($C$3)-1,YEAR($I208)*12+MONTH($I208))-(YEAR($H208)*12+MONTH($H208))+1))</f>
        <v/>
      </c>
      <c r="N208" s="68">
        <f>IF(OR($J208="",$B208=""),0,IF(YEAR($B208)*12+MONTH($B208)&lt;=YEAR($C$3)*12+MONTH($C$3),$G208,0))</f>
        <v/>
      </c>
      <c r="O208" s="68">
        <f>IF(OR($J208="",$B208=""),0,IF(YEAR($B208)*12+MONTH($B208)&lt;=YEAR($C$3)*12+MONTH($C$3)-1,$G208,0))</f>
        <v/>
      </c>
      <c r="P208" s="68">
        <f>$M208-$O208</f>
        <v/>
      </c>
      <c r="Q208" s="68">
        <f>($L208-$M208)-($N208-$O208)</f>
        <v/>
      </c>
      <c r="R208" s="68">
        <f>$L208-$N208</f>
        <v/>
      </c>
      <c r="S208" s="67">
        <f>"Finance invoice"</f>
        <v/>
      </c>
      <c r="T208" s="67">
        <f>"Revenue"</f>
        <v/>
      </c>
    </row>
    <row r="209">
      <c r="A209" s="65">
        <f>ROW()-5</f>
        <v/>
      </c>
      <c r="B209" s="66">
        <f>IFERROR(INDEX(tbl_Finance[Date],$A209),"")</f>
        <v/>
      </c>
      <c r="C209" s="67">
        <f>IFERROR(INDEX(tbl_Finance[Xero Invoice No],$A209),"")</f>
        <v/>
      </c>
      <c r="D209" s="67">
        <f>IFERROR(INDEX(tbl_Finance[Client],$A209),"")</f>
        <v/>
      </c>
      <c r="E209" s="67">
        <f>IFERROR(INDEX(tbl_Finance[Job Number],$A209),"")</f>
        <v/>
      </c>
      <c r="F209" s="67">
        <f>IFERROR(INDEX(tbl_Finance[Cost Centre],$A209),"")</f>
        <v/>
      </c>
      <c r="G209" s="68">
        <f>IFERROR(INDEX(tbl_Finance[Ex GST],$A209),"")</f>
        <v/>
      </c>
      <c r="H209" s="66">
        <f>IFERROR(INDEX(tbl_Finance[Defer Start],$A209),"")</f>
        <v/>
      </c>
      <c r="I209" s="66">
        <f>IFERROR(INDEX(tbl_Finance[Defer End],$A209),"")</f>
        <v/>
      </c>
      <c r="J209" s="65">
        <f>IF(OR($H209="",$I209="",$G209=""),"",MAX(1,(YEAR($I209)-YEAR($H209))*12+MONTH($I209)-MONTH($H209)+1))</f>
        <v/>
      </c>
      <c r="K209" s="68">
        <f>IF($J209="","",$G209/$J209)</f>
        <v/>
      </c>
      <c r="L209" s="68">
        <f>IF($J209="",0,$K209*MAX(0,MIN(YEAR($C$3)*12+MONTH($C$3),YEAR($I209)*12+MONTH($I209))-(YEAR($H209)*12+MONTH($H209))+1))</f>
        <v/>
      </c>
      <c r="M209" s="68">
        <f>IF($J209="",0,$K209*MAX(0,MIN(YEAR($C$3)*12+MONTH($C$3)-1,YEAR($I209)*12+MONTH($I209))-(YEAR($H209)*12+MONTH($H209))+1))</f>
        <v/>
      </c>
      <c r="N209" s="68">
        <f>IF(OR($J209="",$B209=""),0,IF(YEAR($B209)*12+MONTH($B209)&lt;=YEAR($C$3)*12+MONTH($C$3),$G209,0))</f>
        <v/>
      </c>
      <c r="O209" s="68">
        <f>IF(OR($J209="",$B209=""),0,IF(YEAR($B209)*12+MONTH($B209)&lt;=YEAR($C$3)*12+MONTH($C$3)-1,$G209,0))</f>
        <v/>
      </c>
      <c r="P209" s="68">
        <f>$M209-$O209</f>
        <v/>
      </c>
      <c r="Q209" s="68">
        <f>($L209-$M209)-($N209-$O209)</f>
        <v/>
      </c>
      <c r="R209" s="68">
        <f>$L209-$N209</f>
        <v/>
      </c>
      <c r="S209" s="67">
        <f>"Finance invoice"</f>
        <v/>
      </c>
      <c r="T209" s="67">
        <f>"Revenue"</f>
        <v/>
      </c>
    </row>
    <row r="210">
      <c r="A210" s="65">
        <f>ROW()-5</f>
        <v/>
      </c>
      <c r="B210" s="66">
        <f>IFERROR(INDEX(tbl_Finance[Date],$A210),"")</f>
        <v/>
      </c>
      <c r="C210" s="67">
        <f>IFERROR(INDEX(tbl_Finance[Xero Invoice No],$A210),"")</f>
        <v/>
      </c>
      <c r="D210" s="67">
        <f>IFERROR(INDEX(tbl_Finance[Client],$A210),"")</f>
        <v/>
      </c>
      <c r="E210" s="67">
        <f>IFERROR(INDEX(tbl_Finance[Job Number],$A210),"")</f>
        <v/>
      </c>
      <c r="F210" s="67">
        <f>IFERROR(INDEX(tbl_Finance[Cost Centre],$A210),"")</f>
        <v/>
      </c>
      <c r="G210" s="68">
        <f>IFERROR(INDEX(tbl_Finance[Ex GST],$A210),"")</f>
        <v/>
      </c>
      <c r="H210" s="66">
        <f>IFERROR(INDEX(tbl_Finance[Defer Start],$A210),"")</f>
        <v/>
      </c>
      <c r="I210" s="66">
        <f>IFERROR(INDEX(tbl_Finance[Defer End],$A210),"")</f>
        <v/>
      </c>
      <c r="J210" s="65">
        <f>IF(OR($H210="",$I210="",$G210=""),"",MAX(1,(YEAR($I210)-YEAR($H210))*12+MONTH($I210)-MONTH($H210)+1))</f>
        <v/>
      </c>
      <c r="K210" s="68">
        <f>IF($J210="","",$G210/$J210)</f>
        <v/>
      </c>
      <c r="L210" s="68">
        <f>IF($J210="",0,$K210*MAX(0,MIN(YEAR($C$3)*12+MONTH($C$3),YEAR($I210)*12+MONTH($I210))-(YEAR($H210)*12+MONTH($H210))+1))</f>
        <v/>
      </c>
      <c r="M210" s="68">
        <f>IF($J210="",0,$K210*MAX(0,MIN(YEAR($C$3)*12+MONTH($C$3)-1,YEAR($I210)*12+MONTH($I210))-(YEAR($H210)*12+MONTH($H210))+1))</f>
        <v/>
      </c>
      <c r="N210" s="68">
        <f>IF(OR($J210="",$B210=""),0,IF(YEAR($B210)*12+MONTH($B210)&lt;=YEAR($C$3)*12+MONTH($C$3),$G210,0))</f>
        <v/>
      </c>
      <c r="O210" s="68">
        <f>IF(OR($J210="",$B210=""),0,IF(YEAR($B210)*12+MONTH($B210)&lt;=YEAR($C$3)*12+MONTH($C$3)-1,$G210,0))</f>
        <v/>
      </c>
      <c r="P210" s="68">
        <f>$M210-$O210</f>
        <v/>
      </c>
      <c r="Q210" s="68">
        <f>($L210-$M210)-($N210-$O210)</f>
        <v/>
      </c>
      <c r="R210" s="68">
        <f>$L210-$N210</f>
        <v/>
      </c>
      <c r="S210" s="67">
        <f>"Finance invoice"</f>
        <v/>
      </c>
      <c r="T210" s="67">
        <f>"Revenue"</f>
        <v/>
      </c>
    </row>
    <row r="211">
      <c r="A211" s="65">
        <f>ROW()-5</f>
        <v/>
      </c>
      <c r="B211" s="66">
        <f>IFERROR(INDEX(tbl_Finance[Date],$A211),"")</f>
        <v/>
      </c>
      <c r="C211" s="67">
        <f>IFERROR(INDEX(tbl_Finance[Xero Invoice No],$A211),"")</f>
        <v/>
      </c>
      <c r="D211" s="67">
        <f>IFERROR(INDEX(tbl_Finance[Client],$A211),"")</f>
        <v/>
      </c>
      <c r="E211" s="67">
        <f>IFERROR(INDEX(tbl_Finance[Job Number],$A211),"")</f>
        <v/>
      </c>
      <c r="F211" s="67">
        <f>IFERROR(INDEX(tbl_Finance[Cost Centre],$A211),"")</f>
        <v/>
      </c>
      <c r="G211" s="68">
        <f>IFERROR(INDEX(tbl_Finance[Ex GST],$A211),"")</f>
        <v/>
      </c>
      <c r="H211" s="66">
        <f>IFERROR(INDEX(tbl_Finance[Defer Start],$A211),"")</f>
        <v/>
      </c>
      <c r="I211" s="66">
        <f>IFERROR(INDEX(tbl_Finance[Defer End],$A211),"")</f>
        <v/>
      </c>
      <c r="J211" s="65">
        <f>IF(OR($H211="",$I211="",$G211=""),"",MAX(1,(YEAR($I211)-YEAR($H211))*12+MONTH($I211)-MONTH($H211)+1))</f>
        <v/>
      </c>
      <c r="K211" s="68">
        <f>IF($J211="","",$G211/$J211)</f>
        <v/>
      </c>
      <c r="L211" s="68">
        <f>IF($J211="",0,$K211*MAX(0,MIN(YEAR($C$3)*12+MONTH($C$3),YEAR($I211)*12+MONTH($I211))-(YEAR($H211)*12+MONTH($H211))+1))</f>
        <v/>
      </c>
      <c r="M211" s="68">
        <f>IF($J211="",0,$K211*MAX(0,MIN(YEAR($C$3)*12+MONTH($C$3)-1,YEAR($I211)*12+MONTH($I211))-(YEAR($H211)*12+MONTH($H211))+1))</f>
        <v/>
      </c>
      <c r="N211" s="68">
        <f>IF(OR($J211="",$B211=""),0,IF(YEAR($B211)*12+MONTH($B211)&lt;=YEAR($C$3)*12+MONTH($C$3),$G211,0))</f>
        <v/>
      </c>
      <c r="O211" s="68">
        <f>IF(OR($J211="",$B211=""),0,IF(YEAR($B211)*12+MONTH($B211)&lt;=YEAR($C$3)*12+MONTH($C$3)-1,$G211,0))</f>
        <v/>
      </c>
      <c r="P211" s="68">
        <f>$M211-$O211</f>
        <v/>
      </c>
      <c r="Q211" s="68">
        <f>($L211-$M211)-($N211-$O211)</f>
        <v/>
      </c>
      <c r="R211" s="68">
        <f>$L211-$N211</f>
        <v/>
      </c>
      <c r="S211" s="67">
        <f>"Finance invoice"</f>
        <v/>
      </c>
      <c r="T211" s="67">
        <f>"Revenue"</f>
        <v/>
      </c>
    </row>
    <row r="212">
      <c r="A212" s="65">
        <f>ROW()-5</f>
        <v/>
      </c>
      <c r="B212" s="66">
        <f>IFERROR(INDEX(tbl_Finance[Date],$A212),"")</f>
        <v/>
      </c>
      <c r="C212" s="67">
        <f>IFERROR(INDEX(tbl_Finance[Xero Invoice No],$A212),"")</f>
        <v/>
      </c>
      <c r="D212" s="67">
        <f>IFERROR(INDEX(tbl_Finance[Client],$A212),"")</f>
        <v/>
      </c>
      <c r="E212" s="67">
        <f>IFERROR(INDEX(tbl_Finance[Job Number],$A212),"")</f>
        <v/>
      </c>
      <c r="F212" s="67">
        <f>IFERROR(INDEX(tbl_Finance[Cost Centre],$A212),"")</f>
        <v/>
      </c>
      <c r="G212" s="68">
        <f>IFERROR(INDEX(tbl_Finance[Ex GST],$A212),"")</f>
        <v/>
      </c>
      <c r="H212" s="66">
        <f>IFERROR(INDEX(tbl_Finance[Defer Start],$A212),"")</f>
        <v/>
      </c>
      <c r="I212" s="66">
        <f>IFERROR(INDEX(tbl_Finance[Defer End],$A212),"")</f>
        <v/>
      </c>
      <c r="J212" s="65">
        <f>IF(OR($H212="",$I212="",$G212=""),"",MAX(1,(YEAR($I212)-YEAR($H212))*12+MONTH($I212)-MONTH($H212)+1))</f>
        <v/>
      </c>
      <c r="K212" s="68">
        <f>IF($J212="","",$G212/$J212)</f>
        <v/>
      </c>
      <c r="L212" s="68">
        <f>IF($J212="",0,$K212*MAX(0,MIN(YEAR($C$3)*12+MONTH($C$3),YEAR($I212)*12+MONTH($I212))-(YEAR($H212)*12+MONTH($H212))+1))</f>
        <v/>
      </c>
      <c r="M212" s="68">
        <f>IF($J212="",0,$K212*MAX(0,MIN(YEAR($C$3)*12+MONTH($C$3)-1,YEAR($I212)*12+MONTH($I212))-(YEAR($H212)*12+MONTH($H212))+1))</f>
        <v/>
      </c>
      <c r="N212" s="68">
        <f>IF(OR($J212="",$B212=""),0,IF(YEAR($B212)*12+MONTH($B212)&lt;=YEAR($C$3)*12+MONTH($C$3),$G212,0))</f>
        <v/>
      </c>
      <c r="O212" s="68">
        <f>IF(OR($J212="",$B212=""),0,IF(YEAR($B212)*12+MONTH($B212)&lt;=YEAR($C$3)*12+MONTH($C$3)-1,$G212,0))</f>
        <v/>
      </c>
      <c r="P212" s="68">
        <f>$M212-$O212</f>
        <v/>
      </c>
      <c r="Q212" s="68">
        <f>($L212-$M212)-($N212-$O212)</f>
        <v/>
      </c>
      <c r="R212" s="68">
        <f>$L212-$N212</f>
        <v/>
      </c>
      <c r="S212" s="67">
        <f>"Finance invoice"</f>
        <v/>
      </c>
      <c r="T212" s="67">
        <f>"Revenue"</f>
        <v/>
      </c>
    </row>
    <row r="213">
      <c r="A213" s="65">
        <f>ROW()-5</f>
        <v/>
      </c>
      <c r="B213" s="66">
        <f>IFERROR(INDEX(tbl_Finance[Date],$A213),"")</f>
        <v/>
      </c>
      <c r="C213" s="67">
        <f>IFERROR(INDEX(tbl_Finance[Xero Invoice No],$A213),"")</f>
        <v/>
      </c>
      <c r="D213" s="67">
        <f>IFERROR(INDEX(tbl_Finance[Client],$A213),"")</f>
        <v/>
      </c>
      <c r="E213" s="67">
        <f>IFERROR(INDEX(tbl_Finance[Job Number],$A213),"")</f>
        <v/>
      </c>
      <c r="F213" s="67">
        <f>IFERROR(INDEX(tbl_Finance[Cost Centre],$A213),"")</f>
        <v/>
      </c>
      <c r="G213" s="68">
        <f>IFERROR(INDEX(tbl_Finance[Ex GST],$A213),"")</f>
        <v/>
      </c>
      <c r="H213" s="66">
        <f>IFERROR(INDEX(tbl_Finance[Defer Start],$A213),"")</f>
        <v/>
      </c>
      <c r="I213" s="66">
        <f>IFERROR(INDEX(tbl_Finance[Defer End],$A213),"")</f>
        <v/>
      </c>
      <c r="J213" s="65">
        <f>IF(OR($H213="",$I213="",$G213=""),"",MAX(1,(YEAR($I213)-YEAR($H213))*12+MONTH($I213)-MONTH($H213)+1))</f>
        <v/>
      </c>
      <c r="K213" s="68">
        <f>IF($J213="","",$G213/$J213)</f>
        <v/>
      </c>
      <c r="L213" s="68">
        <f>IF($J213="",0,$K213*MAX(0,MIN(YEAR($C$3)*12+MONTH($C$3),YEAR($I213)*12+MONTH($I213))-(YEAR($H213)*12+MONTH($H213))+1))</f>
        <v/>
      </c>
      <c r="M213" s="68">
        <f>IF($J213="",0,$K213*MAX(0,MIN(YEAR($C$3)*12+MONTH($C$3)-1,YEAR($I213)*12+MONTH($I213))-(YEAR($H213)*12+MONTH($H213))+1))</f>
        <v/>
      </c>
      <c r="N213" s="68">
        <f>IF(OR($J213="",$B213=""),0,IF(YEAR($B213)*12+MONTH($B213)&lt;=YEAR($C$3)*12+MONTH($C$3),$G213,0))</f>
        <v/>
      </c>
      <c r="O213" s="68">
        <f>IF(OR($J213="",$B213=""),0,IF(YEAR($B213)*12+MONTH($B213)&lt;=YEAR($C$3)*12+MONTH($C$3)-1,$G213,0))</f>
        <v/>
      </c>
      <c r="P213" s="68">
        <f>$M213-$O213</f>
        <v/>
      </c>
      <c r="Q213" s="68">
        <f>($L213-$M213)-($N213-$O213)</f>
        <v/>
      </c>
      <c r="R213" s="68">
        <f>$L213-$N213</f>
        <v/>
      </c>
      <c r="S213" s="67">
        <f>"Finance invoice"</f>
        <v/>
      </c>
      <c r="T213" s="67">
        <f>"Revenue"</f>
        <v/>
      </c>
    </row>
    <row r="214">
      <c r="A214" s="65">
        <f>ROW()-5</f>
        <v/>
      </c>
      <c r="B214" s="66">
        <f>IFERROR(INDEX(tbl_Finance[Date],$A214),"")</f>
        <v/>
      </c>
      <c r="C214" s="67">
        <f>IFERROR(INDEX(tbl_Finance[Xero Invoice No],$A214),"")</f>
        <v/>
      </c>
      <c r="D214" s="67">
        <f>IFERROR(INDEX(tbl_Finance[Client],$A214),"")</f>
        <v/>
      </c>
      <c r="E214" s="67">
        <f>IFERROR(INDEX(tbl_Finance[Job Number],$A214),"")</f>
        <v/>
      </c>
      <c r="F214" s="67">
        <f>IFERROR(INDEX(tbl_Finance[Cost Centre],$A214),"")</f>
        <v/>
      </c>
      <c r="G214" s="68">
        <f>IFERROR(INDEX(tbl_Finance[Ex GST],$A214),"")</f>
        <v/>
      </c>
      <c r="H214" s="66">
        <f>IFERROR(INDEX(tbl_Finance[Defer Start],$A214),"")</f>
        <v/>
      </c>
      <c r="I214" s="66">
        <f>IFERROR(INDEX(tbl_Finance[Defer End],$A214),"")</f>
        <v/>
      </c>
      <c r="J214" s="65">
        <f>IF(OR($H214="",$I214="",$G214=""),"",MAX(1,(YEAR($I214)-YEAR($H214))*12+MONTH($I214)-MONTH($H214)+1))</f>
        <v/>
      </c>
      <c r="K214" s="68">
        <f>IF($J214="","",$G214/$J214)</f>
        <v/>
      </c>
      <c r="L214" s="68">
        <f>IF($J214="",0,$K214*MAX(0,MIN(YEAR($C$3)*12+MONTH($C$3),YEAR($I214)*12+MONTH($I214))-(YEAR($H214)*12+MONTH($H214))+1))</f>
        <v/>
      </c>
      <c r="M214" s="68">
        <f>IF($J214="",0,$K214*MAX(0,MIN(YEAR($C$3)*12+MONTH($C$3)-1,YEAR($I214)*12+MONTH($I214))-(YEAR($H214)*12+MONTH($H214))+1))</f>
        <v/>
      </c>
      <c r="N214" s="68">
        <f>IF(OR($J214="",$B214=""),0,IF(YEAR($B214)*12+MONTH($B214)&lt;=YEAR($C$3)*12+MONTH($C$3),$G214,0))</f>
        <v/>
      </c>
      <c r="O214" s="68">
        <f>IF(OR($J214="",$B214=""),0,IF(YEAR($B214)*12+MONTH($B214)&lt;=YEAR($C$3)*12+MONTH($C$3)-1,$G214,0))</f>
        <v/>
      </c>
      <c r="P214" s="68">
        <f>$M214-$O214</f>
        <v/>
      </c>
      <c r="Q214" s="68">
        <f>($L214-$M214)-($N214-$O214)</f>
        <v/>
      </c>
      <c r="R214" s="68">
        <f>$L214-$N214</f>
        <v/>
      </c>
      <c r="S214" s="67">
        <f>"Finance invoice"</f>
        <v/>
      </c>
      <c r="T214" s="67">
        <f>"Revenue"</f>
        <v/>
      </c>
    </row>
    <row r="215">
      <c r="A215" s="65">
        <f>ROW()-5</f>
        <v/>
      </c>
      <c r="B215" s="66">
        <f>IFERROR(INDEX(tbl_Finance[Date],$A215),"")</f>
        <v/>
      </c>
      <c r="C215" s="67">
        <f>IFERROR(INDEX(tbl_Finance[Xero Invoice No],$A215),"")</f>
        <v/>
      </c>
      <c r="D215" s="67">
        <f>IFERROR(INDEX(tbl_Finance[Client],$A215),"")</f>
        <v/>
      </c>
      <c r="E215" s="67">
        <f>IFERROR(INDEX(tbl_Finance[Job Number],$A215),"")</f>
        <v/>
      </c>
      <c r="F215" s="67">
        <f>IFERROR(INDEX(tbl_Finance[Cost Centre],$A215),"")</f>
        <v/>
      </c>
      <c r="G215" s="68">
        <f>IFERROR(INDEX(tbl_Finance[Ex GST],$A215),"")</f>
        <v/>
      </c>
      <c r="H215" s="66">
        <f>IFERROR(INDEX(tbl_Finance[Defer Start],$A215),"")</f>
        <v/>
      </c>
      <c r="I215" s="66">
        <f>IFERROR(INDEX(tbl_Finance[Defer End],$A215),"")</f>
        <v/>
      </c>
      <c r="J215" s="65">
        <f>IF(OR($H215="",$I215="",$G215=""),"",MAX(1,(YEAR($I215)-YEAR($H215))*12+MONTH($I215)-MONTH($H215)+1))</f>
        <v/>
      </c>
      <c r="K215" s="68">
        <f>IF($J215="","",$G215/$J215)</f>
        <v/>
      </c>
      <c r="L215" s="68">
        <f>IF($J215="",0,$K215*MAX(0,MIN(YEAR($C$3)*12+MONTH($C$3),YEAR($I215)*12+MONTH($I215))-(YEAR($H215)*12+MONTH($H215))+1))</f>
        <v/>
      </c>
      <c r="M215" s="68">
        <f>IF($J215="",0,$K215*MAX(0,MIN(YEAR($C$3)*12+MONTH($C$3)-1,YEAR($I215)*12+MONTH($I215))-(YEAR($H215)*12+MONTH($H215))+1))</f>
        <v/>
      </c>
      <c r="N215" s="68">
        <f>IF(OR($J215="",$B215=""),0,IF(YEAR($B215)*12+MONTH($B215)&lt;=YEAR($C$3)*12+MONTH($C$3),$G215,0))</f>
        <v/>
      </c>
      <c r="O215" s="68">
        <f>IF(OR($J215="",$B215=""),0,IF(YEAR($B215)*12+MONTH($B215)&lt;=YEAR($C$3)*12+MONTH($C$3)-1,$G215,0))</f>
        <v/>
      </c>
      <c r="P215" s="68">
        <f>$M215-$O215</f>
        <v/>
      </c>
      <c r="Q215" s="68">
        <f>($L215-$M215)-($N215-$O215)</f>
        <v/>
      </c>
      <c r="R215" s="68">
        <f>$L215-$N215</f>
        <v/>
      </c>
      <c r="S215" s="67">
        <f>"Finance invoice"</f>
        <v/>
      </c>
      <c r="T215" s="67">
        <f>"Revenue"</f>
        <v/>
      </c>
    </row>
    <row r="216">
      <c r="A216" s="65">
        <f>ROW()-5</f>
        <v/>
      </c>
      <c r="B216" s="66">
        <f>IFERROR(INDEX(tbl_Finance[Date],$A216),"")</f>
        <v/>
      </c>
      <c r="C216" s="67">
        <f>IFERROR(INDEX(tbl_Finance[Xero Invoice No],$A216),"")</f>
        <v/>
      </c>
      <c r="D216" s="67">
        <f>IFERROR(INDEX(tbl_Finance[Client],$A216),"")</f>
        <v/>
      </c>
      <c r="E216" s="67">
        <f>IFERROR(INDEX(tbl_Finance[Job Number],$A216),"")</f>
        <v/>
      </c>
      <c r="F216" s="67">
        <f>IFERROR(INDEX(tbl_Finance[Cost Centre],$A216),"")</f>
        <v/>
      </c>
      <c r="G216" s="68">
        <f>IFERROR(INDEX(tbl_Finance[Ex GST],$A216),"")</f>
        <v/>
      </c>
      <c r="H216" s="66">
        <f>IFERROR(INDEX(tbl_Finance[Defer Start],$A216),"")</f>
        <v/>
      </c>
      <c r="I216" s="66">
        <f>IFERROR(INDEX(tbl_Finance[Defer End],$A216),"")</f>
        <v/>
      </c>
      <c r="J216" s="65">
        <f>IF(OR($H216="",$I216="",$G216=""),"",MAX(1,(YEAR($I216)-YEAR($H216))*12+MONTH($I216)-MONTH($H216)+1))</f>
        <v/>
      </c>
      <c r="K216" s="68">
        <f>IF($J216="","",$G216/$J216)</f>
        <v/>
      </c>
      <c r="L216" s="68">
        <f>IF($J216="",0,$K216*MAX(0,MIN(YEAR($C$3)*12+MONTH($C$3),YEAR($I216)*12+MONTH($I216))-(YEAR($H216)*12+MONTH($H216))+1))</f>
        <v/>
      </c>
      <c r="M216" s="68">
        <f>IF($J216="",0,$K216*MAX(0,MIN(YEAR($C$3)*12+MONTH($C$3)-1,YEAR($I216)*12+MONTH($I216))-(YEAR($H216)*12+MONTH($H216))+1))</f>
        <v/>
      </c>
      <c r="N216" s="68">
        <f>IF(OR($J216="",$B216=""),0,IF(YEAR($B216)*12+MONTH($B216)&lt;=YEAR($C$3)*12+MONTH($C$3),$G216,0))</f>
        <v/>
      </c>
      <c r="O216" s="68">
        <f>IF(OR($J216="",$B216=""),0,IF(YEAR($B216)*12+MONTH($B216)&lt;=YEAR($C$3)*12+MONTH($C$3)-1,$G216,0))</f>
        <v/>
      </c>
      <c r="P216" s="68">
        <f>$M216-$O216</f>
        <v/>
      </c>
      <c r="Q216" s="68">
        <f>($L216-$M216)-($N216-$O216)</f>
        <v/>
      </c>
      <c r="R216" s="68">
        <f>$L216-$N216</f>
        <v/>
      </c>
      <c r="S216" s="67">
        <f>"Finance invoice"</f>
        <v/>
      </c>
      <c r="T216" s="67">
        <f>"Revenue"</f>
        <v/>
      </c>
    </row>
    <row r="217">
      <c r="A217" s="65">
        <f>ROW()-5</f>
        <v/>
      </c>
      <c r="B217" s="66">
        <f>IFERROR(INDEX(tbl_Finance[Date],$A217),"")</f>
        <v/>
      </c>
      <c r="C217" s="67">
        <f>IFERROR(INDEX(tbl_Finance[Xero Invoice No],$A217),"")</f>
        <v/>
      </c>
      <c r="D217" s="67">
        <f>IFERROR(INDEX(tbl_Finance[Client],$A217),"")</f>
        <v/>
      </c>
      <c r="E217" s="67">
        <f>IFERROR(INDEX(tbl_Finance[Job Number],$A217),"")</f>
        <v/>
      </c>
      <c r="F217" s="67">
        <f>IFERROR(INDEX(tbl_Finance[Cost Centre],$A217),"")</f>
        <v/>
      </c>
      <c r="G217" s="68">
        <f>IFERROR(INDEX(tbl_Finance[Ex GST],$A217),"")</f>
        <v/>
      </c>
      <c r="H217" s="66">
        <f>IFERROR(INDEX(tbl_Finance[Defer Start],$A217),"")</f>
        <v/>
      </c>
      <c r="I217" s="66">
        <f>IFERROR(INDEX(tbl_Finance[Defer End],$A217),"")</f>
        <v/>
      </c>
      <c r="J217" s="65">
        <f>IF(OR($H217="",$I217="",$G217=""),"",MAX(1,(YEAR($I217)-YEAR($H217))*12+MONTH($I217)-MONTH($H217)+1))</f>
        <v/>
      </c>
      <c r="K217" s="68">
        <f>IF($J217="","",$G217/$J217)</f>
        <v/>
      </c>
      <c r="L217" s="68">
        <f>IF($J217="",0,$K217*MAX(0,MIN(YEAR($C$3)*12+MONTH($C$3),YEAR($I217)*12+MONTH($I217))-(YEAR($H217)*12+MONTH($H217))+1))</f>
        <v/>
      </c>
      <c r="M217" s="68">
        <f>IF($J217="",0,$K217*MAX(0,MIN(YEAR($C$3)*12+MONTH($C$3)-1,YEAR($I217)*12+MONTH($I217))-(YEAR($H217)*12+MONTH($H217))+1))</f>
        <v/>
      </c>
      <c r="N217" s="68">
        <f>IF(OR($J217="",$B217=""),0,IF(YEAR($B217)*12+MONTH($B217)&lt;=YEAR($C$3)*12+MONTH($C$3),$G217,0))</f>
        <v/>
      </c>
      <c r="O217" s="68">
        <f>IF(OR($J217="",$B217=""),0,IF(YEAR($B217)*12+MONTH($B217)&lt;=YEAR($C$3)*12+MONTH($C$3)-1,$G217,0))</f>
        <v/>
      </c>
      <c r="P217" s="68">
        <f>$M217-$O217</f>
        <v/>
      </c>
      <c r="Q217" s="68">
        <f>($L217-$M217)-($N217-$O217)</f>
        <v/>
      </c>
      <c r="R217" s="68">
        <f>$L217-$N217</f>
        <v/>
      </c>
      <c r="S217" s="67">
        <f>"Finance invoice"</f>
        <v/>
      </c>
      <c r="T217" s="67">
        <f>"Revenue"</f>
        <v/>
      </c>
    </row>
    <row r="218">
      <c r="A218" s="65">
        <f>ROW()-5</f>
        <v/>
      </c>
      <c r="B218" s="66">
        <f>IFERROR(INDEX(tbl_Finance[Date],$A218),"")</f>
        <v/>
      </c>
      <c r="C218" s="67">
        <f>IFERROR(INDEX(tbl_Finance[Xero Invoice No],$A218),"")</f>
        <v/>
      </c>
      <c r="D218" s="67">
        <f>IFERROR(INDEX(tbl_Finance[Client],$A218),"")</f>
        <v/>
      </c>
      <c r="E218" s="67">
        <f>IFERROR(INDEX(tbl_Finance[Job Number],$A218),"")</f>
        <v/>
      </c>
      <c r="F218" s="67">
        <f>IFERROR(INDEX(tbl_Finance[Cost Centre],$A218),"")</f>
        <v/>
      </c>
      <c r="G218" s="68">
        <f>IFERROR(INDEX(tbl_Finance[Ex GST],$A218),"")</f>
        <v/>
      </c>
      <c r="H218" s="66">
        <f>IFERROR(INDEX(tbl_Finance[Defer Start],$A218),"")</f>
        <v/>
      </c>
      <c r="I218" s="66">
        <f>IFERROR(INDEX(tbl_Finance[Defer End],$A218),"")</f>
        <v/>
      </c>
      <c r="J218" s="65">
        <f>IF(OR($H218="",$I218="",$G218=""),"",MAX(1,(YEAR($I218)-YEAR($H218))*12+MONTH($I218)-MONTH($H218)+1))</f>
        <v/>
      </c>
      <c r="K218" s="68">
        <f>IF($J218="","",$G218/$J218)</f>
        <v/>
      </c>
      <c r="L218" s="68">
        <f>IF($J218="",0,$K218*MAX(0,MIN(YEAR($C$3)*12+MONTH($C$3),YEAR($I218)*12+MONTH($I218))-(YEAR($H218)*12+MONTH($H218))+1))</f>
        <v/>
      </c>
      <c r="M218" s="68">
        <f>IF($J218="",0,$K218*MAX(0,MIN(YEAR($C$3)*12+MONTH($C$3)-1,YEAR($I218)*12+MONTH($I218))-(YEAR($H218)*12+MONTH($H218))+1))</f>
        <v/>
      </c>
      <c r="N218" s="68">
        <f>IF(OR($J218="",$B218=""),0,IF(YEAR($B218)*12+MONTH($B218)&lt;=YEAR($C$3)*12+MONTH($C$3),$G218,0))</f>
        <v/>
      </c>
      <c r="O218" s="68">
        <f>IF(OR($J218="",$B218=""),0,IF(YEAR($B218)*12+MONTH($B218)&lt;=YEAR($C$3)*12+MONTH($C$3)-1,$G218,0))</f>
        <v/>
      </c>
      <c r="P218" s="68">
        <f>$M218-$O218</f>
        <v/>
      </c>
      <c r="Q218" s="68">
        <f>($L218-$M218)-($N218-$O218)</f>
        <v/>
      </c>
      <c r="R218" s="68">
        <f>$L218-$N218</f>
        <v/>
      </c>
      <c r="S218" s="67">
        <f>"Finance invoice"</f>
        <v/>
      </c>
      <c r="T218" s="67">
        <f>"Revenue"</f>
        <v/>
      </c>
    </row>
    <row r="219">
      <c r="A219" s="65">
        <f>ROW()-5</f>
        <v/>
      </c>
      <c r="B219" s="66">
        <f>IFERROR(INDEX(tbl_Finance[Date],$A219),"")</f>
        <v/>
      </c>
      <c r="C219" s="67">
        <f>IFERROR(INDEX(tbl_Finance[Xero Invoice No],$A219),"")</f>
        <v/>
      </c>
      <c r="D219" s="67">
        <f>IFERROR(INDEX(tbl_Finance[Client],$A219),"")</f>
        <v/>
      </c>
      <c r="E219" s="67">
        <f>IFERROR(INDEX(tbl_Finance[Job Number],$A219),"")</f>
        <v/>
      </c>
      <c r="F219" s="67">
        <f>IFERROR(INDEX(tbl_Finance[Cost Centre],$A219),"")</f>
        <v/>
      </c>
      <c r="G219" s="68">
        <f>IFERROR(INDEX(tbl_Finance[Ex GST],$A219),"")</f>
        <v/>
      </c>
      <c r="H219" s="66">
        <f>IFERROR(INDEX(tbl_Finance[Defer Start],$A219),"")</f>
        <v/>
      </c>
      <c r="I219" s="66">
        <f>IFERROR(INDEX(tbl_Finance[Defer End],$A219),"")</f>
        <v/>
      </c>
      <c r="J219" s="65">
        <f>IF(OR($H219="",$I219="",$G219=""),"",MAX(1,(YEAR($I219)-YEAR($H219))*12+MONTH($I219)-MONTH($H219)+1))</f>
        <v/>
      </c>
      <c r="K219" s="68">
        <f>IF($J219="","",$G219/$J219)</f>
        <v/>
      </c>
      <c r="L219" s="68">
        <f>IF($J219="",0,$K219*MAX(0,MIN(YEAR($C$3)*12+MONTH($C$3),YEAR($I219)*12+MONTH($I219))-(YEAR($H219)*12+MONTH($H219))+1))</f>
        <v/>
      </c>
      <c r="M219" s="68">
        <f>IF($J219="",0,$K219*MAX(0,MIN(YEAR($C$3)*12+MONTH($C$3)-1,YEAR($I219)*12+MONTH($I219))-(YEAR($H219)*12+MONTH($H219))+1))</f>
        <v/>
      </c>
      <c r="N219" s="68">
        <f>IF(OR($J219="",$B219=""),0,IF(YEAR($B219)*12+MONTH($B219)&lt;=YEAR($C$3)*12+MONTH($C$3),$G219,0))</f>
        <v/>
      </c>
      <c r="O219" s="68">
        <f>IF(OR($J219="",$B219=""),0,IF(YEAR($B219)*12+MONTH($B219)&lt;=YEAR($C$3)*12+MONTH($C$3)-1,$G219,0))</f>
        <v/>
      </c>
      <c r="P219" s="68">
        <f>$M219-$O219</f>
        <v/>
      </c>
      <c r="Q219" s="68">
        <f>($L219-$M219)-($N219-$O219)</f>
        <v/>
      </c>
      <c r="R219" s="68">
        <f>$L219-$N219</f>
        <v/>
      </c>
      <c r="S219" s="67">
        <f>"Finance invoice"</f>
        <v/>
      </c>
      <c r="T219" s="67">
        <f>"Revenue"</f>
        <v/>
      </c>
    </row>
    <row r="220">
      <c r="A220" s="65">
        <f>ROW()-5</f>
        <v/>
      </c>
      <c r="B220" s="66">
        <f>IFERROR(INDEX(tbl_Finance[Date],$A220),"")</f>
        <v/>
      </c>
      <c r="C220" s="67">
        <f>IFERROR(INDEX(tbl_Finance[Xero Invoice No],$A220),"")</f>
        <v/>
      </c>
      <c r="D220" s="67">
        <f>IFERROR(INDEX(tbl_Finance[Client],$A220),"")</f>
        <v/>
      </c>
      <c r="E220" s="67">
        <f>IFERROR(INDEX(tbl_Finance[Job Number],$A220),"")</f>
        <v/>
      </c>
      <c r="F220" s="67">
        <f>IFERROR(INDEX(tbl_Finance[Cost Centre],$A220),"")</f>
        <v/>
      </c>
      <c r="G220" s="68">
        <f>IFERROR(INDEX(tbl_Finance[Ex GST],$A220),"")</f>
        <v/>
      </c>
      <c r="H220" s="66">
        <f>IFERROR(INDEX(tbl_Finance[Defer Start],$A220),"")</f>
        <v/>
      </c>
      <c r="I220" s="66">
        <f>IFERROR(INDEX(tbl_Finance[Defer End],$A220),"")</f>
        <v/>
      </c>
      <c r="J220" s="65">
        <f>IF(OR($H220="",$I220="",$G220=""),"",MAX(1,(YEAR($I220)-YEAR($H220))*12+MONTH($I220)-MONTH($H220)+1))</f>
        <v/>
      </c>
      <c r="K220" s="68">
        <f>IF($J220="","",$G220/$J220)</f>
        <v/>
      </c>
      <c r="L220" s="68">
        <f>IF($J220="",0,$K220*MAX(0,MIN(YEAR($C$3)*12+MONTH($C$3),YEAR($I220)*12+MONTH($I220))-(YEAR($H220)*12+MONTH($H220))+1))</f>
        <v/>
      </c>
      <c r="M220" s="68">
        <f>IF($J220="",0,$K220*MAX(0,MIN(YEAR($C$3)*12+MONTH($C$3)-1,YEAR($I220)*12+MONTH($I220))-(YEAR($H220)*12+MONTH($H220))+1))</f>
        <v/>
      </c>
      <c r="N220" s="68">
        <f>IF(OR($J220="",$B220=""),0,IF(YEAR($B220)*12+MONTH($B220)&lt;=YEAR($C$3)*12+MONTH($C$3),$G220,0))</f>
        <v/>
      </c>
      <c r="O220" s="68">
        <f>IF(OR($J220="",$B220=""),0,IF(YEAR($B220)*12+MONTH($B220)&lt;=YEAR($C$3)*12+MONTH($C$3)-1,$G220,0))</f>
        <v/>
      </c>
      <c r="P220" s="68">
        <f>$M220-$O220</f>
        <v/>
      </c>
      <c r="Q220" s="68">
        <f>($L220-$M220)-($N220-$O220)</f>
        <v/>
      </c>
      <c r="R220" s="68">
        <f>$L220-$N220</f>
        <v/>
      </c>
      <c r="S220" s="67">
        <f>"Finance invoice"</f>
        <v/>
      </c>
      <c r="T220" s="67">
        <f>"Revenue"</f>
        <v/>
      </c>
    </row>
    <row r="221">
      <c r="A221" s="65">
        <f>ROW()-5</f>
        <v/>
      </c>
      <c r="B221" s="66">
        <f>IFERROR(INDEX(tbl_Finance[Date],$A221),"")</f>
        <v/>
      </c>
      <c r="C221" s="67">
        <f>IFERROR(INDEX(tbl_Finance[Xero Invoice No],$A221),"")</f>
        <v/>
      </c>
      <c r="D221" s="67">
        <f>IFERROR(INDEX(tbl_Finance[Client],$A221),"")</f>
        <v/>
      </c>
      <c r="E221" s="67">
        <f>IFERROR(INDEX(tbl_Finance[Job Number],$A221),"")</f>
        <v/>
      </c>
      <c r="F221" s="67">
        <f>IFERROR(INDEX(tbl_Finance[Cost Centre],$A221),"")</f>
        <v/>
      </c>
      <c r="G221" s="68">
        <f>IFERROR(INDEX(tbl_Finance[Ex GST],$A221),"")</f>
        <v/>
      </c>
      <c r="H221" s="66">
        <f>IFERROR(INDEX(tbl_Finance[Defer Start],$A221),"")</f>
        <v/>
      </c>
      <c r="I221" s="66">
        <f>IFERROR(INDEX(tbl_Finance[Defer End],$A221),"")</f>
        <v/>
      </c>
      <c r="J221" s="65">
        <f>IF(OR($H221="",$I221="",$G221=""),"",MAX(1,(YEAR($I221)-YEAR($H221))*12+MONTH($I221)-MONTH($H221)+1))</f>
        <v/>
      </c>
      <c r="K221" s="68">
        <f>IF($J221="","",$G221/$J221)</f>
        <v/>
      </c>
      <c r="L221" s="68">
        <f>IF($J221="",0,$K221*MAX(0,MIN(YEAR($C$3)*12+MONTH($C$3),YEAR($I221)*12+MONTH($I221))-(YEAR($H221)*12+MONTH($H221))+1))</f>
        <v/>
      </c>
      <c r="M221" s="68">
        <f>IF($J221="",0,$K221*MAX(0,MIN(YEAR($C$3)*12+MONTH($C$3)-1,YEAR($I221)*12+MONTH($I221))-(YEAR($H221)*12+MONTH($H221))+1))</f>
        <v/>
      </c>
      <c r="N221" s="68">
        <f>IF(OR($J221="",$B221=""),0,IF(YEAR($B221)*12+MONTH($B221)&lt;=YEAR($C$3)*12+MONTH($C$3),$G221,0))</f>
        <v/>
      </c>
      <c r="O221" s="68">
        <f>IF(OR($J221="",$B221=""),0,IF(YEAR($B221)*12+MONTH($B221)&lt;=YEAR($C$3)*12+MONTH($C$3)-1,$G221,0))</f>
        <v/>
      </c>
      <c r="P221" s="68">
        <f>$M221-$O221</f>
        <v/>
      </c>
      <c r="Q221" s="68">
        <f>($L221-$M221)-($N221-$O221)</f>
        <v/>
      </c>
      <c r="R221" s="68">
        <f>$L221-$N221</f>
        <v/>
      </c>
      <c r="S221" s="67">
        <f>"Finance invoice"</f>
        <v/>
      </c>
      <c r="T221" s="67">
        <f>"Revenue"</f>
        <v/>
      </c>
    </row>
    <row r="222">
      <c r="A222" s="65">
        <f>ROW()-5</f>
        <v/>
      </c>
      <c r="B222" s="66">
        <f>IFERROR(INDEX(tbl_Finance[Date],$A222),"")</f>
        <v/>
      </c>
      <c r="C222" s="67">
        <f>IFERROR(INDEX(tbl_Finance[Xero Invoice No],$A222),"")</f>
        <v/>
      </c>
      <c r="D222" s="67">
        <f>IFERROR(INDEX(tbl_Finance[Client],$A222),"")</f>
        <v/>
      </c>
      <c r="E222" s="67">
        <f>IFERROR(INDEX(tbl_Finance[Job Number],$A222),"")</f>
        <v/>
      </c>
      <c r="F222" s="67">
        <f>IFERROR(INDEX(tbl_Finance[Cost Centre],$A222),"")</f>
        <v/>
      </c>
      <c r="G222" s="68">
        <f>IFERROR(INDEX(tbl_Finance[Ex GST],$A222),"")</f>
        <v/>
      </c>
      <c r="H222" s="66">
        <f>IFERROR(INDEX(tbl_Finance[Defer Start],$A222),"")</f>
        <v/>
      </c>
      <c r="I222" s="66">
        <f>IFERROR(INDEX(tbl_Finance[Defer End],$A222),"")</f>
        <v/>
      </c>
      <c r="J222" s="65">
        <f>IF(OR($H222="",$I222="",$G222=""),"",MAX(1,(YEAR($I222)-YEAR($H222))*12+MONTH($I222)-MONTH($H222)+1))</f>
        <v/>
      </c>
      <c r="K222" s="68">
        <f>IF($J222="","",$G222/$J222)</f>
        <v/>
      </c>
      <c r="L222" s="68">
        <f>IF($J222="",0,$K222*MAX(0,MIN(YEAR($C$3)*12+MONTH($C$3),YEAR($I222)*12+MONTH($I222))-(YEAR($H222)*12+MONTH($H222))+1))</f>
        <v/>
      </c>
      <c r="M222" s="68">
        <f>IF($J222="",0,$K222*MAX(0,MIN(YEAR($C$3)*12+MONTH($C$3)-1,YEAR($I222)*12+MONTH($I222))-(YEAR($H222)*12+MONTH($H222))+1))</f>
        <v/>
      </c>
      <c r="N222" s="68">
        <f>IF(OR($J222="",$B222=""),0,IF(YEAR($B222)*12+MONTH($B222)&lt;=YEAR($C$3)*12+MONTH($C$3),$G222,0))</f>
        <v/>
      </c>
      <c r="O222" s="68">
        <f>IF(OR($J222="",$B222=""),0,IF(YEAR($B222)*12+MONTH($B222)&lt;=YEAR($C$3)*12+MONTH($C$3)-1,$G222,0))</f>
        <v/>
      </c>
      <c r="P222" s="68">
        <f>$M222-$O222</f>
        <v/>
      </c>
      <c r="Q222" s="68">
        <f>($L222-$M222)-($N222-$O222)</f>
        <v/>
      </c>
      <c r="R222" s="68">
        <f>$L222-$N222</f>
        <v/>
      </c>
      <c r="S222" s="67">
        <f>"Finance invoice"</f>
        <v/>
      </c>
      <c r="T222" s="67">
        <f>"Revenue"</f>
        <v/>
      </c>
    </row>
    <row r="223">
      <c r="A223" s="65">
        <f>ROW()-5</f>
        <v/>
      </c>
      <c r="B223" s="66">
        <f>IFERROR(INDEX(tbl_Finance[Date],$A223),"")</f>
        <v/>
      </c>
      <c r="C223" s="67">
        <f>IFERROR(INDEX(tbl_Finance[Xero Invoice No],$A223),"")</f>
        <v/>
      </c>
      <c r="D223" s="67">
        <f>IFERROR(INDEX(tbl_Finance[Client],$A223),"")</f>
        <v/>
      </c>
      <c r="E223" s="67">
        <f>IFERROR(INDEX(tbl_Finance[Job Number],$A223),"")</f>
        <v/>
      </c>
      <c r="F223" s="67">
        <f>IFERROR(INDEX(tbl_Finance[Cost Centre],$A223),"")</f>
        <v/>
      </c>
      <c r="G223" s="68">
        <f>IFERROR(INDEX(tbl_Finance[Ex GST],$A223),"")</f>
        <v/>
      </c>
      <c r="H223" s="66">
        <f>IFERROR(INDEX(tbl_Finance[Defer Start],$A223),"")</f>
        <v/>
      </c>
      <c r="I223" s="66">
        <f>IFERROR(INDEX(tbl_Finance[Defer End],$A223),"")</f>
        <v/>
      </c>
      <c r="J223" s="65">
        <f>IF(OR($H223="",$I223="",$G223=""),"",MAX(1,(YEAR($I223)-YEAR($H223))*12+MONTH($I223)-MONTH($H223)+1))</f>
        <v/>
      </c>
      <c r="K223" s="68">
        <f>IF($J223="","",$G223/$J223)</f>
        <v/>
      </c>
      <c r="L223" s="68">
        <f>IF($J223="",0,$K223*MAX(0,MIN(YEAR($C$3)*12+MONTH($C$3),YEAR($I223)*12+MONTH($I223))-(YEAR($H223)*12+MONTH($H223))+1))</f>
        <v/>
      </c>
      <c r="M223" s="68">
        <f>IF($J223="",0,$K223*MAX(0,MIN(YEAR($C$3)*12+MONTH($C$3)-1,YEAR($I223)*12+MONTH($I223))-(YEAR($H223)*12+MONTH($H223))+1))</f>
        <v/>
      </c>
      <c r="N223" s="68">
        <f>IF(OR($J223="",$B223=""),0,IF(YEAR($B223)*12+MONTH($B223)&lt;=YEAR($C$3)*12+MONTH($C$3),$G223,0))</f>
        <v/>
      </c>
      <c r="O223" s="68">
        <f>IF(OR($J223="",$B223=""),0,IF(YEAR($B223)*12+MONTH($B223)&lt;=YEAR($C$3)*12+MONTH($C$3)-1,$G223,0))</f>
        <v/>
      </c>
      <c r="P223" s="68">
        <f>$M223-$O223</f>
        <v/>
      </c>
      <c r="Q223" s="68">
        <f>($L223-$M223)-($N223-$O223)</f>
        <v/>
      </c>
      <c r="R223" s="68">
        <f>$L223-$N223</f>
        <v/>
      </c>
      <c r="S223" s="67">
        <f>"Finance invoice"</f>
        <v/>
      </c>
      <c r="T223" s="67">
        <f>"Revenue"</f>
        <v/>
      </c>
    </row>
    <row r="224">
      <c r="A224" s="65">
        <f>ROW()-5</f>
        <v/>
      </c>
      <c r="B224" s="66">
        <f>IFERROR(INDEX(tbl_Finance[Date],$A224),"")</f>
        <v/>
      </c>
      <c r="C224" s="67">
        <f>IFERROR(INDEX(tbl_Finance[Xero Invoice No],$A224),"")</f>
        <v/>
      </c>
      <c r="D224" s="67">
        <f>IFERROR(INDEX(tbl_Finance[Client],$A224),"")</f>
        <v/>
      </c>
      <c r="E224" s="67">
        <f>IFERROR(INDEX(tbl_Finance[Job Number],$A224),"")</f>
        <v/>
      </c>
      <c r="F224" s="67">
        <f>IFERROR(INDEX(tbl_Finance[Cost Centre],$A224),"")</f>
        <v/>
      </c>
      <c r="G224" s="68">
        <f>IFERROR(INDEX(tbl_Finance[Ex GST],$A224),"")</f>
        <v/>
      </c>
      <c r="H224" s="66">
        <f>IFERROR(INDEX(tbl_Finance[Defer Start],$A224),"")</f>
        <v/>
      </c>
      <c r="I224" s="66">
        <f>IFERROR(INDEX(tbl_Finance[Defer End],$A224),"")</f>
        <v/>
      </c>
      <c r="J224" s="65">
        <f>IF(OR($H224="",$I224="",$G224=""),"",MAX(1,(YEAR($I224)-YEAR($H224))*12+MONTH($I224)-MONTH($H224)+1))</f>
        <v/>
      </c>
      <c r="K224" s="68">
        <f>IF($J224="","",$G224/$J224)</f>
        <v/>
      </c>
      <c r="L224" s="68">
        <f>IF($J224="",0,$K224*MAX(0,MIN(YEAR($C$3)*12+MONTH($C$3),YEAR($I224)*12+MONTH($I224))-(YEAR($H224)*12+MONTH($H224))+1))</f>
        <v/>
      </c>
      <c r="M224" s="68">
        <f>IF($J224="",0,$K224*MAX(0,MIN(YEAR($C$3)*12+MONTH($C$3)-1,YEAR($I224)*12+MONTH($I224))-(YEAR($H224)*12+MONTH($H224))+1))</f>
        <v/>
      </c>
      <c r="N224" s="68">
        <f>IF(OR($J224="",$B224=""),0,IF(YEAR($B224)*12+MONTH($B224)&lt;=YEAR($C$3)*12+MONTH($C$3),$G224,0))</f>
        <v/>
      </c>
      <c r="O224" s="68">
        <f>IF(OR($J224="",$B224=""),0,IF(YEAR($B224)*12+MONTH($B224)&lt;=YEAR($C$3)*12+MONTH($C$3)-1,$G224,0))</f>
        <v/>
      </c>
      <c r="P224" s="68">
        <f>$M224-$O224</f>
        <v/>
      </c>
      <c r="Q224" s="68">
        <f>($L224-$M224)-($N224-$O224)</f>
        <v/>
      </c>
      <c r="R224" s="68">
        <f>$L224-$N224</f>
        <v/>
      </c>
      <c r="S224" s="67">
        <f>"Finance invoice"</f>
        <v/>
      </c>
      <c r="T224" s="67">
        <f>"Revenue"</f>
        <v/>
      </c>
    </row>
    <row r="225">
      <c r="A225" s="65">
        <f>ROW()-5</f>
        <v/>
      </c>
      <c r="B225" s="66">
        <f>IFERROR(INDEX(tbl_Finance[Date],$A225),"")</f>
        <v/>
      </c>
      <c r="C225" s="67">
        <f>IFERROR(INDEX(tbl_Finance[Xero Invoice No],$A225),"")</f>
        <v/>
      </c>
      <c r="D225" s="67">
        <f>IFERROR(INDEX(tbl_Finance[Client],$A225),"")</f>
        <v/>
      </c>
      <c r="E225" s="67">
        <f>IFERROR(INDEX(tbl_Finance[Job Number],$A225),"")</f>
        <v/>
      </c>
      <c r="F225" s="67">
        <f>IFERROR(INDEX(tbl_Finance[Cost Centre],$A225),"")</f>
        <v/>
      </c>
      <c r="G225" s="68">
        <f>IFERROR(INDEX(tbl_Finance[Ex GST],$A225),"")</f>
        <v/>
      </c>
      <c r="H225" s="66">
        <f>IFERROR(INDEX(tbl_Finance[Defer Start],$A225),"")</f>
        <v/>
      </c>
      <c r="I225" s="66">
        <f>IFERROR(INDEX(tbl_Finance[Defer End],$A225),"")</f>
        <v/>
      </c>
      <c r="J225" s="65">
        <f>IF(OR($H225="",$I225="",$G225=""),"",MAX(1,(YEAR($I225)-YEAR($H225))*12+MONTH($I225)-MONTH($H225)+1))</f>
        <v/>
      </c>
      <c r="K225" s="68">
        <f>IF($J225="","",$G225/$J225)</f>
        <v/>
      </c>
      <c r="L225" s="68">
        <f>IF($J225="",0,$K225*MAX(0,MIN(YEAR($C$3)*12+MONTH($C$3),YEAR($I225)*12+MONTH($I225))-(YEAR($H225)*12+MONTH($H225))+1))</f>
        <v/>
      </c>
      <c r="M225" s="68">
        <f>IF($J225="",0,$K225*MAX(0,MIN(YEAR($C$3)*12+MONTH($C$3)-1,YEAR($I225)*12+MONTH($I225))-(YEAR($H225)*12+MONTH($H225))+1))</f>
        <v/>
      </c>
      <c r="N225" s="68">
        <f>IF(OR($J225="",$B225=""),0,IF(YEAR($B225)*12+MONTH($B225)&lt;=YEAR($C$3)*12+MONTH($C$3),$G225,0))</f>
        <v/>
      </c>
      <c r="O225" s="68">
        <f>IF(OR($J225="",$B225=""),0,IF(YEAR($B225)*12+MONTH($B225)&lt;=YEAR($C$3)*12+MONTH($C$3)-1,$G225,0))</f>
        <v/>
      </c>
      <c r="P225" s="68">
        <f>$M225-$O225</f>
        <v/>
      </c>
      <c r="Q225" s="68">
        <f>($L225-$M225)-($N225-$O225)</f>
        <v/>
      </c>
      <c r="R225" s="68">
        <f>$L225-$N225</f>
        <v/>
      </c>
      <c r="S225" s="67">
        <f>"Finance invoice"</f>
        <v/>
      </c>
      <c r="T225" s="67">
        <f>"Revenue"</f>
        <v/>
      </c>
    </row>
    <row r="226">
      <c r="A226" s="65">
        <f>ROW()-5</f>
        <v/>
      </c>
      <c r="B226" s="66">
        <f>IFERROR(INDEX(tbl_Finance[Date],$A226),"")</f>
        <v/>
      </c>
      <c r="C226" s="67">
        <f>IFERROR(INDEX(tbl_Finance[Xero Invoice No],$A226),"")</f>
        <v/>
      </c>
      <c r="D226" s="67">
        <f>IFERROR(INDEX(tbl_Finance[Client],$A226),"")</f>
        <v/>
      </c>
      <c r="E226" s="67">
        <f>IFERROR(INDEX(tbl_Finance[Job Number],$A226),"")</f>
        <v/>
      </c>
      <c r="F226" s="67">
        <f>IFERROR(INDEX(tbl_Finance[Cost Centre],$A226),"")</f>
        <v/>
      </c>
      <c r="G226" s="68">
        <f>IFERROR(INDEX(tbl_Finance[Ex GST],$A226),"")</f>
        <v/>
      </c>
      <c r="H226" s="66">
        <f>IFERROR(INDEX(tbl_Finance[Defer Start],$A226),"")</f>
        <v/>
      </c>
      <c r="I226" s="66">
        <f>IFERROR(INDEX(tbl_Finance[Defer End],$A226),"")</f>
        <v/>
      </c>
      <c r="J226" s="65">
        <f>IF(OR($H226="",$I226="",$G226=""),"",MAX(1,(YEAR($I226)-YEAR($H226))*12+MONTH($I226)-MONTH($H226)+1))</f>
        <v/>
      </c>
      <c r="K226" s="68">
        <f>IF($J226="","",$G226/$J226)</f>
        <v/>
      </c>
      <c r="L226" s="68">
        <f>IF($J226="",0,$K226*MAX(0,MIN(YEAR($C$3)*12+MONTH($C$3),YEAR($I226)*12+MONTH($I226))-(YEAR($H226)*12+MONTH($H226))+1))</f>
        <v/>
      </c>
      <c r="M226" s="68">
        <f>IF($J226="",0,$K226*MAX(0,MIN(YEAR($C$3)*12+MONTH($C$3)-1,YEAR($I226)*12+MONTH($I226))-(YEAR($H226)*12+MONTH($H226))+1))</f>
        <v/>
      </c>
      <c r="N226" s="68">
        <f>IF(OR($J226="",$B226=""),0,IF(YEAR($B226)*12+MONTH($B226)&lt;=YEAR($C$3)*12+MONTH($C$3),$G226,0))</f>
        <v/>
      </c>
      <c r="O226" s="68">
        <f>IF(OR($J226="",$B226=""),0,IF(YEAR($B226)*12+MONTH($B226)&lt;=YEAR($C$3)*12+MONTH($C$3)-1,$G226,0))</f>
        <v/>
      </c>
      <c r="P226" s="68">
        <f>$M226-$O226</f>
        <v/>
      </c>
      <c r="Q226" s="68">
        <f>($L226-$M226)-($N226-$O226)</f>
        <v/>
      </c>
      <c r="R226" s="68">
        <f>$L226-$N226</f>
        <v/>
      </c>
      <c r="S226" s="67">
        <f>"Finance invoice"</f>
        <v/>
      </c>
      <c r="T226" s="67">
        <f>"Revenue"</f>
        <v/>
      </c>
    </row>
    <row r="227">
      <c r="A227" s="65">
        <f>ROW()-5</f>
        <v/>
      </c>
      <c r="B227" s="66">
        <f>IFERROR(INDEX(tbl_Finance[Date],$A227),"")</f>
        <v/>
      </c>
      <c r="C227" s="67">
        <f>IFERROR(INDEX(tbl_Finance[Xero Invoice No],$A227),"")</f>
        <v/>
      </c>
      <c r="D227" s="67">
        <f>IFERROR(INDEX(tbl_Finance[Client],$A227),"")</f>
        <v/>
      </c>
      <c r="E227" s="67">
        <f>IFERROR(INDEX(tbl_Finance[Job Number],$A227),"")</f>
        <v/>
      </c>
      <c r="F227" s="67">
        <f>IFERROR(INDEX(tbl_Finance[Cost Centre],$A227),"")</f>
        <v/>
      </c>
      <c r="G227" s="68">
        <f>IFERROR(INDEX(tbl_Finance[Ex GST],$A227),"")</f>
        <v/>
      </c>
      <c r="H227" s="66">
        <f>IFERROR(INDEX(tbl_Finance[Defer Start],$A227),"")</f>
        <v/>
      </c>
      <c r="I227" s="66">
        <f>IFERROR(INDEX(tbl_Finance[Defer End],$A227),"")</f>
        <v/>
      </c>
      <c r="J227" s="65">
        <f>IF(OR($H227="",$I227="",$G227=""),"",MAX(1,(YEAR($I227)-YEAR($H227))*12+MONTH($I227)-MONTH($H227)+1))</f>
        <v/>
      </c>
      <c r="K227" s="68">
        <f>IF($J227="","",$G227/$J227)</f>
        <v/>
      </c>
      <c r="L227" s="68">
        <f>IF($J227="",0,$K227*MAX(0,MIN(YEAR($C$3)*12+MONTH($C$3),YEAR($I227)*12+MONTH($I227))-(YEAR($H227)*12+MONTH($H227))+1))</f>
        <v/>
      </c>
      <c r="M227" s="68">
        <f>IF($J227="",0,$K227*MAX(0,MIN(YEAR($C$3)*12+MONTH($C$3)-1,YEAR($I227)*12+MONTH($I227))-(YEAR($H227)*12+MONTH($H227))+1))</f>
        <v/>
      </c>
      <c r="N227" s="68">
        <f>IF(OR($J227="",$B227=""),0,IF(YEAR($B227)*12+MONTH($B227)&lt;=YEAR($C$3)*12+MONTH($C$3),$G227,0))</f>
        <v/>
      </c>
      <c r="O227" s="68">
        <f>IF(OR($J227="",$B227=""),0,IF(YEAR($B227)*12+MONTH($B227)&lt;=YEAR($C$3)*12+MONTH($C$3)-1,$G227,0))</f>
        <v/>
      </c>
      <c r="P227" s="68">
        <f>$M227-$O227</f>
        <v/>
      </c>
      <c r="Q227" s="68">
        <f>($L227-$M227)-($N227-$O227)</f>
        <v/>
      </c>
      <c r="R227" s="68">
        <f>$L227-$N227</f>
        <v/>
      </c>
      <c r="S227" s="67">
        <f>"Finance invoice"</f>
        <v/>
      </c>
      <c r="T227" s="67">
        <f>"Revenue"</f>
        <v/>
      </c>
    </row>
    <row r="228">
      <c r="A228" s="65">
        <f>ROW()-5</f>
        <v/>
      </c>
      <c r="B228" s="66">
        <f>IFERROR(INDEX(tbl_Finance[Date],$A228),"")</f>
        <v/>
      </c>
      <c r="C228" s="67">
        <f>IFERROR(INDEX(tbl_Finance[Xero Invoice No],$A228),"")</f>
        <v/>
      </c>
      <c r="D228" s="67">
        <f>IFERROR(INDEX(tbl_Finance[Client],$A228),"")</f>
        <v/>
      </c>
      <c r="E228" s="67">
        <f>IFERROR(INDEX(tbl_Finance[Job Number],$A228),"")</f>
        <v/>
      </c>
      <c r="F228" s="67">
        <f>IFERROR(INDEX(tbl_Finance[Cost Centre],$A228),"")</f>
        <v/>
      </c>
      <c r="G228" s="68">
        <f>IFERROR(INDEX(tbl_Finance[Ex GST],$A228),"")</f>
        <v/>
      </c>
      <c r="H228" s="66">
        <f>IFERROR(INDEX(tbl_Finance[Defer Start],$A228),"")</f>
        <v/>
      </c>
      <c r="I228" s="66">
        <f>IFERROR(INDEX(tbl_Finance[Defer End],$A228),"")</f>
        <v/>
      </c>
      <c r="J228" s="65">
        <f>IF(OR($H228="",$I228="",$G228=""),"",MAX(1,(YEAR($I228)-YEAR($H228))*12+MONTH($I228)-MONTH($H228)+1))</f>
        <v/>
      </c>
      <c r="K228" s="68">
        <f>IF($J228="","",$G228/$J228)</f>
        <v/>
      </c>
      <c r="L228" s="68">
        <f>IF($J228="",0,$K228*MAX(0,MIN(YEAR($C$3)*12+MONTH($C$3),YEAR($I228)*12+MONTH($I228))-(YEAR($H228)*12+MONTH($H228))+1))</f>
        <v/>
      </c>
      <c r="M228" s="68">
        <f>IF($J228="",0,$K228*MAX(0,MIN(YEAR($C$3)*12+MONTH($C$3)-1,YEAR($I228)*12+MONTH($I228))-(YEAR($H228)*12+MONTH($H228))+1))</f>
        <v/>
      </c>
      <c r="N228" s="68">
        <f>IF(OR($J228="",$B228=""),0,IF(YEAR($B228)*12+MONTH($B228)&lt;=YEAR($C$3)*12+MONTH($C$3),$G228,0))</f>
        <v/>
      </c>
      <c r="O228" s="68">
        <f>IF(OR($J228="",$B228=""),0,IF(YEAR($B228)*12+MONTH($B228)&lt;=YEAR($C$3)*12+MONTH($C$3)-1,$G228,0))</f>
        <v/>
      </c>
      <c r="P228" s="68">
        <f>$M228-$O228</f>
        <v/>
      </c>
      <c r="Q228" s="68">
        <f>($L228-$M228)-($N228-$O228)</f>
        <v/>
      </c>
      <c r="R228" s="68">
        <f>$L228-$N228</f>
        <v/>
      </c>
      <c r="S228" s="67">
        <f>"Finance invoice"</f>
        <v/>
      </c>
      <c r="T228" s="67">
        <f>"Revenue"</f>
        <v/>
      </c>
    </row>
    <row r="229">
      <c r="A229" s="65">
        <f>ROW()-5</f>
        <v/>
      </c>
      <c r="B229" s="66">
        <f>IFERROR(INDEX(tbl_Finance[Date],$A229),"")</f>
        <v/>
      </c>
      <c r="C229" s="67">
        <f>IFERROR(INDEX(tbl_Finance[Xero Invoice No],$A229),"")</f>
        <v/>
      </c>
      <c r="D229" s="67">
        <f>IFERROR(INDEX(tbl_Finance[Client],$A229),"")</f>
        <v/>
      </c>
      <c r="E229" s="67">
        <f>IFERROR(INDEX(tbl_Finance[Job Number],$A229),"")</f>
        <v/>
      </c>
      <c r="F229" s="67">
        <f>IFERROR(INDEX(tbl_Finance[Cost Centre],$A229),"")</f>
        <v/>
      </c>
      <c r="G229" s="68">
        <f>IFERROR(INDEX(tbl_Finance[Ex GST],$A229),"")</f>
        <v/>
      </c>
      <c r="H229" s="66">
        <f>IFERROR(INDEX(tbl_Finance[Defer Start],$A229),"")</f>
        <v/>
      </c>
      <c r="I229" s="66">
        <f>IFERROR(INDEX(tbl_Finance[Defer End],$A229),"")</f>
        <v/>
      </c>
      <c r="J229" s="65">
        <f>IF(OR($H229="",$I229="",$G229=""),"",MAX(1,(YEAR($I229)-YEAR($H229))*12+MONTH($I229)-MONTH($H229)+1))</f>
        <v/>
      </c>
      <c r="K229" s="68">
        <f>IF($J229="","",$G229/$J229)</f>
        <v/>
      </c>
      <c r="L229" s="68">
        <f>IF($J229="",0,$K229*MAX(0,MIN(YEAR($C$3)*12+MONTH($C$3),YEAR($I229)*12+MONTH($I229))-(YEAR($H229)*12+MONTH($H229))+1))</f>
        <v/>
      </c>
      <c r="M229" s="68">
        <f>IF($J229="",0,$K229*MAX(0,MIN(YEAR($C$3)*12+MONTH($C$3)-1,YEAR($I229)*12+MONTH($I229))-(YEAR($H229)*12+MONTH($H229))+1))</f>
        <v/>
      </c>
      <c r="N229" s="68">
        <f>IF(OR($J229="",$B229=""),0,IF(YEAR($B229)*12+MONTH($B229)&lt;=YEAR($C$3)*12+MONTH($C$3),$G229,0))</f>
        <v/>
      </c>
      <c r="O229" s="68">
        <f>IF(OR($J229="",$B229=""),0,IF(YEAR($B229)*12+MONTH($B229)&lt;=YEAR($C$3)*12+MONTH($C$3)-1,$G229,0))</f>
        <v/>
      </c>
      <c r="P229" s="68">
        <f>$M229-$O229</f>
        <v/>
      </c>
      <c r="Q229" s="68">
        <f>($L229-$M229)-($N229-$O229)</f>
        <v/>
      </c>
      <c r="R229" s="68">
        <f>$L229-$N229</f>
        <v/>
      </c>
      <c r="S229" s="67">
        <f>"Finance invoice"</f>
        <v/>
      </c>
      <c r="T229" s="67">
        <f>"Revenue"</f>
        <v/>
      </c>
    </row>
    <row r="230">
      <c r="A230" s="65">
        <f>ROW()-5</f>
        <v/>
      </c>
      <c r="B230" s="66">
        <f>IFERROR(INDEX(tbl_Finance[Date],$A230),"")</f>
        <v/>
      </c>
      <c r="C230" s="67">
        <f>IFERROR(INDEX(tbl_Finance[Xero Invoice No],$A230),"")</f>
        <v/>
      </c>
      <c r="D230" s="67">
        <f>IFERROR(INDEX(tbl_Finance[Client],$A230),"")</f>
        <v/>
      </c>
      <c r="E230" s="67">
        <f>IFERROR(INDEX(tbl_Finance[Job Number],$A230),"")</f>
        <v/>
      </c>
      <c r="F230" s="67">
        <f>IFERROR(INDEX(tbl_Finance[Cost Centre],$A230),"")</f>
        <v/>
      </c>
      <c r="G230" s="68">
        <f>IFERROR(INDEX(tbl_Finance[Ex GST],$A230),"")</f>
        <v/>
      </c>
      <c r="H230" s="66">
        <f>IFERROR(INDEX(tbl_Finance[Defer Start],$A230),"")</f>
        <v/>
      </c>
      <c r="I230" s="66">
        <f>IFERROR(INDEX(tbl_Finance[Defer End],$A230),"")</f>
        <v/>
      </c>
      <c r="J230" s="65">
        <f>IF(OR($H230="",$I230="",$G230=""),"",MAX(1,(YEAR($I230)-YEAR($H230))*12+MONTH($I230)-MONTH($H230)+1))</f>
        <v/>
      </c>
      <c r="K230" s="68">
        <f>IF($J230="","",$G230/$J230)</f>
        <v/>
      </c>
      <c r="L230" s="68">
        <f>IF($J230="",0,$K230*MAX(0,MIN(YEAR($C$3)*12+MONTH($C$3),YEAR($I230)*12+MONTH($I230))-(YEAR($H230)*12+MONTH($H230))+1))</f>
        <v/>
      </c>
      <c r="M230" s="68">
        <f>IF($J230="",0,$K230*MAX(0,MIN(YEAR($C$3)*12+MONTH($C$3)-1,YEAR($I230)*12+MONTH($I230))-(YEAR($H230)*12+MONTH($H230))+1))</f>
        <v/>
      </c>
      <c r="N230" s="68">
        <f>IF(OR($J230="",$B230=""),0,IF(YEAR($B230)*12+MONTH($B230)&lt;=YEAR($C$3)*12+MONTH($C$3),$G230,0))</f>
        <v/>
      </c>
      <c r="O230" s="68">
        <f>IF(OR($J230="",$B230=""),0,IF(YEAR($B230)*12+MONTH($B230)&lt;=YEAR($C$3)*12+MONTH($C$3)-1,$G230,0))</f>
        <v/>
      </c>
      <c r="P230" s="68">
        <f>$M230-$O230</f>
        <v/>
      </c>
      <c r="Q230" s="68">
        <f>($L230-$M230)-($N230-$O230)</f>
        <v/>
      </c>
      <c r="R230" s="68">
        <f>$L230-$N230</f>
        <v/>
      </c>
      <c r="S230" s="67">
        <f>"Finance invoice"</f>
        <v/>
      </c>
      <c r="T230" s="67">
        <f>"Revenue"</f>
        <v/>
      </c>
    </row>
    <row r="231">
      <c r="A231" s="65">
        <f>ROW()-5</f>
        <v/>
      </c>
      <c r="B231" s="66">
        <f>IFERROR(INDEX(tbl_Finance[Date],$A231),"")</f>
        <v/>
      </c>
      <c r="C231" s="67">
        <f>IFERROR(INDEX(tbl_Finance[Xero Invoice No],$A231),"")</f>
        <v/>
      </c>
      <c r="D231" s="67">
        <f>IFERROR(INDEX(tbl_Finance[Client],$A231),"")</f>
        <v/>
      </c>
      <c r="E231" s="67">
        <f>IFERROR(INDEX(tbl_Finance[Job Number],$A231),"")</f>
        <v/>
      </c>
      <c r="F231" s="67">
        <f>IFERROR(INDEX(tbl_Finance[Cost Centre],$A231),"")</f>
        <v/>
      </c>
      <c r="G231" s="68">
        <f>IFERROR(INDEX(tbl_Finance[Ex GST],$A231),"")</f>
        <v/>
      </c>
      <c r="H231" s="66">
        <f>IFERROR(INDEX(tbl_Finance[Defer Start],$A231),"")</f>
        <v/>
      </c>
      <c r="I231" s="66">
        <f>IFERROR(INDEX(tbl_Finance[Defer End],$A231),"")</f>
        <v/>
      </c>
      <c r="J231" s="65">
        <f>IF(OR($H231="",$I231="",$G231=""),"",MAX(1,(YEAR($I231)-YEAR($H231))*12+MONTH($I231)-MONTH($H231)+1))</f>
        <v/>
      </c>
      <c r="K231" s="68">
        <f>IF($J231="","",$G231/$J231)</f>
        <v/>
      </c>
      <c r="L231" s="68">
        <f>IF($J231="",0,$K231*MAX(0,MIN(YEAR($C$3)*12+MONTH($C$3),YEAR($I231)*12+MONTH($I231))-(YEAR($H231)*12+MONTH($H231))+1))</f>
        <v/>
      </c>
      <c r="M231" s="68">
        <f>IF($J231="",0,$K231*MAX(0,MIN(YEAR($C$3)*12+MONTH($C$3)-1,YEAR($I231)*12+MONTH($I231))-(YEAR($H231)*12+MONTH($H231))+1))</f>
        <v/>
      </c>
      <c r="N231" s="68">
        <f>IF(OR($J231="",$B231=""),0,IF(YEAR($B231)*12+MONTH($B231)&lt;=YEAR($C$3)*12+MONTH($C$3),$G231,0))</f>
        <v/>
      </c>
      <c r="O231" s="68">
        <f>IF(OR($J231="",$B231=""),0,IF(YEAR($B231)*12+MONTH($B231)&lt;=YEAR($C$3)*12+MONTH($C$3)-1,$G231,0))</f>
        <v/>
      </c>
      <c r="P231" s="68">
        <f>$M231-$O231</f>
        <v/>
      </c>
      <c r="Q231" s="68">
        <f>($L231-$M231)-($N231-$O231)</f>
        <v/>
      </c>
      <c r="R231" s="68">
        <f>$L231-$N231</f>
        <v/>
      </c>
      <c r="S231" s="67">
        <f>"Finance invoice"</f>
        <v/>
      </c>
      <c r="T231" s="67">
        <f>"Revenue"</f>
        <v/>
      </c>
    </row>
    <row r="232">
      <c r="A232" s="65">
        <f>ROW()-5</f>
        <v/>
      </c>
      <c r="B232" s="66">
        <f>IFERROR(INDEX(tbl_Finance[Date],$A232),"")</f>
        <v/>
      </c>
      <c r="C232" s="67">
        <f>IFERROR(INDEX(tbl_Finance[Xero Invoice No],$A232),"")</f>
        <v/>
      </c>
      <c r="D232" s="67">
        <f>IFERROR(INDEX(tbl_Finance[Client],$A232),"")</f>
        <v/>
      </c>
      <c r="E232" s="67">
        <f>IFERROR(INDEX(tbl_Finance[Job Number],$A232),"")</f>
        <v/>
      </c>
      <c r="F232" s="67">
        <f>IFERROR(INDEX(tbl_Finance[Cost Centre],$A232),"")</f>
        <v/>
      </c>
      <c r="G232" s="68">
        <f>IFERROR(INDEX(tbl_Finance[Ex GST],$A232),"")</f>
        <v/>
      </c>
      <c r="H232" s="66">
        <f>IFERROR(INDEX(tbl_Finance[Defer Start],$A232),"")</f>
        <v/>
      </c>
      <c r="I232" s="66">
        <f>IFERROR(INDEX(tbl_Finance[Defer End],$A232),"")</f>
        <v/>
      </c>
      <c r="J232" s="65">
        <f>IF(OR($H232="",$I232="",$G232=""),"",MAX(1,(YEAR($I232)-YEAR($H232))*12+MONTH($I232)-MONTH($H232)+1))</f>
        <v/>
      </c>
      <c r="K232" s="68">
        <f>IF($J232="","",$G232/$J232)</f>
        <v/>
      </c>
      <c r="L232" s="68">
        <f>IF($J232="",0,$K232*MAX(0,MIN(YEAR($C$3)*12+MONTH($C$3),YEAR($I232)*12+MONTH($I232))-(YEAR($H232)*12+MONTH($H232))+1))</f>
        <v/>
      </c>
      <c r="M232" s="68">
        <f>IF($J232="",0,$K232*MAX(0,MIN(YEAR($C$3)*12+MONTH($C$3)-1,YEAR($I232)*12+MONTH($I232))-(YEAR($H232)*12+MONTH($H232))+1))</f>
        <v/>
      </c>
      <c r="N232" s="68">
        <f>IF(OR($J232="",$B232=""),0,IF(YEAR($B232)*12+MONTH($B232)&lt;=YEAR($C$3)*12+MONTH($C$3),$G232,0))</f>
        <v/>
      </c>
      <c r="O232" s="68">
        <f>IF(OR($J232="",$B232=""),0,IF(YEAR($B232)*12+MONTH($B232)&lt;=YEAR($C$3)*12+MONTH($C$3)-1,$G232,0))</f>
        <v/>
      </c>
      <c r="P232" s="68">
        <f>$M232-$O232</f>
        <v/>
      </c>
      <c r="Q232" s="68">
        <f>($L232-$M232)-($N232-$O232)</f>
        <v/>
      </c>
      <c r="R232" s="68">
        <f>$L232-$N232</f>
        <v/>
      </c>
      <c r="S232" s="67">
        <f>"Finance invoice"</f>
        <v/>
      </c>
      <c r="T232" s="67">
        <f>"Revenue"</f>
        <v/>
      </c>
    </row>
    <row r="233">
      <c r="A233" s="65">
        <f>ROW()-5</f>
        <v/>
      </c>
      <c r="B233" s="66">
        <f>IFERROR(INDEX(tbl_Finance[Date],$A233),"")</f>
        <v/>
      </c>
      <c r="C233" s="67">
        <f>IFERROR(INDEX(tbl_Finance[Xero Invoice No],$A233),"")</f>
        <v/>
      </c>
      <c r="D233" s="67">
        <f>IFERROR(INDEX(tbl_Finance[Client],$A233),"")</f>
        <v/>
      </c>
      <c r="E233" s="67">
        <f>IFERROR(INDEX(tbl_Finance[Job Number],$A233),"")</f>
        <v/>
      </c>
      <c r="F233" s="67">
        <f>IFERROR(INDEX(tbl_Finance[Cost Centre],$A233),"")</f>
        <v/>
      </c>
      <c r="G233" s="68">
        <f>IFERROR(INDEX(tbl_Finance[Ex GST],$A233),"")</f>
        <v/>
      </c>
      <c r="H233" s="66">
        <f>IFERROR(INDEX(tbl_Finance[Defer Start],$A233),"")</f>
        <v/>
      </c>
      <c r="I233" s="66">
        <f>IFERROR(INDEX(tbl_Finance[Defer End],$A233),"")</f>
        <v/>
      </c>
      <c r="J233" s="65">
        <f>IF(OR($H233="",$I233="",$G233=""),"",MAX(1,(YEAR($I233)-YEAR($H233))*12+MONTH($I233)-MONTH($H233)+1))</f>
        <v/>
      </c>
      <c r="K233" s="68">
        <f>IF($J233="","",$G233/$J233)</f>
        <v/>
      </c>
      <c r="L233" s="68">
        <f>IF($J233="",0,$K233*MAX(0,MIN(YEAR($C$3)*12+MONTH($C$3),YEAR($I233)*12+MONTH($I233))-(YEAR($H233)*12+MONTH($H233))+1))</f>
        <v/>
      </c>
      <c r="M233" s="68">
        <f>IF($J233="",0,$K233*MAX(0,MIN(YEAR($C$3)*12+MONTH($C$3)-1,YEAR($I233)*12+MONTH($I233))-(YEAR($H233)*12+MONTH($H233))+1))</f>
        <v/>
      </c>
      <c r="N233" s="68">
        <f>IF(OR($J233="",$B233=""),0,IF(YEAR($B233)*12+MONTH($B233)&lt;=YEAR($C$3)*12+MONTH($C$3),$G233,0))</f>
        <v/>
      </c>
      <c r="O233" s="68">
        <f>IF(OR($J233="",$B233=""),0,IF(YEAR($B233)*12+MONTH($B233)&lt;=YEAR($C$3)*12+MONTH($C$3)-1,$G233,0))</f>
        <v/>
      </c>
      <c r="P233" s="68">
        <f>$M233-$O233</f>
        <v/>
      </c>
      <c r="Q233" s="68">
        <f>($L233-$M233)-($N233-$O233)</f>
        <v/>
      </c>
      <c r="R233" s="68">
        <f>$L233-$N233</f>
        <v/>
      </c>
      <c r="S233" s="67">
        <f>"Finance invoice"</f>
        <v/>
      </c>
      <c r="T233" s="67">
        <f>"Revenue"</f>
        <v/>
      </c>
    </row>
    <row r="234">
      <c r="A234" s="65">
        <f>ROW()-5</f>
        <v/>
      </c>
      <c r="B234" s="66">
        <f>IFERROR(INDEX(tbl_Finance[Date],$A234),"")</f>
        <v/>
      </c>
      <c r="C234" s="67">
        <f>IFERROR(INDEX(tbl_Finance[Xero Invoice No],$A234),"")</f>
        <v/>
      </c>
      <c r="D234" s="67">
        <f>IFERROR(INDEX(tbl_Finance[Client],$A234),"")</f>
        <v/>
      </c>
      <c r="E234" s="67">
        <f>IFERROR(INDEX(tbl_Finance[Job Number],$A234),"")</f>
        <v/>
      </c>
      <c r="F234" s="67">
        <f>IFERROR(INDEX(tbl_Finance[Cost Centre],$A234),"")</f>
        <v/>
      </c>
      <c r="G234" s="68">
        <f>IFERROR(INDEX(tbl_Finance[Ex GST],$A234),"")</f>
        <v/>
      </c>
      <c r="H234" s="66">
        <f>IFERROR(INDEX(tbl_Finance[Defer Start],$A234),"")</f>
        <v/>
      </c>
      <c r="I234" s="66">
        <f>IFERROR(INDEX(tbl_Finance[Defer End],$A234),"")</f>
        <v/>
      </c>
      <c r="J234" s="65">
        <f>IF(OR($H234="",$I234="",$G234=""),"",MAX(1,(YEAR($I234)-YEAR($H234))*12+MONTH($I234)-MONTH($H234)+1))</f>
        <v/>
      </c>
      <c r="K234" s="68">
        <f>IF($J234="","",$G234/$J234)</f>
        <v/>
      </c>
      <c r="L234" s="68">
        <f>IF($J234="",0,$K234*MAX(0,MIN(YEAR($C$3)*12+MONTH($C$3),YEAR($I234)*12+MONTH($I234))-(YEAR($H234)*12+MONTH($H234))+1))</f>
        <v/>
      </c>
      <c r="M234" s="68">
        <f>IF($J234="",0,$K234*MAX(0,MIN(YEAR($C$3)*12+MONTH($C$3)-1,YEAR($I234)*12+MONTH($I234))-(YEAR($H234)*12+MONTH($H234))+1))</f>
        <v/>
      </c>
      <c r="N234" s="68">
        <f>IF(OR($J234="",$B234=""),0,IF(YEAR($B234)*12+MONTH($B234)&lt;=YEAR($C$3)*12+MONTH($C$3),$G234,0))</f>
        <v/>
      </c>
      <c r="O234" s="68">
        <f>IF(OR($J234="",$B234=""),0,IF(YEAR($B234)*12+MONTH($B234)&lt;=YEAR($C$3)*12+MONTH($C$3)-1,$G234,0))</f>
        <v/>
      </c>
      <c r="P234" s="68">
        <f>$M234-$O234</f>
        <v/>
      </c>
      <c r="Q234" s="68">
        <f>($L234-$M234)-($N234-$O234)</f>
        <v/>
      </c>
      <c r="R234" s="68">
        <f>$L234-$N234</f>
        <v/>
      </c>
      <c r="S234" s="67">
        <f>"Finance invoice"</f>
        <v/>
      </c>
      <c r="T234" s="67">
        <f>"Revenue"</f>
        <v/>
      </c>
    </row>
    <row r="235">
      <c r="A235" s="65">
        <f>ROW()-5</f>
        <v/>
      </c>
      <c r="B235" s="66">
        <f>IFERROR(INDEX(tbl_Finance[Date],$A235),"")</f>
        <v/>
      </c>
      <c r="C235" s="67">
        <f>IFERROR(INDEX(tbl_Finance[Xero Invoice No],$A235),"")</f>
        <v/>
      </c>
      <c r="D235" s="67">
        <f>IFERROR(INDEX(tbl_Finance[Client],$A235),"")</f>
        <v/>
      </c>
      <c r="E235" s="67">
        <f>IFERROR(INDEX(tbl_Finance[Job Number],$A235),"")</f>
        <v/>
      </c>
      <c r="F235" s="67">
        <f>IFERROR(INDEX(tbl_Finance[Cost Centre],$A235),"")</f>
        <v/>
      </c>
      <c r="G235" s="68">
        <f>IFERROR(INDEX(tbl_Finance[Ex GST],$A235),"")</f>
        <v/>
      </c>
      <c r="H235" s="66">
        <f>IFERROR(INDEX(tbl_Finance[Defer Start],$A235),"")</f>
        <v/>
      </c>
      <c r="I235" s="66">
        <f>IFERROR(INDEX(tbl_Finance[Defer End],$A235),"")</f>
        <v/>
      </c>
      <c r="J235" s="65">
        <f>IF(OR($H235="",$I235="",$G235=""),"",MAX(1,(YEAR($I235)-YEAR($H235))*12+MONTH($I235)-MONTH($H235)+1))</f>
        <v/>
      </c>
      <c r="K235" s="68">
        <f>IF($J235="","",$G235/$J235)</f>
        <v/>
      </c>
      <c r="L235" s="68">
        <f>IF($J235="",0,$K235*MAX(0,MIN(YEAR($C$3)*12+MONTH($C$3),YEAR($I235)*12+MONTH($I235))-(YEAR($H235)*12+MONTH($H235))+1))</f>
        <v/>
      </c>
      <c r="M235" s="68">
        <f>IF($J235="",0,$K235*MAX(0,MIN(YEAR($C$3)*12+MONTH($C$3)-1,YEAR($I235)*12+MONTH($I235))-(YEAR($H235)*12+MONTH($H235))+1))</f>
        <v/>
      </c>
      <c r="N235" s="68">
        <f>IF(OR($J235="",$B235=""),0,IF(YEAR($B235)*12+MONTH($B235)&lt;=YEAR($C$3)*12+MONTH($C$3),$G235,0))</f>
        <v/>
      </c>
      <c r="O235" s="68">
        <f>IF(OR($J235="",$B235=""),0,IF(YEAR($B235)*12+MONTH($B235)&lt;=YEAR($C$3)*12+MONTH($C$3)-1,$G235,0))</f>
        <v/>
      </c>
      <c r="P235" s="68">
        <f>$M235-$O235</f>
        <v/>
      </c>
      <c r="Q235" s="68">
        <f>($L235-$M235)-($N235-$O235)</f>
        <v/>
      </c>
      <c r="R235" s="68">
        <f>$L235-$N235</f>
        <v/>
      </c>
      <c r="S235" s="67">
        <f>"Finance invoice"</f>
        <v/>
      </c>
      <c r="T235" s="67">
        <f>"Revenue"</f>
        <v/>
      </c>
    </row>
    <row r="236">
      <c r="A236" s="65">
        <f>ROW()-5</f>
        <v/>
      </c>
      <c r="B236" s="66">
        <f>IFERROR(INDEX(tbl_Finance[Date],$A236),"")</f>
        <v/>
      </c>
      <c r="C236" s="67">
        <f>IFERROR(INDEX(tbl_Finance[Xero Invoice No],$A236),"")</f>
        <v/>
      </c>
      <c r="D236" s="67">
        <f>IFERROR(INDEX(tbl_Finance[Client],$A236),"")</f>
        <v/>
      </c>
      <c r="E236" s="67">
        <f>IFERROR(INDEX(tbl_Finance[Job Number],$A236),"")</f>
        <v/>
      </c>
      <c r="F236" s="67">
        <f>IFERROR(INDEX(tbl_Finance[Cost Centre],$A236),"")</f>
        <v/>
      </c>
      <c r="G236" s="68">
        <f>IFERROR(INDEX(tbl_Finance[Ex GST],$A236),"")</f>
        <v/>
      </c>
      <c r="H236" s="66">
        <f>IFERROR(INDEX(tbl_Finance[Defer Start],$A236),"")</f>
        <v/>
      </c>
      <c r="I236" s="66">
        <f>IFERROR(INDEX(tbl_Finance[Defer End],$A236),"")</f>
        <v/>
      </c>
      <c r="J236" s="65">
        <f>IF(OR($H236="",$I236="",$G236=""),"",MAX(1,(YEAR($I236)-YEAR($H236))*12+MONTH($I236)-MONTH($H236)+1))</f>
        <v/>
      </c>
      <c r="K236" s="68">
        <f>IF($J236="","",$G236/$J236)</f>
        <v/>
      </c>
      <c r="L236" s="68">
        <f>IF($J236="",0,$K236*MAX(0,MIN(YEAR($C$3)*12+MONTH($C$3),YEAR($I236)*12+MONTH($I236))-(YEAR($H236)*12+MONTH($H236))+1))</f>
        <v/>
      </c>
      <c r="M236" s="68">
        <f>IF($J236="",0,$K236*MAX(0,MIN(YEAR($C$3)*12+MONTH($C$3)-1,YEAR($I236)*12+MONTH($I236))-(YEAR($H236)*12+MONTH($H236))+1))</f>
        <v/>
      </c>
      <c r="N236" s="68">
        <f>IF(OR($J236="",$B236=""),0,IF(YEAR($B236)*12+MONTH($B236)&lt;=YEAR($C$3)*12+MONTH($C$3),$G236,0))</f>
        <v/>
      </c>
      <c r="O236" s="68">
        <f>IF(OR($J236="",$B236=""),0,IF(YEAR($B236)*12+MONTH($B236)&lt;=YEAR($C$3)*12+MONTH($C$3)-1,$G236,0))</f>
        <v/>
      </c>
      <c r="P236" s="68">
        <f>$M236-$O236</f>
        <v/>
      </c>
      <c r="Q236" s="68">
        <f>($L236-$M236)-($N236-$O236)</f>
        <v/>
      </c>
      <c r="R236" s="68">
        <f>$L236-$N236</f>
        <v/>
      </c>
      <c r="S236" s="67">
        <f>"Finance invoice"</f>
        <v/>
      </c>
      <c r="T236" s="67">
        <f>"Revenue"</f>
        <v/>
      </c>
    </row>
    <row r="237">
      <c r="A237" s="65">
        <f>ROW()-5</f>
        <v/>
      </c>
      <c r="B237" s="66">
        <f>IFERROR(INDEX(tbl_Finance[Date],$A237),"")</f>
        <v/>
      </c>
      <c r="C237" s="67">
        <f>IFERROR(INDEX(tbl_Finance[Xero Invoice No],$A237),"")</f>
        <v/>
      </c>
      <c r="D237" s="67">
        <f>IFERROR(INDEX(tbl_Finance[Client],$A237),"")</f>
        <v/>
      </c>
      <c r="E237" s="67">
        <f>IFERROR(INDEX(tbl_Finance[Job Number],$A237),"")</f>
        <v/>
      </c>
      <c r="F237" s="67">
        <f>IFERROR(INDEX(tbl_Finance[Cost Centre],$A237),"")</f>
        <v/>
      </c>
      <c r="G237" s="68">
        <f>IFERROR(INDEX(tbl_Finance[Ex GST],$A237),"")</f>
        <v/>
      </c>
      <c r="H237" s="66">
        <f>IFERROR(INDEX(tbl_Finance[Defer Start],$A237),"")</f>
        <v/>
      </c>
      <c r="I237" s="66">
        <f>IFERROR(INDEX(tbl_Finance[Defer End],$A237),"")</f>
        <v/>
      </c>
      <c r="J237" s="65">
        <f>IF(OR($H237="",$I237="",$G237=""),"",MAX(1,(YEAR($I237)-YEAR($H237))*12+MONTH($I237)-MONTH($H237)+1))</f>
        <v/>
      </c>
      <c r="K237" s="68">
        <f>IF($J237="","",$G237/$J237)</f>
        <v/>
      </c>
      <c r="L237" s="68">
        <f>IF($J237="",0,$K237*MAX(0,MIN(YEAR($C$3)*12+MONTH($C$3),YEAR($I237)*12+MONTH($I237))-(YEAR($H237)*12+MONTH($H237))+1))</f>
        <v/>
      </c>
      <c r="M237" s="68">
        <f>IF($J237="",0,$K237*MAX(0,MIN(YEAR($C$3)*12+MONTH($C$3)-1,YEAR($I237)*12+MONTH($I237))-(YEAR($H237)*12+MONTH($H237))+1))</f>
        <v/>
      </c>
      <c r="N237" s="68">
        <f>IF(OR($J237="",$B237=""),0,IF(YEAR($B237)*12+MONTH($B237)&lt;=YEAR($C$3)*12+MONTH($C$3),$G237,0))</f>
        <v/>
      </c>
      <c r="O237" s="68">
        <f>IF(OR($J237="",$B237=""),0,IF(YEAR($B237)*12+MONTH($B237)&lt;=YEAR($C$3)*12+MONTH($C$3)-1,$G237,0))</f>
        <v/>
      </c>
      <c r="P237" s="68">
        <f>$M237-$O237</f>
        <v/>
      </c>
      <c r="Q237" s="68">
        <f>($L237-$M237)-($N237-$O237)</f>
        <v/>
      </c>
      <c r="R237" s="68">
        <f>$L237-$N237</f>
        <v/>
      </c>
      <c r="S237" s="67">
        <f>"Finance invoice"</f>
        <v/>
      </c>
      <c r="T237" s="67">
        <f>"Revenue"</f>
        <v/>
      </c>
    </row>
    <row r="238">
      <c r="A238" s="65">
        <f>ROW()-5</f>
        <v/>
      </c>
      <c r="B238" s="66">
        <f>IFERROR(INDEX(tbl_Finance[Date],$A238),"")</f>
        <v/>
      </c>
      <c r="C238" s="67">
        <f>IFERROR(INDEX(tbl_Finance[Xero Invoice No],$A238),"")</f>
        <v/>
      </c>
      <c r="D238" s="67">
        <f>IFERROR(INDEX(tbl_Finance[Client],$A238),"")</f>
        <v/>
      </c>
      <c r="E238" s="67">
        <f>IFERROR(INDEX(tbl_Finance[Job Number],$A238),"")</f>
        <v/>
      </c>
      <c r="F238" s="67">
        <f>IFERROR(INDEX(tbl_Finance[Cost Centre],$A238),"")</f>
        <v/>
      </c>
      <c r="G238" s="68">
        <f>IFERROR(INDEX(tbl_Finance[Ex GST],$A238),"")</f>
        <v/>
      </c>
      <c r="H238" s="66">
        <f>IFERROR(INDEX(tbl_Finance[Defer Start],$A238),"")</f>
        <v/>
      </c>
      <c r="I238" s="66">
        <f>IFERROR(INDEX(tbl_Finance[Defer End],$A238),"")</f>
        <v/>
      </c>
      <c r="J238" s="65">
        <f>IF(OR($H238="",$I238="",$G238=""),"",MAX(1,(YEAR($I238)-YEAR($H238))*12+MONTH($I238)-MONTH($H238)+1))</f>
        <v/>
      </c>
      <c r="K238" s="68">
        <f>IF($J238="","",$G238/$J238)</f>
        <v/>
      </c>
      <c r="L238" s="68">
        <f>IF($J238="",0,$K238*MAX(0,MIN(YEAR($C$3)*12+MONTH($C$3),YEAR($I238)*12+MONTH($I238))-(YEAR($H238)*12+MONTH($H238))+1))</f>
        <v/>
      </c>
      <c r="M238" s="68">
        <f>IF($J238="",0,$K238*MAX(0,MIN(YEAR($C$3)*12+MONTH($C$3)-1,YEAR($I238)*12+MONTH($I238))-(YEAR($H238)*12+MONTH($H238))+1))</f>
        <v/>
      </c>
      <c r="N238" s="68">
        <f>IF(OR($J238="",$B238=""),0,IF(YEAR($B238)*12+MONTH($B238)&lt;=YEAR($C$3)*12+MONTH($C$3),$G238,0))</f>
        <v/>
      </c>
      <c r="O238" s="68">
        <f>IF(OR($J238="",$B238=""),0,IF(YEAR($B238)*12+MONTH($B238)&lt;=YEAR($C$3)*12+MONTH($C$3)-1,$G238,0))</f>
        <v/>
      </c>
      <c r="P238" s="68">
        <f>$M238-$O238</f>
        <v/>
      </c>
      <c r="Q238" s="68">
        <f>($L238-$M238)-($N238-$O238)</f>
        <v/>
      </c>
      <c r="R238" s="68">
        <f>$L238-$N238</f>
        <v/>
      </c>
      <c r="S238" s="67">
        <f>"Finance invoice"</f>
        <v/>
      </c>
      <c r="T238" s="67">
        <f>"Revenue"</f>
        <v/>
      </c>
    </row>
    <row r="239">
      <c r="A239" s="65">
        <f>ROW()-5</f>
        <v/>
      </c>
      <c r="B239" s="66">
        <f>IFERROR(INDEX(tbl_Finance[Date],$A239),"")</f>
        <v/>
      </c>
      <c r="C239" s="67">
        <f>IFERROR(INDEX(tbl_Finance[Xero Invoice No],$A239),"")</f>
        <v/>
      </c>
      <c r="D239" s="67">
        <f>IFERROR(INDEX(tbl_Finance[Client],$A239),"")</f>
        <v/>
      </c>
      <c r="E239" s="67">
        <f>IFERROR(INDEX(tbl_Finance[Job Number],$A239),"")</f>
        <v/>
      </c>
      <c r="F239" s="67">
        <f>IFERROR(INDEX(tbl_Finance[Cost Centre],$A239),"")</f>
        <v/>
      </c>
      <c r="G239" s="68">
        <f>IFERROR(INDEX(tbl_Finance[Ex GST],$A239),"")</f>
        <v/>
      </c>
      <c r="H239" s="66">
        <f>IFERROR(INDEX(tbl_Finance[Defer Start],$A239),"")</f>
        <v/>
      </c>
      <c r="I239" s="66">
        <f>IFERROR(INDEX(tbl_Finance[Defer End],$A239),"")</f>
        <v/>
      </c>
      <c r="J239" s="65">
        <f>IF(OR($H239="",$I239="",$G239=""),"",MAX(1,(YEAR($I239)-YEAR($H239))*12+MONTH($I239)-MONTH($H239)+1))</f>
        <v/>
      </c>
      <c r="K239" s="68">
        <f>IF($J239="","",$G239/$J239)</f>
        <v/>
      </c>
      <c r="L239" s="68">
        <f>IF($J239="",0,$K239*MAX(0,MIN(YEAR($C$3)*12+MONTH($C$3),YEAR($I239)*12+MONTH($I239))-(YEAR($H239)*12+MONTH($H239))+1))</f>
        <v/>
      </c>
      <c r="M239" s="68">
        <f>IF($J239="",0,$K239*MAX(0,MIN(YEAR($C$3)*12+MONTH($C$3)-1,YEAR($I239)*12+MONTH($I239))-(YEAR($H239)*12+MONTH($H239))+1))</f>
        <v/>
      </c>
      <c r="N239" s="68">
        <f>IF(OR($J239="",$B239=""),0,IF(YEAR($B239)*12+MONTH($B239)&lt;=YEAR($C$3)*12+MONTH($C$3),$G239,0))</f>
        <v/>
      </c>
      <c r="O239" s="68">
        <f>IF(OR($J239="",$B239=""),0,IF(YEAR($B239)*12+MONTH($B239)&lt;=YEAR($C$3)*12+MONTH($C$3)-1,$G239,0))</f>
        <v/>
      </c>
      <c r="P239" s="68">
        <f>$M239-$O239</f>
        <v/>
      </c>
      <c r="Q239" s="68">
        <f>($L239-$M239)-($N239-$O239)</f>
        <v/>
      </c>
      <c r="R239" s="68">
        <f>$L239-$N239</f>
        <v/>
      </c>
      <c r="S239" s="67">
        <f>"Finance invoice"</f>
        <v/>
      </c>
      <c r="T239" s="67">
        <f>"Revenue"</f>
        <v/>
      </c>
    </row>
    <row r="240">
      <c r="A240" s="65">
        <f>ROW()-5</f>
        <v/>
      </c>
      <c r="B240" s="66">
        <f>IFERROR(INDEX(tbl_Finance[Date],$A240),"")</f>
        <v/>
      </c>
      <c r="C240" s="67">
        <f>IFERROR(INDEX(tbl_Finance[Xero Invoice No],$A240),"")</f>
        <v/>
      </c>
      <c r="D240" s="67">
        <f>IFERROR(INDEX(tbl_Finance[Client],$A240),"")</f>
        <v/>
      </c>
      <c r="E240" s="67">
        <f>IFERROR(INDEX(tbl_Finance[Job Number],$A240),"")</f>
        <v/>
      </c>
      <c r="F240" s="67">
        <f>IFERROR(INDEX(tbl_Finance[Cost Centre],$A240),"")</f>
        <v/>
      </c>
      <c r="G240" s="68">
        <f>IFERROR(INDEX(tbl_Finance[Ex GST],$A240),"")</f>
        <v/>
      </c>
      <c r="H240" s="66">
        <f>IFERROR(INDEX(tbl_Finance[Defer Start],$A240),"")</f>
        <v/>
      </c>
      <c r="I240" s="66">
        <f>IFERROR(INDEX(tbl_Finance[Defer End],$A240),"")</f>
        <v/>
      </c>
      <c r="J240" s="65">
        <f>IF(OR($H240="",$I240="",$G240=""),"",MAX(1,(YEAR($I240)-YEAR($H240))*12+MONTH($I240)-MONTH($H240)+1))</f>
        <v/>
      </c>
      <c r="K240" s="68">
        <f>IF($J240="","",$G240/$J240)</f>
        <v/>
      </c>
      <c r="L240" s="68">
        <f>IF($J240="",0,$K240*MAX(0,MIN(YEAR($C$3)*12+MONTH($C$3),YEAR($I240)*12+MONTH($I240))-(YEAR($H240)*12+MONTH($H240))+1))</f>
        <v/>
      </c>
      <c r="M240" s="68">
        <f>IF($J240="",0,$K240*MAX(0,MIN(YEAR($C$3)*12+MONTH($C$3)-1,YEAR($I240)*12+MONTH($I240))-(YEAR($H240)*12+MONTH($H240))+1))</f>
        <v/>
      </c>
      <c r="N240" s="68">
        <f>IF(OR($J240="",$B240=""),0,IF(YEAR($B240)*12+MONTH($B240)&lt;=YEAR($C$3)*12+MONTH($C$3),$G240,0))</f>
        <v/>
      </c>
      <c r="O240" s="68">
        <f>IF(OR($J240="",$B240=""),0,IF(YEAR($B240)*12+MONTH($B240)&lt;=YEAR($C$3)*12+MONTH($C$3)-1,$G240,0))</f>
        <v/>
      </c>
      <c r="P240" s="68">
        <f>$M240-$O240</f>
        <v/>
      </c>
      <c r="Q240" s="68">
        <f>($L240-$M240)-($N240-$O240)</f>
        <v/>
      </c>
      <c r="R240" s="68">
        <f>$L240-$N240</f>
        <v/>
      </c>
      <c r="S240" s="67">
        <f>"Finance invoice"</f>
        <v/>
      </c>
      <c r="T240" s="67">
        <f>"Revenue"</f>
        <v/>
      </c>
    </row>
    <row r="241">
      <c r="A241" s="65">
        <f>ROW()-5</f>
        <v/>
      </c>
      <c r="B241" s="66">
        <f>IFERROR(INDEX(tbl_Finance[Date],$A241),"")</f>
        <v/>
      </c>
      <c r="C241" s="67">
        <f>IFERROR(INDEX(tbl_Finance[Xero Invoice No],$A241),"")</f>
        <v/>
      </c>
      <c r="D241" s="67">
        <f>IFERROR(INDEX(tbl_Finance[Client],$A241),"")</f>
        <v/>
      </c>
      <c r="E241" s="67">
        <f>IFERROR(INDEX(tbl_Finance[Job Number],$A241),"")</f>
        <v/>
      </c>
      <c r="F241" s="67">
        <f>IFERROR(INDEX(tbl_Finance[Cost Centre],$A241),"")</f>
        <v/>
      </c>
      <c r="G241" s="68">
        <f>IFERROR(INDEX(tbl_Finance[Ex GST],$A241),"")</f>
        <v/>
      </c>
      <c r="H241" s="66">
        <f>IFERROR(INDEX(tbl_Finance[Defer Start],$A241),"")</f>
        <v/>
      </c>
      <c r="I241" s="66">
        <f>IFERROR(INDEX(tbl_Finance[Defer End],$A241),"")</f>
        <v/>
      </c>
      <c r="J241" s="65">
        <f>IF(OR($H241="",$I241="",$G241=""),"",MAX(1,(YEAR($I241)-YEAR($H241))*12+MONTH($I241)-MONTH($H241)+1))</f>
        <v/>
      </c>
      <c r="K241" s="68">
        <f>IF($J241="","",$G241/$J241)</f>
        <v/>
      </c>
      <c r="L241" s="68">
        <f>IF($J241="",0,$K241*MAX(0,MIN(YEAR($C$3)*12+MONTH($C$3),YEAR($I241)*12+MONTH($I241))-(YEAR($H241)*12+MONTH($H241))+1))</f>
        <v/>
      </c>
      <c r="M241" s="68">
        <f>IF($J241="",0,$K241*MAX(0,MIN(YEAR($C$3)*12+MONTH($C$3)-1,YEAR($I241)*12+MONTH($I241))-(YEAR($H241)*12+MONTH($H241))+1))</f>
        <v/>
      </c>
      <c r="N241" s="68">
        <f>IF(OR($J241="",$B241=""),0,IF(YEAR($B241)*12+MONTH($B241)&lt;=YEAR($C$3)*12+MONTH($C$3),$G241,0))</f>
        <v/>
      </c>
      <c r="O241" s="68">
        <f>IF(OR($J241="",$B241=""),0,IF(YEAR($B241)*12+MONTH($B241)&lt;=YEAR($C$3)*12+MONTH($C$3)-1,$G241,0))</f>
        <v/>
      </c>
      <c r="P241" s="68">
        <f>$M241-$O241</f>
        <v/>
      </c>
      <c r="Q241" s="68">
        <f>($L241-$M241)-($N241-$O241)</f>
        <v/>
      </c>
      <c r="R241" s="68">
        <f>$L241-$N241</f>
        <v/>
      </c>
      <c r="S241" s="67">
        <f>"Finance invoice"</f>
        <v/>
      </c>
      <c r="T241" s="67">
        <f>"Revenue"</f>
        <v/>
      </c>
    </row>
    <row r="242">
      <c r="A242" s="65">
        <f>ROW()-5</f>
        <v/>
      </c>
      <c r="B242" s="66">
        <f>IFERROR(INDEX(tbl_Finance[Date],$A242),"")</f>
        <v/>
      </c>
      <c r="C242" s="67">
        <f>IFERROR(INDEX(tbl_Finance[Xero Invoice No],$A242),"")</f>
        <v/>
      </c>
      <c r="D242" s="67">
        <f>IFERROR(INDEX(tbl_Finance[Client],$A242),"")</f>
        <v/>
      </c>
      <c r="E242" s="67">
        <f>IFERROR(INDEX(tbl_Finance[Job Number],$A242),"")</f>
        <v/>
      </c>
      <c r="F242" s="67">
        <f>IFERROR(INDEX(tbl_Finance[Cost Centre],$A242),"")</f>
        <v/>
      </c>
      <c r="G242" s="68">
        <f>IFERROR(INDEX(tbl_Finance[Ex GST],$A242),"")</f>
        <v/>
      </c>
      <c r="H242" s="66">
        <f>IFERROR(INDEX(tbl_Finance[Defer Start],$A242),"")</f>
        <v/>
      </c>
      <c r="I242" s="66">
        <f>IFERROR(INDEX(tbl_Finance[Defer End],$A242),"")</f>
        <v/>
      </c>
      <c r="J242" s="65">
        <f>IF(OR($H242="",$I242="",$G242=""),"",MAX(1,(YEAR($I242)-YEAR($H242))*12+MONTH($I242)-MONTH($H242)+1))</f>
        <v/>
      </c>
      <c r="K242" s="68">
        <f>IF($J242="","",$G242/$J242)</f>
        <v/>
      </c>
      <c r="L242" s="68">
        <f>IF($J242="",0,$K242*MAX(0,MIN(YEAR($C$3)*12+MONTH($C$3),YEAR($I242)*12+MONTH($I242))-(YEAR($H242)*12+MONTH($H242))+1))</f>
        <v/>
      </c>
      <c r="M242" s="68">
        <f>IF($J242="",0,$K242*MAX(0,MIN(YEAR($C$3)*12+MONTH($C$3)-1,YEAR($I242)*12+MONTH($I242))-(YEAR($H242)*12+MONTH($H242))+1))</f>
        <v/>
      </c>
      <c r="N242" s="68">
        <f>IF(OR($J242="",$B242=""),0,IF(YEAR($B242)*12+MONTH($B242)&lt;=YEAR($C$3)*12+MONTH($C$3),$G242,0))</f>
        <v/>
      </c>
      <c r="O242" s="68">
        <f>IF(OR($J242="",$B242=""),0,IF(YEAR($B242)*12+MONTH($B242)&lt;=YEAR($C$3)*12+MONTH($C$3)-1,$G242,0))</f>
        <v/>
      </c>
      <c r="P242" s="68">
        <f>$M242-$O242</f>
        <v/>
      </c>
      <c r="Q242" s="68">
        <f>($L242-$M242)-($N242-$O242)</f>
        <v/>
      </c>
      <c r="R242" s="68">
        <f>$L242-$N242</f>
        <v/>
      </c>
      <c r="S242" s="67">
        <f>"Finance invoice"</f>
        <v/>
      </c>
      <c r="T242" s="67">
        <f>"Revenue"</f>
        <v/>
      </c>
    </row>
    <row r="243">
      <c r="A243" s="65">
        <f>ROW()-5</f>
        <v/>
      </c>
      <c r="B243" s="66">
        <f>IFERROR(INDEX(tbl_Finance[Date],$A243),"")</f>
        <v/>
      </c>
      <c r="C243" s="67">
        <f>IFERROR(INDEX(tbl_Finance[Xero Invoice No],$A243),"")</f>
        <v/>
      </c>
      <c r="D243" s="67">
        <f>IFERROR(INDEX(tbl_Finance[Client],$A243),"")</f>
        <v/>
      </c>
      <c r="E243" s="67">
        <f>IFERROR(INDEX(tbl_Finance[Job Number],$A243),"")</f>
        <v/>
      </c>
      <c r="F243" s="67">
        <f>IFERROR(INDEX(tbl_Finance[Cost Centre],$A243),"")</f>
        <v/>
      </c>
      <c r="G243" s="68">
        <f>IFERROR(INDEX(tbl_Finance[Ex GST],$A243),"")</f>
        <v/>
      </c>
      <c r="H243" s="66">
        <f>IFERROR(INDEX(tbl_Finance[Defer Start],$A243),"")</f>
        <v/>
      </c>
      <c r="I243" s="66">
        <f>IFERROR(INDEX(tbl_Finance[Defer End],$A243),"")</f>
        <v/>
      </c>
      <c r="J243" s="65">
        <f>IF(OR($H243="",$I243="",$G243=""),"",MAX(1,(YEAR($I243)-YEAR($H243))*12+MONTH($I243)-MONTH($H243)+1))</f>
        <v/>
      </c>
      <c r="K243" s="68">
        <f>IF($J243="","",$G243/$J243)</f>
        <v/>
      </c>
      <c r="L243" s="68">
        <f>IF($J243="",0,$K243*MAX(0,MIN(YEAR($C$3)*12+MONTH($C$3),YEAR($I243)*12+MONTH($I243))-(YEAR($H243)*12+MONTH($H243))+1))</f>
        <v/>
      </c>
      <c r="M243" s="68">
        <f>IF($J243="",0,$K243*MAX(0,MIN(YEAR($C$3)*12+MONTH($C$3)-1,YEAR($I243)*12+MONTH($I243))-(YEAR($H243)*12+MONTH($H243))+1))</f>
        <v/>
      </c>
      <c r="N243" s="68">
        <f>IF(OR($J243="",$B243=""),0,IF(YEAR($B243)*12+MONTH($B243)&lt;=YEAR($C$3)*12+MONTH($C$3),$G243,0))</f>
        <v/>
      </c>
      <c r="O243" s="68">
        <f>IF(OR($J243="",$B243=""),0,IF(YEAR($B243)*12+MONTH($B243)&lt;=YEAR($C$3)*12+MONTH($C$3)-1,$G243,0))</f>
        <v/>
      </c>
      <c r="P243" s="68">
        <f>$M243-$O243</f>
        <v/>
      </c>
      <c r="Q243" s="68">
        <f>($L243-$M243)-($N243-$O243)</f>
        <v/>
      </c>
      <c r="R243" s="68">
        <f>$L243-$N243</f>
        <v/>
      </c>
      <c r="S243" s="67">
        <f>"Finance invoice"</f>
        <v/>
      </c>
      <c r="T243" s="67">
        <f>"Revenue"</f>
        <v/>
      </c>
    </row>
    <row r="244">
      <c r="A244" s="65">
        <f>ROW()-5</f>
        <v/>
      </c>
      <c r="B244" s="66">
        <f>IFERROR(INDEX(tbl_Finance[Date],$A244),"")</f>
        <v/>
      </c>
      <c r="C244" s="67">
        <f>IFERROR(INDEX(tbl_Finance[Xero Invoice No],$A244),"")</f>
        <v/>
      </c>
      <c r="D244" s="67">
        <f>IFERROR(INDEX(tbl_Finance[Client],$A244),"")</f>
        <v/>
      </c>
      <c r="E244" s="67">
        <f>IFERROR(INDEX(tbl_Finance[Job Number],$A244),"")</f>
        <v/>
      </c>
      <c r="F244" s="67">
        <f>IFERROR(INDEX(tbl_Finance[Cost Centre],$A244),"")</f>
        <v/>
      </c>
      <c r="G244" s="68">
        <f>IFERROR(INDEX(tbl_Finance[Ex GST],$A244),"")</f>
        <v/>
      </c>
      <c r="H244" s="66">
        <f>IFERROR(INDEX(tbl_Finance[Defer Start],$A244),"")</f>
        <v/>
      </c>
      <c r="I244" s="66">
        <f>IFERROR(INDEX(tbl_Finance[Defer End],$A244),"")</f>
        <v/>
      </c>
      <c r="J244" s="65">
        <f>IF(OR($H244="",$I244="",$G244=""),"",MAX(1,(YEAR($I244)-YEAR($H244))*12+MONTH($I244)-MONTH($H244)+1))</f>
        <v/>
      </c>
      <c r="K244" s="68">
        <f>IF($J244="","",$G244/$J244)</f>
        <v/>
      </c>
      <c r="L244" s="68">
        <f>IF($J244="",0,$K244*MAX(0,MIN(YEAR($C$3)*12+MONTH($C$3),YEAR($I244)*12+MONTH($I244))-(YEAR($H244)*12+MONTH($H244))+1))</f>
        <v/>
      </c>
      <c r="M244" s="68">
        <f>IF($J244="",0,$K244*MAX(0,MIN(YEAR($C$3)*12+MONTH($C$3)-1,YEAR($I244)*12+MONTH($I244))-(YEAR($H244)*12+MONTH($H244))+1))</f>
        <v/>
      </c>
      <c r="N244" s="68">
        <f>IF(OR($J244="",$B244=""),0,IF(YEAR($B244)*12+MONTH($B244)&lt;=YEAR($C$3)*12+MONTH($C$3),$G244,0))</f>
        <v/>
      </c>
      <c r="O244" s="68">
        <f>IF(OR($J244="",$B244=""),0,IF(YEAR($B244)*12+MONTH($B244)&lt;=YEAR($C$3)*12+MONTH($C$3)-1,$G244,0))</f>
        <v/>
      </c>
      <c r="P244" s="68">
        <f>$M244-$O244</f>
        <v/>
      </c>
      <c r="Q244" s="68">
        <f>($L244-$M244)-($N244-$O244)</f>
        <v/>
      </c>
      <c r="R244" s="68">
        <f>$L244-$N244</f>
        <v/>
      </c>
      <c r="S244" s="67">
        <f>"Finance invoice"</f>
        <v/>
      </c>
      <c r="T244" s="67">
        <f>"Revenue"</f>
        <v/>
      </c>
    </row>
    <row r="245">
      <c r="A245" s="65">
        <f>ROW()-5</f>
        <v/>
      </c>
      <c r="B245" s="66">
        <f>IFERROR(INDEX(tbl_Finance[Date],$A245),"")</f>
        <v/>
      </c>
      <c r="C245" s="67">
        <f>IFERROR(INDEX(tbl_Finance[Xero Invoice No],$A245),"")</f>
        <v/>
      </c>
      <c r="D245" s="67">
        <f>IFERROR(INDEX(tbl_Finance[Client],$A245),"")</f>
        <v/>
      </c>
      <c r="E245" s="67">
        <f>IFERROR(INDEX(tbl_Finance[Job Number],$A245),"")</f>
        <v/>
      </c>
      <c r="F245" s="67">
        <f>IFERROR(INDEX(tbl_Finance[Cost Centre],$A245),"")</f>
        <v/>
      </c>
      <c r="G245" s="68">
        <f>IFERROR(INDEX(tbl_Finance[Ex GST],$A245),"")</f>
        <v/>
      </c>
      <c r="H245" s="66">
        <f>IFERROR(INDEX(tbl_Finance[Defer Start],$A245),"")</f>
        <v/>
      </c>
      <c r="I245" s="66">
        <f>IFERROR(INDEX(tbl_Finance[Defer End],$A245),"")</f>
        <v/>
      </c>
      <c r="J245" s="65">
        <f>IF(OR($H245="",$I245="",$G245=""),"",MAX(1,(YEAR($I245)-YEAR($H245))*12+MONTH($I245)-MONTH($H245)+1))</f>
        <v/>
      </c>
      <c r="K245" s="68">
        <f>IF($J245="","",$G245/$J245)</f>
        <v/>
      </c>
      <c r="L245" s="68">
        <f>IF($J245="",0,$K245*MAX(0,MIN(YEAR($C$3)*12+MONTH($C$3),YEAR($I245)*12+MONTH($I245))-(YEAR($H245)*12+MONTH($H245))+1))</f>
        <v/>
      </c>
      <c r="M245" s="68">
        <f>IF($J245="",0,$K245*MAX(0,MIN(YEAR($C$3)*12+MONTH($C$3)-1,YEAR($I245)*12+MONTH($I245))-(YEAR($H245)*12+MONTH($H245))+1))</f>
        <v/>
      </c>
      <c r="N245" s="68">
        <f>IF(OR($J245="",$B245=""),0,IF(YEAR($B245)*12+MONTH($B245)&lt;=YEAR($C$3)*12+MONTH($C$3),$G245,0))</f>
        <v/>
      </c>
      <c r="O245" s="68">
        <f>IF(OR($J245="",$B245=""),0,IF(YEAR($B245)*12+MONTH($B245)&lt;=YEAR($C$3)*12+MONTH($C$3)-1,$G245,0))</f>
        <v/>
      </c>
      <c r="P245" s="68">
        <f>$M245-$O245</f>
        <v/>
      </c>
      <c r="Q245" s="68">
        <f>($L245-$M245)-($N245-$O245)</f>
        <v/>
      </c>
      <c r="R245" s="68">
        <f>$L245-$N245</f>
        <v/>
      </c>
      <c r="S245" s="67">
        <f>"Finance invoice"</f>
        <v/>
      </c>
      <c r="T245" s="67">
        <f>"Revenue"</f>
        <v/>
      </c>
    </row>
    <row r="246">
      <c r="A246" s="65">
        <f>ROW()-5</f>
        <v/>
      </c>
      <c r="B246" s="66">
        <f>IFERROR(INDEX(tbl_Finance[Date],$A246),"")</f>
        <v/>
      </c>
      <c r="C246" s="67">
        <f>IFERROR(INDEX(tbl_Finance[Xero Invoice No],$A246),"")</f>
        <v/>
      </c>
      <c r="D246" s="67">
        <f>IFERROR(INDEX(tbl_Finance[Client],$A246),"")</f>
        <v/>
      </c>
      <c r="E246" s="67">
        <f>IFERROR(INDEX(tbl_Finance[Job Number],$A246),"")</f>
        <v/>
      </c>
      <c r="F246" s="67">
        <f>IFERROR(INDEX(tbl_Finance[Cost Centre],$A246),"")</f>
        <v/>
      </c>
      <c r="G246" s="68">
        <f>IFERROR(INDEX(tbl_Finance[Ex GST],$A246),"")</f>
        <v/>
      </c>
      <c r="H246" s="66">
        <f>IFERROR(INDEX(tbl_Finance[Defer Start],$A246),"")</f>
        <v/>
      </c>
      <c r="I246" s="66">
        <f>IFERROR(INDEX(tbl_Finance[Defer End],$A246),"")</f>
        <v/>
      </c>
      <c r="J246" s="65">
        <f>IF(OR($H246="",$I246="",$G246=""),"",MAX(1,(YEAR($I246)-YEAR($H246))*12+MONTH($I246)-MONTH($H246)+1))</f>
        <v/>
      </c>
      <c r="K246" s="68">
        <f>IF($J246="","",$G246/$J246)</f>
        <v/>
      </c>
      <c r="L246" s="68">
        <f>IF($J246="",0,$K246*MAX(0,MIN(YEAR($C$3)*12+MONTH($C$3),YEAR($I246)*12+MONTH($I246))-(YEAR($H246)*12+MONTH($H246))+1))</f>
        <v/>
      </c>
      <c r="M246" s="68">
        <f>IF($J246="",0,$K246*MAX(0,MIN(YEAR($C$3)*12+MONTH($C$3)-1,YEAR($I246)*12+MONTH($I246))-(YEAR($H246)*12+MONTH($H246))+1))</f>
        <v/>
      </c>
      <c r="N246" s="68">
        <f>IF(OR($J246="",$B246=""),0,IF(YEAR($B246)*12+MONTH($B246)&lt;=YEAR($C$3)*12+MONTH($C$3),$G246,0))</f>
        <v/>
      </c>
      <c r="O246" s="68">
        <f>IF(OR($J246="",$B246=""),0,IF(YEAR($B246)*12+MONTH($B246)&lt;=YEAR($C$3)*12+MONTH($C$3)-1,$G246,0))</f>
        <v/>
      </c>
      <c r="P246" s="68">
        <f>$M246-$O246</f>
        <v/>
      </c>
      <c r="Q246" s="68">
        <f>($L246-$M246)-($N246-$O246)</f>
        <v/>
      </c>
      <c r="R246" s="68">
        <f>$L246-$N246</f>
        <v/>
      </c>
      <c r="S246" s="67">
        <f>"Finance invoice"</f>
        <v/>
      </c>
      <c r="T246" s="67">
        <f>"Revenue"</f>
        <v/>
      </c>
    </row>
    <row r="247">
      <c r="A247" s="65">
        <f>ROW()-5</f>
        <v/>
      </c>
      <c r="B247" s="66">
        <f>IFERROR(INDEX(tbl_Finance[Date],$A247),"")</f>
        <v/>
      </c>
      <c r="C247" s="67">
        <f>IFERROR(INDEX(tbl_Finance[Xero Invoice No],$A247),"")</f>
        <v/>
      </c>
      <c r="D247" s="67">
        <f>IFERROR(INDEX(tbl_Finance[Client],$A247),"")</f>
        <v/>
      </c>
      <c r="E247" s="67">
        <f>IFERROR(INDEX(tbl_Finance[Job Number],$A247),"")</f>
        <v/>
      </c>
      <c r="F247" s="67">
        <f>IFERROR(INDEX(tbl_Finance[Cost Centre],$A247),"")</f>
        <v/>
      </c>
      <c r="G247" s="68">
        <f>IFERROR(INDEX(tbl_Finance[Ex GST],$A247),"")</f>
        <v/>
      </c>
      <c r="H247" s="66">
        <f>IFERROR(INDEX(tbl_Finance[Defer Start],$A247),"")</f>
        <v/>
      </c>
      <c r="I247" s="66">
        <f>IFERROR(INDEX(tbl_Finance[Defer End],$A247),"")</f>
        <v/>
      </c>
      <c r="J247" s="65">
        <f>IF(OR($H247="",$I247="",$G247=""),"",MAX(1,(YEAR($I247)-YEAR($H247))*12+MONTH($I247)-MONTH($H247)+1))</f>
        <v/>
      </c>
      <c r="K247" s="68">
        <f>IF($J247="","",$G247/$J247)</f>
        <v/>
      </c>
      <c r="L247" s="68">
        <f>IF($J247="",0,$K247*MAX(0,MIN(YEAR($C$3)*12+MONTH($C$3),YEAR($I247)*12+MONTH($I247))-(YEAR($H247)*12+MONTH($H247))+1))</f>
        <v/>
      </c>
      <c r="M247" s="68">
        <f>IF($J247="",0,$K247*MAX(0,MIN(YEAR($C$3)*12+MONTH($C$3)-1,YEAR($I247)*12+MONTH($I247))-(YEAR($H247)*12+MONTH($H247))+1))</f>
        <v/>
      </c>
      <c r="N247" s="68">
        <f>IF(OR($J247="",$B247=""),0,IF(YEAR($B247)*12+MONTH($B247)&lt;=YEAR($C$3)*12+MONTH($C$3),$G247,0))</f>
        <v/>
      </c>
      <c r="O247" s="68">
        <f>IF(OR($J247="",$B247=""),0,IF(YEAR($B247)*12+MONTH($B247)&lt;=YEAR($C$3)*12+MONTH($C$3)-1,$G247,0))</f>
        <v/>
      </c>
      <c r="P247" s="68">
        <f>$M247-$O247</f>
        <v/>
      </c>
      <c r="Q247" s="68">
        <f>($L247-$M247)-($N247-$O247)</f>
        <v/>
      </c>
      <c r="R247" s="68">
        <f>$L247-$N247</f>
        <v/>
      </c>
      <c r="S247" s="67">
        <f>"Finance invoice"</f>
        <v/>
      </c>
      <c r="T247" s="67">
        <f>"Revenue"</f>
        <v/>
      </c>
    </row>
    <row r="248">
      <c r="A248" s="65">
        <f>ROW()-5</f>
        <v/>
      </c>
      <c r="B248" s="66">
        <f>IFERROR(INDEX(tbl_Finance[Date],$A248),"")</f>
        <v/>
      </c>
      <c r="C248" s="67">
        <f>IFERROR(INDEX(tbl_Finance[Xero Invoice No],$A248),"")</f>
        <v/>
      </c>
      <c r="D248" s="67">
        <f>IFERROR(INDEX(tbl_Finance[Client],$A248),"")</f>
        <v/>
      </c>
      <c r="E248" s="67">
        <f>IFERROR(INDEX(tbl_Finance[Job Number],$A248),"")</f>
        <v/>
      </c>
      <c r="F248" s="67">
        <f>IFERROR(INDEX(tbl_Finance[Cost Centre],$A248),"")</f>
        <v/>
      </c>
      <c r="G248" s="68">
        <f>IFERROR(INDEX(tbl_Finance[Ex GST],$A248),"")</f>
        <v/>
      </c>
      <c r="H248" s="66">
        <f>IFERROR(INDEX(tbl_Finance[Defer Start],$A248),"")</f>
        <v/>
      </c>
      <c r="I248" s="66">
        <f>IFERROR(INDEX(tbl_Finance[Defer End],$A248),"")</f>
        <v/>
      </c>
      <c r="J248" s="65">
        <f>IF(OR($H248="",$I248="",$G248=""),"",MAX(1,(YEAR($I248)-YEAR($H248))*12+MONTH($I248)-MONTH($H248)+1))</f>
        <v/>
      </c>
      <c r="K248" s="68">
        <f>IF($J248="","",$G248/$J248)</f>
        <v/>
      </c>
      <c r="L248" s="68">
        <f>IF($J248="",0,$K248*MAX(0,MIN(YEAR($C$3)*12+MONTH($C$3),YEAR($I248)*12+MONTH($I248))-(YEAR($H248)*12+MONTH($H248))+1))</f>
        <v/>
      </c>
      <c r="M248" s="68">
        <f>IF($J248="",0,$K248*MAX(0,MIN(YEAR($C$3)*12+MONTH($C$3)-1,YEAR($I248)*12+MONTH($I248))-(YEAR($H248)*12+MONTH($H248))+1))</f>
        <v/>
      </c>
      <c r="N248" s="68">
        <f>IF(OR($J248="",$B248=""),0,IF(YEAR($B248)*12+MONTH($B248)&lt;=YEAR($C$3)*12+MONTH($C$3),$G248,0))</f>
        <v/>
      </c>
      <c r="O248" s="68">
        <f>IF(OR($J248="",$B248=""),0,IF(YEAR($B248)*12+MONTH($B248)&lt;=YEAR($C$3)*12+MONTH($C$3)-1,$G248,0))</f>
        <v/>
      </c>
      <c r="P248" s="68">
        <f>$M248-$O248</f>
        <v/>
      </c>
      <c r="Q248" s="68">
        <f>($L248-$M248)-($N248-$O248)</f>
        <v/>
      </c>
      <c r="R248" s="68">
        <f>$L248-$N248</f>
        <v/>
      </c>
      <c r="S248" s="67">
        <f>"Finance invoice"</f>
        <v/>
      </c>
      <c r="T248" s="67">
        <f>"Revenue"</f>
        <v/>
      </c>
    </row>
    <row r="249">
      <c r="A249" s="65">
        <f>ROW()-5</f>
        <v/>
      </c>
      <c r="B249" s="66">
        <f>IFERROR(INDEX(tbl_Finance[Date],$A249),"")</f>
        <v/>
      </c>
      <c r="C249" s="67">
        <f>IFERROR(INDEX(tbl_Finance[Xero Invoice No],$A249),"")</f>
        <v/>
      </c>
      <c r="D249" s="67">
        <f>IFERROR(INDEX(tbl_Finance[Client],$A249),"")</f>
        <v/>
      </c>
      <c r="E249" s="67">
        <f>IFERROR(INDEX(tbl_Finance[Job Number],$A249),"")</f>
        <v/>
      </c>
      <c r="F249" s="67">
        <f>IFERROR(INDEX(tbl_Finance[Cost Centre],$A249),"")</f>
        <v/>
      </c>
      <c r="G249" s="68">
        <f>IFERROR(INDEX(tbl_Finance[Ex GST],$A249),"")</f>
        <v/>
      </c>
      <c r="H249" s="66">
        <f>IFERROR(INDEX(tbl_Finance[Defer Start],$A249),"")</f>
        <v/>
      </c>
      <c r="I249" s="66">
        <f>IFERROR(INDEX(tbl_Finance[Defer End],$A249),"")</f>
        <v/>
      </c>
      <c r="J249" s="65">
        <f>IF(OR($H249="",$I249="",$G249=""),"",MAX(1,(YEAR($I249)-YEAR($H249))*12+MONTH($I249)-MONTH($H249)+1))</f>
        <v/>
      </c>
      <c r="K249" s="68">
        <f>IF($J249="","",$G249/$J249)</f>
        <v/>
      </c>
      <c r="L249" s="68">
        <f>IF($J249="",0,$K249*MAX(0,MIN(YEAR($C$3)*12+MONTH($C$3),YEAR($I249)*12+MONTH($I249))-(YEAR($H249)*12+MONTH($H249))+1))</f>
        <v/>
      </c>
      <c r="M249" s="68">
        <f>IF($J249="",0,$K249*MAX(0,MIN(YEAR($C$3)*12+MONTH($C$3)-1,YEAR($I249)*12+MONTH($I249))-(YEAR($H249)*12+MONTH($H249))+1))</f>
        <v/>
      </c>
      <c r="N249" s="68">
        <f>IF(OR($J249="",$B249=""),0,IF(YEAR($B249)*12+MONTH($B249)&lt;=YEAR($C$3)*12+MONTH($C$3),$G249,0))</f>
        <v/>
      </c>
      <c r="O249" s="68">
        <f>IF(OR($J249="",$B249=""),0,IF(YEAR($B249)*12+MONTH($B249)&lt;=YEAR($C$3)*12+MONTH($C$3)-1,$G249,0))</f>
        <v/>
      </c>
      <c r="P249" s="68">
        <f>$M249-$O249</f>
        <v/>
      </c>
      <c r="Q249" s="68">
        <f>($L249-$M249)-($N249-$O249)</f>
        <v/>
      </c>
      <c r="R249" s="68">
        <f>$L249-$N249</f>
        <v/>
      </c>
      <c r="S249" s="67">
        <f>"Finance invoice"</f>
        <v/>
      </c>
      <c r="T249" s="67">
        <f>"Revenue"</f>
        <v/>
      </c>
    </row>
    <row r="250">
      <c r="A250" s="65">
        <f>ROW()-5</f>
        <v/>
      </c>
      <c r="B250" s="66">
        <f>IFERROR(INDEX(tbl_Finance[Date],$A250),"")</f>
        <v/>
      </c>
      <c r="C250" s="67">
        <f>IFERROR(INDEX(tbl_Finance[Xero Invoice No],$A250),"")</f>
        <v/>
      </c>
      <c r="D250" s="67">
        <f>IFERROR(INDEX(tbl_Finance[Client],$A250),"")</f>
        <v/>
      </c>
      <c r="E250" s="67">
        <f>IFERROR(INDEX(tbl_Finance[Job Number],$A250),"")</f>
        <v/>
      </c>
      <c r="F250" s="67">
        <f>IFERROR(INDEX(tbl_Finance[Cost Centre],$A250),"")</f>
        <v/>
      </c>
      <c r="G250" s="68">
        <f>IFERROR(INDEX(tbl_Finance[Ex GST],$A250),"")</f>
        <v/>
      </c>
      <c r="H250" s="66">
        <f>IFERROR(INDEX(tbl_Finance[Defer Start],$A250),"")</f>
        <v/>
      </c>
      <c r="I250" s="66">
        <f>IFERROR(INDEX(tbl_Finance[Defer End],$A250),"")</f>
        <v/>
      </c>
      <c r="J250" s="65">
        <f>IF(OR($H250="",$I250="",$G250=""),"",MAX(1,(YEAR($I250)-YEAR($H250))*12+MONTH($I250)-MONTH($H250)+1))</f>
        <v/>
      </c>
      <c r="K250" s="68">
        <f>IF($J250="","",$G250/$J250)</f>
        <v/>
      </c>
      <c r="L250" s="68">
        <f>IF($J250="",0,$K250*MAX(0,MIN(YEAR($C$3)*12+MONTH($C$3),YEAR($I250)*12+MONTH($I250))-(YEAR($H250)*12+MONTH($H250))+1))</f>
        <v/>
      </c>
      <c r="M250" s="68">
        <f>IF($J250="",0,$K250*MAX(0,MIN(YEAR($C$3)*12+MONTH($C$3)-1,YEAR($I250)*12+MONTH($I250))-(YEAR($H250)*12+MONTH($H250))+1))</f>
        <v/>
      </c>
      <c r="N250" s="68">
        <f>IF(OR($J250="",$B250=""),0,IF(YEAR($B250)*12+MONTH($B250)&lt;=YEAR($C$3)*12+MONTH($C$3),$G250,0))</f>
        <v/>
      </c>
      <c r="O250" s="68">
        <f>IF(OR($J250="",$B250=""),0,IF(YEAR($B250)*12+MONTH($B250)&lt;=YEAR($C$3)*12+MONTH($C$3)-1,$G250,0))</f>
        <v/>
      </c>
      <c r="P250" s="68">
        <f>$M250-$O250</f>
        <v/>
      </c>
      <c r="Q250" s="68">
        <f>($L250-$M250)-($N250-$O250)</f>
        <v/>
      </c>
      <c r="R250" s="68">
        <f>$L250-$N250</f>
        <v/>
      </c>
      <c r="S250" s="67">
        <f>"Finance invoice"</f>
        <v/>
      </c>
      <c r="T250" s="67">
        <f>"Revenue"</f>
        <v/>
      </c>
    </row>
    <row r="251">
      <c r="A251" s="65">
        <f>ROW()-5</f>
        <v/>
      </c>
      <c r="B251" s="66">
        <f>IFERROR(INDEX(tbl_Finance[Date],$A251),"")</f>
        <v/>
      </c>
      <c r="C251" s="67">
        <f>IFERROR(INDEX(tbl_Finance[Xero Invoice No],$A251),"")</f>
        <v/>
      </c>
      <c r="D251" s="67">
        <f>IFERROR(INDEX(tbl_Finance[Client],$A251),"")</f>
        <v/>
      </c>
      <c r="E251" s="67">
        <f>IFERROR(INDEX(tbl_Finance[Job Number],$A251),"")</f>
        <v/>
      </c>
      <c r="F251" s="67">
        <f>IFERROR(INDEX(tbl_Finance[Cost Centre],$A251),"")</f>
        <v/>
      </c>
      <c r="G251" s="68">
        <f>IFERROR(INDEX(tbl_Finance[Ex GST],$A251),"")</f>
        <v/>
      </c>
      <c r="H251" s="66">
        <f>IFERROR(INDEX(tbl_Finance[Defer Start],$A251),"")</f>
        <v/>
      </c>
      <c r="I251" s="66">
        <f>IFERROR(INDEX(tbl_Finance[Defer End],$A251),"")</f>
        <v/>
      </c>
      <c r="J251" s="65">
        <f>IF(OR($H251="",$I251="",$G251=""),"",MAX(1,(YEAR($I251)-YEAR($H251))*12+MONTH($I251)-MONTH($H251)+1))</f>
        <v/>
      </c>
      <c r="K251" s="68">
        <f>IF($J251="","",$G251/$J251)</f>
        <v/>
      </c>
      <c r="L251" s="68">
        <f>IF($J251="",0,$K251*MAX(0,MIN(YEAR($C$3)*12+MONTH($C$3),YEAR($I251)*12+MONTH($I251))-(YEAR($H251)*12+MONTH($H251))+1))</f>
        <v/>
      </c>
      <c r="M251" s="68">
        <f>IF($J251="",0,$K251*MAX(0,MIN(YEAR($C$3)*12+MONTH($C$3)-1,YEAR($I251)*12+MONTH($I251))-(YEAR($H251)*12+MONTH($H251))+1))</f>
        <v/>
      </c>
      <c r="N251" s="68">
        <f>IF(OR($J251="",$B251=""),0,IF(YEAR($B251)*12+MONTH($B251)&lt;=YEAR($C$3)*12+MONTH($C$3),$G251,0))</f>
        <v/>
      </c>
      <c r="O251" s="68">
        <f>IF(OR($J251="",$B251=""),0,IF(YEAR($B251)*12+MONTH($B251)&lt;=YEAR($C$3)*12+MONTH($C$3)-1,$G251,0))</f>
        <v/>
      </c>
      <c r="P251" s="68">
        <f>$M251-$O251</f>
        <v/>
      </c>
      <c r="Q251" s="68">
        <f>($L251-$M251)-($N251-$O251)</f>
        <v/>
      </c>
      <c r="R251" s="68">
        <f>$L251-$N251</f>
        <v/>
      </c>
      <c r="S251" s="67">
        <f>"Finance invoice"</f>
        <v/>
      </c>
      <c r="T251" s="67">
        <f>"Revenue"</f>
        <v/>
      </c>
    </row>
    <row r="252">
      <c r="A252" s="65">
        <f>ROW()-5</f>
        <v/>
      </c>
      <c r="B252" s="66">
        <f>IFERROR(INDEX(tbl_Finance[Date],$A252),"")</f>
        <v/>
      </c>
      <c r="C252" s="67">
        <f>IFERROR(INDEX(tbl_Finance[Xero Invoice No],$A252),"")</f>
        <v/>
      </c>
      <c r="D252" s="67">
        <f>IFERROR(INDEX(tbl_Finance[Client],$A252),"")</f>
        <v/>
      </c>
      <c r="E252" s="67">
        <f>IFERROR(INDEX(tbl_Finance[Job Number],$A252),"")</f>
        <v/>
      </c>
      <c r="F252" s="67">
        <f>IFERROR(INDEX(tbl_Finance[Cost Centre],$A252),"")</f>
        <v/>
      </c>
      <c r="G252" s="68">
        <f>IFERROR(INDEX(tbl_Finance[Ex GST],$A252),"")</f>
        <v/>
      </c>
      <c r="H252" s="66">
        <f>IFERROR(INDEX(tbl_Finance[Defer Start],$A252),"")</f>
        <v/>
      </c>
      <c r="I252" s="66">
        <f>IFERROR(INDEX(tbl_Finance[Defer End],$A252),"")</f>
        <v/>
      </c>
      <c r="J252" s="65">
        <f>IF(OR($H252="",$I252="",$G252=""),"",MAX(1,(YEAR($I252)-YEAR($H252))*12+MONTH($I252)-MONTH($H252)+1))</f>
        <v/>
      </c>
      <c r="K252" s="68">
        <f>IF($J252="","",$G252/$J252)</f>
        <v/>
      </c>
      <c r="L252" s="68">
        <f>IF($J252="",0,$K252*MAX(0,MIN(YEAR($C$3)*12+MONTH($C$3),YEAR($I252)*12+MONTH($I252))-(YEAR($H252)*12+MONTH($H252))+1))</f>
        <v/>
      </c>
      <c r="M252" s="68">
        <f>IF($J252="",0,$K252*MAX(0,MIN(YEAR($C$3)*12+MONTH($C$3)-1,YEAR($I252)*12+MONTH($I252))-(YEAR($H252)*12+MONTH($H252))+1))</f>
        <v/>
      </c>
      <c r="N252" s="68">
        <f>IF(OR($J252="",$B252=""),0,IF(YEAR($B252)*12+MONTH($B252)&lt;=YEAR($C$3)*12+MONTH($C$3),$G252,0))</f>
        <v/>
      </c>
      <c r="O252" s="68">
        <f>IF(OR($J252="",$B252=""),0,IF(YEAR($B252)*12+MONTH($B252)&lt;=YEAR($C$3)*12+MONTH($C$3)-1,$G252,0))</f>
        <v/>
      </c>
      <c r="P252" s="68">
        <f>$M252-$O252</f>
        <v/>
      </c>
      <c r="Q252" s="68">
        <f>($L252-$M252)-($N252-$O252)</f>
        <v/>
      </c>
      <c r="R252" s="68">
        <f>$L252-$N252</f>
        <v/>
      </c>
      <c r="S252" s="67">
        <f>"Finance invoice"</f>
        <v/>
      </c>
      <c r="T252" s="67">
        <f>"Revenue"</f>
        <v/>
      </c>
    </row>
    <row r="253">
      <c r="A253" s="65">
        <f>ROW()-5</f>
        <v/>
      </c>
      <c r="B253" s="66">
        <f>IFERROR(INDEX(tbl_Finance[Date],$A253),"")</f>
        <v/>
      </c>
      <c r="C253" s="67">
        <f>IFERROR(INDEX(tbl_Finance[Xero Invoice No],$A253),"")</f>
        <v/>
      </c>
      <c r="D253" s="67">
        <f>IFERROR(INDEX(tbl_Finance[Client],$A253),"")</f>
        <v/>
      </c>
      <c r="E253" s="67">
        <f>IFERROR(INDEX(tbl_Finance[Job Number],$A253),"")</f>
        <v/>
      </c>
      <c r="F253" s="67">
        <f>IFERROR(INDEX(tbl_Finance[Cost Centre],$A253),"")</f>
        <v/>
      </c>
      <c r="G253" s="68">
        <f>IFERROR(INDEX(tbl_Finance[Ex GST],$A253),"")</f>
        <v/>
      </c>
      <c r="H253" s="66">
        <f>IFERROR(INDEX(tbl_Finance[Defer Start],$A253),"")</f>
        <v/>
      </c>
      <c r="I253" s="66">
        <f>IFERROR(INDEX(tbl_Finance[Defer End],$A253),"")</f>
        <v/>
      </c>
      <c r="J253" s="65">
        <f>IF(OR($H253="",$I253="",$G253=""),"",MAX(1,(YEAR($I253)-YEAR($H253))*12+MONTH($I253)-MONTH($H253)+1))</f>
        <v/>
      </c>
      <c r="K253" s="68">
        <f>IF($J253="","",$G253/$J253)</f>
        <v/>
      </c>
      <c r="L253" s="68">
        <f>IF($J253="",0,$K253*MAX(0,MIN(YEAR($C$3)*12+MONTH($C$3),YEAR($I253)*12+MONTH($I253))-(YEAR($H253)*12+MONTH($H253))+1))</f>
        <v/>
      </c>
      <c r="M253" s="68">
        <f>IF($J253="",0,$K253*MAX(0,MIN(YEAR($C$3)*12+MONTH($C$3)-1,YEAR($I253)*12+MONTH($I253))-(YEAR($H253)*12+MONTH($H253))+1))</f>
        <v/>
      </c>
      <c r="N253" s="68">
        <f>IF(OR($J253="",$B253=""),0,IF(YEAR($B253)*12+MONTH($B253)&lt;=YEAR($C$3)*12+MONTH($C$3),$G253,0))</f>
        <v/>
      </c>
      <c r="O253" s="68">
        <f>IF(OR($J253="",$B253=""),0,IF(YEAR($B253)*12+MONTH($B253)&lt;=YEAR($C$3)*12+MONTH($C$3)-1,$G253,0))</f>
        <v/>
      </c>
      <c r="P253" s="68">
        <f>$M253-$O253</f>
        <v/>
      </c>
      <c r="Q253" s="68">
        <f>($L253-$M253)-($N253-$O253)</f>
        <v/>
      </c>
      <c r="R253" s="68">
        <f>$L253-$N253</f>
        <v/>
      </c>
      <c r="S253" s="67">
        <f>"Finance invoice"</f>
        <v/>
      </c>
      <c r="T253" s="67">
        <f>"Revenue"</f>
        <v/>
      </c>
    </row>
    <row r="254">
      <c r="A254" s="65">
        <f>ROW()-5</f>
        <v/>
      </c>
      <c r="B254" s="66">
        <f>IFERROR(INDEX(tbl_Finance[Date],$A254),"")</f>
        <v/>
      </c>
      <c r="C254" s="67">
        <f>IFERROR(INDEX(tbl_Finance[Xero Invoice No],$A254),"")</f>
        <v/>
      </c>
      <c r="D254" s="67">
        <f>IFERROR(INDEX(tbl_Finance[Client],$A254),"")</f>
        <v/>
      </c>
      <c r="E254" s="67">
        <f>IFERROR(INDEX(tbl_Finance[Job Number],$A254),"")</f>
        <v/>
      </c>
      <c r="F254" s="67">
        <f>IFERROR(INDEX(tbl_Finance[Cost Centre],$A254),"")</f>
        <v/>
      </c>
      <c r="G254" s="68">
        <f>IFERROR(INDEX(tbl_Finance[Ex GST],$A254),"")</f>
        <v/>
      </c>
      <c r="H254" s="66">
        <f>IFERROR(INDEX(tbl_Finance[Defer Start],$A254),"")</f>
        <v/>
      </c>
      <c r="I254" s="66">
        <f>IFERROR(INDEX(tbl_Finance[Defer End],$A254),"")</f>
        <v/>
      </c>
      <c r="J254" s="65">
        <f>IF(OR($H254="",$I254="",$G254=""),"",MAX(1,(YEAR($I254)-YEAR($H254))*12+MONTH($I254)-MONTH($H254)+1))</f>
        <v/>
      </c>
      <c r="K254" s="68">
        <f>IF($J254="","",$G254/$J254)</f>
        <v/>
      </c>
      <c r="L254" s="68">
        <f>IF($J254="",0,$K254*MAX(0,MIN(YEAR($C$3)*12+MONTH($C$3),YEAR($I254)*12+MONTH($I254))-(YEAR($H254)*12+MONTH($H254))+1))</f>
        <v/>
      </c>
      <c r="M254" s="68">
        <f>IF($J254="",0,$K254*MAX(0,MIN(YEAR($C$3)*12+MONTH($C$3)-1,YEAR($I254)*12+MONTH($I254))-(YEAR($H254)*12+MONTH($H254))+1))</f>
        <v/>
      </c>
      <c r="N254" s="68">
        <f>IF(OR($J254="",$B254=""),0,IF(YEAR($B254)*12+MONTH($B254)&lt;=YEAR($C$3)*12+MONTH($C$3),$G254,0))</f>
        <v/>
      </c>
      <c r="O254" s="68">
        <f>IF(OR($J254="",$B254=""),0,IF(YEAR($B254)*12+MONTH($B254)&lt;=YEAR($C$3)*12+MONTH($C$3)-1,$G254,0))</f>
        <v/>
      </c>
      <c r="P254" s="68">
        <f>$M254-$O254</f>
        <v/>
      </c>
      <c r="Q254" s="68">
        <f>($L254-$M254)-($N254-$O254)</f>
        <v/>
      </c>
      <c r="R254" s="68">
        <f>$L254-$N254</f>
        <v/>
      </c>
      <c r="S254" s="67">
        <f>"Finance invoice"</f>
        <v/>
      </c>
      <c r="T254" s="67">
        <f>"Revenue"</f>
        <v/>
      </c>
    </row>
    <row r="255">
      <c r="A255" s="65">
        <f>ROW()-5</f>
        <v/>
      </c>
      <c r="B255" s="66">
        <f>IFERROR(INDEX(tbl_Finance[Date],$A255),"")</f>
        <v/>
      </c>
      <c r="C255" s="67">
        <f>IFERROR(INDEX(tbl_Finance[Xero Invoice No],$A255),"")</f>
        <v/>
      </c>
      <c r="D255" s="67">
        <f>IFERROR(INDEX(tbl_Finance[Client],$A255),"")</f>
        <v/>
      </c>
      <c r="E255" s="67">
        <f>IFERROR(INDEX(tbl_Finance[Job Number],$A255),"")</f>
        <v/>
      </c>
      <c r="F255" s="67">
        <f>IFERROR(INDEX(tbl_Finance[Cost Centre],$A255),"")</f>
        <v/>
      </c>
      <c r="G255" s="68">
        <f>IFERROR(INDEX(tbl_Finance[Ex GST],$A255),"")</f>
        <v/>
      </c>
      <c r="H255" s="66">
        <f>IFERROR(INDEX(tbl_Finance[Defer Start],$A255),"")</f>
        <v/>
      </c>
      <c r="I255" s="66">
        <f>IFERROR(INDEX(tbl_Finance[Defer End],$A255),"")</f>
        <v/>
      </c>
      <c r="J255" s="65">
        <f>IF(OR($H255="",$I255="",$G255=""),"",MAX(1,(YEAR($I255)-YEAR($H255))*12+MONTH($I255)-MONTH($H255)+1))</f>
        <v/>
      </c>
      <c r="K255" s="68">
        <f>IF($J255="","",$G255/$J255)</f>
        <v/>
      </c>
      <c r="L255" s="68">
        <f>IF($J255="",0,$K255*MAX(0,MIN(YEAR($C$3)*12+MONTH($C$3),YEAR($I255)*12+MONTH($I255))-(YEAR($H255)*12+MONTH($H255))+1))</f>
        <v/>
      </c>
      <c r="M255" s="68">
        <f>IF($J255="",0,$K255*MAX(0,MIN(YEAR($C$3)*12+MONTH($C$3)-1,YEAR($I255)*12+MONTH($I255))-(YEAR($H255)*12+MONTH($H255))+1))</f>
        <v/>
      </c>
      <c r="N255" s="68">
        <f>IF(OR($J255="",$B255=""),0,IF(YEAR($B255)*12+MONTH($B255)&lt;=YEAR($C$3)*12+MONTH($C$3),$G255,0))</f>
        <v/>
      </c>
      <c r="O255" s="68">
        <f>IF(OR($J255="",$B255=""),0,IF(YEAR($B255)*12+MONTH($B255)&lt;=YEAR($C$3)*12+MONTH($C$3)-1,$G255,0))</f>
        <v/>
      </c>
      <c r="P255" s="68">
        <f>$M255-$O255</f>
        <v/>
      </c>
      <c r="Q255" s="68">
        <f>($L255-$M255)-($N255-$O255)</f>
        <v/>
      </c>
      <c r="R255" s="68">
        <f>$L255-$N255</f>
        <v/>
      </c>
      <c r="S255" s="67">
        <f>"Finance invoice"</f>
        <v/>
      </c>
      <c r="T255" s="67">
        <f>"Revenue"</f>
        <v/>
      </c>
    </row>
    <row r="256">
      <c r="A256" s="65">
        <f>ROW()-5</f>
        <v/>
      </c>
      <c r="B256" s="66">
        <f>IFERROR(INDEX(tbl_Finance[Date],$A256),"")</f>
        <v/>
      </c>
      <c r="C256" s="67">
        <f>IFERROR(INDEX(tbl_Finance[Xero Invoice No],$A256),"")</f>
        <v/>
      </c>
      <c r="D256" s="67">
        <f>IFERROR(INDEX(tbl_Finance[Client],$A256),"")</f>
        <v/>
      </c>
      <c r="E256" s="67">
        <f>IFERROR(INDEX(tbl_Finance[Job Number],$A256),"")</f>
        <v/>
      </c>
      <c r="F256" s="67">
        <f>IFERROR(INDEX(tbl_Finance[Cost Centre],$A256),"")</f>
        <v/>
      </c>
      <c r="G256" s="68">
        <f>IFERROR(INDEX(tbl_Finance[Ex GST],$A256),"")</f>
        <v/>
      </c>
      <c r="H256" s="66">
        <f>IFERROR(INDEX(tbl_Finance[Defer Start],$A256),"")</f>
        <v/>
      </c>
      <c r="I256" s="66">
        <f>IFERROR(INDEX(tbl_Finance[Defer End],$A256),"")</f>
        <v/>
      </c>
      <c r="J256" s="65">
        <f>IF(OR($H256="",$I256="",$G256=""),"",MAX(1,(YEAR($I256)-YEAR($H256))*12+MONTH($I256)-MONTH($H256)+1))</f>
        <v/>
      </c>
      <c r="K256" s="68">
        <f>IF($J256="","",$G256/$J256)</f>
        <v/>
      </c>
      <c r="L256" s="68">
        <f>IF($J256="",0,$K256*MAX(0,MIN(YEAR($C$3)*12+MONTH($C$3),YEAR($I256)*12+MONTH($I256))-(YEAR($H256)*12+MONTH($H256))+1))</f>
        <v/>
      </c>
      <c r="M256" s="68">
        <f>IF($J256="",0,$K256*MAX(0,MIN(YEAR($C$3)*12+MONTH($C$3)-1,YEAR($I256)*12+MONTH($I256))-(YEAR($H256)*12+MONTH($H256))+1))</f>
        <v/>
      </c>
      <c r="N256" s="68">
        <f>IF(OR($J256="",$B256=""),0,IF(YEAR($B256)*12+MONTH($B256)&lt;=YEAR($C$3)*12+MONTH($C$3),$G256,0))</f>
        <v/>
      </c>
      <c r="O256" s="68">
        <f>IF(OR($J256="",$B256=""),0,IF(YEAR($B256)*12+MONTH($B256)&lt;=YEAR($C$3)*12+MONTH($C$3)-1,$G256,0))</f>
        <v/>
      </c>
      <c r="P256" s="68">
        <f>$M256-$O256</f>
        <v/>
      </c>
      <c r="Q256" s="68">
        <f>($L256-$M256)-($N256-$O256)</f>
        <v/>
      </c>
      <c r="R256" s="68">
        <f>$L256-$N256</f>
        <v/>
      </c>
      <c r="S256" s="67">
        <f>"Finance invoice"</f>
        <v/>
      </c>
      <c r="T256" s="67">
        <f>"Revenue"</f>
        <v/>
      </c>
    </row>
    <row r="257">
      <c r="A257" s="65">
        <f>ROW()-5</f>
        <v/>
      </c>
      <c r="B257" s="66">
        <f>IFERROR(INDEX(tbl_Finance[Date],$A257),"")</f>
        <v/>
      </c>
      <c r="C257" s="67">
        <f>IFERROR(INDEX(tbl_Finance[Xero Invoice No],$A257),"")</f>
        <v/>
      </c>
      <c r="D257" s="67">
        <f>IFERROR(INDEX(tbl_Finance[Client],$A257),"")</f>
        <v/>
      </c>
      <c r="E257" s="67">
        <f>IFERROR(INDEX(tbl_Finance[Job Number],$A257),"")</f>
        <v/>
      </c>
      <c r="F257" s="67">
        <f>IFERROR(INDEX(tbl_Finance[Cost Centre],$A257),"")</f>
        <v/>
      </c>
      <c r="G257" s="68">
        <f>IFERROR(INDEX(tbl_Finance[Ex GST],$A257),"")</f>
        <v/>
      </c>
      <c r="H257" s="66">
        <f>IFERROR(INDEX(tbl_Finance[Defer Start],$A257),"")</f>
        <v/>
      </c>
      <c r="I257" s="66">
        <f>IFERROR(INDEX(tbl_Finance[Defer End],$A257),"")</f>
        <v/>
      </c>
      <c r="J257" s="65">
        <f>IF(OR($H257="",$I257="",$G257=""),"",MAX(1,(YEAR($I257)-YEAR($H257))*12+MONTH($I257)-MONTH($H257)+1))</f>
        <v/>
      </c>
      <c r="K257" s="68">
        <f>IF($J257="","",$G257/$J257)</f>
        <v/>
      </c>
      <c r="L257" s="68">
        <f>IF($J257="",0,$K257*MAX(0,MIN(YEAR($C$3)*12+MONTH($C$3),YEAR($I257)*12+MONTH($I257))-(YEAR($H257)*12+MONTH($H257))+1))</f>
        <v/>
      </c>
      <c r="M257" s="68">
        <f>IF($J257="",0,$K257*MAX(0,MIN(YEAR($C$3)*12+MONTH($C$3)-1,YEAR($I257)*12+MONTH($I257))-(YEAR($H257)*12+MONTH($H257))+1))</f>
        <v/>
      </c>
      <c r="N257" s="68">
        <f>IF(OR($J257="",$B257=""),0,IF(YEAR($B257)*12+MONTH($B257)&lt;=YEAR($C$3)*12+MONTH($C$3),$G257,0))</f>
        <v/>
      </c>
      <c r="O257" s="68">
        <f>IF(OR($J257="",$B257=""),0,IF(YEAR($B257)*12+MONTH($B257)&lt;=YEAR($C$3)*12+MONTH($C$3)-1,$G257,0))</f>
        <v/>
      </c>
      <c r="P257" s="68">
        <f>$M257-$O257</f>
        <v/>
      </c>
      <c r="Q257" s="68">
        <f>($L257-$M257)-($N257-$O257)</f>
        <v/>
      </c>
      <c r="R257" s="68">
        <f>$L257-$N257</f>
        <v/>
      </c>
      <c r="S257" s="67">
        <f>"Finance invoice"</f>
        <v/>
      </c>
      <c r="T257" s="67">
        <f>"Revenue"</f>
        <v/>
      </c>
    </row>
    <row r="258">
      <c r="A258" s="65">
        <f>ROW()-5</f>
        <v/>
      </c>
      <c r="B258" s="66">
        <f>IFERROR(INDEX(tbl_Finance[Date],$A258),"")</f>
        <v/>
      </c>
      <c r="C258" s="67">
        <f>IFERROR(INDEX(tbl_Finance[Xero Invoice No],$A258),"")</f>
        <v/>
      </c>
      <c r="D258" s="67">
        <f>IFERROR(INDEX(tbl_Finance[Client],$A258),"")</f>
        <v/>
      </c>
      <c r="E258" s="67">
        <f>IFERROR(INDEX(tbl_Finance[Job Number],$A258),"")</f>
        <v/>
      </c>
      <c r="F258" s="67">
        <f>IFERROR(INDEX(tbl_Finance[Cost Centre],$A258),"")</f>
        <v/>
      </c>
      <c r="G258" s="68">
        <f>IFERROR(INDEX(tbl_Finance[Ex GST],$A258),"")</f>
        <v/>
      </c>
      <c r="H258" s="66">
        <f>IFERROR(INDEX(tbl_Finance[Defer Start],$A258),"")</f>
        <v/>
      </c>
      <c r="I258" s="66">
        <f>IFERROR(INDEX(tbl_Finance[Defer End],$A258),"")</f>
        <v/>
      </c>
      <c r="J258" s="65">
        <f>IF(OR($H258="",$I258="",$G258=""),"",MAX(1,(YEAR($I258)-YEAR($H258))*12+MONTH($I258)-MONTH($H258)+1))</f>
        <v/>
      </c>
      <c r="K258" s="68">
        <f>IF($J258="","",$G258/$J258)</f>
        <v/>
      </c>
      <c r="L258" s="68">
        <f>IF($J258="",0,$K258*MAX(0,MIN(YEAR($C$3)*12+MONTH($C$3),YEAR($I258)*12+MONTH($I258))-(YEAR($H258)*12+MONTH($H258))+1))</f>
        <v/>
      </c>
      <c r="M258" s="68">
        <f>IF($J258="",0,$K258*MAX(0,MIN(YEAR($C$3)*12+MONTH($C$3)-1,YEAR($I258)*12+MONTH($I258))-(YEAR($H258)*12+MONTH($H258))+1))</f>
        <v/>
      </c>
      <c r="N258" s="68">
        <f>IF(OR($J258="",$B258=""),0,IF(YEAR($B258)*12+MONTH($B258)&lt;=YEAR($C$3)*12+MONTH($C$3),$G258,0))</f>
        <v/>
      </c>
      <c r="O258" s="68">
        <f>IF(OR($J258="",$B258=""),0,IF(YEAR($B258)*12+MONTH($B258)&lt;=YEAR($C$3)*12+MONTH($C$3)-1,$G258,0))</f>
        <v/>
      </c>
      <c r="P258" s="68">
        <f>$M258-$O258</f>
        <v/>
      </c>
      <c r="Q258" s="68">
        <f>($L258-$M258)-($N258-$O258)</f>
        <v/>
      </c>
      <c r="R258" s="68">
        <f>$L258-$N258</f>
        <v/>
      </c>
      <c r="S258" s="67">
        <f>"Finance invoice"</f>
        <v/>
      </c>
      <c r="T258" s="67">
        <f>"Revenue"</f>
        <v/>
      </c>
    </row>
    <row r="259">
      <c r="A259" s="65">
        <f>ROW()-5</f>
        <v/>
      </c>
      <c r="B259" s="66">
        <f>IFERROR(INDEX(tbl_Finance[Date],$A259),"")</f>
        <v/>
      </c>
      <c r="C259" s="67">
        <f>IFERROR(INDEX(tbl_Finance[Xero Invoice No],$A259),"")</f>
        <v/>
      </c>
      <c r="D259" s="67">
        <f>IFERROR(INDEX(tbl_Finance[Client],$A259),"")</f>
        <v/>
      </c>
      <c r="E259" s="67">
        <f>IFERROR(INDEX(tbl_Finance[Job Number],$A259),"")</f>
        <v/>
      </c>
      <c r="F259" s="67">
        <f>IFERROR(INDEX(tbl_Finance[Cost Centre],$A259),"")</f>
        <v/>
      </c>
      <c r="G259" s="68">
        <f>IFERROR(INDEX(tbl_Finance[Ex GST],$A259),"")</f>
        <v/>
      </c>
      <c r="H259" s="66">
        <f>IFERROR(INDEX(tbl_Finance[Defer Start],$A259),"")</f>
        <v/>
      </c>
      <c r="I259" s="66">
        <f>IFERROR(INDEX(tbl_Finance[Defer End],$A259),"")</f>
        <v/>
      </c>
      <c r="J259" s="65">
        <f>IF(OR($H259="",$I259="",$G259=""),"",MAX(1,(YEAR($I259)-YEAR($H259))*12+MONTH($I259)-MONTH($H259)+1))</f>
        <v/>
      </c>
      <c r="K259" s="68">
        <f>IF($J259="","",$G259/$J259)</f>
        <v/>
      </c>
      <c r="L259" s="68">
        <f>IF($J259="",0,$K259*MAX(0,MIN(YEAR($C$3)*12+MONTH($C$3),YEAR($I259)*12+MONTH($I259))-(YEAR($H259)*12+MONTH($H259))+1))</f>
        <v/>
      </c>
      <c r="M259" s="68">
        <f>IF($J259="",0,$K259*MAX(0,MIN(YEAR($C$3)*12+MONTH($C$3)-1,YEAR($I259)*12+MONTH($I259))-(YEAR($H259)*12+MONTH($H259))+1))</f>
        <v/>
      </c>
      <c r="N259" s="68">
        <f>IF(OR($J259="",$B259=""),0,IF(YEAR($B259)*12+MONTH($B259)&lt;=YEAR($C$3)*12+MONTH($C$3),$G259,0))</f>
        <v/>
      </c>
      <c r="O259" s="68">
        <f>IF(OR($J259="",$B259=""),0,IF(YEAR($B259)*12+MONTH($B259)&lt;=YEAR($C$3)*12+MONTH($C$3)-1,$G259,0))</f>
        <v/>
      </c>
      <c r="P259" s="68">
        <f>$M259-$O259</f>
        <v/>
      </c>
      <c r="Q259" s="68">
        <f>($L259-$M259)-($N259-$O259)</f>
        <v/>
      </c>
      <c r="R259" s="68">
        <f>$L259-$N259</f>
        <v/>
      </c>
      <c r="S259" s="67">
        <f>"Finance invoice"</f>
        <v/>
      </c>
      <c r="T259" s="67">
        <f>"Revenue"</f>
        <v/>
      </c>
    </row>
    <row r="260">
      <c r="A260" s="65">
        <f>ROW()-5</f>
        <v/>
      </c>
      <c r="B260" s="66">
        <f>IFERROR(INDEX(tbl_Finance[Date],$A260),"")</f>
        <v/>
      </c>
      <c r="C260" s="67">
        <f>IFERROR(INDEX(tbl_Finance[Xero Invoice No],$A260),"")</f>
        <v/>
      </c>
      <c r="D260" s="67">
        <f>IFERROR(INDEX(tbl_Finance[Client],$A260),"")</f>
        <v/>
      </c>
      <c r="E260" s="67">
        <f>IFERROR(INDEX(tbl_Finance[Job Number],$A260),"")</f>
        <v/>
      </c>
      <c r="F260" s="67">
        <f>IFERROR(INDEX(tbl_Finance[Cost Centre],$A260),"")</f>
        <v/>
      </c>
      <c r="G260" s="68">
        <f>IFERROR(INDEX(tbl_Finance[Ex GST],$A260),"")</f>
        <v/>
      </c>
      <c r="H260" s="66">
        <f>IFERROR(INDEX(tbl_Finance[Defer Start],$A260),"")</f>
        <v/>
      </c>
      <c r="I260" s="66">
        <f>IFERROR(INDEX(tbl_Finance[Defer End],$A260),"")</f>
        <v/>
      </c>
      <c r="J260" s="65">
        <f>IF(OR($H260="",$I260="",$G260=""),"",MAX(1,(YEAR($I260)-YEAR($H260))*12+MONTH($I260)-MONTH($H260)+1))</f>
        <v/>
      </c>
      <c r="K260" s="68">
        <f>IF($J260="","",$G260/$J260)</f>
        <v/>
      </c>
      <c r="L260" s="68">
        <f>IF($J260="",0,$K260*MAX(0,MIN(YEAR($C$3)*12+MONTH($C$3),YEAR($I260)*12+MONTH($I260))-(YEAR($H260)*12+MONTH($H260))+1))</f>
        <v/>
      </c>
      <c r="M260" s="68">
        <f>IF($J260="",0,$K260*MAX(0,MIN(YEAR($C$3)*12+MONTH($C$3)-1,YEAR($I260)*12+MONTH($I260))-(YEAR($H260)*12+MONTH($H260))+1))</f>
        <v/>
      </c>
      <c r="N260" s="68">
        <f>IF(OR($J260="",$B260=""),0,IF(YEAR($B260)*12+MONTH($B260)&lt;=YEAR($C$3)*12+MONTH($C$3),$G260,0))</f>
        <v/>
      </c>
      <c r="O260" s="68">
        <f>IF(OR($J260="",$B260=""),0,IF(YEAR($B260)*12+MONTH($B260)&lt;=YEAR($C$3)*12+MONTH($C$3)-1,$G260,0))</f>
        <v/>
      </c>
      <c r="P260" s="68">
        <f>$M260-$O260</f>
        <v/>
      </c>
      <c r="Q260" s="68">
        <f>($L260-$M260)-($N260-$O260)</f>
        <v/>
      </c>
      <c r="R260" s="68">
        <f>$L260-$N260</f>
        <v/>
      </c>
      <c r="S260" s="67">
        <f>"Finance invoice"</f>
        <v/>
      </c>
      <c r="T260" s="67">
        <f>"Revenue"</f>
        <v/>
      </c>
    </row>
    <row r="261">
      <c r="A261" s="65">
        <f>ROW()-5</f>
        <v/>
      </c>
      <c r="B261" s="66">
        <f>IFERROR(INDEX(tbl_Finance[Date],$A261),"")</f>
        <v/>
      </c>
      <c r="C261" s="67">
        <f>IFERROR(INDEX(tbl_Finance[Xero Invoice No],$A261),"")</f>
        <v/>
      </c>
      <c r="D261" s="67">
        <f>IFERROR(INDEX(tbl_Finance[Client],$A261),"")</f>
        <v/>
      </c>
      <c r="E261" s="67">
        <f>IFERROR(INDEX(tbl_Finance[Job Number],$A261),"")</f>
        <v/>
      </c>
      <c r="F261" s="67">
        <f>IFERROR(INDEX(tbl_Finance[Cost Centre],$A261),"")</f>
        <v/>
      </c>
      <c r="G261" s="68">
        <f>IFERROR(INDEX(tbl_Finance[Ex GST],$A261),"")</f>
        <v/>
      </c>
      <c r="H261" s="66">
        <f>IFERROR(INDEX(tbl_Finance[Defer Start],$A261),"")</f>
        <v/>
      </c>
      <c r="I261" s="66">
        <f>IFERROR(INDEX(tbl_Finance[Defer End],$A261),"")</f>
        <v/>
      </c>
      <c r="J261" s="65">
        <f>IF(OR($H261="",$I261="",$G261=""),"",MAX(1,(YEAR($I261)-YEAR($H261))*12+MONTH($I261)-MONTH($H261)+1))</f>
        <v/>
      </c>
      <c r="K261" s="68">
        <f>IF($J261="","",$G261/$J261)</f>
        <v/>
      </c>
      <c r="L261" s="68">
        <f>IF($J261="",0,$K261*MAX(0,MIN(YEAR($C$3)*12+MONTH($C$3),YEAR($I261)*12+MONTH($I261))-(YEAR($H261)*12+MONTH($H261))+1))</f>
        <v/>
      </c>
      <c r="M261" s="68">
        <f>IF($J261="",0,$K261*MAX(0,MIN(YEAR($C$3)*12+MONTH($C$3)-1,YEAR($I261)*12+MONTH($I261))-(YEAR($H261)*12+MONTH($H261))+1))</f>
        <v/>
      </c>
      <c r="N261" s="68">
        <f>IF(OR($J261="",$B261=""),0,IF(YEAR($B261)*12+MONTH($B261)&lt;=YEAR($C$3)*12+MONTH($C$3),$G261,0))</f>
        <v/>
      </c>
      <c r="O261" s="68">
        <f>IF(OR($J261="",$B261=""),0,IF(YEAR($B261)*12+MONTH($B261)&lt;=YEAR($C$3)*12+MONTH($C$3)-1,$G261,0))</f>
        <v/>
      </c>
      <c r="P261" s="68">
        <f>$M261-$O261</f>
        <v/>
      </c>
      <c r="Q261" s="68">
        <f>($L261-$M261)-($N261-$O261)</f>
        <v/>
      </c>
      <c r="R261" s="68">
        <f>$L261-$N261</f>
        <v/>
      </c>
      <c r="S261" s="67">
        <f>"Finance invoice"</f>
        <v/>
      </c>
      <c r="T261" s="67">
        <f>"Revenue"</f>
        <v/>
      </c>
    </row>
    <row r="262">
      <c r="A262" s="65">
        <f>ROW()-5</f>
        <v/>
      </c>
      <c r="B262" s="66">
        <f>IFERROR(INDEX(tbl_Finance[Date],$A262),"")</f>
        <v/>
      </c>
      <c r="C262" s="67">
        <f>IFERROR(INDEX(tbl_Finance[Xero Invoice No],$A262),"")</f>
        <v/>
      </c>
      <c r="D262" s="67">
        <f>IFERROR(INDEX(tbl_Finance[Client],$A262),"")</f>
        <v/>
      </c>
      <c r="E262" s="67">
        <f>IFERROR(INDEX(tbl_Finance[Job Number],$A262),"")</f>
        <v/>
      </c>
      <c r="F262" s="67">
        <f>IFERROR(INDEX(tbl_Finance[Cost Centre],$A262),"")</f>
        <v/>
      </c>
      <c r="G262" s="68">
        <f>IFERROR(INDEX(tbl_Finance[Ex GST],$A262),"")</f>
        <v/>
      </c>
      <c r="H262" s="66">
        <f>IFERROR(INDEX(tbl_Finance[Defer Start],$A262),"")</f>
        <v/>
      </c>
      <c r="I262" s="66">
        <f>IFERROR(INDEX(tbl_Finance[Defer End],$A262),"")</f>
        <v/>
      </c>
      <c r="J262" s="65">
        <f>IF(OR($H262="",$I262="",$G262=""),"",MAX(1,(YEAR($I262)-YEAR($H262))*12+MONTH($I262)-MONTH($H262)+1))</f>
        <v/>
      </c>
      <c r="K262" s="68">
        <f>IF($J262="","",$G262/$J262)</f>
        <v/>
      </c>
      <c r="L262" s="68">
        <f>IF($J262="",0,$K262*MAX(0,MIN(YEAR($C$3)*12+MONTH($C$3),YEAR($I262)*12+MONTH($I262))-(YEAR($H262)*12+MONTH($H262))+1))</f>
        <v/>
      </c>
      <c r="M262" s="68">
        <f>IF($J262="",0,$K262*MAX(0,MIN(YEAR($C$3)*12+MONTH($C$3)-1,YEAR($I262)*12+MONTH($I262))-(YEAR($H262)*12+MONTH($H262))+1))</f>
        <v/>
      </c>
      <c r="N262" s="68">
        <f>IF(OR($J262="",$B262=""),0,IF(YEAR($B262)*12+MONTH($B262)&lt;=YEAR($C$3)*12+MONTH($C$3),$G262,0))</f>
        <v/>
      </c>
      <c r="O262" s="68">
        <f>IF(OR($J262="",$B262=""),0,IF(YEAR($B262)*12+MONTH($B262)&lt;=YEAR($C$3)*12+MONTH($C$3)-1,$G262,0))</f>
        <v/>
      </c>
      <c r="P262" s="68">
        <f>$M262-$O262</f>
        <v/>
      </c>
      <c r="Q262" s="68">
        <f>($L262-$M262)-($N262-$O262)</f>
        <v/>
      </c>
      <c r="R262" s="68">
        <f>$L262-$N262</f>
        <v/>
      </c>
      <c r="S262" s="67">
        <f>"Finance invoice"</f>
        <v/>
      </c>
      <c r="T262" s="67">
        <f>"Revenue"</f>
        <v/>
      </c>
    </row>
    <row r="263">
      <c r="A263" s="65">
        <f>ROW()-5</f>
        <v/>
      </c>
      <c r="B263" s="66">
        <f>IFERROR(INDEX(tbl_Finance[Date],$A263),"")</f>
        <v/>
      </c>
      <c r="C263" s="67">
        <f>IFERROR(INDEX(tbl_Finance[Xero Invoice No],$A263),"")</f>
        <v/>
      </c>
      <c r="D263" s="67">
        <f>IFERROR(INDEX(tbl_Finance[Client],$A263),"")</f>
        <v/>
      </c>
      <c r="E263" s="67">
        <f>IFERROR(INDEX(tbl_Finance[Job Number],$A263),"")</f>
        <v/>
      </c>
      <c r="F263" s="67">
        <f>IFERROR(INDEX(tbl_Finance[Cost Centre],$A263),"")</f>
        <v/>
      </c>
      <c r="G263" s="68">
        <f>IFERROR(INDEX(tbl_Finance[Ex GST],$A263),"")</f>
        <v/>
      </c>
      <c r="H263" s="66">
        <f>IFERROR(INDEX(tbl_Finance[Defer Start],$A263),"")</f>
        <v/>
      </c>
      <c r="I263" s="66">
        <f>IFERROR(INDEX(tbl_Finance[Defer End],$A263),"")</f>
        <v/>
      </c>
      <c r="J263" s="65">
        <f>IF(OR($H263="",$I263="",$G263=""),"",MAX(1,(YEAR($I263)-YEAR($H263))*12+MONTH($I263)-MONTH($H263)+1))</f>
        <v/>
      </c>
      <c r="K263" s="68">
        <f>IF($J263="","",$G263/$J263)</f>
        <v/>
      </c>
      <c r="L263" s="68">
        <f>IF($J263="",0,$K263*MAX(0,MIN(YEAR($C$3)*12+MONTH($C$3),YEAR($I263)*12+MONTH($I263))-(YEAR($H263)*12+MONTH($H263))+1))</f>
        <v/>
      </c>
      <c r="M263" s="68">
        <f>IF($J263="",0,$K263*MAX(0,MIN(YEAR($C$3)*12+MONTH($C$3)-1,YEAR($I263)*12+MONTH($I263))-(YEAR($H263)*12+MONTH($H263))+1))</f>
        <v/>
      </c>
      <c r="N263" s="68">
        <f>IF(OR($J263="",$B263=""),0,IF(YEAR($B263)*12+MONTH($B263)&lt;=YEAR($C$3)*12+MONTH($C$3),$G263,0))</f>
        <v/>
      </c>
      <c r="O263" s="68">
        <f>IF(OR($J263="",$B263=""),0,IF(YEAR($B263)*12+MONTH($B263)&lt;=YEAR($C$3)*12+MONTH($C$3)-1,$G263,0))</f>
        <v/>
      </c>
      <c r="P263" s="68">
        <f>$M263-$O263</f>
        <v/>
      </c>
      <c r="Q263" s="68">
        <f>($L263-$M263)-($N263-$O263)</f>
        <v/>
      </c>
      <c r="R263" s="68">
        <f>$L263-$N263</f>
        <v/>
      </c>
      <c r="S263" s="67">
        <f>"Finance invoice"</f>
        <v/>
      </c>
      <c r="T263" s="67">
        <f>"Revenue"</f>
        <v/>
      </c>
    </row>
    <row r="264">
      <c r="A264" s="65">
        <f>ROW()-5</f>
        <v/>
      </c>
      <c r="B264" s="66">
        <f>IFERROR(INDEX(tbl_Finance[Date],$A264),"")</f>
        <v/>
      </c>
      <c r="C264" s="67">
        <f>IFERROR(INDEX(tbl_Finance[Xero Invoice No],$A264),"")</f>
        <v/>
      </c>
      <c r="D264" s="67">
        <f>IFERROR(INDEX(tbl_Finance[Client],$A264),"")</f>
        <v/>
      </c>
      <c r="E264" s="67">
        <f>IFERROR(INDEX(tbl_Finance[Job Number],$A264),"")</f>
        <v/>
      </c>
      <c r="F264" s="67">
        <f>IFERROR(INDEX(tbl_Finance[Cost Centre],$A264),"")</f>
        <v/>
      </c>
      <c r="G264" s="68">
        <f>IFERROR(INDEX(tbl_Finance[Ex GST],$A264),"")</f>
        <v/>
      </c>
      <c r="H264" s="66">
        <f>IFERROR(INDEX(tbl_Finance[Defer Start],$A264),"")</f>
        <v/>
      </c>
      <c r="I264" s="66">
        <f>IFERROR(INDEX(tbl_Finance[Defer End],$A264),"")</f>
        <v/>
      </c>
      <c r="J264" s="65">
        <f>IF(OR($H264="",$I264="",$G264=""),"",MAX(1,(YEAR($I264)-YEAR($H264))*12+MONTH($I264)-MONTH($H264)+1))</f>
        <v/>
      </c>
      <c r="K264" s="68">
        <f>IF($J264="","",$G264/$J264)</f>
        <v/>
      </c>
      <c r="L264" s="68">
        <f>IF($J264="",0,$K264*MAX(0,MIN(YEAR($C$3)*12+MONTH($C$3),YEAR($I264)*12+MONTH($I264))-(YEAR($H264)*12+MONTH($H264))+1))</f>
        <v/>
      </c>
      <c r="M264" s="68">
        <f>IF($J264="",0,$K264*MAX(0,MIN(YEAR($C$3)*12+MONTH($C$3)-1,YEAR($I264)*12+MONTH($I264))-(YEAR($H264)*12+MONTH($H264))+1))</f>
        <v/>
      </c>
      <c r="N264" s="68">
        <f>IF(OR($J264="",$B264=""),0,IF(YEAR($B264)*12+MONTH($B264)&lt;=YEAR($C$3)*12+MONTH($C$3),$G264,0))</f>
        <v/>
      </c>
      <c r="O264" s="68">
        <f>IF(OR($J264="",$B264=""),0,IF(YEAR($B264)*12+MONTH($B264)&lt;=YEAR($C$3)*12+MONTH($C$3)-1,$G264,0))</f>
        <v/>
      </c>
      <c r="P264" s="68">
        <f>$M264-$O264</f>
        <v/>
      </c>
      <c r="Q264" s="68">
        <f>($L264-$M264)-($N264-$O264)</f>
        <v/>
      </c>
      <c r="R264" s="68">
        <f>$L264-$N264</f>
        <v/>
      </c>
      <c r="S264" s="67">
        <f>"Finance invoice"</f>
        <v/>
      </c>
      <c r="T264" s="67">
        <f>"Revenue"</f>
        <v/>
      </c>
    </row>
    <row r="265">
      <c r="A265" s="65">
        <f>ROW()-5</f>
        <v/>
      </c>
      <c r="B265" s="66">
        <f>IFERROR(INDEX(tbl_Finance[Date],$A265),"")</f>
        <v/>
      </c>
      <c r="C265" s="67">
        <f>IFERROR(INDEX(tbl_Finance[Xero Invoice No],$A265),"")</f>
        <v/>
      </c>
      <c r="D265" s="67">
        <f>IFERROR(INDEX(tbl_Finance[Client],$A265),"")</f>
        <v/>
      </c>
      <c r="E265" s="67">
        <f>IFERROR(INDEX(tbl_Finance[Job Number],$A265),"")</f>
        <v/>
      </c>
      <c r="F265" s="67">
        <f>IFERROR(INDEX(tbl_Finance[Cost Centre],$A265),"")</f>
        <v/>
      </c>
      <c r="G265" s="68">
        <f>IFERROR(INDEX(tbl_Finance[Ex GST],$A265),"")</f>
        <v/>
      </c>
      <c r="H265" s="66">
        <f>IFERROR(INDEX(tbl_Finance[Defer Start],$A265),"")</f>
        <v/>
      </c>
      <c r="I265" s="66">
        <f>IFERROR(INDEX(tbl_Finance[Defer End],$A265),"")</f>
        <v/>
      </c>
      <c r="J265" s="65">
        <f>IF(OR($H265="",$I265="",$G265=""),"",MAX(1,(YEAR($I265)-YEAR($H265))*12+MONTH($I265)-MONTH($H265)+1))</f>
        <v/>
      </c>
      <c r="K265" s="68">
        <f>IF($J265="","",$G265/$J265)</f>
        <v/>
      </c>
      <c r="L265" s="68">
        <f>IF($J265="",0,$K265*MAX(0,MIN(YEAR($C$3)*12+MONTH($C$3),YEAR($I265)*12+MONTH($I265))-(YEAR($H265)*12+MONTH($H265))+1))</f>
        <v/>
      </c>
      <c r="M265" s="68">
        <f>IF($J265="",0,$K265*MAX(0,MIN(YEAR($C$3)*12+MONTH($C$3)-1,YEAR($I265)*12+MONTH($I265))-(YEAR($H265)*12+MONTH($H265))+1))</f>
        <v/>
      </c>
      <c r="N265" s="68">
        <f>IF(OR($J265="",$B265=""),0,IF(YEAR($B265)*12+MONTH($B265)&lt;=YEAR($C$3)*12+MONTH($C$3),$G265,0))</f>
        <v/>
      </c>
      <c r="O265" s="68">
        <f>IF(OR($J265="",$B265=""),0,IF(YEAR($B265)*12+MONTH($B265)&lt;=YEAR($C$3)*12+MONTH($C$3)-1,$G265,0))</f>
        <v/>
      </c>
      <c r="P265" s="68">
        <f>$M265-$O265</f>
        <v/>
      </c>
      <c r="Q265" s="68">
        <f>($L265-$M265)-($N265-$O265)</f>
        <v/>
      </c>
      <c r="R265" s="68">
        <f>$L265-$N265</f>
        <v/>
      </c>
      <c r="S265" s="67">
        <f>"Finance invoice"</f>
        <v/>
      </c>
      <c r="T265" s="67">
        <f>"Revenue"</f>
        <v/>
      </c>
    </row>
    <row r="266">
      <c r="A266" s="65">
        <f>ROW()-5</f>
        <v/>
      </c>
      <c r="B266" s="66">
        <f>IFERROR(INDEX(tbl_Finance[Date],$A266),"")</f>
        <v/>
      </c>
      <c r="C266" s="67">
        <f>IFERROR(INDEX(tbl_Finance[Xero Invoice No],$A266),"")</f>
        <v/>
      </c>
      <c r="D266" s="67">
        <f>IFERROR(INDEX(tbl_Finance[Client],$A266),"")</f>
        <v/>
      </c>
      <c r="E266" s="67">
        <f>IFERROR(INDEX(tbl_Finance[Job Number],$A266),"")</f>
        <v/>
      </c>
      <c r="F266" s="67">
        <f>IFERROR(INDEX(tbl_Finance[Cost Centre],$A266),"")</f>
        <v/>
      </c>
      <c r="G266" s="68">
        <f>IFERROR(INDEX(tbl_Finance[Ex GST],$A266),"")</f>
        <v/>
      </c>
      <c r="H266" s="66">
        <f>IFERROR(INDEX(tbl_Finance[Defer Start],$A266),"")</f>
        <v/>
      </c>
      <c r="I266" s="66">
        <f>IFERROR(INDEX(tbl_Finance[Defer End],$A266),"")</f>
        <v/>
      </c>
      <c r="J266" s="65">
        <f>IF(OR($H266="",$I266="",$G266=""),"",MAX(1,(YEAR($I266)-YEAR($H266))*12+MONTH($I266)-MONTH($H266)+1))</f>
        <v/>
      </c>
      <c r="K266" s="68">
        <f>IF($J266="","",$G266/$J266)</f>
        <v/>
      </c>
      <c r="L266" s="68">
        <f>IF($J266="",0,$K266*MAX(0,MIN(YEAR($C$3)*12+MONTH($C$3),YEAR($I266)*12+MONTH($I266))-(YEAR($H266)*12+MONTH($H266))+1))</f>
        <v/>
      </c>
      <c r="M266" s="68">
        <f>IF($J266="",0,$K266*MAX(0,MIN(YEAR($C$3)*12+MONTH($C$3)-1,YEAR($I266)*12+MONTH($I266))-(YEAR($H266)*12+MONTH($H266))+1))</f>
        <v/>
      </c>
      <c r="N266" s="68">
        <f>IF(OR($J266="",$B266=""),0,IF(YEAR($B266)*12+MONTH($B266)&lt;=YEAR($C$3)*12+MONTH($C$3),$G266,0))</f>
        <v/>
      </c>
      <c r="O266" s="68">
        <f>IF(OR($J266="",$B266=""),0,IF(YEAR($B266)*12+MONTH($B266)&lt;=YEAR($C$3)*12+MONTH($C$3)-1,$G266,0))</f>
        <v/>
      </c>
      <c r="P266" s="68">
        <f>$M266-$O266</f>
        <v/>
      </c>
      <c r="Q266" s="68">
        <f>($L266-$M266)-($N266-$O266)</f>
        <v/>
      </c>
      <c r="R266" s="68">
        <f>$L266-$N266</f>
        <v/>
      </c>
      <c r="S266" s="67">
        <f>"Finance invoice"</f>
        <v/>
      </c>
      <c r="T266" s="67">
        <f>"Revenue"</f>
        <v/>
      </c>
    </row>
    <row r="267">
      <c r="A267" s="65">
        <f>ROW()-5</f>
        <v/>
      </c>
      <c r="B267" s="66">
        <f>IFERROR(INDEX(tbl_Finance[Date],$A267),"")</f>
        <v/>
      </c>
      <c r="C267" s="67">
        <f>IFERROR(INDEX(tbl_Finance[Xero Invoice No],$A267),"")</f>
        <v/>
      </c>
      <c r="D267" s="67">
        <f>IFERROR(INDEX(tbl_Finance[Client],$A267),"")</f>
        <v/>
      </c>
      <c r="E267" s="67">
        <f>IFERROR(INDEX(tbl_Finance[Job Number],$A267),"")</f>
        <v/>
      </c>
      <c r="F267" s="67">
        <f>IFERROR(INDEX(tbl_Finance[Cost Centre],$A267),"")</f>
        <v/>
      </c>
      <c r="G267" s="68">
        <f>IFERROR(INDEX(tbl_Finance[Ex GST],$A267),"")</f>
        <v/>
      </c>
      <c r="H267" s="66">
        <f>IFERROR(INDEX(tbl_Finance[Defer Start],$A267),"")</f>
        <v/>
      </c>
      <c r="I267" s="66">
        <f>IFERROR(INDEX(tbl_Finance[Defer End],$A267),"")</f>
        <v/>
      </c>
      <c r="J267" s="65">
        <f>IF(OR($H267="",$I267="",$G267=""),"",MAX(1,(YEAR($I267)-YEAR($H267))*12+MONTH($I267)-MONTH($H267)+1))</f>
        <v/>
      </c>
      <c r="K267" s="68">
        <f>IF($J267="","",$G267/$J267)</f>
        <v/>
      </c>
      <c r="L267" s="68">
        <f>IF($J267="",0,$K267*MAX(0,MIN(YEAR($C$3)*12+MONTH($C$3),YEAR($I267)*12+MONTH($I267))-(YEAR($H267)*12+MONTH($H267))+1))</f>
        <v/>
      </c>
      <c r="M267" s="68">
        <f>IF($J267="",0,$K267*MAX(0,MIN(YEAR($C$3)*12+MONTH($C$3)-1,YEAR($I267)*12+MONTH($I267))-(YEAR($H267)*12+MONTH($H267))+1))</f>
        <v/>
      </c>
      <c r="N267" s="68">
        <f>IF(OR($J267="",$B267=""),0,IF(YEAR($B267)*12+MONTH($B267)&lt;=YEAR($C$3)*12+MONTH($C$3),$G267,0))</f>
        <v/>
      </c>
      <c r="O267" s="68">
        <f>IF(OR($J267="",$B267=""),0,IF(YEAR($B267)*12+MONTH($B267)&lt;=YEAR($C$3)*12+MONTH($C$3)-1,$G267,0))</f>
        <v/>
      </c>
      <c r="P267" s="68">
        <f>$M267-$O267</f>
        <v/>
      </c>
      <c r="Q267" s="68">
        <f>($L267-$M267)-($N267-$O267)</f>
        <v/>
      </c>
      <c r="R267" s="68">
        <f>$L267-$N267</f>
        <v/>
      </c>
      <c r="S267" s="67">
        <f>"Finance invoice"</f>
        <v/>
      </c>
      <c r="T267" s="67">
        <f>"Revenue"</f>
        <v/>
      </c>
    </row>
    <row r="268">
      <c r="A268" s="65">
        <f>ROW()-5</f>
        <v/>
      </c>
      <c r="B268" s="66">
        <f>IFERROR(INDEX(tbl_Finance[Date],$A268),"")</f>
        <v/>
      </c>
      <c r="C268" s="67">
        <f>IFERROR(INDEX(tbl_Finance[Xero Invoice No],$A268),"")</f>
        <v/>
      </c>
      <c r="D268" s="67">
        <f>IFERROR(INDEX(tbl_Finance[Client],$A268),"")</f>
        <v/>
      </c>
      <c r="E268" s="67">
        <f>IFERROR(INDEX(tbl_Finance[Job Number],$A268),"")</f>
        <v/>
      </c>
      <c r="F268" s="67">
        <f>IFERROR(INDEX(tbl_Finance[Cost Centre],$A268),"")</f>
        <v/>
      </c>
      <c r="G268" s="68">
        <f>IFERROR(INDEX(tbl_Finance[Ex GST],$A268),"")</f>
        <v/>
      </c>
      <c r="H268" s="66">
        <f>IFERROR(INDEX(tbl_Finance[Defer Start],$A268),"")</f>
        <v/>
      </c>
      <c r="I268" s="66">
        <f>IFERROR(INDEX(tbl_Finance[Defer End],$A268),"")</f>
        <v/>
      </c>
      <c r="J268" s="65">
        <f>IF(OR($H268="",$I268="",$G268=""),"",MAX(1,(YEAR($I268)-YEAR($H268))*12+MONTH($I268)-MONTH($H268)+1))</f>
        <v/>
      </c>
      <c r="K268" s="68">
        <f>IF($J268="","",$G268/$J268)</f>
        <v/>
      </c>
      <c r="L268" s="68">
        <f>IF($J268="",0,$K268*MAX(0,MIN(YEAR($C$3)*12+MONTH($C$3),YEAR($I268)*12+MONTH($I268))-(YEAR($H268)*12+MONTH($H268))+1))</f>
        <v/>
      </c>
      <c r="M268" s="68">
        <f>IF($J268="",0,$K268*MAX(0,MIN(YEAR($C$3)*12+MONTH($C$3)-1,YEAR($I268)*12+MONTH($I268))-(YEAR($H268)*12+MONTH($H268))+1))</f>
        <v/>
      </c>
      <c r="N268" s="68">
        <f>IF(OR($J268="",$B268=""),0,IF(YEAR($B268)*12+MONTH($B268)&lt;=YEAR($C$3)*12+MONTH($C$3),$G268,0))</f>
        <v/>
      </c>
      <c r="O268" s="68">
        <f>IF(OR($J268="",$B268=""),0,IF(YEAR($B268)*12+MONTH($B268)&lt;=YEAR($C$3)*12+MONTH($C$3)-1,$G268,0))</f>
        <v/>
      </c>
      <c r="P268" s="68">
        <f>$M268-$O268</f>
        <v/>
      </c>
      <c r="Q268" s="68">
        <f>($L268-$M268)-($N268-$O268)</f>
        <v/>
      </c>
      <c r="R268" s="68">
        <f>$L268-$N268</f>
        <v/>
      </c>
      <c r="S268" s="67">
        <f>"Finance invoice"</f>
        <v/>
      </c>
      <c r="T268" s="67">
        <f>"Revenue"</f>
        <v/>
      </c>
    </row>
    <row r="269">
      <c r="A269" s="65">
        <f>ROW()-5</f>
        <v/>
      </c>
      <c r="B269" s="66">
        <f>IFERROR(INDEX(tbl_Finance[Date],$A269),"")</f>
        <v/>
      </c>
      <c r="C269" s="67">
        <f>IFERROR(INDEX(tbl_Finance[Xero Invoice No],$A269),"")</f>
        <v/>
      </c>
      <c r="D269" s="67">
        <f>IFERROR(INDEX(tbl_Finance[Client],$A269),"")</f>
        <v/>
      </c>
      <c r="E269" s="67">
        <f>IFERROR(INDEX(tbl_Finance[Job Number],$A269),"")</f>
        <v/>
      </c>
      <c r="F269" s="67">
        <f>IFERROR(INDEX(tbl_Finance[Cost Centre],$A269),"")</f>
        <v/>
      </c>
      <c r="G269" s="68">
        <f>IFERROR(INDEX(tbl_Finance[Ex GST],$A269),"")</f>
        <v/>
      </c>
      <c r="H269" s="66">
        <f>IFERROR(INDEX(tbl_Finance[Defer Start],$A269),"")</f>
        <v/>
      </c>
      <c r="I269" s="66">
        <f>IFERROR(INDEX(tbl_Finance[Defer End],$A269),"")</f>
        <v/>
      </c>
      <c r="J269" s="65">
        <f>IF(OR($H269="",$I269="",$G269=""),"",MAX(1,(YEAR($I269)-YEAR($H269))*12+MONTH($I269)-MONTH($H269)+1))</f>
        <v/>
      </c>
      <c r="K269" s="68">
        <f>IF($J269="","",$G269/$J269)</f>
        <v/>
      </c>
      <c r="L269" s="68">
        <f>IF($J269="",0,$K269*MAX(0,MIN(YEAR($C$3)*12+MONTH($C$3),YEAR($I269)*12+MONTH($I269))-(YEAR($H269)*12+MONTH($H269))+1))</f>
        <v/>
      </c>
      <c r="M269" s="68">
        <f>IF($J269="",0,$K269*MAX(0,MIN(YEAR($C$3)*12+MONTH($C$3)-1,YEAR($I269)*12+MONTH($I269))-(YEAR($H269)*12+MONTH($H269))+1))</f>
        <v/>
      </c>
      <c r="N269" s="68">
        <f>IF(OR($J269="",$B269=""),0,IF(YEAR($B269)*12+MONTH($B269)&lt;=YEAR($C$3)*12+MONTH($C$3),$G269,0))</f>
        <v/>
      </c>
      <c r="O269" s="68">
        <f>IF(OR($J269="",$B269=""),0,IF(YEAR($B269)*12+MONTH($B269)&lt;=YEAR($C$3)*12+MONTH($C$3)-1,$G269,0))</f>
        <v/>
      </c>
      <c r="P269" s="68">
        <f>$M269-$O269</f>
        <v/>
      </c>
      <c r="Q269" s="68">
        <f>($L269-$M269)-($N269-$O269)</f>
        <v/>
      </c>
      <c r="R269" s="68">
        <f>$L269-$N269</f>
        <v/>
      </c>
      <c r="S269" s="67">
        <f>"Finance invoice"</f>
        <v/>
      </c>
      <c r="T269" s="67">
        <f>"Revenue"</f>
        <v/>
      </c>
    </row>
    <row r="270">
      <c r="A270" s="65">
        <f>ROW()-5</f>
        <v/>
      </c>
      <c r="B270" s="66">
        <f>IFERROR(INDEX(tbl_Finance[Date],$A270),"")</f>
        <v/>
      </c>
      <c r="C270" s="67">
        <f>IFERROR(INDEX(tbl_Finance[Xero Invoice No],$A270),"")</f>
        <v/>
      </c>
      <c r="D270" s="67">
        <f>IFERROR(INDEX(tbl_Finance[Client],$A270),"")</f>
        <v/>
      </c>
      <c r="E270" s="67">
        <f>IFERROR(INDEX(tbl_Finance[Job Number],$A270),"")</f>
        <v/>
      </c>
      <c r="F270" s="67">
        <f>IFERROR(INDEX(tbl_Finance[Cost Centre],$A270),"")</f>
        <v/>
      </c>
      <c r="G270" s="68">
        <f>IFERROR(INDEX(tbl_Finance[Ex GST],$A270),"")</f>
        <v/>
      </c>
      <c r="H270" s="66">
        <f>IFERROR(INDEX(tbl_Finance[Defer Start],$A270),"")</f>
        <v/>
      </c>
      <c r="I270" s="66">
        <f>IFERROR(INDEX(tbl_Finance[Defer End],$A270),"")</f>
        <v/>
      </c>
      <c r="J270" s="65">
        <f>IF(OR($H270="",$I270="",$G270=""),"",MAX(1,(YEAR($I270)-YEAR($H270))*12+MONTH($I270)-MONTH($H270)+1))</f>
        <v/>
      </c>
      <c r="K270" s="68">
        <f>IF($J270="","",$G270/$J270)</f>
        <v/>
      </c>
      <c r="L270" s="68">
        <f>IF($J270="",0,$K270*MAX(0,MIN(YEAR($C$3)*12+MONTH($C$3),YEAR($I270)*12+MONTH($I270))-(YEAR($H270)*12+MONTH($H270))+1))</f>
        <v/>
      </c>
      <c r="M270" s="68">
        <f>IF($J270="",0,$K270*MAX(0,MIN(YEAR($C$3)*12+MONTH($C$3)-1,YEAR($I270)*12+MONTH($I270))-(YEAR($H270)*12+MONTH($H270))+1))</f>
        <v/>
      </c>
      <c r="N270" s="68">
        <f>IF(OR($J270="",$B270=""),0,IF(YEAR($B270)*12+MONTH($B270)&lt;=YEAR($C$3)*12+MONTH($C$3),$G270,0))</f>
        <v/>
      </c>
      <c r="O270" s="68">
        <f>IF(OR($J270="",$B270=""),0,IF(YEAR($B270)*12+MONTH($B270)&lt;=YEAR($C$3)*12+MONTH($C$3)-1,$G270,0))</f>
        <v/>
      </c>
      <c r="P270" s="68">
        <f>$M270-$O270</f>
        <v/>
      </c>
      <c r="Q270" s="68">
        <f>($L270-$M270)-($N270-$O270)</f>
        <v/>
      </c>
      <c r="R270" s="68">
        <f>$L270-$N270</f>
        <v/>
      </c>
      <c r="S270" s="67">
        <f>"Finance invoice"</f>
        <v/>
      </c>
      <c r="T270" s="67">
        <f>"Revenue"</f>
        <v/>
      </c>
    </row>
    <row r="271">
      <c r="A271" s="65">
        <f>ROW()-5</f>
        <v/>
      </c>
      <c r="B271" s="66">
        <f>IFERROR(INDEX(tbl_Finance[Date],$A271),"")</f>
        <v/>
      </c>
      <c r="C271" s="67">
        <f>IFERROR(INDEX(tbl_Finance[Xero Invoice No],$A271),"")</f>
        <v/>
      </c>
      <c r="D271" s="67">
        <f>IFERROR(INDEX(tbl_Finance[Client],$A271),"")</f>
        <v/>
      </c>
      <c r="E271" s="67">
        <f>IFERROR(INDEX(tbl_Finance[Job Number],$A271),"")</f>
        <v/>
      </c>
      <c r="F271" s="67">
        <f>IFERROR(INDEX(tbl_Finance[Cost Centre],$A271),"")</f>
        <v/>
      </c>
      <c r="G271" s="68">
        <f>IFERROR(INDEX(tbl_Finance[Ex GST],$A271),"")</f>
        <v/>
      </c>
      <c r="H271" s="66">
        <f>IFERROR(INDEX(tbl_Finance[Defer Start],$A271),"")</f>
        <v/>
      </c>
      <c r="I271" s="66">
        <f>IFERROR(INDEX(tbl_Finance[Defer End],$A271),"")</f>
        <v/>
      </c>
      <c r="J271" s="65">
        <f>IF(OR($H271="",$I271="",$G271=""),"",MAX(1,(YEAR($I271)-YEAR($H271))*12+MONTH($I271)-MONTH($H271)+1))</f>
        <v/>
      </c>
      <c r="K271" s="68">
        <f>IF($J271="","",$G271/$J271)</f>
        <v/>
      </c>
      <c r="L271" s="68">
        <f>IF($J271="",0,$K271*MAX(0,MIN(YEAR($C$3)*12+MONTH($C$3),YEAR($I271)*12+MONTH($I271))-(YEAR($H271)*12+MONTH($H271))+1))</f>
        <v/>
      </c>
      <c r="M271" s="68">
        <f>IF($J271="",0,$K271*MAX(0,MIN(YEAR($C$3)*12+MONTH($C$3)-1,YEAR($I271)*12+MONTH($I271))-(YEAR($H271)*12+MONTH($H271))+1))</f>
        <v/>
      </c>
      <c r="N271" s="68">
        <f>IF(OR($J271="",$B271=""),0,IF(YEAR($B271)*12+MONTH($B271)&lt;=YEAR($C$3)*12+MONTH($C$3),$G271,0))</f>
        <v/>
      </c>
      <c r="O271" s="68">
        <f>IF(OR($J271="",$B271=""),0,IF(YEAR($B271)*12+MONTH($B271)&lt;=YEAR($C$3)*12+MONTH($C$3)-1,$G271,0))</f>
        <v/>
      </c>
      <c r="P271" s="68">
        <f>$M271-$O271</f>
        <v/>
      </c>
      <c r="Q271" s="68">
        <f>($L271-$M271)-($N271-$O271)</f>
        <v/>
      </c>
      <c r="R271" s="68">
        <f>$L271-$N271</f>
        <v/>
      </c>
      <c r="S271" s="67">
        <f>"Finance invoice"</f>
        <v/>
      </c>
      <c r="T271" s="67">
        <f>"Revenue"</f>
        <v/>
      </c>
    </row>
    <row r="272">
      <c r="A272" s="65">
        <f>ROW()-5</f>
        <v/>
      </c>
      <c r="B272" s="66">
        <f>IFERROR(INDEX(tbl_Finance[Date],$A272),"")</f>
        <v/>
      </c>
      <c r="C272" s="67">
        <f>IFERROR(INDEX(tbl_Finance[Xero Invoice No],$A272),"")</f>
        <v/>
      </c>
      <c r="D272" s="67">
        <f>IFERROR(INDEX(tbl_Finance[Client],$A272),"")</f>
        <v/>
      </c>
      <c r="E272" s="67">
        <f>IFERROR(INDEX(tbl_Finance[Job Number],$A272),"")</f>
        <v/>
      </c>
      <c r="F272" s="67">
        <f>IFERROR(INDEX(tbl_Finance[Cost Centre],$A272),"")</f>
        <v/>
      </c>
      <c r="G272" s="68">
        <f>IFERROR(INDEX(tbl_Finance[Ex GST],$A272),"")</f>
        <v/>
      </c>
      <c r="H272" s="66">
        <f>IFERROR(INDEX(tbl_Finance[Defer Start],$A272),"")</f>
        <v/>
      </c>
      <c r="I272" s="66">
        <f>IFERROR(INDEX(tbl_Finance[Defer End],$A272),"")</f>
        <v/>
      </c>
      <c r="J272" s="65">
        <f>IF(OR($H272="",$I272="",$G272=""),"",MAX(1,(YEAR($I272)-YEAR($H272))*12+MONTH($I272)-MONTH($H272)+1))</f>
        <v/>
      </c>
      <c r="K272" s="68">
        <f>IF($J272="","",$G272/$J272)</f>
        <v/>
      </c>
      <c r="L272" s="68">
        <f>IF($J272="",0,$K272*MAX(0,MIN(YEAR($C$3)*12+MONTH($C$3),YEAR($I272)*12+MONTH($I272))-(YEAR($H272)*12+MONTH($H272))+1))</f>
        <v/>
      </c>
      <c r="M272" s="68">
        <f>IF($J272="",0,$K272*MAX(0,MIN(YEAR($C$3)*12+MONTH($C$3)-1,YEAR($I272)*12+MONTH($I272))-(YEAR($H272)*12+MONTH($H272))+1))</f>
        <v/>
      </c>
      <c r="N272" s="68">
        <f>IF(OR($J272="",$B272=""),0,IF(YEAR($B272)*12+MONTH($B272)&lt;=YEAR($C$3)*12+MONTH($C$3),$G272,0))</f>
        <v/>
      </c>
      <c r="O272" s="68">
        <f>IF(OR($J272="",$B272=""),0,IF(YEAR($B272)*12+MONTH($B272)&lt;=YEAR($C$3)*12+MONTH($C$3)-1,$G272,0))</f>
        <v/>
      </c>
      <c r="P272" s="68">
        <f>$M272-$O272</f>
        <v/>
      </c>
      <c r="Q272" s="68">
        <f>($L272-$M272)-($N272-$O272)</f>
        <v/>
      </c>
      <c r="R272" s="68">
        <f>$L272-$N272</f>
        <v/>
      </c>
      <c r="S272" s="67">
        <f>"Finance invoice"</f>
        <v/>
      </c>
      <c r="T272" s="67">
        <f>"Revenue"</f>
        <v/>
      </c>
    </row>
    <row r="273">
      <c r="A273" s="65">
        <f>ROW()-5</f>
        <v/>
      </c>
      <c r="B273" s="66">
        <f>IFERROR(INDEX(tbl_Finance[Date],$A273),"")</f>
        <v/>
      </c>
      <c r="C273" s="67">
        <f>IFERROR(INDEX(tbl_Finance[Xero Invoice No],$A273),"")</f>
        <v/>
      </c>
      <c r="D273" s="67">
        <f>IFERROR(INDEX(tbl_Finance[Client],$A273),"")</f>
        <v/>
      </c>
      <c r="E273" s="67">
        <f>IFERROR(INDEX(tbl_Finance[Job Number],$A273),"")</f>
        <v/>
      </c>
      <c r="F273" s="67">
        <f>IFERROR(INDEX(tbl_Finance[Cost Centre],$A273),"")</f>
        <v/>
      </c>
      <c r="G273" s="68">
        <f>IFERROR(INDEX(tbl_Finance[Ex GST],$A273),"")</f>
        <v/>
      </c>
      <c r="H273" s="66">
        <f>IFERROR(INDEX(tbl_Finance[Defer Start],$A273),"")</f>
        <v/>
      </c>
      <c r="I273" s="66">
        <f>IFERROR(INDEX(tbl_Finance[Defer End],$A273),"")</f>
        <v/>
      </c>
      <c r="J273" s="65">
        <f>IF(OR($H273="",$I273="",$G273=""),"",MAX(1,(YEAR($I273)-YEAR($H273))*12+MONTH($I273)-MONTH($H273)+1))</f>
        <v/>
      </c>
      <c r="K273" s="68">
        <f>IF($J273="","",$G273/$J273)</f>
        <v/>
      </c>
      <c r="L273" s="68">
        <f>IF($J273="",0,$K273*MAX(0,MIN(YEAR($C$3)*12+MONTH($C$3),YEAR($I273)*12+MONTH($I273))-(YEAR($H273)*12+MONTH($H273))+1))</f>
        <v/>
      </c>
      <c r="M273" s="68">
        <f>IF($J273="",0,$K273*MAX(0,MIN(YEAR($C$3)*12+MONTH($C$3)-1,YEAR($I273)*12+MONTH($I273))-(YEAR($H273)*12+MONTH($H273))+1))</f>
        <v/>
      </c>
      <c r="N273" s="68">
        <f>IF(OR($J273="",$B273=""),0,IF(YEAR($B273)*12+MONTH($B273)&lt;=YEAR($C$3)*12+MONTH($C$3),$G273,0))</f>
        <v/>
      </c>
      <c r="O273" s="68">
        <f>IF(OR($J273="",$B273=""),0,IF(YEAR($B273)*12+MONTH($B273)&lt;=YEAR($C$3)*12+MONTH($C$3)-1,$G273,0))</f>
        <v/>
      </c>
      <c r="P273" s="68">
        <f>$M273-$O273</f>
        <v/>
      </c>
      <c r="Q273" s="68">
        <f>($L273-$M273)-($N273-$O273)</f>
        <v/>
      </c>
      <c r="R273" s="68">
        <f>$L273-$N273</f>
        <v/>
      </c>
      <c r="S273" s="67">
        <f>"Finance invoice"</f>
        <v/>
      </c>
      <c r="T273" s="67">
        <f>"Revenue"</f>
        <v/>
      </c>
    </row>
    <row r="274">
      <c r="A274" s="65">
        <f>ROW()-5</f>
        <v/>
      </c>
      <c r="B274" s="66">
        <f>IFERROR(INDEX(tbl_Finance[Date],$A274),"")</f>
        <v/>
      </c>
      <c r="C274" s="67">
        <f>IFERROR(INDEX(tbl_Finance[Xero Invoice No],$A274),"")</f>
        <v/>
      </c>
      <c r="D274" s="67">
        <f>IFERROR(INDEX(tbl_Finance[Client],$A274),"")</f>
        <v/>
      </c>
      <c r="E274" s="67">
        <f>IFERROR(INDEX(tbl_Finance[Job Number],$A274),"")</f>
        <v/>
      </c>
      <c r="F274" s="67">
        <f>IFERROR(INDEX(tbl_Finance[Cost Centre],$A274),"")</f>
        <v/>
      </c>
      <c r="G274" s="68">
        <f>IFERROR(INDEX(tbl_Finance[Ex GST],$A274),"")</f>
        <v/>
      </c>
      <c r="H274" s="66">
        <f>IFERROR(INDEX(tbl_Finance[Defer Start],$A274),"")</f>
        <v/>
      </c>
      <c r="I274" s="66">
        <f>IFERROR(INDEX(tbl_Finance[Defer End],$A274),"")</f>
        <v/>
      </c>
      <c r="J274" s="65">
        <f>IF(OR($H274="",$I274="",$G274=""),"",MAX(1,(YEAR($I274)-YEAR($H274))*12+MONTH($I274)-MONTH($H274)+1))</f>
        <v/>
      </c>
      <c r="K274" s="68">
        <f>IF($J274="","",$G274/$J274)</f>
        <v/>
      </c>
      <c r="L274" s="68">
        <f>IF($J274="",0,$K274*MAX(0,MIN(YEAR($C$3)*12+MONTH($C$3),YEAR($I274)*12+MONTH($I274))-(YEAR($H274)*12+MONTH($H274))+1))</f>
        <v/>
      </c>
      <c r="M274" s="68">
        <f>IF($J274="",0,$K274*MAX(0,MIN(YEAR($C$3)*12+MONTH($C$3)-1,YEAR($I274)*12+MONTH($I274))-(YEAR($H274)*12+MONTH($H274))+1))</f>
        <v/>
      </c>
      <c r="N274" s="68">
        <f>IF(OR($J274="",$B274=""),0,IF(YEAR($B274)*12+MONTH($B274)&lt;=YEAR($C$3)*12+MONTH($C$3),$G274,0))</f>
        <v/>
      </c>
      <c r="O274" s="68">
        <f>IF(OR($J274="",$B274=""),0,IF(YEAR($B274)*12+MONTH($B274)&lt;=YEAR($C$3)*12+MONTH($C$3)-1,$G274,0))</f>
        <v/>
      </c>
      <c r="P274" s="68">
        <f>$M274-$O274</f>
        <v/>
      </c>
      <c r="Q274" s="68">
        <f>($L274-$M274)-($N274-$O274)</f>
        <v/>
      </c>
      <c r="R274" s="68">
        <f>$L274-$N274</f>
        <v/>
      </c>
      <c r="S274" s="67">
        <f>"Finance invoice"</f>
        <v/>
      </c>
      <c r="T274" s="67">
        <f>"Revenue"</f>
        <v/>
      </c>
    </row>
    <row r="275">
      <c r="A275" s="65">
        <f>ROW()-5</f>
        <v/>
      </c>
      <c r="B275" s="66">
        <f>IFERROR(INDEX(tbl_Finance[Date],$A275),"")</f>
        <v/>
      </c>
      <c r="C275" s="67">
        <f>IFERROR(INDEX(tbl_Finance[Xero Invoice No],$A275),"")</f>
        <v/>
      </c>
      <c r="D275" s="67">
        <f>IFERROR(INDEX(tbl_Finance[Client],$A275),"")</f>
        <v/>
      </c>
      <c r="E275" s="67">
        <f>IFERROR(INDEX(tbl_Finance[Job Number],$A275),"")</f>
        <v/>
      </c>
      <c r="F275" s="67">
        <f>IFERROR(INDEX(tbl_Finance[Cost Centre],$A275),"")</f>
        <v/>
      </c>
      <c r="G275" s="68">
        <f>IFERROR(INDEX(tbl_Finance[Ex GST],$A275),"")</f>
        <v/>
      </c>
      <c r="H275" s="66">
        <f>IFERROR(INDEX(tbl_Finance[Defer Start],$A275),"")</f>
        <v/>
      </c>
      <c r="I275" s="66">
        <f>IFERROR(INDEX(tbl_Finance[Defer End],$A275),"")</f>
        <v/>
      </c>
      <c r="J275" s="65">
        <f>IF(OR($H275="",$I275="",$G275=""),"",MAX(1,(YEAR($I275)-YEAR($H275))*12+MONTH($I275)-MONTH($H275)+1))</f>
        <v/>
      </c>
      <c r="K275" s="68">
        <f>IF($J275="","",$G275/$J275)</f>
        <v/>
      </c>
      <c r="L275" s="68">
        <f>IF($J275="",0,$K275*MAX(0,MIN(YEAR($C$3)*12+MONTH($C$3),YEAR($I275)*12+MONTH($I275))-(YEAR($H275)*12+MONTH($H275))+1))</f>
        <v/>
      </c>
      <c r="M275" s="68">
        <f>IF($J275="",0,$K275*MAX(0,MIN(YEAR($C$3)*12+MONTH($C$3)-1,YEAR($I275)*12+MONTH($I275))-(YEAR($H275)*12+MONTH($H275))+1))</f>
        <v/>
      </c>
      <c r="N275" s="68">
        <f>IF(OR($J275="",$B275=""),0,IF(YEAR($B275)*12+MONTH($B275)&lt;=YEAR($C$3)*12+MONTH($C$3),$G275,0))</f>
        <v/>
      </c>
      <c r="O275" s="68">
        <f>IF(OR($J275="",$B275=""),0,IF(YEAR($B275)*12+MONTH($B275)&lt;=YEAR($C$3)*12+MONTH($C$3)-1,$G275,0))</f>
        <v/>
      </c>
      <c r="P275" s="68">
        <f>$M275-$O275</f>
        <v/>
      </c>
      <c r="Q275" s="68">
        <f>($L275-$M275)-($N275-$O275)</f>
        <v/>
      </c>
      <c r="R275" s="68">
        <f>$L275-$N275</f>
        <v/>
      </c>
      <c r="S275" s="67">
        <f>"Finance invoice"</f>
        <v/>
      </c>
      <c r="T275" s="67">
        <f>"Revenue"</f>
        <v/>
      </c>
    </row>
    <row r="276">
      <c r="A276" s="65">
        <f>ROW()-5</f>
        <v/>
      </c>
      <c r="B276" s="66">
        <f>IFERROR(INDEX(tbl_Finance[Date],$A276),"")</f>
        <v/>
      </c>
      <c r="C276" s="67">
        <f>IFERROR(INDEX(tbl_Finance[Xero Invoice No],$A276),"")</f>
        <v/>
      </c>
      <c r="D276" s="67">
        <f>IFERROR(INDEX(tbl_Finance[Client],$A276),"")</f>
        <v/>
      </c>
      <c r="E276" s="67">
        <f>IFERROR(INDEX(tbl_Finance[Job Number],$A276),"")</f>
        <v/>
      </c>
      <c r="F276" s="67">
        <f>IFERROR(INDEX(tbl_Finance[Cost Centre],$A276),"")</f>
        <v/>
      </c>
      <c r="G276" s="68">
        <f>IFERROR(INDEX(tbl_Finance[Ex GST],$A276),"")</f>
        <v/>
      </c>
      <c r="H276" s="66">
        <f>IFERROR(INDEX(tbl_Finance[Defer Start],$A276),"")</f>
        <v/>
      </c>
      <c r="I276" s="66">
        <f>IFERROR(INDEX(tbl_Finance[Defer End],$A276),"")</f>
        <v/>
      </c>
      <c r="J276" s="65">
        <f>IF(OR($H276="",$I276="",$G276=""),"",MAX(1,(YEAR($I276)-YEAR($H276))*12+MONTH($I276)-MONTH($H276)+1))</f>
        <v/>
      </c>
      <c r="K276" s="68">
        <f>IF($J276="","",$G276/$J276)</f>
        <v/>
      </c>
      <c r="L276" s="68">
        <f>IF($J276="",0,$K276*MAX(0,MIN(YEAR($C$3)*12+MONTH($C$3),YEAR($I276)*12+MONTH($I276))-(YEAR($H276)*12+MONTH($H276))+1))</f>
        <v/>
      </c>
      <c r="M276" s="68">
        <f>IF($J276="",0,$K276*MAX(0,MIN(YEAR($C$3)*12+MONTH($C$3)-1,YEAR($I276)*12+MONTH($I276))-(YEAR($H276)*12+MONTH($H276))+1))</f>
        <v/>
      </c>
      <c r="N276" s="68">
        <f>IF(OR($J276="",$B276=""),0,IF(YEAR($B276)*12+MONTH($B276)&lt;=YEAR($C$3)*12+MONTH($C$3),$G276,0))</f>
        <v/>
      </c>
      <c r="O276" s="68">
        <f>IF(OR($J276="",$B276=""),0,IF(YEAR($B276)*12+MONTH($B276)&lt;=YEAR($C$3)*12+MONTH($C$3)-1,$G276,0))</f>
        <v/>
      </c>
      <c r="P276" s="68">
        <f>$M276-$O276</f>
        <v/>
      </c>
      <c r="Q276" s="68">
        <f>($L276-$M276)-($N276-$O276)</f>
        <v/>
      </c>
      <c r="R276" s="68">
        <f>$L276-$N276</f>
        <v/>
      </c>
      <c r="S276" s="67">
        <f>"Finance invoice"</f>
        <v/>
      </c>
      <c r="T276" s="67">
        <f>"Revenue"</f>
        <v/>
      </c>
    </row>
    <row r="277">
      <c r="A277" s="65">
        <f>ROW()-5</f>
        <v/>
      </c>
      <c r="B277" s="66">
        <f>IFERROR(INDEX(tbl_Finance[Date],$A277),"")</f>
        <v/>
      </c>
      <c r="C277" s="67">
        <f>IFERROR(INDEX(tbl_Finance[Xero Invoice No],$A277),"")</f>
        <v/>
      </c>
      <c r="D277" s="67">
        <f>IFERROR(INDEX(tbl_Finance[Client],$A277),"")</f>
        <v/>
      </c>
      <c r="E277" s="67">
        <f>IFERROR(INDEX(tbl_Finance[Job Number],$A277),"")</f>
        <v/>
      </c>
      <c r="F277" s="67">
        <f>IFERROR(INDEX(tbl_Finance[Cost Centre],$A277),"")</f>
        <v/>
      </c>
      <c r="G277" s="68">
        <f>IFERROR(INDEX(tbl_Finance[Ex GST],$A277),"")</f>
        <v/>
      </c>
      <c r="H277" s="66">
        <f>IFERROR(INDEX(tbl_Finance[Defer Start],$A277),"")</f>
        <v/>
      </c>
      <c r="I277" s="66">
        <f>IFERROR(INDEX(tbl_Finance[Defer End],$A277),"")</f>
        <v/>
      </c>
      <c r="J277" s="65">
        <f>IF(OR($H277="",$I277="",$G277=""),"",MAX(1,(YEAR($I277)-YEAR($H277))*12+MONTH($I277)-MONTH($H277)+1))</f>
        <v/>
      </c>
      <c r="K277" s="68">
        <f>IF($J277="","",$G277/$J277)</f>
        <v/>
      </c>
      <c r="L277" s="68">
        <f>IF($J277="",0,$K277*MAX(0,MIN(YEAR($C$3)*12+MONTH($C$3),YEAR($I277)*12+MONTH($I277))-(YEAR($H277)*12+MONTH($H277))+1))</f>
        <v/>
      </c>
      <c r="M277" s="68">
        <f>IF($J277="",0,$K277*MAX(0,MIN(YEAR($C$3)*12+MONTH($C$3)-1,YEAR($I277)*12+MONTH($I277))-(YEAR($H277)*12+MONTH($H277))+1))</f>
        <v/>
      </c>
      <c r="N277" s="68">
        <f>IF(OR($J277="",$B277=""),0,IF(YEAR($B277)*12+MONTH($B277)&lt;=YEAR($C$3)*12+MONTH($C$3),$G277,0))</f>
        <v/>
      </c>
      <c r="O277" s="68">
        <f>IF(OR($J277="",$B277=""),0,IF(YEAR($B277)*12+MONTH($B277)&lt;=YEAR($C$3)*12+MONTH($C$3)-1,$G277,0))</f>
        <v/>
      </c>
      <c r="P277" s="68">
        <f>$M277-$O277</f>
        <v/>
      </c>
      <c r="Q277" s="68">
        <f>($L277-$M277)-($N277-$O277)</f>
        <v/>
      </c>
      <c r="R277" s="68">
        <f>$L277-$N277</f>
        <v/>
      </c>
      <c r="S277" s="67">
        <f>"Finance invoice"</f>
        <v/>
      </c>
      <c r="T277" s="67">
        <f>"Revenue"</f>
        <v/>
      </c>
    </row>
    <row r="278">
      <c r="A278" s="65">
        <f>ROW()-5</f>
        <v/>
      </c>
      <c r="B278" s="66">
        <f>IFERROR(INDEX(tbl_Finance[Date],$A278),"")</f>
        <v/>
      </c>
      <c r="C278" s="67">
        <f>IFERROR(INDEX(tbl_Finance[Xero Invoice No],$A278),"")</f>
        <v/>
      </c>
      <c r="D278" s="67">
        <f>IFERROR(INDEX(tbl_Finance[Client],$A278),"")</f>
        <v/>
      </c>
      <c r="E278" s="67">
        <f>IFERROR(INDEX(tbl_Finance[Job Number],$A278),"")</f>
        <v/>
      </c>
      <c r="F278" s="67">
        <f>IFERROR(INDEX(tbl_Finance[Cost Centre],$A278),"")</f>
        <v/>
      </c>
      <c r="G278" s="68">
        <f>IFERROR(INDEX(tbl_Finance[Ex GST],$A278),"")</f>
        <v/>
      </c>
      <c r="H278" s="66">
        <f>IFERROR(INDEX(tbl_Finance[Defer Start],$A278),"")</f>
        <v/>
      </c>
      <c r="I278" s="66">
        <f>IFERROR(INDEX(tbl_Finance[Defer End],$A278),"")</f>
        <v/>
      </c>
      <c r="J278" s="65">
        <f>IF(OR($H278="",$I278="",$G278=""),"",MAX(1,(YEAR($I278)-YEAR($H278))*12+MONTH($I278)-MONTH($H278)+1))</f>
        <v/>
      </c>
      <c r="K278" s="68">
        <f>IF($J278="","",$G278/$J278)</f>
        <v/>
      </c>
      <c r="L278" s="68">
        <f>IF($J278="",0,$K278*MAX(0,MIN(YEAR($C$3)*12+MONTH($C$3),YEAR($I278)*12+MONTH($I278))-(YEAR($H278)*12+MONTH($H278))+1))</f>
        <v/>
      </c>
      <c r="M278" s="68">
        <f>IF($J278="",0,$K278*MAX(0,MIN(YEAR($C$3)*12+MONTH($C$3)-1,YEAR($I278)*12+MONTH($I278))-(YEAR($H278)*12+MONTH($H278))+1))</f>
        <v/>
      </c>
      <c r="N278" s="68">
        <f>IF(OR($J278="",$B278=""),0,IF(YEAR($B278)*12+MONTH($B278)&lt;=YEAR($C$3)*12+MONTH($C$3),$G278,0))</f>
        <v/>
      </c>
      <c r="O278" s="68">
        <f>IF(OR($J278="",$B278=""),0,IF(YEAR($B278)*12+MONTH($B278)&lt;=YEAR($C$3)*12+MONTH($C$3)-1,$G278,0))</f>
        <v/>
      </c>
      <c r="P278" s="68">
        <f>$M278-$O278</f>
        <v/>
      </c>
      <c r="Q278" s="68">
        <f>($L278-$M278)-($N278-$O278)</f>
        <v/>
      </c>
      <c r="R278" s="68">
        <f>$L278-$N278</f>
        <v/>
      </c>
      <c r="S278" s="67">
        <f>"Finance invoice"</f>
        <v/>
      </c>
      <c r="T278" s="67">
        <f>"Revenue"</f>
        <v/>
      </c>
    </row>
    <row r="279">
      <c r="A279" s="65">
        <f>ROW()-5</f>
        <v/>
      </c>
      <c r="B279" s="66">
        <f>IFERROR(INDEX(tbl_Finance[Date],$A279),"")</f>
        <v/>
      </c>
      <c r="C279" s="67">
        <f>IFERROR(INDEX(tbl_Finance[Xero Invoice No],$A279),"")</f>
        <v/>
      </c>
      <c r="D279" s="67">
        <f>IFERROR(INDEX(tbl_Finance[Client],$A279),"")</f>
        <v/>
      </c>
      <c r="E279" s="67">
        <f>IFERROR(INDEX(tbl_Finance[Job Number],$A279),"")</f>
        <v/>
      </c>
      <c r="F279" s="67">
        <f>IFERROR(INDEX(tbl_Finance[Cost Centre],$A279),"")</f>
        <v/>
      </c>
      <c r="G279" s="68">
        <f>IFERROR(INDEX(tbl_Finance[Ex GST],$A279),"")</f>
        <v/>
      </c>
      <c r="H279" s="66">
        <f>IFERROR(INDEX(tbl_Finance[Defer Start],$A279),"")</f>
        <v/>
      </c>
      <c r="I279" s="66">
        <f>IFERROR(INDEX(tbl_Finance[Defer End],$A279),"")</f>
        <v/>
      </c>
      <c r="J279" s="65">
        <f>IF(OR($H279="",$I279="",$G279=""),"",MAX(1,(YEAR($I279)-YEAR($H279))*12+MONTH($I279)-MONTH($H279)+1))</f>
        <v/>
      </c>
      <c r="K279" s="68">
        <f>IF($J279="","",$G279/$J279)</f>
        <v/>
      </c>
      <c r="L279" s="68">
        <f>IF($J279="",0,$K279*MAX(0,MIN(YEAR($C$3)*12+MONTH($C$3),YEAR($I279)*12+MONTH($I279))-(YEAR($H279)*12+MONTH($H279))+1))</f>
        <v/>
      </c>
      <c r="M279" s="68">
        <f>IF($J279="",0,$K279*MAX(0,MIN(YEAR($C$3)*12+MONTH($C$3)-1,YEAR($I279)*12+MONTH($I279))-(YEAR($H279)*12+MONTH($H279))+1))</f>
        <v/>
      </c>
      <c r="N279" s="68">
        <f>IF(OR($J279="",$B279=""),0,IF(YEAR($B279)*12+MONTH($B279)&lt;=YEAR($C$3)*12+MONTH($C$3),$G279,0))</f>
        <v/>
      </c>
      <c r="O279" s="68">
        <f>IF(OR($J279="",$B279=""),0,IF(YEAR($B279)*12+MONTH($B279)&lt;=YEAR($C$3)*12+MONTH($C$3)-1,$G279,0))</f>
        <v/>
      </c>
      <c r="P279" s="68">
        <f>$M279-$O279</f>
        <v/>
      </c>
      <c r="Q279" s="68">
        <f>($L279-$M279)-($N279-$O279)</f>
        <v/>
      </c>
      <c r="R279" s="68">
        <f>$L279-$N279</f>
        <v/>
      </c>
      <c r="S279" s="67">
        <f>"Finance invoice"</f>
        <v/>
      </c>
      <c r="T279" s="67">
        <f>"Revenue"</f>
        <v/>
      </c>
    </row>
    <row r="280">
      <c r="A280" s="65">
        <f>ROW()-5</f>
        <v/>
      </c>
      <c r="B280" s="66">
        <f>IFERROR(INDEX(tbl_Finance[Date],$A280),"")</f>
        <v/>
      </c>
      <c r="C280" s="67">
        <f>IFERROR(INDEX(tbl_Finance[Xero Invoice No],$A280),"")</f>
        <v/>
      </c>
      <c r="D280" s="67">
        <f>IFERROR(INDEX(tbl_Finance[Client],$A280),"")</f>
        <v/>
      </c>
      <c r="E280" s="67">
        <f>IFERROR(INDEX(tbl_Finance[Job Number],$A280),"")</f>
        <v/>
      </c>
      <c r="F280" s="67">
        <f>IFERROR(INDEX(tbl_Finance[Cost Centre],$A280),"")</f>
        <v/>
      </c>
      <c r="G280" s="68">
        <f>IFERROR(INDEX(tbl_Finance[Ex GST],$A280),"")</f>
        <v/>
      </c>
      <c r="H280" s="66">
        <f>IFERROR(INDEX(tbl_Finance[Defer Start],$A280),"")</f>
        <v/>
      </c>
      <c r="I280" s="66">
        <f>IFERROR(INDEX(tbl_Finance[Defer End],$A280),"")</f>
        <v/>
      </c>
      <c r="J280" s="65">
        <f>IF(OR($H280="",$I280="",$G280=""),"",MAX(1,(YEAR($I280)-YEAR($H280))*12+MONTH($I280)-MONTH($H280)+1))</f>
        <v/>
      </c>
      <c r="K280" s="68">
        <f>IF($J280="","",$G280/$J280)</f>
        <v/>
      </c>
      <c r="L280" s="68">
        <f>IF($J280="",0,$K280*MAX(0,MIN(YEAR($C$3)*12+MONTH($C$3),YEAR($I280)*12+MONTH($I280))-(YEAR($H280)*12+MONTH($H280))+1))</f>
        <v/>
      </c>
      <c r="M280" s="68">
        <f>IF($J280="",0,$K280*MAX(0,MIN(YEAR($C$3)*12+MONTH($C$3)-1,YEAR($I280)*12+MONTH($I280))-(YEAR($H280)*12+MONTH($H280))+1))</f>
        <v/>
      </c>
      <c r="N280" s="68">
        <f>IF(OR($J280="",$B280=""),0,IF(YEAR($B280)*12+MONTH($B280)&lt;=YEAR($C$3)*12+MONTH($C$3),$G280,0))</f>
        <v/>
      </c>
      <c r="O280" s="68">
        <f>IF(OR($J280="",$B280=""),0,IF(YEAR($B280)*12+MONTH($B280)&lt;=YEAR($C$3)*12+MONTH($C$3)-1,$G280,0))</f>
        <v/>
      </c>
      <c r="P280" s="68">
        <f>$M280-$O280</f>
        <v/>
      </c>
      <c r="Q280" s="68">
        <f>($L280-$M280)-($N280-$O280)</f>
        <v/>
      </c>
      <c r="R280" s="68">
        <f>$L280-$N280</f>
        <v/>
      </c>
      <c r="S280" s="67">
        <f>"Finance invoice"</f>
        <v/>
      </c>
      <c r="T280" s="67">
        <f>"Revenue"</f>
        <v/>
      </c>
    </row>
    <row r="281">
      <c r="A281" s="65">
        <f>ROW()-5</f>
        <v/>
      </c>
      <c r="B281" s="66">
        <f>IFERROR(INDEX(tbl_Finance[Date],$A281),"")</f>
        <v/>
      </c>
      <c r="C281" s="67">
        <f>IFERROR(INDEX(tbl_Finance[Xero Invoice No],$A281),"")</f>
        <v/>
      </c>
      <c r="D281" s="67">
        <f>IFERROR(INDEX(tbl_Finance[Client],$A281),"")</f>
        <v/>
      </c>
      <c r="E281" s="67">
        <f>IFERROR(INDEX(tbl_Finance[Job Number],$A281),"")</f>
        <v/>
      </c>
      <c r="F281" s="67">
        <f>IFERROR(INDEX(tbl_Finance[Cost Centre],$A281),"")</f>
        <v/>
      </c>
      <c r="G281" s="68">
        <f>IFERROR(INDEX(tbl_Finance[Ex GST],$A281),"")</f>
        <v/>
      </c>
      <c r="H281" s="66">
        <f>IFERROR(INDEX(tbl_Finance[Defer Start],$A281),"")</f>
        <v/>
      </c>
      <c r="I281" s="66">
        <f>IFERROR(INDEX(tbl_Finance[Defer End],$A281),"")</f>
        <v/>
      </c>
      <c r="J281" s="65">
        <f>IF(OR($H281="",$I281="",$G281=""),"",MAX(1,(YEAR($I281)-YEAR($H281))*12+MONTH($I281)-MONTH($H281)+1))</f>
        <v/>
      </c>
      <c r="K281" s="68">
        <f>IF($J281="","",$G281/$J281)</f>
        <v/>
      </c>
      <c r="L281" s="68">
        <f>IF($J281="",0,$K281*MAX(0,MIN(YEAR($C$3)*12+MONTH($C$3),YEAR($I281)*12+MONTH($I281))-(YEAR($H281)*12+MONTH($H281))+1))</f>
        <v/>
      </c>
      <c r="M281" s="68">
        <f>IF($J281="",0,$K281*MAX(0,MIN(YEAR($C$3)*12+MONTH($C$3)-1,YEAR($I281)*12+MONTH($I281))-(YEAR($H281)*12+MONTH($H281))+1))</f>
        <v/>
      </c>
      <c r="N281" s="68">
        <f>IF(OR($J281="",$B281=""),0,IF(YEAR($B281)*12+MONTH($B281)&lt;=YEAR($C$3)*12+MONTH($C$3),$G281,0))</f>
        <v/>
      </c>
      <c r="O281" s="68">
        <f>IF(OR($J281="",$B281=""),0,IF(YEAR($B281)*12+MONTH($B281)&lt;=YEAR($C$3)*12+MONTH($C$3)-1,$G281,0))</f>
        <v/>
      </c>
      <c r="P281" s="68">
        <f>$M281-$O281</f>
        <v/>
      </c>
      <c r="Q281" s="68">
        <f>($L281-$M281)-($N281-$O281)</f>
        <v/>
      </c>
      <c r="R281" s="68">
        <f>$L281-$N281</f>
        <v/>
      </c>
      <c r="S281" s="67">
        <f>"Finance invoice"</f>
        <v/>
      </c>
      <c r="T281" s="67">
        <f>"Revenue"</f>
        <v/>
      </c>
    </row>
    <row r="282">
      <c r="A282" s="65">
        <f>ROW()-5</f>
        <v/>
      </c>
      <c r="B282" s="66">
        <f>IFERROR(INDEX(tbl_Finance[Date],$A282),"")</f>
        <v/>
      </c>
      <c r="C282" s="67">
        <f>IFERROR(INDEX(tbl_Finance[Xero Invoice No],$A282),"")</f>
        <v/>
      </c>
      <c r="D282" s="67">
        <f>IFERROR(INDEX(tbl_Finance[Client],$A282),"")</f>
        <v/>
      </c>
      <c r="E282" s="67">
        <f>IFERROR(INDEX(tbl_Finance[Job Number],$A282),"")</f>
        <v/>
      </c>
      <c r="F282" s="67">
        <f>IFERROR(INDEX(tbl_Finance[Cost Centre],$A282),"")</f>
        <v/>
      </c>
      <c r="G282" s="68">
        <f>IFERROR(INDEX(tbl_Finance[Ex GST],$A282),"")</f>
        <v/>
      </c>
      <c r="H282" s="66">
        <f>IFERROR(INDEX(tbl_Finance[Defer Start],$A282),"")</f>
        <v/>
      </c>
      <c r="I282" s="66">
        <f>IFERROR(INDEX(tbl_Finance[Defer End],$A282),"")</f>
        <v/>
      </c>
      <c r="J282" s="65">
        <f>IF(OR($H282="",$I282="",$G282=""),"",MAX(1,(YEAR($I282)-YEAR($H282))*12+MONTH($I282)-MONTH($H282)+1))</f>
        <v/>
      </c>
      <c r="K282" s="68">
        <f>IF($J282="","",$G282/$J282)</f>
        <v/>
      </c>
      <c r="L282" s="68">
        <f>IF($J282="",0,$K282*MAX(0,MIN(YEAR($C$3)*12+MONTH($C$3),YEAR($I282)*12+MONTH($I282))-(YEAR($H282)*12+MONTH($H282))+1))</f>
        <v/>
      </c>
      <c r="M282" s="68">
        <f>IF($J282="",0,$K282*MAX(0,MIN(YEAR($C$3)*12+MONTH($C$3)-1,YEAR($I282)*12+MONTH($I282))-(YEAR($H282)*12+MONTH($H282))+1))</f>
        <v/>
      </c>
      <c r="N282" s="68">
        <f>IF(OR($J282="",$B282=""),0,IF(YEAR($B282)*12+MONTH($B282)&lt;=YEAR($C$3)*12+MONTH($C$3),$G282,0))</f>
        <v/>
      </c>
      <c r="O282" s="68">
        <f>IF(OR($J282="",$B282=""),0,IF(YEAR($B282)*12+MONTH($B282)&lt;=YEAR($C$3)*12+MONTH($C$3)-1,$G282,0))</f>
        <v/>
      </c>
      <c r="P282" s="68">
        <f>$M282-$O282</f>
        <v/>
      </c>
      <c r="Q282" s="68">
        <f>($L282-$M282)-($N282-$O282)</f>
        <v/>
      </c>
      <c r="R282" s="68">
        <f>$L282-$N282</f>
        <v/>
      </c>
      <c r="S282" s="67">
        <f>"Finance invoice"</f>
        <v/>
      </c>
      <c r="T282" s="67">
        <f>"Revenue"</f>
        <v/>
      </c>
    </row>
    <row r="283">
      <c r="A283" s="65">
        <f>ROW()-5</f>
        <v/>
      </c>
      <c r="B283" s="66">
        <f>IFERROR(INDEX(tbl_Finance[Date],$A283),"")</f>
        <v/>
      </c>
      <c r="C283" s="67">
        <f>IFERROR(INDEX(tbl_Finance[Xero Invoice No],$A283),"")</f>
        <v/>
      </c>
      <c r="D283" s="67">
        <f>IFERROR(INDEX(tbl_Finance[Client],$A283),"")</f>
        <v/>
      </c>
      <c r="E283" s="67">
        <f>IFERROR(INDEX(tbl_Finance[Job Number],$A283),"")</f>
        <v/>
      </c>
      <c r="F283" s="67">
        <f>IFERROR(INDEX(tbl_Finance[Cost Centre],$A283),"")</f>
        <v/>
      </c>
      <c r="G283" s="68">
        <f>IFERROR(INDEX(tbl_Finance[Ex GST],$A283),"")</f>
        <v/>
      </c>
      <c r="H283" s="66">
        <f>IFERROR(INDEX(tbl_Finance[Defer Start],$A283),"")</f>
        <v/>
      </c>
      <c r="I283" s="66">
        <f>IFERROR(INDEX(tbl_Finance[Defer End],$A283),"")</f>
        <v/>
      </c>
      <c r="J283" s="65">
        <f>IF(OR($H283="",$I283="",$G283=""),"",MAX(1,(YEAR($I283)-YEAR($H283))*12+MONTH($I283)-MONTH($H283)+1))</f>
        <v/>
      </c>
      <c r="K283" s="68">
        <f>IF($J283="","",$G283/$J283)</f>
        <v/>
      </c>
      <c r="L283" s="68">
        <f>IF($J283="",0,$K283*MAX(0,MIN(YEAR($C$3)*12+MONTH($C$3),YEAR($I283)*12+MONTH($I283))-(YEAR($H283)*12+MONTH($H283))+1))</f>
        <v/>
      </c>
      <c r="M283" s="68">
        <f>IF($J283="",0,$K283*MAX(0,MIN(YEAR($C$3)*12+MONTH($C$3)-1,YEAR($I283)*12+MONTH($I283))-(YEAR($H283)*12+MONTH($H283))+1))</f>
        <v/>
      </c>
      <c r="N283" s="68">
        <f>IF(OR($J283="",$B283=""),0,IF(YEAR($B283)*12+MONTH($B283)&lt;=YEAR($C$3)*12+MONTH($C$3),$G283,0))</f>
        <v/>
      </c>
      <c r="O283" s="68">
        <f>IF(OR($J283="",$B283=""),0,IF(YEAR($B283)*12+MONTH($B283)&lt;=YEAR($C$3)*12+MONTH($C$3)-1,$G283,0))</f>
        <v/>
      </c>
      <c r="P283" s="68">
        <f>$M283-$O283</f>
        <v/>
      </c>
      <c r="Q283" s="68">
        <f>($L283-$M283)-($N283-$O283)</f>
        <v/>
      </c>
      <c r="R283" s="68">
        <f>$L283-$N283</f>
        <v/>
      </c>
      <c r="S283" s="67">
        <f>"Finance invoice"</f>
        <v/>
      </c>
      <c r="T283" s="67">
        <f>"Revenue"</f>
        <v/>
      </c>
    </row>
    <row r="284">
      <c r="A284" s="65">
        <f>ROW()-5</f>
        <v/>
      </c>
      <c r="B284" s="66">
        <f>IFERROR(INDEX(tbl_Finance[Date],$A284),"")</f>
        <v/>
      </c>
      <c r="C284" s="67">
        <f>IFERROR(INDEX(tbl_Finance[Xero Invoice No],$A284),"")</f>
        <v/>
      </c>
      <c r="D284" s="67">
        <f>IFERROR(INDEX(tbl_Finance[Client],$A284),"")</f>
        <v/>
      </c>
      <c r="E284" s="67">
        <f>IFERROR(INDEX(tbl_Finance[Job Number],$A284),"")</f>
        <v/>
      </c>
      <c r="F284" s="67">
        <f>IFERROR(INDEX(tbl_Finance[Cost Centre],$A284),"")</f>
        <v/>
      </c>
      <c r="G284" s="68">
        <f>IFERROR(INDEX(tbl_Finance[Ex GST],$A284),"")</f>
        <v/>
      </c>
      <c r="H284" s="66">
        <f>IFERROR(INDEX(tbl_Finance[Defer Start],$A284),"")</f>
        <v/>
      </c>
      <c r="I284" s="66">
        <f>IFERROR(INDEX(tbl_Finance[Defer End],$A284),"")</f>
        <v/>
      </c>
      <c r="J284" s="65">
        <f>IF(OR($H284="",$I284="",$G284=""),"",MAX(1,(YEAR($I284)-YEAR($H284))*12+MONTH($I284)-MONTH($H284)+1))</f>
        <v/>
      </c>
      <c r="K284" s="68">
        <f>IF($J284="","",$G284/$J284)</f>
        <v/>
      </c>
      <c r="L284" s="68">
        <f>IF($J284="",0,$K284*MAX(0,MIN(YEAR($C$3)*12+MONTH($C$3),YEAR($I284)*12+MONTH($I284))-(YEAR($H284)*12+MONTH($H284))+1))</f>
        <v/>
      </c>
      <c r="M284" s="68">
        <f>IF($J284="",0,$K284*MAX(0,MIN(YEAR($C$3)*12+MONTH($C$3)-1,YEAR($I284)*12+MONTH($I284))-(YEAR($H284)*12+MONTH($H284))+1))</f>
        <v/>
      </c>
      <c r="N284" s="68">
        <f>IF(OR($J284="",$B284=""),0,IF(YEAR($B284)*12+MONTH($B284)&lt;=YEAR($C$3)*12+MONTH($C$3),$G284,0))</f>
        <v/>
      </c>
      <c r="O284" s="68">
        <f>IF(OR($J284="",$B284=""),0,IF(YEAR($B284)*12+MONTH($B284)&lt;=YEAR($C$3)*12+MONTH($C$3)-1,$G284,0))</f>
        <v/>
      </c>
      <c r="P284" s="68">
        <f>$M284-$O284</f>
        <v/>
      </c>
      <c r="Q284" s="68">
        <f>($L284-$M284)-($N284-$O284)</f>
        <v/>
      </c>
      <c r="R284" s="68">
        <f>$L284-$N284</f>
        <v/>
      </c>
      <c r="S284" s="67">
        <f>"Finance invoice"</f>
        <v/>
      </c>
      <c r="T284" s="67">
        <f>"Revenue"</f>
        <v/>
      </c>
    </row>
    <row r="285">
      <c r="A285" s="65">
        <f>ROW()-5</f>
        <v/>
      </c>
      <c r="B285" s="66">
        <f>IFERROR(INDEX(tbl_Finance[Date],$A285),"")</f>
        <v/>
      </c>
      <c r="C285" s="67">
        <f>IFERROR(INDEX(tbl_Finance[Xero Invoice No],$A285),"")</f>
        <v/>
      </c>
      <c r="D285" s="67">
        <f>IFERROR(INDEX(tbl_Finance[Client],$A285),"")</f>
        <v/>
      </c>
      <c r="E285" s="67">
        <f>IFERROR(INDEX(tbl_Finance[Job Number],$A285),"")</f>
        <v/>
      </c>
      <c r="F285" s="67">
        <f>IFERROR(INDEX(tbl_Finance[Cost Centre],$A285),"")</f>
        <v/>
      </c>
      <c r="G285" s="68">
        <f>IFERROR(INDEX(tbl_Finance[Ex GST],$A285),"")</f>
        <v/>
      </c>
      <c r="H285" s="66">
        <f>IFERROR(INDEX(tbl_Finance[Defer Start],$A285),"")</f>
        <v/>
      </c>
      <c r="I285" s="66">
        <f>IFERROR(INDEX(tbl_Finance[Defer End],$A285),"")</f>
        <v/>
      </c>
      <c r="J285" s="65">
        <f>IF(OR($H285="",$I285="",$G285=""),"",MAX(1,(YEAR($I285)-YEAR($H285))*12+MONTH($I285)-MONTH($H285)+1))</f>
        <v/>
      </c>
      <c r="K285" s="68">
        <f>IF($J285="","",$G285/$J285)</f>
        <v/>
      </c>
      <c r="L285" s="68">
        <f>IF($J285="",0,$K285*MAX(0,MIN(YEAR($C$3)*12+MONTH($C$3),YEAR($I285)*12+MONTH($I285))-(YEAR($H285)*12+MONTH($H285))+1))</f>
        <v/>
      </c>
      <c r="M285" s="68">
        <f>IF($J285="",0,$K285*MAX(0,MIN(YEAR($C$3)*12+MONTH($C$3)-1,YEAR($I285)*12+MONTH($I285))-(YEAR($H285)*12+MONTH($H285))+1))</f>
        <v/>
      </c>
      <c r="N285" s="68">
        <f>IF(OR($J285="",$B285=""),0,IF(YEAR($B285)*12+MONTH($B285)&lt;=YEAR($C$3)*12+MONTH($C$3),$G285,0))</f>
        <v/>
      </c>
      <c r="O285" s="68">
        <f>IF(OR($J285="",$B285=""),0,IF(YEAR($B285)*12+MONTH($B285)&lt;=YEAR($C$3)*12+MONTH($C$3)-1,$G285,0))</f>
        <v/>
      </c>
      <c r="P285" s="68">
        <f>$M285-$O285</f>
        <v/>
      </c>
      <c r="Q285" s="68">
        <f>($L285-$M285)-($N285-$O285)</f>
        <v/>
      </c>
      <c r="R285" s="68">
        <f>$L285-$N285</f>
        <v/>
      </c>
      <c r="S285" s="67">
        <f>"Finance invoice"</f>
        <v/>
      </c>
      <c r="T285" s="67">
        <f>"Revenue"</f>
        <v/>
      </c>
    </row>
    <row r="286">
      <c r="A286" s="65">
        <f>ROW()-5</f>
        <v/>
      </c>
      <c r="B286" s="66">
        <f>IFERROR(INDEX(tbl_Finance[Date],$A286),"")</f>
        <v/>
      </c>
      <c r="C286" s="67">
        <f>IFERROR(INDEX(tbl_Finance[Xero Invoice No],$A286),"")</f>
        <v/>
      </c>
      <c r="D286" s="67">
        <f>IFERROR(INDEX(tbl_Finance[Client],$A286),"")</f>
        <v/>
      </c>
      <c r="E286" s="67">
        <f>IFERROR(INDEX(tbl_Finance[Job Number],$A286),"")</f>
        <v/>
      </c>
      <c r="F286" s="67">
        <f>IFERROR(INDEX(tbl_Finance[Cost Centre],$A286),"")</f>
        <v/>
      </c>
      <c r="G286" s="68">
        <f>IFERROR(INDEX(tbl_Finance[Ex GST],$A286),"")</f>
        <v/>
      </c>
      <c r="H286" s="66">
        <f>IFERROR(INDEX(tbl_Finance[Defer Start],$A286),"")</f>
        <v/>
      </c>
      <c r="I286" s="66">
        <f>IFERROR(INDEX(tbl_Finance[Defer End],$A286),"")</f>
        <v/>
      </c>
      <c r="J286" s="65">
        <f>IF(OR($H286="",$I286="",$G286=""),"",MAX(1,(YEAR($I286)-YEAR($H286))*12+MONTH($I286)-MONTH($H286)+1))</f>
        <v/>
      </c>
      <c r="K286" s="68">
        <f>IF($J286="","",$G286/$J286)</f>
        <v/>
      </c>
      <c r="L286" s="68">
        <f>IF($J286="",0,$K286*MAX(0,MIN(YEAR($C$3)*12+MONTH($C$3),YEAR($I286)*12+MONTH($I286))-(YEAR($H286)*12+MONTH($H286))+1))</f>
        <v/>
      </c>
      <c r="M286" s="68">
        <f>IF($J286="",0,$K286*MAX(0,MIN(YEAR($C$3)*12+MONTH($C$3)-1,YEAR($I286)*12+MONTH($I286))-(YEAR($H286)*12+MONTH($H286))+1))</f>
        <v/>
      </c>
      <c r="N286" s="68">
        <f>IF(OR($J286="",$B286=""),0,IF(YEAR($B286)*12+MONTH($B286)&lt;=YEAR($C$3)*12+MONTH($C$3),$G286,0))</f>
        <v/>
      </c>
      <c r="O286" s="68">
        <f>IF(OR($J286="",$B286=""),0,IF(YEAR($B286)*12+MONTH($B286)&lt;=YEAR($C$3)*12+MONTH($C$3)-1,$G286,0))</f>
        <v/>
      </c>
      <c r="P286" s="68">
        <f>$M286-$O286</f>
        <v/>
      </c>
      <c r="Q286" s="68">
        <f>($L286-$M286)-($N286-$O286)</f>
        <v/>
      </c>
      <c r="R286" s="68">
        <f>$L286-$N286</f>
        <v/>
      </c>
      <c r="S286" s="67">
        <f>"Finance invoice"</f>
        <v/>
      </c>
      <c r="T286" s="67">
        <f>"Revenue"</f>
        <v/>
      </c>
    </row>
    <row r="287">
      <c r="A287" s="65">
        <f>ROW()-5</f>
        <v/>
      </c>
      <c r="B287" s="66">
        <f>IFERROR(INDEX(tbl_Finance[Date],$A287),"")</f>
        <v/>
      </c>
      <c r="C287" s="67">
        <f>IFERROR(INDEX(tbl_Finance[Xero Invoice No],$A287),"")</f>
        <v/>
      </c>
      <c r="D287" s="67">
        <f>IFERROR(INDEX(tbl_Finance[Client],$A287),"")</f>
        <v/>
      </c>
      <c r="E287" s="67">
        <f>IFERROR(INDEX(tbl_Finance[Job Number],$A287),"")</f>
        <v/>
      </c>
      <c r="F287" s="67">
        <f>IFERROR(INDEX(tbl_Finance[Cost Centre],$A287),"")</f>
        <v/>
      </c>
      <c r="G287" s="68">
        <f>IFERROR(INDEX(tbl_Finance[Ex GST],$A287),"")</f>
        <v/>
      </c>
      <c r="H287" s="66">
        <f>IFERROR(INDEX(tbl_Finance[Defer Start],$A287),"")</f>
        <v/>
      </c>
      <c r="I287" s="66">
        <f>IFERROR(INDEX(tbl_Finance[Defer End],$A287),"")</f>
        <v/>
      </c>
      <c r="J287" s="65">
        <f>IF(OR($H287="",$I287="",$G287=""),"",MAX(1,(YEAR($I287)-YEAR($H287))*12+MONTH($I287)-MONTH($H287)+1))</f>
        <v/>
      </c>
      <c r="K287" s="68">
        <f>IF($J287="","",$G287/$J287)</f>
        <v/>
      </c>
      <c r="L287" s="68">
        <f>IF($J287="",0,$K287*MAX(0,MIN(YEAR($C$3)*12+MONTH($C$3),YEAR($I287)*12+MONTH($I287))-(YEAR($H287)*12+MONTH($H287))+1))</f>
        <v/>
      </c>
      <c r="M287" s="68">
        <f>IF($J287="",0,$K287*MAX(0,MIN(YEAR($C$3)*12+MONTH($C$3)-1,YEAR($I287)*12+MONTH($I287))-(YEAR($H287)*12+MONTH($H287))+1))</f>
        <v/>
      </c>
      <c r="N287" s="68">
        <f>IF(OR($J287="",$B287=""),0,IF(YEAR($B287)*12+MONTH($B287)&lt;=YEAR($C$3)*12+MONTH($C$3),$G287,0))</f>
        <v/>
      </c>
      <c r="O287" s="68">
        <f>IF(OR($J287="",$B287=""),0,IF(YEAR($B287)*12+MONTH($B287)&lt;=YEAR($C$3)*12+MONTH($C$3)-1,$G287,0))</f>
        <v/>
      </c>
      <c r="P287" s="68">
        <f>$M287-$O287</f>
        <v/>
      </c>
      <c r="Q287" s="68">
        <f>($L287-$M287)-($N287-$O287)</f>
        <v/>
      </c>
      <c r="R287" s="68">
        <f>$L287-$N287</f>
        <v/>
      </c>
      <c r="S287" s="67">
        <f>"Finance invoice"</f>
        <v/>
      </c>
      <c r="T287" s="67">
        <f>"Revenue"</f>
        <v/>
      </c>
    </row>
    <row r="288">
      <c r="A288" s="65">
        <f>ROW()-5</f>
        <v/>
      </c>
      <c r="B288" s="66">
        <f>IFERROR(INDEX(tbl_Finance[Date],$A288),"")</f>
        <v/>
      </c>
      <c r="C288" s="67">
        <f>IFERROR(INDEX(tbl_Finance[Xero Invoice No],$A288),"")</f>
        <v/>
      </c>
      <c r="D288" s="67">
        <f>IFERROR(INDEX(tbl_Finance[Client],$A288),"")</f>
        <v/>
      </c>
      <c r="E288" s="67">
        <f>IFERROR(INDEX(tbl_Finance[Job Number],$A288),"")</f>
        <v/>
      </c>
      <c r="F288" s="67">
        <f>IFERROR(INDEX(tbl_Finance[Cost Centre],$A288),"")</f>
        <v/>
      </c>
      <c r="G288" s="68">
        <f>IFERROR(INDEX(tbl_Finance[Ex GST],$A288),"")</f>
        <v/>
      </c>
      <c r="H288" s="66">
        <f>IFERROR(INDEX(tbl_Finance[Defer Start],$A288),"")</f>
        <v/>
      </c>
      <c r="I288" s="66">
        <f>IFERROR(INDEX(tbl_Finance[Defer End],$A288),"")</f>
        <v/>
      </c>
      <c r="J288" s="65">
        <f>IF(OR($H288="",$I288="",$G288=""),"",MAX(1,(YEAR($I288)-YEAR($H288))*12+MONTH($I288)-MONTH($H288)+1))</f>
        <v/>
      </c>
      <c r="K288" s="68">
        <f>IF($J288="","",$G288/$J288)</f>
        <v/>
      </c>
      <c r="L288" s="68">
        <f>IF($J288="",0,$K288*MAX(0,MIN(YEAR($C$3)*12+MONTH($C$3),YEAR($I288)*12+MONTH($I288))-(YEAR($H288)*12+MONTH($H288))+1))</f>
        <v/>
      </c>
      <c r="M288" s="68">
        <f>IF($J288="",0,$K288*MAX(0,MIN(YEAR($C$3)*12+MONTH($C$3)-1,YEAR($I288)*12+MONTH($I288))-(YEAR($H288)*12+MONTH($H288))+1))</f>
        <v/>
      </c>
      <c r="N288" s="68">
        <f>IF(OR($J288="",$B288=""),0,IF(YEAR($B288)*12+MONTH($B288)&lt;=YEAR($C$3)*12+MONTH($C$3),$G288,0))</f>
        <v/>
      </c>
      <c r="O288" s="68">
        <f>IF(OR($J288="",$B288=""),0,IF(YEAR($B288)*12+MONTH($B288)&lt;=YEAR($C$3)*12+MONTH($C$3)-1,$G288,0))</f>
        <v/>
      </c>
      <c r="P288" s="68">
        <f>$M288-$O288</f>
        <v/>
      </c>
      <c r="Q288" s="68">
        <f>($L288-$M288)-($N288-$O288)</f>
        <v/>
      </c>
      <c r="R288" s="68">
        <f>$L288-$N288</f>
        <v/>
      </c>
      <c r="S288" s="67">
        <f>"Finance invoice"</f>
        <v/>
      </c>
      <c r="T288" s="67">
        <f>"Revenue"</f>
        <v/>
      </c>
    </row>
    <row r="289">
      <c r="A289" s="65">
        <f>ROW()-5</f>
        <v/>
      </c>
      <c r="B289" s="66">
        <f>IFERROR(INDEX(tbl_Finance[Date],$A289),"")</f>
        <v/>
      </c>
      <c r="C289" s="67">
        <f>IFERROR(INDEX(tbl_Finance[Xero Invoice No],$A289),"")</f>
        <v/>
      </c>
      <c r="D289" s="67">
        <f>IFERROR(INDEX(tbl_Finance[Client],$A289),"")</f>
        <v/>
      </c>
      <c r="E289" s="67">
        <f>IFERROR(INDEX(tbl_Finance[Job Number],$A289),"")</f>
        <v/>
      </c>
      <c r="F289" s="67">
        <f>IFERROR(INDEX(tbl_Finance[Cost Centre],$A289),"")</f>
        <v/>
      </c>
      <c r="G289" s="68">
        <f>IFERROR(INDEX(tbl_Finance[Ex GST],$A289),"")</f>
        <v/>
      </c>
      <c r="H289" s="66">
        <f>IFERROR(INDEX(tbl_Finance[Defer Start],$A289),"")</f>
        <v/>
      </c>
      <c r="I289" s="66">
        <f>IFERROR(INDEX(tbl_Finance[Defer End],$A289),"")</f>
        <v/>
      </c>
      <c r="J289" s="65">
        <f>IF(OR($H289="",$I289="",$G289=""),"",MAX(1,(YEAR($I289)-YEAR($H289))*12+MONTH($I289)-MONTH($H289)+1))</f>
        <v/>
      </c>
      <c r="K289" s="68">
        <f>IF($J289="","",$G289/$J289)</f>
        <v/>
      </c>
      <c r="L289" s="68">
        <f>IF($J289="",0,$K289*MAX(0,MIN(YEAR($C$3)*12+MONTH($C$3),YEAR($I289)*12+MONTH($I289))-(YEAR($H289)*12+MONTH($H289))+1))</f>
        <v/>
      </c>
      <c r="M289" s="68">
        <f>IF($J289="",0,$K289*MAX(0,MIN(YEAR($C$3)*12+MONTH($C$3)-1,YEAR($I289)*12+MONTH($I289))-(YEAR($H289)*12+MONTH($H289))+1))</f>
        <v/>
      </c>
      <c r="N289" s="68">
        <f>IF(OR($J289="",$B289=""),0,IF(YEAR($B289)*12+MONTH($B289)&lt;=YEAR($C$3)*12+MONTH($C$3),$G289,0))</f>
        <v/>
      </c>
      <c r="O289" s="68">
        <f>IF(OR($J289="",$B289=""),0,IF(YEAR($B289)*12+MONTH($B289)&lt;=YEAR($C$3)*12+MONTH($C$3)-1,$G289,0))</f>
        <v/>
      </c>
      <c r="P289" s="68">
        <f>$M289-$O289</f>
        <v/>
      </c>
      <c r="Q289" s="68">
        <f>($L289-$M289)-($N289-$O289)</f>
        <v/>
      </c>
      <c r="R289" s="68">
        <f>$L289-$N289</f>
        <v/>
      </c>
      <c r="S289" s="67">
        <f>"Finance invoice"</f>
        <v/>
      </c>
      <c r="T289" s="67">
        <f>"Revenue"</f>
        <v/>
      </c>
    </row>
    <row r="290">
      <c r="A290" s="65">
        <f>ROW()-5</f>
        <v/>
      </c>
      <c r="B290" s="66">
        <f>IFERROR(INDEX(tbl_Finance[Date],$A290),"")</f>
        <v/>
      </c>
      <c r="C290" s="67">
        <f>IFERROR(INDEX(tbl_Finance[Xero Invoice No],$A290),"")</f>
        <v/>
      </c>
      <c r="D290" s="67">
        <f>IFERROR(INDEX(tbl_Finance[Client],$A290),"")</f>
        <v/>
      </c>
      <c r="E290" s="67">
        <f>IFERROR(INDEX(tbl_Finance[Job Number],$A290),"")</f>
        <v/>
      </c>
      <c r="F290" s="67">
        <f>IFERROR(INDEX(tbl_Finance[Cost Centre],$A290),"")</f>
        <v/>
      </c>
      <c r="G290" s="68">
        <f>IFERROR(INDEX(tbl_Finance[Ex GST],$A290),"")</f>
        <v/>
      </c>
      <c r="H290" s="66">
        <f>IFERROR(INDEX(tbl_Finance[Defer Start],$A290),"")</f>
        <v/>
      </c>
      <c r="I290" s="66">
        <f>IFERROR(INDEX(tbl_Finance[Defer End],$A290),"")</f>
        <v/>
      </c>
      <c r="J290" s="65">
        <f>IF(OR($H290="",$I290="",$G290=""),"",MAX(1,(YEAR($I290)-YEAR($H290))*12+MONTH($I290)-MONTH($H290)+1))</f>
        <v/>
      </c>
      <c r="K290" s="68">
        <f>IF($J290="","",$G290/$J290)</f>
        <v/>
      </c>
      <c r="L290" s="68">
        <f>IF($J290="",0,$K290*MAX(0,MIN(YEAR($C$3)*12+MONTH($C$3),YEAR($I290)*12+MONTH($I290))-(YEAR($H290)*12+MONTH($H290))+1))</f>
        <v/>
      </c>
      <c r="M290" s="68">
        <f>IF($J290="",0,$K290*MAX(0,MIN(YEAR($C$3)*12+MONTH($C$3)-1,YEAR($I290)*12+MONTH($I290))-(YEAR($H290)*12+MONTH($H290))+1))</f>
        <v/>
      </c>
      <c r="N290" s="68">
        <f>IF(OR($J290="",$B290=""),0,IF(YEAR($B290)*12+MONTH($B290)&lt;=YEAR($C$3)*12+MONTH($C$3),$G290,0))</f>
        <v/>
      </c>
      <c r="O290" s="68">
        <f>IF(OR($J290="",$B290=""),0,IF(YEAR($B290)*12+MONTH($B290)&lt;=YEAR($C$3)*12+MONTH($C$3)-1,$G290,0))</f>
        <v/>
      </c>
      <c r="P290" s="68">
        <f>$M290-$O290</f>
        <v/>
      </c>
      <c r="Q290" s="68">
        <f>($L290-$M290)-($N290-$O290)</f>
        <v/>
      </c>
      <c r="R290" s="68">
        <f>$L290-$N290</f>
        <v/>
      </c>
      <c r="S290" s="67">
        <f>"Finance invoice"</f>
        <v/>
      </c>
      <c r="T290" s="67">
        <f>"Revenue"</f>
        <v/>
      </c>
    </row>
    <row r="291">
      <c r="A291" s="65">
        <f>ROW()-5</f>
        <v/>
      </c>
      <c r="B291" s="66">
        <f>IFERROR(INDEX(tbl_Finance[Date],$A291),"")</f>
        <v/>
      </c>
      <c r="C291" s="67">
        <f>IFERROR(INDEX(tbl_Finance[Xero Invoice No],$A291),"")</f>
        <v/>
      </c>
      <c r="D291" s="67">
        <f>IFERROR(INDEX(tbl_Finance[Client],$A291),"")</f>
        <v/>
      </c>
      <c r="E291" s="67">
        <f>IFERROR(INDEX(tbl_Finance[Job Number],$A291),"")</f>
        <v/>
      </c>
      <c r="F291" s="67">
        <f>IFERROR(INDEX(tbl_Finance[Cost Centre],$A291),"")</f>
        <v/>
      </c>
      <c r="G291" s="68">
        <f>IFERROR(INDEX(tbl_Finance[Ex GST],$A291),"")</f>
        <v/>
      </c>
      <c r="H291" s="66">
        <f>IFERROR(INDEX(tbl_Finance[Defer Start],$A291),"")</f>
        <v/>
      </c>
      <c r="I291" s="66">
        <f>IFERROR(INDEX(tbl_Finance[Defer End],$A291),"")</f>
        <v/>
      </c>
      <c r="J291" s="65">
        <f>IF(OR($H291="",$I291="",$G291=""),"",MAX(1,(YEAR($I291)-YEAR($H291))*12+MONTH($I291)-MONTH($H291)+1))</f>
        <v/>
      </c>
      <c r="K291" s="68">
        <f>IF($J291="","",$G291/$J291)</f>
        <v/>
      </c>
      <c r="L291" s="68">
        <f>IF($J291="",0,$K291*MAX(0,MIN(YEAR($C$3)*12+MONTH($C$3),YEAR($I291)*12+MONTH($I291))-(YEAR($H291)*12+MONTH($H291))+1))</f>
        <v/>
      </c>
      <c r="M291" s="68">
        <f>IF($J291="",0,$K291*MAX(0,MIN(YEAR($C$3)*12+MONTH($C$3)-1,YEAR($I291)*12+MONTH($I291))-(YEAR($H291)*12+MONTH($H291))+1))</f>
        <v/>
      </c>
      <c r="N291" s="68">
        <f>IF(OR($J291="",$B291=""),0,IF(YEAR($B291)*12+MONTH($B291)&lt;=YEAR($C$3)*12+MONTH($C$3),$G291,0))</f>
        <v/>
      </c>
      <c r="O291" s="68">
        <f>IF(OR($J291="",$B291=""),0,IF(YEAR($B291)*12+MONTH($B291)&lt;=YEAR($C$3)*12+MONTH($C$3)-1,$G291,0))</f>
        <v/>
      </c>
      <c r="P291" s="68">
        <f>$M291-$O291</f>
        <v/>
      </c>
      <c r="Q291" s="68">
        <f>($L291-$M291)-($N291-$O291)</f>
        <v/>
      </c>
      <c r="R291" s="68">
        <f>$L291-$N291</f>
        <v/>
      </c>
      <c r="S291" s="67">
        <f>"Finance invoice"</f>
        <v/>
      </c>
      <c r="T291" s="67">
        <f>"Revenue"</f>
        <v/>
      </c>
    </row>
    <row r="292">
      <c r="A292" s="65">
        <f>ROW()-5</f>
        <v/>
      </c>
      <c r="B292" s="66">
        <f>IFERROR(INDEX(tbl_Finance[Date],$A292),"")</f>
        <v/>
      </c>
      <c r="C292" s="67">
        <f>IFERROR(INDEX(tbl_Finance[Xero Invoice No],$A292),"")</f>
        <v/>
      </c>
      <c r="D292" s="67">
        <f>IFERROR(INDEX(tbl_Finance[Client],$A292),"")</f>
        <v/>
      </c>
      <c r="E292" s="67">
        <f>IFERROR(INDEX(tbl_Finance[Job Number],$A292),"")</f>
        <v/>
      </c>
      <c r="F292" s="67">
        <f>IFERROR(INDEX(tbl_Finance[Cost Centre],$A292),"")</f>
        <v/>
      </c>
      <c r="G292" s="68">
        <f>IFERROR(INDEX(tbl_Finance[Ex GST],$A292),"")</f>
        <v/>
      </c>
      <c r="H292" s="66">
        <f>IFERROR(INDEX(tbl_Finance[Defer Start],$A292),"")</f>
        <v/>
      </c>
      <c r="I292" s="66">
        <f>IFERROR(INDEX(tbl_Finance[Defer End],$A292),"")</f>
        <v/>
      </c>
      <c r="J292" s="65">
        <f>IF(OR($H292="",$I292="",$G292=""),"",MAX(1,(YEAR($I292)-YEAR($H292))*12+MONTH($I292)-MONTH($H292)+1))</f>
        <v/>
      </c>
      <c r="K292" s="68">
        <f>IF($J292="","",$G292/$J292)</f>
        <v/>
      </c>
      <c r="L292" s="68">
        <f>IF($J292="",0,$K292*MAX(0,MIN(YEAR($C$3)*12+MONTH($C$3),YEAR($I292)*12+MONTH($I292))-(YEAR($H292)*12+MONTH($H292))+1))</f>
        <v/>
      </c>
      <c r="M292" s="68">
        <f>IF($J292="",0,$K292*MAX(0,MIN(YEAR($C$3)*12+MONTH($C$3)-1,YEAR($I292)*12+MONTH($I292))-(YEAR($H292)*12+MONTH($H292))+1))</f>
        <v/>
      </c>
      <c r="N292" s="68">
        <f>IF(OR($J292="",$B292=""),0,IF(YEAR($B292)*12+MONTH($B292)&lt;=YEAR($C$3)*12+MONTH($C$3),$G292,0))</f>
        <v/>
      </c>
      <c r="O292" s="68">
        <f>IF(OR($J292="",$B292=""),0,IF(YEAR($B292)*12+MONTH($B292)&lt;=YEAR($C$3)*12+MONTH($C$3)-1,$G292,0))</f>
        <v/>
      </c>
      <c r="P292" s="68">
        <f>$M292-$O292</f>
        <v/>
      </c>
      <c r="Q292" s="68">
        <f>($L292-$M292)-($N292-$O292)</f>
        <v/>
      </c>
      <c r="R292" s="68">
        <f>$L292-$N292</f>
        <v/>
      </c>
      <c r="S292" s="67">
        <f>"Finance invoice"</f>
        <v/>
      </c>
      <c r="T292" s="67">
        <f>"Revenue"</f>
        <v/>
      </c>
    </row>
    <row r="293">
      <c r="A293" s="65">
        <f>ROW()-5</f>
        <v/>
      </c>
      <c r="B293" s="66">
        <f>IFERROR(INDEX(tbl_Finance[Date],$A293),"")</f>
        <v/>
      </c>
      <c r="C293" s="67">
        <f>IFERROR(INDEX(tbl_Finance[Xero Invoice No],$A293),"")</f>
        <v/>
      </c>
      <c r="D293" s="67">
        <f>IFERROR(INDEX(tbl_Finance[Client],$A293),"")</f>
        <v/>
      </c>
      <c r="E293" s="67">
        <f>IFERROR(INDEX(tbl_Finance[Job Number],$A293),"")</f>
        <v/>
      </c>
      <c r="F293" s="67">
        <f>IFERROR(INDEX(tbl_Finance[Cost Centre],$A293),"")</f>
        <v/>
      </c>
      <c r="G293" s="68">
        <f>IFERROR(INDEX(tbl_Finance[Ex GST],$A293),"")</f>
        <v/>
      </c>
      <c r="H293" s="66">
        <f>IFERROR(INDEX(tbl_Finance[Defer Start],$A293),"")</f>
        <v/>
      </c>
      <c r="I293" s="66">
        <f>IFERROR(INDEX(tbl_Finance[Defer End],$A293),"")</f>
        <v/>
      </c>
      <c r="J293" s="65">
        <f>IF(OR($H293="",$I293="",$G293=""),"",MAX(1,(YEAR($I293)-YEAR($H293))*12+MONTH($I293)-MONTH($H293)+1))</f>
        <v/>
      </c>
      <c r="K293" s="68">
        <f>IF($J293="","",$G293/$J293)</f>
        <v/>
      </c>
      <c r="L293" s="68">
        <f>IF($J293="",0,$K293*MAX(0,MIN(YEAR($C$3)*12+MONTH($C$3),YEAR($I293)*12+MONTH($I293))-(YEAR($H293)*12+MONTH($H293))+1))</f>
        <v/>
      </c>
      <c r="M293" s="68">
        <f>IF($J293="",0,$K293*MAX(0,MIN(YEAR($C$3)*12+MONTH($C$3)-1,YEAR($I293)*12+MONTH($I293))-(YEAR($H293)*12+MONTH($H293))+1))</f>
        <v/>
      </c>
      <c r="N293" s="68">
        <f>IF(OR($J293="",$B293=""),0,IF(YEAR($B293)*12+MONTH($B293)&lt;=YEAR($C$3)*12+MONTH($C$3),$G293,0))</f>
        <v/>
      </c>
      <c r="O293" s="68">
        <f>IF(OR($J293="",$B293=""),0,IF(YEAR($B293)*12+MONTH($B293)&lt;=YEAR($C$3)*12+MONTH($C$3)-1,$G293,0))</f>
        <v/>
      </c>
      <c r="P293" s="68">
        <f>$M293-$O293</f>
        <v/>
      </c>
      <c r="Q293" s="68">
        <f>($L293-$M293)-($N293-$O293)</f>
        <v/>
      </c>
      <c r="R293" s="68">
        <f>$L293-$N293</f>
        <v/>
      </c>
      <c r="S293" s="67">
        <f>"Finance invoice"</f>
        <v/>
      </c>
      <c r="T293" s="67">
        <f>"Revenue"</f>
        <v/>
      </c>
    </row>
    <row r="294">
      <c r="A294" s="65">
        <f>ROW()-5</f>
        <v/>
      </c>
      <c r="B294" s="66">
        <f>IFERROR(INDEX(tbl_Finance[Date],$A294),"")</f>
        <v/>
      </c>
      <c r="C294" s="67">
        <f>IFERROR(INDEX(tbl_Finance[Xero Invoice No],$A294),"")</f>
        <v/>
      </c>
      <c r="D294" s="67">
        <f>IFERROR(INDEX(tbl_Finance[Client],$A294),"")</f>
        <v/>
      </c>
      <c r="E294" s="67">
        <f>IFERROR(INDEX(tbl_Finance[Job Number],$A294),"")</f>
        <v/>
      </c>
      <c r="F294" s="67">
        <f>IFERROR(INDEX(tbl_Finance[Cost Centre],$A294),"")</f>
        <v/>
      </c>
      <c r="G294" s="68">
        <f>IFERROR(INDEX(tbl_Finance[Ex GST],$A294),"")</f>
        <v/>
      </c>
      <c r="H294" s="66">
        <f>IFERROR(INDEX(tbl_Finance[Defer Start],$A294),"")</f>
        <v/>
      </c>
      <c r="I294" s="66">
        <f>IFERROR(INDEX(tbl_Finance[Defer End],$A294),"")</f>
        <v/>
      </c>
      <c r="J294" s="65">
        <f>IF(OR($H294="",$I294="",$G294=""),"",MAX(1,(YEAR($I294)-YEAR($H294))*12+MONTH($I294)-MONTH($H294)+1))</f>
        <v/>
      </c>
      <c r="K294" s="68">
        <f>IF($J294="","",$G294/$J294)</f>
        <v/>
      </c>
      <c r="L294" s="68">
        <f>IF($J294="",0,$K294*MAX(0,MIN(YEAR($C$3)*12+MONTH($C$3),YEAR($I294)*12+MONTH($I294))-(YEAR($H294)*12+MONTH($H294))+1))</f>
        <v/>
      </c>
      <c r="M294" s="68">
        <f>IF($J294="",0,$K294*MAX(0,MIN(YEAR($C$3)*12+MONTH($C$3)-1,YEAR($I294)*12+MONTH($I294))-(YEAR($H294)*12+MONTH($H294))+1))</f>
        <v/>
      </c>
      <c r="N294" s="68">
        <f>IF(OR($J294="",$B294=""),0,IF(YEAR($B294)*12+MONTH($B294)&lt;=YEAR($C$3)*12+MONTH($C$3),$G294,0))</f>
        <v/>
      </c>
      <c r="O294" s="68">
        <f>IF(OR($J294="",$B294=""),0,IF(YEAR($B294)*12+MONTH($B294)&lt;=YEAR($C$3)*12+MONTH($C$3)-1,$G294,0))</f>
        <v/>
      </c>
      <c r="P294" s="68">
        <f>$M294-$O294</f>
        <v/>
      </c>
      <c r="Q294" s="68">
        <f>($L294-$M294)-($N294-$O294)</f>
        <v/>
      </c>
      <c r="R294" s="68">
        <f>$L294-$N294</f>
        <v/>
      </c>
      <c r="S294" s="67">
        <f>"Finance invoice"</f>
        <v/>
      </c>
      <c r="T294" s="67">
        <f>"Revenue"</f>
        <v/>
      </c>
    </row>
    <row r="295">
      <c r="A295" s="65">
        <f>ROW()-5</f>
        <v/>
      </c>
      <c r="B295" s="66">
        <f>IFERROR(INDEX(tbl_Finance[Date],$A295),"")</f>
        <v/>
      </c>
      <c r="C295" s="67">
        <f>IFERROR(INDEX(tbl_Finance[Xero Invoice No],$A295),"")</f>
        <v/>
      </c>
      <c r="D295" s="67">
        <f>IFERROR(INDEX(tbl_Finance[Client],$A295),"")</f>
        <v/>
      </c>
      <c r="E295" s="67">
        <f>IFERROR(INDEX(tbl_Finance[Job Number],$A295),"")</f>
        <v/>
      </c>
      <c r="F295" s="67">
        <f>IFERROR(INDEX(tbl_Finance[Cost Centre],$A295),"")</f>
        <v/>
      </c>
      <c r="G295" s="68">
        <f>IFERROR(INDEX(tbl_Finance[Ex GST],$A295),"")</f>
        <v/>
      </c>
      <c r="H295" s="66">
        <f>IFERROR(INDEX(tbl_Finance[Defer Start],$A295),"")</f>
        <v/>
      </c>
      <c r="I295" s="66">
        <f>IFERROR(INDEX(tbl_Finance[Defer End],$A295),"")</f>
        <v/>
      </c>
      <c r="J295" s="65">
        <f>IF(OR($H295="",$I295="",$G295=""),"",MAX(1,(YEAR($I295)-YEAR($H295))*12+MONTH($I295)-MONTH($H295)+1))</f>
        <v/>
      </c>
      <c r="K295" s="68">
        <f>IF($J295="","",$G295/$J295)</f>
        <v/>
      </c>
      <c r="L295" s="68">
        <f>IF($J295="",0,$K295*MAX(0,MIN(YEAR($C$3)*12+MONTH($C$3),YEAR($I295)*12+MONTH($I295))-(YEAR($H295)*12+MONTH($H295))+1))</f>
        <v/>
      </c>
      <c r="M295" s="68">
        <f>IF($J295="",0,$K295*MAX(0,MIN(YEAR($C$3)*12+MONTH($C$3)-1,YEAR($I295)*12+MONTH($I295))-(YEAR($H295)*12+MONTH($H295))+1))</f>
        <v/>
      </c>
      <c r="N295" s="68">
        <f>IF(OR($J295="",$B295=""),0,IF(YEAR($B295)*12+MONTH($B295)&lt;=YEAR($C$3)*12+MONTH($C$3),$G295,0))</f>
        <v/>
      </c>
      <c r="O295" s="68">
        <f>IF(OR($J295="",$B295=""),0,IF(YEAR($B295)*12+MONTH($B295)&lt;=YEAR($C$3)*12+MONTH($C$3)-1,$G295,0))</f>
        <v/>
      </c>
      <c r="P295" s="68">
        <f>$M295-$O295</f>
        <v/>
      </c>
      <c r="Q295" s="68">
        <f>($L295-$M295)-($N295-$O295)</f>
        <v/>
      </c>
      <c r="R295" s="68">
        <f>$L295-$N295</f>
        <v/>
      </c>
      <c r="S295" s="67">
        <f>"Finance invoice"</f>
        <v/>
      </c>
      <c r="T295" s="67">
        <f>"Revenue"</f>
        <v/>
      </c>
    </row>
    <row r="296">
      <c r="A296" s="65">
        <f>ROW()-5</f>
        <v/>
      </c>
      <c r="B296" s="66">
        <f>IFERROR(INDEX(tbl_Finance[Date],$A296),"")</f>
        <v/>
      </c>
      <c r="C296" s="67">
        <f>IFERROR(INDEX(tbl_Finance[Xero Invoice No],$A296),"")</f>
        <v/>
      </c>
      <c r="D296" s="67">
        <f>IFERROR(INDEX(tbl_Finance[Client],$A296),"")</f>
        <v/>
      </c>
      <c r="E296" s="67">
        <f>IFERROR(INDEX(tbl_Finance[Job Number],$A296),"")</f>
        <v/>
      </c>
      <c r="F296" s="67">
        <f>IFERROR(INDEX(tbl_Finance[Cost Centre],$A296),"")</f>
        <v/>
      </c>
      <c r="G296" s="68">
        <f>IFERROR(INDEX(tbl_Finance[Ex GST],$A296),"")</f>
        <v/>
      </c>
      <c r="H296" s="66">
        <f>IFERROR(INDEX(tbl_Finance[Defer Start],$A296),"")</f>
        <v/>
      </c>
      <c r="I296" s="66">
        <f>IFERROR(INDEX(tbl_Finance[Defer End],$A296),"")</f>
        <v/>
      </c>
      <c r="J296" s="65">
        <f>IF(OR($H296="",$I296="",$G296=""),"",MAX(1,(YEAR($I296)-YEAR($H296))*12+MONTH($I296)-MONTH($H296)+1))</f>
        <v/>
      </c>
      <c r="K296" s="68">
        <f>IF($J296="","",$G296/$J296)</f>
        <v/>
      </c>
      <c r="L296" s="68">
        <f>IF($J296="",0,$K296*MAX(0,MIN(YEAR($C$3)*12+MONTH($C$3),YEAR($I296)*12+MONTH($I296))-(YEAR($H296)*12+MONTH($H296))+1))</f>
        <v/>
      </c>
      <c r="M296" s="68">
        <f>IF($J296="",0,$K296*MAX(0,MIN(YEAR($C$3)*12+MONTH($C$3)-1,YEAR($I296)*12+MONTH($I296))-(YEAR($H296)*12+MONTH($H296))+1))</f>
        <v/>
      </c>
      <c r="N296" s="68">
        <f>IF(OR($J296="",$B296=""),0,IF(YEAR($B296)*12+MONTH($B296)&lt;=YEAR($C$3)*12+MONTH($C$3),$G296,0))</f>
        <v/>
      </c>
      <c r="O296" s="68">
        <f>IF(OR($J296="",$B296=""),0,IF(YEAR($B296)*12+MONTH($B296)&lt;=YEAR($C$3)*12+MONTH($C$3)-1,$G296,0))</f>
        <v/>
      </c>
      <c r="P296" s="68">
        <f>$M296-$O296</f>
        <v/>
      </c>
      <c r="Q296" s="68">
        <f>($L296-$M296)-($N296-$O296)</f>
        <v/>
      </c>
      <c r="R296" s="68">
        <f>$L296-$N296</f>
        <v/>
      </c>
      <c r="S296" s="67">
        <f>"Finance invoice"</f>
        <v/>
      </c>
      <c r="T296" s="67">
        <f>"Revenue"</f>
        <v/>
      </c>
    </row>
    <row r="297">
      <c r="A297" s="65">
        <f>ROW()-5</f>
        <v/>
      </c>
      <c r="B297" s="66">
        <f>IFERROR(INDEX(tbl_Finance[Date],$A297),"")</f>
        <v/>
      </c>
      <c r="C297" s="67">
        <f>IFERROR(INDEX(tbl_Finance[Xero Invoice No],$A297),"")</f>
        <v/>
      </c>
      <c r="D297" s="67">
        <f>IFERROR(INDEX(tbl_Finance[Client],$A297),"")</f>
        <v/>
      </c>
      <c r="E297" s="67">
        <f>IFERROR(INDEX(tbl_Finance[Job Number],$A297),"")</f>
        <v/>
      </c>
      <c r="F297" s="67">
        <f>IFERROR(INDEX(tbl_Finance[Cost Centre],$A297),"")</f>
        <v/>
      </c>
      <c r="G297" s="68">
        <f>IFERROR(INDEX(tbl_Finance[Ex GST],$A297),"")</f>
        <v/>
      </c>
      <c r="H297" s="66">
        <f>IFERROR(INDEX(tbl_Finance[Defer Start],$A297),"")</f>
        <v/>
      </c>
      <c r="I297" s="66">
        <f>IFERROR(INDEX(tbl_Finance[Defer End],$A297),"")</f>
        <v/>
      </c>
      <c r="J297" s="65">
        <f>IF(OR($H297="",$I297="",$G297=""),"",MAX(1,(YEAR($I297)-YEAR($H297))*12+MONTH($I297)-MONTH($H297)+1))</f>
        <v/>
      </c>
      <c r="K297" s="68">
        <f>IF($J297="","",$G297/$J297)</f>
        <v/>
      </c>
      <c r="L297" s="68">
        <f>IF($J297="",0,$K297*MAX(0,MIN(YEAR($C$3)*12+MONTH($C$3),YEAR($I297)*12+MONTH($I297))-(YEAR($H297)*12+MONTH($H297))+1))</f>
        <v/>
      </c>
      <c r="M297" s="68">
        <f>IF($J297="",0,$K297*MAX(0,MIN(YEAR($C$3)*12+MONTH($C$3)-1,YEAR($I297)*12+MONTH($I297))-(YEAR($H297)*12+MONTH($H297))+1))</f>
        <v/>
      </c>
      <c r="N297" s="68">
        <f>IF(OR($J297="",$B297=""),0,IF(YEAR($B297)*12+MONTH($B297)&lt;=YEAR($C$3)*12+MONTH($C$3),$G297,0))</f>
        <v/>
      </c>
      <c r="O297" s="68">
        <f>IF(OR($J297="",$B297=""),0,IF(YEAR($B297)*12+MONTH($B297)&lt;=YEAR($C$3)*12+MONTH($C$3)-1,$G297,0))</f>
        <v/>
      </c>
      <c r="P297" s="68">
        <f>$M297-$O297</f>
        <v/>
      </c>
      <c r="Q297" s="68">
        <f>($L297-$M297)-($N297-$O297)</f>
        <v/>
      </c>
      <c r="R297" s="68">
        <f>$L297-$N297</f>
        <v/>
      </c>
      <c r="S297" s="67">
        <f>"Finance invoice"</f>
        <v/>
      </c>
      <c r="T297" s="67">
        <f>"Revenue"</f>
        <v/>
      </c>
    </row>
    <row r="298">
      <c r="A298" s="65">
        <f>ROW()-5</f>
        <v/>
      </c>
      <c r="B298" s="66">
        <f>IFERROR(INDEX(tbl_Finance[Date],$A298),"")</f>
        <v/>
      </c>
      <c r="C298" s="67">
        <f>IFERROR(INDEX(tbl_Finance[Xero Invoice No],$A298),"")</f>
        <v/>
      </c>
      <c r="D298" s="67">
        <f>IFERROR(INDEX(tbl_Finance[Client],$A298),"")</f>
        <v/>
      </c>
      <c r="E298" s="67">
        <f>IFERROR(INDEX(tbl_Finance[Job Number],$A298),"")</f>
        <v/>
      </c>
      <c r="F298" s="67">
        <f>IFERROR(INDEX(tbl_Finance[Cost Centre],$A298),"")</f>
        <v/>
      </c>
      <c r="G298" s="68">
        <f>IFERROR(INDEX(tbl_Finance[Ex GST],$A298),"")</f>
        <v/>
      </c>
      <c r="H298" s="66">
        <f>IFERROR(INDEX(tbl_Finance[Defer Start],$A298),"")</f>
        <v/>
      </c>
      <c r="I298" s="66">
        <f>IFERROR(INDEX(tbl_Finance[Defer End],$A298),"")</f>
        <v/>
      </c>
      <c r="J298" s="65">
        <f>IF(OR($H298="",$I298="",$G298=""),"",MAX(1,(YEAR($I298)-YEAR($H298))*12+MONTH($I298)-MONTH($H298)+1))</f>
        <v/>
      </c>
      <c r="K298" s="68">
        <f>IF($J298="","",$G298/$J298)</f>
        <v/>
      </c>
      <c r="L298" s="68">
        <f>IF($J298="",0,$K298*MAX(0,MIN(YEAR($C$3)*12+MONTH($C$3),YEAR($I298)*12+MONTH($I298))-(YEAR($H298)*12+MONTH($H298))+1))</f>
        <v/>
      </c>
      <c r="M298" s="68">
        <f>IF($J298="",0,$K298*MAX(0,MIN(YEAR($C$3)*12+MONTH($C$3)-1,YEAR($I298)*12+MONTH($I298))-(YEAR($H298)*12+MONTH($H298))+1))</f>
        <v/>
      </c>
      <c r="N298" s="68">
        <f>IF(OR($J298="",$B298=""),0,IF(YEAR($B298)*12+MONTH($B298)&lt;=YEAR($C$3)*12+MONTH($C$3),$G298,0))</f>
        <v/>
      </c>
      <c r="O298" s="68">
        <f>IF(OR($J298="",$B298=""),0,IF(YEAR($B298)*12+MONTH($B298)&lt;=YEAR($C$3)*12+MONTH($C$3)-1,$G298,0))</f>
        <v/>
      </c>
      <c r="P298" s="68">
        <f>$M298-$O298</f>
        <v/>
      </c>
      <c r="Q298" s="68">
        <f>($L298-$M298)-($N298-$O298)</f>
        <v/>
      </c>
      <c r="R298" s="68">
        <f>$L298-$N298</f>
        <v/>
      </c>
      <c r="S298" s="67">
        <f>"Finance invoice"</f>
        <v/>
      </c>
      <c r="T298" s="67">
        <f>"Revenue"</f>
        <v/>
      </c>
    </row>
    <row r="299">
      <c r="A299" s="65">
        <f>ROW()-5</f>
        <v/>
      </c>
      <c r="B299" s="66">
        <f>IFERROR(INDEX(tbl_Finance[Date],$A299),"")</f>
        <v/>
      </c>
      <c r="C299" s="67">
        <f>IFERROR(INDEX(tbl_Finance[Xero Invoice No],$A299),"")</f>
        <v/>
      </c>
      <c r="D299" s="67">
        <f>IFERROR(INDEX(tbl_Finance[Client],$A299),"")</f>
        <v/>
      </c>
      <c r="E299" s="67">
        <f>IFERROR(INDEX(tbl_Finance[Job Number],$A299),"")</f>
        <v/>
      </c>
      <c r="F299" s="67">
        <f>IFERROR(INDEX(tbl_Finance[Cost Centre],$A299),"")</f>
        <v/>
      </c>
      <c r="G299" s="68">
        <f>IFERROR(INDEX(tbl_Finance[Ex GST],$A299),"")</f>
        <v/>
      </c>
      <c r="H299" s="66">
        <f>IFERROR(INDEX(tbl_Finance[Defer Start],$A299),"")</f>
        <v/>
      </c>
      <c r="I299" s="66">
        <f>IFERROR(INDEX(tbl_Finance[Defer End],$A299),"")</f>
        <v/>
      </c>
      <c r="J299" s="65">
        <f>IF(OR($H299="",$I299="",$G299=""),"",MAX(1,(YEAR($I299)-YEAR($H299))*12+MONTH($I299)-MONTH($H299)+1))</f>
        <v/>
      </c>
      <c r="K299" s="68">
        <f>IF($J299="","",$G299/$J299)</f>
        <v/>
      </c>
      <c r="L299" s="68">
        <f>IF($J299="",0,$K299*MAX(0,MIN(YEAR($C$3)*12+MONTH($C$3),YEAR($I299)*12+MONTH($I299))-(YEAR($H299)*12+MONTH($H299))+1))</f>
        <v/>
      </c>
      <c r="M299" s="68">
        <f>IF($J299="",0,$K299*MAX(0,MIN(YEAR($C$3)*12+MONTH($C$3)-1,YEAR($I299)*12+MONTH($I299))-(YEAR($H299)*12+MONTH($H299))+1))</f>
        <v/>
      </c>
      <c r="N299" s="68">
        <f>IF(OR($J299="",$B299=""),0,IF(YEAR($B299)*12+MONTH($B299)&lt;=YEAR($C$3)*12+MONTH($C$3),$G299,0))</f>
        <v/>
      </c>
      <c r="O299" s="68">
        <f>IF(OR($J299="",$B299=""),0,IF(YEAR($B299)*12+MONTH($B299)&lt;=YEAR($C$3)*12+MONTH($C$3)-1,$G299,0))</f>
        <v/>
      </c>
      <c r="P299" s="68">
        <f>$M299-$O299</f>
        <v/>
      </c>
      <c r="Q299" s="68">
        <f>($L299-$M299)-($N299-$O299)</f>
        <v/>
      </c>
      <c r="R299" s="68">
        <f>$L299-$N299</f>
        <v/>
      </c>
      <c r="S299" s="67">
        <f>"Finance invoice"</f>
        <v/>
      </c>
      <c r="T299" s="67">
        <f>"Revenue"</f>
        <v/>
      </c>
    </row>
    <row r="300">
      <c r="A300" s="65">
        <f>ROW()-5</f>
        <v/>
      </c>
      <c r="B300" s="66">
        <f>IFERROR(INDEX(tbl_Finance[Date],$A300),"")</f>
        <v/>
      </c>
      <c r="C300" s="67">
        <f>IFERROR(INDEX(tbl_Finance[Xero Invoice No],$A300),"")</f>
        <v/>
      </c>
      <c r="D300" s="67">
        <f>IFERROR(INDEX(tbl_Finance[Client],$A300),"")</f>
        <v/>
      </c>
      <c r="E300" s="67">
        <f>IFERROR(INDEX(tbl_Finance[Job Number],$A300),"")</f>
        <v/>
      </c>
      <c r="F300" s="67">
        <f>IFERROR(INDEX(tbl_Finance[Cost Centre],$A300),"")</f>
        <v/>
      </c>
      <c r="G300" s="68">
        <f>IFERROR(INDEX(tbl_Finance[Ex GST],$A300),"")</f>
        <v/>
      </c>
      <c r="H300" s="66">
        <f>IFERROR(INDEX(tbl_Finance[Defer Start],$A300),"")</f>
        <v/>
      </c>
      <c r="I300" s="66">
        <f>IFERROR(INDEX(tbl_Finance[Defer End],$A300),"")</f>
        <v/>
      </c>
      <c r="J300" s="65">
        <f>IF(OR($H300="",$I300="",$G300=""),"",MAX(1,(YEAR($I300)-YEAR($H300))*12+MONTH($I300)-MONTH($H300)+1))</f>
        <v/>
      </c>
      <c r="K300" s="68">
        <f>IF($J300="","",$G300/$J300)</f>
        <v/>
      </c>
      <c r="L300" s="68">
        <f>IF($J300="",0,$K300*MAX(0,MIN(YEAR($C$3)*12+MONTH($C$3),YEAR($I300)*12+MONTH($I300))-(YEAR($H300)*12+MONTH($H300))+1))</f>
        <v/>
      </c>
      <c r="M300" s="68">
        <f>IF($J300="",0,$K300*MAX(0,MIN(YEAR($C$3)*12+MONTH($C$3)-1,YEAR($I300)*12+MONTH($I300))-(YEAR($H300)*12+MONTH($H300))+1))</f>
        <v/>
      </c>
      <c r="N300" s="68">
        <f>IF(OR($J300="",$B300=""),0,IF(YEAR($B300)*12+MONTH($B300)&lt;=YEAR($C$3)*12+MONTH($C$3),$G300,0))</f>
        <v/>
      </c>
      <c r="O300" s="68">
        <f>IF(OR($J300="",$B300=""),0,IF(YEAR($B300)*12+MONTH($B300)&lt;=YEAR($C$3)*12+MONTH($C$3)-1,$G300,0))</f>
        <v/>
      </c>
      <c r="P300" s="68">
        <f>$M300-$O300</f>
        <v/>
      </c>
      <c r="Q300" s="68">
        <f>($L300-$M300)-($N300-$O300)</f>
        <v/>
      </c>
      <c r="R300" s="68">
        <f>$L300-$N300</f>
        <v/>
      </c>
      <c r="S300" s="67">
        <f>"Finance invoice"</f>
        <v/>
      </c>
      <c r="T300" s="67">
        <f>"Revenue"</f>
        <v/>
      </c>
    </row>
    <row r="301">
      <c r="A301" s="65">
        <f>ROW()-5</f>
        <v/>
      </c>
      <c r="B301" s="66">
        <f>IFERROR(INDEX(tbl_Finance[Date],$A301),"")</f>
        <v/>
      </c>
      <c r="C301" s="67">
        <f>IFERROR(INDEX(tbl_Finance[Xero Invoice No],$A301),"")</f>
        <v/>
      </c>
      <c r="D301" s="67">
        <f>IFERROR(INDEX(tbl_Finance[Client],$A301),"")</f>
        <v/>
      </c>
      <c r="E301" s="67">
        <f>IFERROR(INDEX(tbl_Finance[Job Number],$A301),"")</f>
        <v/>
      </c>
      <c r="F301" s="67">
        <f>IFERROR(INDEX(tbl_Finance[Cost Centre],$A301),"")</f>
        <v/>
      </c>
      <c r="G301" s="68">
        <f>IFERROR(INDEX(tbl_Finance[Ex GST],$A301),"")</f>
        <v/>
      </c>
      <c r="H301" s="66">
        <f>IFERROR(INDEX(tbl_Finance[Defer Start],$A301),"")</f>
        <v/>
      </c>
      <c r="I301" s="66">
        <f>IFERROR(INDEX(tbl_Finance[Defer End],$A301),"")</f>
        <v/>
      </c>
      <c r="J301" s="65">
        <f>IF(OR($H301="",$I301="",$G301=""),"",MAX(1,(YEAR($I301)-YEAR($H301))*12+MONTH($I301)-MONTH($H301)+1))</f>
        <v/>
      </c>
      <c r="K301" s="68">
        <f>IF($J301="","",$G301/$J301)</f>
        <v/>
      </c>
      <c r="L301" s="68">
        <f>IF($J301="",0,$K301*MAX(0,MIN(YEAR($C$3)*12+MONTH($C$3),YEAR($I301)*12+MONTH($I301))-(YEAR($H301)*12+MONTH($H301))+1))</f>
        <v/>
      </c>
      <c r="M301" s="68">
        <f>IF($J301="",0,$K301*MAX(0,MIN(YEAR($C$3)*12+MONTH($C$3)-1,YEAR($I301)*12+MONTH($I301))-(YEAR($H301)*12+MONTH($H301))+1))</f>
        <v/>
      </c>
      <c r="N301" s="68">
        <f>IF(OR($J301="",$B301=""),0,IF(YEAR($B301)*12+MONTH($B301)&lt;=YEAR($C$3)*12+MONTH($C$3),$G301,0))</f>
        <v/>
      </c>
      <c r="O301" s="68">
        <f>IF(OR($J301="",$B301=""),0,IF(YEAR($B301)*12+MONTH($B301)&lt;=YEAR($C$3)*12+MONTH($C$3)-1,$G301,0))</f>
        <v/>
      </c>
      <c r="P301" s="68">
        <f>$M301-$O301</f>
        <v/>
      </c>
      <c r="Q301" s="68">
        <f>($L301-$M301)-($N301-$O301)</f>
        <v/>
      </c>
      <c r="R301" s="68">
        <f>$L301-$N301</f>
        <v/>
      </c>
      <c r="S301" s="67">
        <f>"Finance invoice"</f>
        <v/>
      </c>
      <c r="T301" s="67">
        <f>"Revenue"</f>
        <v/>
      </c>
    </row>
    <row r="302">
      <c r="A302" s="65">
        <f>ROW()-5</f>
        <v/>
      </c>
      <c r="B302" s="66">
        <f>IFERROR(INDEX(tbl_Finance[Date],$A302),"")</f>
        <v/>
      </c>
      <c r="C302" s="67">
        <f>IFERROR(INDEX(tbl_Finance[Xero Invoice No],$A302),"")</f>
        <v/>
      </c>
      <c r="D302" s="67">
        <f>IFERROR(INDEX(tbl_Finance[Client],$A302),"")</f>
        <v/>
      </c>
      <c r="E302" s="67">
        <f>IFERROR(INDEX(tbl_Finance[Job Number],$A302),"")</f>
        <v/>
      </c>
      <c r="F302" s="67">
        <f>IFERROR(INDEX(tbl_Finance[Cost Centre],$A302),"")</f>
        <v/>
      </c>
      <c r="G302" s="68">
        <f>IFERROR(INDEX(tbl_Finance[Ex GST],$A302),"")</f>
        <v/>
      </c>
      <c r="H302" s="66">
        <f>IFERROR(INDEX(tbl_Finance[Defer Start],$A302),"")</f>
        <v/>
      </c>
      <c r="I302" s="66">
        <f>IFERROR(INDEX(tbl_Finance[Defer End],$A302),"")</f>
        <v/>
      </c>
      <c r="J302" s="65">
        <f>IF(OR($H302="",$I302="",$G302=""),"",MAX(1,(YEAR($I302)-YEAR($H302))*12+MONTH($I302)-MONTH($H302)+1))</f>
        <v/>
      </c>
      <c r="K302" s="68">
        <f>IF($J302="","",$G302/$J302)</f>
        <v/>
      </c>
      <c r="L302" s="68">
        <f>IF($J302="",0,$K302*MAX(0,MIN(YEAR($C$3)*12+MONTH($C$3),YEAR($I302)*12+MONTH($I302))-(YEAR($H302)*12+MONTH($H302))+1))</f>
        <v/>
      </c>
      <c r="M302" s="68">
        <f>IF($J302="",0,$K302*MAX(0,MIN(YEAR($C$3)*12+MONTH($C$3)-1,YEAR($I302)*12+MONTH($I302))-(YEAR($H302)*12+MONTH($H302))+1))</f>
        <v/>
      </c>
      <c r="N302" s="68">
        <f>IF(OR($J302="",$B302=""),0,IF(YEAR($B302)*12+MONTH($B302)&lt;=YEAR($C$3)*12+MONTH($C$3),$G302,0))</f>
        <v/>
      </c>
      <c r="O302" s="68">
        <f>IF(OR($J302="",$B302=""),0,IF(YEAR($B302)*12+MONTH($B302)&lt;=YEAR($C$3)*12+MONTH($C$3)-1,$G302,0))</f>
        <v/>
      </c>
      <c r="P302" s="68">
        <f>$M302-$O302</f>
        <v/>
      </c>
      <c r="Q302" s="68">
        <f>($L302-$M302)-($N302-$O302)</f>
        <v/>
      </c>
      <c r="R302" s="68">
        <f>$L302-$N302</f>
        <v/>
      </c>
      <c r="S302" s="67">
        <f>"Finance invoice"</f>
        <v/>
      </c>
      <c r="T302" s="67">
        <f>"Revenue"</f>
        <v/>
      </c>
    </row>
    <row r="303">
      <c r="A303" s="65">
        <f>ROW()-5</f>
        <v/>
      </c>
      <c r="B303" s="66">
        <f>IFERROR(INDEX(tbl_Finance[Date],$A303),"")</f>
        <v/>
      </c>
      <c r="C303" s="67">
        <f>IFERROR(INDEX(tbl_Finance[Xero Invoice No],$A303),"")</f>
        <v/>
      </c>
      <c r="D303" s="67">
        <f>IFERROR(INDEX(tbl_Finance[Client],$A303),"")</f>
        <v/>
      </c>
      <c r="E303" s="67">
        <f>IFERROR(INDEX(tbl_Finance[Job Number],$A303),"")</f>
        <v/>
      </c>
      <c r="F303" s="67">
        <f>IFERROR(INDEX(tbl_Finance[Cost Centre],$A303),"")</f>
        <v/>
      </c>
      <c r="G303" s="68">
        <f>IFERROR(INDEX(tbl_Finance[Ex GST],$A303),"")</f>
        <v/>
      </c>
      <c r="H303" s="66">
        <f>IFERROR(INDEX(tbl_Finance[Defer Start],$A303),"")</f>
        <v/>
      </c>
      <c r="I303" s="66">
        <f>IFERROR(INDEX(tbl_Finance[Defer End],$A303),"")</f>
        <v/>
      </c>
      <c r="J303" s="65">
        <f>IF(OR($H303="",$I303="",$G303=""),"",MAX(1,(YEAR($I303)-YEAR($H303))*12+MONTH($I303)-MONTH($H303)+1))</f>
        <v/>
      </c>
      <c r="K303" s="68">
        <f>IF($J303="","",$G303/$J303)</f>
        <v/>
      </c>
      <c r="L303" s="68">
        <f>IF($J303="",0,$K303*MAX(0,MIN(YEAR($C$3)*12+MONTH($C$3),YEAR($I303)*12+MONTH($I303))-(YEAR($H303)*12+MONTH($H303))+1))</f>
        <v/>
      </c>
      <c r="M303" s="68">
        <f>IF($J303="",0,$K303*MAX(0,MIN(YEAR($C$3)*12+MONTH($C$3)-1,YEAR($I303)*12+MONTH($I303))-(YEAR($H303)*12+MONTH($H303))+1))</f>
        <v/>
      </c>
      <c r="N303" s="68">
        <f>IF(OR($J303="",$B303=""),0,IF(YEAR($B303)*12+MONTH($B303)&lt;=YEAR($C$3)*12+MONTH($C$3),$G303,0))</f>
        <v/>
      </c>
      <c r="O303" s="68">
        <f>IF(OR($J303="",$B303=""),0,IF(YEAR($B303)*12+MONTH($B303)&lt;=YEAR($C$3)*12+MONTH($C$3)-1,$G303,0))</f>
        <v/>
      </c>
      <c r="P303" s="68">
        <f>$M303-$O303</f>
        <v/>
      </c>
      <c r="Q303" s="68">
        <f>($L303-$M303)-($N303-$O303)</f>
        <v/>
      </c>
      <c r="R303" s="68">
        <f>$L303-$N303</f>
        <v/>
      </c>
      <c r="S303" s="67">
        <f>"Finance invoice"</f>
        <v/>
      </c>
      <c r="T303" s="67">
        <f>"Revenue"</f>
        <v/>
      </c>
    </row>
    <row r="304">
      <c r="A304" s="65">
        <f>ROW()-5</f>
        <v/>
      </c>
      <c r="B304" s="66">
        <f>IFERROR(INDEX(tbl_Finance[Date],$A304),"")</f>
        <v/>
      </c>
      <c r="C304" s="67">
        <f>IFERROR(INDEX(tbl_Finance[Xero Invoice No],$A304),"")</f>
        <v/>
      </c>
      <c r="D304" s="67">
        <f>IFERROR(INDEX(tbl_Finance[Client],$A304),"")</f>
        <v/>
      </c>
      <c r="E304" s="67">
        <f>IFERROR(INDEX(tbl_Finance[Job Number],$A304),"")</f>
        <v/>
      </c>
      <c r="F304" s="67">
        <f>IFERROR(INDEX(tbl_Finance[Cost Centre],$A304),"")</f>
        <v/>
      </c>
      <c r="G304" s="68">
        <f>IFERROR(INDEX(tbl_Finance[Ex GST],$A304),"")</f>
        <v/>
      </c>
      <c r="H304" s="66">
        <f>IFERROR(INDEX(tbl_Finance[Defer Start],$A304),"")</f>
        <v/>
      </c>
      <c r="I304" s="66">
        <f>IFERROR(INDEX(tbl_Finance[Defer End],$A304),"")</f>
        <v/>
      </c>
      <c r="J304" s="65">
        <f>IF(OR($H304="",$I304="",$G304=""),"",MAX(1,(YEAR($I304)-YEAR($H304))*12+MONTH($I304)-MONTH($H304)+1))</f>
        <v/>
      </c>
      <c r="K304" s="68">
        <f>IF($J304="","",$G304/$J304)</f>
        <v/>
      </c>
      <c r="L304" s="68">
        <f>IF($J304="",0,$K304*MAX(0,MIN(YEAR($C$3)*12+MONTH($C$3),YEAR($I304)*12+MONTH($I304))-(YEAR($H304)*12+MONTH($H304))+1))</f>
        <v/>
      </c>
      <c r="M304" s="68">
        <f>IF($J304="",0,$K304*MAX(0,MIN(YEAR($C$3)*12+MONTH($C$3)-1,YEAR($I304)*12+MONTH($I304))-(YEAR($H304)*12+MONTH($H304))+1))</f>
        <v/>
      </c>
      <c r="N304" s="68">
        <f>IF(OR($J304="",$B304=""),0,IF(YEAR($B304)*12+MONTH($B304)&lt;=YEAR($C$3)*12+MONTH($C$3),$G304,0))</f>
        <v/>
      </c>
      <c r="O304" s="68">
        <f>IF(OR($J304="",$B304=""),0,IF(YEAR($B304)*12+MONTH($B304)&lt;=YEAR($C$3)*12+MONTH($C$3)-1,$G304,0))</f>
        <v/>
      </c>
      <c r="P304" s="68">
        <f>$M304-$O304</f>
        <v/>
      </c>
      <c r="Q304" s="68">
        <f>($L304-$M304)-($N304-$O304)</f>
        <v/>
      </c>
      <c r="R304" s="68">
        <f>$L304-$N304</f>
        <v/>
      </c>
      <c r="S304" s="67">
        <f>"Finance invoice"</f>
        <v/>
      </c>
      <c r="T304" s="67">
        <f>"Revenue"</f>
        <v/>
      </c>
    </row>
    <row r="305">
      <c r="A305" s="65">
        <f>ROW()-5</f>
        <v/>
      </c>
      <c r="B305" s="66">
        <f>IFERROR(INDEX(tbl_Finance[Date],$A305),"")</f>
        <v/>
      </c>
      <c r="C305" s="67">
        <f>IFERROR(INDEX(tbl_Finance[Xero Invoice No],$A305),"")</f>
        <v/>
      </c>
      <c r="D305" s="67">
        <f>IFERROR(INDEX(tbl_Finance[Client],$A305),"")</f>
        <v/>
      </c>
      <c r="E305" s="67">
        <f>IFERROR(INDEX(tbl_Finance[Job Number],$A305),"")</f>
        <v/>
      </c>
      <c r="F305" s="67">
        <f>IFERROR(INDEX(tbl_Finance[Cost Centre],$A305),"")</f>
        <v/>
      </c>
      <c r="G305" s="68">
        <f>IFERROR(INDEX(tbl_Finance[Ex GST],$A305),"")</f>
        <v/>
      </c>
      <c r="H305" s="66">
        <f>IFERROR(INDEX(tbl_Finance[Defer Start],$A305),"")</f>
        <v/>
      </c>
      <c r="I305" s="66">
        <f>IFERROR(INDEX(tbl_Finance[Defer End],$A305),"")</f>
        <v/>
      </c>
      <c r="J305" s="65">
        <f>IF(OR($H305="",$I305="",$G305=""),"",MAX(1,(YEAR($I305)-YEAR($H305))*12+MONTH($I305)-MONTH($H305)+1))</f>
        <v/>
      </c>
      <c r="K305" s="68">
        <f>IF($J305="","",$G305/$J305)</f>
        <v/>
      </c>
      <c r="L305" s="68">
        <f>IF($J305="",0,$K305*MAX(0,MIN(YEAR($C$3)*12+MONTH($C$3),YEAR($I305)*12+MONTH($I305))-(YEAR($H305)*12+MONTH($H305))+1))</f>
        <v/>
      </c>
      <c r="M305" s="68">
        <f>IF($J305="",0,$K305*MAX(0,MIN(YEAR($C$3)*12+MONTH($C$3)-1,YEAR($I305)*12+MONTH($I305))-(YEAR($H305)*12+MONTH($H305))+1))</f>
        <v/>
      </c>
      <c r="N305" s="68">
        <f>IF(OR($J305="",$B305=""),0,IF(YEAR($B305)*12+MONTH($B305)&lt;=YEAR($C$3)*12+MONTH($C$3),$G305,0))</f>
        <v/>
      </c>
      <c r="O305" s="68">
        <f>IF(OR($J305="",$B305=""),0,IF(YEAR($B305)*12+MONTH($B305)&lt;=YEAR($C$3)*12+MONTH($C$3)-1,$G305,0))</f>
        <v/>
      </c>
      <c r="P305" s="68">
        <f>$M305-$O305</f>
        <v/>
      </c>
      <c r="Q305" s="68">
        <f>($L305-$M305)-($N305-$O305)</f>
        <v/>
      </c>
      <c r="R305" s="68">
        <f>$L305-$N305</f>
        <v/>
      </c>
      <c r="S305" s="67">
        <f>"Finance invoice"</f>
        <v/>
      </c>
      <c r="T305" s="67">
        <f>"Revenue"</f>
        <v/>
      </c>
    </row>
    <row r="306">
      <c r="A306" s="65">
        <f>ROW()-5</f>
        <v/>
      </c>
      <c r="B306" s="66">
        <f>IFERROR(INDEX(tbl_Finance[Date],$A306),"")</f>
        <v/>
      </c>
      <c r="C306" s="67">
        <f>IFERROR(INDEX(tbl_Finance[Xero Invoice No],$A306),"")</f>
        <v/>
      </c>
      <c r="D306" s="67">
        <f>IFERROR(INDEX(tbl_Finance[Client],$A306),"")</f>
        <v/>
      </c>
      <c r="E306" s="67">
        <f>IFERROR(INDEX(tbl_Finance[Job Number],$A306),"")</f>
        <v/>
      </c>
      <c r="F306" s="67">
        <f>IFERROR(INDEX(tbl_Finance[Cost Centre],$A306),"")</f>
        <v/>
      </c>
      <c r="G306" s="68">
        <f>IFERROR(INDEX(tbl_Finance[Ex GST],$A306),"")</f>
        <v/>
      </c>
      <c r="H306" s="66">
        <f>IFERROR(INDEX(tbl_Finance[Defer Start],$A306),"")</f>
        <v/>
      </c>
      <c r="I306" s="66">
        <f>IFERROR(INDEX(tbl_Finance[Defer End],$A306),"")</f>
        <v/>
      </c>
      <c r="J306" s="65">
        <f>IF(OR($H306="",$I306="",$G306=""),"",MAX(1,(YEAR($I306)-YEAR($H306))*12+MONTH($I306)-MONTH($H306)+1))</f>
        <v/>
      </c>
      <c r="K306" s="68">
        <f>IF($J306="","",$G306/$J306)</f>
        <v/>
      </c>
      <c r="L306" s="68">
        <f>IF($J306="",0,$K306*MAX(0,MIN(YEAR($C$3)*12+MONTH($C$3),YEAR($I306)*12+MONTH($I306))-(YEAR($H306)*12+MONTH($H306))+1))</f>
        <v/>
      </c>
      <c r="M306" s="68">
        <f>IF($J306="",0,$K306*MAX(0,MIN(YEAR($C$3)*12+MONTH($C$3)-1,YEAR($I306)*12+MONTH($I306))-(YEAR($H306)*12+MONTH($H306))+1))</f>
        <v/>
      </c>
      <c r="N306" s="68">
        <f>IF(OR($J306="",$B306=""),0,IF(YEAR($B306)*12+MONTH($B306)&lt;=YEAR($C$3)*12+MONTH($C$3),$G306,0))</f>
        <v/>
      </c>
      <c r="O306" s="68">
        <f>IF(OR($J306="",$B306=""),0,IF(YEAR($B306)*12+MONTH($B306)&lt;=YEAR($C$3)*12+MONTH($C$3)-1,$G306,0))</f>
        <v/>
      </c>
      <c r="P306" s="68">
        <f>$M306-$O306</f>
        <v/>
      </c>
      <c r="Q306" s="68">
        <f>($L306-$M306)-($N306-$O306)</f>
        <v/>
      </c>
      <c r="R306" s="68">
        <f>$L306-$N306</f>
        <v/>
      </c>
      <c r="S306" s="67">
        <f>"Finance invoice"</f>
        <v/>
      </c>
      <c r="T306" s="67">
        <f>"Revenue"</f>
        <v/>
      </c>
    </row>
    <row r="307">
      <c r="A307" s="65">
        <f>ROW()-5</f>
        <v/>
      </c>
      <c r="B307" s="66">
        <f>IFERROR(INDEX(tbl_Finance[Date],$A307),"")</f>
        <v/>
      </c>
      <c r="C307" s="67">
        <f>IFERROR(INDEX(tbl_Finance[Xero Invoice No],$A307),"")</f>
        <v/>
      </c>
      <c r="D307" s="67">
        <f>IFERROR(INDEX(tbl_Finance[Client],$A307),"")</f>
        <v/>
      </c>
      <c r="E307" s="67">
        <f>IFERROR(INDEX(tbl_Finance[Job Number],$A307),"")</f>
        <v/>
      </c>
      <c r="F307" s="67">
        <f>IFERROR(INDEX(tbl_Finance[Cost Centre],$A307),"")</f>
        <v/>
      </c>
      <c r="G307" s="68">
        <f>IFERROR(INDEX(tbl_Finance[Ex GST],$A307),"")</f>
        <v/>
      </c>
      <c r="H307" s="66">
        <f>IFERROR(INDEX(tbl_Finance[Defer Start],$A307),"")</f>
        <v/>
      </c>
      <c r="I307" s="66">
        <f>IFERROR(INDEX(tbl_Finance[Defer End],$A307),"")</f>
        <v/>
      </c>
      <c r="J307" s="65">
        <f>IF(OR($H307="",$I307="",$G307=""),"",MAX(1,(YEAR($I307)-YEAR($H307))*12+MONTH($I307)-MONTH($H307)+1))</f>
        <v/>
      </c>
      <c r="K307" s="68">
        <f>IF($J307="","",$G307/$J307)</f>
        <v/>
      </c>
      <c r="L307" s="68">
        <f>IF($J307="",0,$K307*MAX(0,MIN(YEAR($C$3)*12+MONTH($C$3),YEAR($I307)*12+MONTH($I307))-(YEAR($H307)*12+MONTH($H307))+1))</f>
        <v/>
      </c>
      <c r="M307" s="68">
        <f>IF($J307="",0,$K307*MAX(0,MIN(YEAR($C$3)*12+MONTH($C$3)-1,YEAR($I307)*12+MONTH($I307))-(YEAR($H307)*12+MONTH($H307))+1))</f>
        <v/>
      </c>
      <c r="N307" s="68">
        <f>IF(OR($J307="",$B307=""),0,IF(YEAR($B307)*12+MONTH($B307)&lt;=YEAR($C$3)*12+MONTH($C$3),$G307,0))</f>
        <v/>
      </c>
      <c r="O307" s="68">
        <f>IF(OR($J307="",$B307=""),0,IF(YEAR($B307)*12+MONTH($B307)&lt;=YEAR($C$3)*12+MONTH($C$3)-1,$G307,0))</f>
        <v/>
      </c>
      <c r="P307" s="68">
        <f>$M307-$O307</f>
        <v/>
      </c>
      <c r="Q307" s="68">
        <f>($L307-$M307)-($N307-$O307)</f>
        <v/>
      </c>
      <c r="R307" s="68">
        <f>$L307-$N307</f>
        <v/>
      </c>
      <c r="S307" s="67">
        <f>"Finance invoice"</f>
        <v/>
      </c>
      <c r="T307" s="67">
        <f>"Revenue"</f>
        <v/>
      </c>
    </row>
    <row r="308">
      <c r="A308" s="65">
        <f>ROW()-5</f>
        <v/>
      </c>
      <c r="B308" s="66">
        <f>IFERROR(INDEX(tbl_Finance[Date],$A308),"")</f>
        <v/>
      </c>
      <c r="C308" s="67">
        <f>IFERROR(INDEX(tbl_Finance[Xero Invoice No],$A308),"")</f>
        <v/>
      </c>
      <c r="D308" s="67">
        <f>IFERROR(INDEX(tbl_Finance[Client],$A308),"")</f>
        <v/>
      </c>
      <c r="E308" s="67">
        <f>IFERROR(INDEX(tbl_Finance[Job Number],$A308),"")</f>
        <v/>
      </c>
      <c r="F308" s="67">
        <f>IFERROR(INDEX(tbl_Finance[Cost Centre],$A308),"")</f>
        <v/>
      </c>
      <c r="G308" s="68">
        <f>IFERROR(INDEX(tbl_Finance[Ex GST],$A308),"")</f>
        <v/>
      </c>
      <c r="H308" s="66">
        <f>IFERROR(INDEX(tbl_Finance[Defer Start],$A308),"")</f>
        <v/>
      </c>
      <c r="I308" s="66">
        <f>IFERROR(INDEX(tbl_Finance[Defer End],$A308),"")</f>
        <v/>
      </c>
      <c r="J308" s="65">
        <f>IF(OR($H308="",$I308="",$G308=""),"",MAX(1,(YEAR($I308)-YEAR($H308))*12+MONTH($I308)-MONTH($H308)+1))</f>
        <v/>
      </c>
      <c r="K308" s="68">
        <f>IF($J308="","",$G308/$J308)</f>
        <v/>
      </c>
      <c r="L308" s="68">
        <f>IF($J308="",0,$K308*MAX(0,MIN(YEAR($C$3)*12+MONTH($C$3),YEAR($I308)*12+MONTH($I308))-(YEAR($H308)*12+MONTH($H308))+1))</f>
        <v/>
      </c>
      <c r="M308" s="68">
        <f>IF($J308="",0,$K308*MAX(0,MIN(YEAR($C$3)*12+MONTH($C$3)-1,YEAR($I308)*12+MONTH($I308))-(YEAR($H308)*12+MONTH($H308))+1))</f>
        <v/>
      </c>
      <c r="N308" s="68">
        <f>IF(OR($J308="",$B308=""),0,IF(YEAR($B308)*12+MONTH($B308)&lt;=YEAR($C$3)*12+MONTH($C$3),$G308,0))</f>
        <v/>
      </c>
      <c r="O308" s="68">
        <f>IF(OR($J308="",$B308=""),0,IF(YEAR($B308)*12+MONTH($B308)&lt;=YEAR($C$3)*12+MONTH($C$3)-1,$G308,0))</f>
        <v/>
      </c>
      <c r="P308" s="68">
        <f>$M308-$O308</f>
        <v/>
      </c>
      <c r="Q308" s="68">
        <f>($L308-$M308)-($N308-$O308)</f>
        <v/>
      </c>
      <c r="R308" s="68">
        <f>$L308-$N308</f>
        <v/>
      </c>
      <c r="S308" s="67">
        <f>"Finance invoice"</f>
        <v/>
      </c>
      <c r="T308" s="67">
        <f>"Revenue"</f>
        <v/>
      </c>
    </row>
    <row r="309">
      <c r="A309" s="65">
        <f>ROW()-5</f>
        <v/>
      </c>
      <c r="B309" s="66">
        <f>IFERROR(INDEX(tbl_Finance[Date],$A309),"")</f>
        <v/>
      </c>
      <c r="C309" s="67">
        <f>IFERROR(INDEX(tbl_Finance[Xero Invoice No],$A309),"")</f>
        <v/>
      </c>
      <c r="D309" s="67">
        <f>IFERROR(INDEX(tbl_Finance[Client],$A309),"")</f>
        <v/>
      </c>
      <c r="E309" s="67">
        <f>IFERROR(INDEX(tbl_Finance[Job Number],$A309),"")</f>
        <v/>
      </c>
      <c r="F309" s="67">
        <f>IFERROR(INDEX(tbl_Finance[Cost Centre],$A309),"")</f>
        <v/>
      </c>
      <c r="G309" s="68">
        <f>IFERROR(INDEX(tbl_Finance[Ex GST],$A309),"")</f>
        <v/>
      </c>
      <c r="H309" s="66">
        <f>IFERROR(INDEX(tbl_Finance[Defer Start],$A309),"")</f>
        <v/>
      </c>
      <c r="I309" s="66">
        <f>IFERROR(INDEX(tbl_Finance[Defer End],$A309),"")</f>
        <v/>
      </c>
      <c r="J309" s="65">
        <f>IF(OR($H309="",$I309="",$G309=""),"",MAX(1,(YEAR($I309)-YEAR($H309))*12+MONTH($I309)-MONTH($H309)+1))</f>
        <v/>
      </c>
      <c r="K309" s="68">
        <f>IF($J309="","",$G309/$J309)</f>
        <v/>
      </c>
      <c r="L309" s="68">
        <f>IF($J309="",0,$K309*MAX(0,MIN(YEAR($C$3)*12+MONTH($C$3),YEAR($I309)*12+MONTH($I309))-(YEAR($H309)*12+MONTH($H309))+1))</f>
        <v/>
      </c>
      <c r="M309" s="68">
        <f>IF($J309="",0,$K309*MAX(0,MIN(YEAR($C$3)*12+MONTH($C$3)-1,YEAR($I309)*12+MONTH($I309))-(YEAR($H309)*12+MONTH($H309))+1))</f>
        <v/>
      </c>
      <c r="N309" s="68">
        <f>IF(OR($J309="",$B309=""),0,IF(YEAR($B309)*12+MONTH($B309)&lt;=YEAR($C$3)*12+MONTH($C$3),$G309,0))</f>
        <v/>
      </c>
      <c r="O309" s="68">
        <f>IF(OR($J309="",$B309=""),0,IF(YEAR($B309)*12+MONTH($B309)&lt;=YEAR($C$3)*12+MONTH($C$3)-1,$G309,0))</f>
        <v/>
      </c>
      <c r="P309" s="68">
        <f>$M309-$O309</f>
        <v/>
      </c>
      <c r="Q309" s="68">
        <f>($L309-$M309)-($N309-$O309)</f>
        <v/>
      </c>
      <c r="R309" s="68">
        <f>$L309-$N309</f>
        <v/>
      </c>
      <c r="S309" s="67">
        <f>"Finance invoice"</f>
        <v/>
      </c>
      <c r="T309" s="67">
        <f>"Revenue"</f>
        <v/>
      </c>
    </row>
    <row r="310">
      <c r="A310" s="65">
        <f>ROW()-5</f>
        <v/>
      </c>
      <c r="B310" s="66">
        <f>IFERROR(INDEX(tbl_Finance[Date],$A310),"")</f>
        <v/>
      </c>
      <c r="C310" s="67">
        <f>IFERROR(INDEX(tbl_Finance[Xero Invoice No],$A310),"")</f>
        <v/>
      </c>
      <c r="D310" s="67">
        <f>IFERROR(INDEX(tbl_Finance[Client],$A310),"")</f>
        <v/>
      </c>
      <c r="E310" s="67">
        <f>IFERROR(INDEX(tbl_Finance[Job Number],$A310),"")</f>
        <v/>
      </c>
      <c r="F310" s="67">
        <f>IFERROR(INDEX(tbl_Finance[Cost Centre],$A310),"")</f>
        <v/>
      </c>
      <c r="G310" s="68">
        <f>IFERROR(INDEX(tbl_Finance[Ex GST],$A310),"")</f>
        <v/>
      </c>
      <c r="H310" s="66">
        <f>IFERROR(INDEX(tbl_Finance[Defer Start],$A310),"")</f>
        <v/>
      </c>
      <c r="I310" s="66">
        <f>IFERROR(INDEX(tbl_Finance[Defer End],$A310),"")</f>
        <v/>
      </c>
      <c r="J310" s="65">
        <f>IF(OR($H310="",$I310="",$G310=""),"",MAX(1,(YEAR($I310)-YEAR($H310))*12+MONTH($I310)-MONTH($H310)+1))</f>
        <v/>
      </c>
      <c r="K310" s="68">
        <f>IF($J310="","",$G310/$J310)</f>
        <v/>
      </c>
      <c r="L310" s="68">
        <f>IF($J310="",0,$K310*MAX(0,MIN(YEAR($C$3)*12+MONTH($C$3),YEAR($I310)*12+MONTH($I310))-(YEAR($H310)*12+MONTH($H310))+1))</f>
        <v/>
      </c>
      <c r="M310" s="68">
        <f>IF($J310="",0,$K310*MAX(0,MIN(YEAR($C$3)*12+MONTH($C$3)-1,YEAR($I310)*12+MONTH($I310))-(YEAR($H310)*12+MONTH($H310))+1))</f>
        <v/>
      </c>
      <c r="N310" s="68">
        <f>IF(OR($J310="",$B310=""),0,IF(YEAR($B310)*12+MONTH($B310)&lt;=YEAR($C$3)*12+MONTH($C$3),$G310,0))</f>
        <v/>
      </c>
      <c r="O310" s="68">
        <f>IF(OR($J310="",$B310=""),0,IF(YEAR($B310)*12+MONTH($B310)&lt;=YEAR($C$3)*12+MONTH($C$3)-1,$G310,0))</f>
        <v/>
      </c>
      <c r="P310" s="68">
        <f>$M310-$O310</f>
        <v/>
      </c>
      <c r="Q310" s="68">
        <f>($L310-$M310)-($N310-$O310)</f>
        <v/>
      </c>
      <c r="R310" s="68">
        <f>$L310-$N310</f>
        <v/>
      </c>
      <c r="S310" s="67">
        <f>"Finance invoice"</f>
        <v/>
      </c>
      <c r="T310" s="67">
        <f>"Revenue"</f>
        <v/>
      </c>
    </row>
    <row r="311">
      <c r="A311" s="65">
        <f>ROW()-5</f>
        <v/>
      </c>
      <c r="B311" s="66">
        <f>IFERROR(INDEX(tbl_Finance[Date],$A311),"")</f>
        <v/>
      </c>
      <c r="C311" s="67">
        <f>IFERROR(INDEX(tbl_Finance[Xero Invoice No],$A311),"")</f>
        <v/>
      </c>
      <c r="D311" s="67">
        <f>IFERROR(INDEX(tbl_Finance[Client],$A311),"")</f>
        <v/>
      </c>
      <c r="E311" s="67">
        <f>IFERROR(INDEX(tbl_Finance[Job Number],$A311),"")</f>
        <v/>
      </c>
      <c r="F311" s="67">
        <f>IFERROR(INDEX(tbl_Finance[Cost Centre],$A311),"")</f>
        <v/>
      </c>
      <c r="G311" s="68">
        <f>IFERROR(INDEX(tbl_Finance[Ex GST],$A311),"")</f>
        <v/>
      </c>
      <c r="H311" s="66">
        <f>IFERROR(INDEX(tbl_Finance[Defer Start],$A311),"")</f>
        <v/>
      </c>
      <c r="I311" s="66">
        <f>IFERROR(INDEX(tbl_Finance[Defer End],$A311),"")</f>
        <v/>
      </c>
      <c r="J311" s="65">
        <f>IF(OR($H311="",$I311="",$G311=""),"",MAX(1,(YEAR($I311)-YEAR($H311))*12+MONTH($I311)-MONTH($H311)+1))</f>
        <v/>
      </c>
      <c r="K311" s="68">
        <f>IF($J311="","",$G311/$J311)</f>
        <v/>
      </c>
      <c r="L311" s="68">
        <f>IF($J311="",0,$K311*MAX(0,MIN(YEAR($C$3)*12+MONTH($C$3),YEAR($I311)*12+MONTH($I311))-(YEAR($H311)*12+MONTH($H311))+1))</f>
        <v/>
      </c>
      <c r="M311" s="68">
        <f>IF($J311="",0,$K311*MAX(0,MIN(YEAR($C$3)*12+MONTH($C$3)-1,YEAR($I311)*12+MONTH($I311))-(YEAR($H311)*12+MONTH($H311))+1))</f>
        <v/>
      </c>
      <c r="N311" s="68">
        <f>IF(OR($J311="",$B311=""),0,IF(YEAR($B311)*12+MONTH($B311)&lt;=YEAR($C$3)*12+MONTH($C$3),$G311,0))</f>
        <v/>
      </c>
      <c r="O311" s="68">
        <f>IF(OR($J311="",$B311=""),0,IF(YEAR($B311)*12+MONTH($B311)&lt;=YEAR($C$3)*12+MONTH($C$3)-1,$G311,0))</f>
        <v/>
      </c>
      <c r="P311" s="68">
        <f>$M311-$O311</f>
        <v/>
      </c>
      <c r="Q311" s="68">
        <f>($L311-$M311)-($N311-$O311)</f>
        <v/>
      </c>
      <c r="R311" s="68">
        <f>$L311-$N311</f>
        <v/>
      </c>
      <c r="S311" s="67">
        <f>"Finance invoice"</f>
        <v/>
      </c>
      <c r="T311" s="67">
        <f>"Revenue"</f>
        <v/>
      </c>
    </row>
    <row r="312">
      <c r="A312" s="65">
        <f>ROW()-5</f>
        <v/>
      </c>
      <c r="B312" s="66">
        <f>IFERROR(INDEX(tbl_Finance[Date],$A312),"")</f>
        <v/>
      </c>
      <c r="C312" s="67">
        <f>IFERROR(INDEX(tbl_Finance[Xero Invoice No],$A312),"")</f>
        <v/>
      </c>
      <c r="D312" s="67">
        <f>IFERROR(INDEX(tbl_Finance[Client],$A312),"")</f>
        <v/>
      </c>
      <c r="E312" s="67">
        <f>IFERROR(INDEX(tbl_Finance[Job Number],$A312),"")</f>
        <v/>
      </c>
      <c r="F312" s="67">
        <f>IFERROR(INDEX(tbl_Finance[Cost Centre],$A312),"")</f>
        <v/>
      </c>
      <c r="G312" s="68">
        <f>IFERROR(INDEX(tbl_Finance[Ex GST],$A312),"")</f>
        <v/>
      </c>
      <c r="H312" s="66">
        <f>IFERROR(INDEX(tbl_Finance[Defer Start],$A312),"")</f>
        <v/>
      </c>
      <c r="I312" s="66">
        <f>IFERROR(INDEX(tbl_Finance[Defer End],$A312),"")</f>
        <v/>
      </c>
      <c r="J312" s="65">
        <f>IF(OR($H312="",$I312="",$G312=""),"",MAX(1,(YEAR($I312)-YEAR($H312))*12+MONTH($I312)-MONTH($H312)+1))</f>
        <v/>
      </c>
      <c r="K312" s="68">
        <f>IF($J312="","",$G312/$J312)</f>
        <v/>
      </c>
      <c r="L312" s="68">
        <f>IF($J312="",0,$K312*MAX(0,MIN(YEAR($C$3)*12+MONTH($C$3),YEAR($I312)*12+MONTH($I312))-(YEAR($H312)*12+MONTH($H312))+1))</f>
        <v/>
      </c>
      <c r="M312" s="68">
        <f>IF($J312="",0,$K312*MAX(0,MIN(YEAR($C$3)*12+MONTH($C$3)-1,YEAR($I312)*12+MONTH($I312))-(YEAR($H312)*12+MONTH($H312))+1))</f>
        <v/>
      </c>
      <c r="N312" s="68">
        <f>IF(OR($J312="",$B312=""),0,IF(YEAR($B312)*12+MONTH($B312)&lt;=YEAR($C$3)*12+MONTH($C$3),$G312,0))</f>
        <v/>
      </c>
      <c r="O312" s="68">
        <f>IF(OR($J312="",$B312=""),0,IF(YEAR($B312)*12+MONTH($B312)&lt;=YEAR($C$3)*12+MONTH($C$3)-1,$G312,0))</f>
        <v/>
      </c>
      <c r="P312" s="68">
        <f>$M312-$O312</f>
        <v/>
      </c>
      <c r="Q312" s="68">
        <f>($L312-$M312)-($N312-$O312)</f>
        <v/>
      </c>
      <c r="R312" s="68">
        <f>$L312-$N312</f>
        <v/>
      </c>
      <c r="S312" s="67">
        <f>"Finance invoice"</f>
        <v/>
      </c>
      <c r="T312" s="67">
        <f>"Revenue"</f>
        <v/>
      </c>
    </row>
    <row r="313">
      <c r="A313" s="65">
        <f>ROW()-5</f>
        <v/>
      </c>
      <c r="B313" s="66">
        <f>IFERROR(INDEX(tbl_Finance[Date],$A313),"")</f>
        <v/>
      </c>
      <c r="C313" s="67">
        <f>IFERROR(INDEX(tbl_Finance[Xero Invoice No],$A313),"")</f>
        <v/>
      </c>
      <c r="D313" s="67">
        <f>IFERROR(INDEX(tbl_Finance[Client],$A313),"")</f>
        <v/>
      </c>
      <c r="E313" s="67">
        <f>IFERROR(INDEX(tbl_Finance[Job Number],$A313),"")</f>
        <v/>
      </c>
      <c r="F313" s="67">
        <f>IFERROR(INDEX(tbl_Finance[Cost Centre],$A313),"")</f>
        <v/>
      </c>
      <c r="G313" s="68">
        <f>IFERROR(INDEX(tbl_Finance[Ex GST],$A313),"")</f>
        <v/>
      </c>
      <c r="H313" s="66">
        <f>IFERROR(INDEX(tbl_Finance[Defer Start],$A313),"")</f>
        <v/>
      </c>
      <c r="I313" s="66">
        <f>IFERROR(INDEX(tbl_Finance[Defer End],$A313),"")</f>
        <v/>
      </c>
      <c r="J313" s="65">
        <f>IF(OR($H313="",$I313="",$G313=""),"",MAX(1,(YEAR($I313)-YEAR($H313))*12+MONTH($I313)-MONTH($H313)+1))</f>
        <v/>
      </c>
      <c r="K313" s="68">
        <f>IF($J313="","",$G313/$J313)</f>
        <v/>
      </c>
      <c r="L313" s="68">
        <f>IF($J313="",0,$K313*MAX(0,MIN(YEAR($C$3)*12+MONTH($C$3),YEAR($I313)*12+MONTH($I313))-(YEAR($H313)*12+MONTH($H313))+1))</f>
        <v/>
      </c>
      <c r="M313" s="68">
        <f>IF($J313="",0,$K313*MAX(0,MIN(YEAR($C$3)*12+MONTH($C$3)-1,YEAR($I313)*12+MONTH($I313))-(YEAR($H313)*12+MONTH($H313))+1))</f>
        <v/>
      </c>
      <c r="N313" s="68">
        <f>IF(OR($J313="",$B313=""),0,IF(YEAR($B313)*12+MONTH($B313)&lt;=YEAR($C$3)*12+MONTH($C$3),$G313,0))</f>
        <v/>
      </c>
      <c r="O313" s="68">
        <f>IF(OR($J313="",$B313=""),0,IF(YEAR($B313)*12+MONTH($B313)&lt;=YEAR($C$3)*12+MONTH($C$3)-1,$G313,0))</f>
        <v/>
      </c>
      <c r="P313" s="68">
        <f>$M313-$O313</f>
        <v/>
      </c>
      <c r="Q313" s="68">
        <f>($L313-$M313)-($N313-$O313)</f>
        <v/>
      </c>
      <c r="R313" s="68">
        <f>$L313-$N313</f>
        <v/>
      </c>
      <c r="S313" s="67">
        <f>"Finance invoice"</f>
        <v/>
      </c>
      <c r="T313" s="67">
        <f>"Revenue"</f>
        <v/>
      </c>
    </row>
    <row r="314">
      <c r="A314" s="65">
        <f>ROW()-5</f>
        <v/>
      </c>
      <c r="B314" s="66">
        <f>IFERROR(INDEX(tbl_Finance[Date],$A314),"")</f>
        <v/>
      </c>
      <c r="C314" s="67">
        <f>IFERROR(INDEX(tbl_Finance[Xero Invoice No],$A314),"")</f>
        <v/>
      </c>
      <c r="D314" s="67">
        <f>IFERROR(INDEX(tbl_Finance[Client],$A314),"")</f>
        <v/>
      </c>
      <c r="E314" s="67">
        <f>IFERROR(INDEX(tbl_Finance[Job Number],$A314),"")</f>
        <v/>
      </c>
      <c r="F314" s="67">
        <f>IFERROR(INDEX(tbl_Finance[Cost Centre],$A314),"")</f>
        <v/>
      </c>
      <c r="G314" s="68">
        <f>IFERROR(INDEX(tbl_Finance[Ex GST],$A314),"")</f>
        <v/>
      </c>
      <c r="H314" s="66">
        <f>IFERROR(INDEX(tbl_Finance[Defer Start],$A314),"")</f>
        <v/>
      </c>
      <c r="I314" s="66">
        <f>IFERROR(INDEX(tbl_Finance[Defer End],$A314),"")</f>
        <v/>
      </c>
      <c r="J314" s="65">
        <f>IF(OR($H314="",$I314="",$G314=""),"",MAX(1,(YEAR($I314)-YEAR($H314))*12+MONTH($I314)-MONTH($H314)+1))</f>
        <v/>
      </c>
      <c r="K314" s="68">
        <f>IF($J314="","",$G314/$J314)</f>
        <v/>
      </c>
      <c r="L314" s="68">
        <f>IF($J314="",0,$K314*MAX(0,MIN(YEAR($C$3)*12+MONTH($C$3),YEAR($I314)*12+MONTH($I314))-(YEAR($H314)*12+MONTH($H314))+1))</f>
        <v/>
      </c>
      <c r="M314" s="68">
        <f>IF($J314="",0,$K314*MAX(0,MIN(YEAR($C$3)*12+MONTH($C$3)-1,YEAR($I314)*12+MONTH($I314))-(YEAR($H314)*12+MONTH($H314))+1))</f>
        <v/>
      </c>
      <c r="N314" s="68">
        <f>IF(OR($J314="",$B314=""),0,IF(YEAR($B314)*12+MONTH($B314)&lt;=YEAR($C$3)*12+MONTH($C$3),$G314,0))</f>
        <v/>
      </c>
      <c r="O314" s="68">
        <f>IF(OR($J314="",$B314=""),0,IF(YEAR($B314)*12+MONTH($B314)&lt;=YEAR($C$3)*12+MONTH($C$3)-1,$G314,0))</f>
        <v/>
      </c>
      <c r="P314" s="68">
        <f>$M314-$O314</f>
        <v/>
      </c>
      <c r="Q314" s="68">
        <f>($L314-$M314)-($N314-$O314)</f>
        <v/>
      </c>
      <c r="R314" s="68">
        <f>$L314-$N314</f>
        <v/>
      </c>
      <c r="S314" s="67">
        <f>"Finance invoice"</f>
        <v/>
      </c>
      <c r="T314" s="67">
        <f>"Revenue"</f>
        <v/>
      </c>
    </row>
    <row r="315">
      <c r="A315" s="65">
        <f>ROW()-5</f>
        <v/>
      </c>
      <c r="B315" s="66">
        <f>IFERROR(INDEX(tbl_Finance[Date],$A315),"")</f>
        <v/>
      </c>
      <c r="C315" s="67">
        <f>IFERROR(INDEX(tbl_Finance[Xero Invoice No],$A315),"")</f>
        <v/>
      </c>
      <c r="D315" s="67">
        <f>IFERROR(INDEX(tbl_Finance[Client],$A315),"")</f>
        <v/>
      </c>
      <c r="E315" s="67">
        <f>IFERROR(INDEX(tbl_Finance[Job Number],$A315),"")</f>
        <v/>
      </c>
      <c r="F315" s="67">
        <f>IFERROR(INDEX(tbl_Finance[Cost Centre],$A315),"")</f>
        <v/>
      </c>
      <c r="G315" s="68">
        <f>IFERROR(INDEX(tbl_Finance[Ex GST],$A315),"")</f>
        <v/>
      </c>
      <c r="H315" s="66">
        <f>IFERROR(INDEX(tbl_Finance[Defer Start],$A315),"")</f>
        <v/>
      </c>
      <c r="I315" s="66">
        <f>IFERROR(INDEX(tbl_Finance[Defer End],$A315),"")</f>
        <v/>
      </c>
      <c r="J315" s="65">
        <f>IF(OR($H315="",$I315="",$G315=""),"",MAX(1,(YEAR($I315)-YEAR($H315))*12+MONTH($I315)-MONTH($H315)+1))</f>
        <v/>
      </c>
      <c r="K315" s="68">
        <f>IF($J315="","",$G315/$J315)</f>
        <v/>
      </c>
      <c r="L315" s="68">
        <f>IF($J315="",0,$K315*MAX(0,MIN(YEAR($C$3)*12+MONTH($C$3),YEAR($I315)*12+MONTH($I315))-(YEAR($H315)*12+MONTH($H315))+1))</f>
        <v/>
      </c>
      <c r="M315" s="68">
        <f>IF($J315="",0,$K315*MAX(0,MIN(YEAR($C$3)*12+MONTH($C$3)-1,YEAR($I315)*12+MONTH($I315))-(YEAR($H315)*12+MONTH($H315))+1))</f>
        <v/>
      </c>
      <c r="N315" s="68">
        <f>IF(OR($J315="",$B315=""),0,IF(YEAR($B315)*12+MONTH($B315)&lt;=YEAR($C$3)*12+MONTH($C$3),$G315,0))</f>
        <v/>
      </c>
      <c r="O315" s="68">
        <f>IF(OR($J315="",$B315=""),0,IF(YEAR($B315)*12+MONTH($B315)&lt;=YEAR($C$3)*12+MONTH($C$3)-1,$G315,0))</f>
        <v/>
      </c>
      <c r="P315" s="68">
        <f>$M315-$O315</f>
        <v/>
      </c>
      <c r="Q315" s="68">
        <f>($L315-$M315)-($N315-$O315)</f>
        <v/>
      </c>
      <c r="R315" s="68">
        <f>$L315-$N315</f>
        <v/>
      </c>
      <c r="S315" s="67">
        <f>"Finance invoice"</f>
        <v/>
      </c>
      <c r="T315" s="67">
        <f>"Revenue"</f>
        <v/>
      </c>
    </row>
    <row r="316">
      <c r="A316" s="65">
        <f>ROW()-5</f>
        <v/>
      </c>
      <c r="B316" s="66">
        <f>IFERROR(INDEX(tbl_Finance[Date],$A316),"")</f>
        <v/>
      </c>
      <c r="C316" s="67">
        <f>IFERROR(INDEX(tbl_Finance[Xero Invoice No],$A316),"")</f>
        <v/>
      </c>
      <c r="D316" s="67">
        <f>IFERROR(INDEX(tbl_Finance[Client],$A316),"")</f>
        <v/>
      </c>
      <c r="E316" s="67">
        <f>IFERROR(INDEX(tbl_Finance[Job Number],$A316),"")</f>
        <v/>
      </c>
      <c r="F316" s="67">
        <f>IFERROR(INDEX(tbl_Finance[Cost Centre],$A316),"")</f>
        <v/>
      </c>
      <c r="G316" s="68">
        <f>IFERROR(INDEX(tbl_Finance[Ex GST],$A316),"")</f>
        <v/>
      </c>
      <c r="H316" s="66">
        <f>IFERROR(INDEX(tbl_Finance[Defer Start],$A316),"")</f>
        <v/>
      </c>
      <c r="I316" s="66">
        <f>IFERROR(INDEX(tbl_Finance[Defer End],$A316),"")</f>
        <v/>
      </c>
      <c r="J316" s="65">
        <f>IF(OR($H316="",$I316="",$G316=""),"",MAX(1,(YEAR($I316)-YEAR($H316))*12+MONTH($I316)-MONTH($H316)+1))</f>
        <v/>
      </c>
      <c r="K316" s="68">
        <f>IF($J316="","",$G316/$J316)</f>
        <v/>
      </c>
      <c r="L316" s="68">
        <f>IF($J316="",0,$K316*MAX(0,MIN(YEAR($C$3)*12+MONTH($C$3),YEAR($I316)*12+MONTH($I316))-(YEAR($H316)*12+MONTH($H316))+1))</f>
        <v/>
      </c>
      <c r="M316" s="68">
        <f>IF($J316="",0,$K316*MAX(0,MIN(YEAR($C$3)*12+MONTH($C$3)-1,YEAR($I316)*12+MONTH($I316))-(YEAR($H316)*12+MONTH($H316))+1))</f>
        <v/>
      </c>
      <c r="N316" s="68">
        <f>IF(OR($J316="",$B316=""),0,IF(YEAR($B316)*12+MONTH($B316)&lt;=YEAR($C$3)*12+MONTH($C$3),$G316,0))</f>
        <v/>
      </c>
      <c r="O316" s="68">
        <f>IF(OR($J316="",$B316=""),0,IF(YEAR($B316)*12+MONTH($B316)&lt;=YEAR($C$3)*12+MONTH($C$3)-1,$G316,0))</f>
        <v/>
      </c>
      <c r="P316" s="68">
        <f>$M316-$O316</f>
        <v/>
      </c>
      <c r="Q316" s="68">
        <f>($L316-$M316)-($N316-$O316)</f>
        <v/>
      </c>
      <c r="R316" s="68">
        <f>$L316-$N316</f>
        <v/>
      </c>
      <c r="S316" s="67">
        <f>"Finance invoice"</f>
        <v/>
      </c>
      <c r="T316" s="67">
        <f>"Revenue"</f>
        <v/>
      </c>
    </row>
    <row r="317">
      <c r="A317" s="65">
        <f>ROW()-5</f>
        <v/>
      </c>
      <c r="B317" s="66">
        <f>IFERROR(INDEX(tbl_Finance[Date],$A317),"")</f>
        <v/>
      </c>
      <c r="C317" s="67">
        <f>IFERROR(INDEX(tbl_Finance[Xero Invoice No],$A317),"")</f>
        <v/>
      </c>
      <c r="D317" s="67">
        <f>IFERROR(INDEX(tbl_Finance[Client],$A317),"")</f>
        <v/>
      </c>
      <c r="E317" s="67">
        <f>IFERROR(INDEX(tbl_Finance[Job Number],$A317),"")</f>
        <v/>
      </c>
      <c r="F317" s="67">
        <f>IFERROR(INDEX(tbl_Finance[Cost Centre],$A317),"")</f>
        <v/>
      </c>
      <c r="G317" s="68">
        <f>IFERROR(INDEX(tbl_Finance[Ex GST],$A317),"")</f>
        <v/>
      </c>
      <c r="H317" s="66">
        <f>IFERROR(INDEX(tbl_Finance[Defer Start],$A317),"")</f>
        <v/>
      </c>
      <c r="I317" s="66">
        <f>IFERROR(INDEX(tbl_Finance[Defer End],$A317),"")</f>
        <v/>
      </c>
      <c r="J317" s="65">
        <f>IF(OR($H317="",$I317="",$G317=""),"",MAX(1,(YEAR($I317)-YEAR($H317))*12+MONTH($I317)-MONTH($H317)+1))</f>
        <v/>
      </c>
      <c r="K317" s="68">
        <f>IF($J317="","",$G317/$J317)</f>
        <v/>
      </c>
      <c r="L317" s="68">
        <f>IF($J317="",0,$K317*MAX(0,MIN(YEAR($C$3)*12+MONTH($C$3),YEAR($I317)*12+MONTH($I317))-(YEAR($H317)*12+MONTH($H317))+1))</f>
        <v/>
      </c>
      <c r="M317" s="68">
        <f>IF($J317="",0,$K317*MAX(0,MIN(YEAR($C$3)*12+MONTH($C$3)-1,YEAR($I317)*12+MONTH($I317))-(YEAR($H317)*12+MONTH($H317))+1))</f>
        <v/>
      </c>
      <c r="N317" s="68">
        <f>IF(OR($J317="",$B317=""),0,IF(YEAR($B317)*12+MONTH($B317)&lt;=YEAR($C$3)*12+MONTH($C$3),$G317,0))</f>
        <v/>
      </c>
      <c r="O317" s="68">
        <f>IF(OR($J317="",$B317=""),0,IF(YEAR($B317)*12+MONTH($B317)&lt;=YEAR($C$3)*12+MONTH($C$3)-1,$G317,0))</f>
        <v/>
      </c>
      <c r="P317" s="68">
        <f>$M317-$O317</f>
        <v/>
      </c>
      <c r="Q317" s="68">
        <f>($L317-$M317)-($N317-$O317)</f>
        <v/>
      </c>
      <c r="R317" s="68">
        <f>$L317-$N317</f>
        <v/>
      </c>
      <c r="S317" s="67">
        <f>"Finance invoice"</f>
        <v/>
      </c>
      <c r="T317" s="67">
        <f>"Revenue"</f>
        <v/>
      </c>
    </row>
    <row r="318">
      <c r="A318" s="65">
        <f>ROW()-5</f>
        <v/>
      </c>
      <c r="B318" s="66">
        <f>IFERROR(INDEX(tbl_Finance[Date],$A318),"")</f>
        <v/>
      </c>
      <c r="C318" s="67">
        <f>IFERROR(INDEX(tbl_Finance[Xero Invoice No],$A318),"")</f>
        <v/>
      </c>
      <c r="D318" s="67">
        <f>IFERROR(INDEX(tbl_Finance[Client],$A318),"")</f>
        <v/>
      </c>
      <c r="E318" s="67">
        <f>IFERROR(INDEX(tbl_Finance[Job Number],$A318),"")</f>
        <v/>
      </c>
      <c r="F318" s="67">
        <f>IFERROR(INDEX(tbl_Finance[Cost Centre],$A318),"")</f>
        <v/>
      </c>
      <c r="G318" s="68">
        <f>IFERROR(INDEX(tbl_Finance[Ex GST],$A318),"")</f>
        <v/>
      </c>
      <c r="H318" s="66">
        <f>IFERROR(INDEX(tbl_Finance[Defer Start],$A318),"")</f>
        <v/>
      </c>
      <c r="I318" s="66">
        <f>IFERROR(INDEX(tbl_Finance[Defer End],$A318),"")</f>
        <v/>
      </c>
      <c r="J318" s="65">
        <f>IF(OR($H318="",$I318="",$G318=""),"",MAX(1,(YEAR($I318)-YEAR($H318))*12+MONTH($I318)-MONTH($H318)+1))</f>
        <v/>
      </c>
      <c r="K318" s="68">
        <f>IF($J318="","",$G318/$J318)</f>
        <v/>
      </c>
      <c r="L318" s="68">
        <f>IF($J318="",0,$K318*MAX(0,MIN(YEAR($C$3)*12+MONTH($C$3),YEAR($I318)*12+MONTH($I318))-(YEAR($H318)*12+MONTH($H318))+1))</f>
        <v/>
      </c>
      <c r="M318" s="68">
        <f>IF($J318="",0,$K318*MAX(0,MIN(YEAR($C$3)*12+MONTH($C$3)-1,YEAR($I318)*12+MONTH($I318))-(YEAR($H318)*12+MONTH($H318))+1))</f>
        <v/>
      </c>
      <c r="N318" s="68">
        <f>IF(OR($J318="",$B318=""),0,IF(YEAR($B318)*12+MONTH($B318)&lt;=YEAR($C$3)*12+MONTH($C$3),$G318,0))</f>
        <v/>
      </c>
      <c r="O318" s="68">
        <f>IF(OR($J318="",$B318=""),0,IF(YEAR($B318)*12+MONTH($B318)&lt;=YEAR($C$3)*12+MONTH($C$3)-1,$G318,0))</f>
        <v/>
      </c>
      <c r="P318" s="68">
        <f>$M318-$O318</f>
        <v/>
      </c>
      <c r="Q318" s="68">
        <f>($L318-$M318)-($N318-$O318)</f>
        <v/>
      </c>
      <c r="R318" s="68">
        <f>$L318-$N318</f>
        <v/>
      </c>
      <c r="S318" s="67">
        <f>"Finance invoice"</f>
        <v/>
      </c>
      <c r="T318" s="67">
        <f>"Revenue"</f>
        <v/>
      </c>
    </row>
    <row r="319">
      <c r="A319" s="65">
        <f>ROW()-5</f>
        <v/>
      </c>
      <c r="B319" s="66">
        <f>IFERROR(INDEX(tbl_Finance[Date],$A319),"")</f>
        <v/>
      </c>
      <c r="C319" s="67">
        <f>IFERROR(INDEX(tbl_Finance[Xero Invoice No],$A319),"")</f>
        <v/>
      </c>
      <c r="D319" s="67">
        <f>IFERROR(INDEX(tbl_Finance[Client],$A319),"")</f>
        <v/>
      </c>
      <c r="E319" s="67">
        <f>IFERROR(INDEX(tbl_Finance[Job Number],$A319),"")</f>
        <v/>
      </c>
      <c r="F319" s="67">
        <f>IFERROR(INDEX(tbl_Finance[Cost Centre],$A319),"")</f>
        <v/>
      </c>
      <c r="G319" s="68">
        <f>IFERROR(INDEX(tbl_Finance[Ex GST],$A319),"")</f>
        <v/>
      </c>
      <c r="H319" s="66">
        <f>IFERROR(INDEX(tbl_Finance[Defer Start],$A319),"")</f>
        <v/>
      </c>
      <c r="I319" s="66">
        <f>IFERROR(INDEX(tbl_Finance[Defer End],$A319),"")</f>
        <v/>
      </c>
      <c r="J319" s="65">
        <f>IF(OR($H319="",$I319="",$G319=""),"",MAX(1,(YEAR($I319)-YEAR($H319))*12+MONTH($I319)-MONTH($H319)+1))</f>
        <v/>
      </c>
      <c r="K319" s="68">
        <f>IF($J319="","",$G319/$J319)</f>
        <v/>
      </c>
      <c r="L319" s="68">
        <f>IF($J319="",0,$K319*MAX(0,MIN(YEAR($C$3)*12+MONTH($C$3),YEAR($I319)*12+MONTH($I319))-(YEAR($H319)*12+MONTH($H319))+1))</f>
        <v/>
      </c>
      <c r="M319" s="68">
        <f>IF($J319="",0,$K319*MAX(0,MIN(YEAR($C$3)*12+MONTH($C$3)-1,YEAR($I319)*12+MONTH($I319))-(YEAR($H319)*12+MONTH($H319))+1))</f>
        <v/>
      </c>
      <c r="N319" s="68">
        <f>IF(OR($J319="",$B319=""),0,IF(YEAR($B319)*12+MONTH($B319)&lt;=YEAR($C$3)*12+MONTH($C$3),$G319,0))</f>
        <v/>
      </c>
      <c r="O319" s="68">
        <f>IF(OR($J319="",$B319=""),0,IF(YEAR($B319)*12+MONTH($B319)&lt;=YEAR($C$3)*12+MONTH($C$3)-1,$G319,0))</f>
        <v/>
      </c>
      <c r="P319" s="68">
        <f>$M319-$O319</f>
        <v/>
      </c>
      <c r="Q319" s="68">
        <f>($L319-$M319)-($N319-$O319)</f>
        <v/>
      </c>
      <c r="R319" s="68">
        <f>$L319-$N319</f>
        <v/>
      </c>
      <c r="S319" s="67">
        <f>"Finance invoice"</f>
        <v/>
      </c>
      <c r="T319" s="67">
        <f>"Revenue"</f>
        <v/>
      </c>
    </row>
    <row r="320">
      <c r="A320" s="65">
        <f>ROW()-5</f>
        <v/>
      </c>
      <c r="B320" s="66">
        <f>IFERROR(INDEX(tbl_Finance[Date],$A320),"")</f>
        <v/>
      </c>
      <c r="C320" s="67">
        <f>IFERROR(INDEX(tbl_Finance[Xero Invoice No],$A320),"")</f>
        <v/>
      </c>
      <c r="D320" s="67">
        <f>IFERROR(INDEX(tbl_Finance[Client],$A320),"")</f>
        <v/>
      </c>
      <c r="E320" s="67">
        <f>IFERROR(INDEX(tbl_Finance[Job Number],$A320),"")</f>
        <v/>
      </c>
      <c r="F320" s="67">
        <f>IFERROR(INDEX(tbl_Finance[Cost Centre],$A320),"")</f>
        <v/>
      </c>
      <c r="G320" s="68">
        <f>IFERROR(INDEX(tbl_Finance[Ex GST],$A320),"")</f>
        <v/>
      </c>
      <c r="H320" s="66">
        <f>IFERROR(INDEX(tbl_Finance[Defer Start],$A320),"")</f>
        <v/>
      </c>
      <c r="I320" s="66">
        <f>IFERROR(INDEX(tbl_Finance[Defer End],$A320),"")</f>
        <v/>
      </c>
      <c r="J320" s="65">
        <f>IF(OR($H320="",$I320="",$G320=""),"",MAX(1,(YEAR($I320)-YEAR($H320))*12+MONTH($I320)-MONTH($H320)+1))</f>
        <v/>
      </c>
      <c r="K320" s="68">
        <f>IF($J320="","",$G320/$J320)</f>
        <v/>
      </c>
      <c r="L320" s="68">
        <f>IF($J320="",0,$K320*MAX(0,MIN(YEAR($C$3)*12+MONTH($C$3),YEAR($I320)*12+MONTH($I320))-(YEAR($H320)*12+MONTH($H320))+1))</f>
        <v/>
      </c>
      <c r="M320" s="68">
        <f>IF($J320="",0,$K320*MAX(0,MIN(YEAR($C$3)*12+MONTH($C$3)-1,YEAR($I320)*12+MONTH($I320))-(YEAR($H320)*12+MONTH($H320))+1))</f>
        <v/>
      </c>
      <c r="N320" s="68">
        <f>IF(OR($J320="",$B320=""),0,IF(YEAR($B320)*12+MONTH($B320)&lt;=YEAR($C$3)*12+MONTH($C$3),$G320,0))</f>
        <v/>
      </c>
      <c r="O320" s="68">
        <f>IF(OR($J320="",$B320=""),0,IF(YEAR($B320)*12+MONTH($B320)&lt;=YEAR($C$3)*12+MONTH($C$3)-1,$G320,0))</f>
        <v/>
      </c>
      <c r="P320" s="68">
        <f>$M320-$O320</f>
        <v/>
      </c>
      <c r="Q320" s="68">
        <f>($L320-$M320)-($N320-$O320)</f>
        <v/>
      </c>
      <c r="R320" s="68">
        <f>$L320-$N320</f>
        <v/>
      </c>
      <c r="S320" s="67">
        <f>"Finance invoice"</f>
        <v/>
      </c>
      <c r="T320" s="67">
        <f>"Revenue"</f>
        <v/>
      </c>
    </row>
    <row r="321">
      <c r="A321" s="65">
        <f>ROW()-5</f>
        <v/>
      </c>
      <c r="B321" s="66">
        <f>IFERROR(INDEX(tbl_Finance[Date],$A321),"")</f>
        <v/>
      </c>
      <c r="C321" s="67">
        <f>IFERROR(INDEX(tbl_Finance[Xero Invoice No],$A321),"")</f>
        <v/>
      </c>
      <c r="D321" s="67">
        <f>IFERROR(INDEX(tbl_Finance[Client],$A321),"")</f>
        <v/>
      </c>
      <c r="E321" s="67">
        <f>IFERROR(INDEX(tbl_Finance[Job Number],$A321),"")</f>
        <v/>
      </c>
      <c r="F321" s="67">
        <f>IFERROR(INDEX(tbl_Finance[Cost Centre],$A321),"")</f>
        <v/>
      </c>
      <c r="G321" s="68">
        <f>IFERROR(INDEX(tbl_Finance[Ex GST],$A321),"")</f>
        <v/>
      </c>
      <c r="H321" s="66">
        <f>IFERROR(INDEX(tbl_Finance[Defer Start],$A321),"")</f>
        <v/>
      </c>
      <c r="I321" s="66">
        <f>IFERROR(INDEX(tbl_Finance[Defer End],$A321),"")</f>
        <v/>
      </c>
      <c r="J321" s="65">
        <f>IF(OR($H321="",$I321="",$G321=""),"",MAX(1,(YEAR($I321)-YEAR($H321))*12+MONTH($I321)-MONTH($H321)+1))</f>
        <v/>
      </c>
      <c r="K321" s="68">
        <f>IF($J321="","",$G321/$J321)</f>
        <v/>
      </c>
      <c r="L321" s="68">
        <f>IF($J321="",0,$K321*MAX(0,MIN(YEAR($C$3)*12+MONTH($C$3),YEAR($I321)*12+MONTH($I321))-(YEAR($H321)*12+MONTH($H321))+1))</f>
        <v/>
      </c>
      <c r="M321" s="68">
        <f>IF($J321="",0,$K321*MAX(0,MIN(YEAR($C$3)*12+MONTH($C$3)-1,YEAR($I321)*12+MONTH($I321))-(YEAR($H321)*12+MONTH($H321))+1))</f>
        <v/>
      </c>
      <c r="N321" s="68">
        <f>IF(OR($J321="",$B321=""),0,IF(YEAR($B321)*12+MONTH($B321)&lt;=YEAR($C$3)*12+MONTH($C$3),$G321,0))</f>
        <v/>
      </c>
      <c r="O321" s="68">
        <f>IF(OR($J321="",$B321=""),0,IF(YEAR($B321)*12+MONTH($B321)&lt;=YEAR($C$3)*12+MONTH($C$3)-1,$G321,0))</f>
        <v/>
      </c>
      <c r="P321" s="68">
        <f>$M321-$O321</f>
        <v/>
      </c>
      <c r="Q321" s="68">
        <f>($L321-$M321)-($N321-$O321)</f>
        <v/>
      </c>
      <c r="R321" s="68">
        <f>$L321-$N321</f>
        <v/>
      </c>
      <c r="S321" s="67">
        <f>"Finance invoice"</f>
        <v/>
      </c>
      <c r="T321" s="67">
        <f>"Revenue"</f>
        <v/>
      </c>
    </row>
    <row r="322">
      <c r="A322" s="65">
        <f>ROW()-5</f>
        <v/>
      </c>
      <c r="B322" s="66">
        <f>IFERROR(INDEX(tbl_Finance[Date],$A322),"")</f>
        <v/>
      </c>
      <c r="C322" s="67">
        <f>IFERROR(INDEX(tbl_Finance[Xero Invoice No],$A322),"")</f>
        <v/>
      </c>
      <c r="D322" s="67">
        <f>IFERROR(INDEX(tbl_Finance[Client],$A322),"")</f>
        <v/>
      </c>
      <c r="E322" s="67">
        <f>IFERROR(INDEX(tbl_Finance[Job Number],$A322),"")</f>
        <v/>
      </c>
      <c r="F322" s="67">
        <f>IFERROR(INDEX(tbl_Finance[Cost Centre],$A322),"")</f>
        <v/>
      </c>
      <c r="G322" s="68">
        <f>IFERROR(INDEX(tbl_Finance[Ex GST],$A322),"")</f>
        <v/>
      </c>
      <c r="H322" s="66">
        <f>IFERROR(INDEX(tbl_Finance[Defer Start],$A322),"")</f>
        <v/>
      </c>
      <c r="I322" s="66">
        <f>IFERROR(INDEX(tbl_Finance[Defer End],$A322),"")</f>
        <v/>
      </c>
      <c r="J322" s="65">
        <f>IF(OR($H322="",$I322="",$G322=""),"",MAX(1,(YEAR($I322)-YEAR($H322))*12+MONTH($I322)-MONTH($H322)+1))</f>
        <v/>
      </c>
      <c r="K322" s="68">
        <f>IF($J322="","",$G322/$J322)</f>
        <v/>
      </c>
      <c r="L322" s="68">
        <f>IF($J322="",0,$K322*MAX(0,MIN(YEAR($C$3)*12+MONTH($C$3),YEAR($I322)*12+MONTH($I322))-(YEAR($H322)*12+MONTH($H322))+1))</f>
        <v/>
      </c>
      <c r="M322" s="68">
        <f>IF($J322="",0,$K322*MAX(0,MIN(YEAR($C$3)*12+MONTH($C$3)-1,YEAR($I322)*12+MONTH($I322))-(YEAR($H322)*12+MONTH($H322))+1))</f>
        <v/>
      </c>
      <c r="N322" s="68">
        <f>IF(OR($J322="",$B322=""),0,IF(YEAR($B322)*12+MONTH($B322)&lt;=YEAR($C$3)*12+MONTH($C$3),$G322,0))</f>
        <v/>
      </c>
      <c r="O322" s="68">
        <f>IF(OR($J322="",$B322=""),0,IF(YEAR($B322)*12+MONTH($B322)&lt;=YEAR($C$3)*12+MONTH($C$3)-1,$G322,0))</f>
        <v/>
      </c>
      <c r="P322" s="68">
        <f>$M322-$O322</f>
        <v/>
      </c>
      <c r="Q322" s="68">
        <f>($L322-$M322)-($N322-$O322)</f>
        <v/>
      </c>
      <c r="R322" s="68">
        <f>$L322-$N322</f>
        <v/>
      </c>
      <c r="S322" s="67">
        <f>"Finance invoice"</f>
        <v/>
      </c>
      <c r="T322" s="67">
        <f>"Revenue"</f>
        <v/>
      </c>
    </row>
    <row r="323">
      <c r="A323" s="65">
        <f>ROW()-5</f>
        <v/>
      </c>
      <c r="B323" s="66">
        <f>IFERROR(INDEX(tbl_Finance[Date],$A323),"")</f>
        <v/>
      </c>
      <c r="C323" s="67">
        <f>IFERROR(INDEX(tbl_Finance[Xero Invoice No],$A323),"")</f>
        <v/>
      </c>
      <c r="D323" s="67">
        <f>IFERROR(INDEX(tbl_Finance[Client],$A323),"")</f>
        <v/>
      </c>
      <c r="E323" s="67">
        <f>IFERROR(INDEX(tbl_Finance[Job Number],$A323),"")</f>
        <v/>
      </c>
      <c r="F323" s="67">
        <f>IFERROR(INDEX(tbl_Finance[Cost Centre],$A323),"")</f>
        <v/>
      </c>
      <c r="G323" s="68">
        <f>IFERROR(INDEX(tbl_Finance[Ex GST],$A323),"")</f>
        <v/>
      </c>
      <c r="H323" s="66">
        <f>IFERROR(INDEX(tbl_Finance[Defer Start],$A323),"")</f>
        <v/>
      </c>
      <c r="I323" s="66">
        <f>IFERROR(INDEX(tbl_Finance[Defer End],$A323),"")</f>
        <v/>
      </c>
      <c r="J323" s="65">
        <f>IF(OR($H323="",$I323="",$G323=""),"",MAX(1,(YEAR($I323)-YEAR($H323))*12+MONTH($I323)-MONTH($H323)+1))</f>
        <v/>
      </c>
      <c r="K323" s="68">
        <f>IF($J323="","",$G323/$J323)</f>
        <v/>
      </c>
      <c r="L323" s="68">
        <f>IF($J323="",0,$K323*MAX(0,MIN(YEAR($C$3)*12+MONTH($C$3),YEAR($I323)*12+MONTH($I323))-(YEAR($H323)*12+MONTH($H323))+1))</f>
        <v/>
      </c>
      <c r="M323" s="68">
        <f>IF($J323="",0,$K323*MAX(0,MIN(YEAR($C$3)*12+MONTH($C$3)-1,YEAR($I323)*12+MONTH($I323))-(YEAR($H323)*12+MONTH($H323))+1))</f>
        <v/>
      </c>
      <c r="N323" s="68">
        <f>IF(OR($J323="",$B323=""),0,IF(YEAR($B323)*12+MONTH($B323)&lt;=YEAR($C$3)*12+MONTH($C$3),$G323,0))</f>
        <v/>
      </c>
      <c r="O323" s="68">
        <f>IF(OR($J323="",$B323=""),0,IF(YEAR($B323)*12+MONTH($B323)&lt;=YEAR($C$3)*12+MONTH($C$3)-1,$G323,0))</f>
        <v/>
      </c>
      <c r="P323" s="68">
        <f>$M323-$O323</f>
        <v/>
      </c>
      <c r="Q323" s="68">
        <f>($L323-$M323)-($N323-$O323)</f>
        <v/>
      </c>
      <c r="R323" s="68">
        <f>$L323-$N323</f>
        <v/>
      </c>
      <c r="S323" s="67">
        <f>"Finance invoice"</f>
        <v/>
      </c>
      <c r="T323" s="67">
        <f>"Revenue"</f>
        <v/>
      </c>
    </row>
    <row r="324">
      <c r="A324" s="65">
        <f>ROW()-5</f>
        <v/>
      </c>
      <c r="B324" s="66">
        <f>IFERROR(INDEX(tbl_Finance[Date],$A324),"")</f>
        <v/>
      </c>
      <c r="C324" s="67">
        <f>IFERROR(INDEX(tbl_Finance[Xero Invoice No],$A324),"")</f>
        <v/>
      </c>
      <c r="D324" s="67">
        <f>IFERROR(INDEX(tbl_Finance[Client],$A324),"")</f>
        <v/>
      </c>
      <c r="E324" s="67">
        <f>IFERROR(INDEX(tbl_Finance[Job Number],$A324),"")</f>
        <v/>
      </c>
      <c r="F324" s="67">
        <f>IFERROR(INDEX(tbl_Finance[Cost Centre],$A324),"")</f>
        <v/>
      </c>
      <c r="G324" s="68">
        <f>IFERROR(INDEX(tbl_Finance[Ex GST],$A324),"")</f>
        <v/>
      </c>
      <c r="H324" s="66">
        <f>IFERROR(INDEX(tbl_Finance[Defer Start],$A324),"")</f>
        <v/>
      </c>
      <c r="I324" s="66">
        <f>IFERROR(INDEX(tbl_Finance[Defer End],$A324),"")</f>
        <v/>
      </c>
      <c r="J324" s="65">
        <f>IF(OR($H324="",$I324="",$G324=""),"",MAX(1,(YEAR($I324)-YEAR($H324))*12+MONTH($I324)-MONTH($H324)+1))</f>
        <v/>
      </c>
      <c r="K324" s="68">
        <f>IF($J324="","",$G324/$J324)</f>
        <v/>
      </c>
      <c r="L324" s="68">
        <f>IF($J324="",0,$K324*MAX(0,MIN(YEAR($C$3)*12+MONTH($C$3),YEAR($I324)*12+MONTH($I324))-(YEAR($H324)*12+MONTH($H324))+1))</f>
        <v/>
      </c>
      <c r="M324" s="68">
        <f>IF($J324="",0,$K324*MAX(0,MIN(YEAR($C$3)*12+MONTH($C$3)-1,YEAR($I324)*12+MONTH($I324))-(YEAR($H324)*12+MONTH($H324))+1))</f>
        <v/>
      </c>
      <c r="N324" s="68">
        <f>IF(OR($J324="",$B324=""),0,IF(YEAR($B324)*12+MONTH($B324)&lt;=YEAR($C$3)*12+MONTH($C$3),$G324,0))</f>
        <v/>
      </c>
      <c r="O324" s="68">
        <f>IF(OR($J324="",$B324=""),0,IF(YEAR($B324)*12+MONTH($B324)&lt;=YEAR($C$3)*12+MONTH($C$3)-1,$G324,0))</f>
        <v/>
      </c>
      <c r="P324" s="68">
        <f>$M324-$O324</f>
        <v/>
      </c>
      <c r="Q324" s="68">
        <f>($L324-$M324)-($N324-$O324)</f>
        <v/>
      </c>
      <c r="R324" s="68">
        <f>$L324-$N324</f>
        <v/>
      </c>
      <c r="S324" s="67">
        <f>"Finance invoice"</f>
        <v/>
      </c>
      <c r="T324" s="67">
        <f>"Revenue"</f>
        <v/>
      </c>
    </row>
    <row r="325">
      <c r="A325" s="65">
        <f>ROW()-5</f>
        <v/>
      </c>
      <c r="B325" s="66">
        <f>IFERROR(INDEX(tbl_Finance[Date],$A325),"")</f>
        <v/>
      </c>
      <c r="C325" s="67">
        <f>IFERROR(INDEX(tbl_Finance[Xero Invoice No],$A325),"")</f>
        <v/>
      </c>
      <c r="D325" s="67">
        <f>IFERROR(INDEX(tbl_Finance[Client],$A325),"")</f>
        <v/>
      </c>
      <c r="E325" s="67">
        <f>IFERROR(INDEX(tbl_Finance[Job Number],$A325),"")</f>
        <v/>
      </c>
      <c r="F325" s="67">
        <f>IFERROR(INDEX(tbl_Finance[Cost Centre],$A325),"")</f>
        <v/>
      </c>
      <c r="G325" s="68">
        <f>IFERROR(INDEX(tbl_Finance[Ex GST],$A325),"")</f>
        <v/>
      </c>
      <c r="H325" s="66">
        <f>IFERROR(INDEX(tbl_Finance[Defer Start],$A325),"")</f>
        <v/>
      </c>
      <c r="I325" s="66">
        <f>IFERROR(INDEX(tbl_Finance[Defer End],$A325),"")</f>
        <v/>
      </c>
      <c r="J325" s="65">
        <f>IF(OR($H325="",$I325="",$G325=""),"",MAX(1,(YEAR($I325)-YEAR($H325))*12+MONTH($I325)-MONTH($H325)+1))</f>
        <v/>
      </c>
      <c r="K325" s="68">
        <f>IF($J325="","",$G325/$J325)</f>
        <v/>
      </c>
      <c r="L325" s="68">
        <f>IF($J325="",0,$K325*MAX(0,MIN(YEAR($C$3)*12+MONTH($C$3),YEAR($I325)*12+MONTH($I325))-(YEAR($H325)*12+MONTH($H325))+1))</f>
        <v/>
      </c>
      <c r="M325" s="68">
        <f>IF($J325="",0,$K325*MAX(0,MIN(YEAR($C$3)*12+MONTH($C$3)-1,YEAR($I325)*12+MONTH($I325))-(YEAR($H325)*12+MONTH($H325))+1))</f>
        <v/>
      </c>
      <c r="N325" s="68">
        <f>IF(OR($J325="",$B325=""),0,IF(YEAR($B325)*12+MONTH($B325)&lt;=YEAR($C$3)*12+MONTH($C$3),$G325,0))</f>
        <v/>
      </c>
      <c r="O325" s="68">
        <f>IF(OR($J325="",$B325=""),0,IF(YEAR($B325)*12+MONTH($B325)&lt;=YEAR($C$3)*12+MONTH($C$3)-1,$G325,0))</f>
        <v/>
      </c>
      <c r="P325" s="68">
        <f>$M325-$O325</f>
        <v/>
      </c>
      <c r="Q325" s="68">
        <f>($L325-$M325)-($N325-$O325)</f>
        <v/>
      </c>
      <c r="R325" s="68">
        <f>$L325-$N325</f>
        <v/>
      </c>
      <c r="S325" s="67">
        <f>"Finance invoice"</f>
        <v/>
      </c>
      <c r="T325" s="67">
        <f>"Revenue"</f>
        <v/>
      </c>
    </row>
    <row r="326">
      <c r="A326" s="65">
        <f>ROW()-5</f>
        <v/>
      </c>
      <c r="B326" s="66">
        <f>IFERROR(INDEX(tbl_Finance[Date],$A326),"")</f>
        <v/>
      </c>
      <c r="C326" s="67">
        <f>IFERROR(INDEX(tbl_Finance[Xero Invoice No],$A326),"")</f>
        <v/>
      </c>
      <c r="D326" s="67">
        <f>IFERROR(INDEX(tbl_Finance[Client],$A326),"")</f>
        <v/>
      </c>
      <c r="E326" s="67">
        <f>IFERROR(INDEX(tbl_Finance[Job Number],$A326),"")</f>
        <v/>
      </c>
      <c r="F326" s="67">
        <f>IFERROR(INDEX(tbl_Finance[Cost Centre],$A326),"")</f>
        <v/>
      </c>
      <c r="G326" s="68">
        <f>IFERROR(INDEX(tbl_Finance[Ex GST],$A326),"")</f>
        <v/>
      </c>
      <c r="H326" s="66">
        <f>IFERROR(INDEX(tbl_Finance[Defer Start],$A326),"")</f>
        <v/>
      </c>
      <c r="I326" s="66">
        <f>IFERROR(INDEX(tbl_Finance[Defer End],$A326),"")</f>
        <v/>
      </c>
      <c r="J326" s="65">
        <f>IF(OR($H326="",$I326="",$G326=""),"",MAX(1,(YEAR($I326)-YEAR($H326))*12+MONTH($I326)-MONTH($H326)+1))</f>
        <v/>
      </c>
      <c r="K326" s="68">
        <f>IF($J326="","",$G326/$J326)</f>
        <v/>
      </c>
      <c r="L326" s="68">
        <f>IF($J326="",0,$K326*MAX(0,MIN(YEAR($C$3)*12+MONTH($C$3),YEAR($I326)*12+MONTH($I326))-(YEAR($H326)*12+MONTH($H326))+1))</f>
        <v/>
      </c>
      <c r="M326" s="68">
        <f>IF($J326="",0,$K326*MAX(0,MIN(YEAR($C$3)*12+MONTH($C$3)-1,YEAR($I326)*12+MONTH($I326))-(YEAR($H326)*12+MONTH($H326))+1))</f>
        <v/>
      </c>
      <c r="N326" s="68">
        <f>IF(OR($J326="",$B326=""),0,IF(YEAR($B326)*12+MONTH($B326)&lt;=YEAR($C$3)*12+MONTH($C$3),$G326,0))</f>
        <v/>
      </c>
      <c r="O326" s="68">
        <f>IF(OR($J326="",$B326=""),0,IF(YEAR($B326)*12+MONTH($B326)&lt;=YEAR($C$3)*12+MONTH($C$3)-1,$G326,0))</f>
        <v/>
      </c>
      <c r="P326" s="68">
        <f>$M326-$O326</f>
        <v/>
      </c>
      <c r="Q326" s="68">
        <f>($L326-$M326)-($N326-$O326)</f>
        <v/>
      </c>
      <c r="R326" s="68">
        <f>$L326-$N326</f>
        <v/>
      </c>
      <c r="S326" s="67">
        <f>"Finance invoice"</f>
        <v/>
      </c>
      <c r="T326" s="67">
        <f>"Revenue"</f>
        <v/>
      </c>
    </row>
    <row r="327">
      <c r="A327" s="65">
        <f>ROW()-5</f>
        <v/>
      </c>
      <c r="B327" s="66">
        <f>IFERROR(INDEX(tbl_Finance[Date],$A327),"")</f>
        <v/>
      </c>
      <c r="C327" s="67">
        <f>IFERROR(INDEX(tbl_Finance[Xero Invoice No],$A327),"")</f>
        <v/>
      </c>
      <c r="D327" s="67">
        <f>IFERROR(INDEX(tbl_Finance[Client],$A327),"")</f>
        <v/>
      </c>
      <c r="E327" s="67">
        <f>IFERROR(INDEX(tbl_Finance[Job Number],$A327),"")</f>
        <v/>
      </c>
      <c r="F327" s="67">
        <f>IFERROR(INDEX(tbl_Finance[Cost Centre],$A327),"")</f>
        <v/>
      </c>
      <c r="G327" s="68">
        <f>IFERROR(INDEX(tbl_Finance[Ex GST],$A327),"")</f>
        <v/>
      </c>
      <c r="H327" s="66">
        <f>IFERROR(INDEX(tbl_Finance[Defer Start],$A327),"")</f>
        <v/>
      </c>
      <c r="I327" s="66">
        <f>IFERROR(INDEX(tbl_Finance[Defer End],$A327),"")</f>
        <v/>
      </c>
      <c r="J327" s="65">
        <f>IF(OR($H327="",$I327="",$G327=""),"",MAX(1,(YEAR($I327)-YEAR($H327))*12+MONTH($I327)-MONTH($H327)+1))</f>
        <v/>
      </c>
      <c r="K327" s="68">
        <f>IF($J327="","",$G327/$J327)</f>
        <v/>
      </c>
      <c r="L327" s="68">
        <f>IF($J327="",0,$K327*MAX(0,MIN(YEAR($C$3)*12+MONTH($C$3),YEAR($I327)*12+MONTH($I327))-(YEAR($H327)*12+MONTH($H327))+1))</f>
        <v/>
      </c>
      <c r="M327" s="68">
        <f>IF($J327="",0,$K327*MAX(0,MIN(YEAR($C$3)*12+MONTH($C$3)-1,YEAR($I327)*12+MONTH($I327))-(YEAR($H327)*12+MONTH($H327))+1))</f>
        <v/>
      </c>
      <c r="N327" s="68">
        <f>IF(OR($J327="",$B327=""),0,IF(YEAR($B327)*12+MONTH($B327)&lt;=YEAR($C$3)*12+MONTH($C$3),$G327,0))</f>
        <v/>
      </c>
      <c r="O327" s="68">
        <f>IF(OR($J327="",$B327=""),0,IF(YEAR($B327)*12+MONTH($B327)&lt;=YEAR($C$3)*12+MONTH($C$3)-1,$G327,0))</f>
        <v/>
      </c>
      <c r="P327" s="68">
        <f>$M327-$O327</f>
        <v/>
      </c>
      <c r="Q327" s="68">
        <f>($L327-$M327)-($N327-$O327)</f>
        <v/>
      </c>
      <c r="R327" s="68">
        <f>$L327-$N327</f>
        <v/>
      </c>
      <c r="S327" s="67">
        <f>"Finance invoice"</f>
        <v/>
      </c>
      <c r="T327" s="67">
        <f>"Revenue"</f>
        <v/>
      </c>
    </row>
    <row r="328">
      <c r="A328" s="65">
        <f>ROW()-5</f>
        <v/>
      </c>
      <c r="B328" s="66">
        <f>IFERROR(INDEX(tbl_Finance[Date],$A328),"")</f>
        <v/>
      </c>
      <c r="C328" s="67">
        <f>IFERROR(INDEX(tbl_Finance[Xero Invoice No],$A328),"")</f>
        <v/>
      </c>
      <c r="D328" s="67">
        <f>IFERROR(INDEX(tbl_Finance[Client],$A328),"")</f>
        <v/>
      </c>
      <c r="E328" s="67">
        <f>IFERROR(INDEX(tbl_Finance[Job Number],$A328),"")</f>
        <v/>
      </c>
      <c r="F328" s="67">
        <f>IFERROR(INDEX(tbl_Finance[Cost Centre],$A328),"")</f>
        <v/>
      </c>
      <c r="G328" s="68">
        <f>IFERROR(INDEX(tbl_Finance[Ex GST],$A328),"")</f>
        <v/>
      </c>
      <c r="H328" s="66">
        <f>IFERROR(INDEX(tbl_Finance[Defer Start],$A328),"")</f>
        <v/>
      </c>
      <c r="I328" s="66">
        <f>IFERROR(INDEX(tbl_Finance[Defer End],$A328),"")</f>
        <v/>
      </c>
      <c r="J328" s="65">
        <f>IF(OR($H328="",$I328="",$G328=""),"",MAX(1,(YEAR($I328)-YEAR($H328))*12+MONTH($I328)-MONTH($H328)+1))</f>
        <v/>
      </c>
      <c r="K328" s="68">
        <f>IF($J328="","",$G328/$J328)</f>
        <v/>
      </c>
      <c r="L328" s="68">
        <f>IF($J328="",0,$K328*MAX(0,MIN(YEAR($C$3)*12+MONTH($C$3),YEAR($I328)*12+MONTH($I328))-(YEAR($H328)*12+MONTH($H328))+1))</f>
        <v/>
      </c>
      <c r="M328" s="68">
        <f>IF($J328="",0,$K328*MAX(0,MIN(YEAR($C$3)*12+MONTH($C$3)-1,YEAR($I328)*12+MONTH($I328))-(YEAR($H328)*12+MONTH($H328))+1))</f>
        <v/>
      </c>
      <c r="N328" s="68">
        <f>IF(OR($J328="",$B328=""),0,IF(YEAR($B328)*12+MONTH($B328)&lt;=YEAR($C$3)*12+MONTH($C$3),$G328,0))</f>
        <v/>
      </c>
      <c r="O328" s="68">
        <f>IF(OR($J328="",$B328=""),0,IF(YEAR($B328)*12+MONTH($B328)&lt;=YEAR($C$3)*12+MONTH($C$3)-1,$G328,0))</f>
        <v/>
      </c>
      <c r="P328" s="68">
        <f>$M328-$O328</f>
        <v/>
      </c>
      <c r="Q328" s="68">
        <f>($L328-$M328)-($N328-$O328)</f>
        <v/>
      </c>
      <c r="R328" s="68">
        <f>$L328-$N328</f>
        <v/>
      </c>
      <c r="S328" s="67">
        <f>"Finance invoice"</f>
        <v/>
      </c>
      <c r="T328" s="67">
        <f>"Revenue"</f>
        <v/>
      </c>
    </row>
    <row r="329">
      <c r="A329" s="65">
        <f>ROW()-5</f>
        <v/>
      </c>
      <c r="B329" s="66">
        <f>IFERROR(INDEX(tbl_Finance[Date],$A329),"")</f>
        <v/>
      </c>
      <c r="C329" s="67">
        <f>IFERROR(INDEX(tbl_Finance[Xero Invoice No],$A329),"")</f>
        <v/>
      </c>
      <c r="D329" s="67">
        <f>IFERROR(INDEX(tbl_Finance[Client],$A329),"")</f>
        <v/>
      </c>
      <c r="E329" s="67">
        <f>IFERROR(INDEX(tbl_Finance[Job Number],$A329),"")</f>
        <v/>
      </c>
      <c r="F329" s="67">
        <f>IFERROR(INDEX(tbl_Finance[Cost Centre],$A329),"")</f>
        <v/>
      </c>
      <c r="G329" s="68">
        <f>IFERROR(INDEX(tbl_Finance[Ex GST],$A329),"")</f>
        <v/>
      </c>
      <c r="H329" s="66">
        <f>IFERROR(INDEX(tbl_Finance[Defer Start],$A329),"")</f>
        <v/>
      </c>
      <c r="I329" s="66">
        <f>IFERROR(INDEX(tbl_Finance[Defer End],$A329),"")</f>
        <v/>
      </c>
      <c r="J329" s="65">
        <f>IF(OR($H329="",$I329="",$G329=""),"",MAX(1,(YEAR($I329)-YEAR($H329))*12+MONTH($I329)-MONTH($H329)+1))</f>
        <v/>
      </c>
      <c r="K329" s="68">
        <f>IF($J329="","",$G329/$J329)</f>
        <v/>
      </c>
      <c r="L329" s="68">
        <f>IF($J329="",0,$K329*MAX(0,MIN(YEAR($C$3)*12+MONTH($C$3),YEAR($I329)*12+MONTH($I329))-(YEAR($H329)*12+MONTH($H329))+1))</f>
        <v/>
      </c>
      <c r="M329" s="68">
        <f>IF($J329="",0,$K329*MAX(0,MIN(YEAR($C$3)*12+MONTH($C$3)-1,YEAR($I329)*12+MONTH($I329))-(YEAR($H329)*12+MONTH($H329))+1))</f>
        <v/>
      </c>
      <c r="N329" s="68">
        <f>IF(OR($J329="",$B329=""),0,IF(YEAR($B329)*12+MONTH($B329)&lt;=YEAR($C$3)*12+MONTH($C$3),$G329,0))</f>
        <v/>
      </c>
      <c r="O329" s="68">
        <f>IF(OR($J329="",$B329=""),0,IF(YEAR($B329)*12+MONTH($B329)&lt;=YEAR($C$3)*12+MONTH($C$3)-1,$G329,0))</f>
        <v/>
      </c>
      <c r="P329" s="68">
        <f>$M329-$O329</f>
        <v/>
      </c>
      <c r="Q329" s="68">
        <f>($L329-$M329)-($N329-$O329)</f>
        <v/>
      </c>
      <c r="R329" s="68">
        <f>$L329-$N329</f>
        <v/>
      </c>
      <c r="S329" s="67">
        <f>"Finance invoice"</f>
        <v/>
      </c>
      <c r="T329" s="67">
        <f>"Revenue"</f>
        <v/>
      </c>
    </row>
    <row r="330">
      <c r="A330" s="65">
        <f>ROW()-5</f>
        <v/>
      </c>
      <c r="B330" s="66">
        <f>IFERROR(INDEX(tbl_Finance[Date],$A330),"")</f>
        <v/>
      </c>
      <c r="C330" s="67">
        <f>IFERROR(INDEX(tbl_Finance[Xero Invoice No],$A330),"")</f>
        <v/>
      </c>
      <c r="D330" s="67">
        <f>IFERROR(INDEX(tbl_Finance[Client],$A330),"")</f>
        <v/>
      </c>
      <c r="E330" s="67">
        <f>IFERROR(INDEX(tbl_Finance[Job Number],$A330),"")</f>
        <v/>
      </c>
      <c r="F330" s="67">
        <f>IFERROR(INDEX(tbl_Finance[Cost Centre],$A330),"")</f>
        <v/>
      </c>
      <c r="G330" s="68">
        <f>IFERROR(INDEX(tbl_Finance[Ex GST],$A330),"")</f>
        <v/>
      </c>
      <c r="H330" s="66">
        <f>IFERROR(INDEX(tbl_Finance[Defer Start],$A330),"")</f>
        <v/>
      </c>
      <c r="I330" s="66">
        <f>IFERROR(INDEX(tbl_Finance[Defer End],$A330),"")</f>
        <v/>
      </c>
      <c r="J330" s="65">
        <f>IF(OR($H330="",$I330="",$G330=""),"",MAX(1,(YEAR($I330)-YEAR($H330))*12+MONTH($I330)-MONTH($H330)+1))</f>
        <v/>
      </c>
      <c r="K330" s="68">
        <f>IF($J330="","",$G330/$J330)</f>
        <v/>
      </c>
      <c r="L330" s="68">
        <f>IF($J330="",0,$K330*MAX(0,MIN(YEAR($C$3)*12+MONTH($C$3),YEAR($I330)*12+MONTH($I330))-(YEAR($H330)*12+MONTH($H330))+1))</f>
        <v/>
      </c>
      <c r="M330" s="68">
        <f>IF($J330="",0,$K330*MAX(0,MIN(YEAR($C$3)*12+MONTH($C$3)-1,YEAR($I330)*12+MONTH($I330))-(YEAR($H330)*12+MONTH($H330))+1))</f>
        <v/>
      </c>
      <c r="N330" s="68">
        <f>IF(OR($J330="",$B330=""),0,IF(YEAR($B330)*12+MONTH($B330)&lt;=YEAR($C$3)*12+MONTH($C$3),$G330,0))</f>
        <v/>
      </c>
      <c r="O330" s="68">
        <f>IF(OR($J330="",$B330=""),0,IF(YEAR($B330)*12+MONTH($B330)&lt;=YEAR($C$3)*12+MONTH($C$3)-1,$G330,0))</f>
        <v/>
      </c>
      <c r="P330" s="68">
        <f>$M330-$O330</f>
        <v/>
      </c>
      <c r="Q330" s="68">
        <f>($L330-$M330)-($N330-$O330)</f>
        <v/>
      </c>
      <c r="R330" s="68">
        <f>$L330-$N330</f>
        <v/>
      </c>
      <c r="S330" s="67">
        <f>"Finance invoice"</f>
        <v/>
      </c>
      <c r="T330" s="67">
        <f>"Revenue"</f>
        <v/>
      </c>
    </row>
    <row r="331">
      <c r="A331" s="65">
        <f>ROW()-5</f>
        <v/>
      </c>
      <c r="B331" s="66">
        <f>IFERROR(INDEX(tbl_Finance[Date],$A331),"")</f>
        <v/>
      </c>
      <c r="C331" s="67">
        <f>IFERROR(INDEX(tbl_Finance[Xero Invoice No],$A331),"")</f>
        <v/>
      </c>
      <c r="D331" s="67">
        <f>IFERROR(INDEX(tbl_Finance[Client],$A331),"")</f>
        <v/>
      </c>
      <c r="E331" s="67">
        <f>IFERROR(INDEX(tbl_Finance[Job Number],$A331),"")</f>
        <v/>
      </c>
      <c r="F331" s="67">
        <f>IFERROR(INDEX(tbl_Finance[Cost Centre],$A331),"")</f>
        <v/>
      </c>
      <c r="G331" s="68">
        <f>IFERROR(INDEX(tbl_Finance[Ex GST],$A331),"")</f>
        <v/>
      </c>
      <c r="H331" s="66">
        <f>IFERROR(INDEX(tbl_Finance[Defer Start],$A331),"")</f>
        <v/>
      </c>
      <c r="I331" s="66">
        <f>IFERROR(INDEX(tbl_Finance[Defer End],$A331),"")</f>
        <v/>
      </c>
      <c r="J331" s="65">
        <f>IF(OR($H331="",$I331="",$G331=""),"",MAX(1,(YEAR($I331)-YEAR($H331))*12+MONTH($I331)-MONTH($H331)+1))</f>
        <v/>
      </c>
      <c r="K331" s="68">
        <f>IF($J331="","",$G331/$J331)</f>
        <v/>
      </c>
      <c r="L331" s="68">
        <f>IF($J331="",0,$K331*MAX(0,MIN(YEAR($C$3)*12+MONTH($C$3),YEAR($I331)*12+MONTH($I331))-(YEAR($H331)*12+MONTH($H331))+1))</f>
        <v/>
      </c>
      <c r="M331" s="68">
        <f>IF($J331="",0,$K331*MAX(0,MIN(YEAR($C$3)*12+MONTH($C$3)-1,YEAR($I331)*12+MONTH($I331))-(YEAR($H331)*12+MONTH($H331))+1))</f>
        <v/>
      </c>
      <c r="N331" s="68">
        <f>IF(OR($J331="",$B331=""),0,IF(YEAR($B331)*12+MONTH($B331)&lt;=YEAR($C$3)*12+MONTH($C$3),$G331,0))</f>
        <v/>
      </c>
      <c r="O331" s="68">
        <f>IF(OR($J331="",$B331=""),0,IF(YEAR($B331)*12+MONTH($B331)&lt;=YEAR($C$3)*12+MONTH($C$3)-1,$G331,0))</f>
        <v/>
      </c>
      <c r="P331" s="68">
        <f>$M331-$O331</f>
        <v/>
      </c>
      <c r="Q331" s="68">
        <f>($L331-$M331)-($N331-$O331)</f>
        <v/>
      </c>
      <c r="R331" s="68">
        <f>$L331-$N331</f>
        <v/>
      </c>
      <c r="S331" s="67">
        <f>"Finance invoice"</f>
        <v/>
      </c>
      <c r="T331" s="67">
        <f>"Revenue"</f>
        <v/>
      </c>
    </row>
    <row r="332">
      <c r="A332" s="65">
        <f>ROW()-5</f>
        <v/>
      </c>
      <c r="B332" s="66">
        <f>IFERROR(INDEX(tbl_Finance[Date],$A332),"")</f>
        <v/>
      </c>
      <c r="C332" s="67">
        <f>IFERROR(INDEX(tbl_Finance[Xero Invoice No],$A332),"")</f>
        <v/>
      </c>
      <c r="D332" s="67">
        <f>IFERROR(INDEX(tbl_Finance[Client],$A332),"")</f>
        <v/>
      </c>
      <c r="E332" s="67">
        <f>IFERROR(INDEX(tbl_Finance[Job Number],$A332),"")</f>
        <v/>
      </c>
      <c r="F332" s="67">
        <f>IFERROR(INDEX(tbl_Finance[Cost Centre],$A332),"")</f>
        <v/>
      </c>
      <c r="G332" s="68">
        <f>IFERROR(INDEX(tbl_Finance[Ex GST],$A332),"")</f>
        <v/>
      </c>
      <c r="H332" s="66">
        <f>IFERROR(INDEX(tbl_Finance[Defer Start],$A332),"")</f>
        <v/>
      </c>
      <c r="I332" s="66">
        <f>IFERROR(INDEX(tbl_Finance[Defer End],$A332),"")</f>
        <v/>
      </c>
      <c r="J332" s="65">
        <f>IF(OR($H332="",$I332="",$G332=""),"",MAX(1,(YEAR($I332)-YEAR($H332))*12+MONTH($I332)-MONTH($H332)+1))</f>
        <v/>
      </c>
      <c r="K332" s="68">
        <f>IF($J332="","",$G332/$J332)</f>
        <v/>
      </c>
      <c r="L332" s="68">
        <f>IF($J332="",0,$K332*MAX(0,MIN(YEAR($C$3)*12+MONTH($C$3),YEAR($I332)*12+MONTH($I332))-(YEAR($H332)*12+MONTH($H332))+1))</f>
        <v/>
      </c>
      <c r="M332" s="68">
        <f>IF($J332="",0,$K332*MAX(0,MIN(YEAR($C$3)*12+MONTH($C$3)-1,YEAR($I332)*12+MONTH($I332))-(YEAR($H332)*12+MONTH($H332))+1))</f>
        <v/>
      </c>
      <c r="N332" s="68">
        <f>IF(OR($J332="",$B332=""),0,IF(YEAR($B332)*12+MONTH($B332)&lt;=YEAR($C$3)*12+MONTH($C$3),$G332,0))</f>
        <v/>
      </c>
      <c r="O332" s="68">
        <f>IF(OR($J332="",$B332=""),0,IF(YEAR($B332)*12+MONTH($B332)&lt;=YEAR($C$3)*12+MONTH($C$3)-1,$G332,0))</f>
        <v/>
      </c>
      <c r="P332" s="68">
        <f>$M332-$O332</f>
        <v/>
      </c>
      <c r="Q332" s="68">
        <f>($L332-$M332)-($N332-$O332)</f>
        <v/>
      </c>
      <c r="R332" s="68">
        <f>$L332-$N332</f>
        <v/>
      </c>
      <c r="S332" s="67">
        <f>"Finance invoice"</f>
        <v/>
      </c>
      <c r="T332" s="67">
        <f>"Revenue"</f>
        <v/>
      </c>
    </row>
    <row r="333">
      <c r="A333" s="65">
        <f>ROW()-5</f>
        <v/>
      </c>
      <c r="B333" s="66">
        <f>IFERROR(INDEX(tbl_Finance[Date],$A333),"")</f>
        <v/>
      </c>
      <c r="C333" s="67">
        <f>IFERROR(INDEX(tbl_Finance[Xero Invoice No],$A333),"")</f>
        <v/>
      </c>
      <c r="D333" s="67">
        <f>IFERROR(INDEX(tbl_Finance[Client],$A333),"")</f>
        <v/>
      </c>
      <c r="E333" s="67">
        <f>IFERROR(INDEX(tbl_Finance[Job Number],$A333),"")</f>
        <v/>
      </c>
      <c r="F333" s="67">
        <f>IFERROR(INDEX(tbl_Finance[Cost Centre],$A333),"")</f>
        <v/>
      </c>
      <c r="G333" s="68">
        <f>IFERROR(INDEX(tbl_Finance[Ex GST],$A333),"")</f>
        <v/>
      </c>
      <c r="H333" s="66">
        <f>IFERROR(INDEX(tbl_Finance[Defer Start],$A333),"")</f>
        <v/>
      </c>
      <c r="I333" s="66">
        <f>IFERROR(INDEX(tbl_Finance[Defer End],$A333),"")</f>
        <v/>
      </c>
      <c r="J333" s="65">
        <f>IF(OR($H333="",$I333="",$G333=""),"",MAX(1,(YEAR($I333)-YEAR($H333))*12+MONTH($I333)-MONTH($H333)+1))</f>
        <v/>
      </c>
      <c r="K333" s="68">
        <f>IF($J333="","",$G333/$J333)</f>
        <v/>
      </c>
      <c r="L333" s="68">
        <f>IF($J333="",0,$K333*MAX(0,MIN(YEAR($C$3)*12+MONTH($C$3),YEAR($I333)*12+MONTH($I333))-(YEAR($H333)*12+MONTH($H333))+1))</f>
        <v/>
      </c>
      <c r="M333" s="68">
        <f>IF($J333="",0,$K333*MAX(0,MIN(YEAR($C$3)*12+MONTH($C$3)-1,YEAR($I333)*12+MONTH($I333))-(YEAR($H333)*12+MONTH($H333))+1))</f>
        <v/>
      </c>
      <c r="N333" s="68">
        <f>IF(OR($J333="",$B333=""),0,IF(YEAR($B333)*12+MONTH($B333)&lt;=YEAR($C$3)*12+MONTH($C$3),$G333,0))</f>
        <v/>
      </c>
      <c r="O333" s="68">
        <f>IF(OR($J333="",$B333=""),0,IF(YEAR($B333)*12+MONTH($B333)&lt;=YEAR($C$3)*12+MONTH($C$3)-1,$G333,0))</f>
        <v/>
      </c>
      <c r="P333" s="68">
        <f>$M333-$O333</f>
        <v/>
      </c>
      <c r="Q333" s="68">
        <f>($L333-$M333)-($N333-$O333)</f>
        <v/>
      </c>
      <c r="R333" s="68">
        <f>$L333-$N333</f>
        <v/>
      </c>
      <c r="S333" s="67">
        <f>"Finance invoice"</f>
        <v/>
      </c>
      <c r="T333" s="67">
        <f>"Revenue"</f>
        <v/>
      </c>
    </row>
    <row r="334">
      <c r="A334" s="65">
        <f>ROW()-5</f>
        <v/>
      </c>
      <c r="B334" s="66">
        <f>IFERROR(INDEX(tbl_Finance[Date],$A334),"")</f>
        <v/>
      </c>
      <c r="C334" s="67">
        <f>IFERROR(INDEX(tbl_Finance[Xero Invoice No],$A334),"")</f>
        <v/>
      </c>
      <c r="D334" s="67">
        <f>IFERROR(INDEX(tbl_Finance[Client],$A334),"")</f>
        <v/>
      </c>
      <c r="E334" s="67">
        <f>IFERROR(INDEX(tbl_Finance[Job Number],$A334),"")</f>
        <v/>
      </c>
      <c r="F334" s="67">
        <f>IFERROR(INDEX(tbl_Finance[Cost Centre],$A334),"")</f>
        <v/>
      </c>
      <c r="G334" s="68">
        <f>IFERROR(INDEX(tbl_Finance[Ex GST],$A334),"")</f>
        <v/>
      </c>
      <c r="H334" s="66">
        <f>IFERROR(INDEX(tbl_Finance[Defer Start],$A334),"")</f>
        <v/>
      </c>
      <c r="I334" s="66">
        <f>IFERROR(INDEX(tbl_Finance[Defer End],$A334),"")</f>
        <v/>
      </c>
      <c r="J334" s="65">
        <f>IF(OR($H334="",$I334="",$G334=""),"",MAX(1,(YEAR($I334)-YEAR($H334))*12+MONTH($I334)-MONTH($H334)+1))</f>
        <v/>
      </c>
      <c r="K334" s="68">
        <f>IF($J334="","",$G334/$J334)</f>
        <v/>
      </c>
      <c r="L334" s="68">
        <f>IF($J334="",0,$K334*MAX(0,MIN(YEAR($C$3)*12+MONTH($C$3),YEAR($I334)*12+MONTH($I334))-(YEAR($H334)*12+MONTH($H334))+1))</f>
        <v/>
      </c>
      <c r="M334" s="68">
        <f>IF($J334="",0,$K334*MAX(0,MIN(YEAR($C$3)*12+MONTH($C$3)-1,YEAR($I334)*12+MONTH($I334))-(YEAR($H334)*12+MONTH($H334))+1))</f>
        <v/>
      </c>
      <c r="N334" s="68">
        <f>IF(OR($J334="",$B334=""),0,IF(YEAR($B334)*12+MONTH($B334)&lt;=YEAR($C$3)*12+MONTH($C$3),$G334,0))</f>
        <v/>
      </c>
      <c r="O334" s="68">
        <f>IF(OR($J334="",$B334=""),0,IF(YEAR($B334)*12+MONTH($B334)&lt;=YEAR($C$3)*12+MONTH($C$3)-1,$G334,0))</f>
        <v/>
      </c>
      <c r="P334" s="68">
        <f>$M334-$O334</f>
        <v/>
      </c>
      <c r="Q334" s="68">
        <f>($L334-$M334)-($N334-$O334)</f>
        <v/>
      </c>
      <c r="R334" s="68">
        <f>$L334-$N334</f>
        <v/>
      </c>
      <c r="S334" s="67">
        <f>"Finance invoice"</f>
        <v/>
      </c>
      <c r="T334" s="67">
        <f>"Revenue"</f>
        <v/>
      </c>
    </row>
    <row r="335">
      <c r="A335" s="65">
        <f>ROW()-5</f>
        <v/>
      </c>
      <c r="B335" s="66">
        <f>IFERROR(INDEX(tbl_Finance[Date],$A335),"")</f>
        <v/>
      </c>
      <c r="C335" s="67">
        <f>IFERROR(INDEX(tbl_Finance[Xero Invoice No],$A335),"")</f>
        <v/>
      </c>
      <c r="D335" s="67">
        <f>IFERROR(INDEX(tbl_Finance[Client],$A335),"")</f>
        <v/>
      </c>
      <c r="E335" s="67">
        <f>IFERROR(INDEX(tbl_Finance[Job Number],$A335),"")</f>
        <v/>
      </c>
      <c r="F335" s="67">
        <f>IFERROR(INDEX(tbl_Finance[Cost Centre],$A335),"")</f>
        <v/>
      </c>
      <c r="G335" s="68">
        <f>IFERROR(INDEX(tbl_Finance[Ex GST],$A335),"")</f>
        <v/>
      </c>
      <c r="H335" s="66">
        <f>IFERROR(INDEX(tbl_Finance[Defer Start],$A335),"")</f>
        <v/>
      </c>
      <c r="I335" s="66">
        <f>IFERROR(INDEX(tbl_Finance[Defer End],$A335),"")</f>
        <v/>
      </c>
      <c r="J335" s="65">
        <f>IF(OR($H335="",$I335="",$G335=""),"",MAX(1,(YEAR($I335)-YEAR($H335))*12+MONTH($I335)-MONTH($H335)+1))</f>
        <v/>
      </c>
      <c r="K335" s="68">
        <f>IF($J335="","",$G335/$J335)</f>
        <v/>
      </c>
      <c r="L335" s="68">
        <f>IF($J335="",0,$K335*MAX(0,MIN(YEAR($C$3)*12+MONTH($C$3),YEAR($I335)*12+MONTH($I335))-(YEAR($H335)*12+MONTH($H335))+1))</f>
        <v/>
      </c>
      <c r="M335" s="68">
        <f>IF($J335="",0,$K335*MAX(0,MIN(YEAR($C$3)*12+MONTH($C$3)-1,YEAR($I335)*12+MONTH($I335))-(YEAR($H335)*12+MONTH($H335))+1))</f>
        <v/>
      </c>
      <c r="N335" s="68">
        <f>IF(OR($J335="",$B335=""),0,IF(YEAR($B335)*12+MONTH($B335)&lt;=YEAR($C$3)*12+MONTH($C$3),$G335,0))</f>
        <v/>
      </c>
      <c r="O335" s="68">
        <f>IF(OR($J335="",$B335=""),0,IF(YEAR($B335)*12+MONTH($B335)&lt;=YEAR($C$3)*12+MONTH($C$3)-1,$G335,0))</f>
        <v/>
      </c>
      <c r="P335" s="68">
        <f>$M335-$O335</f>
        <v/>
      </c>
      <c r="Q335" s="68">
        <f>($L335-$M335)-($N335-$O335)</f>
        <v/>
      </c>
      <c r="R335" s="68">
        <f>$L335-$N335</f>
        <v/>
      </c>
      <c r="S335" s="67">
        <f>"Finance invoice"</f>
        <v/>
      </c>
      <c r="T335" s="67">
        <f>"Revenue"</f>
        <v/>
      </c>
    </row>
    <row r="336">
      <c r="A336" s="65">
        <f>ROW()-5</f>
        <v/>
      </c>
      <c r="B336" s="66">
        <f>IFERROR(INDEX(tbl_Finance[Date],$A336),"")</f>
        <v/>
      </c>
      <c r="C336" s="67">
        <f>IFERROR(INDEX(tbl_Finance[Xero Invoice No],$A336),"")</f>
        <v/>
      </c>
      <c r="D336" s="67">
        <f>IFERROR(INDEX(tbl_Finance[Client],$A336),"")</f>
        <v/>
      </c>
      <c r="E336" s="67">
        <f>IFERROR(INDEX(tbl_Finance[Job Number],$A336),"")</f>
        <v/>
      </c>
      <c r="F336" s="67">
        <f>IFERROR(INDEX(tbl_Finance[Cost Centre],$A336),"")</f>
        <v/>
      </c>
      <c r="G336" s="68">
        <f>IFERROR(INDEX(tbl_Finance[Ex GST],$A336),"")</f>
        <v/>
      </c>
      <c r="H336" s="66">
        <f>IFERROR(INDEX(tbl_Finance[Defer Start],$A336),"")</f>
        <v/>
      </c>
      <c r="I336" s="66">
        <f>IFERROR(INDEX(tbl_Finance[Defer End],$A336),"")</f>
        <v/>
      </c>
      <c r="J336" s="65">
        <f>IF(OR($H336="",$I336="",$G336=""),"",MAX(1,(YEAR($I336)-YEAR($H336))*12+MONTH($I336)-MONTH($H336)+1))</f>
        <v/>
      </c>
      <c r="K336" s="68">
        <f>IF($J336="","",$G336/$J336)</f>
        <v/>
      </c>
      <c r="L336" s="68">
        <f>IF($J336="",0,$K336*MAX(0,MIN(YEAR($C$3)*12+MONTH($C$3),YEAR($I336)*12+MONTH($I336))-(YEAR($H336)*12+MONTH($H336))+1))</f>
        <v/>
      </c>
      <c r="M336" s="68">
        <f>IF($J336="",0,$K336*MAX(0,MIN(YEAR($C$3)*12+MONTH($C$3)-1,YEAR($I336)*12+MONTH($I336))-(YEAR($H336)*12+MONTH($H336))+1))</f>
        <v/>
      </c>
      <c r="N336" s="68">
        <f>IF(OR($J336="",$B336=""),0,IF(YEAR($B336)*12+MONTH($B336)&lt;=YEAR($C$3)*12+MONTH($C$3),$G336,0))</f>
        <v/>
      </c>
      <c r="O336" s="68">
        <f>IF(OR($J336="",$B336=""),0,IF(YEAR($B336)*12+MONTH($B336)&lt;=YEAR($C$3)*12+MONTH($C$3)-1,$G336,0))</f>
        <v/>
      </c>
      <c r="P336" s="68">
        <f>$M336-$O336</f>
        <v/>
      </c>
      <c r="Q336" s="68">
        <f>($L336-$M336)-($N336-$O336)</f>
        <v/>
      </c>
      <c r="R336" s="68">
        <f>$L336-$N336</f>
        <v/>
      </c>
      <c r="S336" s="67">
        <f>"Finance invoice"</f>
        <v/>
      </c>
      <c r="T336" s="67">
        <f>"Revenue"</f>
        <v/>
      </c>
    </row>
    <row r="337">
      <c r="A337" s="65">
        <f>ROW()-5</f>
        <v/>
      </c>
      <c r="B337" s="66">
        <f>IFERROR(INDEX(tbl_Finance[Date],$A337),"")</f>
        <v/>
      </c>
      <c r="C337" s="67">
        <f>IFERROR(INDEX(tbl_Finance[Xero Invoice No],$A337),"")</f>
        <v/>
      </c>
      <c r="D337" s="67">
        <f>IFERROR(INDEX(tbl_Finance[Client],$A337),"")</f>
        <v/>
      </c>
      <c r="E337" s="67">
        <f>IFERROR(INDEX(tbl_Finance[Job Number],$A337),"")</f>
        <v/>
      </c>
      <c r="F337" s="67">
        <f>IFERROR(INDEX(tbl_Finance[Cost Centre],$A337),"")</f>
        <v/>
      </c>
      <c r="G337" s="68">
        <f>IFERROR(INDEX(tbl_Finance[Ex GST],$A337),"")</f>
        <v/>
      </c>
      <c r="H337" s="66">
        <f>IFERROR(INDEX(tbl_Finance[Defer Start],$A337),"")</f>
        <v/>
      </c>
      <c r="I337" s="66">
        <f>IFERROR(INDEX(tbl_Finance[Defer End],$A337),"")</f>
        <v/>
      </c>
      <c r="J337" s="65">
        <f>IF(OR($H337="",$I337="",$G337=""),"",MAX(1,(YEAR($I337)-YEAR($H337))*12+MONTH($I337)-MONTH($H337)+1))</f>
        <v/>
      </c>
      <c r="K337" s="68">
        <f>IF($J337="","",$G337/$J337)</f>
        <v/>
      </c>
      <c r="L337" s="68">
        <f>IF($J337="",0,$K337*MAX(0,MIN(YEAR($C$3)*12+MONTH($C$3),YEAR($I337)*12+MONTH($I337))-(YEAR($H337)*12+MONTH($H337))+1))</f>
        <v/>
      </c>
      <c r="M337" s="68">
        <f>IF($J337="",0,$K337*MAX(0,MIN(YEAR($C$3)*12+MONTH($C$3)-1,YEAR($I337)*12+MONTH($I337))-(YEAR($H337)*12+MONTH($H337))+1))</f>
        <v/>
      </c>
      <c r="N337" s="68">
        <f>IF(OR($J337="",$B337=""),0,IF(YEAR($B337)*12+MONTH($B337)&lt;=YEAR($C$3)*12+MONTH($C$3),$G337,0))</f>
        <v/>
      </c>
      <c r="O337" s="68">
        <f>IF(OR($J337="",$B337=""),0,IF(YEAR($B337)*12+MONTH($B337)&lt;=YEAR($C$3)*12+MONTH($C$3)-1,$G337,0))</f>
        <v/>
      </c>
      <c r="P337" s="68">
        <f>$M337-$O337</f>
        <v/>
      </c>
      <c r="Q337" s="68">
        <f>($L337-$M337)-($N337-$O337)</f>
        <v/>
      </c>
      <c r="R337" s="68">
        <f>$L337-$N337</f>
        <v/>
      </c>
      <c r="S337" s="67">
        <f>"Finance invoice"</f>
        <v/>
      </c>
      <c r="T337" s="67">
        <f>"Revenue"</f>
        <v/>
      </c>
    </row>
    <row r="338">
      <c r="A338" s="65">
        <f>ROW()-5</f>
        <v/>
      </c>
      <c r="B338" s="66">
        <f>IFERROR(INDEX(tbl_Finance[Date],$A338),"")</f>
        <v/>
      </c>
      <c r="C338" s="67">
        <f>IFERROR(INDEX(tbl_Finance[Xero Invoice No],$A338),"")</f>
        <v/>
      </c>
      <c r="D338" s="67">
        <f>IFERROR(INDEX(tbl_Finance[Client],$A338),"")</f>
        <v/>
      </c>
      <c r="E338" s="67">
        <f>IFERROR(INDEX(tbl_Finance[Job Number],$A338),"")</f>
        <v/>
      </c>
      <c r="F338" s="67">
        <f>IFERROR(INDEX(tbl_Finance[Cost Centre],$A338),"")</f>
        <v/>
      </c>
      <c r="G338" s="68">
        <f>IFERROR(INDEX(tbl_Finance[Ex GST],$A338),"")</f>
        <v/>
      </c>
      <c r="H338" s="66">
        <f>IFERROR(INDEX(tbl_Finance[Defer Start],$A338),"")</f>
        <v/>
      </c>
      <c r="I338" s="66">
        <f>IFERROR(INDEX(tbl_Finance[Defer End],$A338),"")</f>
        <v/>
      </c>
      <c r="J338" s="65">
        <f>IF(OR($H338="",$I338="",$G338=""),"",MAX(1,(YEAR($I338)-YEAR($H338))*12+MONTH($I338)-MONTH($H338)+1))</f>
        <v/>
      </c>
      <c r="K338" s="68">
        <f>IF($J338="","",$G338/$J338)</f>
        <v/>
      </c>
      <c r="L338" s="68">
        <f>IF($J338="",0,$K338*MAX(0,MIN(YEAR($C$3)*12+MONTH($C$3),YEAR($I338)*12+MONTH($I338))-(YEAR($H338)*12+MONTH($H338))+1))</f>
        <v/>
      </c>
      <c r="M338" s="68">
        <f>IF($J338="",0,$K338*MAX(0,MIN(YEAR($C$3)*12+MONTH($C$3)-1,YEAR($I338)*12+MONTH($I338))-(YEAR($H338)*12+MONTH($H338))+1))</f>
        <v/>
      </c>
      <c r="N338" s="68">
        <f>IF(OR($J338="",$B338=""),0,IF(YEAR($B338)*12+MONTH($B338)&lt;=YEAR($C$3)*12+MONTH($C$3),$G338,0))</f>
        <v/>
      </c>
      <c r="O338" s="68">
        <f>IF(OR($J338="",$B338=""),0,IF(YEAR($B338)*12+MONTH($B338)&lt;=YEAR($C$3)*12+MONTH($C$3)-1,$G338,0))</f>
        <v/>
      </c>
      <c r="P338" s="68">
        <f>$M338-$O338</f>
        <v/>
      </c>
      <c r="Q338" s="68">
        <f>($L338-$M338)-($N338-$O338)</f>
        <v/>
      </c>
      <c r="R338" s="68">
        <f>$L338-$N338</f>
        <v/>
      </c>
      <c r="S338" s="67">
        <f>"Finance invoice"</f>
        <v/>
      </c>
      <c r="T338" s="67">
        <f>"Revenue"</f>
        <v/>
      </c>
    </row>
    <row r="339">
      <c r="A339" s="65">
        <f>ROW()-5</f>
        <v/>
      </c>
      <c r="B339" s="66">
        <f>IFERROR(INDEX(tbl_Finance[Date],$A339),"")</f>
        <v/>
      </c>
      <c r="C339" s="67">
        <f>IFERROR(INDEX(tbl_Finance[Xero Invoice No],$A339),"")</f>
        <v/>
      </c>
      <c r="D339" s="67">
        <f>IFERROR(INDEX(tbl_Finance[Client],$A339),"")</f>
        <v/>
      </c>
      <c r="E339" s="67">
        <f>IFERROR(INDEX(tbl_Finance[Job Number],$A339),"")</f>
        <v/>
      </c>
      <c r="F339" s="67">
        <f>IFERROR(INDEX(tbl_Finance[Cost Centre],$A339),"")</f>
        <v/>
      </c>
      <c r="G339" s="68">
        <f>IFERROR(INDEX(tbl_Finance[Ex GST],$A339),"")</f>
        <v/>
      </c>
      <c r="H339" s="66">
        <f>IFERROR(INDEX(tbl_Finance[Defer Start],$A339),"")</f>
        <v/>
      </c>
      <c r="I339" s="66">
        <f>IFERROR(INDEX(tbl_Finance[Defer End],$A339),"")</f>
        <v/>
      </c>
      <c r="J339" s="65">
        <f>IF(OR($H339="",$I339="",$G339=""),"",MAX(1,(YEAR($I339)-YEAR($H339))*12+MONTH($I339)-MONTH($H339)+1))</f>
        <v/>
      </c>
      <c r="K339" s="68">
        <f>IF($J339="","",$G339/$J339)</f>
        <v/>
      </c>
      <c r="L339" s="68">
        <f>IF($J339="",0,$K339*MAX(0,MIN(YEAR($C$3)*12+MONTH($C$3),YEAR($I339)*12+MONTH($I339))-(YEAR($H339)*12+MONTH($H339))+1))</f>
        <v/>
      </c>
      <c r="M339" s="68">
        <f>IF($J339="",0,$K339*MAX(0,MIN(YEAR($C$3)*12+MONTH($C$3)-1,YEAR($I339)*12+MONTH($I339))-(YEAR($H339)*12+MONTH($H339))+1))</f>
        <v/>
      </c>
      <c r="N339" s="68">
        <f>IF(OR($J339="",$B339=""),0,IF(YEAR($B339)*12+MONTH($B339)&lt;=YEAR($C$3)*12+MONTH($C$3),$G339,0))</f>
        <v/>
      </c>
      <c r="O339" s="68">
        <f>IF(OR($J339="",$B339=""),0,IF(YEAR($B339)*12+MONTH($B339)&lt;=YEAR($C$3)*12+MONTH($C$3)-1,$G339,0))</f>
        <v/>
      </c>
      <c r="P339" s="68">
        <f>$M339-$O339</f>
        <v/>
      </c>
      <c r="Q339" s="68">
        <f>($L339-$M339)-($N339-$O339)</f>
        <v/>
      </c>
      <c r="R339" s="68">
        <f>$L339-$N339</f>
        <v/>
      </c>
      <c r="S339" s="67">
        <f>"Finance invoice"</f>
        <v/>
      </c>
      <c r="T339" s="67">
        <f>"Revenue"</f>
        <v/>
      </c>
    </row>
    <row r="340">
      <c r="A340" s="65">
        <f>ROW()-5</f>
        <v/>
      </c>
      <c r="B340" s="66">
        <f>IFERROR(INDEX(tbl_Finance[Date],$A340),"")</f>
        <v/>
      </c>
      <c r="C340" s="67">
        <f>IFERROR(INDEX(tbl_Finance[Xero Invoice No],$A340),"")</f>
        <v/>
      </c>
      <c r="D340" s="67">
        <f>IFERROR(INDEX(tbl_Finance[Client],$A340),"")</f>
        <v/>
      </c>
      <c r="E340" s="67">
        <f>IFERROR(INDEX(tbl_Finance[Job Number],$A340),"")</f>
        <v/>
      </c>
      <c r="F340" s="67">
        <f>IFERROR(INDEX(tbl_Finance[Cost Centre],$A340),"")</f>
        <v/>
      </c>
      <c r="G340" s="68">
        <f>IFERROR(INDEX(tbl_Finance[Ex GST],$A340),"")</f>
        <v/>
      </c>
      <c r="H340" s="66">
        <f>IFERROR(INDEX(tbl_Finance[Defer Start],$A340),"")</f>
        <v/>
      </c>
      <c r="I340" s="66">
        <f>IFERROR(INDEX(tbl_Finance[Defer End],$A340),"")</f>
        <v/>
      </c>
      <c r="J340" s="65">
        <f>IF(OR($H340="",$I340="",$G340=""),"",MAX(1,(YEAR($I340)-YEAR($H340))*12+MONTH($I340)-MONTH($H340)+1))</f>
        <v/>
      </c>
      <c r="K340" s="68">
        <f>IF($J340="","",$G340/$J340)</f>
        <v/>
      </c>
      <c r="L340" s="68">
        <f>IF($J340="",0,$K340*MAX(0,MIN(YEAR($C$3)*12+MONTH($C$3),YEAR($I340)*12+MONTH($I340))-(YEAR($H340)*12+MONTH($H340))+1))</f>
        <v/>
      </c>
      <c r="M340" s="68">
        <f>IF($J340="",0,$K340*MAX(0,MIN(YEAR($C$3)*12+MONTH($C$3)-1,YEAR($I340)*12+MONTH($I340))-(YEAR($H340)*12+MONTH($H340))+1))</f>
        <v/>
      </c>
      <c r="N340" s="68">
        <f>IF(OR($J340="",$B340=""),0,IF(YEAR($B340)*12+MONTH($B340)&lt;=YEAR($C$3)*12+MONTH($C$3),$G340,0))</f>
        <v/>
      </c>
      <c r="O340" s="68">
        <f>IF(OR($J340="",$B340=""),0,IF(YEAR($B340)*12+MONTH($B340)&lt;=YEAR($C$3)*12+MONTH($C$3)-1,$G340,0))</f>
        <v/>
      </c>
      <c r="P340" s="68">
        <f>$M340-$O340</f>
        <v/>
      </c>
      <c r="Q340" s="68">
        <f>($L340-$M340)-($N340-$O340)</f>
        <v/>
      </c>
      <c r="R340" s="68">
        <f>$L340-$N340</f>
        <v/>
      </c>
      <c r="S340" s="67">
        <f>"Finance invoice"</f>
        <v/>
      </c>
      <c r="T340" s="67">
        <f>"Revenue"</f>
        <v/>
      </c>
    </row>
    <row r="341">
      <c r="A341" s="65">
        <f>ROW()-5</f>
        <v/>
      </c>
      <c r="B341" s="66">
        <f>IFERROR(INDEX(tbl_Finance[Date],$A341),"")</f>
        <v/>
      </c>
      <c r="C341" s="67">
        <f>IFERROR(INDEX(tbl_Finance[Xero Invoice No],$A341),"")</f>
        <v/>
      </c>
      <c r="D341" s="67">
        <f>IFERROR(INDEX(tbl_Finance[Client],$A341),"")</f>
        <v/>
      </c>
      <c r="E341" s="67">
        <f>IFERROR(INDEX(tbl_Finance[Job Number],$A341),"")</f>
        <v/>
      </c>
      <c r="F341" s="67">
        <f>IFERROR(INDEX(tbl_Finance[Cost Centre],$A341),"")</f>
        <v/>
      </c>
      <c r="G341" s="68">
        <f>IFERROR(INDEX(tbl_Finance[Ex GST],$A341),"")</f>
        <v/>
      </c>
      <c r="H341" s="66">
        <f>IFERROR(INDEX(tbl_Finance[Defer Start],$A341),"")</f>
        <v/>
      </c>
      <c r="I341" s="66">
        <f>IFERROR(INDEX(tbl_Finance[Defer End],$A341),"")</f>
        <v/>
      </c>
      <c r="J341" s="65">
        <f>IF(OR($H341="",$I341="",$G341=""),"",MAX(1,(YEAR($I341)-YEAR($H341))*12+MONTH($I341)-MONTH($H341)+1))</f>
        <v/>
      </c>
      <c r="K341" s="68">
        <f>IF($J341="","",$G341/$J341)</f>
        <v/>
      </c>
      <c r="L341" s="68">
        <f>IF($J341="",0,$K341*MAX(0,MIN(YEAR($C$3)*12+MONTH($C$3),YEAR($I341)*12+MONTH($I341))-(YEAR($H341)*12+MONTH($H341))+1))</f>
        <v/>
      </c>
      <c r="M341" s="68">
        <f>IF($J341="",0,$K341*MAX(0,MIN(YEAR($C$3)*12+MONTH($C$3)-1,YEAR($I341)*12+MONTH($I341))-(YEAR($H341)*12+MONTH($H341))+1))</f>
        <v/>
      </c>
      <c r="N341" s="68">
        <f>IF(OR($J341="",$B341=""),0,IF(YEAR($B341)*12+MONTH($B341)&lt;=YEAR($C$3)*12+MONTH($C$3),$G341,0))</f>
        <v/>
      </c>
      <c r="O341" s="68">
        <f>IF(OR($J341="",$B341=""),0,IF(YEAR($B341)*12+MONTH($B341)&lt;=YEAR($C$3)*12+MONTH($C$3)-1,$G341,0))</f>
        <v/>
      </c>
      <c r="P341" s="68">
        <f>$M341-$O341</f>
        <v/>
      </c>
      <c r="Q341" s="68">
        <f>($L341-$M341)-($N341-$O341)</f>
        <v/>
      </c>
      <c r="R341" s="68">
        <f>$L341-$N341</f>
        <v/>
      </c>
      <c r="S341" s="67">
        <f>"Finance invoice"</f>
        <v/>
      </c>
      <c r="T341" s="67">
        <f>"Revenue"</f>
        <v/>
      </c>
    </row>
    <row r="342">
      <c r="A342" s="65">
        <f>ROW()-5</f>
        <v/>
      </c>
      <c r="B342" s="66">
        <f>IFERROR(INDEX(tbl_Finance[Date],$A342),"")</f>
        <v/>
      </c>
      <c r="C342" s="67">
        <f>IFERROR(INDEX(tbl_Finance[Xero Invoice No],$A342),"")</f>
        <v/>
      </c>
      <c r="D342" s="67">
        <f>IFERROR(INDEX(tbl_Finance[Client],$A342),"")</f>
        <v/>
      </c>
      <c r="E342" s="67">
        <f>IFERROR(INDEX(tbl_Finance[Job Number],$A342),"")</f>
        <v/>
      </c>
      <c r="F342" s="67">
        <f>IFERROR(INDEX(tbl_Finance[Cost Centre],$A342),"")</f>
        <v/>
      </c>
      <c r="G342" s="68">
        <f>IFERROR(INDEX(tbl_Finance[Ex GST],$A342),"")</f>
        <v/>
      </c>
      <c r="H342" s="66">
        <f>IFERROR(INDEX(tbl_Finance[Defer Start],$A342),"")</f>
        <v/>
      </c>
      <c r="I342" s="66">
        <f>IFERROR(INDEX(tbl_Finance[Defer End],$A342),"")</f>
        <v/>
      </c>
      <c r="J342" s="65">
        <f>IF(OR($H342="",$I342="",$G342=""),"",MAX(1,(YEAR($I342)-YEAR($H342))*12+MONTH($I342)-MONTH($H342)+1))</f>
        <v/>
      </c>
      <c r="K342" s="68">
        <f>IF($J342="","",$G342/$J342)</f>
        <v/>
      </c>
      <c r="L342" s="68">
        <f>IF($J342="",0,$K342*MAX(0,MIN(YEAR($C$3)*12+MONTH($C$3),YEAR($I342)*12+MONTH($I342))-(YEAR($H342)*12+MONTH($H342))+1))</f>
        <v/>
      </c>
      <c r="M342" s="68">
        <f>IF($J342="",0,$K342*MAX(0,MIN(YEAR($C$3)*12+MONTH($C$3)-1,YEAR($I342)*12+MONTH($I342))-(YEAR($H342)*12+MONTH($H342))+1))</f>
        <v/>
      </c>
      <c r="N342" s="68">
        <f>IF(OR($J342="",$B342=""),0,IF(YEAR($B342)*12+MONTH($B342)&lt;=YEAR($C$3)*12+MONTH($C$3),$G342,0))</f>
        <v/>
      </c>
      <c r="O342" s="68">
        <f>IF(OR($J342="",$B342=""),0,IF(YEAR($B342)*12+MONTH($B342)&lt;=YEAR($C$3)*12+MONTH($C$3)-1,$G342,0))</f>
        <v/>
      </c>
      <c r="P342" s="68">
        <f>$M342-$O342</f>
        <v/>
      </c>
      <c r="Q342" s="68">
        <f>($L342-$M342)-($N342-$O342)</f>
        <v/>
      </c>
      <c r="R342" s="68">
        <f>$L342-$N342</f>
        <v/>
      </c>
      <c r="S342" s="67">
        <f>"Finance invoice"</f>
        <v/>
      </c>
      <c r="T342" s="67">
        <f>"Revenue"</f>
        <v/>
      </c>
    </row>
    <row r="343">
      <c r="A343" s="65">
        <f>ROW()-5</f>
        <v/>
      </c>
      <c r="B343" s="66">
        <f>IFERROR(INDEX(tbl_Finance[Date],$A343),"")</f>
        <v/>
      </c>
      <c r="C343" s="67">
        <f>IFERROR(INDEX(tbl_Finance[Xero Invoice No],$A343),"")</f>
        <v/>
      </c>
      <c r="D343" s="67">
        <f>IFERROR(INDEX(tbl_Finance[Client],$A343),"")</f>
        <v/>
      </c>
      <c r="E343" s="67">
        <f>IFERROR(INDEX(tbl_Finance[Job Number],$A343),"")</f>
        <v/>
      </c>
      <c r="F343" s="67">
        <f>IFERROR(INDEX(tbl_Finance[Cost Centre],$A343),"")</f>
        <v/>
      </c>
      <c r="G343" s="68">
        <f>IFERROR(INDEX(tbl_Finance[Ex GST],$A343),"")</f>
        <v/>
      </c>
      <c r="H343" s="66">
        <f>IFERROR(INDEX(tbl_Finance[Defer Start],$A343),"")</f>
        <v/>
      </c>
      <c r="I343" s="66">
        <f>IFERROR(INDEX(tbl_Finance[Defer End],$A343),"")</f>
        <v/>
      </c>
      <c r="J343" s="65">
        <f>IF(OR($H343="",$I343="",$G343=""),"",MAX(1,(YEAR($I343)-YEAR($H343))*12+MONTH($I343)-MONTH($H343)+1))</f>
        <v/>
      </c>
      <c r="K343" s="68">
        <f>IF($J343="","",$G343/$J343)</f>
        <v/>
      </c>
      <c r="L343" s="68">
        <f>IF($J343="",0,$K343*MAX(0,MIN(YEAR($C$3)*12+MONTH($C$3),YEAR($I343)*12+MONTH($I343))-(YEAR($H343)*12+MONTH($H343))+1))</f>
        <v/>
      </c>
      <c r="M343" s="68">
        <f>IF($J343="",0,$K343*MAX(0,MIN(YEAR($C$3)*12+MONTH($C$3)-1,YEAR($I343)*12+MONTH($I343))-(YEAR($H343)*12+MONTH($H343))+1))</f>
        <v/>
      </c>
      <c r="N343" s="68">
        <f>IF(OR($J343="",$B343=""),0,IF(YEAR($B343)*12+MONTH($B343)&lt;=YEAR($C$3)*12+MONTH($C$3),$G343,0))</f>
        <v/>
      </c>
      <c r="O343" s="68">
        <f>IF(OR($J343="",$B343=""),0,IF(YEAR($B343)*12+MONTH($B343)&lt;=YEAR($C$3)*12+MONTH($C$3)-1,$G343,0))</f>
        <v/>
      </c>
      <c r="P343" s="68">
        <f>$M343-$O343</f>
        <v/>
      </c>
      <c r="Q343" s="68">
        <f>($L343-$M343)-($N343-$O343)</f>
        <v/>
      </c>
      <c r="R343" s="68">
        <f>$L343-$N343</f>
        <v/>
      </c>
      <c r="S343" s="67">
        <f>"Finance invoice"</f>
        <v/>
      </c>
      <c r="T343" s="67">
        <f>"Revenue"</f>
        <v/>
      </c>
    </row>
    <row r="344">
      <c r="A344" s="65">
        <f>ROW()-5</f>
        <v/>
      </c>
      <c r="B344" s="66">
        <f>IFERROR(INDEX(tbl_Finance[Date],$A344),"")</f>
        <v/>
      </c>
      <c r="C344" s="67">
        <f>IFERROR(INDEX(tbl_Finance[Xero Invoice No],$A344),"")</f>
        <v/>
      </c>
      <c r="D344" s="67">
        <f>IFERROR(INDEX(tbl_Finance[Client],$A344),"")</f>
        <v/>
      </c>
      <c r="E344" s="67">
        <f>IFERROR(INDEX(tbl_Finance[Job Number],$A344),"")</f>
        <v/>
      </c>
      <c r="F344" s="67">
        <f>IFERROR(INDEX(tbl_Finance[Cost Centre],$A344),"")</f>
        <v/>
      </c>
      <c r="G344" s="68">
        <f>IFERROR(INDEX(tbl_Finance[Ex GST],$A344),"")</f>
        <v/>
      </c>
      <c r="H344" s="66">
        <f>IFERROR(INDEX(tbl_Finance[Defer Start],$A344),"")</f>
        <v/>
      </c>
      <c r="I344" s="66">
        <f>IFERROR(INDEX(tbl_Finance[Defer End],$A344),"")</f>
        <v/>
      </c>
      <c r="J344" s="65">
        <f>IF(OR($H344="",$I344="",$G344=""),"",MAX(1,(YEAR($I344)-YEAR($H344))*12+MONTH($I344)-MONTH($H344)+1))</f>
        <v/>
      </c>
      <c r="K344" s="68">
        <f>IF($J344="","",$G344/$J344)</f>
        <v/>
      </c>
      <c r="L344" s="68">
        <f>IF($J344="",0,$K344*MAX(0,MIN(YEAR($C$3)*12+MONTH($C$3),YEAR($I344)*12+MONTH($I344))-(YEAR($H344)*12+MONTH($H344))+1))</f>
        <v/>
      </c>
      <c r="M344" s="68">
        <f>IF($J344="",0,$K344*MAX(0,MIN(YEAR($C$3)*12+MONTH($C$3)-1,YEAR($I344)*12+MONTH($I344))-(YEAR($H344)*12+MONTH($H344))+1))</f>
        <v/>
      </c>
      <c r="N344" s="68">
        <f>IF(OR($J344="",$B344=""),0,IF(YEAR($B344)*12+MONTH($B344)&lt;=YEAR($C$3)*12+MONTH($C$3),$G344,0))</f>
        <v/>
      </c>
      <c r="O344" s="68">
        <f>IF(OR($J344="",$B344=""),0,IF(YEAR($B344)*12+MONTH($B344)&lt;=YEAR($C$3)*12+MONTH($C$3)-1,$G344,0))</f>
        <v/>
      </c>
      <c r="P344" s="68">
        <f>$M344-$O344</f>
        <v/>
      </c>
      <c r="Q344" s="68">
        <f>($L344-$M344)-($N344-$O344)</f>
        <v/>
      </c>
      <c r="R344" s="68">
        <f>$L344-$N344</f>
        <v/>
      </c>
      <c r="S344" s="67">
        <f>"Finance invoice"</f>
        <v/>
      </c>
      <c r="T344" s="67">
        <f>"Revenue"</f>
        <v/>
      </c>
    </row>
    <row r="345">
      <c r="A345" s="65">
        <f>ROW()-5</f>
        <v/>
      </c>
      <c r="B345" s="66">
        <f>IFERROR(INDEX(tbl_Finance[Date],$A345),"")</f>
        <v/>
      </c>
      <c r="C345" s="67">
        <f>IFERROR(INDEX(tbl_Finance[Xero Invoice No],$A345),"")</f>
        <v/>
      </c>
      <c r="D345" s="67">
        <f>IFERROR(INDEX(tbl_Finance[Client],$A345),"")</f>
        <v/>
      </c>
      <c r="E345" s="67">
        <f>IFERROR(INDEX(tbl_Finance[Job Number],$A345),"")</f>
        <v/>
      </c>
      <c r="F345" s="67">
        <f>IFERROR(INDEX(tbl_Finance[Cost Centre],$A345),"")</f>
        <v/>
      </c>
      <c r="G345" s="68">
        <f>IFERROR(INDEX(tbl_Finance[Ex GST],$A345),"")</f>
        <v/>
      </c>
      <c r="H345" s="66">
        <f>IFERROR(INDEX(tbl_Finance[Defer Start],$A345),"")</f>
        <v/>
      </c>
      <c r="I345" s="66">
        <f>IFERROR(INDEX(tbl_Finance[Defer End],$A345),"")</f>
        <v/>
      </c>
      <c r="J345" s="65">
        <f>IF(OR($H345="",$I345="",$G345=""),"",MAX(1,(YEAR($I345)-YEAR($H345))*12+MONTH($I345)-MONTH($H345)+1))</f>
        <v/>
      </c>
      <c r="K345" s="68">
        <f>IF($J345="","",$G345/$J345)</f>
        <v/>
      </c>
      <c r="L345" s="68">
        <f>IF($J345="",0,$K345*MAX(0,MIN(YEAR($C$3)*12+MONTH($C$3),YEAR($I345)*12+MONTH($I345))-(YEAR($H345)*12+MONTH($H345))+1))</f>
        <v/>
      </c>
      <c r="M345" s="68">
        <f>IF($J345="",0,$K345*MAX(0,MIN(YEAR($C$3)*12+MONTH($C$3)-1,YEAR($I345)*12+MONTH($I345))-(YEAR($H345)*12+MONTH($H345))+1))</f>
        <v/>
      </c>
      <c r="N345" s="68">
        <f>IF(OR($J345="",$B345=""),0,IF(YEAR($B345)*12+MONTH($B345)&lt;=YEAR($C$3)*12+MONTH($C$3),$G345,0))</f>
        <v/>
      </c>
      <c r="O345" s="68">
        <f>IF(OR($J345="",$B345=""),0,IF(YEAR($B345)*12+MONTH($B345)&lt;=YEAR($C$3)*12+MONTH($C$3)-1,$G345,0))</f>
        <v/>
      </c>
      <c r="P345" s="68">
        <f>$M345-$O345</f>
        <v/>
      </c>
      <c r="Q345" s="68">
        <f>($L345-$M345)-($N345-$O345)</f>
        <v/>
      </c>
      <c r="R345" s="68">
        <f>$L345-$N345</f>
        <v/>
      </c>
      <c r="S345" s="67">
        <f>"Finance invoice"</f>
        <v/>
      </c>
      <c r="T345" s="67">
        <f>"Revenue"</f>
        <v/>
      </c>
    </row>
    <row r="346">
      <c r="A346" s="65">
        <f>ROW()-5</f>
        <v/>
      </c>
      <c r="B346" s="66">
        <f>IFERROR(INDEX(tbl_Finance[Date],$A346),"")</f>
        <v/>
      </c>
      <c r="C346" s="67">
        <f>IFERROR(INDEX(tbl_Finance[Xero Invoice No],$A346),"")</f>
        <v/>
      </c>
      <c r="D346" s="67">
        <f>IFERROR(INDEX(tbl_Finance[Client],$A346),"")</f>
        <v/>
      </c>
      <c r="E346" s="67">
        <f>IFERROR(INDEX(tbl_Finance[Job Number],$A346),"")</f>
        <v/>
      </c>
      <c r="F346" s="67">
        <f>IFERROR(INDEX(tbl_Finance[Cost Centre],$A346),"")</f>
        <v/>
      </c>
      <c r="G346" s="68">
        <f>IFERROR(INDEX(tbl_Finance[Ex GST],$A346),"")</f>
        <v/>
      </c>
      <c r="H346" s="66">
        <f>IFERROR(INDEX(tbl_Finance[Defer Start],$A346),"")</f>
        <v/>
      </c>
      <c r="I346" s="66">
        <f>IFERROR(INDEX(tbl_Finance[Defer End],$A346),"")</f>
        <v/>
      </c>
      <c r="J346" s="65">
        <f>IF(OR($H346="",$I346="",$G346=""),"",MAX(1,(YEAR($I346)-YEAR($H346))*12+MONTH($I346)-MONTH($H346)+1))</f>
        <v/>
      </c>
      <c r="K346" s="68">
        <f>IF($J346="","",$G346/$J346)</f>
        <v/>
      </c>
      <c r="L346" s="68">
        <f>IF($J346="",0,$K346*MAX(0,MIN(YEAR($C$3)*12+MONTH($C$3),YEAR($I346)*12+MONTH($I346))-(YEAR($H346)*12+MONTH($H346))+1))</f>
        <v/>
      </c>
      <c r="M346" s="68">
        <f>IF($J346="",0,$K346*MAX(0,MIN(YEAR($C$3)*12+MONTH($C$3)-1,YEAR($I346)*12+MONTH($I346))-(YEAR($H346)*12+MONTH($H346))+1))</f>
        <v/>
      </c>
      <c r="N346" s="68">
        <f>IF(OR($J346="",$B346=""),0,IF(YEAR($B346)*12+MONTH($B346)&lt;=YEAR($C$3)*12+MONTH($C$3),$G346,0))</f>
        <v/>
      </c>
      <c r="O346" s="68">
        <f>IF(OR($J346="",$B346=""),0,IF(YEAR($B346)*12+MONTH($B346)&lt;=YEAR($C$3)*12+MONTH($C$3)-1,$G346,0))</f>
        <v/>
      </c>
      <c r="P346" s="68">
        <f>$M346-$O346</f>
        <v/>
      </c>
      <c r="Q346" s="68">
        <f>($L346-$M346)-($N346-$O346)</f>
        <v/>
      </c>
      <c r="R346" s="68">
        <f>$L346-$N346</f>
        <v/>
      </c>
      <c r="S346" s="67">
        <f>"Finance invoice"</f>
        <v/>
      </c>
      <c r="T346" s="67">
        <f>"Revenue"</f>
        <v/>
      </c>
    </row>
    <row r="347">
      <c r="A347" s="65">
        <f>ROW()-5</f>
        <v/>
      </c>
      <c r="B347" s="66">
        <f>IFERROR(INDEX(tbl_Finance[Date],$A347),"")</f>
        <v/>
      </c>
      <c r="C347" s="67">
        <f>IFERROR(INDEX(tbl_Finance[Xero Invoice No],$A347),"")</f>
        <v/>
      </c>
      <c r="D347" s="67">
        <f>IFERROR(INDEX(tbl_Finance[Client],$A347),"")</f>
        <v/>
      </c>
      <c r="E347" s="67">
        <f>IFERROR(INDEX(tbl_Finance[Job Number],$A347),"")</f>
        <v/>
      </c>
      <c r="F347" s="67">
        <f>IFERROR(INDEX(tbl_Finance[Cost Centre],$A347),"")</f>
        <v/>
      </c>
      <c r="G347" s="68">
        <f>IFERROR(INDEX(tbl_Finance[Ex GST],$A347),"")</f>
        <v/>
      </c>
      <c r="H347" s="66">
        <f>IFERROR(INDEX(tbl_Finance[Defer Start],$A347),"")</f>
        <v/>
      </c>
      <c r="I347" s="66">
        <f>IFERROR(INDEX(tbl_Finance[Defer End],$A347),"")</f>
        <v/>
      </c>
      <c r="J347" s="65">
        <f>IF(OR($H347="",$I347="",$G347=""),"",MAX(1,(YEAR($I347)-YEAR($H347))*12+MONTH($I347)-MONTH($H347)+1))</f>
        <v/>
      </c>
      <c r="K347" s="68">
        <f>IF($J347="","",$G347/$J347)</f>
        <v/>
      </c>
      <c r="L347" s="68">
        <f>IF($J347="",0,$K347*MAX(0,MIN(YEAR($C$3)*12+MONTH($C$3),YEAR($I347)*12+MONTH($I347))-(YEAR($H347)*12+MONTH($H347))+1))</f>
        <v/>
      </c>
      <c r="M347" s="68">
        <f>IF($J347="",0,$K347*MAX(0,MIN(YEAR($C$3)*12+MONTH($C$3)-1,YEAR($I347)*12+MONTH($I347))-(YEAR($H347)*12+MONTH($H347))+1))</f>
        <v/>
      </c>
      <c r="N347" s="68">
        <f>IF(OR($J347="",$B347=""),0,IF(YEAR($B347)*12+MONTH($B347)&lt;=YEAR($C$3)*12+MONTH($C$3),$G347,0))</f>
        <v/>
      </c>
      <c r="O347" s="68">
        <f>IF(OR($J347="",$B347=""),0,IF(YEAR($B347)*12+MONTH($B347)&lt;=YEAR($C$3)*12+MONTH($C$3)-1,$G347,0))</f>
        <v/>
      </c>
      <c r="P347" s="68">
        <f>$M347-$O347</f>
        <v/>
      </c>
      <c r="Q347" s="68">
        <f>($L347-$M347)-($N347-$O347)</f>
        <v/>
      </c>
      <c r="R347" s="68">
        <f>$L347-$N347</f>
        <v/>
      </c>
      <c r="S347" s="67">
        <f>"Finance invoice"</f>
        <v/>
      </c>
      <c r="T347" s="67">
        <f>"Revenue"</f>
        <v/>
      </c>
    </row>
    <row r="348">
      <c r="A348" s="65">
        <f>ROW()-5</f>
        <v/>
      </c>
      <c r="B348" s="66">
        <f>IFERROR(INDEX(tbl_Finance[Date],$A348),"")</f>
        <v/>
      </c>
      <c r="C348" s="67">
        <f>IFERROR(INDEX(tbl_Finance[Xero Invoice No],$A348),"")</f>
        <v/>
      </c>
      <c r="D348" s="67">
        <f>IFERROR(INDEX(tbl_Finance[Client],$A348),"")</f>
        <v/>
      </c>
      <c r="E348" s="67">
        <f>IFERROR(INDEX(tbl_Finance[Job Number],$A348),"")</f>
        <v/>
      </c>
      <c r="F348" s="67">
        <f>IFERROR(INDEX(tbl_Finance[Cost Centre],$A348),"")</f>
        <v/>
      </c>
      <c r="G348" s="68">
        <f>IFERROR(INDEX(tbl_Finance[Ex GST],$A348),"")</f>
        <v/>
      </c>
      <c r="H348" s="66">
        <f>IFERROR(INDEX(tbl_Finance[Defer Start],$A348),"")</f>
        <v/>
      </c>
      <c r="I348" s="66">
        <f>IFERROR(INDEX(tbl_Finance[Defer End],$A348),"")</f>
        <v/>
      </c>
      <c r="J348" s="65">
        <f>IF(OR($H348="",$I348="",$G348=""),"",MAX(1,(YEAR($I348)-YEAR($H348))*12+MONTH($I348)-MONTH($H348)+1))</f>
        <v/>
      </c>
      <c r="K348" s="68">
        <f>IF($J348="","",$G348/$J348)</f>
        <v/>
      </c>
      <c r="L348" s="68">
        <f>IF($J348="",0,$K348*MAX(0,MIN(YEAR($C$3)*12+MONTH($C$3),YEAR($I348)*12+MONTH($I348))-(YEAR($H348)*12+MONTH($H348))+1))</f>
        <v/>
      </c>
      <c r="M348" s="68">
        <f>IF($J348="",0,$K348*MAX(0,MIN(YEAR($C$3)*12+MONTH($C$3)-1,YEAR($I348)*12+MONTH($I348))-(YEAR($H348)*12+MONTH($H348))+1))</f>
        <v/>
      </c>
      <c r="N348" s="68">
        <f>IF(OR($J348="",$B348=""),0,IF(YEAR($B348)*12+MONTH($B348)&lt;=YEAR($C$3)*12+MONTH($C$3),$G348,0))</f>
        <v/>
      </c>
      <c r="O348" s="68">
        <f>IF(OR($J348="",$B348=""),0,IF(YEAR($B348)*12+MONTH($B348)&lt;=YEAR($C$3)*12+MONTH($C$3)-1,$G348,0))</f>
        <v/>
      </c>
      <c r="P348" s="68">
        <f>$M348-$O348</f>
        <v/>
      </c>
      <c r="Q348" s="68">
        <f>($L348-$M348)-($N348-$O348)</f>
        <v/>
      </c>
      <c r="R348" s="68">
        <f>$L348-$N348</f>
        <v/>
      </c>
      <c r="S348" s="67">
        <f>"Finance invoice"</f>
        <v/>
      </c>
      <c r="T348" s="67">
        <f>"Revenue"</f>
        <v/>
      </c>
    </row>
    <row r="349">
      <c r="A349" s="65">
        <f>ROW()-5</f>
        <v/>
      </c>
      <c r="B349" s="66">
        <f>IFERROR(INDEX(tbl_Finance[Date],$A349),"")</f>
        <v/>
      </c>
      <c r="C349" s="67">
        <f>IFERROR(INDEX(tbl_Finance[Xero Invoice No],$A349),"")</f>
        <v/>
      </c>
      <c r="D349" s="67">
        <f>IFERROR(INDEX(tbl_Finance[Client],$A349),"")</f>
        <v/>
      </c>
      <c r="E349" s="67">
        <f>IFERROR(INDEX(tbl_Finance[Job Number],$A349),"")</f>
        <v/>
      </c>
      <c r="F349" s="67">
        <f>IFERROR(INDEX(tbl_Finance[Cost Centre],$A349),"")</f>
        <v/>
      </c>
      <c r="G349" s="68">
        <f>IFERROR(INDEX(tbl_Finance[Ex GST],$A349),"")</f>
        <v/>
      </c>
      <c r="H349" s="66">
        <f>IFERROR(INDEX(tbl_Finance[Defer Start],$A349),"")</f>
        <v/>
      </c>
      <c r="I349" s="66">
        <f>IFERROR(INDEX(tbl_Finance[Defer End],$A349),"")</f>
        <v/>
      </c>
      <c r="J349" s="65">
        <f>IF(OR($H349="",$I349="",$G349=""),"",MAX(1,(YEAR($I349)-YEAR($H349))*12+MONTH($I349)-MONTH($H349)+1))</f>
        <v/>
      </c>
      <c r="K349" s="68">
        <f>IF($J349="","",$G349/$J349)</f>
        <v/>
      </c>
      <c r="L349" s="68">
        <f>IF($J349="",0,$K349*MAX(0,MIN(YEAR($C$3)*12+MONTH($C$3),YEAR($I349)*12+MONTH($I349))-(YEAR($H349)*12+MONTH($H349))+1))</f>
        <v/>
      </c>
      <c r="M349" s="68">
        <f>IF($J349="",0,$K349*MAX(0,MIN(YEAR($C$3)*12+MONTH($C$3)-1,YEAR($I349)*12+MONTH($I349))-(YEAR($H349)*12+MONTH($H349))+1))</f>
        <v/>
      </c>
      <c r="N349" s="68">
        <f>IF(OR($J349="",$B349=""),0,IF(YEAR($B349)*12+MONTH($B349)&lt;=YEAR($C$3)*12+MONTH($C$3),$G349,0))</f>
        <v/>
      </c>
      <c r="O349" s="68">
        <f>IF(OR($J349="",$B349=""),0,IF(YEAR($B349)*12+MONTH($B349)&lt;=YEAR($C$3)*12+MONTH($C$3)-1,$G349,0))</f>
        <v/>
      </c>
      <c r="P349" s="68">
        <f>$M349-$O349</f>
        <v/>
      </c>
      <c r="Q349" s="68">
        <f>($L349-$M349)-($N349-$O349)</f>
        <v/>
      </c>
      <c r="R349" s="68">
        <f>$L349-$N349</f>
        <v/>
      </c>
      <c r="S349" s="67">
        <f>"Finance invoice"</f>
        <v/>
      </c>
      <c r="T349" s="67">
        <f>"Revenue"</f>
        <v/>
      </c>
    </row>
    <row r="350">
      <c r="A350" s="65">
        <f>ROW()-5</f>
        <v/>
      </c>
      <c r="B350" s="66">
        <f>IFERROR(INDEX(tbl_Finance[Date],$A350),"")</f>
        <v/>
      </c>
      <c r="C350" s="67">
        <f>IFERROR(INDEX(tbl_Finance[Xero Invoice No],$A350),"")</f>
        <v/>
      </c>
      <c r="D350" s="67">
        <f>IFERROR(INDEX(tbl_Finance[Client],$A350),"")</f>
        <v/>
      </c>
      <c r="E350" s="67">
        <f>IFERROR(INDEX(tbl_Finance[Job Number],$A350),"")</f>
        <v/>
      </c>
      <c r="F350" s="67">
        <f>IFERROR(INDEX(tbl_Finance[Cost Centre],$A350),"")</f>
        <v/>
      </c>
      <c r="G350" s="68">
        <f>IFERROR(INDEX(tbl_Finance[Ex GST],$A350),"")</f>
        <v/>
      </c>
      <c r="H350" s="66">
        <f>IFERROR(INDEX(tbl_Finance[Defer Start],$A350),"")</f>
        <v/>
      </c>
      <c r="I350" s="66">
        <f>IFERROR(INDEX(tbl_Finance[Defer End],$A350),"")</f>
        <v/>
      </c>
      <c r="J350" s="65">
        <f>IF(OR($H350="",$I350="",$G350=""),"",MAX(1,(YEAR($I350)-YEAR($H350))*12+MONTH($I350)-MONTH($H350)+1))</f>
        <v/>
      </c>
      <c r="K350" s="68">
        <f>IF($J350="","",$G350/$J350)</f>
        <v/>
      </c>
      <c r="L350" s="68">
        <f>IF($J350="",0,$K350*MAX(0,MIN(YEAR($C$3)*12+MONTH($C$3),YEAR($I350)*12+MONTH($I350))-(YEAR($H350)*12+MONTH($H350))+1))</f>
        <v/>
      </c>
      <c r="M350" s="68">
        <f>IF($J350="",0,$K350*MAX(0,MIN(YEAR($C$3)*12+MONTH($C$3)-1,YEAR($I350)*12+MONTH($I350))-(YEAR($H350)*12+MONTH($H350))+1))</f>
        <v/>
      </c>
      <c r="N350" s="68">
        <f>IF(OR($J350="",$B350=""),0,IF(YEAR($B350)*12+MONTH($B350)&lt;=YEAR($C$3)*12+MONTH($C$3),$G350,0))</f>
        <v/>
      </c>
      <c r="O350" s="68">
        <f>IF(OR($J350="",$B350=""),0,IF(YEAR($B350)*12+MONTH($B350)&lt;=YEAR($C$3)*12+MONTH($C$3)-1,$G350,0))</f>
        <v/>
      </c>
      <c r="P350" s="68">
        <f>$M350-$O350</f>
        <v/>
      </c>
      <c r="Q350" s="68">
        <f>($L350-$M350)-($N350-$O350)</f>
        <v/>
      </c>
      <c r="R350" s="68">
        <f>$L350-$N350</f>
        <v/>
      </c>
      <c r="S350" s="67">
        <f>"Finance invoice"</f>
        <v/>
      </c>
      <c r="T350" s="67">
        <f>"Revenue"</f>
        <v/>
      </c>
    </row>
    <row r="351">
      <c r="A351" s="65">
        <f>ROW()-5</f>
        <v/>
      </c>
      <c r="B351" s="66">
        <f>IFERROR(INDEX(tbl_Finance[Date],$A351),"")</f>
        <v/>
      </c>
      <c r="C351" s="67">
        <f>IFERROR(INDEX(tbl_Finance[Xero Invoice No],$A351),"")</f>
        <v/>
      </c>
      <c r="D351" s="67">
        <f>IFERROR(INDEX(tbl_Finance[Client],$A351),"")</f>
        <v/>
      </c>
      <c r="E351" s="67">
        <f>IFERROR(INDEX(tbl_Finance[Job Number],$A351),"")</f>
        <v/>
      </c>
      <c r="F351" s="67">
        <f>IFERROR(INDEX(tbl_Finance[Cost Centre],$A351),"")</f>
        <v/>
      </c>
      <c r="G351" s="68">
        <f>IFERROR(INDEX(tbl_Finance[Ex GST],$A351),"")</f>
        <v/>
      </c>
      <c r="H351" s="66">
        <f>IFERROR(INDEX(tbl_Finance[Defer Start],$A351),"")</f>
        <v/>
      </c>
      <c r="I351" s="66">
        <f>IFERROR(INDEX(tbl_Finance[Defer End],$A351),"")</f>
        <v/>
      </c>
      <c r="J351" s="65">
        <f>IF(OR($H351="",$I351="",$G351=""),"",MAX(1,(YEAR($I351)-YEAR($H351))*12+MONTH($I351)-MONTH($H351)+1))</f>
        <v/>
      </c>
      <c r="K351" s="68">
        <f>IF($J351="","",$G351/$J351)</f>
        <v/>
      </c>
      <c r="L351" s="68">
        <f>IF($J351="",0,$K351*MAX(0,MIN(YEAR($C$3)*12+MONTH($C$3),YEAR($I351)*12+MONTH($I351))-(YEAR($H351)*12+MONTH($H351))+1))</f>
        <v/>
      </c>
      <c r="M351" s="68">
        <f>IF($J351="",0,$K351*MAX(0,MIN(YEAR($C$3)*12+MONTH($C$3)-1,YEAR($I351)*12+MONTH($I351))-(YEAR($H351)*12+MONTH($H351))+1))</f>
        <v/>
      </c>
      <c r="N351" s="68">
        <f>IF(OR($J351="",$B351=""),0,IF(YEAR($B351)*12+MONTH($B351)&lt;=YEAR($C$3)*12+MONTH($C$3),$G351,0))</f>
        <v/>
      </c>
      <c r="O351" s="68">
        <f>IF(OR($J351="",$B351=""),0,IF(YEAR($B351)*12+MONTH($B351)&lt;=YEAR($C$3)*12+MONTH($C$3)-1,$G351,0))</f>
        <v/>
      </c>
      <c r="P351" s="68">
        <f>$M351-$O351</f>
        <v/>
      </c>
      <c r="Q351" s="68">
        <f>($L351-$M351)-($N351-$O351)</f>
        <v/>
      </c>
      <c r="R351" s="68">
        <f>$L351-$N351</f>
        <v/>
      </c>
      <c r="S351" s="67">
        <f>"Finance invoice"</f>
        <v/>
      </c>
      <c r="T351" s="67">
        <f>"Revenue"</f>
        <v/>
      </c>
    </row>
    <row r="352">
      <c r="A352" s="65">
        <f>ROW()-5</f>
        <v/>
      </c>
      <c r="B352" s="66">
        <f>IFERROR(INDEX(tbl_Finance[Date],$A352),"")</f>
        <v/>
      </c>
      <c r="C352" s="67">
        <f>IFERROR(INDEX(tbl_Finance[Xero Invoice No],$A352),"")</f>
        <v/>
      </c>
      <c r="D352" s="67">
        <f>IFERROR(INDEX(tbl_Finance[Client],$A352),"")</f>
        <v/>
      </c>
      <c r="E352" s="67">
        <f>IFERROR(INDEX(tbl_Finance[Job Number],$A352),"")</f>
        <v/>
      </c>
      <c r="F352" s="67">
        <f>IFERROR(INDEX(tbl_Finance[Cost Centre],$A352),"")</f>
        <v/>
      </c>
      <c r="G352" s="68">
        <f>IFERROR(INDEX(tbl_Finance[Ex GST],$A352),"")</f>
        <v/>
      </c>
      <c r="H352" s="66">
        <f>IFERROR(INDEX(tbl_Finance[Defer Start],$A352),"")</f>
        <v/>
      </c>
      <c r="I352" s="66">
        <f>IFERROR(INDEX(tbl_Finance[Defer End],$A352),"")</f>
        <v/>
      </c>
      <c r="J352" s="65">
        <f>IF(OR($H352="",$I352="",$G352=""),"",MAX(1,(YEAR($I352)-YEAR($H352))*12+MONTH($I352)-MONTH($H352)+1))</f>
        <v/>
      </c>
      <c r="K352" s="68">
        <f>IF($J352="","",$G352/$J352)</f>
        <v/>
      </c>
      <c r="L352" s="68">
        <f>IF($J352="",0,$K352*MAX(0,MIN(YEAR($C$3)*12+MONTH($C$3),YEAR($I352)*12+MONTH($I352))-(YEAR($H352)*12+MONTH($H352))+1))</f>
        <v/>
      </c>
      <c r="M352" s="68">
        <f>IF($J352="",0,$K352*MAX(0,MIN(YEAR($C$3)*12+MONTH($C$3)-1,YEAR($I352)*12+MONTH($I352))-(YEAR($H352)*12+MONTH($H352))+1))</f>
        <v/>
      </c>
      <c r="N352" s="68">
        <f>IF(OR($J352="",$B352=""),0,IF(YEAR($B352)*12+MONTH($B352)&lt;=YEAR($C$3)*12+MONTH($C$3),$G352,0))</f>
        <v/>
      </c>
      <c r="O352" s="68">
        <f>IF(OR($J352="",$B352=""),0,IF(YEAR($B352)*12+MONTH($B352)&lt;=YEAR($C$3)*12+MONTH($C$3)-1,$G352,0))</f>
        <v/>
      </c>
      <c r="P352" s="68">
        <f>$M352-$O352</f>
        <v/>
      </c>
      <c r="Q352" s="68">
        <f>($L352-$M352)-($N352-$O352)</f>
        <v/>
      </c>
      <c r="R352" s="68">
        <f>$L352-$N352</f>
        <v/>
      </c>
      <c r="S352" s="67">
        <f>"Finance invoice"</f>
        <v/>
      </c>
      <c r="T352" s="67">
        <f>"Revenue"</f>
        <v/>
      </c>
    </row>
    <row r="353">
      <c r="A353" s="65">
        <f>ROW()-5</f>
        <v/>
      </c>
      <c r="B353" s="66">
        <f>IFERROR(INDEX(tbl_Finance[Date],$A353),"")</f>
        <v/>
      </c>
      <c r="C353" s="67">
        <f>IFERROR(INDEX(tbl_Finance[Xero Invoice No],$A353),"")</f>
        <v/>
      </c>
      <c r="D353" s="67">
        <f>IFERROR(INDEX(tbl_Finance[Client],$A353),"")</f>
        <v/>
      </c>
      <c r="E353" s="67">
        <f>IFERROR(INDEX(tbl_Finance[Job Number],$A353),"")</f>
        <v/>
      </c>
      <c r="F353" s="67">
        <f>IFERROR(INDEX(tbl_Finance[Cost Centre],$A353),"")</f>
        <v/>
      </c>
      <c r="G353" s="68">
        <f>IFERROR(INDEX(tbl_Finance[Ex GST],$A353),"")</f>
        <v/>
      </c>
      <c r="H353" s="66">
        <f>IFERROR(INDEX(tbl_Finance[Defer Start],$A353),"")</f>
        <v/>
      </c>
      <c r="I353" s="66">
        <f>IFERROR(INDEX(tbl_Finance[Defer End],$A353),"")</f>
        <v/>
      </c>
      <c r="J353" s="65">
        <f>IF(OR($H353="",$I353="",$G353=""),"",MAX(1,(YEAR($I353)-YEAR($H353))*12+MONTH($I353)-MONTH($H353)+1))</f>
        <v/>
      </c>
      <c r="K353" s="68">
        <f>IF($J353="","",$G353/$J353)</f>
        <v/>
      </c>
      <c r="L353" s="68">
        <f>IF($J353="",0,$K353*MAX(0,MIN(YEAR($C$3)*12+MONTH($C$3),YEAR($I353)*12+MONTH($I353))-(YEAR($H353)*12+MONTH($H353))+1))</f>
        <v/>
      </c>
      <c r="M353" s="68">
        <f>IF($J353="",0,$K353*MAX(0,MIN(YEAR($C$3)*12+MONTH($C$3)-1,YEAR($I353)*12+MONTH($I353))-(YEAR($H353)*12+MONTH($H353))+1))</f>
        <v/>
      </c>
      <c r="N353" s="68">
        <f>IF(OR($J353="",$B353=""),0,IF(YEAR($B353)*12+MONTH($B353)&lt;=YEAR($C$3)*12+MONTH($C$3),$G353,0))</f>
        <v/>
      </c>
      <c r="O353" s="68">
        <f>IF(OR($J353="",$B353=""),0,IF(YEAR($B353)*12+MONTH($B353)&lt;=YEAR($C$3)*12+MONTH($C$3)-1,$G353,0))</f>
        <v/>
      </c>
      <c r="P353" s="68">
        <f>$M353-$O353</f>
        <v/>
      </c>
      <c r="Q353" s="68">
        <f>($L353-$M353)-($N353-$O353)</f>
        <v/>
      </c>
      <c r="R353" s="68">
        <f>$L353-$N353</f>
        <v/>
      </c>
      <c r="S353" s="67">
        <f>"Finance invoice"</f>
        <v/>
      </c>
      <c r="T353" s="67">
        <f>"Revenue"</f>
        <v/>
      </c>
    </row>
    <row r="354">
      <c r="A354" s="65">
        <f>ROW()-5</f>
        <v/>
      </c>
      <c r="B354" s="66">
        <f>IFERROR(INDEX(tbl_Finance[Date],$A354),"")</f>
        <v/>
      </c>
      <c r="C354" s="67">
        <f>IFERROR(INDEX(tbl_Finance[Xero Invoice No],$A354),"")</f>
        <v/>
      </c>
      <c r="D354" s="67">
        <f>IFERROR(INDEX(tbl_Finance[Client],$A354),"")</f>
        <v/>
      </c>
      <c r="E354" s="67">
        <f>IFERROR(INDEX(tbl_Finance[Job Number],$A354),"")</f>
        <v/>
      </c>
      <c r="F354" s="67">
        <f>IFERROR(INDEX(tbl_Finance[Cost Centre],$A354),"")</f>
        <v/>
      </c>
      <c r="G354" s="68">
        <f>IFERROR(INDEX(tbl_Finance[Ex GST],$A354),"")</f>
        <v/>
      </c>
      <c r="H354" s="66">
        <f>IFERROR(INDEX(tbl_Finance[Defer Start],$A354),"")</f>
        <v/>
      </c>
      <c r="I354" s="66">
        <f>IFERROR(INDEX(tbl_Finance[Defer End],$A354),"")</f>
        <v/>
      </c>
      <c r="J354" s="65">
        <f>IF(OR($H354="",$I354="",$G354=""),"",MAX(1,(YEAR($I354)-YEAR($H354))*12+MONTH($I354)-MONTH($H354)+1))</f>
        <v/>
      </c>
      <c r="K354" s="68">
        <f>IF($J354="","",$G354/$J354)</f>
        <v/>
      </c>
      <c r="L354" s="68">
        <f>IF($J354="",0,$K354*MAX(0,MIN(YEAR($C$3)*12+MONTH($C$3),YEAR($I354)*12+MONTH($I354))-(YEAR($H354)*12+MONTH($H354))+1))</f>
        <v/>
      </c>
      <c r="M354" s="68">
        <f>IF($J354="",0,$K354*MAX(0,MIN(YEAR($C$3)*12+MONTH($C$3)-1,YEAR($I354)*12+MONTH($I354))-(YEAR($H354)*12+MONTH($H354))+1))</f>
        <v/>
      </c>
      <c r="N354" s="68">
        <f>IF(OR($J354="",$B354=""),0,IF(YEAR($B354)*12+MONTH($B354)&lt;=YEAR($C$3)*12+MONTH($C$3),$G354,0))</f>
        <v/>
      </c>
      <c r="O354" s="68">
        <f>IF(OR($J354="",$B354=""),0,IF(YEAR($B354)*12+MONTH($B354)&lt;=YEAR($C$3)*12+MONTH($C$3)-1,$G354,0))</f>
        <v/>
      </c>
      <c r="P354" s="68">
        <f>$M354-$O354</f>
        <v/>
      </c>
      <c r="Q354" s="68">
        <f>($L354-$M354)-($N354-$O354)</f>
        <v/>
      </c>
      <c r="R354" s="68">
        <f>$L354-$N354</f>
        <v/>
      </c>
      <c r="S354" s="67">
        <f>"Finance invoice"</f>
        <v/>
      </c>
      <c r="T354" s="67">
        <f>"Revenue"</f>
        <v/>
      </c>
    </row>
    <row r="355">
      <c r="A355" s="65">
        <f>ROW()-5</f>
        <v/>
      </c>
      <c r="B355" s="66">
        <f>IFERROR(INDEX(tbl_Finance[Date],$A355),"")</f>
        <v/>
      </c>
      <c r="C355" s="67">
        <f>IFERROR(INDEX(tbl_Finance[Xero Invoice No],$A355),"")</f>
        <v/>
      </c>
      <c r="D355" s="67">
        <f>IFERROR(INDEX(tbl_Finance[Client],$A355),"")</f>
        <v/>
      </c>
      <c r="E355" s="67">
        <f>IFERROR(INDEX(tbl_Finance[Job Number],$A355),"")</f>
        <v/>
      </c>
      <c r="F355" s="67">
        <f>IFERROR(INDEX(tbl_Finance[Cost Centre],$A355),"")</f>
        <v/>
      </c>
      <c r="G355" s="68">
        <f>IFERROR(INDEX(tbl_Finance[Ex GST],$A355),"")</f>
        <v/>
      </c>
      <c r="H355" s="66">
        <f>IFERROR(INDEX(tbl_Finance[Defer Start],$A355),"")</f>
        <v/>
      </c>
      <c r="I355" s="66">
        <f>IFERROR(INDEX(tbl_Finance[Defer End],$A355),"")</f>
        <v/>
      </c>
      <c r="J355" s="65">
        <f>IF(OR($H355="",$I355="",$G355=""),"",MAX(1,(YEAR($I355)-YEAR($H355))*12+MONTH($I355)-MONTH($H355)+1))</f>
        <v/>
      </c>
      <c r="K355" s="68">
        <f>IF($J355="","",$G355/$J355)</f>
        <v/>
      </c>
      <c r="L355" s="68">
        <f>IF($J355="",0,$K355*MAX(0,MIN(YEAR($C$3)*12+MONTH($C$3),YEAR($I355)*12+MONTH($I355))-(YEAR($H355)*12+MONTH($H355))+1))</f>
        <v/>
      </c>
      <c r="M355" s="68">
        <f>IF($J355="",0,$K355*MAX(0,MIN(YEAR($C$3)*12+MONTH($C$3)-1,YEAR($I355)*12+MONTH($I355))-(YEAR($H355)*12+MONTH($H355))+1))</f>
        <v/>
      </c>
      <c r="N355" s="68">
        <f>IF(OR($J355="",$B355=""),0,IF(YEAR($B355)*12+MONTH($B355)&lt;=YEAR($C$3)*12+MONTH($C$3),$G355,0))</f>
        <v/>
      </c>
      <c r="O355" s="68">
        <f>IF(OR($J355="",$B355=""),0,IF(YEAR($B355)*12+MONTH($B355)&lt;=YEAR($C$3)*12+MONTH($C$3)-1,$G355,0))</f>
        <v/>
      </c>
      <c r="P355" s="68">
        <f>$M355-$O355</f>
        <v/>
      </c>
      <c r="Q355" s="68">
        <f>($L355-$M355)-($N355-$O355)</f>
        <v/>
      </c>
      <c r="R355" s="68">
        <f>$L355-$N355</f>
        <v/>
      </c>
      <c r="S355" s="67">
        <f>"Finance invoice"</f>
        <v/>
      </c>
      <c r="T355" s="67">
        <f>"Revenue"</f>
        <v/>
      </c>
    </row>
    <row r="356">
      <c r="A356" s="65">
        <f>ROW()-5</f>
        <v/>
      </c>
      <c r="B356" s="66">
        <f>IFERROR(INDEX(tbl_Finance[Date],$A356),"")</f>
        <v/>
      </c>
      <c r="C356" s="67">
        <f>IFERROR(INDEX(tbl_Finance[Xero Invoice No],$A356),"")</f>
        <v/>
      </c>
      <c r="D356" s="67">
        <f>IFERROR(INDEX(tbl_Finance[Client],$A356),"")</f>
        <v/>
      </c>
      <c r="E356" s="67">
        <f>IFERROR(INDEX(tbl_Finance[Job Number],$A356),"")</f>
        <v/>
      </c>
      <c r="F356" s="67">
        <f>IFERROR(INDEX(tbl_Finance[Cost Centre],$A356),"")</f>
        <v/>
      </c>
      <c r="G356" s="68">
        <f>IFERROR(INDEX(tbl_Finance[Ex GST],$A356),"")</f>
        <v/>
      </c>
      <c r="H356" s="66">
        <f>IFERROR(INDEX(tbl_Finance[Defer Start],$A356),"")</f>
        <v/>
      </c>
      <c r="I356" s="66">
        <f>IFERROR(INDEX(tbl_Finance[Defer End],$A356),"")</f>
        <v/>
      </c>
      <c r="J356" s="65">
        <f>IF(OR($H356="",$I356="",$G356=""),"",MAX(1,(YEAR($I356)-YEAR($H356))*12+MONTH($I356)-MONTH($H356)+1))</f>
        <v/>
      </c>
      <c r="K356" s="68">
        <f>IF($J356="","",$G356/$J356)</f>
        <v/>
      </c>
      <c r="L356" s="68">
        <f>IF($J356="",0,$K356*MAX(0,MIN(YEAR($C$3)*12+MONTH($C$3),YEAR($I356)*12+MONTH($I356))-(YEAR($H356)*12+MONTH($H356))+1))</f>
        <v/>
      </c>
      <c r="M356" s="68">
        <f>IF($J356="",0,$K356*MAX(0,MIN(YEAR($C$3)*12+MONTH($C$3)-1,YEAR($I356)*12+MONTH($I356))-(YEAR($H356)*12+MONTH($H356))+1))</f>
        <v/>
      </c>
      <c r="N356" s="68">
        <f>IF(OR($J356="",$B356=""),0,IF(YEAR($B356)*12+MONTH($B356)&lt;=YEAR($C$3)*12+MONTH($C$3),$G356,0))</f>
        <v/>
      </c>
      <c r="O356" s="68">
        <f>IF(OR($J356="",$B356=""),0,IF(YEAR($B356)*12+MONTH($B356)&lt;=YEAR($C$3)*12+MONTH($C$3)-1,$G356,0))</f>
        <v/>
      </c>
      <c r="P356" s="68">
        <f>$M356-$O356</f>
        <v/>
      </c>
      <c r="Q356" s="68">
        <f>($L356-$M356)-($N356-$O356)</f>
        <v/>
      </c>
      <c r="R356" s="68">
        <f>$L356-$N356</f>
        <v/>
      </c>
      <c r="S356" s="67">
        <f>"Finance invoice"</f>
        <v/>
      </c>
      <c r="T356" s="67">
        <f>"Revenue"</f>
        <v/>
      </c>
    </row>
    <row r="357">
      <c r="A357" s="65">
        <f>ROW()-5</f>
        <v/>
      </c>
      <c r="B357" s="66">
        <f>IFERROR(INDEX(tbl_Finance[Date],$A357),"")</f>
        <v/>
      </c>
      <c r="C357" s="67">
        <f>IFERROR(INDEX(tbl_Finance[Xero Invoice No],$A357),"")</f>
        <v/>
      </c>
      <c r="D357" s="67">
        <f>IFERROR(INDEX(tbl_Finance[Client],$A357),"")</f>
        <v/>
      </c>
      <c r="E357" s="67">
        <f>IFERROR(INDEX(tbl_Finance[Job Number],$A357),"")</f>
        <v/>
      </c>
      <c r="F357" s="67">
        <f>IFERROR(INDEX(tbl_Finance[Cost Centre],$A357),"")</f>
        <v/>
      </c>
      <c r="G357" s="68">
        <f>IFERROR(INDEX(tbl_Finance[Ex GST],$A357),"")</f>
        <v/>
      </c>
      <c r="H357" s="66">
        <f>IFERROR(INDEX(tbl_Finance[Defer Start],$A357),"")</f>
        <v/>
      </c>
      <c r="I357" s="66">
        <f>IFERROR(INDEX(tbl_Finance[Defer End],$A357),"")</f>
        <v/>
      </c>
      <c r="J357" s="65">
        <f>IF(OR($H357="",$I357="",$G357=""),"",MAX(1,(YEAR($I357)-YEAR($H357))*12+MONTH($I357)-MONTH($H357)+1))</f>
        <v/>
      </c>
      <c r="K357" s="68">
        <f>IF($J357="","",$G357/$J357)</f>
        <v/>
      </c>
      <c r="L357" s="68">
        <f>IF($J357="",0,$K357*MAX(0,MIN(YEAR($C$3)*12+MONTH($C$3),YEAR($I357)*12+MONTH($I357))-(YEAR($H357)*12+MONTH($H357))+1))</f>
        <v/>
      </c>
      <c r="M357" s="68">
        <f>IF($J357="",0,$K357*MAX(0,MIN(YEAR($C$3)*12+MONTH($C$3)-1,YEAR($I357)*12+MONTH($I357))-(YEAR($H357)*12+MONTH($H357))+1))</f>
        <v/>
      </c>
      <c r="N357" s="68">
        <f>IF(OR($J357="",$B357=""),0,IF(YEAR($B357)*12+MONTH($B357)&lt;=YEAR($C$3)*12+MONTH($C$3),$G357,0))</f>
        <v/>
      </c>
      <c r="O357" s="68">
        <f>IF(OR($J357="",$B357=""),0,IF(YEAR($B357)*12+MONTH($B357)&lt;=YEAR($C$3)*12+MONTH($C$3)-1,$G357,0))</f>
        <v/>
      </c>
      <c r="P357" s="68">
        <f>$M357-$O357</f>
        <v/>
      </c>
      <c r="Q357" s="68">
        <f>($L357-$M357)-($N357-$O357)</f>
        <v/>
      </c>
      <c r="R357" s="68">
        <f>$L357-$N357</f>
        <v/>
      </c>
      <c r="S357" s="67">
        <f>"Finance invoice"</f>
        <v/>
      </c>
      <c r="T357" s="67">
        <f>"Revenue"</f>
        <v/>
      </c>
    </row>
    <row r="358">
      <c r="A358" s="65">
        <f>ROW()-5</f>
        <v/>
      </c>
      <c r="B358" s="66">
        <f>IFERROR(INDEX(tbl_Finance[Date],$A358),"")</f>
        <v/>
      </c>
      <c r="C358" s="67">
        <f>IFERROR(INDEX(tbl_Finance[Xero Invoice No],$A358),"")</f>
        <v/>
      </c>
      <c r="D358" s="67">
        <f>IFERROR(INDEX(tbl_Finance[Client],$A358),"")</f>
        <v/>
      </c>
      <c r="E358" s="67">
        <f>IFERROR(INDEX(tbl_Finance[Job Number],$A358),"")</f>
        <v/>
      </c>
      <c r="F358" s="67">
        <f>IFERROR(INDEX(tbl_Finance[Cost Centre],$A358),"")</f>
        <v/>
      </c>
      <c r="G358" s="68">
        <f>IFERROR(INDEX(tbl_Finance[Ex GST],$A358),"")</f>
        <v/>
      </c>
      <c r="H358" s="66">
        <f>IFERROR(INDEX(tbl_Finance[Defer Start],$A358),"")</f>
        <v/>
      </c>
      <c r="I358" s="66">
        <f>IFERROR(INDEX(tbl_Finance[Defer End],$A358),"")</f>
        <v/>
      </c>
      <c r="J358" s="65">
        <f>IF(OR($H358="",$I358="",$G358=""),"",MAX(1,(YEAR($I358)-YEAR($H358))*12+MONTH($I358)-MONTH($H358)+1))</f>
        <v/>
      </c>
      <c r="K358" s="68">
        <f>IF($J358="","",$G358/$J358)</f>
        <v/>
      </c>
      <c r="L358" s="68">
        <f>IF($J358="",0,$K358*MAX(0,MIN(YEAR($C$3)*12+MONTH($C$3),YEAR($I358)*12+MONTH($I358))-(YEAR($H358)*12+MONTH($H358))+1))</f>
        <v/>
      </c>
      <c r="M358" s="68">
        <f>IF($J358="",0,$K358*MAX(0,MIN(YEAR($C$3)*12+MONTH($C$3)-1,YEAR($I358)*12+MONTH($I358))-(YEAR($H358)*12+MONTH($H358))+1))</f>
        <v/>
      </c>
      <c r="N358" s="68">
        <f>IF(OR($J358="",$B358=""),0,IF(YEAR($B358)*12+MONTH($B358)&lt;=YEAR($C$3)*12+MONTH($C$3),$G358,0))</f>
        <v/>
      </c>
      <c r="O358" s="68">
        <f>IF(OR($J358="",$B358=""),0,IF(YEAR($B358)*12+MONTH($B358)&lt;=YEAR($C$3)*12+MONTH($C$3)-1,$G358,0))</f>
        <v/>
      </c>
      <c r="P358" s="68">
        <f>$M358-$O358</f>
        <v/>
      </c>
      <c r="Q358" s="68">
        <f>($L358-$M358)-($N358-$O358)</f>
        <v/>
      </c>
      <c r="R358" s="68">
        <f>$L358-$N358</f>
        <v/>
      </c>
      <c r="S358" s="67">
        <f>"Finance invoice"</f>
        <v/>
      </c>
      <c r="T358" s="67">
        <f>"Revenue"</f>
        <v/>
      </c>
    </row>
    <row r="359">
      <c r="A359" s="65">
        <f>ROW()-5</f>
        <v/>
      </c>
      <c r="B359" s="66">
        <f>IFERROR(INDEX(tbl_Finance[Date],$A359),"")</f>
        <v/>
      </c>
      <c r="C359" s="67">
        <f>IFERROR(INDEX(tbl_Finance[Xero Invoice No],$A359),"")</f>
        <v/>
      </c>
      <c r="D359" s="67">
        <f>IFERROR(INDEX(tbl_Finance[Client],$A359),"")</f>
        <v/>
      </c>
      <c r="E359" s="67">
        <f>IFERROR(INDEX(tbl_Finance[Job Number],$A359),"")</f>
        <v/>
      </c>
      <c r="F359" s="67">
        <f>IFERROR(INDEX(tbl_Finance[Cost Centre],$A359),"")</f>
        <v/>
      </c>
      <c r="G359" s="68">
        <f>IFERROR(INDEX(tbl_Finance[Ex GST],$A359),"")</f>
        <v/>
      </c>
      <c r="H359" s="66">
        <f>IFERROR(INDEX(tbl_Finance[Defer Start],$A359),"")</f>
        <v/>
      </c>
      <c r="I359" s="66">
        <f>IFERROR(INDEX(tbl_Finance[Defer End],$A359),"")</f>
        <v/>
      </c>
      <c r="J359" s="65">
        <f>IF(OR($H359="",$I359="",$G359=""),"",MAX(1,(YEAR($I359)-YEAR($H359))*12+MONTH($I359)-MONTH($H359)+1))</f>
        <v/>
      </c>
      <c r="K359" s="68">
        <f>IF($J359="","",$G359/$J359)</f>
        <v/>
      </c>
      <c r="L359" s="68">
        <f>IF($J359="",0,$K359*MAX(0,MIN(YEAR($C$3)*12+MONTH($C$3),YEAR($I359)*12+MONTH($I359))-(YEAR($H359)*12+MONTH($H359))+1))</f>
        <v/>
      </c>
      <c r="M359" s="68">
        <f>IF($J359="",0,$K359*MAX(0,MIN(YEAR($C$3)*12+MONTH($C$3)-1,YEAR($I359)*12+MONTH($I359))-(YEAR($H359)*12+MONTH($H359))+1))</f>
        <v/>
      </c>
      <c r="N359" s="68">
        <f>IF(OR($J359="",$B359=""),0,IF(YEAR($B359)*12+MONTH($B359)&lt;=YEAR($C$3)*12+MONTH($C$3),$G359,0))</f>
        <v/>
      </c>
      <c r="O359" s="68">
        <f>IF(OR($J359="",$B359=""),0,IF(YEAR($B359)*12+MONTH($B359)&lt;=YEAR($C$3)*12+MONTH($C$3)-1,$G359,0))</f>
        <v/>
      </c>
      <c r="P359" s="68">
        <f>$M359-$O359</f>
        <v/>
      </c>
      <c r="Q359" s="68">
        <f>($L359-$M359)-($N359-$O359)</f>
        <v/>
      </c>
      <c r="R359" s="68">
        <f>$L359-$N359</f>
        <v/>
      </c>
      <c r="S359" s="67">
        <f>"Finance invoice"</f>
        <v/>
      </c>
      <c r="T359" s="67">
        <f>"Revenue"</f>
        <v/>
      </c>
    </row>
    <row r="360">
      <c r="A360" s="65">
        <f>ROW()-5</f>
        <v/>
      </c>
      <c r="B360" s="66">
        <f>IFERROR(INDEX(tbl_Finance[Date],$A360),"")</f>
        <v/>
      </c>
      <c r="C360" s="67">
        <f>IFERROR(INDEX(tbl_Finance[Xero Invoice No],$A360),"")</f>
        <v/>
      </c>
      <c r="D360" s="67">
        <f>IFERROR(INDEX(tbl_Finance[Client],$A360),"")</f>
        <v/>
      </c>
      <c r="E360" s="67">
        <f>IFERROR(INDEX(tbl_Finance[Job Number],$A360),"")</f>
        <v/>
      </c>
      <c r="F360" s="67">
        <f>IFERROR(INDEX(tbl_Finance[Cost Centre],$A360),"")</f>
        <v/>
      </c>
      <c r="G360" s="68">
        <f>IFERROR(INDEX(tbl_Finance[Ex GST],$A360),"")</f>
        <v/>
      </c>
      <c r="H360" s="66">
        <f>IFERROR(INDEX(tbl_Finance[Defer Start],$A360),"")</f>
        <v/>
      </c>
      <c r="I360" s="66">
        <f>IFERROR(INDEX(tbl_Finance[Defer End],$A360),"")</f>
        <v/>
      </c>
      <c r="J360" s="65">
        <f>IF(OR($H360="",$I360="",$G360=""),"",MAX(1,(YEAR($I360)-YEAR($H360))*12+MONTH($I360)-MONTH($H360)+1))</f>
        <v/>
      </c>
      <c r="K360" s="68">
        <f>IF($J360="","",$G360/$J360)</f>
        <v/>
      </c>
      <c r="L360" s="68">
        <f>IF($J360="",0,$K360*MAX(0,MIN(YEAR($C$3)*12+MONTH($C$3),YEAR($I360)*12+MONTH($I360))-(YEAR($H360)*12+MONTH($H360))+1))</f>
        <v/>
      </c>
      <c r="M360" s="68">
        <f>IF($J360="",0,$K360*MAX(0,MIN(YEAR($C$3)*12+MONTH($C$3)-1,YEAR($I360)*12+MONTH($I360))-(YEAR($H360)*12+MONTH($H360))+1))</f>
        <v/>
      </c>
      <c r="N360" s="68">
        <f>IF(OR($J360="",$B360=""),0,IF(YEAR($B360)*12+MONTH($B360)&lt;=YEAR($C$3)*12+MONTH($C$3),$G360,0))</f>
        <v/>
      </c>
      <c r="O360" s="68">
        <f>IF(OR($J360="",$B360=""),0,IF(YEAR($B360)*12+MONTH($B360)&lt;=YEAR($C$3)*12+MONTH($C$3)-1,$G360,0))</f>
        <v/>
      </c>
      <c r="P360" s="68">
        <f>$M360-$O360</f>
        <v/>
      </c>
      <c r="Q360" s="68">
        <f>($L360-$M360)-($N360-$O360)</f>
        <v/>
      </c>
      <c r="R360" s="68">
        <f>$L360-$N360</f>
        <v/>
      </c>
      <c r="S360" s="67">
        <f>"Finance invoice"</f>
        <v/>
      </c>
      <c r="T360" s="67">
        <f>"Revenue"</f>
        <v/>
      </c>
    </row>
    <row r="361">
      <c r="A361" s="65">
        <f>ROW()-5</f>
        <v/>
      </c>
      <c r="B361" s="66">
        <f>IFERROR(INDEX(tbl_Finance[Date],$A361),"")</f>
        <v/>
      </c>
      <c r="C361" s="67">
        <f>IFERROR(INDEX(tbl_Finance[Xero Invoice No],$A361),"")</f>
        <v/>
      </c>
      <c r="D361" s="67">
        <f>IFERROR(INDEX(tbl_Finance[Client],$A361),"")</f>
        <v/>
      </c>
      <c r="E361" s="67">
        <f>IFERROR(INDEX(tbl_Finance[Job Number],$A361),"")</f>
        <v/>
      </c>
      <c r="F361" s="67">
        <f>IFERROR(INDEX(tbl_Finance[Cost Centre],$A361),"")</f>
        <v/>
      </c>
      <c r="G361" s="68">
        <f>IFERROR(INDEX(tbl_Finance[Ex GST],$A361),"")</f>
        <v/>
      </c>
      <c r="H361" s="66">
        <f>IFERROR(INDEX(tbl_Finance[Defer Start],$A361),"")</f>
        <v/>
      </c>
      <c r="I361" s="66">
        <f>IFERROR(INDEX(tbl_Finance[Defer End],$A361),"")</f>
        <v/>
      </c>
      <c r="J361" s="65">
        <f>IF(OR($H361="",$I361="",$G361=""),"",MAX(1,(YEAR($I361)-YEAR($H361))*12+MONTH($I361)-MONTH($H361)+1))</f>
        <v/>
      </c>
      <c r="K361" s="68">
        <f>IF($J361="","",$G361/$J361)</f>
        <v/>
      </c>
      <c r="L361" s="68">
        <f>IF($J361="",0,$K361*MAX(0,MIN(YEAR($C$3)*12+MONTH($C$3),YEAR($I361)*12+MONTH($I361))-(YEAR($H361)*12+MONTH($H361))+1))</f>
        <v/>
      </c>
      <c r="M361" s="68">
        <f>IF($J361="",0,$K361*MAX(0,MIN(YEAR($C$3)*12+MONTH($C$3)-1,YEAR($I361)*12+MONTH($I361))-(YEAR($H361)*12+MONTH($H361))+1))</f>
        <v/>
      </c>
      <c r="N361" s="68">
        <f>IF(OR($J361="",$B361=""),0,IF(YEAR($B361)*12+MONTH($B361)&lt;=YEAR($C$3)*12+MONTH($C$3),$G361,0))</f>
        <v/>
      </c>
      <c r="O361" s="68">
        <f>IF(OR($J361="",$B361=""),0,IF(YEAR($B361)*12+MONTH($B361)&lt;=YEAR($C$3)*12+MONTH($C$3)-1,$G361,0))</f>
        <v/>
      </c>
      <c r="P361" s="68">
        <f>$M361-$O361</f>
        <v/>
      </c>
      <c r="Q361" s="68">
        <f>($L361-$M361)-($N361-$O361)</f>
        <v/>
      </c>
      <c r="R361" s="68">
        <f>$L361-$N361</f>
        <v/>
      </c>
      <c r="S361" s="67">
        <f>"Finance invoice"</f>
        <v/>
      </c>
      <c r="T361" s="67">
        <f>"Revenue"</f>
        <v/>
      </c>
    </row>
    <row r="362">
      <c r="A362" s="65">
        <f>ROW()-5</f>
        <v/>
      </c>
      <c r="B362" s="66">
        <f>IFERROR(INDEX(tbl_Finance[Date],$A362),"")</f>
        <v/>
      </c>
      <c r="C362" s="67">
        <f>IFERROR(INDEX(tbl_Finance[Xero Invoice No],$A362),"")</f>
        <v/>
      </c>
      <c r="D362" s="67">
        <f>IFERROR(INDEX(tbl_Finance[Client],$A362),"")</f>
        <v/>
      </c>
      <c r="E362" s="67">
        <f>IFERROR(INDEX(tbl_Finance[Job Number],$A362),"")</f>
        <v/>
      </c>
      <c r="F362" s="67">
        <f>IFERROR(INDEX(tbl_Finance[Cost Centre],$A362),"")</f>
        <v/>
      </c>
      <c r="G362" s="68">
        <f>IFERROR(INDEX(tbl_Finance[Ex GST],$A362),"")</f>
        <v/>
      </c>
      <c r="H362" s="66">
        <f>IFERROR(INDEX(tbl_Finance[Defer Start],$A362),"")</f>
        <v/>
      </c>
      <c r="I362" s="66">
        <f>IFERROR(INDEX(tbl_Finance[Defer End],$A362),"")</f>
        <v/>
      </c>
      <c r="J362" s="65">
        <f>IF(OR($H362="",$I362="",$G362=""),"",MAX(1,(YEAR($I362)-YEAR($H362))*12+MONTH($I362)-MONTH($H362)+1))</f>
        <v/>
      </c>
      <c r="K362" s="68">
        <f>IF($J362="","",$G362/$J362)</f>
        <v/>
      </c>
      <c r="L362" s="68">
        <f>IF($J362="",0,$K362*MAX(0,MIN(YEAR($C$3)*12+MONTH($C$3),YEAR($I362)*12+MONTH($I362))-(YEAR($H362)*12+MONTH($H362))+1))</f>
        <v/>
      </c>
      <c r="M362" s="68">
        <f>IF($J362="",0,$K362*MAX(0,MIN(YEAR($C$3)*12+MONTH($C$3)-1,YEAR($I362)*12+MONTH($I362))-(YEAR($H362)*12+MONTH($H362))+1))</f>
        <v/>
      </c>
      <c r="N362" s="68">
        <f>IF(OR($J362="",$B362=""),0,IF(YEAR($B362)*12+MONTH($B362)&lt;=YEAR($C$3)*12+MONTH($C$3),$G362,0))</f>
        <v/>
      </c>
      <c r="O362" s="68">
        <f>IF(OR($J362="",$B362=""),0,IF(YEAR($B362)*12+MONTH($B362)&lt;=YEAR($C$3)*12+MONTH($C$3)-1,$G362,0))</f>
        <v/>
      </c>
      <c r="P362" s="68">
        <f>$M362-$O362</f>
        <v/>
      </c>
      <c r="Q362" s="68">
        <f>($L362-$M362)-($N362-$O362)</f>
        <v/>
      </c>
      <c r="R362" s="68">
        <f>$L362-$N362</f>
        <v/>
      </c>
      <c r="S362" s="67">
        <f>"Finance invoice"</f>
        <v/>
      </c>
      <c r="T362" s="67">
        <f>"Revenue"</f>
        <v/>
      </c>
    </row>
    <row r="363">
      <c r="A363" s="65">
        <f>ROW()-5</f>
        <v/>
      </c>
      <c r="B363" s="66">
        <f>IFERROR(INDEX(tbl_Finance[Date],$A363),"")</f>
        <v/>
      </c>
      <c r="C363" s="67">
        <f>IFERROR(INDEX(tbl_Finance[Xero Invoice No],$A363),"")</f>
        <v/>
      </c>
      <c r="D363" s="67">
        <f>IFERROR(INDEX(tbl_Finance[Client],$A363),"")</f>
        <v/>
      </c>
      <c r="E363" s="67">
        <f>IFERROR(INDEX(tbl_Finance[Job Number],$A363),"")</f>
        <v/>
      </c>
      <c r="F363" s="67">
        <f>IFERROR(INDEX(tbl_Finance[Cost Centre],$A363),"")</f>
        <v/>
      </c>
      <c r="G363" s="68">
        <f>IFERROR(INDEX(tbl_Finance[Ex GST],$A363),"")</f>
        <v/>
      </c>
      <c r="H363" s="66">
        <f>IFERROR(INDEX(tbl_Finance[Defer Start],$A363),"")</f>
        <v/>
      </c>
      <c r="I363" s="66">
        <f>IFERROR(INDEX(tbl_Finance[Defer End],$A363),"")</f>
        <v/>
      </c>
      <c r="J363" s="65">
        <f>IF(OR($H363="",$I363="",$G363=""),"",MAX(1,(YEAR($I363)-YEAR($H363))*12+MONTH($I363)-MONTH($H363)+1))</f>
        <v/>
      </c>
      <c r="K363" s="68">
        <f>IF($J363="","",$G363/$J363)</f>
        <v/>
      </c>
      <c r="L363" s="68">
        <f>IF($J363="",0,$K363*MAX(0,MIN(YEAR($C$3)*12+MONTH($C$3),YEAR($I363)*12+MONTH($I363))-(YEAR($H363)*12+MONTH($H363))+1))</f>
        <v/>
      </c>
      <c r="M363" s="68">
        <f>IF($J363="",0,$K363*MAX(0,MIN(YEAR($C$3)*12+MONTH($C$3)-1,YEAR($I363)*12+MONTH($I363))-(YEAR($H363)*12+MONTH($H363))+1))</f>
        <v/>
      </c>
      <c r="N363" s="68">
        <f>IF(OR($J363="",$B363=""),0,IF(YEAR($B363)*12+MONTH($B363)&lt;=YEAR($C$3)*12+MONTH($C$3),$G363,0))</f>
        <v/>
      </c>
      <c r="O363" s="68">
        <f>IF(OR($J363="",$B363=""),0,IF(YEAR($B363)*12+MONTH($B363)&lt;=YEAR($C$3)*12+MONTH($C$3)-1,$G363,0))</f>
        <v/>
      </c>
      <c r="P363" s="68">
        <f>$M363-$O363</f>
        <v/>
      </c>
      <c r="Q363" s="68">
        <f>($L363-$M363)-($N363-$O363)</f>
        <v/>
      </c>
      <c r="R363" s="68">
        <f>$L363-$N363</f>
        <v/>
      </c>
      <c r="S363" s="67">
        <f>"Finance invoice"</f>
        <v/>
      </c>
      <c r="T363" s="67">
        <f>"Revenue"</f>
        <v/>
      </c>
    </row>
    <row r="364">
      <c r="A364" s="65">
        <f>ROW()-5</f>
        <v/>
      </c>
      <c r="B364" s="66">
        <f>IFERROR(INDEX(tbl_Finance[Date],$A364),"")</f>
        <v/>
      </c>
      <c r="C364" s="67">
        <f>IFERROR(INDEX(tbl_Finance[Xero Invoice No],$A364),"")</f>
        <v/>
      </c>
      <c r="D364" s="67">
        <f>IFERROR(INDEX(tbl_Finance[Client],$A364),"")</f>
        <v/>
      </c>
      <c r="E364" s="67">
        <f>IFERROR(INDEX(tbl_Finance[Job Number],$A364),"")</f>
        <v/>
      </c>
      <c r="F364" s="67">
        <f>IFERROR(INDEX(tbl_Finance[Cost Centre],$A364),"")</f>
        <v/>
      </c>
      <c r="G364" s="68">
        <f>IFERROR(INDEX(tbl_Finance[Ex GST],$A364),"")</f>
        <v/>
      </c>
      <c r="H364" s="66">
        <f>IFERROR(INDEX(tbl_Finance[Defer Start],$A364),"")</f>
        <v/>
      </c>
      <c r="I364" s="66">
        <f>IFERROR(INDEX(tbl_Finance[Defer End],$A364),"")</f>
        <v/>
      </c>
      <c r="J364" s="65">
        <f>IF(OR($H364="",$I364="",$G364=""),"",MAX(1,(YEAR($I364)-YEAR($H364))*12+MONTH($I364)-MONTH($H364)+1))</f>
        <v/>
      </c>
      <c r="K364" s="68">
        <f>IF($J364="","",$G364/$J364)</f>
        <v/>
      </c>
      <c r="L364" s="68">
        <f>IF($J364="",0,$K364*MAX(0,MIN(YEAR($C$3)*12+MONTH($C$3),YEAR($I364)*12+MONTH($I364))-(YEAR($H364)*12+MONTH($H364))+1))</f>
        <v/>
      </c>
      <c r="M364" s="68">
        <f>IF($J364="",0,$K364*MAX(0,MIN(YEAR($C$3)*12+MONTH($C$3)-1,YEAR($I364)*12+MONTH($I364))-(YEAR($H364)*12+MONTH($H364))+1))</f>
        <v/>
      </c>
      <c r="N364" s="68">
        <f>IF(OR($J364="",$B364=""),0,IF(YEAR($B364)*12+MONTH($B364)&lt;=YEAR($C$3)*12+MONTH($C$3),$G364,0))</f>
        <v/>
      </c>
      <c r="O364" s="68">
        <f>IF(OR($J364="",$B364=""),0,IF(YEAR($B364)*12+MONTH($B364)&lt;=YEAR($C$3)*12+MONTH($C$3)-1,$G364,0))</f>
        <v/>
      </c>
      <c r="P364" s="68">
        <f>$M364-$O364</f>
        <v/>
      </c>
      <c r="Q364" s="68">
        <f>($L364-$M364)-($N364-$O364)</f>
        <v/>
      </c>
      <c r="R364" s="68">
        <f>$L364-$N364</f>
        <v/>
      </c>
      <c r="S364" s="67">
        <f>"Finance invoice"</f>
        <v/>
      </c>
      <c r="T364" s="67">
        <f>"Revenue"</f>
        <v/>
      </c>
    </row>
    <row r="365">
      <c r="A365" s="65">
        <f>ROW()-5</f>
        <v/>
      </c>
      <c r="B365" s="66">
        <f>IFERROR(INDEX(tbl_Finance[Date],$A365),"")</f>
        <v/>
      </c>
      <c r="C365" s="67">
        <f>IFERROR(INDEX(tbl_Finance[Xero Invoice No],$A365),"")</f>
        <v/>
      </c>
      <c r="D365" s="67">
        <f>IFERROR(INDEX(tbl_Finance[Client],$A365),"")</f>
        <v/>
      </c>
      <c r="E365" s="67">
        <f>IFERROR(INDEX(tbl_Finance[Job Number],$A365),"")</f>
        <v/>
      </c>
      <c r="F365" s="67">
        <f>IFERROR(INDEX(tbl_Finance[Cost Centre],$A365),"")</f>
        <v/>
      </c>
      <c r="G365" s="68">
        <f>IFERROR(INDEX(tbl_Finance[Ex GST],$A365),"")</f>
        <v/>
      </c>
      <c r="H365" s="66">
        <f>IFERROR(INDEX(tbl_Finance[Defer Start],$A365),"")</f>
        <v/>
      </c>
      <c r="I365" s="66">
        <f>IFERROR(INDEX(tbl_Finance[Defer End],$A365),"")</f>
        <v/>
      </c>
      <c r="J365" s="65">
        <f>IF(OR($H365="",$I365="",$G365=""),"",MAX(1,(YEAR($I365)-YEAR($H365))*12+MONTH($I365)-MONTH($H365)+1))</f>
        <v/>
      </c>
      <c r="K365" s="68">
        <f>IF($J365="","",$G365/$J365)</f>
        <v/>
      </c>
      <c r="L365" s="68">
        <f>IF($J365="",0,$K365*MAX(0,MIN(YEAR($C$3)*12+MONTH($C$3),YEAR($I365)*12+MONTH($I365))-(YEAR($H365)*12+MONTH($H365))+1))</f>
        <v/>
      </c>
      <c r="M365" s="68">
        <f>IF($J365="",0,$K365*MAX(0,MIN(YEAR($C$3)*12+MONTH($C$3)-1,YEAR($I365)*12+MONTH($I365))-(YEAR($H365)*12+MONTH($H365))+1))</f>
        <v/>
      </c>
      <c r="N365" s="68">
        <f>IF(OR($J365="",$B365=""),0,IF(YEAR($B365)*12+MONTH($B365)&lt;=YEAR($C$3)*12+MONTH($C$3),$G365,0))</f>
        <v/>
      </c>
      <c r="O365" s="68">
        <f>IF(OR($J365="",$B365=""),0,IF(YEAR($B365)*12+MONTH($B365)&lt;=YEAR($C$3)*12+MONTH($C$3)-1,$G365,0))</f>
        <v/>
      </c>
      <c r="P365" s="68">
        <f>$M365-$O365</f>
        <v/>
      </c>
      <c r="Q365" s="68">
        <f>($L365-$M365)-($N365-$O365)</f>
        <v/>
      </c>
      <c r="R365" s="68">
        <f>$L365-$N365</f>
        <v/>
      </c>
      <c r="S365" s="67">
        <f>"Finance invoice"</f>
        <v/>
      </c>
      <c r="T365" s="67">
        <f>"Revenue"</f>
        <v/>
      </c>
    </row>
    <row r="366">
      <c r="A366" s="65">
        <f>ROW()-5</f>
        <v/>
      </c>
      <c r="B366" s="66">
        <f>IFERROR(INDEX(tbl_Finance[Date],$A366),"")</f>
        <v/>
      </c>
      <c r="C366" s="67">
        <f>IFERROR(INDEX(tbl_Finance[Xero Invoice No],$A366),"")</f>
        <v/>
      </c>
      <c r="D366" s="67">
        <f>IFERROR(INDEX(tbl_Finance[Client],$A366),"")</f>
        <v/>
      </c>
      <c r="E366" s="67">
        <f>IFERROR(INDEX(tbl_Finance[Job Number],$A366),"")</f>
        <v/>
      </c>
      <c r="F366" s="67">
        <f>IFERROR(INDEX(tbl_Finance[Cost Centre],$A366),"")</f>
        <v/>
      </c>
      <c r="G366" s="68">
        <f>IFERROR(INDEX(tbl_Finance[Ex GST],$A366),"")</f>
        <v/>
      </c>
      <c r="H366" s="66">
        <f>IFERROR(INDEX(tbl_Finance[Defer Start],$A366),"")</f>
        <v/>
      </c>
      <c r="I366" s="66">
        <f>IFERROR(INDEX(tbl_Finance[Defer End],$A366),"")</f>
        <v/>
      </c>
      <c r="J366" s="65">
        <f>IF(OR($H366="",$I366="",$G366=""),"",MAX(1,(YEAR($I366)-YEAR($H366))*12+MONTH($I366)-MONTH($H366)+1))</f>
        <v/>
      </c>
      <c r="K366" s="68">
        <f>IF($J366="","",$G366/$J366)</f>
        <v/>
      </c>
      <c r="L366" s="68">
        <f>IF($J366="",0,$K366*MAX(0,MIN(YEAR($C$3)*12+MONTH($C$3),YEAR($I366)*12+MONTH($I366))-(YEAR($H366)*12+MONTH($H366))+1))</f>
        <v/>
      </c>
      <c r="M366" s="68">
        <f>IF($J366="",0,$K366*MAX(0,MIN(YEAR($C$3)*12+MONTH($C$3)-1,YEAR($I366)*12+MONTH($I366))-(YEAR($H366)*12+MONTH($H366))+1))</f>
        <v/>
      </c>
      <c r="N366" s="68">
        <f>IF(OR($J366="",$B366=""),0,IF(YEAR($B366)*12+MONTH($B366)&lt;=YEAR($C$3)*12+MONTH($C$3),$G366,0))</f>
        <v/>
      </c>
      <c r="O366" s="68">
        <f>IF(OR($J366="",$B366=""),0,IF(YEAR($B366)*12+MONTH($B366)&lt;=YEAR($C$3)*12+MONTH($C$3)-1,$G366,0))</f>
        <v/>
      </c>
      <c r="P366" s="68">
        <f>$M366-$O366</f>
        <v/>
      </c>
      <c r="Q366" s="68">
        <f>($L366-$M366)-($N366-$O366)</f>
        <v/>
      </c>
      <c r="R366" s="68">
        <f>$L366-$N366</f>
        <v/>
      </c>
      <c r="S366" s="67">
        <f>"Finance invoice"</f>
        <v/>
      </c>
      <c r="T366" s="67">
        <f>"Revenue"</f>
        <v/>
      </c>
    </row>
    <row r="367">
      <c r="A367" s="65">
        <f>ROW()-5</f>
        <v/>
      </c>
      <c r="B367" s="66">
        <f>IFERROR(INDEX(tbl_Finance[Date],$A367),"")</f>
        <v/>
      </c>
      <c r="C367" s="67">
        <f>IFERROR(INDEX(tbl_Finance[Xero Invoice No],$A367),"")</f>
        <v/>
      </c>
      <c r="D367" s="67">
        <f>IFERROR(INDEX(tbl_Finance[Client],$A367),"")</f>
        <v/>
      </c>
      <c r="E367" s="67">
        <f>IFERROR(INDEX(tbl_Finance[Job Number],$A367),"")</f>
        <v/>
      </c>
      <c r="F367" s="67">
        <f>IFERROR(INDEX(tbl_Finance[Cost Centre],$A367),"")</f>
        <v/>
      </c>
      <c r="G367" s="68">
        <f>IFERROR(INDEX(tbl_Finance[Ex GST],$A367),"")</f>
        <v/>
      </c>
      <c r="H367" s="66">
        <f>IFERROR(INDEX(tbl_Finance[Defer Start],$A367),"")</f>
        <v/>
      </c>
      <c r="I367" s="66">
        <f>IFERROR(INDEX(tbl_Finance[Defer End],$A367),"")</f>
        <v/>
      </c>
      <c r="J367" s="65">
        <f>IF(OR($H367="",$I367="",$G367=""),"",MAX(1,(YEAR($I367)-YEAR($H367))*12+MONTH($I367)-MONTH($H367)+1))</f>
        <v/>
      </c>
      <c r="K367" s="68">
        <f>IF($J367="","",$G367/$J367)</f>
        <v/>
      </c>
      <c r="L367" s="68">
        <f>IF($J367="",0,$K367*MAX(0,MIN(YEAR($C$3)*12+MONTH($C$3),YEAR($I367)*12+MONTH($I367))-(YEAR($H367)*12+MONTH($H367))+1))</f>
        <v/>
      </c>
      <c r="M367" s="68">
        <f>IF($J367="",0,$K367*MAX(0,MIN(YEAR($C$3)*12+MONTH($C$3)-1,YEAR($I367)*12+MONTH($I367))-(YEAR($H367)*12+MONTH($H367))+1))</f>
        <v/>
      </c>
      <c r="N367" s="68">
        <f>IF(OR($J367="",$B367=""),0,IF(YEAR($B367)*12+MONTH($B367)&lt;=YEAR($C$3)*12+MONTH($C$3),$G367,0))</f>
        <v/>
      </c>
      <c r="O367" s="68">
        <f>IF(OR($J367="",$B367=""),0,IF(YEAR($B367)*12+MONTH($B367)&lt;=YEAR($C$3)*12+MONTH($C$3)-1,$G367,0))</f>
        <v/>
      </c>
      <c r="P367" s="68">
        <f>$M367-$O367</f>
        <v/>
      </c>
      <c r="Q367" s="68">
        <f>($L367-$M367)-($N367-$O367)</f>
        <v/>
      </c>
      <c r="R367" s="68">
        <f>$L367-$N367</f>
        <v/>
      </c>
      <c r="S367" s="67">
        <f>"Finance invoice"</f>
        <v/>
      </c>
      <c r="T367" s="67">
        <f>"Revenue"</f>
        <v/>
      </c>
    </row>
    <row r="368">
      <c r="A368" s="65">
        <f>ROW()-5</f>
        <v/>
      </c>
      <c r="B368" s="66">
        <f>IFERROR(INDEX(tbl_Finance[Date],$A368),"")</f>
        <v/>
      </c>
      <c r="C368" s="67">
        <f>IFERROR(INDEX(tbl_Finance[Xero Invoice No],$A368),"")</f>
        <v/>
      </c>
      <c r="D368" s="67">
        <f>IFERROR(INDEX(tbl_Finance[Client],$A368),"")</f>
        <v/>
      </c>
      <c r="E368" s="67">
        <f>IFERROR(INDEX(tbl_Finance[Job Number],$A368),"")</f>
        <v/>
      </c>
      <c r="F368" s="67">
        <f>IFERROR(INDEX(tbl_Finance[Cost Centre],$A368),"")</f>
        <v/>
      </c>
      <c r="G368" s="68">
        <f>IFERROR(INDEX(tbl_Finance[Ex GST],$A368),"")</f>
        <v/>
      </c>
      <c r="H368" s="66">
        <f>IFERROR(INDEX(tbl_Finance[Defer Start],$A368),"")</f>
        <v/>
      </c>
      <c r="I368" s="66">
        <f>IFERROR(INDEX(tbl_Finance[Defer End],$A368),"")</f>
        <v/>
      </c>
      <c r="J368" s="65">
        <f>IF(OR($H368="",$I368="",$G368=""),"",MAX(1,(YEAR($I368)-YEAR($H368))*12+MONTH($I368)-MONTH($H368)+1))</f>
        <v/>
      </c>
      <c r="K368" s="68">
        <f>IF($J368="","",$G368/$J368)</f>
        <v/>
      </c>
      <c r="L368" s="68">
        <f>IF($J368="",0,$K368*MAX(0,MIN(YEAR($C$3)*12+MONTH($C$3),YEAR($I368)*12+MONTH($I368))-(YEAR($H368)*12+MONTH($H368))+1))</f>
        <v/>
      </c>
      <c r="M368" s="68">
        <f>IF($J368="",0,$K368*MAX(0,MIN(YEAR($C$3)*12+MONTH($C$3)-1,YEAR($I368)*12+MONTH($I368))-(YEAR($H368)*12+MONTH($H368))+1))</f>
        <v/>
      </c>
      <c r="N368" s="68">
        <f>IF(OR($J368="",$B368=""),0,IF(YEAR($B368)*12+MONTH($B368)&lt;=YEAR($C$3)*12+MONTH($C$3),$G368,0))</f>
        <v/>
      </c>
      <c r="O368" s="68">
        <f>IF(OR($J368="",$B368=""),0,IF(YEAR($B368)*12+MONTH($B368)&lt;=YEAR($C$3)*12+MONTH($C$3)-1,$G368,0))</f>
        <v/>
      </c>
      <c r="P368" s="68">
        <f>$M368-$O368</f>
        <v/>
      </c>
      <c r="Q368" s="68">
        <f>($L368-$M368)-($N368-$O368)</f>
        <v/>
      </c>
      <c r="R368" s="68">
        <f>$L368-$N368</f>
        <v/>
      </c>
      <c r="S368" s="67">
        <f>"Finance invoice"</f>
        <v/>
      </c>
      <c r="T368" s="67">
        <f>"Revenue"</f>
        <v/>
      </c>
    </row>
    <row r="369">
      <c r="A369" s="65">
        <f>ROW()-5</f>
        <v/>
      </c>
      <c r="B369" s="66">
        <f>IFERROR(INDEX(tbl_Finance[Date],$A369),"")</f>
        <v/>
      </c>
      <c r="C369" s="67">
        <f>IFERROR(INDEX(tbl_Finance[Xero Invoice No],$A369),"")</f>
        <v/>
      </c>
      <c r="D369" s="67">
        <f>IFERROR(INDEX(tbl_Finance[Client],$A369),"")</f>
        <v/>
      </c>
      <c r="E369" s="67">
        <f>IFERROR(INDEX(tbl_Finance[Job Number],$A369),"")</f>
        <v/>
      </c>
      <c r="F369" s="67">
        <f>IFERROR(INDEX(tbl_Finance[Cost Centre],$A369),"")</f>
        <v/>
      </c>
      <c r="G369" s="68">
        <f>IFERROR(INDEX(tbl_Finance[Ex GST],$A369),"")</f>
        <v/>
      </c>
      <c r="H369" s="66">
        <f>IFERROR(INDEX(tbl_Finance[Defer Start],$A369),"")</f>
        <v/>
      </c>
      <c r="I369" s="66">
        <f>IFERROR(INDEX(tbl_Finance[Defer End],$A369),"")</f>
        <v/>
      </c>
      <c r="J369" s="65">
        <f>IF(OR($H369="",$I369="",$G369=""),"",MAX(1,(YEAR($I369)-YEAR($H369))*12+MONTH($I369)-MONTH($H369)+1))</f>
        <v/>
      </c>
      <c r="K369" s="68">
        <f>IF($J369="","",$G369/$J369)</f>
        <v/>
      </c>
      <c r="L369" s="68">
        <f>IF($J369="",0,$K369*MAX(0,MIN(YEAR($C$3)*12+MONTH($C$3),YEAR($I369)*12+MONTH($I369))-(YEAR($H369)*12+MONTH($H369))+1))</f>
        <v/>
      </c>
      <c r="M369" s="68">
        <f>IF($J369="",0,$K369*MAX(0,MIN(YEAR($C$3)*12+MONTH($C$3)-1,YEAR($I369)*12+MONTH($I369))-(YEAR($H369)*12+MONTH($H369))+1))</f>
        <v/>
      </c>
      <c r="N369" s="68">
        <f>IF(OR($J369="",$B369=""),0,IF(YEAR($B369)*12+MONTH($B369)&lt;=YEAR($C$3)*12+MONTH($C$3),$G369,0))</f>
        <v/>
      </c>
      <c r="O369" s="68">
        <f>IF(OR($J369="",$B369=""),0,IF(YEAR($B369)*12+MONTH($B369)&lt;=YEAR($C$3)*12+MONTH($C$3)-1,$G369,0))</f>
        <v/>
      </c>
      <c r="P369" s="68">
        <f>$M369-$O369</f>
        <v/>
      </c>
      <c r="Q369" s="68">
        <f>($L369-$M369)-($N369-$O369)</f>
        <v/>
      </c>
      <c r="R369" s="68">
        <f>$L369-$N369</f>
        <v/>
      </c>
      <c r="S369" s="67">
        <f>"Finance invoice"</f>
        <v/>
      </c>
      <c r="T369" s="67">
        <f>"Revenue"</f>
        <v/>
      </c>
    </row>
    <row r="370">
      <c r="A370" s="65">
        <f>ROW()-5</f>
        <v/>
      </c>
      <c r="B370" s="66">
        <f>IFERROR(INDEX(tbl_Finance[Date],$A370),"")</f>
        <v/>
      </c>
      <c r="C370" s="67">
        <f>IFERROR(INDEX(tbl_Finance[Xero Invoice No],$A370),"")</f>
        <v/>
      </c>
      <c r="D370" s="67">
        <f>IFERROR(INDEX(tbl_Finance[Client],$A370),"")</f>
        <v/>
      </c>
      <c r="E370" s="67">
        <f>IFERROR(INDEX(tbl_Finance[Job Number],$A370),"")</f>
        <v/>
      </c>
      <c r="F370" s="67">
        <f>IFERROR(INDEX(tbl_Finance[Cost Centre],$A370),"")</f>
        <v/>
      </c>
      <c r="G370" s="68">
        <f>IFERROR(INDEX(tbl_Finance[Ex GST],$A370),"")</f>
        <v/>
      </c>
      <c r="H370" s="66">
        <f>IFERROR(INDEX(tbl_Finance[Defer Start],$A370),"")</f>
        <v/>
      </c>
      <c r="I370" s="66">
        <f>IFERROR(INDEX(tbl_Finance[Defer End],$A370),"")</f>
        <v/>
      </c>
      <c r="J370" s="65">
        <f>IF(OR($H370="",$I370="",$G370=""),"",MAX(1,(YEAR($I370)-YEAR($H370))*12+MONTH($I370)-MONTH($H370)+1))</f>
        <v/>
      </c>
      <c r="K370" s="68">
        <f>IF($J370="","",$G370/$J370)</f>
        <v/>
      </c>
      <c r="L370" s="68">
        <f>IF($J370="",0,$K370*MAX(0,MIN(YEAR($C$3)*12+MONTH($C$3),YEAR($I370)*12+MONTH($I370))-(YEAR($H370)*12+MONTH($H370))+1))</f>
        <v/>
      </c>
      <c r="M370" s="68">
        <f>IF($J370="",0,$K370*MAX(0,MIN(YEAR($C$3)*12+MONTH($C$3)-1,YEAR($I370)*12+MONTH($I370))-(YEAR($H370)*12+MONTH($H370))+1))</f>
        <v/>
      </c>
      <c r="N370" s="68">
        <f>IF(OR($J370="",$B370=""),0,IF(YEAR($B370)*12+MONTH($B370)&lt;=YEAR($C$3)*12+MONTH($C$3),$G370,0))</f>
        <v/>
      </c>
      <c r="O370" s="68">
        <f>IF(OR($J370="",$B370=""),0,IF(YEAR($B370)*12+MONTH($B370)&lt;=YEAR($C$3)*12+MONTH($C$3)-1,$G370,0))</f>
        <v/>
      </c>
      <c r="P370" s="68">
        <f>$M370-$O370</f>
        <v/>
      </c>
      <c r="Q370" s="68">
        <f>($L370-$M370)-($N370-$O370)</f>
        <v/>
      </c>
      <c r="R370" s="68">
        <f>$L370-$N370</f>
        <v/>
      </c>
      <c r="S370" s="67">
        <f>"Finance invoice"</f>
        <v/>
      </c>
      <c r="T370" s="67">
        <f>"Revenue"</f>
        <v/>
      </c>
    </row>
    <row r="371">
      <c r="A371" s="65">
        <f>ROW()-5</f>
        <v/>
      </c>
      <c r="B371" s="66">
        <f>IFERROR(INDEX(tbl_Finance[Date],$A371),"")</f>
        <v/>
      </c>
      <c r="C371" s="67">
        <f>IFERROR(INDEX(tbl_Finance[Xero Invoice No],$A371),"")</f>
        <v/>
      </c>
      <c r="D371" s="67">
        <f>IFERROR(INDEX(tbl_Finance[Client],$A371),"")</f>
        <v/>
      </c>
      <c r="E371" s="67">
        <f>IFERROR(INDEX(tbl_Finance[Job Number],$A371),"")</f>
        <v/>
      </c>
      <c r="F371" s="67">
        <f>IFERROR(INDEX(tbl_Finance[Cost Centre],$A371),"")</f>
        <v/>
      </c>
      <c r="G371" s="68">
        <f>IFERROR(INDEX(tbl_Finance[Ex GST],$A371),"")</f>
        <v/>
      </c>
      <c r="H371" s="66">
        <f>IFERROR(INDEX(tbl_Finance[Defer Start],$A371),"")</f>
        <v/>
      </c>
      <c r="I371" s="66">
        <f>IFERROR(INDEX(tbl_Finance[Defer End],$A371),"")</f>
        <v/>
      </c>
      <c r="J371" s="65">
        <f>IF(OR($H371="",$I371="",$G371=""),"",MAX(1,(YEAR($I371)-YEAR($H371))*12+MONTH($I371)-MONTH($H371)+1))</f>
        <v/>
      </c>
      <c r="K371" s="68">
        <f>IF($J371="","",$G371/$J371)</f>
        <v/>
      </c>
      <c r="L371" s="68">
        <f>IF($J371="",0,$K371*MAX(0,MIN(YEAR($C$3)*12+MONTH($C$3),YEAR($I371)*12+MONTH($I371))-(YEAR($H371)*12+MONTH($H371))+1))</f>
        <v/>
      </c>
      <c r="M371" s="68">
        <f>IF($J371="",0,$K371*MAX(0,MIN(YEAR($C$3)*12+MONTH($C$3)-1,YEAR($I371)*12+MONTH($I371))-(YEAR($H371)*12+MONTH($H371))+1))</f>
        <v/>
      </c>
      <c r="N371" s="68">
        <f>IF(OR($J371="",$B371=""),0,IF(YEAR($B371)*12+MONTH($B371)&lt;=YEAR($C$3)*12+MONTH($C$3),$G371,0))</f>
        <v/>
      </c>
      <c r="O371" s="68">
        <f>IF(OR($J371="",$B371=""),0,IF(YEAR($B371)*12+MONTH($B371)&lt;=YEAR($C$3)*12+MONTH($C$3)-1,$G371,0))</f>
        <v/>
      </c>
      <c r="P371" s="68">
        <f>$M371-$O371</f>
        <v/>
      </c>
      <c r="Q371" s="68">
        <f>($L371-$M371)-($N371-$O371)</f>
        <v/>
      </c>
      <c r="R371" s="68">
        <f>$L371-$N371</f>
        <v/>
      </c>
      <c r="S371" s="67">
        <f>"Finance invoice"</f>
        <v/>
      </c>
      <c r="T371" s="67">
        <f>"Revenue"</f>
        <v/>
      </c>
    </row>
    <row r="372">
      <c r="A372" s="65">
        <f>ROW()-5</f>
        <v/>
      </c>
      <c r="B372" s="66">
        <f>IFERROR(INDEX(tbl_Finance[Date],$A372),"")</f>
        <v/>
      </c>
      <c r="C372" s="67">
        <f>IFERROR(INDEX(tbl_Finance[Xero Invoice No],$A372),"")</f>
        <v/>
      </c>
      <c r="D372" s="67">
        <f>IFERROR(INDEX(tbl_Finance[Client],$A372),"")</f>
        <v/>
      </c>
      <c r="E372" s="67">
        <f>IFERROR(INDEX(tbl_Finance[Job Number],$A372),"")</f>
        <v/>
      </c>
      <c r="F372" s="67">
        <f>IFERROR(INDEX(tbl_Finance[Cost Centre],$A372),"")</f>
        <v/>
      </c>
      <c r="G372" s="68">
        <f>IFERROR(INDEX(tbl_Finance[Ex GST],$A372),"")</f>
        <v/>
      </c>
      <c r="H372" s="66">
        <f>IFERROR(INDEX(tbl_Finance[Defer Start],$A372),"")</f>
        <v/>
      </c>
      <c r="I372" s="66">
        <f>IFERROR(INDEX(tbl_Finance[Defer End],$A372),"")</f>
        <v/>
      </c>
      <c r="J372" s="65">
        <f>IF(OR($H372="",$I372="",$G372=""),"",MAX(1,(YEAR($I372)-YEAR($H372))*12+MONTH($I372)-MONTH($H372)+1))</f>
        <v/>
      </c>
      <c r="K372" s="68">
        <f>IF($J372="","",$G372/$J372)</f>
        <v/>
      </c>
      <c r="L372" s="68">
        <f>IF($J372="",0,$K372*MAX(0,MIN(YEAR($C$3)*12+MONTH($C$3),YEAR($I372)*12+MONTH($I372))-(YEAR($H372)*12+MONTH($H372))+1))</f>
        <v/>
      </c>
      <c r="M372" s="68">
        <f>IF($J372="",0,$K372*MAX(0,MIN(YEAR($C$3)*12+MONTH($C$3)-1,YEAR($I372)*12+MONTH($I372))-(YEAR($H372)*12+MONTH($H372))+1))</f>
        <v/>
      </c>
      <c r="N372" s="68">
        <f>IF(OR($J372="",$B372=""),0,IF(YEAR($B372)*12+MONTH($B372)&lt;=YEAR($C$3)*12+MONTH($C$3),$G372,0))</f>
        <v/>
      </c>
      <c r="O372" s="68">
        <f>IF(OR($J372="",$B372=""),0,IF(YEAR($B372)*12+MONTH($B372)&lt;=YEAR($C$3)*12+MONTH($C$3)-1,$G372,0))</f>
        <v/>
      </c>
      <c r="P372" s="68">
        <f>$M372-$O372</f>
        <v/>
      </c>
      <c r="Q372" s="68">
        <f>($L372-$M372)-($N372-$O372)</f>
        <v/>
      </c>
      <c r="R372" s="68">
        <f>$L372-$N372</f>
        <v/>
      </c>
      <c r="S372" s="67">
        <f>"Finance invoice"</f>
        <v/>
      </c>
      <c r="T372" s="67">
        <f>"Revenue"</f>
        <v/>
      </c>
    </row>
    <row r="373">
      <c r="A373" s="65">
        <f>ROW()-5</f>
        <v/>
      </c>
      <c r="B373" s="66">
        <f>IFERROR(INDEX(tbl_Finance[Date],$A373),"")</f>
        <v/>
      </c>
      <c r="C373" s="67">
        <f>IFERROR(INDEX(tbl_Finance[Xero Invoice No],$A373),"")</f>
        <v/>
      </c>
      <c r="D373" s="67">
        <f>IFERROR(INDEX(tbl_Finance[Client],$A373),"")</f>
        <v/>
      </c>
      <c r="E373" s="67">
        <f>IFERROR(INDEX(tbl_Finance[Job Number],$A373),"")</f>
        <v/>
      </c>
      <c r="F373" s="67">
        <f>IFERROR(INDEX(tbl_Finance[Cost Centre],$A373),"")</f>
        <v/>
      </c>
      <c r="G373" s="68">
        <f>IFERROR(INDEX(tbl_Finance[Ex GST],$A373),"")</f>
        <v/>
      </c>
      <c r="H373" s="66">
        <f>IFERROR(INDEX(tbl_Finance[Defer Start],$A373),"")</f>
        <v/>
      </c>
      <c r="I373" s="66">
        <f>IFERROR(INDEX(tbl_Finance[Defer End],$A373),"")</f>
        <v/>
      </c>
      <c r="J373" s="65">
        <f>IF(OR($H373="",$I373="",$G373=""),"",MAX(1,(YEAR($I373)-YEAR($H373))*12+MONTH($I373)-MONTH($H373)+1))</f>
        <v/>
      </c>
      <c r="K373" s="68">
        <f>IF($J373="","",$G373/$J373)</f>
        <v/>
      </c>
      <c r="L373" s="68">
        <f>IF($J373="",0,$K373*MAX(0,MIN(YEAR($C$3)*12+MONTH($C$3),YEAR($I373)*12+MONTH($I373))-(YEAR($H373)*12+MONTH($H373))+1))</f>
        <v/>
      </c>
      <c r="M373" s="68">
        <f>IF($J373="",0,$K373*MAX(0,MIN(YEAR($C$3)*12+MONTH($C$3)-1,YEAR($I373)*12+MONTH($I373))-(YEAR($H373)*12+MONTH($H373))+1))</f>
        <v/>
      </c>
      <c r="N373" s="68">
        <f>IF(OR($J373="",$B373=""),0,IF(YEAR($B373)*12+MONTH($B373)&lt;=YEAR($C$3)*12+MONTH($C$3),$G373,0))</f>
        <v/>
      </c>
      <c r="O373" s="68">
        <f>IF(OR($J373="",$B373=""),0,IF(YEAR($B373)*12+MONTH($B373)&lt;=YEAR($C$3)*12+MONTH($C$3)-1,$G373,0))</f>
        <v/>
      </c>
      <c r="P373" s="68">
        <f>$M373-$O373</f>
        <v/>
      </c>
      <c r="Q373" s="68">
        <f>($L373-$M373)-($N373-$O373)</f>
        <v/>
      </c>
      <c r="R373" s="68">
        <f>$L373-$N373</f>
        <v/>
      </c>
      <c r="S373" s="67">
        <f>"Finance invoice"</f>
        <v/>
      </c>
      <c r="T373" s="67">
        <f>"Revenue"</f>
        <v/>
      </c>
    </row>
    <row r="374">
      <c r="A374" s="65">
        <f>ROW()-5</f>
        <v/>
      </c>
      <c r="B374" s="66">
        <f>IFERROR(INDEX(tbl_Finance[Date],$A374),"")</f>
        <v/>
      </c>
      <c r="C374" s="67">
        <f>IFERROR(INDEX(tbl_Finance[Xero Invoice No],$A374),"")</f>
        <v/>
      </c>
      <c r="D374" s="67">
        <f>IFERROR(INDEX(tbl_Finance[Client],$A374),"")</f>
        <v/>
      </c>
      <c r="E374" s="67">
        <f>IFERROR(INDEX(tbl_Finance[Job Number],$A374),"")</f>
        <v/>
      </c>
      <c r="F374" s="67">
        <f>IFERROR(INDEX(tbl_Finance[Cost Centre],$A374),"")</f>
        <v/>
      </c>
      <c r="G374" s="68">
        <f>IFERROR(INDEX(tbl_Finance[Ex GST],$A374),"")</f>
        <v/>
      </c>
      <c r="H374" s="66">
        <f>IFERROR(INDEX(tbl_Finance[Defer Start],$A374),"")</f>
        <v/>
      </c>
      <c r="I374" s="66">
        <f>IFERROR(INDEX(tbl_Finance[Defer End],$A374),"")</f>
        <v/>
      </c>
      <c r="J374" s="65">
        <f>IF(OR($H374="",$I374="",$G374=""),"",MAX(1,(YEAR($I374)-YEAR($H374))*12+MONTH($I374)-MONTH($H374)+1))</f>
        <v/>
      </c>
      <c r="K374" s="68">
        <f>IF($J374="","",$G374/$J374)</f>
        <v/>
      </c>
      <c r="L374" s="68">
        <f>IF($J374="",0,$K374*MAX(0,MIN(YEAR($C$3)*12+MONTH($C$3),YEAR($I374)*12+MONTH($I374))-(YEAR($H374)*12+MONTH($H374))+1))</f>
        <v/>
      </c>
      <c r="M374" s="68">
        <f>IF($J374="",0,$K374*MAX(0,MIN(YEAR($C$3)*12+MONTH($C$3)-1,YEAR($I374)*12+MONTH($I374))-(YEAR($H374)*12+MONTH($H374))+1))</f>
        <v/>
      </c>
      <c r="N374" s="68">
        <f>IF(OR($J374="",$B374=""),0,IF(YEAR($B374)*12+MONTH($B374)&lt;=YEAR($C$3)*12+MONTH($C$3),$G374,0))</f>
        <v/>
      </c>
      <c r="O374" s="68">
        <f>IF(OR($J374="",$B374=""),0,IF(YEAR($B374)*12+MONTH($B374)&lt;=YEAR($C$3)*12+MONTH($C$3)-1,$G374,0))</f>
        <v/>
      </c>
      <c r="P374" s="68">
        <f>$M374-$O374</f>
        <v/>
      </c>
      <c r="Q374" s="68">
        <f>($L374-$M374)-($N374-$O374)</f>
        <v/>
      </c>
      <c r="R374" s="68">
        <f>$L374-$N374</f>
        <v/>
      </c>
      <c r="S374" s="67">
        <f>"Finance invoice"</f>
        <v/>
      </c>
      <c r="T374" s="67">
        <f>"Revenue"</f>
        <v/>
      </c>
    </row>
    <row r="375">
      <c r="A375" s="65">
        <f>ROW()-5</f>
        <v/>
      </c>
      <c r="B375" s="66">
        <f>IFERROR(INDEX(tbl_Finance[Date],$A375),"")</f>
        <v/>
      </c>
      <c r="C375" s="67">
        <f>IFERROR(INDEX(tbl_Finance[Xero Invoice No],$A375),"")</f>
        <v/>
      </c>
      <c r="D375" s="67">
        <f>IFERROR(INDEX(tbl_Finance[Client],$A375),"")</f>
        <v/>
      </c>
      <c r="E375" s="67">
        <f>IFERROR(INDEX(tbl_Finance[Job Number],$A375),"")</f>
        <v/>
      </c>
      <c r="F375" s="67">
        <f>IFERROR(INDEX(tbl_Finance[Cost Centre],$A375),"")</f>
        <v/>
      </c>
      <c r="G375" s="68">
        <f>IFERROR(INDEX(tbl_Finance[Ex GST],$A375),"")</f>
        <v/>
      </c>
      <c r="H375" s="66">
        <f>IFERROR(INDEX(tbl_Finance[Defer Start],$A375),"")</f>
        <v/>
      </c>
      <c r="I375" s="66">
        <f>IFERROR(INDEX(tbl_Finance[Defer End],$A375),"")</f>
        <v/>
      </c>
      <c r="J375" s="65">
        <f>IF(OR($H375="",$I375="",$G375=""),"",MAX(1,(YEAR($I375)-YEAR($H375))*12+MONTH($I375)-MONTH($H375)+1))</f>
        <v/>
      </c>
      <c r="K375" s="68">
        <f>IF($J375="","",$G375/$J375)</f>
        <v/>
      </c>
      <c r="L375" s="68">
        <f>IF($J375="",0,$K375*MAX(0,MIN(YEAR($C$3)*12+MONTH($C$3),YEAR($I375)*12+MONTH($I375))-(YEAR($H375)*12+MONTH($H375))+1))</f>
        <v/>
      </c>
      <c r="M375" s="68">
        <f>IF($J375="",0,$K375*MAX(0,MIN(YEAR($C$3)*12+MONTH($C$3)-1,YEAR($I375)*12+MONTH($I375))-(YEAR($H375)*12+MONTH($H375))+1))</f>
        <v/>
      </c>
      <c r="N375" s="68">
        <f>IF(OR($J375="",$B375=""),0,IF(YEAR($B375)*12+MONTH($B375)&lt;=YEAR($C$3)*12+MONTH($C$3),$G375,0))</f>
        <v/>
      </c>
      <c r="O375" s="68">
        <f>IF(OR($J375="",$B375=""),0,IF(YEAR($B375)*12+MONTH($B375)&lt;=YEAR($C$3)*12+MONTH($C$3)-1,$G375,0))</f>
        <v/>
      </c>
      <c r="P375" s="68">
        <f>$M375-$O375</f>
        <v/>
      </c>
      <c r="Q375" s="68">
        <f>($L375-$M375)-($N375-$O375)</f>
        <v/>
      </c>
      <c r="R375" s="68">
        <f>$L375-$N375</f>
        <v/>
      </c>
      <c r="S375" s="67">
        <f>"Finance invoice"</f>
        <v/>
      </c>
      <c r="T375" s="67">
        <f>"Revenue"</f>
        <v/>
      </c>
    </row>
    <row r="376">
      <c r="A376" s="65">
        <f>ROW()-5</f>
        <v/>
      </c>
      <c r="B376" s="66">
        <f>IFERROR(INDEX(tbl_Finance[Date],$A376),"")</f>
        <v/>
      </c>
      <c r="C376" s="67">
        <f>IFERROR(INDEX(tbl_Finance[Xero Invoice No],$A376),"")</f>
        <v/>
      </c>
      <c r="D376" s="67">
        <f>IFERROR(INDEX(tbl_Finance[Client],$A376),"")</f>
        <v/>
      </c>
      <c r="E376" s="67">
        <f>IFERROR(INDEX(tbl_Finance[Job Number],$A376),"")</f>
        <v/>
      </c>
      <c r="F376" s="67">
        <f>IFERROR(INDEX(tbl_Finance[Cost Centre],$A376),"")</f>
        <v/>
      </c>
      <c r="G376" s="68">
        <f>IFERROR(INDEX(tbl_Finance[Ex GST],$A376),"")</f>
        <v/>
      </c>
      <c r="H376" s="66">
        <f>IFERROR(INDEX(tbl_Finance[Defer Start],$A376),"")</f>
        <v/>
      </c>
      <c r="I376" s="66">
        <f>IFERROR(INDEX(tbl_Finance[Defer End],$A376),"")</f>
        <v/>
      </c>
      <c r="J376" s="65">
        <f>IF(OR($H376="",$I376="",$G376=""),"",MAX(1,(YEAR($I376)-YEAR($H376))*12+MONTH($I376)-MONTH($H376)+1))</f>
        <v/>
      </c>
      <c r="K376" s="68">
        <f>IF($J376="","",$G376/$J376)</f>
        <v/>
      </c>
      <c r="L376" s="68">
        <f>IF($J376="",0,$K376*MAX(0,MIN(YEAR($C$3)*12+MONTH($C$3),YEAR($I376)*12+MONTH($I376))-(YEAR($H376)*12+MONTH($H376))+1))</f>
        <v/>
      </c>
      <c r="M376" s="68">
        <f>IF($J376="",0,$K376*MAX(0,MIN(YEAR($C$3)*12+MONTH($C$3)-1,YEAR($I376)*12+MONTH($I376))-(YEAR($H376)*12+MONTH($H376))+1))</f>
        <v/>
      </c>
      <c r="N376" s="68">
        <f>IF(OR($J376="",$B376=""),0,IF(YEAR($B376)*12+MONTH($B376)&lt;=YEAR($C$3)*12+MONTH($C$3),$G376,0))</f>
        <v/>
      </c>
      <c r="O376" s="68">
        <f>IF(OR($J376="",$B376=""),0,IF(YEAR($B376)*12+MONTH($B376)&lt;=YEAR($C$3)*12+MONTH($C$3)-1,$G376,0))</f>
        <v/>
      </c>
      <c r="P376" s="68">
        <f>$M376-$O376</f>
        <v/>
      </c>
      <c r="Q376" s="68">
        <f>($L376-$M376)-($N376-$O376)</f>
        <v/>
      </c>
      <c r="R376" s="68">
        <f>$L376-$N376</f>
        <v/>
      </c>
      <c r="S376" s="67">
        <f>"Finance invoice"</f>
        <v/>
      </c>
      <c r="T376" s="67">
        <f>"Revenue"</f>
        <v/>
      </c>
    </row>
    <row r="377">
      <c r="A377" s="65">
        <f>ROW()-5</f>
        <v/>
      </c>
      <c r="B377" s="66">
        <f>IFERROR(INDEX(tbl_Finance[Date],$A377),"")</f>
        <v/>
      </c>
      <c r="C377" s="67">
        <f>IFERROR(INDEX(tbl_Finance[Xero Invoice No],$A377),"")</f>
        <v/>
      </c>
      <c r="D377" s="67">
        <f>IFERROR(INDEX(tbl_Finance[Client],$A377),"")</f>
        <v/>
      </c>
      <c r="E377" s="67">
        <f>IFERROR(INDEX(tbl_Finance[Job Number],$A377),"")</f>
        <v/>
      </c>
      <c r="F377" s="67">
        <f>IFERROR(INDEX(tbl_Finance[Cost Centre],$A377),"")</f>
        <v/>
      </c>
      <c r="G377" s="68">
        <f>IFERROR(INDEX(tbl_Finance[Ex GST],$A377),"")</f>
        <v/>
      </c>
      <c r="H377" s="66">
        <f>IFERROR(INDEX(tbl_Finance[Defer Start],$A377),"")</f>
        <v/>
      </c>
      <c r="I377" s="66">
        <f>IFERROR(INDEX(tbl_Finance[Defer End],$A377),"")</f>
        <v/>
      </c>
      <c r="J377" s="65">
        <f>IF(OR($H377="",$I377="",$G377=""),"",MAX(1,(YEAR($I377)-YEAR($H377))*12+MONTH($I377)-MONTH($H377)+1))</f>
        <v/>
      </c>
      <c r="K377" s="68">
        <f>IF($J377="","",$G377/$J377)</f>
        <v/>
      </c>
      <c r="L377" s="68">
        <f>IF($J377="",0,$K377*MAX(0,MIN(YEAR($C$3)*12+MONTH($C$3),YEAR($I377)*12+MONTH($I377))-(YEAR($H377)*12+MONTH($H377))+1))</f>
        <v/>
      </c>
      <c r="M377" s="68">
        <f>IF($J377="",0,$K377*MAX(0,MIN(YEAR($C$3)*12+MONTH($C$3)-1,YEAR($I377)*12+MONTH($I377))-(YEAR($H377)*12+MONTH($H377))+1))</f>
        <v/>
      </c>
      <c r="N377" s="68">
        <f>IF(OR($J377="",$B377=""),0,IF(YEAR($B377)*12+MONTH($B377)&lt;=YEAR($C$3)*12+MONTH($C$3),$G377,0))</f>
        <v/>
      </c>
      <c r="O377" s="68">
        <f>IF(OR($J377="",$B377=""),0,IF(YEAR($B377)*12+MONTH($B377)&lt;=YEAR($C$3)*12+MONTH($C$3)-1,$G377,0))</f>
        <v/>
      </c>
      <c r="P377" s="68">
        <f>$M377-$O377</f>
        <v/>
      </c>
      <c r="Q377" s="68">
        <f>($L377-$M377)-($N377-$O377)</f>
        <v/>
      </c>
      <c r="R377" s="68">
        <f>$L377-$N377</f>
        <v/>
      </c>
      <c r="S377" s="67">
        <f>"Finance invoice"</f>
        <v/>
      </c>
      <c r="T377" s="67">
        <f>"Revenue"</f>
        <v/>
      </c>
    </row>
    <row r="378">
      <c r="A378" s="65">
        <f>ROW()-5</f>
        <v/>
      </c>
      <c r="B378" s="66">
        <f>IFERROR(INDEX(tbl_Finance[Date],$A378),"")</f>
        <v/>
      </c>
      <c r="C378" s="67">
        <f>IFERROR(INDEX(tbl_Finance[Xero Invoice No],$A378),"")</f>
        <v/>
      </c>
      <c r="D378" s="67">
        <f>IFERROR(INDEX(tbl_Finance[Client],$A378),"")</f>
        <v/>
      </c>
      <c r="E378" s="67">
        <f>IFERROR(INDEX(tbl_Finance[Job Number],$A378),"")</f>
        <v/>
      </c>
      <c r="F378" s="67">
        <f>IFERROR(INDEX(tbl_Finance[Cost Centre],$A378),"")</f>
        <v/>
      </c>
      <c r="G378" s="68">
        <f>IFERROR(INDEX(tbl_Finance[Ex GST],$A378),"")</f>
        <v/>
      </c>
      <c r="H378" s="66">
        <f>IFERROR(INDEX(tbl_Finance[Defer Start],$A378),"")</f>
        <v/>
      </c>
      <c r="I378" s="66">
        <f>IFERROR(INDEX(tbl_Finance[Defer End],$A378),"")</f>
        <v/>
      </c>
      <c r="J378" s="65">
        <f>IF(OR($H378="",$I378="",$G378=""),"",MAX(1,(YEAR($I378)-YEAR($H378))*12+MONTH($I378)-MONTH($H378)+1))</f>
        <v/>
      </c>
      <c r="K378" s="68">
        <f>IF($J378="","",$G378/$J378)</f>
        <v/>
      </c>
      <c r="L378" s="68">
        <f>IF($J378="",0,$K378*MAX(0,MIN(YEAR($C$3)*12+MONTH($C$3),YEAR($I378)*12+MONTH($I378))-(YEAR($H378)*12+MONTH($H378))+1))</f>
        <v/>
      </c>
      <c r="M378" s="68">
        <f>IF($J378="",0,$K378*MAX(0,MIN(YEAR($C$3)*12+MONTH($C$3)-1,YEAR($I378)*12+MONTH($I378))-(YEAR($H378)*12+MONTH($H378))+1))</f>
        <v/>
      </c>
      <c r="N378" s="68">
        <f>IF(OR($J378="",$B378=""),0,IF(YEAR($B378)*12+MONTH($B378)&lt;=YEAR($C$3)*12+MONTH($C$3),$G378,0))</f>
        <v/>
      </c>
      <c r="O378" s="68">
        <f>IF(OR($J378="",$B378=""),0,IF(YEAR($B378)*12+MONTH($B378)&lt;=YEAR($C$3)*12+MONTH($C$3)-1,$G378,0))</f>
        <v/>
      </c>
      <c r="P378" s="68">
        <f>$M378-$O378</f>
        <v/>
      </c>
      <c r="Q378" s="68">
        <f>($L378-$M378)-($N378-$O378)</f>
        <v/>
      </c>
      <c r="R378" s="68">
        <f>$L378-$N378</f>
        <v/>
      </c>
      <c r="S378" s="67">
        <f>"Finance invoice"</f>
        <v/>
      </c>
      <c r="T378" s="67">
        <f>"Revenue"</f>
        <v/>
      </c>
    </row>
    <row r="379">
      <c r="A379" s="65">
        <f>ROW()-5</f>
        <v/>
      </c>
      <c r="B379" s="66">
        <f>IFERROR(INDEX(tbl_Finance[Date],$A379),"")</f>
        <v/>
      </c>
      <c r="C379" s="67">
        <f>IFERROR(INDEX(tbl_Finance[Xero Invoice No],$A379),"")</f>
        <v/>
      </c>
      <c r="D379" s="67">
        <f>IFERROR(INDEX(tbl_Finance[Client],$A379),"")</f>
        <v/>
      </c>
      <c r="E379" s="67">
        <f>IFERROR(INDEX(tbl_Finance[Job Number],$A379),"")</f>
        <v/>
      </c>
      <c r="F379" s="67">
        <f>IFERROR(INDEX(tbl_Finance[Cost Centre],$A379),"")</f>
        <v/>
      </c>
      <c r="G379" s="68">
        <f>IFERROR(INDEX(tbl_Finance[Ex GST],$A379),"")</f>
        <v/>
      </c>
      <c r="H379" s="66">
        <f>IFERROR(INDEX(tbl_Finance[Defer Start],$A379),"")</f>
        <v/>
      </c>
      <c r="I379" s="66">
        <f>IFERROR(INDEX(tbl_Finance[Defer End],$A379),"")</f>
        <v/>
      </c>
      <c r="J379" s="65">
        <f>IF(OR($H379="",$I379="",$G379=""),"",MAX(1,(YEAR($I379)-YEAR($H379))*12+MONTH($I379)-MONTH($H379)+1))</f>
        <v/>
      </c>
      <c r="K379" s="68">
        <f>IF($J379="","",$G379/$J379)</f>
        <v/>
      </c>
      <c r="L379" s="68">
        <f>IF($J379="",0,$K379*MAX(0,MIN(YEAR($C$3)*12+MONTH($C$3),YEAR($I379)*12+MONTH($I379))-(YEAR($H379)*12+MONTH($H379))+1))</f>
        <v/>
      </c>
      <c r="M379" s="68">
        <f>IF($J379="",0,$K379*MAX(0,MIN(YEAR($C$3)*12+MONTH($C$3)-1,YEAR($I379)*12+MONTH($I379))-(YEAR($H379)*12+MONTH($H379))+1))</f>
        <v/>
      </c>
      <c r="N379" s="68">
        <f>IF(OR($J379="",$B379=""),0,IF(YEAR($B379)*12+MONTH($B379)&lt;=YEAR($C$3)*12+MONTH($C$3),$G379,0))</f>
        <v/>
      </c>
      <c r="O379" s="68">
        <f>IF(OR($J379="",$B379=""),0,IF(YEAR($B379)*12+MONTH($B379)&lt;=YEAR($C$3)*12+MONTH($C$3)-1,$G379,0))</f>
        <v/>
      </c>
      <c r="P379" s="68">
        <f>$M379-$O379</f>
        <v/>
      </c>
      <c r="Q379" s="68">
        <f>($L379-$M379)-($N379-$O379)</f>
        <v/>
      </c>
      <c r="R379" s="68">
        <f>$L379-$N379</f>
        <v/>
      </c>
      <c r="S379" s="67">
        <f>"Finance invoice"</f>
        <v/>
      </c>
      <c r="T379" s="67">
        <f>"Revenue"</f>
        <v/>
      </c>
    </row>
    <row r="380">
      <c r="A380" s="65">
        <f>ROW()-5</f>
        <v/>
      </c>
      <c r="B380" s="66">
        <f>IFERROR(INDEX(tbl_Finance[Date],$A380),"")</f>
        <v/>
      </c>
      <c r="C380" s="67">
        <f>IFERROR(INDEX(tbl_Finance[Xero Invoice No],$A380),"")</f>
        <v/>
      </c>
      <c r="D380" s="67">
        <f>IFERROR(INDEX(tbl_Finance[Client],$A380),"")</f>
        <v/>
      </c>
      <c r="E380" s="67">
        <f>IFERROR(INDEX(tbl_Finance[Job Number],$A380),"")</f>
        <v/>
      </c>
      <c r="F380" s="67">
        <f>IFERROR(INDEX(tbl_Finance[Cost Centre],$A380),"")</f>
        <v/>
      </c>
      <c r="G380" s="68">
        <f>IFERROR(INDEX(tbl_Finance[Ex GST],$A380),"")</f>
        <v/>
      </c>
      <c r="H380" s="66">
        <f>IFERROR(INDEX(tbl_Finance[Defer Start],$A380),"")</f>
        <v/>
      </c>
      <c r="I380" s="66">
        <f>IFERROR(INDEX(tbl_Finance[Defer End],$A380),"")</f>
        <v/>
      </c>
      <c r="J380" s="65">
        <f>IF(OR($H380="",$I380="",$G380=""),"",MAX(1,(YEAR($I380)-YEAR($H380))*12+MONTH($I380)-MONTH($H380)+1))</f>
        <v/>
      </c>
      <c r="K380" s="68">
        <f>IF($J380="","",$G380/$J380)</f>
        <v/>
      </c>
      <c r="L380" s="68">
        <f>IF($J380="",0,$K380*MAX(0,MIN(YEAR($C$3)*12+MONTH($C$3),YEAR($I380)*12+MONTH($I380))-(YEAR($H380)*12+MONTH($H380))+1))</f>
        <v/>
      </c>
      <c r="M380" s="68">
        <f>IF($J380="",0,$K380*MAX(0,MIN(YEAR($C$3)*12+MONTH($C$3)-1,YEAR($I380)*12+MONTH($I380))-(YEAR($H380)*12+MONTH($H380))+1))</f>
        <v/>
      </c>
      <c r="N380" s="68">
        <f>IF(OR($J380="",$B380=""),0,IF(YEAR($B380)*12+MONTH($B380)&lt;=YEAR($C$3)*12+MONTH($C$3),$G380,0))</f>
        <v/>
      </c>
      <c r="O380" s="68">
        <f>IF(OR($J380="",$B380=""),0,IF(YEAR($B380)*12+MONTH($B380)&lt;=YEAR($C$3)*12+MONTH($C$3)-1,$G380,0))</f>
        <v/>
      </c>
      <c r="P380" s="68">
        <f>$M380-$O380</f>
        <v/>
      </c>
      <c r="Q380" s="68">
        <f>($L380-$M380)-($N380-$O380)</f>
        <v/>
      </c>
      <c r="R380" s="68">
        <f>$L380-$N380</f>
        <v/>
      </c>
      <c r="S380" s="67">
        <f>"Finance invoice"</f>
        <v/>
      </c>
      <c r="T380" s="67">
        <f>"Revenue"</f>
        <v/>
      </c>
    </row>
    <row r="381">
      <c r="A381" s="65">
        <f>ROW()-5</f>
        <v/>
      </c>
      <c r="B381" s="66">
        <f>IFERROR(INDEX(tbl_Finance[Date],$A381),"")</f>
        <v/>
      </c>
      <c r="C381" s="67">
        <f>IFERROR(INDEX(tbl_Finance[Xero Invoice No],$A381),"")</f>
        <v/>
      </c>
      <c r="D381" s="67">
        <f>IFERROR(INDEX(tbl_Finance[Client],$A381),"")</f>
        <v/>
      </c>
      <c r="E381" s="67">
        <f>IFERROR(INDEX(tbl_Finance[Job Number],$A381),"")</f>
        <v/>
      </c>
      <c r="F381" s="67">
        <f>IFERROR(INDEX(tbl_Finance[Cost Centre],$A381),"")</f>
        <v/>
      </c>
      <c r="G381" s="68">
        <f>IFERROR(INDEX(tbl_Finance[Ex GST],$A381),"")</f>
        <v/>
      </c>
      <c r="H381" s="66">
        <f>IFERROR(INDEX(tbl_Finance[Defer Start],$A381),"")</f>
        <v/>
      </c>
      <c r="I381" s="66">
        <f>IFERROR(INDEX(tbl_Finance[Defer End],$A381),"")</f>
        <v/>
      </c>
      <c r="J381" s="65">
        <f>IF(OR($H381="",$I381="",$G381=""),"",MAX(1,(YEAR($I381)-YEAR($H381))*12+MONTH($I381)-MONTH($H381)+1))</f>
        <v/>
      </c>
      <c r="K381" s="68">
        <f>IF($J381="","",$G381/$J381)</f>
        <v/>
      </c>
      <c r="L381" s="68">
        <f>IF($J381="",0,$K381*MAX(0,MIN(YEAR($C$3)*12+MONTH($C$3),YEAR($I381)*12+MONTH($I381))-(YEAR($H381)*12+MONTH($H381))+1))</f>
        <v/>
      </c>
      <c r="M381" s="68">
        <f>IF($J381="",0,$K381*MAX(0,MIN(YEAR($C$3)*12+MONTH($C$3)-1,YEAR($I381)*12+MONTH($I381))-(YEAR($H381)*12+MONTH($H381))+1))</f>
        <v/>
      </c>
      <c r="N381" s="68">
        <f>IF(OR($J381="",$B381=""),0,IF(YEAR($B381)*12+MONTH($B381)&lt;=YEAR($C$3)*12+MONTH($C$3),$G381,0))</f>
        <v/>
      </c>
      <c r="O381" s="68">
        <f>IF(OR($J381="",$B381=""),0,IF(YEAR($B381)*12+MONTH($B381)&lt;=YEAR($C$3)*12+MONTH($C$3)-1,$G381,0))</f>
        <v/>
      </c>
      <c r="P381" s="68">
        <f>$M381-$O381</f>
        <v/>
      </c>
      <c r="Q381" s="68">
        <f>($L381-$M381)-($N381-$O381)</f>
        <v/>
      </c>
      <c r="R381" s="68">
        <f>$L381-$N381</f>
        <v/>
      </c>
      <c r="S381" s="67">
        <f>"Finance invoice"</f>
        <v/>
      </c>
      <c r="T381" s="67">
        <f>"Revenue"</f>
        <v/>
      </c>
    </row>
    <row r="382">
      <c r="A382" s="65">
        <f>ROW()-5</f>
        <v/>
      </c>
      <c r="B382" s="66">
        <f>IFERROR(INDEX(tbl_Finance[Date],$A382),"")</f>
        <v/>
      </c>
      <c r="C382" s="67">
        <f>IFERROR(INDEX(tbl_Finance[Xero Invoice No],$A382),"")</f>
        <v/>
      </c>
      <c r="D382" s="67">
        <f>IFERROR(INDEX(tbl_Finance[Client],$A382),"")</f>
        <v/>
      </c>
      <c r="E382" s="67">
        <f>IFERROR(INDEX(tbl_Finance[Job Number],$A382),"")</f>
        <v/>
      </c>
      <c r="F382" s="67">
        <f>IFERROR(INDEX(tbl_Finance[Cost Centre],$A382),"")</f>
        <v/>
      </c>
      <c r="G382" s="68">
        <f>IFERROR(INDEX(tbl_Finance[Ex GST],$A382),"")</f>
        <v/>
      </c>
      <c r="H382" s="66">
        <f>IFERROR(INDEX(tbl_Finance[Defer Start],$A382),"")</f>
        <v/>
      </c>
      <c r="I382" s="66">
        <f>IFERROR(INDEX(tbl_Finance[Defer End],$A382),"")</f>
        <v/>
      </c>
      <c r="J382" s="65">
        <f>IF(OR($H382="",$I382="",$G382=""),"",MAX(1,(YEAR($I382)-YEAR($H382))*12+MONTH($I382)-MONTH($H382)+1))</f>
        <v/>
      </c>
      <c r="K382" s="68">
        <f>IF($J382="","",$G382/$J382)</f>
        <v/>
      </c>
      <c r="L382" s="68">
        <f>IF($J382="",0,$K382*MAX(0,MIN(YEAR($C$3)*12+MONTH($C$3),YEAR($I382)*12+MONTH($I382))-(YEAR($H382)*12+MONTH($H382))+1))</f>
        <v/>
      </c>
      <c r="M382" s="68">
        <f>IF($J382="",0,$K382*MAX(0,MIN(YEAR($C$3)*12+MONTH($C$3)-1,YEAR($I382)*12+MONTH($I382))-(YEAR($H382)*12+MONTH($H382))+1))</f>
        <v/>
      </c>
      <c r="N382" s="68">
        <f>IF(OR($J382="",$B382=""),0,IF(YEAR($B382)*12+MONTH($B382)&lt;=YEAR($C$3)*12+MONTH($C$3),$G382,0))</f>
        <v/>
      </c>
      <c r="O382" s="68">
        <f>IF(OR($J382="",$B382=""),0,IF(YEAR($B382)*12+MONTH($B382)&lt;=YEAR($C$3)*12+MONTH($C$3)-1,$G382,0))</f>
        <v/>
      </c>
      <c r="P382" s="68">
        <f>$M382-$O382</f>
        <v/>
      </c>
      <c r="Q382" s="68">
        <f>($L382-$M382)-($N382-$O382)</f>
        <v/>
      </c>
      <c r="R382" s="68">
        <f>$L382-$N382</f>
        <v/>
      </c>
      <c r="S382" s="67">
        <f>"Finance invoice"</f>
        <v/>
      </c>
      <c r="T382" s="67">
        <f>"Revenue"</f>
        <v/>
      </c>
    </row>
    <row r="383">
      <c r="A383" s="65">
        <f>ROW()-5</f>
        <v/>
      </c>
      <c r="B383" s="66">
        <f>IFERROR(INDEX(tbl_Finance[Date],$A383),"")</f>
        <v/>
      </c>
      <c r="C383" s="67">
        <f>IFERROR(INDEX(tbl_Finance[Xero Invoice No],$A383),"")</f>
        <v/>
      </c>
      <c r="D383" s="67">
        <f>IFERROR(INDEX(tbl_Finance[Client],$A383),"")</f>
        <v/>
      </c>
      <c r="E383" s="67">
        <f>IFERROR(INDEX(tbl_Finance[Job Number],$A383),"")</f>
        <v/>
      </c>
      <c r="F383" s="67">
        <f>IFERROR(INDEX(tbl_Finance[Cost Centre],$A383),"")</f>
        <v/>
      </c>
      <c r="G383" s="68">
        <f>IFERROR(INDEX(tbl_Finance[Ex GST],$A383),"")</f>
        <v/>
      </c>
      <c r="H383" s="66">
        <f>IFERROR(INDEX(tbl_Finance[Defer Start],$A383),"")</f>
        <v/>
      </c>
      <c r="I383" s="66">
        <f>IFERROR(INDEX(tbl_Finance[Defer End],$A383),"")</f>
        <v/>
      </c>
      <c r="J383" s="65">
        <f>IF(OR($H383="",$I383="",$G383=""),"",MAX(1,(YEAR($I383)-YEAR($H383))*12+MONTH($I383)-MONTH($H383)+1))</f>
        <v/>
      </c>
      <c r="K383" s="68">
        <f>IF($J383="","",$G383/$J383)</f>
        <v/>
      </c>
      <c r="L383" s="68">
        <f>IF($J383="",0,$K383*MAX(0,MIN(YEAR($C$3)*12+MONTH($C$3),YEAR($I383)*12+MONTH($I383))-(YEAR($H383)*12+MONTH($H383))+1))</f>
        <v/>
      </c>
      <c r="M383" s="68">
        <f>IF($J383="",0,$K383*MAX(0,MIN(YEAR($C$3)*12+MONTH($C$3)-1,YEAR($I383)*12+MONTH($I383))-(YEAR($H383)*12+MONTH($H383))+1))</f>
        <v/>
      </c>
      <c r="N383" s="68">
        <f>IF(OR($J383="",$B383=""),0,IF(YEAR($B383)*12+MONTH($B383)&lt;=YEAR($C$3)*12+MONTH($C$3),$G383,0))</f>
        <v/>
      </c>
      <c r="O383" s="68">
        <f>IF(OR($J383="",$B383=""),0,IF(YEAR($B383)*12+MONTH($B383)&lt;=YEAR($C$3)*12+MONTH($C$3)-1,$G383,0))</f>
        <v/>
      </c>
      <c r="P383" s="68">
        <f>$M383-$O383</f>
        <v/>
      </c>
      <c r="Q383" s="68">
        <f>($L383-$M383)-($N383-$O383)</f>
        <v/>
      </c>
      <c r="R383" s="68">
        <f>$L383-$N383</f>
        <v/>
      </c>
      <c r="S383" s="67">
        <f>"Finance invoice"</f>
        <v/>
      </c>
      <c r="T383" s="67">
        <f>"Revenue"</f>
        <v/>
      </c>
    </row>
    <row r="384">
      <c r="A384" s="65">
        <f>ROW()-5</f>
        <v/>
      </c>
      <c r="B384" s="66">
        <f>IFERROR(INDEX(tbl_Finance[Date],$A384),"")</f>
        <v/>
      </c>
      <c r="C384" s="67">
        <f>IFERROR(INDEX(tbl_Finance[Xero Invoice No],$A384),"")</f>
        <v/>
      </c>
      <c r="D384" s="67">
        <f>IFERROR(INDEX(tbl_Finance[Client],$A384),"")</f>
        <v/>
      </c>
      <c r="E384" s="67">
        <f>IFERROR(INDEX(tbl_Finance[Job Number],$A384),"")</f>
        <v/>
      </c>
      <c r="F384" s="67">
        <f>IFERROR(INDEX(tbl_Finance[Cost Centre],$A384),"")</f>
        <v/>
      </c>
      <c r="G384" s="68">
        <f>IFERROR(INDEX(tbl_Finance[Ex GST],$A384),"")</f>
        <v/>
      </c>
      <c r="H384" s="66">
        <f>IFERROR(INDEX(tbl_Finance[Defer Start],$A384),"")</f>
        <v/>
      </c>
      <c r="I384" s="66">
        <f>IFERROR(INDEX(tbl_Finance[Defer End],$A384),"")</f>
        <v/>
      </c>
      <c r="J384" s="65">
        <f>IF(OR($H384="",$I384="",$G384=""),"",MAX(1,(YEAR($I384)-YEAR($H384))*12+MONTH($I384)-MONTH($H384)+1))</f>
        <v/>
      </c>
      <c r="K384" s="68">
        <f>IF($J384="","",$G384/$J384)</f>
        <v/>
      </c>
      <c r="L384" s="68">
        <f>IF($J384="",0,$K384*MAX(0,MIN(YEAR($C$3)*12+MONTH($C$3),YEAR($I384)*12+MONTH($I384))-(YEAR($H384)*12+MONTH($H384))+1))</f>
        <v/>
      </c>
      <c r="M384" s="68">
        <f>IF($J384="",0,$K384*MAX(0,MIN(YEAR($C$3)*12+MONTH($C$3)-1,YEAR($I384)*12+MONTH($I384))-(YEAR($H384)*12+MONTH($H384))+1))</f>
        <v/>
      </c>
      <c r="N384" s="68">
        <f>IF(OR($J384="",$B384=""),0,IF(YEAR($B384)*12+MONTH($B384)&lt;=YEAR($C$3)*12+MONTH($C$3),$G384,0))</f>
        <v/>
      </c>
      <c r="O384" s="68">
        <f>IF(OR($J384="",$B384=""),0,IF(YEAR($B384)*12+MONTH($B384)&lt;=YEAR($C$3)*12+MONTH($C$3)-1,$G384,0))</f>
        <v/>
      </c>
      <c r="P384" s="68">
        <f>$M384-$O384</f>
        <v/>
      </c>
      <c r="Q384" s="68">
        <f>($L384-$M384)-($N384-$O384)</f>
        <v/>
      </c>
      <c r="R384" s="68">
        <f>$L384-$N384</f>
        <v/>
      </c>
      <c r="S384" s="67">
        <f>"Finance invoice"</f>
        <v/>
      </c>
      <c r="T384" s="67">
        <f>"Revenue"</f>
        <v/>
      </c>
    </row>
    <row r="385">
      <c r="A385" s="65">
        <f>ROW()-5</f>
        <v/>
      </c>
      <c r="B385" s="66">
        <f>IFERROR(INDEX(tbl_Finance[Date],$A385),"")</f>
        <v/>
      </c>
      <c r="C385" s="67">
        <f>IFERROR(INDEX(tbl_Finance[Xero Invoice No],$A385),"")</f>
        <v/>
      </c>
      <c r="D385" s="67">
        <f>IFERROR(INDEX(tbl_Finance[Client],$A385),"")</f>
        <v/>
      </c>
      <c r="E385" s="67">
        <f>IFERROR(INDEX(tbl_Finance[Job Number],$A385),"")</f>
        <v/>
      </c>
      <c r="F385" s="67">
        <f>IFERROR(INDEX(tbl_Finance[Cost Centre],$A385),"")</f>
        <v/>
      </c>
      <c r="G385" s="68">
        <f>IFERROR(INDEX(tbl_Finance[Ex GST],$A385),"")</f>
        <v/>
      </c>
      <c r="H385" s="66">
        <f>IFERROR(INDEX(tbl_Finance[Defer Start],$A385),"")</f>
        <v/>
      </c>
      <c r="I385" s="66">
        <f>IFERROR(INDEX(tbl_Finance[Defer End],$A385),"")</f>
        <v/>
      </c>
      <c r="J385" s="65">
        <f>IF(OR($H385="",$I385="",$G385=""),"",MAX(1,(YEAR($I385)-YEAR($H385))*12+MONTH($I385)-MONTH($H385)+1))</f>
        <v/>
      </c>
      <c r="K385" s="68">
        <f>IF($J385="","",$G385/$J385)</f>
        <v/>
      </c>
      <c r="L385" s="68">
        <f>IF($J385="",0,$K385*MAX(0,MIN(YEAR($C$3)*12+MONTH($C$3),YEAR($I385)*12+MONTH($I385))-(YEAR($H385)*12+MONTH($H385))+1))</f>
        <v/>
      </c>
      <c r="M385" s="68">
        <f>IF($J385="",0,$K385*MAX(0,MIN(YEAR($C$3)*12+MONTH($C$3)-1,YEAR($I385)*12+MONTH($I385))-(YEAR($H385)*12+MONTH($H385))+1))</f>
        <v/>
      </c>
      <c r="N385" s="68">
        <f>IF(OR($J385="",$B385=""),0,IF(YEAR($B385)*12+MONTH($B385)&lt;=YEAR($C$3)*12+MONTH($C$3),$G385,0))</f>
        <v/>
      </c>
      <c r="O385" s="68">
        <f>IF(OR($J385="",$B385=""),0,IF(YEAR($B385)*12+MONTH($B385)&lt;=YEAR($C$3)*12+MONTH($C$3)-1,$G385,0))</f>
        <v/>
      </c>
      <c r="P385" s="68">
        <f>$M385-$O385</f>
        <v/>
      </c>
      <c r="Q385" s="68">
        <f>($L385-$M385)-($N385-$O385)</f>
        <v/>
      </c>
      <c r="R385" s="68">
        <f>$L385-$N385</f>
        <v/>
      </c>
      <c r="S385" s="67">
        <f>"Finance invoice"</f>
        <v/>
      </c>
      <c r="T385" s="67">
        <f>"Revenue"</f>
        <v/>
      </c>
    </row>
    <row r="386">
      <c r="A386" s="65">
        <f>ROW()-5</f>
        <v/>
      </c>
      <c r="B386" s="66">
        <f>IFERROR(INDEX(tbl_Finance[Date],$A386),"")</f>
        <v/>
      </c>
      <c r="C386" s="67">
        <f>IFERROR(INDEX(tbl_Finance[Xero Invoice No],$A386),"")</f>
        <v/>
      </c>
      <c r="D386" s="67">
        <f>IFERROR(INDEX(tbl_Finance[Client],$A386),"")</f>
        <v/>
      </c>
      <c r="E386" s="67">
        <f>IFERROR(INDEX(tbl_Finance[Job Number],$A386),"")</f>
        <v/>
      </c>
      <c r="F386" s="67">
        <f>IFERROR(INDEX(tbl_Finance[Cost Centre],$A386),"")</f>
        <v/>
      </c>
      <c r="G386" s="68">
        <f>IFERROR(INDEX(tbl_Finance[Ex GST],$A386),"")</f>
        <v/>
      </c>
      <c r="H386" s="66">
        <f>IFERROR(INDEX(tbl_Finance[Defer Start],$A386),"")</f>
        <v/>
      </c>
      <c r="I386" s="66">
        <f>IFERROR(INDEX(tbl_Finance[Defer End],$A386),"")</f>
        <v/>
      </c>
      <c r="J386" s="65">
        <f>IF(OR($H386="",$I386="",$G386=""),"",MAX(1,(YEAR($I386)-YEAR($H386))*12+MONTH($I386)-MONTH($H386)+1))</f>
        <v/>
      </c>
      <c r="K386" s="68">
        <f>IF($J386="","",$G386/$J386)</f>
        <v/>
      </c>
      <c r="L386" s="68">
        <f>IF($J386="",0,$K386*MAX(0,MIN(YEAR($C$3)*12+MONTH($C$3),YEAR($I386)*12+MONTH($I386))-(YEAR($H386)*12+MONTH($H386))+1))</f>
        <v/>
      </c>
      <c r="M386" s="68">
        <f>IF($J386="",0,$K386*MAX(0,MIN(YEAR($C$3)*12+MONTH($C$3)-1,YEAR($I386)*12+MONTH($I386))-(YEAR($H386)*12+MONTH($H386))+1))</f>
        <v/>
      </c>
      <c r="N386" s="68">
        <f>IF(OR($J386="",$B386=""),0,IF(YEAR($B386)*12+MONTH($B386)&lt;=YEAR($C$3)*12+MONTH($C$3),$G386,0))</f>
        <v/>
      </c>
      <c r="O386" s="68">
        <f>IF(OR($J386="",$B386=""),0,IF(YEAR($B386)*12+MONTH($B386)&lt;=YEAR($C$3)*12+MONTH($C$3)-1,$G386,0))</f>
        <v/>
      </c>
      <c r="P386" s="68">
        <f>$M386-$O386</f>
        <v/>
      </c>
      <c r="Q386" s="68">
        <f>($L386-$M386)-($N386-$O386)</f>
        <v/>
      </c>
      <c r="R386" s="68">
        <f>$L386-$N386</f>
        <v/>
      </c>
      <c r="S386" s="67">
        <f>"Finance invoice"</f>
        <v/>
      </c>
      <c r="T386" s="67">
        <f>"Revenue"</f>
        <v/>
      </c>
    </row>
    <row r="387">
      <c r="A387" s="65">
        <f>ROW()-5</f>
        <v/>
      </c>
      <c r="B387" s="66">
        <f>IFERROR(INDEX(tbl_Finance[Date],$A387),"")</f>
        <v/>
      </c>
      <c r="C387" s="67">
        <f>IFERROR(INDEX(tbl_Finance[Xero Invoice No],$A387),"")</f>
        <v/>
      </c>
      <c r="D387" s="67">
        <f>IFERROR(INDEX(tbl_Finance[Client],$A387),"")</f>
        <v/>
      </c>
      <c r="E387" s="67">
        <f>IFERROR(INDEX(tbl_Finance[Job Number],$A387),"")</f>
        <v/>
      </c>
      <c r="F387" s="67">
        <f>IFERROR(INDEX(tbl_Finance[Cost Centre],$A387),"")</f>
        <v/>
      </c>
      <c r="G387" s="68">
        <f>IFERROR(INDEX(tbl_Finance[Ex GST],$A387),"")</f>
        <v/>
      </c>
      <c r="H387" s="66">
        <f>IFERROR(INDEX(tbl_Finance[Defer Start],$A387),"")</f>
        <v/>
      </c>
      <c r="I387" s="66">
        <f>IFERROR(INDEX(tbl_Finance[Defer End],$A387),"")</f>
        <v/>
      </c>
      <c r="J387" s="65">
        <f>IF(OR($H387="",$I387="",$G387=""),"",MAX(1,(YEAR($I387)-YEAR($H387))*12+MONTH($I387)-MONTH($H387)+1))</f>
        <v/>
      </c>
      <c r="K387" s="68">
        <f>IF($J387="","",$G387/$J387)</f>
        <v/>
      </c>
      <c r="L387" s="68">
        <f>IF($J387="",0,$K387*MAX(0,MIN(YEAR($C$3)*12+MONTH($C$3),YEAR($I387)*12+MONTH($I387))-(YEAR($H387)*12+MONTH($H387))+1))</f>
        <v/>
      </c>
      <c r="M387" s="68">
        <f>IF($J387="",0,$K387*MAX(0,MIN(YEAR($C$3)*12+MONTH($C$3)-1,YEAR($I387)*12+MONTH($I387))-(YEAR($H387)*12+MONTH($H387))+1))</f>
        <v/>
      </c>
      <c r="N387" s="68">
        <f>IF(OR($J387="",$B387=""),0,IF(YEAR($B387)*12+MONTH($B387)&lt;=YEAR($C$3)*12+MONTH($C$3),$G387,0))</f>
        <v/>
      </c>
      <c r="O387" s="68">
        <f>IF(OR($J387="",$B387=""),0,IF(YEAR($B387)*12+MONTH($B387)&lt;=YEAR($C$3)*12+MONTH($C$3)-1,$G387,0))</f>
        <v/>
      </c>
      <c r="P387" s="68">
        <f>$M387-$O387</f>
        <v/>
      </c>
      <c r="Q387" s="68">
        <f>($L387-$M387)-($N387-$O387)</f>
        <v/>
      </c>
      <c r="R387" s="68">
        <f>$L387-$N387</f>
        <v/>
      </c>
      <c r="S387" s="67">
        <f>"Finance invoice"</f>
        <v/>
      </c>
      <c r="T387" s="67">
        <f>"Revenue"</f>
        <v/>
      </c>
    </row>
    <row r="388">
      <c r="A388" s="65">
        <f>ROW()-5</f>
        <v/>
      </c>
      <c r="B388" s="66">
        <f>IFERROR(INDEX(tbl_Finance[Date],$A388),"")</f>
        <v/>
      </c>
      <c r="C388" s="67">
        <f>IFERROR(INDEX(tbl_Finance[Xero Invoice No],$A388),"")</f>
        <v/>
      </c>
      <c r="D388" s="67">
        <f>IFERROR(INDEX(tbl_Finance[Client],$A388),"")</f>
        <v/>
      </c>
      <c r="E388" s="67">
        <f>IFERROR(INDEX(tbl_Finance[Job Number],$A388),"")</f>
        <v/>
      </c>
      <c r="F388" s="67">
        <f>IFERROR(INDEX(tbl_Finance[Cost Centre],$A388),"")</f>
        <v/>
      </c>
      <c r="G388" s="68">
        <f>IFERROR(INDEX(tbl_Finance[Ex GST],$A388),"")</f>
        <v/>
      </c>
      <c r="H388" s="66">
        <f>IFERROR(INDEX(tbl_Finance[Defer Start],$A388),"")</f>
        <v/>
      </c>
      <c r="I388" s="66">
        <f>IFERROR(INDEX(tbl_Finance[Defer End],$A388),"")</f>
        <v/>
      </c>
      <c r="J388" s="65">
        <f>IF(OR($H388="",$I388="",$G388=""),"",MAX(1,(YEAR($I388)-YEAR($H388))*12+MONTH($I388)-MONTH($H388)+1))</f>
        <v/>
      </c>
      <c r="K388" s="68">
        <f>IF($J388="","",$G388/$J388)</f>
        <v/>
      </c>
      <c r="L388" s="68">
        <f>IF($J388="",0,$K388*MAX(0,MIN(YEAR($C$3)*12+MONTH($C$3),YEAR($I388)*12+MONTH($I388))-(YEAR($H388)*12+MONTH($H388))+1))</f>
        <v/>
      </c>
      <c r="M388" s="68">
        <f>IF($J388="",0,$K388*MAX(0,MIN(YEAR($C$3)*12+MONTH($C$3)-1,YEAR($I388)*12+MONTH($I388))-(YEAR($H388)*12+MONTH($H388))+1))</f>
        <v/>
      </c>
      <c r="N388" s="68">
        <f>IF(OR($J388="",$B388=""),0,IF(YEAR($B388)*12+MONTH($B388)&lt;=YEAR($C$3)*12+MONTH($C$3),$G388,0))</f>
        <v/>
      </c>
      <c r="O388" s="68">
        <f>IF(OR($J388="",$B388=""),0,IF(YEAR($B388)*12+MONTH($B388)&lt;=YEAR($C$3)*12+MONTH($C$3)-1,$G388,0))</f>
        <v/>
      </c>
      <c r="P388" s="68">
        <f>$M388-$O388</f>
        <v/>
      </c>
      <c r="Q388" s="68">
        <f>($L388-$M388)-($N388-$O388)</f>
        <v/>
      </c>
      <c r="R388" s="68">
        <f>$L388-$N388</f>
        <v/>
      </c>
      <c r="S388" s="67">
        <f>"Finance invoice"</f>
        <v/>
      </c>
      <c r="T388" s="67">
        <f>"Revenue"</f>
        <v/>
      </c>
    </row>
    <row r="389">
      <c r="A389" s="65">
        <f>ROW()-5</f>
        <v/>
      </c>
      <c r="B389" s="66">
        <f>IFERROR(INDEX(tbl_Finance[Date],$A389),"")</f>
        <v/>
      </c>
      <c r="C389" s="67">
        <f>IFERROR(INDEX(tbl_Finance[Xero Invoice No],$A389),"")</f>
        <v/>
      </c>
      <c r="D389" s="67">
        <f>IFERROR(INDEX(tbl_Finance[Client],$A389),"")</f>
        <v/>
      </c>
      <c r="E389" s="67">
        <f>IFERROR(INDEX(tbl_Finance[Job Number],$A389),"")</f>
        <v/>
      </c>
      <c r="F389" s="67">
        <f>IFERROR(INDEX(tbl_Finance[Cost Centre],$A389),"")</f>
        <v/>
      </c>
      <c r="G389" s="68">
        <f>IFERROR(INDEX(tbl_Finance[Ex GST],$A389),"")</f>
        <v/>
      </c>
      <c r="H389" s="66">
        <f>IFERROR(INDEX(tbl_Finance[Defer Start],$A389),"")</f>
        <v/>
      </c>
      <c r="I389" s="66">
        <f>IFERROR(INDEX(tbl_Finance[Defer End],$A389),"")</f>
        <v/>
      </c>
      <c r="J389" s="65">
        <f>IF(OR($H389="",$I389="",$G389=""),"",MAX(1,(YEAR($I389)-YEAR($H389))*12+MONTH($I389)-MONTH($H389)+1))</f>
        <v/>
      </c>
      <c r="K389" s="68">
        <f>IF($J389="","",$G389/$J389)</f>
        <v/>
      </c>
      <c r="L389" s="68">
        <f>IF($J389="",0,$K389*MAX(0,MIN(YEAR($C$3)*12+MONTH($C$3),YEAR($I389)*12+MONTH($I389))-(YEAR($H389)*12+MONTH($H389))+1))</f>
        <v/>
      </c>
      <c r="M389" s="68">
        <f>IF($J389="",0,$K389*MAX(0,MIN(YEAR($C$3)*12+MONTH($C$3)-1,YEAR($I389)*12+MONTH($I389))-(YEAR($H389)*12+MONTH($H389))+1))</f>
        <v/>
      </c>
      <c r="N389" s="68">
        <f>IF(OR($J389="",$B389=""),0,IF(YEAR($B389)*12+MONTH($B389)&lt;=YEAR($C$3)*12+MONTH($C$3),$G389,0))</f>
        <v/>
      </c>
      <c r="O389" s="68">
        <f>IF(OR($J389="",$B389=""),0,IF(YEAR($B389)*12+MONTH($B389)&lt;=YEAR($C$3)*12+MONTH($C$3)-1,$G389,0))</f>
        <v/>
      </c>
      <c r="P389" s="68">
        <f>$M389-$O389</f>
        <v/>
      </c>
      <c r="Q389" s="68">
        <f>($L389-$M389)-($N389-$O389)</f>
        <v/>
      </c>
      <c r="R389" s="68">
        <f>$L389-$N389</f>
        <v/>
      </c>
      <c r="S389" s="67">
        <f>"Finance invoice"</f>
        <v/>
      </c>
      <c r="T389" s="67">
        <f>"Revenue"</f>
        <v/>
      </c>
    </row>
    <row r="390">
      <c r="A390" s="65">
        <f>ROW()-5</f>
        <v/>
      </c>
      <c r="B390" s="66">
        <f>IFERROR(INDEX(tbl_Finance[Date],$A390),"")</f>
        <v/>
      </c>
      <c r="C390" s="67">
        <f>IFERROR(INDEX(tbl_Finance[Xero Invoice No],$A390),"")</f>
        <v/>
      </c>
      <c r="D390" s="67">
        <f>IFERROR(INDEX(tbl_Finance[Client],$A390),"")</f>
        <v/>
      </c>
      <c r="E390" s="67">
        <f>IFERROR(INDEX(tbl_Finance[Job Number],$A390),"")</f>
        <v/>
      </c>
      <c r="F390" s="67">
        <f>IFERROR(INDEX(tbl_Finance[Cost Centre],$A390),"")</f>
        <v/>
      </c>
      <c r="G390" s="68">
        <f>IFERROR(INDEX(tbl_Finance[Ex GST],$A390),"")</f>
        <v/>
      </c>
      <c r="H390" s="66">
        <f>IFERROR(INDEX(tbl_Finance[Defer Start],$A390),"")</f>
        <v/>
      </c>
      <c r="I390" s="66">
        <f>IFERROR(INDEX(tbl_Finance[Defer End],$A390),"")</f>
        <v/>
      </c>
      <c r="J390" s="65">
        <f>IF(OR($H390="",$I390="",$G390=""),"",MAX(1,(YEAR($I390)-YEAR($H390))*12+MONTH($I390)-MONTH($H390)+1))</f>
        <v/>
      </c>
      <c r="K390" s="68">
        <f>IF($J390="","",$G390/$J390)</f>
        <v/>
      </c>
      <c r="L390" s="68">
        <f>IF($J390="",0,$K390*MAX(0,MIN(YEAR($C$3)*12+MONTH($C$3),YEAR($I390)*12+MONTH($I390))-(YEAR($H390)*12+MONTH($H390))+1))</f>
        <v/>
      </c>
      <c r="M390" s="68">
        <f>IF($J390="",0,$K390*MAX(0,MIN(YEAR($C$3)*12+MONTH($C$3)-1,YEAR($I390)*12+MONTH($I390))-(YEAR($H390)*12+MONTH($H390))+1))</f>
        <v/>
      </c>
      <c r="N390" s="68">
        <f>IF(OR($J390="",$B390=""),0,IF(YEAR($B390)*12+MONTH($B390)&lt;=YEAR($C$3)*12+MONTH($C$3),$G390,0))</f>
        <v/>
      </c>
      <c r="O390" s="68">
        <f>IF(OR($J390="",$B390=""),0,IF(YEAR($B390)*12+MONTH($B390)&lt;=YEAR($C$3)*12+MONTH($C$3)-1,$G390,0))</f>
        <v/>
      </c>
      <c r="P390" s="68">
        <f>$M390-$O390</f>
        <v/>
      </c>
      <c r="Q390" s="68">
        <f>($L390-$M390)-($N390-$O390)</f>
        <v/>
      </c>
      <c r="R390" s="68">
        <f>$L390-$N390</f>
        <v/>
      </c>
      <c r="S390" s="67">
        <f>"Finance invoice"</f>
        <v/>
      </c>
      <c r="T390" s="67">
        <f>"Revenue"</f>
        <v/>
      </c>
    </row>
    <row r="391">
      <c r="A391" s="65">
        <f>ROW()-5</f>
        <v/>
      </c>
      <c r="B391" s="66">
        <f>IFERROR(INDEX(tbl_Finance[Date],$A391),"")</f>
        <v/>
      </c>
      <c r="C391" s="67">
        <f>IFERROR(INDEX(tbl_Finance[Xero Invoice No],$A391),"")</f>
        <v/>
      </c>
      <c r="D391" s="67">
        <f>IFERROR(INDEX(tbl_Finance[Client],$A391),"")</f>
        <v/>
      </c>
      <c r="E391" s="67">
        <f>IFERROR(INDEX(tbl_Finance[Job Number],$A391),"")</f>
        <v/>
      </c>
      <c r="F391" s="67">
        <f>IFERROR(INDEX(tbl_Finance[Cost Centre],$A391),"")</f>
        <v/>
      </c>
      <c r="G391" s="68">
        <f>IFERROR(INDEX(tbl_Finance[Ex GST],$A391),"")</f>
        <v/>
      </c>
      <c r="H391" s="66">
        <f>IFERROR(INDEX(tbl_Finance[Defer Start],$A391),"")</f>
        <v/>
      </c>
      <c r="I391" s="66">
        <f>IFERROR(INDEX(tbl_Finance[Defer End],$A391),"")</f>
        <v/>
      </c>
      <c r="J391" s="65">
        <f>IF(OR($H391="",$I391="",$G391=""),"",MAX(1,(YEAR($I391)-YEAR($H391))*12+MONTH($I391)-MONTH($H391)+1))</f>
        <v/>
      </c>
      <c r="K391" s="68">
        <f>IF($J391="","",$G391/$J391)</f>
        <v/>
      </c>
      <c r="L391" s="68">
        <f>IF($J391="",0,$K391*MAX(0,MIN(YEAR($C$3)*12+MONTH($C$3),YEAR($I391)*12+MONTH($I391))-(YEAR($H391)*12+MONTH($H391))+1))</f>
        <v/>
      </c>
      <c r="M391" s="68">
        <f>IF($J391="",0,$K391*MAX(0,MIN(YEAR($C$3)*12+MONTH($C$3)-1,YEAR($I391)*12+MONTH($I391))-(YEAR($H391)*12+MONTH($H391))+1))</f>
        <v/>
      </c>
      <c r="N391" s="68">
        <f>IF(OR($J391="",$B391=""),0,IF(YEAR($B391)*12+MONTH($B391)&lt;=YEAR($C$3)*12+MONTH($C$3),$G391,0))</f>
        <v/>
      </c>
      <c r="O391" s="68">
        <f>IF(OR($J391="",$B391=""),0,IF(YEAR($B391)*12+MONTH($B391)&lt;=YEAR($C$3)*12+MONTH($C$3)-1,$G391,0))</f>
        <v/>
      </c>
      <c r="P391" s="68">
        <f>$M391-$O391</f>
        <v/>
      </c>
      <c r="Q391" s="68">
        <f>($L391-$M391)-($N391-$O391)</f>
        <v/>
      </c>
      <c r="R391" s="68">
        <f>$L391-$N391</f>
        <v/>
      </c>
      <c r="S391" s="67">
        <f>"Finance invoice"</f>
        <v/>
      </c>
      <c r="T391" s="67">
        <f>"Revenue"</f>
        <v/>
      </c>
    </row>
    <row r="392">
      <c r="A392" s="65">
        <f>ROW()-5</f>
        <v/>
      </c>
      <c r="B392" s="66">
        <f>IFERROR(INDEX(tbl_Finance[Date],$A392),"")</f>
        <v/>
      </c>
      <c r="C392" s="67">
        <f>IFERROR(INDEX(tbl_Finance[Xero Invoice No],$A392),"")</f>
        <v/>
      </c>
      <c r="D392" s="67">
        <f>IFERROR(INDEX(tbl_Finance[Client],$A392),"")</f>
        <v/>
      </c>
      <c r="E392" s="67">
        <f>IFERROR(INDEX(tbl_Finance[Job Number],$A392),"")</f>
        <v/>
      </c>
      <c r="F392" s="67">
        <f>IFERROR(INDEX(tbl_Finance[Cost Centre],$A392),"")</f>
        <v/>
      </c>
      <c r="G392" s="68">
        <f>IFERROR(INDEX(tbl_Finance[Ex GST],$A392),"")</f>
        <v/>
      </c>
      <c r="H392" s="66">
        <f>IFERROR(INDEX(tbl_Finance[Defer Start],$A392),"")</f>
        <v/>
      </c>
      <c r="I392" s="66">
        <f>IFERROR(INDEX(tbl_Finance[Defer End],$A392),"")</f>
        <v/>
      </c>
      <c r="J392" s="65">
        <f>IF(OR($H392="",$I392="",$G392=""),"",MAX(1,(YEAR($I392)-YEAR($H392))*12+MONTH($I392)-MONTH($H392)+1))</f>
        <v/>
      </c>
      <c r="K392" s="68">
        <f>IF($J392="","",$G392/$J392)</f>
        <v/>
      </c>
      <c r="L392" s="68">
        <f>IF($J392="",0,$K392*MAX(0,MIN(YEAR($C$3)*12+MONTH($C$3),YEAR($I392)*12+MONTH($I392))-(YEAR($H392)*12+MONTH($H392))+1))</f>
        <v/>
      </c>
      <c r="M392" s="68">
        <f>IF($J392="",0,$K392*MAX(0,MIN(YEAR($C$3)*12+MONTH($C$3)-1,YEAR($I392)*12+MONTH($I392))-(YEAR($H392)*12+MONTH($H392))+1))</f>
        <v/>
      </c>
      <c r="N392" s="68">
        <f>IF(OR($J392="",$B392=""),0,IF(YEAR($B392)*12+MONTH($B392)&lt;=YEAR($C$3)*12+MONTH($C$3),$G392,0))</f>
        <v/>
      </c>
      <c r="O392" s="68">
        <f>IF(OR($J392="",$B392=""),0,IF(YEAR($B392)*12+MONTH($B392)&lt;=YEAR($C$3)*12+MONTH($C$3)-1,$G392,0))</f>
        <v/>
      </c>
      <c r="P392" s="68">
        <f>$M392-$O392</f>
        <v/>
      </c>
      <c r="Q392" s="68">
        <f>($L392-$M392)-($N392-$O392)</f>
        <v/>
      </c>
      <c r="R392" s="68">
        <f>$L392-$N392</f>
        <v/>
      </c>
      <c r="S392" s="67">
        <f>"Finance invoice"</f>
        <v/>
      </c>
      <c r="T392" s="67">
        <f>"Revenue"</f>
        <v/>
      </c>
    </row>
    <row r="393">
      <c r="A393" s="65">
        <f>ROW()-5</f>
        <v/>
      </c>
      <c r="B393" s="66">
        <f>IFERROR(INDEX(tbl_Finance[Date],$A393),"")</f>
        <v/>
      </c>
      <c r="C393" s="67">
        <f>IFERROR(INDEX(tbl_Finance[Xero Invoice No],$A393),"")</f>
        <v/>
      </c>
      <c r="D393" s="67">
        <f>IFERROR(INDEX(tbl_Finance[Client],$A393),"")</f>
        <v/>
      </c>
      <c r="E393" s="67">
        <f>IFERROR(INDEX(tbl_Finance[Job Number],$A393),"")</f>
        <v/>
      </c>
      <c r="F393" s="67">
        <f>IFERROR(INDEX(tbl_Finance[Cost Centre],$A393),"")</f>
        <v/>
      </c>
      <c r="G393" s="68">
        <f>IFERROR(INDEX(tbl_Finance[Ex GST],$A393),"")</f>
        <v/>
      </c>
      <c r="H393" s="66">
        <f>IFERROR(INDEX(tbl_Finance[Defer Start],$A393),"")</f>
        <v/>
      </c>
      <c r="I393" s="66">
        <f>IFERROR(INDEX(tbl_Finance[Defer End],$A393),"")</f>
        <v/>
      </c>
      <c r="J393" s="65">
        <f>IF(OR($H393="",$I393="",$G393=""),"",MAX(1,(YEAR($I393)-YEAR($H393))*12+MONTH($I393)-MONTH($H393)+1))</f>
        <v/>
      </c>
      <c r="K393" s="68">
        <f>IF($J393="","",$G393/$J393)</f>
        <v/>
      </c>
      <c r="L393" s="68">
        <f>IF($J393="",0,$K393*MAX(0,MIN(YEAR($C$3)*12+MONTH($C$3),YEAR($I393)*12+MONTH($I393))-(YEAR($H393)*12+MONTH($H393))+1))</f>
        <v/>
      </c>
      <c r="M393" s="68">
        <f>IF($J393="",0,$K393*MAX(0,MIN(YEAR($C$3)*12+MONTH($C$3)-1,YEAR($I393)*12+MONTH($I393))-(YEAR($H393)*12+MONTH($H393))+1))</f>
        <v/>
      </c>
      <c r="N393" s="68">
        <f>IF(OR($J393="",$B393=""),0,IF(YEAR($B393)*12+MONTH($B393)&lt;=YEAR($C$3)*12+MONTH($C$3),$G393,0))</f>
        <v/>
      </c>
      <c r="O393" s="68">
        <f>IF(OR($J393="",$B393=""),0,IF(YEAR($B393)*12+MONTH($B393)&lt;=YEAR($C$3)*12+MONTH($C$3)-1,$G393,0))</f>
        <v/>
      </c>
      <c r="P393" s="68">
        <f>$M393-$O393</f>
        <v/>
      </c>
      <c r="Q393" s="68">
        <f>($L393-$M393)-($N393-$O393)</f>
        <v/>
      </c>
      <c r="R393" s="68">
        <f>$L393-$N393</f>
        <v/>
      </c>
      <c r="S393" s="67">
        <f>"Finance invoice"</f>
        <v/>
      </c>
      <c r="T393" s="67">
        <f>"Revenue"</f>
        <v/>
      </c>
    </row>
    <row r="394">
      <c r="A394" s="65">
        <f>ROW()-5</f>
        <v/>
      </c>
      <c r="B394" s="66">
        <f>IFERROR(INDEX(tbl_Finance[Date],$A394),"")</f>
        <v/>
      </c>
      <c r="C394" s="67">
        <f>IFERROR(INDEX(tbl_Finance[Xero Invoice No],$A394),"")</f>
        <v/>
      </c>
      <c r="D394" s="67">
        <f>IFERROR(INDEX(tbl_Finance[Client],$A394),"")</f>
        <v/>
      </c>
      <c r="E394" s="67">
        <f>IFERROR(INDEX(tbl_Finance[Job Number],$A394),"")</f>
        <v/>
      </c>
      <c r="F394" s="67">
        <f>IFERROR(INDEX(tbl_Finance[Cost Centre],$A394),"")</f>
        <v/>
      </c>
      <c r="G394" s="68">
        <f>IFERROR(INDEX(tbl_Finance[Ex GST],$A394),"")</f>
        <v/>
      </c>
      <c r="H394" s="66">
        <f>IFERROR(INDEX(tbl_Finance[Defer Start],$A394),"")</f>
        <v/>
      </c>
      <c r="I394" s="66">
        <f>IFERROR(INDEX(tbl_Finance[Defer End],$A394),"")</f>
        <v/>
      </c>
      <c r="J394" s="65">
        <f>IF(OR($H394="",$I394="",$G394=""),"",MAX(1,(YEAR($I394)-YEAR($H394))*12+MONTH($I394)-MONTH($H394)+1))</f>
        <v/>
      </c>
      <c r="K394" s="68">
        <f>IF($J394="","",$G394/$J394)</f>
        <v/>
      </c>
      <c r="L394" s="68">
        <f>IF($J394="",0,$K394*MAX(0,MIN(YEAR($C$3)*12+MONTH($C$3),YEAR($I394)*12+MONTH($I394))-(YEAR($H394)*12+MONTH($H394))+1))</f>
        <v/>
      </c>
      <c r="M394" s="68">
        <f>IF($J394="",0,$K394*MAX(0,MIN(YEAR($C$3)*12+MONTH($C$3)-1,YEAR($I394)*12+MONTH($I394))-(YEAR($H394)*12+MONTH($H394))+1))</f>
        <v/>
      </c>
      <c r="N394" s="68">
        <f>IF(OR($J394="",$B394=""),0,IF(YEAR($B394)*12+MONTH($B394)&lt;=YEAR($C$3)*12+MONTH($C$3),$G394,0))</f>
        <v/>
      </c>
      <c r="O394" s="68">
        <f>IF(OR($J394="",$B394=""),0,IF(YEAR($B394)*12+MONTH($B394)&lt;=YEAR($C$3)*12+MONTH($C$3)-1,$G394,0))</f>
        <v/>
      </c>
      <c r="P394" s="68">
        <f>$M394-$O394</f>
        <v/>
      </c>
      <c r="Q394" s="68">
        <f>($L394-$M394)-($N394-$O394)</f>
        <v/>
      </c>
      <c r="R394" s="68">
        <f>$L394-$N394</f>
        <v/>
      </c>
      <c r="S394" s="67">
        <f>"Finance invoice"</f>
        <v/>
      </c>
      <c r="T394" s="67">
        <f>"Revenue"</f>
        <v/>
      </c>
    </row>
    <row r="395">
      <c r="A395" s="65">
        <f>ROW()-5</f>
        <v/>
      </c>
      <c r="B395" s="66">
        <f>IFERROR(INDEX(tbl_Finance[Date],$A395),"")</f>
        <v/>
      </c>
      <c r="C395" s="67">
        <f>IFERROR(INDEX(tbl_Finance[Xero Invoice No],$A395),"")</f>
        <v/>
      </c>
      <c r="D395" s="67">
        <f>IFERROR(INDEX(tbl_Finance[Client],$A395),"")</f>
        <v/>
      </c>
      <c r="E395" s="67">
        <f>IFERROR(INDEX(tbl_Finance[Job Number],$A395),"")</f>
        <v/>
      </c>
      <c r="F395" s="67">
        <f>IFERROR(INDEX(tbl_Finance[Cost Centre],$A395),"")</f>
        <v/>
      </c>
      <c r="G395" s="68">
        <f>IFERROR(INDEX(tbl_Finance[Ex GST],$A395),"")</f>
        <v/>
      </c>
      <c r="H395" s="66">
        <f>IFERROR(INDEX(tbl_Finance[Defer Start],$A395),"")</f>
        <v/>
      </c>
      <c r="I395" s="66">
        <f>IFERROR(INDEX(tbl_Finance[Defer End],$A395),"")</f>
        <v/>
      </c>
      <c r="J395" s="65">
        <f>IF(OR($H395="",$I395="",$G395=""),"",MAX(1,(YEAR($I395)-YEAR($H395))*12+MONTH($I395)-MONTH($H395)+1))</f>
        <v/>
      </c>
      <c r="K395" s="68">
        <f>IF($J395="","",$G395/$J395)</f>
        <v/>
      </c>
      <c r="L395" s="68">
        <f>IF($J395="",0,$K395*MAX(0,MIN(YEAR($C$3)*12+MONTH($C$3),YEAR($I395)*12+MONTH($I395))-(YEAR($H395)*12+MONTH($H395))+1))</f>
        <v/>
      </c>
      <c r="M395" s="68">
        <f>IF($J395="",0,$K395*MAX(0,MIN(YEAR($C$3)*12+MONTH($C$3)-1,YEAR($I395)*12+MONTH($I395))-(YEAR($H395)*12+MONTH($H395))+1))</f>
        <v/>
      </c>
      <c r="N395" s="68">
        <f>IF(OR($J395="",$B395=""),0,IF(YEAR($B395)*12+MONTH($B395)&lt;=YEAR($C$3)*12+MONTH($C$3),$G395,0))</f>
        <v/>
      </c>
      <c r="O395" s="68">
        <f>IF(OR($J395="",$B395=""),0,IF(YEAR($B395)*12+MONTH($B395)&lt;=YEAR($C$3)*12+MONTH($C$3)-1,$G395,0))</f>
        <v/>
      </c>
      <c r="P395" s="68">
        <f>$M395-$O395</f>
        <v/>
      </c>
      <c r="Q395" s="68">
        <f>($L395-$M395)-($N395-$O395)</f>
        <v/>
      </c>
      <c r="R395" s="68">
        <f>$L395-$N395</f>
        <v/>
      </c>
      <c r="S395" s="67">
        <f>"Finance invoice"</f>
        <v/>
      </c>
      <c r="T395" s="67">
        <f>"Revenue"</f>
        <v/>
      </c>
    </row>
    <row r="396">
      <c r="A396" s="65">
        <f>ROW()-5</f>
        <v/>
      </c>
      <c r="B396" s="66">
        <f>IFERROR(INDEX(tbl_Finance[Date],$A396),"")</f>
        <v/>
      </c>
      <c r="C396" s="67">
        <f>IFERROR(INDEX(tbl_Finance[Xero Invoice No],$A396),"")</f>
        <v/>
      </c>
      <c r="D396" s="67">
        <f>IFERROR(INDEX(tbl_Finance[Client],$A396),"")</f>
        <v/>
      </c>
      <c r="E396" s="67">
        <f>IFERROR(INDEX(tbl_Finance[Job Number],$A396),"")</f>
        <v/>
      </c>
      <c r="F396" s="67">
        <f>IFERROR(INDEX(tbl_Finance[Cost Centre],$A396),"")</f>
        <v/>
      </c>
      <c r="G396" s="68">
        <f>IFERROR(INDEX(tbl_Finance[Ex GST],$A396),"")</f>
        <v/>
      </c>
      <c r="H396" s="66">
        <f>IFERROR(INDEX(tbl_Finance[Defer Start],$A396),"")</f>
        <v/>
      </c>
      <c r="I396" s="66">
        <f>IFERROR(INDEX(tbl_Finance[Defer End],$A396),"")</f>
        <v/>
      </c>
      <c r="J396" s="65">
        <f>IF(OR($H396="",$I396="",$G396=""),"",MAX(1,(YEAR($I396)-YEAR($H396))*12+MONTH($I396)-MONTH($H396)+1))</f>
        <v/>
      </c>
      <c r="K396" s="68">
        <f>IF($J396="","",$G396/$J396)</f>
        <v/>
      </c>
      <c r="L396" s="68">
        <f>IF($J396="",0,$K396*MAX(0,MIN(YEAR($C$3)*12+MONTH($C$3),YEAR($I396)*12+MONTH($I396))-(YEAR($H396)*12+MONTH($H396))+1))</f>
        <v/>
      </c>
      <c r="M396" s="68">
        <f>IF($J396="",0,$K396*MAX(0,MIN(YEAR($C$3)*12+MONTH($C$3)-1,YEAR($I396)*12+MONTH($I396))-(YEAR($H396)*12+MONTH($H396))+1))</f>
        <v/>
      </c>
      <c r="N396" s="68">
        <f>IF(OR($J396="",$B396=""),0,IF(YEAR($B396)*12+MONTH($B396)&lt;=YEAR($C$3)*12+MONTH($C$3),$G396,0))</f>
        <v/>
      </c>
      <c r="O396" s="68">
        <f>IF(OR($J396="",$B396=""),0,IF(YEAR($B396)*12+MONTH($B396)&lt;=YEAR($C$3)*12+MONTH($C$3)-1,$G396,0))</f>
        <v/>
      </c>
      <c r="P396" s="68">
        <f>$M396-$O396</f>
        <v/>
      </c>
      <c r="Q396" s="68">
        <f>($L396-$M396)-($N396-$O396)</f>
        <v/>
      </c>
      <c r="R396" s="68">
        <f>$L396-$N396</f>
        <v/>
      </c>
      <c r="S396" s="67">
        <f>"Finance invoice"</f>
        <v/>
      </c>
      <c r="T396" s="67">
        <f>"Revenue"</f>
        <v/>
      </c>
    </row>
    <row r="397">
      <c r="A397" s="65">
        <f>ROW()-5</f>
        <v/>
      </c>
      <c r="B397" s="66">
        <f>IFERROR(INDEX(tbl_Finance[Date],$A397),"")</f>
        <v/>
      </c>
      <c r="C397" s="67">
        <f>IFERROR(INDEX(tbl_Finance[Xero Invoice No],$A397),"")</f>
        <v/>
      </c>
      <c r="D397" s="67">
        <f>IFERROR(INDEX(tbl_Finance[Client],$A397),"")</f>
        <v/>
      </c>
      <c r="E397" s="67">
        <f>IFERROR(INDEX(tbl_Finance[Job Number],$A397),"")</f>
        <v/>
      </c>
      <c r="F397" s="67">
        <f>IFERROR(INDEX(tbl_Finance[Cost Centre],$A397),"")</f>
        <v/>
      </c>
      <c r="G397" s="68">
        <f>IFERROR(INDEX(tbl_Finance[Ex GST],$A397),"")</f>
        <v/>
      </c>
      <c r="H397" s="66">
        <f>IFERROR(INDEX(tbl_Finance[Defer Start],$A397),"")</f>
        <v/>
      </c>
      <c r="I397" s="66">
        <f>IFERROR(INDEX(tbl_Finance[Defer End],$A397),"")</f>
        <v/>
      </c>
      <c r="J397" s="65">
        <f>IF(OR($H397="",$I397="",$G397=""),"",MAX(1,(YEAR($I397)-YEAR($H397))*12+MONTH($I397)-MONTH($H397)+1))</f>
        <v/>
      </c>
      <c r="K397" s="68">
        <f>IF($J397="","",$G397/$J397)</f>
        <v/>
      </c>
      <c r="L397" s="68">
        <f>IF($J397="",0,$K397*MAX(0,MIN(YEAR($C$3)*12+MONTH($C$3),YEAR($I397)*12+MONTH($I397))-(YEAR($H397)*12+MONTH($H397))+1))</f>
        <v/>
      </c>
      <c r="M397" s="68">
        <f>IF($J397="",0,$K397*MAX(0,MIN(YEAR($C$3)*12+MONTH($C$3)-1,YEAR($I397)*12+MONTH($I397))-(YEAR($H397)*12+MONTH($H397))+1))</f>
        <v/>
      </c>
      <c r="N397" s="68">
        <f>IF(OR($J397="",$B397=""),0,IF(YEAR($B397)*12+MONTH($B397)&lt;=YEAR($C$3)*12+MONTH($C$3),$G397,0))</f>
        <v/>
      </c>
      <c r="O397" s="68">
        <f>IF(OR($J397="",$B397=""),0,IF(YEAR($B397)*12+MONTH($B397)&lt;=YEAR($C$3)*12+MONTH($C$3)-1,$G397,0))</f>
        <v/>
      </c>
      <c r="P397" s="68">
        <f>$M397-$O397</f>
        <v/>
      </c>
      <c r="Q397" s="68">
        <f>($L397-$M397)-($N397-$O397)</f>
        <v/>
      </c>
      <c r="R397" s="68">
        <f>$L397-$N397</f>
        <v/>
      </c>
      <c r="S397" s="67">
        <f>"Finance invoice"</f>
        <v/>
      </c>
      <c r="T397" s="67">
        <f>"Revenue"</f>
        <v/>
      </c>
    </row>
    <row r="398">
      <c r="A398" s="65">
        <f>ROW()-5</f>
        <v/>
      </c>
      <c r="B398" s="66">
        <f>IFERROR(INDEX(tbl_Finance[Date],$A398),"")</f>
        <v/>
      </c>
      <c r="C398" s="67">
        <f>IFERROR(INDEX(tbl_Finance[Xero Invoice No],$A398),"")</f>
        <v/>
      </c>
      <c r="D398" s="67">
        <f>IFERROR(INDEX(tbl_Finance[Client],$A398),"")</f>
        <v/>
      </c>
      <c r="E398" s="67">
        <f>IFERROR(INDEX(tbl_Finance[Job Number],$A398),"")</f>
        <v/>
      </c>
      <c r="F398" s="67">
        <f>IFERROR(INDEX(tbl_Finance[Cost Centre],$A398),"")</f>
        <v/>
      </c>
      <c r="G398" s="68">
        <f>IFERROR(INDEX(tbl_Finance[Ex GST],$A398),"")</f>
        <v/>
      </c>
      <c r="H398" s="66">
        <f>IFERROR(INDEX(tbl_Finance[Defer Start],$A398),"")</f>
        <v/>
      </c>
      <c r="I398" s="66">
        <f>IFERROR(INDEX(tbl_Finance[Defer End],$A398),"")</f>
        <v/>
      </c>
      <c r="J398" s="65">
        <f>IF(OR($H398="",$I398="",$G398=""),"",MAX(1,(YEAR($I398)-YEAR($H398))*12+MONTH($I398)-MONTH($H398)+1))</f>
        <v/>
      </c>
      <c r="K398" s="68">
        <f>IF($J398="","",$G398/$J398)</f>
        <v/>
      </c>
      <c r="L398" s="68">
        <f>IF($J398="",0,$K398*MAX(0,MIN(YEAR($C$3)*12+MONTH($C$3),YEAR($I398)*12+MONTH($I398))-(YEAR($H398)*12+MONTH($H398))+1))</f>
        <v/>
      </c>
      <c r="M398" s="68">
        <f>IF($J398="",0,$K398*MAX(0,MIN(YEAR($C$3)*12+MONTH($C$3)-1,YEAR($I398)*12+MONTH($I398))-(YEAR($H398)*12+MONTH($H398))+1))</f>
        <v/>
      </c>
      <c r="N398" s="68">
        <f>IF(OR($J398="",$B398=""),0,IF(YEAR($B398)*12+MONTH($B398)&lt;=YEAR($C$3)*12+MONTH($C$3),$G398,0))</f>
        <v/>
      </c>
      <c r="O398" s="68">
        <f>IF(OR($J398="",$B398=""),0,IF(YEAR($B398)*12+MONTH($B398)&lt;=YEAR($C$3)*12+MONTH($C$3)-1,$G398,0))</f>
        <v/>
      </c>
      <c r="P398" s="68">
        <f>$M398-$O398</f>
        <v/>
      </c>
      <c r="Q398" s="68">
        <f>($L398-$M398)-($N398-$O398)</f>
        <v/>
      </c>
      <c r="R398" s="68">
        <f>$L398-$N398</f>
        <v/>
      </c>
      <c r="S398" s="67">
        <f>"Finance invoice"</f>
        <v/>
      </c>
      <c r="T398" s="67">
        <f>"Revenue"</f>
        <v/>
      </c>
    </row>
    <row r="399">
      <c r="A399" s="65">
        <f>ROW()-5</f>
        <v/>
      </c>
      <c r="B399" s="66">
        <f>IFERROR(INDEX(tbl_Finance[Date],$A399),"")</f>
        <v/>
      </c>
      <c r="C399" s="67">
        <f>IFERROR(INDEX(tbl_Finance[Xero Invoice No],$A399),"")</f>
        <v/>
      </c>
      <c r="D399" s="67">
        <f>IFERROR(INDEX(tbl_Finance[Client],$A399),"")</f>
        <v/>
      </c>
      <c r="E399" s="67">
        <f>IFERROR(INDEX(tbl_Finance[Job Number],$A399),"")</f>
        <v/>
      </c>
      <c r="F399" s="67">
        <f>IFERROR(INDEX(tbl_Finance[Cost Centre],$A399),"")</f>
        <v/>
      </c>
      <c r="G399" s="68">
        <f>IFERROR(INDEX(tbl_Finance[Ex GST],$A399),"")</f>
        <v/>
      </c>
      <c r="H399" s="66">
        <f>IFERROR(INDEX(tbl_Finance[Defer Start],$A399),"")</f>
        <v/>
      </c>
      <c r="I399" s="66">
        <f>IFERROR(INDEX(tbl_Finance[Defer End],$A399),"")</f>
        <v/>
      </c>
      <c r="J399" s="65">
        <f>IF(OR($H399="",$I399="",$G399=""),"",MAX(1,(YEAR($I399)-YEAR($H399))*12+MONTH($I399)-MONTH($H399)+1))</f>
        <v/>
      </c>
      <c r="K399" s="68">
        <f>IF($J399="","",$G399/$J399)</f>
        <v/>
      </c>
      <c r="L399" s="68">
        <f>IF($J399="",0,$K399*MAX(0,MIN(YEAR($C$3)*12+MONTH($C$3),YEAR($I399)*12+MONTH($I399))-(YEAR($H399)*12+MONTH($H399))+1))</f>
        <v/>
      </c>
      <c r="M399" s="68">
        <f>IF($J399="",0,$K399*MAX(0,MIN(YEAR($C$3)*12+MONTH($C$3)-1,YEAR($I399)*12+MONTH($I399))-(YEAR($H399)*12+MONTH($H399))+1))</f>
        <v/>
      </c>
      <c r="N399" s="68">
        <f>IF(OR($J399="",$B399=""),0,IF(YEAR($B399)*12+MONTH($B399)&lt;=YEAR($C$3)*12+MONTH($C$3),$G399,0))</f>
        <v/>
      </c>
      <c r="O399" s="68">
        <f>IF(OR($J399="",$B399=""),0,IF(YEAR($B399)*12+MONTH($B399)&lt;=YEAR($C$3)*12+MONTH($C$3)-1,$G399,0))</f>
        <v/>
      </c>
      <c r="P399" s="68">
        <f>$M399-$O399</f>
        <v/>
      </c>
      <c r="Q399" s="68">
        <f>($L399-$M399)-($N399-$O399)</f>
        <v/>
      </c>
      <c r="R399" s="68">
        <f>$L399-$N399</f>
        <v/>
      </c>
      <c r="S399" s="67">
        <f>"Finance invoice"</f>
        <v/>
      </c>
      <c r="T399" s="67">
        <f>"Revenue"</f>
        <v/>
      </c>
    </row>
    <row r="400">
      <c r="A400" s="65">
        <f>ROW()-5</f>
        <v/>
      </c>
      <c r="B400" s="66">
        <f>IFERROR(INDEX(tbl_Finance[Date],$A400),"")</f>
        <v/>
      </c>
      <c r="C400" s="67">
        <f>IFERROR(INDEX(tbl_Finance[Xero Invoice No],$A400),"")</f>
        <v/>
      </c>
      <c r="D400" s="67">
        <f>IFERROR(INDEX(tbl_Finance[Client],$A400),"")</f>
        <v/>
      </c>
      <c r="E400" s="67">
        <f>IFERROR(INDEX(tbl_Finance[Job Number],$A400),"")</f>
        <v/>
      </c>
      <c r="F400" s="67">
        <f>IFERROR(INDEX(tbl_Finance[Cost Centre],$A400),"")</f>
        <v/>
      </c>
      <c r="G400" s="68">
        <f>IFERROR(INDEX(tbl_Finance[Ex GST],$A400),"")</f>
        <v/>
      </c>
      <c r="H400" s="66">
        <f>IFERROR(INDEX(tbl_Finance[Defer Start],$A400),"")</f>
        <v/>
      </c>
      <c r="I400" s="66">
        <f>IFERROR(INDEX(tbl_Finance[Defer End],$A400),"")</f>
        <v/>
      </c>
      <c r="J400" s="65">
        <f>IF(OR($H400="",$I400="",$G400=""),"",MAX(1,(YEAR($I400)-YEAR($H400))*12+MONTH($I400)-MONTH($H400)+1))</f>
        <v/>
      </c>
      <c r="K400" s="68">
        <f>IF($J400="","",$G400/$J400)</f>
        <v/>
      </c>
      <c r="L400" s="68">
        <f>IF($J400="",0,$K400*MAX(0,MIN(YEAR($C$3)*12+MONTH($C$3),YEAR($I400)*12+MONTH($I400))-(YEAR($H400)*12+MONTH($H400))+1))</f>
        <v/>
      </c>
      <c r="M400" s="68">
        <f>IF($J400="",0,$K400*MAX(0,MIN(YEAR($C$3)*12+MONTH($C$3)-1,YEAR($I400)*12+MONTH($I400))-(YEAR($H400)*12+MONTH($H400))+1))</f>
        <v/>
      </c>
      <c r="N400" s="68">
        <f>IF(OR($J400="",$B400=""),0,IF(YEAR($B400)*12+MONTH($B400)&lt;=YEAR($C$3)*12+MONTH($C$3),$G400,0))</f>
        <v/>
      </c>
      <c r="O400" s="68">
        <f>IF(OR($J400="",$B400=""),0,IF(YEAR($B400)*12+MONTH($B400)&lt;=YEAR($C$3)*12+MONTH($C$3)-1,$G400,0))</f>
        <v/>
      </c>
      <c r="P400" s="68">
        <f>$M400-$O400</f>
        <v/>
      </c>
      <c r="Q400" s="68">
        <f>($L400-$M400)-($N400-$O400)</f>
        <v/>
      </c>
      <c r="R400" s="68">
        <f>$L400-$N400</f>
        <v/>
      </c>
      <c r="S400" s="67">
        <f>"Finance invoice"</f>
        <v/>
      </c>
      <c r="T400" s="67">
        <f>"Revenue"</f>
        <v/>
      </c>
    </row>
    <row r="401">
      <c r="A401" s="65">
        <f>ROW()-5</f>
        <v/>
      </c>
      <c r="B401" s="66">
        <f>IFERROR(INDEX(tbl_Finance[Date],$A401),"")</f>
        <v/>
      </c>
      <c r="C401" s="67">
        <f>IFERROR(INDEX(tbl_Finance[Xero Invoice No],$A401),"")</f>
        <v/>
      </c>
      <c r="D401" s="67">
        <f>IFERROR(INDEX(tbl_Finance[Client],$A401),"")</f>
        <v/>
      </c>
      <c r="E401" s="67">
        <f>IFERROR(INDEX(tbl_Finance[Job Number],$A401),"")</f>
        <v/>
      </c>
      <c r="F401" s="67">
        <f>IFERROR(INDEX(tbl_Finance[Cost Centre],$A401),"")</f>
        <v/>
      </c>
      <c r="G401" s="68">
        <f>IFERROR(INDEX(tbl_Finance[Ex GST],$A401),"")</f>
        <v/>
      </c>
      <c r="H401" s="66">
        <f>IFERROR(INDEX(tbl_Finance[Defer Start],$A401),"")</f>
        <v/>
      </c>
      <c r="I401" s="66">
        <f>IFERROR(INDEX(tbl_Finance[Defer End],$A401),"")</f>
        <v/>
      </c>
      <c r="J401" s="65">
        <f>IF(OR($H401="",$I401="",$G401=""),"",MAX(1,(YEAR($I401)-YEAR($H401))*12+MONTH($I401)-MONTH($H401)+1))</f>
        <v/>
      </c>
      <c r="K401" s="68">
        <f>IF($J401="","",$G401/$J401)</f>
        <v/>
      </c>
      <c r="L401" s="68">
        <f>IF($J401="",0,$K401*MAX(0,MIN(YEAR($C$3)*12+MONTH($C$3),YEAR($I401)*12+MONTH($I401))-(YEAR($H401)*12+MONTH($H401))+1))</f>
        <v/>
      </c>
      <c r="M401" s="68">
        <f>IF($J401="",0,$K401*MAX(0,MIN(YEAR($C$3)*12+MONTH($C$3)-1,YEAR($I401)*12+MONTH($I401))-(YEAR($H401)*12+MONTH($H401))+1))</f>
        <v/>
      </c>
      <c r="N401" s="68">
        <f>IF(OR($J401="",$B401=""),0,IF(YEAR($B401)*12+MONTH($B401)&lt;=YEAR($C$3)*12+MONTH($C$3),$G401,0))</f>
        <v/>
      </c>
      <c r="O401" s="68">
        <f>IF(OR($J401="",$B401=""),0,IF(YEAR($B401)*12+MONTH($B401)&lt;=YEAR($C$3)*12+MONTH($C$3)-1,$G401,0))</f>
        <v/>
      </c>
      <c r="P401" s="68">
        <f>$M401-$O401</f>
        <v/>
      </c>
      <c r="Q401" s="68">
        <f>($L401-$M401)-($N401-$O401)</f>
        <v/>
      </c>
      <c r="R401" s="68">
        <f>$L401-$N401</f>
        <v/>
      </c>
      <c r="S401" s="67">
        <f>"Finance invoice"</f>
        <v/>
      </c>
      <c r="T401" s="67">
        <f>"Revenue"</f>
        <v/>
      </c>
    </row>
    <row r="402">
      <c r="A402" s="65">
        <f>ROW()-5</f>
        <v/>
      </c>
      <c r="B402" s="66">
        <f>IFERROR(INDEX(tbl_Finance[Date],$A402),"")</f>
        <v/>
      </c>
      <c r="C402" s="67">
        <f>IFERROR(INDEX(tbl_Finance[Xero Invoice No],$A402),"")</f>
        <v/>
      </c>
      <c r="D402" s="67">
        <f>IFERROR(INDEX(tbl_Finance[Client],$A402),"")</f>
        <v/>
      </c>
      <c r="E402" s="67">
        <f>IFERROR(INDEX(tbl_Finance[Job Number],$A402),"")</f>
        <v/>
      </c>
      <c r="F402" s="67">
        <f>IFERROR(INDEX(tbl_Finance[Cost Centre],$A402),"")</f>
        <v/>
      </c>
      <c r="G402" s="68">
        <f>IFERROR(INDEX(tbl_Finance[Ex GST],$A402),"")</f>
        <v/>
      </c>
      <c r="H402" s="66">
        <f>IFERROR(INDEX(tbl_Finance[Defer Start],$A402),"")</f>
        <v/>
      </c>
      <c r="I402" s="66">
        <f>IFERROR(INDEX(tbl_Finance[Defer End],$A402),"")</f>
        <v/>
      </c>
      <c r="J402" s="65">
        <f>IF(OR($H402="",$I402="",$G402=""),"",MAX(1,(YEAR($I402)-YEAR($H402))*12+MONTH($I402)-MONTH($H402)+1))</f>
        <v/>
      </c>
      <c r="K402" s="68">
        <f>IF($J402="","",$G402/$J402)</f>
        <v/>
      </c>
      <c r="L402" s="68">
        <f>IF($J402="",0,$K402*MAX(0,MIN(YEAR($C$3)*12+MONTH($C$3),YEAR($I402)*12+MONTH($I402))-(YEAR($H402)*12+MONTH($H402))+1))</f>
        <v/>
      </c>
      <c r="M402" s="68">
        <f>IF($J402="",0,$K402*MAX(0,MIN(YEAR($C$3)*12+MONTH($C$3)-1,YEAR($I402)*12+MONTH($I402))-(YEAR($H402)*12+MONTH($H402))+1))</f>
        <v/>
      </c>
      <c r="N402" s="68">
        <f>IF(OR($J402="",$B402=""),0,IF(YEAR($B402)*12+MONTH($B402)&lt;=YEAR($C$3)*12+MONTH($C$3),$G402,0))</f>
        <v/>
      </c>
      <c r="O402" s="68">
        <f>IF(OR($J402="",$B402=""),0,IF(YEAR($B402)*12+MONTH($B402)&lt;=YEAR($C$3)*12+MONTH($C$3)-1,$G402,0))</f>
        <v/>
      </c>
      <c r="P402" s="68">
        <f>$M402-$O402</f>
        <v/>
      </c>
      <c r="Q402" s="68">
        <f>($L402-$M402)-($N402-$O402)</f>
        <v/>
      </c>
      <c r="R402" s="68">
        <f>$L402-$N402</f>
        <v/>
      </c>
      <c r="S402" s="67">
        <f>"Finance invoice"</f>
        <v/>
      </c>
      <c r="T402" s="67">
        <f>"Revenue"</f>
        <v/>
      </c>
    </row>
    <row r="403">
      <c r="A403" s="65">
        <f>ROW()-5</f>
        <v/>
      </c>
      <c r="B403" s="66">
        <f>IFERROR(INDEX(tbl_Finance[Date],$A403),"")</f>
        <v/>
      </c>
      <c r="C403" s="67">
        <f>IFERROR(INDEX(tbl_Finance[Xero Invoice No],$A403),"")</f>
        <v/>
      </c>
      <c r="D403" s="67">
        <f>IFERROR(INDEX(tbl_Finance[Client],$A403),"")</f>
        <v/>
      </c>
      <c r="E403" s="67">
        <f>IFERROR(INDEX(tbl_Finance[Job Number],$A403),"")</f>
        <v/>
      </c>
      <c r="F403" s="67">
        <f>IFERROR(INDEX(tbl_Finance[Cost Centre],$A403),"")</f>
        <v/>
      </c>
      <c r="G403" s="68">
        <f>IFERROR(INDEX(tbl_Finance[Ex GST],$A403),"")</f>
        <v/>
      </c>
      <c r="H403" s="66">
        <f>IFERROR(INDEX(tbl_Finance[Defer Start],$A403),"")</f>
        <v/>
      </c>
      <c r="I403" s="66">
        <f>IFERROR(INDEX(tbl_Finance[Defer End],$A403),"")</f>
        <v/>
      </c>
      <c r="J403" s="65">
        <f>IF(OR($H403="",$I403="",$G403=""),"",MAX(1,(YEAR($I403)-YEAR($H403))*12+MONTH($I403)-MONTH($H403)+1))</f>
        <v/>
      </c>
      <c r="K403" s="68">
        <f>IF($J403="","",$G403/$J403)</f>
        <v/>
      </c>
      <c r="L403" s="68">
        <f>IF($J403="",0,$K403*MAX(0,MIN(YEAR($C$3)*12+MONTH($C$3),YEAR($I403)*12+MONTH($I403))-(YEAR($H403)*12+MONTH($H403))+1))</f>
        <v/>
      </c>
      <c r="M403" s="68">
        <f>IF($J403="",0,$K403*MAX(0,MIN(YEAR($C$3)*12+MONTH($C$3)-1,YEAR($I403)*12+MONTH($I403))-(YEAR($H403)*12+MONTH($H403))+1))</f>
        <v/>
      </c>
      <c r="N403" s="68">
        <f>IF(OR($J403="",$B403=""),0,IF(YEAR($B403)*12+MONTH($B403)&lt;=YEAR($C$3)*12+MONTH($C$3),$G403,0))</f>
        <v/>
      </c>
      <c r="O403" s="68">
        <f>IF(OR($J403="",$B403=""),0,IF(YEAR($B403)*12+MONTH($B403)&lt;=YEAR($C$3)*12+MONTH($C$3)-1,$G403,0))</f>
        <v/>
      </c>
      <c r="P403" s="68">
        <f>$M403-$O403</f>
        <v/>
      </c>
      <c r="Q403" s="68">
        <f>($L403-$M403)-($N403-$O403)</f>
        <v/>
      </c>
      <c r="R403" s="68">
        <f>$L403-$N403</f>
        <v/>
      </c>
      <c r="S403" s="67">
        <f>"Finance invoice"</f>
        <v/>
      </c>
      <c r="T403" s="67">
        <f>"Revenue"</f>
        <v/>
      </c>
    </row>
    <row r="404">
      <c r="A404" s="65">
        <f>ROW()-5</f>
        <v/>
      </c>
      <c r="B404" s="66">
        <f>IFERROR(INDEX(tbl_Finance[Date],$A404),"")</f>
        <v/>
      </c>
      <c r="C404" s="67">
        <f>IFERROR(INDEX(tbl_Finance[Xero Invoice No],$A404),"")</f>
        <v/>
      </c>
      <c r="D404" s="67">
        <f>IFERROR(INDEX(tbl_Finance[Client],$A404),"")</f>
        <v/>
      </c>
      <c r="E404" s="67">
        <f>IFERROR(INDEX(tbl_Finance[Job Number],$A404),"")</f>
        <v/>
      </c>
      <c r="F404" s="67">
        <f>IFERROR(INDEX(tbl_Finance[Cost Centre],$A404),"")</f>
        <v/>
      </c>
      <c r="G404" s="68">
        <f>IFERROR(INDEX(tbl_Finance[Ex GST],$A404),"")</f>
        <v/>
      </c>
      <c r="H404" s="66">
        <f>IFERROR(INDEX(tbl_Finance[Defer Start],$A404),"")</f>
        <v/>
      </c>
      <c r="I404" s="66">
        <f>IFERROR(INDEX(tbl_Finance[Defer End],$A404),"")</f>
        <v/>
      </c>
      <c r="J404" s="65">
        <f>IF(OR($H404="",$I404="",$G404=""),"",MAX(1,(YEAR($I404)-YEAR($H404))*12+MONTH($I404)-MONTH($H404)+1))</f>
        <v/>
      </c>
      <c r="K404" s="68">
        <f>IF($J404="","",$G404/$J404)</f>
        <v/>
      </c>
      <c r="L404" s="68">
        <f>IF($J404="",0,$K404*MAX(0,MIN(YEAR($C$3)*12+MONTH($C$3),YEAR($I404)*12+MONTH($I404))-(YEAR($H404)*12+MONTH($H404))+1))</f>
        <v/>
      </c>
      <c r="M404" s="68">
        <f>IF($J404="",0,$K404*MAX(0,MIN(YEAR($C$3)*12+MONTH($C$3)-1,YEAR($I404)*12+MONTH($I404))-(YEAR($H404)*12+MONTH($H404))+1))</f>
        <v/>
      </c>
      <c r="N404" s="68">
        <f>IF(OR($J404="",$B404=""),0,IF(YEAR($B404)*12+MONTH($B404)&lt;=YEAR($C$3)*12+MONTH($C$3),$G404,0))</f>
        <v/>
      </c>
      <c r="O404" s="68">
        <f>IF(OR($J404="",$B404=""),0,IF(YEAR($B404)*12+MONTH($B404)&lt;=YEAR($C$3)*12+MONTH($C$3)-1,$G404,0))</f>
        <v/>
      </c>
      <c r="P404" s="68">
        <f>$M404-$O404</f>
        <v/>
      </c>
      <c r="Q404" s="68">
        <f>($L404-$M404)-($N404-$O404)</f>
        <v/>
      </c>
      <c r="R404" s="68">
        <f>$L404-$N404</f>
        <v/>
      </c>
      <c r="S404" s="67">
        <f>"Finance invoice"</f>
        <v/>
      </c>
      <c r="T404" s="67">
        <f>"Revenue"</f>
        <v/>
      </c>
    </row>
    <row r="405">
      <c r="A405" s="65">
        <f>ROW()-5</f>
        <v/>
      </c>
      <c r="B405" s="66">
        <f>IFERROR(INDEX(tbl_Finance[Date],$A405),"")</f>
        <v/>
      </c>
      <c r="C405" s="67">
        <f>IFERROR(INDEX(tbl_Finance[Xero Invoice No],$A405),"")</f>
        <v/>
      </c>
      <c r="D405" s="67">
        <f>IFERROR(INDEX(tbl_Finance[Client],$A405),"")</f>
        <v/>
      </c>
      <c r="E405" s="67">
        <f>IFERROR(INDEX(tbl_Finance[Job Number],$A405),"")</f>
        <v/>
      </c>
      <c r="F405" s="67">
        <f>IFERROR(INDEX(tbl_Finance[Cost Centre],$A405),"")</f>
        <v/>
      </c>
      <c r="G405" s="68">
        <f>IFERROR(INDEX(tbl_Finance[Ex GST],$A405),"")</f>
        <v/>
      </c>
      <c r="H405" s="66">
        <f>IFERROR(INDEX(tbl_Finance[Defer Start],$A405),"")</f>
        <v/>
      </c>
      <c r="I405" s="66">
        <f>IFERROR(INDEX(tbl_Finance[Defer End],$A405),"")</f>
        <v/>
      </c>
      <c r="J405" s="65">
        <f>IF(OR($H405="",$I405="",$G405=""),"",MAX(1,(YEAR($I405)-YEAR($H405))*12+MONTH($I405)-MONTH($H405)+1))</f>
        <v/>
      </c>
      <c r="K405" s="68">
        <f>IF($J405="","",$G405/$J405)</f>
        <v/>
      </c>
      <c r="L405" s="68">
        <f>IF($J405="",0,$K405*MAX(0,MIN(YEAR($C$3)*12+MONTH($C$3),YEAR($I405)*12+MONTH($I405))-(YEAR($H405)*12+MONTH($H405))+1))</f>
        <v/>
      </c>
      <c r="M405" s="68">
        <f>IF($J405="",0,$K405*MAX(0,MIN(YEAR($C$3)*12+MONTH($C$3)-1,YEAR($I405)*12+MONTH($I405))-(YEAR($H405)*12+MONTH($H405))+1))</f>
        <v/>
      </c>
      <c r="N405" s="68">
        <f>IF(OR($J405="",$B405=""),0,IF(YEAR($B405)*12+MONTH($B405)&lt;=YEAR($C$3)*12+MONTH($C$3),$G405,0))</f>
        <v/>
      </c>
      <c r="O405" s="68">
        <f>IF(OR($J405="",$B405=""),0,IF(YEAR($B405)*12+MONTH($B405)&lt;=YEAR($C$3)*12+MONTH($C$3)-1,$G405,0))</f>
        <v/>
      </c>
      <c r="P405" s="68">
        <f>$M405-$O405</f>
        <v/>
      </c>
      <c r="Q405" s="68">
        <f>($L405-$M405)-($N405-$O405)</f>
        <v/>
      </c>
      <c r="R405" s="68">
        <f>$L405-$N405</f>
        <v/>
      </c>
      <c r="S405" s="67">
        <f>"Finance invoice"</f>
        <v/>
      </c>
      <c r="T405" s="67">
        <f>"Revenue"</f>
        <v/>
      </c>
    </row>
    <row r="407">
      <c r="A407" s="69" t="inlineStr">
        <is>
          <t>WIP Movements rows that spread over months  -  deferred cost and manual deferred revenue</t>
        </is>
      </c>
    </row>
    <row r="408">
      <c r="A408" s="65">
        <f>ROW()-407</f>
        <v/>
      </c>
      <c r="B408" s="66">
        <f>IFERROR(INDEX(tbl_WIP[Month],$A408),"")</f>
        <v/>
      </c>
      <c r="C408" s="67">
        <f>IFERROR(INDEX(tbl_WIP[Xero Invoice No],$A408),"")</f>
        <v/>
      </c>
      <c r="D408" s="67">
        <f>IFERROR(INDEX(tbl_WIP[Client],$A408),"")</f>
        <v/>
      </c>
      <c r="E408" s="67">
        <f>IFERROR(INDEX(tbl_WIP[Job Number],$A408),"")</f>
        <v/>
      </c>
      <c r="F408" s="67">
        <f>IFERROR(INDEX(tbl_WIP[Cost Centre],$A408),"")</f>
        <v/>
      </c>
      <c r="G408" s="68">
        <f>IFERROR(IF(INDEX(tbl_WIP[Defer Start],$A408)="","",IF(INDEX(tbl_WIP[Revenue or Cost],$A408)="Cost",-1,1)*INDEX(tbl_WIP[Amount],$A408)),"")</f>
        <v/>
      </c>
      <c r="H408" s="66">
        <f>IFERROR(INDEX(tbl_WIP[Defer Start],$A408),"")</f>
        <v/>
      </c>
      <c r="I408" s="66">
        <f>IFERROR(INDEX(tbl_WIP[Defer End],$A408),"")</f>
        <v/>
      </c>
      <c r="J408" s="65">
        <f>IF(OR($H408="",$I408="",$G408=""),"",MAX(1,(YEAR($I408)-YEAR($H408))*12+MONTH($I408)-MONTH($H408)+1))</f>
        <v/>
      </c>
      <c r="K408" s="68">
        <f>IF($J408="","",$G408/$J408)</f>
        <v/>
      </c>
      <c r="L408" s="68">
        <f>IF($J408="",0,$K408*MAX(0,MIN(YEAR($C$3)*12+MONTH($C$3),YEAR($I408)*12+MONTH($I408))-(YEAR($H408)*12+MONTH($H408))+1))</f>
        <v/>
      </c>
      <c r="M408" s="68">
        <f>IF($J408="",0,$K408*MAX(0,MIN(YEAR($C$3)*12+MONTH($C$3)-1,YEAR($I408)*12+MONTH($I408))-(YEAR($H408)*12+MONTH($H408))+1))</f>
        <v/>
      </c>
      <c r="N408" s="68">
        <f>IF(OR($J408="",$B408=""),0,IF(YEAR($B408)*12+MONTH($B408)&lt;=YEAR($C$3)*12+MONTH($C$3),$G408,0))</f>
        <v/>
      </c>
      <c r="O408" s="68">
        <f>IF(OR($J408="",$B408=""),0,IF(YEAR($B408)*12+MONTH($B408)&lt;=YEAR($C$3)*12+MONTH($C$3)-1,$G408,0))</f>
        <v/>
      </c>
      <c r="P408" s="68">
        <f>$M408-$O408</f>
        <v/>
      </c>
      <c r="Q408" s="68">
        <f>($L408-$M408)-($N408-$O408)</f>
        <v/>
      </c>
      <c r="R408" s="68">
        <f>$L408-$N408</f>
        <v/>
      </c>
      <c r="S408" s="67">
        <f>"WIP journal"</f>
        <v/>
      </c>
      <c r="T408" s="67">
        <f>IFERROR(INDEX(tbl_WIP[Revenue or Cost],$A408),"")</f>
        <v/>
      </c>
    </row>
    <row r="409">
      <c r="A409" s="65">
        <f>ROW()-407</f>
        <v/>
      </c>
      <c r="B409" s="66">
        <f>IFERROR(INDEX(tbl_WIP[Month],$A409),"")</f>
        <v/>
      </c>
      <c r="C409" s="67">
        <f>IFERROR(INDEX(tbl_WIP[Xero Invoice No],$A409),"")</f>
        <v/>
      </c>
      <c r="D409" s="67">
        <f>IFERROR(INDEX(tbl_WIP[Client],$A409),"")</f>
        <v/>
      </c>
      <c r="E409" s="67">
        <f>IFERROR(INDEX(tbl_WIP[Job Number],$A409),"")</f>
        <v/>
      </c>
      <c r="F409" s="67">
        <f>IFERROR(INDEX(tbl_WIP[Cost Centre],$A409),"")</f>
        <v/>
      </c>
      <c r="G409" s="68">
        <f>IFERROR(IF(INDEX(tbl_WIP[Defer Start],$A409)="","",IF(INDEX(tbl_WIP[Revenue or Cost],$A409)="Cost",-1,1)*INDEX(tbl_WIP[Amount],$A409)),"")</f>
        <v/>
      </c>
      <c r="H409" s="66">
        <f>IFERROR(INDEX(tbl_WIP[Defer Start],$A409),"")</f>
        <v/>
      </c>
      <c r="I409" s="66">
        <f>IFERROR(INDEX(tbl_WIP[Defer End],$A409),"")</f>
        <v/>
      </c>
      <c r="J409" s="65">
        <f>IF(OR($H409="",$I409="",$G409=""),"",MAX(1,(YEAR($I409)-YEAR($H409))*12+MONTH($I409)-MONTH($H409)+1))</f>
        <v/>
      </c>
      <c r="K409" s="68">
        <f>IF($J409="","",$G409/$J409)</f>
        <v/>
      </c>
      <c r="L409" s="68">
        <f>IF($J409="",0,$K409*MAX(0,MIN(YEAR($C$3)*12+MONTH($C$3),YEAR($I409)*12+MONTH($I409))-(YEAR($H409)*12+MONTH($H409))+1))</f>
        <v/>
      </c>
      <c r="M409" s="68">
        <f>IF($J409="",0,$K409*MAX(0,MIN(YEAR($C$3)*12+MONTH($C$3)-1,YEAR($I409)*12+MONTH($I409))-(YEAR($H409)*12+MONTH($H409))+1))</f>
        <v/>
      </c>
      <c r="N409" s="68">
        <f>IF(OR($J409="",$B409=""),0,IF(YEAR($B409)*12+MONTH($B409)&lt;=YEAR($C$3)*12+MONTH($C$3),$G409,0))</f>
        <v/>
      </c>
      <c r="O409" s="68">
        <f>IF(OR($J409="",$B409=""),0,IF(YEAR($B409)*12+MONTH($B409)&lt;=YEAR($C$3)*12+MONTH($C$3)-1,$G409,0))</f>
        <v/>
      </c>
      <c r="P409" s="68">
        <f>$M409-$O409</f>
        <v/>
      </c>
      <c r="Q409" s="68">
        <f>($L409-$M409)-($N409-$O409)</f>
        <v/>
      </c>
      <c r="R409" s="68">
        <f>$L409-$N409</f>
        <v/>
      </c>
      <c r="S409" s="67">
        <f>"WIP journal"</f>
        <v/>
      </c>
      <c r="T409" s="67">
        <f>IFERROR(INDEX(tbl_WIP[Revenue or Cost],$A409),"")</f>
        <v/>
      </c>
    </row>
    <row r="410">
      <c r="A410" s="65">
        <f>ROW()-407</f>
        <v/>
      </c>
      <c r="B410" s="66">
        <f>IFERROR(INDEX(tbl_WIP[Month],$A410),"")</f>
        <v/>
      </c>
      <c r="C410" s="67">
        <f>IFERROR(INDEX(tbl_WIP[Xero Invoice No],$A410),"")</f>
        <v/>
      </c>
      <c r="D410" s="67">
        <f>IFERROR(INDEX(tbl_WIP[Client],$A410),"")</f>
        <v/>
      </c>
      <c r="E410" s="67">
        <f>IFERROR(INDEX(tbl_WIP[Job Number],$A410),"")</f>
        <v/>
      </c>
      <c r="F410" s="67">
        <f>IFERROR(INDEX(tbl_WIP[Cost Centre],$A410),"")</f>
        <v/>
      </c>
      <c r="G410" s="68">
        <f>IFERROR(IF(INDEX(tbl_WIP[Defer Start],$A410)="","",IF(INDEX(tbl_WIP[Revenue or Cost],$A410)="Cost",-1,1)*INDEX(tbl_WIP[Amount],$A410)),"")</f>
        <v/>
      </c>
      <c r="H410" s="66">
        <f>IFERROR(INDEX(tbl_WIP[Defer Start],$A410),"")</f>
        <v/>
      </c>
      <c r="I410" s="66">
        <f>IFERROR(INDEX(tbl_WIP[Defer End],$A410),"")</f>
        <v/>
      </c>
      <c r="J410" s="65">
        <f>IF(OR($H410="",$I410="",$G410=""),"",MAX(1,(YEAR($I410)-YEAR($H410))*12+MONTH($I410)-MONTH($H410)+1))</f>
        <v/>
      </c>
      <c r="K410" s="68">
        <f>IF($J410="","",$G410/$J410)</f>
        <v/>
      </c>
      <c r="L410" s="68">
        <f>IF($J410="",0,$K410*MAX(0,MIN(YEAR($C$3)*12+MONTH($C$3),YEAR($I410)*12+MONTH($I410))-(YEAR($H410)*12+MONTH($H410))+1))</f>
        <v/>
      </c>
      <c r="M410" s="68">
        <f>IF($J410="",0,$K410*MAX(0,MIN(YEAR($C$3)*12+MONTH($C$3)-1,YEAR($I410)*12+MONTH($I410))-(YEAR($H410)*12+MONTH($H410))+1))</f>
        <v/>
      </c>
      <c r="N410" s="68">
        <f>IF(OR($J410="",$B410=""),0,IF(YEAR($B410)*12+MONTH($B410)&lt;=YEAR($C$3)*12+MONTH($C$3),$G410,0))</f>
        <v/>
      </c>
      <c r="O410" s="68">
        <f>IF(OR($J410="",$B410=""),0,IF(YEAR($B410)*12+MONTH($B410)&lt;=YEAR($C$3)*12+MONTH($C$3)-1,$G410,0))</f>
        <v/>
      </c>
      <c r="P410" s="68">
        <f>$M410-$O410</f>
        <v/>
      </c>
      <c r="Q410" s="68">
        <f>($L410-$M410)-($N410-$O410)</f>
        <v/>
      </c>
      <c r="R410" s="68">
        <f>$L410-$N410</f>
        <v/>
      </c>
      <c r="S410" s="67">
        <f>"WIP journal"</f>
        <v/>
      </c>
      <c r="T410" s="67">
        <f>IFERROR(INDEX(tbl_WIP[Revenue or Cost],$A410),"")</f>
        <v/>
      </c>
    </row>
    <row r="411">
      <c r="A411" s="65">
        <f>ROW()-407</f>
        <v/>
      </c>
      <c r="B411" s="66">
        <f>IFERROR(INDEX(tbl_WIP[Month],$A411),"")</f>
        <v/>
      </c>
      <c r="C411" s="67">
        <f>IFERROR(INDEX(tbl_WIP[Xero Invoice No],$A411),"")</f>
        <v/>
      </c>
      <c r="D411" s="67">
        <f>IFERROR(INDEX(tbl_WIP[Client],$A411),"")</f>
        <v/>
      </c>
      <c r="E411" s="67">
        <f>IFERROR(INDEX(tbl_WIP[Job Number],$A411),"")</f>
        <v/>
      </c>
      <c r="F411" s="67">
        <f>IFERROR(INDEX(tbl_WIP[Cost Centre],$A411),"")</f>
        <v/>
      </c>
      <c r="G411" s="68">
        <f>IFERROR(IF(INDEX(tbl_WIP[Defer Start],$A411)="","",IF(INDEX(tbl_WIP[Revenue or Cost],$A411)="Cost",-1,1)*INDEX(tbl_WIP[Amount],$A411)),"")</f>
        <v/>
      </c>
      <c r="H411" s="66">
        <f>IFERROR(INDEX(tbl_WIP[Defer Start],$A411),"")</f>
        <v/>
      </c>
      <c r="I411" s="66">
        <f>IFERROR(INDEX(tbl_WIP[Defer End],$A411),"")</f>
        <v/>
      </c>
      <c r="J411" s="65">
        <f>IF(OR($H411="",$I411="",$G411=""),"",MAX(1,(YEAR($I411)-YEAR($H411))*12+MONTH($I411)-MONTH($H411)+1))</f>
        <v/>
      </c>
      <c r="K411" s="68">
        <f>IF($J411="","",$G411/$J411)</f>
        <v/>
      </c>
      <c r="L411" s="68">
        <f>IF($J411="",0,$K411*MAX(0,MIN(YEAR($C$3)*12+MONTH($C$3),YEAR($I411)*12+MONTH($I411))-(YEAR($H411)*12+MONTH($H411))+1))</f>
        <v/>
      </c>
      <c r="M411" s="68">
        <f>IF($J411="",0,$K411*MAX(0,MIN(YEAR($C$3)*12+MONTH($C$3)-1,YEAR($I411)*12+MONTH($I411))-(YEAR($H411)*12+MONTH($H411))+1))</f>
        <v/>
      </c>
      <c r="N411" s="68">
        <f>IF(OR($J411="",$B411=""),0,IF(YEAR($B411)*12+MONTH($B411)&lt;=YEAR($C$3)*12+MONTH($C$3),$G411,0))</f>
        <v/>
      </c>
      <c r="O411" s="68">
        <f>IF(OR($J411="",$B411=""),0,IF(YEAR($B411)*12+MONTH($B411)&lt;=YEAR($C$3)*12+MONTH($C$3)-1,$G411,0))</f>
        <v/>
      </c>
      <c r="P411" s="68">
        <f>$M411-$O411</f>
        <v/>
      </c>
      <c r="Q411" s="68">
        <f>($L411-$M411)-($N411-$O411)</f>
        <v/>
      </c>
      <c r="R411" s="68">
        <f>$L411-$N411</f>
        <v/>
      </c>
      <c r="S411" s="67">
        <f>"WIP journal"</f>
        <v/>
      </c>
      <c r="T411" s="67">
        <f>IFERROR(INDEX(tbl_WIP[Revenue or Cost],$A411),"")</f>
        <v/>
      </c>
    </row>
    <row r="412">
      <c r="A412" s="65">
        <f>ROW()-407</f>
        <v/>
      </c>
      <c r="B412" s="66">
        <f>IFERROR(INDEX(tbl_WIP[Month],$A412),"")</f>
        <v/>
      </c>
      <c r="C412" s="67">
        <f>IFERROR(INDEX(tbl_WIP[Xero Invoice No],$A412),"")</f>
        <v/>
      </c>
      <c r="D412" s="67">
        <f>IFERROR(INDEX(tbl_WIP[Client],$A412),"")</f>
        <v/>
      </c>
      <c r="E412" s="67">
        <f>IFERROR(INDEX(tbl_WIP[Job Number],$A412),"")</f>
        <v/>
      </c>
      <c r="F412" s="67">
        <f>IFERROR(INDEX(tbl_WIP[Cost Centre],$A412),"")</f>
        <v/>
      </c>
      <c r="G412" s="68">
        <f>IFERROR(IF(INDEX(tbl_WIP[Defer Start],$A412)="","",IF(INDEX(tbl_WIP[Revenue or Cost],$A412)="Cost",-1,1)*INDEX(tbl_WIP[Amount],$A412)),"")</f>
        <v/>
      </c>
      <c r="H412" s="66">
        <f>IFERROR(INDEX(tbl_WIP[Defer Start],$A412),"")</f>
        <v/>
      </c>
      <c r="I412" s="66">
        <f>IFERROR(INDEX(tbl_WIP[Defer End],$A412),"")</f>
        <v/>
      </c>
      <c r="J412" s="65">
        <f>IF(OR($H412="",$I412="",$G412=""),"",MAX(1,(YEAR($I412)-YEAR($H412))*12+MONTH($I412)-MONTH($H412)+1))</f>
        <v/>
      </c>
      <c r="K412" s="68">
        <f>IF($J412="","",$G412/$J412)</f>
        <v/>
      </c>
      <c r="L412" s="68">
        <f>IF($J412="",0,$K412*MAX(0,MIN(YEAR($C$3)*12+MONTH($C$3),YEAR($I412)*12+MONTH($I412))-(YEAR($H412)*12+MONTH($H412))+1))</f>
        <v/>
      </c>
      <c r="M412" s="68">
        <f>IF($J412="",0,$K412*MAX(0,MIN(YEAR($C$3)*12+MONTH($C$3)-1,YEAR($I412)*12+MONTH($I412))-(YEAR($H412)*12+MONTH($H412))+1))</f>
        <v/>
      </c>
      <c r="N412" s="68">
        <f>IF(OR($J412="",$B412=""),0,IF(YEAR($B412)*12+MONTH($B412)&lt;=YEAR($C$3)*12+MONTH($C$3),$G412,0))</f>
        <v/>
      </c>
      <c r="O412" s="68">
        <f>IF(OR($J412="",$B412=""),0,IF(YEAR($B412)*12+MONTH($B412)&lt;=YEAR($C$3)*12+MONTH($C$3)-1,$G412,0))</f>
        <v/>
      </c>
      <c r="P412" s="68">
        <f>$M412-$O412</f>
        <v/>
      </c>
      <c r="Q412" s="68">
        <f>($L412-$M412)-($N412-$O412)</f>
        <v/>
      </c>
      <c r="R412" s="68">
        <f>$L412-$N412</f>
        <v/>
      </c>
      <c r="S412" s="67">
        <f>"WIP journal"</f>
        <v/>
      </c>
      <c r="T412" s="67">
        <f>IFERROR(INDEX(tbl_WIP[Revenue or Cost],$A412),"")</f>
        <v/>
      </c>
    </row>
    <row r="413">
      <c r="A413" s="65">
        <f>ROW()-407</f>
        <v/>
      </c>
      <c r="B413" s="66">
        <f>IFERROR(INDEX(tbl_WIP[Month],$A413),"")</f>
        <v/>
      </c>
      <c r="C413" s="67">
        <f>IFERROR(INDEX(tbl_WIP[Xero Invoice No],$A413),"")</f>
        <v/>
      </c>
      <c r="D413" s="67">
        <f>IFERROR(INDEX(tbl_WIP[Client],$A413),"")</f>
        <v/>
      </c>
      <c r="E413" s="67">
        <f>IFERROR(INDEX(tbl_WIP[Job Number],$A413),"")</f>
        <v/>
      </c>
      <c r="F413" s="67">
        <f>IFERROR(INDEX(tbl_WIP[Cost Centre],$A413),"")</f>
        <v/>
      </c>
      <c r="G413" s="68">
        <f>IFERROR(IF(INDEX(tbl_WIP[Defer Start],$A413)="","",IF(INDEX(tbl_WIP[Revenue or Cost],$A413)="Cost",-1,1)*INDEX(tbl_WIP[Amount],$A413)),"")</f>
        <v/>
      </c>
      <c r="H413" s="66">
        <f>IFERROR(INDEX(tbl_WIP[Defer Start],$A413),"")</f>
        <v/>
      </c>
      <c r="I413" s="66">
        <f>IFERROR(INDEX(tbl_WIP[Defer End],$A413),"")</f>
        <v/>
      </c>
      <c r="J413" s="65">
        <f>IF(OR($H413="",$I413="",$G413=""),"",MAX(1,(YEAR($I413)-YEAR($H413))*12+MONTH($I413)-MONTH($H413)+1))</f>
        <v/>
      </c>
      <c r="K413" s="68">
        <f>IF($J413="","",$G413/$J413)</f>
        <v/>
      </c>
      <c r="L413" s="68">
        <f>IF($J413="",0,$K413*MAX(0,MIN(YEAR($C$3)*12+MONTH($C$3),YEAR($I413)*12+MONTH($I413))-(YEAR($H413)*12+MONTH($H413))+1))</f>
        <v/>
      </c>
      <c r="M413" s="68">
        <f>IF($J413="",0,$K413*MAX(0,MIN(YEAR($C$3)*12+MONTH($C$3)-1,YEAR($I413)*12+MONTH($I413))-(YEAR($H413)*12+MONTH($H413))+1))</f>
        <v/>
      </c>
      <c r="N413" s="68">
        <f>IF(OR($J413="",$B413=""),0,IF(YEAR($B413)*12+MONTH($B413)&lt;=YEAR($C$3)*12+MONTH($C$3),$G413,0))</f>
        <v/>
      </c>
      <c r="O413" s="68">
        <f>IF(OR($J413="",$B413=""),0,IF(YEAR($B413)*12+MONTH($B413)&lt;=YEAR($C$3)*12+MONTH($C$3)-1,$G413,0))</f>
        <v/>
      </c>
      <c r="P413" s="68">
        <f>$M413-$O413</f>
        <v/>
      </c>
      <c r="Q413" s="68">
        <f>($L413-$M413)-($N413-$O413)</f>
        <v/>
      </c>
      <c r="R413" s="68">
        <f>$L413-$N413</f>
        <v/>
      </c>
      <c r="S413" s="67">
        <f>"WIP journal"</f>
        <v/>
      </c>
      <c r="T413" s="67">
        <f>IFERROR(INDEX(tbl_WIP[Revenue or Cost],$A413),"")</f>
        <v/>
      </c>
    </row>
    <row r="414">
      <c r="A414" s="65">
        <f>ROW()-407</f>
        <v/>
      </c>
      <c r="B414" s="66">
        <f>IFERROR(INDEX(tbl_WIP[Month],$A414),"")</f>
        <v/>
      </c>
      <c r="C414" s="67">
        <f>IFERROR(INDEX(tbl_WIP[Xero Invoice No],$A414),"")</f>
        <v/>
      </c>
      <c r="D414" s="67">
        <f>IFERROR(INDEX(tbl_WIP[Client],$A414),"")</f>
        <v/>
      </c>
      <c r="E414" s="67">
        <f>IFERROR(INDEX(tbl_WIP[Job Number],$A414),"")</f>
        <v/>
      </c>
      <c r="F414" s="67">
        <f>IFERROR(INDEX(tbl_WIP[Cost Centre],$A414),"")</f>
        <v/>
      </c>
      <c r="G414" s="68">
        <f>IFERROR(IF(INDEX(tbl_WIP[Defer Start],$A414)="","",IF(INDEX(tbl_WIP[Revenue or Cost],$A414)="Cost",-1,1)*INDEX(tbl_WIP[Amount],$A414)),"")</f>
        <v/>
      </c>
      <c r="H414" s="66">
        <f>IFERROR(INDEX(tbl_WIP[Defer Start],$A414),"")</f>
        <v/>
      </c>
      <c r="I414" s="66">
        <f>IFERROR(INDEX(tbl_WIP[Defer End],$A414),"")</f>
        <v/>
      </c>
      <c r="J414" s="65">
        <f>IF(OR($H414="",$I414="",$G414=""),"",MAX(1,(YEAR($I414)-YEAR($H414))*12+MONTH($I414)-MONTH($H414)+1))</f>
        <v/>
      </c>
      <c r="K414" s="68">
        <f>IF($J414="","",$G414/$J414)</f>
        <v/>
      </c>
      <c r="L414" s="68">
        <f>IF($J414="",0,$K414*MAX(0,MIN(YEAR($C$3)*12+MONTH($C$3),YEAR($I414)*12+MONTH($I414))-(YEAR($H414)*12+MONTH($H414))+1))</f>
        <v/>
      </c>
      <c r="M414" s="68">
        <f>IF($J414="",0,$K414*MAX(0,MIN(YEAR($C$3)*12+MONTH($C$3)-1,YEAR($I414)*12+MONTH($I414))-(YEAR($H414)*12+MONTH($H414))+1))</f>
        <v/>
      </c>
      <c r="N414" s="68">
        <f>IF(OR($J414="",$B414=""),0,IF(YEAR($B414)*12+MONTH($B414)&lt;=YEAR($C$3)*12+MONTH($C$3),$G414,0))</f>
        <v/>
      </c>
      <c r="O414" s="68">
        <f>IF(OR($J414="",$B414=""),0,IF(YEAR($B414)*12+MONTH($B414)&lt;=YEAR($C$3)*12+MONTH($C$3)-1,$G414,0))</f>
        <v/>
      </c>
      <c r="P414" s="68">
        <f>$M414-$O414</f>
        <v/>
      </c>
      <c r="Q414" s="68">
        <f>($L414-$M414)-($N414-$O414)</f>
        <v/>
      </c>
      <c r="R414" s="68">
        <f>$L414-$N414</f>
        <v/>
      </c>
      <c r="S414" s="67">
        <f>"WIP journal"</f>
        <v/>
      </c>
      <c r="T414" s="67">
        <f>IFERROR(INDEX(tbl_WIP[Revenue or Cost],$A414),"")</f>
        <v/>
      </c>
    </row>
    <row r="415">
      <c r="A415" s="65">
        <f>ROW()-407</f>
        <v/>
      </c>
      <c r="B415" s="66">
        <f>IFERROR(INDEX(tbl_WIP[Month],$A415),"")</f>
        <v/>
      </c>
      <c r="C415" s="67">
        <f>IFERROR(INDEX(tbl_WIP[Xero Invoice No],$A415),"")</f>
        <v/>
      </c>
      <c r="D415" s="67">
        <f>IFERROR(INDEX(tbl_WIP[Client],$A415),"")</f>
        <v/>
      </c>
      <c r="E415" s="67">
        <f>IFERROR(INDEX(tbl_WIP[Job Number],$A415),"")</f>
        <v/>
      </c>
      <c r="F415" s="67">
        <f>IFERROR(INDEX(tbl_WIP[Cost Centre],$A415),"")</f>
        <v/>
      </c>
      <c r="G415" s="68">
        <f>IFERROR(IF(INDEX(tbl_WIP[Defer Start],$A415)="","",IF(INDEX(tbl_WIP[Revenue or Cost],$A415)="Cost",-1,1)*INDEX(tbl_WIP[Amount],$A415)),"")</f>
        <v/>
      </c>
      <c r="H415" s="66">
        <f>IFERROR(INDEX(tbl_WIP[Defer Start],$A415),"")</f>
        <v/>
      </c>
      <c r="I415" s="66">
        <f>IFERROR(INDEX(tbl_WIP[Defer End],$A415),"")</f>
        <v/>
      </c>
      <c r="J415" s="65">
        <f>IF(OR($H415="",$I415="",$G415=""),"",MAX(1,(YEAR($I415)-YEAR($H415))*12+MONTH($I415)-MONTH($H415)+1))</f>
        <v/>
      </c>
      <c r="K415" s="68">
        <f>IF($J415="","",$G415/$J415)</f>
        <v/>
      </c>
      <c r="L415" s="68">
        <f>IF($J415="",0,$K415*MAX(0,MIN(YEAR($C$3)*12+MONTH($C$3),YEAR($I415)*12+MONTH($I415))-(YEAR($H415)*12+MONTH($H415))+1))</f>
        <v/>
      </c>
      <c r="M415" s="68">
        <f>IF($J415="",0,$K415*MAX(0,MIN(YEAR($C$3)*12+MONTH($C$3)-1,YEAR($I415)*12+MONTH($I415))-(YEAR($H415)*12+MONTH($H415))+1))</f>
        <v/>
      </c>
      <c r="N415" s="68">
        <f>IF(OR($J415="",$B415=""),0,IF(YEAR($B415)*12+MONTH($B415)&lt;=YEAR($C$3)*12+MONTH($C$3),$G415,0))</f>
        <v/>
      </c>
      <c r="O415" s="68">
        <f>IF(OR($J415="",$B415=""),0,IF(YEAR($B415)*12+MONTH($B415)&lt;=YEAR($C$3)*12+MONTH($C$3)-1,$G415,0))</f>
        <v/>
      </c>
      <c r="P415" s="68">
        <f>$M415-$O415</f>
        <v/>
      </c>
      <c r="Q415" s="68">
        <f>($L415-$M415)-($N415-$O415)</f>
        <v/>
      </c>
      <c r="R415" s="68">
        <f>$L415-$N415</f>
        <v/>
      </c>
      <c r="S415" s="67">
        <f>"WIP journal"</f>
        <v/>
      </c>
      <c r="T415" s="67">
        <f>IFERROR(INDEX(tbl_WIP[Revenue or Cost],$A415),"")</f>
        <v/>
      </c>
    </row>
    <row r="416">
      <c r="A416" s="65">
        <f>ROW()-407</f>
        <v/>
      </c>
      <c r="B416" s="66">
        <f>IFERROR(INDEX(tbl_WIP[Month],$A416),"")</f>
        <v/>
      </c>
      <c r="C416" s="67">
        <f>IFERROR(INDEX(tbl_WIP[Xero Invoice No],$A416),"")</f>
        <v/>
      </c>
      <c r="D416" s="67">
        <f>IFERROR(INDEX(tbl_WIP[Client],$A416),"")</f>
        <v/>
      </c>
      <c r="E416" s="67">
        <f>IFERROR(INDEX(tbl_WIP[Job Number],$A416),"")</f>
        <v/>
      </c>
      <c r="F416" s="67">
        <f>IFERROR(INDEX(tbl_WIP[Cost Centre],$A416),"")</f>
        <v/>
      </c>
      <c r="G416" s="68">
        <f>IFERROR(IF(INDEX(tbl_WIP[Defer Start],$A416)="","",IF(INDEX(tbl_WIP[Revenue or Cost],$A416)="Cost",-1,1)*INDEX(tbl_WIP[Amount],$A416)),"")</f>
        <v/>
      </c>
      <c r="H416" s="66">
        <f>IFERROR(INDEX(tbl_WIP[Defer Start],$A416),"")</f>
        <v/>
      </c>
      <c r="I416" s="66">
        <f>IFERROR(INDEX(tbl_WIP[Defer End],$A416),"")</f>
        <v/>
      </c>
      <c r="J416" s="65">
        <f>IF(OR($H416="",$I416="",$G416=""),"",MAX(1,(YEAR($I416)-YEAR($H416))*12+MONTH($I416)-MONTH($H416)+1))</f>
        <v/>
      </c>
      <c r="K416" s="68">
        <f>IF($J416="","",$G416/$J416)</f>
        <v/>
      </c>
      <c r="L416" s="68">
        <f>IF($J416="",0,$K416*MAX(0,MIN(YEAR($C$3)*12+MONTH($C$3),YEAR($I416)*12+MONTH($I416))-(YEAR($H416)*12+MONTH($H416))+1))</f>
        <v/>
      </c>
      <c r="M416" s="68">
        <f>IF($J416="",0,$K416*MAX(0,MIN(YEAR($C$3)*12+MONTH($C$3)-1,YEAR($I416)*12+MONTH($I416))-(YEAR($H416)*12+MONTH($H416))+1))</f>
        <v/>
      </c>
      <c r="N416" s="68">
        <f>IF(OR($J416="",$B416=""),0,IF(YEAR($B416)*12+MONTH($B416)&lt;=YEAR($C$3)*12+MONTH($C$3),$G416,0))</f>
        <v/>
      </c>
      <c r="O416" s="68">
        <f>IF(OR($J416="",$B416=""),0,IF(YEAR($B416)*12+MONTH($B416)&lt;=YEAR($C$3)*12+MONTH($C$3)-1,$G416,0))</f>
        <v/>
      </c>
      <c r="P416" s="68">
        <f>$M416-$O416</f>
        <v/>
      </c>
      <c r="Q416" s="68">
        <f>($L416-$M416)-($N416-$O416)</f>
        <v/>
      </c>
      <c r="R416" s="68">
        <f>$L416-$N416</f>
        <v/>
      </c>
      <c r="S416" s="67">
        <f>"WIP journal"</f>
        <v/>
      </c>
      <c r="T416" s="67">
        <f>IFERROR(INDEX(tbl_WIP[Revenue or Cost],$A416),"")</f>
        <v/>
      </c>
    </row>
    <row r="417">
      <c r="A417" s="65">
        <f>ROW()-407</f>
        <v/>
      </c>
      <c r="B417" s="66">
        <f>IFERROR(INDEX(tbl_WIP[Month],$A417),"")</f>
        <v/>
      </c>
      <c r="C417" s="67">
        <f>IFERROR(INDEX(tbl_WIP[Xero Invoice No],$A417),"")</f>
        <v/>
      </c>
      <c r="D417" s="67">
        <f>IFERROR(INDEX(tbl_WIP[Client],$A417),"")</f>
        <v/>
      </c>
      <c r="E417" s="67">
        <f>IFERROR(INDEX(tbl_WIP[Job Number],$A417),"")</f>
        <v/>
      </c>
      <c r="F417" s="67">
        <f>IFERROR(INDEX(tbl_WIP[Cost Centre],$A417),"")</f>
        <v/>
      </c>
      <c r="G417" s="68">
        <f>IFERROR(IF(INDEX(tbl_WIP[Defer Start],$A417)="","",IF(INDEX(tbl_WIP[Revenue or Cost],$A417)="Cost",-1,1)*INDEX(tbl_WIP[Amount],$A417)),"")</f>
        <v/>
      </c>
      <c r="H417" s="66">
        <f>IFERROR(INDEX(tbl_WIP[Defer Start],$A417),"")</f>
        <v/>
      </c>
      <c r="I417" s="66">
        <f>IFERROR(INDEX(tbl_WIP[Defer End],$A417),"")</f>
        <v/>
      </c>
      <c r="J417" s="65">
        <f>IF(OR($H417="",$I417="",$G417=""),"",MAX(1,(YEAR($I417)-YEAR($H417))*12+MONTH($I417)-MONTH($H417)+1))</f>
        <v/>
      </c>
      <c r="K417" s="68">
        <f>IF($J417="","",$G417/$J417)</f>
        <v/>
      </c>
      <c r="L417" s="68">
        <f>IF($J417="",0,$K417*MAX(0,MIN(YEAR($C$3)*12+MONTH($C$3),YEAR($I417)*12+MONTH($I417))-(YEAR($H417)*12+MONTH($H417))+1))</f>
        <v/>
      </c>
      <c r="M417" s="68">
        <f>IF($J417="",0,$K417*MAX(0,MIN(YEAR($C$3)*12+MONTH($C$3)-1,YEAR($I417)*12+MONTH($I417))-(YEAR($H417)*12+MONTH($H417))+1))</f>
        <v/>
      </c>
      <c r="N417" s="68">
        <f>IF(OR($J417="",$B417=""),0,IF(YEAR($B417)*12+MONTH($B417)&lt;=YEAR($C$3)*12+MONTH($C$3),$G417,0))</f>
        <v/>
      </c>
      <c r="O417" s="68">
        <f>IF(OR($J417="",$B417=""),0,IF(YEAR($B417)*12+MONTH($B417)&lt;=YEAR($C$3)*12+MONTH($C$3)-1,$G417,0))</f>
        <v/>
      </c>
      <c r="P417" s="68">
        <f>$M417-$O417</f>
        <v/>
      </c>
      <c r="Q417" s="68">
        <f>($L417-$M417)-($N417-$O417)</f>
        <v/>
      </c>
      <c r="R417" s="68">
        <f>$L417-$N417</f>
        <v/>
      </c>
      <c r="S417" s="67">
        <f>"WIP journal"</f>
        <v/>
      </c>
      <c r="T417" s="67">
        <f>IFERROR(INDEX(tbl_WIP[Revenue or Cost],$A417),"")</f>
        <v/>
      </c>
    </row>
    <row r="418">
      <c r="A418" s="65">
        <f>ROW()-407</f>
        <v/>
      </c>
      <c r="B418" s="66">
        <f>IFERROR(INDEX(tbl_WIP[Month],$A418),"")</f>
        <v/>
      </c>
      <c r="C418" s="67">
        <f>IFERROR(INDEX(tbl_WIP[Xero Invoice No],$A418),"")</f>
        <v/>
      </c>
      <c r="D418" s="67">
        <f>IFERROR(INDEX(tbl_WIP[Client],$A418),"")</f>
        <v/>
      </c>
      <c r="E418" s="67">
        <f>IFERROR(INDEX(tbl_WIP[Job Number],$A418),"")</f>
        <v/>
      </c>
      <c r="F418" s="67">
        <f>IFERROR(INDEX(tbl_WIP[Cost Centre],$A418),"")</f>
        <v/>
      </c>
      <c r="G418" s="68">
        <f>IFERROR(IF(INDEX(tbl_WIP[Defer Start],$A418)="","",IF(INDEX(tbl_WIP[Revenue or Cost],$A418)="Cost",-1,1)*INDEX(tbl_WIP[Amount],$A418)),"")</f>
        <v/>
      </c>
      <c r="H418" s="66">
        <f>IFERROR(INDEX(tbl_WIP[Defer Start],$A418),"")</f>
        <v/>
      </c>
      <c r="I418" s="66">
        <f>IFERROR(INDEX(tbl_WIP[Defer End],$A418),"")</f>
        <v/>
      </c>
      <c r="J418" s="65">
        <f>IF(OR($H418="",$I418="",$G418=""),"",MAX(1,(YEAR($I418)-YEAR($H418))*12+MONTH($I418)-MONTH($H418)+1))</f>
        <v/>
      </c>
      <c r="K418" s="68">
        <f>IF($J418="","",$G418/$J418)</f>
        <v/>
      </c>
      <c r="L418" s="68">
        <f>IF($J418="",0,$K418*MAX(0,MIN(YEAR($C$3)*12+MONTH($C$3),YEAR($I418)*12+MONTH($I418))-(YEAR($H418)*12+MONTH($H418))+1))</f>
        <v/>
      </c>
      <c r="M418" s="68">
        <f>IF($J418="",0,$K418*MAX(0,MIN(YEAR($C$3)*12+MONTH($C$3)-1,YEAR($I418)*12+MONTH($I418))-(YEAR($H418)*12+MONTH($H418))+1))</f>
        <v/>
      </c>
      <c r="N418" s="68">
        <f>IF(OR($J418="",$B418=""),0,IF(YEAR($B418)*12+MONTH($B418)&lt;=YEAR($C$3)*12+MONTH($C$3),$G418,0))</f>
        <v/>
      </c>
      <c r="O418" s="68">
        <f>IF(OR($J418="",$B418=""),0,IF(YEAR($B418)*12+MONTH($B418)&lt;=YEAR($C$3)*12+MONTH($C$3)-1,$G418,0))</f>
        <v/>
      </c>
      <c r="P418" s="68">
        <f>$M418-$O418</f>
        <v/>
      </c>
      <c r="Q418" s="68">
        <f>($L418-$M418)-($N418-$O418)</f>
        <v/>
      </c>
      <c r="R418" s="68">
        <f>$L418-$N418</f>
        <v/>
      </c>
      <c r="S418" s="67">
        <f>"WIP journal"</f>
        <v/>
      </c>
      <c r="T418" s="67">
        <f>IFERROR(INDEX(tbl_WIP[Revenue or Cost],$A418),"")</f>
        <v/>
      </c>
    </row>
    <row r="419">
      <c r="A419" s="65">
        <f>ROW()-407</f>
        <v/>
      </c>
      <c r="B419" s="66">
        <f>IFERROR(INDEX(tbl_WIP[Month],$A419),"")</f>
        <v/>
      </c>
      <c r="C419" s="67">
        <f>IFERROR(INDEX(tbl_WIP[Xero Invoice No],$A419),"")</f>
        <v/>
      </c>
      <c r="D419" s="67">
        <f>IFERROR(INDEX(tbl_WIP[Client],$A419),"")</f>
        <v/>
      </c>
      <c r="E419" s="67">
        <f>IFERROR(INDEX(tbl_WIP[Job Number],$A419),"")</f>
        <v/>
      </c>
      <c r="F419" s="67">
        <f>IFERROR(INDEX(tbl_WIP[Cost Centre],$A419),"")</f>
        <v/>
      </c>
      <c r="G419" s="68">
        <f>IFERROR(IF(INDEX(tbl_WIP[Defer Start],$A419)="","",IF(INDEX(tbl_WIP[Revenue or Cost],$A419)="Cost",-1,1)*INDEX(tbl_WIP[Amount],$A419)),"")</f>
        <v/>
      </c>
      <c r="H419" s="66">
        <f>IFERROR(INDEX(tbl_WIP[Defer Start],$A419),"")</f>
        <v/>
      </c>
      <c r="I419" s="66">
        <f>IFERROR(INDEX(tbl_WIP[Defer End],$A419),"")</f>
        <v/>
      </c>
      <c r="J419" s="65">
        <f>IF(OR($H419="",$I419="",$G419=""),"",MAX(1,(YEAR($I419)-YEAR($H419))*12+MONTH($I419)-MONTH($H419)+1))</f>
        <v/>
      </c>
      <c r="K419" s="68">
        <f>IF($J419="","",$G419/$J419)</f>
        <v/>
      </c>
      <c r="L419" s="68">
        <f>IF($J419="",0,$K419*MAX(0,MIN(YEAR($C$3)*12+MONTH($C$3),YEAR($I419)*12+MONTH($I419))-(YEAR($H419)*12+MONTH($H419))+1))</f>
        <v/>
      </c>
      <c r="M419" s="68">
        <f>IF($J419="",0,$K419*MAX(0,MIN(YEAR($C$3)*12+MONTH($C$3)-1,YEAR($I419)*12+MONTH($I419))-(YEAR($H419)*12+MONTH($H419))+1))</f>
        <v/>
      </c>
      <c r="N419" s="68">
        <f>IF(OR($J419="",$B419=""),0,IF(YEAR($B419)*12+MONTH($B419)&lt;=YEAR($C$3)*12+MONTH($C$3),$G419,0))</f>
        <v/>
      </c>
      <c r="O419" s="68">
        <f>IF(OR($J419="",$B419=""),0,IF(YEAR($B419)*12+MONTH($B419)&lt;=YEAR($C$3)*12+MONTH($C$3)-1,$G419,0))</f>
        <v/>
      </c>
      <c r="P419" s="68">
        <f>$M419-$O419</f>
        <v/>
      </c>
      <c r="Q419" s="68">
        <f>($L419-$M419)-($N419-$O419)</f>
        <v/>
      </c>
      <c r="R419" s="68">
        <f>$L419-$N419</f>
        <v/>
      </c>
      <c r="S419" s="67">
        <f>"WIP journal"</f>
        <v/>
      </c>
      <c r="T419" s="67">
        <f>IFERROR(INDEX(tbl_WIP[Revenue or Cost],$A419),"")</f>
        <v/>
      </c>
    </row>
    <row r="420">
      <c r="A420" s="65">
        <f>ROW()-407</f>
        <v/>
      </c>
      <c r="B420" s="66">
        <f>IFERROR(INDEX(tbl_WIP[Month],$A420),"")</f>
        <v/>
      </c>
      <c r="C420" s="67">
        <f>IFERROR(INDEX(tbl_WIP[Xero Invoice No],$A420),"")</f>
        <v/>
      </c>
      <c r="D420" s="67">
        <f>IFERROR(INDEX(tbl_WIP[Client],$A420),"")</f>
        <v/>
      </c>
      <c r="E420" s="67">
        <f>IFERROR(INDEX(tbl_WIP[Job Number],$A420),"")</f>
        <v/>
      </c>
      <c r="F420" s="67">
        <f>IFERROR(INDEX(tbl_WIP[Cost Centre],$A420),"")</f>
        <v/>
      </c>
      <c r="G420" s="68">
        <f>IFERROR(IF(INDEX(tbl_WIP[Defer Start],$A420)="","",IF(INDEX(tbl_WIP[Revenue or Cost],$A420)="Cost",-1,1)*INDEX(tbl_WIP[Amount],$A420)),"")</f>
        <v/>
      </c>
      <c r="H420" s="66">
        <f>IFERROR(INDEX(tbl_WIP[Defer Start],$A420),"")</f>
        <v/>
      </c>
      <c r="I420" s="66">
        <f>IFERROR(INDEX(tbl_WIP[Defer End],$A420),"")</f>
        <v/>
      </c>
      <c r="J420" s="65">
        <f>IF(OR($H420="",$I420="",$G420=""),"",MAX(1,(YEAR($I420)-YEAR($H420))*12+MONTH($I420)-MONTH($H420)+1))</f>
        <v/>
      </c>
      <c r="K420" s="68">
        <f>IF($J420="","",$G420/$J420)</f>
        <v/>
      </c>
      <c r="L420" s="68">
        <f>IF($J420="",0,$K420*MAX(0,MIN(YEAR($C$3)*12+MONTH($C$3),YEAR($I420)*12+MONTH($I420))-(YEAR($H420)*12+MONTH($H420))+1))</f>
        <v/>
      </c>
      <c r="M420" s="68">
        <f>IF($J420="",0,$K420*MAX(0,MIN(YEAR($C$3)*12+MONTH($C$3)-1,YEAR($I420)*12+MONTH($I420))-(YEAR($H420)*12+MONTH($H420))+1))</f>
        <v/>
      </c>
      <c r="N420" s="68">
        <f>IF(OR($J420="",$B420=""),0,IF(YEAR($B420)*12+MONTH($B420)&lt;=YEAR($C$3)*12+MONTH($C$3),$G420,0))</f>
        <v/>
      </c>
      <c r="O420" s="68">
        <f>IF(OR($J420="",$B420=""),0,IF(YEAR($B420)*12+MONTH($B420)&lt;=YEAR($C$3)*12+MONTH($C$3)-1,$G420,0))</f>
        <v/>
      </c>
      <c r="P420" s="68">
        <f>$M420-$O420</f>
        <v/>
      </c>
      <c r="Q420" s="68">
        <f>($L420-$M420)-($N420-$O420)</f>
        <v/>
      </c>
      <c r="R420" s="68">
        <f>$L420-$N420</f>
        <v/>
      </c>
      <c r="S420" s="67">
        <f>"WIP journal"</f>
        <v/>
      </c>
      <c r="T420" s="67">
        <f>IFERROR(INDEX(tbl_WIP[Revenue or Cost],$A420),"")</f>
        <v/>
      </c>
    </row>
    <row r="421">
      <c r="A421" s="65">
        <f>ROW()-407</f>
        <v/>
      </c>
      <c r="B421" s="66">
        <f>IFERROR(INDEX(tbl_WIP[Month],$A421),"")</f>
        <v/>
      </c>
      <c r="C421" s="67">
        <f>IFERROR(INDEX(tbl_WIP[Xero Invoice No],$A421),"")</f>
        <v/>
      </c>
      <c r="D421" s="67">
        <f>IFERROR(INDEX(tbl_WIP[Client],$A421),"")</f>
        <v/>
      </c>
      <c r="E421" s="67">
        <f>IFERROR(INDEX(tbl_WIP[Job Number],$A421),"")</f>
        <v/>
      </c>
      <c r="F421" s="67">
        <f>IFERROR(INDEX(tbl_WIP[Cost Centre],$A421),"")</f>
        <v/>
      </c>
      <c r="G421" s="68">
        <f>IFERROR(IF(INDEX(tbl_WIP[Defer Start],$A421)="","",IF(INDEX(tbl_WIP[Revenue or Cost],$A421)="Cost",-1,1)*INDEX(tbl_WIP[Amount],$A421)),"")</f>
        <v/>
      </c>
      <c r="H421" s="66">
        <f>IFERROR(INDEX(tbl_WIP[Defer Start],$A421),"")</f>
        <v/>
      </c>
      <c r="I421" s="66">
        <f>IFERROR(INDEX(tbl_WIP[Defer End],$A421),"")</f>
        <v/>
      </c>
      <c r="J421" s="65">
        <f>IF(OR($H421="",$I421="",$G421=""),"",MAX(1,(YEAR($I421)-YEAR($H421))*12+MONTH($I421)-MONTH($H421)+1))</f>
        <v/>
      </c>
      <c r="K421" s="68">
        <f>IF($J421="","",$G421/$J421)</f>
        <v/>
      </c>
      <c r="L421" s="68">
        <f>IF($J421="",0,$K421*MAX(0,MIN(YEAR($C$3)*12+MONTH($C$3),YEAR($I421)*12+MONTH($I421))-(YEAR($H421)*12+MONTH($H421))+1))</f>
        <v/>
      </c>
      <c r="M421" s="68">
        <f>IF($J421="",0,$K421*MAX(0,MIN(YEAR($C$3)*12+MONTH($C$3)-1,YEAR($I421)*12+MONTH($I421))-(YEAR($H421)*12+MONTH($H421))+1))</f>
        <v/>
      </c>
      <c r="N421" s="68">
        <f>IF(OR($J421="",$B421=""),0,IF(YEAR($B421)*12+MONTH($B421)&lt;=YEAR($C$3)*12+MONTH($C$3),$G421,0))</f>
        <v/>
      </c>
      <c r="O421" s="68">
        <f>IF(OR($J421="",$B421=""),0,IF(YEAR($B421)*12+MONTH($B421)&lt;=YEAR($C$3)*12+MONTH($C$3)-1,$G421,0))</f>
        <v/>
      </c>
      <c r="P421" s="68">
        <f>$M421-$O421</f>
        <v/>
      </c>
      <c r="Q421" s="68">
        <f>($L421-$M421)-($N421-$O421)</f>
        <v/>
      </c>
      <c r="R421" s="68">
        <f>$L421-$N421</f>
        <v/>
      </c>
      <c r="S421" s="67">
        <f>"WIP journal"</f>
        <v/>
      </c>
      <c r="T421" s="67">
        <f>IFERROR(INDEX(tbl_WIP[Revenue or Cost],$A421),"")</f>
        <v/>
      </c>
    </row>
    <row r="422">
      <c r="A422" s="65">
        <f>ROW()-407</f>
        <v/>
      </c>
      <c r="B422" s="66">
        <f>IFERROR(INDEX(tbl_WIP[Month],$A422),"")</f>
        <v/>
      </c>
      <c r="C422" s="67">
        <f>IFERROR(INDEX(tbl_WIP[Xero Invoice No],$A422),"")</f>
        <v/>
      </c>
      <c r="D422" s="67">
        <f>IFERROR(INDEX(tbl_WIP[Client],$A422),"")</f>
        <v/>
      </c>
      <c r="E422" s="67">
        <f>IFERROR(INDEX(tbl_WIP[Job Number],$A422),"")</f>
        <v/>
      </c>
      <c r="F422" s="67">
        <f>IFERROR(INDEX(tbl_WIP[Cost Centre],$A422),"")</f>
        <v/>
      </c>
      <c r="G422" s="68">
        <f>IFERROR(IF(INDEX(tbl_WIP[Defer Start],$A422)="","",IF(INDEX(tbl_WIP[Revenue or Cost],$A422)="Cost",-1,1)*INDEX(tbl_WIP[Amount],$A422)),"")</f>
        <v/>
      </c>
      <c r="H422" s="66">
        <f>IFERROR(INDEX(tbl_WIP[Defer Start],$A422),"")</f>
        <v/>
      </c>
      <c r="I422" s="66">
        <f>IFERROR(INDEX(tbl_WIP[Defer End],$A422),"")</f>
        <v/>
      </c>
      <c r="J422" s="65">
        <f>IF(OR($H422="",$I422="",$G422=""),"",MAX(1,(YEAR($I422)-YEAR($H422))*12+MONTH($I422)-MONTH($H422)+1))</f>
        <v/>
      </c>
      <c r="K422" s="68">
        <f>IF($J422="","",$G422/$J422)</f>
        <v/>
      </c>
      <c r="L422" s="68">
        <f>IF($J422="",0,$K422*MAX(0,MIN(YEAR($C$3)*12+MONTH($C$3),YEAR($I422)*12+MONTH($I422))-(YEAR($H422)*12+MONTH($H422))+1))</f>
        <v/>
      </c>
      <c r="M422" s="68">
        <f>IF($J422="",0,$K422*MAX(0,MIN(YEAR($C$3)*12+MONTH($C$3)-1,YEAR($I422)*12+MONTH($I422))-(YEAR($H422)*12+MONTH($H422))+1))</f>
        <v/>
      </c>
      <c r="N422" s="68">
        <f>IF(OR($J422="",$B422=""),0,IF(YEAR($B422)*12+MONTH($B422)&lt;=YEAR($C$3)*12+MONTH($C$3),$G422,0))</f>
        <v/>
      </c>
      <c r="O422" s="68">
        <f>IF(OR($J422="",$B422=""),0,IF(YEAR($B422)*12+MONTH($B422)&lt;=YEAR($C$3)*12+MONTH($C$3)-1,$G422,0))</f>
        <v/>
      </c>
      <c r="P422" s="68">
        <f>$M422-$O422</f>
        <v/>
      </c>
      <c r="Q422" s="68">
        <f>($L422-$M422)-($N422-$O422)</f>
        <v/>
      </c>
      <c r="R422" s="68">
        <f>$L422-$N422</f>
        <v/>
      </c>
      <c r="S422" s="67">
        <f>"WIP journal"</f>
        <v/>
      </c>
      <c r="T422" s="67">
        <f>IFERROR(INDEX(tbl_WIP[Revenue or Cost],$A422),"")</f>
        <v/>
      </c>
    </row>
    <row r="423">
      <c r="A423" s="65">
        <f>ROW()-407</f>
        <v/>
      </c>
      <c r="B423" s="66">
        <f>IFERROR(INDEX(tbl_WIP[Month],$A423),"")</f>
        <v/>
      </c>
      <c r="C423" s="67">
        <f>IFERROR(INDEX(tbl_WIP[Xero Invoice No],$A423),"")</f>
        <v/>
      </c>
      <c r="D423" s="67">
        <f>IFERROR(INDEX(tbl_WIP[Client],$A423),"")</f>
        <v/>
      </c>
      <c r="E423" s="67">
        <f>IFERROR(INDEX(tbl_WIP[Job Number],$A423),"")</f>
        <v/>
      </c>
      <c r="F423" s="67">
        <f>IFERROR(INDEX(tbl_WIP[Cost Centre],$A423),"")</f>
        <v/>
      </c>
      <c r="G423" s="68">
        <f>IFERROR(IF(INDEX(tbl_WIP[Defer Start],$A423)="","",IF(INDEX(tbl_WIP[Revenue or Cost],$A423)="Cost",-1,1)*INDEX(tbl_WIP[Amount],$A423)),"")</f>
        <v/>
      </c>
      <c r="H423" s="66">
        <f>IFERROR(INDEX(tbl_WIP[Defer Start],$A423),"")</f>
        <v/>
      </c>
      <c r="I423" s="66">
        <f>IFERROR(INDEX(tbl_WIP[Defer End],$A423),"")</f>
        <v/>
      </c>
      <c r="J423" s="65">
        <f>IF(OR($H423="",$I423="",$G423=""),"",MAX(1,(YEAR($I423)-YEAR($H423))*12+MONTH($I423)-MONTH($H423)+1))</f>
        <v/>
      </c>
      <c r="K423" s="68">
        <f>IF($J423="","",$G423/$J423)</f>
        <v/>
      </c>
      <c r="L423" s="68">
        <f>IF($J423="",0,$K423*MAX(0,MIN(YEAR($C$3)*12+MONTH($C$3),YEAR($I423)*12+MONTH($I423))-(YEAR($H423)*12+MONTH($H423))+1))</f>
        <v/>
      </c>
      <c r="M423" s="68">
        <f>IF($J423="",0,$K423*MAX(0,MIN(YEAR($C$3)*12+MONTH($C$3)-1,YEAR($I423)*12+MONTH($I423))-(YEAR($H423)*12+MONTH($H423))+1))</f>
        <v/>
      </c>
      <c r="N423" s="68">
        <f>IF(OR($J423="",$B423=""),0,IF(YEAR($B423)*12+MONTH($B423)&lt;=YEAR($C$3)*12+MONTH($C$3),$G423,0))</f>
        <v/>
      </c>
      <c r="O423" s="68">
        <f>IF(OR($J423="",$B423=""),0,IF(YEAR($B423)*12+MONTH($B423)&lt;=YEAR($C$3)*12+MONTH($C$3)-1,$G423,0))</f>
        <v/>
      </c>
      <c r="P423" s="68">
        <f>$M423-$O423</f>
        <v/>
      </c>
      <c r="Q423" s="68">
        <f>($L423-$M423)-($N423-$O423)</f>
        <v/>
      </c>
      <c r="R423" s="68">
        <f>$L423-$N423</f>
        <v/>
      </c>
      <c r="S423" s="67">
        <f>"WIP journal"</f>
        <v/>
      </c>
      <c r="T423" s="67">
        <f>IFERROR(INDEX(tbl_WIP[Revenue or Cost],$A423),"")</f>
        <v/>
      </c>
    </row>
    <row r="424">
      <c r="A424" s="65">
        <f>ROW()-407</f>
        <v/>
      </c>
      <c r="B424" s="66">
        <f>IFERROR(INDEX(tbl_WIP[Month],$A424),"")</f>
        <v/>
      </c>
      <c r="C424" s="67">
        <f>IFERROR(INDEX(tbl_WIP[Xero Invoice No],$A424),"")</f>
        <v/>
      </c>
      <c r="D424" s="67">
        <f>IFERROR(INDEX(tbl_WIP[Client],$A424),"")</f>
        <v/>
      </c>
      <c r="E424" s="67">
        <f>IFERROR(INDEX(tbl_WIP[Job Number],$A424),"")</f>
        <v/>
      </c>
      <c r="F424" s="67">
        <f>IFERROR(INDEX(tbl_WIP[Cost Centre],$A424),"")</f>
        <v/>
      </c>
      <c r="G424" s="68">
        <f>IFERROR(IF(INDEX(tbl_WIP[Defer Start],$A424)="","",IF(INDEX(tbl_WIP[Revenue or Cost],$A424)="Cost",-1,1)*INDEX(tbl_WIP[Amount],$A424)),"")</f>
        <v/>
      </c>
      <c r="H424" s="66">
        <f>IFERROR(INDEX(tbl_WIP[Defer Start],$A424),"")</f>
        <v/>
      </c>
      <c r="I424" s="66">
        <f>IFERROR(INDEX(tbl_WIP[Defer End],$A424),"")</f>
        <v/>
      </c>
      <c r="J424" s="65">
        <f>IF(OR($H424="",$I424="",$G424=""),"",MAX(1,(YEAR($I424)-YEAR($H424))*12+MONTH($I424)-MONTH($H424)+1))</f>
        <v/>
      </c>
      <c r="K424" s="68">
        <f>IF($J424="","",$G424/$J424)</f>
        <v/>
      </c>
      <c r="L424" s="68">
        <f>IF($J424="",0,$K424*MAX(0,MIN(YEAR($C$3)*12+MONTH($C$3),YEAR($I424)*12+MONTH($I424))-(YEAR($H424)*12+MONTH($H424))+1))</f>
        <v/>
      </c>
      <c r="M424" s="68">
        <f>IF($J424="",0,$K424*MAX(0,MIN(YEAR($C$3)*12+MONTH($C$3)-1,YEAR($I424)*12+MONTH($I424))-(YEAR($H424)*12+MONTH($H424))+1))</f>
        <v/>
      </c>
      <c r="N424" s="68">
        <f>IF(OR($J424="",$B424=""),0,IF(YEAR($B424)*12+MONTH($B424)&lt;=YEAR($C$3)*12+MONTH($C$3),$G424,0))</f>
        <v/>
      </c>
      <c r="O424" s="68">
        <f>IF(OR($J424="",$B424=""),0,IF(YEAR($B424)*12+MONTH($B424)&lt;=YEAR($C$3)*12+MONTH($C$3)-1,$G424,0))</f>
        <v/>
      </c>
      <c r="P424" s="68">
        <f>$M424-$O424</f>
        <v/>
      </c>
      <c r="Q424" s="68">
        <f>($L424-$M424)-($N424-$O424)</f>
        <v/>
      </c>
      <c r="R424" s="68">
        <f>$L424-$N424</f>
        <v/>
      </c>
      <c r="S424" s="67">
        <f>"WIP journal"</f>
        <v/>
      </c>
      <c r="T424" s="67">
        <f>IFERROR(INDEX(tbl_WIP[Revenue or Cost],$A424),"")</f>
        <v/>
      </c>
    </row>
    <row r="425">
      <c r="A425" s="65">
        <f>ROW()-407</f>
        <v/>
      </c>
      <c r="B425" s="66">
        <f>IFERROR(INDEX(tbl_WIP[Month],$A425),"")</f>
        <v/>
      </c>
      <c r="C425" s="67">
        <f>IFERROR(INDEX(tbl_WIP[Xero Invoice No],$A425),"")</f>
        <v/>
      </c>
      <c r="D425" s="67">
        <f>IFERROR(INDEX(tbl_WIP[Client],$A425),"")</f>
        <v/>
      </c>
      <c r="E425" s="67">
        <f>IFERROR(INDEX(tbl_WIP[Job Number],$A425),"")</f>
        <v/>
      </c>
      <c r="F425" s="67">
        <f>IFERROR(INDEX(tbl_WIP[Cost Centre],$A425),"")</f>
        <v/>
      </c>
      <c r="G425" s="68">
        <f>IFERROR(IF(INDEX(tbl_WIP[Defer Start],$A425)="","",IF(INDEX(tbl_WIP[Revenue or Cost],$A425)="Cost",-1,1)*INDEX(tbl_WIP[Amount],$A425)),"")</f>
        <v/>
      </c>
      <c r="H425" s="66">
        <f>IFERROR(INDEX(tbl_WIP[Defer Start],$A425),"")</f>
        <v/>
      </c>
      <c r="I425" s="66">
        <f>IFERROR(INDEX(tbl_WIP[Defer End],$A425),"")</f>
        <v/>
      </c>
      <c r="J425" s="65">
        <f>IF(OR($H425="",$I425="",$G425=""),"",MAX(1,(YEAR($I425)-YEAR($H425))*12+MONTH($I425)-MONTH($H425)+1))</f>
        <v/>
      </c>
      <c r="K425" s="68">
        <f>IF($J425="","",$G425/$J425)</f>
        <v/>
      </c>
      <c r="L425" s="68">
        <f>IF($J425="",0,$K425*MAX(0,MIN(YEAR($C$3)*12+MONTH($C$3),YEAR($I425)*12+MONTH($I425))-(YEAR($H425)*12+MONTH($H425))+1))</f>
        <v/>
      </c>
      <c r="M425" s="68">
        <f>IF($J425="",0,$K425*MAX(0,MIN(YEAR($C$3)*12+MONTH($C$3)-1,YEAR($I425)*12+MONTH($I425))-(YEAR($H425)*12+MONTH($H425))+1))</f>
        <v/>
      </c>
      <c r="N425" s="68">
        <f>IF(OR($J425="",$B425=""),0,IF(YEAR($B425)*12+MONTH($B425)&lt;=YEAR($C$3)*12+MONTH($C$3),$G425,0))</f>
        <v/>
      </c>
      <c r="O425" s="68">
        <f>IF(OR($J425="",$B425=""),0,IF(YEAR($B425)*12+MONTH($B425)&lt;=YEAR($C$3)*12+MONTH($C$3)-1,$G425,0))</f>
        <v/>
      </c>
      <c r="P425" s="68">
        <f>$M425-$O425</f>
        <v/>
      </c>
      <c r="Q425" s="68">
        <f>($L425-$M425)-($N425-$O425)</f>
        <v/>
      </c>
      <c r="R425" s="68">
        <f>$L425-$N425</f>
        <v/>
      </c>
      <c r="S425" s="67">
        <f>"WIP journal"</f>
        <v/>
      </c>
      <c r="T425" s="67">
        <f>IFERROR(INDEX(tbl_WIP[Revenue or Cost],$A425),"")</f>
        <v/>
      </c>
    </row>
    <row r="426">
      <c r="A426" s="65">
        <f>ROW()-407</f>
        <v/>
      </c>
      <c r="B426" s="66">
        <f>IFERROR(INDEX(tbl_WIP[Month],$A426),"")</f>
        <v/>
      </c>
      <c r="C426" s="67">
        <f>IFERROR(INDEX(tbl_WIP[Xero Invoice No],$A426),"")</f>
        <v/>
      </c>
      <c r="D426" s="67">
        <f>IFERROR(INDEX(tbl_WIP[Client],$A426),"")</f>
        <v/>
      </c>
      <c r="E426" s="67">
        <f>IFERROR(INDEX(tbl_WIP[Job Number],$A426),"")</f>
        <v/>
      </c>
      <c r="F426" s="67">
        <f>IFERROR(INDEX(tbl_WIP[Cost Centre],$A426),"")</f>
        <v/>
      </c>
      <c r="G426" s="68">
        <f>IFERROR(IF(INDEX(tbl_WIP[Defer Start],$A426)="","",IF(INDEX(tbl_WIP[Revenue or Cost],$A426)="Cost",-1,1)*INDEX(tbl_WIP[Amount],$A426)),"")</f>
        <v/>
      </c>
      <c r="H426" s="66">
        <f>IFERROR(INDEX(tbl_WIP[Defer Start],$A426),"")</f>
        <v/>
      </c>
      <c r="I426" s="66">
        <f>IFERROR(INDEX(tbl_WIP[Defer End],$A426),"")</f>
        <v/>
      </c>
      <c r="J426" s="65">
        <f>IF(OR($H426="",$I426="",$G426=""),"",MAX(1,(YEAR($I426)-YEAR($H426))*12+MONTH($I426)-MONTH($H426)+1))</f>
        <v/>
      </c>
      <c r="K426" s="68">
        <f>IF($J426="","",$G426/$J426)</f>
        <v/>
      </c>
      <c r="L426" s="68">
        <f>IF($J426="",0,$K426*MAX(0,MIN(YEAR($C$3)*12+MONTH($C$3),YEAR($I426)*12+MONTH($I426))-(YEAR($H426)*12+MONTH($H426))+1))</f>
        <v/>
      </c>
      <c r="M426" s="68">
        <f>IF($J426="",0,$K426*MAX(0,MIN(YEAR($C$3)*12+MONTH($C$3)-1,YEAR($I426)*12+MONTH($I426))-(YEAR($H426)*12+MONTH($H426))+1))</f>
        <v/>
      </c>
      <c r="N426" s="68">
        <f>IF(OR($J426="",$B426=""),0,IF(YEAR($B426)*12+MONTH($B426)&lt;=YEAR($C$3)*12+MONTH($C$3),$G426,0))</f>
        <v/>
      </c>
      <c r="O426" s="68">
        <f>IF(OR($J426="",$B426=""),0,IF(YEAR($B426)*12+MONTH($B426)&lt;=YEAR($C$3)*12+MONTH($C$3)-1,$G426,0))</f>
        <v/>
      </c>
      <c r="P426" s="68">
        <f>$M426-$O426</f>
        <v/>
      </c>
      <c r="Q426" s="68">
        <f>($L426-$M426)-($N426-$O426)</f>
        <v/>
      </c>
      <c r="R426" s="68">
        <f>$L426-$N426</f>
        <v/>
      </c>
      <c r="S426" s="67">
        <f>"WIP journal"</f>
        <v/>
      </c>
      <c r="T426" s="67">
        <f>IFERROR(INDEX(tbl_WIP[Revenue or Cost],$A426),"")</f>
        <v/>
      </c>
    </row>
    <row r="427">
      <c r="A427" s="65">
        <f>ROW()-407</f>
        <v/>
      </c>
      <c r="B427" s="66">
        <f>IFERROR(INDEX(tbl_WIP[Month],$A427),"")</f>
        <v/>
      </c>
      <c r="C427" s="67">
        <f>IFERROR(INDEX(tbl_WIP[Xero Invoice No],$A427),"")</f>
        <v/>
      </c>
      <c r="D427" s="67">
        <f>IFERROR(INDEX(tbl_WIP[Client],$A427),"")</f>
        <v/>
      </c>
      <c r="E427" s="67">
        <f>IFERROR(INDEX(tbl_WIP[Job Number],$A427),"")</f>
        <v/>
      </c>
      <c r="F427" s="67">
        <f>IFERROR(INDEX(tbl_WIP[Cost Centre],$A427),"")</f>
        <v/>
      </c>
      <c r="G427" s="68">
        <f>IFERROR(IF(INDEX(tbl_WIP[Defer Start],$A427)="","",IF(INDEX(tbl_WIP[Revenue or Cost],$A427)="Cost",-1,1)*INDEX(tbl_WIP[Amount],$A427)),"")</f>
        <v/>
      </c>
      <c r="H427" s="66">
        <f>IFERROR(INDEX(tbl_WIP[Defer Start],$A427),"")</f>
        <v/>
      </c>
      <c r="I427" s="66">
        <f>IFERROR(INDEX(tbl_WIP[Defer End],$A427),"")</f>
        <v/>
      </c>
      <c r="J427" s="65">
        <f>IF(OR($H427="",$I427="",$G427=""),"",MAX(1,(YEAR($I427)-YEAR($H427))*12+MONTH($I427)-MONTH($H427)+1))</f>
        <v/>
      </c>
      <c r="K427" s="68">
        <f>IF($J427="","",$G427/$J427)</f>
        <v/>
      </c>
      <c r="L427" s="68">
        <f>IF($J427="",0,$K427*MAX(0,MIN(YEAR($C$3)*12+MONTH($C$3),YEAR($I427)*12+MONTH($I427))-(YEAR($H427)*12+MONTH($H427))+1))</f>
        <v/>
      </c>
      <c r="M427" s="68">
        <f>IF($J427="",0,$K427*MAX(0,MIN(YEAR($C$3)*12+MONTH($C$3)-1,YEAR($I427)*12+MONTH($I427))-(YEAR($H427)*12+MONTH($H427))+1))</f>
        <v/>
      </c>
      <c r="N427" s="68">
        <f>IF(OR($J427="",$B427=""),0,IF(YEAR($B427)*12+MONTH($B427)&lt;=YEAR($C$3)*12+MONTH($C$3),$G427,0))</f>
        <v/>
      </c>
      <c r="O427" s="68">
        <f>IF(OR($J427="",$B427=""),0,IF(YEAR($B427)*12+MONTH($B427)&lt;=YEAR($C$3)*12+MONTH($C$3)-1,$G427,0))</f>
        <v/>
      </c>
      <c r="P427" s="68">
        <f>$M427-$O427</f>
        <v/>
      </c>
      <c r="Q427" s="68">
        <f>($L427-$M427)-($N427-$O427)</f>
        <v/>
      </c>
      <c r="R427" s="68">
        <f>$L427-$N427</f>
        <v/>
      </c>
      <c r="S427" s="67">
        <f>"WIP journal"</f>
        <v/>
      </c>
      <c r="T427" s="67">
        <f>IFERROR(INDEX(tbl_WIP[Revenue or Cost],$A427),"")</f>
        <v/>
      </c>
    </row>
    <row r="428">
      <c r="A428" s="65">
        <f>ROW()-407</f>
        <v/>
      </c>
      <c r="B428" s="66">
        <f>IFERROR(INDEX(tbl_WIP[Month],$A428),"")</f>
        <v/>
      </c>
      <c r="C428" s="67">
        <f>IFERROR(INDEX(tbl_WIP[Xero Invoice No],$A428),"")</f>
        <v/>
      </c>
      <c r="D428" s="67">
        <f>IFERROR(INDEX(tbl_WIP[Client],$A428),"")</f>
        <v/>
      </c>
      <c r="E428" s="67">
        <f>IFERROR(INDEX(tbl_WIP[Job Number],$A428),"")</f>
        <v/>
      </c>
      <c r="F428" s="67">
        <f>IFERROR(INDEX(tbl_WIP[Cost Centre],$A428),"")</f>
        <v/>
      </c>
      <c r="G428" s="68">
        <f>IFERROR(IF(INDEX(tbl_WIP[Defer Start],$A428)="","",IF(INDEX(tbl_WIP[Revenue or Cost],$A428)="Cost",-1,1)*INDEX(tbl_WIP[Amount],$A428)),"")</f>
        <v/>
      </c>
      <c r="H428" s="66">
        <f>IFERROR(INDEX(tbl_WIP[Defer Start],$A428),"")</f>
        <v/>
      </c>
      <c r="I428" s="66">
        <f>IFERROR(INDEX(tbl_WIP[Defer End],$A428),"")</f>
        <v/>
      </c>
      <c r="J428" s="65">
        <f>IF(OR($H428="",$I428="",$G428=""),"",MAX(1,(YEAR($I428)-YEAR($H428))*12+MONTH($I428)-MONTH($H428)+1))</f>
        <v/>
      </c>
      <c r="K428" s="68">
        <f>IF($J428="","",$G428/$J428)</f>
        <v/>
      </c>
      <c r="L428" s="68">
        <f>IF($J428="",0,$K428*MAX(0,MIN(YEAR($C$3)*12+MONTH($C$3),YEAR($I428)*12+MONTH($I428))-(YEAR($H428)*12+MONTH($H428))+1))</f>
        <v/>
      </c>
      <c r="M428" s="68">
        <f>IF($J428="",0,$K428*MAX(0,MIN(YEAR($C$3)*12+MONTH($C$3)-1,YEAR($I428)*12+MONTH($I428))-(YEAR($H428)*12+MONTH($H428))+1))</f>
        <v/>
      </c>
      <c r="N428" s="68">
        <f>IF(OR($J428="",$B428=""),0,IF(YEAR($B428)*12+MONTH($B428)&lt;=YEAR($C$3)*12+MONTH($C$3),$G428,0))</f>
        <v/>
      </c>
      <c r="O428" s="68">
        <f>IF(OR($J428="",$B428=""),0,IF(YEAR($B428)*12+MONTH($B428)&lt;=YEAR($C$3)*12+MONTH($C$3)-1,$G428,0))</f>
        <v/>
      </c>
      <c r="P428" s="68">
        <f>$M428-$O428</f>
        <v/>
      </c>
      <c r="Q428" s="68">
        <f>($L428-$M428)-($N428-$O428)</f>
        <v/>
      </c>
      <c r="R428" s="68">
        <f>$L428-$N428</f>
        <v/>
      </c>
      <c r="S428" s="67">
        <f>"WIP journal"</f>
        <v/>
      </c>
      <c r="T428" s="67">
        <f>IFERROR(INDEX(tbl_WIP[Revenue or Cost],$A428),"")</f>
        <v/>
      </c>
    </row>
    <row r="429">
      <c r="A429" s="65">
        <f>ROW()-407</f>
        <v/>
      </c>
      <c r="B429" s="66">
        <f>IFERROR(INDEX(tbl_WIP[Month],$A429),"")</f>
        <v/>
      </c>
      <c r="C429" s="67">
        <f>IFERROR(INDEX(tbl_WIP[Xero Invoice No],$A429),"")</f>
        <v/>
      </c>
      <c r="D429" s="67">
        <f>IFERROR(INDEX(tbl_WIP[Client],$A429),"")</f>
        <v/>
      </c>
      <c r="E429" s="67">
        <f>IFERROR(INDEX(tbl_WIP[Job Number],$A429),"")</f>
        <v/>
      </c>
      <c r="F429" s="67">
        <f>IFERROR(INDEX(tbl_WIP[Cost Centre],$A429),"")</f>
        <v/>
      </c>
      <c r="G429" s="68">
        <f>IFERROR(IF(INDEX(tbl_WIP[Defer Start],$A429)="","",IF(INDEX(tbl_WIP[Revenue or Cost],$A429)="Cost",-1,1)*INDEX(tbl_WIP[Amount],$A429)),"")</f>
        <v/>
      </c>
      <c r="H429" s="66">
        <f>IFERROR(INDEX(tbl_WIP[Defer Start],$A429),"")</f>
        <v/>
      </c>
      <c r="I429" s="66">
        <f>IFERROR(INDEX(tbl_WIP[Defer End],$A429),"")</f>
        <v/>
      </c>
      <c r="J429" s="65">
        <f>IF(OR($H429="",$I429="",$G429=""),"",MAX(1,(YEAR($I429)-YEAR($H429))*12+MONTH($I429)-MONTH($H429)+1))</f>
        <v/>
      </c>
      <c r="K429" s="68">
        <f>IF($J429="","",$G429/$J429)</f>
        <v/>
      </c>
      <c r="L429" s="68">
        <f>IF($J429="",0,$K429*MAX(0,MIN(YEAR($C$3)*12+MONTH($C$3),YEAR($I429)*12+MONTH($I429))-(YEAR($H429)*12+MONTH($H429))+1))</f>
        <v/>
      </c>
      <c r="M429" s="68">
        <f>IF($J429="",0,$K429*MAX(0,MIN(YEAR($C$3)*12+MONTH($C$3)-1,YEAR($I429)*12+MONTH($I429))-(YEAR($H429)*12+MONTH($H429))+1))</f>
        <v/>
      </c>
      <c r="N429" s="68">
        <f>IF(OR($J429="",$B429=""),0,IF(YEAR($B429)*12+MONTH($B429)&lt;=YEAR($C$3)*12+MONTH($C$3),$G429,0))</f>
        <v/>
      </c>
      <c r="O429" s="68">
        <f>IF(OR($J429="",$B429=""),0,IF(YEAR($B429)*12+MONTH($B429)&lt;=YEAR($C$3)*12+MONTH($C$3)-1,$G429,0))</f>
        <v/>
      </c>
      <c r="P429" s="68">
        <f>$M429-$O429</f>
        <v/>
      </c>
      <c r="Q429" s="68">
        <f>($L429-$M429)-($N429-$O429)</f>
        <v/>
      </c>
      <c r="R429" s="68">
        <f>$L429-$N429</f>
        <v/>
      </c>
      <c r="S429" s="67">
        <f>"WIP journal"</f>
        <v/>
      </c>
      <c r="T429" s="67">
        <f>IFERROR(INDEX(tbl_WIP[Revenue or Cost],$A429),"")</f>
        <v/>
      </c>
    </row>
    <row r="430">
      <c r="A430" s="65">
        <f>ROW()-407</f>
        <v/>
      </c>
      <c r="B430" s="66">
        <f>IFERROR(INDEX(tbl_WIP[Month],$A430),"")</f>
        <v/>
      </c>
      <c r="C430" s="67">
        <f>IFERROR(INDEX(tbl_WIP[Xero Invoice No],$A430),"")</f>
        <v/>
      </c>
      <c r="D430" s="67">
        <f>IFERROR(INDEX(tbl_WIP[Client],$A430),"")</f>
        <v/>
      </c>
      <c r="E430" s="67">
        <f>IFERROR(INDEX(tbl_WIP[Job Number],$A430),"")</f>
        <v/>
      </c>
      <c r="F430" s="67">
        <f>IFERROR(INDEX(tbl_WIP[Cost Centre],$A430),"")</f>
        <v/>
      </c>
      <c r="G430" s="68">
        <f>IFERROR(IF(INDEX(tbl_WIP[Defer Start],$A430)="","",IF(INDEX(tbl_WIP[Revenue or Cost],$A430)="Cost",-1,1)*INDEX(tbl_WIP[Amount],$A430)),"")</f>
        <v/>
      </c>
      <c r="H430" s="66">
        <f>IFERROR(INDEX(tbl_WIP[Defer Start],$A430),"")</f>
        <v/>
      </c>
      <c r="I430" s="66">
        <f>IFERROR(INDEX(tbl_WIP[Defer End],$A430),"")</f>
        <v/>
      </c>
      <c r="J430" s="65">
        <f>IF(OR($H430="",$I430="",$G430=""),"",MAX(1,(YEAR($I430)-YEAR($H430))*12+MONTH($I430)-MONTH($H430)+1))</f>
        <v/>
      </c>
      <c r="K430" s="68">
        <f>IF($J430="","",$G430/$J430)</f>
        <v/>
      </c>
      <c r="L430" s="68">
        <f>IF($J430="",0,$K430*MAX(0,MIN(YEAR($C$3)*12+MONTH($C$3),YEAR($I430)*12+MONTH($I430))-(YEAR($H430)*12+MONTH($H430))+1))</f>
        <v/>
      </c>
      <c r="M430" s="68">
        <f>IF($J430="",0,$K430*MAX(0,MIN(YEAR($C$3)*12+MONTH($C$3)-1,YEAR($I430)*12+MONTH($I430))-(YEAR($H430)*12+MONTH($H430))+1))</f>
        <v/>
      </c>
      <c r="N430" s="68">
        <f>IF(OR($J430="",$B430=""),0,IF(YEAR($B430)*12+MONTH($B430)&lt;=YEAR($C$3)*12+MONTH($C$3),$G430,0))</f>
        <v/>
      </c>
      <c r="O430" s="68">
        <f>IF(OR($J430="",$B430=""),0,IF(YEAR($B430)*12+MONTH($B430)&lt;=YEAR($C$3)*12+MONTH($C$3)-1,$G430,0))</f>
        <v/>
      </c>
      <c r="P430" s="68">
        <f>$M430-$O430</f>
        <v/>
      </c>
      <c r="Q430" s="68">
        <f>($L430-$M430)-($N430-$O430)</f>
        <v/>
      </c>
      <c r="R430" s="68">
        <f>$L430-$N430</f>
        <v/>
      </c>
      <c r="S430" s="67">
        <f>"WIP journal"</f>
        <v/>
      </c>
      <c r="T430" s="67">
        <f>IFERROR(INDEX(tbl_WIP[Revenue or Cost],$A430),"")</f>
        <v/>
      </c>
    </row>
    <row r="431">
      <c r="A431" s="65">
        <f>ROW()-407</f>
        <v/>
      </c>
      <c r="B431" s="66">
        <f>IFERROR(INDEX(tbl_WIP[Month],$A431),"")</f>
        <v/>
      </c>
      <c r="C431" s="67">
        <f>IFERROR(INDEX(tbl_WIP[Xero Invoice No],$A431),"")</f>
        <v/>
      </c>
      <c r="D431" s="67">
        <f>IFERROR(INDEX(tbl_WIP[Client],$A431),"")</f>
        <v/>
      </c>
      <c r="E431" s="67">
        <f>IFERROR(INDEX(tbl_WIP[Job Number],$A431),"")</f>
        <v/>
      </c>
      <c r="F431" s="67">
        <f>IFERROR(INDEX(tbl_WIP[Cost Centre],$A431),"")</f>
        <v/>
      </c>
      <c r="G431" s="68">
        <f>IFERROR(IF(INDEX(tbl_WIP[Defer Start],$A431)="","",IF(INDEX(tbl_WIP[Revenue or Cost],$A431)="Cost",-1,1)*INDEX(tbl_WIP[Amount],$A431)),"")</f>
        <v/>
      </c>
      <c r="H431" s="66">
        <f>IFERROR(INDEX(tbl_WIP[Defer Start],$A431),"")</f>
        <v/>
      </c>
      <c r="I431" s="66">
        <f>IFERROR(INDEX(tbl_WIP[Defer End],$A431),"")</f>
        <v/>
      </c>
      <c r="J431" s="65">
        <f>IF(OR($H431="",$I431="",$G431=""),"",MAX(1,(YEAR($I431)-YEAR($H431))*12+MONTH($I431)-MONTH($H431)+1))</f>
        <v/>
      </c>
      <c r="K431" s="68">
        <f>IF($J431="","",$G431/$J431)</f>
        <v/>
      </c>
      <c r="L431" s="68">
        <f>IF($J431="",0,$K431*MAX(0,MIN(YEAR($C$3)*12+MONTH($C$3),YEAR($I431)*12+MONTH($I431))-(YEAR($H431)*12+MONTH($H431))+1))</f>
        <v/>
      </c>
      <c r="M431" s="68">
        <f>IF($J431="",0,$K431*MAX(0,MIN(YEAR($C$3)*12+MONTH($C$3)-1,YEAR($I431)*12+MONTH($I431))-(YEAR($H431)*12+MONTH($H431))+1))</f>
        <v/>
      </c>
      <c r="N431" s="68">
        <f>IF(OR($J431="",$B431=""),0,IF(YEAR($B431)*12+MONTH($B431)&lt;=YEAR($C$3)*12+MONTH($C$3),$G431,0))</f>
        <v/>
      </c>
      <c r="O431" s="68">
        <f>IF(OR($J431="",$B431=""),0,IF(YEAR($B431)*12+MONTH($B431)&lt;=YEAR($C$3)*12+MONTH($C$3)-1,$G431,0))</f>
        <v/>
      </c>
      <c r="P431" s="68">
        <f>$M431-$O431</f>
        <v/>
      </c>
      <c r="Q431" s="68">
        <f>($L431-$M431)-($N431-$O431)</f>
        <v/>
      </c>
      <c r="R431" s="68">
        <f>$L431-$N431</f>
        <v/>
      </c>
      <c r="S431" s="67">
        <f>"WIP journal"</f>
        <v/>
      </c>
      <c r="T431" s="67">
        <f>IFERROR(INDEX(tbl_WIP[Revenue or Cost],$A431),"")</f>
        <v/>
      </c>
    </row>
    <row r="432">
      <c r="A432" s="65">
        <f>ROW()-407</f>
        <v/>
      </c>
      <c r="B432" s="66">
        <f>IFERROR(INDEX(tbl_WIP[Month],$A432),"")</f>
        <v/>
      </c>
      <c r="C432" s="67">
        <f>IFERROR(INDEX(tbl_WIP[Xero Invoice No],$A432),"")</f>
        <v/>
      </c>
      <c r="D432" s="67">
        <f>IFERROR(INDEX(tbl_WIP[Client],$A432),"")</f>
        <v/>
      </c>
      <c r="E432" s="67">
        <f>IFERROR(INDEX(tbl_WIP[Job Number],$A432),"")</f>
        <v/>
      </c>
      <c r="F432" s="67">
        <f>IFERROR(INDEX(tbl_WIP[Cost Centre],$A432),"")</f>
        <v/>
      </c>
      <c r="G432" s="68">
        <f>IFERROR(IF(INDEX(tbl_WIP[Defer Start],$A432)="","",IF(INDEX(tbl_WIP[Revenue or Cost],$A432)="Cost",-1,1)*INDEX(tbl_WIP[Amount],$A432)),"")</f>
        <v/>
      </c>
      <c r="H432" s="66">
        <f>IFERROR(INDEX(tbl_WIP[Defer Start],$A432),"")</f>
        <v/>
      </c>
      <c r="I432" s="66">
        <f>IFERROR(INDEX(tbl_WIP[Defer End],$A432),"")</f>
        <v/>
      </c>
      <c r="J432" s="65">
        <f>IF(OR($H432="",$I432="",$G432=""),"",MAX(1,(YEAR($I432)-YEAR($H432))*12+MONTH($I432)-MONTH($H432)+1))</f>
        <v/>
      </c>
      <c r="K432" s="68">
        <f>IF($J432="","",$G432/$J432)</f>
        <v/>
      </c>
      <c r="L432" s="68">
        <f>IF($J432="",0,$K432*MAX(0,MIN(YEAR($C$3)*12+MONTH($C$3),YEAR($I432)*12+MONTH($I432))-(YEAR($H432)*12+MONTH($H432))+1))</f>
        <v/>
      </c>
      <c r="M432" s="68">
        <f>IF($J432="",0,$K432*MAX(0,MIN(YEAR($C$3)*12+MONTH($C$3)-1,YEAR($I432)*12+MONTH($I432))-(YEAR($H432)*12+MONTH($H432))+1))</f>
        <v/>
      </c>
      <c r="N432" s="68">
        <f>IF(OR($J432="",$B432=""),0,IF(YEAR($B432)*12+MONTH($B432)&lt;=YEAR($C$3)*12+MONTH($C$3),$G432,0))</f>
        <v/>
      </c>
      <c r="O432" s="68">
        <f>IF(OR($J432="",$B432=""),0,IF(YEAR($B432)*12+MONTH($B432)&lt;=YEAR($C$3)*12+MONTH($C$3)-1,$G432,0))</f>
        <v/>
      </c>
      <c r="P432" s="68">
        <f>$M432-$O432</f>
        <v/>
      </c>
      <c r="Q432" s="68">
        <f>($L432-$M432)-($N432-$O432)</f>
        <v/>
      </c>
      <c r="R432" s="68">
        <f>$L432-$N432</f>
        <v/>
      </c>
      <c r="S432" s="67">
        <f>"WIP journal"</f>
        <v/>
      </c>
      <c r="T432" s="67">
        <f>IFERROR(INDEX(tbl_WIP[Revenue or Cost],$A432),"")</f>
        <v/>
      </c>
    </row>
    <row r="433">
      <c r="A433" s="65">
        <f>ROW()-407</f>
        <v/>
      </c>
      <c r="B433" s="66">
        <f>IFERROR(INDEX(tbl_WIP[Month],$A433),"")</f>
        <v/>
      </c>
      <c r="C433" s="67">
        <f>IFERROR(INDEX(tbl_WIP[Xero Invoice No],$A433),"")</f>
        <v/>
      </c>
      <c r="D433" s="67">
        <f>IFERROR(INDEX(tbl_WIP[Client],$A433),"")</f>
        <v/>
      </c>
      <c r="E433" s="67">
        <f>IFERROR(INDEX(tbl_WIP[Job Number],$A433),"")</f>
        <v/>
      </c>
      <c r="F433" s="67">
        <f>IFERROR(INDEX(tbl_WIP[Cost Centre],$A433),"")</f>
        <v/>
      </c>
      <c r="G433" s="68">
        <f>IFERROR(IF(INDEX(tbl_WIP[Defer Start],$A433)="","",IF(INDEX(tbl_WIP[Revenue or Cost],$A433)="Cost",-1,1)*INDEX(tbl_WIP[Amount],$A433)),"")</f>
        <v/>
      </c>
      <c r="H433" s="66">
        <f>IFERROR(INDEX(tbl_WIP[Defer Start],$A433),"")</f>
        <v/>
      </c>
      <c r="I433" s="66">
        <f>IFERROR(INDEX(tbl_WIP[Defer End],$A433),"")</f>
        <v/>
      </c>
      <c r="J433" s="65">
        <f>IF(OR($H433="",$I433="",$G433=""),"",MAX(1,(YEAR($I433)-YEAR($H433))*12+MONTH($I433)-MONTH($H433)+1))</f>
        <v/>
      </c>
      <c r="K433" s="68">
        <f>IF($J433="","",$G433/$J433)</f>
        <v/>
      </c>
      <c r="L433" s="68">
        <f>IF($J433="",0,$K433*MAX(0,MIN(YEAR($C$3)*12+MONTH($C$3),YEAR($I433)*12+MONTH($I433))-(YEAR($H433)*12+MONTH($H433))+1))</f>
        <v/>
      </c>
      <c r="M433" s="68">
        <f>IF($J433="",0,$K433*MAX(0,MIN(YEAR($C$3)*12+MONTH($C$3)-1,YEAR($I433)*12+MONTH($I433))-(YEAR($H433)*12+MONTH($H433))+1))</f>
        <v/>
      </c>
      <c r="N433" s="68">
        <f>IF(OR($J433="",$B433=""),0,IF(YEAR($B433)*12+MONTH($B433)&lt;=YEAR($C$3)*12+MONTH($C$3),$G433,0))</f>
        <v/>
      </c>
      <c r="O433" s="68">
        <f>IF(OR($J433="",$B433=""),0,IF(YEAR($B433)*12+MONTH($B433)&lt;=YEAR($C$3)*12+MONTH($C$3)-1,$G433,0))</f>
        <v/>
      </c>
      <c r="P433" s="68">
        <f>$M433-$O433</f>
        <v/>
      </c>
      <c r="Q433" s="68">
        <f>($L433-$M433)-($N433-$O433)</f>
        <v/>
      </c>
      <c r="R433" s="68">
        <f>$L433-$N433</f>
        <v/>
      </c>
      <c r="S433" s="67">
        <f>"WIP journal"</f>
        <v/>
      </c>
      <c r="T433" s="67">
        <f>IFERROR(INDEX(tbl_WIP[Revenue or Cost],$A433),"")</f>
        <v/>
      </c>
    </row>
    <row r="434">
      <c r="A434" s="65">
        <f>ROW()-407</f>
        <v/>
      </c>
      <c r="B434" s="66">
        <f>IFERROR(INDEX(tbl_WIP[Month],$A434),"")</f>
        <v/>
      </c>
      <c r="C434" s="67">
        <f>IFERROR(INDEX(tbl_WIP[Xero Invoice No],$A434),"")</f>
        <v/>
      </c>
      <c r="D434" s="67">
        <f>IFERROR(INDEX(tbl_WIP[Client],$A434),"")</f>
        <v/>
      </c>
      <c r="E434" s="67">
        <f>IFERROR(INDEX(tbl_WIP[Job Number],$A434),"")</f>
        <v/>
      </c>
      <c r="F434" s="67">
        <f>IFERROR(INDEX(tbl_WIP[Cost Centre],$A434),"")</f>
        <v/>
      </c>
      <c r="G434" s="68">
        <f>IFERROR(IF(INDEX(tbl_WIP[Defer Start],$A434)="","",IF(INDEX(tbl_WIP[Revenue or Cost],$A434)="Cost",-1,1)*INDEX(tbl_WIP[Amount],$A434)),"")</f>
        <v/>
      </c>
      <c r="H434" s="66">
        <f>IFERROR(INDEX(tbl_WIP[Defer Start],$A434),"")</f>
        <v/>
      </c>
      <c r="I434" s="66">
        <f>IFERROR(INDEX(tbl_WIP[Defer End],$A434),"")</f>
        <v/>
      </c>
      <c r="J434" s="65">
        <f>IF(OR($H434="",$I434="",$G434=""),"",MAX(1,(YEAR($I434)-YEAR($H434))*12+MONTH($I434)-MONTH($H434)+1))</f>
        <v/>
      </c>
      <c r="K434" s="68">
        <f>IF($J434="","",$G434/$J434)</f>
        <v/>
      </c>
      <c r="L434" s="68">
        <f>IF($J434="",0,$K434*MAX(0,MIN(YEAR($C$3)*12+MONTH($C$3),YEAR($I434)*12+MONTH($I434))-(YEAR($H434)*12+MONTH($H434))+1))</f>
        <v/>
      </c>
      <c r="M434" s="68">
        <f>IF($J434="",0,$K434*MAX(0,MIN(YEAR($C$3)*12+MONTH($C$3)-1,YEAR($I434)*12+MONTH($I434))-(YEAR($H434)*12+MONTH($H434))+1))</f>
        <v/>
      </c>
      <c r="N434" s="68">
        <f>IF(OR($J434="",$B434=""),0,IF(YEAR($B434)*12+MONTH($B434)&lt;=YEAR($C$3)*12+MONTH($C$3),$G434,0))</f>
        <v/>
      </c>
      <c r="O434" s="68">
        <f>IF(OR($J434="",$B434=""),0,IF(YEAR($B434)*12+MONTH($B434)&lt;=YEAR($C$3)*12+MONTH($C$3)-1,$G434,0))</f>
        <v/>
      </c>
      <c r="P434" s="68">
        <f>$M434-$O434</f>
        <v/>
      </c>
      <c r="Q434" s="68">
        <f>($L434-$M434)-($N434-$O434)</f>
        <v/>
      </c>
      <c r="R434" s="68">
        <f>$L434-$N434</f>
        <v/>
      </c>
      <c r="S434" s="67">
        <f>"WIP journal"</f>
        <v/>
      </c>
      <c r="T434" s="67">
        <f>IFERROR(INDEX(tbl_WIP[Revenue or Cost],$A434),"")</f>
        <v/>
      </c>
    </row>
    <row r="435">
      <c r="A435" s="65">
        <f>ROW()-407</f>
        <v/>
      </c>
      <c r="B435" s="66">
        <f>IFERROR(INDEX(tbl_WIP[Month],$A435),"")</f>
        <v/>
      </c>
      <c r="C435" s="67">
        <f>IFERROR(INDEX(tbl_WIP[Xero Invoice No],$A435),"")</f>
        <v/>
      </c>
      <c r="D435" s="67">
        <f>IFERROR(INDEX(tbl_WIP[Client],$A435),"")</f>
        <v/>
      </c>
      <c r="E435" s="67">
        <f>IFERROR(INDEX(tbl_WIP[Job Number],$A435),"")</f>
        <v/>
      </c>
      <c r="F435" s="67">
        <f>IFERROR(INDEX(tbl_WIP[Cost Centre],$A435),"")</f>
        <v/>
      </c>
      <c r="G435" s="68">
        <f>IFERROR(IF(INDEX(tbl_WIP[Defer Start],$A435)="","",IF(INDEX(tbl_WIP[Revenue or Cost],$A435)="Cost",-1,1)*INDEX(tbl_WIP[Amount],$A435)),"")</f>
        <v/>
      </c>
      <c r="H435" s="66">
        <f>IFERROR(INDEX(tbl_WIP[Defer Start],$A435),"")</f>
        <v/>
      </c>
      <c r="I435" s="66">
        <f>IFERROR(INDEX(tbl_WIP[Defer End],$A435),"")</f>
        <v/>
      </c>
      <c r="J435" s="65">
        <f>IF(OR($H435="",$I435="",$G435=""),"",MAX(1,(YEAR($I435)-YEAR($H435))*12+MONTH($I435)-MONTH($H435)+1))</f>
        <v/>
      </c>
      <c r="K435" s="68">
        <f>IF($J435="","",$G435/$J435)</f>
        <v/>
      </c>
      <c r="L435" s="68">
        <f>IF($J435="",0,$K435*MAX(0,MIN(YEAR($C$3)*12+MONTH($C$3),YEAR($I435)*12+MONTH($I435))-(YEAR($H435)*12+MONTH($H435))+1))</f>
        <v/>
      </c>
      <c r="M435" s="68">
        <f>IF($J435="",0,$K435*MAX(0,MIN(YEAR($C$3)*12+MONTH($C$3)-1,YEAR($I435)*12+MONTH($I435))-(YEAR($H435)*12+MONTH($H435))+1))</f>
        <v/>
      </c>
      <c r="N435" s="68">
        <f>IF(OR($J435="",$B435=""),0,IF(YEAR($B435)*12+MONTH($B435)&lt;=YEAR($C$3)*12+MONTH($C$3),$G435,0))</f>
        <v/>
      </c>
      <c r="O435" s="68">
        <f>IF(OR($J435="",$B435=""),0,IF(YEAR($B435)*12+MONTH($B435)&lt;=YEAR($C$3)*12+MONTH($C$3)-1,$G435,0))</f>
        <v/>
      </c>
      <c r="P435" s="68">
        <f>$M435-$O435</f>
        <v/>
      </c>
      <c r="Q435" s="68">
        <f>($L435-$M435)-($N435-$O435)</f>
        <v/>
      </c>
      <c r="R435" s="68">
        <f>$L435-$N435</f>
        <v/>
      </c>
      <c r="S435" s="67">
        <f>"WIP journal"</f>
        <v/>
      </c>
      <c r="T435" s="67">
        <f>IFERROR(INDEX(tbl_WIP[Revenue or Cost],$A435),"")</f>
        <v/>
      </c>
    </row>
    <row r="436">
      <c r="A436" s="65">
        <f>ROW()-407</f>
        <v/>
      </c>
      <c r="B436" s="66">
        <f>IFERROR(INDEX(tbl_WIP[Month],$A436),"")</f>
        <v/>
      </c>
      <c r="C436" s="67">
        <f>IFERROR(INDEX(tbl_WIP[Xero Invoice No],$A436),"")</f>
        <v/>
      </c>
      <c r="D436" s="67">
        <f>IFERROR(INDEX(tbl_WIP[Client],$A436),"")</f>
        <v/>
      </c>
      <c r="E436" s="67">
        <f>IFERROR(INDEX(tbl_WIP[Job Number],$A436),"")</f>
        <v/>
      </c>
      <c r="F436" s="67">
        <f>IFERROR(INDEX(tbl_WIP[Cost Centre],$A436),"")</f>
        <v/>
      </c>
      <c r="G436" s="68">
        <f>IFERROR(IF(INDEX(tbl_WIP[Defer Start],$A436)="","",IF(INDEX(tbl_WIP[Revenue or Cost],$A436)="Cost",-1,1)*INDEX(tbl_WIP[Amount],$A436)),"")</f>
        <v/>
      </c>
      <c r="H436" s="66">
        <f>IFERROR(INDEX(tbl_WIP[Defer Start],$A436),"")</f>
        <v/>
      </c>
      <c r="I436" s="66">
        <f>IFERROR(INDEX(tbl_WIP[Defer End],$A436),"")</f>
        <v/>
      </c>
      <c r="J436" s="65">
        <f>IF(OR($H436="",$I436="",$G436=""),"",MAX(1,(YEAR($I436)-YEAR($H436))*12+MONTH($I436)-MONTH($H436)+1))</f>
        <v/>
      </c>
      <c r="K436" s="68">
        <f>IF($J436="","",$G436/$J436)</f>
        <v/>
      </c>
      <c r="L436" s="68">
        <f>IF($J436="",0,$K436*MAX(0,MIN(YEAR($C$3)*12+MONTH($C$3),YEAR($I436)*12+MONTH($I436))-(YEAR($H436)*12+MONTH($H436))+1))</f>
        <v/>
      </c>
      <c r="M436" s="68">
        <f>IF($J436="",0,$K436*MAX(0,MIN(YEAR($C$3)*12+MONTH($C$3)-1,YEAR($I436)*12+MONTH($I436))-(YEAR($H436)*12+MONTH($H436))+1))</f>
        <v/>
      </c>
      <c r="N436" s="68">
        <f>IF(OR($J436="",$B436=""),0,IF(YEAR($B436)*12+MONTH($B436)&lt;=YEAR($C$3)*12+MONTH($C$3),$G436,0))</f>
        <v/>
      </c>
      <c r="O436" s="68">
        <f>IF(OR($J436="",$B436=""),0,IF(YEAR($B436)*12+MONTH($B436)&lt;=YEAR($C$3)*12+MONTH($C$3)-1,$G436,0))</f>
        <v/>
      </c>
      <c r="P436" s="68">
        <f>$M436-$O436</f>
        <v/>
      </c>
      <c r="Q436" s="68">
        <f>($L436-$M436)-($N436-$O436)</f>
        <v/>
      </c>
      <c r="R436" s="68">
        <f>$L436-$N436</f>
        <v/>
      </c>
      <c r="S436" s="67">
        <f>"WIP journal"</f>
        <v/>
      </c>
      <c r="T436" s="67">
        <f>IFERROR(INDEX(tbl_WIP[Revenue or Cost],$A436),"")</f>
        <v/>
      </c>
    </row>
    <row r="437">
      <c r="A437" s="65">
        <f>ROW()-407</f>
        <v/>
      </c>
      <c r="B437" s="66">
        <f>IFERROR(INDEX(tbl_WIP[Month],$A437),"")</f>
        <v/>
      </c>
      <c r="C437" s="67">
        <f>IFERROR(INDEX(tbl_WIP[Xero Invoice No],$A437),"")</f>
        <v/>
      </c>
      <c r="D437" s="67">
        <f>IFERROR(INDEX(tbl_WIP[Client],$A437),"")</f>
        <v/>
      </c>
      <c r="E437" s="67">
        <f>IFERROR(INDEX(tbl_WIP[Job Number],$A437),"")</f>
        <v/>
      </c>
      <c r="F437" s="67">
        <f>IFERROR(INDEX(tbl_WIP[Cost Centre],$A437),"")</f>
        <v/>
      </c>
      <c r="G437" s="68">
        <f>IFERROR(IF(INDEX(tbl_WIP[Defer Start],$A437)="","",IF(INDEX(tbl_WIP[Revenue or Cost],$A437)="Cost",-1,1)*INDEX(tbl_WIP[Amount],$A437)),"")</f>
        <v/>
      </c>
      <c r="H437" s="66">
        <f>IFERROR(INDEX(tbl_WIP[Defer Start],$A437),"")</f>
        <v/>
      </c>
      <c r="I437" s="66">
        <f>IFERROR(INDEX(tbl_WIP[Defer End],$A437),"")</f>
        <v/>
      </c>
      <c r="J437" s="65">
        <f>IF(OR($H437="",$I437="",$G437=""),"",MAX(1,(YEAR($I437)-YEAR($H437))*12+MONTH($I437)-MONTH($H437)+1))</f>
        <v/>
      </c>
      <c r="K437" s="68">
        <f>IF($J437="","",$G437/$J437)</f>
        <v/>
      </c>
      <c r="L437" s="68">
        <f>IF($J437="",0,$K437*MAX(0,MIN(YEAR($C$3)*12+MONTH($C$3),YEAR($I437)*12+MONTH($I437))-(YEAR($H437)*12+MONTH($H437))+1))</f>
        <v/>
      </c>
      <c r="M437" s="68">
        <f>IF($J437="",0,$K437*MAX(0,MIN(YEAR($C$3)*12+MONTH($C$3)-1,YEAR($I437)*12+MONTH($I437))-(YEAR($H437)*12+MONTH($H437))+1))</f>
        <v/>
      </c>
      <c r="N437" s="68">
        <f>IF(OR($J437="",$B437=""),0,IF(YEAR($B437)*12+MONTH($B437)&lt;=YEAR($C$3)*12+MONTH($C$3),$G437,0))</f>
        <v/>
      </c>
      <c r="O437" s="68">
        <f>IF(OR($J437="",$B437=""),0,IF(YEAR($B437)*12+MONTH($B437)&lt;=YEAR($C$3)*12+MONTH($C$3)-1,$G437,0))</f>
        <v/>
      </c>
      <c r="P437" s="68">
        <f>$M437-$O437</f>
        <v/>
      </c>
      <c r="Q437" s="68">
        <f>($L437-$M437)-($N437-$O437)</f>
        <v/>
      </c>
      <c r="R437" s="68">
        <f>$L437-$N437</f>
        <v/>
      </c>
      <c r="S437" s="67">
        <f>"WIP journal"</f>
        <v/>
      </c>
      <c r="T437" s="67">
        <f>IFERROR(INDEX(tbl_WIP[Revenue or Cost],$A437),"")</f>
        <v/>
      </c>
    </row>
    <row r="438">
      <c r="A438" s="65">
        <f>ROW()-407</f>
        <v/>
      </c>
      <c r="B438" s="66">
        <f>IFERROR(INDEX(tbl_WIP[Month],$A438),"")</f>
        <v/>
      </c>
      <c r="C438" s="67">
        <f>IFERROR(INDEX(tbl_WIP[Xero Invoice No],$A438),"")</f>
        <v/>
      </c>
      <c r="D438" s="67">
        <f>IFERROR(INDEX(tbl_WIP[Client],$A438),"")</f>
        <v/>
      </c>
      <c r="E438" s="67">
        <f>IFERROR(INDEX(tbl_WIP[Job Number],$A438),"")</f>
        <v/>
      </c>
      <c r="F438" s="67">
        <f>IFERROR(INDEX(tbl_WIP[Cost Centre],$A438),"")</f>
        <v/>
      </c>
      <c r="G438" s="68">
        <f>IFERROR(IF(INDEX(tbl_WIP[Defer Start],$A438)="","",IF(INDEX(tbl_WIP[Revenue or Cost],$A438)="Cost",-1,1)*INDEX(tbl_WIP[Amount],$A438)),"")</f>
        <v/>
      </c>
      <c r="H438" s="66">
        <f>IFERROR(INDEX(tbl_WIP[Defer Start],$A438),"")</f>
        <v/>
      </c>
      <c r="I438" s="66">
        <f>IFERROR(INDEX(tbl_WIP[Defer End],$A438),"")</f>
        <v/>
      </c>
      <c r="J438" s="65">
        <f>IF(OR($H438="",$I438="",$G438=""),"",MAX(1,(YEAR($I438)-YEAR($H438))*12+MONTH($I438)-MONTH($H438)+1))</f>
        <v/>
      </c>
      <c r="K438" s="68">
        <f>IF($J438="","",$G438/$J438)</f>
        <v/>
      </c>
      <c r="L438" s="68">
        <f>IF($J438="",0,$K438*MAX(0,MIN(YEAR($C$3)*12+MONTH($C$3),YEAR($I438)*12+MONTH($I438))-(YEAR($H438)*12+MONTH($H438))+1))</f>
        <v/>
      </c>
      <c r="M438" s="68">
        <f>IF($J438="",0,$K438*MAX(0,MIN(YEAR($C$3)*12+MONTH($C$3)-1,YEAR($I438)*12+MONTH($I438))-(YEAR($H438)*12+MONTH($H438))+1))</f>
        <v/>
      </c>
      <c r="N438" s="68">
        <f>IF(OR($J438="",$B438=""),0,IF(YEAR($B438)*12+MONTH($B438)&lt;=YEAR($C$3)*12+MONTH($C$3),$G438,0))</f>
        <v/>
      </c>
      <c r="O438" s="68">
        <f>IF(OR($J438="",$B438=""),0,IF(YEAR($B438)*12+MONTH($B438)&lt;=YEAR($C$3)*12+MONTH($C$3)-1,$G438,0))</f>
        <v/>
      </c>
      <c r="P438" s="68">
        <f>$M438-$O438</f>
        <v/>
      </c>
      <c r="Q438" s="68">
        <f>($L438-$M438)-($N438-$O438)</f>
        <v/>
      </c>
      <c r="R438" s="68">
        <f>$L438-$N438</f>
        <v/>
      </c>
      <c r="S438" s="67">
        <f>"WIP journal"</f>
        <v/>
      </c>
      <c r="T438" s="67">
        <f>IFERROR(INDEX(tbl_WIP[Revenue or Cost],$A438),"")</f>
        <v/>
      </c>
    </row>
    <row r="439">
      <c r="A439" s="65">
        <f>ROW()-407</f>
        <v/>
      </c>
      <c r="B439" s="66">
        <f>IFERROR(INDEX(tbl_WIP[Month],$A439),"")</f>
        <v/>
      </c>
      <c r="C439" s="67">
        <f>IFERROR(INDEX(tbl_WIP[Xero Invoice No],$A439),"")</f>
        <v/>
      </c>
      <c r="D439" s="67">
        <f>IFERROR(INDEX(tbl_WIP[Client],$A439),"")</f>
        <v/>
      </c>
      <c r="E439" s="67">
        <f>IFERROR(INDEX(tbl_WIP[Job Number],$A439),"")</f>
        <v/>
      </c>
      <c r="F439" s="67">
        <f>IFERROR(INDEX(tbl_WIP[Cost Centre],$A439),"")</f>
        <v/>
      </c>
      <c r="G439" s="68">
        <f>IFERROR(IF(INDEX(tbl_WIP[Defer Start],$A439)="","",IF(INDEX(tbl_WIP[Revenue or Cost],$A439)="Cost",-1,1)*INDEX(tbl_WIP[Amount],$A439)),"")</f>
        <v/>
      </c>
      <c r="H439" s="66">
        <f>IFERROR(INDEX(tbl_WIP[Defer Start],$A439),"")</f>
        <v/>
      </c>
      <c r="I439" s="66">
        <f>IFERROR(INDEX(tbl_WIP[Defer End],$A439),"")</f>
        <v/>
      </c>
      <c r="J439" s="65">
        <f>IF(OR($H439="",$I439="",$G439=""),"",MAX(1,(YEAR($I439)-YEAR($H439))*12+MONTH($I439)-MONTH($H439)+1))</f>
        <v/>
      </c>
      <c r="K439" s="68">
        <f>IF($J439="","",$G439/$J439)</f>
        <v/>
      </c>
      <c r="L439" s="68">
        <f>IF($J439="",0,$K439*MAX(0,MIN(YEAR($C$3)*12+MONTH($C$3),YEAR($I439)*12+MONTH($I439))-(YEAR($H439)*12+MONTH($H439))+1))</f>
        <v/>
      </c>
      <c r="M439" s="68">
        <f>IF($J439="",0,$K439*MAX(0,MIN(YEAR($C$3)*12+MONTH($C$3)-1,YEAR($I439)*12+MONTH($I439))-(YEAR($H439)*12+MONTH($H439))+1))</f>
        <v/>
      </c>
      <c r="N439" s="68">
        <f>IF(OR($J439="",$B439=""),0,IF(YEAR($B439)*12+MONTH($B439)&lt;=YEAR($C$3)*12+MONTH($C$3),$G439,0))</f>
        <v/>
      </c>
      <c r="O439" s="68">
        <f>IF(OR($J439="",$B439=""),0,IF(YEAR($B439)*12+MONTH($B439)&lt;=YEAR($C$3)*12+MONTH($C$3)-1,$G439,0))</f>
        <v/>
      </c>
      <c r="P439" s="68">
        <f>$M439-$O439</f>
        <v/>
      </c>
      <c r="Q439" s="68">
        <f>($L439-$M439)-($N439-$O439)</f>
        <v/>
      </c>
      <c r="R439" s="68">
        <f>$L439-$N439</f>
        <v/>
      </c>
      <c r="S439" s="67">
        <f>"WIP journal"</f>
        <v/>
      </c>
      <c r="T439" s="67">
        <f>IFERROR(INDEX(tbl_WIP[Revenue or Cost],$A439),"")</f>
        <v/>
      </c>
    </row>
    <row r="440">
      <c r="A440" s="65">
        <f>ROW()-407</f>
        <v/>
      </c>
      <c r="B440" s="66">
        <f>IFERROR(INDEX(tbl_WIP[Month],$A440),"")</f>
        <v/>
      </c>
      <c r="C440" s="67">
        <f>IFERROR(INDEX(tbl_WIP[Xero Invoice No],$A440),"")</f>
        <v/>
      </c>
      <c r="D440" s="67">
        <f>IFERROR(INDEX(tbl_WIP[Client],$A440),"")</f>
        <v/>
      </c>
      <c r="E440" s="67">
        <f>IFERROR(INDEX(tbl_WIP[Job Number],$A440),"")</f>
        <v/>
      </c>
      <c r="F440" s="67">
        <f>IFERROR(INDEX(tbl_WIP[Cost Centre],$A440),"")</f>
        <v/>
      </c>
      <c r="G440" s="68">
        <f>IFERROR(IF(INDEX(tbl_WIP[Defer Start],$A440)="","",IF(INDEX(tbl_WIP[Revenue or Cost],$A440)="Cost",-1,1)*INDEX(tbl_WIP[Amount],$A440)),"")</f>
        <v/>
      </c>
      <c r="H440" s="66">
        <f>IFERROR(INDEX(tbl_WIP[Defer Start],$A440),"")</f>
        <v/>
      </c>
      <c r="I440" s="66">
        <f>IFERROR(INDEX(tbl_WIP[Defer End],$A440),"")</f>
        <v/>
      </c>
      <c r="J440" s="65">
        <f>IF(OR($H440="",$I440="",$G440=""),"",MAX(1,(YEAR($I440)-YEAR($H440))*12+MONTH($I440)-MONTH($H440)+1))</f>
        <v/>
      </c>
      <c r="K440" s="68">
        <f>IF($J440="","",$G440/$J440)</f>
        <v/>
      </c>
      <c r="L440" s="68">
        <f>IF($J440="",0,$K440*MAX(0,MIN(YEAR($C$3)*12+MONTH($C$3),YEAR($I440)*12+MONTH($I440))-(YEAR($H440)*12+MONTH($H440))+1))</f>
        <v/>
      </c>
      <c r="M440" s="68">
        <f>IF($J440="",0,$K440*MAX(0,MIN(YEAR($C$3)*12+MONTH($C$3)-1,YEAR($I440)*12+MONTH($I440))-(YEAR($H440)*12+MONTH($H440))+1))</f>
        <v/>
      </c>
      <c r="N440" s="68">
        <f>IF(OR($J440="",$B440=""),0,IF(YEAR($B440)*12+MONTH($B440)&lt;=YEAR($C$3)*12+MONTH($C$3),$G440,0))</f>
        <v/>
      </c>
      <c r="O440" s="68">
        <f>IF(OR($J440="",$B440=""),0,IF(YEAR($B440)*12+MONTH($B440)&lt;=YEAR($C$3)*12+MONTH($C$3)-1,$G440,0))</f>
        <v/>
      </c>
      <c r="P440" s="68">
        <f>$M440-$O440</f>
        <v/>
      </c>
      <c r="Q440" s="68">
        <f>($L440-$M440)-($N440-$O440)</f>
        <v/>
      </c>
      <c r="R440" s="68">
        <f>$L440-$N440</f>
        <v/>
      </c>
      <c r="S440" s="67">
        <f>"WIP journal"</f>
        <v/>
      </c>
      <c r="T440" s="67">
        <f>IFERROR(INDEX(tbl_WIP[Revenue or Cost],$A440),"")</f>
        <v/>
      </c>
    </row>
    <row r="441">
      <c r="A441" s="65">
        <f>ROW()-407</f>
        <v/>
      </c>
      <c r="B441" s="66">
        <f>IFERROR(INDEX(tbl_WIP[Month],$A441),"")</f>
        <v/>
      </c>
      <c r="C441" s="67">
        <f>IFERROR(INDEX(tbl_WIP[Xero Invoice No],$A441),"")</f>
        <v/>
      </c>
      <c r="D441" s="67">
        <f>IFERROR(INDEX(tbl_WIP[Client],$A441),"")</f>
        <v/>
      </c>
      <c r="E441" s="67">
        <f>IFERROR(INDEX(tbl_WIP[Job Number],$A441),"")</f>
        <v/>
      </c>
      <c r="F441" s="67">
        <f>IFERROR(INDEX(tbl_WIP[Cost Centre],$A441),"")</f>
        <v/>
      </c>
      <c r="G441" s="68">
        <f>IFERROR(IF(INDEX(tbl_WIP[Defer Start],$A441)="","",IF(INDEX(tbl_WIP[Revenue or Cost],$A441)="Cost",-1,1)*INDEX(tbl_WIP[Amount],$A441)),"")</f>
        <v/>
      </c>
      <c r="H441" s="66">
        <f>IFERROR(INDEX(tbl_WIP[Defer Start],$A441),"")</f>
        <v/>
      </c>
      <c r="I441" s="66">
        <f>IFERROR(INDEX(tbl_WIP[Defer End],$A441),"")</f>
        <v/>
      </c>
      <c r="J441" s="65">
        <f>IF(OR($H441="",$I441="",$G441=""),"",MAX(1,(YEAR($I441)-YEAR($H441))*12+MONTH($I441)-MONTH($H441)+1))</f>
        <v/>
      </c>
      <c r="K441" s="68">
        <f>IF($J441="","",$G441/$J441)</f>
        <v/>
      </c>
      <c r="L441" s="68">
        <f>IF($J441="",0,$K441*MAX(0,MIN(YEAR($C$3)*12+MONTH($C$3),YEAR($I441)*12+MONTH($I441))-(YEAR($H441)*12+MONTH($H441))+1))</f>
        <v/>
      </c>
      <c r="M441" s="68">
        <f>IF($J441="",0,$K441*MAX(0,MIN(YEAR($C$3)*12+MONTH($C$3)-1,YEAR($I441)*12+MONTH($I441))-(YEAR($H441)*12+MONTH($H441))+1))</f>
        <v/>
      </c>
      <c r="N441" s="68">
        <f>IF(OR($J441="",$B441=""),0,IF(YEAR($B441)*12+MONTH($B441)&lt;=YEAR($C$3)*12+MONTH($C$3),$G441,0))</f>
        <v/>
      </c>
      <c r="O441" s="68">
        <f>IF(OR($J441="",$B441=""),0,IF(YEAR($B441)*12+MONTH($B441)&lt;=YEAR($C$3)*12+MONTH($C$3)-1,$G441,0))</f>
        <v/>
      </c>
      <c r="P441" s="68">
        <f>$M441-$O441</f>
        <v/>
      </c>
      <c r="Q441" s="68">
        <f>($L441-$M441)-($N441-$O441)</f>
        <v/>
      </c>
      <c r="R441" s="68">
        <f>$L441-$N441</f>
        <v/>
      </c>
      <c r="S441" s="67">
        <f>"WIP journal"</f>
        <v/>
      </c>
      <c r="T441" s="67">
        <f>IFERROR(INDEX(tbl_WIP[Revenue or Cost],$A441),"")</f>
        <v/>
      </c>
    </row>
    <row r="442">
      <c r="A442" s="65">
        <f>ROW()-407</f>
        <v/>
      </c>
      <c r="B442" s="66">
        <f>IFERROR(INDEX(tbl_WIP[Month],$A442),"")</f>
        <v/>
      </c>
      <c r="C442" s="67">
        <f>IFERROR(INDEX(tbl_WIP[Xero Invoice No],$A442),"")</f>
        <v/>
      </c>
      <c r="D442" s="67">
        <f>IFERROR(INDEX(tbl_WIP[Client],$A442),"")</f>
        <v/>
      </c>
      <c r="E442" s="67">
        <f>IFERROR(INDEX(tbl_WIP[Job Number],$A442),"")</f>
        <v/>
      </c>
      <c r="F442" s="67">
        <f>IFERROR(INDEX(tbl_WIP[Cost Centre],$A442),"")</f>
        <v/>
      </c>
      <c r="G442" s="68">
        <f>IFERROR(IF(INDEX(tbl_WIP[Defer Start],$A442)="","",IF(INDEX(tbl_WIP[Revenue or Cost],$A442)="Cost",-1,1)*INDEX(tbl_WIP[Amount],$A442)),"")</f>
        <v/>
      </c>
      <c r="H442" s="66">
        <f>IFERROR(INDEX(tbl_WIP[Defer Start],$A442),"")</f>
        <v/>
      </c>
      <c r="I442" s="66">
        <f>IFERROR(INDEX(tbl_WIP[Defer End],$A442),"")</f>
        <v/>
      </c>
      <c r="J442" s="65">
        <f>IF(OR($H442="",$I442="",$G442=""),"",MAX(1,(YEAR($I442)-YEAR($H442))*12+MONTH($I442)-MONTH($H442)+1))</f>
        <v/>
      </c>
      <c r="K442" s="68">
        <f>IF($J442="","",$G442/$J442)</f>
        <v/>
      </c>
      <c r="L442" s="68">
        <f>IF($J442="",0,$K442*MAX(0,MIN(YEAR($C$3)*12+MONTH($C$3),YEAR($I442)*12+MONTH($I442))-(YEAR($H442)*12+MONTH($H442))+1))</f>
        <v/>
      </c>
      <c r="M442" s="68">
        <f>IF($J442="",0,$K442*MAX(0,MIN(YEAR($C$3)*12+MONTH($C$3)-1,YEAR($I442)*12+MONTH($I442))-(YEAR($H442)*12+MONTH($H442))+1))</f>
        <v/>
      </c>
      <c r="N442" s="68">
        <f>IF(OR($J442="",$B442=""),0,IF(YEAR($B442)*12+MONTH($B442)&lt;=YEAR($C$3)*12+MONTH($C$3),$G442,0))</f>
        <v/>
      </c>
      <c r="O442" s="68">
        <f>IF(OR($J442="",$B442=""),0,IF(YEAR($B442)*12+MONTH($B442)&lt;=YEAR($C$3)*12+MONTH($C$3)-1,$G442,0))</f>
        <v/>
      </c>
      <c r="P442" s="68">
        <f>$M442-$O442</f>
        <v/>
      </c>
      <c r="Q442" s="68">
        <f>($L442-$M442)-($N442-$O442)</f>
        <v/>
      </c>
      <c r="R442" s="68">
        <f>$L442-$N442</f>
        <v/>
      </c>
      <c r="S442" s="67">
        <f>"WIP journal"</f>
        <v/>
      </c>
      <c r="T442" s="67">
        <f>IFERROR(INDEX(tbl_WIP[Revenue or Cost],$A442),"")</f>
        <v/>
      </c>
    </row>
    <row r="443">
      <c r="A443" s="65">
        <f>ROW()-407</f>
        <v/>
      </c>
      <c r="B443" s="66">
        <f>IFERROR(INDEX(tbl_WIP[Month],$A443),"")</f>
        <v/>
      </c>
      <c r="C443" s="67">
        <f>IFERROR(INDEX(tbl_WIP[Xero Invoice No],$A443),"")</f>
        <v/>
      </c>
      <c r="D443" s="67">
        <f>IFERROR(INDEX(tbl_WIP[Client],$A443),"")</f>
        <v/>
      </c>
      <c r="E443" s="67">
        <f>IFERROR(INDEX(tbl_WIP[Job Number],$A443),"")</f>
        <v/>
      </c>
      <c r="F443" s="67">
        <f>IFERROR(INDEX(tbl_WIP[Cost Centre],$A443),"")</f>
        <v/>
      </c>
      <c r="G443" s="68">
        <f>IFERROR(IF(INDEX(tbl_WIP[Defer Start],$A443)="","",IF(INDEX(tbl_WIP[Revenue or Cost],$A443)="Cost",-1,1)*INDEX(tbl_WIP[Amount],$A443)),"")</f>
        <v/>
      </c>
      <c r="H443" s="66">
        <f>IFERROR(INDEX(tbl_WIP[Defer Start],$A443),"")</f>
        <v/>
      </c>
      <c r="I443" s="66">
        <f>IFERROR(INDEX(tbl_WIP[Defer End],$A443),"")</f>
        <v/>
      </c>
      <c r="J443" s="65">
        <f>IF(OR($H443="",$I443="",$G443=""),"",MAX(1,(YEAR($I443)-YEAR($H443))*12+MONTH($I443)-MONTH($H443)+1))</f>
        <v/>
      </c>
      <c r="K443" s="68">
        <f>IF($J443="","",$G443/$J443)</f>
        <v/>
      </c>
      <c r="L443" s="68">
        <f>IF($J443="",0,$K443*MAX(0,MIN(YEAR($C$3)*12+MONTH($C$3),YEAR($I443)*12+MONTH($I443))-(YEAR($H443)*12+MONTH($H443))+1))</f>
        <v/>
      </c>
      <c r="M443" s="68">
        <f>IF($J443="",0,$K443*MAX(0,MIN(YEAR($C$3)*12+MONTH($C$3)-1,YEAR($I443)*12+MONTH($I443))-(YEAR($H443)*12+MONTH($H443))+1))</f>
        <v/>
      </c>
      <c r="N443" s="68">
        <f>IF(OR($J443="",$B443=""),0,IF(YEAR($B443)*12+MONTH($B443)&lt;=YEAR($C$3)*12+MONTH($C$3),$G443,0))</f>
        <v/>
      </c>
      <c r="O443" s="68">
        <f>IF(OR($J443="",$B443=""),0,IF(YEAR($B443)*12+MONTH($B443)&lt;=YEAR($C$3)*12+MONTH($C$3)-1,$G443,0))</f>
        <v/>
      </c>
      <c r="P443" s="68">
        <f>$M443-$O443</f>
        <v/>
      </c>
      <c r="Q443" s="68">
        <f>($L443-$M443)-($N443-$O443)</f>
        <v/>
      </c>
      <c r="R443" s="68">
        <f>$L443-$N443</f>
        <v/>
      </c>
      <c r="S443" s="67">
        <f>"WIP journal"</f>
        <v/>
      </c>
      <c r="T443" s="67">
        <f>IFERROR(INDEX(tbl_WIP[Revenue or Cost],$A443),"")</f>
        <v/>
      </c>
    </row>
    <row r="444">
      <c r="A444" s="65">
        <f>ROW()-407</f>
        <v/>
      </c>
      <c r="B444" s="66">
        <f>IFERROR(INDEX(tbl_WIP[Month],$A444),"")</f>
        <v/>
      </c>
      <c r="C444" s="67">
        <f>IFERROR(INDEX(tbl_WIP[Xero Invoice No],$A444),"")</f>
        <v/>
      </c>
      <c r="D444" s="67">
        <f>IFERROR(INDEX(tbl_WIP[Client],$A444),"")</f>
        <v/>
      </c>
      <c r="E444" s="67">
        <f>IFERROR(INDEX(tbl_WIP[Job Number],$A444),"")</f>
        <v/>
      </c>
      <c r="F444" s="67">
        <f>IFERROR(INDEX(tbl_WIP[Cost Centre],$A444),"")</f>
        <v/>
      </c>
      <c r="G444" s="68">
        <f>IFERROR(IF(INDEX(tbl_WIP[Defer Start],$A444)="","",IF(INDEX(tbl_WIP[Revenue or Cost],$A444)="Cost",-1,1)*INDEX(tbl_WIP[Amount],$A444)),"")</f>
        <v/>
      </c>
      <c r="H444" s="66">
        <f>IFERROR(INDEX(tbl_WIP[Defer Start],$A444),"")</f>
        <v/>
      </c>
      <c r="I444" s="66">
        <f>IFERROR(INDEX(tbl_WIP[Defer End],$A444),"")</f>
        <v/>
      </c>
      <c r="J444" s="65">
        <f>IF(OR($H444="",$I444="",$G444=""),"",MAX(1,(YEAR($I444)-YEAR($H444))*12+MONTH($I444)-MONTH($H444)+1))</f>
        <v/>
      </c>
      <c r="K444" s="68">
        <f>IF($J444="","",$G444/$J444)</f>
        <v/>
      </c>
      <c r="L444" s="68">
        <f>IF($J444="",0,$K444*MAX(0,MIN(YEAR($C$3)*12+MONTH($C$3),YEAR($I444)*12+MONTH($I444))-(YEAR($H444)*12+MONTH($H444))+1))</f>
        <v/>
      </c>
      <c r="M444" s="68">
        <f>IF($J444="",0,$K444*MAX(0,MIN(YEAR($C$3)*12+MONTH($C$3)-1,YEAR($I444)*12+MONTH($I444))-(YEAR($H444)*12+MONTH($H444))+1))</f>
        <v/>
      </c>
      <c r="N444" s="68">
        <f>IF(OR($J444="",$B444=""),0,IF(YEAR($B444)*12+MONTH($B444)&lt;=YEAR($C$3)*12+MONTH($C$3),$G444,0))</f>
        <v/>
      </c>
      <c r="O444" s="68">
        <f>IF(OR($J444="",$B444=""),0,IF(YEAR($B444)*12+MONTH($B444)&lt;=YEAR($C$3)*12+MONTH($C$3)-1,$G444,0))</f>
        <v/>
      </c>
      <c r="P444" s="68">
        <f>$M444-$O444</f>
        <v/>
      </c>
      <c r="Q444" s="68">
        <f>($L444-$M444)-($N444-$O444)</f>
        <v/>
      </c>
      <c r="R444" s="68">
        <f>$L444-$N444</f>
        <v/>
      </c>
      <c r="S444" s="67">
        <f>"WIP journal"</f>
        <v/>
      </c>
      <c r="T444" s="67">
        <f>IFERROR(INDEX(tbl_WIP[Revenue or Cost],$A444),"")</f>
        <v/>
      </c>
    </row>
    <row r="445">
      <c r="A445" s="65">
        <f>ROW()-407</f>
        <v/>
      </c>
      <c r="B445" s="66">
        <f>IFERROR(INDEX(tbl_WIP[Month],$A445),"")</f>
        <v/>
      </c>
      <c r="C445" s="67">
        <f>IFERROR(INDEX(tbl_WIP[Xero Invoice No],$A445),"")</f>
        <v/>
      </c>
      <c r="D445" s="67">
        <f>IFERROR(INDEX(tbl_WIP[Client],$A445),"")</f>
        <v/>
      </c>
      <c r="E445" s="67">
        <f>IFERROR(INDEX(tbl_WIP[Job Number],$A445),"")</f>
        <v/>
      </c>
      <c r="F445" s="67">
        <f>IFERROR(INDEX(tbl_WIP[Cost Centre],$A445),"")</f>
        <v/>
      </c>
      <c r="G445" s="68">
        <f>IFERROR(IF(INDEX(tbl_WIP[Defer Start],$A445)="","",IF(INDEX(tbl_WIP[Revenue or Cost],$A445)="Cost",-1,1)*INDEX(tbl_WIP[Amount],$A445)),"")</f>
        <v/>
      </c>
      <c r="H445" s="66">
        <f>IFERROR(INDEX(tbl_WIP[Defer Start],$A445),"")</f>
        <v/>
      </c>
      <c r="I445" s="66">
        <f>IFERROR(INDEX(tbl_WIP[Defer End],$A445),"")</f>
        <v/>
      </c>
      <c r="J445" s="65">
        <f>IF(OR($H445="",$I445="",$G445=""),"",MAX(1,(YEAR($I445)-YEAR($H445))*12+MONTH($I445)-MONTH($H445)+1))</f>
        <v/>
      </c>
      <c r="K445" s="68">
        <f>IF($J445="","",$G445/$J445)</f>
        <v/>
      </c>
      <c r="L445" s="68">
        <f>IF($J445="",0,$K445*MAX(0,MIN(YEAR($C$3)*12+MONTH($C$3),YEAR($I445)*12+MONTH($I445))-(YEAR($H445)*12+MONTH($H445))+1))</f>
        <v/>
      </c>
      <c r="M445" s="68">
        <f>IF($J445="",0,$K445*MAX(0,MIN(YEAR($C$3)*12+MONTH($C$3)-1,YEAR($I445)*12+MONTH($I445))-(YEAR($H445)*12+MONTH($H445))+1))</f>
        <v/>
      </c>
      <c r="N445" s="68">
        <f>IF(OR($J445="",$B445=""),0,IF(YEAR($B445)*12+MONTH($B445)&lt;=YEAR($C$3)*12+MONTH($C$3),$G445,0))</f>
        <v/>
      </c>
      <c r="O445" s="68">
        <f>IF(OR($J445="",$B445=""),0,IF(YEAR($B445)*12+MONTH($B445)&lt;=YEAR($C$3)*12+MONTH($C$3)-1,$G445,0))</f>
        <v/>
      </c>
      <c r="P445" s="68">
        <f>$M445-$O445</f>
        <v/>
      </c>
      <c r="Q445" s="68">
        <f>($L445-$M445)-($N445-$O445)</f>
        <v/>
      </c>
      <c r="R445" s="68">
        <f>$L445-$N445</f>
        <v/>
      </c>
      <c r="S445" s="67">
        <f>"WIP journal"</f>
        <v/>
      </c>
      <c r="T445" s="67">
        <f>IFERROR(INDEX(tbl_WIP[Revenue or Cost],$A445),"")</f>
        <v/>
      </c>
    </row>
    <row r="446">
      <c r="A446" s="65">
        <f>ROW()-407</f>
        <v/>
      </c>
      <c r="B446" s="66">
        <f>IFERROR(INDEX(tbl_WIP[Month],$A446),"")</f>
        <v/>
      </c>
      <c r="C446" s="67">
        <f>IFERROR(INDEX(tbl_WIP[Xero Invoice No],$A446),"")</f>
        <v/>
      </c>
      <c r="D446" s="67">
        <f>IFERROR(INDEX(tbl_WIP[Client],$A446),"")</f>
        <v/>
      </c>
      <c r="E446" s="67">
        <f>IFERROR(INDEX(tbl_WIP[Job Number],$A446),"")</f>
        <v/>
      </c>
      <c r="F446" s="67">
        <f>IFERROR(INDEX(tbl_WIP[Cost Centre],$A446),"")</f>
        <v/>
      </c>
      <c r="G446" s="68">
        <f>IFERROR(IF(INDEX(tbl_WIP[Defer Start],$A446)="","",IF(INDEX(tbl_WIP[Revenue or Cost],$A446)="Cost",-1,1)*INDEX(tbl_WIP[Amount],$A446)),"")</f>
        <v/>
      </c>
      <c r="H446" s="66">
        <f>IFERROR(INDEX(tbl_WIP[Defer Start],$A446),"")</f>
        <v/>
      </c>
      <c r="I446" s="66">
        <f>IFERROR(INDEX(tbl_WIP[Defer End],$A446),"")</f>
        <v/>
      </c>
      <c r="J446" s="65">
        <f>IF(OR($H446="",$I446="",$G446=""),"",MAX(1,(YEAR($I446)-YEAR($H446))*12+MONTH($I446)-MONTH($H446)+1))</f>
        <v/>
      </c>
      <c r="K446" s="68">
        <f>IF($J446="","",$G446/$J446)</f>
        <v/>
      </c>
      <c r="L446" s="68">
        <f>IF($J446="",0,$K446*MAX(0,MIN(YEAR($C$3)*12+MONTH($C$3),YEAR($I446)*12+MONTH($I446))-(YEAR($H446)*12+MONTH($H446))+1))</f>
        <v/>
      </c>
      <c r="M446" s="68">
        <f>IF($J446="",0,$K446*MAX(0,MIN(YEAR($C$3)*12+MONTH($C$3)-1,YEAR($I446)*12+MONTH($I446))-(YEAR($H446)*12+MONTH($H446))+1))</f>
        <v/>
      </c>
      <c r="N446" s="68">
        <f>IF(OR($J446="",$B446=""),0,IF(YEAR($B446)*12+MONTH($B446)&lt;=YEAR($C$3)*12+MONTH($C$3),$G446,0))</f>
        <v/>
      </c>
      <c r="O446" s="68">
        <f>IF(OR($J446="",$B446=""),0,IF(YEAR($B446)*12+MONTH($B446)&lt;=YEAR($C$3)*12+MONTH($C$3)-1,$G446,0))</f>
        <v/>
      </c>
      <c r="P446" s="68">
        <f>$M446-$O446</f>
        <v/>
      </c>
      <c r="Q446" s="68">
        <f>($L446-$M446)-($N446-$O446)</f>
        <v/>
      </c>
      <c r="R446" s="68">
        <f>$L446-$N446</f>
        <v/>
      </c>
      <c r="S446" s="67">
        <f>"WIP journal"</f>
        <v/>
      </c>
      <c r="T446" s="67">
        <f>IFERROR(INDEX(tbl_WIP[Revenue or Cost],$A446),"")</f>
        <v/>
      </c>
    </row>
    <row r="447">
      <c r="A447" s="65">
        <f>ROW()-407</f>
        <v/>
      </c>
      <c r="B447" s="66">
        <f>IFERROR(INDEX(tbl_WIP[Month],$A447),"")</f>
        <v/>
      </c>
      <c r="C447" s="67">
        <f>IFERROR(INDEX(tbl_WIP[Xero Invoice No],$A447),"")</f>
        <v/>
      </c>
      <c r="D447" s="67">
        <f>IFERROR(INDEX(tbl_WIP[Client],$A447),"")</f>
        <v/>
      </c>
      <c r="E447" s="67">
        <f>IFERROR(INDEX(tbl_WIP[Job Number],$A447),"")</f>
        <v/>
      </c>
      <c r="F447" s="67">
        <f>IFERROR(INDEX(tbl_WIP[Cost Centre],$A447),"")</f>
        <v/>
      </c>
      <c r="G447" s="68">
        <f>IFERROR(IF(INDEX(tbl_WIP[Defer Start],$A447)="","",IF(INDEX(tbl_WIP[Revenue or Cost],$A447)="Cost",-1,1)*INDEX(tbl_WIP[Amount],$A447)),"")</f>
        <v/>
      </c>
      <c r="H447" s="66">
        <f>IFERROR(INDEX(tbl_WIP[Defer Start],$A447),"")</f>
        <v/>
      </c>
      <c r="I447" s="66">
        <f>IFERROR(INDEX(tbl_WIP[Defer End],$A447),"")</f>
        <v/>
      </c>
      <c r="J447" s="65">
        <f>IF(OR($H447="",$I447="",$G447=""),"",MAX(1,(YEAR($I447)-YEAR($H447))*12+MONTH($I447)-MONTH($H447)+1))</f>
        <v/>
      </c>
      <c r="K447" s="68">
        <f>IF($J447="","",$G447/$J447)</f>
        <v/>
      </c>
      <c r="L447" s="68">
        <f>IF($J447="",0,$K447*MAX(0,MIN(YEAR($C$3)*12+MONTH($C$3),YEAR($I447)*12+MONTH($I447))-(YEAR($H447)*12+MONTH($H447))+1))</f>
        <v/>
      </c>
      <c r="M447" s="68">
        <f>IF($J447="",0,$K447*MAX(0,MIN(YEAR($C$3)*12+MONTH($C$3)-1,YEAR($I447)*12+MONTH($I447))-(YEAR($H447)*12+MONTH($H447))+1))</f>
        <v/>
      </c>
      <c r="N447" s="68">
        <f>IF(OR($J447="",$B447=""),0,IF(YEAR($B447)*12+MONTH($B447)&lt;=YEAR($C$3)*12+MONTH($C$3),$G447,0))</f>
        <v/>
      </c>
      <c r="O447" s="68">
        <f>IF(OR($J447="",$B447=""),0,IF(YEAR($B447)*12+MONTH($B447)&lt;=YEAR($C$3)*12+MONTH($C$3)-1,$G447,0))</f>
        <v/>
      </c>
      <c r="P447" s="68">
        <f>$M447-$O447</f>
        <v/>
      </c>
      <c r="Q447" s="68">
        <f>($L447-$M447)-($N447-$O447)</f>
        <v/>
      </c>
      <c r="R447" s="68">
        <f>$L447-$N447</f>
        <v/>
      </c>
      <c r="S447" s="67">
        <f>"WIP journal"</f>
        <v/>
      </c>
      <c r="T447" s="67">
        <f>IFERROR(INDEX(tbl_WIP[Revenue or Cost],$A447),"")</f>
        <v/>
      </c>
    </row>
    <row r="448">
      <c r="A448" s="65">
        <f>ROW()-407</f>
        <v/>
      </c>
      <c r="B448" s="66">
        <f>IFERROR(INDEX(tbl_WIP[Month],$A448),"")</f>
        <v/>
      </c>
      <c r="C448" s="67">
        <f>IFERROR(INDEX(tbl_WIP[Xero Invoice No],$A448),"")</f>
        <v/>
      </c>
      <c r="D448" s="67">
        <f>IFERROR(INDEX(tbl_WIP[Client],$A448),"")</f>
        <v/>
      </c>
      <c r="E448" s="67">
        <f>IFERROR(INDEX(tbl_WIP[Job Number],$A448),"")</f>
        <v/>
      </c>
      <c r="F448" s="67">
        <f>IFERROR(INDEX(tbl_WIP[Cost Centre],$A448),"")</f>
        <v/>
      </c>
      <c r="G448" s="68">
        <f>IFERROR(IF(INDEX(tbl_WIP[Defer Start],$A448)="","",IF(INDEX(tbl_WIP[Revenue or Cost],$A448)="Cost",-1,1)*INDEX(tbl_WIP[Amount],$A448)),"")</f>
        <v/>
      </c>
      <c r="H448" s="66">
        <f>IFERROR(INDEX(tbl_WIP[Defer Start],$A448),"")</f>
        <v/>
      </c>
      <c r="I448" s="66">
        <f>IFERROR(INDEX(tbl_WIP[Defer End],$A448),"")</f>
        <v/>
      </c>
      <c r="J448" s="65">
        <f>IF(OR($H448="",$I448="",$G448=""),"",MAX(1,(YEAR($I448)-YEAR($H448))*12+MONTH($I448)-MONTH($H448)+1))</f>
        <v/>
      </c>
      <c r="K448" s="68">
        <f>IF($J448="","",$G448/$J448)</f>
        <v/>
      </c>
      <c r="L448" s="68">
        <f>IF($J448="",0,$K448*MAX(0,MIN(YEAR($C$3)*12+MONTH($C$3),YEAR($I448)*12+MONTH($I448))-(YEAR($H448)*12+MONTH($H448))+1))</f>
        <v/>
      </c>
      <c r="M448" s="68">
        <f>IF($J448="",0,$K448*MAX(0,MIN(YEAR($C$3)*12+MONTH($C$3)-1,YEAR($I448)*12+MONTH($I448))-(YEAR($H448)*12+MONTH($H448))+1))</f>
        <v/>
      </c>
      <c r="N448" s="68">
        <f>IF(OR($J448="",$B448=""),0,IF(YEAR($B448)*12+MONTH($B448)&lt;=YEAR($C$3)*12+MONTH($C$3),$G448,0))</f>
        <v/>
      </c>
      <c r="O448" s="68">
        <f>IF(OR($J448="",$B448=""),0,IF(YEAR($B448)*12+MONTH($B448)&lt;=YEAR($C$3)*12+MONTH($C$3)-1,$G448,0))</f>
        <v/>
      </c>
      <c r="P448" s="68">
        <f>$M448-$O448</f>
        <v/>
      </c>
      <c r="Q448" s="68">
        <f>($L448-$M448)-($N448-$O448)</f>
        <v/>
      </c>
      <c r="R448" s="68">
        <f>$L448-$N448</f>
        <v/>
      </c>
      <c r="S448" s="67">
        <f>"WIP journal"</f>
        <v/>
      </c>
      <c r="T448" s="67">
        <f>IFERROR(INDEX(tbl_WIP[Revenue or Cost],$A448),"")</f>
        <v/>
      </c>
    </row>
    <row r="449">
      <c r="A449" s="65">
        <f>ROW()-407</f>
        <v/>
      </c>
      <c r="B449" s="66">
        <f>IFERROR(INDEX(tbl_WIP[Month],$A449),"")</f>
        <v/>
      </c>
      <c r="C449" s="67">
        <f>IFERROR(INDEX(tbl_WIP[Xero Invoice No],$A449),"")</f>
        <v/>
      </c>
      <c r="D449" s="67">
        <f>IFERROR(INDEX(tbl_WIP[Client],$A449),"")</f>
        <v/>
      </c>
      <c r="E449" s="67">
        <f>IFERROR(INDEX(tbl_WIP[Job Number],$A449),"")</f>
        <v/>
      </c>
      <c r="F449" s="67">
        <f>IFERROR(INDEX(tbl_WIP[Cost Centre],$A449),"")</f>
        <v/>
      </c>
      <c r="G449" s="68">
        <f>IFERROR(IF(INDEX(tbl_WIP[Defer Start],$A449)="","",IF(INDEX(tbl_WIP[Revenue or Cost],$A449)="Cost",-1,1)*INDEX(tbl_WIP[Amount],$A449)),"")</f>
        <v/>
      </c>
      <c r="H449" s="66">
        <f>IFERROR(INDEX(tbl_WIP[Defer Start],$A449),"")</f>
        <v/>
      </c>
      <c r="I449" s="66">
        <f>IFERROR(INDEX(tbl_WIP[Defer End],$A449),"")</f>
        <v/>
      </c>
      <c r="J449" s="65">
        <f>IF(OR($H449="",$I449="",$G449=""),"",MAX(1,(YEAR($I449)-YEAR($H449))*12+MONTH($I449)-MONTH($H449)+1))</f>
        <v/>
      </c>
      <c r="K449" s="68">
        <f>IF($J449="","",$G449/$J449)</f>
        <v/>
      </c>
      <c r="L449" s="68">
        <f>IF($J449="",0,$K449*MAX(0,MIN(YEAR($C$3)*12+MONTH($C$3),YEAR($I449)*12+MONTH($I449))-(YEAR($H449)*12+MONTH($H449))+1))</f>
        <v/>
      </c>
      <c r="M449" s="68">
        <f>IF($J449="",0,$K449*MAX(0,MIN(YEAR($C$3)*12+MONTH($C$3)-1,YEAR($I449)*12+MONTH($I449))-(YEAR($H449)*12+MONTH($H449))+1))</f>
        <v/>
      </c>
      <c r="N449" s="68">
        <f>IF(OR($J449="",$B449=""),0,IF(YEAR($B449)*12+MONTH($B449)&lt;=YEAR($C$3)*12+MONTH($C$3),$G449,0))</f>
        <v/>
      </c>
      <c r="O449" s="68">
        <f>IF(OR($J449="",$B449=""),0,IF(YEAR($B449)*12+MONTH($B449)&lt;=YEAR($C$3)*12+MONTH($C$3)-1,$G449,0))</f>
        <v/>
      </c>
      <c r="P449" s="68">
        <f>$M449-$O449</f>
        <v/>
      </c>
      <c r="Q449" s="68">
        <f>($L449-$M449)-($N449-$O449)</f>
        <v/>
      </c>
      <c r="R449" s="68">
        <f>$L449-$N449</f>
        <v/>
      </c>
      <c r="S449" s="67">
        <f>"WIP journal"</f>
        <v/>
      </c>
      <c r="T449" s="67">
        <f>IFERROR(INDEX(tbl_WIP[Revenue or Cost],$A449),"")</f>
        <v/>
      </c>
    </row>
    <row r="450">
      <c r="A450" s="65">
        <f>ROW()-407</f>
        <v/>
      </c>
      <c r="B450" s="66">
        <f>IFERROR(INDEX(tbl_WIP[Month],$A450),"")</f>
        <v/>
      </c>
      <c r="C450" s="67">
        <f>IFERROR(INDEX(tbl_WIP[Xero Invoice No],$A450),"")</f>
        <v/>
      </c>
      <c r="D450" s="67">
        <f>IFERROR(INDEX(tbl_WIP[Client],$A450),"")</f>
        <v/>
      </c>
      <c r="E450" s="67">
        <f>IFERROR(INDEX(tbl_WIP[Job Number],$A450),"")</f>
        <v/>
      </c>
      <c r="F450" s="67">
        <f>IFERROR(INDEX(tbl_WIP[Cost Centre],$A450),"")</f>
        <v/>
      </c>
      <c r="G450" s="68">
        <f>IFERROR(IF(INDEX(tbl_WIP[Defer Start],$A450)="","",IF(INDEX(tbl_WIP[Revenue or Cost],$A450)="Cost",-1,1)*INDEX(tbl_WIP[Amount],$A450)),"")</f>
        <v/>
      </c>
      <c r="H450" s="66">
        <f>IFERROR(INDEX(tbl_WIP[Defer Start],$A450),"")</f>
        <v/>
      </c>
      <c r="I450" s="66">
        <f>IFERROR(INDEX(tbl_WIP[Defer End],$A450),"")</f>
        <v/>
      </c>
      <c r="J450" s="65">
        <f>IF(OR($H450="",$I450="",$G450=""),"",MAX(1,(YEAR($I450)-YEAR($H450))*12+MONTH($I450)-MONTH($H450)+1))</f>
        <v/>
      </c>
      <c r="K450" s="68">
        <f>IF($J450="","",$G450/$J450)</f>
        <v/>
      </c>
      <c r="L450" s="68">
        <f>IF($J450="",0,$K450*MAX(0,MIN(YEAR($C$3)*12+MONTH($C$3),YEAR($I450)*12+MONTH($I450))-(YEAR($H450)*12+MONTH($H450))+1))</f>
        <v/>
      </c>
      <c r="M450" s="68">
        <f>IF($J450="",0,$K450*MAX(0,MIN(YEAR($C$3)*12+MONTH($C$3)-1,YEAR($I450)*12+MONTH($I450))-(YEAR($H450)*12+MONTH($H450))+1))</f>
        <v/>
      </c>
      <c r="N450" s="68">
        <f>IF(OR($J450="",$B450=""),0,IF(YEAR($B450)*12+MONTH($B450)&lt;=YEAR($C$3)*12+MONTH($C$3),$G450,0))</f>
        <v/>
      </c>
      <c r="O450" s="68">
        <f>IF(OR($J450="",$B450=""),0,IF(YEAR($B450)*12+MONTH($B450)&lt;=YEAR($C$3)*12+MONTH($C$3)-1,$G450,0))</f>
        <v/>
      </c>
      <c r="P450" s="68">
        <f>$M450-$O450</f>
        <v/>
      </c>
      <c r="Q450" s="68">
        <f>($L450-$M450)-($N450-$O450)</f>
        <v/>
      </c>
      <c r="R450" s="68">
        <f>$L450-$N450</f>
        <v/>
      </c>
      <c r="S450" s="67">
        <f>"WIP journal"</f>
        <v/>
      </c>
      <c r="T450" s="67">
        <f>IFERROR(INDEX(tbl_WIP[Revenue or Cost],$A450),"")</f>
        <v/>
      </c>
    </row>
    <row r="451">
      <c r="A451" s="65">
        <f>ROW()-407</f>
        <v/>
      </c>
      <c r="B451" s="66">
        <f>IFERROR(INDEX(tbl_WIP[Month],$A451),"")</f>
        <v/>
      </c>
      <c r="C451" s="67">
        <f>IFERROR(INDEX(tbl_WIP[Xero Invoice No],$A451),"")</f>
        <v/>
      </c>
      <c r="D451" s="67">
        <f>IFERROR(INDEX(tbl_WIP[Client],$A451),"")</f>
        <v/>
      </c>
      <c r="E451" s="67">
        <f>IFERROR(INDEX(tbl_WIP[Job Number],$A451),"")</f>
        <v/>
      </c>
      <c r="F451" s="67">
        <f>IFERROR(INDEX(tbl_WIP[Cost Centre],$A451),"")</f>
        <v/>
      </c>
      <c r="G451" s="68">
        <f>IFERROR(IF(INDEX(tbl_WIP[Defer Start],$A451)="","",IF(INDEX(tbl_WIP[Revenue or Cost],$A451)="Cost",-1,1)*INDEX(tbl_WIP[Amount],$A451)),"")</f>
        <v/>
      </c>
      <c r="H451" s="66">
        <f>IFERROR(INDEX(tbl_WIP[Defer Start],$A451),"")</f>
        <v/>
      </c>
      <c r="I451" s="66">
        <f>IFERROR(INDEX(tbl_WIP[Defer End],$A451),"")</f>
        <v/>
      </c>
      <c r="J451" s="65">
        <f>IF(OR($H451="",$I451="",$G451=""),"",MAX(1,(YEAR($I451)-YEAR($H451))*12+MONTH($I451)-MONTH($H451)+1))</f>
        <v/>
      </c>
      <c r="K451" s="68">
        <f>IF($J451="","",$G451/$J451)</f>
        <v/>
      </c>
      <c r="L451" s="68">
        <f>IF($J451="",0,$K451*MAX(0,MIN(YEAR($C$3)*12+MONTH($C$3),YEAR($I451)*12+MONTH($I451))-(YEAR($H451)*12+MONTH($H451))+1))</f>
        <v/>
      </c>
      <c r="M451" s="68">
        <f>IF($J451="",0,$K451*MAX(0,MIN(YEAR($C$3)*12+MONTH($C$3)-1,YEAR($I451)*12+MONTH($I451))-(YEAR($H451)*12+MONTH($H451))+1))</f>
        <v/>
      </c>
      <c r="N451" s="68">
        <f>IF(OR($J451="",$B451=""),0,IF(YEAR($B451)*12+MONTH($B451)&lt;=YEAR($C$3)*12+MONTH($C$3),$G451,0))</f>
        <v/>
      </c>
      <c r="O451" s="68">
        <f>IF(OR($J451="",$B451=""),0,IF(YEAR($B451)*12+MONTH($B451)&lt;=YEAR($C$3)*12+MONTH($C$3)-1,$G451,0))</f>
        <v/>
      </c>
      <c r="P451" s="68">
        <f>$M451-$O451</f>
        <v/>
      </c>
      <c r="Q451" s="68">
        <f>($L451-$M451)-($N451-$O451)</f>
        <v/>
      </c>
      <c r="R451" s="68">
        <f>$L451-$N451</f>
        <v/>
      </c>
      <c r="S451" s="67">
        <f>"WIP journal"</f>
        <v/>
      </c>
      <c r="T451" s="67">
        <f>IFERROR(INDEX(tbl_WIP[Revenue or Cost],$A451),"")</f>
        <v/>
      </c>
    </row>
    <row r="452">
      <c r="A452" s="65">
        <f>ROW()-407</f>
        <v/>
      </c>
      <c r="B452" s="66">
        <f>IFERROR(INDEX(tbl_WIP[Month],$A452),"")</f>
        <v/>
      </c>
      <c r="C452" s="67">
        <f>IFERROR(INDEX(tbl_WIP[Xero Invoice No],$A452),"")</f>
        <v/>
      </c>
      <c r="D452" s="67">
        <f>IFERROR(INDEX(tbl_WIP[Client],$A452),"")</f>
        <v/>
      </c>
      <c r="E452" s="67">
        <f>IFERROR(INDEX(tbl_WIP[Job Number],$A452),"")</f>
        <v/>
      </c>
      <c r="F452" s="67">
        <f>IFERROR(INDEX(tbl_WIP[Cost Centre],$A452),"")</f>
        <v/>
      </c>
      <c r="G452" s="68">
        <f>IFERROR(IF(INDEX(tbl_WIP[Defer Start],$A452)="","",IF(INDEX(tbl_WIP[Revenue or Cost],$A452)="Cost",-1,1)*INDEX(tbl_WIP[Amount],$A452)),"")</f>
        <v/>
      </c>
      <c r="H452" s="66">
        <f>IFERROR(INDEX(tbl_WIP[Defer Start],$A452),"")</f>
        <v/>
      </c>
      <c r="I452" s="66">
        <f>IFERROR(INDEX(tbl_WIP[Defer End],$A452),"")</f>
        <v/>
      </c>
      <c r="J452" s="65">
        <f>IF(OR($H452="",$I452="",$G452=""),"",MAX(1,(YEAR($I452)-YEAR($H452))*12+MONTH($I452)-MONTH($H452)+1))</f>
        <v/>
      </c>
      <c r="K452" s="68">
        <f>IF($J452="","",$G452/$J452)</f>
        <v/>
      </c>
      <c r="L452" s="68">
        <f>IF($J452="",0,$K452*MAX(0,MIN(YEAR($C$3)*12+MONTH($C$3),YEAR($I452)*12+MONTH($I452))-(YEAR($H452)*12+MONTH($H452))+1))</f>
        <v/>
      </c>
      <c r="M452" s="68">
        <f>IF($J452="",0,$K452*MAX(0,MIN(YEAR($C$3)*12+MONTH($C$3)-1,YEAR($I452)*12+MONTH($I452))-(YEAR($H452)*12+MONTH($H452))+1))</f>
        <v/>
      </c>
      <c r="N452" s="68">
        <f>IF(OR($J452="",$B452=""),0,IF(YEAR($B452)*12+MONTH($B452)&lt;=YEAR($C$3)*12+MONTH($C$3),$G452,0))</f>
        <v/>
      </c>
      <c r="O452" s="68">
        <f>IF(OR($J452="",$B452=""),0,IF(YEAR($B452)*12+MONTH($B452)&lt;=YEAR($C$3)*12+MONTH($C$3)-1,$G452,0))</f>
        <v/>
      </c>
      <c r="P452" s="68">
        <f>$M452-$O452</f>
        <v/>
      </c>
      <c r="Q452" s="68">
        <f>($L452-$M452)-($N452-$O452)</f>
        <v/>
      </c>
      <c r="R452" s="68">
        <f>$L452-$N452</f>
        <v/>
      </c>
      <c r="S452" s="67">
        <f>"WIP journal"</f>
        <v/>
      </c>
      <c r="T452" s="67">
        <f>IFERROR(INDEX(tbl_WIP[Revenue or Cost],$A452),"")</f>
        <v/>
      </c>
    </row>
    <row r="453">
      <c r="A453" s="65">
        <f>ROW()-407</f>
        <v/>
      </c>
      <c r="B453" s="66">
        <f>IFERROR(INDEX(tbl_WIP[Month],$A453),"")</f>
        <v/>
      </c>
      <c r="C453" s="67">
        <f>IFERROR(INDEX(tbl_WIP[Xero Invoice No],$A453),"")</f>
        <v/>
      </c>
      <c r="D453" s="67">
        <f>IFERROR(INDEX(tbl_WIP[Client],$A453),"")</f>
        <v/>
      </c>
      <c r="E453" s="67">
        <f>IFERROR(INDEX(tbl_WIP[Job Number],$A453),"")</f>
        <v/>
      </c>
      <c r="F453" s="67">
        <f>IFERROR(INDEX(tbl_WIP[Cost Centre],$A453),"")</f>
        <v/>
      </c>
      <c r="G453" s="68">
        <f>IFERROR(IF(INDEX(tbl_WIP[Defer Start],$A453)="","",IF(INDEX(tbl_WIP[Revenue or Cost],$A453)="Cost",-1,1)*INDEX(tbl_WIP[Amount],$A453)),"")</f>
        <v/>
      </c>
      <c r="H453" s="66">
        <f>IFERROR(INDEX(tbl_WIP[Defer Start],$A453),"")</f>
        <v/>
      </c>
      <c r="I453" s="66">
        <f>IFERROR(INDEX(tbl_WIP[Defer End],$A453),"")</f>
        <v/>
      </c>
      <c r="J453" s="65">
        <f>IF(OR($H453="",$I453="",$G453=""),"",MAX(1,(YEAR($I453)-YEAR($H453))*12+MONTH($I453)-MONTH($H453)+1))</f>
        <v/>
      </c>
      <c r="K453" s="68">
        <f>IF($J453="","",$G453/$J453)</f>
        <v/>
      </c>
      <c r="L453" s="68">
        <f>IF($J453="",0,$K453*MAX(0,MIN(YEAR($C$3)*12+MONTH($C$3),YEAR($I453)*12+MONTH($I453))-(YEAR($H453)*12+MONTH($H453))+1))</f>
        <v/>
      </c>
      <c r="M453" s="68">
        <f>IF($J453="",0,$K453*MAX(0,MIN(YEAR($C$3)*12+MONTH($C$3)-1,YEAR($I453)*12+MONTH($I453))-(YEAR($H453)*12+MONTH($H453))+1))</f>
        <v/>
      </c>
      <c r="N453" s="68">
        <f>IF(OR($J453="",$B453=""),0,IF(YEAR($B453)*12+MONTH($B453)&lt;=YEAR($C$3)*12+MONTH($C$3),$G453,0))</f>
        <v/>
      </c>
      <c r="O453" s="68">
        <f>IF(OR($J453="",$B453=""),0,IF(YEAR($B453)*12+MONTH($B453)&lt;=YEAR($C$3)*12+MONTH($C$3)-1,$G453,0))</f>
        <v/>
      </c>
      <c r="P453" s="68">
        <f>$M453-$O453</f>
        <v/>
      </c>
      <c r="Q453" s="68">
        <f>($L453-$M453)-($N453-$O453)</f>
        <v/>
      </c>
      <c r="R453" s="68">
        <f>$L453-$N453</f>
        <v/>
      </c>
      <c r="S453" s="67">
        <f>"WIP journal"</f>
        <v/>
      </c>
      <c r="T453" s="67">
        <f>IFERROR(INDEX(tbl_WIP[Revenue or Cost],$A453),"")</f>
        <v/>
      </c>
    </row>
    <row r="454">
      <c r="A454" s="65">
        <f>ROW()-407</f>
        <v/>
      </c>
      <c r="B454" s="66">
        <f>IFERROR(INDEX(tbl_WIP[Month],$A454),"")</f>
        <v/>
      </c>
      <c r="C454" s="67">
        <f>IFERROR(INDEX(tbl_WIP[Xero Invoice No],$A454),"")</f>
        <v/>
      </c>
      <c r="D454" s="67">
        <f>IFERROR(INDEX(tbl_WIP[Client],$A454),"")</f>
        <v/>
      </c>
      <c r="E454" s="67">
        <f>IFERROR(INDEX(tbl_WIP[Job Number],$A454),"")</f>
        <v/>
      </c>
      <c r="F454" s="67">
        <f>IFERROR(INDEX(tbl_WIP[Cost Centre],$A454),"")</f>
        <v/>
      </c>
      <c r="G454" s="68">
        <f>IFERROR(IF(INDEX(tbl_WIP[Defer Start],$A454)="","",IF(INDEX(tbl_WIP[Revenue or Cost],$A454)="Cost",-1,1)*INDEX(tbl_WIP[Amount],$A454)),"")</f>
        <v/>
      </c>
      <c r="H454" s="66">
        <f>IFERROR(INDEX(tbl_WIP[Defer Start],$A454),"")</f>
        <v/>
      </c>
      <c r="I454" s="66">
        <f>IFERROR(INDEX(tbl_WIP[Defer End],$A454),"")</f>
        <v/>
      </c>
      <c r="J454" s="65">
        <f>IF(OR($H454="",$I454="",$G454=""),"",MAX(1,(YEAR($I454)-YEAR($H454))*12+MONTH($I454)-MONTH($H454)+1))</f>
        <v/>
      </c>
      <c r="K454" s="68">
        <f>IF($J454="","",$G454/$J454)</f>
        <v/>
      </c>
      <c r="L454" s="68">
        <f>IF($J454="",0,$K454*MAX(0,MIN(YEAR($C$3)*12+MONTH($C$3),YEAR($I454)*12+MONTH($I454))-(YEAR($H454)*12+MONTH($H454))+1))</f>
        <v/>
      </c>
      <c r="M454" s="68">
        <f>IF($J454="",0,$K454*MAX(0,MIN(YEAR($C$3)*12+MONTH($C$3)-1,YEAR($I454)*12+MONTH($I454))-(YEAR($H454)*12+MONTH($H454))+1))</f>
        <v/>
      </c>
      <c r="N454" s="68">
        <f>IF(OR($J454="",$B454=""),0,IF(YEAR($B454)*12+MONTH($B454)&lt;=YEAR($C$3)*12+MONTH($C$3),$G454,0))</f>
        <v/>
      </c>
      <c r="O454" s="68">
        <f>IF(OR($J454="",$B454=""),0,IF(YEAR($B454)*12+MONTH($B454)&lt;=YEAR($C$3)*12+MONTH($C$3)-1,$G454,0))</f>
        <v/>
      </c>
      <c r="P454" s="68">
        <f>$M454-$O454</f>
        <v/>
      </c>
      <c r="Q454" s="68">
        <f>($L454-$M454)-($N454-$O454)</f>
        <v/>
      </c>
      <c r="R454" s="68">
        <f>$L454-$N454</f>
        <v/>
      </c>
      <c r="S454" s="67">
        <f>"WIP journal"</f>
        <v/>
      </c>
      <c r="T454" s="67">
        <f>IFERROR(INDEX(tbl_WIP[Revenue or Cost],$A454),"")</f>
        <v/>
      </c>
    </row>
    <row r="455">
      <c r="A455" s="65">
        <f>ROW()-407</f>
        <v/>
      </c>
      <c r="B455" s="66">
        <f>IFERROR(INDEX(tbl_WIP[Month],$A455),"")</f>
        <v/>
      </c>
      <c r="C455" s="67">
        <f>IFERROR(INDEX(tbl_WIP[Xero Invoice No],$A455),"")</f>
        <v/>
      </c>
      <c r="D455" s="67">
        <f>IFERROR(INDEX(tbl_WIP[Client],$A455),"")</f>
        <v/>
      </c>
      <c r="E455" s="67">
        <f>IFERROR(INDEX(tbl_WIP[Job Number],$A455),"")</f>
        <v/>
      </c>
      <c r="F455" s="67">
        <f>IFERROR(INDEX(tbl_WIP[Cost Centre],$A455),"")</f>
        <v/>
      </c>
      <c r="G455" s="68">
        <f>IFERROR(IF(INDEX(tbl_WIP[Defer Start],$A455)="","",IF(INDEX(tbl_WIP[Revenue or Cost],$A455)="Cost",-1,1)*INDEX(tbl_WIP[Amount],$A455)),"")</f>
        <v/>
      </c>
      <c r="H455" s="66">
        <f>IFERROR(INDEX(tbl_WIP[Defer Start],$A455),"")</f>
        <v/>
      </c>
      <c r="I455" s="66">
        <f>IFERROR(INDEX(tbl_WIP[Defer End],$A455),"")</f>
        <v/>
      </c>
      <c r="J455" s="65">
        <f>IF(OR($H455="",$I455="",$G455=""),"",MAX(1,(YEAR($I455)-YEAR($H455))*12+MONTH($I455)-MONTH($H455)+1))</f>
        <v/>
      </c>
      <c r="K455" s="68">
        <f>IF($J455="","",$G455/$J455)</f>
        <v/>
      </c>
      <c r="L455" s="68">
        <f>IF($J455="",0,$K455*MAX(0,MIN(YEAR($C$3)*12+MONTH($C$3),YEAR($I455)*12+MONTH($I455))-(YEAR($H455)*12+MONTH($H455))+1))</f>
        <v/>
      </c>
      <c r="M455" s="68">
        <f>IF($J455="",0,$K455*MAX(0,MIN(YEAR($C$3)*12+MONTH($C$3)-1,YEAR($I455)*12+MONTH($I455))-(YEAR($H455)*12+MONTH($H455))+1))</f>
        <v/>
      </c>
      <c r="N455" s="68">
        <f>IF(OR($J455="",$B455=""),0,IF(YEAR($B455)*12+MONTH($B455)&lt;=YEAR($C$3)*12+MONTH($C$3),$G455,0))</f>
        <v/>
      </c>
      <c r="O455" s="68">
        <f>IF(OR($J455="",$B455=""),0,IF(YEAR($B455)*12+MONTH($B455)&lt;=YEAR($C$3)*12+MONTH($C$3)-1,$G455,0))</f>
        <v/>
      </c>
      <c r="P455" s="68">
        <f>$M455-$O455</f>
        <v/>
      </c>
      <c r="Q455" s="68">
        <f>($L455-$M455)-($N455-$O455)</f>
        <v/>
      </c>
      <c r="R455" s="68">
        <f>$L455-$N455</f>
        <v/>
      </c>
      <c r="S455" s="67">
        <f>"WIP journal"</f>
        <v/>
      </c>
      <c r="T455" s="67">
        <f>IFERROR(INDEX(tbl_WIP[Revenue or Cost],$A455),"")</f>
        <v/>
      </c>
    </row>
    <row r="456">
      <c r="A456" s="65">
        <f>ROW()-407</f>
        <v/>
      </c>
      <c r="B456" s="66">
        <f>IFERROR(INDEX(tbl_WIP[Month],$A456),"")</f>
        <v/>
      </c>
      <c r="C456" s="67">
        <f>IFERROR(INDEX(tbl_WIP[Xero Invoice No],$A456),"")</f>
        <v/>
      </c>
      <c r="D456" s="67">
        <f>IFERROR(INDEX(tbl_WIP[Client],$A456),"")</f>
        <v/>
      </c>
      <c r="E456" s="67">
        <f>IFERROR(INDEX(tbl_WIP[Job Number],$A456),"")</f>
        <v/>
      </c>
      <c r="F456" s="67">
        <f>IFERROR(INDEX(tbl_WIP[Cost Centre],$A456),"")</f>
        <v/>
      </c>
      <c r="G456" s="68">
        <f>IFERROR(IF(INDEX(tbl_WIP[Defer Start],$A456)="","",IF(INDEX(tbl_WIP[Revenue or Cost],$A456)="Cost",-1,1)*INDEX(tbl_WIP[Amount],$A456)),"")</f>
        <v/>
      </c>
      <c r="H456" s="66">
        <f>IFERROR(INDEX(tbl_WIP[Defer Start],$A456),"")</f>
        <v/>
      </c>
      <c r="I456" s="66">
        <f>IFERROR(INDEX(tbl_WIP[Defer End],$A456),"")</f>
        <v/>
      </c>
      <c r="J456" s="65">
        <f>IF(OR($H456="",$I456="",$G456=""),"",MAX(1,(YEAR($I456)-YEAR($H456))*12+MONTH($I456)-MONTH($H456)+1))</f>
        <v/>
      </c>
      <c r="K456" s="68">
        <f>IF($J456="","",$G456/$J456)</f>
        <v/>
      </c>
      <c r="L456" s="68">
        <f>IF($J456="",0,$K456*MAX(0,MIN(YEAR($C$3)*12+MONTH($C$3),YEAR($I456)*12+MONTH($I456))-(YEAR($H456)*12+MONTH($H456))+1))</f>
        <v/>
      </c>
      <c r="M456" s="68">
        <f>IF($J456="",0,$K456*MAX(0,MIN(YEAR($C$3)*12+MONTH($C$3)-1,YEAR($I456)*12+MONTH($I456))-(YEAR($H456)*12+MONTH($H456))+1))</f>
        <v/>
      </c>
      <c r="N456" s="68">
        <f>IF(OR($J456="",$B456=""),0,IF(YEAR($B456)*12+MONTH($B456)&lt;=YEAR($C$3)*12+MONTH($C$3),$G456,0))</f>
        <v/>
      </c>
      <c r="O456" s="68">
        <f>IF(OR($J456="",$B456=""),0,IF(YEAR($B456)*12+MONTH($B456)&lt;=YEAR($C$3)*12+MONTH($C$3)-1,$G456,0))</f>
        <v/>
      </c>
      <c r="P456" s="68">
        <f>$M456-$O456</f>
        <v/>
      </c>
      <c r="Q456" s="68">
        <f>($L456-$M456)-($N456-$O456)</f>
        <v/>
      </c>
      <c r="R456" s="68">
        <f>$L456-$N456</f>
        <v/>
      </c>
      <c r="S456" s="67">
        <f>"WIP journal"</f>
        <v/>
      </c>
      <c r="T456" s="67">
        <f>IFERROR(INDEX(tbl_WIP[Revenue or Cost],$A456),"")</f>
        <v/>
      </c>
    </row>
    <row r="457">
      <c r="A457" s="65">
        <f>ROW()-407</f>
        <v/>
      </c>
      <c r="B457" s="66">
        <f>IFERROR(INDEX(tbl_WIP[Month],$A457),"")</f>
        <v/>
      </c>
      <c r="C457" s="67">
        <f>IFERROR(INDEX(tbl_WIP[Xero Invoice No],$A457),"")</f>
        <v/>
      </c>
      <c r="D457" s="67">
        <f>IFERROR(INDEX(tbl_WIP[Client],$A457),"")</f>
        <v/>
      </c>
      <c r="E457" s="67">
        <f>IFERROR(INDEX(tbl_WIP[Job Number],$A457),"")</f>
        <v/>
      </c>
      <c r="F457" s="67">
        <f>IFERROR(INDEX(tbl_WIP[Cost Centre],$A457),"")</f>
        <v/>
      </c>
      <c r="G457" s="68">
        <f>IFERROR(IF(INDEX(tbl_WIP[Defer Start],$A457)="","",IF(INDEX(tbl_WIP[Revenue or Cost],$A457)="Cost",-1,1)*INDEX(tbl_WIP[Amount],$A457)),"")</f>
        <v/>
      </c>
      <c r="H457" s="66">
        <f>IFERROR(INDEX(tbl_WIP[Defer Start],$A457),"")</f>
        <v/>
      </c>
      <c r="I457" s="66">
        <f>IFERROR(INDEX(tbl_WIP[Defer End],$A457),"")</f>
        <v/>
      </c>
      <c r="J457" s="65">
        <f>IF(OR($H457="",$I457="",$G457=""),"",MAX(1,(YEAR($I457)-YEAR($H457))*12+MONTH($I457)-MONTH($H457)+1))</f>
        <v/>
      </c>
      <c r="K457" s="68">
        <f>IF($J457="","",$G457/$J457)</f>
        <v/>
      </c>
      <c r="L457" s="68">
        <f>IF($J457="",0,$K457*MAX(0,MIN(YEAR($C$3)*12+MONTH($C$3),YEAR($I457)*12+MONTH($I457))-(YEAR($H457)*12+MONTH($H457))+1))</f>
        <v/>
      </c>
      <c r="M457" s="68">
        <f>IF($J457="",0,$K457*MAX(0,MIN(YEAR($C$3)*12+MONTH($C$3)-1,YEAR($I457)*12+MONTH($I457))-(YEAR($H457)*12+MONTH($H457))+1))</f>
        <v/>
      </c>
      <c r="N457" s="68">
        <f>IF(OR($J457="",$B457=""),0,IF(YEAR($B457)*12+MONTH($B457)&lt;=YEAR($C$3)*12+MONTH($C$3),$G457,0))</f>
        <v/>
      </c>
      <c r="O457" s="68">
        <f>IF(OR($J457="",$B457=""),0,IF(YEAR($B457)*12+MONTH($B457)&lt;=YEAR($C$3)*12+MONTH($C$3)-1,$G457,0))</f>
        <v/>
      </c>
      <c r="P457" s="68">
        <f>$M457-$O457</f>
        <v/>
      </c>
      <c r="Q457" s="68">
        <f>($L457-$M457)-($N457-$O457)</f>
        <v/>
      </c>
      <c r="R457" s="68">
        <f>$L457-$N457</f>
        <v/>
      </c>
      <c r="S457" s="67">
        <f>"WIP journal"</f>
        <v/>
      </c>
      <c r="T457" s="67">
        <f>IFERROR(INDEX(tbl_WIP[Revenue or Cost],$A457),"")</f>
        <v/>
      </c>
    </row>
    <row r="458">
      <c r="A458" s="65">
        <f>ROW()-407</f>
        <v/>
      </c>
      <c r="B458" s="66">
        <f>IFERROR(INDEX(tbl_WIP[Month],$A458),"")</f>
        <v/>
      </c>
      <c r="C458" s="67">
        <f>IFERROR(INDEX(tbl_WIP[Xero Invoice No],$A458),"")</f>
        <v/>
      </c>
      <c r="D458" s="67">
        <f>IFERROR(INDEX(tbl_WIP[Client],$A458),"")</f>
        <v/>
      </c>
      <c r="E458" s="67">
        <f>IFERROR(INDEX(tbl_WIP[Job Number],$A458),"")</f>
        <v/>
      </c>
      <c r="F458" s="67">
        <f>IFERROR(INDEX(tbl_WIP[Cost Centre],$A458),"")</f>
        <v/>
      </c>
      <c r="G458" s="68">
        <f>IFERROR(IF(INDEX(tbl_WIP[Defer Start],$A458)="","",IF(INDEX(tbl_WIP[Revenue or Cost],$A458)="Cost",-1,1)*INDEX(tbl_WIP[Amount],$A458)),"")</f>
        <v/>
      </c>
      <c r="H458" s="66">
        <f>IFERROR(INDEX(tbl_WIP[Defer Start],$A458),"")</f>
        <v/>
      </c>
      <c r="I458" s="66">
        <f>IFERROR(INDEX(tbl_WIP[Defer End],$A458),"")</f>
        <v/>
      </c>
      <c r="J458" s="65">
        <f>IF(OR($H458="",$I458="",$G458=""),"",MAX(1,(YEAR($I458)-YEAR($H458))*12+MONTH($I458)-MONTH($H458)+1))</f>
        <v/>
      </c>
      <c r="K458" s="68">
        <f>IF($J458="","",$G458/$J458)</f>
        <v/>
      </c>
      <c r="L458" s="68">
        <f>IF($J458="",0,$K458*MAX(0,MIN(YEAR($C$3)*12+MONTH($C$3),YEAR($I458)*12+MONTH($I458))-(YEAR($H458)*12+MONTH($H458))+1))</f>
        <v/>
      </c>
      <c r="M458" s="68">
        <f>IF($J458="",0,$K458*MAX(0,MIN(YEAR($C$3)*12+MONTH($C$3)-1,YEAR($I458)*12+MONTH($I458))-(YEAR($H458)*12+MONTH($H458))+1))</f>
        <v/>
      </c>
      <c r="N458" s="68">
        <f>IF(OR($J458="",$B458=""),0,IF(YEAR($B458)*12+MONTH($B458)&lt;=YEAR($C$3)*12+MONTH($C$3),$G458,0))</f>
        <v/>
      </c>
      <c r="O458" s="68">
        <f>IF(OR($J458="",$B458=""),0,IF(YEAR($B458)*12+MONTH($B458)&lt;=YEAR($C$3)*12+MONTH($C$3)-1,$G458,0))</f>
        <v/>
      </c>
      <c r="P458" s="68">
        <f>$M458-$O458</f>
        <v/>
      </c>
      <c r="Q458" s="68">
        <f>($L458-$M458)-($N458-$O458)</f>
        <v/>
      </c>
      <c r="R458" s="68">
        <f>$L458-$N458</f>
        <v/>
      </c>
      <c r="S458" s="67">
        <f>"WIP journal"</f>
        <v/>
      </c>
      <c r="T458" s="67">
        <f>IFERROR(INDEX(tbl_WIP[Revenue or Cost],$A458),"")</f>
        <v/>
      </c>
    </row>
    <row r="459">
      <c r="A459" s="65">
        <f>ROW()-407</f>
        <v/>
      </c>
      <c r="B459" s="66">
        <f>IFERROR(INDEX(tbl_WIP[Month],$A459),"")</f>
        <v/>
      </c>
      <c r="C459" s="67">
        <f>IFERROR(INDEX(tbl_WIP[Xero Invoice No],$A459),"")</f>
        <v/>
      </c>
      <c r="D459" s="67">
        <f>IFERROR(INDEX(tbl_WIP[Client],$A459),"")</f>
        <v/>
      </c>
      <c r="E459" s="67">
        <f>IFERROR(INDEX(tbl_WIP[Job Number],$A459),"")</f>
        <v/>
      </c>
      <c r="F459" s="67">
        <f>IFERROR(INDEX(tbl_WIP[Cost Centre],$A459),"")</f>
        <v/>
      </c>
      <c r="G459" s="68">
        <f>IFERROR(IF(INDEX(tbl_WIP[Defer Start],$A459)="","",IF(INDEX(tbl_WIP[Revenue or Cost],$A459)="Cost",-1,1)*INDEX(tbl_WIP[Amount],$A459)),"")</f>
        <v/>
      </c>
      <c r="H459" s="66">
        <f>IFERROR(INDEX(tbl_WIP[Defer Start],$A459),"")</f>
        <v/>
      </c>
      <c r="I459" s="66">
        <f>IFERROR(INDEX(tbl_WIP[Defer End],$A459),"")</f>
        <v/>
      </c>
      <c r="J459" s="65">
        <f>IF(OR($H459="",$I459="",$G459=""),"",MAX(1,(YEAR($I459)-YEAR($H459))*12+MONTH($I459)-MONTH($H459)+1))</f>
        <v/>
      </c>
      <c r="K459" s="68">
        <f>IF($J459="","",$G459/$J459)</f>
        <v/>
      </c>
      <c r="L459" s="68">
        <f>IF($J459="",0,$K459*MAX(0,MIN(YEAR($C$3)*12+MONTH($C$3),YEAR($I459)*12+MONTH($I459))-(YEAR($H459)*12+MONTH($H459))+1))</f>
        <v/>
      </c>
      <c r="M459" s="68">
        <f>IF($J459="",0,$K459*MAX(0,MIN(YEAR($C$3)*12+MONTH($C$3)-1,YEAR($I459)*12+MONTH($I459))-(YEAR($H459)*12+MONTH($H459))+1))</f>
        <v/>
      </c>
      <c r="N459" s="68">
        <f>IF(OR($J459="",$B459=""),0,IF(YEAR($B459)*12+MONTH($B459)&lt;=YEAR($C$3)*12+MONTH($C$3),$G459,0))</f>
        <v/>
      </c>
      <c r="O459" s="68">
        <f>IF(OR($J459="",$B459=""),0,IF(YEAR($B459)*12+MONTH($B459)&lt;=YEAR($C$3)*12+MONTH($C$3)-1,$G459,0))</f>
        <v/>
      </c>
      <c r="P459" s="68">
        <f>$M459-$O459</f>
        <v/>
      </c>
      <c r="Q459" s="68">
        <f>($L459-$M459)-($N459-$O459)</f>
        <v/>
      </c>
      <c r="R459" s="68">
        <f>$L459-$N459</f>
        <v/>
      </c>
      <c r="S459" s="67">
        <f>"WIP journal"</f>
        <v/>
      </c>
      <c r="T459" s="67">
        <f>IFERROR(INDEX(tbl_WIP[Revenue or Cost],$A459),"")</f>
        <v/>
      </c>
    </row>
    <row r="460">
      <c r="A460" s="65">
        <f>ROW()-407</f>
        <v/>
      </c>
      <c r="B460" s="66">
        <f>IFERROR(INDEX(tbl_WIP[Month],$A460),"")</f>
        <v/>
      </c>
      <c r="C460" s="67">
        <f>IFERROR(INDEX(tbl_WIP[Xero Invoice No],$A460),"")</f>
        <v/>
      </c>
      <c r="D460" s="67">
        <f>IFERROR(INDEX(tbl_WIP[Client],$A460),"")</f>
        <v/>
      </c>
      <c r="E460" s="67">
        <f>IFERROR(INDEX(tbl_WIP[Job Number],$A460),"")</f>
        <v/>
      </c>
      <c r="F460" s="67">
        <f>IFERROR(INDEX(tbl_WIP[Cost Centre],$A460),"")</f>
        <v/>
      </c>
      <c r="G460" s="68">
        <f>IFERROR(IF(INDEX(tbl_WIP[Defer Start],$A460)="","",IF(INDEX(tbl_WIP[Revenue or Cost],$A460)="Cost",-1,1)*INDEX(tbl_WIP[Amount],$A460)),"")</f>
        <v/>
      </c>
      <c r="H460" s="66">
        <f>IFERROR(INDEX(tbl_WIP[Defer Start],$A460),"")</f>
        <v/>
      </c>
      <c r="I460" s="66">
        <f>IFERROR(INDEX(tbl_WIP[Defer End],$A460),"")</f>
        <v/>
      </c>
      <c r="J460" s="65">
        <f>IF(OR($H460="",$I460="",$G460=""),"",MAX(1,(YEAR($I460)-YEAR($H460))*12+MONTH($I460)-MONTH($H460)+1))</f>
        <v/>
      </c>
      <c r="K460" s="68">
        <f>IF($J460="","",$G460/$J460)</f>
        <v/>
      </c>
      <c r="L460" s="68">
        <f>IF($J460="",0,$K460*MAX(0,MIN(YEAR($C$3)*12+MONTH($C$3),YEAR($I460)*12+MONTH($I460))-(YEAR($H460)*12+MONTH($H460))+1))</f>
        <v/>
      </c>
      <c r="M460" s="68">
        <f>IF($J460="",0,$K460*MAX(0,MIN(YEAR($C$3)*12+MONTH($C$3)-1,YEAR($I460)*12+MONTH($I460))-(YEAR($H460)*12+MONTH($H460))+1))</f>
        <v/>
      </c>
      <c r="N460" s="68">
        <f>IF(OR($J460="",$B460=""),0,IF(YEAR($B460)*12+MONTH($B460)&lt;=YEAR($C$3)*12+MONTH($C$3),$G460,0))</f>
        <v/>
      </c>
      <c r="O460" s="68">
        <f>IF(OR($J460="",$B460=""),0,IF(YEAR($B460)*12+MONTH($B460)&lt;=YEAR($C$3)*12+MONTH($C$3)-1,$G460,0))</f>
        <v/>
      </c>
      <c r="P460" s="68">
        <f>$M460-$O460</f>
        <v/>
      </c>
      <c r="Q460" s="68">
        <f>($L460-$M460)-($N460-$O460)</f>
        <v/>
      </c>
      <c r="R460" s="68">
        <f>$L460-$N460</f>
        <v/>
      </c>
      <c r="S460" s="67">
        <f>"WIP journal"</f>
        <v/>
      </c>
      <c r="T460" s="67">
        <f>IFERROR(INDEX(tbl_WIP[Revenue or Cost],$A460),"")</f>
        <v/>
      </c>
    </row>
    <row r="461">
      <c r="A461" s="65">
        <f>ROW()-407</f>
        <v/>
      </c>
      <c r="B461" s="66">
        <f>IFERROR(INDEX(tbl_WIP[Month],$A461),"")</f>
        <v/>
      </c>
      <c r="C461" s="67">
        <f>IFERROR(INDEX(tbl_WIP[Xero Invoice No],$A461),"")</f>
        <v/>
      </c>
      <c r="D461" s="67">
        <f>IFERROR(INDEX(tbl_WIP[Client],$A461),"")</f>
        <v/>
      </c>
      <c r="E461" s="67">
        <f>IFERROR(INDEX(tbl_WIP[Job Number],$A461),"")</f>
        <v/>
      </c>
      <c r="F461" s="67">
        <f>IFERROR(INDEX(tbl_WIP[Cost Centre],$A461),"")</f>
        <v/>
      </c>
      <c r="G461" s="68">
        <f>IFERROR(IF(INDEX(tbl_WIP[Defer Start],$A461)="","",IF(INDEX(tbl_WIP[Revenue or Cost],$A461)="Cost",-1,1)*INDEX(tbl_WIP[Amount],$A461)),"")</f>
        <v/>
      </c>
      <c r="H461" s="66">
        <f>IFERROR(INDEX(tbl_WIP[Defer Start],$A461),"")</f>
        <v/>
      </c>
      <c r="I461" s="66">
        <f>IFERROR(INDEX(tbl_WIP[Defer End],$A461),"")</f>
        <v/>
      </c>
      <c r="J461" s="65">
        <f>IF(OR($H461="",$I461="",$G461=""),"",MAX(1,(YEAR($I461)-YEAR($H461))*12+MONTH($I461)-MONTH($H461)+1))</f>
        <v/>
      </c>
      <c r="K461" s="68">
        <f>IF($J461="","",$G461/$J461)</f>
        <v/>
      </c>
      <c r="L461" s="68">
        <f>IF($J461="",0,$K461*MAX(0,MIN(YEAR($C$3)*12+MONTH($C$3),YEAR($I461)*12+MONTH($I461))-(YEAR($H461)*12+MONTH($H461))+1))</f>
        <v/>
      </c>
      <c r="M461" s="68">
        <f>IF($J461="",0,$K461*MAX(0,MIN(YEAR($C$3)*12+MONTH($C$3)-1,YEAR($I461)*12+MONTH($I461))-(YEAR($H461)*12+MONTH($H461))+1))</f>
        <v/>
      </c>
      <c r="N461" s="68">
        <f>IF(OR($J461="",$B461=""),0,IF(YEAR($B461)*12+MONTH($B461)&lt;=YEAR($C$3)*12+MONTH($C$3),$G461,0))</f>
        <v/>
      </c>
      <c r="O461" s="68">
        <f>IF(OR($J461="",$B461=""),0,IF(YEAR($B461)*12+MONTH($B461)&lt;=YEAR($C$3)*12+MONTH($C$3)-1,$G461,0))</f>
        <v/>
      </c>
      <c r="P461" s="68">
        <f>$M461-$O461</f>
        <v/>
      </c>
      <c r="Q461" s="68">
        <f>($L461-$M461)-($N461-$O461)</f>
        <v/>
      </c>
      <c r="R461" s="68">
        <f>$L461-$N461</f>
        <v/>
      </c>
      <c r="S461" s="67">
        <f>"WIP journal"</f>
        <v/>
      </c>
      <c r="T461" s="67">
        <f>IFERROR(INDEX(tbl_WIP[Revenue or Cost],$A461),"")</f>
        <v/>
      </c>
    </row>
    <row r="462">
      <c r="A462" s="65">
        <f>ROW()-407</f>
        <v/>
      </c>
      <c r="B462" s="66">
        <f>IFERROR(INDEX(tbl_WIP[Month],$A462),"")</f>
        <v/>
      </c>
      <c r="C462" s="67">
        <f>IFERROR(INDEX(tbl_WIP[Xero Invoice No],$A462),"")</f>
        <v/>
      </c>
      <c r="D462" s="67">
        <f>IFERROR(INDEX(tbl_WIP[Client],$A462),"")</f>
        <v/>
      </c>
      <c r="E462" s="67">
        <f>IFERROR(INDEX(tbl_WIP[Job Number],$A462),"")</f>
        <v/>
      </c>
      <c r="F462" s="67">
        <f>IFERROR(INDEX(tbl_WIP[Cost Centre],$A462),"")</f>
        <v/>
      </c>
      <c r="G462" s="68">
        <f>IFERROR(IF(INDEX(tbl_WIP[Defer Start],$A462)="","",IF(INDEX(tbl_WIP[Revenue or Cost],$A462)="Cost",-1,1)*INDEX(tbl_WIP[Amount],$A462)),"")</f>
        <v/>
      </c>
      <c r="H462" s="66">
        <f>IFERROR(INDEX(tbl_WIP[Defer Start],$A462),"")</f>
        <v/>
      </c>
      <c r="I462" s="66">
        <f>IFERROR(INDEX(tbl_WIP[Defer End],$A462),"")</f>
        <v/>
      </c>
      <c r="J462" s="65">
        <f>IF(OR($H462="",$I462="",$G462=""),"",MAX(1,(YEAR($I462)-YEAR($H462))*12+MONTH($I462)-MONTH($H462)+1))</f>
        <v/>
      </c>
      <c r="K462" s="68">
        <f>IF($J462="","",$G462/$J462)</f>
        <v/>
      </c>
      <c r="L462" s="68">
        <f>IF($J462="",0,$K462*MAX(0,MIN(YEAR($C$3)*12+MONTH($C$3),YEAR($I462)*12+MONTH($I462))-(YEAR($H462)*12+MONTH($H462))+1))</f>
        <v/>
      </c>
      <c r="M462" s="68">
        <f>IF($J462="",0,$K462*MAX(0,MIN(YEAR($C$3)*12+MONTH($C$3)-1,YEAR($I462)*12+MONTH($I462))-(YEAR($H462)*12+MONTH($H462))+1))</f>
        <v/>
      </c>
      <c r="N462" s="68">
        <f>IF(OR($J462="",$B462=""),0,IF(YEAR($B462)*12+MONTH($B462)&lt;=YEAR($C$3)*12+MONTH($C$3),$G462,0))</f>
        <v/>
      </c>
      <c r="O462" s="68">
        <f>IF(OR($J462="",$B462=""),0,IF(YEAR($B462)*12+MONTH($B462)&lt;=YEAR($C$3)*12+MONTH($C$3)-1,$G462,0))</f>
        <v/>
      </c>
      <c r="P462" s="68">
        <f>$M462-$O462</f>
        <v/>
      </c>
      <c r="Q462" s="68">
        <f>($L462-$M462)-($N462-$O462)</f>
        <v/>
      </c>
      <c r="R462" s="68">
        <f>$L462-$N462</f>
        <v/>
      </c>
      <c r="S462" s="67">
        <f>"WIP journal"</f>
        <v/>
      </c>
      <c r="T462" s="67">
        <f>IFERROR(INDEX(tbl_WIP[Revenue or Cost],$A462),"")</f>
        <v/>
      </c>
    </row>
    <row r="463">
      <c r="A463" s="65">
        <f>ROW()-407</f>
        <v/>
      </c>
      <c r="B463" s="66">
        <f>IFERROR(INDEX(tbl_WIP[Month],$A463),"")</f>
        <v/>
      </c>
      <c r="C463" s="67">
        <f>IFERROR(INDEX(tbl_WIP[Xero Invoice No],$A463),"")</f>
        <v/>
      </c>
      <c r="D463" s="67">
        <f>IFERROR(INDEX(tbl_WIP[Client],$A463),"")</f>
        <v/>
      </c>
      <c r="E463" s="67">
        <f>IFERROR(INDEX(tbl_WIP[Job Number],$A463),"")</f>
        <v/>
      </c>
      <c r="F463" s="67">
        <f>IFERROR(INDEX(tbl_WIP[Cost Centre],$A463),"")</f>
        <v/>
      </c>
      <c r="G463" s="68">
        <f>IFERROR(IF(INDEX(tbl_WIP[Defer Start],$A463)="","",IF(INDEX(tbl_WIP[Revenue or Cost],$A463)="Cost",-1,1)*INDEX(tbl_WIP[Amount],$A463)),"")</f>
        <v/>
      </c>
      <c r="H463" s="66">
        <f>IFERROR(INDEX(tbl_WIP[Defer Start],$A463),"")</f>
        <v/>
      </c>
      <c r="I463" s="66">
        <f>IFERROR(INDEX(tbl_WIP[Defer End],$A463),"")</f>
        <v/>
      </c>
      <c r="J463" s="65">
        <f>IF(OR($H463="",$I463="",$G463=""),"",MAX(1,(YEAR($I463)-YEAR($H463))*12+MONTH($I463)-MONTH($H463)+1))</f>
        <v/>
      </c>
      <c r="K463" s="68">
        <f>IF($J463="","",$G463/$J463)</f>
        <v/>
      </c>
      <c r="L463" s="68">
        <f>IF($J463="",0,$K463*MAX(0,MIN(YEAR($C$3)*12+MONTH($C$3),YEAR($I463)*12+MONTH($I463))-(YEAR($H463)*12+MONTH($H463))+1))</f>
        <v/>
      </c>
      <c r="M463" s="68">
        <f>IF($J463="",0,$K463*MAX(0,MIN(YEAR($C$3)*12+MONTH($C$3)-1,YEAR($I463)*12+MONTH($I463))-(YEAR($H463)*12+MONTH($H463))+1))</f>
        <v/>
      </c>
      <c r="N463" s="68">
        <f>IF(OR($J463="",$B463=""),0,IF(YEAR($B463)*12+MONTH($B463)&lt;=YEAR($C$3)*12+MONTH($C$3),$G463,0))</f>
        <v/>
      </c>
      <c r="O463" s="68">
        <f>IF(OR($J463="",$B463=""),0,IF(YEAR($B463)*12+MONTH($B463)&lt;=YEAR($C$3)*12+MONTH($C$3)-1,$G463,0))</f>
        <v/>
      </c>
      <c r="P463" s="68">
        <f>$M463-$O463</f>
        <v/>
      </c>
      <c r="Q463" s="68">
        <f>($L463-$M463)-($N463-$O463)</f>
        <v/>
      </c>
      <c r="R463" s="68">
        <f>$L463-$N463</f>
        <v/>
      </c>
      <c r="S463" s="67">
        <f>"WIP journal"</f>
        <v/>
      </c>
      <c r="T463" s="67">
        <f>IFERROR(INDEX(tbl_WIP[Revenue or Cost],$A463),"")</f>
        <v/>
      </c>
    </row>
    <row r="464">
      <c r="A464" s="65">
        <f>ROW()-407</f>
        <v/>
      </c>
      <c r="B464" s="66">
        <f>IFERROR(INDEX(tbl_WIP[Month],$A464),"")</f>
        <v/>
      </c>
      <c r="C464" s="67">
        <f>IFERROR(INDEX(tbl_WIP[Xero Invoice No],$A464),"")</f>
        <v/>
      </c>
      <c r="D464" s="67">
        <f>IFERROR(INDEX(tbl_WIP[Client],$A464),"")</f>
        <v/>
      </c>
      <c r="E464" s="67">
        <f>IFERROR(INDEX(tbl_WIP[Job Number],$A464),"")</f>
        <v/>
      </c>
      <c r="F464" s="67">
        <f>IFERROR(INDEX(tbl_WIP[Cost Centre],$A464),"")</f>
        <v/>
      </c>
      <c r="G464" s="68">
        <f>IFERROR(IF(INDEX(tbl_WIP[Defer Start],$A464)="","",IF(INDEX(tbl_WIP[Revenue or Cost],$A464)="Cost",-1,1)*INDEX(tbl_WIP[Amount],$A464)),"")</f>
        <v/>
      </c>
      <c r="H464" s="66">
        <f>IFERROR(INDEX(tbl_WIP[Defer Start],$A464),"")</f>
        <v/>
      </c>
      <c r="I464" s="66">
        <f>IFERROR(INDEX(tbl_WIP[Defer End],$A464),"")</f>
        <v/>
      </c>
      <c r="J464" s="65">
        <f>IF(OR($H464="",$I464="",$G464=""),"",MAX(1,(YEAR($I464)-YEAR($H464))*12+MONTH($I464)-MONTH($H464)+1))</f>
        <v/>
      </c>
      <c r="K464" s="68">
        <f>IF($J464="","",$G464/$J464)</f>
        <v/>
      </c>
      <c r="L464" s="68">
        <f>IF($J464="",0,$K464*MAX(0,MIN(YEAR($C$3)*12+MONTH($C$3),YEAR($I464)*12+MONTH($I464))-(YEAR($H464)*12+MONTH($H464))+1))</f>
        <v/>
      </c>
      <c r="M464" s="68">
        <f>IF($J464="",0,$K464*MAX(0,MIN(YEAR($C$3)*12+MONTH($C$3)-1,YEAR($I464)*12+MONTH($I464))-(YEAR($H464)*12+MONTH($H464))+1))</f>
        <v/>
      </c>
      <c r="N464" s="68">
        <f>IF(OR($J464="",$B464=""),0,IF(YEAR($B464)*12+MONTH($B464)&lt;=YEAR($C$3)*12+MONTH($C$3),$G464,0))</f>
        <v/>
      </c>
      <c r="O464" s="68">
        <f>IF(OR($J464="",$B464=""),0,IF(YEAR($B464)*12+MONTH($B464)&lt;=YEAR($C$3)*12+MONTH($C$3)-1,$G464,0))</f>
        <v/>
      </c>
      <c r="P464" s="68">
        <f>$M464-$O464</f>
        <v/>
      </c>
      <c r="Q464" s="68">
        <f>($L464-$M464)-($N464-$O464)</f>
        <v/>
      </c>
      <c r="R464" s="68">
        <f>$L464-$N464</f>
        <v/>
      </c>
      <c r="S464" s="67">
        <f>"WIP journal"</f>
        <v/>
      </c>
      <c r="T464" s="67">
        <f>IFERROR(INDEX(tbl_WIP[Revenue or Cost],$A464),"")</f>
        <v/>
      </c>
    </row>
    <row r="465">
      <c r="A465" s="65">
        <f>ROW()-407</f>
        <v/>
      </c>
      <c r="B465" s="66">
        <f>IFERROR(INDEX(tbl_WIP[Month],$A465),"")</f>
        <v/>
      </c>
      <c r="C465" s="67">
        <f>IFERROR(INDEX(tbl_WIP[Xero Invoice No],$A465),"")</f>
        <v/>
      </c>
      <c r="D465" s="67">
        <f>IFERROR(INDEX(tbl_WIP[Client],$A465),"")</f>
        <v/>
      </c>
      <c r="E465" s="67">
        <f>IFERROR(INDEX(tbl_WIP[Job Number],$A465),"")</f>
        <v/>
      </c>
      <c r="F465" s="67">
        <f>IFERROR(INDEX(tbl_WIP[Cost Centre],$A465),"")</f>
        <v/>
      </c>
      <c r="G465" s="68">
        <f>IFERROR(IF(INDEX(tbl_WIP[Defer Start],$A465)="","",IF(INDEX(tbl_WIP[Revenue or Cost],$A465)="Cost",-1,1)*INDEX(tbl_WIP[Amount],$A465)),"")</f>
        <v/>
      </c>
      <c r="H465" s="66">
        <f>IFERROR(INDEX(tbl_WIP[Defer Start],$A465),"")</f>
        <v/>
      </c>
      <c r="I465" s="66">
        <f>IFERROR(INDEX(tbl_WIP[Defer End],$A465),"")</f>
        <v/>
      </c>
      <c r="J465" s="65">
        <f>IF(OR($H465="",$I465="",$G465=""),"",MAX(1,(YEAR($I465)-YEAR($H465))*12+MONTH($I465)-MONTH($H465)+1))</f>
        <v/>
      </c>
      <c r="K465" s="68">
        <f>IF($J465="","",$G465/$J465)</f>
        <v/>
      </c>
      <c r="L465" s="68">
        <f>IF($J465="",0,$K465*MAX(0,MIN(YEAR($C$3)*12+MONTH($C$3),YEAR($I465)*12+MONTH($I465))-(YEAR($H465)*12+MONTH($H465))+1))</f>
        <v/>
      </c>
      <c r="M465" s="68">
        <f>IF($J465="",0,$K465*MAX(0,MIN(YEAR($C$3)*12+MONTH($C$3)-1,YEAR($I465)*12+MONTH($I465))-(YEAR($H465)*12+MONTH($H465))+1))</f>
        <v/>
      </c>
      <c r="N465" s="68">
        <f>IF(OR($J465="",$B465=""),0,IF(YEAR($B465)*12+MONTH($B465)&lt;=YEAR($C$3)*12+MONTH($C$3),$G465,0))</f>
        <v/>
      </c>
      <c r="O465" s="68">
        <f>IF(OR($J465="",$B465=""),0,IF(YEAR($B465)*12+MONTH($B465)&lt;=YEAR($C$3)*12+MONTH($C$3)-1,$G465,0))</f>
        <v/>
      </c>
      <c r="P465" s="68">
        <f>$M465-$O465</f>
        <v/>
      </c>
      <c r="Q465" s="68">
        <f>($L465-$M465)-($N465-$O465)</f>
        <v/>
      </c>
      <c r="R465" s="68">
        <f>$L465-$N465</f>
        <v/>
      </c>
      <c r="S465" s="67">
        <f>"WIP journal"</f>
        <v/>
      </c>
      <c r="T465" s="67">
        <f>IFERROR(INDEX(tbl_WIP[Revenue or Cost],$A465),"")</f>
        <v/>
      </c>
    </row>
    <row r="466">
      <c r="A466" s="65">
        <f>ROW()-407</f>
        <v/>
      </c>
      <c r="B466" s="66">
        <f>IFERROR(INDEX(tbl_WIP[Month],$A466),"")</f>
        <v/>
      </c>
      <c r="C466" s="67">
        <f>IFERROR(INDEX(tbl_WIP[Xero Invoice No],$A466),"")</f>
        <v/>
      </c>
      <c r="D466" s="67">
        <f>IFERROR(INDEX(tbl_WIP[Client],$A466),"")</f>
        <v/>
      </c>
      <c r="E466" s="67">
        <f>IFERROR(INDEX(tbl_WIP[Job Number],$A466),"")</f>
        <v/>
      </c>
      <c r="F466" s="67">
        <f>IFERROR(INDEX(tbl_WIP[Cost Centre],$A466),"")</f>
        <v/>
      </c>
      <c r="G466" s="68">
        <f>IFERROR(IF(INDEX(tbl_WIP[Defer Start],$A466)="","",IF(INDEX(tbl_WIP[Revenue or Cost],$A466)="Cost",-1,1)*INDEX(tbl_WIP[Amount],$A466)),"")</f>
        <v/>
      </c>
      <c r="H466" s="66">
        <f>IFERROR(INDEX(tbl_WIP[Defer Start],$A466),"")</f>
        <v/>
      </c>
      <c r="I466" s="66">
        <f>IFERROR(INDEX(tbl_WIP[Defer End],$A466),"")</f>
        <v/>
      </c>
      <c r="J466" s="65">
        <f>IF(OR($H466="",$I466="",$G466=""),"",MAX(1,(YEAR($I466)-YEAR($H466))*12+MONTH($I466)-MONTH($H466)+1))</f>
        <v/>
      </c>
      <c r="K466" s="68">
        <f>IF($J466="","",$G466/$J466)</f>
        <v/>
      </c>
      <c r="L466" s="68">
        <f>IF($J466="",0,$K466*MAX(0,MIN(YEAR($C$3)*12+MONTH($C$3),YEAR($I466)*12+MONTH($I466))-(YEAR($H466)*12+MONTH($H466))+1))</f>
        <v/>
      </c>
      <c r="M466" s="68">
        <f>IF($J466="",0,$K466*MAX(0,MIN(YEAR($C$3)*12+MONTH($C$3)-1,YEAR($I466)*12+MONTH($I466))-(YEAR($H466)*12+MONTH($H466))+1))</f>
        <v/>
      </c>
      <c r="N466" s="68">
        <f>IF(OR($J466="",$B466=""),0,IF(YEAR($B466)*12+MONTH($B466)&lt;=YEAR($C$3)*12+MONTH($C$3),$G466,0))</f>
        <v/>
      </c>
      <c r="O466" s="68">
        <f>IF(OR($J466="",$B466=""),0,IF(YEAR($B466)*12+MONTH($B466)&lt;=YEAR($C$3)*12+MONTH($C$3)-1,$G466,0))</f>
        <v/>
      </c>
      <c r="P466" s="68">
        <f>$M466-$O466</f>
        <v/>
      </c>
      <c r="Q466" s="68">
        <f>($L466-$M466)-($N466-$O466)</f>
        <v/>
      </c>
      <c r="R466" s="68">
        <f>$L466-$N466</f>
        <v/>
      </c>
      <c r="S466" s="67">
        <f>"WIP journal"</f>
        <v/>
      </c>
      <c r="T466" s="67">
        <f>IFERROR(INDEX(tbl_WIP[Revenue or Cost],$A466),"")</f>
        <v/>
      </c>
    </row>
    <row r="467">
      <c r="A467" s="65">
        <f>ROW()-407</f>
        <v/>
      </c>
      <c r="B467" s="66">
        <f>IFERROR(INDEX(tbl_WIP[Month],$A467),"")</f>
        <v/>
      </c>
      <c r="C467" s="67">
        <f>IFERROR(INDEX(tbl_WIP[Xero Invoice No],$A467),"")</f>
        <v/>
      </c>
      <c r="D467" s="67">
        <f>IFERROR(INDEX(tbl_WIP[Client],$A467),"")</f>
        <v/>
      </c>
      <c r="E467" s="67">
        <f>IFERROR(INDEX(tbl_WIP[Job Number],$A467),"")</f>
        <v/>
      </c>
      <c r="F467" s="67">
        <f>IFERROR(INDEX(tbl_WIP[Cost Centre],$A467),"")</f>
        <v/>
      </c>
      <c r="G467" s="68">
        <f>IFERROR(IF(INDEX(tbl_WIP[Defer Start],$A467)="","",IF(INDEX(tbl_WIP[Revenue or Cost],$A467)="Cost",-1,1)*INDEX(tbl_WIP[Amount],$A467)),"")</f>
        <v/>
      </c>
      <c r="H467" s="66">
        <f>IFERROR(INDEX(tbl_WIP[Defer Start],$A467),"")</f>
        <v/>
      </c>
      <c r="I467" s="66">
        <f>IFERROR(INDEX(tbl_WIP[Defer End],$A467),"")</f>
        <v/>
      </c>
      <c r="J467" s="65">
        <f>IF(OR($H467="",$I467="",$G467=""),"",MAX(1,(YEAR($I467)-YEAR($H467))*12+MONTH($I467)-MONTH($H467)+1))</f>
        <v/>
      </c>
      <c r="K467" s="68">
        <f>IF($J467="","",$G467/$J467)</f>
        <v/>
      </c>
      <c r="L467" s="68">
        <f>IF($J467="",0,$K467*MAX(0,MIN(YEAR($C$3)*12+MONTH($C$3),YEAR($I467)*12+MONTH($I467))-(YEAR($H467)*12+MONTH($H467))+1))</f>
        <v/>
      </c>
      <c r="M467" s="68">
        <f>IF($J467="",0,$K467*MAX(0,MIN(YEAR($C$3)*12+MONTH($C$3)-1,YEAR($I467)*12+MONTH($I467))-(YEAR($H467)*12+MONTH($H467))+1))</f>
        <v/>
      </c>
      <c r="N467" s="68">
        <f>IF(OR($J467="",$B467=""),0,IF(YEAR($B467)*12+MONTH($B467)&lt;=YEAR($C$3)*12+MONTH($C$3),$G467,0))</f>
        <v/>
      </c>
      <c r="O467" s="68">
        <f>IF(OR($J467="",$B467=""),0,IF(YEAR($B467)*12+MONTH($B467)&lt;=YEAR($C$3)*12+MONTH($C$3)-1,$G467,0))</f>
        <v/>
      </c>
      <c r="P467" s="68">
        <f>$M467-$O467</f>
        <v/>
      </c>
      <c r="Q467" s="68">
        <f>($L467-$M467)-($N467-$O467)</f>
        <v/>
      </c>
      <c r="R467" s="68">
        <f>$L467-$N467</f>
        <v/>
      </c>
      <c r="S467" s="67">
        <f>"WIP journal"</f>
        <v/>
      </c>
      <c r="T467" s="67">
        <f>IFERROR(INDEX(tbl_WIP[Revenue or Cost],$A467),"")</f>
        <v/>
      </c>
    </row>
    <row r="468">
      <c r="A468" s="65">
        <f>ROW()-407</f>
        <v/>
      </c>
      <c r="B468" s="66">
        <f>IFERROR(INDEX(tbl_WIP[Month],$A468),"")</f>
        <v/>
      </c>
      <c r="C468" s="67">
        <f>IFERROR(INDEX(tbl_WIP[Xero Invoice No],$A468),"")</f>
        <v/>
      </c>
      <c r="D468" s="67">
        <f>IFERROR(INDEX(tbl_WIP[Client],$A468),"")</f>
        <v/>
      </c>
      <c r="E468" s="67">
        <f>IFERROR(INDEX(tbl_WIP[Job Number],$A468),"")</f>
        <v/>
      </c>
      <c r="F468" s="67">
        <f>IFERROR(INDEX(tbl_WIP[Cost Centre],$A468),"")</f>
        <v/>
      </c>
      <c r="G468" s="68">
        <f>IFERROR(IF(INDEX(tbl_WIP[Defer Start],$A468)="","",IF(INDEX(tbl_WIP[Revenue or Cost],$A468)="Cost",-1,1)*INDEX(tbl_WIP[Amount],$A468)),"")</f>
        <v/>
      </c>
      <c r="H468" s="66">
        <f>IFERROR(INDEX(tbl_WIP[Defer Start],$A468),"")</f>
        <v/>
      </c>
      <c r="I468" s="66">
        <f>IFERROR(INDEX(tbl_WIP[Defer End],$A468),"")</f>
        <v/>
      </c>
      <c r="J468" s="65">
        <f>IF(OR($H468="",$I468="",$G468=""),"",MAX(1,(YEAR($I468)-YEAR($H468))*12+MONTH($I468)-MONTH($H468)+1))</f>
        <v/>
      </c>
      <c r="K468" s="68">
        <f>IF($J468="","",$G468/$J468)</f>
        <v/>
      </c>
      <c r="L468" s="68">
        <f>IF($J468="",0,$K468*MAX(0,MIN(YEAR($C$3)*12+MONTH($C$3),YEAR($I468)*12+MONTH($I468))-(YEAR($H468)*12+MONTH($H468))+1))</f>
        <v/>
      </c>
      <c r="M468" s="68">
        <f>IF($J468="",0,$K468*MAX(0,MIN(YEAR($C$3)*12+MONTH($C$3)-1,YEAR($I468)*12+MONTH($I468))-(YEAR($H468)*12+MONTH($H468))+1))</f>
        <v/>
      </c>
      <c r="N468" s="68">
        <f>IF(OR($J468="",$B468=""),0,IF(YEAR($B468)*12+MONTH($B468)&lt;=YEAR($C$3)*12+MONTH($C$3),$G468,0))</f>
        <v/>
      </c>
      <c r="O468" s="68">
        <f>IF(OR($J468="",$B468=""),0,IF(YEAR($B468)*12+MONTH($B468)&lt;=YEAR($C$3)*12+MONTH($C$3)-1,$G468,0))</f>
        <v/>
      </c>
      <c r="P468" s="68">
        <f>$M468-$O468</f>
        <v/>
      </c>
      <c r="Q468" s="68">
        <f>($L468-$M468)-($N468-$O468)</f>
        <v/>
      </c>
      <c r="R468" s="68">
        <f>$L468-$N468</f>
        <v/>
      </c>
      <c r="S468" s="67">
        <f>"WIP journal"</f>
        <v/>
      </c>
      <c r="T468" s="67">
        <f>IFERROR(INDEX(tbl_WIP[Revenue or Cost],$A468),"")</f>
        <v/>
      </c>
    </row>
    <row r="469">
      <c r="A469" s="65">
        <f>ROW()-407</f>
        <v/>
      </c>
      <c r="B469" s="66">
        <f>IFERROR(INDEX(tbl_WIP[Month],$A469),"")</f>
        <v/>
      </c>
      <c r="C469" s="67">
        <f>IFERROR(INDEX(tbl_WIP[Xero Invoice No],$A469),"")</f>
        <v/>
      </c>
      <c r="D469" s="67">
        <f>IFERROR(INDEX(tbl_WIP[Client],$A469),"")</f>
        <v/>
      </c>
      <c r="E469" s="67">
        <f>IFERROR(INDEX(tbl_WIP[Job Number],$A469),"")</f>
        <v/>
      </c>
      <c r="F469" s="67">
        <f>IFERROR(INDEX(tbl_WIP[Cost Centre],$A469),"")</f>
        <v/>
      </c>
      <c r="G469" s="68">
        <f>IFERROR(IF(INDEX(tbl_WIP[Defer Start],$A469)="","",IF(INDEX(tbl_WIP[Revenue or Cost],$A469)="Cost",-1,1)*INDEX(tbl_WIP[Amount],$A469)),"")</f>
        <v/>
      </c>
      <c r="H469" s="66">
        <f>IFERROR(INDEX(tbl_WIP[Defer Start],$A469),"")</f>
        <v/>
      </c>
      <c r="I469" s="66">
        <f>IFERROR(INDEX(tbl_WIP[Defer End],$A469),"")</f>
        <v/>
      </c>
      <c r="J469" s="65">
        <f>IF(OR($H469="",$I469="",$G469=""),"",MAX(1,(YEAR($I469)-YEAR($H469))*12+MONTH($I469)-MONTH($H469)+1))</f>
        <v/>
      </c>
      <c r="K469" s="68">
        <f>IF($J469="","",$G469/$J469)</f>
        <v/>
      </c>
      <c r="L469" s="68">
        <f>IF($J469="",0,$K469*MAX(0,MIN(YEAR($C$3)*12+MONTH($C$3),YEAR($I469)*12+MONTH($I469))-(YEAR($H469)*12+MONTH($H469))+1))</f>
        <v/>
      </c>
      <c r="M469" s="68">
        <f>IF($J469="",0,$K469*MAX(0,MIN(YEAR($C$3)*12+MONTH($C$3)-1,YEAR($I469)*12+MONTH($I469))-(YEAR($H469)*12+MONTH($H469))+1))</f>
        <v/>
      </c>
      <c r="N469" s="68">
        <f>IF(OR($J469="",$B469=""),0,IF(YEAR($B469)*12+MONTH($B469)&lt;=YEAR($C$3)*12+MONTH($C$3),$G469,0))</f>
        <v/>
      </c>
      <c r="O469" s="68">
        <f>IF(OR($J469="",$B469=""),0,IF(YEAR($B469)*12+MONTH($B469)&lt;=YEAR($C$3)*12+MONTH($C$3)-1,$G469,0))</f>
        <v/>
      </c>
      <c r="P469" s="68">
        <f>$M469-$O469</f>
        <v/>
      </c>
      <c r="Q469" s="68">
        <f>($L469-$M469)-($N469-$O469)</f>
        <v/>
      </c>
      <c r="R469" s="68">
        <f>$L469-$N469</f>
        <v/>
      </c>
      <c r="S469" s="67">
        <f>"WIP journal"</f>
        <v/>
      </c>
      <c r="T469" s="67">
        <f>IFERROR(INDEX(tbl_WIP[Revenue or Cost],$A469),"")</f>
        <v/>
      </c>
    </row>
    <row r="470">
      <c r="A470" s="65">
        <f>ROW()-407</f>
        <v/>
      </c>
      <c r="B470" s="66">
        <f>IFERROR(INDEX(tbl_WIP[Month],$A470),"")</f>
        <v/>
      </c>
      <c r="C470" s="67">
        <f>IFERROR(INDEX(tbl_WIP[Xero Invoice No],$A470),"")</f>
        <v/>
      </c>
      <c r="D470" s="67">
        <f>IFERROR(INDEX(tbl_WIP[Client],$A470),"")</f>
        <v/>
      </c>
      <c r="E470" s="67">
        <f>IFERROR(INDEX(tbl_WIP[Job Number],$A470),"")</f>
        <v/>
      </c>
      <c r="F470" s="67">
        <f>IFERROR(INDEX(tbl_WIP[Cost Centre],$A470),"")</f>
        <v/>
      </c>
      <c r="G470" s="68">
        <f>IFERROR(IF(INDEX(tbl_WIP[Defer Start],$A470)="","",IF(INDEX(tbl_WIP[Revenue or Cost],$A470)="Cost",-1,1)*INDEX(tbl_WIP[Amount],$A470)),"")</f>
        <v/>
      </c>
      <c r="H470" s="66">
        <f>IFERROR(INDEX(tbl_WIP[Defer Start],$A470),"")</f>
        <v/>
      </c>
      <c r="I470" s="66">
        <f>IFERROR(INDEX(tbl_WIP[Defer End],$A470),"")</f>
        <v/>
      </c>
      <c r="J470" s="65">
        <f>IF(OR($H470="",$I470="",$G470=""),"",MAX(1,(YEAR($I470)-YEAR($H470))*12+MONTH($I470)-MONTH($H470)+1))</f>
        <v/>
      </c>
      <c r="K470" s="68">
        <f>IF($J470="","",$G470/$J470)</f>
        <v/>
      </c>
      <c r="L470" s="68">
        <f>IF($J470="",0,$K470*MAX(0,MIN(YEAR($C$3)*12+MONTH($C$3),YEAR($I470)*12+MONTH($I470))-(YEAR($H470)*12+MONTH($H470))+1))</f>
        <v/>
      </c>
      <c r="M470" s="68">
        <f>IF($J470="",0,$K470*MAX(0,MIN(YEAR($C$3)*12+MONTH($C$3)-1,YEAR($I470)*12+MONTH($I470))-(YEAR($H470)*12+MONTH($H470))+1))</f>
        <v/>
      </c>
      <c r="N470" s="68">
        <f>IF(OR($J470="",$B470=""),0,IF(YEAR($B470)*12+MONTH($B470)&lt;=YEAR($C$3)*12+MONTH($C$3),$G470,0))</f>
        <v/>
      </c>
      <c r="O470" s="68">
        <f>IF(OR($J470="",$B470=""),0,IF(YEAR($B470)*12+MONTH($B470)&lt;=YEAR($C$3)*12+MONTH($C$3)-1,$G470,0))</f>
        <v/>
      </c>
      <c r="P470" s="68">
        <f>$M470-$O470</f>
        <v/>
      </c>
      <c r="Q470" s="68">
        <f>($L470-$M470)-($N470-$O470)</f>
        <v/>
      </c>
      <c r="R470" s="68">
        <f>$L470-$N470</f>
        <v/>
      </c>
      <c r="S470" s="67">
        <f>"WIP journal"</f>
        <v/>
      </c>
      <c r="T470" s="67">
        <f>IFERROR(INDEX(tbl_WIP[Revenue or Cost],$A470),"")</f>
        <v/>
      </c>
    </row>
    <row r="471">
      <c r="A471" s="65">
        <f>ROW()-407</f>
        <v/>
      </c>
      <c r="B471" s="66">
        <f>IFERROR(INDEX(tbl_WIP[Month],$A471),"")</f>
        <v/>
      </c>
      <c r="C471" s="67">
        <f>IFERROR(INDEX(tbl_WIP[Xero Invoice No],$A471),"")</f>
        <v/>
      </c>
      <c r="D471" s="67">
        <f>IFERROR(INDEX(tbl_WIP[Client],$A471),"")</f>
        <v/>
      </c>
      <c r="E471" s="67">
        <f>IFERROR(INDEX(tbl_WIP[Job Number],$A471),"")</f>
        <v/>
      </c>
      <c r="F471" s="67">
        <f>IFERROR(INDEX(tbl_WIP[Cost Centre],$A471),"")</f>
        <v/>
      </c>
      <c r="G471" s="68">
        <f>IFERROR(IF(INDEX(tbl_WIP[Defer Start],$A471)="","",IF(INDEX(tbl_WIP[Revenue or Cost],$A471)="Cost",-1,1)*INDEX(tbl_WIP[Amount],$A471)),"")</f>
        <v/>
      </c>
      <c r="H471" s="66">
        <f>IFERROR(INDEX(tbl_WIP[Defer Start],$A471),"")</f>
        <v/>
      </c>
      <c r="I471" s="66">
        <f>IFERROR(INDEX(tbl_WIP[Defer End],$A471),"")</f>
        <v/>
      </c>
      <c r="J471" s="65">
        <f>IF(OR($H471="",$I471="",$G471=""),"",MAX(1,(YEAR($I471)-YEAR($H471))*12+MONTH($I471)-MONTH($H471)+1))</f>
        <v/>
      </c>
      <c r="K471" s="68">
        <f>IF($J471="","",$G471/$J471)</f>
        <v/>
      </c>
      <c r="L471" s="68">
        <f>IF($J471="",0,$K471*MAX(0,MIN(YEAR($C$3)*12+MONTH($C$3),YEAR($I471)*12+MONTH($I471))-(YEAR($H471)*12+MONTH($H471))+1))</f>
        <v/>
      </c>
      <c r="M471" s="68">
        <f>IF($J471="",0,$K471*MAX(0,MIN(YEAR($C$3)*12+MONTH($C$3)-1,YEAR($I471)*12+MONTH($I471))-(YEAR($H471)*12+MONTH($H471))+1))</f>
        <v/>
      </c>
      <c r="N471" s="68">
        <f>IF(OR($J471="",$B471=""),0,IF(YEAR($B471)*12+MONTH($B471)&lt;=YEAR($C$3)*12+MONTH($C$3),$G471,0))</f>
        <v/>
      </c>
      <c r="O471" s="68">
        <f>IF(OR($J471="",$B471=""),0,IF(YEAR($B471)*12+MONTH($B471)&lt;=YEAR($C$3)*12+MONTH($C$3)-1,$G471,0))</f>
        <v/>
      </c>
      <c r="P471" s="68">
        <f>$M471-$O471</f>
        <v/>
      </c>
      <c r="Q471" s="68">
        <f>($L471-$M471)-($N471-$O471)</f>
        <v/>
      </c>
      <c r="R471" s="68">
        <f>$L471-$N471</f>
        <v/>
      </c>
      <c r="S471" s="67">
        <f>"WIP journal"</f>
        <v/>
      </c>
      <c r="T471" s="67">
        <f>IFERROR(INDEX(tbl_WIP[Revenue or Cost],$A471),"")</f>
        <v/>
      </c>
    </row>
    <row r="472">
      <c r="A472" s="65">
        <f>ROW()-407</f>
        <v/>
      </c>
      <c r="B472" s="66">
        <f>IFERROR(INDEX(tbl_WIP[Month],$A472),"")</f>
        <v/>
      </c>
      <c r="C472" s="67">
        <f>IFERROR(INDEX(tbl_WIP[Xero Invoice No],$A472),"")</f>
        <v/>
      </c>
      <c r="D472" s="67">
        <f>IFERROR(INDEX(tbl_WIP[Client],$A472),"")</f>
        <v/>
      </c>
      <c r="E472" s="67">
        <f>IFERROR(INDEX(tbl_WIP[Job Number],$A472),"")</f>
        <v/>
      </c>
      <c r="F472" s="67">
        <f>IFERROR(INDEX(tbl_WIP[Cost Centre],$A472),"")</f>
        <v/>
      </c>
      <c r="G472" s="68">
        <f>IFERROR(IF(INDEX(tbl_WIP[Defer Start],$A472)="","",IF(INDEX(tbl_WIP[Revenue or Cost],$A472)="Cost",-1,1)*INDEX(tbl_WIP[Amount],$A472)),"")</f>
        <v/>
      </c>
      <c r="H472" s="66">
        <f>IFERROR(INDEX(tbl_WIP[Defer Start],$A472),"")</f>
        <v/>
      </c>
      <c r="I472" s="66">
        <f>IFERROR(INDEX(tbl_WIP[Defer End],$A472),"")</f>
        <v/>
      </c>
      <c r="J472" s="65">
        <f>IF(OR($H472="",$I472="",$G472=""),"",MAX(1,(YEAR($I472)-YEAR($H472))*12+MONTH($I472)-MONTH($H472)+1))</f>
        <v/>
      </c>
      <c r="K472" s="68">
        <f>IF($J472="","",$G472/$J472)</f>
        <v/>
      </c>
      <c r="L472" s="68">
        <f>IF($J472="",0,$K472*MAX(0,MIN(YEAR($C$3)*12+MONTH($C$3),YEAR($I472)*12+MONTH($I472))-(YEAR($H472)*12+MONTH($H472))+1))</f>
        <v/>
      </c>
      <c r="M472" s="68">
        <f>IF($J472="",0,$K472*MAX(0,MIN(YEAR($C$3)*12+MONTH($C$3)-1,YEAR($I472)*12+MONTH($I472))-(YEAR($H472)*12+MONTH($H472))+1))</f>
        <v/>
      </c>
      <c r="N472" s="68">
        <f>IF(OR($J472="",$B472=""),0,IF(YEAR($B472)*12+MONTH($B472)&lt;=YEAR($C$3)*12+MONTH($C$3),$G472,0))</f>
        <v/>
      </c>
      <c r="O472" s="68">
        <f>IF(OR($J472="",$B472=""),0,IF(YEAR($B472)*12+MONTH($B472)&lt;=YEAR($C$3)*12+MONTH($C$3)-1,$G472,0))</f>
        <v/>
      </c>
      <c r="P472" s="68">
        <f>$M472-$O472</f>
        <v/>
      </c>
      <c r="Q472" s="68">
        <f>($L472-$M472)-($N472-$O472)</f>
        <v/>
      </c>
      <c r="R472" s="68">
        <f>$L472-$N472</f>
        <v/>
      </c>
      <c r="S472" s="67">
        <f>"WIP journal"</f>
        <v/>
      </c>
      <c r="T472" s="67">
        <f>IFERROR(INDEX(tbl_WIP[Revenue or Cost],$A472),"")</f>
        <v/>
      </c>
    </row>
    <row r="473">
      <c r="A473" s="65">
        <f>ROW()-407</f>
        <v/>
      </c>
      <c r="B473" s="66">
        <f>IFERROR(INDEX(tbl_WIP[Month],$A473),"")</f>
        <v/>
      </c>
      <c r="C473" s="67">
        <f>IFERROR(INDEX(tbl_WIP[Xero Invoice No],$A473),"")</f>
        <v/>
      </c>
      <c r="D473" s="67">
        <f>IFERROR(INDEX(tbl_WIP[Client],$A473),"")</f>
        <v/>
      </c>
      <c r="E473" s="67">
        <f>IFERROR(INDEX(tbl_WIP[Job Number],$A473),"")</f>
        <v/>
      </c>
      <c r="F473" s="67">
        <f>IFERROR(INDEX(tbl_WIP[Cost Centre],$A473),"")</f>
        <v/>
      </c>
      <c r="G473" s="68">
        <f>IFERROR(IF(INDEX(tbl_WIP[Defer Start],$A473)="","",IF(INDEX(tbl_WIP[Revenue or Cost],$A473)="Cost",-1,1)*INDEX(tbl_WIP[Amount],$A473)),"")</f>
        <v/>
      </c>
      <c r="H473" s="66">
        <f>IFERROR(INDEX(tbl_WIP[Defer Start],$A473),"")</f>
        <v/>
      </c>
      <c r="I473" s="66">
        <f>IFERROR(INDEX(tbl_WIP[Defer End],$A473),"")</f>
        <v/>
      </c>
      <c r="J473" s="65">
        <f>IF(OR($H473="",$I473="",$G473=""),"",MAX(1,(YEAR($I473)-YEAR($H473))*12+MONTH($I473)-MONTH($H473)+1))</f>
        <v/>
      </c>
      <c r="K473" s="68">
        <f>IF($J473="","",$G473/$J473)</f>
        <v/>
      </c>
      <c r="L473" s="68">
        <f>IF($J473="",0,$K473*MAX(0,MIN(YEAR($C$3)*12+MONTH($C$3),YEAR($I473)*12+MONTH($I473))-(YEAR($H473)*12+MONTH($H473))+1))</f>
        <v/>
      </c>
      <c r="M473" s="68">
        <f>IF($J473="",0,$K473*MAX(0,MIN(YEAR($C$3)*12+MONTH($C$3)-1,YEAR($I473)*12+MONTH($I473))-(YEAR($H473)*12+MONTH($H473))+1))</f>
        <v/>
      </c>
      <c r="N473" s="68">
        <f>IF(OR($J473="",$B473=""),0,IF(YEAR($B473)*12+MONTH($B473)&lt;=YEAR($C$3)*12+MONTH($C$3),$G473,0))</f>
        <v/>
      </c>
      <c r="O473" s="68">
        <f>IF(OR($J473="",$B473=""),0,IF(YEAR($B473)*12+MONTH($B473)&lt;=YEAR($C$3)*12+MONTH($C$3)-1,$G473,0))</f>
        <v/>
      </c>
      <c r="P473" s="68">
        <f>$M473-$O473</f>
        <v/>
      </c>
      <c r="Q473" s="68">
        <f>($L473-$M473)-($N473-$O473)</f>
        <v/>
      </c>
      <c r="R473" s="68">
        <f>$L473-$N473</f>
        <v/>
      </c>
      <c r="S473" s="67">
        <f>"WIP journal"</f>
        <v/>
      </c>
      <c r="T473" s="67">
        <f>IFERROR(INDEX(tbl_WIP[Revenue or Cost],$A473),"")</f>
        <v/>
      </c>
    </row>
    <row r="474">
      <c r="A474" s="65">
        <f>ROW()-407</f>
        <v/>
      </c>
      <c r="B474" s="66">
        <f>IFERROR(INDEX(tbl_WIP[Month],$A474),"")</f>
        <v/>
      </c>
      <c r="C474" s="67">
        <f>IFERROR(INDEX(tbl_WIP[Xero Invoice No],$A474),"")</f>
        <v/>
      </c>
      <c r="D474" s="67">
        <f>IFERROR(INDEX(tbl_WIP[Client],$A474),"")</f>
        <v/>
      </c>
      <c r="E474" s="67">
        <f>IFERROR(INDEX(tbl_WIP[Job Number],$A474),"")</f>
        <v/>
      </c>
      <c r="F474" s="67">
        <f>IFERROR(INDEX(tbl_WIP[Cost Centre],$A474),"")</f>
        <v/>
      </c>
      <c r="G474" s="68">
        <f>IFERROR(IF(INDEX(tbl_WIP[Defer Start],$A474)="","",IF(INDEX(tbl_WIP[Revenue or Cost],$A474)="Cost",-1,1)*INDEX(tbl_WIP[Amount],$A474)),"")</f>
        <v/>
      </c>
      <c r="H474" s="66">
        <f>IFERROR(INDEX(tbl_WIP[Defer Start],$A474),"")</f>
        <v/>
      </c>
      <c r="I474" s="66">
        <f>IFERROR(INDEX(tbl_WIP[Defer End],$A474),"")</f>
        <v/>
      </c>
      <c r="J474" s="65">
        <f>IF(OR($H474="",$I474="",$G474=""),"",MAX(1,(YEAR($I474)-YEAR($H474))*12+MONTH($I474)-MONTH($H474)+1))</f>
        <v/>
      </c>
      <c r="K474" s="68">
        <f>IF($J474="","",$G474/$J474)</f>
        <v/>
      </c>
      <c r="L474" s="68">
        <f>IF($J474="",0,$K474*MAX(0,MIN(YEAR($C$3)*12+MONTH($C$3),YEAR($I474)*12+MONTH($I474))-(YEAR($H474)*12+MONTH($H474))+1))</f>
        <v/>
      </c>
      <c r="M474" s="68">
        <f>IF($J474="",0,$K474*MAX(0,MIN(YEAR($C$3)*12+MONTH($C$3)-1,YEAR($I474)*12+MONTH($I474))-(YEAR($H474)*12+MONTH($H474))+1))</f>
        <v/>
      </c>
      <c r="N474" s="68">
        <f>IF(OR($J474="",$B474=""),0,IF(YEAR($B474)*12+MONTH($B474)&lt;=YEAR($C$3)*12+MONTH($C$3),$G474,0))</f>
        <v/>
      </c>
      <c r="O474" s="68">
        <f>IF(OR($J474="",$B474=""),0,IF(YEAR($B474)*12+MONTH($B474)&lt;=YEAR($C$3)*12+MONTH($C$3)-1,$G474,0))</f>
        <v/>
      </c>
      <c r="P474" s="68">
        <f>$M474-$O474</f>
        <v/>
      </c>
      <c r="Q474" s="68">
        <f>($L474-$M474)-($N474-$O474)</f>
        <v/>
      </c>
      <c r="R474" s="68">
        <f>$L474-$N474</f>
        <v/>
      </c>
      <c r="S474" s="67">
        <f>"WIP journal"</f>
        <v/>
      </c>
      <c r="T474" s="67">
        <f>IFERROR(INDEX(tbl_WIP[Revenue or Cost],$A474),"")</f>
        <v/>
      </c>
    </row>
    <row r="475">
      <c r="A475" s="65">
        <f>ROW()-407</f>
        <v/>
      </c>
      <c r="B475" s="66">
        <f>IFERROR(INDEX(tbl_WIP[Month],$A475),"")</f>
        <v/>
      </c>
      <c r="C475" s="67">
        <f>IFERROR(INDEX(tbl_WIP[Xero Invoice No],$A475),"")</f>
        <v/>
      </c>
      <c r="D475" s="67">
        <f>IFERROR(INDEX(tbl_WIP[Client],$A475),"")</f>
        <v/>
      </c>
      <c r="E475" s="67">
        <f>IFERROR(INDEX(tbl_WIP[Job Number],$A475),"")</f>
        <v/>
      </c>
      <c r="F475" s="67">
        <f>IFERROR(INDEX(tbl_WIP[Cost Centre],$A475),"")</f>
        <v/>
      </c>
      <c r="G475" s="68">
        <f>IFERROR(IF(INDEX(tbl_WIP[Defer Start],$A475)="","",IF(INDEX(tbl_WIP[Revenue or Cost],$A475)="Cost",-1,1)*INDEX(tbl_WIP[Amount],$A475)),"")</f>
        <v/>
      </c>
      <c r="H475" s="66">
        <f>IFERROR(INDEX(tbl_WIP[Defer Start],$A475),"")</f>
        <v/>
      </c>
      <c r="I475" s="66">
        <f>IFERROR(INDEX(tbl_WIP[Defer End],$A475),"")</f>
        <v/>
      </c>
      <c r="J475" s="65">
        <f>IF(OR($H475="",$I475="",$G475=""),"",MAX(1,(YEAR($I475)-YEAR($H475))*12+MONTH($I475)-MONTH($H475)+1))</f>
        <v/>
      </c>
      <c r="K475" s="68">
        <f>IF($J475="","",$G475/$J475)</f>
        <v/>
      </c>
      <c r="L475" s="68">
        <f>IF($J475="",0,$K475*MAX(0,MIN(YEAR($C$3)*12+MONTH($C$3),YEAR($I475)*12+MONTH($I475))-(YEAR($H475)*12+MONTH($H475))+1))</f>
        <v/>
      </c>
      <c r="M475" s="68">
        <f>IF($J475="",0,$K475*MAX(0,MIN(YEAR($C$3)*12+MONTH($C$3)-1,YEAR($I475)*12+MONTH($I475))-(YEAR($H475)*12+MONTH($H475))+1))</f>
        <v/>
      </c>
      <c r="N475" s="68">
        <f>IF(OR($J475="",$B475=""),0,IF(YEAR($B475)*12+MONTH($B475)&lt;=YEAR($C$3)*12+MONTH($C$3),$G475,0))</f>
        <v/>
      </c>
      <c r="O475" s="68">
        <f>IF(OR($J475="",$B475=""),0,IF(YEAR($B475)*12+MONTH($B475)&lt;=YEAR($C$3)*12+MONTH($C$3)-1,$G475,0))</f>
        <v/>
      </c>
      <c r="P475" s="68">
        <f>$M475-$O475</f>
        <v/>
      </c>
      <c r="Q475" s="68">
        <f>($L475-$M475)-($N475-$O475)</f>
        <v/>
      </c>
      <c r="R475" s="68">
        <f>$L475-$N475</f>
        <v/>
      </c>
      <c r="S475" s="67">
        <f>"WIP journal"</f>
        <v/>
      </c>
      <c r="T475" s="67">
        <f>IFERROR(INDEX(tbl_WIP[Revenue or Cost],$A475),"")</f>
        <v/>
      </c>
    </row>
    <row r="476">
      <c r="A476" s="65">
        <f>ROW()-407</f>
        <v/>
      </c>
      <c r="B476" s="66">
        <f>IFERROR(INDEX(tbl_WIP[Month],$A476),"")</f>
        <v/>
      </c>
      <c r="C476" s="67">
        <f>IFERROR(INDEX(tbl_WIP[Xero Invoice No],$A476),"")</f>
        <v/>
      </c>
      <c r="D476" s="67">
        <f>IFERROR(INDEX(tbl_WIP[Client],$A476),"")</f>
        <v/>
      </c>
      <c r="E476" s="67">
        <f>IFERROR(INDEX(tbl_WIP[Job Number],$A476),"")</f>
        <v/>
      </c>
      <c r="F476" s="67">
        <f>IFERROR(INDEX(tbl_WIP[Cost Centre],$A476),"")</f>
        <v/>
      </c>
      <c r="G476" s="68">
        <f>IFERROR(IF(INDEX(tbl_WIP[Defer Start],$A476)="","",IF(INDEX(tbl_WIP[Revenue or Cost],$A476)="Cost",-1,1)*INDEX(tbl_WIP[Amount],$A476)),"")</f>
        <v/>
      </c>
      <c r="H476" s="66">
        <f>IFERROR(INDEX(tbl_WIP[Defer Start],$A476),"")</f>
        <v/>
      </c>
      <c r="I476" s="66">
        <f>IFERROR(INDEX(tbl_WIP[Defer End],$A476),"")</f>
        <v/>
      </c>
      <c r="J476" s="65">
        <f>IF(OR($H476="",$I476="",$G476=""),"",MAX(1,(YEAR($I476)-YEAR($H476))*12+MONTH($I476)-MONTH($H476)+1))</f>
        <v/>
      </c>
      <c r="K476" s="68">
        <f>IF($J476="","",$G476/$J476)</f>
        <v/>
      </c>
      <c r="L476" s="68">
        <f>IF($J476="",0,$K476*MAX(0,MIN(YEAR($C$3)*12+MONTH($C$3),YEAR($I476)*12+MONTH($I476))-(YEAR($H476)*12+MONTH($H476))+1))</f>
        <v/>
      </c>
      <c r="M476" s="68">
        <f>IF($J476="",0,$K476*MAX(0,MIN(YEAR($C$3)*12+MONTH($C$3)-1,YEAR($I476)*12+MONTH($I476))-(YEAR($H476)*12+MONTH($H476))+1))</f>
        <v/>
      </c>
      <c r="N476" s="68">
        <f>IF(OR($J476="",$B476=""),0,IF(YEAR($B476)*12+MONTH($B476)&lt;=YEAR($C$3)*12+MONTH($C$3),$G476,0))</f>
        <v/>
      </c>
      <c r="O476" s="68">
        <f>IF(OR($J476="",$B476=""),0,IF(YEAR($B476)*12+MONTH($B476)&lt;=YEAR($C$3)*12+MONTH($C$3)-1,$G476,0))</f>
        <v/>
      </c>
      <c r="P476" s="68">
        <f>$M476-$O476</f>
        <v/>
      </c>
      <c r="Q476" s="68">
        <f>($L476-$M476)-($N476-$O476)</f>
        <v/>
      </c>
      <c r="R476" s="68">
        <f>$L476-$N476</f>
        <v/>
      </c>
      <c r="S476" s="67">
        <f>"WIP journal"</f>
        <v/>
      </c>
      <c r="T476" s="67">
        <f>IFERROR(INDEX(tbl_WIP[Revenue or Cost],$A476),"")</f>
        <v/>
      </c>
    </row>
    <row r="477">
      <c r="A477" s="65">
        <f>ROW()-407</f>
        <v/>
      </c>
      <c r="B477" s="66">
        <f>IFERROR(INDEX(tbl_WIP[Month],$A477),"")</f>
        <v/>
      </c>
      <c r="C477" s="67">
        <f>IFERROR(INDEX(tbl_WIP[Xero Invoice No],$A477),"")</f>
        <v/>
      </c>
      <c r="D477" s="67">
        <f>IFERROR(INDEX(tbl_WIP[Client],$A477),"")</f>
        <v/>
      </c>
      <c r="E477" s="67">
        <f>IFERROR(INDEX(tbl_WIP[Job Number],$A477),"")</f>
        <v/>
      </c>
      <c r="F477" s="67">
        <f>IFERROR(INDEX(tbl_WIP[Cost Centre],$A477),"")</f>
        <v/>
      </c>
      <c r="G477" s="68">
        <f>IFERROR(IF(INDEX(tbl_WIP[Defer Start],$A477)="","",IF(INDEX(tbl_WIP[Revenue or Cost],$A477)="Cost",-1,1)*INDEX(tbl_WIP[Amount],$A477)),"")</f>
        <v/>
      </c>
      <c r="H477" s="66">
        <f>IFERROR(INDEX(tbl_WIP[Defer Start],$A477),"")</f>
        <v/>
      </c>
      <c r="I477" s="66">
        <f>IFERROR(INDEX(tbl_WIP[Defer End],$A477),"")</f>
        <v/>
      </c>
      <c r="J477" s="65">
        <f>IF(OR($H477="",$I477="",$G477=""),"",MAX(1,(YEAR($I477)-YEAR($H477))*12+MONTH($I477)-MONTH($H477)+1))</f>
        <v/>
      </c>
      <c r="K477" s="68">
        <f>IF($J477="","",$G477/$J477)</f>
        <v/>
      </c>
      <c r="L477" s="68">
        <f>IF($J477="",0,$K477*MAX(0,MIN(YEAR($C$3)*12+MONTH($C$3),YEAR($I477)*12+MONTH($I477))-(YEAR($H477)*12+MONTH($H477))+1))</f>
        <v/>
      </c>
      <c r="M477" s="68">
        <f>IF($J477="",0,$K477*MAX(0,MIN(YEAR($C$3)*12+MONTH($C$3)-1,YEAR($I477)*12+MONTH($I477))-(YEAR($H477)*12+MONTH($H477))+1))</f>
        <v/>
      </c>
      <c r="N477" s="68">
        <f>IF(OR($J477="",$B477=""),0,IF(YEAR($B477)*12+MONTH($B477)&lt;=YEAR($C$3)*12+MONTH($C$3),$G477,0))</f>
        <v/>
      </c>
      <c r="O477" s="68">
        <f>IF(OR($J477="",$B477=""),0,IF(YEAR($B477)*12+MONTH($B477)&lt;=YEAR($C$3)*12+MONTH($C$3)-1,$G477,0))</f>
        <v/>
      </c>
      <c r="P477" s="68">
        <f>$M477-$O477</f>
        <v/>
      </c>
      <c r="Q477" s="68">
        <f>($L477-$M477)-($N477-$O477)</f>
        <v/>
      </c>
      <c r="R477" s="68">
        <f>$L477-$N477</f>
        <v/>
      </c>
      <c r="S477" s="67">
        <f>"WIP journal"</f>
        <v/>
      </c>
      <c r="T477" s="67">
        <f>IFERROR(INDEX(tbl_WIP[Revenue or Cost],$A477),"")</f>
        <v/>
      </c>
    </row>
    <row r="478">
      <c r="A478" s="65">
        <f>ROW()-407</f>
        <v/>
      </c>
      <c r="B478" s="66">
        <f>IFERROR(INDEX(tbl_WIP[Month],$A478),"")</f>
        <v/>
      </c>
      <c r="C478" s="67">
        <f>IFERROR(INDEX(tbl_WIP[Xero Invoice No],$A478),"")</f>
        <v/>
      </c>
      <c r="D478" s="67">
        <f>IFERROR(INDEX(tbl_WIP[Client],$A478),"")</f>
        <v/>
      </c>
      <c r="E478" s="67">
        <f>IFERROR(INDEX(tbl_WIP[Job Number],$A478),"")</f>
        <v/>
      </c>
      <c r="F478" s="67">
        <f>IFERROR(INDEX(tbl_WIP[Cost Centre],$A478),"")</f>
        <v/>
      </c>
      <c r="G478" s="68">
        <f>IFERROR(IF(INDEX(tbl_WIP[Defer Start],$A478)="","",IF(INDEX(tbl_WIP[Revenue or Cost],$A478)="Cost",-1,1)*INDEX(tbl_WIP[Amount],$A478)),"")</f>
        <v/>
      </c>
      <c r="H478" s="66">
        <f>IFERROR(INDEX(tbl_WIP[Defer Start],$A478),"")</f>
        <v/>
      </c>
      <c r="I478" s="66">
        <f>IFERROR(INDEX(tbl_WIP[Defer End],$A478),"")</f>
        <v/>
      </c>
      <c r="J478" s="65">
        <f>IF(OR($H478="",$I478="",$G478=""),"",MAX(1,(YEAR($I478)-YEAR($H478))*12+MONTH($I478)-MONTH($H478)+1))</f>
        <v/>
      </c>
      <c r="K478" s="68">
        <f>IF($J478="","",$G478/$J478)</f>
        <v/>
      </c>
      <c r="L478" s="68">
        <f>IF($J478="",0,$K478*MAX(0,MIN(YEAR($C$3)*12+MONTH($C$3),YEAR($I478)*12+MONTH($I478))-(YEAR($H478)*12+MONTH($H478))+1))</f>
        <v/>
      </c>
      <c r="M478" s="68">
        <f>IF($J478="",0,$K478*MAX(0,MIN(YEAR($C$3)*12+MONTH($C$3)-1,YEAR($I478)*12+MONTH($I478))-(YEAR($H478)*12+MONTH($H478))+1))</f>
        <v/>
      </c>
      <c r="N478" s="68">
        <f>IF(OR($J478="",$B478=""),0,IF(YEAR($B478)*12+MONTH($B478)&lt;=YEAR($C$3)*12+MONTH($C$3),$G478,0))</f>
        <v/>
      </c>
      <c r="O478" s="68">
        <f>IF(OR($J478="",$B478=""),0,IF(YEAR($B478)*12+MONTH($B478)&lt;=YEAR($C$3)*12+MONTH($C$3)-1,$G478,0))</f>
        <v/>
      </c>
      <c r="P478" s="68">
        <f>$M478-$O478</f>
        <v/>
      </c>
      <c r="Q478" s="68">
        <f>($L478-$M478)-($N478-$O478)</f>
        <v/>
      </c>
      <c r="R478" s="68">
        <f>$L478-$N478</f>
        <v/>
      </c>
      <c r="S478" s="67">
        <f>"WIP journal"</f>
        <v/>
      </c>
      <c r="T478" s="67">
        <f>IFERROR(INDEX(tbl_WIP[Revenue or Cost],$A478),"")</f>
        <v/>
      </c>
    </row>
    <row r="479">
      <c r="A479" s="65">
        <f>ROW()-407</f>
        <v/>
      </c>
      <c r="B479" s="66">
        <f>IFERROR(INDEX(tbl_WIP[Month],$A479),"")</f>
        <v/>
      </c>
      <c r="C479" s="67">
        <f>IFERROR(INDEX(tbl_WIP[Xero Invoice No],$A479),"")</f>
        <v/>
      </c>
      <c r="D479" s="67">
        <f>IFERROR(INDEX(tbl_WIP[Client],$A479),"")</f>
        <v/>
      </c>
      <c r="E479" s="67">
        <f>IFERROR(INDEX(tbl_WIP[Job Number],$A479),"")</f>
        <v/>
      </c>
      <c r="F479" s="67">
        <f>IFERROR(INDEX(tbl_WIP[Cost Centre],$A479),"")</f>
        <v/>
      </c>
      <c r="G479" s="68">
        <f>IFERROR(IF(INDEX(tbl_WIP[Defer Start],$A479)="","",IF(INDEX(tbl_WIP[Revenue or Cost],$A479)="Cost",-1,1)*INDEX(tbl_WIP[Amount],$A479)),"")</f>
        <v/>
      </c>
      <c r="H479" s="66">
        <f>IFERROR(INDEX(tbl_WIP[Defer Start],$A479),"")</f>
        <v/>
      </c>
      <c r="I479" s="66">
        <f>IFERROR(INDEX(tbl_WIP[Defer End],$A479),"")</f>
        <v/>
      </c>
      <c r="J479" s="65">
        <f>IF(OR($H479="",$I479="",$G479=""),"",MAX(1,(YEAR($I479)-YEAR($H479))*12+MONTH($I479)-MONTH($H479)+1))</f>
        <v/>
      </c>
      <c r="K479" s="68">
        <f>IF($J479="","",$G479/$J479)</f>
        <v/>
      </c>
      <c r="L479" s="68">
        <f>IF($J479="",0,$K479*MAX(0,MIN(YEAR($C$3)*12+MONTH($C$3),YEAR($I479)*12+MONTH($I479))-(YEAR($H479)*12+MONTH($H479))+1))</f>
        <v/>
      </c>
      <c r="M479" s="68">
        <f>IF($J479="",0,$K479*MAX(0,MIN(YEAR($C$3)*12+MONTH($C$3)-1,YEAR($I479)*12+MONTH($I479))-(YEAR($H479)*12+MONTH($H479))+1))</f>
        <v/>
      </c>
      <c r="N479" s="68">
        <f>IF(OR($J479="",$B479=""),0,IF(YEAR($B479)*12+MONTH($B479)&lt;=YEAR($C$3)*12+MONTH($C$3),$G479,0))</f>
        <v/>
      </c>
      <c r="O479" s="68">
        <f>IF(OR($J479="",$B479=""),0,IF(YEAR($B479)*12+MONTH($B479)&lt;=YEAR($C$3)*12+MONTH($C$3)-1,$G479,0))</f>
        <v/>
      </c>
      <c r="P479" s="68">
        <f>$M479-$O479</f>
        <v/>
      </c>
      <c r="Q479" s="68">
        <f>($L479-$M479)-($N479-$O479)</f>
        <v/>
      </c>
      <c r="R479" s="68">
        <f>$L479-$N479</f>
        <v/>
      </c>
      <c r="S479" s="67">
        <f>"WIP journal"</f>
        <v/>
      </c>
      <c r="T479" s="67">
        <f>IFERROR(INDEX(tbl_WIP[Revenue or Cost],$A479),"")</f>
        <v/>
      </c>
    </row>
    <row r="480">
      <c r="A480" s="65">
        <f>ROW()-407</f>
        <v/>
      </c>
      <c r="B480" s="66">
        <f>IFERROR(INDEX(tbl_WIP[Month],$A480),"")</f>
        <v/>
      </c>
      <c r="C480" s="67">
        <f>IFERROR(INDEX(tbl_WIP[Xero Invoice No],$A480),"")</f>
        <v/>
      </c>
      <c r="D480" s="67">
        <f>IFERROR(INDEX(tbl_WIP[Client],$A480),"")</f>
        <v/>
      </c>
      <c r="E480" s="67">
        <f>IFERROR(INDEX(tbl_WIP[Job Number],$A480),"")</f>
        <v/>
      </c>
      <c r="F480" s="67">
        <f>IFERROR(INDEX(tbl_WIP[Cost Centre],$A480),"")</f>
        <v/>
      </c>
      <c r="G480" s="68">
        <f>IFERROR(IF(INDEX(tbl_WIP[Defer Start],$A480)="","",IF(INDEX(tbl_WIP[Revenue or Cost],$A480)="Cost",-1,1)*INDEX(tbl_WIP[Amount],$A480)),"")</f>
        <v/>
      </c>
      <c r="H480" s="66">
        <f>IFERROR(INDEX(tbl_WIP[Defer Start],$A480),"")</f>
        <v/>
      </c>
      <c r="I480" s="66">
        <f>IFERROR(INDEX(tbl_WIP[Defer End],$A480),"")</f>
        <v/>
      </c>
      <c r="J480" s="65">
        <f>IF(OR($H480="",$I480="",$G480=""),"",MAX(1,(YEAR($I480)-YEAR($H480))*12+MONTH($I480)-MONTH($H480)+1))</f>
        <v/>
      </c>
      <c r="K480" s="68">
        <f>IF($J480="","",$G480/$J480)</f>
        <v/>
      </c>
      <c r="L480" s="68">
        <f>IF($J480="",0,$K480*MAX(0,MIN(YEAR($C$3)*12+MONTH($C$3),YEAR($I480)*12+MONTH($I480))-(YEAR($H480)*12+MONTH($H480))+1))</f>
        <v/>
      </c>
      <c r="M480" s="68">
        <f>IF($J480="",0,$K480*MAX(0,MIN(YEAR($C$3)*12+MONTH($C$3)-1,YEAR($I480)*12+MONTH($I480))-(YEAR($H480)*12+MONTH($H480))+1))</f>
        <v/>
      </c>
      <c r="N480" s="68">
        <f>IF(OR($J480="",$B480=""),0,IF(YEAR($B480)*12+MONTH($B480)&lt;=YEAR($C$3)*12+MONTH($C$3),$G480,0))</f>
        <v/>
      </c>
      <c r="O480" s="68">
        <f>IF(OR($J480="",$B480=""),0,IF(YEAR($B480)*12+MONTH($B480)&lt;=YEAR($C$3)*12+MONTH($C$3)-1,$G480,0))</f>
        <v/>
      </c>
      <c r="P480" s="68">
        <f>$M480-$O480</f>
        <v/>
      </c>
      <c r="Q480" s="68">
        <f>($L480-$M480)-($N480-$O480)</f>
        <v/>
      </c>
      <c r="R480" s="68">
        <f>$L480-$N480</f>
        <v/>
      </c>
      <c r="S480" s="67">
        <f>"WIP journal"</f>
        <v/>
      </c>
      <c r="T480" s="67">
        <f>IFERROR(INDEX(tbl_WIP[Revenue or Cost],$A480),"")</f>
        <v/>
      </c>
    </row>
    <row r="481">
      <c r="A481" s="65">
        <f>ROW()-407</f>
        <v/>
      </c>
      <c r="B481" s="66">
        <f>IFERROR(INDEX(tbl_WIP[Month],$A481),"")</f>
        <v/>
      </c>
      <c r="C481" s="67">
        <f>IFERROR(INDEX(tbl_WIP[Xero Invoice No],$A481),"")</f>
        <v/>
      </c>
      <c r="D481" s="67">
        <f>IFERROR(INDEX(tbl_WIP[Client],$A481),"")</f>
        <v/>
      </c>
      <c r="E481" s="67">
        <f>IFERROR(INDEX(tbl_WIP[Job Number],$A481),"")</f>
        <v/>
      </c>
      <c r="F481" s="67">
        <f>IFERROR(INDEX(tbl_WIP[Cost Centre],$A481),"")</f>
        <v/>
      </c>
      <c r="G481" s="68">
        <f>IFERROR(IF(INDEX(tbl_WIP[Defer Start],$A481)="","",IF(INDEX(tbl_WIP[Revenue or Cost],$A481)="Cost",-1,1)*INDEX(tbl_WIP[Amount],$A481)),"")</f>
        <v/>
      </c>
      <c r="H481" s="66">
        <f>IFERROR(INDEX(tbl_WIP[Defer Start],$A481),"")</f>
        <v/>
      </c>
      <c r="I481" s="66">
        <f>IFERROR(INDEX(tbl_WIP[Defer End],$A481),"")</f>
        <v/>
      </c>
      <c r="J481" s="65">
        <f>IF(OR($H481="",$I481="",$G481=""),"",MAX(1,(YEAR($I481)-YEAR($H481))*12+MONTH($I481)-MONTH($H481)+1))</f>
        <v/>
      </c>
      <c r="K481" s="68">
        <f>IF($J481="","",$G481/$J481)</f>
        <v/>
      </c>
      <c r="L481" s="68">
        <f>IF($J481="",0,$K481*MAX(0,MIN(YEAR($C$3)*12+MONTH($C$3),YEAR($I481)*12+MONTH($I481))-(YEAR($H481)*12+MONTH($H481))+1))</f>
        <v/>
      </c>
      <c r="M481" s="68">
        <f>IF($J481="",0,$K481*MAX(0,MIN(YEAR($C$3)*12+MONTH($C$3)-1,YEAR($I481)*12+MONTH($I481))-(YEAR($H481)*12+MONTH($H481))+1))</f>
        <v/>
      </c>
      <c r="N481" s="68">
        <f>IF(OR($J481="",$B481=""),0,IF(YEAR($B481)*12+MONTH($B481)&lt;=YEAR($C$3)*12+MONTH($C$3),$G481,0))</f>
        <v/>
      </c>
      <c r="O481" s="68">
        <f>IF(OR($J481="",$B481=""),0,IF(YEAR($B481)*12+MONTH($B481)&lt;=YEAR($C$3)*12+MONTH($C$3)-1,$G481,0))</f>
        <v/>
      </c>
      <c r="P481" s="68">
        <f>$M481-$O481</f>
        <v/>
      </c>
      <c r="Q481" s="68">
        <f>($L481-$M481)-($N481-$O481)</f>
        <v/>
      </c>
      <c r="R481" s="68">
        <f>$L481-$N481</f>
        <v/>
      </c>
      <c r="S481" s="67">
        <f>"WIP journal"</f>
        <v/>
      </c>
      <c r="T481" s="67">
        <f>IFERROR(INDEX(tbl_WIP[Revenue or Cost],$A481),"")</f>
        <v/>
      </c>
    </row>
    <row r="482">
      <c r="A482" s="65">
        <f>ROW()-407</f>
        <v/>
      </c>
      <c r="B482" s="66">
        <f>IFERROR(INDEX(tbl_WIP[Month],$A482),"")</f>
        <v/>
      </c>
      <c r="C482" s="67">
        <f>IFERROR(INDEX(tbl_WIP[Xero Invoice No],$A482),"")</f>
        <v/>
      </c>
      <c r="D482" s="67">
        <f>IFERROR(INDEX(tbl_WIP[Client],$A482),"")</f>
        <v/>
      </c>
      <c r="E482" s="67">
        <f>IFERROR(INDEX(tbl_WIP[Job Number],$A482),"")</f>
        <v/>
      </c>
      <c r="F482" s="67">
        <f>IFERROR(INDEX(tbl_WIP[Cost Centre],$A482),"")</f>
        <v/>
      </c>
      <c r="G482" s="68">
        <f>IFERROR(IF(INDEX(tbl_WIP[Defer Start],$A482)="","",IF(INDEX(tbl_WIP[Revenue or Cost],$A482)="Cost",-1,1)*INDEX(tbl_WIP[Amount],$A482)),"")</f>
        <v/>
      </c>
      <c r="H482" s="66">
        <f>IFERROR(INDEX(tbl_WIP[Defer Start],$A482),"")</f>
        <v/>
      </c>
      <c r="I482" s="66">
        <f>IFERROR(INDEX(tbl_WIP[Defer End],$A482),"")</f>
        <v/>
      </c>
      <c r="J482" s="65">
        <f>IF(OR($H482="",$I482="",$G482=""),"",MAX(1,(YEAR($I482)-YEAR($H482))*12+MONTH($I482)-MONTH($H482)+1))</f>
        <v/>
      </c>
      <c r="K482" s="68">
        <f>IF($J482="","",$G482/$J482)</f>
        <v/>
      </c>
      <c r="L482" s="68">
        <f>IF($J482="",0,$K482*MAX(0,MIN(YEAR($C$3)*12+MONTH($C$3),YEAR($I482)*12+MONTH($I482))-(YEAR($H482)*12+MONTH($H482))+1))</f>
        <v/>
      </c>
      <c r="M482" s="68">
        <f>IF($J482="",0,$K482*MAX(0,MIN(YEAR($C$3)*12+MONTH($C$3)-1,YEAR($I482)*12+MONTH($I482))-(YEAR($H482)*12+MONTH($H482))+1))</f>
        <v/>
      </c>
      <c r="N482" s="68">
        <f>IF(OR($J482="",$B482=""),0,IF(YEAR($B482)*12+MONTH($B482)&lt;=YEAR($C$3)*12+MONTH($C$3),$G482,0))</f>
        <v/>
      </c>
      <c r="O482" s="68">
        <f>IF(OR($J482="",$B482=""),0,IF(YEAR($B482)*12+MONTH($B482)&lt;=YEAR($C$3)*12+MONTH($C$3)-1,$G482,0))</f>
        <v/>
      </c>
      <c r="P482" s="68">
        <f>$M482-$O482</f>
        <v/>
      </c>
      <c r="Q482" s="68">
        <f>($L482-$M482)-($N482-$O482)</f>
        <v/>
      </c>
      <c r="R482" s="68">
        <f>$L482-$N482</f>
        <v/>
      </c>
      <c r="S482" s="67">
        <f>"WIP journal"</f>
        <v/>
      </c>
      <c r="T482" s="67">
        <f>IFERROR(INDEX(tbl_WIP[Revenue or Cost],$A482),"")</f>
        <v/>
      </c>
    </row>
    <row r="483">
      <c r="A483" s="65">
        <f>ROW()-407</f>
        <v/>
      </c>
      <c r="B483" s="66">
        <f>IFERROR(INDEX(tbl_WIP[Month],$A483),"")</f>
        <v/>
      </c>
      <c r="C483" s="67">
        <f>IFERROR(INDEX(tbl_WIP[Xero Invoice No],$A483),"")</f>
        <v/>
      </c>
      <c r="D483" s="67">
        <f>IFERROR(INDEX(tbl_WIP[Client],$A483),"")</f>
        <v/>
      </c>
      <c r="E483" s="67">
        <f>IFERROR(INDEX(tbl_WIP[Job Number],$A483),"")</f>
        <v/>
      </c>
      <c r="F483" s="67">
        <f>IFERROR(INDEX(tbl_WIP[Cost Centre],$A483),"")</f>
        <v/>
      </c>
      <c r="G483" s="68">
        <f>IFERROR(IF(INDEX(tbl_WIP[Defer Start],$A483)="","",IF(INDEX(tbl_WIP[Revenue or Cost],$A483)="Cost",-1,1)*INDEX(tbl_WIP[Amount],$A483)),"")</f>
        <v/>
      </c>
      <c r="H483" s="66">
        <f>IFERROR(INDEX(tbl_WIP[Defer Start],$A483),"")</f>
        <v/>
      </c>
      <c r="I483" s="66">
        <f>IFERROR(INDEX(tbl_WIP[Defer End],$A483),"")</f>
        <v/>
      </c>
      <c r="J483" s="65">
        <f>IF(OR($H483="",$I483="",$G483=""),"",MAX(1,(YEAR($I483)-YEAR($H483))*12+MONTH($I483)-MONTH($H483)+1))</f>
        <v/>
      </c>
      <c r="K483" s="68">
        <f>IF($J483="","",$G483/$J483)</f>
        <v/>
      </c>
      <c r="L483" s="68">
        <f>IF($J483="",0,$K483*MAX(0,MIN(YEAR($C$3)*12+MONTH($C$3),YEAR($I483)*12+MONTH($I483))-(YEAR($H483)*12+MONTH($H483))+1))</f>
        <v/>
      </c>
      <c r="M483" s="68">
        <f>IF($J483="",0,$K483*MAX(0,MIN(YEAR($C$3)*12+MONTH($C$3)-1,YEAR($I483)*12+MONTH($I483))-(YEAR($H483)*12+MONTH($H483))+1))</f>
        <v/>
      </c>
      <c r="N483" s="68">
        <f>IF(OR($J483="",$B483=""),0,IF(YEAR($B483)*12+MONTH($B483)&lt;=YEAR($C$3)*12+MONTH($C$3),$G483,0))</f>
        <v/>
      </c>
      <c r="O483" s="68">
        <f>IF(OR($J483="",$B483=""),0,IF(YEAR($B483)*12+MONTH($B483)&lt;=YEAR($C$3)*12+MONTH($C$3)-1,$G483,0))</f>
        <v/>
      </c>
      <c r="P483" s="68">
        <f>$M483-$O483</f>
        <v/>
      </c>
      <c r="Q483" s="68">
        <f>($L483-$M483)-($N483-$O483)</f>
        <v/>
      </c>
      <c r="R483" s="68">
        <f>$L483-$N483</f>
        <v/>
      </c>
      <c r="S483" s="67">
        <f>"WIP journal"</f>
        <v/>
      </c>
      <c r="T483" s="67">
        <f>IFERROR(INDEX(tbl_WIP[Revenue or Cost],$A483),"")</f>
        <v/>
      </c>
    </row>
    <row r="484">
      <c r="A484" s="65">
        <f>ROW()-407</f>
        <v/>
      </c>
      <c r="B484" s="66">
        <f>IFERROR(INDEX(tbl_WIP[Month],$A484),"")</f>
        <v/>
      </c>
      <c r="C484" s="67">
        <f>IFERROR(INDEX(tbl_WIP[Xero Invoice No],$A484),"")</f>
        <v/>
      </c>
      <c r="D484" s="67">
        <f>IFERROR(INDEX(tbl_WIP[Client],$A484),"")</f>
        <v/>
      </c>
      <c r="E484" s="67">
        <f>IFERROR(INDEX(tbl_WIP[Job Number],$A484),"")</f>
        <v/>
      </c>
      <c r="F484" s="67">
        <f>IFERROR(INDEX(tbl_WIP[Cost Centre],$A484),"")</f>
        <v/>
      </c>
      <c r="G484" s="68">
        <f>IFERROR(IF(INDEX(tbl_WIP[Defer Start],$A484)="","",IF(INDEX(tbl_WIP[Revenue or Cost],$A484)="Cost",-1,1)*INDEX(tbl_WIP[Amount],$A484)),"")</f>
        <v/>
      </c>
      <c r="H484" s="66">
        <f>IFERROR(INDEX(tbl_WIP[Defer Start],$A484),"")</f>
        <v/>
      </c>
      <c r="I484" s="66">
        <f>IFERROR(INDEX(tbl_WIP[Defer End],$A484),"")</f>
        <v/>
      </c>
      <c r="J484" s="65">
        <f>IF(OR($H484="",$I484="",$G484=""),"",MAX(1,(YEAR($I484)-YEAR($H484))*12+MONTH($I484)-MONTH($H484)+1))</f>
        <v/>
      </c>
      <c r="K484" s="68">
        <f>IF($J484="","",$G484/$J484)</f>
        <v/>
      </c>
      <c r="L484" s="68">
        <f>IF($J484="",0,$K484*MAX(0,MIN(YEAR($C$3)*12+MONTH($C$3),YEAR($I484)*12+MONTH($I484))-(YEAR($H484)*12+MONTH($H484))+1))</f>
        <v/>
      </c>
      <c r="M484" s="68">
        <f>IF($J484="",0,$K484*MAX(0,MIN(YEAR($C$3)*12+MONTH($C$3)-1,YEAR($I484)*12+MONTH($I484))-(YEAR($H484)*12+MONTH($H484))+1))</f>
        <v/>
      </c>
      <c r="N484" s="68">
        <f>IF(OR($J484="",$B484=""),0,IF(YEAR($B484)*12+MONTH($B484)&lt;=YEAR($C$3)*12+MONTH($C$3),$G484,0))</f>
        <v/>
      </c>
      <c r="O484" s="68">
        <f>IF(OR($J484="",$B484=""),0,IF(YEAR($B484)*12+MONTH($B484)&lt;=YEAR($C$3)*12+MONTH($C$3)-1,$G484,0))</f>
        <v/>
      </c>
      <c r="P484" s="68">
        <f>$M484-$O484</f>
        <v/>
      </c>
      <c r="Q484" s="68">
        <f>($L484-$M484)-($N484-$O484)</f>
        <v/>
      </c>
      <c r="R484" s="68">
        <f>$L484-$N484</f>
        <v/>
      </c>
      <c r="S484" s="67">
        <f>"WIP journal"</f>
        <v/>
      </c>
      <c r="T484" s="67">
        <f>IFERROR(INDEX(tbl_WIP[Revenue or Cost],$A484),"")</f>
        <v/>
      </c>
    </row>
    <row r="485">
      <c r="A485" s="65">
        <f>ROW()-407</f>
        <v/>
      </c>
      <c r="B485" s="66">
        <f>IFERROR(INDEX(tbl_WIP[Month],$A485),"")</f>
        <v/>
      </c>
      <c r="C485" s="67">
        <f>IFERROR(INDEX(tbl_WIP[Xero Invoice No],$A485),"")</f>
        <v/>
      </c>
      <c r="D485" s="67">
        <f>IFERROR(INDEX(tbl_WIP[Client],$A485),"")</f>
        <v/>
      </c>
      <c r="E485" s="67">
        <f>IFERROR(INDEX(tbl_WIP[Job Number],$A485),"")</f>
        <v/>
      </c>
      <c r="F485" s="67">
        <f>IFERROR(INDEX(tbl_WIP[Cost Centre],$A485),"")</f>
        <v/>
      </c>
      <c r="G485" s="68">
        <f>IFERROR(IF(INDEX(tbl_WIP[Defer Start],$A485)="","",IF(INDEX(tbl_WIP[Revenue or Cost],$A485)="Cost",-1,1)*INDEX(tbl_WIP[Amount],$A485)),"")</f>
        <v/>
      </c>
      <c r="H485" s="66">
        <f>IFERROR(INDEX(tbl_WIP[Defer Start],$A485),"")</f>
        <v/>
      </c>
      <c r="I485" s="66">
        <f>IFERROR(INDEX(tbl_WIP[Defer End],$A485),"")</f>
        <v/>
      </c>
      <c r="J485" s="65">
        <f>IF(OR($H485="",$I485="",$G485=""),"",MAX(1,(YEAR($I485)-YEAR($H485))*12+MONTH($I485)-MONTH($H485)+1))</f>
        <v/>
      </c>
      <c r="K485" s="68">
        <f>IF($J485="","",$G485/$J485)</f>
        <v/>
      </c>
      <c r="L485" s="68">
        <f>IF($J485="",0,$K485*MAX(0,MIN(YEAR($C$3)*12+MONTH($C$3),YEAR($I485)*12+MONTH($I485))-(YEAR($H485)*12+MONTH($H485))+1))</f>
        <v/>
      </c>
      <c r="M485" s="68">
        <f>IF($J485="",0,$K485*MAX(0,MIN(YEAR($C$3)*12+MONTH($C$3)-1,YEAR($I485)*12+MONTH($I485))-(YEAR($H485)*12+MONTH($H485))+1))</f>
        <v/>
      </c>
      <c r="N485" s="68">
        <f>IF(OR($J485="",$B485=""),0,IF(YEAR($B485)*12+MONTH($B485)&lt;=YEAR($C$3)*12+MONTH($C$3),$G485,0))</f>
        <v/>
      </c>
      <c r="O485" s="68">
        <f>IF(OR($J485="",$B485=""),0,IF(YEAR($B485)*12+MONTH($B485)&lt;=YEAR($C$3)*12+MONTH($C$3)-1,$G485,0))</f>
        <v/>
      </c>
      <c r="P485" s="68">
        <f>$M485-$O485</f>
        <v/>
      </c>
      <c r="Q485" s="68">
        <f>($L485-$M485)-($N485-$O485)</f>
        <v/>
      </c>
      <c r="R485" s="68">
        <f>$L485-$N485</f>
        <v/>
      </c>
      <c r="S485" s="67">
        <f>"WIP journal"</f>
        <v/>
      </c>
      <c r="T485" s="67">
        <f>IFERROR(INDEX(tbl_WIP[Revenue or Cost],$A485),"")</f>
        <v/>
      </c>
    </row>
    <row r="486">
      <c r="A486" s="65">
        <f>ROW()-407</f>
        <v/>
      </c>
      <c r="B486" s="66">
        <f>IFERROR(INDEX(tbl_WIP[Month],$A486),"")</f>
        <v/>
      </c>
      <c r="C486" s="67">
        <f>IFERROR(INDEX(tbl_WIP[Xero Invoice No],$A486),"")</f>
        <v/>
      </c>
      <c r="D486" s="67">
        <f>IFERROR(INDEX(tbl_WIP[Client],$A486),"")</f>
        <v/>
      </c>
      <c r="E486" s="67">
        <f>IFERROR(INDEX(tbl_WIP[Job Number],$A486),"")</f>
        <v/>
      </c>
      <c r="F486" s="67">
        <f>IFERROR(INDEX(tbl_WIP[Cost Centre],$A486),"")</f>
        <v/>
      </c>
      <c r="G486" s="68">
        <f>IFERROR(IF(INDEX(tbl_WIP[Defer Start],$A486)="","",IF(INDEX(tbl_WIP[Revenue or Cost],$A486)="Cost",-1,1)*INDEX(tbl_WIP[Amount],$A486)),"")</f>
        <v/>
      </c>
      <c r="H486" s="66">
        <f>IFERROR(INDEX(tbl_WIP[Defer Start],$A486),"")</f>
        <v/>
      </c>
      <c r="I486" s="66">
        <f>IFERROR(INDEX(tbl_WIP[Defer End],$A486),"")</f>
        <v/>
      </c>
      <c r="J486" s="65">
        <f>IF(OR($H486="",$I486="",$G486=""),"",MAX(1,(YEAR($I486)-YEAR($H486))*12+MONTH($I486)-MONTH($H486)+1))</f>
        <v/>
      </c>
      <c r="K486" s="68">
        <f>IF($J486="","",$G486/$J486)</f>
        <v/>
      </c>
      <c r="L486" s="68">
        <f>IF($J486="",0,$K486*MAX(0,MIN(YEAR($C$3)*12+MONTH($C$3),YEAR($I486)*12+MONTH($I486))-(YEAR($H486)*12+MONTH($H486))+1))</f>
        <v/>
      </c>
      <c r="M486" s="68">
        <f>IF($J486="",0,$K486*MAX(0,MIN(YEAR($C$3)*12+MONTH($C$3)-1,YEAR($I486)*12+MONTH($I486))-(YEAR($H486)*12+MONTH($H486))+1))</f>
        <v/>
      </c>
      <c r="N486" s="68">
        <f>IF(OR($J486="",$B486=""),0,IF(YEAR($B486)*12+MONTH($B486)&lt;=YEAR($C$3)*12+MONTH($C$3),$G486,0))</f>
        <v/>
      </c>
      <c r="O486" s="68">
        <f>IF(OR($J486="",$B486=""),0,IF(YEAR($B486)*12+MONTH($B486)&lt;=YEAR($C$3)*12+MONTH($C$3)-1,$G486,0))</f>
        <v/>
      </c>
      <c r="P486" s="68">
        <f>$M486-$O486</f>
        <v/>
      </c>
      <c r="Q486" s="68">
        <f>($L486-$M486)-($N486-$O486)</f>
        <v/>
      </c>
      <c r="R486" s="68">
        <f>$L486-$N486</f>
        <v/>
      </c>
      <c r="S486" s="67">
        <f>"WIP journal"</f>
        <v/>
      </c>
      <c r="T486" s="67">
        <f>IFERROR(INDEX(tbl_WIP[Revenue or Cost],$A486),"")</f>
        <v/>
      </c>
    </row>
    <row r="487">
      <c r="A487" s="65">
        <f>ROW()-407</f>
        <v/>
      </c>
      <c r="B487" s="66">
        <f>IFERROR(INDEX(tbl_WIP[Month],$A487),"")</f>
        <v/>
      </c>
      <c r="C487" s="67">
        <f>IFERROR(INDEX(tbl_WIP[Xero Invoice No],$A487),"")</f>
        <v/>
      </c>
      <c r="D487" s="67">
        <f>IFERROR(INDEX(tbl_WIP[Client],$A487),"")</f>
        <v/>
      </c>
      <c r="E487" s="67">
        <f>IFERROR(INDEX(tbl_WIP[Job Number],$A487),"")</f>
        <v/>
      </c>
      <c r="F487" s="67">
        <f>IFERROR(INDEX(tbl_WIP[Cost Centre],$A487),"")</f>
        <v/>
      </c>
      <c r="G487" s="68">
        <f>IFERROR(IF(INDEX(tbl_WIP[Defer Start],$A487)="","",IF(INDEX(tbl_WIP[Revenue or Cost],$A487)="Cost",-1,1)*INDEX(tbl_WIP[Amount],$A487)),"")</f>
        <v/>
      </c>
      <c r="H487" s="66">
        <f>IFERROR(INDEX(tbl_WIP[Defer Start],$A487),"")</f>
        <v/>
      </c>
      <c r="I487" s="66">
        <f>IFERROR(INDEX(tbl_WIP[Defer End],$A487),"")</f>
        <v/>
      </c>
      <c r="J487" s="65">
        <f>IF(OR($H487="",$I487="",$G487=""),"",MAX(1,(YEAR($I487)-YEAR($H487))*12+MONTH($I487)-MONTH($H487)+1))</f>
        <v/>
      </c>
      <c r="K487" s="68">
        <f>IF($J487="","",$G487/$J487)</f>
        <v/>
      </c>
      <c r="L487" s="68">
        <f>IF($J487="",0,$K487*MAX(0,MIN(YEAR($C$3)*12+MONTH($C$3),YEAR($I487)*12+MONTH($I487))-(YEAR($H487)*12+MONTH($H487))+1))</f>
        <v/>
      </c>
      <c r="M487" s="68">
        <f>IF($J487="",0,$K487*MAX(0,MIN(YEAR($C$3)*12+MONTH($C$3)-1,YEAR($I487)*12+MONTH($I487))-(YEAR($H487)*12+MONTH($H487))+1))</f>
        <v/>
      </c>
      <c r="N487" s="68">
        <f>IF(OR($J487="",$B487=""),0,IF(YEAR($B487)*12+MONTH($B487)&lt;=YEAR($C$3)*12+MONTH($C$3),$G487,0))</f>
        <v/>
      </c>
      <c r="O487" s="68">
        <f>IF(OR($J487="",$B487=""),0,IF(YEAR($B487)*12+MONTH($B487)&lt;=YEAR($C$3)*12+MONTH($C$3)-1,$G487,0))</f>
        <v/>
      </c>
      <c r="P487" s="68">
        <f>$M487-$O487</f>
        <v/>
      </c>
      <c r="Q487" s="68">
        <f>($L487-$M487)-($N487-$O487)</f>
        <v/>
      </c>
      <c r="R487" s="68">
        <f>$L487-$N487</f>
        <v/>
      </c>
      <c r="S487" s="67">
        <f>"WIP journal"</f>
        <v/>
      </c>
      <c r="T487" s="67">
        <f>IFERROR(INDEX(tbl_WIP[Revenue or Cost],$A487),"")</f>
        <v/>
      </c>
    </row>
    <row r="488">
      <c r="A488" s="65">
        <f>ROW()-407</f>
        <v/>
      </c>
      <c r="B488" s="66">
        <f>IFERROR(INDEX(tbl_WIP[Month],$A488),"")</f>
        <v/>
      </c>
      <c r="C488" s="67">
        <f>IFERROR(INDEX(tbl_WIP[Xero Invoice No],$A488),"")</f>
        <v/>
      </c>
      <c r="D488" s="67">
        <f>IFERROR(INDEX(tbl_WIP[Client],$A488),"")</f>
        <v/>
      </c>
      <c r="E488" s="67">
        <f>IFERROR(INDEX(tbl_WIP[Job Number],$A488),"")</f>
        <v/>
      </c>
      <c r="F488" s="67">
        <f>IFERROR(INDEX(tbl_WIP[Cost Centre],$A488),"")</f>
        <v/>
      </c>
      <c r="G488" s="68">
        <f>IFERROR(IF(INDEX(tbl_WIP[Defer Start],$A488)="","",IF(INDEX(tbl_WIP[Revenue or Cost],$A488)="Cost",-1,1)*INDEX(tbl_WIP[Amount],$A488)),"")</f>
        <v/>
      </c>
      <c r="H488" s="66">
        <f>IFERROR(INDEX(tbl_WIP[Defer Start],$A488),"")</f>
        <v/>
      </c>
      <c r="I488" s="66">
        <f>IFERROR(INDEX(tbl_WIP[Defer End],$A488),"")</f>
        <v/>
      </c>
      <c r="J488" s="65">
        <f>IF(OR($H488="",$I488="",$G488=""),"",MAX(1,(YEAR($I488)-YEAR($H488))*12+MONTH($I488)-MONTH($H488)+1))</f>
        <v/>
      </c>
      <c r="K488" s="68">
        <f>IF($J488="","",$G488/$J488)</f>
        <v/>
      </c>
      <c r="L488" s="68">
        <f>IF($J488="",0,$K488*MAX(0,MIN(YEAR($C$3)*12+MONTH($C$3),YEAR($I488)*12+MONTH($I488))-(YEAR($H488)*12+MONTH($H488))+1))</f>
        <v/>
      </c>
      <c r="M488" s="68">
        <f>IF($J488="",0,$K488*MAX(0,MIN(YEAR($C$3)*12+MONTH($C$3)-1,YEAR($I488)*12+MONTH($I488))-(YEAR($H488)*12+MONTH($H488))+1))</f>
        <v/>
      </c>
      <c r="N488" s="68">
        <f>IF(OR($J488="",$B488=""),0,IF(YEAR($B488)*12+MONTH($B488)&lt;=YEAR($C$3)*12+MONTH($C$3),$G488,0))</f>
        <v/>
      </c>
      <c r="O488" s="68">
        <f>IF(OR($J488="",$B488=""),0,IF(YEAR($B488)*12+MONTH($B488)&lt;=YEAR($C$3)*12+MONTH($C$3)-1,$G488,0))</f>
        <v/>
      </c>
      <c r="P488" s="68">
        <f>$M488-$O488</f>
        <v/>
      </c>
      <c r="Q488" s="68">
        <f>($L488-$M488)-($N488-$O488)</f>
        <v/>
      </c>
      <c r="R488" s="68">
        <f>$L488-$N488</f>
        <v/>
      </c>
      <c r="S488" s="67">
        <f>"WIP journal"</f>
        <v/>
      </c>
      <c r="T488" s="67">
        <f>IFERROR(INDEX(tbl_WIP[Revenue or Cost],$A488),"")</f>
        <v/>
      </c>
    </row>
    <row r="489">
      <c r="A489" s="65">
        <f>ROW()-407</f>
        <v/>
      </c>
      <c r="B489" s="66">
        <f>IFERROR(INDEX(tbl_WIP[Month],$A489),"")</f>
        <v/>
      </c>
      <c r="C489" s="67">
        <f>IFERROR(INDEX(tbl_WIP[Xero Invoice No],$A489),"")</f>
        <v/>
      </c>
      <c r="D489" s="67">
        <f>IFERROR(INDEX(tbl_WIP[Client],$A489),"")</f>
        <v/>
      </c>
      <c r="E489" s="67">
        <f>IFERROR(INDEX(tbl_WIP[Job Number],$A489),"")</f>
        <v/>
      </c>
      <c r="F489" s="67">
        <f>IFERROR(INDEX(tbl_WIP[Cost Centre],$A489),"")</f>
        <v/>
      </c>
      <c r="G489" s="68">
        <f>IFERROR(IF(INDEX(tbl_WIP[Defer Start],$A489)="","",IF(INDEX(tbl_WIP[Revenue or Cost],$A489)="Cost",-1,1)*INDEX(tbl_WIP[Amount],$A489)),"")</f>
        <v/>
      </c>
      <c r="H489" s="66">
        <f>IFERROR(INDEX(tbl_WIP[Defer Start],$A489),"")</f>
        <v/>
      </c>
      <c r="I489" s="66">
        <f>IFERROR(INDEX(tbl_WIP[Defer End],$A489),"")</f>
        <v/>
      </c>
      <c r="J489" s="65">
        <f>IF(OR($H489="",$I489="",$G489=""),"",MAX(1,(YEAR($I489)-YEAR($H489))*12+MONTH($I489)-MONTH($H489)+1))</f>
        <v/>
      </c>
      <c r="K489" s="68">
        <f>IF($J489="","",$G489/$J489)</f>
        <v/>
      </c>
      <c r="L489" s="68">
        <f>IF($J489="",0,$K489*MAX(0,MIN(YEAR($C$3)*12+MONTH($C$3),YEAR($I489)*12+MONTH($I489))-(YEAR($H489)*12+MONTH($H489))+1))</f>
        <v/>
      </c>
      <c r="M489" s="68">
        <f>IF($J489="",0,$K489*MAX(0,MIN(YEAR($C$3)*12+MONTH($C$3)-1,YEAR($I489)*12+MONTH($I489))-(YEAR($H489)*12+MONTH($H489))+1))</f>
        <v/>
      </c>
      <c r="N489" s="68">
        <f>IF(OR($J489="",$B489=""),0,IF(YEAR($B489)*12+MONTH($B489)&lt;=YEAR($C$3)*12+MONTH($C$3),$G489,0))</f>
        <v/>
      </c>
      <c r="O489" s="68">
        <f>IF(OR($J489="",$B489=""),0,IF(YEAR($B489)*12+MONTH($B489)&lt;=YEAR($C$3)*12+MONTH($C$3)-1,$G489,0))</f>
        <v/>
      </c>
      <c r="P489" s="68">
        <f>$M489-$O489</f>
        <v/>
      </c>
      <c r="Q489" s="68">
        <f>($L489-$M489)-($N489-$O489)</f>
        <v/>
      </c>
      <c r="R489" s="68">
        <f>$L489-$N489</f>
        <v/>
      </c>
      <c r="S489" s="67">
        <f>"WIP journal"</f>
        <v/>
      </c>
      <c r="T489" s="67">
        <f>IFERROR(INDEX(tbl_WIP[Revenue or Cost],$A489),"")</f>
        <v/>
      </c>
    </row>
    <row r="490">
      <c r="A490" s="65">
        <f>ROW()-407</f>
        <v/>
      </c>
      <c r="B490" s="66">
        <f>IFERROR(INDEX(tbl_WIP[Month],$A490),"")</f>
        <v/>
      </c>
      <c r="C490" s="67">
        <f>IFERROR(INDEX(tbl_WIP[Xero Invoice No],$A490),"")</f>
        <v/>
      </c>
      <c r="D490" s="67">
        <f>IFERROR(INDEX(tbl_WIP[Client],$A490),"")</f>
        <v/>
      </c>
      <c r="E490" s="67">
        <f>IFERROR(INDEX(tbl_WIP[Job Number],$A490),"")</f>
        <v/>
      </c>
      <c r="F490" s="67">
        <f>IFERROR(INDEX(tbl_WIP[Cost Centre],$A490),"")</f>
        <v/>
      </c>
      <c r="G490" s="68">
        <f>IFERROR(IF(INDEX(tbl_WIP[Defer Start],$A490)="","",IF(INDEX(tbl_WIP[Revenue or Cost],$A490)="Cost",-1,1)*INDEX(tbl_WIP[Amount],$A490)),"")</f>
        <v/>
      </c>
      <c r="H490" s="66">
        <f>IFERROR(INDEX(tbl_WIP[Defer Start],$A490),"")</f>
        <v/>
      </c>
      <c r="I490" s="66">
        <f>IFERROR(INDEX(tbl_WIP[Defer End],$A490),"")</f>
        <v/>
      </c>
      <c r="J490" s="65">
        <f>IF(OR($H490="",$I490="",$G490=""),"",MAX(1,(YEAR($I490)-YEAR($H490))*12+MONTH($I490)-MONTH($H490)+1))</f>
        <v/>
      </c>
      <c r="K490" s="68">
        <f>IF($J490="","",$G490/$J490)</f>
        <v/>
      </c>
      <c r="L490" s="68">
        <f>IF($J490="",0,$K490*MAX(0,MIN(YEAR($C$3)*12+MONTH($C$3),YEAR($I490)*12+MONTH($I490))-(YEAR($H490)*12+MONTH($H490))+1))</f>
        <v/>
      </c>
      <c r="M490" s="68">
        <f>IF($J490="",0,$K490*MAX(0,MIN(YEAR($C$3)*12+MONTH($C$3)-1,YEAR($I490)*12+MONTH($I490))-(YEAR($H490)*12+MONTH($H490))+1))</f>
        <v/>
      </c>
      <c r="N490" s="68">
        <f>IF(OR($J490="",$B490=""),0,IF(YEAR($B490)*12+MONTH($B490)&lt;=YEAR($C$3)*12+MONTH($C$3),$G490,0))</f>
        <v/>
      </c>
      <c r="O490" s="68">
        <f>IF(OR($J490="",$B490=""),0,IF(YEAR($B490)*12+MONTH($B490)&lt;=YEAR($C$3)*12+MONTH($C$3)-1,$G490,0))</f>
        <v/>
      </c>
      <c r="P490" s="68">
        <f>$M490-$O490</f>
        <v/>
      </c>
      <c r="Q490" s="68">
        <f>($L490-$M490)-($N490-$O490)</f>
        <v/>
      </c>
      <c r="R490" s="68">
        <f>$L490-$N490</f>
        <v/>
      </c>
      <c r="S490" s="67">
        <f>"WIP journal"</f>
        <v/>
      </c>
      <c r="T490" s="67">
        <f>IFERROR(INDEX(tbl_WIP[Revenue or Cost],$A490),"")</f>
        <v/>
      </c>
    </row>
    <row r="491">
      <c r="A491" s="65">
        <f>ROW()-407</f>
        <v/>
      </c>
      <c r="B491" s="66">
        <f>IFERROR(INDEX(tbl_WIP[Month],$A491),"")</f>
        <v/>
      </c>
      <c r="C491" s="67">
        <f>IFERROR(INDEX(tbl_WIP[Xero Invoice No],$A491),"")</f>
        <v/>
      </c>
      <c r="D491" s="67">
        <f>IFERROR(INDEX(tbl_WIP[Client],$A491),"")</f>
        <v/>
      </c>
      <c r="E491" s="67">
        <f>IFERROR(INDEX(tbl_WIP[Job Number],$A491),"")</f>
        <v/>
      </c>
      <c r="F491" s="67">
        <f>IFERROR(INDEX(tbl_WIP[Cost Centre],$A491),"")</f>
        <v/>
      </c>
      <c r="G491" s="68">
        <f>IFERROR(IF(INDEX(tbl_WIP[Defer Start],$A491)="","",IF(INDEX(tbl_WIP[Revenue or Cost],$A491)="Cost",-1,1)*INDEX(tbl_WIP[Amount],$A491)),"")</f>
        <v/>
      </c>
      <c r="H491" s="66">
        <f>IFERROR(INDEX(tbl_WIP[Defer Start],$A491),"")</f>
        <v/>
      </c>
      <c r="I491" s="66">
        <f>IFERROR(INDEX(tbl_WIP[Defer End],$A491),"")</f>
        <v/>
      </c>
      <c r="J491" s="65">
        <f>IF(OR($H491="",$I491="",$G491=""),"",MAX(1,(YEAR($I491)-YEAR($H491))*12+MONTH($I491)-MONTH($H491)+1))</f>
        <v/>
      </c>
      <c r="K491" s="68">
        <f>IF($J491="","",$G491/$J491)</f>
        <v/>
      </c>
      <c r="L491" s="68">
        <f>IF($J491="",0,$K491*MAX(0,MIN(YEAR($C$3)*12+MONTH($C$3),YEAR($I491)*12+MONTH($I491))-(YEAR($H491)*12+MONTH($H491))+1))</f>
        <v/>
      </c>
      <c r="M491" s="68">
        <f>IF($J491="",0,$K491*MAX(0,MIN(YEAR($C$3)*12+MONTH($C$3)-1,YEAR($I491)*12+MONTH($I491))-(YEAR($H491)*12+MONTH($H491))+1))</f>
        <v/>
      </c>
      <c r="N491" s="68">
        <f>IF(OR($J491="",$B491=""),0,IF(YEAR($B491)*12+MONTH($B491)&lt;=YEAR($C$3)*12+MONTH($C$3),$G491,0))</f>
        <v/>
      </c>
      <c r="O491" s="68">
        <f>IF(OR($J491="",$B491=""),0,IF(YEAR($B491)*12+MONTH($B491)&lt;=YEAR($C$3)*12+MONTH($C$3)-1,$G491,0))</f>
        <v/>
      </c>
      <c r="P491" s="68">
        <f>$M491-$O491</f>
        <v/>
      </c>
      <c r="Q491" s="68">
        <f>($L491-$M491)-($N491-$O491)</f>
        <v/>
      </c>
      <c r="R491" s="68">
        <f>$L491-$N491</f>
        <v/>
      </c>
      <c r="S491" s="67">
        <f>"WIP journal"</f>
        <v/>
      </c>
      <c r="T491" s="67">
        <f>IFERROR(INDEX(tbl_WIP[Revenue or Cost],$A491),"")</f>
        <v/>
      </c>
    </row>
    <row r="492">
      <c r="A492" s="65">
        <f>ROW()-407</f>
        <v/>
      </c>
      <c r="B492" s="66">
        <f>IFERROR(INDEX(tbl_WIP[Month],$A492),"")</f>
        <v/>
      </c>
      <c r="C492" s="67">
        <f>IFERROR(INDEX(tbl_WIP[Xero Invoice No],$A492),"")</f>
        <v/>
      </c>
      <c r="D492" s="67">
        <f>IFERROR(INDEX(tbl_WIP[Client],$A492),"")</f>
        <v/>
      </c>
      <c r="E492" s="67">
        <f>IFERROR(INDEX(tbl_WIP[Job Number],$A492),"")</f>
        <v/>
      </c>
      <c r="F492" s="67">
        <f>IFERROR(INDEX(tbl_WIP[Cost Centre],$A492),"")</f>
        <v/>
      </c>
      <c r="G492" s="68">
        <f>IFERROR(IF(INDEX(tbl_WIP[Defer Start],$A492)="","",IF(INDEX(tbl_WIP[Revenue or Cost],$A492)="Cost",-1,1)*INDEX(tbl_WIP[Amount],$A492)),"")</f>
        <v/>
      </c>
      <c r="H492" s="66">
        <f>IFERROR(INDEX(tbl_WIP[Defer Start],$A492),"")</f>
        <v/>
      </c>
      <c r="I492" s="66">
        <f>IFERROR(INDEX(tbl_WIP[Defer End],$A492),"")</f>
        <v/>
      </c>
      <c r="J492" s="65">
        <f>IF(OR($H492="",$I492="",$G492=""),"",MAX(1,(YEAR($I492)-YEAR($H492))*12+MONTH($I492)-MONTH($H492)+1))</f>
        <v/>
      </c>
      <c r="K492" s="68">
        <f>IF($J492="","",$G492/$J492)</f>
        <v/>
      </c>
      <c r="L492" s="68">
        <f>IF($J492="",0,$K492*MAX(0,MIN(YEAR($C$3)*12+MONTH($C$3),YEAR($I492)*12+MONTH($I492))-(YEAR($H492)*12+MONTH($H492))+1))</f>
        <v/>
      </c>
      <c r="M492" s="68">
        <f>IF($J492="",0,$K492*MAX(0,MIN(YEAR($C$3)*12+MONTH($C$3)-1,YEAR($I492)*12+MONTH($I492))-(YEAR($H492)*12+MONTH($H492))+1))</f>
        <v/>
      </c>
      <c r="N492" s="68">
        <f>IF(OR($J492="",$B492=""),0,IF(YEAR($B492)*12+MONTH($B492)&lt;=YEAR($C$3)*12+MONTH($C$3),$G492,0))</f>
        <v/>
      </c>
      <c r="O492" s="68">
        <f>IF(OR($J492="",$B492=""),0,IF(YEAR($B492)*12+MONTH($B492)&lt;=YEAR($C$3)*12+MONTH($C$3)-1,$G492,0))</f>
        <v/>
      </c>
      <c r="P492" s="68">
        <f>$M492-$O492</f>
        <v/>
      </c>
      <c r="Q492" s="68">
        <f>($L492-$M492)-($N492-$O492)</f>
        <v/>
      </c>
      <c r="R492" s="68">
        <f>$L492-$N492</f>
        <v/>
      </c>
      <c r="S492" s="67">
        <f>"WIP journal"</f>
        <v/>
      </c>
      <c r="T492" s="67">
        <f>IFERROR(INDEX(tbl_WIP[Revenue or Cost],$A492),"")</f>
        <v/>
      </c>
    </row>
    <row r="493">
      <c r="A493" s="65">
        <f>ROW()-407</f>
        <v/>
      </c>
      <c r="B493" s="66">
        <f>IFERROR(INDEX(tbl_WIP[Month],$A493),"")</f>
        <v/>
      </c>
      <c r="C493" s="67">
        <f>IFERROR(INDEX(tbl_WIP[Xero Invoice No],$A493),"")</f>
        <v/>
      </c>
      <c r="D493" s="67">
        <f>IFERROR(INDEX(tbl_WIP[Client],$A493),"")</f>
        <v/>
      </c>
      <c r="E493" s="67">
        <f>IFERROR(INDEX(tbl_WIP[Job Number],$A493),"")</f>
        <v/>
      </c>
      <c r="F493" s="67">
        <f>IFERROR(INDEX(tbl_WIP[Cost Centre],$A493),"")</f>
        <v/>
      </c>
      <c r="G493" s="68">
        <f>IFERROR(IF(INDEX(tbl_WIP[Defer Start],$A493)="","",IF(INDEX(tbl_WIP[Revenue or Cost],$A493)="Cost",-1,1)*INDEX(tbl_WIP[Amount],$A493)),"")</f>
        <v/>
      </c>
      <c r="H493" s="66">
        <f>IFERROR(INDEX(tbl_WIP[Defer Start],$A493),"")</f>
        <v/>
      </c>
      <c r="I493" s="66">
        <f>IFERROR(INDEX(tbl_WIP[Defer End],$A493),"")</f>
        <v/>
      </c>
      <c r="J493" s="65">
        <f>IF(OR($H493="",$I493="",$G493=""),"",MAX(1,(YEAR($I493)-YEAR($H493))*12+MONTH($I493)-MONTH($H493)+1))</f>
        <v/>
      </c>
      <c r="K493" s="68">
        <f>IF($J493="","",$G493/$J493)</f>
        <v/>
      </c>
      <c r="L493" s="68">
        <f>IF($J493="",0,$K493*MAX(0,MIN(YEAR($C$3)*12+MONTH($C$3),YEAR($I493)*12+MONTH($I493))-(YEAR($H493)*12+MONTH($H493))+1))</f>
        <v/>
      </c>
      <c r="M493" s="68">
        <f>IF($J493="",0,$K493*MAX(0,MIN(YEAR($C$3)*12+MONTH($C$3)-1,YEAR($I493)*12+MONTH($I493))-(YEAR($H493)*12+MONTH($H493))+1))</f>
        <v/>
      </c>
      <c r="N493" s="68">
        <f>IF(OR($J493="",$B493=""),0,IF(YEAR($B493)*12+MONTH($B493)&lt;=YEAR($C$3)*12+MONTH($C$3),$G493,0))</f>
        <v/>
      </c>
      <c r="O493" s="68">
        <f>IF(OR($J493="",$B493=""),0,IF(YEAR($B493)*12+MONTH($B493)&lt;=YEAR($C$3)*12+MONTH($C$3)-1,$G493,0))</f>
        <v/>
      </c>
      <c r="P493" s="68">
        <f>$M493-$O493</f>
        <v/>
      </c>
      <c r="Q493" s="68">
        <f>($L493-$M493)-($N493-$O493)</f>
        <v/>
      </c>
      <c r="R493" s="68">
        <f>$L493-$N493</f>
        <v/>
      </c>
      <c r="S493" s="67">
        <f>"WIP journal"</f>
        <v/>
      </c>
      <c r="T493" s="67">
        <f>IFERROR(INDEX(tbl_WIP[Revenue or Cost],$A493),"")</f>
        <v/>
      </c>
    </row>
    <row r="494">
      <c r="A494" s="65">
        <f>ROW()-407</f>
        <v/>
      </c>
      <c r="B494" s="66">
        <f>IFERROR(INDEX(tbl_WIP[Month],$A494),"")</f>
        <v/>
      </c>
      <c r="C494" s="67">
        <f>IFERROR(INDEX(tbl_WIP[Xero Invoice No],$A494),"")</f>
        <v/>
      </c>
      <c r="D494" s="67">
        <f>IFERROR(INDEX(tbl_WIP[Client],$A494),"")</f>
        <v/>
      </c>
      <c r="E494" s="67">
        <f>IFERROR(INDEX(tbl_WIP[Job Number],$A494),"")</f>
        <v/>
      </c>
      <c r="F494" s="67">
        <f>IFERROR(INDEX(tbl_WIP[Cost Centre],$A494),"")</f>
        <v/>
      </c>
      <c r="G494" s="68">
        <f>IFERROR(IF(INDEX(tbl_WIP[Defer Start],$A494)="","",IF(INDEX(tbl_WIP[Revenue or Cost],$A494)="Cost",-1,1)*INDEX(tbl_WIP[Amount],$A494)),"")</f>
        <v/>
      </c>
      <c r="H494" s="66">
        <f>IFERROR(INDEX(tbl_WIP[Defer Start],$A494),"")</f>
        <v/>
      </c>
      <c r="I494" s="66">
        <f>IFERROR(INDEX(tbl_WIP[Defer End],$A494),"")</f>
        <v/>
      </c>
      <c r="J494" s="65">
        <f>IF(OR($H494="",$I494="",$G494=""),"",MAX(1,(YEAR($I494)-YEAR($H494))*12+MONTH($I494)-MONTH($H494)+1))</f>
        <v/>
      </c>
      <c r="K494" s="68">
        <f>IF($J494="","",$G494/$J494)</f>
        <v/>
      </c>
      <c r="L494" s="68">
        <f>IF($J494="",0,$K494*MAX(0,MIN(YEAR($C$3)*12+MONTH($C$3),YEAR($I494)*12+MONTH($I494))-(YEAR($H494)*12+MONTH($H494))+1))</f>
        <v/>
      </c>
      <c r="M494" s="68">
        <f>IF($J494="",0,$K494*MAX(0,MIN(YEAR($C$3)*12+MONTH($C$3)-1,YEAR($I494)*12+MONTH($I494))-(YEAR($H494)*12+MONTH($H494))+1))</f>
        <v/>
      </c>
      <c r="N494" s="68">
        <f>IF(OR($J494="",$B494=""),0,IF(YEAR($B494)*12+MONTH($B494)&lt;=YEAR($C$3)*12+MONTH($C$3),$G494,0))</f>
        <v/>
      </c>
      <c r="O494" s="68">
        <f>IF(OR($J494="",$B494=""),0,IF(YEAR($B494)*12+MONTH($B494)&lt;=YEAR($C$3)*12+MONTH($C$3)-1,$G494,0))</f>
        <v/>
      </c>
      <c r="P494" s="68">
        <f>$M494-$O494</f>
        <v/>
      </c>
      <c r="Q494" s="68">
        <f>($L494-$M494)-($N494-$O494)</f>
        <v/>
      </c>
      <c r="R494" s="68">
        <f>$L494-$N494</f>
        <v/>
      </c>
      <c r="S494" s="67">
        <f>"WIP journal"</f>
        <v/>
      </c>
      <c r="T494" s="67">
        <f>IFERROR(INDEX(tbl_WIP[Revenue or Cost],$A494),"")</f>
        <v/>
      </c>
    </row>
    <row r="495">
      <c r="A495" s="65">
        <f>ROW()-407</f>
        <v/>
      </c>
      <c r="B495" s="66">
        <f>IFERROR(INDEX(tbl_WIP[Month],$A495),"")</f>
        <v/>
      </c>
      <c r="C495" s="67">
        <f>IFERROR(INDEX(tbl_WIP[Xero Invoice No],$A495),"")</f>
        <v/>
      </c>
      <c r="D495" s="67">
        <f>IFERROR(INDEX(tbl_WIP[Client],$A495),"")</f>
        <v/>
      </c>
      <c r="E495" s="67">
        <f>IFERROR(INDEX(tbl_WIP[Job Number],$A495),"")</f>
        <v/>
      </c>
      <c r="F495" s="67">
        <f>IFERROR(INDEX(tbl_WIP[Cost Centre],$A495),"")</f>
        <v/>
      </c>
      <c r="G495" s="68">
        <f>IFERROR(IF(INDEX(tbl_WIP[Defer Start],$A495)="","",IF(INDEX(tbl_WIP[Revenue or Cost],$A495)="Cost",-1,1)*INDEX(tbl_WIP[Amount],$A495)),"")</f>
        <v/>
      </c>
      <c r="H495" s="66">
        <f>IFERROR(INDEX(tbl_WIP[Defer Start],$A495),"")</f>
        <v/>
      </c>
      <c r="I495" s="66">
        <f>IFERROR(INDEX(tbl_WIP[Defer End],$A495),"")</f>
        <v/>
      </c>
      <c r="J495" s="65">
        <f>IF(OR($H495="",$I495="",$G495=""),"",MAX(1,(YEAR($I495)-YEAR($H495))*12+MONTH($I495)-MONTH($H495)+1))</f>
        <v/>
      </c>
      <c r="K495" s="68">
        <f>IF($J495="","",$G495/$J495)</f>
        <v/>
      </c>
      <c r="L495" s="68">
        <f>IF($J495="",0,$K495*MAX(0,MIN(YEAR($C$3)*12+MONTH($C$3),YEAR($I495)*12+MONTH($I495))-(YEAR($H495)*12+MONTH($H495))+1))</f>
        <v/>
      </c>
      <c r="M495" s="68">
        <f>IF($J495="",0,$K495*MAX(0,MIN(YEAR($C$3)*12+MONTH($C$3)-1,YEAR($I495)*12+MONTH($I495))-(YEAR($H495)*12+MONTH($H495))+1))</f>
        <v/>
      </c>
      <c r="N495" s="68">
        <f>IF(OR($J495="",$B495=""),0,IF(YEAR($B495)*12+MONTH($B495)&lt;=YEAR($C$3)*12+MONTH($C$3),$G495,0))</f>
        <v/>
      </c>
      <c r="O495" s="68">
        <f>IF(OR($J495="",$B495=""),0,IF(YEAR($B495)*12+MONTH($B495)&lt;=YEAR($C$3)*12+MONTH($C$3)-1,$G495,0))</f>
        <v/>
      </c>
      <c r="P495" s="68">
        <f>$M495-$O495</f>
        <v/>
      </c>
      <c r="Q495" s="68">
        <f>($L495-$M495)-($N495-$O495)</f>
        <v/>
      </c>
      <c r="R495" s="68">
        <f>$L495-$N495</f>
        <v/>
      </c>
      <c r="S495" s="67">
        <f>"WIP journal"</f>
        <v/>
      </c>
      <c r="T495" s="67">
        <f>IFERROR(INDEX(tbl_WIP[Revenue or Cost],$A495),"")</f>
        <v/>
      </c>
    </row>
    <row r="496">
      <c r="A496" s="65">
        <f>ROW()-407</f>
        <v/>
      </c>
      <c r="B496" s="66">
        <f>IFERROR(INDEX(tbl_WIP[Month],$A496),"")</f>
        <v/>
      </c>
      <c r="C496" s="67">
        <f>IFERROR(INDEX(tbl_WIP[Xero Invoice No],$A496),"")</f>
        <v/>
      </c>
      <c r="D496" s="67">
        <f>IFERROR(INDEX(tbl_WIP[Client],$A496),"")</f>
        <v/>
      </c>
      <c r="E496" s="67">
        <f>IFERROR(INDEX(tbl_WIP[Job Number],$A496),"")</f>
        <v/>
      </c>
      <c r="F496" s="67">
        <f>IFERROR(INDEX(tbl_WIP[Cost Centre],$A496),"")</f>
        <v/>
      </c>
      <c r="G496" s="68">
        <f>IFERROR(IF(INDEX(tbl_WIP[Defer Start],$A496)="","",IF(INDEX(tbl_WIP[Revenue or Cost],$A496)="Cost",-1,1)*INDEX(tbl_WIP[Amount],$A496)),"")</f>
        <v/>
      </c>
      <c r="H496" s="66">
        <f>IFERROR(INDEX(tbl_WIP[Defer Start],$A496),"")</f>
        <v/>
      </c>
      <c r="I496" s="66">
        <f>IFERROR(INDEX(tbl_WIP[Defer End],$A496),"")</f>
        <v/>
      </c>
      <c r="J496" s="65">
        <f>IF(OR($H496="",$I496="",$G496=""),"",MAX(1,(YEAR($I496)-YEAR($H496))*12+MONTH($I496)-MONTH($H496)+1))</f>
        <v/>
      </c>
      <c r="K496" s="68">
        <f>IF($J496="","",$G496/$J496)</f>
        <v/>
      </c>
      <c r="L496" s="68">
        <f>IF($J496="",0,$K496*MAX(0,MIN(YEAR($C$3)*12+MONTH($C$3),YEAR($I496)*12+MONTH($I496))-(YEAR($H496)*12+MONTH($H496))+1))</f>
        <v/>
      </c>
      <c r="M496" s="68">
        <f>IF($J496="",0,$K496*MAX(0,MIN(YEAR($C$3)*12+MONTH($C$3)-1,YEAR($I496)*12+MONTH($I496))-(YEAR($H496)*12+MONTH($H496))+1))</f>
        <v/>
      </c>
      <c r="N496" s="68">
        <f>IF(OR($J496="",$B496=""),0,IF(YEAR($B496)*12+MONTH($B496)&lt;=YEAR($C$3)*12+MONTH($C$3),$G496,0))</f>
        <v/>
      </c>
      <c r="O496" s="68">
        <f>IF(OR($J496="",$B496=""),0,IF(YEAR($B496)*12+MONTH($B496)&lt;=YEAR($C$3)*12+MONTH($C$3)-1,$G496,0))</f>
        <v/>
      </c>
      <c r="P496" s="68">
        <f>$M496-$O496</f>
        <v/>
      </c>
      <c r="Q496" s="68">
        <f>($L496-$M496)-($N496-$O496)</f>
        <v/>
      </c>
      <c r="R496" s="68">
        <f>$L496-$N496</f>
        <v/>
      </c>
      <c r="S496" s="67">
        <f>"WIP journal"</f>
        <v/>
      </c>
      <c r="T496" s="67">
        <f>IFERROR(INDEX(tbl_WIP[Revenue or Cost],$A496),"")</f>
        <v/>
      </c>
    </row>
    <row r="497">
      <c r="A497" s="65">
        <f>ROW()-407</f>
        <v/>
      </c>
      <c r="B497" s="66">
        <f>IFERROR(INDEX(tbl_WIP[Month],$A497),"")</f>
        <v/>
      </c>
      <c r="C497" s="67">
        <f>IFERROR(INDEX(tbl_WIP[Xero Invoice No],$A497),"")</f>
        <v/>
      </c>
      <c r="D497" s="67">
        <f>IFERROR(INDEX(tbl_WIP[Client],$A497),"")</f>
        <v/>
      </c>
      <c r="E497" s="67">
        <f>IFERROR(INDEX(tbl_WIP[Job Number],$A497),"")</f>
        <v/>
      </c>
      <c r="F497" s="67">
        <f>IFERROR(INDEX(tbl_WIP[Cost Centre],$A497),"")</f>
        <v/>
      </c>
      <c r="G497" s="68">
        <f>IFERROR(IF(INDEX(tbl_WIP[Defer Start],$A497)="","",IF(INDEX(tbl_WIP[Revenue or Cost],$A497)="Cost",-1,1)*INDEX(tbl_WIP[Amount],$A497)),"")</f>
        <v/>
      </c>
      <c r="H497" s="66">
        <f>IFERROR(INDEX(tbl_WIP[Defer Start],$A497),"")</f>
        <v/>
      </c>
      <c r="I497" s="66">
        <f>IFERROR(INDEX(tbl_WIP[Defer End],$A497),"")</f>
        <v/>
      </c>
      <c r="J497" s="65">
        <f>IF(OR($H497="",$I497="",$G497=""),"",MAX(1,(YEAR($I497)-YEAR($H497))*12+MONTH($I497)-MONTH($H497)+1))</f>
        <v/>
      </c>
      <c r="K497" s="68">
        <f>IF($J497="","",$G497/$J497)</f>
        <v/>
      </c>
      <c r="L497" s="68">
        <f>IF($J497="",0,$K497*MAX(0,MIN(YEAR($C$3)*12+MONTH($C$3),YEAR($I497)*12+MONTH($I497))-(YEAR($H497)*12+MONTH($H497))+1))</f>
        <v/>
      </c>
      <c r="M497" s="68">
        <f>IF($J497="",0,$K497*MAX(0,MIN(YEAR($C$3)*12+MONTH($C$3)-1,YEAR($I497)*12+MONTH($I497))-(YEAR($H497)*12+MONTH($H497))+1))</f>
        <v/>
      </c>
      <c r="N497" s="68">
        <f>IF(OR($J497="",$B497=""),0,IF(YEAR($B497)*12+MONTH($B497)&lt;=YEAR($C$3)*12+MONTH($C$3),$G497,0))</f>
        <v/>
      </c>
      <c r="O497" s="68">
        <f>IF(OR($J497="",$B497=""),0,IF(YEAR($B497)*12+MONTH($B497)&lt;=YEAR($C$3)*12+MONTH($C$3)-1,$G497,0))</f>
        <v/>
      </c>
      <c r="P497" s="68">
        <f>$M497-$O497</f>
        <v/>
      </c>
      <c r="Q497" s="68">
        <f>($L497-$M497)-($N497-$O497)</f>
        <v/>
      </c>
      <c r="R497" s="68">
        <f>$L497-$N497</f>
        <v/>
      </c>
      <c r="S497" s="67">
        <f>"WIP journal"</f>
        <v/>
      </c>
      <c r="T497" s="67">
        <f>IFERROR(INDEX(tbl_WIP[Revenue or Cost],$A497),"")</f>
        <v/>
      </c>
    </row>
    <row r="498">
      <c r="A498" s="65">
        <f>ROW()-407</f>
        <v/>
      </c>
      <c r="B498" s="66">
        <f>IFERROR(INDEX(tbl_WIP[Month],$A498),"")</f>
        <v/>
      </c>
      <c r="C498" s="67">
        <f>IFERROR(INDEX(tbl_WIP[Xero Invoice No],$A498),"")</f>
        <v/>
      </c>
      <c r="D498" s="67">
        <f>IFERROR(INDEX(tbl_WIP[Client],$A498),"")</f>
        <v/>
      </c>
      <c r="E498" s="67">
        <f>IFERROR(INDEX(tbl_WIP[Job Number],$A498),"")</f>
        <v/>
      </c>
      <c r="F498" s="67">
        <f>IFERROR(INDEX(tbl_WIP[Cost Centre],$A498),"")</f>
        <v/>
      </c>
      <c r="G498" s="68">
        <f>IFERROR(IF(INDEX(tbl_WIP[Defer Start],$A498)="","",IF(INDEX(tbl_WIP[Revenue or Cost],$A498)="Cost",-1,1)*INDEX(tbl_WIP[Amount],$A498)),"")</f>
        <v/>
      </c>
      <c r="H498" s="66">
        <f>IFERROR(INDEX(tbl_WIP[Defer Start],$A498),"")</f>
        <v/>
      </c>
      <c r="I498" s="66">
        <f>IFERROR(INDEX(tbl_WIP[Defer End],$A498),"")</f>
        <v/>
      </c>
      <c r="J498" s="65">
        <f>IF(OR($H498="",$I498="",$G498=""),"",MAX(1,(YEAR($I498)-YEAR($H498))*12+MONTH($I498)-MONTH($H498)+1))</f>
        <v/>
      </c>
      <c r="K498" s="68">
        <f>IF($J498="","",$G498/$J498)</f>
        <v/>
      </c>
      <c r="L498" s="68">
        <f>IF($J498="",0,$K498*MAX(0,MIN(YEAR($C$3)*12+MONTH($C$3),YEAR($I498)*12+MONTH($I498))-(YEAR($H498)*12+MONTH($H498))+1))</f>
        <v/>
      </c>
      <c r="M498" s="68">
        <f>IF($J498="",0,$K498*MAX(0,MIN(YEAR($C$3)*12+MONTH($C$3)-1,YEAR($I498)*12+MONTH($I498))-(YEAR($H498)*12+MONTH($H498))+1))</f>
        <v/>
      </c>
      <c r="N498" s="68">
        <f>IF(OR($J498="",$B498=""),0,IF(YEAR($B498)*12+MONTH($B498)&lt;=YEAR($C$3)*12+MONTH($C$3),$G498,0))</f>
        <v/>
      </c>
      <c r="O498" s="68">
        <f>IF(OR($J498="",$B498=""),0,IF(YEAR($B498)*12+MONTH($B498)&lt;=YEAR($C$3)*12+MONTH($C$3)-1,$G498,0))</f>
        <v/>
      </c>
      <c r="P498" s="68">
        <f>$M498-$O498</f>
        <v/>
      </c>
      <c r="Q498" s="68">
        <f>($L498-$M498)-($N498-$O498)</f>
        <v/>
      </c>
      <c r="R498" s="68">
        <f>$L498-$N498</f>
        <v/>
      </c>
      <c r="S498" s="67">
        <f>"WIP journal"</f>
        <v/>
      </c>
      <c r="T498" s="67">
        <f>IFERROR(INDEX(tbl_WIP[Revenue or Cost],$A498),"")</f>
        <v/>
      </c>
    </row>
    <row r="499">
      <c r="A499" s="65">
        <f>ROW()-407</f>
        <v/>
      </c>
      <c r="B499" s="66">
        <f>IFERROR(INDEX(tbl_WIP[Month],$A499),"")</f>
        <v/>
      </c>
      <c r="C499" s="67">
        <f>IFERROR(INDEX(tbl_WIP[Xero Invoice No],$A499),"")</f>
        <v/>
      </c>
      <c r="D499" s="67">
        <f>IFERROR(INDEX(tbl_WIP[Client],$A499),"")</f>
        <v/>
      </c>
      <c r="E499" s="67">
        <f>IFERROR(INDEX(tbl_WIP[Job Number],$A499),"")</f>
        <v/>
      </c>
      <c r="F499" s="67">
        <f>IFERROR(INDEX(tbl_WIP[Cost Centre],$A499),"")</f>
        <v/>
      </c>
      <c r="G499" s="68">
        <f>IFERROR(IF(INDEX(tbl_WIP[Defer Start],$A499)="","",IF(INDEX(tbl_WIP[Revenue or Cost],$A499)="Cost",-1,1)*INDEX(tbl_WIP[Amount],$A499)),"")</f>
        <v/>
      </c>
      <c r="H499" s="66">
        <f>IFERROR(INDEX(tbl_WIP[Defer Start],$A499),"")</f>
        <v/>
      </c>
      <c r="I499" s="66">
        <f>IFERROR(INDEX(tbl_WIP[Defer End],$A499),"")</f>
        <v/>
      </c>
      <c r="J499" s="65">
        <f>IF(OR($H499="",$I499="",$G499=""),"",MAX(1,(YEAR($I499)-YEAR($H499))*12+MONTH($I499)-MONTH($H499)+1))</f>
        <v/>
      </c>
      <c r="K499" s="68">
        <f>IF($J499="","",$G499/$J499)</f>
        <v/>
      </c>
      <c r="L499" s="68">
        <f>IF($J499="",0,$K499*MAX(0,MIN(YEAR($C$3)*12+MONTH($C$3),YEAR($I499)*12+MONTH($I499))-(YEAR($H499)*12+MONTH($H499))+1))</f>
        <v/>
      </c>
      <c r="M499" s="68">
        <f>IF($J499="",0,$K499*MAX(0,MIN(YEAR($C$3)*12+MONTH($C$3)-1,YEAR($I499)*12+MONTH($I499))-(YEAR($H499)*12+MONTH($H499))+1))</f>
        <v/>
      </c>
      <c r="N499" s="68">
        <f>IF(OR($J499="",$B499=""),0,IF(YEAR($B499)*12+MONTH($B499)&lt;=YEAR($C$3)*12+MONTH($C$3),$G499,0))</f>
        <v/>
      </c>
      <c r="O499" s="68">
        <f>IF(OR($J499="",$B499=""),0,IF(YEAR($B499)*12+MONTH($B499)&lt;=YEAR($C$3)*12+MONTH($C$3)-1,$G499,0))</f>
        <v/>
      </c>
      <c r="P499" s="68">
        <f>$M499-$O499</f>
        <v/>
      </c>
      <c r="Q499" s="68">
        <f>($L499-$M499)-($N499-$O499)</f>
        <v/>
      </c>
      <c r="R499" s="68">
        <f>$L499-$N499</f>
        <v/>
      </c>
      <c r="S499" s="67">
        <f>"WIP journal"</f>
        <v/>
      </c>
      <c r="T499" s="67">
        <f>IFERROR(INDEX(tbl_WIP[Revenue or Cost],$A499),"")</f>
        <v/>
      </c>
    </row>
    <row r="500">
      <c r="A500" s="65">
        <f>ROW()-407</f>
        <v/>
      </c>
      <c r="B500" s="66">
        <f>IFERROR(INDEX(tbl_WIP[Month],$A500),"")</f>
        <v/>
      </c>
      <c r="C500" s="67">
        <f>IFERROR(INDEX(tbl_WIP[Xero Invoice No],$A500),"")</f>
        <v/>
      </c>
      <c r="D500" s="67">
        <f>IFERROR(INDEX(tbl_WIP[Client],$A500),"")</f>
        <v/>
      </c>
      <c r="E500" s="67">
        <f>IFERROR(INDEX(tbl_WIP[Job Number],$A500),"")</f>
        <v/>
      </c>
      <c r="F500" s="67">
        <f>IFERROR(INDEX(tbl_WIP[Cost Centre],$A500),"")</f>
        <v/>
      </c>
      <c r="G500" s="68">
        <f>IFERROR(IF(INDEX(tbl_WIP[Defer Start],$A500)="","",IF(INDEX(tbl_WIP[Revenue or Cost],$A500)="Cost",-1,1)*INDEX(tbl_WIP[Amount],$A500)),"")</f>
        <v/>
      </c>
      <c r="H500" s="66">
        <f>IFERROR(INDEX(tbl_WIP[Defer Start],$A500),"")</f>
        <v/>
      </c>
      <c r="I500" s="66">
        <f>IFERROR(INDEX(tbl_WIP[Defer End],$A500),"")</f>
        <v/>
      </c>
      <c r="J500" s="65">
        <f>IF(OR($H500="",$I500="",$G500=""),"",MAX(1,(YEAR($I500)-YEAR($H500))*12+MONTH($I500)-MONTH($H500)+1))</f>
        <v/>
      </c>
      <c r="K500" s="68">
        <f>IF($J500="","",$G500/$J500)</f>
        <v/>
      </c>
      <c r="L500" s="68">
        <f>IF($J500="",0,$K500*MAX(0,MIN(YEAR($C$3)*12+MONTH($C$3),YEAR($I500)*12+MONTH($I500))-(YEAR($H500)*12+MONTH($H500))+1))</f>
        <v/>
      </c>
      <c r="M500" s="68">
        <f>IF($J500="",0,$K500*MAX(0,MIN(YEAR($C$3)*12+MONTH($C$3)-1,YEAR($I500)*12+MONTH($I500))-(YEAR($H500)*12+MONTH($H500))+1))</f>
        <v/>
      </c>
      <c r="N500" s="68">
        <f>IF(OR($J500="",$B500=""),0,IF(YEAR($B500)*12+MONTH($B500)&lt;=YEAR($C$3)*12+MONTH($C$3),$G500,0))</f>
        <v/>
      </c>
      <c r="O500" s="68">
        <f>IF(OR($J500="",$B500=""),0,IF(YEAR($B500)*12+MONTH($B500)&lt;=YEAR($C$3)*12+MONTH($C$3)-1,$G500,0))</f>
        <v/>
      </c>
      <c r="P500" s="68">
        <f>$M500-$O500</f>
        <v/>
      </c>
      <c r="Q500" s="68">
        <f>($L500-$M500)-($N500-$O500)</f>
        <v/>
      </c>
      <c r="R500" s="68">
        <f>$L500-$N500</f>
        <v/>
      </c>
      <c r="S500" s="67">
        <f>"WIP journal"</f>
        <v/>
      </c>
      <c r="T500" s="67">
        <f>IFERROR(INDEX(tbl_WIP[Revenue or Cost],$A500),"")</f>
        <v/>
      </c>
    </row>
    <row r="501">
      <c r="A501" s="65">
        <f>ROW()-407</f>
        <v/>
      </c>
      <c r="B501" s="66">
        <f>IFERROR(INDEX(tbl_WIP[Month],$A501),"")</f>
        <v/>
      </c>
      <c r="C501" s="67">
        <f>IFERROR(INDEX(tbl_WIP[Xero Invoice No],$A501),"")</f>
        <v/>
      </c>
      <c r="D501" s="67">
        <f>IFERROR(INDEX(tbl_WIP[Client],$A501),"")</f>
        <v/>
      </c>
      <c r="E501" s="67">
        <f>IFERROR(INDEX(tbl_WIP[Job Number],$A501),"")</f>
        <v/>
      </c>
      <c r="F501" s="67">
        <f>IFERROR(INDEX(tbl_WIP[Cost Centre],$A501),"")</f>
        <v/>
      </c>
      <c r="G501" s="68">
        <f>IFERROR(IF(INDEX(tbl_WIP[Defer Start],$A501)="","",IF(INDEX(tbl_WIP[Revenue or Cost],$A501)="Cost",-1,1)*INDEX(tbl_WIP[Amount],$A501)),"")</f>
        <v/>
      </c>
      <c r="H501" s="66">
        <f>IFERROR(INDEX(tbl_WIP[Defer Start],$A501),"")</f>
        <v/>
      </c>
      <c r="I501" s="66">
        <f>IFERROR(INDEX(tbl_WIP[Defer End],$A501),"")</f>
        <v/>
      </c>
      <c r="J501" s="65">
        <f>IF(OR($H501="",$I501="",$G501=""),"",MAX(1,(YEAR($I501)-YEAR($H501))*12+MONTH($I501)-MONTH($H501)+1))</f>
        <v/>
      </c>
      <c r="K501" s="68">
        <f>IF($J501="","",$G501/$J501)</f>
        <v/>
      </c>
      <c r="L501" s="68">
        <f>IF($J501="",0,$K501*MAX(0,MIN(YEAR($C$3)*12+MONTH($C$3),YEAR($I501)*12+MONTH($I501))-(YEAR($H501)*12+MONTH($H501))+1))</f>
        <v/>
      </c>
      <c r="M501" s="68">
        <f>IF($J501="",0,$K501*MAX(0,MIN(YEAR($C$3)*12+MONTH($C$3)-1,YEAR($I501)*12+MONTH($I501))-(YEAR($H501)*12+MONTH($H501))+1))</f>
        <v/>
      </c>
      <c r="N501" s="68">
        <f>IF(OR($J501="",$B501=""),0,IF(YEAR($B501)*12+MONTH($B501)&lt;=YEAR($C$3)*12+MONTH($C$3),$G501,0))</f>
        <v/>
      </c>
      <c r="O501" s="68">
        <f>IF(OR($J501="",$B501=""),0,IF(YEAR($B501)*12+MONTH($B501)&lt;=YEAR($C$3)*12+MONTH($C$3)-1,$G501,0))</f>
        <v/>
      </c>
      <c r="P501" s="68">
        <f>$M501-$O501</f>
        <v/>
      </c>
      <c r="Q501" s="68">
        <f>($L501-$M501)-($N501-$O501)</f>
        <v/>
      </c>
      <c r="R501" s="68">
        <f>$L501-$N501</f>
        <v/>
      </c>
      <c r="S501" s="67">
        <f>"WIP journal"</f>
        <v/>
      </c>
      <c r="T501" s="67">
        <f>IFERROR(INDEX(tbl_WIP[Revenue or Cost],$A501),"")</f>
        <v/>
      </c>
    </row>
    <row r="502">
      <c r="A502" s="65">
        <f>ROW()-407</f>
        <v/>
      </c>
      <c r="B502" s="66">
        <f>IFERROR(INDEX(tbl_WIP[Month],$A502),"")</f>
        <v/>
      </c>
      <c r="C502" s="67">
        <f>IFERROR(INDEX(tbl_WIP[Xero Invoice No],$A502),"")</f>
        <v/>
      </c>
      <c r="D502" s="67">
        <f>IFERROR(INDEX(tbl_WIP[Client],$A502),"")</f>
        <v/>
      </c>
      <c r="E502" s="67">
        <f>IFERROR(INDEX(tbl_WIP[Job Number],$A502),"")</f>
        <v/>
      </c>
      <c r="F502" s="67">
        <f>IFERROR(INDEX(tbl_WIP[Cost Centre],$A502),"")</f>
        <v/>
      </c>
      <c r="G502" s="68">
        <f>IFERROR(IF(INDEX(tbl_WIP[Defer Start],$A502)="","",IF(INDEX(tbl_WIP[Revenue or Cost],$A502)="Cost",-1,1)*INDEX(tbl_WIP[Amount],$A502)),"")</f>
        <v/>
      </c>
      <c r="H502" s="66">
        <f>IFERROR(INDEX(tbl_WIP[Defer Start],$A502),"")</f>
        <v/>
      </c>
      <c r="I502" s="66">
        <f>IFERROR(INDEX(tbl_WIP[Defer End],$A502),"")</f>
        <v/>
      </c>
      <c r="J502" s="65">
        <f>IF(OR($H502="",$I502="",$G502=""),"",MAX(1,(YEAR($I502)-YEAR($H502))*12+MONTH($I502)-MONTH($H502)+1))</f>
        <v/>
      </c>
      <c r="K502" s="68">
        <f>IF($J502="","",$G502/$J502)</f>
        <v/>
      </c>
      <c r="L502" s="68">
        <f>IF($J502="",0,$K502*MAX(0,MIN(YEAR($C$3)*12+MONTH($C$3),YEAR($I502)*12+MONTH($I502))-(YEAR($H502)*12+MONTH($H502))+1))</f>
        <v/>
      </c>
      <c r="M502" s="68">
        <f>IF($J502="",0,$K502*MAX(0,MIN(YEAR($C$3)*12+MONTH($C$3)-1,YEAR($I502)*12+MONTH($I502))-(YEAR($H502)*12+MONTH($H502))+1))</f>
        <v/>
      </c>
      <c r="N502" s="68">
        <f>IF(OR($J502="",$B502=""),0,IF(YEAR($B502)*12+MONTH($B502)&lt;=YEAR($C$3)*12+MONTH($C$3),$G502,0))</f>
        <v/>
      </c>
      <c r="O502" s="68">
        <f>IF(OR($J502="",$B502=""),0,IF(YEAR($B502)*12+MONTH($B502)&lt;=YEAR($C$3)*12+MONTH($C$3)-1,$G502,0))</f>
        <v/>
      </c>
      <c r="P502" s="68">
        <f>$M502-$O502</f>
        <v/>
      </c>
      <c r="Q502" s="68">
        <f>($L502-$M502)-($N502-$O502)</f>
        <v/>
      </c>
      <c r="R502" s="68">
        <f>$L502-$N502</f>
        <v/>
      </c>
      <c r="S502" s="67">
        <f>"WIP journal"</f>
        <v/>
      </c>
      <c r="T502" s="67">
        <f>IFERROR(INDEX(tbl_WIP[Revenue or Cost],$A502),"")</f>
        <v/>
      </c>
    </row>
    <row r="503">
      <c r="A503" s="65">
        <f>ROW()-407</f>
        <v/>
      </c>
      <c r="B503" s="66">
        <f>IFERROR(INDEX(tbl_WIP[Month],$A503),"")</f>
        <v/>
      </c>
      <c r="C503" s="67">
        <f>IFERROR(INDEX(tbl_WIP[Xero Invoice No],$A503),"")</f>
        <v/>
      </c>
      <c r="D503" s="67">
        <f>IFERROR(INDEX(tbl_WIP[Client],$A503),"")</f>
        <v/>
      </c>
      <c r="E503" s="67">
        <f>IFERROR(INDEX(tbl_WIP[Job Number],$A503),"")</f>
        <v/>
      </c>
      <c r="F503" s="67">
        <f>IFERROR(INDEX(tbl_WIP[Cost Centre],$A503),"")</f>
        <v/>
      </c>
      <c r="G503" s="68">
        <f>IFERROR(IF(INDEX(tbl_WIP[Defer Start],$A503)="","",IF(INDEX(tbl_WIP[Revenue or Cost],$A503)="Cost",-1,1)*INDEX(tbl_WIP[Amount],$A503)),"")</f>
        <v/>
      </c>
      <c r="H503" s="66">
        <f>IFERROR(INDEX(tbl_WIP[Defer Start],$A503),"")</f>
        <v/>
      </c>
      <c r="I503" s="66">
        <f>IFERROR(INDEX(tbl_WIP[Defer End],$A503),"")</f>
        <v/>
      </c>
      <c r="J503" s="65">
        <f>IF(OR($H503="",$I503="",$G503=""),"",MAX(1,(YEAR($I503)-YEAR($H503))*12+MONTH($I503)-MONTH($H503)+1))</f>
        <v/>
      </c>
      <c r="K503" s="68">
        <f>IF($J503="","",$G503/$J503)</f>
        <v/>
      </c>
      <c r="L503" s="68">
        <f>IF($J503="",0,$K503*MAX(0,MIN(YEAR($C$3)*12+MONTH($C$3),YEAR($I503)*12+MONTH($I503))-(YEAR($H503)*12+MONTH($H503))+1))</f>
        <v/>
      </c>
      <c r="M503" s="68">
        <f>IF($J503="",0,$K503*MAX(0,MIN(YEAR($C$3)*12+MONTH($C$3)-1,YEAR($I503)*12+MONTH($I503))-(YEAR($H503)*12+MONTH($H503))+1))</f>
        <v/>
      </c>
      <c r="N503" s="68">
        <f>IF(OR($J503="",$B503=""),0,IF(YEAR($B503)*12+MONTH($B503)&lt;=YEAR($C$3)*12+MONTH($C$3),$G503,0))</f>
        <v/>
      </c>
      <c r="O503" s="68">
        <f>IF(OR($J503="",$B503=""),0,IF(YEAR($B503)*12+MONTH($B503)&lt;=YEAR($C$3)*12+MONTH($C$3)-1,$G503,0))</f>
        <v/>
      </c>
      <c r="P503" s="68">
        <f>$M503-$O503</f>
        <v/>
      </c>
      <c r="Q503" s="68">
        <f>($L503-$M503)-($N503-$O503)</f>
        <v/>
      </c>
      <c r="R503" s="68">
        <f>$L503-$N503</f>
        <v/>
      </c>
      <c r="S503" s="67">
        <f>"WIP journal"</f>
        <v/>
      </c>
      <c r="T503" s="67">
        <f>IFERROR(INDEX(tbl_WIP[Revenue or Cost],$A503),"")</f>
        <v/>
      </c>
    </row>
    <row r="504">
      <c r="A504" s="65">
        <f>ROW()-407</f>
        <v/>
      </c>
      <c r="B504" s="66">
        <f>IFERROR(INDEX(tbl_WIP[Month],$A504),"")</f>
        <v/>
      </c>
      <c r="C504" s="67">
        <f>IFERROR(INDEX(tbl_WIP[Xero Invoice No],$A504),"")</f>
        <v/>
      </c>
      <c r="D504" s="67">
        <f>IFERROR(INDEX(tbl_WIP[Client],$A504),"")</f>
        <v/>
      </c>
      <c r="E504" s="67">
        <f>IFERROR(INDEX(tbl_WIP[Job Number],$A504),"")</f>
        <v/>
      </c>
      <c r="F504" s="67">
        <f>IFERROR(INDEX(tbl_WIP[Cost Centre],$A504),"")</f>
        <v/>
      </c>
      <c r="G504" s="68">
        <f>IFERROR(IF(INDEX(tbl_WIP[Defer Start],$A504)="","",IF(INDEX(tbl_WIP[Revenue or Cost],$A504)="Cost",-1,1)*INDEX(tbl_WIP[Amount],$A504)),"")</f>
        <v/>
      </c>
      <c r="H504" s="66">
        <f>IFERROR(INDEX(tbl_WIP[Defer Start],$A504),"")</f>
        <v/>
      </c>
      <c r="I504" s="66">
        <f>IFERROR(INDEX(tbl_WIP[Defer End],$A504),"")</f>
        <v/>
      </c>
      <c r="J504" s="65">
        <f>IF(OR($H504="",$I504="",$G504=""),"",MAX(1,(YEAR($I504)-YEAR($H504))*12+MONTH($I504)-MONTH($H504)+1))</f>
        <v/>
      </c>
      <c r="K504" s="68">
        <f>IF($J504="","",$G504/$J504)</f>
        <v/>
      </c>
      <c r="L504" s="68">
        <f>IF($J504="",0,$K504*MAX(0,MIN(YEAR($C$3)*12+MONTH($C$3),YEAR($I504)*12+MONTH($I504))-(YEAR($H504)*12+MONTH($H504))+1))</f>
        <v/>
      </c>
      <c r="M504" s="68">
        <f>IF($J504="",0,$K504*MAX(0,MIN(YEAR($C$3)*12+MONTH($C$3)-1,YEAR($I504)*12+MONTH($I504))-(YEAR($H504)*12+MONTH($H504))+1))</f>
        <v/>
      </c>
      <c r="N504" s="68">
        <f>IF(OR($J504="",$B504=""),0,IF(YEAR($B504)*12+MONTH($B504)&lt;=YEAR($C$3)*12+MONTH($C$3),$G504,0))</f>
        <v/>
      </c>
      <c r="O504" s="68">
        <f>IF(OR($J504="",$B504=""),0,IF(YEAR($B504)*12+MONTH($B504)&lt;=YEAR($C$3)*12+MONTH($C$3)-1,$G504,0))</f>
        <v/>
      </c>
      <c r="P504" s="68">
        <f>$M504-$O504</f>
        <v/>
      </c>
      <c r="Q504" s="68">
        <f>($L504-$M504)-($N504-$O504)</f>
        <v/>
      </c>
      <c r="R504" s="68">
        <f>$L504-$N504</f>
        <v/>
      </c>
      <c r="S504" s="67">
        <f>"WIP journal"</f>
        <v/>
      </c>
      <c r="T504" s="67">
        <f>IFERROR(INDEX(tbl_WIP[Revenue or Cost],$A504),"")</f>
        <v/>
      </c>
    </row>
    <row r="505">
      <c r="A505" s="65">
        <f>ROW()-407</f>
        <v/>
      </c>
      <c r="B505" s="66">
        <f>IFERROR(INDEX(tbl_WIP[Month],$A505),"")</f>
        <v/>
      </c>
      <c r="C505" s="67">
        <f>IFERROR(INDEX(tbl_WIP[Xero Invoice No],$A505),"")</f>
        <v/>
      </c>
      <c r="D505" s="67">
        <f>IFERROR(INDEX(tbl_WIP[Client],$A505),"")</f>
        <v/>
      </c>
      <c r="E505" s="67">
        <f>IFERROR(INDEX(tbl_WIP[Job Number],$A505),"")</f>
        <v/>
      </c>
      <c r="F505" s="67">
        <f>IFERROR(INDEX(tbl_WIP[Cost Centre],$A505),"")</f>
        <v/>
      </c>
      <c r="G505" s="68">
        <f>IFERROR(IF(INDEX(tbl_WIP[Defer Start],$A505)="","",IF(INDEX(tbl_WIP[Revenue or Cost],$A505)="Cost",-1,1)*INDEX(tbl_WIP[Amount],$A505)),"")</f>
        <v/>
      </c>
      <c r="H505" s="66">
        <f>IFERROR(INDEX(tbl_WIP[Defer Start],$A505),"")</f>
        <v/>
      </c>
      <c r="I505" s="66">
        <f>IFERROR(INDEX(tbl_WIP[Defer End],$A505),"")</f>
        <v/>
      </c>
      <c r="J505" s="65">
        <f>IF(OR($H505="",$I505="",$G505=""),"",MAX(1,(YEAR($I505)-YEAR($H505))*12+MONTH($I505)-MONTH($H505)+1))</f>
        <v/>
      </c>
      <c r="K505" s="68">
        <f>IF($J505="","",$G505/$J505)</f>
        <v/>
      </c>
      <c r="L505" s="68">
        <f>IF($J505="",0,$K505*MAX(0,MIN(YEAR($C$3)*12+MONTH($C$3),YEAR($I505)*12+MONTH($I505))-(YEAR($H505)*12+MONTH($H505))+1))</f>
        <v/>
      </c>
      <c r="M505" s="68">
        <f>IF($J505="",0,$K505*MAX(0,MIN(YEAR($C$3)*12+MONTH($C$3)-1,YEAR($I505)*12+MONTH($I505))-(YEAR($H505)*12+MONTH($H505))+1))</f>
        <v/>
      </c>
      <c r="N505" s="68">
        <f>IF(OR($J505="",$B505=""),0,IF(YEAR($B505)*12+MONTH($B505)&lt;=YEAR($C$3)*12+MONTH($C$3),$G505,0))</f>
        <v/>
      </c>
      <c r="O505" s="68">
        <f>IF(OR($J505="",$B505=""),0,IF(YEAR($B505)*12+MONTH($B505)&lt;=YEAR($C$3)*12+MONTH($C$3)-1,$G505,0))</f>
        <v/>
      </c>
      <c r="P505" s="68">
        <f>$M505-$O505</f>
        <v/>
      </c>
      <c r="Q505" s="68">
        <f>($L505-$M505)-($N505-$O505)</f>
        <v/>
      </c>
      <c r="R505" s="68">
        <f>$L505-$N505</f>
        <v/>
      </c>
      <c r="S505" s="67">
        <f>"WIP journal"</f>
        <v/>
      </c>
      <c r="T505" s="67">
        <f>IFERROR(INDEX(tbl_WIP[Revenue or Cost],$A505),"")</f>
        <v/>
      </c>
    </row>
    <row r="506">
      <c r="A506" s="65">
        <f>ROW()-407</f>
        <v/>
      </c>
      <c r="B506" s="66">
        <f>IFERROR(INDEX(tbl_WIP[Month],$A506),"")</f>
        <v/>
      </c>
      <c r="C506" s="67">
        <f>IFERROR(INDEX(tbl_WIP[Xero Invoice No],$A506),"")</f>
        <v/>
      </c>
      <c r="D506" s="67">
        <f>IFERROR(INDEX(tbl_WIP[Client],$A506),"")</f>
        <v/>
      </c>
      <c r="E506" s="67">
        <f>IFERROR(INDEX(tbl_WIP[Job Number],$A506),"")</f>
        <v/>
      </c>
      <c r="F506" s="67">
        <f>IFERROR(INDEX(tbl_WIP[Cost Centre],$A506),"")</f>
        <v/>
      </c>
      <c r="G506" s="68">
        <f>IFERROR(IF(INDEX(tbl_WIP[Defer Start],$A506)="","",IF(INDEX(tbl_WIP[Revenue or Cost],$A506)="Cost",-1,1)*INDEX(tbl_WIP[Amount],$A506)),"")</f>
        <v/>
      </c>
      <c r="H506" s="66">
        <f>IFERROR(INDEX(tbl_WIP[Defer Start],$A506),"")</f>
        <v/>
      </c>
      <c r="I506" s="66">
        <f>IFERROR(INDEX(tbl_WIP[Defer End],$A506),"")</f>
        <v/>
      </c>
      <c r="J506" s="65">
        <f>IF(OR($H506="",$I506="",$G506=""),"",MAX(1,(YEAR($I506)-YEAR($H506))*12+MONTH($I506)-MONTH($H506)+1))</f>
        <v/>
      </c>
      <c r="K506" s="68">
        <f>IF($J506="","",$G506/$J506)</f>
        <v/>
      </c>
      <c r="L506" s="68">
        <f>IF($J506="",0,$K506*MAX(0,MIN(YEAR($C$3)*12+MONTH($C$3),YEAR($I506)*12+MONTH($I506))-(YEAR($H506)*12+MONTH($H506))+1))</f>
        <v/>
      </c>
      <c r="M506" s="68">
        <f>IF($J506="",0,$K506*MAX(0,MIN(YEAR($C$3)*12+MONTH($C$3)-1,YEAR($I506)*12+MONTH($I506))-(YEAR($H506)*12+MONTH($H506))+1))</f>
        <v/>
      </c>
      <c r="N506" s="68">
        <f>IF(OR($J506="",$B506=""),0,IF(YEAR($B506)*12+MONTH($B506)&lt;=YEAR($C$3)*12+MONTH($C$3),$G506,0))</f>
        <v/>
      </c>
      <c r="O506" s="68">
        <f>IF(OR($J506="",$B506=""),0,IF(YEAR($B506)*12+MONTH($B506)&lt;=YEAR($C$3)*12+MONTH($C$3)-1,$G506,0))</f>
        <v/>
      </c>
      <c r="P506" s="68">
        <f>$M506-$O506</f>
        <v/>
      </c>
      <c r="Q506" s="68">
        <f>($L506-$M506)-($N506-$O506)</f>
        <v/>
      </c>
      <c r="R506" s="68">
        <f>$L506-$N506</f>
        <v/>
      </c>
      <c r="S506" s="67">
        <f>"WIP journal"</f>
        <v/>
      </c>
      <c r="T506" s="67">
        <f>IFERROR(INDEX(tbl_WIP[Revenue or Cost],$A506),"")</f>
        <v/>
      </c>
    </row>
    <row r="507">
      <c r="A507" s="65">
        <f>ROW()-407</f>
        <v/>
      </c>
      <c r="B507" s="66">
        <f>IFERROR(INDEX(tbl_WIP[Month],$A507),"")</f>
        <v/>
      </c>
      <c r="C507" s="67">
        <f>IFERROR(INDEX(tbl_WIP[Xero Invoice No],$A507),"")</f>
        <v/>
      </c>
      <c r="D507" s="67">
        <f>IFERROR(INDEX(tbl_WIP[Client],$A507),"")</f>
        <v/>
      </c>
      <c r="E507" s="67">
        <f>IFERROR(INDEX(tbl_WIP[Job Number],$A507),"")</f>
        <v/>
      </c>
      <c r="F507" s="67">
        <f>IFERROR(INDEX(tbl_WIP[Cost Centre],$A507),"")</f>
        <v/>
      </c>
      <c r="G507" s="68">
        <f>IFERROR(IF(INDEX(tbl_WIP[Defer Start],$A507)="","",IF(INDEX(tbl_WIP[Revenue or Cost],$A507)="Cost",-1,1)*INDEX(tbl_WIP[Amount],$A507)),"")</f>
        <v/>
      </c>
      <c r="H507" s="66">
        <f>IFERROR(INDEX(tbl_WIP[Defer Start],$A507),"")</f>
        <v/>
      </c>
      <c r="I507" s="66">
        <f>IFERROR(INDEX(tbl_WIP[Defer End],$A507),"")</f>
        <v/>
      </c>
      <c r="J507" s="65">
        <f>IF(OR($H507="",$I507="",$G507=""),"",MAX(1,(YEAR($I507)-YEAR($H507))*12+MONTH($I507)-MONTH($H507)+1))</f>
        <v/>
      </c>
      <c r="K507" s="68">
        <f>IF($J507="","",$G507/$J507)</f>
        <v/>
      </c>
      <c r="L507" s="68">
        <f>IF($J507="",0,$K507*MAX(0,MIN(YEAR($C$3)*12+MONTH($C$3),YEAR($I507)*12+MONTH($I507))-(YEAR($H507)*12+MONTH($H507))+1))</f>
        <v/>
      </c>
      <c r="M507" s="68">
        <f>IF($J507="",0,$K507*MAX(0,MIN(YEAR($C$3)*12+MONTH($C$3)-1,YEAR($I507)*12+MONTH($I507))-(YEAR($H507)*12+MONTH($H507))+1))</f>
        <v/>
      </c>
      <c r="N507" s="68">
        <f>IF(OR($J507="",$B507=""),0,IF(YEAR($B507)*12+MONTH($B507)&lt;=YEAR($C$3)*12+MONTH($C$3),$G507,0))</f>
        <v/>
      </c>
      <c r="O507" s="68">
        <f>IF(OR($J507="",$B507=""),0,IF(YEAR($B507)*12+MONTH($B507)&lt;=YEAR($C$3)*12+MONTH($C$3)-1,$G507,0))</f>
        <v/>
      </c>
      <c r="P507" s="68">
        <f>$M507-$O507</f>
        <v/>
      </c>
      <c r="Q507" s="68">
        <f>($L507-$M507)-($N507-$O507)</f>
        <v/>
      </c>
      <c r="R507" s="68">
        <f>$L507-$N507</f>
        <v/>
      </c>
      <c r="S507" s="67">
        <f>"WIP journal"</f>
        <v/>
      </c>
      <c r="T507" s="67">
        <f>IFERROR(INDEX(tbl_WIP[Revenue or Cost],$A507),"")</f>
        <v/>
      </c>
    </row>
    <row r="508">
      <c r="A508" s="65">
        <f>ROW()-407</f>
        <v/>
      </c>
      <c r="B508" s="66">
        <f>IFERROR(INDEX(tbl_WIP[Month],$A508),"")</f>
        <v/>
      </c>
      <c r="C508" s="67">
        <f>IFERROR(INDEX(tbl_WIP[Xero Invoice No],$A508),"")</f>
        <v/>
      </c>
      <c r="D508" s="67">
        <f>IFERROR(INDEX(tbl_WIP[Client],$A508),"")</f>
        <v/>
      </c>
      <c r="E508" s="67">
        <f>IFERROR(INDEX(tbl_WIP[Job Number],$A508),"")</f>
        <v/>
      </c>
      <c r="F508" s="67">
        <f>IFERROR(INDEX(tbl_WIP[Cost Centre],$A508),"")</f>
        <v/>
      </c>
      <c r="G508" s="68">
        <f>IFERROR(IF(INDEX(tbl_WIP[Defer Start],$A508)="","",IF(INDEX(tbl_WIP[Revenue or Cost],$A508)="Cost",-1,1)*INDEX(tbl_WIP[Amount],$A508)),"")</f>
        <v/>
      </c>
      <c r="H508" s="66">
        <f>IFERROR(INDEX(tbl_WIP[Defer Start],$A508),"")</f>
        <v/>
      </c>
      <c r="I508" s="66">
        <f>IFERROR(INDEX(tbl_WIP[Defer End],$A508),"")</f>
        <v/>
      </c>
      <c r="J508" s="65">
        <f>IF(OR($H508="",$I508="",$G508=""),"",MAX(1,(YEAR($I508)-YEAR($H508))*12+MONTH($I508)-MONTH($H508)+1))</f>
        <v/>
      </c>
      <c r="K508" s="68">
        <f>IF($J508="","",$G508/$J508)</f>
        <v/>
      </c>
      <c r="L508" s="68">
        <f>IF($J508="",0,$K508*MAX(0,MIN(YEAR($C$3)*12+MONTH($C$3),YEAR($I508)*12+MONTH($I508))-(YEAR($H508)*12+MONTH($H508))+1))</f>
        <v/>
      </c>
      <c r="M508" s="68">
        <f>IF($J508="",0,$K508*MAX(0,MIN(YEAR($C$3)*12+MONTH($C$3)-1,YEAR($I508)*12+MONTH($I508))-(YEAR($H508)*12+MONTH($H508))+1))</f>
        <v/>
      </c>
      <c r="N508" s="68">
        <f>IF(OR($J508="",$B508=""),0,IF(YEAR($B508)*12+MONTH($B508)&lt;=YEAR($C$3)*12+MONTH($C$3),$G508,0))</f>
        <v/>
      </c>
      <c r="O508" s="68">
        <f>IF(OR($J508="",$B508=""),0,IF(YEAR($B508)*12+MONTH($B508)&lt;=YEAR($C$3)*12+MONTH($C$3)-1,$G508,0))</f>
        <v/>
      </c>
      <c r="P508" s="68">
        <f>$M508-$O508</f>
        <v/>
      </c>
      <c r="Q508" s="68">
        <f>($L508-$M508)-($N508-$O508)</f>
        <v/>
      </c>
      <c r="R508" s="68">
        <f>$L508-$N508</f>
        <v/>
      </c>
      <c r="S508" s="67">
        <f>"WIP journal"</f>
        <v/>
      </c>
      <c r="T508" s="67">
        <f>IFERROR(INDEX(tbl_WIP[Revenue or Cost],$A508),"")</f>
        <v/>
      </c>
    </row>
    <row r="509">
      <c r="A509" s="65">
        <f>ROW()-407</f>
        <v/>
      </c>
      <c r="B509" s="66">
        <f>IFERROR(INDEX(tbl_WIP[Month],$A509),"")</f>
        <v/>
      </c>
      <c r="C509" s="67">
        <f>IFERROR(INDEX(tbl_WIP[Xero Invoice No],$A509),"")</f>
        <v/>
      </c>
      <c r="D509" s="67">
        <f>IFERROR(INDEX(tbl_WIP[Client],$A509),"")</f>
        <v/>
      </c>
      <c r="E509" s="67">
        <f>IFERROR(INDEX(tbl_WIP[Job Number],$A509),"")</f>
        <v/>
      </c>
      <c r="F509" s="67">
        <f>IFERROR(INDEX(tbl_WIP[Cost Centre],$A509),"")</f>
        <v/>
      </c>
      <c r="G509" s="68">
        <f>IFERROR(IF(INDEX(tbl_WIP[Defer Start],$A509)="","",IF(INDEX(tbl_WIP[Revenue or Cost],$A509)="Cost",-1,1)*INDEX(tbl_WIP[Amount],$A509)),"")</f>
        <v/>
      </c>
      <c r="H509" s="66">
        <f>IFERROR(INDEX(tbl_WIP[Defer Start],$A509),"")</f>
        <v/>
      </c>
      <c r="I509" s="66">
        <f>IFERROR(INDEX(tbl_WIP[Defer End],$A509),"")</f>
        <v/>
      </c>
      <c r="J509" s="65">
        <f>IF(OR($H509="",$I509="",$G509=""),"",MAX(1,(YEAR($I509)-YEAR($H509))*12+MONTH($I509)-MONTH($H509)+1))</f>
        <v/>
      </c>
      <c r="K509" s="68">
        <f>IF($J509="","",$G509/$J509)</f>
        <v/>
      </c>
      <c r="L509" s="68">
        <f>IF($J509="",0,$K509*MAX(0,MIN(YEAR($C$3)*12+MONTH($C$3),YEAR($I509)*12+MONTH($I509))-(YEAR($H509)*12+MONTH($H509))+1))</f>
        <v/>
      </c>
      <c r="M509" s="68">
        <f>IF($J509="",0,$K509*MAX(0,MIN(YEAR($C$3)*12+MONTH($C$3)-1,YEAR($I509)*12+MONTH($I509))-(YEAR($H509)*12+MONTH($H509))+1))</f>
        <v/>
      </c>
      <c r="N509" s="68">
        <f>IF(OR($J509="",$B509=""),0,IF(YEAR($B509)*12+MONTH($B509)&lt;=YEAR($C$3)*12+MONTH($C$3),$G509,0))</f>
        <v/>
      </c>
      <c r="O509" s="68">
        <f>IF(OR($J509="",$B509=""),0,IF(YEAR($B509)*12+MONTH($B509)&lt;=YEAR($C$3)*12+MONTH($C$3)-1,$G509,0))</f>
        <v/>
      </c>
      <c r="P509" s="68">
        <f>$M509-$O509</f>
        <v/>
      </c>
      <c r="Q509" s="68">
        <f>($L509-$M509)-($N509-$O509)</f>
        <v/>
      </c>
      <c r="R509" s="68">
        <f>$L509-$N509</f>
        <v/>
      </c>
      <c r="S509" s="67">
        <f>"WIP journal"</f>
        <v/>
      </c>
      <c r="T509" s="67">
        <f>IFERROR(INDEX(tbl_WIP[Revenue or Cost],$A509),"")</f>
        <v/>
      </c>
    </row>
    <row r="510">
      <c r="A510" s="65">
        <f>ROW()-407</f>
        <v/>
      </c>
      <c r="B510" s="66">
        <f>IFERROR(INDEX(tbl_WIP[Month],$A510),"")</f>
        <v/>
      </c>
      <c r="C510" s="67">
        <f>IFERROR(INDEX(tbl_WIP[Xero Invoice No],$A510),"")</f>
        <v/>
      </c>
      <c r="D510" s="67">
        <f>IFERROR(INDEX(tbl_WIP[Client],$A510),"")</f>
        <v/>
      </c>
      <c r="E510" s="67">
        <f>IFERROR(INDEX(tbl_WIP[Job Number],$A510),"")</f>
        <v/>
      </c>
      <c r="F510" s="67">
        <f>IFERROR(INDEX(tbl_WIP[Cost Centre],$A510),"")</f>
        <v/>
      </c>
      <c r="G510" s="68">
        <f>IFERROR(IF(INDEX(tbl_WIP[Defer Start],$A510)="","",IF(INDEX(tbl_WIP[Revenue or Cost],$A510)="Cost",-1,1)*INDEX(tbl_WIP[Amount],$A510)),"")</f>
        <v/>
      </c>
      <c r="H510" s="66">
        <f>IFERROR(INDEX(tbl_WIP[Defer Start],$A510),"")</f>
        <v/>
      </c>
      <c r="I510" s="66">
        <f>IFERROR(INDEX(tbl_WIP[Defer End],$A510),"")</f>
        <v/>
      </c>
      <c r="J510" s="65">
        <f>IF(OR($H510="",$I510="",$G510=""),"",MAX(1,(YEAR($I510)-YEAR($H510))*12+MONTH($I510)-MONTH($H510)+1))</f>
        <v/>
      </c>
      <c r="K510" s="68">
        <f>IF($J510="","",$G510/$J510)</f>
        <v/>
      </c>
      <c r="L510" s="68">
        <f>IF($J510="",0,$K510*MAX(0,MIN(YEAR($C$3)*12+MONTH($C$3),YEAR($I510)*12+MONTH($I510))-(YEAR($H510)*12+MONTH($H510))+1))</f>
        <v/>
      </c>
      <c r="M510" s="68">
        <f>IF($J510="",0,$K510*MAX(0,MIN(YEAR($C$3)*12+MONTH($C$3)-1,YEAR($I510)*12+MONTH($I510))-(YEAR($H510)*12+MONTH($H510))+1))</f>
        <v/>
      </c>
      <c r="N510" s="68">
        <f>IF(OR($J510="",$B510=""),0,IF(YEAR($B510)*12+MONTH($B510)&lt;=YEAR($C$3)*12+MONTH($C$3),$G510,0))</f>
        <v/>
      </c>
      <c r="O510" s="68">
        <f>IF(OR($J510="",$B510=""),0,IF(YEAR($B510)*12+MONTH($B510)&lt;=YEAR($C$3)*12+MONTH($C$3)-1,$G510,0))</f>
        <v/>
      </c>
      <c r="P510" s="68">
        <f>$M510-$O510</f>
        <v/>
      </c>
      <c r="Q510" s="68">
        <f>($L510-$M510)-($N510-$O510)</f>
        <v/>
      </c>
      <c r="R510" s="68">
        <f>$L510-$N510</f>
        <v/>
      </c>
      <c r="S510" s="67">
        <f>"WIP journal"</f>
        <v/>
      </c>
      <c r="T510" s="67">
        <f>IFERROR(INDEX(tbl_WIP[Revenue or Cost],$A510),"")</f>
        <v/>
      </c>
    </row>
    <row r="511">
      <c r="A511" s="65">
        <f>ROW()-407</f>
        <v/>
      </c>
      <c r="B511" s="66">
        <f>IFERROR(INDEX(tbl_WIP[Month],$A511),"")</f>
        <v/>
      </c>
      <c r="C511" s="67">
        <f>IFERROR(INDEX(tbl_WIP[Xero Invoice No],$A511),"")</f>
        <v/>
      </c>
      <c r="D511" s="67">
        <f>IFERROR(INDEX(tbl_WIP[Client],$A511),"")</f>
        <v/>
      </c>
      <c r="E511" s="67">
        <f>IFERROR(INDEX(tbl_WIP[Job Number],$A511),"")</f>
        <v/>
      </c>
      <c r="F511" s="67">
        <f>IFERROR(INDEX(tbl_WIP[Cost Centre],$A511),"")</f>
        <v/>
      </c>
      <c r="G511" s="68">
        <f>IFERROR(IF(INDEX(tbl_WIP[Defer Start],$A511)="","",IF(INDEX(tbl_WIP[Revenue or Cost],$A511)="Cost",-1,1)*INDEX(tbl_WIP[Amount],$A511)),"")</f>
        <v/>
      </c>
      <c r="H511" s="66">
        <f>IFERROR(INDEX(tbl_WIP[Defer Start],$A511),"")</f>
        <v/>
      </c>
      <c r="I511" s="66">
        <f>IFERROR(INDEX(tbl_WIP[Defer End],$A511),"")</f>
        <v/>
      </c>
      <c r="J511" s="65">
        <f>IF(OR($H511="",$I511="",$G511=""),"",MAX(1,(YEAR($I511)-YEAR($H511))*12+MONTH($I511)-MONTH($H511)+1))</f>
        <v/>
      </c>
      <c r="K511" s="68">
        <f>IF($J511="","",$G511/$J511)</f>
        <v/>
      </c>
      <c r="L511" s="68">
        <f>IF($J511="",0,$K511*MAX(0,MIN(YEAR($C$3)*12+MONTH($C$3),YEAR($I511)*12+MONTH($I511))-(YEAR($H511)*12+MONTH($H511))+1))</f>
        <v/>
      </c>
      <c r="M511" s="68">
        <f>IF($J511="",0,$K511*MAX(0,MIN(YEAR($C$3)*12+MONTH($C$3)-1,YEAR($I511)*12+MONTH($I511))-(YEAR($H511)*12+MONTH($H511))+1))</f>
        <v/>
      </c>
      <c r="N511" s="68">
        <f>IF(OR($J511="",$B511=""),0,IF(YEAR($B511)*12+MONTH($B511)&lt;=YEAR($C$3)*12+MONTH($C$3),$G511,0))</f>
        <v/>
      </c>
      <c r="O511" s="68">
        <f>IF(OR($J511="",$B511=""),0,IF(YEAR($B511)*12+MONTH($B511)&lt;=YEAR($C$3)*12+MONTH($C$3)-1,$G511,0))</f>
        <v/>
      </c>
      <c r="P511" s="68">
        <f>$M511-$O511</f>
        <v/>
      </c>
      <c r="Q511" s="68">
        <f>($L511-$M511)-($N511-$O511)</f>
        <v/>
      </c>
      <c r="R511" s="68">
        <f>$L511-$N511</f>
        <v/>
      </c>
      <c r="S511" s="67">
        <f>"WIP journal"</f>
        <v/>
      </c>
      <c r="T511" s="67">
        <f>IFERROR(INDEX(tbl_WIP[Revenue or Cost],$A511),"")</f>
        <v/>
      </c>
    </row>
    <row r="512">
      <c r="A512" s="65">
        <f>ROW()-407</f>
        <v/>
      </c>
      <c r="B512" s="66">
        <f>IFERROR(INDEX(tbl_WIP[Month],$A512),"")</f>
        <v/>
      </c>
      <c r="C512" s="67">
        <f>IFERROR(INDEX(tbl_WIP[Xero Invoice No],$A512),"")</f>
        <v/>
      </c>
      <c r="D512" s="67">
        <f>IFERROR(INDEX(tbl_WIP[Client],$A512),"")</f>
        <v/>
      </c>
      <c r="E512" s="67">
        <f>IFERROR(INDEX(tbl_WIP[Job Number],$A512),"")</f>
        <v/>
      </c>
      <c r="F512" s="67">
        <f>IFERROR(INDEX(tbl_WIP[Cost Centre],$A512),"")</f>
        <v/>
      </c>
      <c r="G512" s="68">
        <f>IFERROR(IF(INDEX(tbl_WIP[Defer Start],$A512)="","",IF(INDEX(tbl_WIP[Revenue or Cost],$A512)="Cost",-1,1)*INDEX(tbl_WIP[Amount],$A512)),"")</f>
        <v/>
      </c>
      <c r="H512" s="66">
        <f>IFERROR(INDEX(tbl_WIP[Defer Start],$A512),"")</f>
        <v/>
      </c>
      <c r="I512" s="66">
        <f>IFERROR(INDEX(tbl_WIP[Defer End],$A512),"")</f>
        <v/>
      </c>
      <c r="J512" s="65">
        <f>IF(OR($H512="",$I512="",$G512=""),"",MAX(1,(YEAR($I512)-YEAR($H512))*12+MONTH($I512)-MONTH($H512)+1))</f>
        <v/>
      </c>
      <c r="K512" s="68">
        <f>IF($J512="","",$G512/$J512)</f>
        <v/>
      </c>
      <c r="L512" s="68">
        <f>IF($J512="",0,$K512*MAX(0,MIN(YEAR($C$3)*12+MONTH($C$3),YEAR($I512)*12+MONTH($I512))-(YEAR($H512)*12+MONTH($H512))+1))</f>
        <v/>
      </c>
      <c r="M512" s="68">
        <f>IF($J512="",0,$K512*MAX(0,MIN(YEAR($C$3)*12+MONTH($C$3)-1,YEAR($I512)*12+MONTH($I512))-(YEAR($H512)*12+MONTH($H512))+1))</f>
        <v/>
      </c>
      <c r="N512" s="68">
        <f>IF(OR($J512="",$B512=""),0,IF(YEAR($B512)*12+MONTH($B512)&lt;=YEAR($C$3)*12+MONTH($C$3),$G512,0))</f>
        <v/>
      </c>
      <c r="O512" s="68">
        <f>IF(OR($J512="",$B512=""),0,IF(YEAR($B512)*12+MONTH($B512)&lt;=YEAR($C$3)*12+MONTH($C$3)-1,$G512,0))</f>
        <v/>
      </c>
      <c r="P512" s="68">
        <f>$M512-$O512</f>
        <v/>
      </c>
      <c r="Q512" s="68">
        <f>($L512-$M512)-($N512-$O512)</f>
        <v/>
      </c>
      <c r="R512" s="68">
        <f>$L512-$N512</f>
        <v/>
      </c>
      <c r="S512" s="67">
        <f>"WIP journal"</f>
        <v/>
      </c>
      <c r="T512" s="67">
        <f>IFERROR(INDEX(tbl_WIP[Revenue or Cost],$A512),"")</f>
        <v/>
      </c>
    </row>
    <row r="513">
      <c r="A513" s="65">
        <f>ROW()-407</f>
        <v/>
      </c>
      <c r="B513" s="66">
        <f>IFERROR(INDEX(tbl_WIP[Month],$A513),"")</f>
        <v/>
      </c>
      <c r="C513" s="67">
        <f>IFERROR(INDEX(tbl_WIP[Xero Invoice No],$A513),"")</f>
        <v/>
      </c>
      <c r="D513" s="67">
        <f>IFERROR(INDEX(tbl_WIP[Client],$A513),"")</f>
        <v/>
      </c>
      <c r="E513" s="67">
        <f>IFERROR(INDEX(tbl_WIP[Job Number],$A513),"")</f>
        <v/>
      </c>
      <c r="F513" s="67">
        <f>IFERROR(INDEX(tbl_WIP[Cost Centre],$A513),"")</f>
        <v/>
      </c>
      <c r="G513" s="68">
        <f>IFERROR(IF(INDEX(tbl_WIP[Defer Start],$A513)="","",IF(INDEX(tbl_WIP[Revenue or Cost],$A513)="Cost",-1,1)*INDEX(tbl_WIP[Amount],$A513)),"")</f>
        <v/>
      </c>
      <c r="H513" s="66">
        <f>IFERROR(INDEX(tbl_WIP[Defer Start],$A513),"")</f>
        <v/>
      </c>
      <c r="I513" s="66">
        <f>IFERROR(INDEX(tbl_WIP[Defer End],$A513),"")</f>
        <v/>
      </c>
      <c r="J513" s="65">
        <f>IF(OR($H513="",$I513="",$G513=""),"",MAX(1,(YEAR($I513)-YEAR($H513))*12+MONTH($I513)-MONTH($H513)+1))</f>
        <v/>
      </c>
      <c r="K513" s="68">
        <f>IF($J513="","",$G513/$J513)</f>
        <v/>
      </c>
      <c r="L513" s="68">
        <f>IF($J513="",0,$K513*MAX(0,MIN(YEAR($C$3)*12+MONTH($C$3),YEAR($I513)*12+MONTH($I513))-(YEAR($H513)*12+MONTH($H513))+1))</f>
        <v/>
      </c>
      <c r="M513" s="68">
        <f>IF($J513="",0,$K513*MAX(0,MIN(YEAR($C$3)*12+MONTH($C$3)-1,YEAR($I513)*12+MONTH($I513))-(YEAR($H513)*12+MONTH($H513))+1))</f>
        <v/>
      </c>
      <c r="N513" s="68">
        <f>IF(OR($J513="",$B513=""),0,IF(YEAR($B513)*12+MONTH($B513)&lt;=YEAR($C$3)*12+MONTH($C$3),$G513,0))</f>
        <v/>
      </c>
      <c r="O513" s="68">
        <f>IF(OR($J513="",$B513=""),0,IF(YEAR($B513)*12+MONTH($B513)&lt;=YEAR($C$3)*12+MONTH($C$3)-1,$G513,0))</f>
        <v/>
      </c>
      <c r="P513" s="68">
        <f>$M513-$O513</f>
        <v/>
      </c>
      <c r="Q513" s="68">
        <f>($L513-$M513)-($N513-$O513)</f>
        <v/>
      </c>
      <c r="R513" s="68">
        <f>$L513-$N513</f>
        <v/>
      </c>
      <c r="S513" s="67">
        <f>"WIP journal"</f>
        <v/>
      </c>
      <c r="T513" s="67">
        <f>IFERROR(INDEX(tbl_WIP[Revenue or Cost],$A513),"")</f>
        <v/>
      </c>
    </row>
    <row r="514">
      <c r="A514" s="65">
        <f>ROW()-407</f>
        <v/>
      </c>
      <c r="B514" s="66">
        <f>IFERROR(INDEX(tbl_WIP[Month],$A514),"")</f>
        <v/>
      </c>
      <c r="C514" s="67">
        <f>IFERROR(INDEX(tbl_WIP[Xero Invoice No],$A514),"")</f>
        <v/>
      </c>
      <c r="D514" s="67">
        <f>IFERROR(INDEX(tbl_WIP[Client],$A514),"")</f>
        <v/>
      </c>
      <c r="E514" s="67">
        <f>IFERROR(INDEX(tbl_WIP[Job Number],$A514),"")</f>
        <v/>
      </c>
      <c r="F514" s="67">
        <f>IFERROR(INDEX(tbl_WIP[Cost Centre],$A514),"")</f>
        <v/>
      </c>
      <c r="G514" s="68">
        <f>IFERROR(IF(INDEX(tbl_WIP[Defer Start],$A514)="","",IF(INDEX(tbl_WIP[Revenue or Cost],$A514)="Cost",-1,1)*INDEX(tbl_WIP[Amount],$A514)),"")</f>
        <v/>
      </c>
      <c r="H514" s="66">
        <f>IFERROR(INDEX(tbl_WIP[Defer Start],$A514),"")</f>
        <v/>
      </c>
      <c r="I514" s="66">
        <f>IFERROR(INDEX(tbl_WIP[Defer End],$A514),"")</f>
        <v/>
      </c>
      <c r="J514" s="65">
        <f>IF(OR($H514="",$I514="",$G514=""),"",MAX(1,(YEAR($I514)-YEAR($H514))*12+MONTH($I514)-MONTH($H514)+1))</f>
        <v/>
      </c>
      <c r="K514" s="68">
        <f>IF($J514="","",$G514/$J514)</f>
        <v/>
      </c>
      <c r="L514" s="68">
        <f>IF($J514="",0,$K514*MAX(0,MIN(YEAR($C$3)*12+MONTH($C$3),YEAR($I514)*12+MONTH($I514))-(YEAR($H514)*12+MONTH($H514))+1))</f>
        <v/>
      </c>
      <c r="M514" s="68">
        <f>IF($J514="",0,$K514*MAX(0,MIN(YEAR($C$3)*12+MONTH($C$3)-1,YEAR($I514)*12+MONTH($I514))-(YEAR($H514)*12+MONTH($H514))+1))</f>
        <v/>
      </c>
      <c r="N514" s="68">
        <f>IF(OR($J514="",$B514=""),0,IF(YEAR($B514)*12+MONTH($B514)&lt;=YEAR($C$3)*12+MONTH($C$3),$G514,0))</f>
        <v/>
      </c>
      <c r="O514" s="68">
        <f>IF(OR($J514="",$B514=""),0,IF(YEAR($B514)*12+MONTH($B514)&lt;=YEAR($C$3)*12+MONTH($C$3)-1,$G514,0))</f>
        <v/>
      </c>
      <c r="P514" s="68">
        <f>$M514-$O514</f>
        <v/>
      </c>
      <c r="Q514" s="68">
        <f>($L514-$M514)-($N514-$O514)</f>
        <v/>
      </c>
      <c r="R514" s="68">
        <f>$L514-$N514</f>
        <v/>
      </c>
      <c r="S514" s="67">
        <f>"WIP journal"</f>
        <v/>
      </c>
      <c r="T514" s="67">
        <f>IFERROR(INDEX(tbl_WIP[Revenue or Cost],$A514),"")</f>
        <v/>
      </c>
    </row>
    <row r="515">
      <c r="A515" s="65">
        <f>ROW()-407</f>
        <v/>
      </c>
      <c r="B515" s="66">
        <f>IFERROR(INDEX(tbl_WIP[Month],$A515),"")</f>
        <v/>
      </c>
      <c r="C515" s="67">
        <f>IFERROR(INDEX(tbl_WIP[Xero Invoice No],$A515),"")</f>
        <v/>
      </c>
      <c r="D515" s="67">
        <f>IFERROR(INDEX(tbl_WIP[Client],$A515),"")</f>
        <v/>
      </c>
      <c r="E515" s="67">
        <f>IFERROR(INDEX(tbl_WIP[Job Number],$A515),"")</f>
        <v/>
      </c>
      <c r="F515" s="67">
        <f>IFERROR(INDEX(tbl_WIP[Cost Centre],$A515),"")</f>
        <v/>
      </c>
      <c r="G515" s="68">
        <f>IFERROR(IF(INDEX(tbl_WIP[Defer Start],$A515)="","",IF(INDEX(tbl_WIP[Revenue or Cost],$A515)="Cost",-1,1)*INDEX(tbl_WIP[Amount],$A515)),"")</f>
        <v/>
      </c>
      <c r="H515" s="66">
        <f>IFERROR(INDEX(tbl_WIP[Defer Start],$A515),"")</f>
        <v/>
      </c>
      <c r="I515" s="66">
        <f>IFERROR(INDEX(tbl_WIP[Defer End],$A515),"")</f>
        <v/>
      </c>
      <c r="J515" s="65">
        <f>IF(OR($H515="",$I515="",$G515=""),"",MAX(1,(YEAR($I515)-YEAR($H515))*12+MONTH($I515)-MONTH($H515)+1))</f>
        <v/>
      </c>
      <c r="K515" s="68">
        <f>IF($J515="","",$G515/$J515)</f>
        <v/>
      </c>
      <c r="L515" s="68">
        <f>IF($J515="",0,$K515*MAX(0,MIN(YEAR($C$3)*12+MONTH($C$3),YEAR($I515)*12+MONTH($I515))-(YEAR($H515)*12+MONTH($H515))+1))</f>
        <v/>
      </c>
      <c r="M515" s="68">
        <f>IF($J515="",0,$K515*MAX(0,MIN(YEAR($C$3)*12+MONTH($C$3)-1,YEAR($I515)*12+MONTH($I515))-(YEAR($H515)*12+MONTH($H515))+1))</f>
        <v/>
      </c>
      <c r="N515" s="68">
        <f>IF(OR($J515="",$B515=""),0,IF(YEAR($B515)*12+MONTH($B515)&lt;=YEAR($C$3)*12+MONTH($C$3),$G515,0))</f>
        <v/>
      </c>
      <c r="O515" s="68">
        <f>IF(OR($J515="",$B515=""),0,IF(YEAR($B515)*12+MONTH($B515)&lt;=YEAR($C$3)*12+MONTH($C$3)-1,$G515,0))</f>
        <v/>
      </c>
      <c r="P515" s="68">
        <f>$M515-$O515</f>
        <v/>
      </c>
      <c r="Q515" s="68">
        <f>($L515-$M515)-($N515-$O515)</f>
        <v/>
      </c>
      <c r="R515" s="68">
        <f>$L515-$N515</f>
        <v/>
      </c>
      <c r="S515" s="67">
        <f>"WIP journal"</f>
        <v/>
      </c>
      <c r="T515" s="67">
        <f>IFERROR(INDEX(tbl_WIP[Revenue or Cost],$A515),"")</f>
        <v/>
      </c>
    </row>
    <row r="516">
      <c r="A516" s="65">
        <f>ROW()-407</f>
        <v/>
      </c>
      <c r="B516" s="66">
        <f>IFERROR(INDEX(tbl_WIP[Month],$A516),"")</f>
        <v/>
      </c>
      <c r="C516" s="67">
        <f>IFERROR(INDEX(tbl_WIP[Xero Invoice No],$A516),"")</f>
        <v/>
      </c>
      <c r="D516" s="67">
        <f>IFERROR(INDEX(tbl_WIP[Client],$A516),"")</f>
        <v/>
      </c>
      <c r="E516" s="67">
        <f>IFERROR(INDEX(tbl_WIP[Job Number],$A516),"")</f>
        <v/>
      </c>
      <c r="F516" s="67">
        <f>IFERROR(INDEX(tbl_WIP[Cost Centre],$A516),"")</f>
        <v/>
      </c>
      <c r="G516" s="68">
        <f>IFERROR(IF(INDEX(tbl_WIP[Defer Start],$A516)="","",IF(INDEX(tbl_WIP[Revenue or Cost],$A516)="Cost",-1,1)*INDEX(tbl_WIP[Amount],$A516)),"")</f>
        <v/>
      </c>
      <c r="H516" s="66">
        <f>IFERROR(INDEX(tbl_WIP[Defer Start],$A516),"")</f>
        <v/>
      </c>
      <c r="I516" s="66">
        <f>IFERROR(INDEX(tbl_WIP[Defer End],$A516),"")</f>
        <v/>
      </c>
      <c r="J516" s="65">
        <f>IF(OR($H516="",$I516="",$G516=""),"",MAX(1,(YEAR($I516)-YEAR($H516))*12+MONTH($I516)-MONTH($H516)+1))</f>
        <v/>
      </c>
      <c r="K516" s="68">
        <f>IF($J516="","",$G516/$J516)</f>
        <v/>
      </c>
      <c r="L516" s="68">
        <f>IF($J516="",0,$K516*MAX(0,MIN(YEAR($C$3)*12+MONTH($C$3),YEAR($I516)*12+MONTH($I516))-(YEAR($H516)*12+MONTH($H516))+1))</f>
        <v/>
      </c>
      <c r="M516" s="68">
        <f>IF($J516="",0,$K516*MAX(0,MIN(YEAR($C$3)*12+MONTH($C$3)-1,YEAR($I516)*12+MONTH($I516))-(YEAR($H516)*12+MONTH($H516))+1))</f>
        <v/>
      </c>
      <c r="N516" s="68">
        <f>IF(OR($J516="",$B516=""),0,IF(YEAR($B516)*12+MONTH($B516)&lt;=YEAR($C$3)*12+MONTH($C$3),$G516,0))</f>
        <v/>
      </c>
      <c r="O516" s="68">
        <f>IF(OR($J516="",$B516=""),0,IF(YEAR($B516)*12+MONTH($B516)&lt;=YEAR($C$3)*12+MONTH($C$3)-1,$G516,0))</f>
        <v/>
      </c>
      <c r="P516" s="68">
        <f>$M516-$O516</f>
        <v/>
      </c>
      <c r="Q516" s="68">
        <f>($L516-$M516)-($N516-$O516)</f>
        <v/>
      </c>
      <c r="R516" s="68">
        <f>$L516-$N516</f>
        <v/>
      </c>
      <c r="S516" s="67">
        <f>"WIP journal"</f>
        <v/>
      </c>
      <c r="T516" s="67">
        <f>IFERROR(INDEX(tbl_WIP[Revenue or Cost],$A516),"")</f>
        <v/>
      </c>
    </row>
    <row r="517">
      <c r="A517" s="65">
        <f>ROW()-407</f>
        <v/>
      </c>
      <c r="B517" s="66">
        <f>IFERROR(INDEX(tbl_WIP[Month],$A517),"")</f>
        <v/>
      </c>
      <c r="C517" s="67">
        <f>IFERROR(INDEX(tbl_WIP[Xero Invoice No],$A517),"")</f>
        <v/>
      </c>
      <c r="D517" s="67">
        <f>IFERROR(INDEX(tbl_WIP[Client],$A517),"")</f>
        <v/>
      </c>
      <c r="E517" s="67">
        <f>IFERROR(INDEX(tbl_WIP[Job Number],$A517),"")</f>
        <v/>
      </c>
      <c r="F517" s="67">
        <f>IFERROR(INDEX(tbl_WIP[Cost Centre],$A517),"")</f>
        <v/>
      </c>
      <c r="G517" s="68">
        <f>IFERROR(IF(INDEX(tbl_WIP[Defer Start],$A517)="","",IF(INDEX(tbl_WIP[Revenue or Cost],$A517)="Cost",-1,1)*INDEX(tbl_WIP[Amount],$A517)),"")</f>
        <v/>
      </c>
      <c r="H517" s="66">
        <f>IFERROR(INDEX(tbl_WIP[Defer Start],$A517),"")</f>
        <v/>
      </c>
      <c r="I517" s="66">
        <f>IFERROR(INDEX(tbl_WIP[Defer End],$A517),"")</f>
        <v/>
      </c>
      <c r="J517" s="65">
        <f>IF(OR($H517="",$I517="",$G517=""),"",MAX(1,(YEAR($I517)-YEAR($H517))*12+MONTH($I517)-MONTH($H517)+1))</f>
        <v/>
      </c>
      <c r="K517" s="68">
        <f>IF($J517="","",$G517/$J517)</f>
        <v/>
      </c>
      <c r="L517" s="68">
        <f>IF($J517="",0,$K517*MAX(0,MIN(YEAR($C$3)*12+MONTH($C$3),YEAR($I517)*12+MONTH($I517))-(YEAR($H517)*12+MONTH($H517))+1))</f>
        <v/>
      </c>
      <c r="M517" s="68">
        <f>IF($J517="",0,$K517*MAX(0,MIN(YEAR($C$3)*12+MONTH($C$3)-1,YEAR($I517)*12+MONTH($I517))-(YEAR($H517)*12+MONTH($H517))+1))</f>
        <v/>
      </c>
      <c r="N517" s="68">
        <f>IF(OR($J517="",$B517=""),0,IF(YEAR($B517)*12+MONTH($B517)&lt;=YEAR($C$3)*12+MONTH($C$3),$G517,0))</f>
        <v/>
      </c>
      <c r="O517" s="68">
        <f>IF(OR($J517="",$B517=""),0,IF(YEAR($B517)*12+MONTH($B517)&lt;=YEAR($C$3)*12+MONTH($C$3)-1,$G517,0))</f>
        <v/>
      </c>
      <c r="P517" s="68">
        <f>$M517-$O517</f>
        <v/>
      </c>
      <c r="Q517" s="68">
        <f>($L517-$M517)-($N517-$O517)</f>
        <v/>
      </c>
      <c r="R517" s="68">
        <f>$L517-$N517</f>
        <v/>
      </c>
      <c r="S517" s="67">
        <f>"WIP journal"</f>
        <v/>
      </c>
      <c r="T517" s="67">
        <f>IFERROR(INDEX(tbl_WIP[Revenue or Cost],$A517),"")</f>
        <v/>
      </c>
    </row>
    <row r="518">
      <c r="A518" s="65">
        <f>ROW()-407</f>
        <v/>
      </c>
      <c r="B518" s="66">
        <f>IFERROR(INDEX(tbl_WIP[Month],$A518),"")</f>
        <v/>
      </c>
      <c r="C518" s="67">
        <f>IFERROR(INDEX(tbl_WIP[Xero Invoice No],$A518),"")</f>
        <v/>
      </c>
      <c r="D518" s="67">
        <f>IFERROR(INDEX(tbl_WIP[Client],$A518),"")</f>
        <v/>
      </c>
      <c r="E518" s="67">
        <f>IFERROR(INDEX(tbl_WIP[Job Number],$A518),"")</f>
        <v/>
      </c>
      <c r="F518" s="67">
        <f>IFERROR(INDEX(tbl_WIP[Cost Centre],$A518),"")</f>
        <v/>
      </c>
      <c r="G518" s="68">
        <f>IFERROR(IF(INDEX(tbl_WIP[Defer Start],$A518)="","",IF(INDEX(tbl_WIP[Revenue or Cost],$A518)="Cost",-1,1)*INDEX(tbl_WIP[Amount],$A518)),"")</f>
        <v/>
      </c>
      <c r="H518" s="66">
        <f>IFERROR(INDEX(tbl_WIP[Defer Start],$A518),"")</f>
        <v/>
      </c>
      <c r="I518" s="66">
        <f>IFERROR(INDEX(tbl_WIP[Defer End],$A518),"")</f>
        <v/>
      </c>
      <c r="J518" s="65">
        <f>IF(OR($H518="",$I518="",$G518=""),"",MAX(1,(YEAR($I518)-YEAR($H518))*12+MONTH($I518)-MONTH($H518)+1))</f>
        <v/>
      </c>
      <c r="K518" s="68">
        <f>IF($J518="","",$G518/$J518)</f>
        <v/>
      </c>
      <c r="L518" s="68">
        <f>IF($J518="",0,$K518*MAX(0,MIN(YEAR($C$3)*12+MONTH($C$3),YEAR($I518)*12+MONTH($I518))-(YEAR($H518)*12+MONTH($H518))+1))</f>
        <v/>
      </c>
      <c r="M518" s="68">
        <f>IF($J518="",0,$K518*MAX(0,MIN(YEAR($C$3)*12+MONTH($C$3)-1,YEAR($I518)*12+MONTH($I518))-(YEAR($H518)*12+MONTH($H518))+1))</f>
        <v/>
      </c>
      <c r="N518" s="68">
        <f>IF(OR($J518="",$B518=""),0,IF(YEAR($B518)*12+MONTH($B518)&lt;=YEAR($C$3)*12+MONTH($C$3),$G518,0))</f>
        <v/>
      </c>
      <c r="O518" s="68">
        <f>IF(OR($J518="",$B518=""),0,IF(YEAR($B518)*12+MONTH($B518)&lt;=YEAR($C$3)*12+MONTH($C$3)-1,$G518,0))</f>
        <v/>
      </c>
      <c r="P518" s="68">
        <f>$M518-$O518</f>
        <v/>
      </c>
      <c r="Q518" s="68">
        <f>($L518-$M518)-($N518-$O518)</f>
        <v/>
      </c>
      <c r="R518" s="68">
        <f>$L518-$N518</f>
        <v/>
      </c>
      <c r="S518" s="67">
        <f>"WIP journal"</f>
        <v/>
      </c>
      <c r="T518" s="67">
        <f>IFERROR(INDEX(tbl_WIP[Revenue or Cost],$A518),"")</f>
        <v/>
      </c>
    </row>
    <row r="519">
      <c r="A519" s="65">
        <f>ROW()-407</f>
        <v/>
      </c>
      <c r="B519" s="66">
        <f>IFERROR(INDEX(tbl_WIP[Month],$A519),"")</f>
        <v/>
      </c>
      <c r="C519" s="67">
        <f>IFERROR(INDEX(tbl_WIP[Xero Invoice No],$A519),"")</f>
        <v/>
      </c>
      <c r="D519" s="67">
        <f>IFERROR(INDEX(tbl_WIP[Client],$A519),"")</f>
        <v/>
      </c>
      <c r="E519" s="67">
        <f>IFERROR(INDEX(tbl_WIP[Job Number],$A519),"")</f>
        <v/>
      </c>
      <c r="F519" s="67">
        <f>IFERROR(INDEX(tbl_WIP[Cost Centre],$A519),"")</f>
        <v/>
      </c>
      <c r="G519" s="68">
        <f>IFERROR(IF(INDEX(tbl_WIP[Defer Start],$A519)="","",IF(INDEX(tbl_WIP[Revenue or Cost],$A519)="Cost",-1,1)*INDEX(tbl_WIP[Amount],$A519)),"")</f>
        <v/>
      </c>
      <c r="H519" s="66">
        <f>IFERROR(INDEX(tbl_WIP[Defer Start],$A519),"")</f>
        <v/>
      </c>
      <c r="I519" s="66">
        <f>IFERROR(INDEX(tbl_WIP[Defer End],$A519),"")</f>
        <v/>
      </c>
      <c r="J519" s="65">
        <f>IF(OR($H519="",$I519="",$G519=""),"",MAX(1,(YEAR($I519)-YEAR($H519))*12+MONTH($I519)-MONTH($H519)+1))</f>
        <v/>
      </c>
      <c r="K519" s="68">
        <f>IF($J519="","",$G519/$J519)</f>
        <v/>
      </c>
      <c r="L519" s="68">
        <f>IF($J519="",0,$K519*MAX(0,MIN(YEAR($C$3)*12+MONTH($C$3),YEAR($I519)*12+MONTH($I519))-(YEAR($H519)*12+MONTH($H519))+1))</f>
        <v/>
      </c>
      <c r="M519" s="68">
        <f>IF($J519="",0,$K519*MAX(0,MIN(YEAR($C$3)*12+MONTH($C$3)-1,YEAR($I519)*12+MONTH($I519))-(YEAR($H519)*12+MONTH($H519))+1))</f>
        <v/>
      </c>
      <c r="N519" s="68">
        <f>IF(OR($J519="",$B519=""),0,IF(YEAR($B519)*12+MONTH($B519)&lt;=YEAR($C$3)*12+MONTH($C$3),$G519,0))</f>
        <v/>
      </c>
      <c r="O519" s="68">
        <f>IF(OR($J519="",$B519=""),0,IF(YEAR($B519)*12+MONTH($B519)&lt;=YEAR($C$3)*12+MONTH($C$3)-1,$G519,0))</f>
        <v/>
      </c>
      <c r="P519" s="68">
        <f>$M519-$O519</f>
        <v/>
      </c>
      <c r="Q519" s="68">
        <f>($L519-$M519)-($N519-$O519)</f>
        <v/>
      </c>
      <c r="R519" s="68">
        <f>$L519-$N519</f>
        <v/>
      </c>
      <c r="S519" s="67">
        <f>"WIP journal"</f>
        <v/>
      </c>
      <c r="T519" s="67">
        <f>IFERROR(INDEX(tbl_WIP[Revenue or Cost],$A519),"")</f>
        <v/>
      </c>
    </row>
    <row r="520">
      <c r="A520" s="65">
        <f>ROW()-407</f>
        <v/>
      </c>
      <c r="B520" s="66">
        <f>IFERROR(INDEX(tbl_WIP[Month],$A520),"")</f>
        <v/>
      </c>
      <c r="C520" s="67">
        <f>IFERROR(INDEX(tbl_WIP[Xero Invoice No],$A520),"")</f>
        <v/>
      </c>
      <c r="D520" s="67">
        <f>IFERROR(INDEX(tbl_WIP[Client],$A520),"")</f>
        <v/>
      </c>
      <c r="E520" s="67">
        <f>IFERROR(INDEX(tbl_WIP[Job Number],$A520),"")</f>
        <v/>
      </c>
      <c r="F520" s="67">
        <f>IFERROR(INDEX(tbl_WIP[Cost Centre],$A520),"")</f>
        <v/>
      </c>
      <c r="G520" s="68">
        <f>IFERROR(IF(INDEX(tbl_WIP[Defer Start],$A520)="","",IF(INDEX(tbl_WIP[Revenue or Cost],$A520)="Cost",-1,1)*INDEX(tbl_WIP[Amount],$A520)),"")</f>
        <v/>
      </c>
      <c r="H520" s="66">
        <f>IFERROR(INDEX(tbl_WIP[Defer Start],$A520),"")</f>
        <v/>
      </c>
      <c r="I520" s="66">
        <f>IFERROR(INDEX(tbl_WIP[Defer End],$A520),"")</f>
        <v/>
      </c>
      <c r="J520" s="65">
        <f>IF(OR($H520="",$I520="",$G520=""),"",MAX(1,(YEAR($I520)-YEAR($H520))*12+MONTH($I520)-MONTH($H520)+1))</f>
        <v/>
      </c>
      <c r="K520" s="68">
        <f>IF($J520="","",$G520/$J520)</f>
        <v/>
      </c>
      <c r="L520" s="68">
        <f>IF($J520="",0,$K520*MAX(0,MIN(YEAR($C$3)*12+MONTH($C$3),YEAR($I520)*12+MONTH($I520))-(YEAR($H520)*12+MONTH($H520))+1))</f>
        <v/>
      </c>
      <c r="M520" s="68">
        <f>IF($J520="",0,$K520*MAX(0,MIN(YEAR($C$3)*12+MONTH($C$3)-1,YEAR($I520)*12+MONTH($I520))-(YEAR($H520)*12+MONTH($H520))+1))</f>
        <v/>
      </c>
      <c r="N520" s="68">
        <f>IF(OR($J520="",$B520=""),0,IF(YEAR($B520)*12+MONTH($B520)&lt;=YEAR($C$3)*12+MONTH($C$3),$G520,0))</f>
        <v/>
      </c>
      <c r="O520" s="68">
        <f>IF(OR($J520="",$B520=""),0,IF(YEAR($B520)*12+MONTH($B520)&lt;=YEAR($C$3)*12+MONTH($C$3)-1,$G520,0))</f>
        <v/>
      </c>
      <c r="P520" s="68">
        <f>$M520-$O520</f>
        <v/>
      </c>
      <c r="Q520" s="68">
        <f>($L520-$M520)-($N520-$O520)</f>
        <v/>
      </c>
      <c r="R520" s="68">
        <f>$L520-$N520</f>
        <v/>
      </c>
      <c r="S520" s="67">
        <f>"WIP journal"</f>
        <v/>
      </c>
      <c r="T520" s="67">
        <f>IFERROR(INDEX(tbl_WIP[Revenue or Cost],$A520),"")</f>
        <v/>
      </c>
    </row>
    <row r="521">
      <c r="A521" s="65">
        <f>ROW()-407</f>
        <v/>
      </c>
      <c r="B521" s="66">
        <f>IFERROR(INDEX(tbl_WIP[Month],$A521),"")</f>
        <v/>
      </c>
      <c r="C521" s="67">
        <f>IFERROR(INDEX(tbl_WIP[Xero Invoice No],$A521),"")</f>
        <v/>
      </c>
      <c r="D521" s="67">
        <f>IFERROR(INDEX(tbl_WIP[Client],$A521),"")</f>
        <v/>
      </c>
      <c r="E521" s="67">
        <f>IFERROR(INDEX(tbl_WIP[Job Number],$A521),"")</f>
        <v/>
      </c>
      <c r="F521" s="67">
        <f>IFERROR(INDEX(tbl_WIP[Cost Centre],$A521),"")</f>
        <v/>
      </c>
      <c r="G521" s="68">
        <f>IFERROR(IF(INDEX(tbl_WIP[Defer Start],$A521)="","",IF(INDEX(tbl_WIP[Revenue or Cost],$A521)="Cost",-1,1)*INDEX(tbl_WIP[Amount],$A521)),"")</f>
        <v/>
      </c>
      <c r="H521" s="66">
        <f>IFERROR(INDEX(tbl_WIP[Defer Start],$A521),"")</f>
        <v/>
      </c>
      <c r="I521" s="66">
        <f>IFERROR(INDEX(tbl_WIP[Defer End],$A521),"")</f>
        <v/>
      </c>
      <c r="J521" s="65">
        <f>IF(OR($H521="",$I521="",$G521=""),"",MAX(1,(YEAR($I521)-YEAR($H521))*12+MONTH($I521)-MONTH($H521)+1))</f>
        <v/>
      </c>
      <c r="K521" s="68">
        <f>IF($J521="","",$G521/$J521)</f>
        <v/>
      </c>
      <c r="L521" s="68">
        <f>IF($J521="",0,$K521*MAX(0,MIN(YEAR($C$3)*12+MONTH($C$3),YEAR($I521)*12+MONTH($I521))-(YEAR($H521)*12+MONTH($H521))+1))</f>
        <v/>
      </c>
      <c r="M521" s="68">
        <f>IF($J521="",0,$K521*MAX(0,MIN(YEAR($C$3)*12+MONTH($C$3)-1,YEAR($I521)*12+MONTH($I521))-(YEAR($H521)*12+MONTH($H521))+1))</f>
        <v/>
      </c>
      <c r="N521" s="68">
        <f>IF(OR($J521="",$B521=""),0,IF(YEAR($B521)*12+MONTH($B521)&lt;=YEAR($C$3)*12+MONTH($C$3),$G521,0))</f>
        <v/>
      </c>
      <c r="O521" s="68">
        <f>IF(OR($J521="",$B521=""),0,IF(YEAR($B521)*12+MONTH($B521)&lt;=YEAR($C$3)*12+MONTH($C$3)-1,$G521,0))</f>
        <v/>
      </c>
      <c r="P521" s="68">
        <f>$M521-$O521</f>
        <v/>
      </c>
      <c r="Q521" s="68">
        <f>($L521-$M521)-($N521-$O521)</f>
        <v/>
      </c>
      <c r="R521" s="68">
        <f>$L521-$N521</f>
        <v/>
      </c>
      <c r="S521" s="67">
        <f>"WIP journal"</f>
        <v/>
      </c>
      <c r="T521" s="67">
        <f>IFERROR(INDEX(tbl_WIP[Revenue or Cost],$A521),"")</f>
        <v/>
      </c>
    </row>
    <row r="522">
      <c r="A522" s="65">
        <f>ROW()-407</f>
        <v/>
      </c>
      <c r="B522" s="66">
        <f>IFERROR(INDEX(tbl_WIP[Month],$A522),"")</f>
        <v/>
      </c>
      <c r="C522" s="67">
        <f>IFERROR(INDEX(tbl_WIP[Xero Invoice No],$A522),"")</f>
        <v/>
      </c>
      <c r="D522" s="67">
        <f>IFERROR(INDEX(tbl_WIP[Client],$A522),"")</f>
        <v/>
      </c>
      <c r="E522" s="67">
        <f>IFERROR(INDEX(tbl_WIP[Job Number],$A522),"")</f>
        <v/>
      </c>
      <c r="F522" s="67">
        <f>IFERROR(INDEX(tbl_WIP[Cost Centre],$A522),"")</f>
        <v/>
      </c>
      <c r="G522" s="68">
        <f>IFERROR(IF(INDEX(tbl_WIP[Defer Start],$A522)="","",IF(INDEX(tbl_WIP[Revenue or Cost],$A522)="Cost",-1,1)*INDEX(tbl_WIP[Amount],$A522)),"")</f>
        <v/>
      </c>
      <c r="H522" s="66">
        <f>IFERROR(INDEX(tbl_WIP[Defer Start],$A522),"")</f>
        <v/>
      </c>
      <c r="I522" s="66">
        <f>IFERROR(INDEX(tbl_WIP[Defer End],$A522),"")</f>
        <v/>
      </c>
      <c r="J522" s="65">
        <f>IF(OR($H522="",$I522="",$G522=""),"",MAX(1,(YEAR($I522)-YEAR($H522))*12+MONTH($I522)-MONTH($H522)+1))</f>
        <v/>
      </c>
      <c r="K522" s="68">
        <f>IF($J522="","",$G522/$J522)</f>
        <v/>
      </c>
      <c r="L522" s="68">
        <f>IF($J522="",0,$K522*MAX(0,MIN(YEAR($C$3)*12+MONTH($C$3),YEAR($I522)*12+MONTH($I522))-(YEAR($H522)*12+MONTH($H522))+1))</f>
        <v/>
      </c>
      <c r="M522" s="68">
        <f>IF($J522="",0,$K522*MAX(0,MIN(YEAR($C$3)*12+MONTH($C$3)-1,YEAR($I522)*12+MONTH($I522))-(YEAR($H522)*12+MONTH($H522))+1))</f>
        <v/>
      </c>
      <c r="N522" s="68">
        <f>IF(OR($J522="",$B522=""),0,IF(YEAR($B522)*12+MONTH($B522)&lt;=YEAR($C$3)*12+MONTH($C$3),$G522,0))</f>
        <v/>
      </c>
      <c r="O522" s="68">
        <f>IF(OR($J522="",$B522=""),0,IF(YEAR($B522)*12+MONTH($B522)&lt;=YEAR($C$3)*12+MONTH($C$3)-1,$G522,0))</f>
        <v/>
      </c>
      <c r="P522" s="68">
        <f>$M522-$O522</f>
        <v/>
      </c>
      <c r="Q522" s="68">
        <f>($L522-$M522)-($N522-$O522)</f>
        <v/>
      </c>
      <c r="R522" s="68">
        <f>$L522-$N522</f>
        <v/>
      </c>
      <c r="S522" s="67">
        <f>"WIP journal"</f>
        <v/>
      </c>
      <c r="T522" s="67">
        <f>IFERROR(INDEX(tbl_WIP[Revenue or Cost],$A522),"")</f>
        <v/>
      </c>
    </row>
    <row r="523">
      <c r="A523" s="65">
        <f>ROW()-407</f>
        <v/>
      </c>
      <c r="B523" s="66">
        <f>IFERROR(INDEX(tbl_WIP[Month],$A523),"")</f>
        <v/>
      </c>
      <c r="C523" s="67">
        <f>IFERROR(INDEX(tbl_WIP[Xero Invoice No],$A523),"")</f>
        <v/>
      </c>
      <c r="D523" s="67">
        <f>IFERROR(INDEX(tbl_WIP[Client],$A523),"")</f>
        <v/>
      </c>
      <c r="E523" s="67">
        <f>IFERROR(INDEX(tbl_WIP[Job Number],$A523),"")</f>
        <v/>
      </c>
      <c r="F523" s="67">
        <f>IFERROR(INDEX(tbl_WIP[Cost Centre],$A523),"")</f>
        <v/>
      </c>
      <c r="G523" s="68">
        <f>IFERROR(IF(INDEX(tbl_WIP[Defer Start],$A523)="","",IF(INDEX(tbl_WIP[Revenue or Cost],$A523)="Cost",-1,1)*INDEX(tbl_WIP[Amount],$A523)),"")</f>
        <v/>
      </c>
      <c r="H523" s="66">
        <f>IFERROR(INDEX(tbl_WIP[Defer Start],$A523),"")</f>
        <v/>
      </c>
      <c r="I523" s="66">
        <f>IFERROR(INDEX(tbl_WIP[Defer End],$A523),"")</f>
        <v/>
      </c>
      <c r="J523" s="65">
        <f>IF(OR($H523="",$I523="",$G523=""),"",MAX(1,(YEAR($I523)-YEAR($H523))*12+MONTH($I523)-MONTH($H523)+1))</f>
        <v/>
      </c>
      <c r="K523" s="68">
        <f>IF($J523="","",$G523/$J523)</f>
        <v/>
      </c>
      <c r="L523" s="68">
        <f>IF($J523="",0,$K523*MAX(0,MIN(YEAR($C$3)*12+MONTH($C$3),YEAR($I523)*12+MONTH($I523))-(YEAR($H523)*12+MONTH($H523))+1))</f>
        <v/>
      </c>
      <c r="M523" s="68">
        <f>IF($J523="",0,$K523*MAX(0,MIN(YEAR($C$3)*12+MONTH($C$3)-1,YEAR($I523)*12+MONTH($I523))-(YEAR($H523)*12+MONTH($H523))+1))</f>
        <v/>
      </c>
      <c r="N523" s="68">
        <f>IF(OR($J523="",$B523=""),0,IF(YEAR($B523)*12+MONTH($B523)&lt;=YEAR($C$3)*12+MONTH($C$3),$G523,0))</f>
        <v/>
      </c>
      <c r="O523" s="68">
        <f>IF(OR($J523="",$B523=""),0,IF(YEAR($B523)*12+MONTH($B523)&lt;=YEAR($C$3)*12+MONTH($C$3)-1,$G523,0))</f>
        <v/>
      </c>
      <c r="P523" s="68">
        <f>$M523-$O523</f>
        <v/>
      </c>
      <c r="Q523" s="68">
        <f>($L523-$M523)-($N523-$O523)</f>
        <v/>
      </c>
      <c r="R523" s="68">
        <f>$L523-$N523</f>
        <v/>
      </c>
      <c r="S523" s="67">
        <f>"WIP journal"</f>
        <v/>
      </c>
      <c r="T523" s="67">
        <f>IFERROR(INDEX(tbl_WIP[Revenue or Cost],$A523),"")</f>
        <v/>
      </c>
    </row>
    <row r="524">
      <c r="A524" s="65">
        <f>ROW()-407</f>
        <v/>
      </c>
      <c r="B524" s="66">
        <f>IFERROR(INDEX(tbl_WIP[Month],$A524),"")</f>
        <v/>
      </c>
      <c r="C524" s="67">
        <f>IFERROR(INDEX(tbl_WIP[Xero Invoice No],$A524),"")</f>
        <v/>
      </c>
      <c r="D524" s="67">
        <f>IFERROR(INDEX(tbl_WIP[Client],$A524),"")</f>
        <v/>
      </c>
      <c r="E524" s="67">
        <f>IFERROR(INDEX(tbl_WIP[Job Number],$A524),"")</f>
        <v/>
      </c>
      <c r="F524" s="67">
        <f>IFERROR(INDEX(tbl_WIP[Cost Centre],$A524),"")</f>
        <v/>
      </c>
      <c r="G524" s="68">
        <f>IFERROR(IF(INDEX(tbl_WIP[Defer Start],$A524)="","",IF(INDEX(tbl_WIP[Revenue or Cost],$A524)="Cost",-1,1)*INDEX(tbl_WIP[Amount],$A524)),"")</f>
        <v/>
      </c>
      <c r="H524" s="66">
        <f>IFERROR(INDEX(tbl_WIP[Defer Start],$A524),"")</f>
        <v/>
      </c>
      <c r="I524" s="66">
        <f>IFERROR(INDEX(tbl_WIP[Defer End],$A524),"")</f>
        <v/>
      </c>
      <c r="J524" s="65">
        <f>IF(OR($H524="",$I524="",$G524=""),"",MAX(1,(YEAR($I524)-YEAR($H524))*12+MONTH($I524)-MONTH($H524)+1))</f>
        <v/>
      </c>
      <c r="K524" s="68">
        <f>IF($J524="","",$G524/$J524)</f>
        <v/>
      </c>
      <c r="L524" s="68">
        <f>IF($J524="",0,$K524*MAX(0,MIN(YEAR($C$3)*12+MONTH($C$3),YEAR($I524)*12+MONTH($I524))-(YEAR($H524)*12+MONTH($H524))+1))</f>
        <v/>
      </c>
      <c r="M524" s="68">
        <f>IF($J524="",0,$K524*MAX(0,MIN(YEAR($C$3)*12+MONTH($C$3)-1,YEAR($I524)*12+MONTH($I524))-(YEAR($H524)*12+MONTH($H524))+1))</f>
        <v/>
      </c>
      <c r="N524" s="68">
        <f>IF(OR($J524="",$B524=""),0,IF(YEAR($B524)*12+MONTH($B524)&lt;=YEAR($C$3)*12+MONTH($C$3),$G524,0))</f>
        <v/>
      </c>
      <c r="O524" s="68">
        <f>IF(OR($J524="",$B524=""),0,IF(YEAR($B524)*12+MONTH($B524)&lt;=YEAR($C$3)*12+MONTH($C$3)-1,$G524,0))</f>
        <v/>
      </c>
      <c r="P524" s="68">
        <f>$M524-$O524</f>
        <v/>
      </c>
      <c r="Q524" s="68">
        <f>($L524-$M524)-($N524-$O524)</f>
        <v/>
      </c>
      <c r="R524" s="68">
        <f>$L524-$N524</f>
        <v/>
      </c>
      <c r="S524" s="67">
        <f>"WIP journal"</f>
        <v/>
      </c>
      <c r="T524" s="67">
        <f>IFERROR(INDEX(tbl_WIP[Revenue or Cost],$A524),"")</f>
        <v/>
      </c>
    </row>
    <row r="525">
      <c r="A525" s="65">
        <f>ROW()-407</f>
        <v/>
      </c>
      <c r="B525" s="66">
        <f>IFERROR(INDEX(tbl_WIP[Month],$A525),"")</f>
        <v/>
      </c>
      <c r="C525" s="67">
        <f>IFERROR(INDEX(tbl_WIP[Xero Invoice No],$A525),"")</f>
        <v/>
      </c>
      <c r="D525" s="67">
        <f>IFERROR(INDEX(tbl_WIP[Client],$A525),"")</f>
        <v/>
      </c>
      <c r="E525" s="67">
        <f>IFERROR(INDEX(tbl_WIP[Job Number],$A525),"")</f>
        <v/>
      </c>
      <c r="F525" s="67">
        <f>IFERROR(INDEX(tbl_WIP[Cost Centre],$A525),"")</f>
        <v/>
      </c>
      <c r="G525" s="68">
        <f>IFERROR(IF(INDEX(tbl_WIP[Defer Start],$A525)="","",IF(INDEX(tbl_WIP[Revenue or Cost],$A525)="Cost",-1,1)*INDEX(tbl_WIP[Amount],$A525)),"")</f>
        <v/>
      </c>
      <c r="H525" s="66">
        <f>IFERROR(INDEX(tbl_WIP[Defer Start],$A525),"")</f>
        <v/>
      </c>
      <c r="I525" s="66">
        <f>IFERROR(INDEX(tbl_WIP[Defer End],$A525),"")</f>
        <v/>
      </c>
      <c r="J525" s="65">
        <f>IF(OR($H525="",$I525="",$G525=""),"",MAX(1,(YEAR($I525)-YEAR($H525))*12+MONTH($I525)-MONTH($H525)+1))</f>
        <v/>
      </c>
      <c r="K525" s="68">
        <f>IF($J525="","",$G525/$J525)</f>
        <v/>
      </c>
      <c r="L525" s="68">
        <f>IF($J525="",0,$K525*MAX(0,MIN(YEAR($C$3)*12+MONTH($C$3),YEAR($I525)*12+MONTH($I525))-(YEAR($H525)*12+MONTH($H525))+1))</f>
        <v/>
      </c>
      <c r="M525" s="68">
        <f>IF($J525="",0,$K525*MAX(0,MIN(YEAR($C$3)*12+MONTH($C$3)-1,YEAR($I525)*12+MONTH($I525))-(YEAR($H525)*12+MONTH($H525))+1))</f>
        <v/>
      </c>
      <c r="N525" s="68">
        <f>IF(OR($J525="",$B525=""),0,IF(YEAR($B525)*12+MONTH($B525)&lt;=YEAR($C$3)*12+MONTH($C$3),$G525,0))</f>
        <v/>
      </c>
      <c r="O525" s="68">
        <f>IF(OR($J525="",$B525=""),0,IF(YEAR($B525)*12+MONTH($B525)&lt;=YEAR($C$3)*12+MONTH($C$3)-1,$G525,0))</f>
        <v/>
      </c>
      <c r="P525" s="68">
        <f>$M525-$O525</f>
        <v/>
      </c>
      <c r="Q525" s="68">
        <f>($L525-$M525)-($N525-$O525)</f>
        <v/>
      </c>
      <c r="R525" s="68">
        <f>$L525-$N525</f>
        <v/>
      </c>
      <c r="S525" s="67">
        <f>"WIP journal"</f>
        <v/>
      </c>
      <c r="T525" s="67">
        <f>IFERROR(INDEX(tbl_WIP[Revenue or Cost],$A525),"")</f>
        <v/>
      </c>
    </row>
    <row r="526">
      <c r="A526" s="65">
        <f>ROW()-407</f>
        <v/>
      </c>
      <c r="B526" s="66">
        <f>IFERROR(INDEX(tbl_WIP[Month],$A526),"")</f>
        <v/>
      </c>
      <c r="C526" s="67">
        <f>IFERROR(INDEX(tbl_WIP[Xero Invoice No],$A526),"")</f>
        <v/>
      </c>
      <c r="D526" s="67">
        <f>IFERROR(INDEX(tbl_WIP[Client],$A526),"")</f>
        <v/>
      </c>
      <c r="E526" s="67">
        <f>IFERROR(INDEX(tbl_WIP[Job Number],$A526),"")</f>
        <v/>
      </c>
      <c r="F526" s="67">
        <f>IFERROR(INDEX(tbl_WIP[Cost Centre],$A526),"")</f>
        <v/>
      </c>
      <c r="G526" s="68">
        <f>IFERROR(IF(INDEX(tbl_WIP[Defer Start],$A526)="","",IF(INDEX(tbl_WIP[Revenue or Cost],$A526)="Cost",-1,1)*INDEX(tbl_WIP[Amount],$A526)),"")</f>
        <v/>
      </c>
      <c r="H526" s="66">
        <f>IFERROR(INDEX(tbl_WIP[Defer Start],$A526),"")</f>
        <v/>
      </c>
      <c r="I526" s="66">
        <f>IFERROR(INDEX(tbl_WIP[Defer End],$A526),"")</f>
        <v/>
      </c>
      <c r="J526" s="65">
        <f>IF(OR($H526="",$I526="",$G526=""),"",MAX(1,(YEAR($I526)-YEAR($H526))*12+MONTH($I526)-MONTH($H526)+1))</f>
        <v/>
      </c>
      <c r="K526" s="68">
        <f>IF($J526="","",$G526/$J526)</f>
        <v/>
      </c>
      <c r="L526" s="68">
        <f>IF($J526="",0,$K526*MAX(0,MIN(YEAR($C$3)*12+MONTH($C$3),YEAR($I526)*12+MONTH($I526))-(YEAR($H526)*12+MONTH($H526))+1))</f>
        <v/>
      </c>
      <c r="M526" s="68">
        <f>IF($J526="",0,$K526*MAX(0,MIN(YEAR($C$3)*12+MONTH($C$3)-1,YEAR($I526)*12+MONTH($I526))-(YEAR($H526)*12+MONTH($H526))+1))</f>
        <v/>
      </c>
      <c r="N526" s="68">
        <f>IF(OR($J526="",$B526=""),0,IF(YEAR($B526)*12+MONTH($B526)&lt;=YEAR($C$3)*12+MONTH($C$3),$G526,0))</f>
        <v/>
      </c>
      <c r="O526" s="68">
        <f>IF(OR($J526="",$B526=""),0,IF(YEAR($B526)*12+MONTH($B526)&lt;=YEAR($C$3)*12+MONTH($C$3)-1,$G526,0))</f>
        <v/>
      </c>
      <c r="P526" s="68">
        <f>$M526-$O526</f>
        <v/>
      </c>
      <c r="Q526" s="68">
        <f>($L526-$M526)-($N526-$O526)</f>
        <v/>
      </c>
      <c r="R526" s="68">
        <f>$L526-$N526</f>
        <v/>
      </c>
      <c r="S526" s="67">
        <f>"WIP journal"</f>
        <v/>
      </c>
      <c r="T526" s="67">
        <f>IFERROR(INDEX(tbl_WIP[Revenue or Cost],$A526),"")</f>
        <v/>
      </c>
    </row>
    <row r="527">
      <c r="A527" s="65">
        <f>ROW()-407</f>
        <v/>
      </c>
      <c r="B527" s="66">
        <f>IFERROR(INDEX(tbl_WIP[Month],$A527),"")</f>
        <v/>
      </c>
      <c r="C527" s="67">
        <f>IFERROR(INDEX(tbl_WIP[Xero Invoice No],$A527),"")</f>
        <v/>
      </c>
      <c r="D527" s="67">
        <f>IFERROR(INDEX(tbl_WIP[Client],$A527),"")</f>
        <v/>
      </c>
      <c r="E527" s="67">
        <f>IFERROR(INDEX(tbl_WIP[Job Number],$A527),"")</f>
        <v/>
      </c>
      <c r="F527" s="67">
        <f>IFERROR(INDEX(tbl_WIP[Cost Centre],$A527),"")</f>
        <v/>
      </c>
      <c r="G527" s="68">
        <f>IFERROR(IF(INDEX(tbl_WIP[Defer Start],$A527)="","",IF(INDEX(tbl_WIP[Revenue or Cost],$A527)="Cost",-1,1)*INDEX(tbl_WIP[Amount],$A527)),"")</f>
        <v/>
      </c>
      <c r="H527" s="66">
        <f>IFERROR(INDEX(tbl_WIP[Defer Start],$A527),"")</f>
        <v/>
      </c>
      <c r="I527" s="66">
        <f>IFERROR(INDEX(tbl_WIP[Defer End],$A527),"")</f>
        <v/>
      </c>
      <c r="J527" s="65">
        <f>IF(OR($H527="",$I527="",$G527=""),"",MAX(1,(YEAR($I527)-YEAR($H527))*12+MONTH($I527)-MONTH($H527)+1))</f>
        <v/>
      </c>
      <c r="K527" s="68">
        <f>IF($J527="","",$G527/$J527)</f>
        <v/>
      </c>
      <c r="L527" s="68">
        <f>IF($J527="",0,$K527*MAX(0,MIN(YEAR($C$3)*12+MONTH($C$3),YEAR($I527)*12+MONTH($I527))-(YEAR($H527)*12+MONTH($H527))+1))</f>
        <v/>
      </c>
      <c r="M527" s="68">
        <f>IF($J527="",0,$K527*MAX(0,MIN(YEAR($C$3)*12+MONTH($C$3)-1,YEAR($I527)*12+MONTH($I527))-(YEAR($H527)*12+MONTH($H527))+1))</f>
        <v/>
      </c>
      <c r="N527" s="68">
        <f>IF(OR($J527="",$B527=""),0,IF(YEAR($B527)*12+MONTH($B527)&lt;=YEAR($C$3)*12+MONTH($C$3),$G527,0))</f>
        <v/>
      </c>
      <c r="O527" s="68">
        <f>IF(OR($J527="",$B527=""),0,IF(YEAR($B527)*12+MONTH($B527)&lt;=YEAR($C$3)*12+MONTH($C$3)-1,$G527,0))</f>
        <v/>
      </c>
      <c r="P527" s="68">
        <f>$M527-$O527</f>
        <v/>
      </c>
      <c r="Q527" s="68">
        <f>($L527-$M527)-($N527-$O527)</f>
        <v/>
      </c>
      <c r="R527" s="68">
        <f>$L527-$N527</f>
        <v/>
      </c>
      <c r="S527" s="67">
        <f>"WIP journal"</f>
        <v/>
      </c>
      <c r="T527" s="67">
        <f>IFERROR(INDEX(tbl_WIP[Revenue or Cost],$A527),"")</f>
        <v/>
      </c>
    </row>
    <row r="528">
      <c r="A528" s="65">
        <f>ROW()-407</f>
        <v/>
      </c>
      <c r="B528" s="66">
        <f>IFERROR(INDEX(tbl_WIP[Month],$A528),"")</f>
        <v/>
      </c>
      <c r="C528" s="67">
        <f>IFERROR(INDEX(tbl_WIP[Xero Invoice No],$A528),"")</f>
        <v/>
      </c>
      <c r="D528" s="67">
        <f>IFERROR(INDEX(tbl_WIP[Client],$A528),"")</f>
        <v/>
      </c>
      <c r="E528" s="67">
        <f>IFERROR(INDEX(tbl_WIP[Job Number],$A528),"")</f>
        <v/>
      </c>
      <c r="F528" s="67">
        <f>IFERROR(INDEX(tbl_WIP[Cost Centre],$A528),"")</f>
        <v/>
      </c>
      <c r="G528" s="68">
        <f>IFERROR(IF(INDEX(tbl_WIP[Defer Start],$A528)="","",IF(INDEX(tbl_WIP[Revenue or Cost],$A528)="Cost",-1,1)*INDEX(tbl_WIP[Amount],$A528)),"")</f>
        <v/>
      </c>
      <c r="H528" s="66">
        <f>IFERROR(INDEX(tbl_WIP[Defer Start],$A528),"")</f>
        <v/>
      </c>
      <c r="I528" s="66">
        <f>IFERROR(INDEX(tbl_WIP[Defer End],$A528),"")</f>
        <v/>
      </c>
      <c r="J528" s="65">
        <f>IF(OR($H528="",$I528="",$G528=""),"",MAX(1,(YEAR($I528)-YEAR($H528))*12+MONTH($I528)-MONTH($H528)+1))</f>
        <v/>
      </c>
      <c r="K528" s="68">
        <f>IF($J528="","",$G528/$J528)</f>
        <v/>
      </c>
      <c r="L528" s="68">
        <f>IF($J528="",0,$K528*MAX(0,MIN(YEAR($C$3)*12+MONTH($C$3),YEAR($I528)*12+MONTH($I528))-(YEAR($H528)*12+MONTH($H528))+1))</f>
        <v/>
      </c>
      <c r="M528" s="68">
        <f>IF($J528="",0,$K528*MAX(0,MIN(YEAR($C$3)*12+MONTH($C$3)-1,YEAR($I528)*12+MONTH($I528))-(YEAR($H528)*12+MONTH($H528))+1))</f>
        <v/>
      </c>
      <c r="N528" s="68">
        <f>IF(OR($J528="",$B528=""),0,IF(YEAR($B528)*12+MONTH($B528)&lt;=YEAR($C$3)*12+MONTH($C$3),$G528,0))</f>
        <v/>
      </c>
      <c r="O528" s="68">
        <f>IF(OR($J528="",$B528=""),0,IF(YEAR($B528)*12+MONTH($B528)&lt;=YEAR($C$3)*12+MONTH($C$3)-1,$G528,0))</f>
        <v/>
      </c>
      <c r="P528" s="68">
        <f>$M528-$O528</f>
        <v/>
      </c>
      <c r="Q528" s="68">
        <f>($L528-$M528)-($N528-$O528)</f>
        <v/>
      </c>
      <c r="R528" s="68">
        <f>$L528-$N528</f>
        <v/>
      </c>
      <c r="S528" s="67">
        <f>"WIP journal"</f>
        <v/>
      </c>
      <c r="T528" s="67">
        <f>IFERROR(INDEX(tbl_WIP[Revenue or Cost],$A528),"")</f>
        <v/>
      </c>
    </row>
    <row r="529">
      <c r="A529" s="65">
        <f>ROW()-407</f>
        <v/>
      </c>
      <c r="B529" s="66">
        <f>IFERROR(INDEX(tbl_WIP[Month],$A529),"")</f>
        <v/>
      </c>
      <c r="C529" s="67">
        <f>IFERROR(INDEX(tbl_WIP[Xero Invoice No],$A529),"")</f>
        <v/>
      </c>
      <c r="D529" s="67">
        <f>IFERROR(INDEX(tbl_WIP[Client],$A529),"")</f>
        <v/>
      </c>
      <c r="E529" s="67">
        <f>IFERROR(INDEX(tbl_WIP[Job Number],$A529),"")</f>
        <v/>
      </c>
      <c r="F529" s="67">
        <f>IFERROR(INDEX(tbl_WIP[Cost Centre],$A529),"")</f>
        <v/>
      </c>
      <c r="G529" s="68">
        <f>IFERROR(IF(INDEX(tbl_WIP[Defer Start],$A529)="","",IF(INDEX(tbl_WIP[Revenue or Cost],$A529)="Cost",-1,1)*INDEX(tbl_WIP[Amount],$A529)),"")</f>
        <v/>
      </c>
      <c r="H529" s="66">
        <f>IFERROR(INDEX(tbl_WIP[Defer Start],$A529),"")</f>
        <v/>
      </c>
      <c r="I529" s="66">
        <f>IFERROR(INDEX(tbl_WIP[Defer End],$A529),"")</f>
        <v/>
      </c>
      <c r="J529" s="65">
        <f>IF(OR($H529="",$I529="",$G529=""),"",MAX(1,(YEAR($I529)-YEAR($H529))*12+MONTH($I529)-MONTH($H529)+1))</f>
        <v/>
      </c>
      <c r="K529" s="68">
        <f>IF($J529="","",$G529/$J529)</f>
        <v/>
      </c>
      <c r="L529" s="68">
        <f>IF($J529="",0,$K529*MAX(0,MIN(YEAR($C$3)*12+MONTH($C$3),YEAR($I529)*12+MONTH($I529))-(YEAR($H529)*12+MONTH($H529))+1))</f>
        <v/>
      </c>
      <c r="M529" s="68">
        <f>IF($J529="",0,$K529*MAX(0,MIN(YEAR($C$3)*12+MONTH($C$3)-1,YEAR($I529)*12+MONTH($I529))-(YEAR($H529)*12+MONTH($H529))+1))</f>
        <v/>
      </c>
      <c r="N529" s="68">
        <f>IF(OR($J529="",$B529=""),0,IF(YEAR($B529)*12+MONTH($B529)&lt;=YEAR($C$3)*12+MONTH($C$3),$G529,0))</f>
        <v/>
      </c>
      <c r="O529" s="68">
        <f>IF(OR($J529="",$B529=""),0,IF(YEAR($B529)*12+MONTH($B529)&lt;=YEAR($C$3)*12+MONTH($C$3)-1,$G529,0))</f>
        <v/>
      </c>
      <c r="P529" s="68">
        <f>$M529-$O529</f>
        <v/>
      </c>
      <c r="Q529" s="68">
        <f>($L529-$M529)-($N529-$O529)</f>
        <v/>
      </c>
      <c r="R529" s="68">
        <f>$L529-$N529</f>
        <v/>
      </c>
      <c r="S529" s="67">
        <f>"WIP journal"</f>
        <v/>
      </c>
      <c r="T529" s="67">
        <f>IFERROR(INDEX(tbl_WIP[Revenue or Cost],$A529),"")</f>
        <v/>
      </c>
    </row>
    <row r="530">
      <c r="A530" s="65">
        <f>ROW()-407</f>
        <v/>
      </c>
      <c r="B530" s="66">
        <f>IFERROR(INDEX(tbl_WIP[Month],$A530),"")</f>
        <v/>
      </c>
      <c r="C530" s="67">
        <f>IFERROR(INDEX(tbl_WIP[Xero Invoice No],$A530),"")</f>
        <v/>
      </c>
      <c r="D530" s="67">
        <f>IFERROR(INDEX(tbl_WIP[Client],$A530),"")</f>
        <v/>
      </c>
      <c r="E530" s="67">
        <f>IFERROR(INDEX(tbl_WIP[Job Number],$A530),"")</f>
        <v/>
      </c>
      <c r="F530" s="67">
        <f>IFERROR(INDEX(tbl_WIP[Cost Centre],$A530),"")</f>
        <v/>
      </c>
      <c r="G530" s="68">
        <f>IFERROR(IF(INDEX(tbl_WIP[Defer Start],$A530)="","",IF(INDEX(tbl_WIP[Revenue or Cost],$A530)="Cost",-1,1)*INDEX(tbl_WIP[Amount],$A530)),"")</f>
        <v/>
      </c>
      <c r="H530" s="66">
        <f>IFERROR(INDEX(tbl_WIP[Defer Start],$A530),"")</f>
        <v/>
      </c>
      <c r="I530" s="66">
        <f>IFERROR(INDEX(tbl_WIP[Defer End],$A530),"")</f>
        <v/>
      </c>
      <c r="J530" s="65">
        <f>IF(OR($H530="",$I530="",$G530=""),"",MAX(1,(YEAR($I530)-YEAR($H530))*12+MONTH($I530)-MONTH($H530)+1))</f>
        <v/>
      </c>
      <c r="K530" s="68">
        <f>IF($J530="","",$G530/$J530)</f>
        <v/>
      </c>
      <c r="L530" s="68">
        <f>IF($J530="",0,$K530*MAX(0,MIN(YEAR($C$3)*12+MONTH($C$3),YEAR($I530)*12+MONTH($I530))-(YEAR($H530)*12+MONTH($H530))+1))</f>
        <v/>
      </c>
      <c r="M530" s="68">
        <f>IF($J530="",0,$K530*MAX(0,MIN(YEAR($C$3)*12+MONTH($C$3)-1,YEAR($I530)*12+MONTH($I530))-(YEAR($H530)*12+MONTH($H530))+1))</f>
        <v/>
      </c>
      <c r="N530" s="68">
        <f>IF(OR($J530="",$B530=""),0,IF(YEAR($B530)*12+MONTH($B530)&lt;=YEAR($C$3)*12+MONTH($C$3),$G530,0))</f>
        <v/>
      </c>
      <c r="O530" s="68">
        <f>IF(OR($J530="",$B530=""),0,IF(YEAR($B530)*12+MONTH($B530)&lt;=YEAR($C$3)*12+MONTH($C$3)-1,$G530,0))</f>
        <v/>
      </c>
      <c r="P530" s="68">
        <f>$M530-$O530</f>
        <v/>
      </c>
      <c r="Q530" s="68">
        <f>($L530-$M530)-($N530-$O530)</f>
        <v/>
      </c>
      <c r="R530" s="68">
        <f>$L530-$N530</f>
        <v/>
      </c>
      <c r="S530" s="67">
        <f>"WIP journal"</f>
        <v/>
      </c>
      <c r="T530" s="67">
        <f>IFERROR(INDEX(tbl_WIP[Revenue or Cost],$A530),"")</f>
        <v/>
      </c>
    </row>
    <row r="531">
      <c r="A531" s="65">
        <f>ROW()-407</f>
        <v/>
      </c>
      <c r="B531" s="66">
        <f>IFERROR(INDEX(tbl_WIP[Month],$A531),"")</f>
        <v/>
      </c>
      <c r="C531" s="67">
        <f>IFERROR(INDEX(tbl_WIP[Xero Invoice No],$A531),"")</f>
        <v/>
      </c>
      <c r="D531" s="67">
        <f>IFERROR(INDEX(tbl_WIP[Client],$A531),"")</f>
        <v/>
      </c>
      <c r="E531" s="67">
        <f>IFERROR(INDEX(tbl_WIP[Job Number],$A531),"")</f>
        <v/>
      </c>
      <c r="F531" s="67">
        <f>IFERROR(INDEX(tbl_WIP[Cost Centre],$A531),"")</f>
        <v/>
      </c>
      <c r="G531" s="68">
        <f>IFERROR(IF(INDEX(tbl_WIP[Defer Start],$A531)="","",IF(INDEX(tbl_WIP[Revenue or Cost],$A531)="Cost",-1,1)*INDEX(tbl_WIP[Amount],$A531)),"")</f>
        <v/>
      </c>
      <c r="H531" s="66">
        <f>IFERROR(INDEX(tbl_WIP[Defer Start],$A531),"")</f>
        <v/>
      </c>
      <c r="I531" s="66">
        <f>IFERROR(INDEX(tbl_WIP[Defer End],$A531),"")</f>
        <v/>
      </c>
      <c r="J531" s="65">
        <f>IF(OR($H531="",$I531="",$G531=""),"",MAX(1,(YEAR($I531)-YEAR($H531))*12+MONTH($I531)-MONTH($H531)+1))</f>
        <v/>
      </c>
      <c r="K531" s="68">
        <f>IF($J531="","",$G531/$J531)</f>
        <v/>
      </c>
      <c r="L531" s="68">
        <f>IF($J531="",0,$K531*MAX(0,MIN(YEAR($C$3)*12+MONTH($C$3),YEAR($I531)*12+MONTH($I531))-(YEAR($H531)*12+MONTH($H531))+1))</f>
        <v/>
      </c>
      <c r="M531" s="68">
        <f>IF($J531="",0,$K531*MAX(0,MIN(YEAR($C$3)*12+MONTH($C$3)-1,YEAR($I531)*12+MONTH($I531))-(YEAR($H531)*12+MONTH($H531))+1))</f>
        <v/>
      </c>
      <c r="N531" s="68">
        <f>IF(OR($J531="",$B531=""),0,IF(YEAR($B531)*12+MONTH($B531)&lt;=YEAR($C$3)*12+MONTH($C$3),$G531,0))</f>
        <v/>
      </c>
      <c r="O531" s="68">
        <f>IF(OR($J531="",$B531=""),0,IF(YEAR($B531)*12+MONTH($B531)&lt;=YEAR($C$3)*12+MONTH($C$3)-1,$G531,0))</f>
        <v/>
      </c>
      <c r="P531" s="68">
        <f>$M531-$O531</f>
        <v/>
      </c>
      <c r="Q531" s="68">
        <f>($L531-$M531)-($N531-$O531)</f>
        <v/>
      </c>
      <c r="R531" s="68">
        <f>$L531-$N531</f>
        <v/>
      </c>
      <c r="S531" s="67">
        <f>"WIP journal"</f>
        <v/>
      </c>
      <c r="T531" s="67">
        <f>IFERROR(INDEX(tbl_WIP[Revenue or Cost],$A531),"")</f>
        <v/>
      </c>
    </row>
    <row r="532">
      <c r="A532" s="65">
        <f>ROW()-407</f>
        <v/>
      </c>
      <c r="B532" s="66">
        <f>IFERROR(INDEX(tbl_WIP[Month],$A532),"")</f>
        <v/>
      </c>
      <c r="C532" s="67">
        <f>IFERROR(INDEX(tbl_WIP[Xero Invoice No],$A532),"")</f>
        <v/>
      </c>
      <c r="D532" s="67">
        <f>IFERROR(INDEX(tbl_WIP[Client],$A532),"")</f>
        <v/>
      </c>
      <c r="E532" s="67">
        <f>IFERROR(INDEX(tbl_WIP[Job Number],$A532),"")</f>
        <v/>
      </c>
      <c r="F532" s="67">
        <f>IFERROR(INDEX(tbl_WIP[Cost Centre],$A532),"")</f>
        <v/>
      </c>
      <c r="G532" s="68">
        <f>IFERROR(IF(INDEX(tbl_WIP[Defer Start],$A532)="","",IF(INDEX(tbl_WIP[Revenue or Cost],$A532)="Cost",-1,1)*INDEX(tbl_WIP[Amount],$A532)),"")</f>
        <v/>
      </c>
      <c r="H532" s="66">
        <f>IFERROR(INDEX(tbl_WIP[Defer Start],$A532),"")</f>
        <v/>
      </c>
      <c r="I532" s="66">
        <f>IFERROR(INDEX(tbl_WIP[Defer End],$A532),"")</f>
        <v/>
      </c>
      <c r="J532" s="65">
        <f>IF(OR($H532="",$I532="",$G532=""),"",MAX(1,(YEAR($I532)-YEAR($H532))*12+MONTH($I532)-MONTH($H532)+1))</f>
        <v/>
      </c>
      <c r="K532" s="68">
        <f>IF($J532="","",$G532/$J532)</f>
        <v/>
      </c>
      <c r="L532" s="68">
        <f>IF($J532="",0,$K532*MAX(0,MIN(YEAR($C$3)*12+MONTH($C$3),YEAR($I532)*12+MONTH($I532))-(YEAR($H532)*12+MONTH($H532))+1))</f>
        <v/>
      </c>
      <c r="M532" s="68">
        <f>IF($J532="",0,$K532*MAX(0,MIN(YEAR($C$3)*12+MONTH($C$3)-1,YEAR($I532)*12+MONTH($I532))-(YEAR($H532)*12+MONTH($H532))+1))</f>
        <v/>
      </c>
      <c r="N532" s="68">
        <f>IF(OR($J532="",$B532=""),0,IF(YEAR($B532)*12+MONTH($B532)&lt;=YEAR($C$3)*12+MONTH($C$3),$G532,0))</f>
        <v/>
      </c>
      <c r="O532" s="68">
        <f>IF(OR($J532="",$B532=""),0,IF(YEAR($B532)*12+MONTH($B532)&lt;=YEAR($C$3)*12+MONTH($C$3)-1,$G532,0))</f>
        <v/>
      </c>
      <c r="P532" s="68">
        <f>$M532-$O532</f>
        <v/>
      </c>
      <c r="Q532" s="68">
        <f>($L532-$M532)-($N532-$O532)</f>
        <v/>
      </c>
      <c r="R532" s="68">
        <f>$L532-$N532</f>
        <v/>
      </c>
      <c r="S532" s="67">
        <f>"WIP journal"</f>
        <v/>
      </c>
      <c r="T532" s="67">
        <f>IFERROR(INDEX(tbl_WIP[Revenue or Cost],$A532),"")</f>
        <v/>
      </c>
    </row>
    <row r="533">
      <c r="A533" s="65">
        <f>ROW()-407</f>
        <v/>
      </c>
      <c r="B533" s="66">
        <f>IFERROR(INDEX(tbl_WIP[Month],$A533),"")</f>
        <v/>
      </c>
      <c r="C533" s="67">
        <f>IFERROR(INDEX(tbl_WIP[Xero Invoice No],$A533),"")</f>
        <v/>
      </c>
      <c r="D533" s="67">
        <f>IFERROR(INDEX(tbl_WIP[Client],$A533),"")</f>
        <v/>
      </c>
      <c r="E533" s="67">
        <f>IFERROR(INDEX(tbl_WIP[Job Number],$A533),"")</f>
        <v/>
      </c>
      <c r="F533" s="67">
        <f>IFERROR(INDEX(tbl_WIP[Cost Centre],$A533),"")</f>
        <v/>
      </c>
      <c r="G533" s="68">
        <f>IFERROR(IF(INDEX(tbl_WIP[Defer Start],$A533)="","",IF(INDEX(tbl_WIP[Revenue or Cost],$A533)="Cost",-1,1)*INDEX(tbl_WIP[Amount],$A533)),"")</f>
        <v/>
      </c>
      <c r="H533" s="66">
        <f>IFERROR(INDEX(tbl_WIP[Defer Start],$A533),"")</f>
        <v/>
      </c>
      <c r="I533" s="66">
        <f>IFERROR(INDEX(tbl_WIP[Defer End],$A533),"")</f>
        <v/>
      </c>
      <c r="J533" s="65">
        <f>IF(OR($H533="",$I533="",$G533=""),"",MAX(1,(YEAR($I533)-YEAR($H533))*12+MONTH($I533)-MONTH($H533)+1))</f>
        <v/>
      </c>
      <c r="K533" s="68">
        <f>IF($J533="","",$G533/$J533)</f>
        <v/>
      </c>
      <c r="L533" s="68">
        <f>IF($J533="",0,$K533*MAX(0,MIN(YEAR($C$3)*12+MONTH($C$3),YEAR($I533)*12+MONTH($I533))-(YEAR($H533)*12+MONTH($H533))+1))</f>
        <v/>
      </c>
      <c r="M533" s="68">
        <f>IF($J533="",0,$K533*MAX(0,MIN(YEAR($C$3)*12+MONTH($C$3)-1,YEAR($I533)*12+MONTH($I533))-(YEAR($H533)*12+MONTH($H533))+1))</f>
        <v/>
      </c>
      <c r="N533" s="68">
        <f>IF(OR($J533="",$B533=""),0,IF(YEAR($B533)*12+MONTH($B533)&lt;=YEAR($C$3)*12+MONTH($C$3),$G533,0))</f>
        <v/>
      </c>
      <c r="O533" s="68">
        <f>IF(OR($J533="",$B533=""),0,IF(YEAR($B533)*12+MONTH($B533)&lt;=YEAR($C$3)*12+MONTH($C$3)-1,$G533,0))</f>
        <v/>
      </c>
      <c r="P533" s="68">
        <f>$M533-$O533</f>
        <v/>
      </c>
      <c r="Q533" s="68">
        <f>($L533-$M533)-($N533-$O533)</f>
        <v/>
      </c>
      <c r="R533" s="68">
        <f>$L533-$N533</f>
        <v/>
      </c>
      <c r="S533" s="67">
        <f>"WIP journal"</f>
        <v/>
      </c>
      <c r="T533" s="67">
        <f>IFERROR(INDEX(tbl_WIP[Revenue or Cost],$A533),"")</f>
        <v/>
      </c>
    </row>
    <row r="534">
      <c r="A534" s="65">
        <f>ROW()-407</f>
        <v/>
      </c>
      <c r="B534" s="66">
        <f>IFERROR(INDEX(tbl_WIP[Month],$A534),"")</f>
        <v/>
      </c>
      <c r="C534" s="67">
        <f>IFERROR(INDEX(tbl_WIP[Xero Invoice No],$A534),"")</f>
        <v/>
      </c>
      <c r="D534" s="67">
        <f>IFERROR(INDEX(tbl_WIP[Client],$A534),"")</f>
        <v/>
      </c>
      <c r="E534" s="67">
        <f>IFERROR(INDEX(tbl_WIP[Job Number],$A534),"")</f>
        <v/>
      </c>
      <c r="F534" s="67">
        <f>IFERROR(INDEX(tbl_WIP[Cost Centre],$A534),"")</f>
        <v/>
      </c>
      <c r="G534" s="68">
        <f>IFERROR(IF(INDEX(tbl_WIP[Defer Start],$A534)="","",IF(INDEX(tbl_WIP[Revenue or Cost],$A534)="Cost",-1,1)*INDEX(tbl_WIP[Amount],$A534)),"")</f>
        <v/>
      </c>
      <c r="H534" s="66">
        <f>IFERROR(INDEX(tbl_WIP[Defer Start],$A534),"")</f>
        <v/>
      </c>
      <c r="I534" s="66">
        <f>IFERROR(INDEX(tbl_WIP[Defer End],$A534),"")</f>
        <v/>
      </c>
      <c r="J534" s="65">
        <f>IF(OR($H534="",$I534="",$G534=""),"",MAX(1,(YEAR($I534)-YEAR($H534))*12+MONTH($I534)-MONTH($H534)+1))</f>
        <v/>
      </c>
      <c r="K534" s="68">
        <f>IF($J534="","",$G534/$J534)</f>
        <v/>
      </c>
      <c r="L534" s="68">
        <f>IF($J534="",0,$K534*MAX(0,MIN(YEAR($C$3)*12+MONTH($C$3),YEAR($I534)*12+MONTH($I534))-(YEAR($H534)*12+MONTH($H534))+1))</f>
        <v/>
      </c>
      <c r="M534" s="68">
        <f>IF($J534="",0,$K534*MAX(0,MIN(YEAR($C$3)*12+MONTH($C$3)-1,YEAR($I534)*12+MONTH($I534))-(YEAR($H534)*12+MONTH($H534))+1))</f>
        <v/>
      </c>
      <c r="N534" s="68">
        <f>IF(OR($J534="",$B534=""),0,IF(YEAR($B534)*12+MONTH($B534)&lt;=YEAR($C$3)*12+MONTH($C$3),$G534,0))</f>
        <v/>
      </c>
      <c r="O534" s="68">
        <f>IF(OR($J534="",$B534=""),0,IF(YEAR($B534)*12+MONTH($B534)&lt;=YEAR($C$3)*12+MONTH($C$3)-1,$G534,0))</f>
        <v/>
      </c>
      <c r="P534" s="68">
        <f>$M534-$O534</f>
        <v/>
      </c>
      <c r="Q534" s="68">
        <f>($L534-$M534)-($N534-$O534)</f>
        <v/>
      </c>
      <c r="R534" s="68">
        <f>$L534-$N534</f>
        <v/>
      </c>
      <c r="S534" s="67">
        <f>"WIP journal"</f>
        <v/>
      </c>
      <c r="T534" s="67">
        <f>IFERROR(INDEX(tbl_WIP[Revenue or Cost],$A534),"")</f>
        <v/>
      </c>
    </row>
    <row r="535">
      <c r="A535" s="65">
        <f>ROW()-407</f>
        <v/>
      </c>
      <c r="B535" s="66">
        <f>IFERROR(INDEX(tbl_WIP[Month],$A535),"")</f>
        <v/>
      </c>
      <c r="C535" s="67">
        <f>IFERROR(INDEX(tbl_WIP[Xero Invoice No],$A535),"")</f>
        <v/>
      </c>
      <c r="D535" s="67">
        <f>IFERROR(INDEX(tbl_WIP[Client],$A535),"")</f>
        <v/>
      </c>
      <c r="E535" s="67">
        <f>IFERROR(INDEX(tbl_WIP[Job Number],$A535),"")</f>
        <v/>
      </c>
      <c r="F535" s="67">
        <f>IFERROR(INDEX(tbl_WIP[Cost Centre],$A535),"")</f>
        <v/>
      </c>
      <c r="G535" s="68">
        <f>IFERROR(IF(INDEX(tbl_WIP[Defer Start],$A535)="","",IF(INDEX(tbl_WIP[Revenue or Cost],$A535)="Cost",-1,1)*INDEX(tbl_WIP[Amount],$A535)),"")</f>
        <v/>
      </c>
      <c r="H535" s="66">
        <f>IFERROR(INDEX(tbl_WIP[Defer Start],$A535),"")</f>
        <v/>
      </c>
      <c r="I535" s="66">
        <f>IFERROR(INDEX(tbl_WIP[Defer End],$A535),"")</f>
        <v/>
      </c>
      <c r="J535" s="65">
        <f>IF(OR($H535="",$I535="",$G535=""),"",MAX(1,(YEAR($I535)-YEAR($H535))*12+MONTH($I535)-MONTH($H535)+1))</f>
        <v/>
      </c>
      <c r="K535" s="68">
        <f>IF($J535="","",$G535/$J535)</f>
        <v/>
      </c>
      <c r="L535" s="68">
        <f>IF($J535="",0,$K535*MAX(0,MIN(YEAR($C$3)*12+MONTH($C$3),YEAR($I535)*12+MONTH($I535))-(YEAR($H535)*12+MONTH($H535))+1))</f>
        <v/>
      </c>
      <c r="M535" s="68">
        <f>IF($J535="",0,$K535*MAX(0,MIN(YEAR($C$3)*12+MONTH($C$3)-1,YEAR($I535)*12+MONTH($I535))-(YEAR($H535)*12+MONTH($H535))+1))</f>
        <v/>
      </c>
      <c r="N535" s="68">
        <f>IF(OR($J535="",$B535=""),0,IF(YEAR($B535)*12+MONTH($B535)&lt;=YEAR($C$3)*12+MONTH($C$3),$G535,0))</f>
        <v/>
      </c>
      <c r="O535" s="68">
        <f>IF(OR($J535="",$B535=""),0,IF(YEAR($B535)*12+MONTH($B535)&lt;=YEAR($C$3)*12+MONTH($C$3)-1,$G535,0))</f>
        <v/>
      </c>
      <c r="P535" s="68">
        <f>$M535-$O535</f>
        <v/>
      </c>
      <c r="Q535" s="68">
        <f>($L535-$M535)-($N535-$O535)</f>
        <v/>
      </c>
      <c r="R535" s="68">
        <f>$L535-$N535</f>
        <v/>
      </c>
      <c r="S535" s="67">
        <f>"WIP journal"</f>
        <v/>
      </c>
      <c r="T535" s="67">
        <f>IFERROR(INDEX(tbl_WIP[Revenue or Cost],$A535),"")</f>
        <v/>
      </c>
    </row>
    <row r="536">
      <c r="A536" s="65">
        <f>ROW()-407</f>
        <v/>
      </c>
      <c r="B536" s="66">
        <f>IFERROR(INDEX(tbl_WIP[Month],$A536),"")</f>
        <v/>
      </c>
      <c r="C536" s="67">
        <f>IFERROR(INDEX(tbl_WIP[Xero Invoice No],$A536),"")</f>
        <v/>
      </c>
      <c r="D536" s="67">
        <f>IFERROR(INDEX(tbl_WIP[Client],$A536),"")</f>
        <v/>
      </c>
      <c r="E536" s="67">
        <f>IFERROR(INDEX(tbl_WIP[Job Number],$A536),"")</f>
        <v/>
      </c>
      <c r="F536" s="67">
        <f>IFERROR(INDEX(tbl_WIP[Cost Centre],$A536),"")</f>
        <v/>
      </c>
      <c r="G536" s="68">
        <f>IFERROR(IF(INDEX(tbl_WIP[Defer Start],$A536)="","",IF(INDEX(tbl_WIP[Revenue or Cost],$A536)="Cost",-1,1)*INDEX(tbl_WIP[Amount],$A536)),"")</f>
        <v/>
      </c>
      <c r="H536" s="66">
        <f>IFERROR(INDEX(tbl_WIP[Defer Start],$A536),"")</f>
        <v/>
      </c>
      <c r="I536" s="66">
        <f>IFERROR(INDEX(tbl_WIP[Defer End],$A536),"")</f>
        <v/>
      </c>
      <c r="J536" s="65">
        <f>IF(OR($H536="",$I536="",$G536=""),"",MAX(1,(YEAR($I536)-YEAR($H536))*12+MONTH($I536)-MONTH($H536)+1))</f>
        <v/>
      </c>
      <c r="K536" s="68">
        <f>IF($J536="","",$G536/$J536)</f>
        <v/>
      </c>
      <c r="L536" s="68">
        <f>IF($J536="",0,$K536*MAX(0,MIN(YEAR($C$3)*12+MONTH($C$3),YEAR($I536)*12+MONTH($I536))-(YEAR($H536)*12+MONTH($H536))+1))</f>
        <v/>
      </c>
      <c r="M536" s="68">
        <f>IF($J536="",0,$K536*MAX(0,MIN(YEAR($C$3)*12+MONTH($C$3)-1,YEAR($I536)*12+MONTH($I536))-(YEAR($H536)*12+MONTH($H536))+1))</f>
        <v/>
      </c>
      <c r="N536" s="68">
        <f>IF(OR($J536="",$B536=""),0,IF(YEAR($B536)*12+MONTH($B536)&lt;=YEAR($C$3)*12+MONTH($C$3),$G536,0))</f>
        <v/>
      </c>
      <c r="O536" s="68">
        <f>IF(OR($J536="",$B536=""),0,IF(YEAR($B536)*12+MONTH($B536)&lt;=YEAR($C$3)*12+MONTH($C$3)-1,$G536,0))</f>
        <v/>
      </c>
      <c r="P536" s="68">
        <f>$M536-$O536</f>
        <v/>
      </c>
      <c r="Q536" s="68">
        <f>($L536-$M536)-($N536-$O536)</f>
        <v/>
      </c>
      <c r="R536" s="68">
        <f>$L536-$N536</f>
        <v/>
      </c>
      <c r="S536" s="67">
        <f>"WIP journal"</f>
        <v/>
      </c>
      <c r="T536" s="67">
        <f>IFERROR(INDEX(tbl_WIP[Revenue or Cost],$A536),"")</f>
        <v/>
      </c>
    </row>
    <row r="537">
      <c r="A537" s="65">
        <f>ROW()-407</f>
        <v/>
      </c>
      <c r="B537" s="66">
        <f>IFERROR(INDEX(tbl_WIP[Month],$A537),"")</f>
        <v/>
      </c>
      <c r="C537" s="67">
        <f>IFERROR(INDEX(tbl_WIP[Xero Invoice No],$A537),"")</f>
        <v/>
      </c>
      <c r="D537" s="67">
        <f>IFERROR(INDEX(tbl_WIP[Client],$A537),"")</f>
        <v/>
      </c>
      <c r="E537" s="67">
        <f>IFERROR(INDEX(tbl_WIP[Job Number],$A537),"")</f>
        <v/>
      </c>
      <c r="F537" s="67">
        <f>IFERROR(INDEX(tbl_WIP[Cost Centre],$A537),"")</f>
        <v/>
      </c>
      <c r="G537" s="68">
        <f>IFERROR(IF(INDEX(tbl_WIP[Defer Start],$A537)="","",IF(INDEX(tbl_WIP[Revenue or Cost],$A537)="Cost",-1,1)*INDEX(tbl_WIP[Amount],$A537)),"")</f>
        <v/>
      </c>
      <c r="H537" s="66">
        <f>IFERROR(INDEX(tbl_WIP[Defer Start],$A537),"")</f>
        <v/>
      </c>
      <c r="I537" s="66">
        <f>IFERROR(INDEX(tbl_WIP[Defer End],$A537),"")</f>
        <v/>
      </c>
      <c r="J537" s="65">
        <f>IF(OR($H537="",$I537="",$G537=""),"",MAX(1,(YEAR($I537)-YEAR($H537))*12+MONTH($I537)-MONTH($H537)+1))</f>
        <v/>
      </c>
      <c r="K537" s="68">
        <f>IF($J537="","",$G537/$J537)</f>
        <v/>
      </c>
      <c r="L537" s="68">
        <f>IF($J537="",0,$K537*MAX(0,MIN(YEAR($C$3)*12+MONTH($C$3),YEAR($I537)*12+MONTH($I537))-(YEAR($H537)*12+MONTH($H537))+1))</f>
        <v/>
      </c>
      <c r="M537" s="68">
        <f>IF($J537="",0,$K537*MAX(0,MIN(YEAR($C$3)*12+MONTH($C$3)-1,YEAR($I537)*12+MONTH($I537))-(YEAR($H537)*12+MONTH($H537))+1))</f>
        <v/>
      </c>
      <c r="N537" s="68">
        <f>IF(OR($J537="",$B537=""),0,IF(YEAR($B537)*12+MONTH($B537)&lt;=YEAR($C$3)*12+MONTH($C$3),$G537,0))</f>
        <v/>
      </c>
      <c r="O537" s="68">
        <f>IF(OR($J537="",$B537=""),0,IF(YEAR($B537)*12+MONTH($B537)&lt;=YEAR($C$3)*12+MONTH($C$3)-1,$G537,0))</f>
        <v/>
      </c>
      <c r="P537" s="68">
        <f>$M537-$O537</f>
        <v/>
      </c>
      <c r="Q537" s="68">
        <f>($L537-$M537)-($N537-$O537)</f>
        <v/>
      </c>
      <c r="R537" s="68">
        <f>$L537-$N537</f>
        <v/>
      </c>
      <c r="S537" s="67">
        <f>"WIP journal"</f>
        <v/>
      </c>
      <c r="T537" s="67">
        <f>IFERROR(INDEX(tbl_WIP[Revenue or Cost],$A537),"")</f>
        <v/>
      </c>
    </row>
    <row r="538">
      <c r="A538" s="65">
        <f>ROW()-407</f>
        <v/>
      </c>
      <c r="B538" s="66">
        <f>IFERROR(INDEX(tbl_WIP[Month],$A538),"")</f>
        <v/>
      </c>
      <c r="C538" s="67">
        <f>IFERROR(INDEX(tbl_WIP[Xero Invoice No],$A538),"")</f>
        <v/>
      </c>
      <c r="D538" s="67">
        <f>IFERROR(INDEX(tbl_WIP[Client],$A538),"")</f>
        <v/>
      </c>
      <c r="E538" s="67">
        <f>IFERROR(INDEX(tbl_WIP[Job Number],$A538),"")</f>
        <v/>
      </c>
      <c r="F538" s="67">
        <f>IFERROR(INDEX(tbl_WIP[Cost Centre],$A538),"")</f>
        <v/>
      </c>
      <c r="G538" s="68">
        <f>IFERROR(IF(INDEX(tbl_WIP[Defer Start],$A538)="","",IF(INDEX(tbl_WIP[Revenue or Cost],$A538)="Cost",-1,1)*INDEX(tbl_WIP[Amount],$A538)),"")</f>
        <v/>
      </c>
      <c r="H538" s="66">
        <f>IFERROR(INDEX(tbl_WIP[Defer Start],$A538),"")</f>
        <v/>
      </c>
      <c r="I538" s="66">
        <f>IFERROR(INDEX(tbl_WIP[Defer End],$A538),"")</f>
        <v/>
      </c>
      <c r="J538" s="65">
        <f>IF(OR($H538="",$I538="",$G538=""),"",MAX(1,(YEAR($I538)-YEAR($H538))*12+MONTH($I538)-MONTH($H538)+1))</f>
        <v/>
      </c>
      <c r="K538" s="68">
        <f>IF($J538="","",$G538/$J538)</f>
        <v/>
      </c>
      <c r="L538" s="68">
        <f>IF($J538="",0,$K538*MAX(0,MIN(YEAR($C$3)*12+MONTH($C$3),YEAR($I538)*12+MONTH($I538))-(YEAR($H538)*12+MONTH($H538))+1))</f>
        <v/>
      </c>
      <c r="M538" s="68">
        <f>IF($J538="",0,$K538*MAX(0,MIN(YEAR($C$3)*12+MONTH($C$3)-1,YEAR($I538)*12+MONTH($I538))-(YEAR($H538)*12+MONTH($H538))+1))</f>
        <v/>
      </c>
      <c r="N538" s="68">
        <f>IF(OR($J538="",$B538=""),0,IF(YEAR($B538)*12+MONTH($B538)&lt;=YEAR($C$3)*12+MONTH($C$3),$G538,0))</f>
        <v/>
      </c>
      <c r="O538" s="68">
        <f>IF(OR($J538="",$B538=""),0,IF(YEAR($B538)*12+MONTH($B538)&lt;=YEAR($C$3)*12+MONTH($C$3)-1,$G538,0))</f>
        <v/>
      </c>
      <c r="P538" s="68">
        <f>$M538-$O538</f>
        <v/>
      </c>
      <c r="Q538" s="68">
        <f>($L538-$M538)-($N538-$O538)</f>
        <v/>
      </c>
      <c r="R538" s="68">
        <f>$L538-$N538</f>
        <v/>
      </c>
      <c r="S538" s="67">
        <f>"WIP journal"</f>
        <v/>
      </c>
      <c r="T538" s="67">
        <f>IFERROR(INDEX(tbl_WIP[Revenue or Cost],$A538),"")</f>
        <v/>
      </c>
    </row>
    <row r="539">
      <c r="A539" s="65">
        <f>ROW()-407</f>
        <v/>
      </c>
      <c r="B539" s="66">
        <f>IFERROR(INDEX(tbl_WIP[Month],$A539),"")</f>
        <v/>
      </c>
      <c r="C539" s="67">
        <f>IFERROR(INDEX(tbl_WIP[Xero Invoice No],$A539),"")</f>
        <v/>
      </c>
      <c r="D539" s="67">
        <f>IFERROR(INDEX(tbl_WIP[Client],$A539),"")</f>
        <v/>
      </c>
      <c r="E539" s="67">
        <f>IFERROR(INDEX(tbl_WIP[Job Number],$A539),"")</f>
        <v/>
      </c>
      <c r="F539" s="67">
        <f>IFERROR(INDEX(tbl_WIP[Cost Centre],$A539),"")</f>
        <v/>
      </c>
      <c r="G539" s="68">
        <f>IFERROR(IF(INDEX(tbl_WIP[Defer Start],$A539)="","",IF(INDEX(tbl_WIP[Revenue or Cost],$A539)="Cost",-1,1)*INDEX(tbl_WIP[Amount],$A539)),"")</f>
        <v/>
      </c>
      <c r="H539" s="66">
        <f>IFERROR(INDEX(tbl_WIP[Defer Start],$A539),"")</f>
        <v/>
      </c>
      <c r="I539" s="66">
        <f>IFERROR(INDEX(tbl_WIP[Defer End],$A539),"")</f>
        <v/>
      </c>
      <c r="J539" s="65">
        <f>IF(OR($H539="",$I539="",$G539=""),"",MAX(1,(YEAR($I539)-YEAR($H539))*12+MONTH($I539)-MONTH($H539)+1))</f>
        <v/>
      </c>
      <c r="K539" s="68">
        <f>IF($J539="","",$G539/$J539)</f>
        <v/>
      </c>
      <c r="L539" s="68">
        <f>IF($J539="",0,$K539*MAX(0,MIN(YEAR($C$3)*12+MONTH($C$3),YEAR($I539)*12+MONTH($I539))-(YEAR($H539)*12+MONTH($H539))+1))</f>
        <v/>
      </c>
      <c r="M539" s="68">
        <f>IF($J539="",0,$K539*MAX(0,MIN(YEAR($C$3)*12+MONTH($C$3)-1,YEAR($I539)*12+MONTH($I539))-(YEAR($H539)*12+MONTH($H539))+1))</f>
        <v/>
      </c>
      <c r="N539" s="68">
        <f>IF(OR($J539="",$B539=""),0,IF(YEAR($B539)*12+MONTH($B539)&lt;=YEAR($C$3)*12+MONTH($C$3),$G539,0))</f>
        <v/>
      </c>
      <c r="O539" s="68">
        <f>IF(OR($J539="",$B539=""),0,IF(YEAR($B539)*12+MONTH($B539)&lt;=YEAR($C$3)*12+MONTH($C$3)-1,$G539,0))</f>
        <v/>
      </c>
      <c r="P539" s="68">
        <f>$M539-$O539</f>
        <v/>
      </c>
      <c r="Q539" s="68">
        <f>($L539-$M539)-($N539-$O539)</f>
        <v/>
      </c>
      <c r="R539" s="68">
        <f>$L539-$N539</f>
        <v/>
      </c>
      <c r="S539" s="67">
        <f>"WIP journal"</f>
        <v/>
      </c>
      <c r="T539" s="67">
        <f>IFERROR(INDEX(tbl_WIP[Revenue or Cost],$A539),"")</f>
        <v/>
      </c>
    </row>
    <row r="540">
      <c r="A540" s="65">
        <f>ROW()-407</f>
        <v/>
      </c>
      <c r="B540" s="66">
        <f>IFERROR(INDEX(tbl_WIP[Month],$A540),"")</f>
        <v/>
      </c>
      <c r="C540" s="67">
        <f>IFERROR(INDEX(tbl_WIP[Xero Invoice No],$A540),"")</f>
        <v/>
      </c>
      <c r="D540" s="67">
        <f>IFERROR(INDEX(tbl_WIP[Client],$A540),"")</f>
        <v/>
      </c>
      <c r="E540" s="67">
        <f>IFERROR(INDEX(tbl_WIP[Job Number],$A540),"")</f>
        <v/>
      </c>
      <c r="F540" s="67">
        <f>IFERROR(INDEX(tbl_WIP[Cost Centre],$A540),"")</f>
        <v/>
      </c>
      <c r="G540" s="68">
        <f>IFERROR(IF(INDEX(tbl_WIP[Defer Start],$A540)="","",IF(INDEX(tbl_WIP[Revenue or Cost],$A540)="Cost",-1,1)*INDEX(tbl_WIP[Amount],$A540)),"")</f>
        <v/>
      </c>
      <c r="H540" s="66">
        <f>IFERROR(INDEX(tbl_WIP[Defer Start],$A540),"")</f>
        <v/>
      </c>
      <c r="I540" s="66">
        <f>IFERROR(INDEX(tbl_WIP[Defer End],$A540),"")</f>
        <v/>
      </c>
      <c r="J540" s="65">
        <f>IF(OR($H540="",$I540="",$G540=""),"",MAX(1,(YEAR($I540)-YEAR($H540))*12+MONTH($I540)-MONTH($H540)+1))</f>
        <v/>
      </c>
      <c r="K540" s="68">
        <f>IF($J540="","",$G540/$J540)</f>
        <v/>
      </c>
      <c r="L540" s="68">
        <f>IF($J540="",0,$K540*MAX(0,MIN(YEAR($C$3)*12+MONTH($C$3),YEAR($I540)*12+MONTH($I540))-(YEAR($H540)*12+MONTH($H540))+1))</f>
        <v/>
      </c>
      <c r="M540" s="68">
        <f>IF($J540="",0,$K540*MAX(0,MIN(YEAR($C$3)*12+MONTH($C$3)-1,YEAR($I540)*12+MONTH($I540))-(YEAR($H540)*12+MONTH($H540))+1))</f>
        <v/>
      </c>
      <c r="N540" s="68">
        <f>IF(OR($J540="",$B540=""),0,IF(YEAR($B540)*12+MONTH($B540)&lt;=YEAR($C$3)*12+MONTH($C$3),$G540,0))</f>
        <v/>
      </c>
      <c r="O540" s="68">
        <f>IF(OR($J540="",$B540=""),0,IF(YEAR($B540)*12+MONTH($B540)&lt;=YEAR($C$3)*12+MONTH($C$3)-1,$G540,0))</f>
        <v/>
      </c>
      <c r="P540" s="68">
        <f>$M540-$O540</f>
        <v/>
      </c>
      <c r="Q540" s="68">
        <f>($L540-$M540)-($N540-$O540)</f>
        <v/>
      </c>
      <c r="R540" s="68">
        <f>$L540-$N540</f>
        <v/>
      </c>
      <c r="S540" s="67">
        <f>"WIP journal"</f>
        <v/>
      </c>
      <c r="T540" s="67">
        <f>IFERROR(INDEX(tbl_WIP[Revenue or Cost],$A540),"")</f>
        <v/>
      </c>
    </row>
    <row r="541">
      <c r="A541" s="65">
        <f>ROW()-407</f>
        <v/>
      </c>
      <c r="B541" s="66">
        <f>IFERROR(INDEX(tbl_WIP[Month],$A541),"")</f>
        <v/>
      </c>
      <c r="C541" s="67">
        <f>IFERROR(INDEX(tbl_WIP[Xero Invoice No],$A541),"")</f>
        <v/>
      </c>
      <c r="D541" s="67">
        <f>IFERROR(INDEX(tbl_WIP[Client],$A541),"")</f>
        <v/>
      </c>
      <c r="E541" s="67">
        <f>IFERROR(INDEX(tbl_WIP[Job Number],$A541),"")</f>
        <v/>
      </c>
      <c r="F541" s="67">
        <f>IFERROR(INDEX(tbl_WIP[Cost Centre],$A541),"")</f>
        <v/>
      </c>
      <c r="G541" s="68">
        <f>IFERROR(IF(INDEX(tbl_WIP[Defer Start],$A541)="","",IF(INDEX(tbl_WIP[Revenue or Cost],$A541)="Cost",-1,1)*INDEX(tbl_WIP[Amount],$A541)),"")</f>
        <v/>
      </c>
      <c r="H541" s="66">
        <f>IFERROR(INDEX(tbl_WIP[Defer Start],$A541),"")</f>
        <v/>
      </c>
      <c r="I541" s="66">
        <f>IFERROR(INDEX(tbl_WIP[Defer End],$A541),"")</f>
        <v/>
      </c>
      <c r="J541" s="65">
        <f>IF(OR($H541="",$I541="",$G541=""),"",MAX(1,(YEAR($I541)-YEAR($H541))*12+MONTH($I541)-MONTH($H541)+1))</f>
        <v/>
      </c>
      <c r="K541" s="68">
        <f>IF($J541="","",$G541/$J541)</f>
        <v/>
      </c>
      <c r="L541" s="68">
        <f>IF($J541="",0,$K541*MAX(0,MIN(YEAR($C$3)*12+MONTH($C$3),YEAR($I541)*12+MONTH($I541))-(YEAR($H541)*12+MONTH($H541))+1))</f>
        <v/>
      </c>
      <c r="M541" s="68">
        <f>IF($J541="",0,$K541*MAX(0,MIN(YEAR($C$3)*12+MONTH($C$3)-1,YEAR($I541)*12+MONTH($I541))-(YEAR($H541)*12+MONTH($H541))+1))</f>
        <v/>
      </c>
      <c r="N541" s="68">
        <f>IF(OR($J541="",$B541=""),0,IF(YEAR($B541)*12+MONTH($B541)&lt;=YEAR($C$3)*12+MONTH($C$3),$G541,0))</f>
        <v/>
      </c>
      <c r="O541" s="68">
        <f>IF(OR($J541="",$B541=""),0,IF(YEAR($B541)*12+MONTH($B541)&lt;=YEAR($C$3)*12+MONTH($C$3)-1,$G541,0))</f>
        <v/>
      </c>
      <c r="P541" s="68">
        <f>$M541-$O541</f>
        <v/>
      </c>
      <c r="Q541" s="68">
        <f>($L541-$M541)-($N541-$O541)</f>
        <v/>
      </c>
      <c r="R541" s="68">
        <f>$L541-$N541</f>
        <v/>
      </c>
      <c r="S541" s="67">
        <f>"WIP journal"</f>
        <v/>
      </c>
      <c r="T541" s="67">
        <f>IFERROR(INDEX(tbl_WIP[Revenue or Cost],$A541),"")</f>
        <v/>
      </c>
    </row>
    <row r="542">
      <c r="A542" s="65">
        <f>ROW()-407</f>
        <v/>
      </c>
      <c r="B542" s="66">
        <f>IFERROR(INDEX(tbl_WIP[Month],$A542),"")</f>
        <v/>
      </c>
      <c r="C542" s="67">
        <f>IFERROR(INDEX(tbl_WIP[Xero Invoice No],$A542),"")</f>
        <v/>
      </c>
      <c r="D542" s="67">
        <f>IFERROR(INDEX(tbl_WIP[Client],$A542),"")</f>
        <v/>
      </c>
      <c r="E542" s="67">
        <f>IFERROR(INDEX(tbl_WIP[Job Number],$A542),"")</f>
        <v/>
      </c>
      <c r="F542" s="67">
        <f>IFERROR(INDEX(tbl_WIP[Cost Centre],$A542),"")</f>
        <v/>
      </c>
      <c r="G542" s="68">
        <f>IFERROR(IF(INDEX(tbl_WIP[Defer Start],$A542)="","",IF(INDEX(tbl_WIP[Revenue or Cost],$A542)="Cost",-1,1)*INDEX(tbl_WIP[Amount],$A542)),"")</f>
        <v/>
      </c>
      <c r="H542" s="66">
        <f>IFERROR(INDEX(tbl_WIP[Defer Start],$A542),"")</f>
        <v/>
      </c>
      <c r="I542" s="66">
        <f>IFERROR(INDEX(tbl_WIP[Defer End],$A542),"")</f>
        <v/>
      </c>
      <c r="J542" s="65">
        <f>IF(OR($H542="",$I542="",$G542=""),"",MAX(1,(YEAR($I542)-YEAR($H542))*12+MONTH($I542)-MONTH($H542)+1))</f>
        <v/>
      </c>
      <c r="K542" s="68">
        <f>IF($J542="","",$G542/$J542)</f>
        <v/>
      </c>
      <c r="L542" s="68">
        <f>IF($J542="",0,$K542*MAX(0,MIN(YEAR($C$3)*12+MONTH($C$3),YEAR($I542)*12+MONTH($I542))-(YEAR($H542)*12+MONTH($H542))+1))</f>
        <v/>
      </c>
      <c r="M542" s="68">
        <f>IF($J542="",0,$K542*MAX(0,MIN(YEAR($C$3)*12+MONTH($C$3)-1,YEAR($I542)*12+MONTH($I542))-(YEAR($H542)*12+MONTH($H542))+1))</f>
        <v/>
      </c>
      <c r="N542" s="68">
        <f>IF(OR($J542="",$B542=""),0,IF(YEAR($B542)*12+MONTH($B542)&lt;=YEAR($C$3)*12+MONTH($C$3),$G542,0))</f>
        <v/>
      </c>
      <c r="O542" s="68">
        <f>IF(OR($J542="",$B542=""),0,IF(YEAR($B542)*12+MONTH($B542)&lt;=YEAR($C$3)*12+MONTH($C$3)-1,$G542,0))</f>
        <v/>
      </c>
      <c r="P542" s="68">
        <f>$M542-$O542</f>
        <v/>
      </c>
      <c r="Q542" s="68">
        <f>($L542-$M542)-($N542-$O542)</f>
        <v/>
      </c>
      <c r="R542" s="68">
        <f>$L542-$N542</f>
        <v/>
      </c>
      <c r="S542" s="67">
        <f>"WIP journal"</f>
        <v/>
      </c>
      <c r="T542" s="67">
        <f>IFERROR(INDEX(tbl_WIP[Revenue or Cost],$A542),"")</f>
        <v/>
      </c>
    </row>
    <row r="543">
      <c r="A543" s="65">
        <f>ROW()-407</f>
        <v/>
      </c>
      <c r="B543" s="66">
        <f>IFERROR(INDEX(tbl_WIP[Month],$A543),"")</f>
        <v/>
      </c>
      <c r="C543" s="67">
        <f>IFERROR(INDEX(tbl_WIP[Xero Invoice No],$A543),"")</f>
        <v/>
      </c>
      <c r="D543" s="67">
        <f>IFERROR(INDEX(tbl_WIP[Client],$A543),"")</f>
        <v/>
      </c>
      <c r="E543" s="67">
        <f>IFERROR(INDEX(tbl_WIP[Job Number],$A543),"")</f>
        <v/>
      </c>
      <c r="F543" s="67">
        <f>IFERROR(INDEX(tbl_WIP[Cost Centre],$A543),"")</f>
        <v/>
      </c>
      <c r="G543" s="68">
        <f>IFERROR(IF(INDEX(tbl_WIP[Defer Start],$A543)="","",IF(INDEX(tbl_WIP[Revenue or Cost],$A543)="Cost",-1,1)*INDEX(tbl_WIP[Amount],$A543)),"")</f>
        <v/>
      </c>
      <c r="H543" s="66">
        <f>IFERROR(INDEX(tbl_WIP[Defer Start],$A543),"")</f>
        <v/>
      </c>
      <c r="I543" s="66">
        <f>IFERROR(INDEX(tbl_WIP[Defer End],$A543),"")</f>
        <v/>
      </c>
      <c r="J543" s="65">
        <f>IF(OR($H543="",$I543="",$G543=""),"",MAX(1,(YEAR($I543)-YEAR($H543))*12+MONTH($I543)-MONTH($H543)+1))</f>
        <v/>
      </c>
      <c r="K543" s="68">
        <f>IF($J543="","",$G543/$J543)</f>
        <v/>
      </c>
      <c r="L543" s="68">
        <f>IF($J543="",0,$K543*MAX(0,MIN(YEAR($C$3)*12+MONTH($C$3),YEAR($I543)*12+MONTH($I543))-(YEAR($H543)*12+MONTH($H543))+1))</f>
        <v/>
      </c>
      <c r="M543" s="68">
        <f>IF($J543="",0,$K543*MAX(0,MIN(YEAR($C$3)*12+MONTH($C$3)-1,YEAR($I543)*12+MONTH($I543))-(YEAR($H543)*12+MONTH($H543))+1))</f>
        <v/>
      </c>
      <c r="N543" s="68">
        <f>IF(OR($J543="",$B543=""),0,IF(YEAR($B543)*12+MONTH($B543)&lt;=YEAR($C$3)*12+MONTH($C$3),$G543,0))</f>
        <v/>
      </c>
      <c r="O543" s="68">
        <f>IF(OR($J543="",$B543=""),0,IF(YEAR($B543)*12+MONTH($B543)&lt;=YEAR($C$3)*12+MONTH($C$3)-1,$G543,0))</f>
        <v/>
      </c>
      <c r="P543" s="68">
        <f>$M543-$O543</f>
        <v/>
      </c>
      <c r="Q543" s="68">
        <f>($L543-$M543)-($N543-$O543)</f>
        <v/>
      </c>
      <c r="R543" s="68">
        <f>$L543-$N543</f>
        <v/>
      </c>
      <c r="S543" s="67">
        <f>"WIP journal"</f>
        <v/>
      </c>
      <c r="T543" s="67">
        <f>IFERROR(INDEX(tbl_WIP[Revenue or Cost],$A543),"")</f>
        <v/>
      </c>
    </row>
    <row r="544">
      <c r="A544" s="65">
        <f>ROW()-407</f>
        <v/>
      </c>
      <c r="B544" s="66">
        <f>IFERROR(INDEX(tbl_WIP[Month],$A544),"")</f>
        <v/>
      </c>
      <c r="C544" s="67">
        <f>IFERROR(INDEX(tbl_WIP[Xero Invoice No],$A544),"")</f>
        <v/>
      </c>
      <c r="D544" s="67">
        <f>IFERROR(INDEX(tbl_WIP[Client],$A544),"")</f>
        <v/>
      </c>
      <c r="E544" s="67">
        <f>IFERROR(INDEX(tbl_WIP[Job Number],$A544),"")</f>
        <v/>
      </c>
      <c r="F544" s="67">
        <f>IFERROR(INDEX(tbl_WIP[Cost Centre],$A544),"")</f>
        <v/>
      </c>
      <c r="G544" s="68">
        <f>IFERROR(IF(INDEX(tbl_WIP[Defer Start],$A544)="","",IF(INDEX(tbl_WIP[Revenue or Cost],$A544)="Cost",-1,1)*INDEX(tbl_WIP[Amount],$A544)),"")</f>
        <v/>
      </c>
      <c r="H544" s="66">
        <f>IFERROR(INDEX(tbl_WIP[Defer Start],$A544),"")</f>
        <v/>
      </c>
      <c r="I544" s="66">
        <f>IFERROR(INDEX(tbl_WIP[Defer End],$A544),"")</f>
        <v/>
      </c>
      <c r="J544" s="65">
        <f>IF(OR($H544="",$I544="",$G544=""),"",MAX(1,(YEAR($I544)-YEAR($H544))*12+MONTH($I544)-MONTH($H544)+1))</f>
        <v/>
      </c>
      <c r="K544" s="68">
        <f>IF($J544="","",$G544/$J544)</f>
        <v/>
      </c>
      <c r="L544" s="68">
        <f>IF($J544="",0,$K544*MAX(0,MIN(YEAR($C$3)*12+MONTH($C$3),YEAR($I544)*12+MONTH($I544))-(YEAR($H544)*12+MONTH($H544))+1))</f>
        <v/>
      </c>
      <c r="M544" s="68">
        <f>IF($J544="",0,$K544*MAX(0,MIN(YEAR($C$3)*12+MONTH($C$3)-1,YEAR($I544)*12+MONTH($I544))-(YEAR($H544)*12+MONTH($H544))+1))</f>
        <v/>
      </c>
      <c r="N544" s="68">
        <f>IF(OR($J544="",$B544=""),0,IF(YEAR($B544)*12+MONTH($B544)&lt;=YEAR($C$3)*12+MONTH($C$3),$G544,0))</f>
        <v/>
      </c>
      <c r="O544" s="68">
        <f>IF(OR($J544="",$B544=""),0,IF(YEAR($B544)*12+MONTH($B544)&lt;=YEAR($C$3)*12+MONTH($C$3)-1,$G544,0))</f>
        <v/>
      </c>
      <c r="P544" s="68">
        <f>$M544-$O544</f>
        <v/>
      </c>
      <c r="Q544" s="68">
        <f>($L544-$M544)-($N544-$O544)</f>
        <v/>
      </c>
      <c r="R544" s="68">
        <f>$L544-$N544</f>
        <v/>
      </c>
      <c r="S544" s="67">
        <f>"WIP journal"</f>
        <v/>
      </c>
      <c r="T544" s="67">
        <f>IFERROR(INDEX(tbl_WIP[Revenue or Cost],$A544),"")</f>
        <v/>
      </c>
    </row>
    <row r="545">
      <c r="A545" s="65">
        <f>ROW()-407</f>
        <v/>
      </c>
      <c r="B545" s="66">
        <f>IFERROR(INDEX(tbl_WIP[Month],$A545),"")</f>
        <v/>
      </c>
      <c r="C545" s="67">
        <f>IFERROR(INDEX(tbl_WIP[Xero Invoice No],$A545),"")</f>
        <v/>
      </c>
      <c r="D545" s="67">
        <f>IFERROR(INDEX(tbl_WIP[Client],$A545),"")</f>
        <v/>
      </c>
      <c r="E545" s="67">
        <f>IFERROR(INDEX(tbl_WIP[Job Number],$A545),"")</f>
        <v/>
      </c>
      <c r="F545" s="67">
        <f>IFERROR(INDEX(tbl_WIP[Cost Centre],$A545),"")</f>
        <v/>
      </c>
      <c r="G545" s="68">
        <f>IFERROR(IF(INDEX(tbl_WIP[Defer Start],$A545)="","",IF(INDEX(tbl_WIP[Revenue or Cost],$A545)="Cost",-1,1)*INDEX(tbl_WIP[Amount],$A545)),"")</f>
        <v/>
      </c>
      <c r="H545" s="66">
        <f>IFERROR(INDEX(tbl_WIP[Defer Start],$A545),"")</f>
        <v/>
      </c>
      <c r="I545" s="66">
        <f>IFERROR(INDEX(tbl_WIP[Defer End],$A545),"")</f>
        <v/>
      </c>
      <c r="J545" s="65">
        <f>IF(OR($H545="",$I545="",$G545=""),"",MAX(1,(YEAR($I545)-YEAR($H545))*12+MONTH($I545)-MONTH($H545)+1))</f>
        <v/>
      </c>
      <c r="K545" s="68">
        <f>IF($J545="","",$G545/$J545)</f>
        <v/>
      </c>
      <c r="L545" s="68">
        <f>IF($J545="",0,$K545*MAX(0,MIN(YEAR($C$3)*12+MONTH($C$3),YEAR($I545)*12+MONTH($I545))-(YEAR($H545)*12+MONTH($H545))+1))</f>
        <v/>
      </c>
      <c r="M545" s="68">
        <f>IF($J545="",0,$K545*MAX(0,MIN(YEAR($C$3)*12+MONTH($C$3)-1,YEAR($I545)*12+MONTH($I545))-(YEAR($H545)*12+MONTH($H545))+1))</f>
        <v/>
      </c>
      <c r="N545" s="68">
        <f>IF(OR($J545="",$B545=""),0,IF(YEAR($B545)*12+MONTH($B545)&lt;=YEAR($C$3)*12+MONTH($C$3),$G545,0))</f>
        <v/>
      </c>
      <c r="O545" s="68">
        <f>IF(OR($J545="",$B545=""),0,IF(YEAR($B545)*12+MONTH($B545)&lt;=YEAR($C$3)*12+MONTH($C$3)-1,$G545,0))</f>
        <v/>
      </c>
      <c r="P545" s="68">
        <f>$M545-$O545</f>
        <v/>
      </c>
      <c r="Q545" s="68">
        <f>($L545-$M545)-($N545-$O545)</f>
        <v/>
      </c>
      <c r="R545" s="68">
        <f>$L545-$N545</f>
        <v/>
      </c>
      <c r="S545" s="67">
        <f>"WIP journal"</f>
        <v/>
      </c>
      <c r="T545" s="67">
        <f>IFERROR(INDEX(tbl_WIP[Revenue or Cost],$A545),"")</f>
        <v/>
      </c>
    </row>
    <row r="546">
      <c r="A546" s="65">
        <f>ROW()-407</f>
        <v/>
      </c>
      <c r="B546" s="66">
        <f>IFERROR(INDEX(tbl_WIP[Month],$A546),"")</f>
        <v/>
      </c>
      <c r="C546" s="67">
        <f>IFERROR(INDEX(tbl_WIP[Xero Invoice No],$A546),"")</f>
        <v/>
      </c>
      <c r="D546" s="67">
        <f>IFERROR(INDEX(tbl_WIP[Client],$A546),"")</f>
        <v/>
      </c>
      <c r="E546" s="67">
        <f>IFERROR(INDEX(tbl_WIP[Job Number],$A546),"")</f>
        <v/>
      </c>
      <c r="F546" s="67">
        <f>IFERROR(INDEX(tbl_WIP[Cost Centre],$A546),"")</f>
        <v/>
      </c>
      <c r="G546" s="68">
        <f>IFERROR(IF(INDEX(tbl_WIP[Defer Start],$A546)="","",IF(INDEX(tbl_WIP[Revenue or Cost],$A546)="Cost",-1,1)*INDEX(tbl_WIP[Amount],$A546)),"")</f>
        <v/>
      </c>
      <c r="H546" s="66">
        <f>IFERROR(INDEX(tbl_WIP[Defer Start],$A546),"")</f>
        <v/>
      </c>
      <c r="I546" s="66">
        <f>IFERROR(INDEX(tbl_WIP[Defer End],$A546),"")</f>
        <v/>
      </c>
      <c r="J546" s="65">
        <f>IF(OR($H546="",$I546="",$G546=""),"",MAX(1,(YEAR($I546)-YEAR($H546))*12+MONTH($I546)-MONTH($H546)+1))</f>
        <v/>
      </c>
      <c r="K546" s="68">
        <f>IF($J546="","",$G546/$J546)</f>
        <v/>
      </c>
      <c r="L546" s="68">
        <f>IF($J546="",0,$K546*MAX(0,MIN(YEAR($C$3)*12+MONTH($C$3),YEAR($I546)*12+MONTH($I546))-(YEAR($H546)*12+MONTH($H546))+1))</f>
        <v/>
      </c>
      <c r="M546" s="68">
        <f>IF($J546="",0,$K546*MAX(0,MIN(YEAR($C$3)*12+MONTH($C$3)-1,YEAR($I546)*12+MONTH($I546))-(YEAR($H546)*12+MONTH($H546))+1))</f>
        <v/>
      </c>
      <c r="N546" s="68">
        <f>IF(OR($J546="",$B546=""),0,IF(YEAR($B546)*12+MONTH($B546)&lt;=YEAR($C$3)*12+MONTH($C$3),$G546,0))</f>
        <v/>
      </c>
      <c r="O546" s="68">
        <f>IF(OR($J546="",$B546=""),0,IF(YEAR($B546)*12+MONTH($B546)&lt;=YEAR($C$3)*12+MONTH($C$3)-1,$G546,0))</f>
        <v/>
      </c>
      <c r="P546" s="68">
        <f>$M546-$O546</f>
        <v/>
      </c>
      <c r="Q546" s="68">
        <f>($L546-$M546)-($N546-$O546)</f>
        <v/>
      </c>
      <c r="R546" s="68">
        <f>$L546-$N546</f>
        <v/>
      </c>
      <c r="S546" s="67">
        <f>"WIP journal"</f>
        <v/>
      </c>
      <c r="T546" s="67">
        <f>IFERROR(INDEX(tbl_WIP[Revenue or Cost],$A546),"")</f>
        <v/>
      </c>
    </row>
    <row r="547">
      <c r="A547" s="65">
        <f>ROW()-407</f>
        <v/>
      </c>
      <c r="B547" s="66">
        <f>IFERROR(INDEX(tbl_WIP[Month],$A547),"")</f>
        <v/>
      </c>
      <c r="C547" s="67">
        <f>IFERROR(INDEX(tbl_WIP[Xero Invoice No],$A547),"")</f>
        <v/>
      </c>
      <c r="D547" s="67">
        <f>IFERROR(INDEX(tbl_WIP[Client],$A547),"")</f>
        <v/>
      </c>
      <c r="E547" s="67">
        <f>IFERROR(INDEX(tbl_WIP[Job Number],$A547),"")</f>
        <v/>
      </c>
      <c r="F547" s="67">
        <f>IFERROR(INDEX(tbl_WIP[Cost Centre],$A547),"")</f>
        <v/>
      </c>
      <c r="G547" s="68">
        <f>IFERROR(IF(INDEX(tbl_WIP[Defer Start],$A547)="","",IF(INDEX(tbl_WIP[Revenue or Cost],$A547)="Cost",-1,1)*INDEX(tbl_WIP[Amount],$A547)),"")</f>
        <v/>
      </c>
      <c r="H547" s="66">
        <f>IFERROR(INDEX(tbl_WIP[Defer Start],$A547),"")</f>
        <v/>
      </c>
      <c r="I547" s="66">
        <f>IFERROR(INDEX(tbl_WIP[Defer End],$A547),"")</f>
        <v/>
      </c>
      <c r="J547" s="65">
        <f>IF(OR($H547="",$I547="",$G547=""),"",MAX(1,(YEAR($I547)-YEAR($H547))*12+MONTH($I547)-MONTH($H547)+1))</f>
        <v/>
      </c>
      <c r="K547" s="68">
        <f>IF($J547="","",$G547/$J547)</f>
        <v/>
      </c>
      <c r="L547" s="68">
        <f>IF($J547="",0,$K547*MAX(0,MIN(YEAR($C$3)*12+MONTH($C$3),YEAR($I547)*12+MONTH($I547))-(YEAR($H547)*12+MONTH($H547))+1))</f>
        <v/>
      </c>
      <c r="M547" s="68">
        <f>IF($J547="",0,$K547*MAX(0,MIN(YEAR($C$3)*12+MONTH($C$3)-1,YEAR($I547)*12+MONTH($I547))-(YEAR($H547)*12+MONTH($H547))+1))</f>
        <v/>
      </c>
      <c r="N547" s="68">
        <f>IF(OR($J547="",$B547=""),0,IF(YEAR($B547)*12+MONTH($B547)&lt;=YEAR($C$3)*12+MONTH($C$3),$G547,0))</f>
        <v/>
      </c>
      <c r="O547" s="68">
        <f>IF(OR($J547="",$B547=""),0,IF(YEAR($B547)*12+MONTH($B547)&lt;=YEAR($C$3)*12+MONTH($C$3)-1,$G547,0))</f>
        <v/>
      </c>
      <c r="P547" s="68">
        <f>$M547-$O547</f>
        <v/>
      </c>
      <c r="Q547" s="68">
        <f>($L547-$M547)-($N547-$O547)</f>
        <v/>
      </c>
      <c r="R547" s="68">
        <f>$L547-$N547</f>
        <v/>
      </c>
      <c r="S547" s="67">
        <f>"WIP journal"</f>
        <v/>
      </c>
      <c r="T547" s="67">
        <f>IFERROR(INDEX(tbl_WIP[Revenue or Cost],$A547),"")</f>
        <v/>
      </c>
    </row>
    <row r="548">
      <c r="A548" s="65">
        <f>ROW()-407</f>
        <v/>
      </c>
      <c r="B548" s="66">
        <f>IFERROR(INDEX(tbl_WIP[Month],$A548),"")</f>
        <v/>
      </c>
      <c r="C548" s="67">
        <f>IFERROR(INDEX(tbl_WIP[Xero Invoice No],$A548),"")</f>
        <v/>
      </c>
      <c r="D548" s="67">
        <f>IFERROR(INDEX(tbl_WIP[Client],$A548),"")</f>
        <v/>
      </c>
      <c r="E548" s="67">
        <f>IFERROR(INDEX(tbl_WIP[Job Number],$A548),"")</f>
        <v/>
      </c>
      <c r="F548" s="67">
        <f>IFERROR(INDEX(tbl_WIP[Cost Centre],$A548),"")</f>
        <v/>
      </c>
      <c r="G548" s="68">
        <f>IFERROR(IF(INDEX(tbl_WIP[Defer Start],$A548)="","",IF(INDEX(tbl_WIP[Revenue or Cost],$A548)="Cost",-1,1)*INDEX(tbl_WIP[Amount],$A548)),"")</f>
        <v/>
      </c>
      <c r="H548" s="66">
        <f>IFERROR(INDEX(tbl_WIP[Defer Start],$A548),"")</f>
        <v/>
      </c>
      <c r="I548" s="66">
        <f>IFERROR(INDEX(tbl_WIP[Defer End],$A548),"")</f>
        <v/>
      </c>
      <c r="J548" s="65">
        <f>IF(OR($H548="",$I548="",$G548=""),"",MAX(1,(YEAR($I548)-YEAR($H548))*12+MONTH($I548)-MONTH($H548)+1))</f>
        <v/>
      </c>
      <c r="K548" s="68">
        <f>IF($J548="","",$G548/$J548)</f>
        <v/>
      </c>
      <c r="L548" s="68">
        <f>IF($J548="",0,$K548*MAX(0,MIN(YEAR($C$3)*12+MONTH($C$3),YEAR($I548)*12+MONTH($I548))-(YEAR($H548)*12+MONTH($H548))+1))</f>
        <v/>
      </c>
      <c r="M548" s="68">
        <f>IF($J548="",0,$K548*MAX(0,MIN(YEAR($C$3)*12+MONTH($C$3)-1,YEAR($I548)*12+MONTH($I548))-(YEAR($H548)*12+MONTH($H548))+1))</f>
        <v/>
      </c>
      <c r="N548" s="68">
        <f>IF(OR($J548="",$B548=""),0,IF(YEAR($B548)*12+MONTH($B548)&lt;=YEAR($C$3)*12+MONTH($C$3),$G548,0))</f>
        <v/>
      </c>
      <c r="O548" s="68">
        <f>IF(OR($J548="",$B548=""),0,IF(YEAR($B548)*12+MONTH($B548)&lt;=YEAR($C$3)*12+MONTH($C$3)-1,$G548,0))</f>
        <v/>
      </c>
      <c r="P548" s="68">
        <f>$M548-$O548</f>
        <v/>
      </c>
      <c r="Q548" s="68">
        <f>($L548-$M548)-($N548-$O548)</f>
        <v/>
      </c>
      <c r="R548" s="68">
        <f>$L548-$N548</f>
        <v/>
      </c>
      <c r="S548" s="67">
        <f>"WIP journal"</f>
        <v/>
      </c>
      <c r="T548" s="67">
        <f>IFERROR(INDEX(tbl_WIP[Revenue or Cost],$A548),"")</f>
        <v/>
      </c>
    </row>
    <row r="549">
      <c r="A549" s="65">
        <f>ROW()-407</f>
        <v/>
      </c>
      <c r="B549" s="66">
        <f>IFERROR(INDEX(tbl_WIP[Month],$A549),"")</f>
        <v/>
      </c>
      <c r="C549" s="67">
        <f>IFERROR(INDEX(tbl_WIP[Xero Invoice No],$A549),"")</f>
        <v/>
      </c>
      <c r="D549" s="67">
        <f>IFERROR(INDEX(tbl_WIP[Client],$A549),"")</f>
        <v/>
      </c>
      <c r="E549" s="67">
        <f>IFERROR(INDEX(tbl_WIP[Job Number],$A549),"")</f>
        <v/>
      </c>
      <c r="F549" s="67">
        <f>IFERROR(INDEX(tbl_WIP[Cost Centre],$A549),"")</f>
        <v/>
      </c>
      <c r="G549" s="68">
        <f>IFERROR(IF(INDEX(tbl_WIP[Defer Start],$A549)="","",IF(INDEX(tbl_WIP[Revenue or Cost],$A549)="Cost",-1,1)*INDEX(tbl_WIP[Amount],$A549)),"")</f>
        <v/>
      </c>
      <c r="H549" s="66">
        <f>IFERROR(INDEX(tbl_WIP[Defer Start],$A549),"")</f>
        <v/>
      </c>
      <c r="I549" s="66">
        <f>IFERROR(INDEX(tbl_WIP[Defer End],$A549),"")</f>
        <v/>
      </c>
      <c r="J549" s="65">
        <f>IF(OR($H549="",$I549="",$G549=""),"",MAX(1,(YEAR($I549)-YEAR($H549))*12+MONTH($I549)-MONTH($H549)+1))</f>
        <v/>
      </c>
      <c r="K549" s="68">
        <f>IF($J549="","",$G549/$J549)</f>
        <v/>
      </c>
      <c r="L549" s="68">
        <f>IF($J549="",0,$K549*MAX(0,MIN(YEAR($C$3)*12+MONTH($C$3),YEAR($I549)*12+MONTH($I549))-(YEAR($H549)*12+MONTH($H549))+1))</f>
        <v/>
      </c>
      <c r="M549" s="68">
        <f>IF($J549="",0,$K549*MAX(0,MIN(YEAR($C$3)*12+MONTH($C$3)-1,YEAR($I549)*12+MONTH($I549))-(YEAR($H549)*12+MONTH($H549))+1))</f>
        <v/>
      </c>
      <c r="N549" s="68">
        <f>IF(OR($J549="",$B549=""),0,IF(YEAR($B549)*12+MONTH($B549)&lt;=YEAR($C$3)*12+MONTH($C$3),$G549,0))</f>
        <v/>
      </c>
      <c r="O549" s="68">
        <f>IF(OR($J549="",$B549=""),0,IF(YEAR($B549)*12+MONTH($B549)&lt;=YEAR($C$3)*12+MONTH($C$3)-1,$G549,0))</f>
        <v/>
      </c>
      <c r="P549" s="68">
        <f>$M549-$O549</f>
        <v/>
      </c>
      <c r="Q549" s="68">
        <f>($L549-$M549)-($N549-$O549)</f>
        <v/>
      </c>
      <c r="R549" s="68">
        <f>$L549-$N549</f>
        <v/>
      </c>
      <c r="S549" s="67">
        <f>"WIP journal"</f>
        <v/>
      </c>
      <c r="T549" s="67">
        <f>IFERROR(INDEX(tbl_WIP[Revenue or Cost],$A549),"")</f>
        <v/>
      </c>
    </row>
    <row r="550">
      <c r="A550" s="65">
        <f>ROW()-407</f>
        <v/>
      </c>
      <c r="B550" s="66">
        <f>IFERROR(INDEX(tbl_WIP[Month],$A550),"")</f>
        <v/>
      </c>
      <c r="C550" s="67">
        <f>IFERROR(INDEX(tbl_WIP[Xero Invoice No],$A550),"")</f>
        <v/>
      </c>
      <c r="D550" s="67">
        <f>IFERROR(INDEX(tbl_WIP[Client],$A550),"")</f>
        <v/>
      </c>
      <c r="E550" s="67">
        <f>IFERROR(INDEX(tbl_WIP[Job Number],$A550),"")</f>
        <v/>
      </c>
      <c r="F550" s="67">
        <f>IFERROR(INDEX(tbl_WIP[Cost Centre],$A550),"")</f>
        <v/>
      </c>
      <c r="G550" s="68">
        <f>IFERROR(IF(INDEX(tbl_WIP[Defer Start],$A550)="","",IF(INDEX(tbl_WIP[Revenue or Cost],$A550)="Cost",-1,1)*INDEX(tbl_WIP[Amount],$A550)),"")</f>
        <v/>
      </c>
      <c r="H550" s="66">
        <f>IFERROR(INDEX(tbl_WIP[Defer Start],$A550),"")</f>
        <v/>
      </c>
      <c r="I550" s="66">
        <f>IFERROR(INDEX(tbl_WIP[Defer End],$A550),"")</f>
        <v/>
      </c>
      <c r="J550" s="65">
        <f>IF(OR($H550="",$I550="",$G550=""),"",MAX(1,(YEAR($I550)-YEAR($H550))*12+MONTH($I550)-MONTH($H550)+1))</f>
        <v/>
      </c>
      <c r="K550" s="68">
        <f>IF($J550="","",$G550/$J550)</f>
        <v/>
      </c>
      <c r="L550" s="68">
        <f>IF($J550="",0,$K550*MAX(0,MIN(YEAR($C$3)*12+MONTH($C$3),YEAR($I550)*12+MONTH($I550))-(YEAR($H550)*12+MONTH($H550))+1))</f>
        <v/>
      </c>
      <c r="M550" s="68">
        <f>IF($J550="",0,$K550*MAX(0,MIN(YEAR($C$3)*12+MONTH($C$3)-1,YEAR($I550)*12+MONTH($I550))-(YEAR($H550)*12+MONTH($H550))+1))</f>
        <v/>
      </c>
      <c r="N550" s="68">
        <f>IF(OR($J550="",$B550=""),0,IF(YEAR($B550)*12+MONTH($B550)&lt;=YEAR($C$3)*12+MONTH($C$3),$G550,0))</f>
        <v/>
      </c>
      <c r="O550" s="68">
        <f>IF(OR($J550="",$B550=""),0,IF(YEAR($B550)*12+MONTH($B550)&lt;=YEAR($C$3)*12+MONTH($C$3)-1,$G550,0))</f>
        <v/>
      </c>
      <c r="P550" s="68">
        <f>$M550-$O550</f>
        <v/>
      </c>
      <c r="Q550" s="68">
        <f>($L550-$M550)-($N550-$O550)</f>
        <v/>
      </c>
      <c r="R550" s="68">
        <f>$L550-$N550</f>
        <v/>
      </c>
      <c r="S550" s="67">
        <f>"WIP journal"</f>
        <v/>
      </c>
      <c r="T550" s="67">
        <f>IFERROR(INDEX(tbl_WIP[Revenue or Cost],$A550),"")</f>
        <v/>
      </c>
    </row>
    <row r="551">
      <c r="A551" s="65">
        <f>ROW()-407</f>
        <v/>
      </c>
      <c r="B551" s="66">
        <f>IFERROR(INDEX(tbl_WIP[Month],$A551),"")</f>
        <v/>
      </c>
      <c r="C551" s="67">
        <f>IFERROR(INDEX(tbl_WIP[Xero Invoice No],$A551),"")</f>
        <v/>
      </c>
      <c r="D551" s="67">
        <f>IFERROR(INDEX(tbl_WIP[Client],$A551),"")</f>
        <v/>
      </c>
      <c r="E551" s="67">
        <f>IFERROR(INDEX(tbl_WIP[Job Number],$A551),"")</f>
        <v/>
      </c>
      <c r="F551" s="67">
        <f>IFERROR(INDEX(tbl_WIP[Cost Centre],$A551),"")</f>
        <v/>
      </c>
      <c r="G551" s="68">
        <f>IFERROR(IF(INDEX(tbl_WIP[Defer Start],$A551)="","",IF(INDEX(tbl_WIP[Revenue or Cost],$A551)="Cost",-1,1)*INDEX(tbl_WIP[Amount],$A551)),"")</f>
        <v/>
      </c>
      <c r="H551" s="66">
        <f>IFERROR(INDEX(tbl_WIP[Defer Start],$A551),"")</f>
        <v/>
      </c>
      <c r="I551" s="66">
        <f>IFERROR(INDEX(tbl_WIP[Defer End],$A551),"")</f>
        <v/>
      </c>
      <c r="J551" s="65">
        <f>IF(OR($H551="",$I551="",$G551=""),"",MAX(1,(YEAR($I551)-YEAR($H551))*12+MONTH($I551)-MONTH($H551)+1))</f>
        <v/>
      </c>
      <c r="K551" s="68">
        <f>IF($J551="","",$G551/$J551)</f>
        <v/>
      </c>
      <c r="L551" s="68">
        <f>IF($J551="",0,$K551*MAX(0,MIN(YEAR($C$3)*12+MONTH($C$3),YEAR($I551)*12+MONTH($I551))-(YEAR($H551)*12+MONTH($H551))+1))</f>
        <v/>
      </c>
      <c r="M551" s="68">
        <f>IF($J551="",0,$K551*MAX(0,MIN(YEAR($C$3)*12+MONTH($C$3)-1,YEAR($I551)*12+MONTH($I551))-(YEAR($H551)*12+MONTH($H551))+1))</f>
        <v/>
      </c>
      <c r="N551" s="68">
        <f>IF(OR($J551="",$B551=""),0,IF(YEAR($B551)*12+MONTH($B551)&lt;=YEAR($C$3)*12+MONTH($C$3),$G551,0))</f>
        <v/>
      </c>
      <c r="O551" s="68">
        <f>IF(OR($J551="",$B551=""),0,IF(YEAR($B551)*12+MONTH($B551)&lt;=YEAR($C$3)*12+MONTH($C$3)-1,$G551,0))</f>
        <v/>
      </c>
      <c r="P551" s="68">
        <f>$M551-$O551</f>
        <v/>
      </c>
      <c r="Q551" s="68">
        <f>($L551-$M551)-($N551-$O551)</f>
        <v/>
      </c>
      <c r="R551" s="68">
        <f>$L551-$N551</f>
        <v/>
      </c>
      <c r="S551" s="67">
        <f>"WIP journal"</f>
        <v/>
      </c>
      <c r="T551" s="67">
        <f>IFERROR(INDEX(tbl_WIP[Revenue or Cost],$A551),"")</f>
        <v/>
      </c>
    </row>
    <row r="552">
      <c r="A552" s="65">
        <f>ROW()-407</f>
        <v/>
      </c>
      <c r="B552" s="66">
        <f>IFERROR(INDEX(tbl_WIP[Month],$A552),"")</f>
        <v/>
      </c>
      <c r="C552" s="67">
        <f>IFERROR(INDEX(tbl_WIP[Xero Invoice No],$A552),"")</f>
        <v/>
      </c>
      <c r="D552" s="67">
        <f>IFERROR(INDEX(tbl_WIP[Client],$A552),"")</f>
        <v/>
      </c>
      <c r="E552" s="67">
        <f>IFERROR(INDEX(tbl_WIP[Job Number],$A552),"")</f>
        <v/>
      </c>
      <c r="F552" s="67">
        <f>IFERROR(INDEX(tbl_WIP[Cost Centre],$A552),"")</f>
        <v/>
      </c>
      <c r="G552" s="68">
        <f>IFERROR(IF(INDEX(tbl_WIP[Defer Start],$A552)="","",IF(INDEX(tbl_WIP[Revenue or Cost],$A552)="Cost",-1,1)*INDEX(tbl_WIP[Amount],$A552)),"")</f>
        <v/>
      </c>
      <c r="H552" s="66">
        <f>IFERROR(INDEX(tbl_WIP[Defer Start],$A552),"")</f>
        <v/>
      </c>
      <c r="I552" s="66">
        <f>IFERROR(INDEX(tbl_WIP[Defer End],$A552),"")</f>
        <v/>
      </c>
      <c r="J552" s="65">
        <f>IF(OR($H552="",$I552="",$G552=""),"",MAX(1,(YEAR($I552)-YEAR($H552))*12+MONTH($I552)-MONTH($H552)+1))</f>
        <v/>
      </c>
      <c r="K552" s="68">
        <f>IF($J552="","",$G552/$J552)</f>
        <v/>
      </c>
      <c r="L552" s="68">
        <f>IF($J552="",0,$K552*MAX(0,MIN(YEAR($C$3)*12+MONTH($C$3),YEAR($I552)*12+MONTH($I552))-(YEAR($H552)*12+MONTH($H552))+1))</f>
        <v/>
      </c>
      <c r="M552" s="68">
        <f>IF($J552="",0,$K552*MAX(0,MIN(YEAR($C$3)*12+MONTH($C$3)-1,YEAR($I552)*12+MONTH($I552))-(YEAR($H552)*12+MONTH($H552))+1))</f>
        <v/>
      </c>
      <c r="N552" s="68">
        <f>IF(OR($J552="",$B552=""),0,IF(YEAR($B552)*12+MONTH($B552)&lt;=YEAR($C$3)*12+MONTH($C$3),$G552,0))</f>
        <v/>
      </c>
      <c r="O552" s="68">
        <f>IF(OR($J552="",$B552=""),0,IF(YEAR($B552)*12+MONTH($B552)&lt;=YEAR($C$3)*12+MONTH($C$3)-1,$G552,0))</f>
        <v/>
      </c>
      <c r="P552" s="68">
        <f>$M552-$O552</f>
        <v/>
      </c>
      <c r="Q552" s="68">
        <f>($L552-$M552)-($N552-$O552)</f>
        <v/>
      </c>
      <c r="R552" s="68">
        <f>$L552-$N552</f>
        <v/>
      </c>
      <c r="S552" s="67">
        <f>"WIP journal"</f>
        <v/>
      </c>
      <c r="T552" s="67">
        <f>IFERROR(INDEX(tbl_WIP[Revenue or Cost],$A552),"")</f>
        <v/>
      </c>
    </row>
    <row r="553">
      <c r="A553" s="65">
        <f>ROW()-407</f>
        <v/>
      </c>
      <c r="B553" s="66">
        <f>IFERROR(INDEX(tbl_WIP[Month],$A553),"")</f>
        <v/>
      </c>
      <c r="C553" s="67">
        <f>IFERROR(INDEX(tbl_WIP[Xero Invoice No],$A553),"")</f>
        <v/>
      </c>
      <c r="D553" s="67">
        <f>IFERROR(INDEX(tbl_WIP[Client],$A553),"")</f>
        <v/>
      </c>
      <c r="E553" s="67">
        <f>IFERROR(INDEX(tbl_WIP[Job Number],$A553),"")</f>
        <v/>
      </c>
      <c r="F553" s="67">
        <f>IFERROR(INDEX(tbl_WIP[Cost Centre],$A553),"")</f>
        <v/>
      </c>
      <c r="G553" s="68">
        <f>IFERROR(IF(INDEX(tbl_WIP[Defer Start],$A553)="","",IF(INDEX(tbl_WIP[Revenue or Cost],$A553)="Cost",-1,1)*INDEX(tbl_WIP[Amount],$A553)),"")</f>
        <v/>
      </c>
      <c r="H553" s="66">
        <f>IFERROR(INDEX(tbl_WIP[Defer Start],$A553),"")</f>
        <v/>
      </c>
      <c r="I553" s="66">
        <f>IFERROR(INDEX(tbl_WIP[Defer End],$A553),"")</f>
        <v/>
      </c>
      <c r="J553" s="65">
        <f>IF(OR($H553="",$I553="",$G553=""),"",MAX(1,(YEAR($I553)-YEAR($H553))*12+MONTH($I553)-MONTH($H553)+1))</f>
        <v/>
      </c>
      <c r="K553" s="68">
        <f>IF($J553="","",$G553/$J553)</f>
        <v/>
      </c>
      <c r="L553" s="68">
        <f>IF($J553="",0,$K553*MAX(0,MIN(YEAR($C$3)*12+MONTH($C$3),YEAR($I553)*12+MONTH($I553))-(YEAR($H553)*12+MONTH($H553))+1))</f>
        <v/>
      </c>
      <c r="M553" s="68">
        <f>IF($J553="",0,$K553*MAX(0,MIN(YEAR($C$3)*12+MONTH($C$3)-1,YEAR($I553)*12+MONTH($I553))-(YEAR($H553)*12+MONTH($H553))+1))</f>
        <v/>
      </c>
      <c r="N553" s="68">
        <f>IF(OR($J553="",$B553=""),0,IF(YEAR($B553)*12+MONTH($B553)&lt;=YEAR($C$3)*12+MONTH($C$3),$G553,0))</f>
        <v/>
      </c>
      <c r="O553" s="68">
        <f>IF(OR($J553="",$B553=""),0,IF(YEAR($B553)*12+MONTH($B553)&lt;=YEAR($C$3)*12+MONTH($C$3)-1,$G553,0))</f>
        <v/>
      </c>
      <c r="P553" s="68">
        <f>$M553-$O553</f>
        <v/>
      </c>
      <c r="Q553" s="68">
        <f>($L553-$M553)-($N553-$O553)</f>
        <v/>
      </c>
      <c r="R553" s="68">
        <f>$L553-$N553</f>
        <v/>
      </c>
      <c r="S553" s="67">
        <f>"WIP journal"</f>
        <v/>
      </c>
      <c r="T553" s="67">
        <f>IFERROR(INDEX(tbl_WIP[Revenue or Cost],$A553),"")</f>
        <v/>
      </c>
    </row>
    <row r="554">
      <c r="A554" s="65">
        <f>ROW()-407</f>
        <v/>
      </c>
      <c r="B554" s="66">
        <f>IFERROR(INDEX(tbl_WIP[Month],$A554),"")</f>
        <v/>
      </c>
      <c r="C554" s="67">
        <f>IFERROR(INDEX(tbl_WIP[Xero Invoice No],$A554),"")</f>
        <v/>
      </c>
      <c r="D554" s="67">
        <f>IFERROR(INDEX(tbl_WIP[Client],$A554),"")</f>
        <v/>
      </c>
      <c r="E554" s="67">
        <f>IFERROR(INDEX(tbl_WIP[Job Number],$A554),"")</f>
        <v/>
      </c>
      <c r="F554" s="67">
        <f>IFERROR(INDEX(tbl_WIP[Cost Centre],$A554),"")</f>
        <v/>
      </c>
      <c r="G554" s="68">
        <f>IFERROR(IF(INDEX(tbl_WIP[Defer Start],$A554)="","",IF(INDEX(tbl_WIP[Revenue or Cost],$A554)="Cost",-1,1)*INDEX(tbl_WIP[Amount],$A554)),"")</f>
        <v/>
      </c>
      <c r="H554" s="66">
        <f>IFERROR(INDEX(tbl_WIP[Defer Start],$A554),"")</f>
        <v/>
      </c>
      <c r="I554" s="66">
        <f>IFERROR(INDEX(tbl_WIP[Defer End],$A554),"")</f>
        <v/>
      </c>
      <c r="J554" s="65">
        <f>IF(OR($H554="",$I554="",$G554=""),"",MAX(1,(YEAR($I554)-YEAR($H554))*12+MONTH($I554)-MONTH($H554)+1))</f>
        <v/>
      </c>
      <c r="K554" s="68">
        <f>IF($J554="","",$G554/$J554)</f>
        <v/>
      </c>
      <c r="L554" s="68">
        <f>IF($J554="",0,$K554*MAX(0,MIN(YEAR($C$3)*12+MONTH($C$3),YEAR($I554)*12+MONTH($I554))-(YEAR($H554)*12+MONTH($H554))+1))</f>
        <v/>
      </c>
      <c r="M554" s="68">
        <f>IF($J554="",0,$K554*MAX(0,MIN(YEAR($C$3)*12+MONTH($C$3)-1,YEAR($I554)*12+MONTH($I554))-(YEAR($H554)*12+MONTH($H554))+1))</f>
        <v/>
      </c>
      <c r="N554" s="68">
        <f>IF(OR($J554="",$B554=""),0,IF(YEAR($B554)*12+MONTH($B554)&lt;=YEAR($C$3)*12+MONTH($C$3),$G554,0))</f>
        <v/>
      </c>
      <c r="O554" s="68">
        <f>IF(OR($J554="",$B554=""),0,IF(YEAR($B554)*12+MONTH($B554)&lt;=YEAR($C$3)*12+MONTH($C$3)-1,$G554,0))</f>
        <v/>
      </c>
      <c r="P554" s="68">
        <f>$M554-$O554</f>
        <v/>
      </c>
      <c r="Q554" s="68">
        <f>($L554-$M554)-($N554-$O554)</f>
        <v/>
      </c>
      <c r="R554" s="68">
        <f>$L554-$N554</f>
        <v/>
      </c>
      <c r="S554" s="67">
        <f>"WIP journal"</f>
        <v/>
      </c>
      <c r="T554" s="67">
        <f>IFERROR(INDEX(tbl_WIP[Revenue or Cost],$A554),"")</f>
        <v/>
      </c>
    </row>
    <row r="555">
      <c r="A555" s="65">
        <f>ROW()-407</f>
        <v/>
      </c>
      <c r="B555" s="66">
        <f>IFERROR(INDEX(tbl_WIP[Month],$A555),"")</f>
        <v/>
      </c>
      <c r="C555" s="67">
        <f>IFERROR(INDEX(tbl_WIP[Xero Invoice No],$A555),"")</f>
        <v/>
      </c>
      <c r="D555" s="67">
        <f>IFERROR(INDEX(tbl_WIP[Client],$A555),"")</f>
        <v/>
      </c>
      <c r="E555" s="67">
        <f>IFERROR(INDEX(tbl_WIP[Job Number],$A555),"")</f>
        <v/>
      </c>
      <c r="F555" s="67">
        <f>IFERROR(INDEX(tbl_WIP[Cost Centre],$A555),"")</f>
        <v/>
      </c>
      <c r="G555" s="68">
        <f>IFERROR(IF(INDEX(tbl_WIP[Defer Start],$A555)="","",IF(INDEX(tbl_WIP[Revenue or Cost],$A555)="Cost",-1,1)*INDEX(tbl_WIP[Amount],$A555)),"")</f>
        <v/>
      </c>
      <c r="H555" s="66">
        <f>IFERROR(INDEX(tbl_WIP[Defer Start],$A555),"")</f>
        <v/>
      </c>
      <c r="I555" s="66">
        <f>IFERROR(INDEX(tbl_WIP[Defer End],$A555),"")</f>
        <v/>
      </c>
      <c r="J555" s="65">
        <f>IF(OR($H555="",$I555="",$G555=""),"",MAX(1,(YEAR($I555)-YEAR($H555))*12+MONTH($I555)-MONTH($H555)+1))</f>
        <v/>
      </c>
      <c r="K555" s="68">
        <f>IF($J555="","",$G555/$J555)</f>
        <v/>
      </c>
      <c r="L555" s="68">
        <f>IF($J555="",0,$K555*MAX(0,MIN(YEAR($C$3)*12+MONTH($C$3),YEAR($I555)*12+MONTH($I555))-(YEAR($H555)*12+MONTH($H555))+1))</f>
        <v/>
      </c>
      <c r="M555" s="68">
        <f>IF($J555="",0,$K555*MAX(0,MIN(YEAR($C$3)*12+MONTH($C$3)-1,YEAR($I555)*12+MONTH($I555))-(YEAR($H555)*12+MONTH($H555))+1))</f>
        <v/>
      </c>
      <c r="N555" s="68">
        <f>IF(OR($J555="",$B555=""),0,IF(YEAR($B555)*12+MONTH($B555)&lt;=YEAR($C$3)*12+MONTH($C$3),$G555,0))</f>
        <v/>
      </c>
      <c r="O555" s="68">
        <f>IF(OR($J555="",$B555=""),0,IF(YEAR($B555)*12+MONTH($B555)&lt;=YEAR($C$3)*12+MONTH($C$3)-1,$G555,0))</f>
        <v/>
      </c>
      <c r="P555" s="68">
        <f>$M555-$O555</f>
        <v/>
      </c>
      <c r="Q555" s="68">
        <f>($L555-$M555)-($N555-$O555)</f>
        <v/>
      </c>
      <c r="R555" s="68">
        <f>$L555-$N555</f>
        <v/>
      </c>
      <c r="S555" s="67">
        <f>"WIP journal"</f>
        <v/>
      </c>
      <c r="T555" s="67">
        <f>IFERROR(INDEX(tbl_WIP[Revenue or Cost],$A555),"")</f>
        <v/>
      </c>
    </row>
    <row r="556">
      <c r="A556" s="65">
        <f>ROW()-407</f>
        <v/>
      </c>
      <c r="B556" s="66">
        <f>IFERROR(INDEX(tbl_WIP[Month],$A556),"")</f>
        <v/>
      </c>
      <c r="C556" s="67">
        <f>IFERROR(INDEX(tbl_WIP[Xero Invoice No],$A556),"")</f>
        <v/>
      </c>
      <c r="D556" s="67">
        <f>IFERROR(INDEX(tbl_WIP[Client],$A556),"")</f>
        <v/>
      </c>
      <c r="E556" s="67">
        <f>IFERROR(INDEX(tbl_WIP[Job Number],$A556),"")</f>
        <v/>
      </c>
      <c r="F556" s="67">
        <f>IFERROR(INDEX(tbl_WIP[Cost Centre],$A556),"")</f>
        <v/>
      </c>
      <c r="G556" s="68">
        <f>IFERROR(IF(INDEX(tbl_WIP[Defer Start],$A556)="","",IF(INDEX(tbl_WIP[Revenue or Cost],$A556)="Cost",-1,1)*INDEX(tbl_WIP[Amount],$A556)),"")</f>
        <v/>
      </c>
      <c r="H556" s="66">
        <f>IFERROR(INDEX(tbl_WIP[Defer Start],$A556),"")</f>
        <v/>
      </c>
      <c r="I556" s="66">
        <f>IFERROR(INDEX(tbl_WIP[Defer End],$A556),"")</f>
        <v/>
      </c>
      <c r="J556" s="65">
        <f>IF(OR($H556="",$I556="",$G556=""),"",MAX(1,(YEAR($I556)-YEAR($H556))*12+MONTH($I556)-MONTH($H556)+1))</f>
        <v/>
      </c>
      <c r="K556" s="68">
        <f>IF($J556="","",$G556/$J556)</f>
        <v/>
      </c>
      <c r="L556" s="68">
        <f>IF($J556="",0,$K556*MAX(0,MIN(YEAR($C$3)*12+MONTH($C$3),YEAR($I556)*12+MONTH($I556))-(YEAR($H556)*12+MONTH($H556))+1))</f>
        <v/>
      </c>
      <c r="M556" s="68">
        <f>IF($J556="",0,$K556*MAX(0,MIN(YEAR($C$3)*12+MONTH($C$3)-1,YEAR($I556)*12+MONTH($I556))-(YEAR($H556)*12+MONTH($H556))+1))</f>
        <v/>
      </c>
      <c r="N556" s="68">
        <f>IF(OR($J556="",$B556=""),0,IF(YEAR($B556)*12+MONTH($B556)&lt;=YEAR($C$3)*12+MONTH($C$3),$G556,0))</f>
        <v/>
      </c>
      <c r="O556" s="68">
        <f>IF(OR($J556="",$B556=""),0,IF(YEAR($B556)*12+MONTH($B556)&lt;=YEAR($C$3)*12+MONTH($C$3)-1,$G556,0))</f>
        <v/>
      </c>
      <c r="P556" s="68">
        <f>$M556-$O556</f>
        <v/>
      </c>
      <c r="Q556" s="68">
        <f>($L556-$M556)-($N556-$O556)</f>
        <v/>
      </c>
      <c r="R556" s="68">
        <f>$L556-$N556</f>
        <v/>
      </c>
      <c r="S556" s="67">
        <f>"WIP journal"</f>
        <v/>
      </c>
      <c r="T556" s="67">
        <f>IFERROR(INDEX(tbl_WIP[Revenue or Cost],$A556),"")</f>
        <v/>
      </c>
    </row>
    <row r="557">
      <c r="A557" s="65">
        <f>ROW()-407</f>
        <v/>
      </c>
      <c r="B557" s="66">
        <f>IFERROR(INDEX(tbl_WIP[Month],$A557),"")</f>
        <v/>
      </c>
      <c r="C557" s="67">
        <f>IFERROR(INDEX(tbl_WIP[Xero Invoice No],$A557),"")</f>
        <v/>
      </c>
      <c r="D557" s="67">
        <f>IFERROR(INDEX(tbl_WIP[Client],$A557),"")</f>
        <v/>
      </c>
      <c r="E557" s="67">
        <f>IFERROR(INDEX(tbl_WIP[Job Number],$A557),"")</f>
        <v/>
      </c>
      <c r="F557" s="67">
        <f>IFERROR(INDEX(tbl_WIP[Cost Centre],$A557),"")</f>
        <v/>
      </c>
      <c r="G557" s="68">
        <f>IFERROR(IF(INDEX(tbl_WIP[Defer Start],$A557)="","",IF(INDEX(tbl_WIP[Revenue or Cost],$A557)="Cost",-1,1)*INDEX(tbl_WIP[Amount],$A557)),"")</f>
        <v/>
      </c>
      <c r="H557" s="66">
        <f>IFERROR(INDEX(tbl_WIP[Defer Start],$A557),"")</f>
        <v/>
      </c>
      <c r="I557" s="66">
        <f>IFERROR(INDEX(tbl_WIP[Defer End],$A557),"")</f>
        <v/>
      </c>
      <c r="J557" s="65">
        <f>IF(OR($H557="",$I557="",$G557=""),"",MAX(1,(YEAR($I557)-YEAR($H557))*12+MONTH($I557)-MONTH($H557)+1))</f>
        <v/>
      </c>
      <c r="K557" s="68">
        <f>IF($J557="","",$G557/$J557)</f>
        <v/>
      </c>
      <c r="L557" s="68">
        <f>IF($J557="",0,$K557*MAX(0,MIN(YEAR($C$3)*12+MONTH($C$3),YEAR($I557)*12+MONTH($I557))-(YEAR($H557)*12+MONTH($H557))+1))</f>
        <v/>
      </c>
      <c r="M557" s="68">
        <f>IF($J557="",0,$K557*MAX(0,MIN(YEAR($C$3)*12+MONTH($C$3)-1,YEAR($I557)*12+MONTH($I557))-(YEAR($H557)*12+MONTH($H557))+1))</f>
        <v/>
      </c>
      <c r="N557" s="68">
        <f>IF(OR($J557="",$B557=""),0,IF(YEAR($B557)*12+MONTH($B557)&lt;=YEAR($C$3)*12+MONTH($C$3),$G557,0))</f>
        <v/>
      </c>
      <c r="O557" s="68">
        <f>IF(OR($J557="",$B557=""),0,IF(YEAR($B557)*12+MONTH($B557)&lt;=YEAR($C$3)*12+MONTH($C$3)-1,$G557,0))</f>
        <v/>
      </c>
      <c r="P557" s="68">
        <f>$M557-$O557</f>
        <v/>
      </c>
      <c r="Q557" s="68">
        <f>($L557-$M557)-($N557-$O557)</f>
        <v/>
      </c>
      <c r="R557" s="68">
        <f>$L557-$N557</f>
        <v/>
      </c>
      <c r="S557" s="67">
        <f>"WIP journal"</f>
        <v/>
      </c>
      <c r="T557" s="67">
        <f>IFERROR(INDEX(tbl_WIP[Revenue or Cost],$A557),"")</f>
        <v/>
      </c>
    </row>
    <row r="558">
      <c r="A558" s="65">
        <f>ROW()-407</f>
        <v/>
      </c>
      <c r="B558" s="66">
        <f>IFERROR(INDEX(tbl_WIP[Month],$A558),"")</f>
        <v/>
      </c>
      <c r="C558" s="67">
        <f>IFERROR(INDEX(tbl_WIP[Xero Invoice No],$A558),"")</f>
        <v/>
      </c>
      <c r="D558" s="67">
        <f>IFERROR(INDEX(tbl_WIP[Client],$A558),"")</f>
        <v/>
      </c>
      <c r="E558" s="67">
        <f>IFERROR(INDEX(tbl_WIP[Job Number],$A558),"")</f>
        <v/>
      </c>
      <c r="F558" s="67">
        <f>IFERROR(INDEX(tbl_WIP[Cost Centre],$A558),"")</f>
        <v/>
      </c>
      <c r="G558" s="68">
        <f>IFERROR(IF(INDEX(tbl_WIP[Defer Start],$A558)="","",IF(INDEX(tbl_WIP[Revenue or Cost],$A558)="Cost",-1,1)*INDEX(tbl_WIP[Amount],$A558)),"")</f>
        <v/>
      </c>
      <c r="H558" s="66">
        <f>IFERROR(INDEX(tbl_WIP[Defer Start],$A558),"")</f>
        <v/>
      </c>
      <c r="I558" s="66">
        <f>IFERROR(INDEX(tbl_WIP[Defer End],$A558),"")</f>
        <v/>
      </c>
      <c r="J558" s="65">
        <f>IF(OR($H558="",$I558="",$G558=""),"",MAX(1,(YEAR($I558)-YEAR($H558))*12+MONTH($I558)-MONTH($H558)+1))</f>
        <v/>
      </c>
      <c r="K558" s="68">
        <f>IF($J558="","",$G558/$J558)</f>
        <v/>
      </c>
      <c r="L558" s="68">
        <f>IF($J558="",0,$K558*MAX(0,MIN(YEAR($C$3)*12+MONTH($C$3),YEAR($I558)*12+MONTH($I558))-(YEAR($H558)*12+MONTH($H558))+1))</f>
        <v/>
      </c>
      <c r="M558" s="68">
        <f>IF($J558="",0,$K558*MAX(0,MIN(YEAR($C$3)*12+MONTH($C$3)-1,YEAR($I558)*12+MONTH($I558))-(YEAR($H558)*12+MONTH($H558))+1))</f>
        <v/>
      </c>
      <c r="N558" s="68">
        <f>IF(OR($J558="",$B558=""),0,IF(YEAR($B558)*12+MONTH($B558)&lt;=YEAR($C$3)*12+MONTH($C$3),$G558,0))</f>
        <v/>
      </c>
      <c r="O558" s="68">
        <f>IF(OR($J558="",$B558=""),0,IF(YEAR($B558)*12+MONTH($B558)&lt;=YEAR($C$3)*12+MONTH($C$3)-1,$G558,0))</f>
        <v/>
      </c>
      <c r="P558" s="68">
        <f>$M558-$O558</f>
        <v/>
      </c>
      <c r="Q558" s="68">
        <f>($L558-$M558)-($N558-$O558)</f>
        <v/>
      </c>
      <c r="R558" s="68">
        <f>$L558-$N558</f>
        <v/>
      </c>
      <c r="S558" s="67">
        <f>"WIP journal"</f>
        <v/>
      </c>
      <c r="T558" s="67">
        <f>IFERROR(INDEX(tbl_WIP[Revenue or Cost],$A558),"")</f>
        <v/>
      </c>
    </row>
    <row r="559">
      <c r="A559" s="65">
        <f>ROW()-407</f>
        <v/>
      </c>
      <c r="B559" s="66">
        <f>IFERROR(INDEX(tbl_WIP[Month],$A559),"")</f>
        <v/>
      </c>
      <c r="C559" s="67">
        <f>IFERROR(INDEX(tbl_WIP[Xero Invoice No],$A559),"")</f>
        <v/>
      </c>
      <c r="D559" s="67">
        <f>IFERROR(INDEX(tbl_WIP[Client],$A559),"")</f>
        <v/>
      </c>
      <c r="E559" s="67">
        <f>IFERROR(INDEX(tbl_WIP[Job Number],$A559),"")</f>
        <v/>
      </c>
      <c r="F559" s="67">
        <f>IFERROR(INDEX(tbl_WIP[Cost Centre],$A559),"")</f>
        <v/>
      </c>
      <c r="G559" s="68">
        <f>IFERROR(IF(INDEX(tbl_WIP[Defer Start],$A559)="","",IF(INDEX(tbl_WIP[Revenue or Cost],$A559)="Cost",-1,1)*INDEX(tbl_WIP[Amount],$A559)),"")</f>
        <v/>
      </c>
      <c r="H559" s="66">
        <f>IFERROR(INDEX(tbl_WIP[Defer Start],$A559),"")</f>
        <v/>
      </c>
      <c r="I559" s="66">
        <f>IFERROR(INDEX(tbl_WIP[Defer End],$A559),"")</f>
        <v/>
      </c>
      <c r="J559" s="65">
        <f>IF(OR($H559="",$I559="",$G559=""),"",MAX(1,(YEAR($I559)-YEAR($H559))*12+MONTH($I559)-MONTH($H559)+1))</f>
        <v/>
      </c>
      <c r="K559" s="68">
        <f>IF($J559="","",$G559/$J559)</f>
        <v/>
      </c>
      <c r="L559" s="68">
        <f>IF($J559="",0,$K559*MAX(0,MIN(YEAR($C$3)*12+MONTH($C$3),YEAR($I559)*12+MONTH($I559))-(YEAR($H559)*12+MONTH($H559))+1))</f>
        <v/>
      </c>
      <c r="M559" s="68">
        <f>IF($J559="",0,$K559*MAX(0,MIN(YEAR($C$3)*12+MONTH($C$3)-1,YEAR($I559)*12+MONTH($I559))-(YEAR($H559)*12+MONTH($H559))+1))</f>
        <v/>
      </c>
      <c r="N559" s="68">
        <f>IF(OR($J559="",$B559=""),0,IF(YEAR($B559)*12+MONTH($B559)&lt;=YEAR($C$3)*12+MONTH($C$3),$G559,0))</f>
        <v/>
      </c>
      <c r="O559" s="68">
        <f>IF(OR($J559="",$B559=""),0,IF(YEAR($B559)*12+MONTH($B559)&lt;=YEAR($C$3)*12+MONTH($C$3)-1,$G559,0))</f>
        <v/>
      </c>
      <c r="P559" s="68">
        <f>$M559-$O559</f>
        <v/>
      </c>
      <c r="Q559" s="68">
        <f>($L559-$M559)-($N559-$O559)</f>
        <v/>
      </c>
      <c r="R559" s="68">
        <f>$L559-$N559</f>
        <v/>
      </c>
      <c r="S559" s="67">
        <f>"WIP journal"</f>
        <v/>
      </c>
      <c r="T559" s="67">
        <f>IFERROR(INDEX(tbl_WIP[Revenue or Cost],$A559),"")</f>
        <v/>
      </c>
    </row>
    <row r="560">
      <c r="A560" s="65">
        <f>ROW()-407</f>
        <v/>
      </c>
      <c r="B560" s="66">
        <f>IFERROR(INDEX(tbl_WIP[Month],$A560),"")</f>
        <v/>
      </c>
      <c r="C560" s="67">
        <f>IFERROR(INDEX(tbl_WIP[Xero Invoice No],$A560),"")</f>
        <v/>
      </c>
      <c r="D560" s="67">
        <f>IFERROR(INDEX(tbl_WIP[Client],$A560),"")</f>
        <v/>
      </c>
      <c r="E560" s="67">
        <f>IFERROR(INDEX(tbl_WIP[Job Number],$A560),"")</f>
        <v/>
      </c>
      <c r="F560" s="67">
        <f>IFERROR(INDEX(tbl_WIP[Cost Centre],$A560),"")</f>
        <v/>
      </c>
      <c r="G560" s="68">
        <f>IFERROR(IF(INDEX(tbl_WIP[Defer Start],$A560)="","",IF(INDEX(tbl_WIP[Revenue or Cost],$A560)="Cost",-1,1)*INDEX(tbl_WIP[Amount],$A560)),"")</f>
        <v/>
      </c>
      <c r="H560" s="66">
        <f>IFERROR(INDEX(tbl_WIP[Defer Start],$A560),"")</f>
        <v/>
      </c>
      <c r="I560" s="66">
        <f>IFERROR(INDEX(tbl_WIP[Defer End],$A560),"")</f>
        <v/>
      </c>
      <c r="J560" s="65">
        <f>IF(OR($H560="",$I560="",$G560=""),"",MAX(1,(YEAR($I560)-YEAR($H560))*12+MONTH($I560)-MONTH($H560)+1))</f>
        <v/>
      </c>
      <c r="K560" s="68">
        <f>IF($J560="","",$G560/$J560)</f>
        <v/>
      </c>
      <c r="L560" s="68">
        <f>IF($J560="",0,$K560*MAX(0,MIN(YEAR($C$3)*12+MONTH($C$3),YEAR($I560)*12+MONTH($I560))-(YEAR($H560)*12+MONTH($H560))+1))</f>
        <v/>
      </c>
      <c r="M560" s="68">
        <f>IF($J560="",0,$K560*MAX(0,MIN(YEAR($C$3)*12+MONTH($C$3)-1,YEAR($I560)*12+MONTH($I560))-(YEAR($H560)*12+MONTH($H560))+1))</f>
        <v/>
      </c>
      <c r="N560" s="68">
        <f>IF(OR($J560="",$B560=""),0,IF(YEAR($B560)*12+MONTH($B560)&lt;=YEAR($C$3)*12+MONTH($C$3),$G560,0))</f>
        <v/>
      </c>
      <c r="O560" s="68">
        <f>IF(OR($J560="",$B560=""),0,IF(YEAR($B560)*12+MONTH($B560)&lt;=YEAR($C$3)*12+MONTH($C$3)-1,$G560,0))</f>
        <v/>
      </c>
      <c r="P560" s="68">
        <f>$M560-$O560</f>
        <v/>
      </c>
      <c r="Q560" s="68">
        <f>($L560-$M560)-($N560-$O560)</f>
        <v/>
      </c>
      <c r="R560" s="68">
        <f>$L560-$N560</f>
        <v/>
      </c>
      <c r="S560" s="67">
        <f>"WIP journal"</f>
        <v/>
      </c>
      <c r="T560" s="67">
        <f>IFERROR(INDEX(tbl_WIP[Revenue or Cost],$A560),"")</f>
        <v/>
      </c>
    </row>
    <row r="561">
      <c r="A561" s="65">
        <f>ROW()-407</f>
        <v/>
      </c>
      <c r="B561" s="66">
        <f>IFERROR(INDEX(tbl_WIP[Month],$A561),"")</f>
        <v/>
      </c>
      <c r="C561" s="67">
        <f>IFERROR(INDEX(tbl_WIP[Xero Invoice No],$A561),"")</f>
        <v/>
      </c>
      <c r="D561" s="67">
        <f>IFERROR(INDEX(tbl_WIP[Client],$A561),"")</f>
        <v/>
      </c>
      <c r="E561" s="67">
        <f>IFERROR(INDEX(tbl_WIP[Job Number],$A561),"")</f>
        <v/>
      </c>
      <c r="F561" s="67">
        <f>IFERROR(INDEX(tbl_WIP[Cost Centre],$A561),"")</f>
        <v/>
      </c>
      <c r="G561" s="68">
        <f>IFERROR(IF(INDEX(tbl_WIP[Defer Start],$A561)="","",IF(INDEX(tbl_WIP[Revenue or Cost],$A561)="Cost",-1,1)*INDEX(tbl_WIP[Amount],$A561)),"")</f>
        <v/>
      </c>
      <c r="H561" s="66">
        <f>IFERROR(INDEX(tbl_WIP[Defer Start],$A561),"")</f>
        <v/>
      </c>
      <c r="I561" s="66">
        <f>IFERROR(INDEX(tbl_WIP[Defer End],$A561),"")</f>
        <v/>
      </c>
      <c r="J561" s="65">
        <f>IF(OR($H561="",$I561="",$G561=""),"",MAX(1,(YEAR($I561)-YEAR($H561))*12+MONTH($I561)-MONTH($H561)+1))</f>
        <v/>
      </c>
      <c r="K561" s="68">
        <f>IF($J561="","",$G561/$J561)</f>
        <v/>
      </c>
      <c r="L561" s="68">
        <f>IF($J561="",0,$K561*MAX(0,MIN(YEAR($C$3)*12+MONTH($C$3),YEAR($I561)*12+MONTH($I561))-(YEAR($H561)*12+MONTH($H561))+1))</f>
        <v/>
      </c>
      <c r="M561" s="68">
        <f>IF($J561="",0,$K561*MAX(0,MIN(YEAR($C$3)*12+MONTH($C$3)-1,YEAR($I561)*12+MONTH($I561))-(YEAR($H561)*12+MONTH($H561))+1))</f>
        <v/>
      </c>
      <c r="N561" s="68">
        <f>IF(OR($J561="",$B561=""),0,IF(YEAR($B561)*12+MONTH($B561)&lt;=YEAR($C$3)*12+MONTH($C$3),$G561,0))</f>
        <v/>
      </c>
      <c r="O561" s="68">
        <f>IF(OR($J561="",$B561=""),0,IF(YEAR($B561)*12+MONTH($B561)&lt;=YEAR($C$3)*12+MONTH($C$3)-1,$G561,0))</f>
        <v/>
      </c>
      <c r="P561" s="68">
        <f>$M561-$O561</f>
        <v/>
      </c>
      <c r="Q561" s="68">
        <f>($L561-$M561)-($N561-$O561)</f>
        <v/>
      </c>
      <c r="R561" s="68">
        <f>$L561-$N561</f>
        <v/>
      </c>
      <c r="S561" s="67">
        <f>"WIP journal"</f>
        <v/>
      </c>
      <c r="T561" s="67">
        <f>IFERROR(INDEX(tbl_WIP[Revenue or Cost],$A561),"")</f>
        <v/>
      </c>
    </row>
    <row r="562">
      <c r="A562" s="65">
        <f>ROW()-407</f>
        <v/>
      </c>
      <c r="B562" s="66">
        <f>IFERROR(INDEX(tbl_WIP[Month],$A562),"")</f>
        <v/>
      </c>
      <c r="C562" s="67">
        <f>IFERROR(INDEX(tbl_WIP[Xero Invoice No],$A562),"")</f>
        <v/>
      </c>
      <c r="D562" s="67">
        <f>IFERROR(INDEX(tbl_WIP[Client],$A562),"")</f>
        <v/>
      </c>
      <c r="E562" s="67">
        <f>IFERROR(INDEX(tbl_WIP[Job Number],$A562),"")</f>
        <v/>
      </c>
      <c r="F562" s="67">
        <f>IFERROR(INDEX(tbl_WIP[Cost Centre],$A562),"")</f>
        <v/>
      </c>
      <c r="G562" s="68">
        <f>IFERROR(IF(INDEX(tbl_WIP[Defer Start],$A562)="","",IF(INDEX(tbl_WIP[Revenue or Cost],$A562)="Cost",-1,1)*INDEX(tbl_WIP[Amount],$A562)),"")</f>
        <v/>
      </c>
      <c r="H562" s="66">
        <f>IFERROR(INDEX(tbl_WIP[Defer Start],$A562),"")</f>
        <v/>
      </c>
      <c r="I562" s="66">
        <f>IFERROR(INDEX(tbl_WIP[Defer End],$A562),"")</f>
        <v/>
      </c>
      <c r="J562" s="65">
        <f>IF(OR($H562="",$I562="",$G562=""),"",MAX(1,(YEAR($I562)-YEAR($H562))*12+MONTH($I562)-MONTH($H562)+1))</f>
        <v/>
      </c>
      <c r="K562" s="68">
        <f>IF($J562="","",$G562/$J562)</f>
        <v/>
      </c>
      <c r="L562" s="68">
        <f>IF($J562="",0,$K562*MAX(0,MIN(YEAR($C$3)*12+MONTH($C$3),YEAR($I562)*12+MONTH($I562))-(YEAR($H562)*12+MONTH($H562))+1))</f>
        <v/>
      </c>
      <c r="M562" s="68">
        <f>IF($J562="",0,$K562*MAX(0,MIN(YEAR($C$3)*12+MONTH($C$3)-1,YEAR($I562)*12+MONTH($I562))-(YEAR($H562)*12+MONTH($H562))+1))</f>
        <v/>
      </c>
      <c r="N562" s="68">
        <f>IF(OR($J562="",$B562=""),0,IF(YEAR($B562)*12+MONTH($B562)&lt;=YEAR($C$3)*12+MONTH($C$3),$G562,0))</f>
        <v/>
      </c>
      <c r="O562" s="68">
        <f>IF(OR($J562="",$B562=""),0,IF(YEAR($B562)*12+MONTH($B562)&lt;=YEAR($C$3)*12+MONTH($C$3)-1,$G562,0))</f>
        <v/>
      </c>
      <c r="P562" s="68">
        <f>$M562-$O562</f>
        <v/>
      </c>
      <c r="Q562" s="68">
        <f>($L562-$M562)-($N562-$O562)</f>
        <v/>
      </c>
      <c r="R562" s="68">
        <f>$L562-$N562</f>
        <v/>
      </c>
      <c r="S562" s="67">
        <f>"WIP journal"</f>
        <v/>
      </c>
      <c r="T562" s="67">
        <f>IFERROR(INDEX(tbl_WIP[Revenue or Cost],$A562),"")</f>
        <v/>
      </c>
    </row>
    <row r="563">
      <c r="A563" s="65">
        <f>ROW()-407</f>
        <v/>
      </c>
      <c r="B563" s="66">
        <f>IFERROR(INDEX(tbl_WIP[Month],$A563),"")</f>
        <v/>
      </c>
      <c r="C563" s="67">
        <f>IFERROR(INDEX(tbl_WIP[Xero Invoice No],$A563),"")</f>
        <v/>
      </c>
      <c r="D563" s="67">
        <f>IFERROR(INDEX(tbl_WIP[Client],$A563),"")</f>
        <v/>
      </c>
      <c r="E563" s="67">
        <f>IFERROR(INDEX(tbl_WIP[Job Number],$A563),"")</f>
        <v/>
      </c>
      <c r="F563" s="67">
        <f>IFERROR(INDEX(tbl_WIP[Cost Centre],$A563),"")</f>
        <v/>
      </c>
      <c r="G563" s="68">
        <f>IFERROR(IF(INDEX(tbl_WIP[Defer Start],$A563)="","",IF(INDEX(tbl_WIP[Revenue or Cost],$A563)="Cost",-1,1)*INDEX(tbl_WIP[Amount],$A563)),"")</f>
        <v/>
      </c>
      <c r="H563" s="66">
        <f>IFERROR(INDEX(tbl_WIP[Defer Start],$A563),"")</f>
        <v/>
      </c>
      <c r="I563" s="66">
        <f>IFERROR(INDEX(tbl_WIP[Defer End],$A563),"")</f>
        <v/>
      </c>
      <c r="J563" s="65">
        <f>IF(OR($H563="",$I563="",$G563=""),"",MAX(1,(YEAR($I563)-YEAR($H563))*12+MONTH($I563)-MONTH($H563)+1))</f>
        <v/>
      </c>
      <c r="K563" s="68">
        <f>IF($J563="","",$G563/$J563)</f>
        <v/>
      </c>
      <c r="L563" s="68">
        <f>IF($J563="",0,$K563*MAX(0,MIN(YEAR($C$3)*12+MONTH($C$3),YEAR($I563)*12+MONTH($I563))-(YEAR($H563)*12+MONTH($H563))+1))</f>
        <v/>
      </c>
      <c r="M563" s="68">
        <f>IF($J563="",0,$K563*MAX(0,MIN(YEAR($C$3)*12+MONTH($C$3)-1,YEAR($I563)*12+MONTH($I563))-(YEAR($H563)*12+MONTH($H563))+1))</f>
        <v/>
      </c>
      <c r="N563" s="68">
        <f>IF(OR($J563="",$B563=""),0,IF(YEAR($B563)*12+MONTH($B563)&lt;=YEAR($C$3)*12+MONTH($C$3),$G563,0))</f>
        <v/>
      </c>
      <c r="O563" s="68">
        <f>IF(OR($J563="",$B563=""),0,IF(YEAR($B563)*12+MONTH($B563)&lt;=YEAR($C$3)*12+MONTH($C$3)-1,$G563,0))</f>
        <v/>
      </c>
      <c r="P563" s="68">
        <f>$M563-$O563</f>
        <v/>
      </c>
      <c r="Q563" s="68">
        <f>($L563-$M563)-($N563-$O563)</f>
        <v/>
      </c>
      <c r="R563" s="68">
        <f>$L563-$N563</f>
        <v/>
      </c>
      <c r="S563" s="67">
        <f>"WIP journal"</f>
        <v/>
      </c>
      <c r="T563" s="67">
        <f>IFERROR(INDEX(tbl_WIP[Revenue or Cost],$A563),"")</f>
        <v/>
      </c>
    </row>
    <row r="564">
      <c r="A564" s="65">
        <f>ROW()-407</f>
        <v/>
      </c>
      <c r="B564" s="66">
        <f>IFERROR(INDEX(tbl_WIP[Month],$A564),"")</f>
        <v/>
      </c>
      <c r="C564" s="67">
        <f>IFERROR(INDEX(tbl_WIP[Xero Invoice No],$A564),"")</f>
        <v/>
      </c>
      <c r="D564" s="67">
        <f>IFERROR(INDEX(tbl_WIP[Client],$A564),"")</f>
        <v/>
      </c>
      <c r="E564" s="67">
        <f>IFERROR(INDEX(tbl_WIP[Job Number],$A564),"")</f>
        <v/>
      </c>
      <c r="F564" s="67">
        <f>IFERROR(INDEX(tbl_WIP[Cost Centre],$A564),"")</f>
        <v/>
      </c>
      <c r="G564" s="68">
        <f>IFERROR(IF(INDEX(tbl_WIP[Defer Start],$A564)="","",IF(INDEX(tbl_WIP[Revenue or Cost],$A564)="Cost",-1,1)*INDEX(tbl_WIP[Amount],$A564)),"")</f>
        <v/>
      </c>
      <c r="H564" s="66">
        <f>IFERROR(INDEX(tbl_WIP[Defer Start],$A564),"")</f>
        <v/>
      </c>
      <c r="I564" s="66">
        <f>IFERROR(INDEX(tbl_WIP[Defer End],$A564),"")</f>
        <v/>
      </c>
      <c r="J564" s="65">
        <f>IF(OR($H564="",$I564="",$G564=""),"",MAX(1,(YEAR($I564)-YEAR($H564))*12+MONTH($I564)-MONTH($H564)+1))</f>
        <v/>
      </c>
      <c r="K564" s="68">
        <f>IF($J564="","",$G564/$J564)</f>
        <v/>
      </c>
      <c r="L564" s="68">
        <f>IF($J564="",0,$K564*MAX(0,MIN(YEAR($C$3)*12+MONTH($C$3),YEAR($I564)*12+MONTH($I564))-(YEAR($H564)*12+MONTH($H564))+1))</f>
        <v/>
      </c>
      <c r="M564" s="68">
        <f>IF($J564="",0,$K564*MAX(0,MIN(YEAR($C$3)*12+MONTH($C$3)-1,YEAR($I564)*12+MONTH($I564))-(YEAR($H564)*12+MONTH($H564))+1))</f>
        <v/>
      </c>
      <c r="N564" s="68">
        <f>IF(OR($J564="",$B564=""),0,IF(YEAR($B564)*12+MONTH($B564)&lt;=YEAR($C$3)*12+MONTH($C$3),$G564,0))</f>
        <v/>
      </c>
      <c r="O564" s="68">
        <f>IF(OR($J564="",$B564=""),0,IF(YEAR($B564)*12+MONTH($B564)&lt;=YEAR($C$3)*12+MONTH($C$3)-1,$G564,0))</f>
        <v/>
      </c>
      <c r="P564" s="68">
        <f>$M564-$O564</f>
        <v/>
      </c>
      <c r="Q564" s="68">
        <f>($L564-$M564)-($N564-$O564)</f>
        <v/>
      </c>
      <c r="R564" s="68">
        <f>$L564-$N564</f>
        <v/>
      </c>
      <c r="S564" s="67">
        <f>"WIP journal"</f>
        <v/>
      </c>
      <c r="T564" s="67">
        <f>IFERROR(INDEX(tbl_WIP[Revenue or Cost],$A564),"")</f>
        <v/>
      </c>
    </row>
    <row r="565">
      <c r="A565" s="65">
        <f>ROW()-407</f>
        <v/>
      </c>
      <c r="B565" s="66">
        <f>IFERROR(INDEX(tbl_WIP[Month],$A565),"")</f>
        <v/>
      </c>
      <c r="C565" s="67">
        <f>IFERROR(INDEX(tbl_WIP[Xero Invoice No],$A565),"")</f>
        <v/>
      </c>
      <c r="D565" s="67">
        <f>IFERROR(INDEX(tbl_WIP[Client],$A565),"")</f>
        <v/>
      </c>
      <c r="E565" s="67">
        <f>IFERROR(INDEX(tbl_WIP[Job Number],$A565),"")</f>
        <v/>
      </c>
      <c r="F565" s="67">
        <f>IFERROR(INDEX(tbl_WIP[Cost Centre],$A565),"")</f>
        <v/>
      </c>
      <c r="G565" s="68">
        <f>IFERROR(IF(INDEX(tbl_WIP[Defer Start],$A565)="","",IF(INDEX(tbl_WIP[Revenue or Cost],$A565)="Cost",-1,1)*INDEX(tbl_WIP[Amount],$A565)),"")</f>
        <v/>
      </c>
      <c r="H565" s="66">
        <f>IFERROR(INDEX(tbl_WIP[Defer Start],$A565),"")</f>
        <v/>
      </c>
      <c r="I565" s="66">
        <f>IFERROR(INDEX(tbl_WIP[Defer End],$A565),"")</f>
        <v/>
      </c>
      <c r="J565" s="65">
        <f>IF(OR($H565="",$I565="",$G565=""),"",MAX(1,(YEAR($I565)-YEAR($H565))*12+MONTH($I565)-MONTH($H565)+1))</f>
        <v/>
      </c>
      <c r="K565" s="68">
        <f>IF($J565="","",$G565/$J565)</f>
        <v/>
      </c>
      <c r="L565" s="68">
        <f>IF($J565="",0,$K565*MAX(0,MIN(YEAR($C$3)*12+MONTH($C$3),YEAR($I565)*12+MONTH($I565))-(YEAR($H565)*12+MONTH($H565))+1))</f>
        <v/>
      </c>
      <c r="M565" s="68">
        <f>IF($J565="",0,$K565*MAX(0,MIN(YEAR($C$3)*12+MONTH($C$3)-1,YEAR($I565)*12+MONTH($I565))-(YEAR($H565)*12+MONTH($H565))+1))</f>
        <v/>
      </c>
      <c r="N565" s="68">
        <f>IF(OR($J565="",$B565=""),0,IF(YEAR($B565)*12+MONTH($B565)&lt;=YEAR($C$3)*12+MONTH($C$3),$G565,0))</f>
        <v/>
      </c>
      <c r="O565" s="68">
        <f>IF(OR($J565="",$B565=""),0,IF(YEAR($B565)*12+MONTH($B565)&lt;=YEAR($C$3)*12+MONTH($C$3)-1,$G565,0))</f>
        <v/>
      </c>
      <c r="P565" s="68">
        <f>$M565-$O565</f>
        <v/>
      </c>
      <c r="Q565" s="68">
        <f>($L565-$M565)-($N565-$O565)</f>
        <v/>
      </c>
      <c r="R565" s="68">
        <f>$L565-$N565</f>
        <v/>
      </c>
      <c r="S565" s="67">
        <f>"WIP journal"</f>
        <v/>
      </c>
      <c r="T565" s="67">
        <f>IFERROR(INDEX(tbl_WIP[Revenue or Cost],$A565),"")</f>
        <v/>
      </c>
    </row>
    <row r="566">
      <c r="A566" s="65">
        <f>ROW()-407</f>
        <v/>
      </c>
      <c r="B566" s="66">
        <f>IFERROR(INDEX(tbl_WIP[Month],$A566),"")</f>
        <v/>
      </c>
      <c r="C566" s="67">
        <f>IFERROR(INDEX(tbl_WIP[Xero Invoice No],$A566),"")</f>
        <v/>
      </c>
      <c r="D566" s="67">
        <f>IFERROR(INDEX(tbl_WIP[Client],$A566),"")</f>
        <v/>
      </c>
      <c r="E566" s="67">
        <f>IFERROR(INDEX(tbl_WIP[Job Number],$A566),"")</f>
        <v/>
      </c>
      <c r="F566" s="67">
        <f>IFERROR(INDEX(tbl_WIP[Cost Centre],$A566),"")</f>
        <v/>
      </c>
      <c r="G566" s="68">
        <f>IFERROR(IF(INDEX(tbl_WIP[Defer Start],$A566)="","",IF(INDEX(tbl_WIP[Revenue or Cost],$A566)="Cost",-1,1)*INDEX(tbl_WIP[Amount],$A566)),"")</f>
        <v/>
      </c>
      <c r="H566" s="66">
        <f>IFERROR(INDEX(tbl_WIP[Defer Start],$A566),"")</f>
        <v/>
      </c>
      <c r="I566" s="66">
        <f>IFERROR(INDEX(tbl_WIP[Defer End],$A566),"")</f>
        <v/>
      </c>
      <c r="J566" s="65">
        <f>IF(OR($H566="",$I566="",$G566=""),"",MAX(1,(YEAR($I566)-YEAR($H566))*12+MONTH($I566)-MONTH($H566)+1))</f>
        <v/>
      </c>
      <c r="K566" s="68">
        <f>IF($J566="","",$G566/$J566)</f>
        <v/>
      </c>
      <c r="L566" s="68">
        <f>IF($J566="",0,$K566*MAX(0,MIN(YEAR($C$3)*12+MONTH($C$3),YEAR($I566)*12+MONTH($I566))-(YEAR($H566)*12+MONTH($H566))+1))</f>
        <v/>
      </c>
      <c r="M566" s="68">
        <f>IF($J566="",0,$K566*MAX(0,MIN(YEAR($C$3)*12+MONTH($C$3)-1,YEAR($I566)*12+MONTH($I566))-(YEAR($H566)*12+MONTH($H566))+1))</f>
        <v/>
      </c>
      <c r="N566" s="68">
        <f>IF(OR($J566="",$B566=""),0,IF(YEAR($B566)*12+MONTH($B566)&lt;=YEAR($C$3)*12+MONTH($C$3),$G566,0))</f>
        <v/>
      </c>
      <c r="O566" s="68">
        <f>IF(OR($J566="",$B566=""),0,IF(YEAR($B566)*12+MONTH($B566)&lt;=YEAR($C$3)*12+MONTH($C$3)-1,$G566,0))</f>
        <v/>
      </c>
      <c r="P566" s="68">
        <f>$M566-$O566</f>
        <v/>
      </c>
      <c r="Q566" s="68">
        <f>($L566-$M566)-($N566-$O566)</f>
        <v/>
      </c>
      <c r="R566" s="68">
        <f>$L566-$N566</f>
        <v/>
      </c>
      <c r="S566" s="67">
        <f>"WIP journal"</f>
        <v/>
      </c>
      <c r="T566" s="67">
        <f>IFERROR(INDEX(tbl_WIP[Revenue or Cost],$A566),"")</f>
        <v/>
      </c>
    </row>
    <row r="567">
      <c r="A567" s="65">
        <f>ROW()-407</f>
        <v/>
      </c>
      <c r="B567" s="66">
        <f>IFERROR(INDEX(tbl_WIP[Month],$A567),"")</f>
        <v/>
      </c>
      <c r="C567" s="67">
        <f>IFERROR(INDEX(tbl_WIP[Xero Invoice No],$A567),"")</f>
        <v/>
      </c>
      <c r="D567" s="67">
        <f>IFERROR(INDEX(tbl_WIP[Client],$A567),"")</f>
        <v/>
      </c>
      <c r="E567" s="67">
        <f>IFERROR(INDEX(tbl_WIP[Job Number],$A567),"")</f>
        <v/>
      </c>
      <c r="F567" s="67">
        <f>IFERROR(INDEX(tbl_WIP[Cost Centre],$A567),"")</f>
        <v/>
      </c>
      <c r="G567" s="68">
        <f>IFERROR(IF(INDEX(tbl_WIP[Defer Start],$A567)="","",IF(INDEX(tbl_WIP[Revenue or Cost],$A567)="Cost",-1,1)*INDEX(tbl_WIP[Amount],$A567)),"")</f>
        <v/>
      </c>
      <c r="H567" s="66">
        <f>IFERROR(INDEX(tbl_WIP[Defer Start],$A567),"")</f>
        <v/>
      </c>
      <c r="I567" s="66">
        <f>IFERROR(INDEX(tbl_WIP[Defer End],$A567),"")</f>
        <v/>
      </c>
      <c r="J567" s="65">
        <f>IF(OR($H567="",$I567="",$G567=""),"",MAX(1,(YEAR($I567)-YEAR($H567))*12+MONTH($I567)-MONTH($H567)+1))</f>
        <v/>
      </c>
      <c r="K567" s="68">
        <f>IF($J567="","",$G567/$J567)</f>
        <v/>
      </c>
      <c r="L567" s="68">
        <f>IF($J567="",0,$K567*MAX(0,MIN(YEAR($C$3)*12+MONTH($C$3),YEAR($I567)*12+MONTH($I567))-(YEAR($H567)*12+MONTH($H567))+1))</f>
        <v/>
      </c>
      <c r="M567" s="68">
        <f>IF($J567="",0,$K567*MAX(0,MIN(YEAR($C$3)*12+MONTH($C$3)-1,YEAR($I567)*12+MONTH($I567))-(YEAR($H567)*12+MONTH($H567))+1))</f>
        <v/>
      </c>
      <c r="N567" s="68">
        <f>IF(OR($J567="",$B567=""),0,IF(YEAR($B567)*12+MONTH($B567)&lt;=YEAR($C$3)*12+MONTH($C$3),$G567,0))</f>
        <v/>
      </c>
      <c r="O567" s="68">
        <f>IF(OR($J567="",$B567=""),0,IF(YEAR($B567)*12+MONTH($B567)&lt;=YEAR($C$3)*12+MONTH($C$3)-1,$G567,0))</f>
        <v/>
      </c>
      <c r="P567" s="68">
        <f>$M567-$O567</f>
        <v/>
      </c>
      <c r="Q567" s="68">
        <f>($L567-$M567)-($N567-$O567)</f>
        <v/>
      </c>
      <c r="R567" s="68">
        <f>$L567-$N567</f>
        <v/>
      </c>
      <c r="S567" s="67">
        <f>"WIP journal"</f>
        <v/>
      </c>
      <c r="T567" s="67">
        <f>IFERROR(INDEX(tbl_WIP[Revenue or Cost],$A567),"")</f>
        <v/>
      </c>
    </row>
    <row r="568">
      <c r="A568" s="65">
        <f>ROW()-407</f>
        <v/>
      </c>
      <c r="B568" s="66">
        <f>IFERROR(INDEX(tbl_WIP[Month],$A568),"")</f>
        <v/>
      </c>
      <c r="C568" s="67">
        <f>IFERROR(INDEX(tbl_WIP[Xero Invoice No],$A568),"")</f>
        <v/>
      </c>
      <c r="D568" s="67">
        <f>IFERROR(INDEX(tbl_WIP[Client],$A568),"")</f>
        <v/>
      </c>
      <c r="E568" s="67">
        <f>IFERROR(INDEX(tbl_WIP[Job Number],$A568),"")</f>
        <v/>
      </c>
      <c r="F568" s="67">
        <f>IFERROR(INDEX(tbl_WIP[Cost Centre],$A568),"")</f>
        <v/>
      </c>
      <c r="G568" s="68">
        <f>IFERROR(IF(INDEX(tbl_WIP[Defer Start],$A568)="","",IF(INDEX(tbl_WIP[Revenue or Cost],$A568)="Cost",-1,1)*INDEX(tbl_WIP[Amount],$A568)),"")</f>
        <v/>
      </c>
      <c r="H568" s="66">
        <f>IFERROR(INDEX(tbl_WIP[Defer Start],$A568),"")</f>
        <v/>
      </c>
      <c r="I568" s="66">
        <f>IFERROR(INDEX(tbl_WIP[Defer End],$A568),"")</f>
        <v/>
      </c>
      <c r="J568" s="65">
        <f>IF(OR($H568="",$I568="",$G568=""),"",MAX(1,(YEAR($I568)-YEAR($H568))*12+MONTH($I568)-MONTH($H568)+1))</f>
        <v/>
      </c>
      <c r="K568" s="68">
        <f>IF($J568="","",$G568/$J568)</f>
        <v/>
      </c>
      <c r="L568" s="68">
        <f>IF($J568="",0,$K568*MAX(0,MIN(YEAR($C$3)*12+MONTH($C$3),YEAR($I568)*12+MONTH($I568))-(YEAR($H568)*12+MONTH($H568))+1))</f>
        <v/>
      </c>
      <c r="M568" s="68">
        <f>IF($J568="",0,$K568*MAX(0,MIN(YEAR($C$3)*12+MONTH($C$3)-1,YEAR($I568)*12+MONTH($I568))-(YEAR($H568)*12+MONTH($H568))+1))</f>
        <v/>
      </c>
      <c r="N568" s="68">
        <f>IF(OR($J568="",$B568=""),0,IF(YEAR($B568)*12+MONTH($B568)&lt;=YEAR($C$3)*12+MONTH($C$3),$G568,0))</f>
        <v/>
      </c>
      <c r="O568" s="68">
        <f>IF(OR($J568="",$B568=""),0,IF(YEAR($B568)*12+MONTH($B568)&lt;=YEAR($C$3)*12+MONTH($C$3)-1,$G568,0))</f>
        <v/>
      </c>
      <c r="P568" s="68">
        <f>$M568-$O568</f>
        <v/>
      </c>
      <c r="Q568" s="68">
        <f>($L568-$M568)-($N568-$O568)</f>
        <v/>
      </c>
      <c r="R568" s="68">
        <f>$L568-$N568</f>
        <v/>
      </c>
      <c r="S568" s="67">
        <f>"WIP journal"</f>
        <v/>
      </c>
      <c r="T568" s="67">
        <f>IFERROR(INDEX(tbl_WIP[Revenue or Cost],$A568),"")</f>
        <v/>
      </c>
    </row>
    <row r="569">
      <c r="A569" s="65">
        <f>ROW()-407</f>
        <v/>
      </c>
      <c r="B569" s="66">
        <f>IFERROR(INDEX(tbl_WIP[Month],$A569),"")</f>
        <v/>
      </c>
      <c r="C569" s="67">
        <f>IFERROR(INDEX(tbl_WIP[Xero Invoice No],$A569),"")</f>
        <v/>
      </c>
      <c r="D569" s="67">
        <f>IFERROR(INDEX(tbl_WIP[Client],$A569),"")</f>
        <v/>
      </c>
      <c r="E569" s="67">
        <f>IFERROR(INDEX(tbl_WIP[Job Number],$A569),"")</f>
        <v/>
      </c>
      <c r="F569" s="67">
        <f>IFERROR(INDEX(tbl_WIP[Cost Centre],$A569),"")</f>
        <v/>
      </c>
      <c r="G569" s="68">
        <f>IFERROR(IF(INDEX(tbl_WIP[Defer Start],$A569)="","",IF(INDEX(tbl_WIP[Revenue or Cost],$A569)="Cost",-1,1)*INDEX(tbl_WIP[Amount],$A569)),"")</f>
        <v/>
      </c>
      <c r="H569" s="66">
        <f>IFERROR(INDEX(tbl_WIP[Defer Start],$A569),"")</f>
        <v/>
      </c>
      <c r="I569" s="66">
        <f>IFERROR(INDEX(tbl_WIP[Defer End],$A569),"")</f>
        <v/>
      </c>
      <c r="J569" s="65">
        <f>IF(OR($H569="",$I569="",$G569=""),"",MAX(1,(YEAR($I569)-YEAR($H569))*12+MONTH($I569)-MONTH($H569)+1))</f>
        <v/>
      </c>
      <c r="K569" s="68">
        <f>IF($J569="","",$G569/$J569)</f>
        <v/>
      </c>
      <c r="L569" s="68">
        <f>IF($J569="",0,$K569*MAX(0,MIN(YEAR($C$3)*12+MONTH($C$3),YEAR($I569)*12+MONTH($I569))-(YEAR($H569)*12+MONTH($H569))+1))</f>
        <v/>
      </c>
      <c r="M569" s="68">
        <f>IF($J569="",0,$K569*MAX(0,MIN(YEAR($C$3)*12+MONTH($C$3)-1,YEAR($I569)*12+MONTH($I569))-(YEAR($H569)*12+MONTH($H569))+1))</f>
        <v/>
      </c>
      <c r="N569" s="68">
        <f>IF(OR($J569="",$B569=""),0,IF(YEAR($B569)*12+MONTH($B569)&lt;=YEAR($C$3)*12+MONTH($C$3),$G569,0))</f>
        <v/>
      </c>
      <c r="O569" s="68">
        <f>IF(OR($J569="",$B569=""),0,IF(YEAR($B569)*12+MONTH($B569)&lt;=YEAR($C$3)*12+MONTH($C$3)-1,$G569,0))</f>
        <v/>
      </c>
      <c r="P569" s="68">
        <f>$M569-$O569</f>
        <v/>
      </c>
      <c r="Q569" s="68">
        <f>($L569-$M569)-($N569-$O569)</f>
        <v/>
      </c>
      <c r="R569" s="68">
        <f>$L569-$N569</f>
        <v/>
      </c>
      <c r="S569" s="67">
        <f>"WIP journal"</f>
        <v/>
      </c>
      <c r="T569" s="67">
        <f>IFERROR(INDEX(tbl_WIP[Revenue or Cost],$A569),"")</f>
        <v/>
      </c>
    </row>
    <row r="570">
      <c r="A570" s="65">
        <f>ROW()-407</f>
        <v/>
      </c>
      <c r="B570" s="66">
        <f>IFERROR(INDEX(tbl_WIP[Month],$A570),"")</f>
        <v/>
      </c>
      <c r="C570" s="67">
        <f>IFERROR(INDEX(tbl_WIP[Xero Invoice No],$A570),"")</f>
        <v/>
      </c>
      <c r="D570" s="67">
        <f>IFERROR(INDEX(tbl_WIP[Client],$A570),"")</f>
        <v/>
      </c>
      <c r="E570" s="67">
        <f>IFERROR(INDEX(tbl_WIP[Job Number],$A570),"")</f>
        <v/>
      </c>
      <c r="F570" s="67">
        <f>IFERROR(INDEX(tbl_WIP[Cost Centre],$A570),"")</f>
        <v/>
      </c>
      <c r="G570" s="68">
        <f>IFERROR(IF(INDEX(tbl_WIP[Defer Start],$A570)="","",IF(INDEX(tbl_WIP[Revenue or Cost],$A570)="Cost",-1,1)*INDEX(tbl_WIP[Amount],$A570)),"")</f>
        <v/>
      </c>
      <c r="H570" s="66">
        <f>IFERROR(INDEX(tbl_WIP[Defer Start],$A570),"")</f>
        <v/>
      </c>
      <c r="I570" s="66">
        <f>IFERROR(INDEX(tbl_WIP[Defer End],$A570),"")</f>
        <v/>
      </c>
      <c r="J570" s="65">
        <f>IF(OR($H570="",$I570="",$G570=""),"",MAX(1,(YEAR($I570)-YEAR($H570))*12+MONTH($I570)-MONTH($H570)+1))</f>
        <v/>
      </c>
      <c r="K570" s="68">
        <f>IF($J570="","",$G570/$J570)</f>
        <v/>
      </c>
      <c r="L570" s="68">
        <f>IF($J570="",0,$K570*MAX(0,MIN(YEAR($C$3)*12+MONTH($C$3),YEAR($I570)*12+MONTH($I570))-(YEAR($H570)*12+MONTH($H570))+1))</f>
        <v/>
      </c>
      <c r="M570" s="68">
        <f>IF($J570="",0,$K570*MAX(0,MIN(YEAR($C$3)*12+MONTH($C$3)-1,YEAR($I570)*12+MONTH($I570))-(YEAR($H570)*12+MONTH($H570))+1))</f>
        <v/>
      </c>
      <c r="N570" s="68">
        <f>IF(OR($J570="",$B570=""),0,IF(YEAR($B570)*12+MONTH($B570)&lt;=YEAR($C$3)*12+MONTH($C$3),$G570,0))</f>
        <v/>
      </c>
      <c r="O570" s="68">
        <f>IF(OR($J570="",$B570=""),0,IF(YEAR($B570)*12+MONTH($B570)&lt;=YEAR($C$3)*12+MONTH($C$3)-1,$G570,0))</f>
        <v/>
      </c>
      <c r="P570" s="68">
        <f>$M570-$O570</f>
        <v/>
      </c>
      <c r="Q570" s="68">
        <f>($L570-$M570)-($N570-$O570)</f>
        <v/>
      </c>
      <c r="R570" s="68">
        <f>$L570-$N570</f>
        <v/>
      </c>
      <c r="S570" s="67">
        <f>"WIP journal"</f>
        <v/>
      </c>
      <c r="T570" s="67">
        <f>IFERROR(INDEX(tbl_WIP[Revenue or Cost],$A570),"")</f>
        <v/>
      </c>
    </row>
    <row r="571">
      <c r="A571" s="65">
        <f>ROW()-407</f>
        <v/>
      </c>
      <c r="B571" s="66">
        <f>IFERROR(INDEX(tbl_WIP[Month],$A571),"")</f>
        <v/>
      </c>
      <c r="C571" s="67">
        <f>IFERROR(INDEX(tbl_WIP[Xero Invoice No],$A571),"")</f>
        <v/>
      </c>
      <c r="D571" s="67">
        <f>IFERROR(INDEX(tbl_WIP[Client],$A571),"")</f>
        <v/>
      </c>
      <c r="E571" s="67">
        <f>IFERROR(INDEX(tbl_WIP[Job Number],$A571),"")</f>
        <v/>
      </c>
      <c r="F571" s="67">
        <f>IFERROR(INDEX(tbl_WIP[Cost Centre],$A571),"")</f>
        <v/>
      </c>
      <c r="G571" s="68">
        <f>IFERROR(IF(INDEX(tbl_WIP[Defer Start],$A571)="","",IF(INDEX(tbl_WIP[Revenue or Cost],$A571)="Cost",-1,1)*INDEX(tbl_WIP[Amount],$A571)),"")</f>
        <v/>
      </c>
      <c r="H571" s="66">
        <f>IFERROR(INDEX(tbl_WIP[Defer Start],$A571),"")</f>
        <v/>
      </c>
      <c r="I571" s="66">
        <f>IFERROR(INDEX(tbl_WIP[Defer End],$A571),"")</f>
        <v/>
      </c>
      <c r="J571" s="65">
        <f>IF(OR($H571="",$I571="",$G571=""),"",MAX(1,(YEAR($I571)-YEAR($H571))*12+MONTH($I571)-MONTH($H571)+1))</f>
        <v/>
      </c>
      <c r="K571" s="68">
        <f>IF($J571="","",$G571/$J571)</f>
        <v/>
      </c>
      <c r="L571" s="68">
        <f>IF($J571="",0,$K571*MAX(0,MIN(YEAR($C$3)*12+MONTH($C$3),YEAR($I571)*12+MONTH($I571))-(YEAR($H571)*12+MONTH($H571))+1))</f>
        <v/>
      </c>
      <c r="M571" s="68">
        <f>IF($J571="",0,$K571*MAX(0,MIN(YEAR($C$3)*12+MONTH($C$3)-1,YEAR($I571)*12+MONTH($I571))-(YEAR($H571)*12+MONTH($H571))+1))</f>
        <v/>
      </c>
      <c r="N571" s="68">
        <f>IF(OR($J571="",$B571=""),0,IF(YEAR($B571)*12+MONTH($B571)&lt;=YEAR($C$3)*12+MONTH($C$3),$G571,0))</f>
        <v/>
      </c>
      <c r="O571" s="68">
        <f>IF(OR($J571="",$B571=""),0,IF(YEAR($B571)*12+MONTH($B571)&lt;=YEAR($C$3)*12+MONTH($C$3)-1,$G571,0))</f>
        <v/>
      </c>
      <c r="P571" s="68">
        <f>$M571-$O571</f>
        <v/>
      </c>
      <c r="Q571" s="68">
        <f>($L571-$M571)-($N571-$O571)</f>
        <v/>
      </c>
      <c r="R571" s="68">
        <f>$L571-$N571</f>
        <v/>
      </c>
      <c r="S571" s="67">
        <f>"WIP journal"</f>
        <v/>
      </c>
      <c r="T571" s="67">
        <f>IFERROR(INDEX(tbl_WIP[Revenue or Cost],$A571),"")</f>
        <v/>
      </c>
    </row>
    <row r="572">
      <c r="A572" s="65">
        <f>ROW()-407</f>
        <v/>
      </c>
      <c r="B572" s="66">
        <f>IFERROR(INDEX(tbl_WIP[Month],$A572),"")</f>
        <v/>
      </c>
      <c r="C572" s="67">
        <f>IFERROR(INDEX(tbl_WIP[Xero Invoice No],$A572),"")</f>
        <v/>
      </c>
      <c r="D572" s="67">
        <f>IFERROR(INDEX(tbl_WIP[Client],$A572),"")</f>
        <v/>
      </c>
      <c r="E572" s="67">
        <f>IFERROR(INDEX(tbl_WIP[Job Number],$A572),"")</f>
        <v/>
      </c>
      <c r="F572" s="67">
        <f>IFERROR(INDEX(tbl_WIP[Cost Centre],$A572),"")</f>
        <v/>
      </c>
      <c r="G572" s="68">
        <f>IFERROR(IF(INDEX(tbl_WIP[Defer Start],$A572)="","",IF(INDEX(tbl_WIP[Revenue or Cost],$A572)="Cost",-1,1)*INDEX(tbl_WIP[Amount],$A572)),"")</f>
        <v/>
      </c>
      <c r="H572" s="66">
        <f>IFERROR(INDEX(tbl_WIP[Defer Start],$A572),"")</f>
        <v/>
      </c>
      <c r="I572" s="66">
        <f>IFERROR(INDEX(tbl_WIP[Defer End],$A572),"")</f>
        <v/>
      </c>
      <c r="J572" s="65">
        <f>IF(OR($H572="",$I572="",$G572=""),"",MAX(1,(YEAR($I572)-YEAR($H572))*12+MONTH($I572)-MONTH($H572)+1))</f>
        <v/>
      </c>
      <c r="K572" s="68">
        <f>IF($J572="","",$G572/$J572)</f>
        <v/>
      </c>
      <c r="L572" s="68">
        <f>IF($J572="",0,$K572*MAX(0,MIN(YEAR($C$3)*12+MONTH($C$3),YEAR($I572)*12+MONTH($I572))-(YEAR($H572)*12+MONTH($H572))+1))</f>
        <v/>
      </c>
      <c r="M572" s="68">
        <f>IF($J572="",0,$K572*MAX(0,MIN(YEAR($C$3)*12+MONTH($C$3)-1,YEAR($I572)*12+MONTH($I572))-(YEAR($H572)*12+MONTH($H572))+1))</f>
        <v/>
      </c>
      <c r="N572" s="68">
        <f>IF(OR($J572="",$B572=""),0,IF(YEAR($B572)*12+MONTH($B572)&lt;=YEAR($C$3)*12+MONTH($C$3),$G572,0))</f>
        <v/>
      </c>
      <c r="O572" s="68">
        <f>IF(OR($J572="",$B572=""),0,IF(YEAR($B572)*12+MONTH($B572)&lt;=YEAR($C$3)*12+MONTH($C$3)-1,$G572,0))</f>
        <v/>
      </c>
      <c r="P572" s="68">
        <f>$M572-$O572</f>
        <v/>
      </c>
      <c r="Q572" s="68">
        <f>($L572-$M572)-($N572-$O572)</f>
        <v/>
      </c>
      <c r="R572" s="68">
        <f>$L572-$N572</f>
        <v/>
      </c>
      <c r="S572" s="67">
        <f>"WIP journal"</f>
        <v/>
      </c>
      <c r="T572" s="67">
        <f>IFERROR(INDEX(tbl_WIP[Revenue or Cost],$A572),"")</f>
        <v/>
      </c>
    </row>
    <row r="573">
      <c r="A573" s="65">
        <f>ROW()-407</f>
        <v/>
      </c>
      <c r="B573" s="66">
        <f>IFERROR(INDEX(tbl_WIP[Month],$A573),"")</f>
        <v/>
      </c>
      <c r="C573" s="67">
        <f>IFERROR(INDEX(tbl_WIP[Xero Invoice No],$A573),"")</f>
        <v/>
      </c>
      <c r="D573" s="67">
        <f>IFERROR(INDEX(tbl_WIP[Client],$A573),"")</f>
        <v/>
      </c>
      <c r="E573" s="67">
        <f>IFERROR(INDEX(tbl_WIP[Job Number],$A573),"")</f>
        <v/>
      </c>
      <c r="F573" s="67">
        <f>IFERROR(INDEX(tbl_WIP[Cost Centre],$A573),"")</f>
        <v/>
      </c>
      <c r="G573" s="68">
        <f>IFERROR(IF(INDEX(tbl_WIP[Defer Start],$A573)="","",IF(INDEX(tbl_WIP[Revenue or Cost],$A573)="Cost",-1,1)*INDEX(tbl_WIP[Amount],$A573)),"")</f>
        <v/>
      </c>
      <c r="H573" s="66">
        <f>IFERROR(INDEX(tbl_WIP[Defer Start],$A573),"")</f>
        <v/>
      </c>
      <c r="I573" s="66">
        <f>IFERROR(INDEX(tbl_WIP[Defer End],$A573),"")</f>
        <v/>
      </c>
      <c r="J573" s="65">
        <f>IF(OR($H573="",$I573="",$G573=""),"",MAX(1,(YEAR($I573)-YEAR($H573))*12+MONTH($I573)-MONTH($H573)+1))</f>
        <v/>
      </c>
      <c r="K573" s="68">
        <f>IF($J573="","",$G573/$J573)</f>
        <v/>
      </c>
      <c r="L573" s="68">
        <f>IF($J573="",0,$K573*MAX(0,MIN(YEAR($C$3)*12+MONTH($C$3),YEAR($I573)*12+MONTH($I573))-(YEAR($H573)*12+MONTH($H573))+1))</f>
        <v/>
      </c>
      <c r="M573" s="68">
        <f>IF($J573="",0,$K573*MAX(0,MIN(YEAR($C$3)*12+MONTH($C$3)-1,YEAR($I573)*12+MONTH($I573))-(YEAR($H573)*12+MONTH($H573))+1))</f>
        <v/>
      </c>
      <c r="N573" s="68">
        <f>IF(OR($J573="",$B573=""),0,IF(YEAR($B573)*12+MONTH($B573)&lt;=YEAR($C$3)*12+MONTH($C$3),$G573,0))</f>
        <v/>
      </c>
      <c r="O573" s="68">
        <f>IF(OR($J573="",$B573=""),0,IF(YEAR($B573)*12+MONTH($B573)&lt;=YEAR($C$3)*12+MONTH($C$3)-1,$G573,0))</f>
        <v/>
      </c>
      <c r="P573" s="68">
        <f>$M573-$O573</f>
        <v/>
      </c>
      <c r="Q573" s="68">
        <f>($L573-$M573)-($N573-$O573)</f>
        <v/>
      </c>
      <c r="R573" s="68">
        <f>$L573-$N573</f>
        <v/>
      </c>
      <c r="S573" s="67">
        <f>"WIP journal"</f>
        <v/>
      </c>
      <c r="T573" s="67">
        <f>IFERROR(INDEX(tbl_WIP[Revenue or Cost],$A573),"")</f>
        <v/>
      </c>
    </row>
    <row r="574">
      <c r="A574" s="65">
        <f>ROW()-407</f>
        <v/>
      </c>
      <c r="B574" s="66">
        <f>IFERROR(INDEX(tbl_WIP[Month],$A574),"")</f>
        <v/>
      </c>
      <c r="C574" s="67">
        <f>IFERROR(INDEX(tbl_WIP[Xero Invoice No],$A574),"")</f>
        <v/>
      </c>
      <c r="D574" s="67">
        <f>IFERROR(INDEX(tbl_WIP[Client],$A574),"")</f>
        <v/>
      </c>
      <c r="E574" s="67">
        <f>IFERROR(INDEX(tbl_WIP[Job Number],$A574),"")</f>
        <v/>
      </c>
      <c r="F574" s="67">
        <f>IFERROR(INDEX(tbl_WIP[Cost Centre],$A574),"")</f>
        <v/>
      </c>
      <c r="G574" s="68">
        <f>IFERROR(IF(INDEX(tbl_WIP[Defer Start],$A574)="","",IF(INDEX(tbl_WIP[Revenue or Cost],$A574)="Cost",-1,1)*INDEX(tbl_WIP[Amount],$A574)),"")</f>
        <v/>
      </c>
      <c r="H574" s="66">
        <f>IFERROR(INDEX(tbl_WIP[Defer Start],$A574),"")</f>
        <v/>
      </c>
      <c r="I574" s="66">
        <f>IFERROR(INDEX(tbl_WIP[Defer End],$A574),"")</f>
        <v/>
      </c>
      <c r="J574" s="65">
        <f>IF(OR($H574="",$I574="",$G574=""),"",MAX(1,(YEAR($I574)-YEAR($H574))*12+MONTH($I574)-MONTH($H574)+1))</f>
        <v/>
      </c>
      <c r="K574" s="68">
        <f>IF($J574="","",$G574/$J574)</f>
        <v/>
      </c>
      <c r="L574" s="68">
        <f>IF($J574="",0,$K574*MAX(0,MIN(YEAR($C$3)*12+MONTH($C$3),YEAR($I574)*12+MONTH($I574))-(YEAR($H574)*12+MONTH($H574))+1))</f>
        <v/>
      </c>
      <c r="M574" s="68">
        <f>IF($J574="",0,$K574*MAX(0,MIN(YEAR($C$3)*12+MONTH($C$3)-1,YEAR($I574)*12+MONTH($I574))-(YEAR($H574)*12+MONTH($H574))+1))</f>
        <v/>
      </c>
      <c r="N574" s="68">
        <f>IF(OR($J574="",$B574=""),0,IF(YEAR($B574)*12+MONTH($B574)&lt;=YEAR($C$3)*12+MONTH($C$3),$G574,0))</f>
        <v/>
      </c>
      <c r="O574" s="68">
        <f>IF(OR($J574="",$B574=""),0,IF(YEAR($B574)*12+MONTH($B574)&lt;=YEAR($C$3)*12+MONTH($C$3)-1,$G574,0))</f>
        <v/>
      </c>
      <c r="P574" s="68">
        <f>$M574-$O574</f>
        <v/>
      </c>
      <c r="Q574" s="68">
        <f>($L574-$M574)-($N574-$O574)</f>
        <v/>
      </c>
      <c r="R574" s="68">
        <f>$L574-$N574</f>
        <v/>
      </c>
      <c r="S574" s="67">
        <f>"WIP journal"</f>
        <v/>
      </c>
      <c r="T574" s="67">
        <f>IFERROR(INDEX(tbl_WIP[Revenue or Cost],$A574),"")</f>
        <v/>
      </c>
    </row>
    <row r="575">
      <c r="A575" s="65">
        <f>ROW()-407</f>
        <v/>
      </c>
      <c r="B575" s="66">
        <f>IFERROR(INDEX(tbl_WIP[Month],$A575),"")</f>
        <v/>
      </c>
      <c r="C575" s="67">
        <f>IFERROR(INDEX(tbl_WIP[Xero Invoice No],$A575),"")</f>
        <v/>
      </c>
      <c r="D575" s="67">
        <f>IFERROR(INDEX(tbl_WIP[Client],$A575),"")</f>
        <v/>
      </c>
      <c r="E575" s="67">
        <f>IFERROR(INDEX(tbl_WIP[Job Number],$A575),"")</f>
        <v/>
      </c>
      <c r="F575" s="67">
        <f>IFERROR(INDEX(tbl_WIP[Cost Centre],$A575),"")</f>
        <v/>
      </c>
      <c r="G575" s="68">
        <f>IFERROR(IF(INDEX(tbl_WIP[Defer Start],$A575)="","",IF(INDEX(tbl_WIP[Revenue or Cost],$A575)="Cost",-1,1)*INDEX(tbl_WIP[Amount],$A575)),"")</f>
        <v/>
      </c>
      <c r="H575" s="66">
        <f>IFERROR(INDEX(tbl_WIP[Defer Start],$A575),"")</f>
        <v/>
      </c>
      <c r="I575" s="66">
        <f>IFERROR(INDEX(tbl_WIP[Defer End],$A575),"")</f>
        <v/>
      </c>
      <c r="J575" s="65">
        <f>IF(OR($H575="",$I575="",$G575=""),"",MAX(1,(YEAR($I575)-YEAR($H575))*12+MONTH($I575)-MONTH($H575)+1))</f>
        <v/>
      </c>
      <c r="K575" s="68">
        <f>IF($J575="","",$G575/$J575)</f>
        <v/>
      </c>
      <c r="L575" s="68">
        <f>IF($J575="",0,$K575*MAX(0,MIN(YEAR($C$3)*12+MONTH($C$3),YEAR($I575)*12+MONTH($I575))-(YEAR($H575)*12+MONTH($H575))+1))</f>
        <v/>
      </c>
      <c r="M575" s="68">
        <f>IF($J575="",0,$K575*MAX(0,MIN(YEAR($C$3)*12+MONTH($C$3)-1,YEAR($I575)*12+MONTH($I575))-(YEAR($H575)*12+MONTH($H575))+1))</f>
        <v/>
      </c>
      <c r="N575" s="68">
        <f>IF(OR($J575="",$B575=""),0,IF(YEAR($B575)*12+MONTH($B575)&lt;=YEAR($C$3)*12+MONTH($C$3),$G575,0))</f>
        <v/>
      </c>
      <c r="O575" s="68">
        <f>IF(OR($J575="",$B575=""),0,IF(YEAR($B575)*12+MONTH($B575)&lt;=YEAR($C$3)*12+MONTH($C$3)-1,$G575,0))</f>
        <v/>
      </c>
      <c r="P575" s="68">
        <f>$M575-$O575</f>
        <v/>
      </c>
      <c r="Q575" s="68">
        <f>($L575-$M575)-($N575-$O575)</f>
        <v/>
      </c>
      <c r="R575" s="68">
        <f>$L575-$N575</f>
        <v/>
      </c>
      <c r="S575" s="67">
        <f>"WIP journal"</f>
        <v/>
      </c>
      <c r="T575" s="67">
        <f>IFERROR(INDEX(tbl_WIP[Revenue or Cost],$A575),"")</f>
        <v/>
      </c>
    </row>
    <row r="576">
      <c r="A576" s="65">
        <f>ROW()-407</f>
        <v/>
      </c>
      <c r="B576" s="66">
        <f>IFERROR(INDEX(tbl_WIP[Month],$A576),"")</f>
        <v/>
      </c>
      <c r="C576" s="67">
        <f>IFERROR(INDEX(tbl_WIP[Xero Invoice No],$A576),"")</f>
        <v/>
      </c>
      <c r="D576" s="67">
        <f>IFERROR(INDEX(tbl_WIP[Client],$A576),"")</f>
        <v/>
      </c>
      <c r="E576" s="67">
        <f>IFERROR(INDEX(tbl_WIP[Job Number],$A576),"")</f>
        <v/>
      </c>
      <c r="F576" s="67">
        <f>IFERROR(INDEX(tbl_WIP[Cost Centre],$A576),"")</f>
        <v/>
      </c>
      <c r="G576" s="68">
        <f>IFERROR(IF(INDEX(tbl_WIP[Defer Start],$A576)="","",IF(INDEX(tbl_WIP[Revenue or Cost],$A576)="Cost",-1,1)*INDEX(tbl_WIP[Amount],$A576)),"")</f>
        <v/>
      </c>
      <c r="H576" s="66">
        <f>IFERROR(INDEX(tbl_WIP[Defer Start],$A576),"")</f>
        <v/>
      </c>
      <c r="I576" s="66">
        <f>IFERROR(INDEX(tbl_WIP[Defer End],$A576),"")</f>
        <v/>
      </c>
      <c r="J576" s="65">
        <f>IF(OR($H576="",$I576="",$G576=""),"",MAX(1,(YEAR($I576)-YEAR($H576))*12+MONTH($I576)-MONTH($H576)+1))</f>
        <v/>
      </c>
      <c r="K576" s="68">
        <f>IF($J576="","",$G576/$J576)</f>
        <v/>
      </c>
      <c r="L576" s="68">
        <f>IF($J576="",0,$K576*MAX(0,MIN(YEAR($C$3)*12+MONTH($C$3),YEAR($I576)*12+MONTH($I576))-(YEAR($H576)*12+MONTH($H576))+1))</f>
        <v/>
      </c>
      <c r="M576" s="68">
        <f>IF($J576="",0,$K576*MAX(0,MIN(YEAR($C$3)*12+MONTH($C$3)-1,YEAR($I576)*12+MONTH($I576))-(YEAR($H576)*12+MONTH($H576))+1))</f>
        <v/>
      </c>
      <c r="N576" s="68">
        <f>IF(OR($J576="",$B576=""),0,IF(YEAR($B576)*12+MONTH($B576)&lt;=YEAR($C$3)*12+MONTH($C$3),$G576,0))</f>
        <v/>
      </c>
      <c r="O576" s="68">
        <f>IF(OR($J576="",$B576=""),0,IF(YEAR($B576)*12+MONTH($B576)&lt;=YEAR($C$3)*12+MONTH($C$3)-1,$G576,0))</f>
        <v/>
      </c>
      <c r="P576" s="68">
        <f>$M576-$O576</f>
        <v/>
      </c>
      <c r="Q576" s="68">
        <f>($L576-$M576)-($N576-$O576)</f>
        <v/>
      </c>
      <c r="R576" s="68">
        <f>$L576-$N576</f>
        <v/>
      </c>
      <c r="S576" s="67">
        <f>"WIP journal"</f>
        <v/>
      </c>
      <c r="T576" s="67">
        <f>IFERROR(INDEX(tbl_WIP[Revenue or Cost],$A576),"")</f>
        <v/>
      </c>
    </row>
    <row r="577">
      <c r="A577" s="65">
        <f>ROW()-407</f>
        <v/>
      </c>
      <c r="B577" s="66">
        <f>IFERROR(INDEX(tbl_WIP[Month],$A577),"")</f>
        <v/>
      </c>
      <c r="C577" s="67">
        <f>IFERROR(INDEX(tbl_WIP[Xero Invoice No],$A577),"")</f>
        <v/>
      </c>
      <c r="D577" s="67">
        <f>IFERROR(INDEX(tbl_WIP[Client],$A577),"")</f>
        <v/>
      </c>
      <c r="E577" s="67">
        <f>IFERROR(INDEX(tbl_WIP[Job Number],$A577),"")</f>
        <v/>
      </c>
      <c r="F577" s="67">
        <f>IFERROR(INDEX(tbl_WIP[Cost Centre],$A577),"")</f>
        <v/>
      </c>
      <c r="G577" s="68">
        <f>IFERROR(IF(INDEX(tbl_WIP[Defer Start],$A577)="","",IF(INDEX(tbl_WIP[Revenue or Cost],$A577)="Cost",-1,1)*INDEX(tbl_WIP[Amount],$A577)),"")</f>
        <v/>
      </c>
      <c r="H577" s="66">
        <f>IFERROR(INDEX(tbl_WIP[Defer Start],$A577),"")</f>
        <v/>
      </c>
      <c r="I577" s="66">
        <f>IFERROR(INDEX(tbl_WIP[Defer End],$A577),"")</f>
        <v/>
      </c>
      <c r="J577" s="65">
        <f>IF(OR($H577="",$I577="",$G577=""),"",MAX(1,(YEAR($I577)-YEAR($H577))*12+MONTH($I577)-MONTH($H577)+1))</f>
        <v/>
      </c>
      <c r="K577" s="68">
        <f>IF($J577="","",$G577/$J577)</f>
        <v/>
      </c>
      <c r="L577" s="68">
        <f>IF($J577="",0,$K577*MAX(0,MIN(YEAR($C$3)*12+MONTH($C$3),YEAR($I577)*12+MONTH($I577))-(YEAR($H577)*12+MONTH($H577))+1))</f>
        <v/>
      </c>
      <c r="M577" s="68">
        <f>IF($J577="",0,$K577*MAX(0,MIN(YEAR($C$3)*12+MONTH($C$3)-1,YEAR($I577)*12+MONTH($I577))-(YEAR($H577)*12+MONTH($H577))+1))</f>
        <v/>
      </c>
      <c r="N577" s="68">
        <f>IF(OR($J577="",$B577=""),0,IF(YEAR($B577)*12+MONTH($B577)&lt;=YEAR($C$3)*12+MONTH($C$3),$G577,0))</f>
        <v/>
      </c>
      <c r="O577" s="68">
        <f>IF(OR($J577="",$B577=""),0,IF(YEAR($B577)*12+MONTH($B577)&lt;=YEAR($C$3)*12+MONTH($C$3)-1,$G577,0))</f>
        <v/>
      </c>
      <c r="P577" s="68">
        <f>$M577-$O577</f>
        <v/>
      </c>
      <c r="Q577" s="68">
        <f>($L577-$M577)-($N577-$O577)</f>
        <v/>
      </c>
      <c r="R577" s="68">
        <f>$L577-$N577</f>
        <v/>
      </c>
      <c r="S577" s="67">
        <f>"WIP journal"</f>
        <v/>
      </c>
      <c r="T577" s="67">
        <f>IFERROR(INDEX(tbl_WIP[Revenue or Cost],$A577),"")</f>
        <v/>
      </c>
    </row>
    <row r="578">
      <c r="A578" s="65">
        <f>ROW()-407</f>
        <v/>
      </c>
      <c r="B578" s="66">
        <f>IFERROR(INDEX(tbl_WIP[Month],$A578),"")</f>
        <v/>
      </c>
      <c r="C578" s="67">
        <f>IFERROR(INDEX(tbl_WIP[Xero Invoice No],$A578),"")</f>
        <v/>
      </c>
      <c r="D578" s="67">
        <f>IFERROR(INDEX(tbl_WIP[Client],$A578),"")</f>
        <v/>
      </c>
      <c r="E578" s="67">
        <f>IFERROR(INDEX(tbl_WIP[Job Number],$A578),"")</f>
        <v/>
      </c>
      <c r="F578" s="67">
        <f>IFERROR(INDEX(tbl_WIP[Cost Centre],$A578),"")</f>
        <v/>
      </c>
      <c r="G578" s="68">
        <f>IFERROR(IF(INDEX(tbl_WIP[Defer Start],$A578)="","",IF(INDEX(tbl_WIP[Revenue or Cost],$A578)="Cost",-1,1)*INDEX(tbl_WIP[Amount],$A578)),"")</f>
        <v/>
      </c>
      <c r="H578" s="66">
        <f>IFERROR(INDEX(tbl_WIP[Defer Start],$A578),"")</f>
        <v/>
      </c>
      <c r="I578" s="66">
        <f>IFERROR(INDEX(tbl_WIP[Defer End],$A578),"")</f>
        <v/>
      </c>
      <c r="J578" s="65">
        <f>IF(OR($H578="",$I578="",$G578=""),"",MAX(1,(YEAR($I578)-YEAR($H578))*12+MONTH($I578)-MONTH($H578)+1))</f>
        <v/>
      </c>
      <c r="K578" s="68">
        <f>IF($J578="","",$G578/$J578)</f>
        <v/>
      </c>
      <c r="L578" s="68">
        <f>IF($J578="",0,$K578*MAX(0,MIN(YEAR($C$3)*12+MONTH($C$3),YEAR($I578)*12+MONTH($I578))-(YEAR($H578)*12+MONTH($H578))+1))</f>
        <v/>
      </c>
      <c r="M578" s="68">
        <f>IF($J578="",0,$K578*MAX(0,MIN(YEAR($C$3)*12+MONTH($C$3)-1,YEAR($I578)*12+MONTH($I578))-(YEAR($H578)*12+MONTH($H578))+1))</f>
        <v/>
      </c>
      <c r="N578" s="68">
        <f>IF(OR($J578="",$B578=""),0,IF(YEAR($B578)*12+MONTH($B578)&lt;=YEAR($C$3)*12+MONTH($C$3),$G578,0))</f>
        <v/>
      </c>
      <c r="O578" s="68">
        <f>IF(OR($J578="",$B578=""),0,IF(YEAR($B578)*12+MONTH($B578)&lt;=YEAR($C$3)*12+MONTH($C$3)-1,$G578,0))</f>
        <v/>
      </c>
      <c r="P578" s="68">
        <f>$M578-$O578</f>
        <v/>
      </c>
      <c r="Q578" s="68">
        <f>($L578-$M578)-($N578-$O578)</f>
        <v/>
      </c>
      <c r="R578" s="68">
        <f>$L578-$N578</f>
        <v/>
      </c>
      <c r="S578" s="67">
        <f>"WIP journal"</f>
        <v/>
      </c>
      <c r="T578" s="67">
        <f>IFERROR(INDEX(tbl_WIP[Revenue or Cost],$A578),"")</f>
        <v/>
      </c>
    </row>
    <row r="579">
      <c r="A579" s="65">
        <f>ROW()-407</f>
        <v/>
      </c>
      <c r="B579" s="66">
        <f>IFERROR(INDEX(tbl_WIP[Month],$A579),"")</f>
        <v/>
      </c>
      <c r="C579" s="67">
        <f>IFERROR(INDEX(tbl_WIP[Xero Invoice No],$A579),"")</f>
        <v/>
      </c>
      <c r="D579" s="67">
        <f>IFERROR(INDEX(tbl_WIP[Client],$A579),"")</f>
        <v/>
      </c>
      <c r="E579" s="67">
        <f>IFERROR(INDEX(tbl_WIP[Job Number],$A579),"")</f>
        <v/>
      </c>
      <c r="F579" s="67">
        <f>IFERROR(INDEX(tbl_WIP[Cost Centre],$A579),"")</f>
        <v/>
      </c>
      <c r="G579" s="68">
        <f>IFERROR(IF(INDEX(tbl_WIP[Defer Start],$A579)="","",IF(INDEX(tbl_WIP[Revenue or Cost],$A579)="Cost",-1,1)*INDEX(tbl_WIP[Amount],$A579)),"")</f>
        <v/>
      </c>
      <c r="H579" s="66">
        <f>IFERROR(INDEX(tbl_WIP[Defer Start],$A579),"")</f>
        <v/>
      </c>
      <c r="I579" s="66">
        <f>IFERROR(INDEX(tbl_WIP[Defer End],$A579),"")</f>
        <v/>
      </c>
      <c r="J579" s="65">
        <f>IF(OR($H579="",$I579="",$G579=""),"",MAX(1,(YEAR($I579)-YEAR($H579))*12+MONTH($I579)-MONTH($H579)+1))</f>
        <v/>
      </c>
      <c r="K579" s="68">
        <f>IF($J579="","",$G579/$J579)</f>
        <v/>
      </c>
      <c r="L579" s="68">
        <f>IF($J579="",0,$K579*MAX(0,MIN(YEAR($C$3)*12+MONTH($C$3),YEAR($I579)*12+MONTH($I579))-(YEAR($H579)*12+MONTH($H579))+1))</f>
        <v/>
      </c>
      <c r="M579" s="68">
        <f>IF($J579="",0,$K579*MAX(0,MIN(YEAR($C$3)*12+MONTH($C$3)-1,YEAR($I579)*12+MONTH($I579))-(YEAR($H579)*12+MONTH($H579))+1))</f>
        <v/>
      </c>
      <c r="N579" s="68">
        <f>IF(OR($J579="",$B579=""),0,IF(YEAR($B579)*12+MONTH($B579)&lt;=YEAR($C$3)*12+MONTH($C$3),$G579,0))</f>
        <v/>
      </c>
      <c r="O579" s="68">
        <f>IF(OR($J579="",$B579=""),0,IF(YEAR($B579)*12+MONTH($B579)&lt;=YEAR($C$3)*12+MONTH($C$3)-1,$G579,0))</f>
        <v/>
      </c>
      <c r="P579" s="68">
        <f>$M579-$O579</f>
        <v/>
      </c>
      <c r="Q579" s="68">
        <f>($L579-$M579)-($N579-$O579)</f>
        <v/>
      </c>
      <c r="R579" s="68">
        <f>$L579-$N579</f>
        <v/>
      </c>
      <c r="S579" s="67">
        <f>"WIP journal"</f>
        <v/>
      </c>
      <c r="T579" s="67">
        <f>IFERROR(INDEX(tbl_WIP[Revenue or Cost],$A579),"")</f>
        <v/>
      </c>
    </row>
    <row r="580">
      <c r="A580" s="65">
        <f>ROW()-407</f>
        <v/>
      </c>
      <c r="B580" s="66">
        <f>IFERROR(INDEX(tbl_WIP[Month],$A580),"")</f>
        <v/>
      </c>
      <c r="C580" s="67">
        <f>IFERROR(INDEX(tbl_WIP[Xero Invoice No],$A580),"")</f>
        <v/>
      </c>
      <c r="D580" s="67">
        <f>IFERROR(INDEX(tbl_WIP[Client],$A580),"")</f>
        <v/>
      </c>
      <c r="E580" s="67">
        <f>IFERROR(INDEX(tbl_WIP[Job Number],$A580),"")</f>
        <v/>
      </c>
      <c r="F580" s="67">
        <f>IFERROR(INDEX(tbl_WIP[Cost Centre],$A580),"")</f>
        <v/>
      </c>
      <c r="G580" s="68">
        <f>IFERROR(IF(INDEX(tbl_WIP[Defer Start],$A580)="","",IF(INDEX(tbl_WIP[Revenue or Cost],$A580)="Cost",-1,1)*INDEX(tbl_WIP[Amount],$A580)),"")</f>
        <v/>
      </c>
      <c r="H580" s="66">
        <f>IFERROR(INDEX(tbl_WIP[Defer Start],$A580),"")</f>
        <v/>
      </c>
      <c r="I580" s="66">
        <f>IFERROR(INDEX(tbl_WIP[Defer End],$A580),"")</f>
        <v/>
      </c>
      <c r="J580" s="65">
        <f>IF(OR($H580="",$I580="",$G580=""),"",MAX(1,(YEAR($I580)-YEAR($H580))*12+MONTH($I580)-MONTH($H580)+1))</f>
        <v/>
      </c>
      <c r="K580" s="68">
        <f>IF($J580="","",$G580/$J580)</f>
        <v/>
      </c>
      <c r="L580" s="68">
        <f>IF($J580="",0,$K580*MAX(0,MIN(YEAR($C$3)*12+MONTH($C$3),YEAR($I580)*12+MONTH($I580))-(YEAR($H580)*12+MONTH($H580))+1))</f>
        <v/>
      </c>
      <c r="M580" s="68">
        <f>IF($J580="",0,$K580*MAX(0,MIN(YEAR($C$3)*12+MONTH($C$3)-1,YEAR($I580)*12+MONTH($I580))-(YEAR($H580)*12+MONTH($H580))+1))</f>
        <v/>
      </c>
      <c r="N580" s="68">
        <f>IF(OR($J580="",$B580=""),0,IF(YEAR($B580)*12+MONTH($B580)&lt;=YEAR($C$3)*12+MONTH($C$3),$G580,0))</f>
        <v/>
      </c>
      <c r="O580" s="68">
        <f>IF(OR($J580="",$B580=""),0,IF(YEAR($B580)*12+MONTH($B580)&lt;=YEAR($C$3)*12+MONTH($C$3)-1,$G580,0))</f>
        <v/>
      </c>
      <c r="P580" s="68">
        <f>$M580-$O580</f>
        <v/>
      </c>
      <c r="Q580" s="68">
        <f>($L580-$M580)-($N580-$O580)</f>
        <v/>
      </c>
      <c r="R580" s="68">
        <f>$L580-$N580</f>
        <v/>
      </c>
      <c r="S580" s="67">
        <f>"WIP journal"</f>
        <v/>
      </c>
      <c r="T580" s="67">
        <f>IFERROR(INDEX(tbl_WIP[Revenue or Cost],$A580),"")</f>
        <v/>
      </c>
    </row>
    <row r="581">
      <c r="A581" s="65">
        <f>ROW()-407</f>
        <v/>
      </c>
      <c r="B581" s="66">
        <f>IFERROR(INDEX(tbl_WIP[Month],$A581),"")</f>
        <v/>
      </c>
      <c r="C581" s="67">
        <f>IFERROR(INDEX(tbl_WIP[Xero Invoice No],$A581),"")</f>
        <v/>
      </c>
      <c r="D581" s="67">
        <f>IFERROR(INDEX(tbl_WIP[Client],$A581),"")</f>
        <v/>
      </c>
      <c r="E581" s="67">
        <f>IFERROR(INDEX(tbl_WIP[Job Number],$A581),"")</f>
        <v/>
      </c>
      <c r="F581" s="67">
        <f>IFERROR(INDEX(tbl_WIP[Cost Centre],$A581),"")</f>
        <v/>
      </c>
      <c r="G581" s="68">
        <f>IFERROR(IF(INDEX(tbl_WIP[Defer Start],$A581)="","",IF(INDEX(tbl_WIP[Revenue or Cost],$A581)="Cost",-1,1)*INDEX(tbl_WIP[Amount],$A581)),"")</f>
        <v/>
      </c>
      <c r="H581" s="66">
        <f>IFERROR(INDEX(tbl_WIP[Defer Start],$A581),"")</f>
        <v/>
      </c>
      <c r="I581" s="66">
        <f>IFERROR(INDEX(tbl_WIP[Defer End],$A581),"")</f>
        <v/>
      </c>
      <c r="J581" s="65">
        <f>IF(OR($H581="",$I581="",$G581=""),"",MAX(1,(YEAR($I581)-YEAR($H581))*12+MONTH($I581)-MONTH($H581)+1))</f>
        <v/>
      </c>
      <c r="K581" s="68">
        <f>IF($J581="","",$G581/$J581)</f>
        <v/>
      </c>
      <c r="L581" s="68">
        <f>IF($J581="",0,$K581*MAX(0,MIN(YEAR($C$3)*12+MONTH($C$3),YEAR($I581)*12+MONTH($I581))-(YEAR($H581)*12+MONTH($H581))+1))</f>
        <v/>
      </c>
      <c r="M581" s="68">
        <f>IF($J581="",0,$K581*MAX(0,MIN(YEAR($C$3)*12+MONTH($C$3)-1,YEAR($I581)*12+MONTH($I581))-(YEAR($H581)*12+MONTH($H581))+1))</f>
        <v/>
      </c>
      <c r="N581" s="68">
        <f>IF(OR($J581="",$B581=""),0,IF(YEAR($B581)*12+MONTH($B581)&lt;=YEAR($C$3)*12+MONTH($C$3),$G581,0))</f>
        <v/>
      </c>
      <c r="O581" s="68">
        <f>IF(OR($J581="",$B581=""),0,IF(YEAR($B581)*12+MONTH($B581)&lt;=YEAR($C$3)*12+MONTH($C$3)-1,$G581,0))</f>
        <v/>
      </c>
      <c r="P581" s="68">
        <f>$M581-$O581</f>
        <v/>
      </c>
      <c r="Q581" s="68">
        <f>($L581-$M581)-($N581-$O581)</f>
        <v/>
      </c>
      <c r="R581" s="68">
        <f>$L581-$N581</f>
        <v/>
      </c>
      <c r="S581" s="67">
        <f>"WIP journal"</f>
        <v/>
      </c>
      <c r="T581" s="67">
        <f>IFERROR(INDEX(tbl_WIP[Revenue or Cost],$A581),"")</f>
        <v/>
      </c>
    </row>
    <row r="582">
      <c r="A582" s="65">
        <f>ROW()-407</f>
        <v/>
      </c>
      <c r="B582" s="66">
        <f>IFERROR(INDEX(tbl_WIP[Month],$A582),"")</f>
        <v/>
      </c>
      <c r="C582" s="67">
        <f>IFERROR(INDEX(tbl_WIP[Xero Invoice No],$A582),"")</f>
        <v/>
      </c>
      <c r="D582" s="67">
        <f>IFERROR(INDEX(tbl_WIP[Client],$A582),"")</f>
        <v/>
      </c>
      <c r="E582" s="67">
        <f>IFERROR(INDEX(tbl_WIP[Job Number],$A582),"")</f>
        <v/>
      </c>
      <c r="F582" s="67">
        <f>IFERROR(INDEX(tbl_WIP[Cost Centre],$A582),"")</f>
        <v/>
      </c>
      <c r="G582" s="68">
        <f>IFERROR(IF(INDEX(tbl_WIP[Defer Start],$A582)="","",IF(INDEX(tbl_WIP[Revenue or Cost],$A582)="Cost",-1,1)*INDEX(tbl_WIP[Amount],$A582)),"")</f>
        <v/>
      </c>
      <c r="H582" s="66">
        <f>IFERROR(INDEX(tbl_WIP[Defer Start],$A582),"")</f>
        <v/>
      </c>
      <c r="I582" s="66">
        <f>IFERROR(INDEX(tbl_WIP[Defer End],$A582),"")</f>
        <v/>
      </c>
      <c r="J582" s="65">
        <f>IF(OR($H582="",$I582="",$G582=""),"",MAX(1,(YEAR($I582)-YEAR($H582))*12+MONTH($I582)-MONTH($H582)+1))</f>
        <v/>
      </c>
      <c r="K582" s="68">
        <f>IF($J582="","",$G582/$J582)</f>
        <v/>
      </c>
      <c r="L582" s="68">
        <f>IF($J582="",0,$K582*MAX(0,MIN(YEAR($C$3)*12+MONTH($C$3),YEAR($I582)*12+MONTH($I582))-(YEAR($H582)*12+MONTH($H582))+1))</f>
        <v/>
      </c>
      <c r="M582" s="68">
        <f>IF($J582="",0,$K582*MAX(0,MIN(YEAR($C$3)*12+MONTH($C$3)-1,YEAR($I582)*12+MONTH($I582))-(YEAR($H582)*12+MONTH($H582))+1))</f>
        <v/>
      </c>
      <c r="N582" s="68">
        <f>IF(OR($J582="",$B582=""),0,IF(YEAR($B582)*12+MONTH($B582)&lt;=YEAR($C$3)*12+MONTH($C$3),$G582,0))</f>
        <v/>
      </c>
      <c r="O582" s="68">
        <f>IF(OR($J582="",$B582=""),0,IF(YEAR($B582)*12+MONTH($B582)&lt;=YEAR($C$3)*12+MONTH($C$3)-1,$G582,0))</f>
        <v/>
      </c>
      <c r="P582" s="68">
        <f>$M582-$O582</f>
        <v/>
      </c>
      <c r="Q582" s="68">
        <f>($L582-$M582)-($N582-$O582)</f>
        <v/>
      </c>
      <c r="R582" s="68">
        <f>$L582-$N582</f>
        <v/>
      </c>
      <c r="S582" s="67">
        <f>"WIP journal"</f>
        <v/>
      </c>
      <c r="T582" s="67">
        <f>IFERROR(INDEX(tbl_WIP[Revenue or Cost],$A582),"")</f>
        <v/>
      </c>
    </row>
    <row r="583">
      <c r="A583" s="65">
        <f>ROW()-407</f>
        <v/>
      </c>
      <c r="B583" s="66">
        <f>IFERROR(INDEX(tbl_WIP[Month],$A583),"")</f>
        <v/>
      </c>
      <c r="C583" s="67">
        <f>IFERROR(INDEX(tbl_WIP[Xero Invoice No],$A583),"")</f>
        <v/>
      </c>
      <c r="D583" s="67">
        <f>IFERROR(INDEX(tbl_WIP[Client],$A583),"")</f>
        <v/>
      </c>
      <c r="E583" s="67">
        <f>IFERROR(INDEX(tbl_WIP[Job Number],$A583),"")</f>
        <v/>
      </c>
      <c r="F583" s="67">
        <f>IFERROR(INDEX(tbl_WIP[Cost Centre],$A583),"")</f>
        <v/>
      </c>
      <c r="G583" s="68">
        <f>IFERROR(IF(INDEX(tbl_WIP[Defer Start],$A583)="","",IF(INDEX(tbl_WIP[Revenue or Cost],$A583)="Cost",-1,1)*INDEX(tbl_WIP[Amount],$A583)),"")</f>
        <v/>
      </c>
      <c r="H583" s="66">
        <f>IFERROR(INDEX(tbl_WIP[Defer Start],$A583),"")</f>
        <v/>
      </c>
      <c r="I583" s="66">
        <f>IFERROR(INDEX(tbl_WIP[Defer End],$A583),"")</f>
        <v/>
      </c>
      <c r="J583" s="65">
        <f>IF(OR($H583="",$I583="",$G583=""),"",MAX(1,(YEAR($I583)-YEAR($H583))*12+MONTH($I583)-MONTH($H583)+1))</f>
        <v/>
      </c>
      <c r="K583" s="68">
        <f>IF($J583="","",$G583/$J583)</f>
        <v/>
      </c>
      <c r="L583" s="68">
        <f>IF($J583="",0,$K583*MAX(0,MIN(YEAR($C$3)*12+MONTH($C$3),YEAR($I583)*12+MONTH($I583))-(YEAR($H583)*12+MONTH($H583))+1))</f>
        <v/>
      </c>
      <c r="M583" s="68">
        <f>IF($J583="",0,$K583*MAX(0,MIN(YEAR($C$3)*12+MONTH($C$3)-1,YEAR($I583)*12+MONTH($I583))-(YEAR($H583)*12+MONTH($H583))+1))</f>
        <v/>
      </c>
      <c r="N583" s="68">
        <f>IF(OR($J583="",$B583=""),0,IF(YEAR($B583)*12+MONTH($B583)&lt;=YEAR($C$3)*12+MONTH($C$3),$G583,0))</f>
        <v/>
      </c>
      <c r="O583" s="68">
        <f>IF(OR($J583="",$B583=""),0,IF(YEAR($B583)*12+MONTH($B583)&lt;=YEAR($C$3)*12+MONTH($C$3)-1,$G583,0))</f>
        <v/>
      </c>
      <c r="P583" s="68">
        <f>$M583-$O583</f>
        <v/>
      </c>
      <c r="Q583" s="68">
        <f>($L583-$M583)-($N583-$O583)</f>
        <v/>
      </c>
      <c r="R583" s="68">
        <f>$L583-$N583</f>
        <v/>
      </c>
      <c r="S583" s="67">
        <f>"WIP journal"</f>
        <v/>
      </c>
      <c r="T583" s="67">
        <f>IFERROR(INDEX(tbl_WIP[Revenue or Cost],$A583),"")</f>
        <v/>
      </c>
    </row>
    <row r="584">
      <c r="A584" s="65">
        <f>ROW()-407</f>
        <v/>
      </c>
      <c r="B584" s="66">
        <f>IFERROR(INDEX(tbl_WIP[Month],$A584),"")</f>
        <v/>
      </c>
      <c r="C584" s="67">
        <f>IFERROR(INDEX(tbl_WIP[Xero Invoice No],$A584),"")</f>
        <v/>
      </c>
      <c r="D584" s="67">
        <f>IFERROR(INDEX(tbl_WIP[Client],$A584),"")</f>
        <v/>
      </c>
      <c r="E584" s="67">
        <f>IFERROR(INDEX(tbl_WIP[Job Number],$A584),"")</f>
        <v/>
      </c>
      <c r="F584" s="67">
        <f>IFERROR(INDEX(tbl_WIP[Cost Centre],$A584),"")</f>
        <v/>
      </c>
      <c r="G584" s="68">
        <f>IFERROR(IF(INDEX(tbl_WIP[Defer Start],$A584)="","",IF(INDEX(tbl_WIP[Revenue or Cost],$A584)="Cost",-1,1)*INDEX(tbl_WIP[Amount],$A584)),"")</f>
        <v/>
      </c>
      <c r="H584" s="66">
        <f>IFERROR(INDEX(tbl_WIP[Defer Start],$A584),"")</f>
        <v/>
      </c>
      <c r="I584" s="66">
        <f>IFERROR(INDEX(tbl_WIP[Defer End],$A584),"")</f>
        <v/>
      </c>
      <c r="J584" s="65">
        <f>IF(OR($H584="",$I584="",$G584=""),"",MAX(1,(YEAR($I584)-YEAR($H584))*12+MONTH($I584)-MONTH($H584)+1))</f>
        <v/>
      </c>
      <c r="K584" s="68">
        <f>IF($J584="","",$G584/$J584)</f>
        <v/>
      </c>
      <c r="L584" s="68">
        <f>IF($J584="",0,$K584*MAX(0,MIN(YEAR($C$3)*12+MONTH($C$3),YEAR($I584)*12+MONTH($I584))-(YEAR($H584)*12+MONTH($H584))+1))</f>
        <v/>
      </c>
      <c r="M584" s="68">
        <f>IF($J584="",0,$K584*MAX(0,MIN(YEAR($C$3)*12+MONTH($C$3)-1,YEAR($I584)*12+MONTH($I584))-(YEAR($H584)*12+MONTH($H584))+1))</f>
        <v/>
      </c>
      <c r="N584" s="68">
        <f>IF(OR($J584="",$B584=""),0,IF(YEAR($B584)*12+MONTH($B584)&lt;=YEAR($C$3)*12+MONTH($C$3),$G584,0))</f>
        <v/>
      </c>
      <c r="O584" s="68">
        <f>IF(OR($J584="",$B584=""),0,IF(YEAR($B584)*12+MONTH($B584)&lt;=YEAR($C$3)*12+MONTH($C$3)-1,$G584,0))</f>
        <v/>
      </c>
      <c r="P584" s="68">
        <f>$M584-$O584</f>
        <v/>
      </c>
      <c r="Q584" s="68">
        <f>($L584-$M584)-($N584-$O584)</f>
        <v/>
      </c>
      <c r="R584" s="68">
        <f>$L584-$N584</f>
        <v/>
      </c>
      <c r="S584" s="67">
        <f>"WIP journal"</f>
        <v/>
      </c>
      <c r="T584" s="67">
        <f>IFERROR(INDEX(tbl_WIP[Revenue or Cost],$A584),"")</f>
        <v/>
      </c>
    </row>
    <row r="585">
      <c r="A585" s="65">
        <f>ROW()-407</f>
        <v/>
      </c>
      <c r="B585" s="66">
        <f>IFERROR(INDEX(tbl_WIP[Month],$A585),"")</f>
        <v/>
      </c>
      <c r="C585" s="67">
        <f>IFERROR(INDEX(tbl_WIP[Xero Invoice No],$A585),"")</f>
        <v/>
      </c>
      <c r="D585" s="67">
        <f>IFERROR(INDEX(tbl_WIP[Client],$A585),"")</f>
        <v/>
      </c>
      <c r="E585" s="67">
        <f>IFERROR(INDEX(tbl_WIP[Job Number],$A585),"")</f>
        <v/>
      </c>
      <c r="F585" s="67">
        <f>IFERROR(INDEX(tbl_WIP[Cost Centre],$A585),"")</f>
        <v/>
      </c>
      <c r="G585" s="68">
        <f>IFERROR(IF(INDEX(tbl_WIP[Defer Start],$A585)="","",IF(INDEX(tbl_WIP[Revenue or Cost],$A585)="Cost",-1,1)*INDEX(tbl_WIP[Amount],$A585)),"")</f>
        <v/>
      </c>
      <c r="H585" s="66">
        <f>IFERROR(INDEX(tbl_WIP[Defer Start],$A585),"")</f>
        <v/>
      </c>
      <c r="I585" s="66">
        <f>IFERROR(INDEX(tbl_WIP[Defer End],$A585),"")</f>
        <v/>
      </c>
      <c r="J585" s="65">
        <f>IF(OR($H585="",$I585="",$G585=""),"",MAX(1,(YEAR($I585)-YEAR($H585))*12+MONTH($I585)-MONTH($H585)+1))</f>
        <v/>
      </c>
      <c r="K585" s="68">
        <f>IF($J585="","",$G585/$J585)</f>
        <v/>
      </c>
      <c r="L585" s="68">
        <f>IF($J585="",0,$K585*MAX(0,MIN(YEAR($C$3)*12+MONTH($C$3),YEAR($I585)*12+MONTH($I585))-(YEAR($H585)*12+MONTH($H585))+1))</f>
        <v/>
      </c>
      <c r="M585" s="68">
        <f>IF($J585="",0,$K585*MAX(0,MIN(YEAR($C$3)*12+MONTH($C$3)-1,YEAR($I585)*12+MONTH($I585))-(YEAR($H585)*12+MONTH($H585))+1))</f>
        <v/>
      </c>
      <c r="N585" s="68">
        <f>IF(OR($J585="",$B585=""),0,IF(YEAR($B585)*12+MONTH($B585)&lt;=YEAR($C$3)*12+MONTH($C$3),$G585,0))</f>
        <v/>
      </c>
      <c r="O585" s="68">
        <f>IF(OR($J585="",$B585=""),0,IF(YEAR($B585)*12+MONTH($B585)&lt;=YEAR($C$3)*12+MONTH($C$3)-1,$G585,0))</f>
        <v/>
      </c>
      <c r="P585" s="68">
        <f>$M585-$O585</f>
        <v/>
      </c>
      <c r="Q585" s="68">
        <f>($L585-$M585)-($N585-$O585)</f>
        <v/>
      </c>
      <c r="R585" s="68">
        <f>$L585-$N585</f>
        <v/>
      </c>
      <c r="S585" s="67">
        <f>"WIP journal"</f>
        <v/>
      </c>
      <c r="T585" s="67">
        <f>IFERROR(INDEX(tbl_WIP[Revenue or Cost],$A585),"")</f>
        <v/>
      </c>
    </row>
    <row r="586">
      <c r="A586" s="65">
        <f>ROW()-407</f>
        <v/>
      </c>
      <c r="B586" s="66">
        <f>IFERROR(INDEX(tbl_WIP[Month],$A586),"")</f>
        <v/>
      </c>
      <c r="C586" s="67">
        <f>IFERROR(INDEX(tbl_WIP[Xero Invoice No],$A586),"")</f>
        <v/>
      </c>
      <c r="D586" s="67">
        <f>IFERROR(INDEX(tbl_WIP[Client],$A586),"")</f>
        <v/>
      </c>
      <c r="E586" s="67">
        <f>IFERROR(INDEX(tbl_WIP[Job Number],$A586),"")</f>
        <v/>
      </c>
      <c r="F586" s="67">
        <f>IFERROR(INDEX(tbl_WIP[Cost Centre],$A586),"")</f>
        <v/>
      </c>
      <c r="G586" s="68">
        <f>IFERROR(IF(INDEX(tbl_WIP[Defer Start],$A586)="","",IF(INDEX(tbl_WIP[Revenue or Cost],$A586)="Cost",-1,1)*INDEX(tbl_WIP[Amount],$A586)),"")</f>
        <v/>
      </c>
      <c r="H586" s="66">
        <f>IFERROR(INDEX(tbl_WIP[Defer Start],$A586),"")</f>
        <v/>
      </c>
      <c r="I586" s="66">
        <f>IFERROR(INDEX(tbl_WIP[Defer End],$A586),"")</f>
        <v/>
      </c>
      <c r="J586" s="65">
        <f>IF(OR($H586="",$I586="",$G586=""),"",MAX(1,(YEAR($I586)-YEAR($H586))*12+MONTH($I586)-MONTH($H586)+1))</f>
        <v/>
      </c>
      <c r="K586" s="68">
        <f>IF($J586="","",$G586/$J586)</f>
        <v/>
      </c>
      <c r="L586" s="68">
        <f>IF($J586="",0,$K586*MAX(0,MIN(YEAR($C$3)*12+MONTH($C$3),YEAR($I586)*12+MONTH($I586))-(YEAR($H586)*12+MONTH($H586))+1))</f>
        <v/>
      </c>
      <c r="M586" s="68">
        <f>IF($J586="",0,$K586*MAX(0,MIN(YEAR($C$3)*12+MONTH($C$3)-1,YEAR($I586)*12+MONTH($I586))-(YEAR($H586)*12+MONTH($H586))+1))</f>
        <v/>
      </c>
      <c r="N586" s="68">
        <f>IF(OR($J586="",$B586=""),0,IF(YEAR($B586)*12+MONTH($B586)&lt;=YEAR($C$3)*12+MONTH($C$3),$G586,0))</f>
        <v/>
      </c>
      <c r="O586" s="68">
        <f>IF(OR($J586="",$B586=""),0,IF(YEAR($B586)*12+MONTH($B586)&lt;=YEAR($C$3)*12+MONTH($C$3)-1,$G586,0))</f>
        <v/>
      </c>
      <c r="P586" s="68">
        <f>$M586-$O586</f>
        <v/>
      </c>
      <c r="Q586" s="68">
        <f>($L586-$M586)-($N586-$O586)</f>
        <v/>
      </c>
      <c r="R586" s="68">
        <f>$L586-$N586</f>
        <v/>
      </c>
      <c r="S586" s="67">
        <f>"WIP journal"</f>
        <v/>
      </c>
      <c r="T586" s="67">
        <f>IFERROR(INDEX(tbl_WIP[Revenue or Cost],$A586),"")</f>
        <v/>
      </c>
    </row>
    <row r="587">
      <c r="A587" s="65">
        <f>ROW()-407</f>
        <v/>
      </c>
      <c r="B587" s="66">
        <f>IFERROR(INDEX(tbl_WIP[Month],$A587),"")</f>
        <v/>
      </c>
      <c r="C587" s="67">
        <f>IFERROR(INDEX(tbl_WIP[Xero Invoice No],$A587),"")</f>
        <v/>
      </c>
      <c r="D587" s="67">
        <f>IFERROR(INDEX(tbl_WIP[Client],$A587),"")</f>
        <v/>
      </c>
      <c r="E587" s="67">
        <f>IFERROR(INDEX(tbl_WIP[Job Number],$A587),"")</f>
        <v/>
      </c>
      <c r="F587" s="67">
        <f>IFERROR(INDEX(tbl_WIP[Cost Centre],$A587),"")</f>
        <v/>
      </c>
      <c r="G587" s="68">
        <f>IFERROR(IF(INDEX(tbl_WIP[Defer Start],$A587)="","",IF(INDEX(tbl_WIP[Revenue or Cost],$A587)="Cost",-1,1)*INDEX(tbl_WIP[Amount],$A587)),"")</f>
        <v/>
      </c>
      <c r="H587" s="66">
        <f>IFERROR(INDEX(tbl_WIP[Defer Start],$A587),"")</f>
        <v/>
      </c>
      <c r="I587" s="66">
        <f>IFERROR(INDEX(tbl_WIP[Defer End],$A587),"")</f>
        <v/>
      </c>
      <c r="J587" s="65">
        <f>IF(OR($H587="",$I587="",$G587=""),"",MAX(1,(YEAR($I587)-YEAR($H587))*12+MONTH($I587)-MONTH($H587)+1))</f>
        <v/>
      </c>
      <c r="K587" s="68">
        <f>IF($J587="","",$G587/$J587)</f>
        <v/>
      </c>
      <c r="L587" s="68">
        <f>IF($J587="",0,$K587*MAX(0,MIN(YEAR($C$3)*12+MONTH($C$3),YEAR($I587)*12+MONTH($I587))-(YEAR($H587)*12+MONTH($H587))+1))</f>
        <v/>
      </c>
      <c r="M587" s="68">
        <f>IF($J587="",0,$K587*MAX(0,MIN(YEAR($C$3)*12+MONTH($C$3)-1,YEAR($I587)*12+MONTH($I587))-(YEAR($H587)*12+MONTH($H587))+1))</f>
        <v/>
      </c>
      <c r="N587" s="68">
        <f>IF(OR($J587="",$B587=""),0,IF(YEAR($B587)*12+MONTH($B587)&lt;=YEAR($C$3)*12+MONTH($C$3),$G587,0))</f>
        <v/>
      </c>
      <c r="O587" s="68">
        <f>IF(OR($J587="",$B587=""),0,IF(YEAR($B587)*12+MONTH($B587)&lt;=YEAR($C$3)*12+MONTH($C$3)-1,$G587,0))</f>
        <v/>
      </c>
      <c r="P587" s="68">
        <f>$M587-$O587</f>
        <v/>
      </c>
      <c r="Q587" s="68">
        <f>($L587-$M587)-($N587-$O587)</f>
        <v/>
      </c>
      <c r="R587" s="68">
        <f>$L587-$N587</f>
        <v/>
      </c>
      <c r="S587" s="67">
        <f>"WIP journal"</f>
        <v/>
      </c>
      <c r="T587" s="67">
        <f>IFERROR(INDEX(tbl_WIP[Revenue or Cost],$A587),"")</f>
        <v/>
      </c>
    </row>
    <row r="588">
      <c r="A588" s="65">
        <f>ROW()-407</f>
        <v/>
      </c>
      <c r="B588" s="66">
        <f>IFERROR(INDEX(tbl_WIP[Month],$A588),"")</f>
        <v/>
      </c>
      <c r="C588" s="67">
        <f>IFERROR(INDEX(tbl_WIP[Xero Invoice No],$A588),"")</f>
        <v/>
      </c>
      <c r="D588" s="67">
        <f>IFERROR(INDEX(tbl_WIP[Client],$A588),"")</f>
        <v/>
      </c>
      <c r="E588" s="67">
        <f>IFERROR(INDEX(tbl_WIP[Job Number],$A588),"")</f>
        <v/>
      </c>
      <c r="F588" s="67">
        <f>IFERROR(INDEX(tbl_WIP[Cost Centre],$A588),"")</f>
        <v/>
      </c>
      <c r="G588" s="68">
        <f>IFERROR(IF(INDEX(tbl_WIP[Defer Start],$A588)="","",IF(INDEX(tbl_WIP[Revenue or Cost],$A588)="Cost",-1,1)*INDEX(tbl_WIP[Amount],$A588)),"")</f>
        <v/>
      </c>
      <c r="H588" s="66">
        <f>IFERROR(INDEX(tbl_WIP[Defer Start],$A588),"")</f>
        <v/>
      </c>
      <c r="I588" s="66">
        <f>IFERROR(INDEX(tbl_WIP[Defer End],$A588),"")</f>
        <v/>
      </c>
      <c r="J588" s="65">
        <f>IF(OR($H588="",$I588="",$G588=""),"",MAX(1,(YEAR($I588)-YEAR($H588))*12+MONTH($I588)-MONTH($H588)+1))</f>
        <v/>
      </c>
      <c r="K588" s="68">
        <f>IF($J588="","",$G588/$J588)</f>
        <v/>
      </c>
      <c r="L588" s="68">
        <f>IF($J588="",0,$K588*MAX(0,MIN(YEAR($C$3)*12+MONTH($C$3),YEAR($I588)*12+MONTH($I588))-(YEAR($H588)*12+MONTH($H588))+1))</f>
        <v/>
      </c>
      <c r="M588" s="68">
        <f>IF($J588="",0,$K588*MAX(0,MIN(YEAR($C$3)*12+MONTH($C$3)-1,YEAR($I588)*12+MONTH($I588))-(YEAR($H588)*12+MONTH($H588))+1))</f>
        <v/>
      </c>
      <c r="N588" s="68">
        <f>IF(OR($J588="",$B588=""),0,IF(YEAR($B588)*12+MONTH($B588)&lt;=YEAR($C$3)*12+MONTH($C$3),$G588,0))</f>
        <v/>
      </c>
      <c r="O588" s="68">
        <f>IF(OR($J588="",$B588=""),0,IF(YEAR($B588)*12+MONTH($B588)&lt;=YEAR($C$3)*12+MONTH($C$3)-1,$G588,0))</f>
        <v/>
      </c>
      <c r="P588" s="68">
        <f>$M588-$O588</f>
        <v/>
      </c>
      <c r="Q588" s="68">
        <f>($L588-$M588)-($N588-$O588)</f>
        <v/>
      </c>
      <c r="R588" s="68">
        <f>$L588-$N588</f>
        <v/>
      </c>
      <c r="S588" s="67">
        <f>"WIP journal"</f>
        <v/>
      </c>
      <c r="T588" s="67">
        <f>IFERROR(INDEX(tbl_WIP[Revenue or Cost],$A588),"")</f>
        <v/>
      </c>
    </row>
    <row r="589">
      <c r="A589" s="65">
        <f>ROW()-407</f>
        <v/>
      </c>
      <c r="B589" s="66">
        <f>IFERROR(INDEX(tbl_WIP[Month],$A589),"")</f>
        <v/>
      </c>
      <c r="C589" s="67">
        <f>IFERROR(INDEX(tbl_WIP[Xero Invoice No],$A589),"")</f>
        <v/>
      </c>
      <c r="D589" s="67">
        <f>IFERROR(INDEX(tbl_WIP[Client],$A589),"")</f>
        <v/>
      </c>
      <c r="E589" s="67">
        <f>IFERROR(INDEX(tbl_WIP[Job Number],$A589),"")</f>
        <v/>
      </c>
      <c r="F589" s="67">
        <f>IFERROR(INDEX(tbl_WIP[Cost Centre],$A589),"")</f>
        <v/>
      </c>
      <c r="G589" s="68">
        <f>IFERROR(IF(INDEX(tbl_WIP[Defer Start],$A589)="","",IF(INDEX(tbl_WIP[Revenue or Cost],$A589)="Cost",-1,1)*INDEX(tbl_WIP[Amount],$A589)),"")</f>
        <v/>
      </c>
      <c r="H589" s="66">
        <f>IFERROR(INDEX(tbl_WIP[Defer Start],$A589),"")</f>
        <v/>
      </c>
      <c r="I589" s="66">
        <f>IFERROR(INDEX(tbl_WIP[Defer End],$A589),"")</f>
        <v/>
      </c>
      <c r="J589" s="65">
        <f>IF(OR($H589="",$I589="",$G589=""),"",MAX(1,(YEAR($I589)-YEAR($H589))*12+MONTH($I589)-MONTH($H589)+1))</f>
        <v/>
      </c>
      <c r="K589" s="68">
        <f>IF($J589="","",$G589/$J589)</f>
        <v/>
      </c>
      <c r="L589" s="68">
        <f>IF($J589="",0,$K589*MAX(0,MIN(YEAR($C$3)*12+MONTH($C$3),YEAR($I589)*12+MONTH($I589))-(YEAR($H589)*12+MONTH($H589))+1))</f>
        <v/>
      </c>
      <c r="M589" s="68">
        <f>IF($J589="",0,$K589*MAX(0,MIN(YEAR($C$3)*12+MONTH($C$3)-1,YEAR($I589)*12+MONTH($I589))-(YEAR($H589)*12+MONTH($H589))+1))</f>
        <v/>
      </c>
      <c r="N589" s="68">
        <f>IF(OR($J589="",$B589=""),0,IF(YEAR($B589)*12+MONTH($B589)&lt;=YEAR($C$3)*12+MONTH($C$3),$G589,0))</f>
        <v/>
      </c>
      <c r="O589" s="68">
        <f>IF(OR($J589="",$B589=""),0,IF(YEAR($B589)*12+MONTH($B589)&lt;=YEAR($C$3)*12+MONTH($C$3)-1,$G589,0))</f>
        <v/>
      </c>
      <c r="P589" s="68">
        <f>$M589-$O589</f>
        <v/>
      </c>
      <c r="Q589" s="68">
        <f>($L589-$M589)-($N589-$O589)</f>
        <v/>
      </c>
      <c r="R589" s="68">
        <f>$L589-$N589</f>
        <v/>
      </c>
      <c r="S589" s="67">
        <f>"WIP journal"</f>
        <v/>
      </c>
      <c r="T589" s="67">
        <f>IFERROR(INDEX(tbl_WIP[Revenue or Cost],$A589),"")</f>
        <v/>
      </c>
    </row>
    <row r="590">
      <c r="A590" s="65">
        <f>ROW()-407</f>
        <v/>
      </c>
      <c r="B590" s="66">
        <f>IFERROR(INDEX(tbl_WIP[Month],$A590),"")</f>
        <v/>
      </c>
      <c r="C590" s="67">
        <f>IFERROR(INDEX(tbl_WIP[Xero Invoice No],$A590),"")</f>
        <v/>
      </c>
      <c r="D590" s="67">
        <f>IFERROR(INDEX(tbl_WIP[Client],$A590),"")</f>
        <v/>
      </c>
      <c r="E590" s="67">
        <f>IFERROR(INDEX(tbl_WIP[Job Number],$A590),"")</f>
        <v/>
      </c>
      <c r="F590" s="67">
        <f>IFERROR(INDEX(tbl_WIP[Cost Centre],$A590),"")</f>
        <v/>
      </c>
      <c r="G590" s="68">
        <f>IFERROR(IF(INDEX(tbl_WIP[Defer Start],$A590)="","",IF(INDEX(tbl_WIP[Revenue or Cost],$A590)="Cost",-1,1)*INDEX(tbl_WIP[Amount],$A590)),"")</f>
        <v/>
      </c>
      <c r="H590" s="66">
        <f>IFERROR(INDEX(tbl_WIP[Defer Start],$A590),"")</f>
        <v/>
      </c>
      <c r="I590" s="66">
        <f>IFERROR(INDEX(tbl_WIP[Defer End],$A590),"")</f>
        <v/>
      </c>
      <c r="J590" s="65">
        <f>IF(OR($H590="",$I590="",$G590=""),"",MAX(1,(YEAR($I590)-YEAR($H590))*12+MONTH($I590)-MONTH($H590)+1))</f>
        <v/>
      </c>
      <c r="K590" s="68">
        <f>IF($J590="","",$G590/$J590)</f>
        <v/>
      </c>
      <c r="L590" s="68">
        <f>IF($J590="",0,$K590*MAX(0,MIN(YEAR($C$3)*12+MONTH($C$3),YEAR($I590)*12+MONTH($I590))-(YEAR($H590)*12+MONTH($H590))+1))</f>
        <v/>
      </c>
      <c r="M590" s="68">
        <f>IF($J590="",0,$K590*MAX(0,MIN(YEAR($C$3)*12+MONTH($C$3)-1,YEAR($I590)*12+MONTH($I590))-(YEAR($H590)*12+MONTH($H590))+1))</f>
        <v/>
      </c>
      <c r="N590" s="68">
        <f>IF(OR($J590="",$B590=""),0,IF(YEAR($B590)*12+MONTH($B590)&lt;=YEAR($C$3)*12+MONTH($C$3),$G590,0))</f>
        <v/>
      </c>
      <c r="O590" s="68">
        <f>IF(OR($J590="",$B590=""),0,IF(YEAR($B590)*12+MONTH($B590)&lt;=YEAR($C$3)*12+MONTH($C$3)-1,$G590,0))</f>
        <v/>
      </c>
      <c r="P590" s="68">
        <f>$M590-$O590</f>
        <v/>
      </c>
      <c r="Q590" s="68">
        <f>($L590-$M590)-($N590-$O590)</f>
        <v/>
      </c>
      <c r="R590" s="68">
        <f>$L590-$N590</f>
        <v/>
      </c>
      <c r="S590" s="67">
        <f>"WIP journal"</f>
        <v/>
      </c>
      <c r="T590" s="67">
        <f>IFERROR(INDEX(tbl_WIP[Revenue or Cost],$A590),"")</f>
        <v/>
      </c>
    </row>
    <row r="591">
      <c r="A591" s="65">
        <f>ROW()-407</f>
        <v/>
      </c>
      <c r="B591" s="66">
        <f>IFERROR(INDEX(tbl_WIP[Month],$A591),"")</f>
        <v/>
      </c>
      <c r="C591" s="67">
        <f>IFERROR(INDEX(tbl_WIP[Xero Invoice No],$A591),"")</f>
        <v/>
      </c>
      <c r="D591" s="67">
        <f>IFERROR(INDEX(tbl_WIP[Client],$A591),"")</f>
        <v/>
      </c>
      <c r="E591" s="67">
        <f>IFERROR(INDEX(tbl_WIP[Job Number],$A591),"")</f>
        <v/>
      </c>
      <c r="F591" s="67">
        <f>IFERROR(INDEX(tbl_WIP[Cost Centre],$A591),"")</f>
        <v/>
      </c>
      <c r="G591" s="68">
        <f>IFERROR(IF(INDEX(tbl_WIP[Defer Start],$A591)="","",IF(INDEX(tbl_WIP[Revenue or Cost],$A591)="Cost",-1,1)*INDEX(tbl_WIP[Amount],$A591)),"")</f>
        <v/>
      </c>
      <c r="H591" s="66">
        <f>IFERROR(INDEX(tbl_WIP[Defer Start],$A591),"")</f>
        <v/>
      </c>
      <c r="I591" s="66">
        <f>IFERROR(INDEX(tbl_WIP[Defer End],$A591),"")</f>
        <v/>
      </c>
      <c r="J591" s="65">
        <f>IF(OR($H591="",$I591="",$G591=""),"",MAX(1,(YEAR($I591)-YEAR($H591))*12+MONTH($I591)-MONTH($H591)+1))</f>
        <v/>
      </c>
      <c r="K591" s="68">
        <f>IF($J591="","",$G591/$J591)</f>
        <v/>
      </c>
      <c r="L591" s="68">
        <f>IF($J591="",0,$K591*MAX(0,MIN(YEAR($C$3)*12+MONTH($C$3),YEAR($I591)*12+MONTH($I591))-(YEAR($H591)*12+MONTH($H591))+1))</f>
        <v/>
      </c>
      <c r="M591" s="68">
        <f>IF($J591="",0,$K591*MAX(0,MIN(YEAR($C$3)*12+MONTH($C$3)-1,YEAR($I591)*12+MONTH($I591))-(YEAR($H591)*12+MONTH($H591))+1))</f>
        <v/>
      </c>
      <c r="N591" s="68">
        <f>IF(OR($J591="",$B591=""),0,IF(YEAR($B591)*12+MONTH($B591)&lt;=YEAR($C$3)*12+MONTH($C$3),$G591,0))</f>
        <v/>
      </c>
      <c r="O591" s="68">
        <f>IF(OR($J591="",$B591=""),0,IF(YEAR($B591)*12+MONTH($B591)&lt;=YEAR($C$3)*12+MONTH($C$3)-1,$G591,0))</f>
        <v/>
      </c>
      <c r="P591" s="68">
        <f>$M591-$O591</f>
        <v/>
      </c>
      <c r="Q591" s="68">
        <f>($L591-$M591)-($N591-$O591)</f>
        <v/>
      </c>
      <c r="R591" s="68">
        <f>$L591-$N591</f>
        <v/>
      </c>
      <c r="S591" s="67">
        <f>"WIP journal"</f>
        <v/>
      </c>
      <c r="T591" s="67">
        <f>IFERROR(INDEX(tbl_WIP[Revenue or Cost],$A591),"")</f>
        <v/>
      </c>
    </row>
    <row r="592">
      <c r="A592" s="65">
        <f>ROW()-407</f>
        <v/>
      </c>
      <c r="B592" s="66">
        <f>IFERROR(INDEX(tbl_WIP[Month],$A592),"")</f>
        <v/>
      </c>
      <c r="C592" s="67">
        <f>IFERROR(INDEX(tbl_WIP[Xero Invoice No],$A592),"")</f>
        <v/>
      </c>
      <c r="D592" s="67">
        <f>IFERROR(INDEX(tbl_WIP[Client],$A592),"")</f>
        <v/>
      </c>
      <c r="E592" s="67">
        <f>IFERROR(INDEX(tbl_WIP[Job Number],$A592),"")</f>
        <v/>
      </c>
      <c r="F592" s="67">
        <f>IFERROR(INDEX(tbl_WIP[Cost Centre],$A592),"")</f>
        <v/>
      </c>
      <c r="G592" s="68">
        <f>IFERROR(IF(INDEX(tbl_WIP[Defer Start],$A592)="","",IF(INDEX(tbl_WIP[Revenue or Cost],$A592)="Cost",-1,1)*INDEX(tbl_WIP[Amount],$A592)),"")</f>
        <v/>
      </c>
      <c r="H592" s="66">
        <f>IFERROR(INDEX(tbl_WIP[Defer Start],$A592),"")</f>
        <v/>
      </c>
      <c r="I592" s="66">
        <f>IFERROR(INDEX(tbl_WIP[Defer End],$A592),"")</f>
        <v/>
      </c>
      <c r="J592" s="65">
        <f>IF(OR($H592="",$I592="",$G592=""),"",MAX(1,(YEAR($I592)-YEAR($H592))*12+MONTH($I592)-MONTH($H592)+1))</f>
        <v/>
      </c>
      <c r="K592" s="68">
        <f>IF($J592="","",$G592/$J592)</f>
        <v/>
      </c>
      <c r="L592" s="68">
        <f>IF($J592="",0,$K592*MAX(0,MIN(YEAR($C$3)*12+MONTH($C$3),YEAR($I592)*12+MONTH($I592))-(YEAR($H592)*12+MONTH($H592))+1))</f>
        <v/>
      </c>
      <c r="M592" s="68">
        <f>IF($J592="",0,$K592*MAX(0,MIN(YEAR($C$3)*12+MONTH($C$3)-1,YEAR($I592)*12+MONTH($I592))-(YEAR($H592)*12+MONTH($H592))+1))</f>
        <v/>
      </c>
      <c r="N592" s="68">
        <f>IF(OR($J592="",$B592=""),0,IF(YEAR($B592)*12+MONTH($B592)&lt;=YEAR($C$3)*12+MONTH($C$3),$G592,0))</f>
        <v/>
      </c>
      <c r="O592" s="68">
        <f>IF(OR($J592="",$B592=""),0,IF(YEAR($B592)*12+MONTH($B592)&lt;=YEAR($C$3)*12+MONTH($C$3)-1,$G592,0))</f>
        <v/>
      </c>
      <c r="P592" s="68">
        <f>$M592-$O592</f>
        <v/>
      </c>
      <c r="Q592" s="68">
        <f>($L592-$M592)-($N592-$O592)</f>
        <v/>
      </c>
      <c r="R592" s="68">
        <f>$L592-$N592</f>
        <v/>
      </c>
      <c r="S592" s="67">
        <f>"WIP journal"</f>
        <v/>
      </c>
      <c r="T592" s="67">
        <f>IFERROR(INDEX(tbl_WIP[Revenue or Cost],$A592),"")</f>
        <v/>
      </c>
    </row>
    <row r="593">
      <c r="A593" s="65">
        <f>ROW()-407</f>
        <v/>
      </c>
      <c r="B593" s="66">
        <f>IFERROR(INDEX(tbl_WIP[Month],$A593),"")</f>
        <v/>
      </c>
      <c r="C593" s="67">
        <f>IFERROR(INDEX(tbl_WIP[Xero Invoice No],$A593),"")</f>
        <v/>
      </c>
      <c r="D593" s="67">
        <f>IFERROR(INDEX(tbl_WIP[Client],$A593),"")</f>
        <v/>
      </c>
      <c r="E593" s="67">
        <f>IFERROR(INDEX(tbl_WIP[Job Number],$A593),"")</f>
        <v/>
      </c>
      <c r="F593" s="67">
        <f>IFERROR(INDEX(tbl_WIP[Cost Centre],$A593),"")</f>
        <v/>
      </c>
      <c r="G593" s="68">
        <f>IFERROR(IF(INDEX(tbl_WIP[Defer Start],$A593)="","",IF(INDEX(tbl_WIP[Revenue or Cost],$A593)="Cost",-1,1)*INDEX(tbl_WIP[Amount],$A593)),"")</f>
        <v/>
      </c>
      <c r="H593" s="66">
        <f>IFERROR(INDEX(tbl_WIP[Defer Start],$A593),"")</f>
        <v/>
      </c>
      <c r="I593" s="66">
        <f>IFERROR(INDEX(tbl_WIP[Defer End],$A593),"")</f>
        <v/>
      </c>
      <c r="J593" s="65">
        <f>IF(OR($H593="",$I593="",$G593=""),"",MAX(1,(YEAR($I593)-YEAR($H593))*12+MONTH($I593)-MONTH($H593)+1))</f>
        <v/>
      </c>
      <c r="K593" s="68">
        <f>IF($J593="","",$G593/$J593)</f>
        <v/>
      </c>
      <c r="L593" s="68">
        <f>IF($J593="",0,$K593*MAX(0,MIN(YEAR($C$3)*12+MONTH($C$3),YEAR($I593)*12+MONTH($I593))-(YEAR($H593)*12+MONTH($H593))+1))</f>
        <v/>
      </c>
      <c r="M593" s="68">
        <f>IF($J593="",0,$K593*MAX(0,MIN(YEAR($C$3)*12+MONTH($C$3)-1,YEAR($I593)*12+MONTH($I593))-(YEAR($H593)*12+MONTH($H593))+1))</f>
        <v/>
      </c>
      <c r="N593" s="68">
        <f>IF(OR($J593="",$B593=""),0,IF(YEAR($B593)*12+MONTH($B593)&lt;=YEAR($C$3)*12+MONTH($C$3),$G593,0))</f>
        <v/>
      </c>
      <c r="O593" s="68">
        <f>IF(OR($J593="",$B593=""),0,IF(YEAR($B593)*12+MONTH($B593)&lt;=YEAR($C$3)*12+MONTH($C$3)-1,$G593,0))</f>
        <v/>
      </c>
      <c r="P593" s="68">
        <f>$M593-$O593</f>
        <v/>
      </c>
      <c r="Q593" s="68">
        <f>($L593-$M593)-($N593-$O593)</f>
        <v/>
      </c>
      <c r="R593" s="68">
        <f>$L593-$N593</f>
        <v/>
      </c>
      <c r="S593" s="67">
        <f>"WIP journal"</f>
        <v/>
      </c>
      <c r="T593" s="67">
        <f>IFERROR(INDEX(tbl_WIP[Revenue or Cost],$A593),"")</f>
        <v/>
      </c>
    </row>
    <row r="594">
      <c r="A594" s="65">
        <f>ROW()-407</f>
        <v/>
      </c>
      <c r="B594" s="66">
        <f>IFERROR(INDEX(tbl_WIP[Month],$A594),"")</f>
        <v/>
      </c>
      <c r="C594" s="67">
        <f>IFERROR(INDEX(tbl_WIP[Xero Invoice No],$A594),"")</f>
        <v/>
      </c>
      <c r="D594" s="67">
        <f>IFERROR(INDEX(tbl_WIP[Client],$A594),"")</f>
        <v/>
      </c>
      <c r="E594" s="67">
        <f>IFERROR(INDEX(tbl_WIP[Job Number],$A594),"")</f>
        <v/>
      </c>
      <c r="F594" s="67">
        <f>IFERROR(INDEX(tbl_WIP[Cost Centre],$A594),"")</f>
        <v/>
      </c>
      <c r="G594" s="68">
        <f>IFERROR(IF(INDEX(tbl_WIP[Defer Start],$A594)="","",IF(INDEX(tbl_WIP[Revenue or Cost],$A594)="Cost",-1,1)*INDEX(tbl_WIP[Amount],$A594)),"")</f>
        <v/>
      </c>
      <c r="H594" s="66">
        <f>IFERROR(INDEX(tbl_WIP[Defer Start],$A594),"")</f>
        <v/>
      </c>
      <c r="I594" s="66">
        <f>IFERROR(INDEX(tbl_WIP[Defer End],$A594),"")</f>
        <v/>
      </c>
      <c r="J594" s="65">
        <f>IF(OR($H594="",$I594="",$G594=""),"",MAX(1,(YEAR($I594)-YEAR($H594))*12+MONTH($I594)-MONTH($H594)+1))</f>
        <v/>
      </c>
      <c r="K594" s="68">
        <f>IF($J594="","",$G594/$J594)</f>
        <v/>
      </c>
      <c r="L594" s="68">
        <f>IF($J594="",0,$K594*MAX(0,MIN(YEAR($C$3)*12+MONTH($C$3),YEAR($I594)*12+MONTH($I594))-(YEAR($H594)*12+MONTH($H594))+1))</f>
        <v/>
      </c>
      <c r="M594" s="68">
        <f>IF($J594="",0,$K594*MAX(0,MIN(YEAR($C$3)*12+MONTH($C$3)-1,YEAR($I594)*12+MONTH($I594))-(YEAR($H594)*12+MONTH($H594))+1))</f>
        <v/>
      </c>
      <c r="N594" s="68">
        <f>IF(OR($J594="",$B594=""),0,IF(YEAR($B594)*12+MONTH($B594)&lt;=YEAR($C$3)*12+MONTH($C$3),$G594,0))</f>
        <v/>
      </c>
      <c r="O594" s="68">
        <f>IF(OR($J594="",$B594=""),0,IF(YEAR($B594)*12+MONTH($B594)&lt;=YEAR($C$3)*12+MONTH($C$3)-1,$G594,0))</f>
        <v/>
      </c>
      <c r="P594" s="68">
        <f>$M594-$O594</f>
        <v/>
      </c>
      <c r="Q594" s="68">
        <f>($L594-$M594)-($N594-$O594)</f>
        <v/>
      </c>
      <c r="R594" s="68">
        <f>$L594-$N594</f>
        <v/>
      </c>
      <c r="S594" s="67">
        <f>"WIP journal"</f>
        <v/>
      </c>
      <c r="T594" s="67">
        <f>IFERROR(INDEX(tbl_WIP[Revenue or Cost],$A594),"")</f>
        <v/>
      </c>
    </row>
    <row r="595">
      <c r="A595" s="65">
        <f>ROW()-407</f>
        <v/>
      </c>
      <c r="B595" s="66">
        <f>IFERROR(INDEX(tbl_WIP[Month],$A595),"")</f>
        <v/>
      </c>
      <c r="C595" s="67">
        <f>IFERROR(INDEX(tbl_WIP[Xero Invoice No],$A595),"")</f>
        <v/>
      </c>
      <c r="D595" s="67">
        <f>IFERROR(INDEX(tbl_WIP[Client],$A595),"")</f>
        <v/>
      </c>
      <c r="E595" s="67">
        <f>IFERROR(INDEX(tbl_WIP[Job Number],$A595),"")</f>
        <v/>
      </c>
      <c r="F595" s="67">
        <f>IFERROR(INDEX(tbl_WIP[Cost Centre],$A595),"")</f>
        <v/>
      </c>
      <c r="G595" s="68">
        <f>IFERROR(IF(INDEX(tbl_WIP[Defer Start],$A595)="","",IF(INDEX(tbl_WIP[Revenue or Cost],$A595)="Cost",-1,1)*INDEX(tbl_WIP[Amount],$A595)),"")</f>
        <v/>
      </c>
      <c r="H595" s="66">
        <f>IFERROR(INDEX(tbl_WIP[Defer Start],$A595),"")</f>
        <v/>
      </c>
      <c r="I595" s="66">
        <f>IFERROR(INDEX(tbl_WIP[Defer End],$A595),"")</f>
        <v/>
      </c>
      <c r="J595" s="65">
        <f>IF(OR($H595="",$I595="",$G595=""),"",MAX(1,(YEAR($I595)-YEAR($H595))*12+MONTH($I595)-MONTH($H595)+1))</f>
        <v/>
      </c>
      <c r="K595" s="68">
        <f>IF($J595="","",$G595/$J595)</f>
        <v/>
      </c>
      <c r="L595" s="68">
        <f>IF($J595="",0,$K595*MAX(0,MIN(YEAR($C$3)*12+MONTH($C$3),YEAR($I595)*12+MONTH($I595))-(YEAR($H595)*12+MONTH($H595))+1))</f>
        <v/>
      </c>
      <c r="M595" s="68">
        <f>IF($J595="",0,$K595*MAX(0,MIN(YEAR($C$3)*12+MONTH($C$3)-1,YEAR($I595)*12+MONTH($I595))-(YEAR($H595)*12+MONTH($H595))+1))</f>
        <v/>
      </c>
      <c r="N595" s="68">
        <f>IF(OR($J595="",$B595=""),0,IF(YEAR($B595)*12+MONTH($B595)&lt;=YEAR($C$3)*12+MONTH($C$3),$G595,0))</f>
        <v/>
      </c>
      <c r="O595" s="68">
        <f>IF(OR($J595="",$B595=""),0,IF(YEAR($B595)*12+MONTH($B595)&lt;=YEAR($C$3)*12+MONTH($C$3)-1,$G595,0))</f>
        <v/>
      </c>
      <c r="P595" s="68">
        <f>$M595-$O595</f>
        <v/>
      </c>
      <c r="Q595" s="68">
        <f>($L595-$M595)-($N595-$O595)</f>
        <v/>
      </c>
      <c r="R595" s="68">
        <f>$L595-$N595</f>
        <v/>
      </c>
      <c r="S595" s="67">
        <f>"WIP journal"</f>
        <v/>
      </c>
      <c r="T595" s="67">
        <f>IFERROR(INDEX(tbl_WIP[Revenue or Cost],$A595),"")</f>
        <v/>
      </c>
    </row>
    <row r="596">
      <c r="A596" s="65">
        <f>ROW()-407</f>
        <v/>
      </c>
      <c r="B596" s="66">
        <f>IFERROR(INDEX(tbl_WIP[Month],$A596),"")</f>
        <v/>
      </c>
      <c r="C596" s="67">
        <f>IFERROR(INDEX(tbl_WIP[Xero Invoice No],$A596),"")</f>
        <v/>
      </c>
      <c r="D596" s="67">
        <f>IFERROR(INDEX(tbl_WIP[Client],$A596),"")</f>
        <v/>
      </c>
      <c r="E596" s="67">
        <f>IFERROR(INDEX(tbl_WIP[Job Number],$A596),"")</f>
        <v/>
      </c>
      <c r="F596" s="67">
        <f>IFERROR(INDEX(tbl_WIP[Cost Centre],$A596),"")</f>
        <v/>
      </c>
      <c r="G596" s="68">
        <f>IFERROR(IF(INDEX(tbl_WIP[Defer Start],$A596)="","",IF(INDEX(tbl_WIP[Revenue or Cost],$A596)="Cost",-1,1)*INDEX(tbl_WIP[Amount],$A596)),"")</f>
        <v/>
      </c>
      <c r="H596" s="66">
        <f>IFERROR(INDEX(tbl_WIP[Defer Start],$A596),"")</f>
        <v/>
      </c>
      <c r="I596" s="66">
        <f>IFERROR(INDEX(tbl_WIP[Defer End],$A596),"")</f>
        <v/>
      </c>
      <c r="J596" s="65">
        <f>IF(OR($H596="",$I596="",$G596=""),"",MAX(1,(YEAR($I596)-YEAR($H596))*12+MONTH($I596)-MONTH($H596)+1))</f>
        <v/>
      </c>
      <c r="K596" s="68">
        <f>IF($J596="","",$G596/$J596)</f>
        <v/>
      </c>
      <c r="L596" s="68">
        <f>IF($J596="",0,$K596*MAX(0,MIN(YEAR($C$3)*12+MONTH($C$3),YEAR($I596)*12+MONTH($I596))-(YEAR($H596)*12+MONTH($H596))+1))</f>
        <v/>
      </c>
      <c r="M596" s="68">
        <f>IF($J596="",0,$K596*MAX(0,MIN(YEAR($C$3)*12+MONTH($C$3)-1,YEAR($I596)*12+MONTH($I596))-(YEAR($H596)*12+MONTH($H596))+1))</f>
        <v/>
      </c>
      <c r="N596" s="68">
        <f>IF(OR($J596="",$B596=""),0,IF(YEAR($B596)*12+MONTH($B596)&lt;=YEAR($C$3)*12+MONTH($C$3),$G596,0))</f>
        <v/>
      </c>
      <c r="O596" s="68">
        <f>IF(OR($J596="",$B596=""),0,IF(YEAR($B596)*12+MONTH($B596)&lt;=YEAR($C$3)*12+MONTH($C$3)-1,$G596,0))</f>
        <v/>
      </c>
      <c r="P596" s="68">
        <f>$M596-$O596</f>
        <v/>
      </c>
      <c r="Q596" s="68">
        <f>($L596-$M596)-($N596-$O596)</f>
        <v/>
      </c>
      <c r="R596" s="68">
        <f>$L596-$N596</f>
        <v/>
      </c>
      <c r="S596" s="67">
        <f>"WIP journal"</f>
        <v/>
      </c>
      <c r="T596" s="67">
        <f>IFERROR(INDEX(tbl_WIP[Revenue or Cost],$A596),"")</f>
        <v/>
      </c>
    </row>
    <row r="597">
      <c r="A597" s="65">
        <f>ROW()-407</f>
        <v/>
      </c>
      <c r="B597" s="66">
        <f>IFERROR(INDEX(tbl_WIP[Month],$A597),"")</f>
        <v/>
      </c>
      <c r="C597" s="67">
        <f>IFERROR(INDEX(tbl_WIP[Xero Invoice No],$A597),"")</f>
        <v/>
      </c>
      <c r="D597" s="67">
        <f>IFERROR(INDEX(tbl_WIP[Client],$A597),"")</f>
        <v/>
      </c>
      <c r="E597" s="67">
        <f>IFERROR(INDEX(tbl_WIP[Job Number],$A597),"")</f>
        <v/>
      </c>
      <c r="F597" s="67">
        <f>IFERROR(INDEX(tbl_WIP[Cost Centre],$A597),"")</f>
        <v/>
      </c>
      <c r="G597" s="68">
        <f>IFERROR(IF(INDEX(tbl_WIP[Defer Start],$A597)="","",IF(INDEX(tbl_WIP[Revenue or Cost],$A597)="Cost",-1,1)*INDEX(tbl_WIP[Amount],$A597)),"")</f>
        <v/>
      </c>
      <c r="H597" s="66">
        <f>IFERROR(INDEX(tbl_WIP[Defer Start],$A597),"")</f>
        <v/>
      </c>
      <c r="I597" s="66">
        <f>IFERROR(INDEX(tbl_WIP[Defer End],$A597),"")</f>
        <v/>
      </c>
      <c r="J597" s="65">
        <f>IF(OR($H597="",$I597="",$G597=""),"",MAX(1,(YEAR($I597)-YEAR($H597))*12+MONTH($I597)-MONTH($H597)+1))</f>
        <v/>
      </c>
      <c r="K597" s="68">
        <f>IF($J597="","",$G597/$J597)</f>
        <v/>
      </c>
      <c r="L597" s="68">
        <f>IF($J597="",0,$K597*MAX(0,MIN(YEAR($C$3)*12+MONTH($C$3),YEAR($I597)*12+MONTH($I597))-(YEAR($H597)*12+MONTH($H597))+1))</f>
        <v/>
      </c>
      <c r="M597" s="68">
        <f>IF($J597="",0,$K597*MAX(0,MIN(YEAR($C$3)*12+MONTH($C$3)-1,YEAR($I597)*12+MONTH($I597))-(YEAR($H597)*12+MONTH($H597))+1))</f>
        <v/>
      </c>
      <c r="N597" s="68">
        <f>IF(OR($J597="",$B597=""),0,IF(YEAR($B597)*12+MONTH($B597)&lt;=YEAR($C$3)*12+MONTH($C$3),$G597,0))</f>
        <v/>
      </c>
      <c r="O597" s="68">
        <f>IF(OR($J597="",$B597=""),0,IF(YEAR($B597)*12+MONTH($B597)&lt;=YEAR($C$3)*12+MONTH($C$3)-1,$G597,0))</f>
        <v/>
      </c>
      <c r="P597" s="68">
        <f>$M597-$O597</f>
        <v/>
      </c>
      <c r="Q597" s="68">
        <f>($L597-$M597)-($N597-$O597)</f>
        <v/>
      </c>
      <c r="R597" s="68">
        <f>$L597-$N597</f>
        <v/>
      </c>
      <c r="S597" s="67">
        <f>"WIP journal"</f>
        <v/>
      </c>
      <c r="T597" s="67">
        <f>IFERROR(INDEX(tbl_WIP[Revenue or Cost],$A597),"")</f>
        <v/>
      </c>
    </row>
    <row r="598">
      <c r="A598" s="65">
        <f>ROW()-407</f>
        <v/>
      </c>
      <c r="B598" s="66">
        <f>IFERROR(INDEX(tbl_WIP[Month],$A598),"")</f>
        <v/>
      </c>
      <c r="C598" s="67">
        <f>IFERROR(INDEX(tbl_WIP[Xero Invoice No],$A598),"")</f>
        <v/>
      </c>
      <c r="D598" s="67">
        <f>IFERROR(INDEX(tbl_WIP[Client],$A598),"")</f>
        <v/>
      </c>
      <c r="E598" s="67">
        <f>IFERROR(INDEX(tbl_WIP[Job Number],$A598),"")</f>
        <v/>
      </c>
      <c r="F598" s="67">
        <f>IFERROR(INDEX(tbl_WIP[Cost Centre],$A598),"")</f>
        <v/>
      </c>
      <c r="G598" s="68">
        <f>IFERROR(IF(INDEX(tbl_WIP[Defer Start],$A598)="","",IF(INDEX(tbl_WIP[Revenue or Cost],$A598)="Cost",-1,1)*INDEX(tbl_WIP[Amount],$A598)),"")</f>
        <v/>
      </c>
      <c r="H598" s="66">
        <f>IFERROR(INDEX(tbl_WIP[Defer Start],$A598),"")</f>
        <v/>
      </c>
      <c r="I598" s="66">
        <f>IFERROR(INDEX(tbl_WIP[Defer End],$A598),"")</f>
        <v/>
      </c>
      <c r="J598" s="65">
        <f>IF(OR($H598="",$I598="",$G598=""),"",MAX(1,(YEAR($I598)-YEAR($H598))*12+MONTH($I598)-MONTH($H598)+1))</f>
        <v/>
      </c>
      <c r="K598" s="68">
        <f>IF($J598="","",$G598/$J598)</f>
        <v/>
      </c>
      <c r="L598" s="68">
        <f>IF($J598="",0,$K598*MAX(0,MIN(YEAR($C$3)*12+MONTH($C$3),YEAR($I598)*12+MONTH($I598))-(YEAR($H598)*12+MONTH($H598))+1))</f>
        <v/>
      </c>
      <c r="M598" s="68">
        <f>IF($J598="",0,$K598*MAX(0,MIN(YEAR($C$3)*12+MONTH($C$3)-1,YEAR($I598)*12+MONTH($I598))-(YEAR($H598)*12+MONTH($H598))+1))</f>
        <v/>
      </c>
      <c r="N598" s="68">
        <f>IF(OR($J598="",$B598=""),0,IF(YEAR($B598)*12+MONTH($B598)&lt;=YEAR($C$3)*12+MONTH($C$3),$G598,0))</f>
        <v/>
      </c>
      <c r="O598" s="68">
        <f>IF(OR($J598="",$B598=""),0,IF(YEAR($B598)*12+MONTH($B598)&lt;=YEAR($C$3)*12+MONTH($C$3)-1,$G598,0))</f>
        <v/>
      </c>
      <c r="P598" s="68">
        <f>$M598-$O598</f>
        <v/>
      </c>
      <c r="Q598" s="68">
        <f>($L598-$M598)-($N598-$O598)</f>
        <v/>
      </c>
      <c r="R598" s="68">
        <f>$L598-$N598</f>
        <v/>
      </c>
      <c r="S598" s="67">
        <f>"WIP journal"</f>
        <v/>
      </c>
      <c r="T598" s="67">
        <f>IFERROR(INDEX(tbl_WIP[Revenue or Cost],$A598),"")</f>
        <v/>
      </c>
    </row>
    <row r="599">
      <c r="A599" s="65">
        <f>ROW()-407</f>
        <v/>
      </c>
      <c r="B599" s="66">
        <f>IFERROR(INDEX(tbl_WIP[Month],$A599),"")</f>
        <v/>
      </c>
      <c r="C599" s="67">
        <f>IFERROR(INDEX(tbl_WIP[Xero Invoice No],$A599),"")</f>
        <v/>
      </c>
      <c r="D599" s="67">
        <f>IFERROR(INDEX(tbl_WIP[Client],$A599),"")</f>
        <v/>
      </c>
      <c r="E599" s="67">
        <f>IFERROR(INDEX(tbl_WIP[Job Number],$A599),"")</f>
        <v/>
      </c>
      <c r="F599" s="67">
        <f>IFERROR(INDEX(tbl_WIP[Cost Centre],$A599),"")</f>
        <v/>
      </c>
      <c r="G599" s="68">
        <f>IFERROR(IF(INDEX(tbl_WIP[Defer Start],$A599)="","",IF(INDEX(tbl_WIP[Revenue or Cost],$A599)="Cost",-1,1)*INDEX(tbl_WIP[Amount],$A599)),"")</f>
        <v/>
      </c>
      <c r="H599" s="66">
        <f>IFERROR(INDEX(tbl_WIP[Defer Start],$A599),"")</f>
        <v/>
      </c>
      <c r="I599" s="66">
        <f>IFERROR(INDEX(tbl_WIP[Defer End],$A599),"")</f>
        <v/>
      </c>
      <c r="J599" s="65">
        <f>IF(OR($H599="",$I599="",$G599=""),"",MAX(1,(YEAR($I599)-YEAR($H599))*12+MONTH($I599)-MONTH($H599)+1))</f>
        <v/>
      </c>
      <c r="K599" s="68">
        <f>IF($J599="","",$G599/$J599)</f>
        <v/>
      </c>
      <c r="L599" s="68">
        <f>IF($J599="",0,$K599*MAX(0,MIN(YEAR($C$3)*12+MONTH($C$3),YEAR($I599)*12+MONTH($I599))-(YEAR($H599)*12+MONTH($H599))+1))</f>
        <v/>
      </c>
      <c r="M599" s="68">
        <f>IF($J599="",0,$K599*MAX(0,MIN(YEAR($C$3)*12+MONTH($C$3)-1,YEAR($I599)*12+MONTH($I599))-(YEAR($H599)*12+MONTH($H599))+1))</f>
        <v/>
      </c>
      <c r="N599" s="68">
        <f>IF(OR($J599="",$B599=""),0,IF(YEAR($B599)*12+MONTH($B599)&lt;=YEAR($C$3)*12+MONTH($C$3),$G599,0))</f>
        <v/>
      </c>
      <c r="O599" s="68">
        <f>IF(OR($J599="",$B599=""),0,IF(YEAR($B599)*12+MONTH($B599)&lt;=YEAR($C$3)*12+MONTH($C$3)-1,$G599,0))</f>
        <v/>
      </c>
      <c r="P599" s="68">
        <f>$M599-$O599</f>
        <v/>
      </c>
      <c r="Q599" s="68">
        <f>($L599-$M599)-($N599-$O599)</f>
        <v/>
      </c>
      <c r="R599" s="68">
        <f>$L599-$N599</f>
        <v/>
      </c>
      <c r="S599" s="67">
        <f>"WIP journal"</f>
        <v/>
      </c>
      <c r="T599" s="67">
        <f>IFERROR(INDEX(tbl_WIP[Revenue or Cost],$A599),"")</f>
        <v/>
      </c>
    </row>
    <row r="600">
      <c r="A600" s="65">
        <f>ROW()-407</f>
        <v/>
      </c>
      <c r="B600" s="66">
        <f>IFERROR(INDEX(tbl_WIP[Month],$A600),"")</f>
        <v/>
      </c>
      <c r="C600" s="67">
        <f>IFERROR(INDEX(tbl_WIP[Xero Invoice No],$A600),"")</f>
        <v/>
      </c>
      <c r="D600" s="67">
        <f>IFERROR(INDEX(tbl_WIP[Client],$A600),"")</f>
        <v/>
      </c>
      <c r="E600" s="67">
        <f>IFERROR(INDEX(tbl_WIP[Job Number],$A600),"")</f>
        <v/>
      </c>
      <c r="F600" s="67">
        <f>IFERROR(INDEX(tbl_WIP[Cost Centre],$A600),"")</f>
        <v/>
      </c>
      <c r="G600" s="68">
        <f>IFERROR(IF(INDEX(tbl_WIP[Defer Start],$A600)="","",IF(INDEX(tbl_WIP[Revenue or Cost],$A600)="Cost",-1,1)*INDEX(tbl_WIP[Amount],$A600)),"")</f>
        <v/>
      </c>
      <c r="H600" s="66">
        <f>IFERROR(INDEX(tbl_WIP[Defer Start],$A600),"")</f>
        <v/>
      </c>
      <c r="I600" s="66">
        <f>IFERROR(INDEX(tbl_WIP[Defer End],$A600),"")</f>
        <v/>
      </c>
      <c r="J600" s="65">
        <f>IF(OR($H600="",$I600="",$G600=""),"",MAX(1,(YEAR($I600)-YEAR($H600))*12+MONTH($I600)-MONTH($H600)+1))</f>
        <v/>
      </c>
      <c r="K600" s="68">
        <f>IF($J600="","",$G600/$J600)</f>
        <v/>
      </c>
      <c r="L600" s="68">
        <f>IF($J600="",0,$K600*MAX(0,MIN(YEAR($C$3)*12+MONTH($C$3),YEAR($I600)*12+MONTH($I600))-(YEAR($H600)*12+MONTH($H600))+1))</f>
        <v/>
      </c>
      <c r="M600" s="68">
        <f>IF($J600="",0,$K600*MAX(0,MIN(YEAR($C$3)*12+MONTH($C$3)-1,YEAR($I600)*12+MONTH($I600))-(YEAR($H600)*12+MONTH($H600))+1))</f>
        <v/>
      </c>
      <c r="N600" s="68">
        <f>IF(OR($J600="",$B600=""),0,IF(YEAR($B600)*12+MONTH($B600)&lt;=YEAR($C$3)*12+MONTH($C$3),$G600,0))</f>
        <v/>
      </c>
      <c r="O600" s="68">
        <f>IF(OR($J600="",$B600=""),0,IF(YEAR($B600)*12+MONTH($B600)&lt;=YEAR($C$3)*12+MONTH($C$3)-1,$G600,0))</f>
        <v/>
      </c>
      <c r="P600" s="68">
        <f>$M600-$O600</f>
        <v/>
      </c>
      <c r="Q600" s="68">
        <f>($L600-$M600)-($N600-$O600)</f>
        <v/>
      </c>
      <c r="R600" s="68">
        <f>$L600-$N600</f>
        <v/>
      </c>
      <c r="S600" s="67">
        <f>"WIP journal"</f>
        <v/>
      </c>
      <c r="T600" s="67">
        <f>IFERROR(INDEX(tbl_WIP[Revenue or Cost],$A600),"")</f>
        <v/>
      </c>
    </row>
    <row r="601">
      <c r="A601" s="65">
        <f>ROW()-407</f>
        <v/>
      </c>
      <c r="B601" s="66">
        <f>IFERROR(INDEX(tbl_WIP[Month],$A601),"")</f>
        <v/>
      </c>
      <c r="C601" s="67">
        <f>IFERROR(INDEX(tbl_WIP[Xero Invoice No],$A601),"")</f>
        <v/>
      </c>
      <c r="D601" s="67">
        <f>IFERROR(INDEX(tbl_WIP[Client],$A601),"")</f>
        <v/>
      </c>
      <c r="E601" s="67">
        <f>IFERROR(INDEX(tbl_WIP[Job Number],$A601),"")</f>
        <v/>
      </c>
      <c r="F601" s="67">
        <f>IFERROR(INDEX(tbl_WIP[Cost Centre],$A601),"")</f>
        <v/>
      </c>
      <c r="G601" s="68">
        <f>IFERROR(IF(INDEX(tbl_WIP[Defer Start],$A601)="","",IF(INDEX(tbl_WIP[Revenue or Cost],$A601)="Cost",-1,1)*INDEX(tbl_WIP[Amount],$A601)),"")</f>
        <v/>
      </c>
      <c r="H601" s="66">
        <f>IFERROR(INDEX(tbl_WIP[Defer Start],$A601),"")</f>
        <v/>
      </c>
      <c r="I601" s="66">
        <f>IFERROR(INDEX(tbl_WIP[Defer End],$A601),"")</f>
        <v/>
      </c>
      <c r="J601" s="65">
        <f>IF(OR($H601="",$I601="",$G601=""),"",MAX(1,(YEAR($I601)-YEAR($H601))*12+MONTH($I601)-MONTH($H601)+1))</f>
        <v/>
      </c>
      <c r="K601" s="68">
        <f>IF($J601="","",$G601/$J601)</f>
        <v/>
      </c>
      <c r="L601" s="68">
        <f>IF($J601="",0,$K601*MAX(0,MIN(YEAR($C$3)*12+MONTH($C$3),YEAR($I601)*12+MONTH($I601))-(YEAR($H601)*12+MONTH($H601))+1))</f>
        <v/>
      </c>
      <c r="M601" s="68">
        <f>IF($J601="",0,$K601*MAX(0,MIN(YEAR($C$3)*12+MONTH($C$3)-1,YEAR($I601)*12+MONTH($I601))-(YEAR($H601)*12+MONTH($H601))+1))</f>
        <v/>
      </c>
      <c r="N601" s="68">
        <f>IF(OR($J601="",$B601=""),0,IF(YEAR($B601)*12+MONTH($B601)&lt;=YEAR($C$3)*12+MONTH($C$3),$G601,0))</f>
        <v/>
      </c>
      <c r="O601" s="68">
        <f>IF(OR($J601="",$B601=""),0,IF(YEAR($B601)*12+MONTH($B601)&lt;=YEAR($C$3)*12+MONTH($C$3)-1,$G601,0))</f>
        <v/>
      </c>
      <c r="P601" s="68">
        <f>$M601-$O601</f>
        <v/>
      </c>
      <c r="Q601" s="68">
        <f>($L601-$M601)-($N601-$O601)</f>
        <v/>
      </c>
      <c r="R601" s="68">
        <f>$L601-$N601</f>
        <v/>
      </c>
      <c r="S601" s="67">
        <f>"WIP journal"</f>
        <v/>
      </c>
      <c r="T601" s="67">
        <f>IFERROR(INDEX(tbl_WIP[Revenue or Cost],$A601),"")</f>
        <v/>
      </c>
    </row>
    <row r="602">
      <c r="A602" s="65">
        <f>ROW()-407</f>
        <v/>
      </c>
      <c r="B602" s="66">
        <f>IFERROR(INDEX(tbl_WIP[Month],$A602),"")</f>
        <v/>
      </c>
      <c r="C602" s="67">
        <f>IFERROR(INDEX(tbl_WIP[Xero Invoice No],$A602),"")</f>
        <v/>
      </c>
      <c r="D602" s="67">
        <f>IFERROR(INDEX(tbl_WIP[Client],$A602),"")</f>
        <v/>
      </c>
      <c r="E602" s="67">
        <f>IFERROR(INDEX(tbl_WIP[Job Number],$A602),"")</f>
        <v/>
      </c>
      <c r="F602" s="67">
        <f>IFERROR(INDEX(tbl_WIP[Cost Centre],$A602),"")</f>
        <v/>
      </c>
      <c r="G602" s="68">
        <f>IFERROR(IF(INDEX(tbl_WIP[Defer Start],$A602)="","",IF(INDEX(tbl_WIP[Revenue or Cost],$A602)="Cost",-1,1)*INDEX(tbl_WIP[Amount],$A602)),"")</f>
        <v/>
      </c>
      <c r="H602" s="66">
        <f>IFERROR(INDEX(tbl_WIP[Defer Start],$A602),"")</f>
        <v/>
      </c>
      <c r="I602" s="66">
        <f>IFERROR(INDEX(tbl_WIP[Defer End],$A602),"")</f>
        <v/>
      </c>
      <c r="J602" s="65">
        <f>IF(OR($H602="",$I602="",$G602=""),"",MAX(1,(YEAR($I602)-YEAR($H602))*12+MONTH($I602)-MONTH($H602)+1))</f>
        <v/>
      </c>
      <c r="K602" s="68">
        <f>IF($J602="","",$G602/$J602)</f>
        <v/>
      </c>
      <c r="L602" s="68">
        <f>IF($J602="",0,$K602*MAX(0,MIN(YEAR($C$3)*12+MONTH($C$3),YEAR($I602)*12+MONTH($I602))-(YEAR($H602)*12+MONTH($H602))+1))</f>
        <v/>
      </c>
      <c r="M602" s="68">
        <f>IF($J602="",0,$K602*MAX(0,MIN(YEAR($C$3)*12+MONTH($C$3)-1,YEAR($I602)*12+MONTH($I602))-(YEAR($H602)*12+MONTH($H602))+1))</f>
        <v/>
      </c>
      <c r="N602" s="68">
        <f>IF(OR($J602="",$B602=""),0,IF(YEAR($B602)*12+MONTH($B602)&lt;=YEAR($C$3)*12+MONTH($C$3),$G602,0))</f>
        <v/>
      </c>
      <c r="O602" s="68">
        <f>IF(OR($J602="",$B602=""),0,IF(YEAR($B602)*12+MONTH($B602)&lt;=YEAR($C$3)*12+MONTH($C$3)-1,$G602,0))</f>
        <v/>
      </c>
      <c r="P602" s="68">
        <f>$M602-$O602</f>
        <v/>
      </c>
      <c r="Q602" s="68">
        <f>($L602-$M602)-($N602-$O602)</f>
        <v/>
      </c>
      <c r="R602" s="68">
        <f>$L602-$N602</f>
        <v/>
      </c>
      <c r="S602" s="67">
        <f>"WIP journal"</f>
        <v/>
      </c>
      <c r="T602" s="67">
        <f>IFERROR(INDEX(tbl_WIP[Revenue or Cost],$A602),"")</f>
        <v/>
      </c>
    </row>
    <row r="603">
      <c r="A603" s="65">
        <f>ROW()-407</f>
        <v/>
      </c>
      <c r="B603" s="66">
        <f>IFERROR(INDEX(tbl_WIP[Month],$A603),"")</f>
        <v/>
      </c>
      <c r="C603" s="67">
        <f>IFERROR(INDEX(tbl_WIP[Xero Invoice No],$A603),"")</f>
        <v/>
      </c>
      <c r="D603" s="67">
        <f>IFERROR(INDEX(tbl_WIP[Client],$A603),"")</f>
        <v/>
      </c>
      <c r="E603" s="67">
        <f>IFERROR(INDEX(tbl_WIP[Job Number],$A603),"")</f>
        <v/>
      </c>
      <c r="F603" s="67">
        <f>IFERROR(INDEX(tbl_WIP[Cost Centre],$A603),"")</f>
        <v/>
      </c>
      <c r="G603" s="68">
        <f>IFERROR(IF(INDEX(tbl_WIP[Defer Start],$A603)="","",IF(INDEX(tbl_WIP[Revenue or Cost],$A603)="Cost",-1,1)*INDEX(tbl_WIP[Amount],$A603)),"")</f>
        <v/>
      </c>
      <c r="H603" s="66">
        <f>IFERROR(INDEX(tbl_WIP[Defer Start],$A603),"")</f>
        <v/>
      </c>
      <c r="I603" s="66">
        <f>IFERROR(INDEX(tbl_WIP[Defer End],$A603),"")</f>
        <v/>
      </c>
      <c r="J603" s="65">
        <f>IF(OR($H603="",$I603="",$G603=""),"",MAX(1,(YEAR($I603)-YEAR($H603))*12+MONTH($I603)-MONTH($H603)+1))</f>
        <v/>
      </c>
      <c r="K603" s="68">
        <f>IF($J603="","",$G603/$J603)</f>
        <v/>
      </c>
      <c r="L603" s="68">
        <f>IF($J603="",0,$K603*MAX(0,MIN(YEAR($C$3)*12+MONTH($C$3),YEAR($I603)*12+MONTH($I603))-(YEAR($H603)*12+MONTH($H603))+1))</f>
        <v/>
      </c>
      <c r="M603" s="68">
        <f>IF($J603="",0,$K603*MAX(0,MIN(YEAR($C$3)*12+MONTH($C$3)-1,YEAR($I603)*12+MONTH($I603))-(YEAR($H603)*12+MONTH($H603))+1))</f>
        <v/>
      </c>
      <c r="N603" s="68">
        <f>IF(OR($J603="",$B603=""),0,IF(YEAR($B603)*12+MONTH($B603)&lt;=YEAR($C$3)*12+MONTH($C$3),$G603,0))</f>
        <v/>
      </c>
      <c r="O603" s="68">
        <f>IF(OR($J603="",$B603=""),0,IF(YEAR($B603)*12+MONTH($B603)&lt;=YEAR($C$3)*12+MONTH($C$3)-1,$G603,0))</f>
        <v/>
      </c>
      <c r="P603" s="68">
        <f>$M603-$O603</f>
        <v/>
      </c>
      <c r="Q603" s="68">
        <f>($L603-$M603)-($N603-$O603)</f>
        <v/>
      </c>
      <c r="R603" s="68">
        <f>$L603-$N603</f>
        <v/>
      </c>
      <c r="S603" s="67">
        <f>"WIP journal"</f>
        <v/>
      </c>
      <c r="T603" s="67">
        <f>IFERROR(INDEX(tbl_WIP[Revenue or Cost],$A603),"")</f>
        <v/>
      </c>
    </row>
    <row r="604">
      <c r="A604" s="65">
        <f>ROW()-407</f>
        <v/>
      </c>
      <c r="B604" s="66">
        <f>IFERROR(INDEX(tbl_WIP[Month],$A604),"")</f>
        <v/>
      </c>
      <c r="C604" s="67">
        <f>IFERROR(INDEX(tbl_WIP[Xero Invoice No],$A604),"")</f>
        <v/>
      </c>
      <c r="D604" s="67">
        <f>IFERROR(INDEX(tbl_WIP[Client],$A604),"")</f>
        <v/>
      </c>
      <c r="E604" s="67">
        <f>IFERROR(INDEX(tbl_WIP[Job Number],$A604),"")</f>
        <v/>
      </c>
      <c r="F604" s="67">
        <f>IFERROR(INDEX(tbl_WIP[Cost Centre],$A604),"")</f>
        <v/>
      </c>
      <c r="G604" s="68">
        <f>IFERROR(IF(INDEX(tbl_WIP[Defer Start],$A604)="","",IF(INDEX(tbl_WIP[Revenue or Cost],$A604)="Cost",-1,1)*INDEX(tbl_WIP[Amount],$A604)),"")</f>
        <v/>
      </c>
      <c r="H604" s="66">
        <f>IFERROR(INDEX(tbl_WIP[Defer Start],$A604),"")</f>
        <v/>
      </c>
      <c r="I604" s="66">
        <f>IFERROR(INDEX(tbl_WIP[Defer End],$A604),"")</f>
        <v/>
      </c>
      <c r="J604" s="65">
        <f>IF(OR($H604="",$I604="",$G604=""),"",MAX(1,(YEAR($I604)-YEAR($H604))*12+MONTH($I604)-MONTH($H604)+1))</f>
        <v/>
      </c>
      <c r="K604" s="68">
        <f>IF($J604="","",$G604/$J604)</f>
        <v/>
      </c>
      <c r="L604" s="68">
        <f>IF($J604="",0,$K604*MAX(0,MIN(YEAR($C$3)*12+MONTH($C$3),YEAR($I604)*12+MONTH($I604))-(YEAR($H604)*12+MONTH($H604))+1))</f>
        <v/>
      </c>
      <c r="M604" s="68">
        <f>IF($J604="",0,$K604*MAX(0,MIN(YEAR($C$3)*12+MONTH($C$3)-1,YEAR($I604)*12+MONTH($I604))-(YEAR($H604)*12+MONTH($H604))+1))</f>
        <v/>
      </c>
      <c r="N604" s="68">
        <f>IF(OR($J604="",$B604=""),0,IF(YEAR($B604)*12+MONTH($B604)&lt;=YEAR($C$3)*12+MONTH($C$3),$G604,0))</f>
        <v/>
      </c>
      <c r="O604" s="68">
        <f>IF(OR($J604="",$B604=""),0,IF(YEAR($B604)*12+MONTH($B604)&lt;=YEAR($C$3)*12+MONTH($C$3)-1,$G604,0))</f>
        <v/>
      </c>
      <c r="P604" s="68">
        <f>$M604-$O604</f>
        <v/>
      </c>
      <c r="Q604" s="68">
        <f>($L604-$M604)-($N604-$O604)</f>
        <v/>
      </c>
      <c r="R604" s="68">
        <f>$L604-$N604</f>
        <v/>
      </c>
      <c r="S604" s="67">
        <f>"WIP journal"</f>
        <v/>
      </c>
      <c r="T604" s="67">
        <f>IFERROR(INDEX(tbl_WIP[Revenue or Cost],$A604),"")</f>
        <v/>
      </c>
    </row>
    <row r="605">
      <c r="A605" s="65">
        <f>ROW()-407</f>
        <v/>
      </c>
      <c r="B605" s="66">
        <f>IFERROR(INDEX(tbl_WIP[Month],$A605),"")</f>
        <v/>
      </c>
      <c r="C605" s="67">
        <f>IFERROR(INDEX(tbl_WIP[Xero Invoice No],$A605),"")</f>
        <v/>
      </c>
      <c r="D605" s="67">
        <f>IFERROR(INDEX(tbl_WIP[Client],$A605),"")</f>
        <v/>
      </c>
      <c r="E605" s="67">
        <f>IFERROR(INDEX(tbl_WIP[Job Number],$A605),"")</f>
        <v/>
      </c>
      <c r="F605" s="67">
        <f>IFERROR(INDEX(tbl_WIP[Cost Centre],$A605),"")</f>
        <v/>
      </c>
      <c r="G605" s="68">
        <f>IFERROR(IF(INDEX(tbl_WIP[Defer Start],$A605)="","",IF(INDEX(tbl_WIP[Revenue or Cost],$A605)="Cost",-1,1)*INDEX(tbl_WIP[Amount],$A605)),"")</f>
        <v/>
      </c>
      <c r="H605" s="66">
        <f>IFERROR(INDEX(tbl_WIP[Defer Start],$A605),"")</f>
        <v/>
      </c>
      <c r="I605" s="66">
        <f>IFERROR(INDEX(tbl_WIP[Defer End],$A605),"")</f>
        <v/>
      </c>
      <c r="J605" s="65">
        <f>IF(OR($H605="",$I605="",$G605=""),"",MAX(1,(YEAR($I605)-YEAR($H605))*12+MONTH($I605)-MONTH($H605)+1))</f>
        <v/>
      </c>
      <c r="K605" s="68">
        <f>IF($J605="","",$G605/$J605)</f>
        <v/>
      </c>
      <c r="L605" s="68">
        <f>IF($J605="",0,$K605*MAX(0,MIN(YEAR($C$3)*12+MONTH($C$3),YEAR($I605)*12+MONTH($I605))-(YEAR($H605)*12+MONTH($H605))+1))</f>
        <v/>
      </c>
      <c r="M605" s="68">
        <f>IF($J605="",0,$K605*MAX(0,MIN(YEAR($C$3)*12+MONTH($C$3)-1,YEAR($I605)*12+MONTH($I605))-(YEAR($H605)*12+MONTH($H605))+1))</f>
        <v/>
      </c>
      <c r="N605" s="68">
        <f>IF(OR($J605="",$B605=""),0,IF(YEAR($B605)*12+MONTH($B605)&lt;=YEAR($C$3)*12+MONTH($C$3),$G605,0))</f>
        <v/>
      </c>
      <c r="O605" s="68">
        <f>IF(OR($J605="",$B605=""),0,IF(YEAR($B605)*12+MONTH($B605)&lt;=YEAR($C$3)*12+MONTH($C$3)-1,$G605,0))</f>
        <v/>
      </c>
      <c r="P605" s="68">
        <f>$M605-$O605</f>
        <v/>
      </c>
      <c r="Q605" s="68">
        <f>($L605-$M605)-($N605-$O605)</f>
        <v/>
      </c>
      <c r="R605" s="68">
        <f>$L605-$N605</f>
        <v/>
      </c>
      <c r="S605" s="67">
        <f>"WIP journal"</f>
        <v/>
      </c>
      <c r="T605" s="67">
        <f>IFERROR(INDEX(tbl_WIP[Revenue or Cost],$A605),"")</f>
        <v/>
      </c>
    </row>
    <row r="606">
      <c r="A606" s="65">
        <f>ROW()-407</f>
        <v/>
      </c>
      <c r="B606" s="66">
        <f>IFERROR(INDEX(tbl_WIP[Month],$A606),"")</f>
        <v/>
      </c>
      <c r="C606" s="67">
        <f>IFERROR(INDEX(tbl_WIP[Xero Invoice No],$A606),"")</f>
        <v/>
      </c>
      <c r="D606" s="67">
        <f>IFERROR(INDEX(tbl_WIP[Client],$A606),"")</f>
        <v/>
      </c>
      <c r="E606" s="67">
        <f>IFERROR(INDEX(tbl_WIP[Job Number],$A606),"")</f>
        <v/>
      </c>
      <c r="F606" s="67">
        <f>IFERROR(INDEX(tbl_WIP[Cost Centre],$A606),"")</f>
        <v/>
      </c>
      <c r="G606" s="68">
        <f>IFERROR(IF(INDEX(tbl_WIP[Defer Start],$A606)="","",IF(INDEX(tbl_WIP[Revenue or Cost],$A606)="Cost",-1,1)*INDEX(tbl_WIP[Amount],$A606)),"")</f>
        <v/>
      </c>
      <c r="H606" s="66">
        <f>IFERROR(INDEX(tbl_WIP[Defer Start],$A606),"")</f>
        <v/>
      </c>
      <c r="I606" s="66">
        <f>IFERROR(INDEX(tbl_WIP[Defer End],$A606),"")</f>
        <v/>
      </c>
      <c r="J606" s="65">
        <f>IF(OR($H606="",$I606="",$G606=""),"",MAX(1,(YEAR($I606)-YEAR($H606))*12+MONTH($I606)-MONTH($H606)+1))</f>
        <v/>
      </c>
      <c r="K606" s="68">
        <f>IF($J606="","",$G606/$J606)</f>
        <v/>
      </c>
      <c r="L606" s="68">
        <f>IF($J606="",0,$K606*MAX(0,MIN(YEAR($C$3)*12+MONTH($C$3),YEAR($I606)*12+MONTH($I606))-(YEAR($H606)*12+MONTH($H606))+1))</f>
        <v/>
      </c>
      <c r="M606" s="68">
        <f>IF($J606="",0,$K606*MAX(0,MIN(YEAR($C$3)*12+MONTH($C$3)-1,YEAR($I606)*12+MONTH($I606))-(YEAR($H606)*12+MONTH($H606))+1))</f>
        <v/>
      </c>
      <c r="N606" s="68">
        <f>IF(OR($J606="",$B606=""),0,IF(YEAR($B606)*12+MONTH($B606)&lt;=YEAR($C$3)*12+MONTH($C$3),$G606,0))</f>
        <v/>
      </c>
      <c r="O606" s="68">
        <f>IF(OR($J606="",$B606=""),0,IF(YEAR($B606)*12+MONTH($B606)&lt;=YEAR($C$3)*12+MONTH($C$3)-1,$G606,0))</f>
        <v/>
      </c>
      <c r="P606" s="68">
        <f>$M606-$O606</f>
        <v/>
      </c>
      <c r="Q606" s="68">
        <f>($L606-$M606)-($N606-$O606)</f>
        <v/>
      </c>
      <c r="R606" s="68">
        <f>$L606-$N606</f>
        <v/>
      </c>
      <c r="S606" s="67">
        <f>"WIP journal"</f>
        <v/>
      </c>
      <c r="T606" s="67">
        <f>IFERROR(INDEX(tbl_WIP[Revenue or Cost],$A606),"")</f>
        <v/>
      </c>
    </row>
    <row r="607">
      <c r="A607" s="65">
        <f>ROW()-407</f>
        <v/>
      </c>
      <c r="B607" s="66">
        <f>IFERROR(INDEX(tbl_WIP[Month],$A607),"")</f>
        <v/>
      </c>
      <c r="C607" s="67">
        <f>IFERROR(INDEX(tbl_WIP[Xero Invoice No],$A607),"")</f>
        <v/>
      </c>
      <c r="D607" s="67">
        <f>IFERROR(INDEX(tbl_WIP[Client],$A607),"")</f>
        <v/>
      </c>
      <c r="E607" s="67">
        <f>IFERROR(INDEX(tbl_WIP[Job Number],$A607),"")</f>
        <v/>
      </c>
      <c r="F607" s="67">
        <f>IFERROR(INDEX(tbl_WIP[Cost Centre],$A607),"")</f>
        <v/>
      </c>
      <c r="G607" s="68">
        <f>IFERROR(IF(INDEX(tbl_WIP[Defer Start],$A607)="","",IF(INDEX(tbl_WIP[Revenue or Cost],$A607)="Cost",-1,1)*INDEX(tbl_WIP[Amount],$A607)),"")</f>
        <v/>
      </c>
      <c r="H607" s="66">
        <f>IFERROR(INDEX(tbl_WIP[Defer Start],$A607),"")</f>
        <v/>
      </c>
      <c r="I607" s="66">
        <f>IFERROR(INDEX(tbl_WIP[Defer End],$A607),"")</f>
        <v/>
      </c>
      <c r="J607" s="65">
        <f>IF(OR($H607="",$I607="",$G607=""),"",MAX(1,(YEAR($I607)-YEAR($H607))*12+MONTH($I607)-MONTH($H607)+1))</f>
        <v/>
      </c>
      <c r="K607" s="68">
        <f>IF($J607="","",$G607/$J607)</f>
        <v/>
      </c>
      <c r="L607" s="68">
        <f>IF($J607="",0,$K607*MAX(0,MIN(YEAR($C$3)*12+MONTH($C$3),YEAR($I607)*12+MONTH($I607))-(YEAR($H607)*12+MONTH($H607))+1))</f>
        <v/>
      </c>
      <c r="M607" s="68">
        <f>IF($J607="",0,$K607*MAX(0,MIN(YEAR($C$3)*12+MONTH($C$3)-1,YEAR($I607)*12+MONTH($I607))-(YEAR($H607)*12+MONTH($H607))+1))</f>
        <v/>
      </c>
      <c r="N607" s="68">
        <f>IF(OR($J607="",$B607=""),0,IF(YEAR($B607)*12+MONTH($B607)&lt;=YEAR($C$3)*12+MONTH($C$3),$G607,0))</f>
        <v/>
      </c>
      <c r="O607" s="68">
        <f>IF(OR($J607="",$B607=""),0,IF(YEAR($B607)*12+MONTH($B607)&lt;=YEAR($C$3)*12+MONTH($C$3)-1,$G607,0))</f>
        <v/>
      </c>
      <c r="P607" s="68">
        <f>$M607-$O607</f>
        <v/>
      </c>
      <c r="Q607" s="68">
        <f>($L607-$M607)-($N607-$O607)</f>
        <v/>
      </c>
      <c r="R607" s="68">
        <f>$L607-$N607</f>
        <v/>
      </c>
      <c r="S607" s="67">
        <f>"WIP journal"</f>
        <v/>
      </c>
      <c r="T607" s="67">
        <f>IFERROR(INDEX(tbl_WIP[Revenue or Cost],$A607),"")</f>
        <v/>
      </c>
    </row>
  </sheetData>
  <autoFilter ref="A5:T405"/>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S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21" customWidth="1" min="11" max="11"/>
    <col width="17" customWidth="1" min="12" max="12"/>
    <col width="16" customWidth="1" min="13" max="13"/>
    <col width="18" customWidth="1" min="14" max="14"/>
    <col width="40" customWidth="1" min="15" max="15"/>
    <col width="14" customWidth="1" min="16" max="16"/>
    <col width="13" customWidth="1" min="17" max="17"/>
    <col width="16" customWidth="1" min="18" max="18"/>
    <col width="38" customWidth="1" min="19" max="19"/>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0" t="inlineStr">
        <is>
          <t>Expected Revenue Ex GST</t>
        </is>
      </c>
      <c r="L4" s="21" t="inlineStr">
        <is>
          <t>Not Yet on Finance</t>
        </is>
      </c>
      <c r="M4" s="21" t="inlineStr">
        <is>
          <t>Cost Centres</t>
        </is>
      </c>
      <c r="N4" s="20" t="inlineStr">
        <is>
          <t>PO / Reference</t>
        </is>
      </c>
      <c r="O4" s="20" t="inlineStr">
        <is>
          <t>Qwilr Quote</t>
        </is>
      </c>
      <c r="P4" s="21" t="inlineStr">
        <is>
          <t>Open Qwilr</t>
        </is>
      </c>
      <c r="Q4" s="20" t="inlineStr">
        <is>
          <t>Billable Hours</t>
        </is>
      </c>
      <c r="R4" s="20" t="inlineStr">
        <is>
          <t>Approved By</t>
        </is>
      </c>
      <c r="S4" s="20" t="inlineStr">
        <is>
          <t>Notes</t>
        </is>
      </c>
    </row>
    <row r="5" ht="15" customHeight="1">
      <c r="A5" s="70">
        <f>IF(C5="","",IFERROR(IF(SUMPRODUCT(MAX((tbl_Finance[Job Number]&amp;""=C5&amp;"")*(tbl_Finance[Xero Invoice No]&lt;&gt;"")*tbl_Finance[Date]))=0,"",SUMPRODUCT(MAX((tbl_Finance[Job Number]&amp;""=C5&amp;"")*(tbl_Finance[Xero Invoice No]&lt;&gt;"")*tbl_Finance[Date]))),""))</f>
        <v/>
      </c>
      <c r="B5" s="25">
        <f>IF(C5="","",IF(COUNTIFS(tbl_Finance[Job Number],C5&amp;"",tbl_Finance[Xero Invoice No],"&lt;&gt;")=0,"",IFERROR(IF(COUNTIFS(tbl_Finance[Job Number],C5&amp;"",tbl_Finance[Xero Invoice No],LOOKUP(2,1/((tbl_Finance[Job Number]&amp;""=C5&amp;"")*(tbl_Finance[Xero Invoice No]&lt;&gt;"")),tbl_Finance[Xero Invoice No]))=COUNTIFS(tbl_Finance[Job Number],C5&amp;"",tbl_Finance[Xero Invoice No],"&lt;&gt;"),LOOKUP(2,1/((tbl_Finance[Job Number]&amp;""=C5&amp;"")*(tbl_Finance[Xero Invoice No]&lt;&gt;"")),tbl_Finance[Xero Invoice No]),LOOKUP(2,1/((tbl_Finance[Job Number]&amp;""=C5&amp;"")*(tbl_Finance[Xero Invoice No]&lt;&gt;"")),tbl_Finance[Xero Invoice No])&amp;" +more"),"")))</f>
        <v/>
      </c>
      <c r="C5" s="24" t="n"/>
      <c r="D5" s="25">
        <f>IF(C5="","",IF(COUNTIF(lst_Jobs,C5&amp;"")&gt;0,"OK","CHECK"))</f>
        <v/>
      </c>
      <c r="E5" s="25">
        <f>IF(C5="","",IFERROR(INDEX(lst_JobName,MATCH(C5&amp;"",lst_Jobs,0)),""))</f>
        <v/>
      </c>
      <c r="F5" s="25">
        <f>IF(C5="","",IFERROR(INDEX(tbl_Finance[Client],IFERROR(MATCH(C5&amp;"",tbl_Finance[Job Number],0),MATCH(IFERROR(C5+0,C5),tbl_Finance[Job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6" t="n"/>
      <c r="L5" s="27">
        <f>IF(C5="","",IF(K5="",0,MAX(0,K5-H5)))</f>
        <v/>
      </c>
      <c r="M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N5" s="24" t="n"/>
      <c r="O5" s="24" t="n"/>
      <c r="P5" s="25">
        <f>IF(O5="","",HYPERLINK(IF(LEFT(O5,4)="http",O5,set_QwilrBase&amp;O5),"Open quote"))</f>
        <v/>
      </c>
      <c r="Q5" s="71" t="n"/>
      <c r="R5" s="24" t="n"/>
      <c r="S5" s="24" t="n"/>
    </row>
    <row r="6" ht="15" customHeight="1">
      <c r="A6" s="70">
        <f>IF(C6="","",IFERROR(IF(SUMPRODUCT(MAX((tbl_Finance[Job Number]&amp;""=C6&amp;"")*(tbl_Finance[Xero Invoice No]&lt;&gt;"")*tbl_Finance[Date]))=0,"",SUMPRODUCT(MAX((tbl_Finance[Job Number]&amp;""=C6&amp;"")*(tbl_Finance[Xero Invoice No]&lt;&gt;"")*tbl_Finance[Date]))),""))</f>
        <v/>
      </c>
      <c r="B6" s="25">
        <f>IF(C6="","",IF(COUNTIFS(tbl_Finance[Job Number],C6&amp;"",tbl_Finance[Xero Invoice No],"&lt;&gt;")=0,"",IFERROR(IF(COUNTIFS(tbl_Finance[Job Number],C6&amp;"",tbl_Finance[Xero Invoice No],LOOKUP(2,1/((tbl_Finance[Job Number]&amp;""=C6&amp;"")*(tbl_Finance[Xero Invoice No]&lt;&gt;"")),tbl_Finance[Xero Invoice No]))=COUNTIFS(tbl_Finance[Job Number],C6&amp;"",tbl_Finance[Xero Invoice No],"&lt;&gt;"),LOOKUP(2,1/((tbl_Finance[Job Number]&amp;""=C6&amp;"")*(tbl_Finance[Xero Invoice No]&lt;&gt;"")),tbl_Finance[Xero Invoice No]),LOOKUP(2,1/((tbl_Finance[Job Number]&amp;""=C6&amp;"")*(tbl_Finance[Xero Invoice No]&lt;&gt;"")),tbl_Finance[Xero Invoice No])&amp;" +more"),"")))</f>
        <v/>
      </c>
      <c r="C6" s="24" t="n"/>
      <c r="D6" s="25">
        <f>IF(C6="","",IF(COUNTIF(lst_Jobs,C6&amp;"")&gt;0,"OK","CHECK"))</f>
        <v/>
      </c>
      <c r="E6" s="25">
        <f>IF(C6="","",IFERROR(INDEX(lst_JobName,MATCH(C6&amp;"",lst_Jobs,0)),""))</f>
        <v/>
      </c>
      <c r="F6" s="25">
        <f>IF(C6="","",IFERROR(INDEX(tbl_Finance[Client],IFERROR(MATCH(C6&amp;"",tbl_Finance[Job Number],0),MATCH(IFERROR(C6+0,C6),tbl_Finance[Job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6" t="n"/>
      <c r="L6" s="27">
        <f>IF(C6="","",IF(K6="",0,MAX(0,K6-H6)))</f>
        <v/>
      </c>
      <c r="M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N6" s="24" t="n"/>
      <c r="O6" s="24" t="n"/>
      <c r="P6" s="25">
        <f>IF(O6="","",HYPERLINK(IF(LEFT(O6,4)="http",O6,set_QwilrBase&amp;O6),"Open quote"))</f>
        <v/>
      </c>
      <c r="Q6" s="71" t="n"/>
      <c r="R6" s="24" t="n"/>
      <c r="S6" s="24" t="n"/>
    </row>
    <row r="7" ht="15" customHeight="1">
      <c r="A7" s="70">
        <f>IF(C7="","",IFERROR(IF(SUMPRODUCT(MAX((tbl_Finance[Job Number]&amp;""=C7&amp;"")*(tbl_Finance[Xero Invoice No]&lt;&gt;"")*tbl_Finance[Date]))=0,"",SUMPRODUCT(MAX((tbl_Finance[Job Number]&amp;""=C7&amp;"")*(tbl_Finance[Xero Invoice No]&lt;&gt;"")*tbl_Finance[Date]))),""))</f>
        <v/>
      </c>
      <c r="B7" s="25">
        <f>IF(C7="","",IF(COUNTIFS(tbl_Finance[Job Number],C7&amp;"",tbl_Finance[Xero Invoice No],"&lt;&gt;")=0,"",IFERROR(IF(COUNTIFS(tbl_Finance[Job Number],C7&amp;"",tbl_Finance[Xero Invoice No],LOOKUP(2,1/((tbl_Finance[Job Number]&amp;""=C7&amp;"")*(tbl_Finance[Xero Invoice No]&lt;&gt;"")),tbl_Finance[Xero Invoice No]))=COUNTIFS(tbl_Finance[Job Number],C7&amp;"",tbl_Finance[Xero Invoice No],"&lt;&gt;"),LOOKUP(2,1/((tbl_Finance[Job Number]&amp;""=C7&amp;"")*(tbl_Finance[Xero Invoice No]&lt;&gt;"")),tbl_Finance[Xero Invoice No]),LOOKUP(2,1/((tbl_Finance[Job Number]&amp;""=C7&amp;"")*(tbl_Finance[Xero Invoice No]&lt;&gt;"")),tbl_Finance[Xero Invoice No])&amp;" +more"),"")))</f>
        <v/>
      </c>
      <c r="C7" s="24" t="n"/>
      <c r="D7" s="25">
        <f>IF(C7="","",IF(COUNTIF(lst_Jobs,C7&amp;"")&gt;0,"OK","CHECK"))</f>
        <v/>
      </c>
      <c r="E7" s="25">
        <f>IF(C7="","",IFERROR(INDEX(lst_JobName,MATCH(C7&amp;"",lst_Jobs,0)),""))</f>
        <v/>
      </c>
      <c r="F7" s="25">
        <f>IF(C7="","",IFERROR(INDEX(tbl_Finance[Client],IFERROR(MATCH(C7&amp;"",tbl_Finance[Job Number],0),MATCH(IFERROR(C7+0,C7),tbl_Finance[Job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6" t="n"/>
      <c r="L7" s="27">
        <f>IF(C7="","",IF(K7="",0,MAX(0,K7-H7)))</f>
        <v/>
      </c>
      <c r="M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N7" s="24" t="n"/>
      <c r="O7" s="24" t="n"/>
      <c r="P7" s="25">
        <f>IF(O7="","",HYPERLINK(IF(LEFT(O7,4)="http",O7,set_QwilrBase&amp;O7),"Open quote"))</f>
        <v/>
      </c>
      <c r="Q7" s="71" t="n"/>
      <c r="R7" s="24" t="n"/>
      <c r="S7" s="24" t="n"/>
    </row>
    <row r="8" ht="15" customHeight="1">
      <c r="A8" s="70">
        <f>IF(C8="","",IFERROR(IF(SUMPRODUCT(MAX((tbl_Finance[Job Number]&amp;""=C8&amp;"")*(tbl_Finance[Xero Invoice No]&lt;&gt;"")*tbl_Finance[Date]))=0,"",SUMPRODUCT(MAX((tbl_Finance[Job Number]&amp;""=C8&amp;"")*(tbl_Finance[Xero Invoice No]&lt;&gt;"")*tbl_Finance[Date]))),""))</f>
        <v/>
      </c>
      <c r="B8" s="25">
        <f>IF(C8="","",IF(COUNTIFS(tbl_Finance[Job Number],C8&amp;"",tbl_Finance[Xero Invoice No],"&lt;&gt;")=0,"",IFERROR(IF(COUNTIFS(tbl_Finance[Job Number],C8&amp;"",tbl_Finance[Xero Invoice No],LOOKUP(2,1/((tbl_Finance[Job Number]&amp;""=C8&amp;"")*(tbl_Finance[Xero Invoice No]&lt;&gt;"")),tbl_Finance[Xero Invoice No]))=COUNTIFS(tbl_Finance[Job Number],C8&amp;"",tbl_Finance[Xero Invoice No],"&lt;&gt;"),LOOKUP(2,1/((tbl_Finance[Job Number]&amp;""=C8&amp;"")*(tbl_Finance[Xero Invoice No]&lt;&gt;"")),tbl_Finance[Xero Invoice No]),LOOKUP(2,1/((tbl_Finance[Job Number]&amp;""=C8&amp;"")*(tbl_Finance[Xero Invoice No]&lt;&gt;"")),tbl_Finance[Xero Invoice No])&amp;" +more"),"")))</f>
        <v/>
      </c>
      <c r="C8" s="24" t="n"/>
      <c r="D8" s="25">
        <f>IF(C8="","",IF(COUNTIF(lst_Jobs,C8&amp;"")&gt;0,"OK","CHECK"))</f>
        <v/>
      </c>
      <c r="E8" s="25">
        <f>IF(C8="","",IFERROR(INDEX(lst_JobName,MATCH(C8&amp;"",lst_Jobs,0)),""))</f>
        <v/>
      </c>
      <c r="F8" s="25">
        <f>IF(C8="","",IFERROR(INDEX(tbl_Finance[Client],IFERROR(MATCH(C8&amp;"",tbl_Finance[Job Number],0),MATCH(IFERROR(C8+0,C8),tbl_Finance[Job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6" t="n"/>
      <c r="L8" s="27">
        <f>IF(C8="","",IF(K8="",0,MAX(0,K8-H8)))</f>
        <v/>
      </c>
      <c r="M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N8" s="24" t="n"/>
      <c r="O8" s="24" t="n"/>
      <c r="P8" s="25">
        <f>IF(O8="","",HYPERLINK(IF(LEFT(O8,4)="http",O8,set_QwilrBase&amp;O8),"Open quote"))</f>
        <v/>
      </c>
      <c r="Q8" s="71" t="n"/>
      <c r="R8" s="24" t="n"/>
      <c r="S8" s="24" t="n"/>
    </row>
    <row r="9" ht="15" customHeight="1">
      <c r="A9" s="70">
        <f>IF(C9="","",IFERROR(IF(SUMPRODUCT(MAX((tbl_Finance[Job Number]&amp;""=C9&amp;"")*(tbl_Finance[Xero Invoice No]&lt;&gt;"")*tbl_Finance[Date]))=0,"",SUMPRODUCT(MAX((tbl_Finance[Job Number]&amp;""=C9&amp;"")*(tbl_Finance[Xero Invoice No]&lt;&gt;"")*tbl_Finance[Date]))),""))</f>
        <v/>
      </c>
      <c r="B9" s="25">
        <f>IF(C9="","",IF(COUNTIFS(tbl_Finance[Job Number],C9&amp;"",tbl_Finance[Xero Invoice No],"&lt;&gt;")=0,"",IFERROR(IF(COUNTIFS(tbl_Finance[Job Number],C9&amp;"",tbl_Finance[Xero Invoice No],LOOKUP(2,1/((tbl_Finance[Job Number]&amp;""=C9&amp;"")*(tbl_Finance[Xero Invoice No]&lt;&gt;"")),tbl_Finance[Xero Invoice No]))=COUNTIFS(tbl_Finance[Job Number],C9&amp;"",tbl_Finance[Xero Invoice No],"&lt;&gt;"),LOOKUP(2,1/((tbl_Finance[Job Number]&amp;""=C9&amp;"")*(tbl_Finance[Xero Invoice No]&lt;&gt;"")),tbl_Finance[Xero Invoice No]),LOOKUP(2,1/((tbl_Finance[Job Number]&amp;""=C9&amp;"")*(tbl_Finance[Xero Invoice No]&lt;&gt;"")),tbl_Finance[Xero Invoice No])&amp;" +more"),"")))</f>
        <v/>
      </c>
      <c r="C9" s="24" t="n"/>
      <c r="D9" s="25">
        <f>IF(C9="","",IF(COUNTIF(lst_Jobs,C9&amp;"")&gt;0,"OK","CHECK"))</f>
        <v/>
      </c>
      <c r="E9" s="25">
        <f>IF(C9="","",IFERROR(INDEX(lst_JobName,MATCH(C9&amp;"",lst_Jobs,0)),""))</f>
        <v/>
      </c>
      <c r="F9" s="25">
        <f>IF(C9="","",IFERROR(INDEX(tbl_Finance[Client],IFERROR(MATCH(C9&amp;"",tbl_Finance[Job Number],0),MATCH(IFERROR(C9+0,C9),tbl_Finance[Job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6" t="n"/>
      <c r="L9" s="27">
        <f>IF(C9="","",IF(K9="",0,MAX(0,K9-H9)))</f>
        <v/>
      </c>
      <c r="M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N9" s="24" t="n"/>
      <c r="O9" s="24" t="n"/>
      <c r="P9" s="25">
        <f>IF(O9="","",HYPERLINK(IF(LEFT(O9,4)="http",O9,set_QwilrBase&amp;O9),"Open quote"))</f>
        <v/>
      </c>
      <c r="Q9" s="71" t="n"/>
      <c r="R9" s="24" t="n"/>
      <c r="S9" s="24" t="n"/>
    </row>
    <row r="10" ht="15" customHeight="1">
      <c r="A10" s="70">
        <f>IF(C10="","",IFERROR(IF(SUMPRODUCT(MAX((tbl_Finance[Job Number]&amp;""=C10&amp;"")*(tbl_Finance[Xero Invoice No]&lt;&gt;"")*tbl_Finance[Date]))=0,"",SUMPRODUCT(MAX((tbl_Finance[Job Number]&amp;""=C10&amp;"")*(tbl_Finance[Xero Invoice No]&lt;&gt;"")*tbl_Finance[Date]))),""))</f>
        <v/>
      </c>
      <c r="B10" s="25">
        <f>IF(C10="","",IF(COUNTIFS(tbl_Finance[Job Number],C10&amp;"",tbl_Finance[Xero Invoice No],"&lt;&gt;")=0,"",IFERROR(IF(COUNTIFS(tbl_Finance[Job Number],C10&amp;"",tbl_Finance[Xero Invoice No],LOOKUP(2,1/((tbl_Finance[Job Number]&amp;""=C10&amp;"")*(tbl_Finance[Xero Invoice No]&lt;&gt;"")),tbl_Finance[Xero Invoice No]))=COUNTIFS(tbl_Finance[Job Number],C10&amp;"",tbl_Finance[Xero Invoice No],"&lt;&gt;"),LOOKUP(2,1/((tbl_Finance[Job Number]&amp;""=C10&amp;"")*(tbl_Finance[Xero Invoice No]&lt;&gt;"")),tbl_Finance[Xero Invoice No]),LOOKUP(2,1/((tbl_Finance[Job Number]&amp;""=C10&amp;"")*(tbl_Finance[Xero Invoice No]&lt;&gt;"")),tbl_Finance[Xero Invoice No])&amp;" +more"),"")))</f>
        <v/>
      </c>
      <c r="C10" s="24" t="n"/>
      <c r="D10" s="25">
        <f>IF(C10="","",IF(COUNTIF(lst_Jobs,C10&amp;"")&gt;0,"OK","CHECK"))</f>
        <v/>
      </c>
      <c r="E10" s="25">
        <f>IF(C10="","",IFERROR(INDEX(lst_JobName,MATCH(C10&amp;"",lst_Jobs,0)),""))</f>
        <v/>
      </c>
      <c r="F10" s="25">
        <f>IF(C10="","",IFERROR(INDEX(tbl_Finance[Client],IFERROR(MATCH(C10&amp;"",tbl_Finance[Job Number],0),MATCH(IFERROR(C10+0,C10),tbl_Finance[Job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6" t="n"/>
      <c r="L10" s="27">
        <f>IF(C10="","",IF(K10="",0,MAX(0,K10-H10)))</f>
        <v/>
      </c>
      <c r="M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N10" s="24" t="n"/>
      <c r="O10" s="24" t="n"/>
      <c r="P10" s="25">
        <f>IF(O10="","",HYPERLINK(IF(LEFT(O10,4)="http",O10,set_QwilrBase&amp;O10),"Open quote"))</f>
        <v/>
      </c>
      <c r="Q10" s="71" t="n"/>
      <c r="R10" s="24" t="n"/>
      <c r="S10" s="24" t="n"/>
    </row>
    <row r="11" ht="15" customHeight="1">
      <c r="A11" s="70">
        <f>IF(C11="","",IFERROR(IF(SUMPRODUCT(MAX((tbl_Finance[Job Number]&amp;""=C11&amp;"")*(tbl_Finance[Xero Invoice No]&lt;&gt;"")*tbl_Finance[Date]))=0,"",SUMPRODUCT(MAX((tbl_Finance[Job Number]&amp;""=C11&amp;"")*(tbl_Finance[Xero Invoice No]&lt;&gt;"")*tbl_Finance[Date]))),""))</f>
        <v/>
      </c>
      <c r="B11" s="25">
        <f>IF(C11="","",IF(COUNTIFS(tbl_Finance[Job Number],C11&amp;"",tbl_Finance[Xero Invoice No],"&lt;&gt;")=0,"",IFERROR(IF(COUNTIFS(tbl_Finance[Job Number],C11&amp;"",tbl_Finance[Xero Invoice No],LOOKUP(2,1/((tbl_Finance[Job Number]&amp;""=C11&amp;"")*(tbl_Finance[Xero Invoice No]&lt;&gt;"")),tbl_Finance[Xero Invoice No]))=COUNTIFS(tbl_Finance[Job Number],C11&amp;"",tbl_Finance[Xero Invoice No],"&lt;&gt;"),LOOKUP(2,1/((tbl_Finance[Job Number]&amp;""=C11&amp;"")*(tbl_Finance[Xero Invoice No]&lt;&gt;"")),tbl_Finance[Xero Invoice No]),LOOKUP(2,1/((tbl_Finance[Job Number]&amp;""=C11&amp;"")*(tbl_Finance[Xero Invoice No]&lt;&gt;"")),tbl_Finance[Xero Invoice No])&amp;" +more"),"")))</f>
        <v/>
      </c>
      <c r="C11" s="24" t="n"/>
      <c r="D11" s="25">
        <f>IF(C11="","",IF(COUNTIF(lst_Jobs,C11&amp;"")&gt;0,"OK","CHECK"))</f>
        <v/>
      </c>
      <c r="E11" s="25">
        <f>IF(C11="","",IFERROR(INDEX(lst_JobName,MATCH(C11&amp;"",lst_Jobs,0)),""))</f>
        <v/>
      </c>
      <c r="F11" s="25">
        <f>IF(C11="","",IFERROR(INDEX(tbl_Finance[Client],IFERROR(MATCH(C11&amp;"",tbl_Finance[Job Number],0),MATCH(IFERROR(C11+0,C11),tbl_Finance[Job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6" t="n"/>
      <c r="L11" s="27">
        <f>IF(C11="","",IF(K11="",0,MAX(0,K11-H11)))</f>
        <v/>
      </c>
      <c r="M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N11" s="24" t="n"/>
      <c r="O11" s="24" t="n"/>
      <c r="P11" s="25">
        <f>IF(O11="","",HYPERLINK(IF(LEFT(O11,4)="http",O11,set_QwilrBase&amp;O11),"Open quote"))</f>
        <v/>
      </c>
      <c r="Q11" s="71" t="n"/>
      <c r="R11" s="24" t="n"/>
      <c r="S11" s="24" t="n"/>
    </row>
    <row r="12" ht="15" customHeight="1">
      <c r="A12" s="70">
        <f>IF(C12="","",IFERROR(IF(SUMPRODUCT(MAX((tbl_Finance[Job Number]&amp;""=C12&amp;"")*(tbl_Finance[Xero Invoice No]&lt;&gt;"")*tbl_Finance[Date]))=0,"",SUMPRODUCT(MAX((tbl_Finance[Job Number]&amp;""=C12&amp;"")*(tbl_Finance[Xero Invoice No]&lt;&gt;"")*tbl_Finance[Date]))),""))</f>
        <v/>
      </c>
      <c r="B12" s="25">
        <f>IF(C12="","",IF(COUNTIFS(tbl_Finance[Job Number],C12&amp;"",tbl_Finance[Xero Invoice No],"&lt;&gt;")=0,"",IFERROR(IF(COUNTIFS(tbl_Finance[Job Number],C12&amp;"",tbl_Finance[Xero Invoice No],LOOKUP(2,1/((tbl_Finance[Job Number]&amp;""=C12&amp;"")*(tbl_Finance[Xero Invoice No]&lt;&gt;"")),tbl_Finance[Xero Invoice No]))=COUNTIFS(tbl_Finance[Job Number],C12&amp;"",tbl_Finance[Xero Invoice No],"&lt;&gt;"),LOOKUP(2,1/((tbl_Finance[Job Number]&amp;""=C12&amp;"")*(tbl_Finance[Xero Invoice No]&lt;&gt;"")),tbl_Finance[Xero Invoice No]),LOOKUP(2,1/((tbl_Finance[Job Number]&amp;""=C12&amp;"")*(tbl_Finance[Xero Invoice No]&lt;&gt;"")),tbl_Finance[Xero Invoice No])&amp;" +more"),"")))</f>
        <v/>
      </c>
      <c r="C12" s="24" t="n"/>
      <c r="D12" s="25">
        <f>IF(C12="","",IF(COUNTIF(lst_Jobs,C12&amp;"")&gt;0,"OK","CHECK"))</f>
        <v/>
      </c>
      <c r="E12" s="25">
        <f>IF(C12="","",IFERROR(INDEX(lst_JobName,MATCH(C12&amp;"",lst_Jobs,0)),""))</f>
        <v/>
      </c>
      <c r="F12" s="25">
        <f>IF(C12="","",IFERROR(INDEX(tbl_Finance[Client],IFERROR(MATCH(C12&amp;"",tbl_Finance[Job Number],0),MATCH(IFERROR(C12+0,C12),tbl_Finance[Job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6" t="n"/>
      <c r="L12" s="27">
        <f>IF(C12="","",IF(K12="",0,MAX(0,K12-H12)))</f>
        <v/>
      </c>
      <c r="M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N12" s="24" t="n"/>
      <c r="O12" s="24" t="n"/>
      <c r="P12" s="25">
        <f>IF(O12="","",HYPERLINK(IF(LEFT(O12,4)="http",O12,set_QwilrBase&amp;O12),"Open quote"))</f>
        <v/>
      </c>
      <c r="Q12" s="71" t="n"/>
      <c r="R12" s="24" t="n"/>
      <c r="S12" s="24" t="n"/>
    </row>
    <row r="13" ht="15" customHeight="1">
      <c r="A13" s="70">
        <f>IF(C13="","",IFERROR(IF(SUMPRODUCT(MAX((tbl_Finance[Job Number]&amp;""=C13&amp;"")*(tbl_Finance[Xero Invoice No]&lt;&gt;"")*tbl_Finance[Date]))=0,"",SUMPRODUCT(MAX((tbl_Finance[Job Number]&amp;""=C13&amp;"")*(tbl_Finance[Xero Invoice No]&lt;&gt;"")*tbl_Finance[Date]))),""))</f>
        <v/>
      </c>
      <c r="B13" s="25">
        <f>IF(C13="","",IF(COUNTIFS(tbl_Finance[Job Number],C13&amp;"",tbl_Finance[Xero Invoice No],"&lt;&gt;")=0,"",IFERROR(IF(COUNTIFS(tbl_Finance[Job Number],C13&amp;"",tbl_Finance[Xero Invoice No],LOOKUP(2,1/((tbl_Finance[Job Number]&amp;""=C13&amp;"")*(tbl_Finance[Xero Invoice No]&lt;&gt;"")),tbl_Finance[Xero Invoice No]))=COUNTIFS(tbl_Finance[Job Number],C13&amp;"",tbl_Finance[Xero Invoice No],"&lt;&gt;"),LOOKUP(2,1/((tbl_Finance[Job Number]&amp;""=C13&amp;"")*(tbl_Finance[Xero Invoice No]&lt;&gt;"")),tbl_Finance[Xero Invoice No]),LOOKUP(2,1/((tbl_Finance[Job Number]&amp;""=C13&amp;"")*(tbl_Finance[Xero Invoice No]&lt;&gt;"")),tbl_Finance[Xero Invoice No])&amp;" +more"),"")))</f>
        <v/>
      </c>
      <c r="C13" s="24" t="n"/>
      <c r="D13" s="25">
        <f>IF(C13="","",IF(COUNTIF(lst_Jobs,C13&amp;"")&gt;0,"OK","CHECK"))</f>
        <v/>
      </c>
      <c r="E13" s="25">
        <f>IF(C13="","",IFERROR(INDEX(lst_JobName,MATCH(C13&amp;"",lst_Jobs,0)),""))</f>
        <v/>
      </c>
      <c r="F13" s="25">
        <f>IF(C13="","",IFERROR(INDEX(tbl_Finance[Client],IFERROR(MATCH(C13&amp;"",tbl_Finance[Job Number],0),MATCH(IFERROR(C13+0,C13),tbl_Finance[Job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6" t="n"/>
      <c r="L13" s="27">
        <f>IF(C13="","",IF(K13="",0,MAX(0,K13-H13)))</f>
        <v/>
      </c>
      <c r="M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N13" s="24" t="n"/>
      <c r="O13" s="24" t="n"/>
      <c r="P13" s="25">
        <f>IF(O13="","",HYPERLINK(IF(LEFT(O13,4)="http",O13,set_QwilrBase&amp;O13),"Open quote"))</f>
        <v/>
      </c>
      <c r="Q13" s="71" t="n"/>
      <c r="R13" s="24" t="n"/>
      <c r="S13" s="24" t="n"/>
    </row>
    <row r="14" ht="15" customHeight="1">
      <c r="A14" s="70">
        <f>IF(C14="","",IFERROR(IF(SUMPRODUCT(MAX((tbl_Finance[Job Number]&amp;""=C14&amp;"")*(tbl_Finance[Xero Invoice No]&lt;&gt;"")*tbl_Finance[Date]))=0,"",SUMPRODUCT(MAX((tbl_Finance[Job Number]&amp;""=C14&amp;"")*(tbl_Finance[Xero Invoice No]&lt;&gt;"")*tbl_Finance[Date]))),""))</f>
        <v/>
      </c>
      <c r="B14" s="25">
        <f>IF(C14="","",IF(COUNTIFS(tbl_Finance[Job Number],C14&amp;"",tbl_Finance[Xero Invoice No],"&lt;&gt;")=0,"",IFERROR(IF(COUNTIFS(tbl_Finance[Job Number],C14&amp;"",tbl_Finance[Xero Invoice No],LOOKUP(2,1/((tbl_Finance[Job Number]&amp;""=C14&amp;"")*(tbl_Finance[Xero Invoice No]&lt;&gt;"")),tbl_Finance[Xero Invoice No]))=COUNTIFS(tbl_Finance[Job Number],C14&amp;"",tbl_Finance[Xero Invoice No],"&lt;&gt;"),LOOKUP(2,1/((tbl_Finance[Job Number]&amp;""=C14&amp;"")*(tbl_Finance[Xero Invoice No]&lt;&gt;"")),tbl_Finance[Xero Invoice No]),LOOKUP(2,1/((tbl_Finance[Job Number]&amp;""=C14&amp;"")*(tbl_Finance[Xero Invoice No]&lt;&gt;"")),tbl_Finance[Xero Invoice No])&amp;" +more"),"")))</f>
        <v/>
      </c>
      <c r="C14" s="24" t="n"/>
      <c r="D14" s="25">
        <f>IF(C14="","",IF(COUNTIF(lst_Jobs,C14&amp;"")&gt;0,"OK","CHECK"))</f>
        <v/>
      </c>
      <c r="E14" s="25">
        <f>IF(C14="","",IFERROR(INDEX(lst_JobName,MATCH(C14&amp;"",lst_Jobs,0)),""))</f>
        <v/>
      </c>
      <c r="F14" s="25">
        <f>IF(C14="","",IFERROR(INDEX(tbl_Finance[Client],IFERROR(MATCH(C14&amp;"",tbl_Finance[Job Number],0),MATCH(IFERROR(C14+0,C14),tbl_Finance[Job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6" t="n"/>
      <c r="L14" s="27">
        <f>IF(C14="","",IF(K14="",0,MAX(0,K14-H14)))</f>
        <v/>
      </c>
      <c r="M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N14" s="24" t="n"/>
      <c r="O14" s="24" t="n"/>
      <c r="P14" s="25">
        <f>IF(O14="","",HYPERLINK(IF(LEFT(O14,4)="http",O14,set_QwilrBase&amp;O14),"Open quote"))</f>
        <v/>
      </c>
      <c r="Q14" s="71" t="n"/>
      <c r="R14" s="24" t="n"/>
      <c r="S14" s="24" t="n"/>
    </row>
    <row r="15" ht="15" customHeight="1">
      <c r="A15" s="70">
        <f>IF(C15="","",IFERROR(IF(SUMPRODUCT(MAX((tbl_Finance[Job Number]&amp;""=C15&amp;"")*(tbl_Finance[Xero Invoice No]&lt;&gt;"")*tbl_Finance[Date]))=0,"",SUMPRODUCT(MAX((tbl_Finance[Job Number]&amp;""=C15&amp;"")*(tbl_Finance[Xero Invoice No]&lt;&gt;"")*tbl_Finance[Date]))),""))</f>
        <v/>
      </c>
      <c r="B15" s="25">
        <f>IF(C15="","",IF(COUNTIFS(tbl_Finance[Job Number],C15&amp;"",tbl_Finance[Xero Invoice No],"&lt;&gt;")=0,"",IFERROR(IF(COUNTIFS(tbl_Finance[Job Number],C15&amp;"",tbl_Finance[Xero Invoice No],LOOKUP(2,1/((tbl_Finance[Job Number]&amp;""=C15&amp;"")*(tbl_Finance[Xero Invoice No]&lt;&gt;"")),tbl_Finance[Xero Invoice No]))=COUNTIFS(tbl_Finance[Job Number],C15&amp;"",tbl_Finance[Xero Invoice No],"&lt;&gt;"),LOOKUP(2,1/((tbl_Finance[Job Number]&amp;""=C15&amp;"")*(tbl_Finance[Xero Invoice No]&lt;&gt;"")),tbl_Finance[Xero Invoice No]),LOOKUP(2,1/((tbl_Finance[Job Number]&amp;""=C15&amp;"")*(tbl_Finance[Xero Invoice No]&lt;&gt;"")),tbl_Finance[Xero Invoice No])&amp;" +more"),"")))</f>
        <v/>
      </c>
      <c r="C15" s="24" t="n"/>
      <c r="D15" s="25">
        <f>IF(C15="","",IF(COUNTIF(lst_Jobs,C15&amp;"")&gt;0,"OK","CHECK"))</f>
        <v/>
      </c>
      <c r="E15" s="25">
        <f>IF(C15="","",IFERROR(INDEX(lst_JobName,MATCH(C15&amp;"",lst_Jobs,0)),""))</f>
        <v/>
      </c>
      <c r="F15" s="25">
        <f>IF(C15="","",IFERROR(INDEX(tbl_Finance[Client],IFERROR(MATCH(C15&amp;"",tbl_Finance[Job Number],0),MATCH(IFERROR(C15+0,C15),tbl_Finance[Job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6" t="n"/>
      <c r="L15" s="27">
        <f>IF(C15="","",IF(K15="",0,MAX(0,K15-H15)))</f>
        <v/>
      </c>
      <c r="M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N15" s="24" t="n"/>
      <c r="O15" s="24" t="n"/>
      <c r="P15" s="25">
        <f>IF(O15="","",HYPERLINK(IF(LEFT(O15,4)="http",O15,set_QwilrBase&amp;O15),"Open quote"))</f>
        <v/>
      </c>
      <c r="Q15" s="71" t="n"/>
      <c r="R15" s="24" t="n"/>
      <c r="S15" s="24" t="n"/>
    </row>
    <row r="16" ht="15" customHeight="1">
      <c r="A16" s="70">
        <f>IF(C16="","",IFERROR(IF(SUMPRODUCT(MAX((tbl_Finance[Job Number]&amp;""=C16&amp;"")*(tbl_Finance[Xero Invoice No]&lt;&gt;"")*tbl_Finance[Date]))=0,"",SUMPRODUCT(MAX((tbl_Finance[Job Number]&amp;""=C16&amp;"")*(tbl_Finance[Xero Invoice No]&lt;&gt;"")*tbl_Finance[Date]))),""))</f>
        <v/>
      </c>
      <c r="B16" s="25">
        <f>IF(C16="","",IF(COUNTIFS(tbl_Finance[Job Number],C16&amp;"",tbl_Finance[Xero Invoice No],"&lt;&gt;")=0,"",IFERROR(IF(COUNTIFS(tbl_Finance[Job Number],C16&amp;"",tbl_Finance[Xero Invoice No],LOOKUP(2,1/((tbl_Finance[Job Number]&amp;""=C16&amp;"")*(tbl_Finance[Xero Invoice No]&lt;&gt;"")),tbl_Finance[Xero Invoice No]))=COUNTIFS(tbl_Finance[Job Number],C16&amp;"",tbl_Finance[Xero Invoice No],"&lt;&gt;"),LOOKUP(2,1/((tbl_Finance[Job Number]&amp;""=C16&amp;"")*(tbl_Finance[Xero Invoice No]&lt;&gt;"")),tbl_Finance[Xero Invoice No]),LOOKUP(2,1/((tbl_Finance[Job Number]&amp;""=C16&amp;"")*(tbl_Finance[Xero Invoice No]&lt;&gt;"")),tbl_Finance[Xero Invoice No])&amp;" +more"),"")))</f>
        <v/>
      </c>
      <c r="C16" s="24" t="n"/>
      <c r="D16" s="25">
        <f>IF(C16="","",IF(COUNTIF(lst_Jobs,C16&amp;"")&gt;0,"OK","CHECK"))</f>
        <v/>
      </c>
      <c r="E16" s="25">
        <f>IF(C16="","",IFERROR(INDEX(lst_JobName,MATCH(C16&amp;"",lst_Jobs,0)),""))</f>
        <v/>
      </c>
      <c r="F16" s="25">
        <f>IF(C16="","",IFERROR(INDEX(tbl_Finance[Client],IFERROR(MATCH(C16&amp;"",tbl_Finance[Job Number],0),MATCH(IFERROR(C16+0,C16),tbl_Finance[Job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6" t="n"/>
      <c r="L16" s="27">
        <f>IF(C16="","",IF(K16="",0,MAX(0,K16-H16)))</f>
        <v/>
      </c>
      <c r="M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N16" s="24" t="n"/>
      <c r="O16" s="24" t="n"/>
      <c r="P16" s="25">
        <f>IF(O16="","",HYPERLINK(IF(LEFT(O16,4)="http",O16,set_QwilrBase&amp;O16),"Open quote"))</f>
        <v/>
      </c>
      <c r="Q16" s="71" t="n"/>
      <c r="R16" s="24" t="n"/>
      <c r="S16" s="24" t="n"/>
    </row>
    <row r="17" ht="15" customHeight="1">
      <c r="A17" s="70">
        <f>IF(C17="","",IFERROR(IF(SUMPRODUCT(MAX((tbl_Finance[Job Number]&amp;""=C17&amp;"")*(tbl_Finance[Xero Invoice No]&lt;&gt;"")*tbl_Finance[Date]))=0,"",SUMPRODUCT(MAX((tbl_Finance[Job Number]&amp;""=C17&amp;"")*(tbl_Finance[Xero Invoice No]&lt;&gt;"")*tbl_Finance[Date]))),""))</f>
        <v/>
      </c>
      <c r="B17" s="25">
        <f>IF(C17="","",IF(COUNTIFS(tbl_Finance[Job Number],C17&amp;"",tbl_Finance[Xero Invoice No],"&lt;&gt;")=0,"",IFERROR(IF(COUNTIFS(tbl_Finance[Job Number],C17&amp;"",tbl_Finance[Xero Invoice No],LOOKUP(2,1/((tbl_Finance[Job Number]&amp;""=C17&amp;"")*(tbl_Finance[Xero Invoice No]&lt;&gt;"")),tbl_Finance[Xero Invoice No]))=COUNTIFS(tbl_Finance[Job Number],C17&amp;"",tbl_Finance[Xero Invoice No],"&lt;&gt;"),LOOKUP(2,1/((tbl_Finance[Job Number]&amp;""=C17&amp;"")*(tbl_Finance[Xero Invoice No]&lt;&gt;"")),tbl_Finance[Xero Invoice No]),LOOKUP(2,1/((tbl_Finance[Job Number]&amp;""=C17&amp;"")*(tbl_Finance[Xero Invoice No]&lt;&gt;"")),tbl_Finance[Xero Invoice No])&amp;" +more"),"")))</f>
        <v/>
      </c>
      <c r="C17" s="24" t="n"/>
      <c r="D17" s="25">
        <f>IF(C17="","",IF(COUNTIF(lst_Jobs,C17&amp;"")&gt;0,"OK","CHECK"))</f>
        <v/>
      </c>
      <c r="E17" s="25">
        <f>IF(C17="","",IFERROR(INDEX(lst_JobName,MATCH(C17&amp;"",lst_Jobs,0)),""))</f>
        <v/>
      </c>
      <c r="F17" s="25">
        <f>IF(C17="","",IFERROR(INDEX(tbl_Finance[Client],IFERROR(MATCH(C17&amp;"",tbl_Finance[Job Number],0),MATCH(IFERROR(C17+0,C17),tbl_Finance[Job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6" t="n"/>
      <c r="L17" s="27">
        <f>IF(C17="","",IF(K17="",0,MAX(0,K17-H17)))</f>
        <v/>
      </c>
      <c r="M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N17" s="24" t="n"/>
      <c r="O17" s="24" t="n"/>
      <c r="P17" s="25">
        <f>IF(O17="","",HYPERLINK(IF(LEFT(O17,4)="http",O17,set_QwilrBase&amp;O17),"Open quote"))</f>
        <v/>
      </c>
      <c r="Q17" s="71" t="n"/>
      <c r="R17" s="24" t="n"/>
      <c r="S17" s="24" t="n"/>
    </row>
    <row r="18" ht="15" customHeight="1">
      <c r="A18" s="70">
        <f>IF(C18="","",IFERROR(IF(SUMPRODUCT(MAX((tbl_Finance[Job Number]&amp;""=C18&amp;"")*(tbl_Finance[Xero Invoice No]&lt;&gt;"")*tbl_Finance[Date]))=0,"",SUMPRODUCT(MAX((tbl_Finance[Job Number]&amp;""=C18&amp;"")*(tbl_Finance[Xero Invoice No]&lt;&gt;"")*tbl_Finance[Date]))),""))</f>
        <v/>
      </c>
      <c r="B18" s="25">
        <f>IF(C18="","",IF(COUNTIFS(tbl_Finance[Job Number],C18&amp;"",tbl_Finance[Xero Invoice No],"&lt;&gt;")=0,"",IFERROR(IF(COUNTIFS(tbl_Finance[Job Number],C18&amp;"",tbl_Finance[Xero Invoice No],LOOKUP(2,1/((tbl_Finance[Job Number]&amp;""=C18&amp;"")*(tbl_Finance[Xero Invoice No]&lt;&gt;"")),tbl_Finance[Xero Invoice No]))=COUNTIFS(tbl_Finance[Job Number],C18&amp;"",tbl_Finance[Xero Invoice No],"&lt;&gt;"),LOOKUP(2,1/((tbl_Finance[Job Number]&amp;""=C18&amp;"")*(tbl_Finance[Xero Invoice No]&lt;&gt;"")),tbl_Finance[Xero Invoice No]),LOOKUP(2,1/((tbl_Finance[Job Number]&amp;""=C18&amp;"")*(tbl_Finance[Xero Invoice No]&lt;&gt;"")),tbl_Finance[Xero Invoice No])&amp;" +more"),"")))</f>
        <v/>
      </c>
      <c r="C18" s="24" t="n"/>
      <c r="D18" s="25">
        <f>IF(C18="","",IF(COUNTIF(lst_Jobs,C18&amp;"")&gt;0,"OK","CHECK"))</f>
        <v/>
      </c>
      <c r="E18" s="25">
        <f>IF(C18="","",IFERROR(INDEX(lst_JobName,MATCH(C18&amp;"",lst_Jobs,0)),""))</f>
        <v/>
      </c>
      <c r="F18" s="25">
        <f>IF(C18="","",IFERROR(INDEX(tbl_Finance[Client],IFERROR(MATCH(C18&amp;"",tbl_Finance[Job Number],0),MATCH(IFERROR(C18+0,C18),tbl_Finance[Job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6" t="n"/>
      <c r="L18" s="27">
        <f>IF(C18="","",IF(K18="",0,MAX(0,K18-H18)))</f>
        <v/>
      </c>
      <c r="M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N18" s="24" t="n"/>
      <c r="O18" s="24" t="n"/>
      <c r="P18" s="25">
        <f>IF(O18="","",HYPERLINK(IF(LEFT(O18,4)="http",O18,set_QwilrBase&amp;O18),"Open quote"))</f>
        <v/>
      </c>
      <c r="Q18" s="71" t="n"/>
      <c r="R18" s="24" t="n"/>
      <c r="S18" s="24" t="n"/>
    </row>
    <row r="19" ht="15" customHeight="1">
      <c r="A19" s="70">
        <f>IF(C19="","",IFERROR(IF(SUMPRODUCT(MAX((tbl_Finance[Job Number]&amp;""=C19&amp;"")*(tbl_Finance[Xero Invoice No]&lt;&gt;"")*tbl_Finance[Date]))=0,"",SUMPRODUCT(MAX((tbl_Finance[Job Number]&amp;""=C19&amp;"")*(tbl_Finance[Xero Invoice No]&lt;&gt;"")*tbl_Finance[Date]))),""))</f>
        <v/>
      </c>
      <c r="B19" s="25">
        <f>IF(C19="","",IF(COUNTIFS(tbl_Finance[Job Number],C19&amp;"",tbl_Finance[Xero Invoice No],"&lt;&gt;")=0,"",IFERROR(IF(COUNTIFS(tbl_Finance[Job Number],C19&amp;"",tbl_Finance[Xero Invoice No],LOOKUP(2,1/((tbl_Finance[Job Number]&amp;""=C19&amp;"")*(tbl_Finance[Xero Invoice No]&lt;&gt;"")),tbl_Finance[Xero Invoice No]))=COUNTIFS(tbl_Finance[Job Number],C19&amp;"",tbl_Finance[Xero Invoice No],"&lt;&gt;"),LOOKUP(2,1/((tbl_Finance[Job Number]&amp;""=C19&amp;"")*(tbl_Finance[Xero Invoice No]&lt;&gt;"")),tbl_Finance[Xero Invoice No]),LOOKUP(2,1/((tbl_Finance[Job Number]&amp;""=C19&amp;"")*(tbl_Finance[Xero Invoice No]&lt;&gt;"")),tbl_Finance[Xero Invoice No])&amp;" +more"),"")))</f>
        <v/>
      </c>
      <c r="C19" s="24" t="n"/>
      <c r="D19" s="25">
        <f>IF(C19="","",IF(COUNTIF(lst_Jobs,C19&amp;"")&gt;0,"OK","CHECK"))</f>
        <v/>
      </c>
      <c r="E19" s="25">
        <f>IF(C19="","",IFERROR(INDEX(lst_JobName,MATCH(C19&amp;"",lst_Jobs,0)),""))</f>
        <v/>
      </c>
      <c r="F19" s="25">
        <f>IF(C19="","",IFERROR(INDEX(tbl_Finance[Client],IFERROR(MATCH(C19&amp;"",tbl_Finance[Job Number],0),MATCH(IFERROR(C19+0,C19),tbl_Finance[Job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6" t="n"/>
      <c r="L19" s="27">
        <f>IF(C19="","",IF(K19="",0,MAX(0,K19-H19)))</f>
        <v/>
      </c>
      <c r="M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N19" s="24" t="n"/>
      <c r="O19" s="24" t="n"/>
      <c r="P19" s="25">
        <f>IF(O19="","",HYPERLINK(IF(LEFT(O19,4)="http",O19,set_QwilrBase&amp;O19),"Open quote"))</f>
        <v/>
      </c>
      <c r="Q19" s="71" t="n"/>
      <c r="R19" s="24" t="n"/>
      <c r="S19" s="24" t="n"/>
    </row>
    <row r="20" ht="15" customHeight="1">
      <c r="A20" s="70">
        <f>IF(C20="","",IFERROR(IF(SUMPRODUCT(MAX((tbl_Finance[Job Number]&amp;""=C20&amp;"")*(tbl_Finance[Xero Invoice No]&lt;&gt;"")*tbl_Finance[Date]))=0,"",SUMPRODUCT(MAX((tbl_Finance[Job Number]&amp;""=C20&amp;"")*(tbl_Finance[Xero Invoice No]&lt;&gt;"")*tbl_Finance[Date]))),""))</f>
        <v/>
      </c>
      <c r="B20" s="25">
        <f>IF(C20="","",IF(COUNTIFS(tbl_Finance[Job Number],C20&amp;"",tbl_Finance[Xero Invoice No],"&lt;&gt;")=0,"",IFERROR(IF(COUNTIFS(tbl_Finance[Job Number],C20&amp;"",tbl_Finance[Xero Invoice No],LOOKUP(2,1/((tbl_Finance[Job Number]&amp;""=C20&amp;"")*(tbl_Finance[Xero Invoice No]&lt;&gt;"")),tbl_Finance[Xero Invoice No]))=COUNTIFS(tbl_Finance[Job Number],C20&amp;"",tbl_Finance[Xero Invoice No],"&lt;&gt;"),LOOKUP(2,1/((tbl_Finance[Job Number]&amp;""=C20&amp;"")*(tbl_Finance[Xero Invoice No]&lt;&gt;"")),tbl_Finance[Xero Invoice No]),LOOKUP(2,1/((tbl_Finance[Job Number]&amp;""=C20&amp;"")*(tbl_Finance[Xero Invoice No]&lt;&gt;"")),tbl_Finance[Xero Invoice No])&amp;" +more"),"")))</f>
        <v/>
      </c>
      <c r="C20" s="24" t="n"/>
      <c r="D20" s="25">
        <f>IF(C20="","",IF(COUNTIF(lst_Jobs,C20&amp;"")&gt;0,"OK","CHECK"))</f>
        <v/>
      </c>
      <c r="E20" s="25">
        <f>IF(C20="","",IFERROR(INDEX(lst_JobName,MATCH(C20&amp;"",lst_Jobs,0)),""))</f>
        <v/>
      </c>
      <c r="F20" s="25">
        <f>IF(C20="","",IFERROR(INDEX(tbl_Finance[Client],IFERROR(MATCH(C20&amp;"",tbl_Finance[Job Number],0),MATCH(IFERROR(C20+0,C20),tbl_Finance[Job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6" t="n"/>
      <c r="L20" s="27">
        <f>IF(C20="","",IF(K20="",0,MAX(0,K20-H20)))</f>
        <v/>
      </c>
      <c r="M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N20" s="24" t="n"/>
      <c r="O20" s="24" t="n"/>
      <c r="P20" s="25">
        <f>IF(O20="","",HYPERLINK(IF(LEFT(O20,4)="http",O20,set_QwilrBase&amp;O20),"Open quote"))</f>
        <v/>
      </c>
      <c r="Q20" s="71" t="n"/>
      <c r="R20" s="24" t="n"/>
      <c r="S20" s="24" t="n"/>
    </row>
    <row r="21" ht="15" customHeight="1">
      <c r="A21" s="70">
        <f>IF(C21="","",IFERROR(IF(SUMPRODUCT(MAX((tbl_Finance[Job Number]&amp;""=C21&amp;"")*(tbl_Finance[Xero Invoice No]&lt;&gt;"")*tbl_Finance[Date]))=0,"",SUMPRODUCT(MAX((tbl_Finance[Job Number]&amp;""=C21&amp;"")*(tbl_Finance[Xero Invoice No]&lt;&gt;"")*tbl_Finance[Date]))),""))</f>
        <v/>
      </c>
      <c r="B21" s="25">
        <f>IF(C21="","",IF(COUNTIFS(tbl_Finance[Job Number],C21&amp;"",tbl_Finance[Xero Invoice No],"&lt;&gt;")=0,"",IFERROR(IF(COUNTIFS(tbl_Finance[Job Number],C21&amp;"",tbl_Finance[Xero Invoice No],LOOKUP(2,1/((tbl_Finance[Job Number]&amp;""=C21&amp;"")*(tbl_Finance[Xero Invoice No]&lt;&gt;"")),tbl_Finance[Xero Invoice No]))=COUNTIFS(tbl_Finance[Job Number],C21&amp;"",tbl_Finance[Xero Invoice No],"&lt;&gt;"),LOOKUP(2,1/((tbl_Finance[Job Number]&amp;""=C21&amp;"")*(tbl_Finance[Xero Invoice No]&lt;&gt;"")),tbl_Finance[Xero Invoice No]),LOOKUP(2,1/((tbl_Finance[Job Number]&amp;""=C21&amp;"")*(tbl_Finance[Xero Invoice No]&lt;&gt;"")),tbl_Finance[Xero Invoice No])&amp;" +more"),"")))</f>
        <v/>
      </c>
      <c r="C21" s="24" t="n"/>
      <c r="D21" s="25">
        <f>IF(C21="","",IF(COUNTIF(lst_Jobs,C21&amp;"")&gt;0,"OK","CHECK"))</f>
        <v/>
      </c>
      <c r="E21" s="25">
        <f>IF(C21="","",IFERROR(INDEX(lst_JobName,MATCH(C21&amp;"",lst_Jobs,0)),""))</f>
        <v/>
      </c>
      <c r="F21" s="25">
        <f>IF(C21="","",IFERROR(INDEX(tbl_Finance[Client],IFERROR(MATCH(C21&amp;"",tbl_Finance[Job Number],0),MATCH(IFERROR(C21+0,C21),tbl_Finance[Job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6" t="n"/>
      <c r="L21" s="27">
        <f>IF(C21="","",IF(K21="",0,MAX(0,K21-H21)))</f>
        <v/>
      </c>
      <c r="M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N21" s="24" t="n"/>
      <c r="O21" s="24" t="n"/>
      <c r="P21" s="25">
        <f>IF(O21="","",HYPERLINK(IF(LEFT(O21,4)="http",O21,set_QwilrBase&amp;O21),"Open quote"))</f>
        <v/>
      </c>
      <c r="Q21" s="71" t="n"/>
      <c r="R21" s="24" t="n"/>
      <c r="S21" s="24" t="n"/>
    </row>
    <row r="22" ht="15" customHeight="1">
      <c r="A22" s="70">
        <f>IF(C22="","",IFERROR(IF(SUMPRODUCT(MAX((tbl_Finance[Job Number]&amp;""=C22&amp;"")*(tbl_Finance[Xero Invoice No]&lt;&gt;"")*tbl_Finance[Date]))=0,"",SUMPRODUCT(MAX((tbl_Finance[Job Number]&amp;""=C22&amp;"")*(tbl_Finance[Xero Invoice No]&lt;&gt;"")*tbl_Finance[Date]))),""))</f>
        <v/>
      </c>
      <c r="B22" s="25">
        <f>IF(C22="","",IF(COUNTIFS(tbl_Finance[Job Number],C22&amp;"",tbl_Finance[Xero Invoice No],"&lt;&gt;")=0,"",IFERROR(IF(COUNTIFS(tbl_Finance[Job Number],C22&amp;"",tbl_Finance[Xero Invoice No],LOOKUP(2,1/((tbl_Finance[Job Number]&amp;""=C22&amp;"")*(tbl_Finance[Xero Invoice No]&lt;&gt;"")),tbl_Finance[Xero Invoice No]))=COUNTIFS(tbl_Finance[Job Number],C22&amp;"",tbl_Finance[Xero Invoice No],"&lt;&gt;"),LOOKUP(2,1/((tbl_Finance[Job Number]&amp;""=C22&amp;"")*(tbl_Finance[Xero Invoice No]&lt;&gt;"")),tbl_Finance[Xero Invoice No]),LOOKUP(2,1/((tbl_Finance[Job Number]&amp;""=C22&amp;"")*(tbl_Finance[Xero Invoice No]&lt;&gt;"")),tbl_Finance[Xero Invoice No])&amp;" +more"),"")))</f>
        <v/>
      </c>
      <c r="C22" s="24" t="n"/>
      <c r="D22" s="25">
        <f>IF(C22="","",IF(COUNTIF(lst_Jobs,C22&amp;"")&gt;0,"OK","CHECK"))</f>
        <v/>
      </c>
      <c r="E22" s="25">
        <f>IF(C22="","",IFERROR(INDEX(lst_JobName,MATCH(C22&amp;"",lst_Jobs,0)),""))</f>
        <v/>
      </c>
      <c r="F22" s="25">
        <f>IF(C22="","",IFERROR(INDEX(tbl_Finance[Client],IFERROR(MATCH(C22&amp;"",tbl_Finance[Job Number],0),MATCH(IFERROR(C22+0,C22),tbl_Finance[Job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6" t="n"/>
      <c r="L22" s="27">
        <f>IF(C22="","",IF(K22="",0,MAX(0,K22-H22)))</f>
        <v/>
      </c>
      <c r="M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N22" s="24" t="n"/>
      <c r="O22" s="24" t="n"/>
      <c r="P22" s="25">
        <f>IF(O22="","",HYPERLINK(IF(LEFT(O22,4)="http",O22,set_QwilrBase&amp;O22),"Open quote"))</f>
        <v/>
      </c>
      <c r="Q22" s="71" t="n"/>
      <c r="R22" s="24" t="n"/>
      <c r="S22" s="24" t="n"/>
    </row>
    <row r="23" ht="15" customHeight="1">
      <c r="A23" s="70">
        <f>IF(C23="","",IFERROR(IF(SUMPRODUCT(MAX((tbl_Finance[Job Number]&amp;""=C23&amp;"")*(tbl_Finance[Xero Invoice No]&lt;&gt;"")*tbl_Finance[Date]))=0,"",SUMPRODUCT(MAX((tbl_Finance[Job Number]&amp;""=C23&amp;"")*(tbl_Finance[Xero Invoice No]&lt;&gt;"")*tbl_Finance[Date]))),""))</f>
        <v/>
      </c>
      <c r="B23" s="25">
        <f>IF(C23="","",IF(COUNTIFS(tbl_Finance[Job Number],C23&amp;"",tbl_Finance[Xero Invoice No],"&lt;&gt;")=0,"",IFERROR(IF(COUNTIFS(tbl_Finance[Job Number],C23&amp;"",tbl_Finance[Xero Invoice No],LOOKUP(2,1/((tbl_Finance[Job Number]&amp;""=C23&amp;"")*(tbl_Finance[Xero Invoice No]&lt;&gt;"")),tbl_Finance[Xero Invoice No]))=COUNTIFS(tbl_Finance[Job Number],C23&amp;"",tbl_Finance[Xero Invoice No],"&lt;&gt;"),LOOKUP(2,1/((tbl_Finance[Job Number]&amp;""=C23&amp;"")*(tbl_Finance[Xero Invoice No]&lt;&gt;"")),tbl_Finance[Xero Invoice No]),LOOKUP(2,1/((tbl_Finance[Job Number]&amp;""=C23&amp;"")*(tbl_Finance[Xero Invoice No]&lt;&gt;"")),tbl_Finance[Xero Invoice No])&amp;" +more"),"")))</f>
        <v/>
      </c>
      <c r="C23" s="24" t="n"/>
      <c r="D23" s="25">
        <f>IF(C23="","",IF(COUNTIF(lst_Jobs,C23&amp;"")&gt;0,"OK","CHECK"))</f>
        <v/>
      </c>
      <c r="E23" s="25">
        <f>IF(C23="","",IFERROR(INDEX(lst_JobName,MATCH(C23&amp;"",lst_Jobs,0)),""))</f>
        <v/>
      </c>
      <c r="F23" s="25">
        <f>IF(C23="","",IFERROR(INDEX(tbl_Finance[Client],IFERROR(MATCH(C23&amp;"",tbl_Finance[Job Number],0),MATCH(IFERROR(C23+0,C23),tbl_Finance[Job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6" t="n"/>
      <c r="L23" s="27">
        <f>IF(C23="","",IF(K23="",0,MAX(0,K23-H23)))</f>
        <v/>
      </c>
      <c r="M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N23" s="24" t="n"/>
      <c r="O23" s="24" t="n"/>
      <c r="P23" s="25">
        <f>IF(O23="","",HYPERLINK(IF(LEFT(O23,4)="http",O23,set_QwilrBase&amp;O23),"Open quote"))</f>
        <v/>
      </c>
      <c r="Q23" s="71" t="n"/>
      <c r="R23" s="24" t="n"/>
      <c r="S23" s="24" t="n"/>
    </row>
    <row r="24" ht="15" customHeight="1">
      <c r="A24" s="70">
        <f>IF(C24="","",IFERROR(IF(SUMPRODUCT(MAX((tbl_Finance[Job Number]&amp;""=C24&amp;"")*(tbl_Finance[Xero Invoice No]&lt;&gt;"")*tbl_Finance[Date]))=0,"",SUMPRODUCT(MAX((tbl_Finance[Job Number]&amp;""=C24&amp;"")*(tbl_Finance[Xero Invoice No]&lt;&gt;"")*tbl_Finance[Date]))),""))</f>
        <v/>
      </c>
      <c r="B24" s="25">
        <f>IF(C24="","",IF(COUNTIFS(tbl_Finance[Job Number],C24&amp;"",tbl_Finance[Xero Invoice No],"&lt;&gt;")=0,"",IFERROR(IF(COUNTIFS(tbl_Finance[Job Number],C24&amp;"",tbl_Finance[Xero Invoice No],LOOKUP(2,1/((tbl_Finance[Job Number]&amp;""=C24&amp;"")*(tbl_Finance[Xero Invoice No]&lt;&gt;"")),tbl_Finance[Xero Invoice No]))=COUNTIFS(tbl_Finance[Job Number],C24&amp;"",tbl_Finance[Xero Invoice No],"&lt;&gt;"),LOOKUP(2,1/((tbl_Finance[Job Number]&amp;""=C24&amp;"")*(tbl_Finance[Xero Invoice No]&lt;&gt;"")),tbl_Finance[Xero Invoice No]),LOOKUP(2,1/((tbl_Finance[Job Number]&amp;""=C24&amp;"")*(tbl_Finance[Xero Invoice No]&lt;&gt;"")),tbl_Finance[Xero Invoice No])&amp;" +more"),"")))</f>
        <v/>
      </c>
      <c r="C24" s="24" t="n"/>
      <c r="D24" s="25">
        <f>IF(C24="","",IF(COUNTIF(lst_Jobs,C24&amp;"")&gt;0,"OK","CHECK"))</f>
        <v/>
      </c>
      <c r="E24" s="25">
        <f>IF(C24="","",IFERROR(INDEX(lst_JobName,MATCH(C24&amp;"",lst_Jobs,0)),""))</f>
        <v/>
      </c>
      <c r="F24" s="25">
        <f>IF(C24="","",IFERROR(INDEX(tbl_Finance[Client],IFERROR(MATCH(C24&amp;"",tbl_Finance[Job Number],0),MATCH(IFERROR(C24+0,C24),tbl_Finance[Job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6" t="n"/>
      <c r="L24" s="27">
        <f>IF(C24="","",IF(K24="",0,MAX(0,K24-H24)))</f>
        <v/>
      </c>
      <c r="M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N24" s="24" t="n"/>
      <c r="O24" s="24" t="n"/>
      <c r="P24" s="25">
        <f>IF(O24="","",HYPERLINK(IF(LEFT(O24,4)="http",O24,set_QwilrBase&amp;O24),"Open quote"))</f>
        <v/>
      </c>
      <c r="Q24" s="71" t="n"/>
      <c r="R24" s="24" t="n"/>
      <c r="S24" s="24" t="n"/>
    </row>
    <row r="25" ht="15" customHeight="1">
      <c r="A25" s="70">
        <f>IF(C25="","",IFERROR(IF(SUMPRODUCT(MAX((tbl_Finance[Job Number]&amp;""=C25&amp;"")*(tbl_Finance[Xero Invoice No]&lt;&gt;"")*tbl_Finance[Date]))=0,"",SUMPRODUCT(MAX((tbl_Finance[Job Number]&amp;""=C25&amp;"")*(tbl_Finance[Xero Invoice No]&lt;&gt;"")*tbl_Finance[Date]))),""))</f>
        <v/>
      </c>
      <c r="B25" s="25">
        <f>IF(C25="","",IF(COUNTIFS(tbl_Finance[Job Number],C25&amp;"",tbl_Finance[Xero Invoice No],"&lt;&gt;")=0,"",IFERROR(IF(COUNTIFS(tbl_Finance[Job Number],C25&amp;"",tbl_Finance[Xero Invoice No],LOOKUP(2,1/((tbl_Finance[Job Number]&amp;""=C25&amp;"")*(tbl_Finance[Xero Invoice No]&lt;&gt;"")),tbl_Finance[Xero Invoice No]))=COUNTIFS(tbl_Finance[Job Number],C25&amp;"",tbl_Finance[Xero Invoice No],"&lt;&gt;"),LOOKUP(2,1/((tbl_Finance[Job Number]&amp;""=C25&amp;"")*(tbl_Finance[Xero Invoice No]&lt;&gt;"")),tbl_Finance[Xero Invoice No]),LOOKUP(2,1/((tbl_Finance[Job Number]&amp;""=C25&amp;"")*(tbl_Finance[Xero Invoice No]&lt;&gt;"")),tbl_Finance[Xero Invoice No])&amp;" +more"),"")))</f>
        <v/>
      </c>
      <c r="C25" s="24" t="n"/>
      <c r="D25" s="25">
        <f>IF(C25="","",IF(COUNTIF(lst_Jobs,C25&amp;"")&gt;0,"OK","CHECK"))</f>
        <v/>
      </c>
      <c r="E25" s="25">
        <f>IF(C25="","",IFERROR(INDEX(lst_JobName,MATCH(C25&amp;"",lst_Jobs,0)),""))</f>
        <v/>
      </c>
      <c r="F25" s="25">
        <f>IF(C25="","",IFERROR(INDEX(tbl_Finance[Client],IFERROR(MATCH(C25&amp;"",tbl_Finance[Job Number],0),MATCH(IFERROR(C25+0,C25),tbl_Finance[Job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6" t="n"/>
      <c r="L25" s="27">
        <f>IF(C25="","",IF(K25="",0,MAX(0,K25-H25)))</f>
        <v/>
      </c>
      <c r="M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N25" s="24" t="n"/>
      <c r="O25" s="24" t="n"/>
      <c r="P25" s="25">
        <f>IF(O25="","",HYPERLINK(IF(LEFT(O25,4)="http",O25,set_QwilrBase&amp;O25),"Open quote"))</f>
        <v/>
      </c>
      <c r="Q25" s="71" t="n"/>
      <c r="R25" s="24" t="n"/>
      <c r="S25" s="24" t="n"/>
    </row>
    <row r="26" ht="15" customHeight="1">
      <c r="A26" s="70">
        <f>IF(C26="","",IFERROR(IF(SUMPRODUCT(MAX((tbl_Finance[Job Number]&amp;""=C26&amp;"")*(tbl_Finance[Xero Invoice No]&lt;&gt;"")*tbl_Finance[Date]))=0,"",SUMPRODUCT(MAX((tbl_Finance[Job Number]&amp;""=C26&amp;"")*(tbl_Finance[Xero Invoice No]&lt;&gt;"")*tbl_Finance[Date]))),""))</f>
        <v/>
      </c>
      <c r="B26" s="25">
        <f>IF(C26="","",IF(COUNTIFS(tbl_Finance[Job Number],C26&amp;"",tbl_Finance[Xero Invoice No],"&lt;&gt;")=0,"",IFERROR(IF(COUNTIFS(tbl_Finance[Job Number],C26&amp;"",tbl_Finance[Xero Invoice No],LOOKUP(2,1/((tbl_Finance[Job Number]&amp;""=C26&amp;"")*(tbl_Finance[Xero Invoice No]&lt;&gt;"")),tbl_Finance[Xero Invoice No]))=COUNTIFS(tbl_Finance[Job Number],C26&amp;"",tbl_Finance[Xero Invoice No],"&lt;&gt;"),LOOKUP(2,1/((tbl_Finance[Job Number]&amp;""=C26&amp;"")*(tbl_Finance[Xero Invoice No]&lt;&gt;"")),tbl_Finance[Xero Invoice No]),LOOKUP(2,1/((tbl_Finance[Job Number]&amp;""=C26&amp;"")*(tbl_Finance[Xero Invoice No]&lt;&gt;"")),tbl_Finance[Xero Invoice No])&amp;" +more"),"")))</f>
        <v/>
      </c>
      <c r="C26" s="24" t="n"/>
      <c r="D26" s="25">
        <f>IF(C26="","",IF(COUNTIF(lst_Jobs,C26&amp;"")&gt;0,"OK","CHECK"))</f>
        <v/>
      </c>
      <c r="E26" s="25">
        <f>IF(C26="","",IFERROR(INDEX(lst_JobName,MATCH(C26&amp;"",lst_Jobs,0)),""))</f>
        <v/>
      </c>
      <c r="F26" s="25">
        <f>IF(C26="","",IFERROR(INDEX(tbl_Finance[Client],IFERROR(MATCH(C26&amp;"",tbl_Finance[Job Number],0),MATCH(IFERROR(C26+0,C26),tbl_Finance[Job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6" t="n"/>
      <c r="L26" s="27">
        <f>IF(C26="","",IF(K26="",0,MAX(0,K26-H26)))</f>
        <v/>
      </c>
      <c r="M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N26" s="24" t="n"/>
      <c r="O26" s="24" t="n"/>
      <c r="P26" s="25">
        <f>IF(O26="","",HYPERLINK(IF(LEFT(O26,4)="http",O26,set_QwilrBase&amp;O26),"Open quote"))</f>
        <v/>
      </c>
      <c r="Q26" s="71" t="n"/>
      <c r="R26" s="24" t="n"/>
      <c r="S26" s="24" t="n"/>
    </row>
    <row r="27" ht="15" customHeight="1">
      <c r="A27" s="70">
        <f>IF(C27="","",IFERROR(IF(SUMPRODUCT(MAX((tbl_Finance[Job Number]&amp;""=C27&amp;"")*(tbl_Finance[Xero Invoice No]&lt;&gt;"")*tbl_Finance[Date]))=0,"",SUMPRODUCT(MAX((tbl_Finance[Job Number]&amp;""=C27&amp;"")*(tbl_Finance[Xero Invoice No]&lt;&gt;"")*tbl_Finance[Date]))),""))</f>
        <v/>
      </c>
      <c r="B27" s="25">
        <f>IF(C27="","",IF(COUNTIFS(tbl_Finance[Job Number],C27&amp;"",tbl_Finance[Xero Invoice No],"&lt;&gt;")=0,"",IFERROR(IF(COUNTIFS(tbl_Finance[Job Number],C27&amp;"",tbl_Finance[Xero Invoice No],LOOKUP(2,1/((tbl_Finance[Job Number]&amp;""=C27&amp;"")*(tbl_Finance[Xero Invoice No]&lt;&gt;"")),tbl_Finance[Xero Invoice No]))=COUNTIFS(tbl_Finance[Job Number],C27&amp;"",tbl_Finance[Xero Invoice No],"&lt;&gt;"),LOOKUP(2,1/((tbl_Finance[Job Number]&amp;""=C27&amp;"")*(tbl_Finance[Xero Invoice No]&lt;&gt;"")),tbl_Finance[Xero Invoice No]),LOOKUP(2,1/((tbl_Finance[Job Number]&amp;""=C27&amp;"")*(tbl_Finance[Xero Invoice No]&lt;&gt;"")),tbl_Finance[Xero Invoice No])&amp;" +more"),"")))</f>
        <v/>
      </c>
      <c r="C27" s="24" t="n"/>
      <c r="D27" s="25">
        <f>IF(C27="","",IF(COUNTIF(lst_Jobs,C27&amp;"")&gt;0,"OK","CHECK"))</f>
        <v/>
      </c>
      <c r="E27" s="25">
        <f>IF(C27="","",IFERROR(INDEX(lst_JobName,MATCH(C27&amp;"",lst_Jobs,0)),""))</f>
        <v/>
      </c>
      <c r="F27" s="25">
        <f>IF(C27="","",IFERROR(INDEX(tbl_Finance[Client],IFERROR(MATCH(C27&amp;"",tbl_Finance[Job Number],0),MATCH(IFERROR(C27+0,C27),tbl_Finance[Job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6" t="n"/>
      <c r="L27" s="27">
        <f>IF(C27="","",IF(K27="",0,MAX(0,K27-H27)))</f>
        <v/>
      </c>
      <c r="M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N27" s="24" t="n"/>
      <c r="O27" s="24" t="n"/>
      <c r="P27" s="25">
        <f>IF(O27="","",HYPERLINK(IF(LEFT(O27,4)="http",O27,set_QwilrBase&amp;O27),"Open quote"))</f>
        <v/>
      </c>
      <c r="Q27" s="71" t="n"/>
      <c r="R27" s="24" t="n"/>
      <c r="S27" s="24" t="n"/>
    </row>
    <row r="28" ht="15" customHeight="1">
      <c r="A28" s="70">
        <f>IF(C28="","",IFERROR(IF(SUMPRODUCT(MAX((tbl_Finance[Job Number]&amp;""=C28&amp;"")*(tbl_Finance[Xero Invoice No]&lt;&gt;"")*tbl_Finance[Date]))=0,"",SUMPRODUCT(MAX((tbl_Finance[Job Number]&amp;""=C28&amp;"")*(tbl_Finance[Xero Invoice No]&lt;&gt;"")*tbl_Finance[Date]))),""))</f>
        <v/>
      </c>
      <c r="B28" s="25">
        <f>IF(C28="","",IF(COUNTIFS(tbl_Finance[Job Number],C28&amp;"",tbl_Finance[Xero Invoice No],"&lt;&gt;")=0,"",IFERROR(IF(COUNTIFS(tbl_Finance[Job Number],C28&amp;"",tbl_Finance[Xero Invoice No],LOOKUP(2,1/((tbl_Finance[Job Number]&amp;""=C28&amp;"")*(tbl_Finance[Xero Invoice No]&lt;&gt;"")),tbl_Finance[Xero Invoice No]))=COUNTIFS(tbl_Finance[Job Number],C28&amp;"",tbl_Finance[Xero Invoice No],"&lt;&gt;"),LOOKUP(2,1/((tbl_Finance[Job Number]&amp;""=C28&amp;"")*(tbl_Finance[Xero Invoice No]&lt;&gt;"")),tbl_Finance[Xero Invoice No]),LOOKUP(2,1/((tbl_Finance[Job Number]&amp;""=C28&amp;"")*(tbl_Finance[Xero Invoice No]&lt;&gt;"")),tbl_Finance[Xero Invoice No])&amp;" +more"),"")))</f>
        <v/>
      </c>
      <c r="C28" s="24" t="n"/>
      <c r="D28" s="25">
        <f>IF(C28="","",IF(COUNTIF(lst_Jobs,C28&amp;"")&gt;0,"OK","CHECK"))</f>
        <v/>
      </c>
      <c r="E28" s="25">
        <f>IF(C28="","",IFERROR(INDEX(lst_JobName,MATCH(C28&amp;"",lst_Jobs,0)),""))</f>
        <v/>
      </c>
      <c r="F28" s="25">
        <f>IF(C28="","",IFERROR(INDEX(tbl_Finance[Client],IFERROR(MATCH(C28&amp;"",tbl_Finance[Job Number],0),MATCH(IFERROR(C28+0,C28),tbl_Finance[Job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6" t="n"/>
      <c r="L28" s="27">
        <f>IF(C28="","",IF(K28="",0,MAX(0,K28-H28)))</f>
        <v/>
      </c>
      <c r="M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N28" s="24" t="n"/>
      <c r="O28" s="24" t="n"/>
      <c r="P28" s="25">
        <f>IF(O28="","",HYPERLINK(IF(LEFT(O28,4)="http",O28,set_QwilrBase&amp;O28),"Open quote"))</f>
        <v/>
      </c>
      <c r="Q28" s="71" t="n"/>
      <c r="R28" s="24" t="n"/>
      <c r="S28" s="24" t="n"/>
    </row>
    <row r="29" ht="15" customHeight="1">
      <c r="A29" s="70">
        <f>IF(C29="","",IFERROR(IF(SUMPRODUCT(MAX((tbl_Finance[Job Number]&amp;""=C29&amp;"")*(tbl_Finance[Xero Invoice No]&lt;&gt;"")*tbl_Finance[Date]))=0,"",SUMPRODUCT(MAX((tbl_Finance[Job Number]&amp;""=C29&amp;"")*(tbl_Finance[Xero Invoice No]&lt;&gt;"")*tbl_Finance[Date]))),""))</f>
        <v/>
      </c>
      <c r="B29" s="25">
        <f>IF(C29="","",IF(COUNTIFS(tbl_Finance[Job Number],C29&amp;"",tbl_Finance[Xero Invoice No],"&lt;&gt;")=0,"",IFERROR(IF(COUNTIFS(tbl_Finance[Job Number],C29&amp;"",tbl_Finance[Xero Invoice No],LOOKUP(2,1/((tbl_Finance[Job Number]&amp;""=C29&amp;"")*(tbl_Finance[Xero Invoice No]&lt;&gt;"")),tbl_Finance[Xero Invoice No]))=COUNTIFS(tbl_Finance[Job Number],C29&amp;"",tbl_Finance[Xero Invoice No],"&lt;&gt;"),LOOKUP(2,1/((tbl_Finance[Job Number]&amp;""=C29&amp;"")*(tbl_Finance[Xero Invoice No]&lt;&gt;"")),tbl_Finance[Xero Invoice No]),LOOKUP(2,1/((tbl_Finance[Job Number]&amp;""=C29&amp;"")*(tbl_Finance[Xero Invoice No]&lt;&gt;"")),tbl_Finance[Xero Invoice No])&amp;" +more"),"")))</f>
        <v/>
      </c>
      <c r="C29" s="24" t="n"/>
      <c r="D29" s="25">
        <f>IF(C29="","",IF(COUNTIF(lst_Jobs,C29&amp;"")&gt;0,"OK","CHECK"))</f>
        <v/>
      </c>
      <c r="E29" s="25">
        <f>IF(C29="","",IFERROR(INDEX(lst_JobName,MATCH(C29&amp;"",lst_Jobs,0)),""))</f>
        <v/>
      </c>
      <c r="F29" s="25">
        <f>IF(C29="","",IFERROR(INDEX(tbl_Finance[Client],IFERROR(MATCH(C29&amp;"",tbl_Finance[Job Number],0),MATCH(IFERROR(C29+0,C29),tbl_Finance[Job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6" t="n"/>
      <c r="L29" s="27">
        <f>IF(C29="","",IF(K29="",0,MAX(0,K29-H29)))</f>
        <v/>
      </c>
      <c r="M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N29" s="24" t="n"/>
      <c r="O29" s="24" t="n"/>
      <c r="P29" s="25">
        <f>IF(O29="","",HYPERLINK(IF(LEFT(O29,4)="http",O29,set_QwilrBase&amp;O29),"Open quote"))</f>
        <v/>
      </c>
      <c r="Q29" s="71" t="n"/>
      <c r="R29" s="24" t="n"/>
      <c r="S29" s="24" t="n"/>
    </row>
    <row r="30" ht="15" customHeight="1">
      <c r="A30" s="70">
        <f>IF(C30="","",IFERROR(IF(SUMPRODUCT(MAX((tbl_Finance[Job Number]&amp;""=C30&amp;"")*(tbl_Finance[Xero Invoice No]&lt;&gt;"")*tbl_Finance[Date]))=0,"",SUMPRODUCT(MAX((tbl_Finance[Job Number]&amp;""=C30&amp;"")*(tbl_Finance[Xero Invoice No]&lt;&gt;"")*tbl_Finance[Date]))),""))</f>
        <v/>
      </c>
      <c r="B30" s="25">
        <f>IF(C30="","",IF(COUNTIFS(tbl_Finance[Job Number],C30&amp;"",tbl_Finance[Xero Invoice No],"&lt;&gt;")=0,"",IFERROR(IF(COUNTIFS(tbl_Finance[Job Number],C30&amp;"",tbl_Finance[Xero Invoice No],LOOKUP(2,1/((tbl_Finance[Job Number]&amp;""=C30&amp;"")*(tbl_Finance[Xero Invoice No]&lt;&gt;"")),tbl_Finance[Xero Invoice No]))=COUNTIFS(tbl_Finance[Job Number],C30&amp;"",tbl_Finance[Xero Invoice No],"&lt;&gt;"),LOOKUP(2,1/((tbl_Finance[Job Number]&amp;""=C30&amp;"")*(tbl_Finance[Xero Invoice No]&lt;&gt;"")),tbl_Finance[Xero Invoice No]),LOOKUP(2,1/((tbl_Finance[Job Number]&amp;""=C30&amp;"")*(tbl_Finance[Xero Invoice No]&lt;&gt;"")),tbl_Finance[Xero Invoice No])&amp;" +more"),"")))</f>
        <v/>
      </c>
      <c r="C30" s="24" t="n"/>
      <c r="D30" s="25">
        <f>IF(C30="","",IF(COUNTIF(lst_Jobs,C30&amp;"")&gt;0,"OK","CHECK"))</f>
        <v/>
      </c>
      <c r="E30" s="25">
        <f>IF(C30="","",IFERROR(INDEX(lst_JobName,MATCH(C30&amp;"",lst_Jobs,0)),""))</f>
        <v/>
      </c>
      <c r="F30" s="25">
        <f>IF(C30="","",IFERROR(INDEX(tbl_Finance[Client],IFERROR(MATCH(C30&amp;"",tbl_Finance[Job Number],0),MATCH(IFERROR(C30+0,C30),tbl_Finance[Job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6" t="n"/>
      <c r="L30" s="27">
        <f>IF(C30="","",IF(K30="",0,MAX(0,K30-H30)))</f>
        <v/>
      </c>
      <c r="M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N30" s="24" t="n"/>
      <c r="O30" s="24" t="n"/>
      <c r="P30" s="25">
        <f>IF(O30="","",HYPERLINK(IF(LEFT(O30,4)="http",O30,set_QwilrBase&amp;O30),"Open quote"))</f>
        <v/>
      </c>
      <c r="Q30" s="71" t="n"/>
      <c r="R30" s="24" t="n"/>
      <c r="S30" s="24" t="n"/>
    </row>
    <row r="31" ht="15" customHeight="1">
      <c r="A31" s="70">
        <f>IF(C31="","",IFERROR(IF(SUMPRODUCT(MAX((tbl_Finance[Job Number]&amp;""=C31&amp;"")*(tbl_Finance[Xero Invoice No]&lt;&gt;"")*tbl_Finance[Date]))=0,"",SUMPRODUCT(MAX((tbl_Finance[Job Number]&amp;""=C31&amp;"")*(tbl_Finance[Xero Invoice No]&lt;&gt;"")*tbl_Finance[Date]))),""))</f>
        <v/>
      </c>
      <c r="B31" s="25">
        <f>IF(C31="","",IF(COUNTIFS(tbl_Finance[Job Number],C31&amp;"",tbl_Finance[Xero Invoice No],"&lt;&gt;")=0,"",IFERROR(IF(COUNTIFS(tbl_Finance[Job Number],C31&amp;"",tbl_Finance[Xero Invoice No],LOOKUP(2,1/((tbl_Finance[Job Number]&amp;""=C31&amp;"")*(tbl_Finance[Xero Invoice No]&lt;&gt;"")),tbl_Finance[Xero Invoice No]))=COUNTIFS(tbl_Finance[Job Number],C31&amp;"",tbl_Finance[Xero Invoice No],"&lt;&gt;"),LOOKUP(2,1/((tbl_Finance[Job Number]&amp;""=C31&amp;"")*(tbl_Finance[Xero Invoice No]&lt;&gt;"")),tbl_Finance[Xero Invoice No]),LOOKUP(2,1/((tbl_Finance[Job Number]&amp;""=C31&amp;"")*(tbl_Finance[Xero Invoice No]&lt;&gt;"")),tbl_Finance[Xero Invoice No])&amp;" +more"),"")))</f>
        <v/>
      </c>
      <c r="C31" s="24" t="n"/>
      <c r="D31" s="25">
        <f>IF(C31="","",IF(COUNTIF(lst_Jobs,C31&amp;"")&gt;0,"OK","CHECK"))</f>
        <v/>
      </c>
      <c r="E31" s="25">
        <f>IF(C31="","",IFERROR(INDEX(lst_JobName,MATCH(C31&amp;"",lst_Jobs,0)),""))</f>
        <v/>
      </c>
      <c r="F31" s="25">
        <f>IF(C31="","",IFERROR(INDEX(tbl_Finance[Client],IFERROR(MATCH(C31&amp;"",tbl_Finance[Job Number],0),MATCH(IFERROR(C31+0,C31),tbl_Finance[Job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6" t="n"/>
      <c r="L31" s="27">
        <f>IF(C31="","",IF(K31="",0,MAX(0,K31-H31)))</f>
        <v/>
      </c>
      <c r="M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N31" s="24" t="n"/>
      <c r="O31" s="24" t="n"/>
      <c r="P31" s="25">
        <f>IF(O31="","",HYPERLINK(IF(LEFT(O31,4)="http",O31,set_QwilrBase&amp;O31),"Open quote"))</f>
        <v/>
      </c>
      <c r="Q31" s="71" t="n"/>
      <c r="R31" s="24" t="n"/>
      <c r="S31" s="24" t="n"/>
    </row>
    <row r="32" ht="15" customHeight="1">
      <c r="A32" s="70">
        <f>IF(C32="","",IFERROR(IF(SUMPRODUCT(MAX((tbl_Finance[Job Number]&amp;""=C32&amp;"")*(tbl_Finance[Xero Invoice No]&lt;&gt;"")*tbl_Finance[Date]))=0,"",SUMPRODUCT(MAX((tbl_Finance[Job Number]&amp;""=C32&amp;"")*(tbl_Finance[Xero Invoice No]&lt;&gt;"")*tbl_Finance[Date]))),""))</f>
        <v/>
      </c>
      <c r="B32" s="25">
        <f>IF(C32="","",IF(COUNTIFS(tbl_Finance[Job Number],C32&amp;"",tbl_Finance[Xero Invoice No],"&lt;&gt;")=0,"",IFERROR(IF(COUNTIFS(tbl_Finance[Job Number],C32&amp;"",tbl_Finance[Xero Invoice No],LOOKUP(2,1/((tbl_Finance[Job Number]&amp;""=C32&amp;"")*(tbl_Finance[Xero Invoice No]&lt;&gt;"")),tbl_Finance[Xero Invoice No]))=COUNTIFS(tbl_Finance[Job Number],C32&amp;"",tbl_Finance[Xero Invoice No],"&lt;&gt;"),LOOKUP(2,1/((tbl_Finance[Job Number]&amp;""=C32&amp;"")*(tbl_Finance[Xero Invoice No]&lt;&gt;"")),tbl_Finance[Xero Invoice No]),LOOKUP(2,1/((tbl_Finance[Job Number]&amp;""=C32&amp;"")*(tbl_Finance[Xero Invoice No]&lt;&gt;"")),tbl_Finance[Xero Invoice No])&amp;" +more"),"")))</f>
        <v/>
      </c>
      <c r="C32" s="24" t="n"/>
      <c r="D32" s="25">
        <f>IF(C32="","",IF(COUNTIF(lst_Jobs,C32&amp;"")&gt;0,"OK","CHECK"))</f>
        <v/>
      </c>
      <c r="E32" s="25">
        <f>IF(C32="","",IFERROR(INDEX(lst_JobName,MATCH(C32&amp;"",lst_Jobs,0)),""))</f>
        <v/>
      </c>
      <c r="F32" s="25">
        <f>IF(C32="","",IFERROR(INDEX(tbl_Finance[Client],IFERROR(MATCH(C32&amp;"",tbl_Finance[Job Number],0),MATCH(IFERROR(C32+0,C32),tbl_Finance[Job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6" t="n"/>
      <c r="L32" s="27">
        <f>IF(C32="","",IF(K32="",0,MAX(0,K32-H32)))</f>
        <v/>
      </c>
      <c r="M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N32" s="24" t="n"/>
      <c r="O32" s="24" t="n"/>
      <c r="P32" s="25">
        <f>IF(O32="","",HYPERLINK(IF(LEFT(O32,4)="http",O32,set_QwilrBase&amp;O32),"Open quote"))</f>
        <v/>
      </c>
      <c r="Q32" s="71" t="n"/>
      <c r="R32" s="24" t="n"/>
      <c r="S32" s="24" t="n"/>
    </row>
    <row r="33" ht="15" customHeight="1">
      <c r="A33" s="70">
        <f>IF(C33="","",IFERROR(IF(SUMPRODUCT(MAX((tbl_Finance[Job Number]&amp;""=C33&amp;"")*(tbl_Finance[Xero Invoice No]&lt;&gt;"")*tbl_Finance[Date]))=0,"",SUMPRODUCT(MAX((tbl_Finance[Job Number]&amp;""=C33&amp;"")*(tbl_Finance[Xero Invoice No]&lt;&gt;"")*tbl_Finance[Date]))),""))</f>
        <v/>
      </c>
      <c r="B33" s="25">
        <f>IF(C33="","",IF(COUNTIFS(tbl_Finance[Job Number],C33&amp;"",tbl_Finance[Xero Invoice No],"&lt;&gt;")=0,"",IFERROR(IF(COUNTIFS(tbl_Finance[Job Number],C33&amp;"",tbl_Finance[Xero Invoice No],LOOKUP(2,1/((tbl_Finance[Job Number]&amp;""=C33&amp;"")*(tbl_Finance[Xero Invoice No]&lt;&gt;"")),tbl_Finance[Xero Invoice No]))=COUNTIFS(tbl_Finance[Job Number],C33&amp;"",tbl_Finance[Xero Invoice No],"&lt;&gt;"),LOOKUP(2,1/((tbl_Finance[Job Number]&amp;""=C33&amp;"")*(tbl_Finance[Xero Invoice No]&lt;&gt;"")),tbl_Finance[Xero Invoice No]),LOOKUP(2,1/((tbl_Finance[Job Number]&amp;""=C33&amp;"")*(tbl_Finance[Xero Invoice No]&lt;&gt;"")),tbl_Finance[Xero Invoice No])&amp;" +more"),"")))</f>
        <v/>
      </c>
      <c r="C33" s="24" t="n"/>
      <c r="D33" s="25">
        <f>IF(C33="","",IF(COUNTIF(lst_Jobs,C33&amp;"")&gt;0,"OK","CHECK"))</f>
        <v/>
      </c>
      <c r="E33" s="25">
        <f>IF(C33="","",IFERROR(INDEX(lst_JobName,MATCH(C33&amp;"",lst_Jobs,0)),""))</f>
        <v/>
      </c>
      <c r="F33" s="25">
        <f>IF(C33="","",IFERROR(INDEX(tbl_Finance[Client],IFERROR(MATCH(C33&amp;"",tbl_Finance[Job Number],0),MATCH(IFERROR(C33+0,C33),tbl_Finance[Job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6" t="n"/>
      <c r="L33" s="27">
        <f>IF(C33="","",IF(K33="",0,MAX(0,K33-H33)))</f>
        <v/>
      </c>
      <c r="M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N33" s="24" t="n"/>
      <c r="O33" s="24" t="n"/>
      <c r="P33" s="25">
        <f>IF(O33="","",HYPERLINK(IF(LEFT(O33,4)="http",O33,set_QwilrBase&amp;O33),"Open quote"))</f>
        <v/>
      </c>
      <c r="Q33" s="71" t="n"/>
      <c r="R33" s="24" t="n"/>
      <c r="S33" s="24" t="n"/>
    </row>
    <row r="34" ht="15" customHeight="1">
      <c r="A34" s="70">
        <f>IF(C34="","",IFERROR(IF(SUMPRODUCT(MAX((tbl_Finance[Job Number]&amp;""=C34&amp;"")*(tbl_Finance[Xero Invoice No]&lt;&gt;"")*tbl_Finance[Date]))=0,"",SUMPRODUCT(MAX((tbl_Finance[Job Number]&amp;""=C34&amp;"")*(tbl_Finance[Xero Invoice No]&lt;&gt;"")*tbl_Finance[Date]))),""))</f>
        <v/>
      </c>
      <c r="B34" s="25">
        <f>IF(C34="","",IF(COUNTIFS(tbl_Finance[Job Number],C34&amp;"",tbl_Finance[Xero Invoice No],"&lt;&gt;")=0,"",IFERROR(IF(COUNTIFS(tbl_Finance[Job Number],C34&amp;"",tbl_Finance[Xero Invoice No],LOOKUP(2,1/((tbl_Finance[Job Number]&amp;""=C34&amp;"")*(tbl_Finance[Xero Invoice No]&lt;&gt;"")),tbl_Finance[Xero Invoice No]))=COUNTIFS(tbl_Finance[Job Number],C34&amp;"",tbl_Finance[Xero Invoice No],"&lt;&gt;"),LOOKUP(2,1/((tbl_Finance[Job Number]&amp;""=C34&amp;"")*(tbl_Finance[Xero Invoice No]&lt;&gt;"")),tbl_Finance[Xero Invoice No]),LOOKUP(2,1/((tbl_Finance[Job Number]&amp;""=C34&amp;"")*(tbl_Finance[Xero Invoice No]&lt;&gt;"")),tbl_Finance[Xero Invoice No])&amp;" +more"),"")))</f>
        <v/>
      </c>
      <c r="C34" s="24" t="n"/>
      <c r="D34" s="25">
        <f>IF(C34="","",IF(COUNTIF(lst_Jobs,C34&amp;"")&gt;0,"OK","CHECK"))</f>
        <v/>
      </c>
      <c r="E34" s="25">
        <f>IF(C34="","",IFERROR(INDEX(lst_JobName,MATCH(C34&amp;"",lst_Jobs,0)),""))</f>
        <v/>
      </c>
      <c r="F34" s="25">
        <f>IF(C34="","",IFERROR(INDEX(tbl_Finance[Client],IFERROR(MATCH(C34&amp;"",tbl_Finance[Job Number],0),MATCH(IFERROR(C34+0,C34),tbl_Finance[Job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6" t="n"/>
      <c r="L34" s="27">
        <f>IF(C34="","",IF(K34="",0,MAX(0,K34-H34)))</f>
        <v/>
      </c>
      <c r="M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N34" s="24" t="n"/>
      <c r="O34" s="24" t="n"/>
      <c r="P34" s="25">
        <f>IF(O34="","",HYPERLINK(IF(LEFT(O34,4)="http",O34,set_QwilrBase&amp;O34),"Open quote"))</f>
        <v/>
      </c>
      <c r="Q34" s="71" t="n"/>
      <c r="R34" s="24" t="n"/>
      <c r="S34" s="24" t="n"/>
    </row>
    <row r="35" ht="15" customHeight="1">
      <c r="A35" s="70">
        <f>IF(C35="","",IFERROR(IF(SUMPRODUCT(MAX((tbl_Finance[Job Number]&amp;""=C35&amp;"")*(tbl_Finance[Xero Invoice No]&lt;&gt;"")*tbl_Finance[Date]))=0,"",SUMPRODUCT(MAX((tbl_Finance[Job Number]&amp;""=C35&amp;"")*(tbl_Finance[Xero Invoice No]&lt;&gt;"")*tbl_Finance[Date]))),""))</f>
        <v/>
      </c>
      <c r="B35" s="25">
        <f>IF(C35="","",IF(COUNTIFS(tbl_Finance[Job Number],C35&amp;"",tbl_Finance[Xero Invoice No],"&lt;&gt;")=0,"",IFERROR(IF(COUNTIFS(tbl_Finance[Job Number],C35&amp;"",tbl_Finance[Xero Invoice No],LOOKUP(2,1/((tbl_Finance[Job Number]&amp;""=C35&amp;"")*(tbl_Finance[Xero Invoice No]&lt;&gt;"")),tbl_Finance[Xero Invoice No]))=COUNTIFS(tbl_Finance[Job Number],C35&amp;"",tbl_Finance[Xero Invoice No],"&lt;&gt;"),LOOKUP(2,1/((tbl_Finance[Job Number]&amp;""=C35&amp;"")*(tbl_Finance[Xero Invoice No]&lt;&gt;"")),tbl_Finance[Xero Invoice No]),LOOKUP(2,1/((tbl_Finance[Job Number]&amp;""=C35&amp;"")*(tbl_Finance[Xero Invoice No]&lt;&gt;"")),tbl_Finance[Xero Invoice No])&amp;" +more"),"")))</f>
        <v/>
      </c>
      <c r="C35" s="24" t="n"/>
      <c r="D35" s="25">
        <f>IF(C35="","",IF(COUNTIF(lst_Jobs,C35&amp;"")&gt;0,"OK","CHECK"))</f>
        <v/>
      </c>
      <c r="E35" s="25">
        <f>IF(C35="","",IFERROR(INDEX(lst_JobName,MATCH(C35&amp;"",lst_Jobs,0)),""))</f>
        <v/>
      </c>
      <c r="F35" s="25">
        <f>IF(C35="","",IFERROR(INDEX(tbl_Finance[Client],IFERROR(MATCH(C35&amp;"",tbl_Finance[Job Number],0),MATCH(IFERROR(C35+0,C35),tbl_Finance[Job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6" t="n"/>
      <c r="L35" s="27">
        <f>IF(C35="","",IF(K35="",0,MAX(0,K35-H35)))</f>
        <v/>
      </c>
      <c r="M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N35" s="24" t="n"/>
      <c r="O35" s="24" t="n"/>
      <c r="P35" s="25">
        <f>IF(O35="","",HYPERLINK(IF(LEFT(O35,4)="http",O35,set_QwilrBase&amp;O35),"Open quote"))</f>
        <v/>
      </c>
      <c r="Q35" s="71" t="n"/>
      <c r="R35" s="24" t="n"/>
      <c r="S35" s="24" t="n"/>
    </row>
    <row r="36" ht="15" customHeight="1">
      <c r="A36" s="70">
        <f>IF(C36="","",IFERROR(IF(SUMPRODUCT(MAX((tbl_Finance[Job Number]&amp;""=C36&amp;"")*(tbl_Finance[Xero Invoice No]&lt;&gt;"")*tbl_Finance[Date]))=0,"",SUMPRODUCT(MAX((tbl_Finance[Job Number]&amp;""=C36&amp;"")*(tbl_Finance[Xero Invoice No]&lt;&gt;"")*tbl_Finance[Date]))),""))</f>
        <v/>
      </c>
      <c r="B36" s="25">
        <f>IF(C36="","",IF(COUNTIFS(tbl_Finance[Job Number],C36&amp;"",tbl_Finance[Xero Invoice No],"&lt;&gt;")=0,"",IFERROR(IF(COUNTIFS(tbl_Finance[Job Number],C36&amp;"",tbl_Finance[Xero Invoice No],LOOKUP(2,1/((tbl_Finance[Job Number]&amp;""=C36&amp;"")*(tbl_Finance[Xero Invoice No]&lt;&gt;"")),tbl_Finance[Xero Invoice No]))=COUNTIFS(tbl_Finance[Job Number],C36&amp;"",tbl_Finance[Xero Invoice No],"&lt;&gt;"),LOOKUP(2,1/((tbl_Finance[Job Number]&amp;""=C36&amp;"")*(tbl_Finance[Xero Invoice No]&lt;&gt;"")),tbl_Finance[Xero Invoice No]),LOOKUP(2,1/((tbl_Finance[Job Number]&amp;""=C36&amp;"")*(tbl_Finance[Xero Invoice No]&lt;&gt;"")),tbl_Finance[Xero Invoice No])&amp;" +more"),"")))</f>
        <v/>
      </c>
      <c r="C36" s="24" t="n"/>
      <c r="D36" s="25">
        <f>IF(C36="","",IF(COUNTIF(lst_Jobs,C36&amp;"")&gt;0,"OK","CHECK"))</f>
        <v/>
      </c>
      <c r="E36" s="25">
        <f>IF(C36="","",IFERROR(INDEX(lst_JobName,MATCH(C36&amp;"",lst_Jobs,0)),""))</f>
        <v/>
      </c>
      <c r="F36" s="25">
        <f>IF(C36="","",IFERROR(INDEX(tbl_Finance[Client],IFERROR(MATCH(C36&amp;"",tbl_Finance[Job Number],0),MATCH(IFERROR(C36+0,C36),tbl_Finance[Job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6" t="n"/>
      <c r="L36" s="27">
        <f>IF(C36="","",IF(K36="",0,MAX(0,K36-H36)))</f>
        <v/>
      </c>
      <c r="M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N36" s="24" t="n"/>
      <c r="O36" s="24" t="n"/>
      <c r="P36" s="25">
        <f>IF(O36="","",HYPERLINK(IF(LEFT(O36,4)="http",O36,set_QwilrBase&amp;O36),"Open quote"))</f>
        <v/>
      </c>
      <c r="Q36" s="71" t="n"/>
      <c r="R36" s="24" t="n"/>
      <c r="S36" s="24" t="n"/>
    </row>
    <row r="37" ht="15" customHeight="1">
      <c r="A37" s="70">
        <f>IF(C37="","",IFERROR(IF(SUMPRODUCT(MAX((tbl_Finance[Job Number]&amp;""=C37&amp;"")*(tbl_Finance[Xero Invoice No]&lt;&gt;"")*tbl_Finance[Date]))=0,"",SUMPRODUCT(MAX((tbl_Finance[Job Number]&amp;""=C37&amp;"")*(tbl_Finance[Xero Invoice No]&lt;&gt;"")*tbl_Finance[Date]))),""))</f>
        <v/>
      </c>
      <c r="B37" s="25">
        <f>IF(C37="","",IF(COUNTIFS(tbl_Finance[Job Number],C37&amp;"",tbl_Finance[Xero Invoice No],"&lt;&gt;")=0,"",IFERROR(IF(COUNTIFS(tbl_Finance[Job Number],C37&amp;"",tbl_Finance[Xero Invoice No],LOOKUP(2,1/((tbl_Finance[Job Number]&amp;""=C37&amp;"")*(tbl_Finance[Xero Invoice No]&lt;&gt;"")),tbl_Finance[Xero Invoice No]))=COUNTIFS(tbl_Finance[Job Number],C37&amp;"",tbl_Finance[Xero Invoice No],"&lt;&gt;"),LOOKUP(2,1/((tbl_Finance[Job Number]&amp;""=C37&amp;"")*(tbl_Finance[Xero Invoice No]&lt;&gt;"")),tbl_Finance[Xero Invoice No]),LOOKUP(2,1/((tbl_Finance[Job Number]&amp;""=C37&amp;"")*(tbl_Finance[Xero Invoice No]&lt;&gt;"")),tbl_Finance[Xero Invoice No])&amp;" +more"),"")))</f>
        <v/>
      </c>
      <c r="C37" s="24" t="n"/>
      <c r="D37" s="25">
        <f>IF(C37="","",IF(COUNTIF(lst_Jobs,C37&amp;"")&gt;0,"OK","CHECK"))</f>
        <v/>
      </c>
      <c r="E37" s="25">
        <f>IF(C37="","",IFERROR(INDEX(lst_JobName,MATCH(C37&amp;"",lst_Jobs,0)),""))</f>
        <v/>
      </c>
      <c r="F37" s="25">
        <f>IF(C37="","",IFERROR(INDEX(tbl_Finance[Client],IFERROR(MATCH(C37&amp;"",tbl_Finance[Job Number],0),MATCH(IFERROR(C37+0,C37),tbl_Finance[Job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6" t="n"/>
      <c r="L37" s="27">
        <f>IF(C37="","",IF(K37="",0,MAX(0,K37-H37)))</f>
        <v/>
      </c>
      <c r="M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N37" s="24" t="n"/>
      <c r="O37" s="24" t="n"/>
      <c r="P37" s="25">
        <f>IF(O37="","",HYPERLINK(IF(LEFT(O37,4)="http",O37,set_QwilrBase&amp;O37),"Open quote"))</f>
        <v/>
      </c>
      <c r="Q37" s="71" t="n"/>
      <c r="R37" s="24" t="n"/>
      <c r="S37" s="24" t="n"/>
    </row>
    <row r="38" ht="15" customHeight="1">
      <c r="A38" s="70">
        <f>IF(C38="","",IFERROR(IF(SUMPRODUCT(MAX((tbl_Finance[Job Number]&amp;""=C38&amp;"")*(tbl_Finance[Xero Invoice No]&lt;&gt;"")*tbl_Finance[Date]))=0,"",SUMPRODUCT(MAX((tbl_Finance[Job Number]&amp;""=C38&amp;"")*(tbl_Finance[Xero Invoice No]&lt;&gt;"")*tbl_Finance[Date]))),""))</f>
        <v/>
      </c>
      <c r="B38" s="25">
        <f>IF(C38="","",IF(COUNTIFS(tbl_Finance[Job Number],C38&amp;"",tbl_Finance[Xero Invoice No],"&lt;&gt;")=0,"",IFERROR(IF(COUNTIFS(tbl_Finance[Job Number],C38&amp;"",tbl_Finance[Xero Invoice No],LOOKUP(2,1/((tbl_Finance[Job Number]&amp;""=C38&amp;"")*(tbl_Finance[Xero Invoice No]&lt;&gt;"")),tbl_Finance[Xero Invoice No]))=COUNTIFS(tbl_Finance[Job Number],C38&amp;"",tbl_Finance[Xero Invoice No],"&lt;&gt;"),LOOKUP(2,1/((tbl_Finance[Job Number]&amp;""=C38&amp;"")*(tbl_Finance[Xero Invoice No]&lt;&gt;"")),tbl_Finance[Xero Invoice No]),LOOKUP(2,1/((tbl_Finance[Job Number]&amp;""=C38&amp;"")*(tbl_Finance[Xero Invoice No]&lt;&gt;"")),tbl_Finance[Xero Invoice No])&amp;" +more"),"")))</f>
        <v/>
      </c>
      <c r="C38" s="24" t="n"/>
      <c r="D38" s="25">
        <f>IF(C38="","",IF(COUNTIF(lst_Jobs,C38&amp;"")&gt;0,"OK","CHECK"))</f>
        <v/>
      </c>
      <c r="E38" s="25">
        <f>IF(C38="","",IFERROR(INDEX(lst_JobName,MATCH(C38&amp;"",lst_Jobs,0)),""))</f>
        <v/>
      </c>
      <c r="F38" s="25">
        <f>IF(C38="","",IFERROR(INDEX(tbl_Finance[Client],IFERROR(MATCH(C38&amp;"",tbl_Finance[Job Number],0),MATCH(IFERROR(C38+0,C38),tbl_Finance[Job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6" t="n"/>
      <c r="L38" s="27">
        <f>IF(C38="","",IF(K38="",0,MAX(0,K38-H38)))</f>
        <v/>
      </c>
      <c r="M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N38" s="24" t="n"/>
      <c r="O38" s="24" t="n"/>
      <c r="P38" s="25">
        <f>IF(O38="","",HYPERLINK(IF(LEFT(O38,4)="http",O38,set_QwilrBase&amp;O38),"Open quote"))</f>
        <v/>
      </c>
      <c r="Q38" s="71" t="n"/>
      <c r="R38" s="24" t="n"/>
      <c r="S38" s="24" t="n"/>
    </row>
    <row r="39" ht="15" customHeight="1">
      <c r="A39" s="70">
        <f>IF(C39="","",IFERROR(IF(SUMPRODUCT(MAX((tbl_Finance[Job Number]&amp;""=C39&amp;"")*(tbl_Finance[Xero Invoice No]&lt;&gt;"")*tbl_Finance[Date]))=0,"",SUMPRODUCT(MAX((tbl_Finance[Job Number]&amp;""=C39&amp;"")*(tbl_Finance[Xero Invoice No]&lt;&gt;"")*tbl_Finance[Date]))),""))</f>
        <v/>
      </c>
      <c r="B39" s="25">
        <f>IF(C39="","",IF(COUNTIFS(tbl_Finance[Job Number],C39&amp;"",tbl_Finance[Xero Invoice No],"&lt;&gt;")=0,"",IFERROR(IF(COUNTIFS(tbl_Finance[Job Number],C39&amp;"",tbl_Finance[Xero Invoice No],LOOKUP(2,1/((tbl_Finance[Job Number]&amp;""=C39&amp;"")*(tbl_Finance[Xero Invoice No]&lt;&gt;"")),tbl_Finance[Xero Invoice No]))=COUNTIFS(tbl_Finance[Job Number],C39&amp;"",tbl_Finance[Xero Invoice No],"&lt;&gt;"),LOOKUP(2,1/((tbl_Finance[Job Number]&amp;""=C39&amp;"")*(tbl_Finance[Xero Invoice No]&lt;&gt;"")),tbl_Finance[Xero Invoice No]),LOOKUP(2,1/((tbl_Finance[Job Number]&amp;""=C39&amp;"")*(tbl_Finance[Xero Invoice No]&lt;&gt;"")),tbl_Finance[Xero Invoice No])&amp;" +more"),"")))</f>
        <v/>
      </c>
      <c r="C39" s="24" t="n"/>
      <c r="D39" s="25">
        <f>IF(C39="","",IF(COUNTIF(lst_Jobs,C39&amp;"")&gt;0,"OK","CHECK"))</f>
        <v/>
      </c>
      <c r="E39" s="25">
        <f>IF(C39="","",IFERROR(INDEX(lst_JobName,MATCH(C39&amp;"",lst_Jobs,0)),""))</f>
        <v/>
      </c>
      <c r="F39" s="25">
        <f>IF(C39="","",IFERROR(INDEX(tbl_Finance[Client],IFERROR(MATCH(C39&amp;"",tbl_Finance[Job Number],0),MATCH(IFERROR(C39+0,C39),tbl_Finance[Job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6" t="n"/>
      <c r="L39" s="27">
        <f>IF(C39="","",IF(K39="",0,MAX(0,K39-H39)))</f>
        <v/>
      </c>
      <c r="M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N39" s="24" t="n"/>
      <c r="O39" s="24" t="n"/>
      <c r="P39" s="25">
        <f>IF(O39="","",HYPERLINK(IF(LEFT(O39,4)="http",O39,set_QwilrBase&amp;O39),"Open quote"))</f>
        <v/>
      </c>
      <c r="Q39" s="71" t="n"/>
      <c r="R39" s="24" t="n"/>
      <c r="S39" s="24" t="n"/>
    </row>
    <row r="40" ht="15" customHeight="1">
      <c r="A40" s="70">
        <f>IF(C40="","",IFERROR(IF(SUMPRODUCT(MAX((tbl_Finance[Job Number]&amp;""=C40&amp;"")*(tbl_Finance[Xero Invoice No]&lt;&gt;"")*tbl_Finance[Date]))=0,"",SUMPRODUCT(MAX((tbl_Finance[Job Number]&amp;""=C40&amp;"")*(tbl_Finance[Xero Invoice No]&lt;&gt;"")*tbl_Finance[Date]))),""))</f>
        <v/>
      </c>
      <c r="B40" s="25">
        <f>IF(C40="","",IF(COUNTIFS(tbl_Finance[Job Number],C40&amp;"",tbl_Finance[Xero Invoice No],"&lt;&gt;")=0,"",IFERROR(IF(COUNTIFS(tbl_Finance[Job Number],C40&amp;"",tbl_Finance[Xero Invoice No],LOOKUP(2,1/((tbl_Finance[Job Number]&amp;""=C40&amp;"")*(tbl_Finance[Xero Invoice No]&lt;&gt;"")),tbl_Finance[Xero Invoice No]))=COUNTIFS(tbl_Finance[Job Number],C40&amp;"",tbl_Finance[Xero Invoice No],"&lt;&gt;"),LOOKUP(2,1/((tbl_Finance[Job Number]&amp;""=C40&amp;"")*(tbl_Finance[Xero Invoice No]&lt;&gt;"")),tbl_Finance[Xero Invoice No]),LOOKUP(2,1/((tbl_Finance[Job Number]&amp;""=C40&amp;"")*(tbl_Finance[Xero Invoice No]&lt;&gt;"")),tbl_Finance[Xero Invoice No])&amp;" +more"),"")))</f>
        <v/>
      </c>
      <c r="C40" s="24" t="n"/>
      <c r="D40" s="25">
        <f>IF(C40="","",IF(COUNTIF(lst_Jobs,C40&amp;"")&gt;0,"OK","CHECK"))</f>
        <v/>
      </c>
      <c r="E40" s="25">
        <f>IF(C40="","",IFERROR(INDEX(lst_JobName,MATCH(C40&amp;"",lst_Jobs,0)),""))</f>
        <v/>
      </c>
      <c r="F40" s="25">
        <f>IF(C40="","",IFERROR(INDEX(tbl_Finance[Client],IFERROR(MATCH(C40&amp;"",tbl_Finance[Job Number],0),MATCH(IFERROR(C40+0,C40),tbl_Finance[Job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6" t="n"/>
      <c r="L40" s="27">
        <f>IF(C40="","",IF(K40="",0,MAX(0,K40-H40)))</f>
        <v/>
      </c>
      <c r="M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N40" s="24" t="n"/>
      <c r="O40" s="24" t="n"/>
      <c r="P40" s="25">
        <f>IF(O40="","",HYPERLINK(IF(LEFT(O40,4)="http",O40,set_QwilrBase&amp;O40),"Open quote"))</f>
        <v/>
      </c>
      <c r="Q40" s="71" t="n"/>
      <c r="R40" s="24" t="n"/>
      <c r="S40" s="24" t="n"/>
    </row>
    <row r="41" ht="15" customHeight="1">
      <c r="A41" s="70">
        <f>IF(C41="","",IFERROR(IF(SUMPRODUCT(MAX((tbl_Finance[Job Number]&amp;""=C41&amp;"")*(tbl_Finance[Xero Invoice No]&lt;&gt;"")*tbl_Finance[Date]))=0,"",SUMPRODUCT(MAX((tbl_Finance[Job Number]&amp;""=C41&amp;"")*(tbl_Finance[Xero Invoice No]&lt;&gt;"")*tbl_Finance[Date]))),""))</f>
        <v/>
      </c>
      <c r="B41" s="25">
        <f>IF(C41="","",IF(COUNTIFS(tbl_Finance[Job Number],C41&amp;"",tbl_Finance[Xero Invoice No],"&lt;&gt;")=0,"",IFERROR(IF(COUNTIFS(tbl_Finance[Job Number],C41&amp;"",tbl_Finance[Xero Invoice No],LOOKUP(2,1/((tbl_Finance[Job Number]&amp;""=C41&amp;"")*(tbl_Finance[Xero Invoice No]&lt;&gt;"")),tbl_Finance[Xero Invoice No]))=COUNTIFS(tbl_Finance[Job Number],C41&amp;"",tbl_Finance[Xero Invoice No],"&lt;&gt;"),LOOKUP(2,1/((tbl_Finance[Job Number]&amp;""=C41&amp;"")*(tbl_Finance[Xero Invoice No]&lt;&gt;"")),tbl_Finance[Xero Invoice No]),LOOKUP(2,1/((tbl_Finance[Job Number]&amp;""=C41&amp;"")*(tbl_Finance[Xero Invoice No]&lt;&gt;"")),tbl_Finance[Xero Invoice No])&amp;" +more"),"")))</f>
        <v/>
      </c>
      <c r="C41" s="24" t="n"/>
      <c r="D41" s="25">
        <f>IF(C41="","",IF(COUNTIF(lst_Jobs,C41&amp;"")&gt;0,"OK","CHECK"))</f>
        <v/>
      </c>
      <c r="E41" s="25">
        <f>IF(C41="","",IFERROR(INDEX(lst_JobName,MATCH(C41&amp;"",lst_Jobs,0)),""))</f>
        <v/>
      </c>
      <c r="F41" s="25">
        <f>IF(C41="","",IFERROR(INDEX(tbl_Finance[Client],IFERROR(MATCH(C41&amp;"",tbl_Finance[Job Number],0),MATCH(IFERROR(C41+0,C41),tbl_Finance[Job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6" t="n"/>
      <c r="L41" s="27">
        <f>IF(C41="","",IF(K41="",0,MAX(0,K41-H41)))</f>
        <v/>
      </c>
      <c r="M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N41" s="24" t="n"/>
      <c r="O41" s="24" t="n"/>
      <c r="P41" s="25">
        <f>IF(O41="","",HYPERLINK(IF(LEFT(O41,4)="http",O41,set_QwilrBase&amp;O41),"Open quote"))</f>
        <v/>
      </c>
      <c r="Q41" s="71" t="n"/>
      <c r="R41" s="24" t="n"/>
      <c r="S41" s="24" t="n"/>
    </row>
    <row r="42" ht="15" customHeight="1">
      <c r="A42" s="70">
        <f>IF(C42="","",IFERROR(IF(SUMPRODUCT(MAX((tbl_Finance[Job Number]&amp;""=C42&amp;"")*(tbl_Finance[Xero Invoice No]&lt;&gt;"")*tbl_Finance[Date]))=0,"",SUMPRODUCT(MAX((tbl_Finance[Job Number]&amp;""=C42&amp;"")*(tbl_Finance[Xero Invoice No]&lt;&gt;"")*tbl_Finance[Date]))),""))</f>
        <v/>
      </c>
      <c r="B42" s="25">
        <f>IF(C42="","",IF(COUNTIFS(tbl_Finance[Job Number],C42&amp;"",tbl_Finance[Xero Invoice No],"&lt;&gt;")=0,"",IFERROR(IF(COUNTIFS(tbl_Finance[Job Number],C42&amp;"",tbl_Finance[Xero Invoice No],LOOKUP(2,1/((tbl_Finance[Job Number]&amp;""=C42&amp;"")*(tbl_Finance[Xero Invoice No]&lt;&gt;"")),tbl_Finance[Xero Invoice No]))=COUNTIFS(tbl_Finance[Job Number],C42&amp;"",tbl_Finance[Xero Invoice No],"&lt;&gt;"),LOOKUP(2,1/((tbl_Finance[Job Number]&amp;""=C42&amp;"")*(tbl_Finance[Xero Invoice No]&lt;&gt;"")),tbl_Finance[Xero Invoice No]),LOOKUP(2,1/((tbl_Finance[Job Number]&amp;""=C42&amp;"")*(tbl_Finance[Xero Invoice No]&lt;&gt;"")),tbl_Finance[Xero Invoice No])&amp;" +more"),"")))</f>
        <v/>
      </c>
      <c r="C42" s="24" t="n"/>
      <c r="D42" s="25">
        <f>IF(C42="","",IF(COUNTIF(lst_Jobs,C42&amp;"")&gt;0,"OK","CHECK"))</f>
        <v/>
      </c>
      <c r="E42" s="25">
        <f>IF(C42="","",IFERROR(INDEX(lst_JobName,MATCH(C42&amp;"",lst_Jobs,0)),""))</f>
        <v/>
      </c>
      <c r="F42" s="25">
        <f>IF(C42="","",IFERROR(INDEX(tbl_Finance[Client],IFERROR(MATCH(C42&amp;"",tbl_Finance[Job Number],0),MATCH(IFERROR(C42+0,C42),tbl_Finance[Job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6" t="n"/>
      <c r="L42" s="27">
        <f>IF(C42="","",IF(K42="",0,MAX(0,K42-H42)))</f>
        <v/>
      </c>
      <c r="M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N42" s="24" t="n"/>
      <c r="O42" s="24" t="n"/>
      <c r="P42" s="25">
        <f>IF(O42="","",HYPERLINK(IF(LEFT(O42,4)="http",O42,set_QwilrBase&amp;O42),"Open quote"))</f>
        <v/>
      </c>
      <c r="Q42" s="71" t="n"/>
      <c r="R42" s="24" t="n"/>
      <c r="S42" s="24" t="n"/>
    </row>
    <row r="43" ht="15" customHeight="1">
      <c r="A43" s="70">
        <f>IF(C43="","",IFERROR(IF(SUMPRODUCT(MAX((tbl_Finance[Job Number]&amp;""=C43&amp;"")*(tbl_Finance[Xero Invoice No]&lt;&gt;"")*tbl_Finance[Date]))=0,"",SUMPRODUCT(MAX((tbl_Finance[Job Number]&amp;""=C43&amp;"")*(tbl_Finance[Xero Invoice No]&lt;&gt;"")*tbl_Finance[Date]))),""))</f>
        <v/>
      </c>
      <c r="B43" s="25">
        <f>IF(C43="","",IF(COUNTIFS(tbl_Finance[Job Number],C43&amp;"",tbl_Finance[Xero Invoice No],"&lt;&gt;")=0,"",IFERROR(IF(COUNTIFS(tbl_Finance[Job Number],C43&amp;"",tbl_Finance[Xero Invoice No],LOOKUP(2,1/((tbl_Finance[Job Number]&amp;""=C43&amp;"")*(tbl_Finance[Xero Invoice No]&lt;&gt;"")),tbl_Finance[Xero Invoice No]))=COUNTIFS(tbl_Finance[Job Number],C43&amp;"",tbl_Finance[Xero Invoice No],"&lt;&gt;"),LOOKUP(2,1/((tbl_Finance[Job Number]&amp;""=C43&amp;"")*(tbl_Finance[Xero Invoice No]&lt;&gt;"")),tbl_Finance[Xero Invoice No]),LOOKUP(2,1/((tbl_Finance[Job Number]&amp;""=C43&amp;"")*(tbl_Finance[Xero Invoice No]&lt;&gt;"")),tbl_Finance[Xero Invoice No])&amp;" +more"),"")))</f>
        <v/>
      </c>
      <c r="C43" s="24" t="n"/>
      <c r="D43" s="25">
        <f>IF(C43="","",IF(COUNTIF(lst_Jobs,C43&amp;"")&gt;0,"OK","CHECK"))</f>
        <v/>
      </c>
      <c r="E43" s="25">
        <f>IF(C43="","",IFERROR(INDEX(lst_JobName,MATCH(C43&amp;"",lst_Jobs,0)),""))</f>
        <v/>
      </c>
      <c r="F43" s="25">
        <f>IF(C43="","",IFERROR(INDEX(tbl_Finance[Client],IFERROR(MATCH(C43&amp;"",tbl_Finance[Job Number],0),MATCH(IFERROR(C43+0,C43),tbl_Finance[Job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6" t="n"/>
      <c r="L43" s="27">
        <f>IF(C43="","",IF(K43="",0,MAX(0,K43-H43)))</f>
        <v/>
      </c>
      <c r="M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N43" s="24" t="n"/>
      <c r="O43" s="24" t="n"/>
      <c r="P43" s="25">
        <f>IF(O43="","",HYPERLINK(IF(LEFT(O43,4)="http",O43,set_QwilrBase&amp;O43),"Open quote"))</f>
        <v/>
      </c>
      <c r="Q43" s="71" t="n"/>
      <c r="R43" s="24" t="n"/>
      <c r="S43" s="24" t="n"/>
    </row>
    <row r="44" ht="15" customHeight="1">
      <c r="A44" s="70">
        <f>IF(C44="","",IFERROR(IF(SUMPRODUCT(MAX((tbl_Finance[Job Number]&amp;""=C44&amp;"")*(tbl_Finance[Xero Invoice No]&lt;&gt;"")*tbl_Finance[Date]))=0,"",SUMPRODUCT(MAX((tbl_Finance[Job Number]&amp;""=C44&amp;"")*(tbl_Finance[Xero Invoice No]&lt;&gt;"")*tbl_Finance[Date]))),""))</f>
        <v/>
      </c>
      <c r="B44" s="25">
        <f>IF(C44="","",IF(COUNTIFS(tbl_Finance[Job Number],C44&amp;"",tbl_Finance[Xero Invoice No],"&lt;&gt;")=0,"",IFERROR(IF(COUNTIFS(tbl_Finance[Job Number],C44&amp;"",tbl_Finance[Xero Invoice No],LOOKUP(2,1/((tbl_Finance[Job Number]&amp;""=C44&amp;"")*(tbl_Finance[Xero Invoice No]&lt;&gt;"")),tbl_Finance[Xero Invoice No]))=COUNTIFS(tbl_Finance[Job Number],C44&amp;"",tbl_Finance[Xero Invoice No],"&lt;&gt;"),LOOKUP(2,1/((tbl_Finance[Job Number]&amp;""=C44&amp;"")*(tbl_Finance[Xero Invoice No]&lt;&gt;"")),tbl_Finance[Xero Invoice No]),LOOKUP(2,1/((tbl_Finance[Job Number]&amp;""=C44&amp;"")*(tbl_Finance[Xero Invoice No]&lt;&gt;"")),tbl_Finance[Xero Invoice No])&amp;" +more"),"")))</f>
        <v/>
      </c>
      <c r="C44" s="24" t="n"/>
      <c r="D44" s="25">
        <f>IF(C44="","",IF(COUNTIF(lst_Jobs,C44&amp;"")&gt;0,"OK","CHECK"))</f>
        <v/>
      </c>
      <c r="E44" s="25">
        <f>IF(C44="","",IFERROR(INDEX(lst_JobName,MATCH(C44&amp;"",lst_Jobs,0)),""))</f>
        <v/>
      </c>
      <c r="F44" s="25">
        <f>IF(C44="","",IFERROR(INDEX(tbl_Finance[Client],IFERROR(MATCH(C44&amp;"",tbl_Finance[Job Number],0),MATCH(IFERROR(C44+0,C44),tbl_Finance[Job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6" t="n"/>
      <c r="L44" s="27">
        <f>IF(C44="","",IF(K44="",0,MAX(0,K44-H44)))</f>
        <v/>
      </c>
      <c r="M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N44" s="24" t="n"/>
      <c r="O44" s="24" t="n"/>
      <c r="P44" s="25">
        <f>IF(O44="","",HYPERLINK(IF(LEFT(O44,4)="http",O44,set_QwilrBase&amp;O44),"Open quote"))</f>
        <v/>
      </c>
      <c r="Q44" s="71" t="n"/>
      <c r="R44" s="24" t="n"/>
      <c r="S44" s="24" t="n"/>
    </row>
    <row r="45" ht="15" customHeight="1">
      <c r="A45" s="70">
        <f>IF(C45="","",IFERROR(IF(SUMPRODUCT(MAX((tbl_Finance[Job Number]&amp;""=C45&amp;"")*(tbl_Finance[Xero Invoice No]&lt;&gt;"")*tbl_Finance[Date]))=0,"",SUMPRODUCT(MAX((tbl_Finance[Job Number]&amp;""=C45&amp;"")*(tbl_Finance[Xero Invoice No]&lt;&gt;"")*tbl_Finance[Date]))),""))</f>
        <v/>
      </c>
      <c r="B45" s="25">
        <f>IF(C45="","",IF(COUNTIFS(tbl_Finance[Job Number],C45&amp;"",tbl_Finance[Xero Invoice No],"&lt;&gt;")=0,"",IFERROR(IF(COUNTIFS(tbl_Finance[Job Number],C45&amp;"",tbl_Finance[Xero Invoice No],LOOKUP(2,1/((tbl_Finance[Job Number]&amp;""=C45&amp;"")*(tbl_Finance[Xero Invoice No]&lt;&gt;"")),tbl_Finance[Xero Invoice No]))=COUNTIFS(tbl_Finance[Job Number],C45&amp;"",tbl_Finance[Xero Invoice No],"&lt;&gt;"),LOOKUP(2,1/((tbl_Finance[Job Number]&amp;""=C45&amp;"")*(tbl_Finance[Xero Invoice No]&lt;&gt;"")),tbl_Finance[Xero Invoice No]),LOOKUP(2,1/((tbl_Finance[Job Number]&amp;""=C45&amp;"")*(tbl_Finance[Xero Invoice No]&lt;&gt;"")),tbl_Finance[Xero Invoice No])&amp;" +more"),"")))</f>
        <v/>
      </c>
      <c r="C45" s="24" t="n"/>
      <c r="D45" s="25">
        <f>IF(C45="","",IF(COUNTIF(lst_Jobs,C45&amp;"")&gt;0,"OK","CHECK"))</f>
        <v/>
      </c>
      <c r="E45" s="25">
        <f>IF(C45="","",IFERROR(INDEX(lst_JobName,MATCH(C45&amp;"",lst_Jobs,0)),""))</f>
        <v/>
      </c>
      <c r="F45" s="25">
        <f>IF(C45="","",IFERROR(INDEX(tbl_Finance[Client],IFERROR(MATCH(C45&amp;"",tbl_Finance[Job Number],0),MATCH(IFERROR(C45+0,C45),tbl_Finance[Job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6" t="n"/>
      <c r="L45" s="27">
        <f>IF(C45="","",IF(K45="",0,MAX(0,K45-H45)))</f>
        <v/>
      </c>
      <c r="M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N45" s="24" t="n"/>
      <c r="O45" s="24" t="n"/>
      <c r="P45" s="25">
        <f>IF(O45="","",HYPERLINK(IF(LEFT(O45,4)="http",O45,set_QwilrBase&amp;O45),"Open quote"))</f>
        <v/>
      </c>
      <c r="Q45" s="71" t="n"/>
      <c r="R45" s="24" t="n"/>
      <c r="S45" s="24" t="n"/>
    </row>
    <row r="46" ht="15" customHeight="1">
      <c r="A46" s="70">
        <f>IF(C46="","",IFERROR(IF(SUMPRODUCT(MAX((tbl_Finance[Job Number]&amp;""=C46&amp;"")*(tbl_Finance[Xero Invoice No]&lt;&gt;"")*tbl_Finance[Date]))=0,"",SUMPRODUCT(MAX((tbl_Finance[Job Number]&amp;""=C46&amp;"")*(tbl_Finance[Xero Invoice No]&lt;&gt;"")*tbl_Finance[Date]))),""))</f>
        <v/>
      </c>
      <c r="B46" s="25">
        <f>IF(C46="","",IF(COUNTIFS(tbl_Finance[Job Number],C46&amp;"",tbl_Finance[Xero Invoice No],"&lt;&gt;")=0,"",IFERROR(IF(COUNTIFS(tbl_Finance[Job Number],C46&amp;"",tbl_Finance[Xero Invoice No],LOOKUP(2,1/((tbl_Finance[Job Number]&amp;""=C46&amp;"")*(tbl_Finance[Xero Invoice No]&lt;&gt;"")),tbl_Finance[Xero Invoice No]))=COUNTIFS(tbl_Finance[Job Number],C46&amp;"",tbl_Finance[Xero Invoice No],"&lt;&gt;"),LOOKUP(2,1/((tbl_Finance[Job Number]&amp;""=C46&amp;"")*(tbl_Finance[Xero Invoice No]&lt;&gt;"")),tbl_Finance[Xero Invoice No]),LOOKUP(2,1/((tbl_Finance[Job Number]&amp;""=C46&amp;"")*(tbl_Finance[Xero Invoice No]&lt;&gt;"")),tbl_Finance[Xero Invoice No])&amp;" +more"),"")))</f>
        <v/>
      </c>
      <c r="C46" s="24" t="n"/>
      <c r="D46" s="25">
        <f>IF(C46="","",IF(COUNTIF(lst_Jobs,C46&amp;"")&gt;0,"OK","CHECK"))</f>
        <v/>
      </c>
      <c r="E46" s="25">
        <f>IF(C46="","",IFERROR(INDEX(lst_JobName,MATCH(C46&amp;"",lst_Jobs,0)),""))</f>
        <v/>
      </c>
      <c r="F46" s="25">
        <f>IF(C46="","",IFERROR(INDEX(tbl_Finance[Client],IFERROR(MATCH(C46&amp;"",tbl_Finance[Job Number],0),MATCH(IFERROR(C46+0,C46),tbl_Finance[Job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6" t="n"/>
      <c r="L46" s="27">
        <f>IF(C46="","",IF(K46="",0,MAX(0,K46-H46)))</f>
        <v/>
      </c>
      <c r="M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N46" s="24" t="n"/>
      <c r="O46" s="24" t="n"/>
      <c r="P46" s="25">
        <f>IF(O46="","",HYPERLINK(IF(LEFT(O46,4)="http",O46,set_QwilrBase&amp;O46),"Open quote"))</f>
        <v/>
      </c>
      <c r="Q46" s="71" t="n"/>
      <c r="R46" s="24" t="n"/>
      <c r="S46" s="24" t="n"/>
    </row>
    <row r="47" ht="15" customHeight="1">
      <c r="A47" s="70">
        <f>IF(C47="","",IFERROR(IF(SUMPRODUCT(MAX((tbl_Finance[Job Number]&amp;""=C47&amp;"")*(tbl_Finance[Xero Invoice No]&lt;&gt;"")*tbl_Finance[Date]))=0,"",SUMPRODUCT(MAX((tbl_Finance[Job Number]&amp;""=C47&amp;"")*(tbl_Finance[Xero Invoice No]&lt;&gt;"")*tbl_Finance[Date]))),""))</f>
        <v/>
      </c>
      <c r="B47" s="25">
        <f>IF(C47="","",IF(COUNTIFS(tbl_Finance[Job Number],C47&amp;"",tbl_Finance[Xero Invoice No],"&lt;&gt;")=0,"",IFERROR(IF(COUNTIFS(tbl_Finance[Job Number],C47&amp;"",tbl_Finance[Xero Invoice No],LOOKUP(2,1/((tbl_Finance[Job Number]&amp;""=C47&amp;"")*(tbl_Finance[Xero Invoice No]&lt;&gt;"")),tbl_Finance[Xero Invoice No]))=COUNTIFS(tbl_Finance[Job Number],C47&amp;"",tbl_Finance[Xero Invoice No],"&lt;&gt;"),LOOKUP(2,1/((tbl_Finance[Job Number]&amp;""=C47&amp;"")*(tbl_Finance[Xero Invoice No]&lt;&gt;"")),tbl_Finance[Xero Invoice No]),LOOKUP(2,1/((tbl_Finance[Job Number]&amp;""=C47&amp;"")*(tbl_Finance[Xero Invoice No]&lt;&gt;"")),tbl_Finance[Xero Invoice No])&amp;" +more"),"")))</f>
        <v/>
      </c>
      <c r="C47" s="24" t="n"/>
      <c r="D47" s="25">
        <f>IF(C47="","",IF(COUNTIF(lst_Jobs,C47&amp;"")&gt;0,"OK","CHECK"))</f>
        <v/>
      </c>
      <c r="E47" s="25">
        <f>IF(C47="","",IFERROR(INDEX(lst_JobName,MATCH(C47&amp;"",lst_Jobs,0)),""))</f>
        <v/>
      </c>
      <c r="F47" s="25">
        <f>IF(C47="","",IFERROR(INDEX(tbl_Finance[Client],IFERROR(MATCH(C47&amp;"",tbl_Finance[Job Number],0),MATCH(IFERROR(C47+0,C47),tbl_Finance[Job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6" t="n"/>
      <c r="L47" s="27">
        <f>IF(C47="","",IF(K47="",0,MAX(0,K47-H47)))</f>
        <v/>
      </c>
      <c r="M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N47" s="24" t="n"/>
      <c r="O47" s="24" t="n"/>
      <c r="P47" s="25">
        <f>IF(O47="","",HYPERLINK(IF(LEFT(O47,4)="http",O47,set_QwilrBase&amp;O47),"Open quote"))</f>
        <v/>
      </c>
      <c r="Q47" s="71" t="n"/>
      <c r="R47" s="24" t="n"/>
      <c r="S47" s="24" t="n"/>
    </row>
    <row r="48" ht="15" customHeight="1">
      <c r="A48" s="70">
        <f>IF(C48="","",IFERROR(IF(SUMPRODUCT(MAX((tbl_Finance[Job Number]&amp;""=C48&amp;"")*(tbl_Finance[Xero Invoice No]&lt;&gt;"")*tbl_Finance[Date]))=0,"",SUMPRODUCT(MAX((tbl_Finance[Job Number]&amp;""=C48&amp;"")*(tbl_Finance[Xero Invoice No]&lt;&gt;"")*tbl_Finance[Date]))),""))</f>
        <v/>
      </c>
      <c r="B48" s="25">
        <f>IF(C48="","",IF(COUNTIFS(tbl_Finance[Job Number],C48&amp;"",tbl_Finance[Xero Invoice No],"&lt;&gt;")=0,"",IFERROR(IF(COUNTIFS(tbl_Finance[Job Number],C48&amp;"",tbl_Finance[Xero Invoice No],LOOKUP(2,1/((tbl_Finance[Job Number]&amp;""=C48&amp;"")*(tbl_Finance[Xero Invoice No]&lt;&gt;"")),tbl_Finance[Xero Invoice No]))=COUNTIFS(tbl_Finance[Job Number],C48&amp;"",tbl_Finance[Xero Invoice No],"&lt;&gt;"),LOOKUP(2,1/((tbl_Finance[Job Number]&amp;""=C48&amp;"")*(tbl_Finance[Xero Invoice No]&lt;&gt;"")),tbl_Finance[Xero Invoice No]),LOOKUP(2,1/((tbl_Finance[Job Number]&amp;""=C48&amp;"")*(tbl_Finance[Xero Invoice No]&lt;&gt;"")),tbl_Finance[Xero Invoice No])&amp;" +more"),"")))</f>
        <v/>
      </c>
      <c r="C48" s="24" t="n"/>
      <c r="D48" s="25">
        <f>IF(C48="","",IF(COUNTIF(lst_Jobs,C48&amp;"")&gt;0,"OK","CHECK"))</f>
        <v/>
      </c>
      <c r="E48" s="25">
        <f>IF(C48="","",IFERROR(INDEX(lst_JobName,MATCH(C48&amp;"",lst_Jobs,0)),""))</f>
        <v/>
      </c>
      <c r="F48" s="25">
        <f>IF(C48="","",IFERROR(INDEX(tbl_Finance[Client],IFERROR(MATCH(C48&amp;"",tbl_Finance[Job Number],0),MATCH(IFERROR(C48+0,C48),tbl_Finance[Job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6" t="n"/>
      <c r="L48" s="27">
        <f>IF(C48="","",IF(K48="",0,MAX(0,K48-H48)))</f>
        <v/>
      </c>
      <c r="M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N48" s="24" t="n"/>
      <c r="O48" s="24" t="n"/>
      <c r="P48" s="25">
        <f>IF(O48="","",HYPERLINK(IF(LEFT(O48,4)="http",O48,set_QwilrBase&amp;O48),"Open quote"))</f>
        <v/>
      </c>
      <c r="Q48" s="71" t="n"/>
      <c r="R48" s="24" t="n"/>
      <c r="S48" s="24" t="n"/>
    </row>
    <row r="49" ht="15" customHeight="1">
      <c r="A49" s="70">
        <f>IF(C49="","",IFERROR(IF(SUMPRODUCT(MAX((tbl_Finance[Job Number]&amp;""=C49&amp;"")*(tbl_Finance[Xero Invoice No]&lt;&gt;"")*tbl_Finance[Date]))=0,"",SUMPRODUCT(MAX((tbl_Finance[Job Number]&amp;""=C49&amp;"")*(tbl_Finance[Xero Invoice No]&lt;&gt;"")*tbl_Finance[Date]))),""))</f>
        <v/>
      </c>
      <c r="B49" s="25">
        <f>IF(C49="","",IF(COUNTIFS(tbl_Finance[Job Number],C49&amp;"",tbl_Finance[Xero Invoice No],"&lt;&gt;")=0,"",IFERROR(IF(COUNTIFS(tbl_Finance[Job Number],C49&amp;"",tbl_Finance[Xero Invoice No],LOOKUP(2,1/((tbl_Finance[Job Number]&amp;""=C49&amp;"")*(tbl_Finance[Xero Invoice No]&lt;&gt;"")),tbl_Finance[Xero Invoice No]))=COUNTIFS(tbl_Finance[Job Number],C49&amp;"",tbl_Finance[Xero Invoice No],"&lt;&gt;"),LOOKUP(2,1/((tbl_Finance[Job Number]&amp;""=C49&amp;"")*(tbl_Finance[Xero Invoice No]&lt;&gt;"")),tbl_Finance[Xero Invoice No]),LOOKUP(2,1/((tbl_Finance[Job Number]&amp;""=C49&amp;"")*(tbl_Finance[Xero Invoice No]&lt;&gt;"")),tbl_Finance[Xero Invoice No])&amp;" +more"),"")))</f>
        <v/>
      </c>
      <c r="C49" s="24" t="n"/>
      <c r="D49" s="25">
        <f>IF(C49="","",IF(COUNTIF(lst_Jobs,C49&amp;"")&gt;0,"OK","CHECK"))</f>
        <v/>
      </c>
      <c r="E49" s="25">
        <f>IF(C49="","",IFERROR(INDEX(lst_JobName,MATCH(C49&amp;"",lst_Jobs,0)),""))</f>
        <v/>
      </c>
      <c r="F49" s="25">
        <f>IF(C49="","",IFERROR(INDEX(tbl_Finance[Client],IFERROR(MATCH(C49&amp;"",tbl_Finance[Job Number],0),MATCH(IFERROR(C49+0,C49),tbl_Finance[Job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6" t="n"/>
      <c r="L49" s="27">
        <f>IF(C49="","",IF(K49="",0,MAX(0,K49-H49)))</f>
        <v/>
      </c>
      <c r="M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N49" s="24" t="n"/>
      <c r="O49" s="24" t="n"/>
      <c r="P49" s="25">
        <f>IF(O49="","",HYPERLINK(IF(LEFT(O49,4)="http",O49,set_QwilrBase&amp;O49),"Open quote"))</f>
        <v/>
      </c>
      <c r="Q49" s="71" t="n"/>
      <c r="R49" s="24" t="n"/>
      <c r="S49" s="24" t="n"/>
    </row>
    <row r="50" ht="15" customHeight="1">
      <c r="A50" s="70">
        <f>IF(C50="","",IFERROR(IF(SUMPRODUCT(MAX((tbl_Finance[Job Number]&amp;""=C50&amp;"")*(tbl_Finance[Xero Invoice No]&lt;&gt;"")*tbl_Finance[Date]))=0,"",SUMPRODUCT(MAX((tbl_Finance[Job Number]&amp;""=C50&amp;"")*(tbl_Finance[Xero Invoice No]&lt;&gt;"")*tbl_Finance[Date]))),""))</f>
        <v/>
      </c>
      <c r="B50" s="25">
        <f>IF(C50="","",IF(COUNTIFS(tbl_Finance[Job Number],C50&amp;"",tbl_Finance[Xero Invoice No],"&lt;&gt;")=0,"",IFERROR(IF(COUNTIFS(tbl_Finance[Job Number],C50&amp;"",tbl_Finance[Xero Invoice No],LOOKUP(2,1/((tbl_Finance[Job Number]&amp;""=C50&amp;"")*(tbl_Finance[Xero Invoice No]&lt;&gt;"")),tbl_Finance[Xero Invoice No]))=COUNTIFS(tbl_Finance[Job Number],C50&amp;"",tbl_Finance[Xero Invoice No],"&lt;&gt;"),LOOKUP(2,1/((tbl_Finance[Job Number]&amp;""=C50&amp;"")*(tbl_Finance[Xero Invoice No]&lt;&gt;"")),tbl_Finance[Xero Invoice No]),LOOKUP(2,1/((tbl_Finance[Job Number]&amp;""=C50&amp;"")*(tbl_Finance[Xero Invoice No]&lt;&gt;"")),tbl_Finance[Xero Invoice No])&amp;" +more"),"")))</f>
        <v/>
      </c>
      <c r="C50" s="24" t="n"/>
      <c r="D50" s="25">
        <f>IF(C50="","",IF(COUNTIF(lst_Jobs,C50&amp;"")&gt;0,"OK","CHECK"))</f>
        <v/>
      </c>
      <c r="E50" s="25">
        <f>IF(C50="","",IFERROR(INDEX(lst_JobName,MATCH(C50&amp;"",lst_Jobs,0)),""))</f>
        <v/>
      </c>
      <c r="F50" s="25">
        <f>IF(C50="","",IFERROR(INDEX(tbl_Finance[Client],IFERROR(MATCH(C50&amp;"",tbl_Finance[Job Number],0),MATCH(IFERROR(C50+0,C50),tbl_Finance[Job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6" t="n"/>
      <c r="L50" s="27">
        <f>IF(C50="","",IF(K50="",0,MAX(0,K50-H50)))</f>
        <v/>
      </c>
      <c r="M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N50" s="24" t="n"/>
      <c r="O50" s="24" t="n"/>
      <c r="P50" s="25">
        <f>IF(O50="","",HYPERLINK(IF(LEFT(O50,4)="http",O50,set_QwilrBase&amp;O50),"Open quote"))</f>
        <v/>
      </c>
      <c r="Q50" s="71" t="n"/>
      <c r="R50" s="24" t="n"/>
      <c r="S50" s="24" t="n"/>
    </row>
    <row r="51" ht="15" customHeight="1">
      <c r="A51" s="70">
        <f>IF(C51="","",IFERROR(IF(SUMPRODUCT(MAX((tbl_Finance[Job Number]&amp;""=C51&amp;"")*(tbl_Finance[Xero Invoice No]&lt;&gt;"")*tbl_Finance[Date]))=0,"",SUMPRODUCT(MAX((tbl_Finance[Job Number]&amp;""=C51&amp;"")*(tbl_Finance[Xero Invoice No]&lt;&gt;"")*tbl_Finance[Date]))),""))</f>
        <v/>
      </c>
      <c r="B51" s="25">
        <f>IF(C51="","",IF(COUNTIFS(tbl_Finance[Job Number],C51&amp;"",tbl_Finance[Xero Invoice No],"&lt;&gt;")=0,"",IFERROR(IF(COUNTIFS(tbl_Finance[Job Number],C51&amp;"",tbl_Finance[Xero Invoice No],LOOKUP(2,1/((tbl_Finance[Job Number]&amp;""=C51&amp;"")*(tbl_Finance[Xero Invoice No]&lt;&gt;"")),tbl_Finance[Xero Invoice No]))=COUNTIFS(tbl_Finance[Job Number],C51&amp;"",tbl_Finance[Xero Invoice No],"&lt;&gt;"),LOOKUP(2,1/((tbl_Finance[Job Number]&amp;""=C51&amp;"")*(tbl_Finance[Xero Invoice No]&lt;&gt;"")),tbl_Finance[Xero Invoice No]),LOOKUP(2,1/((tbl_Finance[Job Number]&amp;""=C51&amp;"")*(tbl_Finance[Xero Invoice No]&lt;&gt;"")),tbl_Finance[Xero Invoice No])&amp;" +more"),"")))</f>
        <v/>
      </c>
      <c r="C51" s="24" t="n"/>
      <c r="D51" s="25">
        <f>IF(C51="","",IF(COUNTIF(lst_Jobs,C51&amp;"")&gt;0,"OK","CHECK"))</f>
        <v/>
      </c>
      <c r="E51" s="25">
        <f>IF(C51="","",IFERROR(INDEX(lst_JobName,MATCH(C51&amp;"",lst_Jobs,0)),""))</f>
        <v/>
      </c>
      <c r="F51" s="25">
        <f>IF(C51="","",IFERROR(INDEX(tbl_Finance[Client],IFERROR(MATCH(C51&amp;"",tbl_Finance[Job Number],0),MATCH(IFERROR(C51+0,C51),tbl_Finance[Job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6" t="n"/>
      <c r="L51" s="27">
        <f>IF(C51="","",IF(K51="",0,MAX(0,K51-H51)))</f>
        <v/>
      </c>
      <c r="M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N51" s="24" t="n"/>
      <c r="O51" s="24" t="n"/>
      <c r="P51" s="25">
        <f>IF(O51="","",HYPERLINK(IF(LEFT(O51,4)="http",O51,set_QwilrBase&amp;O51),"Open quote"))</f>
        <v/>
      </c>
      <c r="Q51" s="71" t="n"/>
      <c r="R51" s="24" t="n"/>
      <c r="S51" s="24" t="n"/>
    </row>
    <row r="52" ht="15" customHeight="1">
      <c r="A52" s="70">
        <f>IF(C52="","",IFERROR(IF(SUMPRODUCT(MAX((tbl_Finance[Job Number]&amp;""=C52&amp;"")*(tbl_Finance[Xero Invoice No]&lt;&gt;"")*tbl_Finance[Date]))=0,"",SUMPRODUCT(MAX((tbl_Finance[Job Number]&amp;""=C52&amp;"")*(tbl_Finance[Xero Invoice No]&lt;&gt;"")*tbl_Finance[Date]))),""))</f>
        <v/>
      </c>
      <c r="B52" s="25">
        <f>IF(C52="","",IF(COUNTIFS(tbl_Finance[Job Number],C52&amp;"",tbl_Finance[Xero Invoice No],"&lt;&gt;")=0,"",IFERROR(IF(COUNTIFS(tbl_Finance[Job Number],C52&amp;"",tbl_Finance[Xero Invoice No],LOOKUP(2,1/((tbl_Finance[Job Number]&amp;""=C52&amp;"")*(tbl_Finance[Xero Invoice No]&lt;&gt;"")),tbl_Finance[Xero Invoice No]))=COUNTIFS(tbl_Finance[Job Number],C52&amp;"",tbl_Finance[Xero Invoice No],"&lt;&gt;"),LOOKUP(2,1/((tbl_Finance[Job Number]&amp;""=C52&amp;"")*(tbl_Finance[Xero Invoice No]&lt;&gt;"")),tbl_Finance[Xero Invoice No]),LOOKUP(2,1/((tbl_Finance[Job Number]&amp;""=C52&amp;"")*(tbl_Finance[Xero Invoice No]&lt;&gt;"")),tbl_Finance[Xero Invoice No])&amp;" +more"),"")))</f>
        <v/>
      </c>
      <c r="C52" s="24" t="n"/>
      <c r="D52" s="25">
        <f>IF(C52="","",IF(COUNTIF(lst_Jobs,C52&amp;"")&gt;0,"OK","CHECK"))</f>
        <v/>
      </c>
      <c r="E52" s="25">
        <f>IF(C52="","",IFERROR(INDEX(lst_JobName,MATCH(C52&amp;"",lst_Jobs,0)),""))</f>
        <v/>
      </c>
      <c r="F52" s="25">
        <f>IF(C52="","",IFERROR(INDEX(tbl_Finance[Client],IFERROR(MATCH(C52&amp;"",tbl_Finance[Job Number],0),MATCH(IFERROR(C52+0,C52),tbl_Finance[Job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6" t="n"/>
      <c r="L52" s="27">
        <f>IF(C52="","",IF(K52="",0,MAX(0,K52-H52)))</f>
        <v/>
      </c>
      <c r="M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N52" s="24" t="n"/>
      <c r="O52" s="24" t="n"/>
      <c r="P52" s="25">
        <f>IF(O52="","",HYPERLINK(IF(LEFT(O52,4)="http",O52,set_QwilrBase&amp;O52),"Open quote"))</f>
        <v/>
      </c>
      <c r="Q52" s="71" t="n"/>
      <c r="R52" s="24" t="n"/>
      <c r="S52" s="24" t="n"/>
    </row>
    <row r="53" ht="15" customHeight="1">
      <c r="A53" s="70">
        <f>IF(C53="","",IFERROR(IF(SUMPRODUCT(MAX((tbl_Finance[Job Number]&amp;""=C53&amp;"")*(tbl_Finance[Xero Invoice No]&lt;&gt;"")*tbl_Finance[Date]))=0,"",SUMPRODUCT(MAX((tbl_Finance[Job Number]&amp;""=C53&amp;"")*(tbl_Finance[Xero Invoice No]&lt;&gt;"")*tbl_Finance[Date]))),""))</f>
        <v/>
      </c>
      <c r="B53" s="25">
        <f>IF(C53="","",IF(COUNTIFS(tbl_Finance[Job Number],C53&amp;"",tbl_Finance[Xero Invoice No],"&lt;&gt;")=0,"",IFERROR(IF(COUNTIFS(tbl_Finance[Job Number],C53&amp;"",tbl_Finance[Xero Invoice No],LOOKUP(2,1/((tbl_Finance[Job Number]&amp;""=C53&amp;"")*(tbl_Finance[Xero Invoice No]&lt;&gt;"")),tbl_Finance[Xero Invoice No]))=COUNTIFS(tbl_Finance[Job Number],C53&amp;"",tbl_Finance[Xero Invoice No],"&lt;&gt;"),LOOKUP(2,1/((tbl_Finance[Job Number]&amp;""=C53&amp;"")*(tbl_Finance[Xero Invoice No]&lt;&gt;"")),tbl_Finance[Xero Invoice No]),LOOKUP(2,1/((tbl_Finance[Job Number]&amp;""=C53&amp;"")*(tbl_Finance[Xero Invoice No]&lt;&gt;"")),tbl_Finance[Xero Invoice No])&amp;" +more"),"")))</f>
        <v/>
      </c>
      <c r="C53" s="24" t="n"/>
      <c r="D53" s="25">
        <f>IF(C53="","",IF(COUNTIF(lst_Jobs,C53&amp;"")&gt;0,"OK","CHECK"))</f>
        <v/>
      </c>
      <c r="E53" s="25">
        <f>IF(C53="","",IFERROR(INDEX(lst_JobName,MATCH(C53&amp;"",lst_Jobs,0)),""))</f>
        <v/>
      </c>
      <c r="F53" s="25">
        <f>IF(C53="","",IFERROR(INDEX(tbl_Finance[Client],IFERROR(MATCH(C53&amp;"",tbl_Finance[Job Number],0),MATCH(IFERROR(C53+0,C53),tbl_Finance[Job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6" t="n"/>
      <c r="L53" s="27">
        <f>IF(C53="","",IF(K53="",0,MAX(0,K53-H53)))</f>
        <v/>
      </c>
      <c r="M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N53" s="24" t="n"/>
      <c r="O53" s="24" t="n"/>
      <c r="P53" s="25">
        <f>IF(O53="","",HYPERLINK(IF(LEFT(O53,4)="http",O53,set_QwilrBase&amp;O53),"Open quote"))</f>
        <v/>
      </c>
      <c r="Q53" s="71" t="n"/>
      <c r="R53" s="24" t="n"/>
      <c r="S53" s="24" t="n"/>
    </row>
    <row r="54" ht="15" customHeight="1">
      <c r="A54" s="70">
        <f>IF(C54="","",IFERROR(IF(SUMPRODUCT(MAX((tbl_Finance[Job Number]&amp;""=C54&amp;"")*(tbl_Finance[Xero Invoice No]&lt;&gt;"")*tbl_Finance[Date]))=0,"",SUMPRODUCT(MAX((tbl_Finance[Job Number]&amp;""=C54&amp;"")*(tbl_Finance[Xero Invoice No]&lt;&gt;"")*tbl_Finance[Date]))),""))</f>
        <v/>
      </c>
      <c r="B54" s="25">
        <f>IF(C54="","",IF(COUNTIFS(tbl_Finance[Job Number],C54&amp;"",tbl_Finance[Xero Invoice No],"&lt;&gt;")=0,"",IFERROR(IF(COUNTIFS(tbl_Finance[Job Number],C54&amp;"",tbl_Finance[Xero Invoice No],LOOKUP(2,1/((tbl_Finance[Job Number]&amp;""=C54&amp;"")*(tbl_Finance[Xero Invoice No]&lt;&gt;"")),tbl_Finance[Xero Invoice No]))=COUNTIFS(tbl_Finance[Job Number],C54&amp;"",tbl_Finance[Xero Invoice No],"&lt;&gt;"),LOOKUP(2,1/((tbl_Finance[Job Number]&amp;""=C54&amp;"")*(tbl_Finance[Xero Invoice No]&lt;&gt;"")),tbl_Finance[Xero Invoice No]),LOOKUP(2,1/((tbl_Finance[Job Number]&amp;""=C54&amp;"")*(tbl_Finance[Xero Invoice No]&lt;&gt;"")),tbl_Finance[Xero Invoice No])&amp;" +more"),"")))</f>
        <v/>
      </c>
      <c r="C54" s="24" t="n"/>
      <c r="D54" s="25">
        <f>IF(C54="","",IF(COUNTIF(lst_Jobs,C54&amp;"")&gt;0,"OK","CHECK"))</f>
        <v/>
      </c>
      <c r="E54" s="25">
        <f>IF(C54="","",IFERROR(INDEX(lst_JobName,MATCH(C54&amp;"",lst_Jobs,0)),""))</f>
        <v/>
      </c>
      <c r="F54" s="25">
        <f>IF(C54="","",IFERROR(INDEX(tbl_Finance[Client],IFERROR(MATCH(C54&amp;"",tbl_Finance[Job Number],0),MATCH(IFERROR(C54+0,C54),tbl_Finance[Job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6" t="n"/>
      <c r="L54" s="27">
        <f>IF(C54="","",IF(K54="",0,MAX(0,K54-H54)))</f>
        <v/>
      </c>
      <c r="M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N54" s="24" t="n"/>
      <c r="O54" s="24" t="n"/>
      <c r="P54" s="25">
        <f>IF(O54="","",HYPERLINK(IF(LEFT(O54,4)="http",O54,set_QwilrBase&amp;O54),"Open quote"))</f>
        <v/>
      </c>
      <c r="Q54" s="71" t="n"/>
      <c r="R54" s="24" t="n"/>
      <c r="S54" s="24" t="n"/>
    </row>
    <row r="55" ht="15" customHeight="1">
      <c r="A55" s="70">
        <f>IF(C55="","",IFERROR(IF(SUMPRODUCT(MAX((tbl_Finance[Job Number]&amp;""=C55&amp;"")*(tbl_Finance[Xero Invoice No]&lt;&gt;"")*tbl_Finance[Date]))=0,"",SUMPRODUCT(MAX((tbl_Finance[Job Number]&amp;""=C55&amp;"")*(tbl_Finance[Xero Invoice No]&lt;&gt;"")*tbl_Finance[Date]))),""))</f>
        <v/>
      </c>
      <c r="B55" s="25">
        <f>IF(C55="","",IF(COUNTIFS(tbl_Finance[Job Number],C55&amp;"",tbl_Finance[Xero Invoice No],"&lt;&gt;")=0,"",IFERROR(IF(COUNTIFS(tbl_Finance[Job Number],C55&amp;"",tbl_Finance[Xero Invoice No],LOOKUP(2,1/((tbl_Finance[Job Number]&amp;""=C55&amp;"")*(tbl_Finance[Xero Invoice No]&lt;&gt;"")),tbl_Finance[Xero Invoice No]))=COUNTIFS(tbl_Finance[Job Number],C55&amp;"",tbl_Finance[Xero Invoice No],"&lt;&gt;"),LOOKUP(2,1/((tbl_Finance[Job Number]&amp;""=C55&amp;"")*(tbl_Finance[Xero Invoice No]&lt;&gt;"")),tbl_Finance[Xero Invoice No]),LOOKUP(2,1/((tbl_Finance[Job Number]&amp;""=C55&amp;"")*(tbl_Finance[Xero Invoice No]&lt;&gt;"")),tbl_Finance[Xero Invoice No])&amp;" +more"),"")))</f>
        <v/>
      </c>
      <c r="C55" s="24" t="n"/>
      <c r="D55" s="25">
        <f>IF(C55="","",IF(COUNTIF(lst_Jobs,C55&amp;"")&gt;0,"OK","CHECK"))</f>
        <v/>
      </c>
      <c r="E55" s="25">
        <f>IF(C55="","",IFERROR(INDEX(lst_JobName,MATCH(C55&amp;"",lst_Jobs,0)),""))</f>
        <v/>
      </c>
      <c r="F55" s="25">
        <f>IF(C55="","",IFERROR(INDEX(tbl_Finance[Client],IFERROR(MATCH(C55&amp;"",tbl_Finance[Job Number],0),MATCH(IFERROR(C55+0,C55),tbl_Finance[Job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6" t="n"/>
      <c r="L55" s="27">
        <f>IF(C55="","",IF(K55="",0,MAX(0,K55-H55)))</f>
        <v/>
      </c>
      <c r="M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N55" s="24" t="n"/>
      <c r="O55" s="24" t="n"/>
      <c r="P55" s="25">
        <f>IF(O55="","",HYPERLINK(IF(LEFT(O55,4)="http",O55,set_QwilrBase&amp;O55),"Open quote"))</f>
        <v/>
      </c>
      <c r="Q55" s="71" t="n"/>
      <c r="R55" s="24" t="n"/>
      <c r="S55" s="24" t="n"/>
    </row>
    <row r="56" ht="15" customHeight="1">
      <c r="A56" s="70">
        <f>IF(C56="","",IFERROR(IF(SUMPRODUCT(MAX((tbl_Finance[Job Number]&amp;""=C56&amp;"")*(tbl_Finance[Xero Invoice No]&lt;&gt;"")*tbl_Finance[Date]))=0,"",SUMPRODUCT(MAX((tbl_Finance[Job Number]&amp;""=C56&amp;"")*(tbl_Finance[Xero Invoice No]&lt;&gt;"")*tbl_Finance[Date]))),""))</f>
        <v/>
      </c>
      <c r="B56" s="25">
        <f>IF(C56="","",IF(COUNTIFS(tbl_Finance[Job Number],C56&amp;"",tbl_Finance[Xero Invoice No],"&lt;&gt;")=0,"",IFERROR(IF(COUNTIFS(tbl_Finance[Job Number],C56&amp;"",tbl_Finance[Xero Invoice No],LOOKUP(2,1/((tbl_Finance[Job Number]&amp;""=C56&amp;"")*(tbl_Finance[Xero Invoice No]&lt;&gt;"")),tbl_Finance[Xero Invoice No]))=COUNTIFS(tbl_Finance[Job Number],C56&amp;"",tbl_Finance[Xero Invoice No],"&lt;&gt;"),LOOKUP(2,1/((tbl_Finance[Job Number]&amp;""=C56&amp;"")*(tbl_Finance[Xero Invoice No]&lt;&gt;"")),tbl_Finance[Xero Invoice No]),LOOKUP(2,1/((tbl_Finance[Job Number]&amp;""=C56&amp;"")*(tbl_Finance[Xero Invoice No]&lt;&gt;"")),tbl_Finance[Xero Invoice No])&amp;" +more"),"")))</f>
        <v/>
      </c>
      <c r="C56" s="24" t="n"/>
      <c r="D56" s="25">
        <f>IF(C56="","",IF(COUNTIF(lst_Jobs,C56&amp;"")&gt;0,"OK","CHECK"))</f>
        <v/>
      </c>
      <c r="E56" s="25">
        <f>IF(C56="","",IFERROR(INDEX(lst_JobName,MATCH(C56&amp;"",lst_Jobs,0)),""))</f>
        <v/>
      </c>
      <c r="F56" s="25">
        <f>IF(C56="","",IFERROR(INDEX(tbl_Finance[Client],IFERROR(MATCH(C56&amp;"",tbl_Finance[Job Number],0),MATCH(IFERROR(C56+0,C56),tbl_Finance[Job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6" t="n"/>
      <c r="L56" s="27">
        <f>IF(C56="","",IF(K56="",0,MAX(0,K56-H56)))</f>
        <v/>
      </c>
      <c r="M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N56" s="24" t="n"/>
      <c r="O56" s="24" t="n"/>
      <c r="P56" s="25">
        <f>IF(O56="","",HYPERLINK(IF(LEFT(O56,4)="http",O56,set_QwilrBase&amp;O56),"Open quote"))</f>
        <v/>
      </c>
      <c r="Q56" s="71" t="n"/>
      <c r="R56" s="24" t="n"/>
      <c r="S56" s="24" t="n"/>
    </row>
    <row r="57" ht="15" customHeight="1">
      <c r="A57" s="70">
        <f>IF(C57="","",IFERROR(IF(SUMPRODUCT(MAX((tbl_Finance[Job Number]&amp;""=C57&amp;"")*(tbl_Finance[Xero Invoice No]&lt;&gt;"")*tbl_Finance[Date]))=0,"",SUMPRODUCT(MAX((tbl_Finance[Job Number]&amp;""=C57&amp;"")*(tbl_Finance[Xero Invoice No]&lt;&gt;"")*tbl_Finance[Date]))),""))</f>
        <v/>
      </c>
      <c r="B57" s="25">
        <f>IF(C57="","",IF(COUNTIFS(tbl_Finance[Job Number],C57&amp;"",tbl_Finance[Xero Invoice No],"&lt;&gt;")=0,"",IFERROR(IF(COUNTIFS(tbl_Finance[Job Number],C57&amp;"",tbl_Finance[Xero Invoice No],LOOKUP(2,1/((tbl_Finance[Job Number]&amp;""=C57&amp;"")*(tbl_Finance[Xero Invoice No]&lt;&gt;"")),tbl_Finance[Xero Invoice No]))=COUNTIFS(tbl_Finance[Job Number],C57&amp;"",tbl_Finance[Xero Invoice No],"&lt;&gt;"),LOOKUP(2,1/((tbl_Finance[Job Number]&amp;""=C57&amp;"")*(tbl_Finance[Xero Invoice No]&lt;&gt;"")),tbl_Finance[Xero Invoice No]),LOOKUP(2,1/((tbl_Finance[Job Number]&amp;""=C57&amp;"")*(tbl_Finance[Xero Invoice No]&lt;&gt;"")),tbl_Finance[Xero Invoice No])&amp;" +more"),"")))</f>
        <v/>
      </c>
      <c r="C57" s="24" t="n"/>
      <c r="D57" s="25">
        <f>IF(C57="","",IF(COUNTIF(lst_Jobs,C57&amp;"")&gt;0,"OK","CHECK"))</f>
        <v/>
      </c>
      <c r="E57" s="25">
        <f>IF(C57="","",IFERROR(INDEX(lst_JobName,MATCH(C57&amp;"",lst_Jobs,0)),""))</f>
        <v/>
      </c>
      <c r="F57" s="25">
        <f>IF(C57="","",IFERROR(INDEX(tbl_Finance[Client],IFERROR(MATCH(C57&amp;"",tbl_Finance[Job Number],0),MATCH(IFERROR(C57+0,C57),tbl_Finance[Job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6" t="n"/>
      <c r="L57" s="27">
        <f>IF(C57="","",IF(K57="",0,MAX(0,K57-H57)))</f>
        <v/>
      </c>
      <c r="M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N57" s="24" t="n"/>
      <c r="O57" s="24" t="n"/>
      <c r="P57" s="25">
        <f>IF(O57="","",HYPERLINK(IF(LEFT(O57,4)="http",O57,set_QwilrBase&amp;O57),"Open quote"))</f>
        <v/>
      </c>
      <c r="Q57" s="71" t="n"/>
      <c r="R57" s="24" t="n"/>
      <c r="S57" s="24" t="n"/>
    </row>
    <row r="58" ht="15" customHeight="1">
      <c r="A58" s="70">
        <f>IF(C58="","",IFERROR(IF(SUMPRODUCT(MAX((tbl_Finance[Job Number]&amp;""=C58&amp;"")*(tbl_Finance[Xero Invoice No]&lt;&gt;"")*tbl_Finance[Date]))=0,"",SUMPRODUCT(MAX((tbl_Finance[Job Number]&amp;""=C58&amp;"")*(tbl_Finance[Xero Invoice No]&lt;&gt;"")*tbl_Finance[Date]))),""))</f>
        <v/>
      </c>
      <c r="B58" s="25">
        <f>IF(C58="","",IF(COUNTIFS(tbl_Finance[Job Number],C58&amp;"",tbl_Finance[Xero Invoice No],"&lt;&gt;")=0,"",IFERROR(IF(COUNTIFS(tbl_Finance[Job Number],C58&amp;"",tbl_Finance[Xero Invoice No],LOOKUP(2,1/((tbl_Finance[Job Number]&amp;""=C58&amp;"")*(tbl_Finance[Xero Invoice No]&lt;&gt;"")),tbl_Finance[Xero Invoice No]))=COUNTIFS(tbl_Finance[Job Number],C58&amp;"",tbl_Finance[Xero Invoice No],"&lt;&gt;"),LOOKUP(2,1/((tbl_Finance[Job Number]&amp;""=C58&amp;"")*(tbl_Finance[Xero Invoice No]&lt;&gt;"")),tbl_Finance[Xero Invoice No]),LOOKUP(2,1/((tbl_Finance[Job Number]&amp;""=C58&amp;"")*(tbl_Finance[Xero Invoice No]&lt;&gt;"")),tbl_Finance[Xero Invoice No])&amp;" +more"),"")))</f>
        <v/>
      </c>
      <c r="C58" s="24" t="n"/>
      <c r="D58" s="25">
        <f>IF(C58="","",IF(COUNTIF(lst_Jobs,C58&amp;"")&gt;0,"OK","CHECK"))</f>
        <v/>
      </c>
      <c r="E58" s="25">
        <f>IF(C58="","",IFERROR(INDEX(lst_JobName,MATCH(C58&amp;"",lst_Jobs,0)),""))</f>
        <v/>
      </c>
      <c r="F58" s="25">
        <f>IF(C58="","",IFERROR(INDEX(tbl_Finance[Client],IFERROR(MATCH(C58&amp;"",tbl_Finance[Job Number],0),MATCH(IFERROR(C58+0,C58),tbl_Finance[Job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6" t="n"/>
      <c r="L58" s="27">
        <f>IF(C58="","",IF(K58="",0,MAX(0,K58-H58)))</f>
        <v/>
      </c>
      <c r="M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N58" s="24" t="n"/>
      <c r="O58" s="24" t="n"/>
      <c r="P58" s="25">
        <f>IF(O58="","",HYPERLINK(IF(LEFT(O58,4)="http",O58,set_QwilrBase&amp;O58),"Open quote"))</f>
        <v/>
      </c>
      <c r="Q58" s="71" t="n"/>
      <c r="R58" s="24" t="n"/>
      <c r="S58" s="24" t="n"/>
    </row>
    <row r="59" ht="15" customHeight="1">
      <c r="A59" s="70">
        <f>IF(C59="","",IFERROR(IF(SUMPRODUCT(MAX((tbl_Finance[Job Number]&amp;""=C59&amp;"")*(tbl_Finance[Xero Invoice No]&lt;&gt;"")*tbl_Finance[Date]))=0,"",SUMPRODUCT(MAX((tbl_Finance[Job Number]&amp;""=C59&amp;"")*(tbl_Finance[Xero Invoice No]&lt;&gt;"")*tbl_Finance[Date]))),""))</f>
        <v/>
      </c>
      <c r="B59" s="25">
        <f>IF(C59="","",IF(COUNTIFS(tbl_Finance[Job Number],C59&amp;"",tbl_Finance[Xero Invoice No],"&lt;&gt;")=0,"",IFERROR(IF(COUNTIFS(tbl_Finance[Job Number],C59&amp;"",tbl_Finance[Xero Invoice No],LOOKUP(2,1/((tbl_Finance[Job Number]&amp;""=C59&amp;"")*(tbl_Finance[Xero Invoice No]&lt;&gt;"")),tbl_Finance[Xero Invoice No]))=COUNTIFS(tbl_Finance[Job Number],C59&amp;"",tbl_Finance[Xero Invoice No],"&lt;&gt;"),LOOKUP(2,1/((tbl_Finance[Job Number]&amp;""=C59&amp;"")*(tbl_Finance[Xero Invoice No]&lt;&gt;"")),tbl_Finance[Xero Invoice No]),LOOKUP(2,1/((tbl_Finance[Job Number]&amp;""=C59&amp;"")*(tbl_Finance[Xero Invoice No]&lt;&gt;"")),tbl_Finance[Xero Invoice No])&amp;" +more"),"")))</f>
        <v/>
      </c>
      <c r="C59" s="24" t="n"/>
      <c r="D59" s="25">
        <f>IF(C59="","",IF(COUNTIF(lst_Jobs,C59&amp;"")&gt;0,"OK","CHECK"))</f>
        <v/>
      </c>
      <c r="E59" s="25">
        <f>IF(C59="","",IFERROR(INDEX(lst_JobName,MATCH(C59&amp;"",lst_Jobs,0)),""))</f>
        <v/>
      </c>
      <c r="F59" s="25">
        <f>IF(C59="","",IFERROR(INDEX(tbl_Finance[Client],IFERROR(MATCH(C59&amp;"",tbl_Finance[Job Number],0),MATCH(IFERROR(C59+0,C59),tbl_Finance[Job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6" t="n"/>
      <c r="L59" s="27">
        <f>IF(C59="","",IF(K59="",0,MAX(0,K59-H59)))</f>
        <v/>
      </c>
      <c r="M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N59" s="24" t="n"/>
      <c r="O59" s="24" t="n"/>
      <c r="P59" s="25">
        <f>IF(O59="","",HYPERLINK(IF(LEFT(O59,4)="http",O59,set_QwilrBase&amp;O59),"Open quote"))</f>
        <v/>
      </c>
      <c r="Q59" s="71" t="n"/>
      <c r="R59" s="24" t="n"/>
      <c r="S59" s="24" t="n"/>
    </row>
    <row r="60" ht="15" customHeight="1">
      <c r="A60" s="70">
        <f>IF(C60="","",IFERROR(IF(SUMPRODUCT(MAX((tbl_Finance[Job Number]&amp;""=C60&amp;"")*(tbl_Finance[Xero Invoice No]&lt;&gt;"")*tbl_Finance[Date]))=0,"",SUMPRODUCT(MAX((tbl_Finance[Job Number]&amp;""=C60&amp;"")*(tbl_Finance[Xero Invoice No]&lt;&gt;"")*tbl_Finance[Date]))),""))</f>
        <v/>
      </c>
      <c r="B60" s="25">
        <f>IF(C60="","",IF(COUNTIFS(tbl_Finance[Job Number],C60&amp;"",tbl_Finance[Xero Invoice No],"&lt;&gt;")=0,"",IFERROR(IF(COUNTIFS(tbl_Finance[Job Number],C60&amp;"",tbl_Finance[Xero Invoice No],LOOKUP(2,1/((tbl_Finance[Job Number]&amp;""=C60&amp;"")*(tbl_Finance[Xero Invoice No]&lt;&gt;"")),tbl_Finance[Xero Invoice No]))=COUNTIFS(tbl_Finance[Job Number],C60&amp;"",tbl_Finance[Xero Invoice No],"&lt;&gt;"),LOOKUP(2,1/((tbl_Finance[Job Number]&amp;""=C60&amp;"")*(tbl_Finance[Xero Invoice No]&lt;&gt;"")),tbl_Finance[Xero Invoice No]),LOOKUP(2,1/((tbl_Finance[Job Number]&amp;""=C60&amp;"")*(tbl_Finance[Xero Invoice No]&lt;&gt;"")),tbl_Finance[Xero Invoice No])&amp;" +more"),"")))</f>
        <v/>
      </c>
      <c r="C60" s="24" t="n"/>
      <c r="D60" s="25">
        <f>IF(C60="","",IF(COUNTIF(lst_Jobs,C60&amp;"")&gt;0,"OK","CHECK"))</f>
        <v/>
      </c>
      <c r="E60" s="25">
        <f>IF(C60="","",IFERROR(INDEX(lst_JobName,MATCH(C60&amp;"",lst_Jobs,0)),""))</f>
        <v/>
      </c>
      <c r="F60" s="25">
        <f>IF(C60="","",IFERROR(INDEX(tbl_Finance[Client],IFERROR(MATCH(C60&amp;"",tbl_Finance[Job Number],0),MATCH(IFERROR(C60+0,C60),tbl_Finance[Job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6" t="n"/>
      <c r="L60" s="27">
        <f>IF(C60="","",IF(K60="",0,MAX(0,K60-H60)))</f>
        <v/>
      </c>
      <c r="M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N60" s="24" t="n"/>
      <c r="O60" s="24" t="n"/>
      <c r="P60" s="25">
        <f>IF(O60="","",HYPERLINK(IF(LEFT(O60,4)="http",O60,set_QwilrBase&amp;O60),"Open quote"))</f>
        <v/>
      </c>
      <c r="Q60" s="71" t="n"/>
      <c r="R60" s="24" t="n"/>
      <c r="S60" s="24" t="n"/>
    </row>
    <row r="61" ht="15" customHeight="1">
      <c r="A61" s="70">
        <f>IF(C61="","",IFERROR(IF(SUMPRODUCT(MAX((tbl_Finance[Job Number]&amp;""=C61&amp;"")*(tbl_Finance[Xero Invoice No]&lt;&gt;"")*tbl_Finance[Date]))=0,"",SUMPRODUCT(MAX((tbl_Finance[Job Number]&amp;""=C61&amp;"")*(tbl_Finance[Xero Invoice No]&lt;&gt;"")*tbl_Finance[Date]))),""))</f>
        <v/>
      </c>
      <c r="B61" s="25">
        <f>IF(C61="","",IF(COUNTIFS(tbl_Finance[Job Number],C61&amp;"",tbl_Finance[Xero Invoice No],"&lt;&gt;")=0,"",IFERROR(IF(COUNTIFS(tbl_Finance[Job Number],C61&amp;"",tbl_Finance[Xero Invoice No],LOOKUP(2,1/((tbl_Finance[Job Number]&amp;""=C61&amp;"")*(tbl_Finance[Xero Invoice No]&lt;&gt;"")),tbl_Finance[Xero Invoice No]))=COUNTIFS(tbl_Finance[Job Number],C61&amp;"",tbl_Finance[Xero Invoice No],"&lt;&gt;"),LOOKUP(2,1/((tbl_Finance[Job Number]&amp;""=C61&amp;"")*(tbl_Finance[Xero Invoice No]&lt;&gt;"")),tbl_Finance[Xero Invoice No]),LOOKUP(2,1/((tbl_Finance[Job Number]&amp;""=C61&amp;"")*(tbl_Finance[Xero Invoice No]&lt;&gt;"")),tbl_Finance[Xero Invoice No])&amp;" +more"),"")))</f>
        <v/>
      </c>
      <c r="C61" s="24" t="n"/>
      <c r="D61" s="25">
        <f>IF(C61="","",IF(COUNTIF(lst_Jobs,C61&amp;"")&gt;0,"OK","CHECK"))</f>
        <v/>
      </c>
      <c r="E61" s="25">
        <f>IF(C61="","",IFERROR(INDEX(lst_JobName,MATCH(C61&amp;"",lst_Jobs,0)),""))</f>
        <v/>
      </c>
      <c r="F61" s="25">
        <f>IF(C61="","",IFERROR(INDEX(tbl_Finance[Client],IFERROR(MATCH(C61&amp;"",tbl_Finance[Job Number],0),MATCH(IFERROR(C61+0,C61),tbl_Finance[Job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6" t="n"/>
      <c r="L61" s="27">
        <f>IF(C61="","",IF(K61="",0,MAX(0,K61-H61)))</f>
        <v/>
      </c>
      <c r="M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N61" s="24" t="n"/>
      <c r="O61" s="24" t="n"/>
      <c r="P61" s="25">
        <f>IF(O61="","",HYPERLINK(IF(LEFT(O61,4)="http",O61,set_QwilrBase&amp;O61),"Open quote"))</f>
        <v/>
      </c>
      <c r="Q61" s="71" t="n"/>
      <c r="R61" s="24" t="n"/>
      <c r="S61" s="24" t="n"/>
    </row>
    <row r="62" ht="15" customHeight="1">
      <c r="A62" s="70">
        <f>IF(C62="","",IFERROR(IF(SUMPRODUCT(MAX((tbl_Finance[Job Number]&amp;""=C62&amp;"")*(tbl_Finance[Xero Invoice No]&lt;&gt;"")*tbl_Finance[Date]))=0,"",SUMPRODUCT(MAX((tbl_Finance[Job Number]&amp;""=C62&amp;"")*(tbl_Finance[Xero Invoice No]&lt;&gt;"")*tbl_Finance[Date]))),""))</f>
        <v/>
      </c>
      <c r="B62" s="25">
        <f>IF(C62="","",IF(COUNTIFS(tbl_Finance[Job Number],C62&amp;"",tbl_Finance[Xero Invoice No],"&lt;&gt;")=0,"",IFERROR(IF(COUNTIFS(tbl_Finance[Job Number],C62&amp;"",tbl_Finance[Xero Invoice No],LOOKUP(2,1/((tbl_Finance[Job Number]&amp;""=C62&amp;"")*(tbl_Finance[Xero Invoice No]&lt;&gt;"")),tbl_Finance[Xero Invoice No]))=COUNTIFS(tbl_Finance[Job Number],C62&amp;"",tbl_Finance[Xero Invoice No],"&lt;&gt;"),LOOKUP(2,1/((tbl_Finance[Job Number]&amp;""=C62&amp;"")*(tbl_Finance[Xero Invoice No]&lt;&gt;"")),tbl_Finance[Xero Invoice No]),LOOKUP(2,1/((tbl_Finance[Job Number]&amp;""=C62&amp;"")*(tbl_Finance[Xero Invoice No]&lt;&gt;"")),tbl_Finance[Xero Invoice No])&amp;" +more"),"")))</f>
        <v/>
      </c>
      <c r="C62" s="24" t="n"/>
      <c r="D62" s="25">
        <f>IF(C62="","",IF(COUNTIF(lst_Jobs,C62&amp;"")&gt;0,"OK","CHECK"))</f>
        <v/>
      </c>
      <c r="E62" s="25">
        <f>IF(C62="","",IFERROR(INDEX(lst_JobName,MATCH(C62&amp;"",lst_Jobs,0)),""))</f>
        <v/>
      </c>
      <c r="F62" s="25">
        <f>IF(C62="","",IFERROR(INDEX(tbl_Finance[Client],IFERROR(MATCH(C62&amp;"",tbl_Finance[Job Number],0),MATCH(IFERROR(C62+0,C62),tbl_Finance[Job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6" t="n"/>
      <c r="L62" s="27">
        <f>IF(C62="","",IF(K62="",0,MAX(0,K62-H62)))</f>
        <v/>
      </c>
      <c r="M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N62" s="24" t="n"/>
      <c r="O62" s="24" t="n"/>
      <c r="P62" s="25">
        <f>IF(O62="","",HYPERLINK(IF(LEFT(O62,4)="http",O62,set_QwilrBase&amp;O62),"Open quote"))</f>
        <v/>
      </c>
      <c r="Q62" s="71" t="n"/>
      <c r="R62" s="24" t="n"/>
      <c r="S62" s="24" t="n"/>
    </row>
    <row r="63" ht="15" customHeight="1">
      <c r="A63" s="70">
        <f>IF(C63="","",IFERROR(IF(SUMPRODUCT(MAX((tbl_Finance[Job Number]&amp;""=C63&amp;"")*(tbl_Finance[Xero Invoice No]&lt;&gt;"")*tbl_Finance[Date]))=0,"",SUMPRODUCT(MAX((tbl_Finance[Job Number]&amp;""=C63&amp;"")*(tbl_Finance[Xero Invoice No]&lt;&gt;"")*tbl_Finance[Date]))),""))</f>
        <v/>
      </c>
      <c r="B63" s="25">
        <f>IF(C63="","",IF(COUNTIFS(tbl_Finance[Job Number],C63&amp;"",tbl_Finance[Xero Invoice No],"&lt;&gt;")=0,"",IFERROR(IF(COUNTIFS(tbl_Finance[Job Number],C63&amp;"",tbl_Finance[Xero Invoice No],LOOKUP(2,1/((tbl_Finance[Job Number]&amp;""=C63&amp;"")*(tbl_Finance[Xero Invoice No]&lt;&gt;"")),tbl_Finance[Xero Invoice No]))=COUNTIFS(tbl_Finance[Job Number],C63&amp;"",tbl_Finance[Xero Invoice No],"&lt;&gt;"),LOOKUP(2,1/((tbl_Finance[Job Number]&amp;""=C63&amp;"")*(tbl_Finance[Xero Invoice No]&lt;&gt;"")),tbl_Finance[Xero Invoice No]),LOOKUP(2,1/((tbl_Finance[Job Number]&amp;""=C63&amp;"")*(tbl_Finance[Xero Invoice No]&lt;&gt;"")),tbl_Finance[Xero Invoice No])&amp;" +more"),"")))</f>
        <v/>
      </c>
      <c r="C63" s="24" t="n"/>
      <c r="D63" s="25">
        <f>IF(C63="","",IF(COUNTIF(lst_Jobs,C63&amp;"")&gt;0,"OK","CHECK"))</f>
        <v/>
      </c>
      <c r="E63" s="25">
        <f>IF(C63="","",IFERROR(INDEX(lst_JobName,MATCH(C63&amp;"",lst_Jobs,0)),""))</f>
        <v/>
      </c>
      <c r="F63" s="25">
        <f>IF(C63="","",IFERROR(INDEX(tbl_Finance[Client],IFERROR(MATCH(C63&amp;"",tbl_Finance[Job Number],0),MATCH(IFERROR(C63+0,C63),tbl_Finance[Job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6" t="n"/>
      <c r="L63" s="27">
        <f>IF(C63="","",IF(K63="",0,MAX(0,K63-H63)))</f>
        <v/>
      </c>
      <c r="M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N63" s="24" t="n"/>
      <c r="O63" s="24" t="n"/>
      <c r="P63" s="25">
        <f>IF(O63="","",HYPERLINK(IF(LEFT(O63,4)="http",O63,set_QwilrBase&amp;O63),"Open quote"))</f>
        <v/>
      </c>
      <c r="Q63" s="71" t="n"/>
      <c r="R63" s="24" t="n"/>
      <c r="S63" s="24" t="n"/>
    </row>
    <row r="64" ht="15" customHeight="1">
      <c r="A64" s="70">
        <f>IF(C64="","",IFERROR(IF(SUMPRODUCT(MAX((tbl_Finance[Job Number]&amp;""=C64&amp;"")*(tbl_Finance[Xero Invoice No]&lt;&gt;"")*tbl_Finance[Date]))=0,"",SUMPRODUCT(MAX((tbl_Finance[Job Number]&amp;""=C64&amp;"")*(tbl_Finance[Xero Invoice No]&lt;&gt;"")*tbl_Finance[Date]))),""))</f>
        <v/>
      </c>
      <c r="B64" s="25">
        <f>IF(C64="","",IF(COUNTIFS(tbl_Finance[Job Number],C64&amp;"",tbl_Finance[Xero Invoice No],"&lt;&gt;")=0,"",IFERROR(IF(COUNTIFS(tbl_Finance[Job Number],C64&amp;"",tbl_Finance[Xero Invoice No],LOOKUP(2,1/((tbl_Finance[Job Number]&amp;""=C64&amp;"")*(tbl_Finance[Xero Invoice No]&lt;&gt;"")),tbl_Finance[Xero Invoice No]))=COUNTIFS(tbl_Finance[Job Number],C64&amp;"",tbl_Finance[Xero Invoice No],"&lt;&gt;"),LOOKUP(2,1/((tbl_Finance[Job Number]&amp;""=C64&amp;"")*(tbl_Finance[Xero Invoice No]&lt;&gt;"")),tbl_Finance[Xero Invoice No]),LOOKUP(2,1/((tbl_Finance[Job Number]&amp;""=C64&amp;"")*(tbl_Finance[Xero Invoice No]&lt;&gt;"")),tbl_Finance[Xero Invoice No])&amp;" +more"),"")))</f>
        <v/>
      </c>
      <c r="C64" s="24" t="n"/>
      <c r="D64" s="25">
        <f>IF(C64="","",IF(COUNTIF(lst_Jobs,C64&amp;"")&gt;0,"OK","CHECK"))</f>
        <v/>
      </c>
      <c r="E64" s="25">
        <f>IF(C64="","",IFERROR(INDEX(lst_JobName,MATCH(C64&amp;"",lst_Jobs,0)),""))</f>
        <v/>
      </c>
      <c r="F64" s="25">
        <f>IF(C64="","",IFERROR(INDEX(tbl_Finance[Client],IFERROR(MATCH(C64&amp;"",tbl_Finance[Job Number],0),MATCH(IFERROR(C64+0,C64),tbl_Finance[Job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6" t="n"/>
      <c r="L64" s="27">
        <f>IF(C64="","",IF(K64="",0,MAX(0,K64-H64)))</f>
        <v/>
      </c>
      <c r="M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N64" s="24" t="n"/>
      <c r="O64" s="24" t="n"/>
      <c r="P64" s="25">
        <f>IF(O64="","",HYPERLINK(IF(LEFT(O64,4)="http",O64,set_QwilrBase&amp;O64),"Open quote"))</f>
        <v/>
      </c>
      <c r="Q64" s="71" t="n"/>
      <c r="R64" s="24" t="n"/>
      <c r="S64" s="24" t="n"/>
    </row>
    <row r="65" ht="15" customHeight="1">
      <c r="A65" s="70">
        <f>IF(C65="","",IFERROR(IF(SUMPRODUCT(MAX((tbl_Finance[Job Number]&amp;""=C65&amp;"")*(tbl_Finance[Xero Invoice No]&lt;&gt;"")*tbl_Finance[Date]))=0,"",SUMPRODUCT(MAX((tbl_Finance[Job Number]&amp;""=C65&amp;"")*(tbl_Finance[Xero Invoice No]&lt;&gt;"")*tbl_Finance[Date]))),""))</f>
        <v/>
      </c>
      <c r="B65" s="25">
        <f>IF(C65="","",IF(COUNTIFS(tbl_Finance[Job Number],C65&amp;"",tbl_Finance[Xero Invoice No],"&lt;&gt;")=0,"",IFERROR(IF(COUNTIFS(tbl_Finance[Job Number],C65&amp;"",tbl_Finance[Xero Invoice No],LOOKUP(2,1/((tbl_Finance[Job Number]&amp;""=C65&amp;"")*(tbl_Finance[Xero Invoice No]&lt;&gt;"")),tbl_Finance[Xero Invoice No]))=COUNTIFS(tbl_Finance[Job Number],C65&amp;"",tbl_Finance[Xero Invoice No],"&lt;&gt;"),LOOKUP(2,1/((tbl_Finance[Job Number]&amp;""=C65&amp;"")*(tbl_Finance[Xero Invoice No]&lt;&gt;"")),tbl_Finance[Xero Invoice No]),LOOKUP(2,1/((tbl_Finance[Job Number]&amp;""=C65&amp;"")*(tbl_Finance[Xero Invoice No]&lt;&gt;"")),tbl_Finance[Xero Invoice No])&amp;" +more"),"")))</f>
        <v/>
      </c>
      <c r="C65" s="24" t="n"/>
      <c r="D65" s="25">
        <f>IF(C65="","",IF(COUNTIF(lst_Jobs,C65&amp;"")&gt;0,"OK","CHECK"))</f>
        <v/>
      </c>
      <c r="E65" s="25">
        <f>IF(C65="","",IFERROR(INDEX(lst_JobName,MATCH(C65&amp;"",lst_Jobs,0)),""))</f>
        <v/>
      </c>
      <c r="F65" s="25">
        <f>IF(C65="","",IFERROR(INDEX(tbl_Finance[Client],IFERROR(MATCH(C65&amp;"",tbl_Finance[Job Number],0),MATCH(IFERROR(C65+0,C65),tbl_Finance[Job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6" t="n"/>
      <c r="L65" s="27">
        <f>IF(C65="","",IF(K65="",0,MAX(0,K65-H65)))</f>
        <v/>
      </c>
      <c r="M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N65" s="24" t="n"/>
      <c r="O65" s="24" t="n"/>
      <c r="P65" s="25">
        <f>IF(O65="","",HYPERLINK(IF(LEFT(O65,4)="http",O65,set_QwilrBase&amp;O65),"Open quote"))</f>
        <v/>
      </c>
      <c r="Q65" s="71" t="n"/>
      <c r="R65" s="24" t="n"/>
      <c r="S65" s="24" t="n"/>
    </row>
    <row r="66" ht="15" customHeight="1">
      <c r="A66" s="70">
        <f>IF(C66="","",IFERROR(IF(SUMPRODUCT(MAX((tbl_Finance[Job Number]&amp;""=C66&amp;"")*(tbl_Finance[Xero Invoice No]&lt;&gt;"")*tbl_Finance[Date]))=0,"",SUMPRODUCT(MAX((tbl_Finance[Job Number]&amp;""=C66&amp;"")*(tbl_Finance[Xero Invoice No]&lt;&gt;"")*tbl_Finance[Date]))),""))</f>
        <v/>
      </c>
      <c r="B66" s="25">
        <f>IF(C66="","",IF(COUNTIFS(tbl_Finance[Job Number],C66&amp;"",tbl_Finance[Xero Invoice No],"&lt;&gt;")=0,"",IFERROR(IF(COUNTIFS(tbl_Finance[Job Number],C66&amp;"",tbl_Finance[Xero Invoice No],LOOKUP(2,1/((tbl_Finance[Job Number]&amp;""=C66&amp;"")*(tbl_Finance[Xero Invoice No]&lt;&gt;"")),tbl_Finance[Xero Invoice No]))=COUNTIFS(tbl_Finance[Job Number],C66&amp;"",tbl_Finance[Xero Invoice No],"&lt;&gt;"),LOOKUP(2,1/((tbl_Finance[Job Number]&amp;""=C66&amp;"")*(tbl_Finance[Xero Invoice No]&lt;&gt;"")),tbl_Finance[Xero Invoice No]),LOOKUP(2,1/((tbl_Finance[Job Number]&amp;""=C66&amp;"")*(tbl_Finance[Xero Invoice No]&lt;&gt;"")),tbl_Finance[Xero Invoice No])&amp;" +more"),"")))</f>
        <v/>
      </c>
      <c r="C66" s="24" t="n"/>
      <c r="D66" s="25">
        <f>IF(C66="","",IF(COUNTIF(lst_Jobs,C66&amp;"")&gt;0,"OK","CHECK"))</f>
        <v/>
      </c>
      <c r="E66" s="25">
        <f>IF(C66="","",IFERROR(INDEX(lst_JobName,MATCH(C66&amp;"",lst_Jobs,0)),""))</f>
        <v/>
      </c>
      <c r="F66" s="25">
        <f>IF(C66="","",IFERROR(INDEX(tbl_Finance[Client],IFERROR(MATCH(C66&amp;"",tbl_Finance[Job Number],0),MATCH(IFERROR(C66+0,C66),tbl_Finance[Job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6" t="n"/>
      <c r="L66" s="27">
        <f>IF(C66="","",IF(K66="",0,MAX(0,K66-H66)))</f>
        <v/>
      </c>
      <c r="M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N66" s="24" t="n"/>
      <c r="O66" s="24" t="n"/>
      <c r="P66" s="25">
        <f>IF(O66="","",HYPERLINK(IF(LEFT(O66,4)="http",O66,set_QwilrBase&amp;O66),"Open quote"))</f>
        <v/>
      </c>
      <c r="Q66" s="71" t="n"/>
      <c r="R66" s="24" t="n"/>
      <c r="S66" s="24" t="n"/>
    </row>
    <row r="67" ht="15" customHeight="1">
      <c r="A67" s="70">
        <f>IF(C67="","",IFERROR(IF(SUMPRODUCT(MAX((tbl_Finance[Job Number]&amp;""=C67&amp;"")*(tbl_Finance[Xero Invoice No]&lt;&gt;"")*tbl_Finance[Date]))=0,"",SUMPRODUCT(MAX((tbl_Finance[Job Number]&amp;""=C67&amp;"")*(tbl_Finance[Xero Invoice No]&lt;&gt;"")*tbl_Finance[Date]))),""))</f>
        <v/>
      </c>
      <c r="B67" s="25">
        <f>IF(C67="","",IF(COUNTIFS(tbl_Finance[Job Number],C67&amp;"",tbl_Finance[Xero Invoice No],"&lt;&gt;")=0,"",IFERROR(IF(COUNTIFS(tbl_Finance[Job Number],C67&amp;"",tbl_Finance[Xero Invoice No],LOOKUP(2,1/((tbl_Finance[Job Number]&amp;""=C67&amp;"")*(tbl_Finance[Xero Invoice No]&lt;&gt;"")),tbl_Finance[Xero Invoice No]))=COUNTIFS(tbl_Finance[Job Number],C67&amp;"",tbl_Finance[Xero Invoice No],"&lt;&gt;"),LOOKUP(2,1/((tbl_Finance[Job Number]&amp;""=C67&amp;"")*(tbl_Finance[Xero Invoice No]&lt;&gt;"")),tbl_Finance[Xero Invoice No]),LOOKUP(2,1/((tbl_Finance[Job Number]&amp;""=C67&amp;"")*(tbl_Finance[Xero Invoice No]&lt;&gt;"")),tbl_Finance[Xero Invoice No])&amp;" +more"),"")))</f>
        <v/>
      </c>
      <c r="C67" s="24" t="n"/>
      <c r="D67" s="25">
        <f>IF(C67="","",IF(COUNTIF(lst_Jobs,C67&amp;"")&gt;0,"OK","CHECK"))</f>
        <v/>
      </c>
      <c r="E67" s="25">
        <f>IF(C67="","",IFERROR(INDEX(lst_JobName,MATCH(C67&amp;"",lst_Jobs,0)),""))</f>
        <v/>
      </c>
      <c r="F67" s="25">
        <f>IF(C67="","",IFERROR(INDEX(tbl_Finance[Client],IFERROR(MATCH(C67&amp;"",tbl_Finance[Job Number],0),MATCH(IFERROR(C67+0,C67),tbl_Finance[Job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6" t="n"/>
      <c r="L67" s="27">
        <f>IF(C67="","",IF(K67="",0,MAX(0,K67-H67)))</f>
        <v/>
      </c>
      <c r="M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N67" s="24" t="n"/>
      <c r="O67" s="24" t="n"/>
      <c r="P67" s="25">
        <f>IF(O67="","",HYPERLINK(IF(LEFT(O67,4)="http",O67,set_QwilrBase&amp;O67),"Open quote"))</f>
        <v/>
      </c>
      <c r="Q67" s="71" t="n"/>
      <c r="R67" s="24" t="n"/>
      <c r="S67" s="24" t="n"/>
    </row>
    <row r="68" ht="15" customHeight="1">
      <c r="A68" s="70">
        <f>IF(C68="","",IFERROR(IF(SUMPRODUCT(MAX((tbl_Finance[Job Number]&amp;""=C68&amp;"")*(tbl_Finance[Xero Invoice No]&lt;&gt;"")*tbl_Finance[Date]))=0,"",SUMPRODUCT(MAX((tbl_Finance[Job Number]&amp;""=C68&amp;"")*(tbl_Finance[Xero Invoice No]&lt;&gt;"")*tbl_Finance[Date]))),""))</f>
        <v/>
      </c>
      <c r="B68" s="25">
        <f>IF(C68="","",IF(COUNTIFS(tbl_Finance[Job Number],C68&amp;"",tbl_Finance[Xero Invoice No],"&lt;&gt;")=0,"",IFERROR(IF(COUNTIFS(tbl_Finance[Job Number],C68&amp;"",tbl_Finance[Xero Invoice No],LOOKUP(2,1/((tbl_Finance[Job Number]&amp;""=C68&amp;"")*(tbl_Finance[Xero Invoice No]&lt;&gt;"")),tbl_Finance[Xero Invoice No]))=COUNTIFS(tbl_Finance[Job Number],C68&amp;"",tbl_Finance[Xero Invoice No],"&lt;&gt;"),LOOKUP(2,1/((tbl_Finance[Job Number]&amp;""=C68&amp;"")*(tbl_Finance[Xero Invoice No]&lt;&gt;"")),tbl_Finance[Xero Invoice No]),LOOKUP(2,1/((tbl_Finance[Job Number]&amp;""=C68&amp;"")*(tbl_Finance[Xero Invoice No]&lt;&gt;"")),tbl_Finance[Xero Invoice No])&amp;" +more"),"")))</f>
        <v/>
      </c>
      <c r="C68" s="24" t="n"/>
      <c r="D68" s="25">
        <f>IF(C68="","",IF(COUNTIF(lst_Jobs,C68&amp;"")&gt;0,"OK","CHECK"))</f>
        <v/>
      </c>
      <c r="E68" s="25">
        <f>IF(C68="","",IFERROR(INDEX(lst_JobName,MATCH(C68&amp;"",lst_Jobs,0)),""))</f>
        <v/>
      </c>
      <c r="F68" s="25">
        <f>IF(C68="","",IFERROR(INDEX(tbl_Finance[Client],IFERROR(MATCH(C68&amp;"",tbl_Finance[Job Number],0),MATCH(IFERROR(C68+0,C68),tbl_Finance[Job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6" t="n"/>
      <c r="L68" s="27">
        <f>IF(C68="","",IF(K68="",0,MAX(0,K68-H68)))</f>
        <v/>
      </c>
      <c r="M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N68" s="24" t="n"/>
      <c r="O68" s="24" t="n"/>
      <c r="P68" s="25">
        <f>IF(O68="","",HYPERLINK(IF(LEFT(O68,4)="http",O68,set_QwilrBase&amp;O68),"Open quote"))</f>
        <v/>
      </c>
      <c r="Q68" s="71" t="n"/>
      <c r="R68" s="24" t="n"/>
      <c r="S68" s="24" t="n"/>
    </row>
    <row r="69" ht="15" customHeight="1">
      <c r="A69" s="70">
        <f>IF(C69="","",IFERROR(IF(SUMPRODUCT(MAX((tbl_Finance[Job Number]&amp;""=C69&amp;"")*(tbl_Finance[Xero Invoice No]&lt;&gt;"")*tbl_Finance[Date]))=0,"",SUMPRODUCT(MAX((tbl_Finance[Job Number]&amp;""=C69&amp;"")*(tbl_Finance[Xero Invoice No]&lt;&gt;"")*tbl_Finance[Date]))),""))</f>
        <v/>
      </c>
      <c r="B69" s="25">
        <f>IF(C69="","",IF(COUNTIFS(tbl_Finance[Job Number],C69&amp;"",tbl_Finance[Xero Invoice No],"&lt;&gt;")=0,"",IFERROR(IF(COUNTIFS(tbl_Finance[Job Number],C69&amp;"",tbl_Finance[Xero Invoice No],LOOKUP(2,1/((tbl_Finance[Job Number]&amp;""=C69&amp;"")*(tbl_Finance[Xero Invoice No]&lt;&gt;"")),tbl_Finance[Xero Invoice No]))=COUNTIFS(tbl_Finance[Job Number],C69&amp;"",tbl_Finance[Xero Invoice No],"&lt;&gt;"),LOOKUP(2,1/((tbl_Finance[Job Number]&amp;""=C69&amp;"")*(tbl_Finance[Xero Invoice No]&lt;&gt;"")),tbl_Finance[Xero Invoice No]),LOOKUP(2,1/((tbl_Finance[Job Number]&amp;""=C69&amp;"")*(tbl_Finance[Xero Invoice No]&lt;&gt;"")),tbl_Finance[Xero Invoice No])&amp;" +more"),"")))</f>
        <v/>
      </c>
      <c r="C69" s="24" t="n"/>
      <c r="D69" s="25">
        <f>IF(C69="","",IF(COUNTIF(lst_Jobs,C69&amp;"")&gt;0,"OK","CHECK"))</f>
        <v/>
      </c>
      <c r="E69" s="25">
        <f>IF(C69="","",IFERROR(INDEX(lst_JobName,MATCH(C69&amp;"",lst_Jobs,0)),""))</f>
        <v/>
      </c>
      <c r="F69" s="25">
        <f>IF(C69="","",IFERROR(INDEX(tbl_Finance[Client],IFERROR(MATCH(C69&amp;"",tbl_Finance[Job Number],0),MATCH(IFERROR(C69+0,C69),tbl_Finance[Job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6" t="n"/>
      <c r="L69" s="27">
        <f>IF(C69="","",IF(K69="",0,MAX(0,K69-H69)))</f>
        <v/>
      </c>
      <c r="M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N69" s="24" t="n"/>
      <c r="O69" s="24" t="n"/>
      <c r="P69" s="25">
        <f>IF(O69="","",HYPERLINK(IF(LEFT(O69,4)="http",O69,set_QwilrBase&amp;O69),"Open quote"))</f>
        <v/>
      </c>
      <c r="Q69" s="71" t="n"/>
      <c r="R69" s="24" t="n"/>
      <c r="S69" s="24" t="n"/>
    </row>
    <row r="70" ht="15" customHeight="1">
      <c r="A70" s="70">
        <f>IF(C70="","",IFERROR(IF(SUMPRODUCT(MAX((tbl_Finance[Job Number]&amp;""=C70&amp;"")*(tbl_Finance[Xero Invoice No]&lt;&gt;"")*tbl_Finance[Date]))=0,"",SUMPRODUCT(MAX((tbl_Finance[Job Number]&amp;""=C70&amp;"")*(tbl_Finance[Xero Invoice No]&lt;&gt;"")*tbl_Finance[Date]))),""))</f>
        <v/>
      </c>
      <c r="B70" s="25">
        <f>IF(C70="","",IF(COUNTIFS(tbl_Finance[Job Number],C70&amp;"",tbl_Finance[Xero Invoice No],"&lt;&gt;")=0,"",IFERROR(IF(COUNTIFS(tbl_Finance[Job Number],C70&amp;"",tbl_Finance[Xero Invoice No],LOOKUP(2,1/((tbl_Finance[Job Number]&amp;""=C70&amp;"")*(tbl_Finance[Xero Invoice No]&lt;&gt;"")),tbl_Finance[Xero Invoice No]))=COUNTIFS(tbl_Finance[Job Number],C70&amp;"",tbl_Finance[Xero Invoice No],"&lt;&gt;"),LOOKUP(2,1/((tbl_Finance[Job Number]&amp;""=C70&amp;"")*(tbl_Finance[Xero Invoice No]&lt;&gt;"")),tbl_Finance[Xero Invoice No]),LOOKUP(2,1/((tbl_Finance[Job Number]&amp;""=C70&amp;"")*(tbl_Finance[Xero Invoice No]&lt;&gt;"")),tbl_Finance[Xero Invoice No])&amp;" +more"),"")))</f>
        <v/>
      </c>
      <c r="C70" s="24" t="n"/>
      <c r="D70" s="25">
        <f>IF(C70="","",IF(COUNTIF(lst_Jobs,C70&amp;"")&gt;0,"OK","CHECK"))</f>
        <v/>
      </c>
      <c r="E70" s="25">
        <f>IF(C70="","",IFERROR(INDEX(lst_JobName,MATCH(C70&amp;"",lst_Jobs,0)),""))</f>
        <v/>
      </c>
      <c r="F70" s="25">
        <f>IF(C70="","",IFERROR(INDEX(tbl_Finance[Client],IFERROR(MATCH(C70&amp;"",tbl_Finance[Job Number],0),MATCH(IFERROR(C70+0,C70),tbl_Finance[Job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6" t="n"/>
      <c r="L70" s="27">
        <f>IF(C70="","",IF(K70="",0,MAX(0,K70-H70)))</f>
        <v/>
      </c>
      <c r="M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N70" s="24" t="n"/>
      <c r="O70" s="24" t="n"/>
      <c r="P70" s="25">
        <f>IF(O70="","",HYPERLINK(IF(LEFT(O70,4)="http",O70,set_QwilrBase&amp;O70),"Open quote"))</f>
        <v/>
      </c>
      <c r="Q70" s="71" t="n"/>
      <c r="R70" s="24" t="n"/>
      <c r="S70" s="24" t="n"/>
    </row>
    <row r="71" ht="15" customHeight="1">
      <c r="A71" s="70">
        <f>IF(C71="","",IFERROR(IF(SUMPRODUCT(MAX((tbl_Finance[Job Number]&amp;""=C71&amp;"")*(tbl_Finance[Xero Invoice No]&lt;&gt;"")*tbl_Finance[Date]))=0,"",SUMPRODUCT(MAX((tbl_Finance[Job Number]&amp;""=C71&amp;"")*(tbl_Finance[Xero Invoice No]&lt;&gt;"")*tbl_Finance[Date]))),""))</f>
        <v/>
      </c>
      <c r="B71" s="25">
        <f>IF(C71="","",IF(COUNTIFS(tbl_Finance[Job Number],C71&amp;"",tbl_Finance[Xero Invoice No],"&lt;&gt;")=0,"",IFERROR(IF(COUNTIFS(tbl_Finance[Job Number],C71&amp;"",tbl_Finance[Xero Invoice No],LOOKUP(2,1/((tbl_Finance[Job Number]&amp;""=C71&amp;"")*(tbl_Finance[Xero Invoice No]&lt;&gt;"")),tbl_Finance[Xero Invoice No]))=COUNTIFS(tbl_Finance[Job Number],C71&amp;"",tbl_Finance[Xero Invoice No],"&lt;&gt;"),LOOKUP(2,1/((tbl_Finance[Job Number]&amp;""=C71&amp;"")*(tbl_Finance[Xero Invoice No]&lt;&gt;"")),tbl_Finance[Xero Invoice No]),LOOKUP(2,1/((tbl_Finance[Job Number]&amp;""=C71&amp;"")*(tbl_Finance[Xero Invoice No]&lt;&gt;"")),tbl_Finance[Xero Invoice No])&amp;" +more"),"")))</f>
        <v/>
      </c>
      <c r="C71" s="24" t="n"/>
      <c r="D71" s="25">
        <f>IF(C71="","",IF(COUNTIF(lst_Jobs,C71&amp;"")&gt;0,"OK","CHECK"))</f>
        <v/>
      </c>
      <c r="E71" s="25">
        <f>IF(C71="","",IFERROR(INDEX(lst_JobName,MATCH(C71&amp;"",lst_Jobs,0)),""))</f>
        <v/>
      </c>
      <c r="F71" s="25">
        <f>IF(C71="","",IFERROR(INDEX(tbl_Finance[Client],IFERROR(MATCH(C71&amp;"",tbl_Finance[Job Number],0),MATCH(IFERROR(C71+0,C71),tbl_Finance[Job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6" t="n"/>
      <c r="L71" s="27">
        <f>IF(C71="","",IF(K71="",0,MAX(0,K71-H71)))</f>
        <v/>
      </c>
      <c r="M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N71" s="24" t="n"/>
      <c r="O71" s="24" t="n"/>
      <c r="P71" s="25">
        <f>IF(O71="","",HYPERLINK(IF(LEFT(O71,4)="http",O71,set_QwilrBase&amp;O71),"Open quote"))</f>
        <v/>
      </c>
      <c r="Q71" s="71" t="n"/>
      <c r="R71" s="24" t="n"/>
      <c r="S71" s="24" t="n"/>
    </row>
    <row r="72" ht="15" customHeight="1">
      <c r="A72" s="70">
        <f>IF(C72="","",IFERROR(IF(SUMPRODUCT(MAX((tbl_Finance[Job Number]&amp;""=C72&amp;"")*(tbl_Finance[Xero Invoice No]&lt;&gt;"")*tbl_Finance[Date]))=0,"",SUMPRODUCT(MAX((tbl_Finance[Job Number]&amp;""=C72&amp;"")*(tbl_Finance[Xero Invoice No]&lt;&gt;"")*tbl_Finance[Date]))),""))</f>
        <v/>
      </c>
      <c r="B72" s="25">
        <f>IF(C72="","",IF(COUNTIFS(tbl_Finance[Job Number],C72&amp;"",tbl_Finance[Xero Invoice No],"&lt;&gt;")=0,"",IFERROR(IF(COUNTIFS(tbl_Finance[Job Number],C72&amp;"",tbl_Finance[Xero Invoice No],LOOKUP(2,1/((tbl_Finance[Job Number]&amp;""=C72&amp;"")*(tbl_Finance[Xero Invoice No]&lt;&gt;"")),tbl_Finance[Xero Invoice No]))=COUNTIFS(tbl_Finance[Job Number],C72&amp;"",tbl_Finance[Xero Invoice No],"&lt;&gt;"),LOOKUP(2,1/((tbl_Finance[Job Number]&amp;""=C72&amp;"")*(tbl_Finance[Xero Invoice No]&lt;&gt;"")),tbl_Finance[Xero Invoice No]),LOOKUP(2,1/((tbl_Finance[Job Number]&amp;""=C72&amp;"")*(tbl_Finance[Xero Invoice No]&lt;&gt;"")),tbl_Finance[Xero Invoice No])&amp;" +more"),"")))</f>
        <v/>
      </c>
      <c r="C72" s="24" t="n"/>
      <c r="D72" s="25">
        <f>IF(C72="","",IF(COUNTIF(lst_Jobs,C72&amp;"")&gt;0,"OK","CHECK"))</f>
        <v/>
      </c>
      <c r="E72" s="25">
        <f>IF(C72="","",IFERROR(INDEX(lst_JobName,MATCH(C72&amp;"",lst_Jobs,0)),""))</f>
        <v/>
      </c>
      <c r="F72" s="25">
        <f>IF(C72="","",IFERROR(INDEX(tbl_Finance[Client],IFERROR(MATCH(C72&amp;"",tbl_Finance[Job Number],0),MATCH(IFERROR(C72+0,C72),tbl_Finance[Job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6" t="n"/>
      <c r="L72" s="27">
        <f>IF(C72="","",IF(K72="",0,MAX(0,K72-H72)))</f>
        <v/>
      </c>
      <c r="M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N72" s="24" t="n"/>
      <c r="O72" s="24" t="n"/>
      <c r="P72" s="25">
        <f>IF(O72="","",HYPERLINK(IF(LEFT(O72,4)="http",O72,set_QwilrBase&amp;O72),"Open quote"))</f>
        <v/>
      </c>
      <c r="Q72" s="71" t="n"/>
      <c r="R72" s="24" t="n"/>
      <c r="S72" s="24" t="n"/>
    </row>
    <row r="73" ht="15" customHeight="1">
      <c r="A73" s="70">
        <f>IF(C73="","",IFERROR(IF(SUMPRODUCT(MAX((tbl_Finance[Job Number]&amp;""=C73&amp;"")*(tbl_Finance[Xero Invoice No]&lt;&gt;"")*tbl_Finance[Date]))=0,"",SUMPRODUCT(MAX((tbl_Finance[Job Number]&amp;""=C73&amp;"")*(tbl_Finance[Xero Invoice No]&lt;&gt;"")*tbl_Finance[Date]))),""))</f>
        <v/>
      </c>
      <c r="B73" s="25">
        <f>IF(C73="","",IF(COUNTIFS(tbl_Finance[Job Number],C73&amp;"",tbl_Finance[Xero Invoice No],"&lt;&gt;")=0,"",IFERROR(IF(COUNTIFS(tbl_Finance[Job Number],C73&amp;"",tbl_Finance[Xero Invoice No],LOOKUP(2,1/((tbl_Finance[Job Number]&amp;""=C73&amp;"")*(tbl_Finance[Xero Invoice No]&lt;&gt;"")),tbl_Finance[Xero Invoice No]))=COUNTIFS(tbl_Finance[Job Number],C73&amp;"",tbl_Finance[Xero Invoice No],"&lt;&gt;"),LOOKUP(2,1/((tbl_Finance[Job Number]&amp;""=C73&amp;"")*(tbl_Finance[Xero Invoice No]&lt;&gt;"")),tbl_Finance[Xero Invoice No]),LOOKUP(2,1/((tbl_Finance[Job Number]&amp;""=C73&amp;"")*(tbl_Finance[Xero Invoice No]&lt;&gt;"")),tbl_Finance[Xero Invoice No])&amp;" +more"),"")))</f>
        <v/>
      </c>
      <c r="C73" s="24" t="n"/>
      <c r="D73" s="25">
        <f>IF(C73="","",IF(COUNTIF(lst_Jobs,C73&amp;"")&gt;0,"OK","CHECK"))</f>
        <v/>
      </c>
      <c r="E73" s="25">
        <f>IF(C73="","",IFERROR(INDEX(lst_JobName,MATCH(C73&amp;"",lst_Jobs,0)),""))</f>
        <v/>
      </c>
      <c r="F73" s="25">
        <f>IF(C73="","",IFERROR(INDEX(tbl_Finance[Client],IFERROR(MATCH(C73&amp;"",tbl_Finance[Job Number],0),MATCH(IFERROR(C73+0,C73),tbl_Finance[Job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6" t="n"/>
      <c r="L73" s="27">
        <f>IF(C73="","",IF(K73="",0,MAX(0,K73-H73)))</f>
        <v/>
      </c>
      <c r="M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N73" s="24" t="n"/>
      <c r="O73" s="24" t="n"/>
      <c r="P73" s="25">
        <f>IF(O73="","",HYPERLINK(IF(LEFT(O73,4)="http",O73,set_QwilrBase&amp;O73),"Open quote"))</f>
        <v/>
      </c>
      <c r="Q73" s="71" t="n"/>
      <c r="R73" s="24" t="n"/>
      <c r="S73" s="24" t="n"/>
    </row>
    <row r="74" ht="15" customHeight="1">
      <c r="A74" s="70">
        <f>IF(C74="","",IFERROR(IF(SUMPRODUCT(MAX((tbl_Finance[Job Number]&amp;""=C74&amp;"")*(tbl_Finance[Xero Invoice No]&lt;&gt;"")*tbl_Finance[Date]))=0,"",SUMPRODUCT(MAX((tbl_Finance[Job Number]&amp;""=C74&amp;"")*(tbl_Finance[Xero Invoice No]&lt;&gt;"")*tbl_Finance[Date]))),""))</f>
        <v/>
      </c>
      <c r="B74" s="25">
        <f>IF(C74="","",IF(COUNTIFS(tbl_Finance[Job Number],C74&amp;"",tbl_Finance[Xero Invoice No],"&lt;&gt;")=0,"",IFERROR(IF(COUNTIFS(tbl_Finance[Job Number],C74&amp;"",tbl_Finance[Xero Invoice No],LOOKUP(2,1/((tbl_Finance[Job Number]&amp;""=C74&amp;"")*(tbl_Finance[Xero Invoice No]&lt;&gt;"")),tbl_Finance[Xero Invoice No]))=COUNTIFS(tbl_Finance[Job Number],C74&amp;"",tbl_Finance[Xero Invoice No],"&lt;&gt;"),LOOKUP(2,1/((tbl_Finance[Job Number]&amp;""=C74&amp;"")*(tbl_Finance[Xero Invoice No]&lt;&gt;"")),tbl_Finance[Xero Invoice No]),LOOKUP(2,1/((tbl_Finance[Job Number]&amp;""=C74&amp;"")*(tbl_Finance[Xero Invoice No]&lt;&gt;"")),tbl_Finance[Xero Invoice No])&amp;" +more"),"")))</f>
        <v/>
      </c>
      <c r="C74" s="24" t="n"/>
      <c r="D74" s="25">
        <f>IF(C74="","",IF(COUNTIF(lst_Jobs,C74&amp;"")&gt;0,"OK","CHECK"))</f>
        <v/>
      </c>
      <c r="E74" s="25">
        <f>IF(C74="","",IFERROR(INDEX(lst_JobName,MATCH(C74&amp;"",lst_Jobs,0)),""))</f>
        <v/>
      </c>
      <c r="F74" s="25">
        <f>IF(C74="","",IFERROR(INDEX(tbl_Finance[Client],IFERROR(MATCH(C74&amp;"",tbl_Finance[Job Number],0),MATCH(IFERROR(C74+0,C74),tbl_Finance[Job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6" t="n"/>
      <c r="L74" s="27">
        <f>IF(C74="","",IF(K74="",0,MAX(0,K74-H74)))</f>
        <v/>
      </c>
      <c r="M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N74" s="24" t="n"/>
      <c r="O74" s="24" t="n"/>
      <c r="P74" s="25">
        <f>IF(O74="","",HYPERLINK(IF(LEFT(O74,4)="http",O74,set_QwilrBase&amp;O74),"Open quote"))</f>
        <v/>
      </c>
      <c r="Q74" s="71" t="n"/>
      <c r="R74" s="24" t="n"/>
      <c r="S74" s="24" t="n"/>
    </row>
    <row r="75" ht="15" customHeight="1">
      <c r="A75" s="70">
        <f>IF(C75="","",IFERROR(IF(SUMPRODUCT(MAX((tbl_Finance[Job Number]&amp;""=C75&amp;"")*(tbl_Finance[Xero Invoice No]&lt;&gt;"")*tbl_Finance[Date]))=0,"",SUMPRODUCT(MAX((tbl_Finance[Job Number]&amp;""=C75&amp;"")*(tbl_Finance[Xero Invoice No]&lt;&gt;"")*tbl_Finance[Date]))),""))</f>
        <v/>
      </c>
      <c r="B75" s="25">
        <f>IF(C75="","",IF(COUNTIFS(tbl_Finance[Job Number],C75&amp;"",tbl_Finance[Xero Invoice No],"&lt;&gt;")=0,"",IFERROR(IF(COUNTIFS(tbl_Finance[Job Number],C75&amp;"",tbl_Finance[Xero Invoice No],LOOKUP(2,1/((tbl_Finance[Job Number]&amp;""=C75&amp;"")*(tbl_Finance[Xero Invoice No]&lt;&gt;"")),tbl_Finance[Xero Invoice No]))=COUNTIFS(tbl_Finance[Job Number],C75&amp;"",tbl_Finance[Xero Invoice No],"&lt;&gt;"),LOOKUP(2,1/((tbl_Finance[Job Number]&amp;""=C75&amp;"")*(tbl_Finance[Xero Invoice No]&lt;&gt;"")),tbl_Finance[Xero Invoice No]),LOOKUP(2,1/((tbl_Finance[Job Number]&amp;""=C75&amp;"")*(tbl_Finance[Xero Invoice No]&lt;&gt;"")),tbl_Finance[Xero Invoice No])&amp;" +more"),"")))</f>
        <v/>
      </c>
      <c r="C75" s="24" t="n"/>
      <c r="D75" s="25">
        <f>IF(C75="","",IF(COUNTIF(lst_Jobs,C75&amp;"")&gt;0,"OK","CHECK"))</f>
        <v/>
      </c>
      <c r="E75" s="25">
        <f>IF(C75="","",IFERROR(INDEX(lst_JobName,MATCH(C75&amp;"",lst_Jobs,0)),""))</f>
        <v/>
      </c>
      <c r="F75" s="25">
        <f>IF(C75="","",IFERROR(INDEX(tbl_Finance[Client],IFERROR(MATCH(C75&amp;"",tbl_Finance[Job Number],0),MATCH(IFERROR(C75+0,C75),tbl_Finance[Job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6" t="n"/>
      <c r="L75" s="27">
        <f>IF(C75="","",IF(K75="",0,MAX(0,K75-H75)))</f>
        <v/>
      </c>
      <c r="M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N75" s="24" t="n"/>
      <c r="O75" s="24" t="n"/>
      <c r="P75" s="25">
        <f>IF(O75="","",HYPERLINK(IF(LEFT(O75,4)="http",O75,set_QwilrBase&amp;O75),"Open quote"))</f>
        <v/>
      </c>
      <c r="Q75" s="71" t="n"/>
      <c r="R75" s="24" t="n"/>
      <c r="S75" s="24" t="n"/>
    </row>
    <row r="76" ht="15" customHeight="1">
      <c r="A76" s="70">
        <f>IF(C76="","",IFERROR(IF(SUMPRODUCT(MAX((tbl_Finance[Job Number]&amp;""=C76&amp;"")*(tbl_Finance[Xero Invoice No]&lt;&gt;"")*tbl_Finance[Date]))=0,"",SUMPRODUCT(MAX((tbl_Finance[Job Number]&amp;""=C76&amp;"")*(tbl_Finance[Xero Invoice No]&lt;&gt;"")*tbl_Finance[Date]))),""))</f>
        <v/>
      </c>
      <c r="B76" s="25">
        <f>IF(C76="","",IF(COUNTIFS(tbl_Finance[Job Number],C76&amp;"",tbl_Finance[Xero Invoice No],"&lt;&gt;")=0,"",IFERROR(IF(COUNTIFS(tbl_Finance[Job Number],C76&amp;"",tbl_Finance[Xero Invoice No],LOOKUP(2,1/((tbl_Finance[Job Number]&amp;""=C76&amp;"")*(tbl_Finance[Xero Invoice No]&lt;&gt;"")),tbl_Finance[Xero Invoice No]))=COUNTIFS(tbl_Finance[Job Number],C76&amp;"",tbl_Finance[Xero Invoice No],"&lt;&gt;"),LOOKUP(2,1/((tbl_Finance[Job Number]&amp;""=C76&amp;"")*(tbl_Finance[Xero Invoice No]&lt;&gt;"")),tbl_Finance[Xero Invoice No]),LOOKUP(2,1/((tbl_Finance[Job Number]&amp;""=C76&amp;"")*(tbl_Finance[Xero Invoice No]&lt;&gt;"")),tbl_Finance[Xero Invoice No])&amp;" +more"),"")))</f>
        <v/>
      </c>
      <c r="C76" s="24" t="n"/>
      <c r="D76" s="25">
        <f>IF(C76="","",IF(COUNTIF(lst_Jobs,C76&amp;"")&gt;0,"OK","CHECK"))</f>
        <v/>
      </c>
      <c r="E76" s="25">
        <f>IF(C76="","",IFERROR(INDEX(lst_JobName,MATCH(C76&amp;"",lst_Jobs,0)),""))</f>
        <v/>
      </c>
      <c r="F76" s="25">
        <f>IF(C76="","",IFERROR(INDEX(tbl_Finance[Client],IFERROR(MATCH(C76&amp;"",tbl_Finance[Job Number],0),MATCH(IFERROR(C76+0,C76),tbl_Finance[Job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6" t="n"/>
      <c r="L76" s="27">
        <f>IF(C76="","",IF(K76="",0,MAX(0,K76-H76)))</f>
        <v/>
      </c>
      <c r="M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N76" s="24" t="n"/>
      <c r="O76" s="24" t="n"/>
      <c r="P76" s="25">
        <f>IF(O76="","",HYPERLINK(IF(LEFT(O76,4)="http",O76,set_QwilrBase&amp;O76),"Open quote"))</f>
        <v/>
      </c>
      <c r="Q76" s="71" t="n"/>
      <c r="R76" s="24" t="n"/>
      <c r="S76" s="24" t="n"/>
    </row>
    <row r="77" ht="15" customHeight="1">
      <c r="A77" s="70">
        <f>IF(C77="","",IFERROR(IF(SUMPRODUCT(MAX((tbl_Finance[Job Number]&amp;""=C77&amp;"")*(tbl_Finance[Xero Invoice No]&lt;&gt;"")*tbl_Finance[Date]))=0,"",SUMPRODUCT(MAX((tbl_Finance[Job Number]&amp;""=C77&amp;"")*(tbl_Finance[Xero Invoice No]&lt;&gt;"")*tbl_Finance[Date]))),""))</f>
        <v/>
      </c>
      <c r="B77" s="25">
        <f>IF(C77="","",IF(COUNTIFS(tbl_Finance[Job Number],C77&amp;"",tbl_Finance[Xero Invoice No],"&lt;&gt;")=0,"",IFERROR(IF(COUNTIFS(tbl_Finance[Job Number],C77&amp;"",tbl_Finance[Xero Invoice No],LOOKUP(2,1/((tbl_Finance[Job Number]&amp;""=C77&amp;"")*(tbl_Finance[Xero Invoice No]&lt;&gt;"")),tbl_Finance[Xero Invoice No]))=COUNTIFS(tbl_Finance[Job Number],C77&amp;"",tbl_Finance[Xero Invoice No],"&lt;&gt;"),LOOKUP(2,1/((tbl_Finance[Job Number]&amp;""=C77&amp;"")*(tbl_Finance[Xero Invoice No]&lt;&gt;"")),tbl_Finance[Xero Invoice No]),LOOKUP(2,1/((tbl_Finance[Job Number]&amp;""=C77&amp;"")*(tbl_Finance[Xero Invoice No]&lt;&gt;"")),tbl_Finance[Xero Invoice No])&amp;" +more"),"")))</f>
        <v/>
      </c>
      <c r="C77" s="24" t="n"/>
      <c r="D77" s="25">
        <f>IF(C77="","",IF(COUNTIF(lst_Jobs,C77&amp;"")&gt;0,"OK","CHECK"))</f>
        <v/>
      </c>
      <c r="E77" s="25">
        <f>IF(C77="","",IFERROR(INDEX(lst_JobName,MATCH(C77&amp;"",lst_Jobs,0)),""))</f>
        <v/>
      </c>
      <c r="F77" s="25">
        <f>IF(C77="","",IFERROR(INDEX(tbl_Finance[Client],IFERROR(MATCH(C77&amp;"",tbl_Finance[Job Number],0),MATCH(IFERROR(C77+0,C77),tbl_Finance[Job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6" t="n"/>
      <c r="L77" s="27">
        <f>IF(C77="","",IF(K77="",0,MAX(0,K77-H77)))</f>
        <v/>
      </c>
      <c r="M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N77" s="24" t="n"/>
      <c r="O77" s="24" t="n"/>
      <c r="P77" s="25">
        <f>IF(O77="","",HYPERLINK(IF(LEFT(O77,4)="http",O77,set_QwilrBase&amp;O77),"Open quote"))</f>
        <v/>
      </c>
      <c r="Q77" s="71" t="n"/>
      <c r="R77" s="24" t="n"/>
      <c r="S77" s="24" t="n"/>
    </row>
    <row r="78" ht="15" customHeight="1">
      <c r="A78" s="70">
        <f>IF(C78="","",IFERROR(IF(SUMPRODUCT(MAX((tbl_Finance[Job Number]&amp;""=C78&amp;"")*(tbl_Finance[Xero Invoice No]&lt;&gt;"")*tbl_Finance[Date]))=0,"",SUMPRODUCT(MAX((tbl_Finance[Job Number]&amp;""=C78&amp;"")*(tbl_Finance[Xero Invoice No]&lt;&gt;"")*tbl_Finance[Date]))),""))</f>
        <v/>
      </c>
      <c r="B78" s="25">
        <f>IF(C78="","",IF(COUNTIFS(tbl_Finance[Job Number],C78&amp;"",tbl_Finance[Xero Invoice No],"&lt;&gt;")=0,"",IFERROR(IF(COUNTIFS(tbl_Finance[Job Number],C78&amp;"",tbl_Finance[Xero Invoice No],LOOKUP(2,1/((tbl_Finance[Job Number]&amp;""=C78&amp;"")*(tbl_Finance[Xero Invoice No]&lt;&gt;"")),tbl_Finance[Xero Invoice No]))=COUNTIFS(tbl_Finance[Job Number],C78&amp;"",tbl_Finance[Xero Invoice No],"&lt;&gt;"),LOOKUP(2,1/((tbl_Finance[Job Number]&amp;""=C78&amp;"")*(tbl_Finance[Xero Invoice No]&lt;&gt;"")),tbl_Finance[Xero Invoice No]),LOOKUP(2,1/((tbl_Finance[Job Number]&amp;""=C78&amp;"")*(tbl_Finance[Xero Invoice No]&lt;&gt;"")),tbl_Finance[Xero Invoice No])&amp;" +more"),"")))</f>
        <v/>
      </c>
      <c r="C78" s="24" t="n"/>
      <c r="D78" s="25">
        <f>IF(C78="","",IF(COUNTIF(lst_Jobs,C78&amp;"")&gt;0,"OK","CHECK"))</f>
        <v/>
      </c>
      <c r="E78" s="25">
        <f>IF(C78="","",IFERROR(INDEX(lst_JobName,MATCH(C78&amp;"",lst_Jobs,0)),""))</f>
        <v/>
      </c>
      <c r="F78" s="25">
        <f>IF(C78="","",IFERROR(INDEX(tbl_Finance[Client],IFERROR(MATCH(C78&amp;"",tbl_Finance[Job Number],0),MATCH(IFERROR(C78+0,C78),tbl_Finance[Job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6" t="n"/>
      <c r="L78" s="27">
        <f>IF(C78="","",IF(K78="",0,MAX(0,K78-H78)))</f>
        <v/>
      </c>
      <c r="M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N78" s="24" t="n"/>
      <c r="O78" s="24" t="n"/>
      <c r="P78" s="25">
        <f>IF(O78="","",HYPERLINK(IF(LEFT(O78,4)="http",O78,set_QwilrBase&amp;O78),"Open quote"))</f>
        <v/>
      </c>
      <c r="Q78" s="71" t="n"/>
      <c r="R78" s="24" t="n"/>
      <c r="S78" s="24" t="n"/>
    </row>
    <row r="79" ht="15" customHeight="1">
      <c r="A79" s="70">
        <f>IF(C79="","",IFERROR(IF(SUMPRODUCT(MAX((tbl_Finance[Job Number]&amp;""=C79&amp;"")*(tbl_Finance[Xero Invoice No]&lt;&gt;"")*tbl_Finance[Date]))=0,"",SUMPRODUCT(MAX((tbl_Finance[Job Number]&amp;""=C79&amp;"")*(tbl_Finance[Xero Invoice No]&lt;&gt;"")*tbl_Finance[Date]))),""))</f>
        <v/>
      </c>
      <c r="B79" s="25">
        <f>IF(C79="","",IF(COUNTIFS(tbl_Finance[Job Number],C79&amp;"",tbl_Finance[Xero Invoice No],"&lt;&gt;")=0,"",IFERROR(IF(COUNTIFS(tbl_Finance[Job Number],C79&amp;"",tbl_Finance[Xero Invoice No],LOOKUP(2,1/((tbl_Finance[Job Number]&amp;""=C79&amp;"")*(tbl_Finance[Xero Invoice No]&lt;&gt;"")),tbl_Finance[Xero Invoice No]))=COUNTIFS(tbl_Finance[Job Number],C79&amp;"",tbl_Finance[Xero Invoice No],"&lt;&gt;"),LOOKUP(2,1/((tbl_Finance[Job Number]&amp;""=C79&amp;"")*(tbl_Finance[Xero Invoice No]&lt;&gt;"")),tbl_Finance[Xero Invoice No]),LOOKUP(2,1/((tbl_Finance[Job Number]&amp;""=C79&amp;"")*(tbl_Finance[Xero Invoice No]&lt;&gt;"")),tbl_Finance[Xero Invoice No])&amp;" +more"),"")))</f>
        <v/>
      </c>
      <c r="C79" s="24" t="n"/>
      <c r="D79" s="25">
        <f>IF(C79="","",IF(COUNTIF(lst_Jobs,C79&amp;"")&gt;0,"OK","CHECK"))</f>
        <v/>
      </c>
      <c r="E79" s="25">
        <f>IF(C79="","",IFERROR(INDEX(lst_JobName,MATCH(C79&amp;"",lst_Jobs,0)),""))</f>
        <v/>
      </c>
      <c r="F79" s="25">
        <f>IF(C79="","",IFERROR(INDEX(tbl_Finance[Client],IFERROR(MATCH(C79&amp;"",tbl_Finance[Job Number],0),MATCH(IFERROR(C79+0,C79),tbl_Finance[Job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6" t="n"/>
      <c r="L79" s="27">
        <f>IF(C79="","",IF(K79="",0,MAX(0,K79-H79)))</f>
        <v/>
      </c>
      <c r="M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N79" s="24" t="n"/>
      <c r="O79" s="24" t="n"/>
      <c r="P79" s="25">
        <f>IF(O79="","",HYPERLINK(IF(LEFT(O79,4)="http",O79,set_QwilrBase&amp;O79),"Open quote"))</f>
        <v/>
      </c>
      <c r="Q79" s="71" t="n"/>
      <c r="R79" s="24" t="n"/>
      <c r="S79" s="24" t="n"/>
    </row>
    <row r="80" ht="15" customHeight="1">
      <c r="A80" s="70">
        <f>IF(C80="","",IFERROR(IF(SUMPRODUCT(MAX((tbl_Finance[Job Number]&amp;""=C80&amp;"")*(tbl_Finance[Xero Invoice No]&lt;&gt;"")*tbl_Finance[Date]))=0,"",SUMPRODUCT(MAX((tbl_Finance[Job Number]&amp;""=C80&amp;"")*(tbl_Finance[Xero Invoice No]&lt;&gt;"")*tbl_Finance[Date]))),""))</f>
        <v/>
      </c>
      <c r="B80" s="25">
        <f>IF(C80="","",IF(COUNTIFS(tbl_Finance[Job Number],C80&amp;"",tbl_Finance[Xero Invoice No],"&lt;&gt;")=0,"",IFERROR(IF(COUNTIFS(tbl_Finance[Job Number],C80&amp;"",tbl_Finance[Xero Invoice No],LOOKUP(2,1/((tbl_Finance[Job Number]&amp;""=C80&amp;"")*(tbl_Finance[Xero Invoice No]&lt;&gt;"")),tbl_Finance[Xero Invoice No]))=COUNTIFS(tbl_Finance[Job Number],C80&amp;"",tbl_Finance[Xero Invoice No],"&lt;&gt;"),LOOKUP(2,1/((tbl_Finance[Job Number]&amp;""=C80&amp;"")*(tbl_Finance[Xero Invoice No]&lt;&gt;"")),tbl_Finance[Xero Invoice No]),LOOKUP(2,1/((tbl_Finance[Job Number]&amp;""=C80&amp;"")*(tbl_Finance[Xero Invoice No]&lt;&gt;"")),tbl_Finance[Xero Invoice No])&amp;" +more"),"")))</f>
        <v/>
      </c>
      <c r="C80" s="24" t="n"/>
      <c r="D80" s="25">
        <f>IF(C80="","",IF(COUNTIF(lst_Jobs,C80&amp;"")&gt;0,"OK","CHECK"))</f>
        <v/>
      </c>
      <c r="E80" s="25">
        <f>IF(C80="","",IFERROR(INDEX(lst_JobName,MATCH(C80&amp;"",lst_Jobs,0)),""))</f>
        <v/>
      </c>
      <c r="F80" s="25">
        <f>IF(C80="","",IFERROR(INDEX(tbl_Finance[Client],IFERROR(MATCH(C80&amp;"",tbl_Finance[Job Number],0),MATCH(IFERROR(C80+0,C80),tbl_Finance[Job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6" t="n"/>
      <c r="L80" s="27">
        <f>IF(C80="","",IF(K80="",0,MAX(0,K80-H80)))</f>
        <v/>
      </c>
      <c r="M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N80" s="24" t="n"/>
      <c r="O80" s="24" t="n"/>
      <c r="P80" s="25">
        <f>IF(O80="","",HYPERLINK(IF(LEFT(O80,4)="http",O80,set_QwilrBase&amp;O80),"Open quote"))</f>
        <v/>
      </c>
      <c r="Q80" s="71" t="n"/>
      <c r="R80" s="24" t="n"/>
      <c r="S80" s="24" t="n"/>
    </row>
    <row r="81" ht="15" customHeight="1">
      <c r="A81" s="70">
        <f>IF(C81="","",IFERROR(IF(SUMPRODUCT(MAX((tbl_Finance[Job Number]&amp;""=C81&amp;"")*(tbl_Finance[Xero Invoice No]&lt;&gt;"")*tbl_Finance[Date]))=0,"",SUMPRODUCT(MAX((tbl_Finance[Job Number]&amp;""=C81&amp;"")*(tbl_Finance[Xero Invoice No]&lt;&gt;"")*tbl_Finance[Date]))),""))</f>
        <v/>
      </c>
      <c r="B81" s="25">
        <f>IF(C81="","",IF(COUNTIFS(tbl_Finance[Job Number],C81&amp;"",tbl_Finance[Xero Invoice No],"&lt;&gt;")=0,"",IFERROR(IF(COUNTIFS(tbl_Finance[Job Number],C81&amp;"",tbl_Finance[Xero Invoice No],LOOKUP(2,1/((tbl_Finance[Job Number]&amp;""=C81&amp;"")*(tbl_Finance[Xero Invoice No]&lt;&gt;"")),tbl_Finance[Xero Invoice No]))=COUNTIFS(tbl_Finance[Job Number],C81&amp;"",tbl_Finance[Xero Invoice No],"&lt;&gt;"),LOOKUP(2,1/((tbl_Finance[Job Number]&amp;""=C81&amp;"")*(tbl_Finance[Xero Invoice No]&lt;&gt;"")),tbl_Finance[Xero Invoice No]),LOOKUP(2,1/((tbl_Finance[Job Number]&amp;""=C81&amp;"")*(tbl_Finance[Xero Invoice No]&lt;&gt;"")),tbl_Finance[Xero Invoice No])&amp;" +more"),"")))</f>
        <v/>
      </c>
      <c r="C81" s="24" t="n"/>
      <c r="D81" s="25">
        <f>IF(C81="","",IF(COUNTIF(lst_Jobs,C81&amp;"")&gt;0,"OK","CHECK"))</f>
        <v/>
      </c>
      <c r="E81" s="25">
        <f>IF(C81="","",IFERROR(INDEX(lst_JobName,MATCH(C81&amp;"",lst_Jobs,0)),""))</f>
        <v/>
      </c>
      <c r="F81" s="25">
        <f>IF(C81="","",IFERROR(INDEX(tbl_Finance[Client],IFERROR(MATCH(C81&amp;"",tbl_Finance[Job Number],0),MATCH(IFERROR(C81+0,C81),tbl_Finance[Job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6" t="n"/>
      <c r="L81" s="27">
        <f>IF(C81="","",IF(K81="",0,MAX(0,K81-H81)))</f>
        <v/>
      </c>
      <c r="M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N81" s="24" t="n"/>
      <c r="O81" s="24" t="n"/>
      <c r="P81" s="25">
        <f>IF(O81="","",HYPERLINK(IF(LEFT(O81,4)="http",O81,set_QwilrBase&amp;O81),"Open quote"))</f>
        <v/>
      </c>
      <c r="Q81" s="71" t="n"/>
      <c r="R81" s="24" t="n"/>
      <c r="S81" s="24" t="n"/>
    </row>
    <row r="82" ht="15" customHeight="1">
      <c r="A82" s="70">
        <f>IF(C82="","",IFERROR(IF(SUMPRODUCT(MAX((tbl_Finance[Job Number]&amp;""=C82&amp;"")*(tbl_Finance[Xero Invoice No]&lt;&gt;"")*tbl_Finance[Date]))=0,"",SUMPRODUCT(MAX((tbl_Finance[Job Number]&amp;""=C82&amp;"")*(tbl_Finance[Xero Invoice No]&lt;&gt;"")*tbl_Finance[Date]))),""))</f>
        <v/>
      </c>
      <c r="B82" s="25">
        <f>IF(C82="","",IF(COUNTIFS(tbl_Finance[Job Number],C82&amp;"",tbl_Finance[Xero Invoice No],"&lt;&gt;")=0,"",IFERROR(IF(COUNTIFS(tbl_Finance[Job Number],C82&amp;"",tbl_Finance[Xero Invoice No],LOOKUP(2,1/((tbl_Finance[Job Number]&amp;""=C82&amp;"")*(tbl_Finance[Xero Invoice No]&lt;&gt;"")),tbl_Finance[Xero Invoice No]))=COUNTIFS(tbl_Finance[Job Number],C82&amp;"",tbl_Finance[Xero Invoice No],"&lt;&gt;"),LOOKUP(2,1/((tbl_Finance[Job Number]&amp;""=C82&amp;"")*(tbl_Finance[Xero Invoice No]&lt;&gt;"")),tbl_Finance[Xero Invoice No]),LOOKUP(2,1/((tbl_Finance[Job Number]&amp;""=C82&amp;"")*(tbl_Finance[Xero Invoice No]&lt;&gt;"")),tbl_Finance[Xero Invoice No])&amp;" +more"),"")))</f>
        <v/>
      </c>
      <c r="C82" s="24" t="n"/>
      <c r="D82" s="25">
        <f>IF(C82="","",IF(COUNTIF(lst_Jobs,C82&amp;"")&gt;0,"OK","CHECK"))</f>
        <v/>
      </c>
      <c r="E82" s="25">
        <f>IF(C82="","",IFERROR(INDEX(lst_JobName,MATCH(C82&amp;"",lst_Jobs,0)),""))</f>
        <v/>
      </c>
      <c r="F82" s="25">
        <f>IF(C82="","",IFERROR(INDEX(tbl_Finance[Client],IFERROR(MATCH(C82&amp;"",tbl_Finance[Job Number],0),MATCH(IFERROR(C82+0,C82),tbl_Finance[Job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6" t="n"/>
      <c r="L82" s="27">
        <f>IF(C82="","",IF(K82="",0,MAX(0,K82-H82)))</f>
        <v/>
      </c>
      <c r="M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N82" s="24" t="n"/>
      <c r="O82" s="24" t="n"/>
      <c r="P82" s="25">
        <f>IF(O82="","",HYPERLINK(IF(LEFT(O82,4)="http",O82,set_QwilrBase&amp;O82),"Open quote"))</f>
        <v/>
      </c>
      <c r="Q82" s="71" t="n"/>
      <c r="R82" s="24" t="n"/>
      <c r="S82" s="24" t="n"/>
    </row>
    <row r="83" ht="15" customHeight="1">
      <c r="A83" s="70">
        <f>IF(C83="","",IFERROR(IF(SUMPRODUCT(MAX((tbl_Finance[Job Number]&amp;""=C83&amp;"")*(tbl_Finance[Xero Invoice No]&lt;&gt;"")*tbl_Finance[Date]))=0,"",SUMPRODUCT(MAX((tbl_Finance[Job Number]&amp;""=C83&amp;"")*(tbl_Finance[Xero Invoice No]&lt;&gt;"")*tbl_Finance[Date]))),""))</f>
        <v/>
      </c>
      <c r="B83" s="25">
        <f>IF(C83="","",IF(COUNTIFS(tbl_Finance[Job Number],C83&amp;"",tbl_Finance[Xero Invoice No],"&lt;&gt;")=0,"",IFERROR(IF(COUNTIFS(tbl_Finance[Job Number],C83&amp;"",tbl_Finance[Xero Invoice No],LOOKUP(2,1/((tbl_Finance[Job Number]&amp;""=C83&amp;"")*(tbl_Finance[Xero Invoice No]&lt;&gt;"")),tbl_Finance[Xero Invoice No]))=COUNTIFS(tbl_Finance[Job Number],C83&amp;"",tbl_Finance[Xero Invoice No],"&lt;&gt;"),LOOKUP(2,1/((tbl_Finance[Job Number]&amp;""=C83&amp;"")*(tbl_Finance[Xero Invoice No]&lt;&gt;"")),tbl_Finance[Xero Invoice No]),LOOKUP(2,1/((tbl_Finance[Job Number]&amp;""=C83&amp;"")*(tbl_Finance[Xero Invoice No]&lt;&gt;"")),tbl_Finance[Xero Invoice No])&amp;" +more"),"")))</f>
        <v/>
      </c>
      <c r="C83" s="24" t="n"/>
      <c r="D83" s="25">
        <f>IF(C83="","",IF(COUNTIF(lst_Jobs,C83&amp;"")&gt;0,"OK","CHECK"))</f>
        <v/>
      </c>
      <c r="E83" s="25">
        <f>IF(C83="","",IFERROR(INDEX(lst_JobName,MATCH(C83&amp;"",lst_Jobs,0)),""))</f>
        <v/>
      </c>
      <c r="F83" s="25">
        <f>IF(C83="","",IFERROR(INDEX(tbl_Finance[Client],IFERROR(MATCH(C83&amp;"",tbl_Finance[Job Number],0),MATCH(IFERROR(C83+0,C83),tbl_Finance[Job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6" t="n"/>
      <c r="L83" s="27">
        <f>IF(C83="","",IF(K83="",0,MAX(0,K83-H83)))</f>
        <v/>
      </c>
      <c r="M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N83" s="24" t="n"/>
      <c r="O83" s="24" t="n"/>
      <c r="P83" s="25">
        <f>IF(O83="","",HYPERLINK(IF(LEFT(O83,4)="http",O83,set_QwilrBase&amp;O83),"Open quote"))</f>
        <v/>
      </c>
      <c r="Q83" s="71" t="n"/>
      <c r="R83" s="24" t="n"/>
      <c r="S83" s="24" t="n"/>
    </row>
    <row r="84" ht="15" customHeight="1">
      <c r="A84" s="70">
        <f>IF(C84="","",IFERROR(IF(SUMPRODUCT(MAX((tbl_Finance[Job Number]&amp;""=C84&amp;"")*(tbl_Finance[Xero Invoice No]&lt;&gt;"")*tbl_Finance[Date]))=0,"",SUMPRODUCT(MAX((tbl_Finance[Job Number]&amp;""=C84&amp;"")*(tbl_Finance[Xero Invoice No]&lt;&gt;"")*tbl_Finance[Date]))),""))</f>
        <v/>
      </c>
      <c r="B84" s="25">
        <f>IF(C84="","",IF(COUNTIFS(tbl_Finance[Job Number],C84&amp;"",tbl_Finance[Xero Invoice No],"&lt;&gt;")=0,"",IFERROR(IF(COUNTIFS(tbl_Finance[Job Number],C84&amp;"",tbl_Finance[Xero Invoice No],LOOKUP(2,1/((tbl_Finance[Job Number]&amp;""=C84&amp;"")*(tbl_Finance[Xero Invoice No]&lt;&gt;"")),tbl_Finance[Xero Invoice No]))=COUNTIFS(tbl_Finance[Job Number],C84&amp;"",tbl_Finance[Xero Invoice No],"&lt;&gt;"),LOOKUP(2,1/((tbl_Finance[Job Number]&amp;""=C84&amp;"")*(tbl_Finance[Xero Invoice No]&lt;&gt;"")),tbl_Finance[Xero Invoice No]),LOOKUP(2,1/((tbl_Finance[Job Number]&amp;""=C84&amp;"")*(tbl_Finance[Xero Invoice No]&lt;&gt;"")),tbl_Finance[Xero Invoice No])&amp;" +more"),"")))</f>
        <v/>
      </c>
      <c r="C84" s="24" t="n"/>
      <c r="D84" s="25">
        <f>IF(C84="","",IF(COUNTIF(lst_Jobs,C84&amp;"")&gt;0,"OK","CHECK"))</f>
        <v/>
      </c>
      <c r="E84" s="25">
        <f>IF(C84="","",IFERROR(INDEX(lst_JobName,MATCH(C84&amp;"",lst_Jobs,0)),""))</f>
        <v/>
      </c>
      <c r="F84" s="25">
        <f>IF(C84="","",IFERROR(INDEX(tbl_Finance[Client],IFERROR(MATCH(C84&amp;"",tbl_Finance[Job Number],0),MATCH(IFERROR(C84+0,C84),tbl_Finance[Job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6" t="n"/>
      <c r="L84" s="27">
        <f>IF(C84="","",IF(K84="",0,MAX(0,K84-H84)))</f>
        <v/>
      </c>
      <c r="M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N84" s="24" t="n"/>
      <c r="O84" s="24" t="n"/>
      <c r="P84" s="25">
        <f>IF(O84="","",HYPERLINK(IF(LEFT(O84,4)="http",O84,set_QwilrBase&amp;O84),"Open quote"))</f>
        <v/>
      </c>
      <c r="Q84" s="71" t="n"/>
      <c r="R84" s="24" t="n"/>
      <c r="S84" s="24" t="n"/>
    </row>
    <row r="85" ht="15" customHeight="1">
      <c r="A85" s="70">
        <f>IF(C85="","",IFERROR(IF(SUMPRODUCT(MAX((tbl_Finance[Job Number]&amp;""=C85&amp;"")*(tbl_Finance[Xero Invoice No]&lt;&gt;"")*tbl_Finance[Date]))=0,"",SUMPRODUCT(MAX((tbl_Finance[Job Number]&amp;""=C85&amp;"")*(tbl_Finance[Xero Invoice No]&lt;&gt;"")*tbl_Finance[Date]))),""))</f>
        <v/>
      </c>
      <c r="B85" s="25">
        <f>IF(C85="","",IF(COUNTIFS(tbl_Finance[Job Number],C85&amp;"",tbl_Finance[Xero Invoice No],"&lt;&gt;")=0,"",IFERROR(IF(COUNTIFS(tbl_Finance[Job Number],C85&amp;"",tbl_Finance[Xero Invoice No],LOOKUP(2,1/((tbl_Finance[Job Number]&amp;""=C85&amp;"")*(tbl_Finance[Xero Invoice No]&lt;&gt;"")),tbl_Finance[Xero Invoice No]))=COUNTIFS(tbl_Finance[Job Number],C85&amp;"",tbl_Finance[Xero Invoice No],"&lt;&gt;"),LOOKUP(2,1/((tbl_Finance[Job Number]&amp;""=C85&amp;"")*(tbl_Finance[Xero Invoice No]&lt;&gt;"")),tbl_Finance[Xero Invoice No]),LOOKUP(2,1/((tbl_Finance[Job Number]&amp;""=C85&amp;"")*(tbl_Finance[Xero Invoice No]&lt;&gt;"")),tbl_Finance[Xero Invoice No])&amp;" +more"),"")))</f>
        <v/>
      </c>
      <c r="C85" s="24" t="n"/>
      <c r="D85" s="25">
        <f>IF(C85="","",IF(COUNTIF(lst_Jobs,C85&amp;"")&gt;0,"OK","CHECK"))</f>
        <v/>
      </c>
      <c r="E85" s="25">
        <f>IF(C85="","",IFERROR(INDEX(lst_JobName,MATCH(C85&amp;"",lst_Jobs,0)),""))</f>
        <v/>
      </c>
      <c r="F85" s="25">
        <f>IF(C85="","",IFERROR(INDEX(tbl_Finance[Client],IFERROR(MATCH(C85&amp;"",tbl_Finance[Job Number],0),MATCH(IFERROR(C85+0,C85),tbl_Finance[Job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6" t="n"/>
      <c r="L85" s="27">
        <f>IF(C85="","",IF(K85="",0,MAX(0,K85-H85)))</f>
        <v/>
      </c>
      <c r="M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N85" s="24" t="n"/>
      <c r="O85" s="24" t="n"/>
      <c r="P85" s="25">
        <f>IF(O85="","",HYPERLINK(IF(LEFT(O85,4)="http",O85,set_QwilrBase&amp;O85),"Open quote"))</f>
        <v/>
      </c>
      <c r="Q85" s="71" t="n"/>
      <c r="R85" s="24" t="n"/>
      <c r="S85" s="24" t="n"/>
    </row>
    <row r="86" ht="15" customHeight="1">
      <c r="A86" s="70">
        <f>IF(C86="","",IFERROR(IF(SUMPRODUCT(MAX((tbl_Finance[Job Number]&amp;""=C86&amp;"")*(tbl_Finance[Xero Invoice No]&lt;&gt;"")*tbl_Finance[Date]))=0,"",SUMPRODUCT(MAX((tbl_Finance[Job Number]&amp;""=C86&amp;"")*(tbl_Finance[Xero Invoice No]&lt;&gt;"")*tbl_Finance[Date]))),""))</f>
        <v/>
      </c>
      <c r="B86" s="25">
        <f>IF(C86="","",IF(COUNTIFS(tbl_Finance[Job Number],C86&amp;"",tbl_Finance[Xero Invoice No],"&lt;&gt;")=0,"",IFERROR(IF(COUNTIFS(tbl_Finance[Job Number],C86&amp;"",tbl_Finance[Xero Invoice No],LOOKUP(2,1/((tbl_Finance[Job Number]&amp;""=C86&amp;"")*(tbl_Finance[Xero Invoice No]&lt;&gt;"")),tbl_Finance[Xero Invoice No]))=COUNTIFS(tbl_Finance[Job Number],C86&amp;"",tbl_Finance[Xero Invoice No],"&lt;&gt;"),LOOKUP(2,1/((tbl_Finance[Job Number]&amp;""=C86&amp;"")*(tbl_Finance[Xero Invoice No]&lt;&gt;"")),tbl_Finance[Xero Invoice No]),LOOKUP(2,1/((tbl_Finance[Job Number]&amp;""=C86&amp;"")*(tbl_Finance[Xero Invoice No]&lt;&gt;"")),tbl_Finance[Xero Invoice No])&amp;" +more"),"")))</f>
        <v/>
      </c>
      <c r="C86" s="24" t="n"/>
      <c r="D86" s="25">
        <f>IF(C86="","",IF(COUNTIF(lst_Jobs,C86&amp;"")&gt;0,"OK","CHECK"))</f>
        <v/>
      </c>
      <c r="E86" s="25">
        <f>IF(C86="","",IFERROR(INDEX(lst_JobName,MATCH(C86&amp;"",lst_Jobs,0)),""))</f>
        <v/>
      </c>
      <c r="F86" s="25">
        <f>IF(C86="","",IFERROR(INDEX(tbl_Finance[Client],IFERROR(MATCH(C86&amp;"",tbl_Finance[Job Number],0),MATCH(IFERROR(C86+0,C86),tbl_Finance[Job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6" t="n"/>
      <c r="L86" s="27">
        <f>IF(C86="","",IF(K86="",0,MAX(0,K86-H86)))</f>
        <v/>
      </c>
      <c r="M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N86" s="24" t="n"/>
      <c r="O86" s="24" t="n"/>
      <c r="P86" s="25">
        <f>IF(O86="","",HYPERLINK(IF(LEFT(O86,4)="http",O86,set_QwilrBase&amp;O86),"Open quote"))</f>
        <v/>
      </c>
      <c r="Q86" s="71" t="n"/>
      <c r="R86" s="24" t="n"/>
      <c r="S86" s="24" t="n"/>
    </row>
    <row r="87" ht="15" customHeight="1">
      <c r="A87" s="70">
        <f>IF(C87="","",IFERROR(IF(SUMPRODUCT(MAX((tbl_Finance[Job Number]&amp;""=C87&amp;"")*(tbl_Finance[Xero Invoice No]&lt;&gt;"")*tbl_Finance[Date]))=0,"",SUMPRODUCT(MAX((tbl_Finance[Job Number]&amp;""=C87&amp;"")*(tbl_Finance[Xero Invoice No]&lt;&gt;"")*tbl_Finance[Date]))),""))</f>
        <v/>
      </c>
      <c r="B87" s="25">
        <f>IF(C87="","",IF(COUNTIFS(tbl_Finance[Job Number],C87&amp;"",tbl_Finance[Xero Invoice No],"&lt;&gt;")=0,"",IFERROR(IF(COUNTIFS(tbl_Finance[Job Number],C87&amp;"",tbl_Finance[Xero Invoice No],LOOKUP(2,1/((tbl_Finance[Job Number]&amp;""=C87&amp;"")*(tbl_Finance[Xero Invoice No]&lt;&gt;"")),tbl_Finance[Xero Invoice No]))=COUNTIFS(tbl_Finance[Job Number],C87&amp;"",tbl_Finance[Xero Invoice No],"&lt;&gt;"),LOOKUP(2,1/((tbl_Finance[Job Number]&amp;""=C87&amp;"")*(tbl_Finance[Xero Invoice No]&lt;&gt;"")),tbl_Finance[Xero Invoice No]),LOOKUP(2,1/((tbl_Finance[Job Number]&amp;""=C87&amp;"")*(tbl_Finance[Xero Invoice No]&lt;&gt;"")),tbl_Finance[Xero Invoice No])&amp;" +more"),"")))</f>
        <v/>
      </c>
      <c r="C87" s="24" t="n"/>
      <c r="D87" s="25">
        <f>IF(C87="","",IF(COUNTIF(lst_Jobs,C87&amp;"")&gt;0,"OK","CHECK"))</f>
        <v/>
      </c>
      <c r="E87" s="25">
        <f>IF(C87="","",IFERROR(INDEX(lst_JobName,MATCH(C87&amp;"",lst_Jobs,0)),""))</f>
        <v/>
      </c>
      <c r="F87" s="25">
        <f>IF(C87="","",IFERROR(INDEX(tbl_Finance[Client],IFERROR(MATCH(C87&amp;"",tbl_Finance[Job Number],0),MATCH(IFERROR(C87+0,C87),tbl_Finance[Job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6" t="n"/>
      <c r="L87" s="27">
        <f>IF(C87="","",IF(K87="",0,MAX(0,K87-H87)))</f>
        <v/>
      </c>
      <c r="M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N87" s="24" t="n"/>
      <c r="O87" s="24" t="n"/>
      <c r="P87" s="25">
        <f>IF(O87="","",HYPERLINK(IF(LEFT(O87,4)="http",O87,set_QwilrBase&amp;O87),"Open quote"))</f>
        <v/>
      </c>
      <c r="Q87" s="71" t="n"/>
      <c r="R87" s="24" t="n"/>
      <c r="S87" s="24" t="n"/>
    </row>
    <row r="88" ht="15" customHeight="1">
      <c r="A88" s="70">
        <f>IF(C88="","",IFERROR(IF(SUMPRODUCT(MAX((tbl_Finance[Job Number]&amp;""=C88&amp;"")*(tbl_Finance[Xero Invoice No]&lt;&gt;"")*tbl_Finance[Date]))=0,"",SUMPRODUCT(MAX((tbl_Finance[Job Number]&amp;""=C88&amp;"")*(tbl_Finance[Xero Invoice No]&lt;&gt;"")*tbl_Finance[Date]))),""))</f>
        <v/>
      </c>
      <c r="B88" s="25">
        <f>IF(C88="","",IF(COUNTIFS(tbl_Finance[Job Number],C88&amp;"",tbl_Finance[Xero Invoice No],"&lt;&gt;")=0,"",IFERROR(IF(COUNTIFS(tbl_Finance[Job Number],C88&amp;"",tbl_Finance[Xero Invoice No],LOOKUP(2,1/((tbl_Finance[Job Number]&amp;""=C88&amp;"")*(tbl_Finance[Xero Invoice No]&lt;&gt;"")),tbl_Finance[Xero Invoice No]))=COUNTIFS(tbl_Finance[Job Number],C88&amp;"",tbl_Finance[Xero Invoice No],"&lt;&gt;"),LOOKUP(2,1/((tbl_Finance[Job Number]&amp;""=C88&amp;"")*(tbl_Finance[Xero Invoice No]&lt;&gt;"")),tbl_Finance[Xero Invoice No]),LOOKUP(2,1/((tbl_Finance[Job Number]&amp;""=C88&amp;"")*(tbl_Finance[Xero Invoice No]&lt;&gt;"")),tbl_Finance[Xero Invoice No])&amp;" +more"),"")))</f>
        <v/>
      </c>
      <c r="C88" s="24" t="n"/>
      <c r="D88" s="25">
        <f>IF(C88="","",IF(COUNTIF(lst_Jobs,C88&amp;"")&gt;0,"OK","CHECK"))</f>
        <v/>
      </c>
      <c r="E88" s="25">
        <f>IF(C88="","",IFERROR(INDEX(lst_JobName,MATCH(C88&amp;"",lst_Jobs,0)),""))</f>
        <v/>
      </c>
      <c r="F88" s="25">
        <f>IF(C88="","",IFERROR(INDEX(tbl_Finance[Client],IFERROR(MATCH(C88&amp;"",tbl_Finance[Job Number],0),MATCH(IFERROR(C88+0,C88),tbl_Finance[Job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6" t="n"/>
      <c r="L88" s="27">
        <f>IF(C88="","",IF(K88="",0,MAX(0,K88-H88)))</f>
        <v/>
      </c>
      <c r="M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N88" s="24" t="n"/>
      <c r="O88" s="24" t="n"/>
      <c r="P88" s="25">
        <f>IF(O88="","",HYPERLINK(IF(LEFT(O88,4)="http",O88,set_QwilrBase&amp;O88),"Open quote"))</f>
        <v/>
      </c>
      <c r="Q88" s="71" t="n"/>
      <c r="R88" s="24" t="n"/>
      <c r="S88" s="24" t="n"/>
    </row>
    <row r="89" ht="15" customHeight="1">
      <c r="A89" s="70">
        <f>IF(C89="","",IFERROR(IF(SUMPRODUCT(MAX((tbl_Finance[Job Number]&amp;""=C89&amp;"")*(tbl_Finance[Xero Invoice No]&lt;&gt;"")*tbl_Finance[Date]))=0,"",SUMPRODUCT(MAX((tbl_Finance[Job Number]&amp;""=C89&amp;"")*(tbl_Finance[Xero Invoice No]&lt;&gt;"")*tbl_Finance[Date]))),""))</f>
        <v/>
      </c>
      <c r="B89" s="25">
        <f>IF(C89="","",IF(COUNTIFS(tbl_Finance[Job Number],C89&amp;"",tbl_Finance[Xero Invoice No],"&lt;&gt;")=0,"",IFERROR(IF(COUNTIFS(tbl_Finance[Job Number],C89&amp;"",tbl_Finance[Xero Invoice No],LOOKUP(2,1/((tbl_Finance[Job Number]&amp;""=C89&amp;"")*(tbl_Finance[Xero Invoice No]&lt;&gt;"")),tbl_Finance[Xero Invoice No]))=COUNTIFS(tbl_Finance[Job Number],C89&amp;"",tbl_Finance[Xero Invoice No],"&lt;&gt;"),LOOKUP(2,1/((tbl_Finance[Job Number]&amp;""=C89&amp;"")*(tbl_Finance[Xero Invoice No]&lt;&gt;"")),tbl_Finance[Xero Invoice No]),LOOKUP(2,1/((tbl_Finance[Job Number]&amp;""=C89&amp;"")*(tbl_Finance[Xero Invoice No]&lt;&gt;"")),tbl_Finance[Xero Invoice No])&amp;" +more"),"")))</f>
        <v/>
      </c>
      <c r="C89" s="24" t="n"/>
      <c r="D89" s="25">
        <f>IF(C89="","",IF(COUNTIF(lst_Jobs,C89&amp;"")&gt;0,"OK","CHECK"))</f>
        <v/>
      </c>
      <c r="E89" s="25">
        <f>IF(C89="","",IFERROR(INDEX(lst_JobName,MATCH(C89&amp;"",lst_Jobs,0)),""))</f>
        <v/>
      </c>
      <c r="F89" s="25">
        <f>IF(C89="","",IFERROR(INDEX(tbl_Finance[Client],IFERROR(MATCH(C89&amp;"",tbl_Finance[Job Number],0),MATCH(IFERROR(C89+0,C89),tbl_Finance[Job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6" t="n"/>
      <c r="L89" s="27">
        <f>IF(C89="","",IF(K89="",0,MAX(0,K89-H89)))</f>
        <v/>
      </c>
      <c r="M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N89" s="24" t="n"/>
      <c r="O89" s="24" t="n"/>
      <c r="P89" s="25">
        <f>IF(O89="","",HYPERLINK(IF(LEFT(O89,4)="http",O89,set_QwilrBase&amp;O89),"Open quote"))</f>
        <v/>
      </c>
      <c r="Q89" s="71" t="n"/>
      <c r="R89" s="24" t="n"/>
      <c r="S89" s="24" t="n"/>
    </row>
    <row r="90" ht="15" customHeight="1">
      <c r="A90" s="70">
        <f>IF(C90="","",IFERROR(IF(SUMPRODUCT(MAX((tbl_Finance[Job Number]&amp;""=C90&amp;"")*(tbl_Finance[Xero Invoice No]&lt;&gt;"")*tbl_Finance[Date]))=0,"",SUMPRODUCT(MAX((tbl_Finance[Job Number]&amp;""=C90&amp;"")*(tbl_Finance[Xero Invoice No]&lt;&gt;"")*tbl_Finance[Date]))),""))</f>
        <v/>
      </c>
      <c r="B90" s="25">
        <f>IF(C90="","",IF(COUNTIFS(tbl_Finance[Job Number],C90&amp;"",tbl_Finance[Xero Invoice No],"&lt;&gt;")=0,"",IFERROR(IF(COUNTIFS(tbl_Finance[Job Number],C90&amp;"",tbl_Finance[Xero Invoice No],LOOKUP(2,1/((tbl_Finance[Job Number]&amp;""=C90&amp;"")*(tbl_Finance[Xero Invoice No]&lt;&gt;"")),tbl_Finance[Xero Invoice No]))=COUNTIFS(tbl_Finance[Job Number],C90&amp;"",tbl_Finance[Xero Invoice No],"&lt;&gt;"),LOOKUP(2,1/((tbl_Finance[Job Number]&amp;""=C90&amp;"")*(tbl_Finance[Xero Invoice No]&lt;&gt;"")),tbl_Finance[Xero Invoice No]),LOOKUP(2,1/((tbl_Finance[Job Number]&amp;""=C90&amp;"")*(tbl_Finance[Xero Invoice No]&lt;&gt;"")),tbl_Finance[Xero Invoice No])&amp;" +more"),"")))</f>
        <v/>
      </c>
      <c r="C90" s="24" t="n"/>
      <c r="D90" s="25">
        <f>IF(C90="","",IF(COUNTIF(lst_Jobs,C90&amp;"")&gt;0,"OK","CHECK"))</f>
        <v/>
      </c>
      <c r="E90" s="25">
        <f>IF(C90="","",IFERROR(INDEX(lst_JobName,MATCH(C90&amp;"",lst_Jobs,0)),""))</f>
        <v/>
      </c>
      <c r="F90" s="25">
        <f>IF(C90="","",IFERROR(INDEX(tbl_Finance[Client],IFERROR(MATCH(C90&amp;"",tbl_Finance[Job Number],0),MATCH(IFERROR(C90+0,C90),tbl_Finance[Job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6" t="n"/>
      <c r="L90" s="27">
        <f>IF(C90="","",IF(K90="",0,MAX(0,K90-H90)))</f>
        <v/>
      </c>
      <c r="M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N90" s="24" t="n"/>
      <c r="O90" s="24" t="n"/>
      <c r="P90" s="25">
        <f>IF(O90="","",HYPERLINK(IF(LEFT(O90,4)="http",O90,set_QwilrBase&amp;O90),"Open quote"))</f>
        <v/>
      </c>
      <c r="Q90" s="71" t="n"/>
      <c r="R90" s="24" t="n"/>
      <c r="S90" s="24" t="n"/>
    </row>
    <row r="91" ht="15" customHeight="1">
      <c r="A91" s="70">
        <f>IF(C91="","",IFERROR(IF(SUMPRODUCT(MAX((tbl_Finance[Job Number]&amp;""=C91&amp;"")*(tbl_Finance[Xero Invoice No]&lt;&gt;"")*tbl_Finance[Date]))=0,"",SUMPRODUCT(MAX((tbl_Finance[Job Number]&amp;""=C91&amp;"")*(tbl_Finance[Xero Invoice No]&lt;&gt;"")*tbl_Finance[Date]))),""))</f>
        <v/>
      </c>
      <c r="B91" s="25">
        <f>IF(C91="","",IF(COUNTIFS(tbl_Finance[Job Number],C91&amp;"",tbl_Finance[Xero Invoice No],"&lt;&gt;")=0,"",IFERROR(IF(COUNTIFS(tbl_Finance[Job Number],C91&amp;"",tbl_Finance[Xero Invoice No],LOOKUP(2,1/((tbl_Finance[Job Number]&amp;""=C91&amp;"")*(tbl_Finance[Xero Invoice No]&lt;&gt;"")),tbl_Finance[Xero Invoice No]))=COUNTIFS(tbl_Finance[Job Number],C91&amp;"",tbl_Finance[Xero Invoice No],"&lt;&gt;"),LOOKUP(2,1/((tbl_Finance[Job Number]&amp;""=C91&amp;"")*(tbl_Finance[Xero Invoice No]&lt;&gt;"")),tbl_Finance[Xero Invoice No]),LOOKUP(2,1/((tbl_Finance[Job Number]&amp;""=C91&amp;"")*(tbl_Finance[Xero Invoice No]&lt;&gt;"")),tbl_Finance[Xero Invoice No])&amp;" +more"),"")))</f>
        <v/>
      </c>
      <c r="C91" s="24" t="n"/>
      <c r="D91" s="25">
        <f>IF(C91="","",IF(COUNTIF(lst_Jobs,C91&amp;"")&gt;0,"OK","CHECK"))</f>
        <v/>
      </c>
      <c r="E91" s="25">
        <f>IF(C91="","",IFERROR(INDEX(lst_JobName,MATCH(C91&amp;"",lst_Jobs,0)),""))</f>
        <v/>
      </c>
      <c r="F91" s="25">
        <f>IF(C91="","",IFERROR(INDEX(tbl_Finance[Client],IFERROR(MATCH(C91&amp;"",tbl_Finance[Job Number],0),MATCH(IFERROR(C91+0,C91),tbl_Finance[Job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6" t="n"/>
      <c r="L91" s="27">
        <f>IF(C91="","",IF(K91="",0,MAX(0,K91-H91)))</f>
        <v/>
      </c>
      <c r="M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N91" s="24" t="n"/>
      <c r="O91" s="24" t="n"/>
      <c r="P91" s="25">
        <f>IF(O91="","",HYPERLINK(IF(LEFT(O91,4)="http",O91,set_QwilrBase&amp;O91),"Open quote"))</f>
        <v/>
      </c>
      <c r="Q91" s="71" t="n"/>
      <c r="R91" s="24" t="n"/>
      <c r="S91" s="24" t="n"/>
    </row>
    <row r="92" ht="15" customHeight="1">
      <c r="A92" s="70">
        <f>IF(C92="","",IFERROR(IF(SUMPRODUCT(MAX((tbl_Finance[Job Number]&amp;""=C92&amp;"")*(tbl_Finance[Xero Invoice No]&lt;&gt;"")*tbl_Finance[Date]))=0,"",SUMPRODUCT(MAX((tbl_Finance[Job Number]&amp;""=C92&amp;"")*(tbl_Finance[Xero Invoice No]&lt;&gt;"")*tbl_Finance[Date]))),""))</f>
        <v/>
      </c>
      <c r="B92" s="25">
        <f>IF(C92="","",IF(COUNTIFS(tbl_Finance[Job Number],C92&amp;"",tbl_Finance[Xero Invoice No],"&lt;&gt;")=0,"",IFERROR(IF(COUNTIFS(tbl_Finance[Job Number],C92&amp;"",tbl_Finance[Xero Invoice No],LOOKUP(2,1/((tbl_Finance[Job Number]&amp;""=C92&amp;"")*(tbl_Finance[Xero Invoice No]&lt;&gt;"")),tbl_Finance[Xero Invoice No]))=COUNTIFS(tbl_Finance[Job Number],C92&amp;"",tbl_Finance[Xero Invoice No],"&lt;&gt;"),LOOKUP(2,1/((tbl_Finance[Job Number]&amp;""=C92&amp;"")*(tbl_Finance[Xero Invoice No]&lt;&gt;"")),tbl_Finance[Xero Invoice No]),LOOKUP(2,1/((tbl_Finance[Job Number]&amp;""=C92&amp;"")*(tbl_Finance[Xero Invoice No]&lt;&gt;"")),tbl_Finance[Xero Invoice No])&amp;" +more"),"")))</f>
        <v/>
      </c>
      <c r="C92" s="24" t="n"/>
      <c r="D92" s="25">
        <f>IF(C92="","",IF(COUNTIF(lst_Jobs,C92&amp;"")&gt;0,"OK","CHECK"))</f>
        <v/>
      </c>
      <c r="E92" s="25">
        <f>IF(C92="","",IFERROR(INDEX(lst_JobName,MATCH(C92&amp;"",lst_Jobs,0)),""))</f>
        <v/>
      </c>
      <c r="F92" s="25">
        <f>IF(C92="","",IFERROR(INDEX(tbl_Finance[Client],IFERROR(MATCH(C92&amp;"",tbl_Finance[Job Number],0),MATCH(IFERROR(C92+0,C92),tbl_Finance[Job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6" t="n"/>
      <c r="L92" s="27">
        <f>IF(C92="","",IF(K92="",0,MAX(0,K92-H92)))</f>
        <v/>
      </c>
      <c r="M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N92" s="24" t="n"/>
      <c r="O92" s="24" t="n"/>
      <c r="P92" s="25">
        <f>IF(O92="","",HYPERLINK(IF(LEFT(O92,4)="http",O92,set_QwilrBase&amp;O92),"Open quote"))</f>
        <v/>
      </c>
      <c r="Q92" s="71" t="n"/>
      <c r="R92" s="24" t="n"/>
      <c r="S92" s="24" t="n"/>
    </row>
    <row r="93" ht="15" customHeight="1">
      <c r="A93" s="70">
        <f>IF(C93="","",IFERROR(IF(SUMPRODUCT(MAX((tbl_Finance[Job Number]&amp;""=C93&amp;"")*(tbl_Finance[Xero Invoice No]&lt;&gt;"")*tbl_Finance[Date]))=0,"",SUMPRODUCT(MAX((tbl_Finance[Job Number]&amp;""=C93&amp;"")*(tbl_Finance[Xero Invoice No]&lt;&gt;"")*tbl_Finance[Date]))),""))</f>
        <v/>
      </c>
      <c r="B93" s="25">
        <f>IF(C93="","",IF(COUNTIFS(tbl_Finance[Job Number],C93&amp;"",tbl_Finance[Xero Invoice No],"&lt;&gt;")=0,"",IFERROR(IF(COUNTIFS(tbl_Finance[Job Number],C93&amp;"",tbl_Finance[Xero Invoice No],LOOKUP(2,1/((tbl_Finance[Job Number]&amp;""=C93&amp;"")*(tbl_Finance[Xero Invoice No]&lt;&gt;"")),tbl_Finance[Xero Invoice No]))=COUNTIFS(tbl_Finance[Job Number],C93&amp;"",tbl_Finance[Xero Invoice No],"&lt;&gt;"),LOOKUP(2,1/((tbl_Finance[Job Number]&amp;""=C93&amp;"")*(tbl_Finance[Xero Invoice No]&lt;&gt;"")),tbl_Finance[Xero Invoice No]),LOOKUP(2,1/((tbl_Finance[Job Number]&amp;""=C93&amp;"")*(tbl_Finance[Xero Invoice No]&lt;&gt;"")),tbl_Finance[Xero Invoice No])&amp;" +more"),"")))</f>
        <v/>
      </c>
      <c r="C93" s="24" t="n"/>
      <c r="D93" s="25">
        <f>IF(C93="","",IF(COUNTIF(lst_Jobs,C93&amp;"")&gt;0,"OK","CHECK"))</f>
        <v/>
      </c>
      <c r="E93" s="25">
        <f>IF(C93="","",IFERROR(INDEX(lst_JobName,MATCH(C93&amp;"",lst_Jobs,0)),""))</f>
        <v/>
      </c>
      <c r="F93" s="25">
        <f>IF(C93="","",IFERROR(INDEX(tbl_Finance[Client],IFERROR(MATCH(C93&amp;"",tbl_Finance[Job Number],0),MATCH(IFERROR(C93+0,C93),tbl_Finance[Job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6" t="n"/>
      <c r="L93" s="27">
        <f>IF(C93="","",IF(K93="",0,MAX(0,K93-H93)))</f>
        <v/>
      </c>
      <c r="M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N93" s="24" t="n"/>
      <c r="O93" s="24" t="n"/>
      <c r="P93" s="25">
        <f>IF(O93="","",HYPERLINK(IF(LEFT(O93,4)="http",O93,set_QwilrBase&amp;O93),"Open quote"))</f>
        <v/>
      </c>
      <c r="Q93" s="71" t="n"/>
      <c r="R93" s="24" t="n"/>
      <c r="S93" s="24" t="n"/>
    </row>
    <row r="94" ht="15" customHeight="1">
      <c r="A94" s="70">
        <f>IF(C94="","",IFERROR(IF(SUMPRODUCT(MAX((tbl_Finance[Job Number]&amp;""=C94&amp;"")*(tbl_Finance[Xero Invoice No]&lt;&gt;"")*tbl_Finance[Date]))=0,"",SUMPRODUCT(MAX((tbl_Finance[Job Number]&amp;""=C94&amp;"")*(tbl_Finance[Xero Invoice No]&lt;&gt;"")*tbl_Finance[Date]))),""))</f>
        <v/>
      </c>
      <c r="B94" s="25">
        <f>IF(C94="","",IF(COUNTIFS(tbl_Finance[Job Number],C94&amp;"",tbl_Finance[Xero Invoice No],"&lt;&gt;")=0,"",IFERROR(IF(COUNTIFS(tbl_Finance[Job Number],C94&amp;"",tbl_Finance[Xero Invoice No],LOOKUP(2,1/((tbl_Finance[Job Number]&amp;""=C94&amp;"")*(tbl_Finance[Xero Invoice No]&lt;&gt;"")),tbl_Finance[Xero Invoice No]))=COUNTIFS(tbl_Finance[Job Number],C94&amp;"",tbl_Finance[Xero Invoice No],"&lt;&gt;"),LOOKUP(2,1/((tbl_Finance[Job Number]&amp;""=C94&amp;"")*(tbl_Finance[Xero Invoice No]&lt;&gt;"")),tbl_Finance[Xero Invoice No]),LOOKUP(2,1/((tbl_Finance[Job Number]&amp;""=C94&amp;"")*(tbl_Finance[Xero Invoice No]&lt;&gt;"")),tbl_Finance[Xero Invoice No])&amp;" +more"),"")))</f>
        <v/>
      </c>
      <c r="C94" s="24" t="n"/>
      <c r="D94" s="25">
        <f>IF(C94="","",IF(COUNTIF(lst_Jobs,C94&amp;"")&gt;0,"OK","CHECK"))</f>
        <v/>
      </c>
      <c r="E94" s="25">
        <f>IF(C94="","",IFERROR(INDEX(lst_JobName,MATCH(C94&amp;"",lst_Jobs,0)),""))</f>
        <v/>
      </c>
      <c r="F94" s="25">
        <f>IF(C94="","",IFERROR(INDEX(tbl_Finance[Client],IFERROR(MATCH(C94&amp;"",tbl_Finance[Job Number],0),MATCH(IFERROR(C94+0,C94),tbl_Finance[Job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6" t="n"/>
      <c r="L94" s="27">
        <f>IF(C94="","",IF(K94="",0,MAX(0,K94-H94)))</f>
        <v/>
      </c>
      <c r="M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N94" s="24" t="n"/>
      <c r="O94" s="24" t="n"/>
      <c r="P94" s="25">
        <f>IF(O94="","",HYPERLINK(IF(LEFT(O94,4)="http",O94,set_QwilrBase&amp;O94),"Open quote"))</f>
        <v/>
      </c>
      <c r="Q94" s="71" t="n"/>
      <c r="R94" s="24" t="n"/>
      <c r="S94" s="24" t="n"/>
    </row>
    <row r="95" ht="15" customHeight="1">
      <c r="A95" s="70">
        <f>IF(C95="","",IFERROR(IF(SUMPRODUCT(MAX((tbl_Finance[Job Number]&amp;""=C95&amp;"")*(tbl_Finance[Xero Invoice No]&lt;&gt;"")*tbl_Finance[Date]))=0,"",SUMPRODUCT(MAX((tbl_Finance[Job Number]&amp;""=C95&amp;"")*(tbl_Finance[Xero Invoice No]&lt;&gt;"")*tbl_Finance[Date]))),""))</f>
        <v/>
      </c>
      <c r="B95" s="25">
        <f>IF(C95="","",IF(COUNTIFS(tbl_Finance[Job Number],C95&amp;"",tbl_Finance[Xero Invoice No],"&lt;&gt;")=0,"",IFERROR(IF(COUNTIFS(tbl_Finance[Job Number],C95&amp;"",tbl_Finance[Xero Invoice No],LOOKUP(2,1/((tbl_Finance[Job Number]&amp;""=C95&amp;"")*(tbl_Finance[Xero Invoice No]&lt;&gt;"")),tbl_Finance[Xero Invoice No]))=COUNTIFS(tbl_Finance[Job Number],C95&amp;"",tbl_Finance[Xero Invoice No],"&lt;&gt;"),LOOKUP(2,1/((tbl_Finance[Job Number]&amp;""=C95&amp;"")*(tbl_Finance[Xero Invoice No]&lt;&gt;"")),tbl_Finance[Xero Invoice No]),LOOKUP(2,1/((tbl_Finance[Job Number]&amp;""=C95&amp;"")*(tbl_Finance[Xero Invoice No]&lt;&gt;"")),tbl_Finance[Xero Invoice No])&amp;" +more"),"")))</f>
        <v/>
      </c>
      <c r="C95" s="24" t="n"/>
      <c r="D95" s="25">
        <f>IF(C95="","",IF(COUNTIF(lst_Jobs,C95&amp;"")&gt;0,"OK","CHECK"))</f>
        <v/>
      </c>
      <c r="E95" s="25">
        <f>IF(C95="","",IFERROR(INDEX(lst_JobName,MATCH(C95&amp;"",lst_Jobs,0)),""))</f>
        <v/>
      </c>
      <c r="F95" s="25">
        <f>IF(C95="","",IFERROR(INDEX(tbl_Finance[Client],IFERROR(MATCH(C95&amp;"",tbl_Finance[Job Number],0),MATCH(IFERROR(C95+0,C95),tbl_Finance[Job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6" t="n"/>
      <c r="L95" s="27">
        <f>IF(C95="","",IF(K95="",0,MAX(0,K95-H95)))</f>
        <v/>
      </c>
      <c r="M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N95" s="24" t="n"/>
      <c r="O95" s="24" t="n"/>
      <c r="P95" s="25">
        <f>IF(O95="","",HYPERLINK(IF(LEFT(O95,4)="http",O95,set_QwilrBase&amp;O95),"Open quote"))</f>
        <v/>
      </c>
      <c r="Q95" s="71" t="n"/>
      <c r="R95" s="24" t="n"/>
      <c r="S95" s="24" t="n"/>
    </row>
    <row r="96" ht="15" customHeight="1">
      <c r="A96" s="70">
        <f>IF(C96="","",IFERROR(IF(SUMPRODUCT(MAX((tbl_Finance[Job Number]&amp;""=C96&amp;"")*(tbl_Finance[Xero Invoice No]&lt;&gt;"")*tbl_Finance[Date]))=0,"",SUMPRODUCT(MAX((tbl_Finance[Job Number]&amp;""=C96&amp;"")*(tbl_Finance[Xero Invoice No]&lt;&gt;"")*tbl_Finance[Date]))),""))</f>
        <v/>
      </c>
      <c r="B96" s="25">
        <f>IF(C96="","",IF(COUNTIFS(tbl_Finance[Job Number],C96&amp;"",tbl_Finance[Xero Invoice No],"&lt;&gt;")=0,"",IFERROR(IF(COUNTIFS(tbl_Finance[Job Number],C96&amp;"",tbl_Finance[Xero Invoice No],LOOKUP(2,1/((tbl_Finance[Job Number]&amp;""=C96&amp;"")*(tbl_Finance[Xero Invoice No]&lt;&gt;"")),tbl_Finance[Xero Invoice No]))=COUNTIFS(tbl_Finance[Job Number],C96&amp;"",tbl_Finance[Xero Invoice No],"&lt;&gt;"),LOOKUP(2,1/((tbl_Finance[Job Number]&amp;""=C96&amp;"")*(tbl_Finance[Xero Invoice No]&lt;&gt;"")),tbl_Finance[Xero Invoice No]),LOOKUP(2,1/((tbl_Finance[Job Number]&amp;""=C96&amp;"")*(tbl_Finance[Xero Invoice No]&lt;&gt;"")),tbl_Finance[Xero Invoice No])&amp;" +more"),"")))</f>
        <v/>
      </c>
      <c r="C96" s="24" t="n"/>
      <c r="D96" s="25">
        <f>IF(C96="","",IF(COUNTIF(lst_Jobs,C96&amp;"")&gt;0,"OK","CHECK"))</f>
        <v/>
      </c>
      <c r="E96" s="25">
        <f>IF(C96="","",IFERROR(INDEX(lst_JobName,MATCH(C96&amp;"",lst_Jobs,0)),""))</f>
        <v/>
      </c>
      <c r="F96" s="25">
        <f>IF(C96="","",IFERROR(INDEX(tbl_Finance[Client],IFERROR(MATCH(C96&amp;"",tbl_Finance[Job Number],0),MATCH(IFERROR(C96+0,C96),tbl_Finance[Job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6" t="n"/>
      <c r="L96" s="27">
        <f>IF(C96="","",IF(K96="",0,MAX(0,K96-H96)))</f>
        <v/>
      </c>
      <c r="M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N96" s="24" t="n"/>
      <c r="O96" s="24" t="n"/>
      <c r="P96" s="25">
        <f>IF(O96="","",HYPERLINK(IF(LEFT(O96,4)="http",O96,set_QwilrBase&amp;O96),"Open quote"))</f>
        <v/>
      </c>
      <c r="Q96" s="71" t="n"/>
      <c r="R96" s="24" t="n"/>
      <c r="S96" s="24" t="n"/>
    </row>
    <row r="97" ht="15" customHeight="1">
      <c r="A97" s="70">
        <f>IF(C97="","",IFERROR(IF(SUMPRODUCT(MAX((tbl_Finance[Job Number]&amp;""=C97&amp;"")*(tbl_Finance[Xero Invoice No]&lt;&gt;"")*tbl_Finance[Date]))=0,"",SUMPRODUCT(MAX((tbl_Finance[Job Number]&amp;""=C97&amp;"")*(tbl_Finance[Xero Invoice No]&lt;&gt;"")*tbl_Finance[Date]))),""))</f>
        <v/>
      </c>
      <c r="B97" s="25">
        <f>IF(C97="","",IF(COUNTIFS(tbl_Finance[Job Number],C97&amp;"",tbl_Finance[Xero Invoice No],"&lt;&gt;")=0,"",IFERROR(IF(COUNTIFS(tbl_Finance[Job Number],C97&amp;"",tbl_Finance[Xero Invoice No],LOOKUP(2,1/((tbl_Finance[Job Number]&amp;""=C97&amp;"")*(tbl_Finance[Xero Invoice No]&lt;&gt;"")),tbl_Finance[Xero Invoice No]))=COUNTIFS(tbl_Finance[Job Number],C97&amp;"",tbl_Finance[Xero Invoice No],"&lt;&gt;"),LOOKUP(2,1/((tbl_Finance[Job Number]&amp;""=C97&amp;"")*(tbl_Finance[Xero Invoice No]&lt;&gt;"")),tbl_Finance[Xero Invoice No]),LOOKUP(2,1/((tbl_Finance[Job Number]&amp;""=C97&amp;"")*(tbl_Finance[Xero Invoice No]&lt;&gt;"")),tbl_Finance[Xero Invoice No])&amp;" +more"),"")))</f>
        <v/>
      </c>
      <c r="C97" s="24" t="n"/>
      <c r="D97" s="25">
        <f>IF(C97="","",IF(COUNTIF(lst_Jobs,C97&amp;"")&gt;0,"OK","CHECK"))</f>
        <v/>
      </c>
      <c r="E97" s="25">
        <f>IF(C97="","",IFERROR(INDEX(lst_JobName,MATCH(C97&amp;"",lst_Jobs,0)),""))</f>
        <v/>
      </c>
      <c r="F97" s="25">
        <f>IF(C97="","",IFERROR(INDEX(tbl_Finance[Client],IFERROR(MATCH(C97&amp;"",tbl_Finance[Job Number],0),MATCH(IFERROR(C97+0,C97),tbl_Finance[Job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6" t="n"/>
      <c r="L97" s="27">
        <f>IF(C97="","",IF(K97="",0,MAX(0,K97-H97)))</f>
        <v/>
      </c>
      <c r="M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N97" s="24" t="n"/>
      <c r="O97" s="24" t="n"/>
      <c r="P97" s="25">
        <f>IF(O97="","",HYPERLINK(IF(LEFT(O97,4)="http",O97,set_QwilrBase&amp;O97),"Open quote"))</f>
        <v/>
      </c>
      <c r="Q97" s="71" t="n"/>
      <c r="R97" s="24" t="n"/>
      <c r="S97" s="24" t="n"/>
    </row>
    <row r="98" ht="15" customHeight="1">
      <c r="A98" s="70">
        <f>IF(C98="","",IFERROR(IF(SUMPRODUCT(MAX((tbl_Finance[Job Number]&amp;""=C98&amp;"")*(tbl_Finance[Xero Invoice No]&lt;&gt;"")*tbl_Finance[Date]))=0,"",SUMPRODUCT(MAX((tbl_Finance[Job Number]&amp;""=C98&amp;"")*(tbl_Finance[Xero Invoice No]&lt;&gt;"")*tbl_Finance[Date]))),""))</f>
        <v/>
      </c>
      <c r="B98" s="25">
        <f>IF(C98="","",IF(COUNTIFS(tbl_Finance[Job Number],C98&amp;"",tbl_Finance[Xero Invoice No],"&lt;&gt;")=0,"",IFERROR(IF(COUNTIFS(tbl_Finance[Job Number],C98&amp;"",tbl_Finance[Xero Invoice No],LOOKUP(2,1/((tbl_Finance[Job Number]&amp;""=C98&amp;"")*(tbl_Finance[Xero Invoice No]&lt;&gt;"")),tbl_Finance[Xero Invoice No]))=COUNTIFS(tbl_Finance[Job Number],C98&amp;"",tbl_Finance[Xero Invoice No],"&lt;&gt;"),LOOKUP(2,1/((tbl_Finance[Job Number]&amp;""=C98&amp;"")*(tbl_Finance[Xero Invoice No]&lt;&gt;"")),tbl_Finance[Xero Invoice No]),LOOKUP(2,1/((tbl_Finance[Job Number]&amp;""=C98&amp;"")*(tbl_Finance[Xero Invoice No]&lt;&gt;"")),tbl_Finance[Xero Invoice No])&amp;" +more"),"")))</f>
        <v/>
      </c>
      <c r="C98" s="24" t="n"/>
      <c r="D98" s="25">
        <f>IF(C98="","",IF(COUNTIF(lst_Jobs,C98&amp;"")&gt;0,"OK","CHECK"))</f>
        <v/>
      </c>
      <c r="E98" s="25">
        <f>IF(C98="","",IFERROR(INDEX(lst_JobName,MATCH(C98&amp;"",lst_Jobs,0)),""))</f>
        <v/>
      </c>
      <c r="F98" s="25">
        <f>IF(C98="","",IFERROR(INDEX(tbl_Finance[Client],IFERROR(MATCH(C98&amp;"",tbl_Finance[Job Number],0),MATCH(IFERROR(C98+0,C98),tbl_Finance[Job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6" t="n"/>
      <c r="L98" s="27">
        <f>IF(C98="","",IF(K98="",0,MAX(0,K98-H98)))</f>
        <v/>
      </c>
      <c r="M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N98" s="24" t="n"/>
      <c r="O98" s="24" t="n"/>
      <c r="P98" s="25">
        <f>IF(O98="","",HYPERLINK(IF(LEFT(O98,4)="http",O98,set_QwilrBase&amp;O98),"Open quote"))</f>
        <v/>
      </c>
      <c r="Q98" s="71" t="n"/>
      <c r="R98" s="24" t="n"/>
      <c r="S98" s="24" t="n"/>
    </row>
    <row r="99" ht="15" customHeight="1">
      <c r="A99" s="70">
        <f>IF(C99="","",IFERROR(IF(SUMPRODUCT(MAX((tbl_Finance[Job Number]&amp;""=C99&amp;"")*(tbl_Finance[Xero Invoice No]&lt;&gt;"")*tbl_Finance[Date]))=0,"",SUMPRODUCT(MAX((tbl_Finance[Job Number]&amp;""=C99&amp;"")*(tbl_Finance[Xero Invoice No]&lt;&gt;"")*tbl_Finance[Date]))),""))</f>
        <v/>
      </c>
      <c r="B99" s="25">
        <f>IF(C99="","",IF(COUNTIFS(tbl_Finance[Job Number],C99&amp;"",tbl_Finance[Xero Invoice No],"&lt;&gt;")=0,"",IFERROR(IF(COUNTIFS(tbl_Finance[Job Number],C99&amp;"",tbl_Finance[Xero Invoice No],LOOKUP(2,1/((tbl_Finance[Job Number]&amp;""=C99&amp;"")*(tbl_Finance[Xero Invoice No]&lt;&gt;"")),tbl_Finance[Xero Invoice No]))=COUNTIFS(tbl_Finance[Job Number],C99&amp;"",tbl_Finance[Xero Invoice No],"&lt;&gt;"),LOOKUP(2,1/((tbl_Finance[Job Number]&amp;""=C99&amp;"")*(tbl_Finance[Xero Invoice No]&lt;&gt;"")),tbl_Finance[Xero Invoice No]),LOOKUP(2,1/((tbl_Finance[Job Number]&amp;""=C99&amp;"")*(tbl_Finance[Xero Invoice No]&lt;&gt;"")),tbl_Finance[Xero Invoice No])&amp;" +more"),"")))</f>
        <v/>
      </c>
      <c r="C99" s="24" t="n"/>
      <c r="D99" s="25">
        <f>IF(C99="","",IF(COUNTIF(lst_Jobs,C99&amp;"")&gt;0,"OK","CHECK"))</f>
        <v/>
      </c>
      <c r="E99" s="25">
        <f>IF(C99="","",IFERROR(INDEX(lst_JobName,MATCH(C99&amp;"",lst_Jobs,0)),""))</f>
        <v/>
      </c>
      <c r="F99" s="25">
        <f>IF(C99="","",IFERROR(INDEX(tbl_Finance[Client],IFERROR(MATCH(C99&amp;"",tbl_Finance[Job Number],0),MATCH(IFERROR(C99+0,C99),tbl_Finance[Job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6" t="n"/>
      <c r="L99" s="27">
        <f>IF(C99="","",IF(K99="",0,MAX(0,K99-H99)))</f>
        <v/>
      </c>
      <c r="M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N99" s="24" t="n"/>
      <c r="O99" s="24" t="n"/>
      <c r="P99" s="25">
        <f>IF(O99="","",HYPERLINK(IF(LEFT(O99,4)="http",O99,set_QwilrBase&amp;O99),"Open quote"))</f>
        <v/>
      </c>
      <c r="Q99" s="71" t="n"/>
      <c r="R99" s="24" t="n"/>
      <c r="S99" s="24" t="n"/>
    </row>
    <row r="100" ht="15" customHeight="1">
      <c r="A100" s="70">
        <f>IF(C100="","",IFERROR(IF(SUMPRODUCT(MAX((tbl_Finance[Job Number]&amp;""=C100&amp;"")*(tbl_Finance[Xero Invoice No]&lt;&gt;"")*tbl_Finance[Date]))=0,"",SUMPRODUCT(MAX((tbl_Finance[Job Number]&amp;""=C100&amp;"")*(tbl_Finance[Xero Invoice No]&lt;&gt;"")*tbl_Finance[Date]))),""))</f>
        <v/>
      </c>
      <c r="B100" s="25">
        <f>IF(C100="","",IF(COUNTIFS(tbl_Finance[Job Number],C100&amp;"",tbl_Finance[Xero Invoice No],"&lt;&gt;")=0,"",IFERROR(IF(COUNTIFS(tbl_Finance[Job Number],C100&amp;"",tbl_Finance[Xero Invoice No],LOOKUP(2,1/((tbl_Finance[Job Number]&amp;""=C100&amp;"")*(tbl_Finance[Xero Invoice No]&lt;&gt;"")),tbl_Finance[Xero Invoice No]))=COUNTIFS(tbl_Finance[Job Number],C100&amp;"",tbl_Finance[Xero Invoice No],"&lt;&gt;"),LOOKUP(2,1/((tbl_Finance[Job Number]&amp;""=C100&amp;"")*(tbl_Finance[Xero Invoice No]&lt;&gt;"")),tbl_Finance[Xero Invoice No]),LOOKUP(2,1/((tbl_Finance[Job Number]&amp;""=C100&amp;"")*(tbl_Finance[Xero Invoice No]&lt;&gt;"")),tbl_Finance[Xero Invoice No])&amp;" +more"),"")))</f>
        <v/>
      </c>
      <c r="C100" s="24" t="n"/>
      <c r="D100" s="25">
        <f>IF(C100="","",IF(COUNTIF(lst_Jobs,C100&amp;"")&gt;0,"OK","CHECK"))</f>
        <v/>
      </c>
      <c r="E100" s="25">
        <f>IF(C100="","",IFERROR(INDEX(lst_JobName,MATCH(C100&amp;"",lst_Jobs,0)),""))</f>
        <v/>
      </c>
      <c r="F100" s="25">
        <f>IF(C100="","",IFERROR(INDEX(tbl_Finance[Client],IFERROR(MATCH(C100&amp;"",tbl_Finance[Job Number],0),MATCH(IFERROR(C100+0,C100),tbl_Finance[Job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6" t="n"/>
      <c r="L100" s="27">
        <f>IF(C100="","",IF(K100="",0,MAX(0,K100-H100)))</f>
        <v/>
      </c>
      <c r="M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N100" s="24" t="n"/>
      <c r="O100" s="24" t="n"/>
      <c r="P100" s="25">
        <f>IF(O100="","",HYPERLINK(IF(LEFT(O100,4)="http",O100,set_QwilrBase&amp;O100),"Open quote"))</f>
        <v/>
      </c>
      <c r="Q100" s="71" t="n"/>
      <c r="R100" s="24" t="n"/>
      <c r="S100" s="24" t="n"/>
    </row>
    <row r="101" ht="15" customHeight="1">
      <c r="A101" s="70">
        <f>IF(C101="","",IFERROR(IF(SUMPRODUCT(MAX((tbl_Finance[Job Number]&amp;""=C101&amp;"")*(tbl_Finance[Xero Invoice No]&lt;&gt;"")*tbl_Finance[Date]))=0,"",SUMPRODUCT(MAX((tbl_Finance[Job Number]&amp;""=C101&amp;"")*(tbl_Finance[Xero Invoice No]&lt;&gt;"")*tbl_Finance[Date]))),""))</f>
        <v/>
      </c>
      <c r="B101" s="25">
        <f>IF(C101="","",IF(COUNTIFS(tbl_Finance[Job Number],C101&amp;"",tbl_Finance[Xero Invoice No],"&lt;&gt;")=0,"",IFERROR(IF(COUNTIFS(tbl_Finance[Job Number],C101&amp;"",tbl_Finance[Xero Invoice No],LOOKUP(2,1/((tbl_Finance[Job Number]&amp;""=C101&amp;"")*(tbl_Finance[Xero Invoice No]&lt;&gt;"")),tbl_Finance[Xero Invoice No]))=COUNTIFS(tbl_Finance[Job Number],C101&amp;"",tbl_Finance[Xero Invoice No],"&lt;&gt;"),LOOKUP(2,1/((tbl_Finance[Job Number]&amp;""=C101&amp;"")*(tbl_Finance[Xero Invoice No]&lt;&gt;"")),tbl_Finance[Xero Invoice No]),LOOKUP(2,1/((tbl_Finance[Job Number]&amp;""=C101&amp;"")*(tbl_Finance[Xero Invoice No]&lt;&gt;"")),tbl_Finance[Xero Invoice No])&amp;" +more"),"")))</f>
        <v/>
      </c>
      <c r="C101" s="24" t="n"/>
      <c r="D101" s="25">
        <f>IF(C101="","",IF(COUNTIF(lst_Jobs,C101&amp;"")&gt;0,"OK","CHECK"))</f>
        <v/>
      </c>
      <c r="E101" s="25">
        <f>IF(C101="","",IFERROR(INDEX(lst_JobName,MATCH(C101&amp;"",lst_Jobs,0)),""))</f>
        <v/>
      </c>
      <c r="F101" s="25">
        <f>IF(C101="","",IFERROR(INDEX(tbl_Finance[Client],IFERROR(MATCH(C101&amp;"",tbl_Finance[Job Number],0),MATCH(IFERROR(C101+0,C101),tbl_Finance[Job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6" t="n"/>
      <c r="L101" s="27">
        <f>IF(C101="","",IF(K101="",0,MAX(0,K101-H101)))</f>
        <v/>
      </c>
      <c r="M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N101" s="24" t="n"/>
      <c r="O101" s="24" t="n"/>
      <c r="P101" s="25">
        <f>IF(O101="","",HYPERLINK(IF(LEFT(O101,4)="http",O101,set_QwilrBase&amp;O101),"Open quote"))</f>
        <v/>
      </c>
      <c r="Q101" s="71" t="n"/>
      <c r="R101" s="24" t="n"/>
      <c r="S101" s="24" t="n"/>
    </row>
    <row r="102" ht="15" customHeight="1">
      <c r="A102" s="70">
        <f>IF(C102="","",IFERROR(IF(SUMPRODUCT(MAX((tbl_Finance[Job Number]&amp;""=C102&amp;"")*(tbl_Finance[Xero Invoice No]&lt;&gt;"")*tbl_Finance[Date]))=0,"",SUMPRODUCT(MAX((tbl_Finance[Job Number]&amp;""=C102&amp;"")*(tbl_Finance[Xero Invoice No]&lt;&gt;"")*tbl_Finance[Date]))),""))</f>
        <v/>
      </c>
      <c r="B102" s="25">
        <f>IF(C102="","",IF(COUNTIFS(tbl_Finance[Job Number],C102&amp;"",tbl_Finance[Xero Invoice No],"&lt;&gt;")=0,"",IFERROR(IF(COUNTIFS(tbl_Finance[Job Number],C102&amp;"",tbl_Finance[Xero Invoice No],LOOKUP(2,1/((tbl_Finance[Job Number]&amp;""=C102&amp;"")*(tbl_Finance[Xero Invoice No]&lt;&gt;"")),tbl_Finance[Xero Invoice No]))=COUNTIFS(tbl_Finance[Job Number],C102&amp;"",tbl_Finance[Xero Invoice No],"&lt;&gt;"),LOOKUP(2,1/((tbl_Finance[Job Number]&amp;""=C102&amp;"")*(tbl_Finance[Xero Invoice No]&lt;&gt;"")),tbl_Finance[Xero Invoice No]),LOOKUP(2,1/((tbl_Finance[Job Number]&amp;""=C102&amp;"")*(tbl_Finance[Xero Invoice No]&lt;&gt;"")),tbl_Finance[Xero Invoice No])&amp;" +more"),"")))</f>
        <v/>
      </c>
      <c r="C102" s="24" t="n"/>
      <c r="D102" s="25">
        <f>IF(C102="","",IF(COUNTIF(lst_Jobs,C102&amp;"")&gt;0,"OK","CHECK"))</f>
        <v/>
      </c>
      <c r="E102" s="25">
        <f>IF(C102="","",IFERROR(INDEX(lst_JobName,MATCH(C102&amp;"",lst_Jobs,0)),""))</f>
        <v/>
      </c>
      <c r="F102" s="25">
        <f>IF(C102="","",IFERROR(INDEX(tbl_Finance[Client],IFERROR(MATCH(C102&amp;"",tbl_Finance[Job Number],0),MATCH(IFERROR(C102+0,C102),tbl_Finance[Job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6" t="n"/>
      <c r="L102" s="27">
        <f>IF(C102="","",IF(K102="",0,MAX(0,K102-H102)))</f>
        <v/>
      </c>
      <c r="M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N102" s="24" t="n"/>
      <c r="O102" s="24" t="n"/>
      <c r="P102" s="25">
        <f>IF(O102="","",HYPERLINK(IF(LEFT(O102,4)="http",O102,set_QwilrBase&amp;O102),"Open quote"))</f>
        <v/>
      </c>
      <c r="Q102" s="71" t="n"/>
      <c r="R102" s="24" t="n"/>
      <c r="S102" s="24" t="n"/>
    </row>
    <row r="103" ht="15" customHeight="1">
      <c r="A103" s="70">
        <f>IF(C103="","",IFERROR(IF(SUMPRODUCT(MAX((tbl_Finance[Job Number]&amp;""=C103&amp;"")*(tbl_Finance[Xero Invoice No]&lt;&gt;"")*tbl_Finance[Date]))=0,"",SUMPRODUCT(MAX((tbl_Finance[Job Number]&amp;""=C103&amp;"")*(tbl_Finance[Xero Invoice No]&lt;&gt;"")*tbl_Finance[Date]))),""))</f>
        <v/>
      </c>
      <c r="B103" s="25">
        <f>IF(C103="","",IF(COUNTIFS(tbl_Finance[Job Number],C103&amp;"",tbl_Finance[Xero Invoice No],"&lt;&gt;")=0,"",IFERROR(IF(COUNTIFS(tbl_Finance[Job Number],C103&amp;"",tbl_Finance[Xero Invoice No],LOOKUP(2,1/((tbl_Finance[Job Number]&amp;""=C103&amp;"")*(tbl_Finance[Xero Invoice No]&lt;&gt;"")),tbl_Finance[Xero Invoice No]))=COUNTIFS(tbl_Finance[Job Number],C103&amp;"",tbl_Finance[Xero Invoice No],"&lt;&gt;"),LOOKUP(2,1/((tbl_Finance[Job Number]&amp;""=C103&amp;"")*(tbl_Finance[Xero Invoice No]&lt;&gt;"")),tbl_Finance[Xero Invoice No]),LOOKUP(2,1/((tbl_Finance[Job Number]&amp;""=C103&amp;"")*(tbl_Finance[Xero Invoice No]&lt;&gt;"")),tbl_Finance[Xero Invoice No])&amp;" +more"),"")))</f>
        <v/>
      </c>
      <c r="C103" s="24" t="n"/>
      <c r="D103" s="25">
        <f>IF(C103="","",IF(COUNTIF(lst_Jobs,C103&amp;"")&gt;0,"OK","CHECK"))</f>
        <v/>
      </c>
      <c r="E103" s="25">
        <f>IF(C103="","",IFERROR(INDEX(lst_JobName,MATCH(C103&amp;"",lst_Jobs,0)),""))</f>
        <v/>
      </c>
      <c r="F103" s="25">
        <f>IF(C103="","",IFERROR(INDEX(tbl_Finance[Client],IFERROR(MATCH(C103&amp;"",tbl_Finance[Job Number],0),MATCH(IFERROR(C103+0,C103),tbl_Finance[Job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6" t="n"/>
      <c r="L103" s="27">
        <f>IF(C103="","",IF(K103="",0,MAX(0,K103-H103)))</f>
        <v/>
      </c>
      <c r="M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N103" s="24" t="n"/>
      <c r="O103" s="24" t="n"/>
      <c r="P103" s="25">
        <f>IF(O103="","",HYPERLINK(IF(LEFT(O103,4)="http",O103,set_QwilrBase&amp;O103),"Open quote"))</f>
        <v/>
      </c>
      <c r="Q103" s="71" t="n"/>
      <c r="R103" s="24" t="n"/>
      <c r="S103" s="24" t="n"/>
    </row>
    <row r="104" ht="15" customHeight="1">
      <c r="A104" s="70">
        <f>IF(C104="","",IFERROR(IF(SUMPRODUCT(MAX((tbl_Finance[Job Number]&amp;""=C104&amp;"")*(tbl_Finance[Xero Invoice No]&lt;&gt;"")*tbl_Finance[Date]))=0,"",SUMPRODUCT(MAX((tbl_Finance[Job Number]&amp;""=C104&amp;"")*(tbl_Finance[Xero Invoice No]&lt;&gt;"")*tbl_Finance[Date]))),""))</f>
        <v/>
      </c>
      <c r="B104" s="25">
        <f>IF(C104="","",IF(COUNTIFS(tbl_Finance[Job Number],C104&amp;"",tbl_Finance[Xero Invoice No],"&lt;&gt;")=0,"",IFERROR(IF(COUNTIFS(tbl_Finance[Job Number],C104&amp;"",tbl_Finance[Xero Invoice No],LOOKUP(2,1/((tbl_Finance[Job Number]&amp;""=C104&amp;"")*(tbl_Finance[Xero Invoice No]&lt;&gt;"")),tbl_Finance[Xero Invoice No]))=COUNTIFS(tbl_Finance[Job Number],C104&amp;"",tbl_Finance[Xero Invoice No],"&lt;&gt;"),LOOKUP(2,1/((tbl_Finance[Job Number]&amp;""=C104&amp;"")*(tbl_Finance[Xero Invoice No]&lt;&gt;"")),tbl_Finance[Xero Invoice No]),LOOKUP(2,1/((tbl_Finance[Job Number]&amp;""=C104&amp;"")*(tbl_Finance[Xero Invoice No]&lt;&gt;"")),tbl_Finance[Xero Invoice No])&amp;" +more"),"")))</f>
        <v/>
      </c>
      <c r="C104" s="24" t="n"/>
      <c r="D104" s="25">
        <f>IF(C104="","",IF(COUNTIF(lst_Jobs,C104&amp;"")&gt;0,"OK","CHECK"))</f>
        <v/>
      </c>
      <c r="E104" s="25">
        <f>IF(C104="","",IFERROR(INDEX(lst_JobName,MATCH(C104&amp;"",lst_Jobs,0)),""))</f>
        <v/>
      </c>
      <c r="F104" s="25">
        <f>IF(C104="","",IFERROR(INDEX(tbl_Finance[Client],IFERROR(MATCH(C104&amp;"",tbl_Finance[Job Number],0),MATCH(IFERROR(C104+0,C104),tbl_Finance[Job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6" t="n"/>
      <c r="L104" s="27">
        <f>IF(C104="","",IF(K104="",0,MAX(0,K104-H104)))</f>
        <v/>
      </c>
      <c r="M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N104" s="24" t="n"/>
      <c r="O104" s="24" t="n"/>
      <c r="P104" s="25">
        <f>IF(O104="","",HYPERLINK(IF(LEFT(O104,4)="http",O104,set_QwilrBase&amp;O104),"Open quote"))</f>
        <v/>
      </c>
      <c r="Q104" s="71" t="n"/>
      <c r="R104" s="24" t="n"/>
      <c r="S104" s="24" t="n"/>
    </row>
    <row r="105" ht="15" customHeight="1">
      <c r="A105" s="70">
        <f>IF(C105="","",IFERROR(IF(SUMPRODUCT(MAX((tbl_Finance[Job Number]&amp;""=C105&amp;"")*(tbl_Finance[Xero Invoice No]&lt;&gt;"")*tbl_Finance[Date]))=0,"",SUMPRODUCT(MAX((tbl_Finance[Job Number]&amp;""=C105&amp;"")*(tbl_Finance[Xero Invoice No]&lt;&gt;"")*tbl_Finance[Date]))),""))</f>
        <v/>
      </c>
      <c r="B105" s="25">
        <f>IF(C105="","",IF(COUNTIFS(tbl_Finance[Job Number],C105&amp;"",tbl_Finance[Xero Invoice No],"&lt;&gt;")=0,"",IFERROR(IF(COUNTIFS(tbl_Finance[Job Number],C105&amp;"",tbl_Finance[Xero Invoice No],LOOKUP(2,1/((tbl_Finance[Job Number]&amp;""=C105&amp;"")*(tbl_Finance[Xero Invoice No]&lt;&gt;"")),tbl_Finance[Xero Invoice No]))=COUNTIFS(tbl_Finance[Job Number],C105&amp;"",tbl_Finance[Xero Invoice No],"&lt;&gt;"),LOOKUP(2,1/((tbl_Finance[Job Number]&amp;""=C105&amp;"")*(tbl_Finance[Xero Invoice No]&lt;&gt;"")),tbl_Finance[Xero Invoice No]),LOOKUP(2,1/((tbl_Finance[Job Number]&amp;""=C105&amp;"")*(tbl_Finance[Xero Invoice No]&lt;&gt;"")),tbl_Finance[Xero Invoice No])&amp;" +more"),"")))</f>
        <v/>
      </c>
      <c r="C105" s="24" t="n"/>
      <c r="D105" s="25">
        <f>IF(C105="","",IF(COUNTIF(lst_Jobs,C105&amp;"")&gt;0,"OK","CHECK"))</f>
        <v/>
      </c>
      <c r="E105" s="25">
        <f>IF(C105="","",IFERROR(INDEX(lst_JobName,MATCH(C105&amp;"",lst_Jobs,0)),""))</f>
        <v/>
      </c>
      <c r="F105" s="25">
        <f>IF(C105="","",IFERROR(INDEX(tbl_Finance[Client],IFERROR(MATCH(C105&amp;"",tbl_Finance[Job Number],0),MATCH(IFERROR(C105+0,C105),tbl_Finance[Job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6" t="n"/>
      <c r="L105" s="27">
        <f>IF(C105="","",IF(K105="",0,MAX(0,K105-H105)))</f>
        <v/>
      </c>
      <c r="M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N105" s="24" t="n"/>
      <c r="O105" s="24" t="n"/>
      <c r="P105" s="25">
        <f>IF(O105="","",HYPERLINK(IF(LEFT(O105,4)="http",O105,set_QwilrBase&amp;O105),"Open quote"))</f>
        <v/>
      </c>
      <c r="Q105" s="71" t="n"/>
      <c r="R105" s="24" t="n"/>
      <c r="S105" s="24" t="n"/>
    </row>
    <row r="106" ht="15" customHeight="1">
      <c r="A106" s="70">
        <f>IF(C106="","",IFERROR(IF(SUMPRODUCT(MAX((tbl_Finance[Job Number]&amp;""=C106&amp;"")*(tbl_Finance[Xero Invoice No]&lt;&gt;"")*tbl_Finance[Date]))=0,"",SUMPRODUCT(MAX((tbl_Finance[Job Number]&amp;""=C106&amp;"")*(tbl_Finance[Xero Invoice No]&lt;&gt;"")*tbl_Finance[Date]))),""))</f>
        <v/>
      </c>
      <c r="B106" s="25">
        <f>IF(C106="","",IF(COUNTIFS(tbl_Finance[Job Number],C106&amp;"",tbl_Finance[Xero Invoice No],"&lt;&gt;")=0,"",IFERROR(IF(COUNTIFS(tbl_Finance[Job Number],C106&amp;"",tbl_Finance[Xero Invoice No],LOOKUP(2,1/((tbl_Finance[Job Number]&amp;""=C106&amp;"")*(tbl_Finance[Xero Invoice No]&lt;&gt;"")),tbl_Finance[Xero Invoice No]))=COUNTIFS(tbl_Finance[Job Number],C106&amp;"",tbl_Finance[Xero Invoice No],"&lt;&gt;"),LOOKUP(2,1/((tbl_Finance[Job Number]&amp;""=C106&amp;"")*(tbl_Finance[Xero Invoice No]&lt;&gt;"")),tbl_Finance[Xero Invoice No]),LOOKUP(2,1/((tbl_Finance[Job Number]&amp;""=C106&amp;"")*(tbl_Finance[Xero Invoice No]&lt;&gt;"")),tbl_Finance[Xero Invoice No])&amp;" +more"),"")))</f>
        <v/>
      </c>
      <c r="C106" s="24" t="n"/>
      <c r="D106" s="25">
        <f>IF(C106="","",IF(COUNTIF(lst_Jobs,C106&amp;"")&gt;0,"OK","CHECK"))</f>
        <v/>
      </c>
      <c r="E106" s="25">
        <f>IF(C106="","",IFERROR(INDEX(lst_JobName,MATCH(C106&amp;"",lst_Jobs,0)),""))</f>
        <v/>
      </c>
      <c r="F106" s="25">
        <f>IF(C106="","",IFERROR(INDEX(tbl_Finance[Client],IFERROR(MATCH(C106&amp;"",tbl_Finance[Job Number],0),MATCH(IFERROR(C106+0,C106),tbl_Finance[Job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6" t="n"/>
      <c r="L106" s="27">
        <f>IF(C106="","",IF(K106="",0,MAX(0,K106-H106)))</f>
        <v/>
      </c>
      <c r="M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N106" s="24" t="n"/>
      <c r="O106" s="24" t="n"/>
      <c r="P106" s="25">
        <f>IF(O106="","",HYPERLINK(IF(LEFT(O106,4)="http",O106,set_QwilrBase&amp;O106),"Open quote"))</f>
        <v/>
      </c>
      <c r="Q106" s="71" t="n"/>
      <c r="R106" s="24" t="n"/>
      <c r="S106" s="24" t="n"/>
    </row>
    <row r="107" ht="15" customHeight="1">
      <c r="A107" s="70">
        <f>IF(C107="","",IFERROR(IF(SUMPRODUCT(MAX((tbl_Finance[Job Number]&amp;""=C107&amp;"")*(tbl_Finance[Xero Invoice No]&lt;&gt;"")*tbl_Finance[Date]))=0,"",SUMPRODUCT(MAX((tbl_Finance[Job Number]&amp;""=C107&amp;"")*(tbl_Finance[Xero Invoice No]&lt;&gt;"")*tbl_Finance[Date]))),""))</f>
        <v/>
      </c>
      <c r="B107" s="25">
        <f>IF(C107="","",IF(COUNTIFS(tbl_Finance[Job Number],C107&amp;"",tbl_Finance[Xero Invoice No],"&lt;&gt;")=0,"",IFERROR(IF(COUNTIFS(tbl_Finance[Job Number],C107&amp;"",tbl_Finance[Xero Invoice No],LOOKUP(2,1/((tbl_Finance[Job Number]&amp;""=C107&amp;"")*(tbl_Finance[Xero Invoice No]&lt;&gt;"")),tbl_Finance[Xero Invoice No]))=COUNTIFS(tbl_Finance[Job Number],C107&amp;"",tbl_Finance[Xero Invoice No],"&lt;&gt;"),LOOKUP(2,1/((tbl_Finance[Job Number]&amp;""=C107&amp;"")*(tbl_Finance[Xero Invoice No]&lt;&gt;"")),tbl_Finance[Xero Invoice No]),LOOKUP(2,1/((tbl_Finance[Job Number]&amp;""=C107&amp;"")*(tbl_Finance[Xero Invoice No]&lt;&gt;"")),tbl_Finance[Xero Invoice No])&amp;" +more"),"")))</f>
        <v/>
      </c>
      <c r="C107" s="24" t="n"/>
      <c r="D107" s="25">
        <f>IF(C107="","",IF(COUNTIF(lst_Jobs,C107&amp;"")&gt;0,"OK","CHECK"))</f>
        <v/>
      </c>
      <c r="E107" s="25">
        <f>IF(C107="","",IFERROR(INDEX(lst_JobName,MATCH(C107&amp;"",lst_Jobs,0)),""))</f>
        <v/>
      </c>
      <c r="F107" s="25">
        <f>IF(C107="","",IFERROR(INDEX(tbl_Finance[Client],IFERROR(MATCH(C107&amp;"",tbl_Finance[Job Number],0),MATCH(IFERROR(C107+0,C107),tbl_Finance[Job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6" t="n"/>
      <c r="L107" s="27">
        <f>IF(C107="","",IF(K107="",0,MAX(0,K107-H107)))</f>
        <v/>
      </c>
      <c r="M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N107" s="24" t="n"/>
      <c r="O107" s="24" t="n"/>
      <c r="P107" s="25">
        <f>IF(O107="","",HYPERLINK(IF(LEFT(O107,4)="http",O107,set_QwilrBase&amp;O107),"Open quote"))</f>
        <v/>
      </c>
      <c r="Q107" s="71" t="n"/>
      <c r="R107" s="24" t="n"/>
      <c r="S107" s="24" t="n"/>
    </row>
    <row r="108" ht="15" customHeight="1">
      <c r="A108" s="70">
        <f>IF(C108="","",IFERROR(IF(SUMPRODUCT(MAX((tbl_Finance[Job Number]&amp;""=C108&amp;"")*(tbl_Finance[Xero Invoice No]&lt;&gt;"")*tbl_Finance[Date]))=0,"",SUMPRODUCT(MAX((tbl_Finance[Job Number]&amp;""=C108&amp;"")*(tbl_Finance[Xero Invoice No]&lt;&gt;"")*tbl_Finance[Date]))),""))</f>
        <v/>
      </c>
      <c r="B108" s="25">
        <f>IF(C108="","",IF(COUNTIFS(tbl_Finance[Job Number],C108&amp;"",tbl_Finance[Xero Invoice No],"&lt;&gt;")=0,"",IFERROR(IF(COUNTIFS(tbl_Finance[Job Number],C108&amp;"",tbl_Finance[Xero Invoice No],LOOKUP(2,1/((tbl_Finance[Job Number]&amp;""=C108&amp;"")*(tbl_Finance[Xero Invoice No]&lt;&gt;"")),tbl_Finance[Xero Invoice No]))=COUNTIFS(tbl_Finance[Job Number],C108&amp;"",tbl_Finance[Xero Invoice No],"&lt;&gt;"),LOOKUP(2,1/((tbl_Finance[Job Number]&amp;""=C108&amp;"")*(tbl_Finance[Xero Invoice No]&lt;&gt;"")),tbl_Finance[Xero Invoice No]),LOOKUP(2,1/((tbl_Finance[Job Number]&amp;""=C108&amp;"")*(tbl_Finance[Xero Invoice No]&lt;&gt;"")),tbl_Finance[Xero Invoice No])&amp;" +more"),"")))</f>
        <v/>
      </c>
      <c r="C108" s="24" t="n"/>
      <c r="D108" s="25">
        <f>IF(C108="","",IF(COUNTIF(lst_Jobs,C108&amp;"")&gt;0,"OK","CHECK"))</f>
        <v/>
      </c>
      <c r="E108" s="25">
        <f>IF(C108="","",IFERROR(INDEX(lst_JobName,MATCH(C108&amp;"",lst_Jobs,0)),""))</f>
        <v/>
      </c>
      <c r="F108" s="25">
        <f>IF(C108="","",IFERROR(INDEX(tbl_Finance[Client],IFERROR(MATCH(C108&amp;"",tbl_Finance[Job Number],0),MATCH(IFERROR(C108+0,C108),tbl_Finance[Job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6" t="n"/>
      <c r="L108" s="27">
        <f>IF(C108="","",IF(K108="",0,MAX(0,K108-H108)))</f>
        <v/>
      </c>
      <c r="M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N108" s="24" t="n"/>
      <c r="O108" s="24" t="n"/>
      <c r="P108" s="25">
        <f>IF(O108="","",HYPERLINK(IF(LEFT(O108,4)="http",O108,set_QwilrBase&amp;O108),"Open quote"))</f>
        <v/>
      </c>
      <c r="Q108" s="71" t="n"/>
      <c r="R108" s="24" t="n"/>
      <c r="S108" s="24" t="n"/>
    </row>
    <row r="109" ht="15" customHeight="1">
      <c r="A109" s="70">
        <f>IF(C109="","",IFERROR(IF(SUMPRODUCT(MAX((tbl_Finance[Job Number]&amp;""=C109&amp;"")*(tbl_Finance[Xero Invoice No]&lt;&gt;"")*tbl_Finance[Date]))=0,"",SUMPRODUCT(MAX((tbl_Finance[Job Number]&amp;""=C109&amp;"")*(tbl_Finance[Xero Invoice No]&lt;&gt;"")*tbl_Finance[Date]))),""))</f>
        <v/>
      </c>
      <c r="B109" s="25">
        <f>IF(C109="","",IF(COUNTIFS(tbl_Finance[Job Number],C109&amp;"",tbl_Finance[Xero Invoice No],"&lt;&gt;")=0,"",IFERROR(IF(COUNTIFS(tbl_Finance[Job Number],C109&amp;"",tbl_Finance[Xero Invoice No],LOOKUP(2,1/((tbl_Finance[Job Number]&amp;""=C109&amp;"")*(tbl_Finance[Xero Invoice No]&lt;&gt;"")),tbl_Finance[Xero Invoice No]))=COUNTIFS(tbl_Finance[Job Number],C109&amp;"",tbl_Finance[Xero Invoice No],"&lt;&gt;"),LOOKUP(2,1/((tbl_Finance[Job Number]&amp;""=C109&amp;"")*(tbl_Finance[Xero Invoice No]&lt;&gt;"")),tbl_Finance[Xero Invoice No]),LOOKUP(2,1/((tbl_Finance[Job Number]&amp;""=C109&amp;"")*(tbl_Finance[Xero Invoice No]&lt;&gt;"")),tbl_Finance[Xero Invoice No])&amp;" +more"),"")))</f>
        <v/>
      </c>
      <c r="C109" s="24" t="n"/>
      <c r="D109" s="25">
        <f>IF(C109="","",IF(COUNTIF(lst_Jobs,C109&amp;"")&gt;0,"OK","CHECK"))</f>
        <v/>
      </c>
      <c r="E109" s="25">
        <f>IF(C109="","",IFERROR(INDEX(lst_JobName,MATCH(C109&amp;"",lst_Jobs,0)),""))</f>
        <v/>
      </c>
      <c r="F109" s="25">
        <f>IF(C109="","",IFERROR(INDEX(tbl_Finance[Client],IFERROR(MATCH(C109&amp;"",tbl_Finance[Job Number],0),MATCH(IFERROR(C109+0,C109),tbl_Finance[Job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6" t="n"/>
      <c r="L109" s="27">
        <f>IF(C109="","",IF(K109="",0,MAX(0,K109-H109)))</f>
        <v/>
      </c>
      <c r="M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N109" s="24" t="n"/>
      <c r="O109" s="24" t="n"/>
      <c r="P109" s="25">
        <f>IF(O109="","",HYPERLINK(IF(LEFT(O109,4)="http",O109,set_QwilrBase&amp;O109),"Open quote"))</f>
        <v/>
      </c>
      <c r="Q109" s="71" t="n"/>
      <c r="R109" s="24" t="n"/>
      <c r="S109" s="24" t="n"/>
    </row>
    <row r="110" ht="15" customHeight="1">
      <c r="A110" s="70">
        <f>IF(C110="","",IFERROR(IF(SUMPRODUCT(MAX((tbl_Finance[Job Number]&amp;""=C110&amp;"")*(tbl_Finance[Xero Invoice No]&lt;&gt;"")*tbl_Finance[Date]))=0,"",SUMPRODUCT(MAX((tbl_Finance[Job Number]&amp;""=C110&amp;"")*(tbl_Finance[Xero Invoice No]&lt;&gt;"")*tbl_Finance[Date]))),""))</f>
        <v/>
      </c>
      <c r="B110" s="25">
        <f>IF(C110="","",IF(COUNTIFS(tbl_Finance[Job Number],C110&amp;"",tbl_Finance[Xero Invoice No],"&lt;&gt;")=0,"",IFERROR(IF(COUNTIFS(tbl_Finance[Job Number],C110&amp;"",tbl_Finance[Xero Invoice No],LOOKUP(2,1/((tbl_Finance[Job Number]&amp;""=C110&amp;"")*(tbl_Finance[Xero Invoice No]&lt;&gt;"")),tbl_Finance[Xero Invoice No]))=COUNTIFS(tbl_Finance[Job Number],C110&amp;"",tbl_Finance[Xero Invoice No],"&lt;&gt;"),LOOKUP(2,1/((tbl_Finance[Job Number]&amp;""=C110&amp;"")*(tbl_Finance[Xero Invoice No]&lt;&gt;"")),tbl_Finance[Xero Invoice No]),LOOKUP(2,1/((tbl_Finance[Job Number]&amp;""=C110&amp;"")*(tbl_Finance[Xero Invoice No]&lt;&gt;"")),tbl_Finance[Xero Invoice No])&amp;" +more"),"")))</f>
        <v/>
      </c>
      <c r="C110" s="24" t="n"/>
      <c r="D110" s="25">
        <f>IF(C110="","",IF(COUNTIF(lst_Jobs,C110&amp;"")&gt;0,"OK","CHECK"))</f>
        <v/>
      </c>
      <c r="E110" s="25">
        <f>IF(C110="","",IFERROR(INDEX(lst_JobName,MATCH(C110&amp;"",lst_Jobs,0)),""))</f>
        <v/>
      </c>
      <c r="F110" s="25">
        <f>IF(C110="","",IFERROR(INDEX(tbl_Finance[Client],IFERROR(MATCH(C110&amp;"",tbl_Finance[Job Number],0),MATCH(IFERROR(C110+0,C110),tbl_Finance[Job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6" t="n"/>
      <c r="L110" s="27">
        <f>IF(C110="","",IF(K110="",0,MAX(0,K110-H110)))</f>
        <v/>
      </c>
      <c r="M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N110" s="24" t="n"/>
      <c r="O110" s="24" t="n"/>
      <c r="P110" s="25">
        <f>IF(O110="","",HYPERLINK(IF(LEFT(O110,4)="http",O110,set_QwilrBase&amp;O110),"Open quote"))</f>
        <v/>
      </c>
      <c r="Q110" s="71" t="n"/>
      <c r="R110" s="24" t="n"/>
      <c r="S110" s="24" t="n"/>
    </row>
    <row r="111" ht="15" customHeight="1">
      <c r="A111" s="70">
        <f>IF(C111="","",IFERROR(IF(SUMPRODUCT(MAX((tbl_Finance[Job Number]&amp;""=C111&amp;"")*(tbl_Finance[Xero Invoice No]&lt;&gt;"")*tbl_Finance[Date]))=0,"",SUMPRODUCT(MAX((tbl_Finance[Job Number]&amp;""=C111&amp;"")*(tbl_Finance[Xero Invoice No]&lt;&gt;"")*tbl_Finance[Date]))),""))</f>
        <v/>
      </c>
      <c r="B111" s="25">
        <f>IF(C111="","",IF(COUNTIFS(tbl_Finance[Job Number],C111&amp;"",tbl_Finance[Xero Invoice No],"&lt;&gt;")=0,"",IFERROR(IF(COUNTIFS(tbl_Finance[Job Number],C111&amp;"",tbl_Finance[Xero Invoice No],LOOKUP(2,1/((tbl_Finance[Job Number]&amp;""=C111&amp;"")*(tbl_Finance[Xero Invoice No]&lt;&gt;"")),tbl_Finance[Xero Invoice No]))=COUNTIFS(tbl_Finance[Job Number],C111&amp;"",tbl_Finance[Xero Invoice No],"&lt;&gt;"),LOOKUP(2,1/((tbl_Finance[Job Number]&amp;""=C111&amp;"")*(tbl_Finance[Xero Invoice No]&lt;&gt;"")),tbl_Finance[Xero Invoice No]),LOOKUP(2,1/((tbl_Finance[Job Number]&amp;""=C111&amp;"")*(tbl_Finance[Xero Invoice No]&lt;&gt;"")),tbl_Finance[Xero Invoice No])&amp;" +more"),"")))</f>
        <v/>
      </c>
      <c r="C111" s="24" t="n"/>
      <c r="D111" s="25">
        <f>IF(C111="","",IF(COUNTIF(lst_Jobs,C111&amp;"")&gt;0,"OK","CHECK"))</f>
        <v/>
      </c>
      <c r="E111" s="25">
        <f>IF(C111="","",IFERROR(INDEX(lst_JobName,MATCH(C111&amp;"",lst_Jobs,0)),""))</f>
        <v/>
      </c>
      <c r="F111" s="25">
        <f>IF(C111="","",IFERROR(INDEX(tbl_Finance[Client],IFERROR(MATCH(C111&amp;"",tbl_Finance[Job Number],0),MATCH(IFERROR(C111+0,C111),tbl_Finance[Job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6" t="n"/>
      <c r="L111" s="27">
        <f>IF(C111="","",IF(K111="",0,MAX(0,K111-H111)))</f>
        <v/>
      </c>
      <c r="M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N111" s="24" t="n"/>
      <c r="O111" s="24" t="n"/>
      <c r="P111" s="25">
        <f>IF(O111="","",HYPERLINK(IF(LEFT(O111,4)="http",O111,set_QwilrBase&amp;O111),"Open quote"))</f>
        <v/>
      </c>
      <c r="Q111" s="71" t="n"/>
      <c r="R111" s="24" t="n"/>
      <c r="S111" s="24" t="n"/>
    </row>
    <row r="112" ht="15" customHeight="1">
      <c r="A112" s="70">
        <f>IF(C112="","",IFERROR(IF(SUMPRODUCT(MAX((tbl_Finance[Job Number]&amp;""=C112&amp;"")*(tbl_Finance[Xero Invoice No]&lt;&gt;"")*tbl_Finance[Date]))=0,"",SUMPRODUCT(MAX((tbl_Finance[Job Number]&amp;""=C112&amp;"")*(tbl_Finance[Xero Invoice No]&lt;&gt;"")*tbl_Finance[Date]))),""))</f>
        <v/>
      </c>
      <c r="B112" s="25">
        <f>IF(C112="","",IF(COUNTIFS(tbl_Finance[Job Number],C112&amp;"",tbl_Finance[Xero Invoice No],"&lt;&gt;")=0,"",IFERROR(IF(COUNTIFS(tbl_Finance[Job Number],C112&amp;"",tbl_Finance[Xero Invoice No],LOOKUP(2,1/((tbl_Finance[Job Number]&amp;""=C112&amp;"")*(tbl_Finance[Xero Invoice No]&lt;&gt;"")),tbl_Finance[Xero Invoice No]))=COUNTIFS(tbl_Finance[Job Number],C112&amp;"",tbl_Finance[Xero Invoice No],"&lt;&gt;"),LOOKUP(2,1/((tbl_Finance[Job Number]&amp;""=C112&amp;"")*(tbl_Finance[Xero Invoice No]&lt;&gt;"")),tbl_Finance[Xero Invoice No]),LOOKUP(2,1/((tbl_Finance[Job Number]&amp;""=C112&amp;"")*(tbl_Finance[Xero Invoice No]&lt;&gt;"")),tbl_Finance[Xero Invoice No])&amp;" +more"),"")))</f>
        <v/>
      </c>
      <c r="C112" s="24" t="n"/>
      <c r="D112" s="25">
        <f>IF(C112="","",IF(COUNTIF(lst_Jobs,C112&amp;"")&gt;0,"OK","CHECK"))</f>
        <v/>
      </c>
      <c r="E112" s="25">
        <f>IF(C112="","",IFERROR(INDEX(lst_JobName,MATCH(C112&amp;"",lst_Jobs,0)),""))</f>
        <v/>
      </c>
      <c r="F112" s="25">
        <f>IF(C112="","",IFERROR(INDEX(tbl_Finance[Client],IFERROR(MATCH(C112&amp;"",tbl_Finance[Job Number],0),MATCH(IFERROR(C112+0,C112),tbl_Finance[Job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6" t="n"/>
      <c r="L112" s="27">
        <f>IF(C112="","",IF(K112="",0,MAX(0,K112-H112)))</f>
        <v/>
      </c>
      <c r="M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N112" s="24" t="n"/>
      <c r="O112" s="24" t="n"/>
      <c r="P112" s="25">
        <f>IF(O112="","",HYPERLINK(IF(LEFT(O112,4)="http",O112,set_QwilrBase&amp;O112),"Open quote"))</f>
        <v/>
      </c>
      <c r="Q112" s="71" t="n"/>
      <c r="R112" s="24" t="n"/>
      <c r="S112" s="24" t="n"/>
    </row>
    <row r="113" ht="15" customHeight="1">
      <c r="A113" s="70">
        <f>IF(C113="","",IFERROR(IF(SUMPRODUCT(MAX((tbl_Finance[Job Number]&amp;""=C113&amp;"")*(tbl_Finance[Xero Invoice No]&lt;&gt;"")*tbl_Finance[Date]))=0,"",SUMPRODUCT(MAX((tbl_Finance[Job Number]&amp;""=C113&amp;"")*(tbl_Finance[Xero Invoice No]&lt;&gt;"")*tbl_Finance[Date]))),""))</f>
        <v/>
      </c>
      <c r="B113" s="25">
        <f>IF(C113="","",IF(COUNTIFS(tbl_Finance[Job Number],C113&amp;"",tbl_Finance[Xero Invoice No],"&lt;&gt;")=0,"",IFERROR(IF(COUNTIFS(tbl_Finance[Job Number],C113&amp;"",tbl_Finance[Xero Invoice No],LOOKUP(2,1/((tbl_Finance[Job Number]&amp;""=C113&amp;"")*(tbl_Finance[Xero Invoice No]&lt;&gt;"")),tbl_Finance[Xero Invoice No]))=COUNTIFS(tbl_Finance[Job Number],C113&amp;"",tbl_Finance[Xero Invoice No],"&lt;&gt;"),LOOKUP(2,1/((tbl_Finance[Job Number]&amp;""=C113&amp;"")*(tbl_Finance[Xero Invoice No]&lt;&gt;"")),tbl_Finance[Xero Invoice No]),LOOKUP(2,1/((tbl_Finance[Job Number]&amp;""=C113&amp;"")*(tbl_Finance[Xero Invoice No]&lt;&gt;"")),tbl_Finance[Xero Invoice No])&amp;" +more"),"")))</f>
        <v/>
      </c>
      <c r="C113" s="24" t="n"/>
      <c r="D113" s="25">
        <f>IF(C113="","",IF(COUNTIF(lst_Jobs,C113&amp;"")&gt;0,"OK","CHECK"))</f>
        <v/>
      </c>
      <c r="E113" s="25">
        <f>IF(C113="","",IFERROR(INDEX(lst_JobName,MATCH(C113&amp;"",lst_Jobs,0)),""))</f>
        <v/>
      </c>
      <c r="F113" s="25">
        <f>IF(C113="","",IFERROR(INDEX(tbl_Finance[Client],IFERROR(MATCH(C113&amp;"",tbl_Finance[Job Number],0),MATCH(IFERROR(C113+0,C113),tbl_Finance[Job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6" t="n"/>
      <c r="L113" s="27">
        <f>IF(C113="","",IF(K113="",0,MAX(0,K113-H113)))</f>
        <v/>
      </c>
      <c r="M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N113" s="24" t="n"/>
      <c r="O113" s="24" t="n"/>
      <c r="P113" s="25">
        <f>IF(O113="","",HYPERLINK(IF(LEFT(O113,4)="http",O113,set_QwilrBase&amp;O113),"Open quote"))</f>
        <v/>
      </c>
      <c r="Q113" s="71" t="n"/>
      <c r="R113" s="24" t="n"/>
      <c r="S113" s="24" t="n"/>
    </row>
    <row r="114" ht="15" customHeight="1">
      <c r="A114" s="70">
        <f>IF(C114="","",IFERROR(IF(SUMPRODUCT(MAX((tbl_Finance[Job Number]&amp;""=C114&amp;"")*(tbl_Finance[Xero Invoice No]&lt;&gt;"")*tbl_Finance[Date]))=0,"",SUMPRODUCT(MAX((tbl_Finance[Job Number]&amp;""=C114&amp;"")*(tbl_Finance[Xero Invoice No]&lt;&gt;"")*tbl_Finance[Date]))),""))</f>
        <v/>
      </c>
      <c r="B114" s="25">
        <f>IF(C114="","",IF(COUNTIFS(tbl_Finance[Job Number],C114&amp;"",tbl_Finance[Xero Invoice No],"&lt;&gt;")=0,"",IFERROR(IF(COUNTIFS(tbl_Finance[Job Number],C114&amp;"",tbl_Finance[Xero Invoice No],LOOKUP(2,1/((tbl_Finance[Job Number]&amp;""=C114&amp;"")*(tbl_Finance[Xero Invoice No]&lt;&gt;"")),tbl_Finance[Xero Invoice No]))=COUNTIFS(tbl_Finance[Job Number],C114&amp;"",tbl_Finance[Xero Invoice No],"&lt;&gt;"),LOOKUP(2,1/((tbl_Finance[Job Number]&amp;""=C114&amp;"")*(tbl_Finance[Xero Invoice No]&lt;&gt;"")),tbl_Finance[Xero Invoice No]),LOOKUP(2,1/((tbl_Finance[Job Number]&amp;""=C114&amp;"")*(tbl_Finance[Xero Invoice No]&lt;&gt;"")),tbl_Finance[Xero Invoice No])&amp;" +more"),"")))</f>
        <v/>
      </c>
      <c r="C114" s="24" t="n"/>
      <c r="D114" s="25">
        <f>IF(C114="","",IF(COUNTIF(lst_Jobs,C114&amp;"")&gt;0,"OK","CHECK"))</f>
        <v/>
      </c>
      <c r="E114" s="25">
        <f>IF(C114="","",IFERROR(INDEX(lst_JobName,MATCH(C114&amp;"",lst_Jobs,0)),""))</f>
        <v/>
      </c>
      <c r="F114" s="25">
        <f>IF(C114="","",IFERROR(INDEX(tbl_Finance[Client],IFERROR(MATCH(C114&amp;"",tbl_Finance[Job Number],0),MATCH(IFERROR(C114+0,C114),tbl_Finance[Job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6" t="n"/>
      <c r="L114" s="27">
        <f>IF(C114="","",IF(K114="",0,MAX(0,K114-H114)))</f>
        <v/>
      </c>
      <c r="M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N114" s="24" t="n"/>
      <c r="O114" s="24" t="n"/>
      <c r="P114" s="25">
        <f>IF(O114="","",HYPERLINK(IF(LEFT(O114,4)="http",O114,set_QwilrBase&amp;O114),"Open quote"))</f>
        <v/>
      </c>
      <c r="Q114" s="71" t="n"/>
      <c r="R114" s="24" t="n"/>
      <c r="S114" s="24" t="n"/>
    </row>
    <row r="115" ht="15" customHeight="1">
      <c r="A115" s="70">
        <f>IF(C115="","",IFERROR(IF(SUMPRODUCT(MAX((tbl_Finance[Job Number]&amp;""=C115&amp;"")*(tbl_Finance[Xero Invoice No]&lt;&gt;"")*tbl_Finance[Date]))=0,"",SUMPRODUCT(MAX((tbl_Finance[Job Number]&amp;""=C115&amp;"")*(tbl_Finance[Xero Invoice No]&lt;&gt;"")*tbl_Finance[Date]))),""))</f>
        <v/>
      </c>
      <c r="B115" s="25">
        <f>IF(C115="","",IF(COUNTIFS(tbl_Finance[Job Number],C115&amp;"",tbl_Finance[Xero Invoice No],"&lt;&gt;")=0,"",IFERROR(IF(COUNTIFS(tbl_Finance[Job Number],C115&amp;"",tbl_Finance[Xero Invoice No],LOOKUP(2,1/((tbl_Finance[Job Number]&amp;""=C115&amp;"")*(tbl_Finance[Xero Invoice No]&lt;&gt;"")),tbl_Finance[Xero Invoice No]))=COUNTIFS(tbl_Finance[Job Number],C115&amp;"",tbl_Finance[Xero Invoice No],"&lt;&gt;"),LOOKUP(2,1/((tbl_Finance[Job Number]&amp;""=C115&amp;"")*(tbl_Finance[Xero Invoice No]&lt;&gt;"")),tbl_Finance[Xero Invoice No]),LOOKUP(2,1/((tbl_Finance[Job Number]&amp;""=C115&amp;"")*(tbl_Finance[Xero Invoice No]&lt;&gt;"")),tbl_Finance[Xero Invoice No])&amp;" +more"),"")))</f>
        <v/>
      </c>
      <c r="C115" s="24" t="n"/>
      <c r="D115" s="25">
        <f>IF(C115="","",IF(COUNTIF(lst_Jobs,C115&amp;"")&gt;0,"OK","CHECK"))</f>
        <v/>
      </c>
      <c r="E115" s="25">
        <f>IF(C115="","",IFERROR(INDEX(lst_JobName,MATCH(C115&amp;"",lst_Jobs,0)),""))</f>
        <v/>
      </c>
      <c r="F115" s="25">
        <f>IF(C115="","",IFERROR(INDEX(tbl_Finance[Client],IFERROR(MATCH(C115&amp;"",tbl_Finance[Job Number],0),MATCH(IFERROR(C115+0,C115),tbl_Finance[Job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6" t="n"/>
      <c r="L115" s="27">
        <f>IF(C115="","",IF(K115="",0,MAX(0,K115-H115)))</f>
        <v/>
      </c>
      <c r="M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N115" s="24" t="n"/>
      <c r="O115" s="24" t="n"/>
      <c r="P115" s="25">
        <f>IF(O115="","",HYPERLINK(IF(LEFT(O115,4)="http",O115,set_QwilrBase&amp;O115),"Open quote"))</f>
        <v/>
      </c>
      <c r="Q115" s="71" t="n"/>
      <c r="R115" s="24" t="n"/>
      <c r="S115" s="24" t="n"/>
    </row>
    <row r="116" ht="15" customHeight="1">
      <c r="A116" s="70">
        <f>IF(C116="","",IFERROR(IF(SUMPRODUCT(MAX((tbl_Finance[Job Number]&amp;""=C116&amp;"")*(tbl_Finance[Xero Invoice No]&lt;&gt;"")*tbl_Finance[Date]))=0,"",SUMPRODUCT(MAX((tbl_Finance[Job Number]&amp;""=C116&amp;"")*(tbl_Finance[Xero Invoice No]&lt;&gt;"")*tbl_Finance[Date]))),""))</f>
        <v/>
      </c>
      <c r="B116" s="25">
        <f>IF(C116="","",IF(COUNTIFS(tbl_Finance[Job Number],C116&amp;"",tbl_Finance[Xero Invoice No],"&lt;&gt;")=0,"",IFERROR(IF(COUNTIFS(tbl_Finance[Job Number],C116&amp;"",tbl_Finance[Xero Invoice No],LOOKUP(2,1/((tbl_Finance[Job Number]&amp;""=C116&amp;"")*(tbl_Finance[Xero Invoice No]&lt;&gt;"")),tbl_Finance[Xero Invoice No]))=COUNTIFS(tbl_Finance[Job Number],C116&amp;"",tbl_Finance[Xero Invoice No],"&lt;&gt;"),LOOKUP(2,1/((tbl_Finance[Job Number]&amp;""=C116&amp;"")*(tbl_Finance[Xero Invoice No]&lt;&gt;"")),tbl_Finance[Xero Invoice No]),LOOKUP(2,1/((tbl_Finance[Job Number]&amp;""=C116&amp;"")*(tbl_Finance[Xero Invoice No]&lt;&gt;"")),tbl_Finance[Xero Invoice No])&amp;" +more"),"")))</f>
        <v/>
      </c>
      <c r="C116" s="24" t="n"/>
      <c r="D116" s="25">
        <f>IF(C116="","",IF(COUNTIF(lst_Jobs,C116&amp;"")&gt;0,"OK","CHECK"))</f>
        <v/>
      </c>
      <c r="E116" s="25">
        <f>IF(C116="","",IFERROR(INDEX(lst_JobName,MATCH(C116&amp;"",lst_Jobs,0)),""))</f>
        <v/>
      </c>
      <c r="F116" s="25">
        <f>IF(C116="","",IFERROR(INDEX(tbl_Finance[Client],IFERROR(MATCH(C116&amp;"",tbl_Finance[Job Number],0),MATCH(IFERROR(C116+0,C116),tbl_Finance[Job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6" t="n"/>
      <c r="L116" s="27">
        <f>IF(C116="","",IF(K116="",0,MAX(0,K116-H116)))</f>
        <v/>
      </c>
      <c r="M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N116" s="24" t="n"/>
      <c r="O116" s="24" t="n"/>
      <c r="P116" s="25">
        <f>IF(O116="","",HYPERLINK(IF(LEFT(O116,4)="http",O116,set_QwilrBase&amp;O116),"Open quote"))</f>
        <v/>
      </c>
      <c r="Q116" s="71" t="n"/>
      <c r="R116" s="24" t="n"/>
      <c r="S116" s="24" t="n"/>
    </row>
    <row r="117" ht="15" customHeight="1">
      <c r="A117" s="70">
        <f>IF(C117="","",IFERROR(IF(SUMPRODUCT(MAX((tbl_Finance[Job Number]&amp;""=C117&amp;"")*(tbl_Finance[Xero Invoice No]&lt;&gt;"")*tbl_Finance[Date]))=0,"",SUMPRODUCT(MAX((tbl_Finance[Job Number]&amp;""=C117&amp;"")*(tbl_Finance[Xero Invoice No]&lt;&gt;"")*tbl_Finance[Date]))),""))</f>
        <v/>
      </c>
      <c r="B117" s="25">
        <f>IF(C117="","",IF(COUNTIFS(tbl_Finance[Job Number],C117&amp;"",tbl_Finance[Xero Invoice No],"&lt;&gt;")=0,"",IFERROR(IF(COUNTIFS(tbl_Finance[Job Number],C117&amp;"",tbl_Finance[Xero Invoice No],LOOKUP(2,1/((tbl_Finance[Job Number]&amp;""=C117&amp;"")*(tbl_Finance[Xero Invoice No]&lt;&gt;"")),tbl_Finance[Xero Invoice No]))=COUNTIFS(tbl_Finance[Job Number],C117&amp;"",tbl_Finance[Xero Invoice No],"&lt;&gt;"),LOOKUP(2,1/((tbl_Finance[Job Number]&amp;""=C117&amp;"")*(tbl_Finance[Xero Invoice No]&lt;&gt;"")),tbl_Finance[Xero Invoice No]),LOOKUP(2,1/((tbl_Finance[Job Number]&amp;""=C117&amp;"")*(tbl_Finance[Xero Invoice No]&lt;&gt;"")),tbl_Finance[Xero Invoice No])&amp;" +more"),"")))</f>
        <v/>
      </c>
      <c r="C117" s="24" t="n"/>
      <c r="D117" s="25">
        <f>IF(C117="","",IF(COUNTIF(lst_Jobs,C117&amp;"")&gt;0,"OK","CHECK"))</f>
        <v/>
      </c>
      <c r="E117" s="25">
        <f>IF(C117="","",IFERROR(INDEX(lst_JobName,MATCH(C117&amp;"",lst_Jobs,0)),""))</f>
        <v/>
      </c>
      <c r="F117" s="25">
        <f>IF(C117="","",IFERROR(INDEX(tbl_Finance[Client],IFERROR(MATCH(C117&amp;"",tbl_Finance[Job Number],0),MATCH(IFERROR(C117+0,C117),tbl_Finance[Job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6" t="n"/>
      <c r="L117" s="27">
        <f>IF(C117="","",IF(K117="",0,MAX(0,K117-H117)))</f>
        <v/>
      </c>
      <c r="M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N117" s="24" t="n"/>
      <c r="O117" s="24" t="n"/>
      <c r="P117" s="25">
        <f>IF(O117="","",HYPERLINK(IF(LEFT(O117,4)="http",O117,set_QwilrBase&amp;O117),"Open quote"))</f>
        <v/>
      </c>
      <c r="Q117" s="71" t="n"/>
      <c r="R117" s="24" t="n"/>
      <c r="S117" s="24" t="n"/>
    </row>
    <row r="118" ht="15" customHeight="1">
      <c r="A118" s="70">
        <f>IF(C118="","",IFERROR(IF(SUMPRODUCT(MAX((tbl_Finance[Job Number]&amp;""=C118&amp;"")*(tbl_Finance[Xero Invoice No]&lt;&gt;"")*tbl_Finance[Date]))=0,"",SUMPRODUCT(MAX((tbl_Finance[Job Number]&amp;""=C118&amp;"")*(tbl_Finance[Xero Invoice No]&lt;&gt;"")*tbl_Finance[Date]))),""))</f>
        <v/>
      </c>
      <c r="B118" s="25">
        <f>IF(C118="","",IF(COUNTIFS(tbl_Finance[Job Number],C118&amp;"",tbl_Finance[Xero Invoice No],"&lt;&gt;")=0,"",IFERROR(IF(COUNTIFS(tbl_Finance[Job Number],C118&amp;"",tbl_Finance[Xero Invoice No],LOOKUP(2,1/((tbl_Finance[Job Number]&amp;""=C118&amp;"")*(tbl_Finance[Xero Invoice No]&lt;&gt;"")),tbl_Finance[Xero Invoice No]))=COUNTIFS(tbl_Finance[Job Number],C118&amp;"",tbl_Finance[Xero Invoice No],"&lt;&gt;"),LOOKUP(2,1/((tbl_Finance[Job Number]&amp;""=C118&amp;"")*(tbl_Finance[Xero Invoice No]&lt;&gt;"")),tbl_Finance[Xero Invoice No]),LOOKUP(2,1/((tbl_Finance[Job Number]&amp;""=C118&amp;"")*(tbl_Finance[Xero Invoice No]&lt;&gt;"")),tbl_Finance[Xero Invoice No])&amp;" +more"),"")))</f>
        <v/>
      </c>
      <c r="C118" s="24" t="n"/>
      <c r="D118" s="25">
        <f>IF(C118="","",IF(COUNTIF(lst_Jobs,C118&amp;"")&gt;0,"OK","CHECK"))</f>
        <v/>
      </c>
      <c r="E118" s="25">
        <f>IF(C118="","",IFERROR(INDEX(lst_JobName,MATCH(C118&amp;"",lst_Jobs,0)),""))</f>
        <v/>
      </c>
      <c r="F118" s="25">
        <f>IF(C118="","",IFERROR(INDEX(tbl_Finance[Client],IFERROR(MATCH(C118&amp;"",tbl_Finance[Job Number],0),MATCH(IFERROR(C118+0,C118),tbl_Finance[Job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6" t="n"/>
      <c r="L118" s="27">
        <f>IF(C118="","",IF(K118="",0,MAX(0,K118-H118)))</f>
        <v/>
      </c>
      <c r="M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N118" s="24" t="n"/>
      <c r="O118" s="24" t="n"/>
      <c r="P118" s="25">
        <f>IF(O118="","",HYPERLINK(IF(LEFT(O118,4)="http",O118,set_QwilrBase&amp;O118),"Open quote"))</f>
        <v/>
      </c>
      <c r="Q118" s="71" t="n"/>
      <c r="R118" s="24" t="n"/>
      <c r="S118" s="24" t="n"/>
    </row>
    <row r="119" ht="15" customHeight="1">
      <c r="A119" s="70">
        <f>IF(C119="","",IFERROR(IF(SUMPRODUCT(MAX((tbl_Finance[Job Number]&amp;""=C119&amp;"")*(tbl_Finance[Xero Invoice No]&lt;&gt;"")*tbl_Finance[Date]))=0,"",SUMPRODUCT(MAX((tbl_Finance[Job Number]&amp;""=C119&amp;"")*(tbl_Finance[Xero Invoice No]&lt;&gt;"")*tbl_Finance[Date]))),""))</f>
        <v/>
      </c>
      <c r="B119" s="25">
        <f>IF(C119="","",IF(COUNTIFS(tbl_Finance[Job Number],C119&amp;"",tbl_Finance[Xero Invoice No],"&lt;&gt;")=0,"",IFERROR(IF(COUNTIFS(tbl_Finance[Job Number],C119&amp;"",tbl_Finance[Xero Invoice No],LOOKUP(2,1/((tbl_Finance[Job Number]&amp;""=C119&amp;"")*(tbl_Finance[Xero Invoice No]&lt;&gt;"")),tbl_Finance[Xero Invoice No]))=COUNTIFS(tbl_Finance[Job Number],C119&amp;"",tbl_Finance[Xero Invoice No],"&lt;&gt;"),LOOKUP(2,1/((tbl_Finance[Job Number]&amp;""=C119&amp;"")*(tbl_Finance[Xero Invoice No]&lt;&gt;"")),tbl_Finance[Xero Invoice No]),LOOKUP(2,1/((tbl_Finance[Job Number]&amp;""=C119&amp;"")*(tbl_Finance[Xero Invoice No]&lt;&gt;"")),tbl_Finance[Xero Invoice No])&amp;" +more"),"")))</f>
        <v/>
      </c>
      <c r="C119" s="24" t="n"/>
      <c r="D119" s="25">
        <f>IF(C119="","",IF(COUNTIF(lst_Jobs,C119&amp;"")&gt;0,"OK","CHECK"))</f>
        <v/>
      </c>
      <c r="E119" s="25">
        <f>IF(C119="","",IFERROR(INDEX(lst_JobName,MATCH(C119&amp;"",lst_Jobs,0)),""))</f>
        <v/>
      </c>
      <c r="F119" s="25">
        <f>IF(C119="","",IFERROR(INDEX(tbl_Finance[Client],IFERROR(MATCH(C119&amp;"",tbl_Finance[Job Number],0),MATCH(IFERROR(C119+0,C119),tbl_Finance[Job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6" t="n"/>
      <c r="L119" s="27">
        <f>IF(C119="","",IF(K119="",0,MAX(0,K119-H119)))</f>
        <v/>
      </c>
      <c r="M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N119" s="24" t="n"/>
      <c r="O119" s="24" t="n"/>
      <c r="P119" s="25">
        <f>IF(O119="","",HYPERLINK(IF(LEFT(O119,4)="http",O119,set_QwilrBase&amp;O119),"Open quote"))</f>
        <v/>
      </c>
      <c r="Q119" s="71" t="n"/>
      <c r="R119" s="24" t="n"/>
      <c r="S119" s="24" t="n"/>
    </row>
    <row r="120" ht="15" customHeight="1">
      <c r="A120" s="70">
        <f>IF(C120="","",IFERROR(IF(SUMPRODUCT(MAX((tbl_Finance[Job Number]&amp;""=C120&amp;"")*(tbl_Finance[Xero Invoice No]&lt;&gt;"")*tbl_Finance[Date]))=0,"",SUMPRODUCT(MAX((tbl_Finance[Job Number]&amp;""=C120&amp;"")*(tbl_Finance[Xero Invoice No]&lt;&gt;"")*tbl_Finance[Date]))),""))</f>
        <v/>
      </c>
      <c r="B120" s="25">
        <f>IF(C120="","",IF(COUNTIFS(tbl_Finance[Job Number],C120&amp;"",tbl_Finance[Xero Invoice No],"&lt;&gt;")=0,"",IFERROR(IF(COUNTIFS(tbl_Finance[Job Number],C120&amp;"",tbl_Finance[Xero Invoice No],LOOKUP(2,1/((tbl_Finance[Job Number]&amp;""=C120&amp;"")*(tbl_Finance[Xero Invoice No]&lt;&gt;"")),tbl_Finance[Xero Invoice No]))=COUNTIFS(tbl_Finance[Job Number],C120&amp;"",tbl_Finance[Xero Invoice No],"&lt;&gt;"),LOOKUP(2,1/((tbl_Finance[Job Number]&amp;""=C120&amp;"")*(tbl_Finance[Xero Invoice No]&lt;&gt;"")),tbl_Finance[Xero Invoice No]),LOOKUP(2,1/((tbl_Finance[Job Number]&amp;""=C120&amp;"")*(tbl_Finance[Xero Invoice No]&lt;&gt;"")),tbl_Finance[Xero Invoice No])&amp;" +more"),"")))</f>
        <v/>
      </c>
      <c r="C120" s="24" t="n"/>
      <c r="D120" s="25">
        <f>IF(C120="","",IF(COUNTIF(lst_Jobs,C120&amp;"")&gt;0,"OK","CHECK"))</f>
        <v/>
      </c>
      <c r="E120" s="25">
        <f>IF(C120="","",IFERROR(INDEX(lst_JobName,MATCH(C120&amp;"",lst_Jobs,0)),""))</f>
        <v/>
      </c>
      <c r="F120" s="25">
        <f>IF(C120="","",IFERROR(INDEX(tbl_Finance[Client],IFERROR(MATCH(C120&amp;"",tbl_Finance[Job Number],0),MATCH(IFERROR(C120+0,C120),tbl_Finance[Job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6" t="n"/>
      <c r="L120" s="27">
        <f>IF(C120="","",IF(K120="",0,MAX(0,K120-H120)))</f>
        <v/>
      </c>
      <c r="M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N120" s="24" t="n"/>
      <c r="O120" s="24" t="n"/>
      <c r="P120" s="25">
        <f>IF(O120="","",HYPERLINK(IF(LEFT(O120,4)="http",O120,set_QwilrBase&amp;O120),"Open quote"))</f>
        <v/>
      </c>
      <c r="Q120" s="71" t="n"/>
      <c r="R120" s="24" t="n"/>
      <c r="S120" s="24" t="n"/>
    </row>
    <row r="121" ht="15" customHeight="1">
      <c r="A121" s="70">
        <f>IF(C121="","",IFERROR(IF(SUMPRODUCT(MAX((tbl_Finance[Job Number]&amp;""=C121&amp;"")*(tbl_Finance[Xero Invoice No]&lt;&gt;"")*tbl_Finance[Date]))=0,"",SUMPRODUCT(MAX((tbl_Finance[Job Number]&amp;""=C121&amp;"")*(tbl_Finance[Xero Invoice No]&lt;&gt;"")*tbl_Finance[Date]))),""))</f>
        <v/>
      </c>
      <c r="B121" s="25">
        <f>IF(C121="","",IF(COUNTIFS(tbl_Finance[Job Number],C121&amp;"",tbl_Finance[Xero Invoice No],"&lt;&gt;")=0,"",IFERROR(IF(COUNTIFS(tbl_Finance[Job Number],C121&amp;"",tbl_Finance[Xero Invoice No],LOOKUP(2,1/((tbl_Finance[Job Number]&amp;""=C121&amp;"")*(tbl_Finance[Xero Invoice No]&lt;&gt;"")),tbl_Finance[Xero Invoice No]))=COUNTIFS(tbl_Finance[Job Number],C121&amp;"",tbl_Finance[Xero Invoice No],"&lt;&gt;"),LOOKUP(2,1/((tbl_Finance[Job Number]&amp;""=C121&amp;"")*(tbl_Finance[Xero Invoice No]&lt;&gt;"")),tbl_Finance[Xero Invoice No]),LOOKUP(2,1/((tbl_Finance[Job Number]&amp;""=C121&amp;"")*(tbl_Finance[Xero Invoice No]&lt;&gt;"")),tbl_Finance[Xero Invoice No])&amp;" +more"),"")))</f>
        <v/>
      </c>
      <c r="C121" s="24" t="n"/>
      <c r="D121" s="25">
        <f>IF(C121="","",IF(COUNTIF(lst_Jobs,C121&amp;"")&gt;0,"OK","CHECK"))</f>
        <v/>
      </c>
      <c r="E121" s="25">
        <f>IF(C121="","",IFERROR(INDEX(lst_JobName,MATCH(C121&amp;"",lst_Jobs,0)),""))</f>
        <v/>
      </c>
      <c r="F121" s="25">
        <f>IF(C121="","",IFERROR(INDEX(tbl_Finance[Client],IFERROR(MATCH(C121&amp;"",tbl_Finance[Job Number],0),MATCH(IFERROR(C121+0,C121),tbl_Finance[Job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6" t="n"/>
      <c r="L121" s="27">
        <f>IF(C121="","",IF(K121="",0,MAX(0,K121-H121)))</f>
        <v/>
      </c>
      <c r="M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N121" s="24" t="n"/>
      <c r="O121" s="24" t="n"/>
      <c r="P121" s="25">
        <f>IF(O121="","",HYPERLINK(IF(LEFT(O121,4)="http",O121,set_QwilrBase&amp;O121),"Open quote"))</f>
        <v/>
      </c>
      <c r="Q121" s="71" t="n"/>
      <c r="R121" s="24" t="n"/>
      <c r="S121" s="24" t="n"/>
    </row>
    <row r="122" ht="15" customHeight="1">
      <c r="A122" s="70">
        <f>IF(C122="","",IFERROR(IF(SUMPRODUCT(MAX((tbl_Finance[Job Number]&amp;""=C122&amp;"")*(tbl_Finance[Xero Invoice No]&lt;&gt;"")*tbl_Finance[Date]))=0,"",SUMPRODUCT(MAX((tbl_Finance[Job Number]&amp;""=C122&amp;"")*(tbl_Finance[Xero Invoice No]&lt;&gt;"")*tbl_Finance[Date]))),""))</f>
        <v/>
      </c>
      <c r="B122" s="25">
        <f>IF(C122="","",IF(COUNTIFS(tbl_Finance[Job Number],C122&amp;"",tbl_Finance[Xero Invoice No],"&lt;&gt;")=0,"",IFERROR(IF(COUNTIFS(tbl_Finance[Job Number],C122&amp;"",tbl_Finance[Xero Invoice No],LOOKUP(2,1/((tbl_Finance[Job Number]&amp;""=C122&amp;"")*(tbl_Finance[Xero Invoice No]&lt;&gt;"")),tbl_Finance[Xero Invoice No]))=COUNTIFS(tbl_Finance[Job Number],C122&amp;"",tbl_Finance[Xero Invoice No],"&lt;&gt;"),LOOKUP(2,1/((tbl_Finance[Job Number]&amp;""=C122&amp;"")*(tbl_Finance[Xero Invoice No]&lt;&gt;"")),tbl_Finance[Xero Invoice No]),LOOKUP(2,1/((tbl_Finance[Job Number]&amp;""=C122&amp;"")*(tbl_Finance[Xero Invoice No]&lt;&gt;"")),tbl_Finance[Xero Invoice No])&amp;" +more"),"")))</f>
        <v/>
      </c>
      <c r="C122" s="24" t="n"/>
      <c r="D122" s="25">
        <f>IF(C122="","",IF(COUNTIF(lst_Jobs,C122&amp;"")&gt;0,"OK","CHECK"))</f>
        <v/>
      </c>
      <c r="E122" s="25">
        <f>IF(C122="","",IFERROR(INDEX(lst_JobName,MATCH(C122&amp;"",lst_Jobs,0)),""))</f>
        <v/>
      </c>
      <c r="F122" s="25">
        <f>IF(C122="","",IFERROR(INDEX(tbl_Finance[Client],IFERROR(MATCH(C122&amp;"",tbl_Finance[Job Number],0),MATCH(IFERROR(C122+0,C122),tbl_Finance[Job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6" t="n"/>
      <c r="L122" s="27">
        <f>IF(C122="","",IF(K122="",0,MAX(0,K122-H122)))</f>
        <v/>
      </c>
      <c r="M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N122" s="24" t="n"/>
      <c r="O122" s="24" t="n"/>
      <c r="P122" s="25">
        <f>IF(O122="","",HYPERLINK(IF(LEFT(O122,4)="http",O122,set_QwilrBase&amp;O122),"Open quote"))</f>
        <v/>
      </c>
      <c r="Q122" s="71" t="n"/>
      <c r="R122" s="24" t="n"/>
      <c r="S122" s="24" t="n"/>
    </row>
    <row r="123" ht="15" customHeight="1">
      <c r="A123" s="70">
        <f>IF(C123="","",IFERROR(IF(SUMPRODUCT(MAX((tbl_Finance[Job Number]&amp;""=C123&amp;"")*(tbl_Finance[Xero Invoice No]&lt;&gt;"")*tbl_Finance[Date]))=0,"",SUMPRODUCT(MAX((tbl_Finance[Job Number]&amp;""=C123&amp;"")*(tbl_Finance[Xero Invoice No]&lt;&gt;"")*tbl_Finance[Date]))),""))</f>
        <v/>
      </c>
      <c r="B123" s="25">
        <f>IF(C123="","",IF(COUNTIFS(tbl_Finance[Job Number],C123&amp;"",tbl_Finance[Xero Invoice No],"&lt;&gt;")=0,"",IFERROR(IF(COUNTIFS(tbl_Finance[Job Number],C123&amp;"",tbl_Finance[Xero Invoice No],LOOKUP(2,1/((tbl_Finance[Job Number]&amp;""=C123&amp;"")*(tbl_Finance[Xero Invoice No]&lt;&gt;"")),tbl_Finance[Xero Invoice No]))=COUNTIFS(tbl_Finance[Job Number],C123&amp;"",tbl_Finance[Xero Invoice No],"&lt;&gt;"),LOOKUP(2,1/((tbl_Finance[Job Number]&amp;""=C123&amp;"")*(tbl_Finance[Xero Invoice No]&lt;&gt;"")),tbl_Finance[Xero Invoice No]),LOOKUP(2,1/((tbl_Finance[Job Number]&amp;""=C123&amp;"")*(tbl_Finance[Xero Invoice No]&lt;&gt;"")),tbl_Finance[Xero Invoice No])&amp;" +more"),"")))</f>
        <v/>
      </c>
      <c r="C123" s="24" t="n"/>
      <c r="D123" s="25">
        <f>IF(C123="","",IF(COUNTIF(lst_Jobs,C123&amp;"")&gt;0,"OK","CHECK"))</f>
        <v/>
      </c>
      <c r="E123" s="25">
        <f>IF(C123="","",IFERROR(INDEX(lst_JobName,MATCH(C123&amp;"",lst_Jobs,0)),""))</f>
        <v/>
      </c>
      <c r="F123" s="25">
        <f>IF(C123="","",IFERROR(INDEX(tbl_Finance[Client],IFERROR(MATCH(C123&amp;"",tbl_Finance[Job Number],0),MATCH(IFERROR(C123+0,C123),tbl_Finance[Job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6" t="n"/>
      <c r="L123" s="27">
        <f>IF(C123="","",IF(K123="",0,MAX(0,K123-H123)))</f>
        <v/>
      </c>
      <c r="M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N123" s="24" t="n"/>
      <c r="O123" s="24" t="n"/>
      <c r="P123" s="25">
        <f>IF(O123="","",HYPERLINK(IF(LEFT(O123,4)="http",O123,set_QwilrBase&amp;O123),"Open quote"))</f>
        <v/>
      </c>
      <c r="Q123" s="71" t="n"/>
      <c r="R123" s="24" t="n"/>
      <c r="S123" s="24" t="n"/>
    </row>
    <row r="124" ht="15" customHeight="1">
      <c r="A124" s="70">
        <f>IF(C124="","",IFERROR(IF(SUMPRODUCT(MAX((tbl_Finance[Job Number]&amp;""=C124&amp;"")*(tbl_Finance[Xero Invoice No]&lt;&gt;"")*tbl_Finance[Date]))=0,"",SUMPRODUCT(MAX((tbl_Finance[Job Number]&amp;""=C124&amp;"")*(tbl_Finance[Xero Invoice No]&lt;&gt;"")*tbl_Finance[Date]))),""))</f>
        <v/>
      </c>
      <c r="B124" s="25">
        <f>IF(C124="","",IF(COUNTIFS(tbl_Finance[Job Number],C124&amp;"",tbl_Finance[Xero Invoice No],"&lt;&gt;")=0,"",IFERROR(IF(COUNTIFS(tbl_Finance[Job Number],C124&amp;"",tbl_Finance[Xero Invoice No],LOOKUP(2,1/((tbl_Finance[Job Number]&amp;""=C124&amp;"")*(tbl_Finance[Xero Invoice No]&lt;&gt;"")),tbl_Finance[Xero Invoice No]))=COUNTIFS(tbl_Finance[Job Number],C124&amp;"",tbl_Finance[Xero Invoice No],"&lt;&gt;"),LOOKUP(2,1/((tbl_Finance[Job Number]&amp;""=C124&amp;"")*(tbl_Finance[Xero Invoice No]&lt;&gt;"")),tbl_Finance[Xero Invoice No]),LOOKUP(2,1/((tbl_Finance[Job Number]&amp;""=C124&amp;"")*(tbl_Finance[Xero Invoice No]&lt;&gt;"")),tbl_Finance[Xero Invoice No])&amp;" +more"),"")))</f>
        <v/>
      </c>
      <c r="C124" s="24" t="n"/>
      <c r="D124" s="25">
        <f>IF(C124="","",IF(COUNTIF(lst_Jobs,C124&amp;"")&gt;0,"OK","CHECK"))</f>
        <v/>
      </c>
      <c r="E124" s="25">
        <f>IF(C124="","",IFERROR(INDEX(lst_JobName,MATCH(C124&amp;"",lst_Jobs,0)),""))</f>
        <v/>
      </c>
      <c r="F124" s="25">
        <f>IF(C124="","",IFERROR(INDEX(tbl_Finance[Client],IFERROR(MATCH(C124&amp;"",tbl_Finance[Job Number],0),MATCH(IFERROR(C124+0,C124),tbl_Finance[Job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6" t="n"/>
      <c r="L124" s="27">
        <f>IF(C124="","",IF(K124="",0,MAX(0,K124-H124)))</f>
        <v/>
      </c>
      <c r="M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N124" s="24" t="n"/>
      <c r="O124" s="24" t="n"/>
      <c r="P124" s="25">
        <f>IF(O124="","",HYPERLINK(IF(LEFT(O124,4)="http",O124,set_QwilrBase&amp;O124),"Open quote"))</f>
        <v/>
      </c>
      <c r="Q124" s="71" t="n"/>
      <c r="R124" s="24" t="n"/>
      <c r="S124" s="24" t="n"/>
    </row>
    <row r="125" ht="15" customHeight="1">
      <c r="A125" s="70">
        <f>IF(C125="","",IFERROR(IF(SUMPRODUCT(MAX((tbl_Finance[Job Number]&amp;""=C125&amp;"")*(tbl_Finance[Xero Invoice No]&lt;&gt;"")*tbl_Finance[Date]))=0,"",SUMPRODUCT(MAX((tbl_Finance[Job Number]&amp;""=C125&amp;"")*(tbl_Finance[Xero Invoice No]&lt;&gt;"")*tbl_Finance[Date]))),""))</f>
        <v/>
      </c>
      <c r="B125" s="25">
        <f>IF(C125="","",IF(COUNTIFS(tbl_Finance[Job Number],C125&amp;"",tbl_Finance[Xero Invoice No],"&lt;&gt;")=0,"",IFERROR(IF(COUNTIFS(tbl_Finance[Job Number],C125&amp;"",tbl_Finance[Xero Invoice No],LOOKUP(2,1/((tbl_Finance[Job Number]&amp;""=C125&amp;"")*(tbl_Finance[Xero Invoice No]&lt;&gt;"")),tbl_Finance[Xero Invoice No]))=COUNTIFS(tbl_Finance[Job Number],C125&amp;"",tbl_Finance[Xero Invoice No],"&lt;&gt;"),LOOKUP(2,1/((tbl_Finance[Job Number]&amp;""=C125&amp;"")*(tbl_Finance[Xero Invoice No]&lt;&gt;"")),tbl_Finance[Xero Invoice No]),LOOKUP(2,1/((tbl_Finance[Job Number]&amp;""=C125&amp;"")*(tbl_Finance[Xero Invoice No]&lt;&gt;"")),tbl_Finance[Xero Invoice No])&amp;" +more"),"")))</f>
        <v/>
      </c>
      <c r="C125" s="24" t="n"/>
      <c r="D125" s="25">
        <f>IF(C125="","",IF(COUNTIF(lst_Jobs,C125&amp;"")&gt;0,"OK","CHECK"))</f>
        <v/>
      </c>
      <c r="E125" s="25">
        <f>IF(C125="","",IFERROR(INDEX(lst_JobName,MATCH(C125&amp;"",lst_Jobs,0)),""))</f>
        <v/>
      </c>
      <c r="F125" s="25">
        <f>IF(C125="","",IFERROR(INDEX(tbl_Finance[Client],IFERROR(MATCH(C125&amp;"",tbl_Finance[Job Number],0),MATCH(IFERROR(C125+0,C125),tbl_Finance[Job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6" t="n"/>
      <c r="L125" s="27">
        <f>IF(C125="","",IF(K125="",0,MAX(0,K125-H125)))</f>
        <v/>
      </c>
      <c r="M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N125" s="24" t="n"/>
      <c r="O125" s="24" t="n"/>
      <c r="P125" s="25">
        <f>IF(O125="","",HYPERLINK(IF(LEFT(O125,4)="http",O125,set_QwilrBase&amp;O125),"Open quote"))</f>
        <v/>
      </c>
      <c r="Q125" s="71" t="n"/>
      <c r="R125" s="24" t="n"/>
      <c r="S125" s="24" t="n"/>
    </row>
    <row r="126" ht="15" customHeight="1">
      <c r="A126" s="70">
        <f>IF(C126="","",IFERROR(IF(SUMPRODUCT(MAX((tbl_Finance[Job Number]&amp;""=C126&amp;"")*(tbl_Finance[Xero Invoice No]&lt;&gt;"")*tbl_Finance[Date]))=0,"",SUMPRODUCT(MAX((tbl_Finance[Job Number]&amp;""=C126&amp;"")*(tbl_Finance[Xero Invoice No]&lt;&gt;"")*tbl_Finance[Date]))),""))</f>
        <v/>
      </c>
      <c r="B126" s="25">
        <f>IF(C126="","",IF(COUNTIFS(tbl_Finance[Job Number],C126&amp;"",tbl_Finance[Xero Invoice No],"&lt;&gt;")=0,"",IFERROR(IF(COUNTIFS(tbl_Finance[Job Number],C126&amp;"",tbl_Finance[Xero Invoice No],LOOKUP(2,1/((tbl_Finance[Job Number]&amp;""=C126&amp;"")*(tbl_Finance[Xero Invoice No]&lt;&gt;"")),tbl_Finance[Xero Invoice No]))=COUNTIFS(tbl_Finance[Job Number],C126&amp;"",tbl_Finance[Xero Invoice No],"&lt;&gt;"),LOOKUP(2,1/((tbl_Finance[Job Number]&amp;""=C126&amp;"")*(tbl_Finance[Xero Invoice No]&lt;&gt;"")),tbl_Finance[Xero Invoice No]),LOOKUP(2,1/((tbl_Finance[Job Number]&amp;""=C126&amp;"")*(tbl_Finance[Xero Invoice No]&lt;&gt;"")),tbl_Finance[Xero Invoice No])&amp;" +more"),"")))</f>
        <v/>
      </c>
      <c r="C126" s="24" t="n"/>
      <c r="D126" s="25">
        <f>IF(C126="","",IF(COUNTIF(lst_Jobs,C126&amp;"")&gt;0,"OK","CHECK"))</f>
        <v/>
      </c>
      <c r="E126" s="25">
        <f>IF(C126="","",IFERROR(INDEX(lst_JobName,MATCH(C126&amp;"",lst_Jobs,0)),""))</f>
        <v/>
      </c>
      <c r="F126" s="25">
        <f>IF(C126="","",IFERROR(INDEX(tbl_Finance[Client],IFERROR(MATCH(C126&amp;"",tbl_Finance[Job Number],0),MATCH(IFERROR(C126+0,C126),tbl_Finance[Job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6" t="n"/>
      <c r="L126" s="27">
        <f>IF(C126="","",IF(K126="",0,MAX(0,K126-H126)))</f>
        <v/>
      </c>
      <c r="M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N126" s="24" t="n"/>
      <c r="O126" s="24" t="n"/>
      <c r="P126" s="25">
        <f>IF(O126="","",HYPERLINK(IF(LEFT(O126,4)="http",O126,set_QwilrBase&amp;O126),"Open quote"))</f>
        <v/>
      </c>
      <c r="Q126" s="71" t="n"/>
      <c r="R126" s="24" t="n"/>
      <c r="S126" s="24" t="n"/>
    </row>
    <row r="127" ht="15" customHeight="1">
      <c r="A127" s="70">
        <f>IF(C127="","",IFERROR(IF(SUMPRODUCT(MAX((tbl_Finance[Job Number]&amp;""=C127&amp;"")*(tbl_Finance[Xero Invoice No]&lt;&gt;"")*tbl_Finance[Date]))=0,"",SUMPRODUCT(MAX((tbl_Finance[Job Number]&amp;""=C127&amp;"")*(tbl_Finance[Xero Invoice No]&lt;&gt;"")*tbl_Finance[Date]))),""))</f>
        <v/>
      </c>
      <c r="B127" s="25">
        <f>IF(C127="","",IF(COUNTIFS(tbl_Finance[Job Number],C127&amp;"",tbl_Finance[Xero Invoice No],"&lt;&gt;")=0,"",IFERROR(IF(COUNTIFS(tbl_Finance[Job Number],C127&amp;"",tbl_Finance[Xero Invoice No],LOOKUP(2,1/((tbl_Finance[Job Number]&amp;""=C127&amp;"")*(tbl_Finance[Xero Invoice No]&lt;&gt;"")),tbl_Finance[Xero Invoice No]))=COUNTIFS(tbl_Finance[Job Number],C127&amp;"",tbl_Finance[Xero Invoice No],"&lt;&gt;"),LOOKUP(2,1/((tbl_Finance[Job Number]&amp;""=C127&amp;"")*(tbl_Finance[Xero Invoice No]&lt;&gt;"")),tbl_Finance[Xero Invoice No]),LOOKUP(2,1/((tbl_Finance[Job Number]&amp;""=C127&amp;"")*(tbl_Finance[Xero Invoice No]&lt;&gt;"")),tbl_Finance[Xero Invoice No])&amp;" +more"),"")))</f>
        <v/>
      </c>
      <c r="C127" s="24" t="n"/>
      <c r="D127" s="25">
        <f>IF(C127="","",IF(COUNTIF(lst_Jobs,C127&amp;"")&gt;0,"OK","CHECK"))</f>
        <v/>
      </c>
      <c r="E127" s="25">
        <f>IF(C127="","",IFERROR(INDEX(lst_JobName,MATCH(C127&amp;"",lst_Jobs,0)),""))</f>
        <v/>
      </c>
      <c r="F127" s="25">
        <f>IF(C127="","",IFERROR(INDEX(tbl_Finance[Client],IFERROR(MATCH(C127&amp;"",tbl_Finance[Job Number],0),MATCH(IFERROR(C127+0,C127),tbl_Finance[Job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6" t="n"/>
      <c r="L127" s="27">
        <f>IF(C127="","",IF(K127="",0,MAX(0,K127-H127)))</f>
        <v/>
      </c>
      <c r="M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N127" s="24" t="n"/>
      <c r="O127" s="24" t="n"/>
      <c r="P127" s="25">
        <f>IF(O127="","",HYPERLINK(IF(LEFT(O127,4)="http",O127,set_QwilrBase&amp;O127),"Open quote"))</f>
        <v/>
      </c>
      <c r="Q127" s="71" t="n"/>
      <c r="R127" s="24" t="n"/>
      <c r="S127" s="24" t="n"/>
    </row>
    <row r="128" ht="15" customHeight="1">
      <c r="A128" s="70">
        <f>IF(C128="","",IFERROR(IF(SUMPRODUCT(MAX((tbl_Finance[Job Number]&amp;""=C128&amp;"")*(tbl_Finance[Xero Invoice No]&lt;&gt;"")*tbl_Finance[Date]))=0,"",SUMPRODUCT(MAX((tbl_Finance[Job Number]&amp;""=C128&amp;"")*(tbl_Finance[Xero Invoice No]&lt;&gt;"")*tbl_Finance[Date]))),""))</f>
        <v/>
      </c>
      <c r="B128" s="25">
        <f>IF(C128="","",IF(COUNTIFS(tbl_Finance[Job Number],C128&amp;"",tbl_Finance[Xero Invoice No],"&lt;&gt;")=0,"",IFERROR(IF(COUNTIFS(tbl_Finance[Job Number],C128&amp;"",tbl_Finance[Xero Invoice No],LOOKUP(2,1/((tbl_Finance[Job Number]&amp;""=C128&amp;"")*(tbl_Finance[Xero Invoice No]&lt;&gt;"")),tbl_Finance[Xero Invoice No]))=COUNTIFS(tbl_Finance[Job Number],C128&amp;"",tbl_Finance[Xero Invoice No],"&lt;&gt;"),LOOKUP(2,1/((tbl_Finance[Job Number]&amp;""=C128&amp;"")*(tbl_Finance[Xero Invoice No]&lt;&gt;"")),tbl_Finance[Xero Invoice No]),LOOKUP(2,1/((tbl_Finance[Job Number]&amp;""=C128&amp;"")*(tbl_Finance[Xero Invoice No]&lt;&gt;"")),tbl_Finance[Xero Invoice No])&amp;" +more"),"")))</f>
        <v/>
      </c>
      <c r="C128" s="24" t="n"/>
      <c r="D128" s="25">
        <f>IF(C128="","",IF(COUNTIF(lst_Jobs,C128&amp;"")&gt;0,"OK","CHECK"))</f>
        <v/>
      </c>
      <c r="E128" s="25">
        <f>IF(C128="","",IFERROR(INDEX(lst_JobName,MATCH(C128&amp;"",lst_Jobs,0)),""))</f>
        <v/>
      </c>
      <c r="F128" s="25">
        <f>IF(C128="","",IFERROR(INDEX(tbl_Finance[Client],IFERROR(MATCH(C128&amp;"",tbl_Finance[Job Number],0),MATCH(IFERROR(C128+0,C128),tbl_Finance[Job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6" t="n"/>
      <c r="L128" s="27">
        <f>IF(C128="","",IF(K128="",0,MAX(0,K128-H128)))</f>
        <v/>
      </c>
      <c r="M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N128" s="24" t="n"/>
      <c r="O128" s="24" t="n"/>
      <c r="P128" s="25">
        <f>IF(O128="","",HYPERLINK(IF(LEFT(O128,4)="http",O128,set_QwilrBase&amp;O128),"Open quote"))</f>
        <v/>
      </c>
      <c r="Q128" s="71" t="n"/>
      <c r="R128" s="24" t="n"/>
      <c r="S128" s="24" t="n"/>
    </row>
    <row r="129" ht="15" customHeight="1">
      <c r="A129" s="70">
        <f>IF(C129="","",IFERROR(IF(SUMPRODUCT(MAX((tbl_Finance[Job Number]&amp;""=C129&amp;"")*(tbl_Finance[Xero Invoice No]&lt;&gt;"")*tbl_Finance[Date]))=0,"",SUMPRODUCT(MAX((tbl_Finance[Job Number]&amp;""=C129&amp;"")*(tbl_Finance[Xero Invoice No]&lt;&gt;"")*tbl_Finance[Date]))),""))</f>
        <v/>
      </c>
      <c r="B129" s="25">
        <f>IF(C129="","",IF(COUNTIFS(tbl_Finance[Job Number],C129&amp;"",tbl_Finance[Xero Invoice No],"&lt;&gt;")=0,"",IFERROR(IF(COUNTIFS(tbl_Finance[Job Number],C129&amp;"",tbl_Finance[Xero Invoice No],LOOKUP(2,1/((tbl_Finance[Job Number]&amp;""=C129&amp;"")*(tbl_Finance[Xero Invoice No]&lt;&gt;"")),tbl_Finance[Xero Invoice No]))=COUNTIFS(tbl_Finance[Job Number],C129&amp;"",tbl_Finance[Xero Invoice No],"&lt;&gt;"),LOOKUP(2,1/((tbl_Finance[Job Number]&amp;""=C129&amp;"")*(tbl_Finance[Xero Invoice No]&lt;&gt;"")),tbl_Finance[Xero Invoice No]),LOOKUP(2,1/((tbl_Finance[Job Number]&amp;""=C129&amp;"")*(tbl_Finance[Xero Invoice No]&lt;&gt;"")),tbl_Finance[Xero Invoice No])&amp;" +more"),"")))</f>
        <v/>
      </c>
      <c r="C129" s="24" t="n"/>
      <c r="D129" s="25">
        <f>IF(C129="","",IF(COUNTIF(lst_Jobs,C129&amp;"")&gt;0,"OK","CHECK"))</f>
        <v/>
      </c>
      <c r="E129" s="25">
        <f>IF(C129="","",IFERROR(INDEX(lst_JobName,MATCH(C129&amp;"",lst_Jobs,0)),""))</f>
        <v/>
      </c>
      <c r="F129" s="25">
        <f>IF(C129="","",IFERROR(INDEX(tbl_Finance[Client],IFERROR(MATCH(C129&amp;"",tbl_Finance[Job Number],0),MATCH(IFERROR(C129+0,C129),tbl_Finance[Job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6" t="n"/>
      <c r="L129" s="27">
        <f>IF(C129="","",IF(K129="",0,MAX(0,K129-H129)))</f>
        <v/>
      </c>
      <c r="M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N129" s="24" t="n"/>
      <c r="O129" s="24" t="n"/>
      <c r="P129" s="25">
        <f>IF(O129="","",HYPERLINK(IF(LEFT(O129,4)="http",O129,set_QwilrBase&amp;O129),"Open quote"))</f>
        <v/>
      </c>
      <c r="Q129" s="71" t="n"/>
      <c r="R129" s="24" t="n"/>
      <c r="S129" s="24" t="n"/>
    </row>
    <row r="130" ht="15" customHeight="1">
      <c r="A130" s="70">
        <f>IF(C130="","",IFERROR(IF(SUMPRODUCT(MAX((tbl_Finance[Job Number]&amp;""=C130&amp;"")*(tbl_Finance[Xero Invoice No]&lt;&gt;"")*tbl_Finance[Date]))=0,"",SUMPRODUCT(MAX((tbl_Finance[Job Number]&amp;""=C130&amp;"")*(tbl_Finance[Xero Invoice No]&lt;&gt;"")*tbl_Finance[Date]))),""))</f>
        <v/>
      </c>
      <c r="B130" s="25">
        <f>IF(C130="","",IF(COUNTIFS(tbl_Finance[Job Number],C130&amp;"",tbl_Finance[Xero Invoice No],"&lt;&gt;")=0,"",IFERROR(IF(COUNTIFS(tbl_Finance[Job Number],C130&amp;"",tbl_Finance[Xero Invoice No],LOOKUP(2,1/((tbl_Finance[Job Number]&amp;""=C130&amp;"")*(tbl_Finance[Xero Invoice No]&lt;&gt;"")),tbl_Finance[Xero Invoice No]))=COUNTIFS(tbl_Finance[Job Number],C130&amp;"",tbl_Finance[Xero Invoice No],"&lt;&gt;"),LOOKUP(2,1/((tbl_Finance[Job Number]&amp;""=C130&amp;"")*(tbl_Finance[Xero Invoice No]&lt;&gt;"")),tbl_Finance[Xero Invoice No]),LOOKUP(2,1/((tbl_Finance[Job Number]&amp;""=C130&amp;"")*(tbl_Finance[Xero Invoice No]&lt;&gt;"")),tbl_Finance[Xero Invoice No])&amp;" +more"),"")))</f>
        <v/>
      </c>
      <c r="C130" s="24" t="n"/>
      <c r="D130" s="25">
        <f>IF(C130="","",IF(COUNTIF(lst_Jobs,C130&amp;"")&gt;0,"OK","CHECK"))</f>
        <v/>
      </c>
      <c r="E130" s="25">
        <f>IF(C130="","",IFERROR(INDEX(lst_JobName,MATCH(C130&amp;"",lst_Jobs,0)),""))</f>
        <v/>
      </c>
      <c r="F130" s="25">
        <f>IF(C130="","",IFERROR(INDEX(tbl_Finance[Client],IFERROR(MATCH(C130&amp;"",tbl_Finance[Job Number],0),MATCH(IFERROR(C130+0,C130),tbl_Finance[Job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6" t="n"/>
      <c r="L130" s="27">
        <f>IF(C130="","",IF(K130="",0,MAX(0,K130-H130)))</f>
        <v/>
      </c>
      <c r="M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N130" s="24" t="n"/>
      <c r="O130" s="24" t="n"/>
      <c r="P130" s="25">
        <f>IF(O130="","",HYPERLINK(IF(LEFT(O130,4)="http",O130,set_QwilrBase&amp;O130),"Open quote"))</f>
        <v/>
      </c>
      <c r="Q130" s="71" t="n"/>
      <c r="R130" s="24" t="n"/>
      <c r="S130" s="24" t="n"/>
    </row>
    <row r="131" ht="15" customHeight="1">
      <c r="A131" s="70">
        <f>IF(C131="","",IFERROR(IF(SUMPRODUCT(MAX((tbl_Finance[Job Number]&amp;""=C131&amp;"")*(tbl_Finance[Xero Invoice No]&lt;&gt;"")*tbl_Finance[Date]))=0,"",SUMPRODUCT(MAX((tbl_Finance[Job Number]&amp;""=C131&amp;"")*(tbl_Finance[Xero Invoice No]&lt;&gt;"")*tbl_Finance[Date]))),""))</f>
        <v/>
      </c>
      <c r="B131" s="25">
        <f>IF(C131="","",IF(COUNTIFS(tbl_Finance[Job Number],C131&amp;"",tbl_Finance[Xero Invoice No],"&lt;&gt;")=0,"",IFERROR(IF(COUNTIFS(tbl_Finance[Job Number],C131&amp;"",tbl_Finance[Xero Invoice No],LOOKUP(2,1/((tbl_Finance[Job Number]&amp;""=C131&amp;"")*(tbl_Finance[Xero Invoice No]&lt;&gt;"")),tbl_Finance[Xero Invoice No]))=COUNTIFS(tbl_Finance[Job Number],C131&amp;"",tbl_Finance[Xero Invoice No],"&lt;&gt;"),LOOKUP(2,1/((tbl_Finance[Job Number]&amp;""=C131&amp;"")*(tbl_Finance[Xero Invoice No]&lt;&gt;"")),tbl_Finance[Xero Invoice No]),LOOKUP(2,1/((tbl_Finance[Job Number]&amp;""=C131&amp;"")*(tbl_Finance[Xero Invoice No]&lt;&gt;"")),tbl_Finance[Xero Invoice No])&amp;" +more"),"")))</f>
        <v/>
      </c>
      <c r="C131" s="24" t="n"/>
      <c r="D131" s="25">
        <f>IF(C131="","",IF(COUNTIF(lst_Jobs,C131&amp;"")&gt;0,"OK","CHECK"))</f>
        <v/>
      </c>
      <c r="E131" s="25">
        <f>IF(C131="","",IFERROR(INDEX(lst_JobName,MATCH(C131&amp;"",lst_Jobs,0)),""))</f>
        <v/>
      </c>
      <c r="F131" s="25">
        <f>IF(C131="","",IFERROR(INDEX(tbl_Finance[Client],IFERROR(MATCH(C131&amp;"",tbl_Finance[Job Number],0),MATCH(IFERROR(C131+0,C131),tbl_Finance[Job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6" t="n"/>
      <c r="L131" s="27">
        <f>IF(C131="","",IF(K131="",0,MAX(0,K131-H131)))</f>
        <v/>
      </c>
      <c r="M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N131" s="24" t="n"/>
      <c r="O131" s="24" t="n"/>
      <c r="P131" s="25">
        <f>IF(O131="","",HYPERLINK(IF(LEFT(O131,4)="http",O131,set_QwilrBase&amp;O131),"Open quote"))</f>
        <v/>
      </c>
      <c r="Q131" s="71" t="n"/>
      <c r="R131" s="24" t="n"/>
      <c r="S131" s="24" t="n"/>
    </row>
    <row r="132" ht="15" customHeight="1">
      <c r="A132" s="70">
        <f>IF(C132="","",IFERROR(IF(SUMPRODUCT(MAX((tbl_Finance[Job Number]&amp;""=C132&amp;"")*(tbl_Finance[Xero Invoice No]&lt;&gt;"")*tbl_Finance[Date]))=0,"",SUMPRODUCT(MAX((tbl_Finance[Job Number]&amp;""=C132&amp;"")*(tbl_Finance[Xero Invoice No]&lt;&gt;"")*tbl_Finance[Date]))),""))</f>
        <v/>
      </c>
      <c r="B132" s="25">
        <f>IF(C132="","",IF(COUNTIFS(tbl_Finance[Job Number],C132&amp;"",tbl_Finance[Xero Invoice No],"&lt;&gt;")=0,"",IFERROR(IF(COUNTIFS(tbl_Finance[Job Number],C132&amp;"",tbl_Finance[Xero Invoice No],LOOKUP(2,1/((tbl_Finance[Job Number]&amp;""=C132&amp;"")*(tbl_Finance[Xero Invoice No]&lt;&gt;"")),tbl_Finance[Xero Invoice No]))=COUNTIFS(tbl_Finance[Job Number],C132&amp;"",tbl_Finance[Xero Invoice No],"&lt;&gt;"),LOOKUP(2,1/((tbl_Finance[Job Number]&amp;""=C132&amp;"")*(tbl_Finance[Xero Invoice No]&lt;&gt;"")),tbl_Finance[Xero Invoice No]),LOOKUP(2,1/((tbl_Finance[Job Number]&amp;""=C132&amp;"")*(tbl_Finance[Xero Invoice No]&lt;&gt;"")),tbl_Finance[Xero Invoice No])&amp;" +more"),"")))</f>
        <v/>
      </c>
      <c r="C132" s="24" t="n"/>
      <c r="D132" s="25">
        <f>IF(C132="","",IF(COUNTIF(lst_Jobs,C132&amp;"")&gt;0,"OK","CHECK"))</f>
        <v/>
      </c>
      <c r="E132" s="25">
        <f>IF(C132="","",IFERROR(INDEX(lst_JobName,MATCH(C132&amp;"",lst_Jobs,0)),""))</f>
        <v/>
      </c>
      <c r="F132" s="25">
        <f>IF(C132="","",IFERROR(INDEX(tbl_Finance[Client],IFERROR(MATCH(C132&amp;"",tbl_Finance[Job Number],0),MATCH(IFERROR(C132+0,C132),tbl_Finance[Job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6" t="n"/>
      <c r="L132" s="27">
        <f>IF(C132="","",IF(K132="",0,MAX(0,K132-H132)))</f>
        <v/>
      </c>
      <c r="M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N132" s="24" t="n"/>
      <c r="O132" s="24" t="n"/>
      <c r="P132" s="25">
        <f>IF(O132="","",HYPERLINK(IF(LEFT(O132,4)="http",O132,set_QwilrBase&amp;O132),"Open quote"))</f>
        <v/>
      </c>
      <c r="Q132" s="71" t="n"/>
      <c r="R132" s="24" t="n"/>
      <c r="S132" s="24" t="n"/>
    </row>
    <row r="133" ht="15" customHeight="1">
      <c r="A133" s="70">
        <f>IF(C133="","",IFERROR(IF(SUMPRODUCT(MAX((tbl_Finance[Job Number]&amp;""=C133&amp;"")*(tbl_Finance[Xero Invoice No]&lt;&gt;"")*tbl_Finance[Date]))=0,"",SUMPRODUCT(MAX((tbl_Finance[Job Number]&amp;""=C133&amp;"")*(tbl_Finance[Xero Invoice No]&lt;&gt;"")*tbl_Finance[Date]))),""))</f>
        <v/>
      </c>
      <c r="B133" s="25">
        <f>IF(C133="","",IF(COUNTIFS(tbl_Finance[Job Number],C133&amp;"",tbl_Finance[Xero Invoice No],"&lt;&gt;")=0,"",IFERROR(IF(COUNTIFS(tbl_Finance[Job Number],C133&amp;"",tbl_Finance[Xero Invoice No],LOOKUP(2,1/((tbl_Finance[Job Number]&amp;""=C133&amp;"")*(tbl_Finance[Xero Invoice No]&lt;&gt;"")),tbl_Finance[Xero Invoice No]))=COUNTIFS(tbl_Finance[Job Number],C133&amp;"",tbl_Finance[Xero Invoice No],"&lt;&gt;"),LOOKUP(2,1/((tbl_Finance[Job Number]&amp;""=C133&amp;"")*(tbl_Finance[Xero Invoice No]&lt;&gt;"")),tbl_Finance[Xero Invoice No]),LOOKUP(2,1/((tbl_Finance[Job Number]&amp;""=C133&amp;"")*(tbl_Finance[Xero Invoice No]&lt;&gt;"")),tbl_Finance[Xero Invoice No])&amp;" +more"),"")))</f>
        <v/>
      </c>
      <c r="C133" s="24" t="n"/>
      <c r="D133" s="25">
        <f>IF(C133="","",IF(COUNTIF(lst_Jobs,C133&amp;"")&gt;0,"OK","CHECK"))</f>
        <v/>
      </c>
      <c r="E133" s="25">
        <f>IF(C133="","",IFERROR(INDEX(lst_JobName,MATCH(C133&amp;"",lst_Jobs,0)),""))</f>
        <v/>
      </c>
      <c r="F133" s="25">
        <f>IF(C133="","",IFERROR(INDEX(tbl_Finance[Client],IFERROR(MATCH(C133&amp;"",tbl_Finance[Job Number],0),MATCH(IFERROR(C133+0,C133),tbl_Finance[Job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6" t="n"/>
      <c r="L133" s="27">
        <f>IF(C133="","",IF(K133="",0,MAX(0,K133-H133)))</f>
        <v/>
      </c>
      <c r="M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N133" s="24" t="n"/>
      <c r="O133" s="24" t="n"/>
      <c r="P133" s="25">
        <f>IF(O133="","",HYPERLINK(IF(LEFT(O133,4)="http",O133,set_QwilrBase&amp;O133),"Open quote"))</f>
        <v/>
      </c>
      <c r="Q133" s="71" t="n"/>
      <c r="R133" s="24" t="n"/>
      <c r="S133" s="24" t="n"/>
    </row>
    <row r="134" ht="15" customHeight="1">
      <c r="A134" s="70">
        <f>IF(C134="","",IFERROR(IF(SUMPRODUCT(MAX((tbl_Finance[Job Number]&amp;""=C134&amp;"")*(tbl_Finance[Xero Invoice No]&lt;&gt;"")*tbl_Finance[Date]))=0,"",SUMPRODUCT(MAX((tbl_Finance[Job Number]&amp;""=C134&amp;"")*(tbl_Finance[Xero Invoice No]&lt;&gt;"")*tbl_Finance[Date]))),""))</f>
        <v/>
      </c>
      <c r="B134" s="25">
        <f>IF(C134="","",IF(COUNTIFS(tbl_Finance[Job Number],C134&amp;"",tbl_Finance[Xero Invoice No],"&lt;&gt;")=0,"",IFERROR(IF(COUNTIFS(tbl_Finance[Job Number],C134&amp;"",tbl_Finance[Xero Invoice No],LOOKUP(2,1/((tbl_Finance[Job Number]&amp;""=C134&amp;"")*(tbl_Finance[Xero Invoice No]&lt;&gt;"")),tbl_Finance[Xero Invoice No]))=COUNTIFS(tbl_Finance[Job Number],C134&amp;"",tbl_Finance[Xero Invoice No],"&lt;&gt;"),LOOKUP(2,1/((tbl_Finance[Job Number]&amp;""=C134&amp;"")*(tbl_Finance[Xero Invoice No]&lt;&gt;"")),tbl_Finance[Xero Invoice No]),LOOKUP(2,1/((tbl_Finance[Job Number]&amp;""=C134&amp;"")*(tbl_Finance[Xero Invoice No]&lt;&gt;"")),tbl_Finance[Xero Invoice No])&amp;" +more"),"")))</f>
        <v/>
      </c>
      <c r="C134" s="24" t="n"/>
      <c r="D134" s="25">
        <f>IF(C134="","",IF(COUNTIF(lst_Jobs,C134&amp;"")&gt;0,"OK","CHECK"))</f>
        <v/>
      </c>
      <c r="E134" s="25">
        <f>IF(C134="","",IFERROR(INDEX(lst_JobName,MATCH(C134&amp;"",lst_Jobs,0)),""))</f>
        <v/>
      </c>
      <c r="F134" s="25">
        <f>IF(C134="","",IFERROR(INDEX(tbl_Finance[Client],IFERROR(MATCH(C134&amp;"",tbl_Finance[Job Number],0),MATCH(IFERROR(C134+0,C134),tbl_Finance[Job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6" t="n"/>
      <c r="L134" s="27">
        <f>IF(C134="","",IF(K134="",0,MAX(0,K134-H134)))</f>
        <v/>
      </c>
      <c r="M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N134" s="24" t="n"/>
      <c r="O134" s="24" t="n"/>
      <c r="P134" s="25">
        <f>IF(O134="","",HYPERLINK(IF(LEFT(O134,4)="http",O134,set_QwilrBase&amp;O134),"Open quote"))</f>
        <v/>
      </c>
      <c r="Q134" s="71" t="n"/>
      <c r="R134" s="24" t="n"/>
      <c r="S134" s="24" t="n"/>
    </row>
    <row r="135" ht="15" customHeight="1">
      <c r="A135" s="70">
        <f>IF(C135="","",IFERROR(IF(SUMPRODUCT(MAX((tbl_Finance[Job Number]&amp;""=C135&amp;"")*(tbl_Finance[Xero Invoice No]&lt;&gt;"")*tbl_Finance[Date]))=0,"",SUMPRODUCT(MAX((tbl_Finance[Job Number]&amp;""=C135&amp;"")*(tbl_Finance[Xero Invoice No]&lt;&gt;"")*tbl_Finance[Date]))),""))</f>
        <v/>
      </c>
      <c r="B135" s="25">
        <f>IF(C135="","",IF(COUNTIFS(tbl_Finance[Job Number],C135&amp;"",tbl_Finance[Xero Invoice No],"&lt;&gt;")=0,"",IFERROR(IF(COUNTIFS(tbl_Finance[Job Number],C135&amp;"",tbl_Finance[Xero Invoice No],LOOKUP(2,1/((tbl_Finance[Job Number]&amp;""=C135&amp;"")*(tbl_Finance[Xero Invoice No]&lt;&gt;"")),tbl_Finance[Xero Invoice No]))=COUNTIFS(tbl_Finance[Job Number],C135&amp;"",tbl_Finance[Xero Invoice No],"&lt;&gt;"),LOOKUP(2,1/((tbl_Finance[Job Number]&amp;""=C135&amp;"")*(tbl_Finance[Xero Invoice No]&lt;&gt;"")),tbl_Finance[Xero Invoice No]),LOOKUP(2,1/((tbl_Finance[Job Number]&amp;""=C135&amp;"")*(tbl_Finance[Xero Invoice No]&lt;&gt;"")),tbl_Finance[Xero Invoice No])&amp;" +more"),"")))</f>
        <v/>
      </c>
      <c r="C135" s="24" t="n"/>
      <c r="D135" s="25">
        <f>IF(C135="","",IF(COUNTIF(lst_Jobs,C135&amp;"")&gt;0,"OK","CHECK"))</f>
        <v/>
      </c>
      <c r="E135" s="25">
        <f>IF(C135="","",IFERROR(INDEX(lst_JobName,MATCH(C135&amp;"",lst_Jobs,0)),""))</f>
        <v/>
      </c>
      <c r="F135" s="25">
        <f>IF(C135="","",IFERROR(INDEX(tbl_Finance[Client],IFERROR(MATCH(C135&amp;"",tbl_Finance[Job Number],0),MATCH(IFERROR(C135+0,C135),tbl_Finance[Job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6" t="n"/>
      <c r="L135" s="27">
        <f>IF(C135="","",IF(K135="",0,MAX(0,K135-H135)))</f>
        <v/>
      </c>
      <c r="M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N135" s="24" t="n"/>
      <c r="O135" s="24" t="n"/>
      <c r="P135" s="25">
        <f>IF(O135="","",HYPERLINK(IF(LEFT(O135,4)="http",O135,set_QwilrBase&amp;O135),"Open quote"))</f>
        <v/>
      </c>
      <c r="Q135" s="71" t="n"/>
      <c r="R135" s="24" t="n"/>
      <c r="S135" s="24" t="n"/>
    </row>
    <row r="136" ht="15" customHeight="1">
      <c r="A136" s="70">
        <f>IF(C136="","",IFERROR(IF(SUMPRODUCT(MAX((tbl_Finance[Job Number]&amp;""=C136&amp;"")*(tbl_Finance[Xero Invoice No]&lt;&gt;"")*tbl_Finance[Date]))=0,"",SUMPRODUCT(MAX((tbl_Finance[Job Number]&amp;""=C136&amp;"")*(tbl_Finance[Xero Invoice No]&lt;&gt;"")*tbl_Finance[Date]))),""))</f>
        <v/>
      </c>
      <c r="B136" s="25">
        <f>IF(C136="","",IF(COUNTIFS(tbl_Finance[Job Number],C136&amp;"",tbl_Finance[Xero Invoice No],"&lt;&gt;")=0,"",IFERROR(IF(COUNTIFS(tbl_Finance[Job Number],C136&amp;"",tbl_Finance[Xero Invoice No],LOOKUP(2,1/((tbl_Finance[Job Number]&amp;""=C136&amp;"")*(tbl_Finance[Xero Invoice No]&lt;&gt;"")),tbl_Finance[Xero Invoice No]))=COUNTIFS(tbl_Finance[Job Number],C136&amp;"",tbl_Finance[Xero Invoice No],"&lt;&gt;"),LOOKUP(2,1/((tbl_Finance[Job Number]&amp;""=C136&amp;"")*(tbl_Finance[Xero Invoice No]&lt;&gt;"")),tbl_Finance[Xero Invoice No]),LOOKUP(2,1/((tbl_Finance[Job Number]&amp;""=C136&amp;"")*(tbl_Finance[Xero Invoice No]&lt;&gt;"")),tbl_Finance[Xero Invoice No])&amp;" +more"),"")))</f>
        <v/>
      </c>
      <c r="C136" s="24" t="n"/>
      <c r="D136" s="25">
        <f>IF(C136="","",IF(COUNTIF(lst_Jobs,C136&amp;"")&gt;0,"OK","CHECK"))</f>
        <v/>
      </c>
      <c r="E136" s="25">
        <f>IF(C136="","",IFERROR(INDEX(lst_JobName,MATCH(C136&amp;"",lst_Jobs,0)),""))</f>
        <v/>
      </c>
      <c r="F136" s="25">
        <f>IF(C136="","",IFERROR(INDEX(tbl_Finance[Client],IFERROR(MATCH(C136&amp;"",tbl_Finance[Job Number],0),MATCH(IFERROR(C136+0,C136),tbl_Finance[Job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6" t="n"/>
      <c r="L136" s="27">
        <f>IF(C136="","",IF(K136="",0,MAX(0,K136-H136)))</f>
        <v/>
      </c>
      <c r="M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N136" s="24" t="n"/>
      <c r="O136" s="24" t="n"/>
      <c r="P136" s="25">
        <f>IF(O136="","",HYPERLINK(IF(LEFT(O136,4)="http",O136,set_QwilrBase&amp;O136),"Open quote"))</f>
        <v/>
      </c>
      <c r="Q136" s="71" t="n"/>
      <c r="R136" s="24" t="n"/>
      <c r="S136" s="24" t="n"/>
    </row>
    <row r="137" ht="15" customHeight="1">
      <c r="A137" s="70">
        <f>IF(C137="","",IFERROR(IF(SUMPRODUCT(MAX((tbl_Finance[Job Number]&amp;""=C137&amp;"")*(tbl_Finance[Xero Invoice No]&lt;&gt;"")*tbl_Finance[Date]))=0,"",SUMPRODUCT(MAX((tbl_Finance[Job Number]&amp;""=C137&amp;"")*(tbl_Finance[Xero Invoice No]&lt;&gt;"")*tbl_Finance[Date]))),""))</f>
        <v/>
      </c>
      <c r="B137" s="25">
        <f>IF(C137="","",IF(COUNTIFS(tbl_Finance[Job Number],C137&amp;"",tbl_Finance[Xero Invoice No],"&lt;&gt;")=0,"",IFERROR(IF(COUNTIFS(tbl_Finance[Job Number],C137&amp;"",tbl_Finance[Xero Invoice No],LOOKUP(2,1/((tbl_Finance[Job Number]&amp;""=C137&amp;"")*(tbl_Finance[Xero Invoice No]&lt;&gt;"")),tbl_Finance[Xero Invoice No]))=COUNTIFS(tbl_Finance[Job Number],C137&amp;"",tbl_Finance[Xero Invoice No],"&lt;&gt;"),LOOKUP(2,1/((tbl_Finance[Job Number]&amp;""=C137&amp;"")*(tbl_Finance[Xero Invoice No]&lt;&gt;"")),tbl_Finance[Xero Invoice No]),LOOKUP(2,1/((tbl_Finance[Job Number]&amp;""=C137&amp;"")*(tbl_Finance[Xero Invoice No]&lt;&gt;"")),tbl_Finance[Xero Invoice No])&amp;" +more"),"")))</f>
        <v/>
      </c>
      <c r="C137" s="24" t="n"/>
      <c r="D137" s="25">
        <f>IF(C137="","",IF(COUNTIF(lst_Jobs,C137&amp;"")&gt;0,"OK","CHECK"))</f>
        <v/>
      </c>
      <c r="E137" s="25">
        <f>IF(C137="","",IFERROR(INDEX(lst_JobName,MATCH(C137&amp;"",lst_Jobs,0)),""))</f>
        <v/>
      </c>
      <c r="F137" s="25">
        <f>IF(C137="","",IFERROR(INDEX(tbl_Finance[Client],IFERROR(MATCH(C137&amp;"",tbl_Finance[Job Number],0),MATCH(IFERROR(C137+0,C137),tbl_Finance[Job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6" t="n"/>
      <c r="L137" s="27">
        <f>IF(C137="","",IF(K137="",0,MAX(0,K137-H137)))</f>
        <v/>
      </c>
      <c r="M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N137" s="24" t="n"/>
      <c r="O137" s="24" t="n"/>
      <c r="P137" s="25">
        <f>IF(O137="","",HYPERLINK(IF(LEFT(O137,4)="http",O137,set_QwilrBase&amp;O137),"Open quote"))</f>
        <v/>
      </c>
      <c r="Q137" s="71" t="n"/>
      <c r="R137" s="24" t="n"/>
      <c r="S137" s="24" t="n"/>
    </row>
    <row r="138" ht="15" customHeight="1">
      <c r="A138" s="70">
        <f>IF(C138="","",IFERROR(IF(SUMPRODUCT(MAX((tbl_Finance[Job Number]&amp;""=C138&amp;"")*(tbl_Finance[Xero Invoice No]&lt;&gt;"")*tbl_Finance[Date]))=0,"",SUMPRODUCT(MAX((tbl_Finance[Job Number]&amp;""=C138&amp;"")*(tbl_Finance[Xero Invoice No]&lt;&gt;"")*tbl_Finance[Date]))),""))</f>
        <v/>
      </c>
      <c r="B138" s="25">
        <f>IF(C138="","",IF(COUNTIFS(tbl_Finance[Job Number],C138&amp;"",tbl_Finance[Xero Invoice No],"&lt;&gt;")=0,"",IFERROR(IF(COUNTIFS(tbl_Finance[Job Number],C138&amp;"",tbl_Finance[Xero Invoice No],LOOKUP(2,1/((tbl_Finance[Job Number]&amp;""=C138&amp;"")*(tbl_Finance[Xero Invoice No]&lt;&gt;"")),tbl_Finance[Xero Invoice No]))=COUNTIFS(tbl_Finance[Job Number],C138&amp;"",tbl_Finance[Xero Invoice No],"&lt;&gt;"),LOOKUP(2,1/((tbl_Finance[Job Number]&amp;""=C138&amp;"")*(tbl_Finance[Xero Invoice No]&lt;&gt;"")),tbl_Finance[Xero Invoice No]),LOOKUP(2,1/((tbl_Finance[Job Number]&amp;""=C138&amp;"")*(tbl_Finance[Xero Invoice No]&lt;&gt;"")),tbl_Finance[Xero Invoice No])&amp;" +more"),"")))</f>
        <v/>
      </c>
      <c r="C138" s="24" t="n"/>
      <c r="D138" s="25">
        <f>IF(C138="","",IF(COUNTIF(lst_Jobs,C138&amp;"")&gt;0,"OK","CHECK"))</f>
        <v/>
      </c>
      <c r="E138" s="25">
        <f>IF(C138="","",IFERROR(INDEX(lst_JobName,MATCH(C138&amp;"",lst_Jobs,0)),""))</f>
        <v/>
      </c>
      <c r="F138" s="25">
        <f>IF(C138="","",IFERROR(INDEX(tbl_Finance[Client],IFERROR(MATCH(C138&amp;"",tbl_Finance[Job Number],0),MATCH(IFERROR(C138+0,C138),tbl_Finance[Job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6" t="n"/>
      <c r="L138" s="27">
        <f>IF(C138="","",IF(K138="",0,MAX(0,K138-H138)))</f>
        <v/>
      </c>
      <c r="M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N138" s="24" t="n"/>
      <c r="O138" s="24" t="n"/>
      <c r="P138" s="25">
        <f>IF(O138="","",HYPERLINK(IF(LEFT(O138,4)="http",O138,set_QwilrBase&amp;O138),"Open quote"))</f>
        <v/>
      </c>
      <c r="Q138" s="71" t="n"/>
      <c r="R138" s="24" t="n"/>
      <c r="S138" s="24" t="n"/>
    </row>
    <row r="139" ht="15" customHeight="1">
      <c r="A139" s="70">
        <f>IF(C139="","",IFERROR(IF(SUMPRODUCT(MAX((tbl_Finance[Job Number]&amp;""=C139&amp;"")*(tbl_Finance[Xero Invoice No]&lt;&gt;"")*tbl_Finance[Date]))=0,"",SUMPRODUCT(MAX((tbl_Finance[Job Number]&amp;""=C139&amp;"")*(tbl_Finance[Xero Invoice No]&lt;&gt;"")*tbl_Finance[Date]))),""))</f>
        <v/>
      </c>
      <c r="B139" s="25">
        <f>IF(C139="","",IF(COUNTIFS(tbl_Finance[Job Number],C139&amp;"",tbl_Finance[Xero Invoice No],"&lt;&gt;")=0,"",IFERROR(IF(COUNTIFS(tbl_Finance[Job Number],C139&amp;"",tbl_Finance[Xero Invoice No],LOOKUP(2,1/((tbl_Finance[Job Number]&amp;""=C139&amp;"")*(tbl_Finance[Xero Invoice No]&lt;&gt;"")),tbl_Finance[Xero Invoice No]))=COUNTIFS(tbl_Finance[Job Number],C139&amp;"",tbl_Finance[Xero Invoice No],"&lt;&gt;"),LOOKUP(2,1/((tbl_Finance[Job Number]&amp;""=C139&amp;"")*(tbl_Finance[Xero Invoice No]&lt;&gt;"")),tbl_Finance[Xero Invoice No]),LOOKUP(2,1/((tbl_Finance[Job Number]&amp;""=C139&amp;"")*(tbl_Finance[Xero Invoice No]&lt;&gt;"")),tbl_Finance[Xero Invoice No])&amp;" +more"),"")))</f>
        <v/>
      </c>
      <c r="C139" s="24" t="n"/>
      <c r="D139" s="25">
        <f>IF(C139="","",IF(COUNTIF(lst_Jobs,C139&amp;"")&gt;0,"OK","CHECK"))</f>
        <v/>
      </c>
      <c r="E139" s="25">
        <f>IF(C139="","",IFERROR(INDEX(lst_JobName,MATCH(C139&amp;"",lst_Jobs,0)),""))</f>
        <v/>
      </c>
      <c r="F139" s="25">
        <f>IF(C139="","",IFERROR(INDEX(tbl_Finance[Client],IFERROR(MATCH(C139&amp;"",tbl_Finance[Job Number],0),MATCH(IFERROR(C139+0,C139),tbl_Finance[Job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6" t="n"/>
      <c r="L139" s="27">
        <f>IF(C139="","",IF(K139="",0,MAX(0,K139-H139)))</f>
        <v/>
      </c>
      <c r="M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N139" s="24" t="n"/>
      <c r="O139" s="24" t="n"/>
      <c r="P139" s="25">
        <f>IF(O139="","",HYPERLINK(IF(LEFT(O139,4)="http",O139,set_QwilrBase&amp;O139),"Open quote"))</f>
        <v/>
      </c>
      <c r="Q139" s="71" t="n"/>
      <c r="R139" s="24" t="n"/>
      <c r="S139" s="24" t="n"/>
    </row>
    <row r="140" ht="15" customHeight="1">
      <c r="A140" s="70">
        <f>IF(C140="","",IFERROR(IF(SUMPRODUCT(MAX((tbl_Finance[Job Number]&amp;""=C140&amp;"")*(tbl_Finance[Xero Invoice No]&lt;&gt;"")*tbl_Finance[Date]))=0,"",SUMPRODUCT(MAX((tbl_Finance[Job Number]&amp;""=C140&amp;"")*(tbl_Finance[Xero Invoice No]&lt;&gt;"")*tbl_Finance[Date]))),""))</f>
        <v/>
      </c>
      <c r="B140" s="25">
        <f>IF(C140="","",IF(COUNTIFS(tbl_Finance[Job Number],C140&amp;"",tbl_Finance[Xero Invoice No],"&lt;&gt;")=0,"",IFERROR(IF(COUNTIFS(tbl_Finance[Job Number],C140&amp;"",tbl_Finance[Xero Invoice No],LOOKUP(2,1/((tbl_Finance[Job Number]&amp;""=C140&amp;"")*(tbl_Finance[Xero Invoice No]&lt;&gt;"")),tbl_Finance[Xero Invoice No]))=COUNTIFS(tbl_Finance[Job Number],C140&amp;"",tbl_Finance[Xero Invoice No],"&lt;&gt;"),LOOKUP(2,1/((tbl_Finance[Job Number]&amp;""=C140&amp;"")*(tbl_Finance[Xero Invoice No]&lt;&gt;"")),tbl_Finance[Xero Invoice No]),LOOKUP(2,1/((tbl_Finance[Job Number]&amp;""=C140&amp;"")*(tbl_Finance[Xero Invoice No]&lt;&gt;"")),tbl_Finance[Xero Invoice No])&amp;" +more"),"")))</f>
        <v/>
      </c>
      <c r="C140" s="24" t="n"/>
      <c r="D140" s="25">
        <f>IF(C140="","",IF(COUNTIF(lst_Jobs,C140&amp;"")&gt;0,"OK","CHECK"))</f>
        <v/>
      </c>
      <c r="E140" s="25">
        <f>IF(C140="","",IFERROR(INDEX(lst_JobName,MATCH(C140&amp;"",lst_Jobs,0)),""))</f>
        <v/>
      </c>
      <c r="F140" s="25">
        <f>IF(C140="","",IFERROR(INDEX(tbl_Finance[Client],IFERROR(MATCH(C140&amp;"",tbl_Finance[Job Number],0),MATCH(IFERROR(C140+0,C140),tbl_Finance[Job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6" t="n"/>
      <c r="L140" s="27">
        <f>IF(C140="","",IF(K140="",0,MAX(0,K140-H140)))</f>
        <v/>
      </c>
      <c r="M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N140" s="24" t="n"/>
      <c r="O140" s="24" t="n"/>
      <c r="P140" s="25">
        <f>IF(O140="","",HYPERLINK(IF(LEFT(O140,4)="http",O140,set_QwilrBase&amp;O140),"Open quote"))</f>
        <v/>
      </c>
      <c r="Q140" s="71" t="n"/>
      <c r="R140" s="24" t="n"/>
      <c r="S140" s="24" t="n"/>
    </row>
    <row r="141" ht="15" customHeight="1">
      <c r="A141" s="70">
        <f>IF(C141="","",IFERROR(IF(SUMPRODUCT(MAX((tbl_Finance[Job Number]&amp;""=C141&amp;"")*(tbl_Finance[Xero Invoice No]&lt;&gt;"")*tbl_Finance[Date]))=0,"",SUMPRODUCT(MAX((tbl_Finance[Job Number]&amp;""=C141&amp;"")*(tbl_Finance[Xero Invoice No]&lt;&gt;"")*tbl_Finance[Date]))),""))</f>
        <v/>
      </c>
      <c r="B141" s="25">
        <f>IF(C141="","",IF(COUNTIFS(tbl_Finance[Job Number],C141&amp;"",tbl_Finance[Xero Invoice No],"&lt;&gt;")=0,"",IFERROR(IF(COUNTIFS(tbl_Finance[Job Number],C141&amp;"",tbl_Finance[Xero Invoice No],LOOKUP(2,1/((tbl_Finance[Job Number]&amp;""=C141&amp;"")*(tbl_Finance[Xero Invoice No]&lt;&gt;"")),tbl_Finance[Xero Invoice No]))=COUNTIFS(tbl_Finance[Job Number],C141&amp;"",tbl_Finance[Xero Invoice No],"&lt;&gt;"),LOOKUP(2,1/((tbl_Finance[Job Number]&amp;""=C141&amp;"")*(tbl_Finance[Xero Invoice No]&lt;&gt;"")),tbl_Finance[Xero Invoice No]),LOOKUP(2,1/((tbl_Finance[Job Number]&amp;""=C141&amp;"")*(tbl_Finance[Xero Invoice No]&lt;&gt;"")),tbl_Finance[Xero Invoice No])&amp;" +more"),"")))</f>
        <v/>
      </c>
      <c r="C141" s="24" t="n"/>
      <c r="D141" s="25">
        <f>IF(C141="","",IF(COUNTIF(lst_Jobs,C141&amp;"")&gt;0,"OK","CHECK"))</f>
        <v/>
      </c>
      <c r="E141" s="25">
        <f>IF(C141="","",IFERROR(INDEX(lst_JobName,MATCH(C141&amp;"",lst_Jobs,0)),""))</f>
        <v/>
      </c>
      <c r="F141" s="25">
        <f>IF(C141="","",IFERROR(INDEX(tbl_Finance[Client],IFERROR(MATCH(C141&amp;"",tbl_Finance[Job Number],0),MATCH(IFERROR(C141+0,C141),tbl_Finance[Job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6" t="n"/>
      <c r="L141" s="27">
        <f>IF(C141="","",IF(K141="",0,MAX(0,K141-H141)))</f>
        <v/>
      </c>
      <c r="M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N141" s="24" t="n"/>
      <c r="O141" s="24" t="n"/>
      <c r="P141" s="25">
        <f>IF(O141="","",HYPERLINK(IF(LEFT(O141,4)="http",O141,set_QwilrBase&amp;O141),"Open quote"))</f>
        <v/>
      </c>
      <c r="Q141" s="71" t="n"/>
      <c r="R141" s="24" t="n"/>
      <c r="S141" s="24" t="n"/>
    </row>
    <row r="142" ht="15" customHeight="1">
      <c r="A142" s="70">
        <f>IF(C142="","",IFERROR(IF(SUMPRODUCT(MAX((tbl_Finance[Job Number]&amp;""=C142&amp;"")*(tbl_Finance[Xero Invoice No]&lt;&gt;"")*tbl_Finance[Date]))=0,"",SUMPRODUCT(MAX((tbl_Finance[Job Number]&amp;""=C142&amp;"")*(tbl_Finance[Xero Invoice No]&lt;&gt;"")*tbl_Finance[Date]))),""))</f>
        <v/>
      </c>
      <c r="B142" s="25">
        <f>IF(C142="","",IF(COUNTIFS(tbl_Finance[Job Number],C142&amp;"",tbl_Finance[Xero Invoice No],"&lt;&gt;")=0,"",IFERROR(IF(COUNTIFS(tbl_Finance[Job Number],C142&amp;"",tbl_Finance[Xero Invoice No],LOOKUP(2,1/((tbl_Finance[Job Number]&amp;""=C142&amp;"")*(tbl_Finance[Xero Invoice No]&lt;&gt;"")),tbl_Finance[Xero Invoice No]))=COUNTIFS(tbl_Finance[Job Number],C142&amp;"",tbl_Finance[Xero Invoice No],"&lt;&gt;"),LOOKUP(2,1/((tbl_Finance[Job Number]&amp;""=C142&amp;"")*(tbl_Finance[Xero Invoice No]&lt;&gt;"")),tbl_Finance[Xero Invoice No]),LOOKUP(2,1/((tbl_Finance[Job Number]&amp;""=C142&amp;"")*(tbl_Finance[Xero Invoice No]&lt;&gt;"")),tbl_Finance[Xero Invoice No])&amp;" +more"),"")))</f>
        <v/>
      </c>
      <c r="C142" s="24" t="n"/>
      <c r="D142" s="25">
        <f>IF(C142="","",IF(COUNTIF(lst_Jobs,C142&amp;"")&gt;0,"OK","CHECK"))</f>
        <v/>
      </c>
      <c r="E142" s="25">
        <f>IF(C142="","",IFERROR(INDEX(lst_JobName,MATCH(C142&amp;"",lst_Jobs,0)),""))</f>
        <v/>
      </c>
      <c r="F142" s="25">
        <f>IF(C142="","",IFERROR(INDEX(tbl_Finance[Client],IFERROR(MATCH(C142&amp;"",tbl_Finance[Job Number],0),MATCH(IFERROR(C142+0,C142),tbl_Finance[Job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6" t="n"/>
      <c r="L142" s="27">
        <f>IF(C142="","",IF(K142="",0,MAX(0,K142-H142)))</f>
        <v/>
      </c>
      <c r="M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N142" s="24" t="n"/>
      <c r="O142" s="24" t="n"/>
      <c r="P142" s="25">
        <f>IF(O142="","",HYPERLINK(IF(LEFT(O142,4)="http",O142,set_QwilrBase&amp;O142),"Open quote"))</f>
        <v/>
      </c>
      <c r="Q142" s="71" t="n"/>
      <c r="R142" s="24" t="n"/>
      <c r="S142" s="24" t="n"/>
    </row>
    <row r="143" ht="15" customHeight="1">
      <c r="A143" s="70">
        <f>IF(C143="","",IFERROR(IF(SUMPRODUCT(MAX((tbl_Finance[Job Number]&amp;""=C143&amp;"")*(tbl_Finance[Xero Invoice No]&lt;&gt;"")*tbl_Finance[Date]))=0,"",SUMPRODUCT(MAX((tbl_Finance[Job Number]&amp;""=C143&amp;"")*(tbl_Finance[Xero Invoice No]&lt;&gt;"")*tbl_Finance[Date]))),""))</f>
        <v/>
      </c>
      <c r="B143" s="25">
        <f>IF(C143="","",IF(COUNTIFS(tbl_Finance[Job Number],C143&amp;"",tbl_Finance[Xero Invoice No],"&lt;&gt;")=0,"",IFERROR(IF(COUNTIFS(tbl_Finance[Job Number],C143&amp;"",tbl_Finance[Xero Invoice No],LOOKUP(2,1/((tbl_Finance[Job Number]&amp;""=C143&amp;"")*(tbl_Finance[Xero Invoice No]&lt;&gt;"")),tbl_Finance[Xero Invoice No]))=COUNTIFS(tbl_Finance[Job Number],C143&amp;"",tbl_Finance[Xero Invoice No],"&lt;&gt;"),LOOKUP(2,1/((tbl_Finance[Job Number]&amp;""=C143&amp;"")*(tbl_Finance[Xero Invoice No]&lt;&gt;"")),tbl_Finance[Xero Invoice No]),LOOKUP(2,1/((tbl_Finance[Job Number]&amp;""=C143&amp;"")*(tbl_Finance[Xero Invoice No]&lt;&gt;"")),tbl_Finance[Xero Invoice No])&amp;" +more"),"")))</f>
        <v/>
      </c>
      <c r="C143" s="24" t="n"/>
      <c r="D143" s="25">
        <f>IF(C143="","",IF(COUNTIF(lst_Jobs,C143&amp;"")&gt;0,"OK","CHECK"))</f>
        <v/>
      </c>
      <c r="E143" s="25">
        <f>IF(C143="","",IFERROR(INDEX(lst_JobName,MATCH(C143&amp;"",lst_Jobs,0)),""))</f>
        <v/>
      </c>
      <c r="F143" s="25">
        <f>IF(C143="","",IFERROR(INDEX(tbl_Finance[Client],IFERROR(MATCH(C143&amp;"",tbl_Finance[Job Number],0),MATCH(IFERROR(C143+0,C143),tbl_Finance[Job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6" t="n"/>
      <c r="L143" s="27">
        <f>IF(C143="","",IF(K143="",0,MAX(0,K143-H143)))</f>
        <v/>
      </c>
      <c r="M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N143" s="24" t="n"/>
      <c r="O143" s="24" t="n"/>
      <c r="P143" s="25">
        <f>IF(O143="","",HYPERLINK(IF(LEFT(O143,4)="http",O143,set_QwilrBase&amp;O143),"Open quote"))</f>
        <v/>
      </c>
      <c r="Q143" s="71" t="n"/>
      <c r="R143" s="24" t="n"/>
      <c r="S143" s="24" t="n"/>
    </row>
    <row r="144" ht="15" customHeight="1">
      <c r="A144" s="70">
        <f>IF(C144="","",IFERROR(IF(SUMPRODUCT(MAX((tbl_Finance[Job Number]&amp;""=C144&amp;"")*(tbl_Finance[Xero Invoice No]&lt;&gt;"")*tbl_Finance[Date]))=0,"",SUMPRODUCT(MAX((tbl_Finance[Job Number]&amp;""=C144&amp;"")*(tbl_Finance[Xero Invoice No]&lt;&gt;"")*tbl_Finance[Date]))),""))</f>
        <v/>
      </c>
      <c r="B144" s="25">
        <f>IF(C144="","",IF(COUNTIFS(tbl_Finance[Job Number],C144&amp;"",tbl_Finance[Xero Invoice No],"&lt;&gt;")=0,"",IFERROR(IF(COUNTIFS(tbl_Finance[Job Number],C144&amp;"",tbl_Finance[Xero Invoice No],LOOKUP(2,1/((tbl_Finance[Job Number]&amp;""=C144&amp;"")*(tbl_Finance[Xero Invoice No]&lt;&gt;"")),tbl_Finance[Xero Invoice No]))=COUNTIFS(tbl_Finance[Job Number],C144&amp;"",tbl_Finance[Xero Invoice No],"&lt;&gt;"),LOOKUP(2,1/((tbl_Finance[Job Number]&amp;""=C144&amp;"")*(tbl_Finance[Xero Invoice No]&lt;&gt;"")),tbl_Finance[Xero Invoice No]),LOOKUP(2,1/((tbl_Finance[Job Number]&amp;""=C144&amp;"")*(tbl_Finance[Xero Invoice No]&lt;&gt;"")),tbl_Finance[Xero Invoice No])&amp;" +more"),"")))</f>
        <v/>
      </c>
      <c r="C144" s="24" t="n"/>
      <c r="D144" s="25">
        <f>IF(C144="","",IF(COUNTIF(lst_Jobs,C144&amp;"")&gt;0,"OK","CHECK"))</f>
        <v/>
      </c>
      <c r="E144" s="25">
        <f>IF(C144="","",IFERROR(INDEX(lst_JobName,MATCH(C144&amp;"",lst_Jobs,0)),""))</f>
        <v/>
      </c>
      <c r="F144" s="25">
        <f>IF(C144="","",IFERROR(INDEX(tbl_Finance[Client],IFERROR(MATCH(C144&amp;"",tbl_Finance[Job Number],0),MATCH(IFERROR(C144+0,C144),tbl_Finance[Job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6" t="n"/>
      <c r="L144" s="27">
        <f>IF(C144="","",IF(K144="",0,MAX(0,K144-H144)))</f>
        <v/>
      </c>
      <c r="M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N144" s="24" t="n"/>
      <c r="O144" s="24" t="n"/>
      <c r="P144" s="25">
        <f>IF(O144="","",HYPERLINK(IF(LEFT(O144,4)="http",O144,set_QwilrBase&amp;O144),"Open quote"))</f>
        <v/>
      </c>
      <c r="Q144" s="71" t="n"/>
      <c r="R144" s="24" t="n"/>
      <c r="S144" s="24" t="n"/>
    </row>
    <row r="145" ht="15" customHeight="1">
      <c r="A145" s="70">
        <f>IF(C145="","",IFERROR(IF(SUMPRODUCT(MAX((tbl_Finance[Job Number]&amp;""=C145&amp;"")*(tbl_Finance[Xero Invoice No]&lt;&gt;"")*tbl_Finance[Date]))=0,"",SUMPRODUCT(MAX((tbl_Finance[Job Number]&amp;""=C145&amp;"")*(tbl_Finance[Xero Invoice No]&lt;&gt;"")*tbl_Finance[Date]))),""))</f>
        <v/>
      </c>
      <c r="B145" s="25">
        <f>IF(C145="","",IF(COUNTIFS(tbl_Finance[Job Number],C145&amp;"",tbl_Finance[Xero Invoice No],"&lt;&gt;")=0,"",IFERROR(IF(COUNTIFS(tbl_Finance[Job Number],C145&amp;"",tbl_Finance[Xero Invoice No],LOOKUP(2,1/((tbl_Finance[Job Number]&amp;""=C145&amp;"")*(tbl_Finance[Xero Invoice No]&lt;&gt;"")),tbl_Finance[Xero Invoice No]))=COUNTIFS(tbl_Finance[Job Number],C145&amp;"",tbl_Finance[Xero Invoice No],"&lt;&gt;"),LOOKUP(2,1/((tbl_Finance[Job Number]&amp;""=C145&amp;"")*(tbl_Finance[Xero Invoice No]&lt;&gt;"")),tbl_Finance[Xero Invoice No]),LOOKUP(2,1/((tbl_Finance[Job Number]&amp;""=C145&amp;"")*(tbl_Finance[Xero Invoice No]&lt;&gt;"")),tbl_Finance[Xero Invoice No])&amp;" +more"),"")))</f>
        <v/>
      </c>
      <c r="C145" s="24" t="n"/>
      <c r="D145" s="25">
        <f>IF(C145="","",IF(COUNTIF(lst_Jobs,C145&amp;"")&gt;0,"OK","CHECK"))</f>
        <v/>
      </c>
      <c r="E145" s="25">
        <f>IF(C145="","",IFERROR(INDEX(lst_JobName,MATCH(C145&amp;"",lst_Jobs,0)),""))</f>
        <v/>
      </c>
      <c r="F145" s="25">
        <f>IF(C145="","",IFERROR(INDEX(tbl_Finance[Client],IFERROR(MATCH(C145&amp;"",tbl_Finance[Job Number],0),MATCH(IFERROR(C145+0,C145),tbl_Finance[Job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6" t="n"/>
      <c r="L145" s="27">
        <f>IF(C145="","",IF(K145="",0,MAX(0,K145-H145)))</f>
        <v/>
      </c>
      <c r="M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N145" s="24" t="n"/>
      <c r="O145" s="24" t="n"/>
      <c r="P145" s="25">
        <f>IF(O145="","",HYPERLINK(IF(LEFT(O145,4)="http",O145,set_QwilrBase&amp;O145),"Open quote"))</f>
        <v/>
      </c>
      <c r="Q145" s="71" t="n"/>
      <c r="R145" s="24" t="n"/>
      <c r="S145" s="24" t="n"/>
    </row>
    <row r="146" ht="15" customHeight="1">
      <c r="A146" s="70">
        <f>IF(C146="","",IFERROR(IF(SUMPRODUCT(MAX((tbl_Finance[Job Number]&amp;""=C146&amp;"")*(tbl_Finance[Xero Invoice No]&lt;&gt;"")*tbl_Finance[Date]))=0,"",SUMPRODUCT(MAX((tbl_Finance[Job Number]&amp;""=C146&amp;"")*(tbl_Finance[Xero Invoice No]&lt;&gt;"")*tbl_Finance[Date]))),""))</f>
        <v/>
      </c>
      <c r="B146" s="25">
        <f>IF(C146="","",IF(COUNTIFS(tbl_Finance[Job Number],C146&amp;"",tbl_Finance[Xero Invoice No],"&lt;&gt;")=0,"",IFERROR(IF(COUNTIFS(tbl_Finance[Job Number],C146&amp;"",tbl_Finance[Xero Invoice No],LOOKUP(2,1/((tbl_Finance[Job Number]&amp;""=C146&amp;"")*(tbl_Finance[Xero Invoice No]&lt;&gt;"")),tbl_Finance[Xero Invoice No]))=COUNTIFS(tbl_Finance[Job Number],C146&amp;"",tbl_Finance[Xero Invoice No],"&lt;&gt;"),LOOKUP(2,1/((tbl_Finance[Job Number]&amp;""=C146&amp;"")*(tbl_Finance[Xero Invoice No]&lt;&gt;"")),tbl_Finance[Xero Invoice No]),LOOKUP(2,1/((tbl_Finance[Job Number]&amp;""=C146&amp;"")*(tbl_Finance[Xero Invoice No]&lt;&gt;"")),tbl_Finance[Xero Invoice No])&amp;" +more"),"")))</f>
        <v/>
      </c>
      <c r="C146" s="24" t="n"/>
      <c r="D146" s="25">
        <f>IF(C146="","",IF(COUNTIF(lst_Jobs,C146&amp;"")&gt;0,"OK","CHECK"))</f>
        <v/>
      </c>
      <c r="E146" s="25">
        <f>IF(C146="","",IFERROR(INDEX(lst_JobName,MATCH(C146&amp;"",lst_Jobs,0)),""))</f>
        <v/>
      </c>
      <c r="F146" s="25">
        <f>IF(C146="","",IFERROR(INDEX(tbl_Finance[Client],IFERROR(MATCH(C146&amp;"",tbl_Finance[Job Number],0),MATCH(IFERROR(C146+0,C146),tbl_Finance[Job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6" t="n"/>
      <c r="L146" s="27">
        <f>IF(C146="","",IF(K146="",0,MAX(0,K146-H146)))</f>
        <v/>
      </c>
      <c r="M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N146" s="24" t="n"/>
      <c r="O146" s="24" t="n"/>
      <c r="P146" s="25">
        <f>IF(O146="","",HYPERLINK(IF(LEFT(O146,4)="http",O146,set_QwilrBase&amp;O146),"Open quote"))</f>
        <v/>
      </c>
      <c r="Q146" s="71" t="n"/>
      <c r="R146" s="24" t="n"/>
      <c r="S146" s="24" t="n"/>
    </row>
    <row r="147" ht="15" customHeight="1">
      <c r="A147" s="70">
        <f>IF(C147="","",IFERROR(IF(SUMPRODUCT(MAX((tbl_Finance[Job Number]&amp;""=C147&amp;"")*(tbl_Finance[Xero Invoice No]&lt;&gt;"")*tbl_Finance[Date]))=0,"",SUMPRODUCT(MAX((tbl_Finance[Job Number]&amp;""=C147&amp;"")*(tbl_Finance[Xero Invoice No]&lt;&gt;"")*tbl_Finance[Date]))),""))</f>
        <v/>
      </c>
      <c r="B147" s="25">
        <f>IF(C147="","",IF(COUNTIFS(tbl_Finance[Job Number],C147&amp;"",tbl_Finance[Xero Invoice No],"&lt;&gt;")=0,"",IFERROR(IF(COUNTIFS(tbl_Finance[Job Number],C147&amp;"",tbl_Finance[Xero Invoice No],LOOKUP(2,1/((tbl_Finance[Job Number]&amp;""=C147&amp;"")*(tbl_Finance[Xero Invoice No]&lt;&gt;"")),tbl_Finance[Xero Invoice No]))=COUNTIFS(tbl_Finance[Job Number],C147&amp;"",tbl_Finance[Xero Invoice No],"&lt;&gt;"),LOOKUP(2,1/((tbl_Finance[Job Number]&amp;""=C147&amp;"")*(tbl_Finance[Xero Invoice No]&lt;&gt;"")),tbl_Finance[Xero Invoice No]),LOOKUP(2,1/((tbl_Finance[Job Number]&amp;""=C147&amp;"")*(tbl_Finance[Xero Invoice No]&lt;&gt;"")),tbl_Finance[Xero Invoice No])&amp;" +more"),"")))</f>
        <v/>
      </c>
      <c r="C147" s="24" t="n"/>
      <c r="D147" s="25">
        <f>IF(C147="","",IF(COUNTIF(lst_Jobs,C147&amp;"")&gt;0,"OK","CHECK"))</f>
        <v/>
      </c>
      <c r="E147" s="25">
        <f>IF(C147="","",IFERROR(INDEX(lst_JobName,MATCH(C147&amp;"",lst_Jobs,0)),""))</f>
        <v/>
      </c>
      <c r="F147" s="25">
        <f>IF(C147="","",IFERROR(INDEX(tbl_Finance[Client],IFERROR(MATCH(C147&amp;"",tbl_Finance[Job Number],0),MATCH(IFERROR(C147+0,C147),tbl_Finance[Job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6" t="n"/>
      <c r="L147" s="27">
        <f>IF(C147="","",IF(K147="",0,MAX(0,K147-H147)))</f>
        <v/>
      </c>
      <c r="M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N147" s="24" t="n"/>
      <c r="O147" s="24" t="n"/>
      <c r="P147" s="25">
        <f>IF(O147="","",HYPERLINK(IF(LEFT(O147,4)="http",O147,set_QwilrBase&amp;O147),"Open quote"))</f>
        <v/>
      </c>
      <c r="Q147" s="71" t="n"/>
      <c r="R147" s="24" t="n"/>
      <c r="S147" s="24" t="n"/>
    </row>
    <row r="148" ht="15" customHeight="1">
      <c r="A148" s="70">
        <f>IF(C148="","",IFERROR(IF(SUMPRODUCT(MAX((tbl_Finance[Job Number]&amp;""=C148&amp;"")*(tbl_Finance[Xero Invoice No]&lt;&gt;"")*tbl_Finance[Date]))=0,"",SUMPRODUCT(MAX((tbl_Finance[Job Number]&amp;""=C148&amp;"")*(tbl_Finance[Xero Invoice No]&lt;&gt;"")*tbl_Finance[Date]))),""))</f>
        <v/>
      </c>
      <c r="B148" s="25">
        <f>IF(C148="","",IF(COUNTIFS(tbl_Finance[Job Number],C148&amp;"",tbl_Finance[Xero Invoice No],"&lt;&gt;")=0,"",IFERROR(IF(COUNTIFS(tbl_Finance[Job Number],C148&amp;"",tbl_Finance[Xero Invoice No],LOOKUP(2,1/((tbl_Finance[Job Number]&amp;""=C148&amp;"")*(tbl_Finance[Xero Invoice No]&lt;&gt;"")),tbl_Finance[Xero Invoice No]))=COUNTIFS(tbl_Finance[Job Number],C148&amp;"",tbl_Finance[Xero Invoice No],"&lt;&gt;"),LOOKUP(2,1/((tbl_Finance[Job Number]&amp;""=C148&amp;"")*(tbl_Finance[Xero Invoice No]&lt;&gt;"")),tbl_Finance[Xero Invoice No]),LOOKUP(2,1/((tbl_Finance[Job Number]&amp;""=C148&amp;"")*(tbl_Finance[Xero Invoice No]&lt;&gt;"")),tbl_Finance[Xero Invoice No])&amp;" +more"),"")))</f>
        <v/>
      </c>
      <c r="C148" s="24" t="n"/>
      <c r="D148" s="25">
        <f>IF(C148="","",IF(COUNTIF(lst_Jobs,C148&amp;"")&gt;0,"OK","CHECK"))</f>
        <v/>
      </c>
      <c r="E148" s="25">
        <f>IF(C148="","",IFERROR(INDEX(lst_JobName,MATCH(C148&amp;"",lst_Jobs,0)),""))</f>
        <v/>
      </c>
      <c r="F148" s="25">
        <f>IF(C148="","",IFERROR(INDEX(tbl_Finance[Client],IFERROR(MATCH(C148&amp;"",tbl_Finance[Job Number],0),MATCH(IFERROR(C148+0,C148),tbl_Finance[Job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6" t="n"/>
      <c r="L148" s="27">
        <f>IF(C148="","",IF(K148="",0,MAX(0,K148-H148)))</f>
        <v/>
      </c>
      <c r="M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N148" s="24" t="n"/>
      <c r="O148" s="24" t="n"/>
      <c r="P148" s="25">
        <f>IF(O148="","",HYPERLINK(IF(LEFT(O148,4)="http",O148,set_QwilrBase&amp;O148),"Open quote"))</f>
        <v/>
      </c>
      <c r="Q148" s="71" t="n"/>
      <c r="R148" s="24" t="n"/>
      <c r="S148" s="24" t="n"/>
    </row>
    <row r="149" ht="15" customHeight="1">
      <c r="A149" s="70">
        <f>IF(C149="","",IFERROR(IF(SUMPRODUCT(MAX((tbl_Finance[Job Number]&amp;""=C149&amp;"")*(tbl_Finance[Xero Invoice No]&lt;&gt;"")*tbl_Finance[Date]))=0,"",SUMPRODUCT(MAX((tbl_Finance[Job Number]&amp;""=C149&amp;"")*(tbl_Finance[Xero Invoice No]&lt;&gt;"")*tbl_Finance[Date]))),""))</f>
        <v/>
      </c>
      <c r="B149" s="25">
        <f>IF(C149="","",IF(COUNTIFS(tbl_Finance[Job Number],C149&amp;"",tbl_Finance[Xero Invoice No],"&lt;&gt;")=0,"",IFERROR(IF(COUNTIFS(tbl_Finance[Job Number],C149&amp;"",tbl_Finance[Xero Invoice No],LOOKUP(2,1/((tbl_Finance[Job Number]&amp;""=C149&amp;"")*(tbl_Finance[Xero Invoice No]&lt;&gt;"")),tbl_Finance[Xero Invoice No]))=COUNTIFS(tbl_Finance[Job Number],C149&amp;"",tbl_Finance[Xero Invoice No],"&lt;&gt;"),LOOKUP(2,1/((tbl_Finance[Job Number]&amp;""=C149&amp;"")*(tbl_Finance[Xero Invoice No]&lt;&gt;"")),tbl_Finance[Xero Invoice No]),LOOKUP(2,1/((tbl_Finance[Job Number]&amp;""=C149&amp;"")*(tbl_Finance[Xero Invoice No]&lt;&gt;"")),tbl_Finance[Xero Invoice No])&amp;" +more"),"")))</f>
        <v/>
      </c>
      <c r="C149" s="24" t="n"/>
      <c r="D149" s="25">
        <f>IF(C149="","",IF(COUNTIF(lst_Jobs,C149&amp;"")&gt;0,"OK","CHECK"))</f>
        <v/>
      </c>
      <c r="E149" s="25">
        <f>IF(C149="","",IFERROR(INDEX(lst_JobName,MATCH(C149&amp;"",lst_Jobs,0)),""))</f>
        <v/>
      </c>
      <c r="F149" s="25">
        <f>IF(C149="","",IFERROR(INDEX(tbl_Finance[Client],IFERROR(MATCH(C149&amp;"",tbl_Finance[Job Number],0),MATCH(IFERROR(C149+0,C149),tbl_Finance[Job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6" t="n"/>
      <c r="L149" s="27">
        <f>IF(C149="","",IF(K149="",0,MAX(0,K149-H149)))</f>
        <v/>
      </c>
      <c r="M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N149" s="24" t="n"/>
      <c r="O149" s="24" t="n"/>
      <c r="P149" s="25">
        <f>IF(O149="","",HYPERLINK(IF(LEFT(O149,4)="http",O149,set_QwilrBase&amp;O149),"Open quote"))</f>
        <v/>
      </c>
      <c r="Q149" s="71" t="n"/>
      <c r="R149" s="24" t="n"/>
      <c r="S149" s="24" t="n"/>
    </row>
    <row r="150" ht="15" customHeight="1">
      <c r="A150" s="70">
        <f>IF(C150="","",IFERROR(IF(SUMPRODUCT(MAX((tbl_Finance[Job Number]&amp;""=C150&amp;"")*(tbl_Finance[Xero Invoice No]&lt;&gt;"")*tbl_Finance[Date]))=0,"",SUMPRODUCT(MAX((tbl_Finance[Job Number]&amp;""=C150&amp;"")*(tbl_Finance[Xero Invoice No]&lt;&gt;"")*tbl_Finance[Date]))),""))</f>
        <v/>
      </c>
      <c r="B150" s="25">
        <f>IF(C150="","",IF(COUNTIFS(tbl_Finance[Job Number],C150&amp;"",tbl_Finance[Xero Invoice No],"&lt;&gt;")=0,"",IFERROR(IF(COUNTIFS(tbl_Finance[Job Number],C150&amp;"",tbl_Finance[Xero Invoice No],LOOKUP(2,1/((tbl_Finance[Job Number]&amp;""=C150&amp;"")*(tbl_Finance[Xero Invoice No]&lt;&gt;"")),tbl_Finance[Xero Invoice No]))=COUNTIFS(tbl_Finance[Job Number],C150&amp;"",tbl_Finance[Xero Invoice No],"&lt;&gt;"),LOOKUP(2,1/((tbl_Finance[Job Number]&amp;""=C150&amp;"")*(tbl_Finance[Xero Invoice No]&lt;&gt;"")),tbl_Finance[Xero Invoice No]),LOOKUP(2,1/((tbl_Finance[Job Number]&amp;""=C150&amp;"")*(tbl_Finance[Xero Invoice No]&lt;&gt;"")),tbl_Finance[Xero Invoice No])&amp;" +more"),"")))</f>
        <v/>
      </c>
      <c r="C150" s="24" t="n"/>
      <c r="D150" s="25">
        <f>IF(C150="","",IF(COUNTIF(lst_Jobs,C150&amp;"")&gt;0,"OK","CHECK"))</f>
        <v/>
      </c>
      <c r="E150" s="25">
        <f>IF(C150="","",IFERROR(INDEX(lst_JobName,MATCH(C150&amp;"",lst_Jobs,0)),""))</f>
        <v/>
      </c>
      <c r="F150" s="25">
        <f>IF(C150="","",IFERROR(INDEX(tbl_Finance[Client],IFERROR(MATCH(C150&amp;"",tbl_Finance[Job Number],0),MATCH(IFERROR(C150+0,C150),tbl_Finance[Job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6" t="n"/>
      <c r="L150" s="27">
        <f>IF(C150="","",IF(K150="",0,MAX(0,K150-H150)))</f>
        <v/>
      </c>
      <c r="M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N150" s="24" t="n"/>
      <c r="O150" s="24" t="n"/>
      <c r="P150" s="25">
        <f>IF(O150="","",HYPERLINK(IF(LEFT(O150,4)="http",O150,set_QwilrBase&amp;O150),"Open quote"))</f>
        <v/>
      </c>
      <c r="Q150" s="71" t="n"/>
      <c r="R150" s="24" t="n"/>
      <c r="S150" s="24" t="n"/>
    </row>
    <row r="151" ht="15" customHeight="1">
      <c r="A151" s="70">
        <f>IF(C151="","",IFERROR(IF(SUMPRODUCT(MAX((tbl_Finance[Job Number]&amp;""=C151&amp;"")*(tbl_Finance[Xero Invoice No]&lt;&gt;"")*tbl_Finance[Date]))=0,"",SUMPRODUCT(MAX((tbl_Finance[Job Number]&amp;""=C151&amp;"")*(tbl_Finance[Xero Invoice No]&lt;&gt;"")*tbl_Finance[Date]))),""))</f>
        <v/>
      </c>
      <c r="B151" s="25">
        <f>IF(C151="","",IF(COUNTIFS(tbl_Finance[Job Number],C151&amp;"",tbl_Finance[Xero Invoice No],"&lt;&gt;")=0,"",IFERROR(IF(COUNTIFS(tbl_Finance[Job Number],C151&amp;"",tbl_Finance[Xero Invoice No],LOOKUP(2,1/((tbl_Finance[Job Number]&amp;""=C151&amp;"")*(tbl_Finance[Xero Invoice No]&lt;&gt;"")),tbl_Finance[Xero Invoice No]))=COUNTIFS(tbl_Finance[Job Number],C151&amp;"",tbl_Finance[Xero Invoice No],"&lt;&gt;"),LOOKUP(2,1/((tbl_Finance[Job Number]&amp;""=C151&amp;"")*(tbl_Finance[Xero Invoice No]&lt;&gt;"")),tbl_Finance[Xero Invoice No]),LOOKUP(2,1/((tbl_Finance[Job Number]&amp;""=C151&amp;"")*(tbl_Finance[Xero Invoice No]&lt;&gt;"")),tbl_Finance[Xero Invoice No])&amp;" +more"),"")))</f>
        <v/>
      </c>
      <c r="C151" s="24" t="n"/>
      <c r="D151" s="25">
        <f>IF(C151="","",IF(COUNTIF(lst_Jobs,C151&amp;"")&gt;0,"OK","CHECK"))</f>
        <v/>
      </c>
      <c r="E151" s="25">
        <f>IF(C151="","",IFERROR(INDEX(lst_JobName,MATCH(C151&amp;"",lst_Jobs,0)),""))</f>
        <v/>
      </c>
      <c r="F151" s="25">
        <f>IF(C151="","",IFERROR(INDEX(tbl_Finance[Client],IFERROR(MATCH(C151&amp;"",tbl_Finance[Job Number],0),MATCH(IFERROR(C151+0,C151),tbl_Finance[Job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6" t="n"/>
      <c r="L151" s="27">
        <f>IF(C151="","",IF(K151="",0,MAX(0,K151-H151)))</f>
        <v/>
      </c>
      <c r="M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N151" s="24" t="n"/>
      <c r="O151" s="24" t="n"/>
      <c r="P151" s="25">
        <f>IF(O151="","",HYPERLINK(IF(LEFT(O151,4)="http",O151,set_QwilrBase&amp;O151),"Open quote"))</f>
        <v/>
      </c>
      <c r="Q151" s="71" t="n"/>
      <c r="R151" s="24" t="n"/>
      <c r="S151" s="24" t="n"/>
    </row>
    <row r="152" ht="15" customHeight="1">
      <c r="A152" s="70">
        <f>IF(C152="","",IFERROR(IF(SUMPRODUCT(MAX((tbl_Finance[Job Number]&amp;""=C152&amp;"")*(tbl_Finance[Xero Invoice No]&lt;&gt;"")*tbl_Finance[Date]))=0,"",SUMPRODUCT(MAX((tbl_Finance[Job Number]&amp;""=C152&amp;"")*(tbl_Finance[Xero Invoice No]&lt;&gt;"")*tbl_Finance[Date]))),""))</f>
        <v/>
      </c>
      <c r="B152" s="25">
        <f>IF(C152="","",IF(COUNTIFS(tbl_Finance[Job Number],C152&amp;"",tbl_Finance[Xero Invoice No],"&lt;&gt;")=0,"",IFERROR(IF(COUNTIFS(tbl_Finance[Job Number],C152&amp;"",tbl_Finance[Xero Invoice No],LOOKUP(2,1/((tbl_Finance[Job Number]&amp;""=C152&amp;"")*(tbl_Finance[Xero Invoice No]&lt;&gt;"")),tbl_Finance[Xero Invoice No]))=COUNTIFS(tbl_Finance[Job Number],C152&amp;"",tbl_Finance[Xero Invoice No],"&lt;&gt;"),LOOKUP(2,1/((tbl_Finance[Job Number]&amp;""=C152&amp;"")*(tbl_Finance[Xero Invoice No]&lt;&gt;"")),tbl_Finance[Xero Invoice No]),LOOKUP(2,1/((tbl_Finance[Job Number]&amp;""=C152&amp;"")*(tbl_Finance[Xero Invoice No]&lt;&gt;"")),tbl_Finance[Xero Invoice No])&amp;" +more"),"")))</f>
        <v/>
      </c>
      <c r="C152" s="24" t="n"/>
      <c r="D152" s="25">
        <f>IF(C152="","",IF(COUNTIF(lst_Jobs,C152&amp;"")&gt;0,"OK","CHECK"))</f>
        <v/>
      </c>
      <c r="E152" s="25">
        <f>IF(C152="","",IFERROR(INDEX(lst_JobName,MATCH(C152&amp;"",lst_Jobs,0)),""))</f>
        <v/>
      </c>
      <c r="F152" s="25">
        <f>IF(C152="","",IFERROR(INDEX(tbl_Finance[Client],IFERROR(MATCH(C152&amp;"",tbl_Finance[Job Number],0),MATCH(IFERROR(C152+0,C152),tbl_Finance[Job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6" t="n"/>
      <c r="L152" s="27">
        <f>IF(C152="","",IF(K152="",0,MAX(0,K152-H152)))</f>
        <v/>
      </c>
      <c r="M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N152" s="24" t="n"/>
      <c r="O152" s="24" t="n"/>
      <c r="P152" s="25">
        <f>IF(O152="","",HYPERLINK(IF(LEFT(O152,4)="http",O152,set_QwilrBase&amp;O152),"Open quote"))</f>
        <v/>
      </c>
      <c r="Q152" s="71" t="n"/>
      <c r="R152" s="24" t="n"/>
      <c r="S152" s="24" t="n"/>
    </row>
    <row r="153" ht="15" customHeight="1">
      <c r="A153" s="70">
        <f>IF(C153="","",IFERROR(IF(SUMPRODUCT(MAX((tbl_Finance[Job Number]&amp;""=C153&amp;"")*(tbl_Finance[Xero Invoice No]&lt;&gt;"")*tbl_Finance[Date]))=0,"",SUMPRODUCT(MAX((tbl_Finance[Job Number]&amp;""=C153&amp;"")*(tbl_Finance[Xero Invoice No]&lt;&gt;"")*tbl_Finance[Date]))),""))</f>
        <v/>
      </c>
      <c r="B153" s="25">
        <f>IF(C153="","",IF(COUNTIFS(tbl_Finance[Job Number],C153&amp;"",tbl_Finance[Xero Invoice No],"&lt;&gt;")=0,"",IFERROR(IF(COUNTIFS(tbl_Finance[Job Number],C153&amp;"",tbl_Finance[Xero Invoice No],LOOKUP(2,1/((tbl_Finance[Job Number]&amp;""=C153&amp;"")*(tbl_Finance[Xero Invoice No]&lt;&gt;"")),tbl_Finance[Xero Invoice No]))=COUNTIFS(tbl_Finance[Job Number],C153&amp;"",tbl_Finance[Xero Invoice No],"&lt;&gt;"),LOOKUP(2,1/((tbl_Finance[Job Number]&amp;""=C153&amp;"")*(tbl_Finance[Xero Invoice No]&lt;&gt;"")),tbl_Finance[Xero Invoice No]),LOOKUP(2,1/((tbl_Finance[Job Number]&amp;""=C153&amp;"")*(tbl_Finance[Xero Invoice No]&lt;&gt;"")),tbl_Finance[Xero Invoice No])&amp;" +more"),"")))</f>
        <v/>
      </c>
      <c r="C153" s="24" t="n"/>
      <c r="D153" s="25">
        <f>IF(C153="","",IF(COUNTIF(lst_Jobs,C153&amp;"")&gt;0,"OK","CHECK"))</f>
        <v/>
      </c>
      <c r="E153" s="25">
        <f>IF(C153="","",IFERROR(INDEX(lst_JobName,MATCH(C153&amp;"",lst_Jobs,0)),""))</f>
        <v/>
      </c>
      <c r="F153" s="25">
        <f>IF(C153="","",IFERROR(INDEX(tbl_Finance[Client],IFERROR(MATCH(C153&amp;"",tbl_Finance[Job Number],0),MATCH(IFERROR(C153+0,C153),tbl_Finance[Job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6" t="n"/>
      <c r="L153" s="27">
        <f>IF(C153="","",IF(K153="",0,MAX(0,K153-H153)))</f>
        <v/>
      </c>
      <c r="M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N153" s="24" t="n"/>
      <c r="O153" s="24" t="n"/>
      <c r="P153" s="25">
        <f>IF(O153="","",HYPERLINK(IF(LEFT(O153,4)="http",O153,set_QwilrBase&amp;O153),"Open quote"))</f>
        <v/>
      </c>
      <c r="Q153" s="71" t="n"/>
      <c r="R153" s="24" t="n"/>
      <c r="S153" s="24" t="n"/>
    </row>
    <row r="154" ht="15" customHeight="1">
      <c r="A154" s="70">
        <f>IF(C154="","",IFERROR(IF(SUMPRODUCT(MAX((tbl_Finance[Job Number]&amp;""=C154&amp;"")*(tbl_Finance[Xero Invoice No]&lt;&gt;"")*tbl_Finance[Date]))=0,"",SUMPRODUCT(MAX((tbl_Finance[Job Number]&amp;""=C154&amp;"")*(tbl_Finance[Xero Invoice No]&lt;&gt;"")*tbl_Finance[Date]))),""))</f>
        <v/>
      </c>
      <c r="B154" s="25">
        <f>IF(C154="","",IF(COUNTIFS(tbl_Finance[Job Number],C154&amp;"",tbl_Finance[Xero Invoice No],"&lt;&gt;")=0,"",IFERROR(IF(COUNTIFS(tbl_Finance[Job Number],C154&amp;"",tbl_Finance[Xero Invoice No],LOOKUP(2,1/((tbl_Finance[Job Number]&amp;""=C154&amp;"")*(tbl_Finance[Xero Invoice No]&lt;&gt;"")),tbl_Finance[Xero Invoice No]))=COUNTIFS(tbl_Finance[Job Number],C154&amp;"",tbl_Finance[Xero Invoice No],"&lt;&gt;"),LOOKUP(2,1/((tbl_Finance[Job Number]&amp;""=C154&amp;"")*(tbl_Finance[Xero Invoice No]&lt;&gt;"")),tbl_Finance[Xero Invoice No]),LOOKUP(2,1/((tbl_Finance[Job Number]&amp;""=C154&amp;"")*(tbl_Finance[Xero Invoice No]&lt;&gt;"")),tbl_Finance[Xero Invoice No])&amp;" +more"),"")))</f>
        <v/>
      </c>
      <c r="C154" s="24" t="n"/>
      <c r="D154" s="25">
        <f>IF(C154="","",IF(COUNTIF(lst_Jobs,C154&amp;"")&gt;0,"OK","CHECK"))</f>
        <v/>
      </c>
      <c r="E154" s="25">
        <f>IF(C154="","",IFERROR(INDEX(lst_JobName,MATCH(C154&amp;"",lst_Jobs,0)),""))</f>
        <v/>
      </c>
      <c r="F154" s="25">
        <f>IF(C154="","",IFERROR(INDEX(tbl_Finance[Client],IFERROR(MATCH(C154&amp;"",tbl_Finance[Job Number],0),MATCH(IFERROR(C154+0,C154),tbl_Finance[Job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6" t="n"/>
      <c r="L154" s="27">
        <f>IF(C154="","",IF(K154="",0,MAX(0,K154-H154)))</f>
        <v/>
      </c>
      <c r="M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N154" s="24" t="n"/>
      <c r="O154" s="24" t="n"/>
      <c r="P154" s="25">
        <f>IF(O154="","",HYPERLINK(IF(LEFT(O154,4)="http",O154,set_QwilrBase&amp;O154),"Open quote"))</f>
        <v/>
      </c>
      <c r="Q154" s="71" t="n"/>
      <c r="R154" s="24" t="n"/>
      <c r="S154" s="24" t="n"/>
    </row>
    <row r="155" ht="15" customHeight="1">
      <c r="A155" s="70">
        <f>IF(C155="","",IFERROR(IF(SUMPRODUCT(MAX((tbl_Finance[Job Number]&amp;""=C155&amp;"")*(tbl_Finance[Xero Invoice No]&lt;&gt;"")*tbl_Finance[Date]))=0,"",SUMPRODUCT(MAX((tbl_Finance[Job Number]&amp;""=C155&amp;"")*(tbl_Finance[Xero Invoice No]&lt;&gt;"")*tbl_Finance[Date]))),""))</f>
        <v/>
      </c>
      <c r="B155" s="25">
        <f>IF(C155="","",IF(COUNTIFS(tbl_Finance[Job Number],C155&amp;"",tbl_Finance[Xero Invoice No],"&lt;&gt;")=0,"",IFERROR(IF(COUNTIFS(tbl_Finance[Job Number],C155&amp;"",tbl_Finance[Xero Invoice No],LOOKUP(2,1/((tbl_Finance[Job Number]&amp;""=C155&amp;"")*(tbl_Finance[Xero Invoice No]&lt;&gt;"")),tbl_Finance[Xero Invoice No]))=COUNTIFS(tbl_Finance[Job Number],C155&amp;"",tbl_Finance[Xero Invoice No],"&lt;&gt;"),LOOKUP(2,1/((tbl_Finance[Job Number]&amp;""=C155&amp;"")*(tbl_Finance[Xero Invoice No]&lt;&gt;"")),tbl_Finance[Xero Invoice No]),LOOKUP(2,1/((tbl_Finance[Job Number]&amp;""=C155&amp;"")*(tbl_Finance[Xero Invoice No]&lt;&gt;"")),tbl_Finance[Xero Invoice No])&amp;" +more"),"")))</f>
        <v/>
      </c>
      <c r="C155" s="24" t="n"/>
      <c r="D155" s="25">
        <f>IF(C155="","",IF(COUNTIF(lst_Jobs,C155&amp;"")&gt;0,"OK","CHECK"))</f>
        <v/>
      </c>
      <c r="E155" s="25">
        <f>IF(C155="","",IFERROR(INDEX(lst_JobName,MATCH(C155&amp;"",lst_Jobs,0)),""))</f>
        <v/>
      </c>
      <c r="F155" s="25">
        <f>IF(C155="","",IFERROR(INDEX(tbl_Finance[Client],IFERROR(MATCH(C155&amp;"",tbl_Finance[Job Number],0),MATCH(IFERROR(C155+0,C155),tbl_Finance[Job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6" t="n"/>
      <c r="L155" s="27">
        <f>IF(C155="","",IF(K155="",0,MAX(0,K155-H155)))</f>
        <v/>
      </c>
      <c r="M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N155" s="24" t="n"/>
      <c r="O155" s="24" t="n"/>
      <c r="P155" s="25">
        <f>IF(O155="","",HYPERLINK(IF(LEFT(O155,4)="http",O155,set_QwilrBase&amp;O155),"Open quote"))</f>
        <v/>
      </c>
      <c r="Q155" s="71" t="n"/>
      <c r="R155" s="24" t="n"/>
      <c r="S155" s="24" t="n"/>
    </row>
    <row r="156" ht="15" customHeight="1">
      <c r="A156" s="70">
        <f>IF(C156="","",IFERROR(IF(SUMPRODUCT(MAX((tbl_Finance[Job Number]&amp;""=C156&amp;"")*(tbl_Finance[Xero Invoice No]&lt;&gt;"")*tbl_Finance[Date]))=0,"",SUMPRODUCT(MAX((tbl_Finance[Job Number]&amp;""=C156&amp;"")*(tbl_Finance[Xero Invoice No]&lt;&gt;"")*tbl_Finance[Date]))),""))</f>
        <v/>
      </c>
      <c r="B156" s="25">
        <f>IF(C156="","",IF(COUNTIFS(tbl_Finance[Job Number],C156&amp;"",tbl_Finance[Xero Invoice No],"&lt;&gt;")=0,"",IFERROR(IF(COUNTIFS(tbl_Finance[Job Number],C156&amp;"",tbl_Finance[Xero Invoice No],LOOKUP(2,1/((tbl_Finance[Job Number]&amp;""=C156&amp;"")*(tbl_Finance[Xero Invoice No]&lt;&gt;"")),tbl_Finance[Xero Invoice No]))=COUNTIFS(tbl_Finance[Job Number],C156&amp;"",tbl_Finance[Xero Invoice No],"&lt;&gt;"),LOOKUP(2,1/((tbl_Finance[Job Number]&amp;""=C156&amp;"")*(tbl_Finance[Xero Invoice No]&lt;&gt;"")),tbl_Finance[Xero Invoice No]),LOOKUP(2,1/((tbl_Finance[Job Number]&amp;""=C156&amp;"")*(tbl_Finance[Xero Invoice No]&lt;&gt;"")),tbl_Finance[Xero Invoice No])&amp;" +more"),"")))</f>
        <v/>
      </c>
      <c r="C156" s="24" t="n"/>
      <c r="D156" s="25">
        <f>IF(C156="","",IF(COUNTIF(lst_Jobs,C156&amp;"")&gt;0,"OK","CHECK"))</f>
        <v/>
      </c>
      <c r="E156" s="25">
        <f>IF(C156="","",IFERROR(INDEX(lst_JobName,MATCH(C156&amp;"",lst_Jobs,0)),""))</f>
        <v/>
      </c>
      <c r="F156" s="25">
        <f>IF(C156="","",IFERROR(INDEX(tbl_Finance[Client],IFERROR(MATCH(C156&amp;"",tbl_Finance[Job Number],0),MATCH(IFERROR(C156+0,C156),tbl_Finance[Job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6" t="n"/>
      <c r="L156" s="27">
        <f>IF(C156="","",IF(K156="",0,MAX(0,K156-H156)))</f>
        <v/>
      </c>
      <c r="M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N156" s="24" t="n"/>
      <c r="O156" s="24" t="n"/>
      <c r="P156" s="25">
        <f>IF(O156="","",HYPERLINK(IF(LEFT(O156,4)="http",O156,set_QwilrBase&amp;O156),"Open quote"))</f>
        <v/>
      </c>
      <c r="Q156" s="71" t="n"/>
      <c r="R156" s="24" t="n"/>
      <c r="S156" s="24" t="n"/>
    </row>
    <row r="157" ht="15" customHeight="1">
      <c r="A157" s="70">
        <f>IF(C157="","",IFERROR(IF(SUMPRODUCT(MAX((tbl_Finance[Job Number]&amp;""=C157&amp;"")*(tbl_Finance[Xero Invoice No]&lt;&gt;"")*tbl_Finance[Date]))=0,"",SUMPRODUCT(MAX((tbl_Finance[Job Number]&amp;""=C157&amp;"")*(tbl_Finance[Xero Invoice No]&lt;&gt;"")*tbl_Finance[Date]))),""))</f>
        <v/>
      </c>
      <c r="B157" s="25">
        <f>IF(C157="","",IF(COUNTIFS(tbl_Finance[Job Number],C157&amp;"",tbl_Finance[Xero Invoice No],"&lt;&gt;")=0,"",IFERROR(IF(COUNTIFS(tbl_Finance[Job Number],C157&amp;"",tbl_Finance[Xero Invoice No],LOOKUP(2,1/((tbl_Finance[Job Number]&amp;""=C157&amp;"")*(tbl_Finance[Xero Invoice No]&lt;&gt;"")),tbl_Finance[Xero Invoice No]))=COUNTIFS(tbl_Finance[Job Number],C157&amp;"",tbl_Finance[Xero Invoice No],"&lt;&gt;"),LOOKUP(2,1/((tbl_Finance[Job Number]&amp;""=C157&amp;"")*(tbl_Finance[Xero Invoice No]&lt;&gt;"")),tbl_Finance[Xero Invoice No]),LOOKUP(2,1/((tbl_Finance[Job Number]&amp;""=C157&amp;"")*(tbl_Finance[Xero Invoice No]&lt;&gt;"")),tbl_Finance[Xero Invoice No])&amp;" +more"),"")))</f>
        <v/>
      </c>
      <c r="C157" s="24" t="n"/>
      <c r="D157" s="25">
        <f>IF(C157="","",IF(COUNTIF(lst_Jobs,C157&amp;"")&gt;0,"OK","CHECK"))</f>
        <v/>
      </c>
      <c r="E157" s="25">
        <f>IF(C157="","",IFERROR(INDEX(lst_JobName,MATCH(C157&amp;"",lst_Jobs,0)),""))</f>
        <v/>
      </c>
      <c r="F157" s="25">
        <f>IF(C157="","",IFERROR(INDEX(tbl_Finance[Client],IFERROR(MATCH(C157&amp;"",tbl_Finance[Job Number],0),MATCH(IFERROR(C157+0,C157),tbl_Finance[Job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6" t="n"/>
      <c r="L157" s="27">
        <f>IF(C157="","",IF(K157="",0,MAX(0,K157-H157)))</f>
        <v/>
      </c>
      <c r="M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N157" s="24" t="n"/>
      <c r="O157" s="24" t="n"/>
      <c r="P157" s="25">
        <f>IF(O157="","",HYPERLINK(IF(LEFT(O157,4)="http",O157,set_QwilrBase&amp;O157),"Open quote"))</f>
        <v/>
      </c>
      <c r="Q157" s="71" t="n"/>
      <c r="R157" s="24" t="n"/>
      <c r="S157" s="24" t="n"/>
    </row>
    <row r="158" ht="15" customHeight="1">
      <c r="A158" s="70">
        <f>IF(C158="","",IFERROR(IF(SUMPRODUCT(MAX((tbl_Finance[Job Number]&amp;""=C158&amp;"")*(tbl_Finance[Xero Invoice No]&lt;&gt;"")*tbl_Finance[Date]))=0,"",SUMPRODUCT(MAX((tbl_Finance[Job Number]&amp;""=C158&amp;"")*(tbl_Finance[Xero Invoice No]&lt;&gt;"")*tbl_Finance[Date]))),""))</f>
        <v/>
      </c>
      <c r="B158" s="25">
        <f>IF(C158="","",IF(COUNTIFS(tbl_Finance[Job Number],C158&amp;"",tbl_Finance[Xero Invoice No],"&lt;&gt;")=0,"",IFERROR(IF(COUNTIFS(tbl_Finance[Job Number],C158&amp;"",tbl_Finance[Xero Invoice No],LOOKUP(2,1/((tbl_Finance[Job Number]&amp;""=C158&amp;"")*(tbl_Finance[Xero Invoice No]&lt;&gt;"")),tbl_Finance[Xero Invoice No]))=COUNTIFS(tbl_Finance[Job Number],C158&amp;"",tbl_Finance[Xero Invoice No],"&lt;&gt;"),LOOKUP(2,1/((tbl_Finance[Job Number]&amp;""=C158&amp;"")*(tbl_Finance[Xero Invoice No]&lt;&gt;"")),tbl_Finance[Xero Invoice No]),LOOKUP(2,1/((tbl_Finance[Job Number]&amp;""=C158&amp;"")*(tbl_Finance[Xero Invoice No]&lt;&gt;"")),tbl_Finance[Xero Invoice No])&amp;" +more"),"")))</f>
        <v/>
      </c>
      <c r="C158" s="24" t="n"/>
      <c r="D158" s="25">
        <f>IF(C158="","",IF(COUNTIF(lst_Jobs,C158&amp;"")&gt;0,"OK","CHECK"))</f>
        <v/>
      </c>
      <c r="E158" s="25">
        <f>IF(C158="","",IFERROR(INDEX(lst_JobName,MATCH(C158&amp;"",lst_Jobs,0)),""))</f>
        <v/>
      </c>
      <c r="F158" s="25">
        <f>IF(C158="","",IFERROR(INDEX(tbl_Finance[Client],IFERROR(MATCH(C158&amp;"",tbl_Finance[Job Number],0),MATCH(IFERROR(C158+0,C158),tbl_Finance[Job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6" t="n"/>
      <c r="L158" s="27">
        <f>IF(C158="","",IF(K158="",0,MAX(0,K158-H158)))</f>
        <v/>
      </c>
      <c r="M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N158" s="24" t="n"/>
      <c r="O158" s="24" t="n"/>
      <c r="P158" s="25">
        <f>IF(O158="","",HYPERLINK(IF(LEFT(O158,4)="http",O158,set_QwilrBase&amp;O158),"Open quote"))</f>
        <v/>
      </c>
      <c r="Q158" s="71" t="n"/>
      <c r="R158" s="24" t="n"/>
      <c r="S158" s="24" t="n"/>
    </row>
    <row r="159" ht="15" customHeight="1">
      <c r="A159" s="70">
        <f>IF(C159="","",IFERROR(IF(SUMPRODUCT(MAX((tbl_Finance[Job Number]&amp;""=C159&amp;"")*(tbl_Finance[Xero Invoice No]&lt;&gt;"")*tbl_Finance[Date]))=0,"",SUMPRODUCT(MAX((tbl_Finance[Job Number]&amp;""=C159&amp;"")*(tbl_Finance[Xero Invoice No]&lt;&gt;"")*tbl_Finance[Date]))),""))</f>
        <v/>
      </c>
      <c r="B159" s="25">
        <f>IF(C159="","",IF(COUNTIFS(tbl_Finance[Job Number],C159&amp;"",tbl_Finance[Xero Invoice No],"&lt;&gt;")=0,"",IFERROR(IF(COUNTIFS(tbl_Finance[Job Number],C159&amp;"",tbl_Finance[Xero Invoice No],LOOKUP(2,1/((tbl_Finance[Job Number]&amp;""=C159&amp;"")*(tbl_Finance[Xero Invoice No]&lt;&gt;"")),tbl_Finance[Xero Invoice No]))=COUNTIFS(tbl_Finance[Job Number],C159&amp;"",tbl_Finance[Xero Invoice No],"&lt;&gt;"),LOOKUP(2,1/((tbl_Finance[Job Number]&amp;""=C159&amp;"")*(tbl_Finance[Xero Invoice No]&lt;&gt;"")),tbl_Finance[Xero Invoice No]),LOOKUP(2,1/((tbl_Finance[Job Number]&amp;""=C159&amp;"")*(tbl_Finance[Xero Invoice No]&lt;&gt;"")),tbl_Finance[Xero Invoice No])&amp;" +more"),"")))</f>
        <v/>
      </c>
      <c r="C159" s="24" t="n"/>
      <c r="D159" s="25">
        <f>IF(C159="","",IF(COUNTIF(lst_Jobs,C159&amp;"")&gt;0,"OK","CHECK"))</f>
        <v/>
      </c>
      <c r="E159" s="25">
        <f>IF(C159="","",IFERROR(INDEX(lst_JobName,MATCH(C159&amp;"",lst_Jobs,0)),""))</f>
        <v/>
      </c>
      <c r="F159" s="25">
        <f>IF(C159="","",IFERROR(INDEX(tbl_Finance[Client],IFERROR(MATCH(C159&amp;"",tbl_Finance[Job Number],0),MATCH(IFERROR(C159+0,C159),tbl_Finance[Job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6" t="n"/>
      <c r="L159" s="27">
        <f>IF(C159="","",IF(K159="",0,MAX(0,K159-H159)))</f>
        <v/>
      </c>
      <c r="M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N159" s="24" t="n"/>
      <c r="O159" s="24" t="n"/>
      <c r="P159" s="25">
        <f>IF(O159="","",HYPERLINK(IF(LEFT(O159,4)="http",O159,set_QwilrBase&amp;O159),"Open quote"))</f>
        <v/>
      </c>
      <c r="Q159" s="71" t="n"/>
      <c r="R159" s="24" t="n"/>
      <c r="S159" s="24" t="n"/>
    </row>
    <row r="160" ht="15" customHeight="1">
      <c r="A160" s="70">
        <f>IF(C160="","",IFERROR(IF(SUMPRODUCT(MAX((tbl_Finance[Job Number]&amp;""=C160&amp;"")*(tbl_Finance[Xero Invoice No]&lt;&gt;"")*tbl_Finance[Date]))=0,"",SUMPRODUCT(MAX((tbl_Finance[Job Number]&amp;""=C160&amp;"")*(tbl_Finance[Xero Invoice No]&lt;&gt;"")*tbl_Finance[Date]))),""))</f>
        <v/>
      </c>
      <c r="B160" s="25">
        <f>IF(C160="","",IF(COUNTIFS(tbl_Finance[Job Number],C160&amp;"",tbl_Finance[Xero Invoice No],"&lt;&gt;")=0,"",IFERROR(IF(COUNTIFS(tbl_Finance[Job Number],C160&amp;"",tbl_Finance[Xero Invoice No],LOOKUP(2,1/((tbl_Finance[Job Number]&amp;""=C160&amp;"")*(tbl_Finance[Xero Invoice No]&lt;&gt;"")),tbl_Finance[Xero Invoice No]))=COUNTIFS(tbl_Finance[Job Number],C160&amp;"",tbl_Finance[Xero Invoice No],"&lt;&gt;"),LOOKUP(2,1/((tbl_Finance[Job Number]&amp;""=C160&amp;"")*(tbl_Finance[Xero Invoice No]&lt;&gt;"")),tbl_Finance[Xero Invoice No]),LOOKUP(2,1/((tbl_Finance[Job Number]&amp;""=C160&amp;"")*(tbl_Finance[Xero Invoice No]&lt;&gt;"")),tbl_Finance[Xero Invoice No])&amp;" +more"),"")))</f>
        <v/>
      </c>
      <c r="C160" s="24" t="n"/>
      <c r="D160" s="25">
        <f>IF(C160="","",IF(COUNTIF(lst_Jobs,C160&amp;"")&gt;0,"OK","CHECK"))</f>
        <v/>
      </c>
      <c r="E160" s="25">
        <f>IF(C160="","",IFERROR(INDEX(lst_JobName,MATCH(C160&amp;"",lst_Jobs,0)),""))</f>
        <v/>
      </c>
      <c r="F160" s="25">
        <f>IF(C160="","",IFERROR(INDEX(tbl_Finance[Client],IFERROR(MATCH(C160&amp;"",tbl_Finance[Job Number],0),MATCH(IFERROR(C160+0,C160),tbl_Finance[Job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6" t="n"/>
      <c r="L160" s="27">
        <f>IF(C160="","",IF(K160="",0,MAX(0,K160-H160)))</f>
        <v/>
      </c>
      <c r="M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N160" s="24" t="n"/>
      <c r="O160" s="24" t="n"/>
      <c r="P160" s="25">
        <f>IF(O160="","",HYPERLINK(IF(LEFT(O160,4)="http",O160,set_QwilrBase&amp;O160),"Open quote"))</f>
        <v/>
      </c>
      <c r="Q160" s="71" t="n"/>
      <c r="R160" s="24" t="n"/>
      <c r="S160" s="24" t="n"/>
    </row>
    <row r="161" ht="15" customHeight="1">
      <c r="A161" s="70">
        <f>IF(C161="","",IFERROR(IF(SUMPRODUCT(MAX((tbl_Finance[Job Number]&amp;""=C161&amp;"")*(tbl_Finance[Xero Invoice No]&lt;&gt;"")*tbl_Finance[Date]))=0,"",SUMPRODUCT(MAX((tbl_Finance[Job Number]&amp;""=C161&amp;"")*(tbl_Finance[Xero Invoice No]&lt;&gt;"")*tbl_Finance[Date]))),""))</f>
        <v/>
      </c>
      <c r="B161" s="25">
        <f>IF(C161="","",IF(COUNTIFS(tbl_Finance[Job Number],C161&amp;"",tbl_Finance[Xero Invoice No],"&lt;&gt;")=0,"",IFERROR(IF(COUNTIFS(tbl_Finance[Job Number],C161&amp;"",tbl_Finance[Xero Invoice No],LOOKUP(2,1/((tbl_Finance[Job Number]&amp;""=C161&amp;"")*(tbl_Finance[Xero Invoice No]&lt;&gt;"")),tbl_Finance[Xero Invoice No]))=COUNTIFS(tbl_Finance[Job Number],C161&amp;"",tbl_Finance[Xero Invoice No],"&lt;&gt;"),LOOKUP(2,1/((tbl_Finance[Job Number]&amp;""=C161&amp;"")*(tbl_Finance[Xero Invoice No]&lt;&gt;"")),tbl_Finance[Xero Invoice No]),LOOKUP(2,1/((tbl_Finance[Job Number]&amp;""=C161&amp;"")*(tbl_Finance[Xero Invoice No]&lt;&gt;"")),tbl_Finance[Xero Invoice No])&amp;" +more"),"")))</f>
        <v/>
      </c>
      <c r="C161" s="24" t="n"/>
      <c r="D161" s="25">
        <f>IF(C161="","",IF(COUNTIF(lst_Jobs,C161&amp;"")&gt;0,"OK","CHECK"))</f>
        <v/>
      </c>
      <c r="E161" s="25">
        <f>IF(C161="","",IFERROR(INDEX(lst_JobName,MATCH(C161&amp;"",lst_Jobs,0)),""))</f>
        <v/>
      </c>
      <c r="F161" s="25">
        <f>IF(C161="","",IFERROR(INDEX(tbl_Finance[Client],IFERROR(MATCH(C161&amp;"",tbl_Finance[Job Number],0),MATCH(IFERROR(C161+0,C161),tbl_Finance[Job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6" t="n"/>
      <c r="L161" s="27">
        <f>IF(C161="","",IF(K161="",0,MAX(0,K161-H161)))</f>
        <v/>
      </c>
      <c r="M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N161" s="24" t="n"/>
      <c r="O161" s="24" t="n"/>
      <c r="P161" s="25">
        <f>IF(O161="","",HYPERLINK(IF(LEFT(O161,4)="http",O161,set_QwilrBase&amp;O161),"Open quote"))</f>
        <v/>
      </c>
      <c r="Q161" s="71" t="n"/>
      <c r="R161" s="24" t="n"/>
      <c r="S161" s="24" t="n"/>
    </row>
    <row r="162" ht="15" customHeight="1">
      <c r="A162" s="70">
        <f>IF(C162="","",IFERROR(IF(SUMPRODUCT(MAX((tbl_Finance[Job Number]&amp;""=C162&amp;"")*(tbl_Finance[Xero Invoice No]&lt;&gt;"")*tbl_Finance[Date]))=0,"",SUMPRODUCT(MAX((tbl_Finance[Job Number]&amp;""=C162&amp;"")*(tbl_Finance[Xero Invoice No]&lt;&gt;"")*tbl_Finance[Date]))),""))</f>
        <v/>
      </c>
      <c r="B162" s="25">
        <f>IF(C162="","",IF(COUNTIFS(tbl_Finance[Job Number],C162&amp;"",tbl_Finance[Xero Invoice No],"&lt;&gt;")=0,"",IFERROR(IF(COUNTIFS(tbl_Finance[Job Number],C162&amp;"",tbl_Finance[Xero Invoice No],LOOKUP(2,1/((tbl_Finance[Job Number]&amp;""=C162&amp;"")*(tbl_Finance[Xero Invoice No]&lt;&gt;"")),tbl_Finance[Xero Invoice No]))=COUNTIFS(tbl_Finance[Job Number],C162&amp;"",tbl_Finance[Xero Invoice No],"&lt;&gt;"),LOOKUP(2,1/((tbl_Finance[Job Number]&amp;""=C162&amp;"")*(tbl_Finance[Xero Invoice No]&lt;&gt;"")),tbl_Finance[Xero Invoice No]),LOOKUP(2,1/((tbl_Finance[Job Number]&amp;""=C162&amp;"")*(tbl_Finance[Xero Invoice No]&lt;&gt;"")),tbl_Finance[Xero Invoice No])&amp;" +more"),"")))</f>
        <v/>
      </c>
      <c r="C162" s="24" t="n"/>
      <c r="D162" s="25">
        <f>IF(C162="","",IF(COUNTIF(lst_Jobs,C162&amp;"")&gt;0,"OK","CHECK"))</f>
        <v/>
      </c>
      <c r="E162" s="25">
        <f>IF(C162="","",IFERROR(INDEX(lst_JobName,MATCH(C162&amp;"",lst_Jobs,0)),""))</f>
        <v/>
      </c>
      <c r="F162" s="25">
        <f>IF(C162="","",IFERROR(INDEX(tbl_Finance[Client],IFERROR(MATCH(C162&amp;"",tbl_Finance[Job Number],0),MATCH(IFERROR(C162+0,C162),tbl_Finance[Job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6" t="n"/>
      <c r="L162" s="27">
        <f>IF(C162="","",IF(K162="",0,MAX(0,K162-H162)))</f>
        <v/>
      </c>
      <c r="M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N162" s="24" t="n"/>
      <c r="O162" s="24" t="n"/>
      <c r="P162" s="25">
        <f>IF(O162="","",HYPERLINK(IF(LEFT(O162,4)="http",O162,set_QwilrBase&amp;O162),"Open quote"))</f>
        <v/>
      </c>
      <c r="Q162" s="71" t="n"/>
      <c r="R162" s="24" t="n"/>
      <c r="S162" s="24" t="n"/>
    </row>
    <row r="163" ht="15" customHeight="1">
      <c r="A163" s="70">
        <f>IF(C163="","",IFERROR(IF(SUMPRODUCT(MAX((tbl_Finance[Job Number]&amp;""=C163&amp;"")*(tbl_Finance[Xero Invoice No]&lt;&gt;"")*tbl_Finance[Date]))=0,"",SUMPRODUCT(MAX((tbl_Finance[Job Number]&amp;""=C163&amp;"")*(tbl_Finance[Xero Invoice No]&lt;&gt;"")*tbl_Finance[Date]))),""))</f>
        <v/>
      </c>
      <c r="B163" s="25">
        <f>IF(C163="","",IF(COUNTIFS(tbl_Finance[Job Number],C163&amp;"",tbl_Finance[Xero Invoice No],"&lt;&gt;")=0,"",IFERROR(IF(COUNTIFS(tbl_Finance[Job Number],C163&amp;"",tbl_Finance[Xero Invoice No],LOOKUP(2,1/((tbl_Finance[Job Number]&amp;""=C163&amp;"")*(tbl_Finance[Xero Invoice No]&lt;&gt;"")),tbl_Finance[Xero Invoice No]))=COUNTIFS(tbl_Finance[Job Number],C163&amp;"",tbl_Finance[Xero Invoice No],"&lt;&gt;"),LOOKUP(2,1/((tbl_Finance[Job Number]&amp;""=C163&amp;"")*(tbl_Finance[Xero Invoice No]&lt;&gt;"")),tbl_Finance[Xero Invoice No]),LOOKUP(2,1/((tbl_Finance[Job Number]&amp;""=C163&amp;"")*(tbl_Finance[Xero Invoice No]&lt;&gt;"")),tbl_Finance[Xero Invoice No])&amp;" +more"),"")))</f>
        <v/>
      </c>
      <c r="C163" s="24" t="n"/>
      <c r="D163" s="25">
        <f>IF(C163="","",IF(COUNTIF(lst_Jobs,C163&amp;"")&gt;0,"OK","CHECK"))</f>
        <v/>
      </c>
      <c r="E163" s="25">
        <f>IF(C163="","",IFERROR(INDEX(lst_JobName,MATCH(C163&amp;"",lst_Jobs,0)),""))</f>
        <v/>
      </c>
      <c r="F163" s="25">
        <f>IF(C163="","",IFERROR(INDEX(tbl_Finance[Client],IFERROR(MATCH(C163&amp;"",tbl_Finance[Job Number],0),MATCH(IFERROR(C163+0,C163),tbl_Finance[Job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6" t="n"/>
      <c r="L163" s="27">
        <f>IF(C163="","",IF(K163="",0,MAX(0,K163-H163)))</f>
        <v/>
      </c>
      <c r="M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N163" s="24" t="n"/>
      <c r="O163" s="24" t="n"/>
      <c r="P163" s="25">
        <f>IF(O163="","",HYPERLINK(IF(LEFT(O163,4)="http",O163,set_QwilrBase&amp;O163),"Open quote"))</f>
        <v/>
      </c>
      <c r="Q163" s="71" t="n"/>
      <c r="R163" s="24" t="n"/>
      <c r="S163" s="24" t="n"/>
    </row>
    <row r="164" ht="15" customHeight="1">
      <c r="A164" s="70">
        <f>IF(C164="","",IFERROR(IF(SUMPRODUCT(MAX((tbl_Finance[Job Number]&amp;""=C164&amp;"")*(tbl_Finance[Xero Invoice No]&lt;&gt;"")*tbl_Finance[Date]))=0,"",SUMPRODUCT(MAX((tbl_Finance[Job Number]&amp;""=C164&amp;"")*(tbl_Finance[Xero Invoice No]&lt;&gt;"")*tbl_Finance[Date]))),""))</f>
        <v/>
      </c>
      <c r="B164" s="25">
        <f>IF(C164="","",IF(COUNTIFS(tbl_Finance[Job Number],C164&amp;"",tbl_Finance[Xero Invoice No],"&lt;&gt;")=0,"",IFERROR(IF(COUNTIFS(tbl_Finance[Job Number],C164&amp;"",tbl_Finance[Xero Invoice No],LOOKUP(2,1/((tbl_Finance[Job Number]&amp;""=C164&amp;"")*(tbl_Finance[Xero Invoice No]&lt;&gt;"")),tbl_Finance[Xero Invoice No]))=COUNTIFS(tbl_Finance[Job Number],C164&amp;"",tbl_Finance[Xero Invoice No],"&lt;&gt;"),LOOKUP(2,1/((tbl_Finance[Job Number]&amp;""=C164&amp;"")*(tbl_Finance[Xero Invoice No]&lt;&gt;"")),tbl_Finance[Xero Invoice No]),LOOKUP(2,1/((tbl_Finance[Job Number]&amp;""=C164&amp;"")*(tbl_Finance[Xero Invoice No]&lt;&gt;"")),tbl_Finance[Xero Invoice No])&amp;" +more"),"")))</f>
        <v/>
      </c>
      <c r="C164" s="24" t="n"/>
      <c r="D164" s="25">
        <f>IF(C164="","",IF(COUNTIF(lst_Jobs,C164&amp;"")&gt;0,"OK","CHECK"))</f>
        <v/>
      </c>
      <c r="E164" s="25">
        <f>IF(C164="","",IFERROR(INDEX(lst_JobName,MATCH(C164&amp;"",lst_Jobs,0)),""))</f>
        <v/>
      </c>
      <c r="F164" s="25">
        <f>IF(C164="","",IFERROR(INDEX(tbl_Finance[Client],IFERROR(MATCH(C164&amp;"",tbl_Finance[Job Number],0),MATCH(IFERROR(C164+0,C164),tbl_Finance[Job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6" t="n"/>
      <c r="L164" s="27">
        <f>IF(C164="","",IF(K164="",0,MAX(0,K164-H164)))</f>
        <v/>
      </c>
      <c r="M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N164" s="24" t="n"/>
      <c r="O164" s="24" t="n"/>
      <c r="P164" s="25">
        <f>IF(O164="","",HYPERLINK(IF(LEFT(O164,4)="http",O164,set_QwilrBase&amp;O164),"Open quote"))</f>
        <v/>
      </c>
      <c r="Q164" s="71" t="n"/>
      <c r="R164" s="24" t="n"/>
      <c r="S164" s="24" t="n"/>
    </row>
    <row r="165" ht="15" customHeight="1">
      <c r="A165" s="70">
        <f>IF(C165="","",IFERROR(IF(SUMPRODUCT(MAX((tbl_Finance[Job Number]&amp;""=C165&amp;"")*(tbl_Finance[Xero Invoice No]&lt;&gt;"")*tbl_Finance[Date]))=0,"",SUMPRODUCT(MAX((tbl_Finance[Job Number]&amp;""=C165&amp;"")*(tbl_Finance[Xero Invoice No]&lt;&gt;"")*tbl_Finance[Date]))),""))</f>
        <v/>
      </c>
      <c r="B165" s="25">
        <f>IF(C165="","",IF(COUNTIFS(tbl_Finance[Job Number],C165&amp;"",tbl_Finance[Xero Invoice No],"&lt;&gt;")=0,"",IFERROR(IF(COUNTIFS(tbl_Finance[Job Number],C165&amp;"",tbl_Finance[Xero Invoice No],LOOKUP(2,1/((tbl_Finance[Job Number]&amp;""=C165&amp;"")*(tbl_Finance[Xero Invoice No]&lt;&gt;"")),tbl_Finance[Xero Invoice No]))=COUNTIFS(tbl_Finance[Job Number],C165&amp;"",tbl_Finance[Xero Invoice No],"&lt;&gt;"),LOOKUP(2,1/((tbl_Finance[Job Number]&amp;""=C165&amp;"")*(tbl_Finance[Xero Invoice No]&lt;&gt;"")),tbl_Finance[Xero Invoice No]),LOOKUP(2,1/((tbl_Finance[Job Number]&amp;""=C165&amp;"")*(tbl_Finance[Xero Invoice No]&lt;&gt;"")),tbl_Finance[Xero Invoice No])&amp;" +more"),"")))</f>
        <v/>
      </c>
      <c r="C165" s="24" t="n"/>
      <c r="D165" s="25">
        <f>IF(C165="","",IF(COUNTIF(lst_Jobs,C165&amp;"")&gt;0,"OK","CHECK"))</f>
        <v/>
      </c>
      <c r="E165" s="25">
        <f>IF(C165="","",IFERROR(INDEX(lst_JobName,MATCH(C165&amp;"",lst_Jobs,0)),""))</f>
        <v/>
      </c>
      <c r="F165" s="25">
        <f>IF(C165="","",IFERROR(INDEX(tbl_Finance[Client],IFERROR(MATCH(C165&amp;"",tbl_Finance[Job Number],0),MATCH(IFERROR(C165+0,C165),tbl_Finance[Job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6" t="n"/>
      <c r="L165" s="27">
        <f>IF(C165="","",IF(K165="",0,MAX(0,K165-H165)))</f>
        <v/>
      </c>
      <c r="M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N165" s="24" t="n"/>
      <c r="O165" s="24" t="n"/>
      <c r="P165" s="25">
        <f>IF(O165="","",HYPERLINK(IF(LEFT(O165,4)="http",O165,set_QwilrBase&amp;O165),"Open quote"))</f>
        <v/>
      </c>
      <c r="Q165" s="71" t="n"/>
      <c r="R165" s="24" t="n"/>
      <c r="S165" s="24" t="n"/>
    </row>
    <row r="166" ht="15" customHeight="1">
      <c r="A166" s="70">
        <f>IF(C166="","",IFERROR(IF(SUMPRODUCT(MAX((tbl_Finance[Job Number]&amp;""=C166&amp;"")*(tbl_Finance[Xero Invoice No]&lt;&gt;"")*tbl_Finance[Date]))=0,"",SUMPRODUCT(MAX((tbl_Finance[Job Number]&amp;""=C166&amp;"")*(tbl_Finance[Xero Invoice No]&lt;&gt;"")*tbl_Finance[Date]))),""))</f>
        <v/>
      </c>
      <c r="B166" s="25">
        <f>IF(C166="","",IF(COUNTIFS(tbl_Finance[Job Number],C166&amp;"",tbl_Finance[Xero Invoice No],"&lt;&gt;")=0,"",IFERROR(IF(COUNTIFS(tbl_Finance[Job Number],C166&amp;"",tbl_Finance[Xero Invoice No],LOOKUP(2,1/((tbl_Finance[Job Number]&amp;""=C166&amp;"")*(tbl_Finance[Xero Invoice No]&lt;&gt;"")),tbl_Finance[Xero Invoice No]))=COUNTIFS(tbl_Finance[Job Number],C166&amp;"",tbl_Finance[Xero Invoice No],"&lt;&gt;"),LOOKUP(2,1/((tbl_Finance[Job Number]&amp;""=C166&amp;"")*(tbl_Finance[Xero Invoice No]&lt;&gt;"")),tbl_Finance[Xero Invoice No]),LOOKUP(2,1/((tbl_Finance[Job Number]&amp;""=C166&amp;"")*(tbl_Finance[Xero Invoice No]&lt;&gt;"")),tbl_Finance[Xero Invoice No])&amp;" +more"),"")))</f>
        <v/>
      </c>
      <c r="C166" s="24" t="n"/>
      <c r="D166" s="25">
        <f>IF(C166="","",IF(COUNTIF(lst_Jobs,C166&amp;"")&gt;0,"OK","CHECK"))</f>
        <v/>
      </c>
      <c r="E166" s="25">
        <f>IF(C166="","",IFERROR(INDEX(lst_JobName,MATCH(C166&amp;"",lst_Jobs,0)),""))</f>
        <v/>
      </c>
      <c r="F166" s="25">
        <f>IF(C166="","",IFERROR(INDEX(tbl_Finance[Client],IFERROR(MATCH(C166&amp;"",tbl_Finance[Job Number],0),MATCH(IFERROR(C166+0,C166),tbl_Finance[Job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6" t="n"/>
      <c r="L166" s="27">
        <f>IF(C166="","",IF(K166="",0,MAX(0,K166-H166)))</f>
        <v/>
      </c>
      <c r="M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N166" s="24" t="n"/>
      <c r="O166" s="24" t="n"/>
      <c r="P166" s="25">
        <f>IF(O166="","",HYPERLINK(IF(LEFT(O166,4)="http",O166,set_QwilrBase&amp;O166),"Open quote"))</f>
        <v/>
      </c>
      <c r="Q166" s="71" t="n"/>
      <c r="R166" s="24" t="n"/>
      <c r="S166" s="24" t="n"/>
    </row>
    <row r="167" ht="15" customHeight="1">
      <c r="A167" s="70">
        <f>IF(C167="","",IFERROR(IF(SUMPRODUCT(MAX((tbl_Finance[Job Number]&amp;""=C167&amp;"")*(tbl_Finance[Xero Invoice No]&lt;&gt;"")*tbl_Finance[Date]))=0,"",SUMPRODUCT(MAX((tbl_Finance[Job Number]&amp;""=C167&amp;"")*(tbl_Finance[Xero Invoice No]&lt;&gt;"")*tbl_Finance[Date]))),""))</f>
        <v/>
      </c>
      <c r="B167" s="25">
        <f>IF(C167="","",IF(COUNTIFS(tbl_Finance[Job Number],C167&amp;"",tbl_Finance[Xero Invoice No],"&lt;&gt;")=0,"",IFERROR(IF(COUNTIFS(tbl_Finance[Job Number],C167&amp;"",tbl_Finance[Xero Invoice No],LOOKUP(2,1/((tbl_Finance[Job Number]&amp;""=C167&amp;"")*(tbl_Finance[Xero Invoice No]&lt;&gt;"")),tbl_Finance[Xero Invoice No]))=COUNTIFS(tbl_Finance[Job Number],C167&amp;"",tbl_Finance[Xero Invoice No],"&lt;&gt;"),LOOKUP(2,1/((tbl_Finance[Job Number]&amp;""=C167&amp;"")*(tbl_Finance[Xero Invoice No]&lt;&gt;"")),tbl_Finance[Xero Invoice No]),LOOKUP(2,1/((tbl_Finance[Job Number]&amp;""=C167&amp;"")*(tbl_Finance[Xero Invoice No]&lt;&gt;"")),tbl_Finance[Xero Invoice No])&amp;" +more"),"")))</f>
        <v/>
      </c>
      <c r="C167" s="24" t="n"/>
      <c r="D167" s="25">
        <f>IF(C167="","",IF(COUNTIF(lst_Jobs,C167&amp;"")&gt;0,"OK","CHECK"))</f>
        <v/>
      </c>
      <c r="E167" s="25">
        <f>IF(C167="","",IFERROR(INDEX(lst_JobName,MATCH(C167&amp;"",lst_Jobs,0)),""))</f>
        <v/>
      </c>
      <c r="F167" s="25">
        <f>IF(C167="","",IFERROR(INDEX(tbl_Finance[Client],IFERROR(MATCH(C167&amp;"",tbl_Finance[Job Number],0),MATCH(IFERROR(C167+0,C167),tbl_Finance[Job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6" t="n"/>
      <c r="L167" s="27">
        <f>IF(C167="","",IF(K167="",0,MAX(0,K167-H167)))</f>
        <v/>
      </c>
      <c r="M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N167" s="24" t="n"/>
      <c r="O167" s="24" t="n"/>
      <c r="P167" s="25">
        <f>IF(O167="","",HYPERLINK(IF(LEFT(O167,4)="http",O167,set_QwilrBase&amp;O167),"Open quote"))</f>
        <v/>
      </c>
      <c r="Q167" s="71" t="n"/>
      <c r="R167" s="24" t="n"/>
      <c r="S167" s="24" t="n"/>
    </row>
    <row r="168" ht="15" customHeight="1">
      <c r="A168" s="70">
        <f>IF(C168="","",IFERROR(IF(SUMPRODUCT(MAX((tbl_Finance[Job Number]&amp;""=C168&amp;"")*(tbl_Finance[Xero Invoice No]&lt;&gt;"")*tbl_Finance[Date]))=0,"",SUMPRODUCT(MAX((tbl_Finance[Job Number]&amp;""=C168&amp;"")*(tbl_Finance[Xero Invoice No]&lt;&gt;"")*tbl_Finance[Date]))),""))</f>
        <v/>
      </c>
      <c r="B168" s="25">
        <f>IF(C168="","",IF(COUNTIFS(tbl_Finance[Job Number],C168&amp;"",tbl_Finance[Xero Invoice No],"&lt;&gt;")=0,"",IFERROR(IF(COUNTIFS(tbl_Finance[Job Number],C168&amp;"",tbl_Finance[Xero Invoice No],LOOKUP(2,1/((tbl_Finance[Job Number]&amp;""=C168&amp;"")*(tbl_Finance[Xero Invoice No]&lt;&gt;"")),tbl_Finance[Xero Invoice No]))=COUNTIFS(tbl_Finance[Job Number],C168&amp;"",tbl_Finance[Xero Invoice No],"&lt;&gt;"),LOOKUP(2,1/((tbl_Finance[Job Number]&amp;""=C168&amp;"")*(tbl_Finance[Xero Invoice No]&lt;&gt;"")),tbl_Finance[Xero Invoice No]),LOOKUP(2,1/((tbl_Finance[Job Number]&amp;""=C168&amp;"")*(tbl_Finance[Xero Invoice No]&lt;&gt;"")),tbl_Finance[Xero Invoice No])&amp;" +more"),"")))</f>
        <v/>
      </c>
      <c r="C168" s="24" t="n"/>
      <c r="D168" s="25">
        <f>IF(C168="","",IF(COUNTIF(lst_Jobs,C168&amp;"")&gt;0,"OK","CHECK"))</f>
        <v/>
      </c>
      <c r="E168" s="25">
        <f>IF(C168="","",IFERROR(INDEX(lst_JobName,MATCH(C168&amp;"",lst_Jobs,0)),""))</f>
        <v/>
      </c>
      <c r="F168" s="25">
        <f>IF(C168="","",IFERROR(INDEX(tbl_Finance[Client],IFERROR(MATCH(C168&amp;"",tbl_Finance[Job Number],0),MATCH(IFERROR(C168+0,C168),tbl_Finance[Job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6" t="n"/>
      <c r="L168" s="27">
        <f>IF(C168="","",IF(K168="",0,MAX(0,K168-H168)))</f>
        <v/>
      </c>
      <c r="M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N168" s="24" t="n"/>
      <c r="O168" s="24" t="n"/>
      <c r="P168" s="25">
        <f>IF(O168="","",HYPERLINK(IF(LEFT(O168,4)="http",O168,set_QwilrBase&amp;O168),"Open quote"))</f>
        <v/>
      </c>
      <c r="Q168" s="71" t="n"/>
      <c r="R168" s="24" t="n"/>
      <c r="S168" s="24" t="n"/>
    </row>
    <row r="169" ht="15" customHeight="1">
      <c r="A169" s="70">
        <f>IF(C169="","",IFERROR(IF(SUMPRODUCT(MAX((tbl_Finance[Job Number]&amp;""=C169&amp;"")*(tbl_Finance[Xero Invoice No]&lt;&gt;"")*tbl_Finance[Date]))=0,"",SUMPRODUCT(MAX((tbl_Finance[Job Number]&amp;""=C169&amp;"")*(tbl_Finance[Xero Invoice No]&lt;&gt;"")*tbl_Finance[Date]))),""))</f>
        <v/>
      </c>
      <c r="B169" s="25">
        <f>IF(C169="","",IF(COUNTIFS(tbl_Finance[Job Number],C169&amp;"",tbl_Finance[Xero Invoice No],"&lt;&gt;")=0,"",IFERROR(IF(COUNTIFS(tbl_Finance[Job Number],C169&amp;"",tbl_Finance[Xero Invoice No],LOOKUP(2,1/((tbl_Finance[Job Number]&amp;""=C169&amp;"")*(tbl_Finance[Xero Invoice No]&lt;&gt;"")),tbl_Finance[Xero Invoice No]))=COUNTIFS(tbl_Finance[Job Number],C169&amp;"",tbl_Finance[Xero Invoice No],"&lt;&gt;"),LOOKUP(2,1/((tbl_Finance[Job Number]&amp;""=C169&amp;"")*(tbl_Finance[Xero Invoice No]&lt;&gt;"")),tbl_Finance[Xero Invoice No]),LOOKUP(2,1/((tbl_Finance[Job Number]&amp;""=C169&amp;"")*(tbl_Finance[Xero Invoice No]&lt;&gt;"")),tbl_Finance[Xero Invoice No])&amp;" +more"),"")))</f>
        <v/>
      </c>
      <c r="C169" s="24" t="n"/>
      <c r="D169" s="25">
        <f>IF(C169="","",IF(COUNTIF(lst_Jobs,C169&amp;"")&gt;0,"OK","CHECK"))</f>
        <v/>
      </c>
      <c r="E169" s="25">
        <f>IF(C169="","",IFERROR(INDEX(lst_JobName,MATCH(C169&amp;"",lst_Jobs,0)),""))</f>
        <v/>
      </c>
      <c r="F169" s="25">
        <f>IF(C169="","",IFERROR(INDEX(tbl_Finance[Client],IFERROR(MATCH(C169&amp;"",tbl_Finance[Job Number],0),MATCH(IFERROR(C169+0,C169),tbl_Finance[Job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6" t="n"/>
      <c r="L169" s="27">
        <f>IF(C169="","",IF(K169="",0,MAX(0,K169-H169)))</f>
        <v/>
      </c>
      <c r="M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N169" s="24" t="n"/>
      <c r="O169" s="24" t="n"/>
      <c r="P169" s="25">
        <f>IF(O169="","",HYPERLINK(IF(LEFT(O169,4)="http",O169,set_QwilrBase&amp;O169),"Open quote"))</f>
        <v/>
      </c>
      <c r="Q169" s="71" t="n"/>
      <c r="R169" s="24" t="n"/>
      <c r="S169" s="24" t="n"/>
    </row>
    <row r="170" ht="15" customHeight="1">
      <c r="A170" s="70">
        <f>IF(C170="","",IFERROR(IF(SUMPRODUCT(MAX((tbl_Finance[Job Number]&amp;""=C170&amp;"")*(tbl_Finance[Xero Invoice No]&lt;&gt;"")*tbl_Finance[Date]))=0,"",SUMPRODUCT(MAX((tbl_Finance[Job Number]&amp;""=C170&amp;"")*(tbl_Finance[Xero Invoice No]&lt;&gt;"")*tbl_Finance[Date]))),""))</f>
        <v/>
      </c>
      <c r="B170" s="25">
        <f>IF(C170="","",IF(COUNTIFS(tbl_Finance[Job Number],C170&amp;"",tbl_Finance[Xero Invoice No],"&lt;&gt;")=0,"",IFERROR(IF(COUNTIFS(tbl_Finance[Job Number],C170&amp;"",tbl_Finance[Xero Invoice No],LOOKUP(2,1/((tbl_Finance[Job Number]&amp;""=C170&amp;"")*(tbl_Finance[Xero Invoice No]&lt;&gt;"")),tbl_Finance[Xero Invoice No]))=COUNTIFS(tbl_Finance[Job Number],C170&amp;"",tbl_Finance[Xero Invoice No],"&lt;&gt;"),LOOKUP(2,1/((tbl_Finance[Job Number]&amp;""=C170&amp;"")*(tbl_Finance[Xero Invoice No]&lt;&gt;"")),tbl_Finance[Xero Invoice No]),LOOKUP(2,1/((tbl_Finance[Job Number]&amp;""=C170&amp;"")*(tbl_Finance[Xero Invoice No]&lt;&gt;"")),tbl_Finance[Xero Invoice No])&amp;" +more"),"")))</f>
        <v/>
      </c>
      <c r="C170" s="24" t="n"/>
      <c r="D170" s="25">
        <f>IF(C170="","",IF(COUNTIF(lst_Jobs,C170&amp;"")&gt;0,"OK","CHECK"))</f>
        <v/>
      </c>
      <c r="E170" s="25">
        <f>IF(C170="","",IFERROR(INDEX(lst_JobName,MATCH(C170&amp;"",lst_Jobs,0)),""))</f>
        <v/>
      </c>
      <c r="F170" s="25">
        <f>IF(C170="","",IFERROR(INDEX(tbl_Finance[Client],IFERROR(MATCH(C170&amp;"",tbl_Finance[Job Number],0),MATCH(IFERROR(C170+0,C170),tbl_Finance[Job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6" t="n"/>
      <c r="L170" s="27">
        <f>IF(C170="","",IF(K170="",0,MAX(0,K170-H170)))</f>
        <v/>
      </c>
      <c r="M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N170" s="24" t="n"/>
      <c r="O170" s="24" t="n"/>
      <c r="P170" s="25">
        <f>IF(O170="","",HYPERLINK(IF(LEFT(O170,4)="http",O170,set_QwilrBase&amp;O170),"Open quote"))</f>
        <v/>
      </c>
      <c r="Q170" s="71" t="n"/>
      <c r="R170" s="24" t="n"/>
      <c r="S170" s="24" t="n"/>
    </row>
    <row r="171" ht="15" customHeight="1">
      <c r="A171" s="70">
        <f>IF(C171="","",IFERROR(IF(SUMPRODUCT(MAX((tbl_Finance[Job Number]&amp;""=C171&amp;"")*(tbl_Finance[Xero Invoice No]&lt;&gt;"")*tbl_Finance[Date]))=0,"",SUMPRODUCT(MAX((tbl_Finance[Job Number]&amp;""=C171&amp;"")*(tbl_Finance[Xero Invoice No]&lt;&gt;"")*tbl_Finance[Date]))),""))</f>
        <v/>
      </c>
      <c r="B171" s="25">
        <f>IF(C171="","",IF(COUNTIFS(tbl_Finance[Job Number],C171&amp;"",tbl_Finance[Xero Invoice No],"&lt;&gt;")=0,"",IFERROR(IF(COUNTIFS(tbl_Finance[Job Number],C171&amp;"",tbl_Finance[Xero Invoice No],LOOKUP(2,1/((tbl_Finance[Job Number]&amp;""=C171&amp;"")*(tbl_Finance[Xero Invoice No]&lt;&gt;"")),tbl_Finance[Xero Invoice No]))=COUNTIFS(tbl_Finance[Job Number],C171&amp;"",tbl_Finance[Xero Invoice No],"&lt;&gt;"),LOOKUP(2,1/((tbl_Finance[Job Number]&amp;""=C171&amp;"")*(tbl_Finance[Xero Invoice No]&lt;&gt;"")),tbl_Finance[Xero Invoice No]),LOOKUP(2,1/((tbl_Finance[Job Number]&amp;""=C171&amp;"")*(tbl_Finance[Xero Invoice No]&lt;&gt;"")),tbl_Finance[Xero Invoice No])&amp;" +more"),"")))</f>
        <v/>
      </c>
      <c r="C171" s="24" t="n"/>
      <c r="D171" s="25">
        <f>IF(C171="","",IF(COUNTIF(lst_Jobs,C171&amp;"")&gt;0,"OK","CHECK"))</f>
        <v/>
      </c>
      <c r="E171" s="25">
        <f>IF(C171="","",IFERROR(INDEX(lst_JobName,MATCH(C171&amp;"",lst_Jobs,0)),""))</f>
        <v/>
      </c>
      <c r="F171" s="25">
        <f>IF(C171="","",IFERROR(INDEX(tbl_Finance[Client],IFERROR(MATCH(C171&amp;"",tbl_Finance[Job Number],0),MATCH(IFERROR(C171+0,C171),tbl_Finance[Job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6" t="n"/>
      <c r="L171" s="27">
        <f>IF(C171="","",IF(K171="",0,MAX(0,K171-H171)))</f>
        <v/>
      </c>
      <c r="M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N171" s="24" t="n"/>
      <c r="O171" s="24" t="n"/>
      <c r="P171" s="25">
        <f>IF(O171="","",HYPERLINK(IF(LEFT(O171,4)="http",O171,set_QwilrBase&amp;O171),"Open quote"))</f>
        <v/>
      </c>
      <c r="Q171" s="71" t="n"/>
      <c r="R171" s="24" t="n"/>
      <c r="S171" s="24" t="n"/>
    </row>
    <row r="172" ht="15" customHeight="1">
      <c r="A172" s="70">
        <f>IF(C172="","",IFERROR(IF(SUMPRODUCT(MAX((tbl_Finance[Job Number]&amp;""=C172&amp;"")*(tbl_Finance[Xero Invoice No]&lt;&gt;"")*tbl_Finance[Date]))=0,"",SUMPRODUCT(MAX((tbl_Finance[Job Number]&amp;""=C172&amp;"")*(tbl_Finance[Xero Invoice No]&lt;&gt;"")*tbl_Finance[Date]))),""))</f>
        <v/>
      </c>
      <c r="B172" s="25">
        <f>IF(C172="","",IF(COUNTIFS(tbl_Finance[Job Number],C172&amp;"",tbl_Finance[Xero Invoice No],"&lt;&gt;")=0,"",IFERROR(IF(COUNTIFS(tbl_Finance[Job Number],C172&amp;"",tbl_Finance[Xero Invoice No],LOOKUP(2,1/((tbl_Finance[Job Number]&amp;""=C172&amp;"")*(tbl_Finance[Xero Invoice No]&lt;&gt;"")),tbl_Finance[Xero Invoice No]))=COUNTIFS(tbl_Finance[Job Number],C172&amp;"",tbl_Finance[Xero Invoice No],"&lt;&gt;"),LOOKUP(2,1/((tbl_Finance[Job Number]&amp;""=C172&amp;"")*(tbl_Finance[Xero Invoice No]&lt;&gt;"")),tbl_Finance[Xero Invoice No]),LOOKUP(2,1/((tbl_Finance[Job Number]&amp;""=C172&amp;"")*(tbl_Finance[Xero Invoice No]&lt;&gt;"")),tbl_Finance[Xero Invoice No])&amp;" +more"),"")))</f>
        <v/>
      </c>
      <c r="C172" s="24" t="n"/>
      <c r="D172" s="25">
        <f>IF(C172="","",IF(COUNTIF(lst_Jobs,C172&amp;"")&gt;0,"OK","CHECK"))</f>
        <v/>
      </c>
      <c r="E172" s="25">
        <f>IF(C172="","",IFERROR(INDEX(lst_JobName,MATCH(C172&amp;"",lst_Jobs,0)),""))</f>
        <v/>
      </c>
      <c r="F172" s="25">
        <f>IF(C172="","",IFERROR(INDEX(tbl_Finance[Client],IFERROR(MATCH(C172&amp;"",tbl_Finance[Job Number],0),MATCH(IFERROR(C172+0,C172),tbl_Finance[Job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6" t="n"/>
      <c r="L172" s="27">
        <f>IF(C172="","",IF(K172="",0,MAX(0,K172-H172)))</f>
        <v/>
      </c>
      <c r="M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N172" s="24" t="n"/>
      <c r="O172" s="24" t="n"/>
      <c r="P172" s="25">
        <f>IF(O172="","",HYPERLINK(IF(LEFT(O172,4)="http",O172,set_QwilrBase&amp;O172),"Open quote"))</f>
        <v/>
      </c>
      <c r="Q172" s="71" t="n"/>
      <c r="R172" s="24" t="n"/>
      <c r="S172" s="24" t="n"/>
    </row>
    <row r="173" ht="15" customHeight="1">
      <c r="A173" s="70">
        <f>IF(C173="","",IFERROR(IF(SUMPRODUCT(MAX((tbl_Finance[Job Number]&amp;""=C173&amp;"")*(tbl_Finance[Xero Invoice No]&lt;&gt;"")*tbl_Finance[Date]))=0,"",SUMPRODUCT(MAX((tbl_Finance[Job Number]&amp;""=C173&amp;"")*(tbl_Finance[Xero Invoice No]&lt;&gt;"")*tbl_Finance[Date]))),""))</f>
        <v/>
      </c>
      <c r="B173" s="25">
        <f>IF(C173="","",IF(COUNTIFS(tbl_Finance[Job Number],C173&amp;"",tbl_Finance[Xero Invoice No],"&lt;&gt;")=0,"",IFERROR(IF(COUNTIFS(tbl_Finance[Job Number],C173&amp;"",tbl_Finance[Xero Invoice No],LOOKUP(2,1/((tbl_Finance[Job Number]&amp;""=C173&amp;"")*(tbl_Finance[Xero Invoice No]&lt;&gt;"")),tbl_Finance[Xero Invoice No]))=COUNTIFS(tbl_Finance[Job Number],C173&amp;"",tbl_Finance[Xero Invoice No],"&lt;&gt;"),LOOKUP(2,1/((tbl_Finance[Job Number]&amp;""=C173&amp;"")*(tbl_Finance[Xero Invoice No]&lt;&gt;"")),tbl_Finance[Xero Invoice No]),LOOKUP(2,1/((tbl_Finance[Job Number]&amp;""=C173&amp;"")*(tbl_Finance[Xero Invoice No]&lt;&gt;"")),tbl_Finance[Xero Invoice No])&amp;" +more"),"")))</f>
        <v/>
      </c>
      <c r="C173" s="24" t="n"/>
      <c r="D173" s="25">
        <f>IF(C173="","",IF(COUNTIF(lst_Jobs,C173&amp;"")&gt;0,"OK","CHECK"))</f>
        <v/>
      </c>
      <c r="E173" s="25">
        <f>IF(C173="","",IFERROR(INDEX(lst_JobName,MATCH(C173&amp;"",lst_Jobs,0)),""))</f>
        <v/>
      </c>
      <c r="F173" s="25">
        <f>IF(C173="","",IFERROR(INDEX(tbl_Finance[Client],IFERROR(MATCH(C173&amp;"",tbl_Finance[Job Number],0),MATCH(IFERROR(C173+0,C173),tbl_Finance[Job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6" t="n"/>
      <c r="L173" s="27">
        <f>IF(C173="","",IF(K173="",0,MAX(0,K173-H173)))</f>
        <v/>
      </c>
      <c r="M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N173" s="24" t="n"/>
      <c r="O173" s="24" t="n"/>
      <c r="P173" s="25">
        <f>IF(O173="","",HYPERLINK(IF(LEFT(O173,4)="http",O173,set_QwilrBase&amp;O173),"Open quote"))</f>
        <v/>
      </c>
      <c r="Q173" s="71" t="n"/>
      <c r="R173" s="24" t="n"/>
      <c r="S173" s="24" t="n"/>
    </row>
    <row r="174" ht="15" customHeight="1">
      <c r="A174" s="70">
        <f>IF(C174="","",IFERROR(IF(SUMPRODUCT(MAX((tbl_Finance[Job Number]&amp;""=C174&amp;"")*(tbl_Finance[Xero Invoice No]&lt;&gt;"")*tbl_Finance[Date]))=0,"",SUMPRODUCT(MAX((tbl_Finance[Job Number]&amp;""=C174&amp;"")*(tbl_Finance[Xero Invoice No]&lt;&gt;"")*tbl_Finance[Date]))),""))</f>
        <v/>
      </c>
      <c r="B174" s="25">
        <f>IF(C174="","",IF(COUNTIFS(tbl_Finance[Job Number],C174&amp;"",tbl_Finance[Xero Invoice No],"&lt;&gt;")=0,"",IFERROR(IF(COUNTIFS(tbl_Finance[Job Number],C174&amp;"",tbl_Finance[Xero Invoice No],LOOKUP(2,1/((tbl_Finance[Job Number]&amp;""=C174&amp;"")*(tbl_Finance[Xero Invoice No]&lt;&gt;"")),tbl_Finance[Xero Invoice No]))=COUNTIFS(tbl_Finance[Job Number],C174&amp;"",tbl_Finance[Xero Invoice No],"&lt;&gt;"),LOOKUP(2,1/((tbl_Finance[Job Number]&amp;""=C174&amp;"")*(tbl_Finance[Xero Invoice No]&lt;&gt;"")),tbl_Finance[Xero Invoice No]),LOOKUP(2,1/((tbl_Finance[Job Number]&amp;""=C174&amp;"")*(tbl_Finance[Xero Invoice No]&lt;&gt;"")),tbl_Finance[Xero Invoice No])&amp;" +more"),"")))</f>
        <v/>
      </c>
      <c r="C174" s="24" t="n"/>
      <c r="D174" s="25">
        <f>IF(C174="","",IF(COUNTIF(lst_Jobs,C174&amp;"")&gt;0,"OK","CHECK"))</f>
        <v/>
      </c>
      <c r="E174" s="25">
        <f>IF(C174="","",IFERROR(INDEX(lst_JobName,MATCH(C174&amp;"",lst_Jobs,0)),""))</f>
        <v/>
      </c>
      <c r="F174" s="25">
        <f>IF(C174="","",IFERROR(INDEX(tbl_Finance[Client],IFERROR(MATCH(C174&amp;"",tbl_Finance[Job Number],0),MATCH(IFERROR(C174+0,C174),tbl_Finance[Job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6" t="n"/>
      <c r="L174" s="27">
        <f>IF(C174="","",IF(K174="",0,MAX(0,K174-H174)))</f>
        <v/>
      </c>
      <c r="M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N174" s="24" t="n"/>
      <c r="O174" s="24" t="n"/>
      <c r="P174" s="25">
        <f>IF(O174="","",HYPERLINK(IF(LEFT(O174,4)="http",O174,set_QwilrBase&amp;O174),"Open quote"))</f>
        <v/>
      </c>
      <c r="Q174" s="71" t="n"/>
      <c r="R174" s="24" t="n"/>
      <c r="S174" s="24" t="n"/>
    </row>
    <row r="175" ht="15" customHeight="1">
      <c r="A175" s="70">
        <f>IF(C175="","",IFERROR(IF(SUMPRODUCT(MAX((tbl_Finance[Job Number]&amp;""=C175&amp;"")*(tbl_Finance[Xero Invoice No]&lt;&gt;"")*tbl_Finance[Date]))=0,"",SUMPRODUCT(MAX((tbl_Finance[Job Number]&amp;""=C175&amp;"")*(tbl_Finance[Xero Invoice No]&lt;&gt;"")*tbl_Finance[Date]))),""))</f>
        <v/>
      </c>
      <c r="B175" s="25">
        <f>IF(C175="","",IF(COUNTIFS(tbl_Finance[Job Number],C175&amp;"",tbl_Finance[Xero Invoice No],"&lt;&gt;")=0,"",IFERROR(IF(COUNTIFS(tbl_Finance[Job Number],C175&amp;"",tbl_Finance[Xero Invoice No],LOOKUP(2,1/((tbl_Finance[Job Number]&amp;""=C175&amp;"")*(tbl_Finance[Xero Invoice No]&lt;&gt;"")),tbl_Finance[Xero Invoice No]))=COUNTIFS(tbl_Finance[Job Number],C175&amp;"",tbl_Finance[Xero Invoice No],"&lt;&gt;"),LOOKUP(2,1/((tbl_Finance[Job Number]&amp;""=C175&amp;"")*(tbl_Finance[Xero Invoice No]&lt;&gt;"")),tbl_Finance[Xero Invoice No]),LOOKUP(2,1/((tbl_Finance[Job Number]&amp;""=C175&amp;"")*(tbl_Finance[Xero Invoice No]&lt;&gt;"")),tbl_Finance[Xero Invoice No])&amp;" +more"),"")))</f>
        <v/>
      </c>
      <c r="C175" s="24" t="n"/>
      <c r="D175" s="25">
        <f>IF(C175="","",IF(COUNTIF(lst_Jobs,C175&amp;"")&gt;0,"OK","CHECK"))</f>
        <v/>
      </c>
      <c r="E175" s="25">
        <f>IF(C175="","",IFERROR(INDEX(lst_JobName,MATCH(C175&amp;"",lst_Jobs,0)),""))</f>
        <v/>
      </c>
      <c r="F175" s="25">
        <f>IF(C175="","",IFERROR(INDEX(tbl_Finance[Client],IFERROR(MATCH(C175&amp;"",tbl_Finance[Job Number],0),MATCH(IFERROR(C175+0,C175),tbl_Finance[Job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6" t="n"/>
      <c r="L175" s="27">
        <f>IF(C175="","",IF(K175="",0,MAX(0,K175-H175)))</f>
        <v/>
      </c>
      <c r="M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N175" s="24" t="n"/>
      <c r="O175" s="24" t="n"/>
      <c r="P175" s="25">
        <f>IF(O175="","",HYPERLINK(IF(LEFT(O175,4)="http",O175,set_QwilrBase&amp;O175),"Open quote"))</f>
        <v/>
      </c>
      <c r="Q175" s="71" t="n"/>
      <c r="R175" s="24" t="n"/>
      <c r="S175" s="24" t="n"/>
    </row>
    <row r="176" ht="15" customHeight="1">
      <c r="A176" s="70">
        <f>IF(C176="","",IFERROR(IF(SUMPRODUCT(MAX((tbl_Finance[Job Number]&amp;""=C176&amp;"")*(tbl_Finance[Xero Invoice No]&lt;&gt;"")*tbl_Finance[Date]))=0,"",SUMPRODUCT(MAX((tbl_Finance[Job Number]&amp;""=C176&amp;"")*(tbl_Finance[Xero Invoice No]&lt;&gt;"")*tbl_Finance[Date]))),""))</f>
        <v/>
      </c>
      <c r="B176" s="25">
        <f>IF(C176="","",IF(COUNTIFS(tbl_Finance[Job Number],C176&amp;"",tbl_Finance[Xero Invoice No],"&lt;&gt;")=0,"",IFERROR(IF(COUNTIFS(tbl_Finance[Job Number],C176&amp;"",tbl_Finance[Xero Invoice No],LOOKUP(2,1/((tbl_Finance[Job Number]&amp;""=C176&amp;"")*(tbl_Finance[Xero Invoice No]&lt;&gt;"")),tbl_Finance[Xero Invoice No]))=COUNTIFS(tbl_Finance[Job Number],C176&amp;"",tbl_Finance[Xero Invoice No],"&lt;&gt;"),LOOKUP(2,1/((tbl_Finance[Job Number]&amp;""=C176&amp;"")*(tbl_Finance[Xero Invoice No]&lt;&gt;"")),tbl_Finance[Xero Invoice No]),LOOKUP(2,1/((tbl_Finance[Job Number]&amp;""=C176&amp;"")*(tbl_Finance[Xero Invoice No]&lt;&gt;"")),tbl_Finance[Xero Invoice No])&amp;" +more"),"")))</f>
        <v/>
      </c>
      <c r="C176" s="24" t="n"/>
      <c r="D176" s="25">
        <f>IF(C176="","",IF(COUNTIF(lst_Jobs,C176&amp;"")&gt;0,"OK","CHECK"))</f>
        <v/>
      </c>
      <c r="E176" s="25">
        <f>IF(C176="","",IFERROR(INDEX(lst_JobName,MATCH(C176&amp;"",lst_Jobs,0)),""))</f>
        <v/>
      </c>
      <c r="F176" s="25">
        <f>IF(C176="","",IFERROR(INDEX(tbl_Finance[Client],IFERROR(MATCH(C176&amp;"",tbl_Finance[Job Number],0),MATCH(IFERROR(C176+0,C176),tbl_Finance[Job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6" t="n"/>
      <c r="L176" s="27">
        <f>IF(C176="","",IF(K176="",0,MAX(0,K176-H176)))</f>
        <v/>
      </c>
      <c r="M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N176" s="24" t="n"/>
      <c r="O176" s="24" t="n"/>
      <c r="P176" s="25">
        <f>IF(O176="","",HYPERLINK(IF(LEFT(O176,4)="http",O176,set_QwilrBase&amp;O176),"Open quote"))</f>
        <v/>
      </c>
      <c r="Q176" s="71" t="n"/>
      <c r="R176" s="24" t="n"/>
      <c r="S176" s="24" t="n"/>
    </row>
    <row r="177" ht="15" customHeight="1">
      <c r="A177" s="70">
        <f>IF(C177="","",IFERROR(IF(SUMPRODUCT(MAX((tbl_Finance[Job Number]&amp;""=C177&amp;"")*(tbl_Finance[Xero Invoice No]&lt;&gt;"")*tbl_Finance[Date]))=0,"",SUMPRODUCT(MAX((tbl_Finance[Job Number]&amp;""=C177&amp;"")*(tbl_Finance[Xero Invoice No]&lt;&gt;"")*tbl_Finance[Date]))),""))</f>
        <v/>
      </c>
      <c r="B177" s="25">
        <f>IF(C177="","",IF(COUNTIFS(tbl_Finance[Job Number],C177&amp;"",tbl_Finance[Xero Invoice No],"&lt;&gt;")=0,"",IFERROR(IF(COUNTIFS(tbl_Finance[Job Number],C177&amp;"",tbl_Finance[Xero Invoice No],LOOKUP(2,1/((tbl_Finance[Job Number]&amp;""=C177&amp;"")*(tbl_Finance[Xero Invoice No]&lt;&gt;"")),tbl_Finance[Xero Invoice No]))=COUNTIFS(tbl_Finance[Job Number],C177&amp;"",tbl_Finance[Xero Invoice No],"&lt;&gt;"),LOOKUP(2,1/((tbl_Finance[Job Number]&amp;""=C177&amp;"")*(tbl_Finance[Xero Invoice No]&lt;&gt;"")),tbl_Finance[Xero Invoice No]),LOOKUP(2,1/((tbl_Finance[Job Number]&amp;""=C177&amp;"")*(tbl_Finance[Xero Invoice No]&lt;&gt;"")),tbl_Finance[Xero Invoice No])&amp;" +more"),"")))</f>
        <v/>
      </c>
      <c r="C177" s="24" t="n"/>
      <c r="D177" s="25">
        <f>IF(C177="","",IF(COUNTIF(lst_Jobs,C177&amp;"")&gt;0,"OK","CHECK"))</f>
        <v/>
      </c>
      <c r="E177" s="25">
        <f>IF(C177="","",IFERROR(INDEX(lst_JobName,MATCH(C177&amp;"",lst_Jobs,0)),""))</f>
        <v/>
      </c>
      <c r="F177" s="25">
        <f>IF(C177="","",IFERROR(INDEX(tbl_Finance[Client],IFERROR(MATCH(C177&amp;"",tbl_Finance[Job Number],0),MATCH(IFERROR(C177+0,C177),tbl_Finance[Job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6" t="n"/>
      <c r="L177" s="27">
        <f>IF(C177="","",IF(K177="",0,MAX(0,K177-H177)))</f>
        <v/>
      </c>
      <c r="M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N177" s="24" t="n"/>
      <c r="O177" s="24" t="n"/>
      <c r="P177" s="25">
        <f>IF(O177="","",HYPERLINK(IF(LEFT(O177,4)="http",O177,set_QwilrBase&amp;O177),"Open quote"))</f>
        <v/>
      </c>
      <c r="Q177" s="71" t="n"/>
      <c r="R177" s="24" t="n"/>
      <c r="S177" s="24" t="n"/>
    </row>
    <row r="178" ht="15" customHeight="1">
      <c r="A178" s="70">
        <f>IF(C178="","",IFERROR(IF(SUMPRODUCT(MAX((tbl_Finance[Job Number]&amp;""=C178&amp;"")*(tbl_Finance[Xero Invoice No]&lt;&gt;"")*tbl_Finance[Date]))=0,"",SUMPRODUCT(MAX((tbl_Finance[Job Number]&amp;""=C178&amp;"")*(tbl_Finance[Xero Invoice No]&lt;&gt;"")*tbl_Finance[Date]))),""))</f>
        <v/>
      </c>
      <c r="B178" s="25">
        <f>IF(C178="","",IF(COUNTIFS(tbl_Finance[Job Number],C178&amp;"",tbl_Finance[Xero Invoice No],"&lt;&gt;")=0,"",IFERROR(IF(COUNTIFS(tbl_Finance[Job Number],C178&amp;"",tbl_Finance[Xero Invoice No],LOOKUP(2,1/((tbl_Finance[Job Number]&amp;""=C178&amp;"")*(tbl_Finance[Xero Invoice No]&lt;&gt;"")),tbl_Finance[Xero Invoice No]))=COUNTIFS(tbl_Finance[Job Number],C178&amp;"",tbl_Finance[Xero Invoice No],"&lt;&gt;"),LOOKUP(2,1/((tbl_Finance[Job Number]&amp;""=C178&amp;"")*(tbl_Finance[Xero Invoice No]&lt;&gt;"")),tbl_Finance[Xero Invoice No]),LOOKUP(2,1/((tbl_Finance[Job Number]&amp;""=C178&amp;"")*(tbl_Finance[Xero Invoice No]&lt;&gt;"")),tbl_Finance[Xero Invoice No])&amp;" +more"),"")))</f>
        <v/>
      </c>
      <c r="C178" s="24" t="n"/>
      <c r="D178" s="25">
        <f>IF(C178="","",IF(COUNTIF(lst_Jobs,C178&amp;"")&gt;0,"OK","CHECK"))</f>
        <v/>
      </c>
      <c r="E178" s="25">
        <f>IF(C178="","",IFERROR(INDEX(lst_JobName,MATCH(C178&amp;"",lst_Jobs,0)),""))</f>
        <v/>
      </c>
      <c r="F178" s="25">
        <f>IF(C178="","",IFERROR(INDEX(tbl_Finance[Client],IFERROR(MATCH(C178&amp;"",tbl_Finance[Job Number],0),MATCH(IFERROR(C178+0,C178),tbl_Finance[Job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6" t="n"/>
      <c r="L178" s="27">
        <f>IF(C178="","",IF(K178="",0,MAX(0,K178-H178)))</f>
        <v/>
      </c>
      <c r="M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N178" s="24" t="n"/>
      <c r="O178" s="24" t="n"/>
      <c r="P178" s="25">
        <f>IF(O178="","",HYPERLINK(IF(LEFT(O178,4)="http",O178,set_QwilrBase&amp;O178),"Open quote"))</f>
        <v/>
      </c>
      <c r="Q178" s="71" t="n"/>
      <c r="R178" s="24" t="n"/>
      <c r="S178" s="24" t="n"/>
    </row>
    <row r="179" ht="15" customHeight="1">
      <c r="A179" s="70">
        <f>IF(C179="","",IFERROR(IF(SUMPRODUCT(MAX((tbl_Finance[Job Number]&amp;""=C179&amp;"")*(tbl_Finance[Xero Invoice No]&lt;&gt;"")*tbl_Finance[Date]))=0,"",SUMPRODUCT(MAX((tbl_Finance[Job Number]&amp;""=C179&amp;"")*(tbl_Finance[Xero Invoice No]&lt;&gt;"")*tbl_Finance[Date]))),""))</f>
        <v/>
      </c>
      <c r="B179" s="25">
        <f>IF(C179="","",IF(COUNTIFS(tbl_Finance[Job Number],C179&amp;"",tbl_Finance[Xero Invoice No],"&lt;&gt;")=0,"",IFERROR(IF(COUNTIFS(tbl_Finance[Job Number],C179&amp;"",tbl_Finance[Xero Invoice No],LOOKUP(2,1/((tbl_Finance[Job Number]&amp;""=C179&amp;"")*(tbl_Finance[Xero Invoice No]&lt;&gt;"")),tbl_Finance[Xero Invoice No]))=COUNTIFS(tbl_Finance[Job Number],C179&amp;"",tbl_Finance[Xero Invoice No],"&lt;&gt;"),LOOKUP(2,1/((tbl_Finance[Job Number]&amp;""=C179&amp;"")*(tbl_Finance[Xero Invoice No]&lt;&gt;"")),tbl_Finance[Xero Invoice No]),LOOKUP(2,1/((tbl_Finance[Job Number]&amp;""=C179&amp;"")*(tbl_Finance[Xero Invoice No]&lt;&gt;"")),tbl_Finance[Xero Invoice No])&amp;" +more"),"")))</f>
        <v/>
      </c>
      <c r="C179" s="24" t="n"/>
      <c r="D179" s="25">
        <f>IF(C179="","",IF(COUNTIF(lst_Jobs,C179&amp;"")&gt;0,"OK","CHECK"))</f>
        <v/>
      </c>
      <c r="E179" s="25">
        <f>IF(C179="","",IFERROR(INDEX(lst_JobName,MATCH(C179&amp;"",lst_Jobs,0)),""))</f>
        <v/>
      </c>
      <c r="F179" s="25">
        <f>IF(C179="","",IFERROR(INDEX(tbl_Finance[Client],IFERROR(MATCH(C179&amp;"",tbl_Finance[Job Number],0),MATCH(IFERROR(C179+0,C179),tbl_Finance[Job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6" t="n"/>
      <c r="L179" s="27">
        <f>IF(C179="","",IF(K179="",0,MAX(0,K179-H179)))</f>
        <v/>
      </c>
      <c r="M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N179" s="24" t="n"/>
      <c r="O179" s="24" t="n"/>
      <c r="P179" s="25">
        <f>IF(O179="","",HYPERLINK(IF(LEFT(O179,4)="http",O179,set_QwilrBase&amp;O179),"Open quote"))</f>
        <v/>
      </c>
      <c r="Q179" s="71" t="n"/>
      <c r="R179" s="24" t="n"/>
      <c r="S179" s="24" t="n"/>
    </row>
    <row r="180" ht="15" customHeight="1">
      <c r="A180" s="70">
        <f>IF(C180="","",IFERROR(IF(SUMPRODUCT(MAX((tbl_Finance[Job Number]&amp;""=C180&amp;"")*(tbl_Finance[Xero Invoice No]&lt;&gt;"")*tbl_Finance[Date]))=0,"",SUMPRODUCT(MAX((tbl_Finance[Job Number]&amp;""=C180&amp;"")*(tbl_Finance[Xero Invoice No]&lt;&gt;"")*tbl_Finance[Date]))),""))</f>
        <v/>
      </c>
      <c r="B180" s="25">
        <f>IF(C180="","",IF(COUNTIFS(tbl_Finance[Job Number],C180&amp;"",tbl_Finance[Xero Invoice No],"&lt;&gt;")=0,"",IFERROR(IF(COUNTIFS(tbl_Finance[Job Number],C180&amp;"",tbl_Finance[Xero Invoice No],LOOKUP(2,1/((tbl_Finance[Job Number]&amp;""=C180&amp;"")*(tbl_Finance[Xero Invoice No]&lt;&gt;"")),tbl_Finance[Xero Invoice No]))=COUNTIFS(tbl_Finance[Job Number],C180&amp;"",tbl_Finance[Xero Invoice No],"&lt;&gt;"),LOOKUP(2,1/((tbl_Finance[Job Number]&amp;""=C180&amp;"")*(tbl_Finance[Xero Invoice No]&lt;&gt;"")),tbl_Finance[Xero Invoice No]),LOOKUP(2,1/((tbl_Finance[Job Number]&amp;""=C180&amp;"")*(tbl_Finance[Xero Invoice No]&lt;&gt;"")),tbl_Finance[Xero Invoice No])&amp;" +more"),"")))</f>
        <v/>
      </c>
      <c r="C180" s="24" t="n"/>
      <c r="D180" s="25">
        <f>IF(C180="","",IF(COUNTIF(lst_Jobs,C180&amp;"")&gt;0,"OK","CHECK"))</f>
        <v/>
      </c>
      <c r="E180" s="25">
        <f>IF(C180="","",IFERROR(INDEX(lst_JobName,MATCH(C180&amp;"",lst_Jobs,0)),""))</f>
        <v/>
      </c>
      <c r="F180" s="25">
        <f>IF(C180="","",IFERROR(INDEX(tbl_Finance[Client],IFERROR(MATCH(C180&amp;"",tbl_Finance[Job Number],0),MATCH(IFERROR(C180+0,C180),tbl_Finance[Job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6" t="n"/>
      <c r="L180" s="27">
        <f>IF(C180="","",IF(K180="",0,MAX(0,K180-H180)))</f>
        <v/>
      </c>
      <c r="M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N180" s="24" t="n"/>
      <c r="O180" s="24" t="n"/>
      <c r="P180" s="25">
        <f>IF(O180="","",HYPERLINK(IF(LEFT(O180,4)="http",O180,set_QwilrBase&amp;O180),"Open quote"))</f>
        <v/>
      </c>
      <c r="Q180" s="71" t="n"/>
      <c r="R180" s="24" t="n"/>
      <c r="S180" s="24" t="n"/>
    </row>
    <row r="181" ht="15" customHeight="1">
      <c r="A181" s="70">
        <f>IF(C181="","",IFERROR(IF(SUMPRODUCT(MAX((tbl_Finance[Job Number]&amp;""=C181&amp;"")*(tbl_Finance[Xero Invoice No]&lt;&gt;"")*tbl_Finance[Date]))=0,"",SUMPRODUCT(MAX((tbl_Finance[Job Number]&amp;""=C181&amp;"")*(tbl_Finance[Xero Invoice No]&lt;&gt;"")*tbl_Finance[Date]))),""))</f>
        <v/>
      </c>
      <c r="B181" s="25">
        <f>IF(C181="","",IF(COUNTIFS(tbl_Finance[Job Number],C181&amp;"",tbl_Finance[Xero Invoice No],"&lt;&gt;")=0,"",IFERROR(IF(COUNTIFS(tbl_Finance[Job Number],C181&amp;"",tbl_Finance[Xero Invoice No],LOOKUP(2,1/((tbl_Finance[Job Number]&amp;""=C181&amp;"")*(tbl_Finance[Xero Invoice No]&lt;&gt;"")),tbl_Finance[Xero Invoice No]))=COUNTIFS(tbl_Finance[Job Number],C181&amp;"",tbl_Finance[Xero Invoice No],"&lt;&gt;"),LOOKUP(2,1/((tbl_Finance[Job Number]&amp;""=C181&amp;"")*(tbl_Finance[Xero Invoice No]&lt;&gt;"")),tbl_Finance[Xero Invoice No]),LOOKUP(2,1/((tbl_Finance[Job Number]&amp;""=C181&amp;"")*(tbl_Finance[Xero Invoice No]&lt;&gt;"")),tbl_Finance[Xero Invoice No])&amp;" +more"),"")))</f>
        <v/>
      </c>
      <c r="C181" s="24" t="n"/>
      <c r="D181" s="25">
        <f>IF(C181="","",IF(COUNTIF(lst_Jobs,C181&amp;"")&gt;0,"OK","CHECK"))</f>
        <v/>
      </c>
      <c r="E181" s="25">
        <f>IF(C181="","",IFERROR(INDEX(lst_JobName,MATCH(C181&amp;"",lst_Jobs,0)),""))</f>
        <v/>
      </c>
      <c r="F181" s="25">
        <f>IF(C181="","",IFERROR(INDEX(tbl_Finance[Client],IFERROR(MATCH(C181&amp;"",tbl_Finance[Job Number],0),MATCH(IFERROR(C181+0,C181),tbl_Finance[Job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6" t="n"/>
      <c r="L181" s="27">
        <f>IF(C181="","",IF(K181="",0,MAX(0,K181-H181)))</f>
        <v/>
      </c>
      <c r="M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N181" s="24" t="n"/>
      <c r="O181" s="24" t="n"/>
      <c r="P181" s="25">
        <f>IF(O181="","",HYPERLINK(IF(LEFT(O181,4)="http",O181,set_QwilrBase&amp;O181),"Open quote"))</f>
        <v/>
      </c>
      <c r="Q181" s="71" t="n"/>
      <c r="R181" s="24" t="n"/>
      <c r="S181" s="24" t="n"/>
    </row>
    <row r="182" ht="15" customHeight="1">
      <c r="A182" s="70">
        <f>IF(C182="","",IFERROR(IF(SUMPRODUCT(MAX((tbl_Finance[Job Number]&amp;""=C182&amp;"")*(tbl_Finance[Xero Invoice No]&lt;&gt;"")*tbl_Finance[Date]))=0,"",SUMPRODUCT(MAX((tbl_Finance[Job Number]&amp;""=C182&amp;"")*(tbl_Finance[Xero Invoice No]&lt;&gt;"")*tbl_Finance[Date]))),""))</f>
        <v/>
      </c>
      <c r="B182" s="25">
        <f>IF(C182="","",IF(COUNTIFS(tbl_Finance[Job Number],C182&amp;"",tbl_Finance[Xero Invoice No],"&lt;&gt;")=0,"",IFERROR(IF(COUNTIFS(tbl_Finance[Job Number],C182&amp;"",tbl_Finance[Xero Invoice No],LOOKUP(2,1/((tbl_Finance[Job Number]&amp;""=C182&amp;"")*(tbl_Finance[Xero Invoice No]&lt;&gt;"")),tbl_Finance[Xero Invoice No]))=COUNTIFS(tbl_Finance[Job Number],C182&amp;"",tbl_Finance[Xero Invoice No],"&lt;&gt;"),LOOKUP(2,1/((tbl_Finance[Job Number]&amp;""=C182&amp;"")*(tbl_Finance[Xero Invoice No]&lt;&gt;"")),tbl_Finance[Xero Invoice No]),LOOKUP(2,1/((tbl_Finance[Job Number]&amp;""=C182&amp;"")*(tbl_Finance[Xero Invoice No]&lt;&gt;"")),tbl_Finance[Xero Invoice No])&amp;" +more"),"")))</f>
        <v/>
      </c>
      <c r="C182" s="24" t="n"/>
      <c r="D182" s="25">
        <f>IF(C182="","",IF(COUNTIF(lst_Jobs,C182&amp;"")&gt;0,"OK","CHECK"))</f>
        <v/>
      </c>
      <c r="E182" s="25">
        <f>IF(C182="","",IFERROR(INDEX(lst_JobName,MATCH(C182&amp;"",lst_Jobs,0)),""))</f>
        <v/>
      </c>
      <c r="F182" s="25">
        <f>IF(C182="","",IFERROR(INDEX(tbl_Finance[Client],IFERROR(MATCH(C182&amp;"",tbl_Finance[Job Number],0),MATCH(IFERROR(C182+0,C182),tbl_Finance[Job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6" t="n"/>
      <c r="L182" s="27">
        <f>IF(C182="","",IF(K182="",0,MAX(0,K182-H182)))</f>
        <v/>
      </c>
      <c r="M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N182" s="24" t="n"/>
      <c r="O182" s="24" t="n"/>
      <c r="P182" s="25">
        <f>IF(O182="","",HYPERLINK(IF(LEFT(O182,4)="http",O182,set_QwilrBase&amp;O182),"Open quote"))</f>
        <v/>
      </c>
      <c r="Q182" s="71" t="n"/>
      <c r="R182" s="24" t="n"/>
      <c r="S182" s="24" t="n"/>
    </row>
    <row r="183" ht="15" customHeight="1">
      <c r="A183" s="70">
        <f>IF(C183="","",IFERROR(IF(SUMPRODUCT(MAX((tbl_Finance[Job Number]&amp;""=C183&amp;"")*(tbl_Finance[Xero Invoice No]&lt;&gt;"")*tbl_Finance[Date]))=0,"",SUMPRODUCT(MAX((tbl_Finance[Job Number]&amp;""=C183&amp;"")*(tbl_Finance[Xero Invoice No]&lt;&gt;"")*tbl_Finance[Date]))),""))</f>
        <v/>
      </c>
      <c r="B183" s="25">
        <f>IF(C183="","",IF(COUNTIFS(tbl_Finance[Job Number],C183&amp;"",tbl_Finance[Xero Invoice No],"&lt;&gt;")=0,"",IFERROR(IF(COUNTIFS(tbl_Finance[Job Number],C183&amp;"",tbl_Finance[Xero Invoice No],LOOKUP(2,1/((tbl_Finance[Job Number]&amp;""=C183&amp;"")*(tbl_Finance[Xero Invoice No]&lt;&gt;"")),tbl_Finance[Xero Invoice No]))=COUNTIFS(tbl_Finance[Job Number],C183&amp;"",tbl_Finance[Xero Invoice No],"&lt;&gt;"),LOOKUP(2,1/((tbl_Finance[Job Number]&amp;""=C183&amp;"")*(tbl_Finance[Xero Invoice No]&lt;&gt;"")),tbl_Finance[Xero Invoice No]),LOOKUP(2,1/((tbl_Finance[Job Number]&amp;""=C183&amp;"")*(tbl_Finance[Xero Invoice No]&lt;&gt;"")),tbl_Finance[Xero Invoice No])&amp;" +more"),"")))</f>
        <v/>
      </c>
      <c r="C183" s="24" t="n"/>
      <c r="D183" s="25">
        <f>IF(C183="","",IF(COUNTIF(lst_Jobs,C183&amp;"")&gt;0,"OK","CHECK"))</f>
        <v/>
      </c>
      <c r="E183" s="25">
        <f>IF(C183="","",IFERROR(INDEX(lst_JobName,MATCH(C183&amp;"",lst_Jobs,0)),""))</f>
        <v/>
      </c>
      <c r="F183" s="25">
        <f>IF(C183="","",IFERROR(INDEX(tbl_Finance[Client],IFERROR(MATCH(C183&amp;"",tbl_Finance[Job Number],0),MATCH(IFERROR(C183+0,C183),tbl_Finance[Job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6" t="n"/>
      <c r="L183" s="27">
        <f>IF(C183="","",IF(K183="",0,MAX(0,K183-H183)))</f>
        <v/>
      </c>
      <c r="M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N183" s="24" t="n"/>
      <c r="O183" s="24" t="n"/>
      <c r="P183" s="25">
        <f>IF(O183="","",HYPERLINK(IF(LEFT(O183,4)="http",O183,set_QwilrBase&amp;O183),"Open quote"))</f>
        <v/>
      </c>
      <c r="Q183" s="71" t="n"/>
      <c r="R183" s="24" t="n"/>
      <c r="S183" s="24" t="n"/>
    </row>
    <row r="184" ht="15" customHeight="1">
      <c r="A184" s="70">
        <f>IF(C184="","",IFERROR(IF(SUMPRODUCT(MAX((tbl_Finance[Job Number]&amp;""=C184&amp;"")*(tbl_Finance[Xero Invoice No]&lt;&gt;"")*tbl_Finance[Date]))=0,"",SUMPRODUCT(MAX((tbl_Finance[Job Number]&amp;""=C184&amp;"")*(tbl_Finance[Xero Invoice No]&lt;&gt;"")*tbl_Finance[Date]))),""))</f>
        <v/>
      </c>
      <c r="B184" s="25">
        <f>IF(C184="","",IF(COUNTIFS(tbl_Finance[Job Number],C184&amp;"",tbl_Finance[Xero Invoice No],"&lt;&gt;")=0,"",IFERROR(IF(COUNTIFS(tbl_Finance[Job Number],C184&amp;"",tbl_Finance[Xero Invoice No],LOOKUP(2,1/((tbl_Finance[Job Number]&amp;""=C184&amp;"")*(tbl_Finance[Xero Invoice No]&lt;&gt;"")),tbl_Finance[Xero Invoice No]))=COUNTIFS(tbl_Finance[Job Number],C184&amp;"",tbl_Finance[Xero Invoice No],"&lt;&gt;"),LOOKUP(2,1/((tbl_Finance[Job Number]&amp;""=C184&amp;"")*(tbl_Finance[Xero Invoice No]&lt;&gt;"")),tbl_Finance[Xero Invoice No]),LOOKUP(2,1/((tbl_Finance[Job Number]&amp;""=C184&amp;"")*(tbl_Finance[Xero Invoice No]&lt;&gt;"")),tbl_Finance[Xero Invoice No])&amp;" +more"),"")))</f>
        <v/>
      </c>
      <c r="C184" s="24" t="n"/>
      <c r="D184" s="25">
        <f>IF(C184="","",IF(COUNTIF(lst_Jobs,C184&amp;"")&gt;0,"OK","CHECK"))</f>
        <v/>
      </c>
      <c r="E184" s="25">
        <f>IF(C184="","",IFERROR(INDEX(lst_JobName,MATCH(C184&amp;"",lst_Jobs,0)),""))</f>
        <v/>
      </c>
      <c r="F184" s="25">
        <f>IF(C184="","",IFERROR(INDEX(tbl_Finance[Client],IFERROR(MATCH(C184&amp;"",tbl_Finance[Job Number],0),MATCH(IFERROR(C184+0,C184),tbl_Finance[Job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6" t="n"/>
      <c r="L184" s="27">
        <f>IF(C184="","",IF(K184="",0,MAX(0,K184-H184)))</f>
        <v/>
      </c>
      <c r="M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N184" s="24" t="n"/>
      <c r="O184" s="24" t="n"/>
      <c r="P184" s="25">
        <f>IF(O184="","",HYPERLINK(IF(LEFT(O184,4)="http",O184,set_QwilrBase&amp;O184),"Open quote"))</f>
        <v/>
      </c>
      <c r="Q184" s="71" t="n"/>
      <c r="R184" s="24" t="n"/>
      <c r="S184" s="24" t="n"/>
    </row>
    <row r="185" ht="15" customHeight="1">
      <c r="A185" s="70">
        <f>IF(C185="","",IFERROR(IF(SUMPRODUCT(MAX((tbl_Finance[Job Number]&amp;""=C185&amp;"")*(tbl_Finance[Xero Invoice No]&lt;&gt;"")*tbl_Finance[Date]))=0,"",SUMPRODUCT(MAX((tbl_Finance[Job Number]&amp;""=C185&amp;"")*(tbl_Finance[Xero Invoice No]&lt;&gt;"")*tbl_Finance[Date]))),""))</f>
        <v/>
      </c>
      <c r="B185" s="25">
        <f>IF(C185="","",IF(COUNTIFS(tbl_Finance[Job Number],C185&amp;"",tbl_Finance[Xero Invoice No],"&lt;&gt;")=0,"",IFERROR(IF(COUNTIFS(tbl_Finance[Job Number],C185&amp;"",tbl_Finance[Xero Invoice No],LOOKUP(2,1/((tbl_Finance[Job Number]&amp;""=C185&amp;"")*(tbl_Finance[Xero Invoice No]&lt;&gt;"")),tbl_Finance[Xero Invoice No]))=COUNTIFS(tbl_Finance[Job Number],C185&amp;"",tbl_Finance[Xero Invoice No],"&lt;&gt;"),LOOKUP(2,1/((tbl_Finance[Job Number]&amp;""=C185&amp;"")*(tbl_Finance[Xero Invoice No]&lt;&gt;"")),tbl_Finance[Xero Invoice No]),LOOKUP(2,1/((tbl_Finance[Job Number]&amp;""=C185&amp;"")*(tbl_Finance[Xero Invoice No]&lt;&gt;"")),tbl_Finance[Xero Invoice No])&amp;" +more"),"")))</f>
        <v/>
      </c>
      <c r="C185" s="24" t="n"/>
      <c r="D185" s="25">
        <f>IF(C185="","",IF(COUNTIF(lst_Jobs,C185&amp;"")&gt;0,"OK","CHECK"))</f>
        <v/>
      </c>
      <c r="E185" s="25">
        <f>IF(C185="","",IFERROR(INDEX(lst_JobName,MATCH(C185&amp;"",lst_Jobs,0)),""))</f>
        <v/>
      </c>
      <c r="F185" s="25">
        <f>IF(C185="","",IFERROR(INDEX(tbl_Finance[Client],IFERROR(MATCH(C185&amp;"",tbl_Finance[Job Number],0),MATCH(IFERROR(C185+0,C185),tbl_Finance[Job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6" t="n"/>
      <c r="L185" s="27">
        <f>IF(C185="","",IF(K185="",0,MAX(0,K185-H185)))</f>
        <v/>
      </c>
      <c r="M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N185" s="24" t="n"/>
      <c r="O185" s="24" t="n"/>
      <c r="P185" s="25">
        <f>IF(O185="","",HYPERLINK(IF(LEFT(O185,4)="http",O185,set_QwilrBase&amp;O185),"Open quote"))</f>
        <v/>
      </c>
      <c r="Q185" s="71" t="n"/>
      <c r="R185" s="24" t="n"/>
      <c r="S185" s="24" t="n"/>
    </row>
    <row r="186" ht="15" customHeight="1">
      <c r="A186" s="70">
        <f>IF(C186="","",IFERROR(IF(SUMPRODUCT(MAX((tbl_Finance[Job Number]&amp;""=C186&amp;"")*(tbl_Finance[Xero Invoice No]&lt;&gt;"")*tbl_Finance[Date]))=0,"",SUMPRODUCT(MAX((tbl_Finance[Job Number]&amp;""=C186&amp;"")*(tbl_Finance[Xero Invoice No]&lt;&gt;"")*tbl_Finance[Date]))),""))</f>
        <v/>
      </c>
      <c r="B186" s="25">
        <f>IF(C186="","",IF(COUNTIFS(tbl_Finance[Job Number],C186&amp;"",tbl_Finance[Xero Invoice No],"&lt;&gt;")=0,"",IFERROR(IF(COUNTIFS(tbl_Finance[Job Number],C186&amp;"",tbl_Finance[Xero Invoice No],LOOKUP(2,1/((tbl_Finance[Job Number]&amp;""=C186&amp;"")*(tbl_Finance[Xero Invoice No]&lt;&gt;"")),tbl_Finance[Xero Invoice No]))=COUNTIFS(tbl_Finance[Job Number],C186&amp;"",tbl_Finance[Xero Invoice No],"&lt;&gt;"),LOOKUP(2,1/((tbl_Finance[Job Number]&amp;""=C186&amp;"")*(tbl_Finance[Xero Invoice No]&lt;&gt;"")),tbl_Finance[Xero Invoice No]),LOOKUP(2,1/((tbl_Finance[Job Number]&amp;""=C186&amp;"")*(tbl_Finance[Xero Invoice No]&lt;&gt;"")),tbl_Finance[Xero Invoice No])&amp;" +more"),"")))</f>
        <v/>
      </c>
      <c r="C186" s="24" t="n"/>
      <c r="D186" s="25">
        <f>IF(C186="","",IF(COUNTIF(lst_Jobs,C186&amp;"")&gt;0,"OK","CHECK"))</f>
        <v/>
      </c>
      <c r="E186" s="25">
        <f>IF(C186="","",IFERROR(INDEX(lst_JobName,MATCH(C186&amp;"",lst_Jobs,0)),""))</f>
        <v/>
      </c>
      <c r="F186" s="25">
        <f>IF(C186="","",IFERROR(INDEX(tbl_Finance[Client],IFERROR(MATCH(C186&amp;"",tbl_Finance[Job Number],0),MATCH(IFERROR(C186+0,C186),tbl_Finance[Job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6" t="n"/>
      <c r="L186" s="27">
        <f>IF(C186="","",IF(K186="",0,MAX(0,K186-H186)))</f>
        <v/>
      </c>
      <c r="M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N186" s="24" t="n"/>
      <c r="O186" s="24" t="n"/>
      <c r="P186" s="25">
        <f>IF(O186="","",HYPERLINK(IF(LEFT(O186,4)="http",O186,set_QwilrBase&amp;O186),"Open quote"))</f>
        <v/>
      </c>
      <c r="Q186" s="71" t="n"/>
      <c r="R186" s="24" t="n"/>
      <c r="S186" s="24" t="n"/>
    </row>
    <row r="187" ht="15" customHeight="1">
      <c r="A187" s="70">
        <f>IF(C187="","",IFERROR(IF(SUMPRODUCT(MAX((tbl_Finance[Job Number]&amp;""=C187&amp;"")*(tbl_Finance[Xero Invoice No]&lt;&gt;"")*tbl_Finance[Date]))=0,"",SUMPRODUCT(MAX((tbl_Finance[Job Number]&amp;""=C187&amp;"")*(tbl_Finance[Xero Invoice No]&lt;&gt;"")*tbl_Finance[Date]))),""))</f>
        <v/>
      </c>
      <c r="B187" s="25">
        <f>IF(C187="","",IF(COUNTIFS(tbl_Finance[Job Number],C187&amp;"",tbl_Finance[Xero Invoice No],"&lt;&gt;")=0,"",IFERROR(IF(COUNTIFS(tbl_Finance[Job Number],C187&amp;"",tbl_Finance[Xero Invoice No],LOOKUP(2,1/((tbl_Finance[Job Number]&amp;""=C187&amp;"")*(tbl_Finance[Xero Invoice No]&lt;&gt;"")),tbl_Finance[Xero Invoice No]))=COUNTIFS(tbl_Finance[Job Number],C187&amp;"",tbl_Finance[Xero Invoice No],"&lt;&gt;"),LOOKUP(2,1/((tbl_Finance[Job Number]&amp;""=C187&amp;"")*(tbl_Finance[Xero Invoice No]&lt;&gt;"")),tbl_Finance[Xero Invoice No]),LOOKUP(2,1/((tbl_Finance[Job Number]&amp;""=C187&amp;"")*(tbl_Finance[Xero Invoice No]&lt;&gt;"")),tbl_Finance[Xero Invoice No])&amp;" +more"),"")))</f>
        <v/>
      </c>
      <c r="C187" s="24" t="n"/>
      <c r="D187" s="25">
        <f>IF(C187="","",IF(COUNTIF(lst_Jobs,C187&amp;"")&gt;0,"OK","CHECK"))</f>
        <v/>
      </c>
      <c r="E187" s="25">
        <f>IF(C187="","",IFERROR(INDEX(lst_JobName,MATCH(C187&amp;"",lst_Jobs,0)),""))</f>
        <v/>
      </c>
      <c r="F187" s="25">
        <f>IF(C187="","",IFERROR(INDEX(tbl_Finance[Client],IFERROR(MATCH(C187&amp;"",tbl_Finance[Job Number],0),MATCH(IFERROR(C187+0,C187),tbl_Finance[Job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6" t="n"/>
      <c r="L187" s="27">
        <f>IF(C187="","",IF(K187="",0,MAX(0,K187-H187)))</f>
        <v/>
      </c>
      <c r="M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N187" s="24" t="n"/>
      <c r="O187" s="24" t="n"/>
      <c r="P187" s="25">
        <f>IF(O187="","",HYPERLINK(IF(LEFT(O187,4)="http",O187,set_QwilrBase&amp;O187),"Open quote"))</f>
        <v/>
      </c>
      <c r="Q187" s="71" t="n"/>
      <c r="R187" s="24" t="n"/>
      <c r="S187" s="24" t="n"/>
    </row>
    <row r="188" ht="15" customHeight="1">
      <c r="A188" s="70">
        <f>IF(C188="","",IFERROR(IF(SUMPRODUCT(MAX((tbl_Finance[Job Number]&amp;""=C188&amp;"")*(tbl_Finance[Xero Invoice No]&lt;&gt;"")*tbl_Finance[Date]))=0,"",SUMPRODUCT(MAX((tbl_Finance[Job Number]&amp;""=C188&amp;"")*(tbl_Finance[Xero Invoice No]&lt;&gt;"")*tbl_Finance[Date]))),""))</f>
        <v/>
      </c>
      <c r="B188" s="25">
        <f>IF(C188="","",IF(COUNTIFS(tbl_Finance[Job Number],C188&amp;"",tbl_Finance[Xero Invoice No],"&lt;&gt;")=0,"",IFERROR(IF(COUNTIFS(tbl_Finance[Job Number],C188&amp;"",tbl_Finance[Xero Invoice No],LOOKUP(2,1/((tbl_Finance[Job Number]&amp;""=C188&amp;"")*(tbl_Finance[Xero Invoice No]&lt;&gt;"")),tbl_Finance[Xero Invoice No]))=COUNTIFS(tbl_Finance[Job Number],C188&amp;"",tbl_Finance[Xero Invoice No],"&lt;&gt;"),LOOKUP(2,1/((tbl_Finance[Job Number]&amp;""=C188&amp;"")*(tbl_Finance[Xero Invoice No]&lt;&gt;"")),tbl_Finance[Xero Invoice No]),LOOKUP(2,1/((tbl_Finance[Job Number]&amp;""=C188&amp;"")*(tbl_Finance[Xero Invoice No]&lt;&gt;"")),tbl_Finance[Xero Invoice No])&amp;" +more"),"")))</f>
        <v/>
      </c>
      <c r="C188" s="24" t="n"/>
      <c r="D188" s="25">
        <f>IF(C188="","",IF(COUNTIF(lst_Jobs,C188&amp;"")&gt;0,"OK","CHECK"))</f>
        <v/>
      </c>
      <c r="E188" s="25">
        <f>IF(C188="","",IFERROR(INDEX(lst_JobName,MATCH(C188&amp;"",lst_Jobs,0)),""))</f>
        <v/>
      </c>
      <c r="F188" s="25">
        <f>IF(C188="","",IFERROR(INDEX(tbl_Finance[Client],IFERROR(MATCH(C188&amp;"",tbl_Finance[Job Number],0),MATCH(IFERROR(C188+0,C188),tbl_Finance[Job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6" t="n"/>
      <c r="L188" s="27">
        <f>IF(C188="","",IF(K188="",0,MAX(0,K188-H188)))</f>
        <v/>
      </c>
      <c r="M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N188" s="24" t="n"/>
      <c r="O188" s="24" t="n"/>
      <c r="P188" s="25">
        <f>IF(O188="","",HYPERLINK(IF(LEFT(O188,4)="http",O188,set_QwilrBase&amp;O188),"Open quote"))</f>
        <v/>
      </c>
      <c r="Q188" s="71" t="n"/>
      <c r="R188" s="24" t="n"/>
      <c r="S188" s="24" t="n"/>
    </row>
    <row r="189" ht="15" customHeight="1">
      <c r="A189" s="70">
        <f>IF(C189="","",IFERROR(IF(SUMPRODUCT(MAX((tbl_Finance[Job Number]&amp;""=C189&amp;"")*(tbl_Finance[Xero Invoice No]&lt;&gt;"")*tbl_Finance[Date]))=0,"",SUMPRODUCT(MAX((tbl_Finance[Job Number]&amp;""=C189&amp;"")*(tbl_Finance[Xero Invoice No]&lt;&gt;"")*tbl_Finance[Date]))),""))</f>
        <v/>
      </c>
      <c r="B189" s="25">
        <f>IF(C189="","",IF(COUNTIFS(tbl_Finance[Job Number],C189&amp;"",tbl_Finance[Xero Invoice No],"&lt;&gt;")=0,"",IFERROR(IF(COUNTIFS(tbl_Finance[Job Number],C189&amp;"",tbl_Finance[Xero Invoice No],LOOKUP(2,1/((tbl_Finance[Job Number]&amp;""=C189&amp;"")*(tbl_Finance[Xero Invoice No]&lt;&gt;"")),tbl_Finance[Xero Invoice No]))=COUNTIFS(tbl_Finance[Job Number],C189&amp;"",tbl_Finance[Xero Invoice No],"&lt;&gt;"),LOOKUP(2,1/((tbl_Finance[Job Number]&amp;""=C189&amp;"")*(tbl_Finance[Xero Invoice No]&lt;&gt;"")),tbl_Finance[Xero Invoice No]),LOOKUP(2,1/((tbl_Finance[Job Number]&amp;""=C189&amp;"")*(tbl_Finance[Xero Invoice No]&lt;&gt;"")),tbl_Finance[Xero Invoice No])&amp;" +more"),"")))</f>
        <v/>
      </c>
      <c r="C189" s="24" t="n"/>
      <c r="D189" s="25">
        <f>IF(C189="","",IF(COUNTIF(lst_Jobs,C189&amp;"")&gt;0,"OK","CHECK"))</f>
        <v/>
      </c>
      <c r="E189" s="25">
        <f>IF(C189="","",IFERROR(INDEX(lst_JobName,MATCH(C189&amp;"",lst_Jobs,0)),""))</f>
        <v/>
      </c>
      <c r="F189" s="25">
        <f>IF(C189="","",IFERROR(INDEX(tbl_Finance[Client],IFERROR(MATCH(C189&amp;"",tbl_Finance[Job Number],0),MATCH(IFERROR(C189+0,C189),tbl_Finance[Job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6" t="n"/>
      <c r="L189" s="27">
        <f>IF(C189="","",IF(K189="",0,MAX(0,K189-H189)))</f>
        <v/>
      </c>
      <c r="M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N189" s="24" t="n"/>
      <c r="O189" s="24" t="n"/>
      <c r="P189" s="25">
        <f>IF(O189="","",HYPERLINK(IF(LEFT(O189,4)="http",O189,set_QwilrBase&amp;O189),"Open quote"))</f>
        <v/>
      </c>
      <c r="Q189" s="71" t="n"/>
      <c r="R189" s="24" t="n"/>
      <c r="S189" s="24" t="n"/>
    </row>
    <row r="190" ht="15" customHeight="1">
      <c r="A190" s="70">
        <f>IF(C190="","",IFERROR(IF(SUMPRODUCT(MAX((tbl_Finance[Job Number]&amp;""=C190&amp;"")*(tbl_Finance[Xero Invoice No]&lt;&gt;"")*tbl_Finance[Date]))=0,"",SUMPRODUCT(MAX((tbl_Finance[Job Number]&amp;""=C190&amp;"")*(tbl_Finance[Xero Invoice No]&lt;&gt;"")*tbl_Finance[Date]))),""))</f>
        <v/>
      </c>
      <c r="B190" s="25">
        <f>IF(C190="","",IF(COUNTIFS(tbl_Finance[Job Number],C190&amp;"",tbl_Finance[Xero Invoice No],"&lt;&gt;")=0,"",IFERROR(IF(COUNTIFS(tbl_Finance[Job Number],C190&amp;"",tbl_Finance[Xero Invoice No],LOOKUP(2,1/((tbl_Finance[Job Number]&amp;""=C190&amp;"")*(tbl_Finance[Xero Invoice No]&lt;&gt;"")),tbl_Finance[Xero Invoice No]))=COUNTIFS(tbl_Finance[Job Number],C190&amp;"",tbl_Finance[Xero Invoice No],"&lt;&gt;"),LOOKUP(2,1/((tbl_Finance[Job Number]&amp;""=C190&amp;"")*(tbl_Finance[Xero Invoice No]&lt;&gt;"")),tbl_Finance[Xero Invoice No]),LOOKUP(2,1/((tbl_Finance[Job Number]&amp;""=C190&amp;"")*(tbl_Finance[Xero Invoice No]&lt;&gt;"")),tbl_Finance[Xero Invoice No])&amp;" +more"),"")))</f>
        <v/>
      </c>
      <c r="C190" s="24" t="n"/>
      <c r="D190" s="25">
        <f>IF(C190="","",IF(COUNTIF(lst_Jobs,C190&amp;"")&gt;0,"OK","CHECK"))</f>
        <v/>
      </c>
      <c r="E190" s="25">
        <f>IF(C190="","",IFERROR(INDEX(lst_JobName,MATCH(C190&amp;"",lst_Jobs,0)),""))</f>
        <v/>
      </c>
      <c r="F190" s="25">
        <f>IF(C190="","",IFERROR(INDEX(tbl_Finance[Client],IFERROR(MATCH(C190&amp;"",tbl_Finance[Job Number],0),MATCH(IFERROR(C190+0,C190),tbl_Finance[Job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6" t="n"/>
      <c r="L190" s="27">
        <f>IF(C190="","",IF(K190="",0,MAX(0,K190-H190)))</f>
        <v/>
      </c>
      <c r="M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N190" s="24" t="n"/>
      <c r="O190" s="24" t="n"/>
      <c r="P190" s="25">
        <f>IF(O190="","",HYPERLINK(IF(LEFT(O190,4)="http",O190,set_QwilrBase&amp;O190),"Open quote"))</f>
        <v/>
      </c>
      <c r="Q190" s="71" t="n"/>
      <c r="R190" s="24" t="n"/>
      <c r="S190" s="24" t="n"/>
    </row>
    <row r="191" ht="15" customHeight="1">
      <c r="A191" s="70">
        <f>IF(C191="","",IFERROR(IF(SUMPRODUCT(MAX((tbl_Finance[Job Number]&amp;""=C191&amp;"")*(tbl_Finance[Xero Invoice No]&lt;&gt;"")*tbl_Finance[Date]))=0,"",SUMPRODUCT(MAX((tbl_Finance[Job Number]&amp;""=C191&amp;"")*(tbl_Finance[Xero Invoice No]&lt;&gt;"")*tbl_Finance[Date]))),""))</f>
        <v/>
      </c>
      <c r="B191" s="25">
        <f>IF(C191="","",IF(COUNTIFS(tbl_Finance[Job Number],C191&amp;"",tbl_Finance[Xero Invoice No],"&lt;&gt;")=0,"",IFERROR(IF(COUNTIFS(tbl_Finance[Job Number],C191&amp;"",tbl_Finance[Xero Invoice No],LOOKUP(2,1/((tbl_Finance[Job Number]&amp;""=C191&amp;"")*(tbl_Finance[Xero Invoice No]&lt;&gt;"")),tbl_Finance[Xero Invoice No]))=COUNTIFS(tbl_Finance[Job Number],C191&amp;"",tbl_Finance[Xero Invoice No],"&lt;&gt;"),LOOKUP(2,1/((tbl_Finance[Job Number]&amp;""=C191&amp;"")*(tbl_Finance[Xero Invoice No]&lt;&gt;"")),tbl_Finance[Xero Invoice No]),LOOKUP(2,1/((tbl_Finance[Job Number]&amp;""=C191&amp;"")*(tbl_Finance[Xero Invoice No]&lt;&gt;"")),tbl_Finance[Xero Invoice No])&amp;" +more"),"")))</f>
        <v/>
      </c>
      <c r="C191" s="24" t="n"/>
      <c r="D191" s="25">
        <f>IF(C191="","",IF(COUNTIF(lst_Jobs,C191&amp;"")&gt;0,"OK","CHECK"))</f>
        <v/>
      </c>
      <c r="E191" s="25">
        <f>IF(C191="","",IFERROR(INDEX(lst_JobName,MATCH(C191&amp;"",lst_Jobs,0)),""))</f>
        <v/>
      </c>
      <c r="F191" s="25">
        <f>IF(C191="","",IFERROR(INDEX(tbl_Finance[Client],IFERROR(MATCH(C191&amp;"",tbl_Finance[Job Number],0),MATCH(IFERROR(C191+0,C191),tbl_Finance[Job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6" t="n"/>
      <c r="L191" s="27">
        <f>IF(C191="","",IF(K191="",0,MAX(0,K191-H191)))</f>
        <v/>
      </c>
      <c r="M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N191" s="24" t="n"/>
      <c r="O191" s="24" t="n"/>
      <c r="P191" s="25">
        <f>IF(O191="","",HYPERLINK(IF(LEFT(O191,4)="http",O191,set_QwilrBase&amp;O191),"Open quote"))</f>
        <v/>
      </c>
      <c r="Q191" s="71" t="n"/>
      <c r="R191" s="24" t="n"/>
      <c r="S191" s="24" t="n"/>
    </row>
    <row r="192" ht="15" customHeight="1">
      <c r="A192" s="70">
        <f>IF(C192="","",IFERROR(IF(SUMPRODUCT(MAX((tbl_Finance[Job Number]&amp;""=C192&amp;"")*(tbl_Finance[Xero Invoice No]&lt;&gt;"")*tbl_Finance[Date]))=0,"",SUMPRODUCT(MAX((tbl_Finance[Job Number]&amp;""=C192&amp;"")*(tbl_Finance[Xero Invoice No]&lt;&gt;"")*tbl_Finance[Date]))),""))</f>
        <v/>
      </c>
      <c r="B192" s="25">
        <f>IF(C192="","",IF(COUNTIFS(tbl_Finance[Job Number],C192&amp;"",tbl_Finance[Xero Invoice No],"&lt;&gt;")=0,"",IFERROR(IF(COUNTIFS(tbl_Finance[Job Number],C192&amp;"",tbl_Finance[Xero Invoice No],LOOKUP(2,1/((tbl_Finance[Job Number]&amp;""=C192&amp;"")*(tbl_Finance[Xero Invoice No]&lt;&gt;"")),tbl_Finance[Xero Invoice No]))=COUNTIFS(tbl_Finance[Job Number],C192&amp;"",tbl_Finance[Xero Invoice No],"&lt;&gt;"),LOOKUP(2,1/((tbl_Finance[Job Number]&amp;""=C192&amp;"")*(tbl_Finance[Xero Invoice No]&lt;&gt;"")),tbl_Finance[Xero Invoice No]),LOOKUP(2,1/((tbl_Finance[Job Number]&amp;""=C192&amp;"")*(tbl_Finance[Xero Invoice No]&lt;&gt;"")),tbl_Finance[Xero Invoice No])&amp;" +more"),"")))</f>
        <v/>
      </c>
      <c r="C192" s="24" t="n"/>
      <c r="D192" s="25">
        <f>IF(C192="","",IF(COUNTIF(lst_Jobs,C192&amp;"")&gt;0,"OK","CHECK"))</f>
        <v/>
      </c>
      <c r="E192" s="25">
        <f>IF(C192="","",IFERROR(INDEX(lst_JobName,MATCH(C192&amp;"",lst_Jobs,0)),""))</f>
        <v/>
      </c>
      <c r="F192" s="25">
        <f>IF(C192="","",IFERROR(INDEX(tbl_Finance[Client],IFERROR(MATCH(C192&amp;"",tbl_Finance[Job Number],0),MATCH(IFERROR(C192+0,C192),tbl_Finance[Job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6" t="n"/>
      <c r="L192" s="27">
        <f>IF(C192="","",IF(K192="",0,MAX(0,K192-H192)))</f>
        <v/>
      </c>
      <c r="M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N192" s="24" t="n"/>
      <c r="O192" s="24" t="n"/>
      <c r="P192" s="25">
        <f>IF(O192="","",HYPERLINK(IF(LEFT(O192,4)="http",O192,set_QwilrBase&amp;O192),"Open quote"))</f>
        <v/>
      </c>
      <c r="Q192" s="71" t="n"/>
      <c r="R192" s="24" t="n"/>
      <c r="S192" s="24" t="n"/>
    </row>
    <row r="193" ht="15" customHeight="1">
      <c r="A193" s="70">
        <f>IF(C193="","",IFERROR(IF(SUMPRODUCT(MAX((tbl_Finance[Job Number]&amp;""=C193&amp;"")*(tbl_Finance[Xero Invoice No]&lt;&gt;"")*tbl_Finance[Date]))=0,"",SUMPRODUCT(MAX((tbl_Finance[Job Number]&amp;""=C193&amp;"")*(tbl_Finance[Xero Invoice No]&lt;&gt;"")*tbl_Finance[Date]))),""))</f>
        <v/>
      </c>
      <c r="B193" s="25">
        <f>IF(C193="","",IF(COUNTIFS(tbl_Finance[Job Number],C193&amp;"",tbl_Finance[Xero Invoice No],"&lt;&gt;")=0,"",IFERROR(IF(COUNTIFS(tbl_Finance[Job Number],C193&amp;"",tbl_Finance[Xero Invoice No],LOOKUP(2,1/((tbl_Finance[Job Number]&amp;""=C193&amp;"")*(tbl_Finance[Xero Invoice No]&lt;&gt;"")),tbl_Finance[Xero Invoice No]))=COUNTIFS(tbl_Finance[Job Number],C193&amp;"",tbl_Finance[Xero Invoice No],"&lt;&gt;"),LOOKUP(2,1/((tbl_Finance[Job Number]&amp;""=C193&amp;"")*(tbl_Finance[Xero Invoice No]&lt;&gt;"")),tbl_Finance[Xero Invoice No]),LOOKUP(2,1/((tbl_Finance[Job Number]&amp;""=C193&amp;"")*(tbl_Finance[Xero Invoice No]&lt;&gt;"")),tbl_Finance[Xero Invoice No])&amp;" +more"),"")))</f>
        <v/>
      </c>
      <c r="C193" s="24" t="n"/>
      <c r="D193" s="25">
        <f>IF(C193="","",IF(COUNTIF(lst_Jobs,C193&amp;"")&gt;0,"OK","CHECK"))</f>
        <v/>
      </c>
      <c r="E193" s="25">
        <f>IF(C193="","",IFERROR(INDEX(lst_JobName,MATCH(C193&amp;"",lst_Jobs,0)),""))</f>
        <v/>
      </c>
      <c r="F193" s="25">
        <f>IF(C193="","",IFERROR(INDEX(tbl_Finance[Client],IFERROR(MATCH(C193&amp;"",tbl_Finance[Job Number],0),MATCH(IFERROR(C193+0,C193),tbl_Finance[Job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6" t="n"/>
      <c r="L193" s="27">
        <f>IF(C193="","",IF(K193="",0,MAX(0,K193-H193)))</f>
        <v/>
      </c>
      <c r="M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N193" s="24" t="n"/>
      <c r="O193" s="24" t="n"/>
      <c r="P193" s="25">
        <f>IF(O193="","",HYPERLINK(IF(LEFT(O193,4)="http",O193,set_QwilrBase&amp;O193),"Open quote"))</f>
        <v/>
      </c>
      <c r="Q193" s="71" t="n"/>
      <c r="R193" s="24" t="n"/>
      <c r="S193" s="24" t="n"/>
    </row>
    <row r="194" ht="15" customHeight="1">
      <c r="A194" s="70">
        <f>IF(C194="","",IFERROR(IF(SUMPRODUCT(MAX((tbl_Finance[Job Number]&amp;""=C194&amp;"")*(tbl_Finance[Xero Invoice No]&lt;&gt;"")*tbl_Finance[Date]))=0,"",SUMPRODUCT(MAX((tbl_Finance[Job Number]&amp;""=C194&amp;"")*(tbl_Finance[Xero Invoice No]&lt;&gt;"")*tbl_Finance[Date]))),""))</f>
        <v/>
      </c>
      <c r="B194" s="25">
        <f>IF(C194="","",IF(COUNTIFS(tbl_Finance[Job Number],C194&amp;"",tbl_Finance[Xero Invoice No],"&lt;&gt;")=0,"",IFERROR(IF(COUNTIFS(tbl_Finance[Job Number],C194&amp;"",tbl_Finance[Xero Invoice No],LOOKUP(2,1/((tbl_Finance[Job Number]&amp;""=C194&amp;"")*(tbl_Finance[Xero Invoice No]&lt;&gt;"")),tbl_Finance[Xero Invoice No]))=COUNTIFS(tbl_Finance[Job Number],C194&amp;"",tbl_Finance[Xero Invoice No],"&lt;&gt;"),LOOKUP(2,1/((tbl_Finance[Job Number]&amp;""=C194&amp;"")*(tbl_Finance[Xero Invoice No]&lt;&gt;"")),tbl_Finance[Xero Invoice No]),LOOKUP(2,1/((tbl_Finance[Job Number]&amp;""=C194&amp;"")*(tbl_Finance[Xero Invoice No]&lt;&gt;"")),tbl_Finance[Xero Invoice No])&amp;" +more"),"")))</f>
        <v/>
      </c>
      <c r="C194" s="24" t="n"/>
      <c r="D194" s="25">
        <f>IF(C194="","",IF(COUNTIF(lst_Jobs,C194&amp;"")&gt;0,"OK","CHECK"))</f>
        <v/>
      </c>
      <c r="E194" s="25">
        <f>IF(C194="","",IFERROR(INDEX(lst_JobName,MATCH(C194&amp;"",lst_Jobs,0)),""))</f>
        <v/>
      </c>
      <c r="F194" s="25">
        <f>IF(C194="","",IFERROR(INDEX(tbl_Finance[Client],IFERROR(MATCH(C194&amp;"",tbl_Finance[Job Number],0),MATCH(IFERROR(C194+0,C194),tbl_Finance[Job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6" t="n"/>
      <c r="L194" s="27">
        <f>IF(C194="","",IF(K194="",0,MAX(0,K194-H194)))</f>
        <v/>
      </c>
      <c r="M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N194" s="24" t="n"/>
      <c r="O194" s="24" t="n"/>
      <c r="P194" s="25">
        <f>IF(O194="","",HYPERLINK(IF(LEFT(O194,4)="http",O194,set_QwilrBase&amp;O194),"Open quote"))</f>
        <v/>
      </c>
      <c r="Q194" s="71" t="n"/>
      <c r="R194" s="24" t="n"/>
      <c r="S194" s="24" t="n"/>
    </row>
    <row r="195" ht="15" customHeight="1">
      <c r="A195" s="70">
        <f>IF(C195="","",IFERROR(IF(SUMPRODUCT(MAX((tbl_Finance[Job Number]&amp;""=C195&amp;"")*(tbl_Finance[Xero Invoice No]&lt;&gt;"")*tbl_Finance[Date]))=0,"",SUMPRODUCT(MAX((tbl_Finance[Job Number]&amp;""=C195&amp;"")*(tbl_Finance[Xero Invoice No]&lt;&gt;"")*tbl_Finance[Date]))),""))</f>
        <v/>
      </c>
      <c r="B195" s="25">
        <f>IF(C195="","",IF(COUNTIFS(tbl_Finance[Job Number],C195&amp;"",tbl_Finance[Xero Invoice No],"&lt;&gt;")=0,"",IFERROR(IF(COUNTIFS(tbl_Finance[Job Number],C195&amp;"",tbl_Finance[Xero Invoice No],LOOKUP(2,1/((tbl_Finance[Job Number]&amp;""=C195&amp;"")*(tbl_Finance[Xero Invoice No]&lt;&gt;"")),tbl_Finance[Xero Invoice No]))=COUNTIFS(tbl_Finance[Job Number],C195&amp;"",tbl_Finance[Xero Invoice No],"&lt;&gt;"),LOOKUP(2,1/((tbl_Finance[Job Number]&amp;""=C195&amp;"")*(tbl_Finance[Xero Invoice No]&lt;&gt;"")),tbl_Finance[Xero Invoice No]),LOOKUP(2,1/((tbl_Finance[Job Number]&amp;""=C195&amp;"")*(tbl_Finance[Xero Invoice No]&lt;&gt;"")),tbl_Finance[Xero Invoice No])&amp;" +more"),"")))</f>
        <v/>
      </c>
      <c r="C195" s="24" t="n"/>
      <c r="D195" s="25">
        <f>IF(C195="","",IF(COUNTIF(lst_Jobs,C195&amp;"")&gt;0,"OK","CHECK"))</f>
        <v/>
      </c>
      <c r="E195" s="25">
        <f>IF(C195="","",IFERROR(INDEX(lst_JobName,MATCH(C195&amp;"",lst_Jobs,0)),""))</f>
        <v/>
      </c>
      <c r="F195" s="25">
        <f>IF(C195="","",IFERROR(INDEX(tbl_Finance[Client],IFERROR(MATCH(C195&amp;"",tbl_Finance[Job Number],0),MATCH(IFERROR(C195+0,C195),tbl_Finance[Job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6" t="n"/>
      <c r="L195" s="27">
        <f>IF(C195="","",IF(K195="",0,MAX(0,K195-H195)))</f>
        <v/>
      </c>
      <c r="M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N195" s="24" t="n"/>
      <c r="O195" s="24" t="n"/>
      <c r="P195" s="25">
        <f>IF(O195="","",HYPERLINK(IF(LEFT(O195,4)="http",O195,set_QwilrBase&amp;O195),"Open quote"))</f>
        <v/>
      </c>
      <c r="Q195" s="71" t="n"/>
      <c r="R195" s="24" t="n"/>
      <c r="S195" s="24" t="n"/>
    </row>
    <row r="196" ht="15" customHeight="1">
      <c r="A196" s="70">
        <f>IF(C196="","",IFERROR(IF(SUMPRODUCT(MAX((tbl_Finance[Job Number]&amp;""=C196&amp;"")*(tbl_Finance[Xero Invoice No]&lt;&gt;"")*tbl_Finance[Date]))=0,"",SUMPRODUCT(MAX((tbl_Finance[Job Number]&amp;""=C196&amp;"")*(tbl_Finance[Xero Invoice No]&lt;&gt;"")*tbl_Finance[Date]))),""))</f>
        <v/>
      </c>
      <c r="B196" s="25">
        <f>IF(C196="","",IF(COUNTIFS(tbl_Finance[Job Number],C196&amp;"",tbl_Finance[Xero Invoice No],"&lt;&gt;")=0,"",IFERROR(IF(COUNTIFS(tbl_Finance[Job Number],C196&amp;"",tbl_Finance[Xero Invoice No],LOOKUP(2,1/((tbl_Finance[Job Number]&amp;""=C196&amp;"")*(tbl_Finance[Xero Invoice No]&lt;&gt;"")),tbl_Finance[Xero Invoice No]))=COUNTIFS(tbl_Finance[Job Number],C196&amp;"",tbl_Finance[Xero Invoice No],"&lt;&gt;"),LOOKUP(2,1/((tbl_Finance[Job Number]&amp;""=C196&amp;"")*(tbl_Finance[Xero Invoice No]&lt;&gt;"")),tbl_Finance[Xero Invoice No]),LOOKUP(2,1/((tbl_Finance[Job Number]&amp;""=C196&amp;"")*(tbl_Finance[Xero Invoice No]&lt;&gt;"")),tbl_Finance[Xero Invoice No])&amp;" +more"),"")))</f>
        <v/>
      </c>
      <c r="C196" s="24" t="n"/>
      <c r="D196" s="25">
        <f>IF(C196="","",IF(COUNTIF(lst_Jobs,C196&amp;"")&gt;0,"OK","CHECK"))</f>
        <v/>
      </c>
      <c r="E196" s="25">
        <f>IF(C196="","",IFERROR(INDEX(lst_JobName,MATCH(C196&amp;"",lst_Jobs,0)),""))</f>
        <v/>
      </c>
      <c r="F196" s="25">
        <f>IF(C196="","",IFERROR(INDEX(tbl_Finance[Client],IFERROR(MATCH(C196&amp;"",tbl_Finance[Job Number],0),MATCH(IFERROR(C196+0,C196),tbl_Finance[Job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6" t="n"/>
      <c r="L196" s="27">
        <f>IF(C196="","",IF(K196="",0,MAX(0,K196-H196)))</f>
        <v/>
      </c>
      <c r="M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N196" s="24" t="n"/>
      <c r="O196" s="24" t="n"/>
      <c r="P196" s="25">
        <f>IF(O196="","",HYPERLINK(IF(LEFT(O196,4)="http",O196,set_QwilrBase&amp;O196),"Open quote"))</f>
        <v/>
      </c>
      <c r="Q196" s="71" t="n"/>
      <c r="R196" s="24" t="n"/>
      <c r="S196" s="24" t="n"/>
    </row>
    <row r="197" ht="15" customHeight="1">
      <c r="A197" s="70">
        <f>IF(C197="","",IFERROR(IF(SUMPRODUCT(MAX((tbl_Finance[Job Number]&amp;""=C197&amp;"")*(tbl_Finance[Xero Invoice No]&lt;&gt;"")*tbl_Finance[Date]))=0,"",SUMPRODUCT(MAX((tbl_Finance[Job Number]&amp;""=C197&amp;"")*(tbl_Finance[Xero Invoice No]&lt;&gt;"")*tbl_Finance[Date]))),""))</f>
        <v/>
      </c>
      <c r="B197" s="25">
        <f>IF(C197="","",IF(COUNTIFS(tbl_Finance[Job Number],C197&amp;"",tbl_Finance[Xero Invoice No],"&lt;&gt;")=0,"",IFERROR(IF(COUNTIFS(tbl_Finance[Job Number],C197&amp;"",tbl_Finance[Xero Invoice No],LOOKUP(2,1/((tbl_Finance[Job Number]&amp;""=C197&amp;"")*(tbl_Finance[Xero Invoice No]&lt;&gt;"")),tbl_Finance[Xero Invoice No]))=COUNTIFS(tbl_Finance[Job Number],C197&amp;"",tbl_Finance[Xero Invoice No],"&lt;&gt;"),LOOKUP(2,1/((tbl_Finance[Job Number]&amp;""=C197&amp;"")*(tbl_Finance[Xero Invoice No]&lt;&gt;"")),tbl_Finance[Xero Invoice No]),LOOKUP(2,1/((tbl_Finance[Job Number]&amp;""=C197&amp;"")*(tbl_Finance[Xero Invoice No]&lt;&gt;"")),tbl_Finance[Xero Invoice No])&amp;" +more"),"")))</f>
        <v/>
      </c>
      <c r="C197" s="24" t="n"/>
      <c r="D197" s="25">
        <f>IF(C197="","",IF(COUNTIF(lst_Jobs,C197&amp;"")&gt;0,"OK","CHECK"))</f>
        <v/>
      </c>
      <c r="E197" s="25">
        <f>IF(C197="","",IFERROR(INDEX(lst_JobName,MATCH(C197&amp;"",lst_Jobs,0)),""))</f>
        <v/>
      </c>
      <c r="F197" s="25">
        <f>IF(C197="","",IFERROR(INDEX(tbl_Finance[Client],IFERROR(MATCH(C197&amp;"",tbl_Finance[Job Number],0),MATCH(IFERROR(C197+0,C197),tbl_Finance[Job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6" t="n"/>
      <c r="L197" s="27">
        <f>IF(C197="","",IF(K197="",0,MAX(0,K197-H197)))</f>
        <v/>
      </c>
      <c r="M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N197" s="24" t="n"/>
      <c r="O197" s="24" t="n"/>
      <c r="P197" s="25">
        <f>IF(O197="","",HYPERLINK(IF(LEFT(O197,4)="http",O197,set_QwilrBase&amp;O197),"Open quote"))</f>
        <v/>
      </c>
      <c r="Q197" s="71" t="n"/>
      <c r="R197" s="24" t="n"/>
      <c r="S197" s="24" t="n"/>
    </row>
    <row r="198" ht="15" customHeight="1">
      <c r="A198" s="70">
        <f>IF(C198="","",IFERROR(IF(SUMPRODUCT(MAX((tbl_Finance[Job Number]&amp;""=C198&amp;"")*(tbl_Finance[Xero Invoice No]&lt;&gt;"")*tbl_Finance[Date]))=0,"",SUMPRODUCT(MAX((tbl_Finance[Job Number]&amp;""=C198&amp;"")*(tbl_Finance[Xero Invoice No]&lt;&gt;"")*tbl_Finance[Date]))),""))</f>
        <v/>
      </c>
      <c r="B198" s="25">
        <f>IF(C198="","",IF(COUNTIFS(tbl_Finance[Job Number],C198&amp;"",tbl_Finance[Xero Invoice No],"&lt;&gt;")=0,"",IFERROR(IF(COUNTIFS(tbl_Finance[Job Number],C198&amp;"",tbl_Finance[Xero Invoice No],LOOKUP(2,1/((tbl_Finance[Job Number]&amp;""=C198&amp;"")*(tbl_Finance[Xero Invoice No]&lt;&gt;"")),tbl_Finance[Xero Invoice No]))=COUNTIFS(tbl_Finance[Job Number],C198&amp;"",tbl_Finance[Xero Invoice No],"&lt;&gt;"),LOOKUP(2,1/((tbl_Finance[Job Number]&amp;""=C198&amp;"")*(tbl_Finance[Xero Invoice No]&lt;&gt;"")),tbl_Finance[Xero Invoice No]),LOOKUP(2,1/((tbl_Finance[Job Number]&amp;""=C198&amp;"")*(tbl_Finance[Xero Invoice No]&lt;&gt;"")),tbl_Finance[Xero Invoice No])&amp;" +more"),"")))</f>
        <v/>
      </c>
      <c r="C198" s="24" t="n"/>
      <c r="D198" s="25">
        <f>IF(C198="","",IF(COUNTIF(lst_Jobs,C198&amp;"")&gt;0,"OK","CHECK"))</f>
        <v/>
      </c>
      <c r="E198" s="25">
        <f>IF(C198="","",IFERROR(INDEX(lst_JobName,MATCH(C198&amp;"",lst_Jobs,0)),""))</f>
        <v/>
      </c>
      <c r="F198" s="25">
        <f>IF(C198="","",IFERROR(INDEX(tbl_Finance[Client],IFERROR(MATCH(C198&amp;"",tbl_Finance[Job Number],0),MATCH(IFERROR(C198+0,C198),tbl_Finance[Job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6" t="n"/>
      <c r="L198" s="27">
        <f>IF(C198="","",IF(K198="",0,MAX(0,K198-H198)))</f>
        <v/>
      </c>
      <c r="M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N198" s="24" t="n"/>
      <c r="O198" s="24" t="n"/>
      <c r="P198" s="25">
        <f>IF(O198="","",HYPERLINK(IF(LEFT(O198,4)="http",O198,set_QwilrBase&amp;O198),"Open quote"))</f>
        <v/>
      </c>
      <c r="Q198" s="71" t="n"/>
      <c r="R198" s="24" t="n"/>
      <c r="S198" s="24" t="n"/>
    </row>
    <row r="199" ht="15" customHeight="1">
      <c r="A199" s="70">
        <f>IF(C199="","",IFERROR(IF(SUMPRODUCT(MAX((tbl_Finance[Job Number]&amp;""=C199&amp;"")*(tbl_Finance[Xero Invoice No]&lt;&gt;"")*tbl_Finance[Date]))=0,"",SUMPRODUCT(MAX((tbl_Finance[Job Number]&amp;""=C199&amp;"")*(tbl_Finance[Xero Invoice No]&lt;&gt;"")*tbl_Finance[Date]))),""))</f>
        <v/>
      </c>
      <c r="B199" s="25">
        <f>IF(C199="","",IF(COUNTIFS(tbl_Finance[Job Number],C199&amp;"",tbl_Finance[Xero Invoice No],"&lt;&gt;")=0,"",IFERROR(IF(COUNTIFS(tbl_Finance[Job Number],C199&amp;"",tbl_Finance[Xero Invoice No],LOOKUP(2,1/((tbl_Finance[Job Number]&amp;""=C199&amp;"")*(tbl_Finance[Xero Invoice No]&lt;&gt;"")),tbl_Finance[Xero Invoice No]))=COUNTIFS(tbl_Finance[Job Number],C199&amp;"",tbl_Finance[Xero Invoice No],"&lt;&gt;"),LOOKUP(2,1/((tbl_Finance[Job Number]&amp;""=C199&amp;"")*(tbl_Finance[Xero Invoice No]&lt;&gt;"")),tbl_Finance[Xero Invoice No]),LOOKUP(2,1/((tbl_Finance[Job Number]&amp;""=C199&amp;"")*(tbl_Finance[Xero Invoice No]&lt;&gt;"")),tbl_Finance[Xero Invoice No])&amp;" +more"),"")))</f>
        <v/>
      </c>
      <c r="C199" s="24" t="n"/>
      <c r="D199" s="25">
        <f>IF(C199="","",IF(COUNTIF(lst_Jobs,C199&amp;"")&gt;0,"OK","CHECK"))</f>
        <v/>
      </c>
      <c r="E199" s="25">
        <f>IF(C199="","",IFERROR(INDEX(lst_JobName,MATCH(C199&amp;"",lst_Jobs,0)),""))</f>
        <v/>
      </c>
      <c r="F199" s="25">
        <f>IF(C199="","",IFERROR(INDEX(tbl_Finance[Client],IFERROR(MATCH(C199&amp;"",tbl_Finance[Job Number],0),MATCH(IFERROR(C199+0,C199),tbl_Finance[Job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6" t="n"/>
      <c r="L199" s="27">
        <f>IF(C199="","",IF(K199="",0,MAX(0,K199-H199)))</f>
        <v/>
      </c>
      <c r="M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N199" s="24" t="n"/>
      <c r="O199" s="24" t="n"/>
      <c r="P199" s="25">
        <f>IF(O199="","",HYPERLINK(IF(LEFT(O199,4)="http",O199,set_QwilrBase&amp;O199),"Open quote"))</f>
        <v/>
      </c>
      <c r="Q199" s="71" t="n"/>
      <c r="R199" s="24" t="n"/>
      <c r="S199" s="24" t="n"/>
    </row>
    <row r="200" ht="15" customHeight="1">
      <c r="A200" s="70">
        <f>IF(C200="","",IFERROR(IF(SUMPRODUCT(MAX((tbl_Finance[Job Number]&amp;""=C200&amp;"")*(tbl_Finance[Xero Invoice No]&lt;&gt;"")*tbl_Finance[Date]))=0,"",SUMPRODUCT(MAX((tbl_Finance[Job Number]&amp;""=C200&amp;"")*(tbl_Finance[Xero Invoice No]&lt;&gt;"")*tbl_Finance[Date]))),""))</f>
        <v/>
      </c>
      <c r="B200" s="25">
        <f>IF(C200="","",IF(COUNTIFS(tbl_Finance[Job Number],C200&amp;"",tbl_Finance[Xero Invoice No],"&lt;&gt;")=0,"",IFERROR(IF(COUNTIFS(tbl_Finance[Job Number],C200&amp;"",tbl_Finance[Xero Invoice No],LOOKUP(2,1/((tbl_Finance[Job Number]&amp;""=C200&amp;"")*(tbl_Finance[Xero Invoice No]&lt;&gt;"")),tbl_Finance[Xero Invoice No]))=COUNTIFS(tbl_Finance[Job Number],C200&amp;"",tbl_Finance[Xero Invoice No],"&lt;&gt;"),LOOKUP(2,1/((tbl_Finance[Job Number]&amp;""=C200&amp;"")*(tbl_Finance[Xero Invoice No]&lt;&gt;"")),tbl_Finance[Xero Invoice No]),LOOKUP(2,1/((tbl_Finance[Job Number]&amp;""=C200&amp;"")*(tbl_Finance[Xero Invoice No]&lt;&gt;"")),tbl_Finance[Xero Invoice No])&amp;" +more"),"")))</f>
        <v/>
      </c>
      <c r="C200" s="24" t="n"/>
      <c r="D200" s="25">
        <f>IF(C200="","",IF(COUNTIF(lst_Jobs,C200&amp;"")&gt;0,"OK","CHECK"))</f>
        <v/>
      </c>
      <c r="E200" s="25">
        <f>IF(C200="","",IFERROR(INDEX(lst_JobName,MATCH(C200&amp;"",lst_Jobs,0)),""))</f>
        <v/>
      </c>
      <c r="F200" s="25">
        <f>IF(C200="","",IFERROR(INDEX(tbl_Finance[Client],IFERROR(MATCH(C200&amp;"",tbl_Finance[Job Number],0),MATCH(IFERROR(C200+0,C200),tbl_Finance[Job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6" t="n"/>
      <c r="L200" s="27">
        <f>IF(C200="","",IF(K200="",0,MAX(0,K200-H200)))</f>
        <v/>
      </c>
      <c r="M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N200" s="24" t="n"/>
      <c r="O200" s="24" t="n"/>
      <c r="P200" s="25">
        <f>IF(O200="","",HYPERLINK(IF(LEFT(O200,4)="http",O200,set_QwilrBase&amp;O200),"Open quote"))</f>
        <v/>
      </c>
      <c r="Q200" s="71" t="n"/>
      <c r="R200" s="24" t="n"/>
      <c r="S200" s="24" t="n"/>
    </row>
    <row r="201" ht="15" customHeight="1">
      <c r="A201" s="70">
        <f>IF(C201="","",IFERROR(IF(SUMPRODUCT(MAX((tbl_Finance[Job Number]&amp;""=C201&amp;"")*(tbl_Finance[Xero Invoice No]&lt;&gt;"")*tbl_Finance[Date]))=0,"",SUMPRODUCT(MAX((tbl_Finance[Job Number]&amp;""=C201&amp;"")*(tbl_Finance[Xero Invoice No]&lt;&gt;"")*tbl_Finance[Date]))),""))</f>
        <v/>
      </c>
      <c r="B201" s="25">
        <f>IF(C201="","",IF(COUNTIFS(tbl_Finance[Job Number],C201&amp;"",tbl_Finance[Xero Invoice No],"&lt;&gt;")=0,"",IFERROR(IF(COUNTIFS(tbl_Finance[Job Number],C201&amp;"",tbl_Finance[Xero Invoice No],LOOKUP(2,1/((tbl_Finance[Job Number]&amp;""=C201&amp;"")*(tbl_Finance[Xero Invoice No]&lt;&gt;"")),tbl_Finance[Xero Invoice No]))=COUNTIFS(tbl_Finance[Job Number],C201&amp;"",tbl_Finance[Xero Invoice No],"&lt;&gt;"),LOOKUP(2,1/((tbl_Finance[Job Number]&amp;""=C201&amp;"")*(tbl_Finance[Xero Invoice No]&lt;&gt;"")),tbl_Finance[Xero Invoice No]),LOOKUP(2,1/((tbl_Finance[Job Number]&amp;""=C201&amp;"")*(tbl_Finance[Xero Invoice No]&lt;&gt;"")),tbl_Finance[Xero Invoice No])&amp;" +more"),"")))</f>
        <v/>
      </c>
      <c r="C201" s="24" t="n"/>
      <c r="D201" s="25">
        <f>IF(C201="","",IF(COUNTIF(lst_Jobs,C201&amp;"")&gt;0,"OK","CHECK"))</f>
        <v/>
      </c>
      <c r="E201" s="25">
        <f>IF(C201="","",IFERROR(INDEX(lst_JobName,MATCH(C201&amp;"",lst_Jobs,0)),""))</f>
        <v/>
      </c>
      <c r="F201" s="25">
        <f>IF(C201="","",IFERROR(INDEX(tbl_Finance[Client],IFERROR(MATCH(C201&amp;"",tbl_Finance[Job Number],0),MATCH(IFERROR(C201+0,C201),tbl_Finance[Job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6" t="n"/>
      <c r="L201" s="27">
        <f>IF(C201="","",IF(K201="",0,MAX(0,K201-H201)))</f>
        <v/>
      </c>
      <c r="M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N201" s="24" t="n"/>
      <c r="O201" s="24" t="n"/>
      <c r="P201" s="25">
        <f>IF(O201="","",HYPERLINK(IF(LEFT(O201,4)="http",O201,set_QwilrBase&amp;O201),"Open quote"))</f>
        <v/>
      </c>
      <c r="Q201" s="71" t="n"/>
      <c r="R201" s="24" t="n"/>
      <c r="S201" s="24" t="n"/>
    </row>
    <row r="202" ht="15" customHeight="1">
      <c r="A202" s="70">
        <f>IF(C202="","",IFERROR(IF(SUMPRODUCT(MAX((tbl_Finance[Job Number]&amp;""=C202&amp;"")*(tbl_Finance[Xero Invoice No]&lt;&gt;"")*tbl_Finance[Date]))=0,"",SUMPRODUCT(MAX((tbl_Finance[Job Number]&amp;""=C202&amp;"")*(tbl_Finance[Xero Invoice No]&lt;&gt;"")*tbl_Finance[Date]))),""))</f>
        <v/>
      </c>
      <c r="B202" s="25">
        <f>IF(C202="","",IF(COUNTIFS(tbl_Finance[Job Number],C202&amp;"",tbl_Finance[Xero Invoice No],"&lt;&gt;")=0,"",IFERROR(IF(COUNTIFS(tbl_Finance[Job Number],C202&amp;"",tbl_Finance[Xero Invoice No],LOOKUP(2,1/((tbl_Finance[Job Number]&amp;""=C202&amp;"")*(tbl_Finance[Xero Invoice No]&lt;&gt;"")),tbl_Finance[Xero Invoice No]))=COUNTIFS(tbl_Finance[Job Number],C202&amp;"",tbl_Finance[Xero Invoice No],"&lt;&gt;"),LOOKUP(2,1/((tbl_Finance[Job Number]&amp;""=C202&amp;"")*(tbl_Finance[Xero Invoice No]&lt;&gt;"")),tbl_Finance[Xero Invoice No]),LOOKUP(2,1/((tbl_Finance[Job Number]&amp;""=C202&amp;"")*(tbl_Finance[Xero Invoice No]&lt;&gt;"")),tbl_Finance[Xero Invoice No])&amp;" +more"),"")))</f>
        <v/>
      </c>
      <c r="C202" s="24" t="n"/>
      <c r="D202" s="25">
        <f>IF(C202="","",IF(COUNTIF(lst_Jobs,C202&amp;"")&gt;0,"OK","CHECK"))</f>
        <v/>
      </c>
      <c r="E202" s="25">
        <f>IF(C202="","",IFERROR(INDEX(lst_JobName,MATCH(C202&amp;"",lst_Jobs,0)),""))</f>
        <v/>
      </c>
      <c r="F202" s="25">
        <f>IF(C202="","",IFERROR(INDEX(tbl_Finance[Client],IFERROR(MATCH(C202&amp;"",tbl_Finance[Job Number],0),MATCH(IFERROR(C202+0,C202),tbl_Finance[Job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6" t="n"/>
      <c r="L202" s="27">
        <f>IF(C202="","",IF(K202="",0,MAX(0,K202-H202)))</f>
        <v/>
      </c>
      <c r="M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N202" s="24" t="n"/>
      <c r="O202" s="24" t="n"/>
      <c r="P202" s="25">
        <f>IF(O202="","",HYPERLINK(IF(LEFT(O202,4)="http",O202,set_QwilrBase&amp;O202),"Open quote"))</f>
        <v/>
      </c>
      <c r="Q202" s="71" t="n"/>
      <c r="R202" s="24" t="n"/>
      <c r="S202" s="24" t="n"/>
    </row>
    <row r="203" ht="15" customHeight="1">
      <c r="A203" s="70">
        <f>IF(C203="","",IFERROR(IF(SUMPRODUCT(MAX((tbl_Finance[Job Number]&amp;""=C203&amp;"")*(tbl_Finance[Xero Invoice No]&lt;&gt;"")*tbl_Finance[Date]))=0,"",SUMPRODUCT(MAX((tbl_Finance[Job Number]&amp;""=C203&amp;"")*(tbl_Finance[Xero Invoice No]&lt;&gt;"")*tbl_Finance[Date]))),""))</f>
        <v/>
      </c>
      <c r="B203" s="25">
        <f>IF(C203="","",IF(COUNTIFS(tbl_Finance[Job Number],C203&amp;"",tbl_Finance[Xero Invoice No],"&lt;&gt;")=0,"",IFERROR(IF(COUNTIFS(tbl_Finance[Job Number],C203&amp;"",tbl_Finance[Xero Invoice No],LOOKUP(2,1/((tbl_Finance[Job Number]&amp;""=C203&amp;"")*(tbl_Finance[Xero Invoice No]&lt;&gt;"")),tbl_Finance[Xero Invoice No]))=COUNTIFS(tbl_Finance[Job Number],C203&amp;"",tbl_Finance[Xero Invoice No],"&lt;&gt;"),LOOKUP(2,1/((tbl_Finance[Job Number]&amp;""=C203&amp;"")*(tbl_Finance[Xero Invoice No]&lt;&gt;"")),tbl_Finance[Xero Invoice No]),LOOKUP(2,1/((tbl_Finance[Job Number]&amp;""=C203&amp;"")*(tbl_Finance[Xero Invoice No]&lt;&gt;"")),tbl_Finance[Xero Invoice No])&amp;" +more"),"")))</f>
        <v/>
      </c>
      <c r="C203" s="24" t="n"/>
      <c r="D203" s="25">
        <f>IF(C203="","",IF(COUNTIF(lst_Jobs,C203&amp;"")&gt;0,"OK","CHECK"))</f>
        <v/>
      </c>
      <c r="E203" s="25">
        <f>IF(C203="","",IFERROR(INDEX(lst_JobName,MATCH(C203&amp;"",lst_Jobs,0)),""))</f>
        <v/>
      </c>
      <c r="F203" s="25">
        <f>IF(C203="","",IFERROR(INDEX(tbl_Finance[Client],IFERROR(MATCH(C203&amp;"",tbl_Finance[Job Number],0),MATCH(IFERROR(C203+0,C203),tbl_Finance[Job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6" t="n"/>
      <c r="L203" s="27">
        <f>IF(C203="","",IF(K203="",0,MAX(0,K203-H203)))</f>
        <v/>
      </c>
      <c r="M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N203" s="24" t="n"/>
      <c r="O203" s="24" t="n"/>
      <c r="P203" s="25">
        <f>IF(O203="","",HYPERLINK(IF(LEFT(O203,4)="http",O203,set_QwilrBase&amp;O203),"Open quote"))</f>
        <v/>
      </c>
      <c r="Q203" s="71" t="n"/>
      <c r="R203" s="24" t="n"/>
      <c r="S203" s="24" t="n"/>
    </row>
    <row r="204" ht="15" customHeight="1">
      <c r="A204" s="70">
        <f>IF(C204="","",IFERROR(IF(SUMPRODUCT(MAX((tbl_Finance[Job Number]&amp;""=C204&amp;"")*(tbl_Finance[Xero Invoice No]&lt;&gt;"")*tbl_Finance[Date]))=0,"",SUMPRODUCT(MAX((tbl_Finance[Job Number]&amp;""=C204&amp;"")*(tbl_Finance[Xero Invoice No]&lt;&gt;"")*tbl_Finance[Date]))),""))</f>
        <v/>
      </c>
      <c r="B204" s="25">
        <f>IF(C204="","",IF(COUNTIFS(tbl_Finance[Job Number],C204&amp;"",tbl_Finance[Xero Invoice No],"&lt;&gt;")=0,"",IFERROR(IF(COUNTIFS(tbl_Finance[Job Number],C204&amp;"",tbl_Finance[Xero Invoice No],LOOKUP(2,1/((tbl_Finance[Job Number]&amp;""=C204&amp;"")*(tbl_Finance[Xero Invoice No]&lt;&gt;"")),tbl_Finance[Xero Invoice No]))=COUNTIFS(tbl_Finance[Job Number],C204&amp;"",tbl_Finance[Xero Invoice No],"&lt;&gt;"),LOOKUP(2,1/((tbl_Finance[Job Number]&amp;""=C204&amp;"")*(tbl_Finance[Xero Invoice No]&lt;&gt;"")),tbl_Finance[Xero Invoice No]),LOOKUP(2,1/((tbl_Finance[Job Number]&amp;""=C204&amp;"")*(tbl_Finance[Xero Invoice No]&lt;&gt;"")),tbl_Finance[Xero Invoice No])&amp;" +more"),"")))</f>
        <v/>
      </c>
      <c r="C204" s="24" t="n"/>
      <c r="D204" s="25">
        <f>IF(C204="","",IF(COUNTIF(lst_Jobs,C204&amp;"")&gt;0,"OK","CHECK"))</f>
        <v/>
      </c>
      <c r="E204" s="25">
        <f>IF(C204="","",IFERROR(INDEX(lst_JobName,MATCH(C204&amp;"",lst_Jobs,0)),""))</f>
        <v/>
      </c>
      <c r="F204" s="25">
        <f>IF(C204="","",IFERROR(INDEX(tbl_Finance[Client],IFERROR(MATCH(C204&amp;"",tbl_Finance[Job Number],0),MATCH(IFERROR(C204+0,C204),tbl_Finance[Job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6" t="n"/>
      <c r="L204" s="27">
        <f>IF(C204="","",IF(K204="",0,MAX(0,K204-H204)))</f>
        <v/>
      </c>
      <c r="M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N204" s="24" t="n"/>
      <c r="O204" s="24" t="n"/>
      <c r="P204" s="25">
        <f>IF(O204="","",HYPERLINK(IF(LEFT(O204,4)="http",O204,set_QwilrBase&amp;O204),"Open quote"))</f>
        <v/>
      </c>
      <c r="Q204" s="71" t="n"/>
      <c r="R204" s="24" t="n"/>
      <c r="S204" s="24" t="n"/>
    </row>
    <row r="205" ht="15" customHeight="1">
      <c r="A205" s="70">
        <f>IF(C205="","",IFERROR(IF(SUMPRODUCT(MAX((tbl_Finance[Job Number]&amp;""=C205&amp;"")*(tbl_Finance[Xero Invoice No]&lt;&gt;"")*tbl_Finance[Date]))=0,"",SUMPRODUCT(MAX((tbl_Finance[Job Number]&amp;""=C205&amp;"")*(tbl_Finance[Xero Invoice No]&lt;&gt;"")*tbl_Finance[Date]))),""))</f>
        <v/>
      </c>
      <c r="B205" s="25">
        <f>IF(C205="","",IF(COUNTIFS(tbl_Finance[Job Number],C205&amp;"",tbl_Finance[Xero Invoice No],"&lt;&gt;")=0,"",IFERROR(IF(COUNTIFS(tbl_Finance[Job Number],C205&amp;"",tbl_Finance[Xero Invoice No],LOOKUP(2,1/((tbl_Finance[Job Number]&amp;""=C205&amp;"")*(tbl_Finance[Xero Invoice No]&lt;&gt;"")),tbl_Finance[Xero Invoice No]))=COUNTIFS(tbl_Finance[Job Number],C205&amp;"",tbl_Finance[Xero Invoice No],"&lt;&gt;"),LOOKUP(2,1/((tbl_Finance[Job Number]&amp;""=C205&amp;"")*(tbl_Finance[Xero Invoice No]&lt;&gt;"")),tbl_Finance[Xero Invoice No]),LOOKUP(2,1/((tbl_Finance[Job Number]&amp;""=C205&amp;"")*(tbl_Finance[Xero Invoice No]&lt;&gt;"")),tbl_Finance[Xero Invoice No])&amp;" +more"),"")))</f>
        <v/>
      </c>
      <c r="C205" s="24" t="n"/>
      <c r="D205" s="25">
        <f>IF(C205="","",IF(COUNTIF(lst_Jobs,C205&amp;"")&gt;0,"OK","CHECK"))</f>
        <v/>
      </c>
      <c r="E205" s="25">
        <f>IF(C205="","",IFERROR(INDEX(lst_JobName,MATCH(C205&amp;"",lst_Jobs,0)),""))</f>
        <v/>
      </c>
      <c r="F205" s="25">
        <f>IF(C205="","",IFERROR(INDEX(tbl_Finance[Client],IFERROR(MATCH(C205&amp;"",tbl_Finance[Job Number],0),MATCH(IFERROR(C205+0,C205),tbl_Finance[Job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6" t="n"/>
      <c r="L205" s="27">
        <f>IF(C205="","",IF(K205="",0,MAX(0,K205-H205)))</f>
        <v/>
      </c>
      <c r="M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N205" s="24" t="n"/>
      <c r="O205" s="24" t="n"/>
      <c r="P205" s="25">
        <f>IF(O205="","",HYPERLINK(IF(LEFT(O205,4)="http",O205,set_QwilrBase&amp;O205),"Open quote"))</f>
        <v/>
      </c>
      <c r="Q205" s="71" t="n"/>
      <c r="R205" s="24" t="n"/>
      <c r="S205" s="24" t="n"/>
    </row>
    <row r="206" ht="15" customHeight="1">
      <c r="A206" s="70">
        <f>IF(C206="","",IFERROR(IF(SUMPRODUCT(MAX((tbl_Finance[Job Number]&amp;""=C206&amp;"")*(tbl_Finance[Xero Invoice No]&lt;&gt;"")*tbl_Finance[Date]))=0,"",SUMPRODUCT(MAX((tbl_Finance[Job Number]&amp;""=C206&amp;"")*(tbl_Finance[Xero Invoice No]&lt;&gt;"")*tbl_Finance[Date]))),""))</f>
        <v/>
      </c>
      <c r="B206" s="25">
        <f>IF(C206="","",IF(COUNTIFS(tbl_Finance[Job Number],C206&amp;"",tbl_Finance[Xero Invoice No],"&lt;&gt;")=0,"",IFERROR(IF(COUNTIFS(tbl_Finance[Job Number],C206&amp;"",tbl_Finance[Xero Invoice No],LOOKUP(2,1/((tbl_Finance[Job Number]&amp;""=C206&amp;"")*(tbl_Finance[Xero Invoice No]&lt;&gt;"")),tbl_Finance[Xero Invoice No]))=COUNTIFS(tbl_Finance[Job Number],C206&amp;"",tbl_Finance[Xero Invoice No],"&lt;&gt;"),LOOKUP(2,1/((tbl_Finance[Job Number]&amp;""=C206&amp;"")*(tbl_Finance[Xero Invoice No]&lt;&gt;"")),tbl_Finance[Xero Invoice No]),LOOKUP(2,1/((tbl_Finance[Job Number]&amp;""=C206&amp;"")*(tbl_Finance[Xero Invoice No]&lt;&gt;"")),tbl_Finance[Xero Invoice No])&amp;" +more"),"")))</f>
        <v/>
      </c>
      <c r="C206" s="24" t="n"/>
      <c r="D206" s="25">
        <f>IF(C206="","",IF(COUNTIF(lst_Jobs,C206&amp;"")&gt;0,"OK","CHECK"))</f>
        <v/>
      </c>
      <c r="E206" s="25">
        <f>IF(C206="","",IFERROR(INDEX(lst_JobName,MATCH(C206&amp;"",lst_Jobs,0)),""))</f>
        <v/>
      </c>
      <c r="F206" s="25">
        <f>IF(C206="","",IFERROR(INDEX(tbl_Finance[Client],IFERROR(MATCH(C206&amp;"",tbl_Finance[Job Number],0),MATCH(IFERROR(C206+0,C206),tbl_Finance[Job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6" t="n"/>
      <c r="L206" s="27">
        <f>IF(C206="","",IF(K206="",0,MAX(0,K206-H206)))</f>
        <v/>
      </c>
      <c r="M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N206" s="24" t="n"/>
      <c r="O206" s="24" t="n"/>
      <c r="P206" s="25">
        <f>IF(O206="","",HYPERLINK(IF(LEFT(O206,4)="http",O206,set_QwilrBase&amp;O206),"Open quote"))</f>
        <v/>
      </c>
      <c r="Q206" s="71" t="n"/>
      <c r="R206" s="24" t="n"/>
      <c r="S206" s="24" t="n"/>
    </row>
    <row r="207" ht="15" customHeight="1">
      <c r="A207" s="70">
        <f>IF(C207="","",IFERROR(IF(SUMPRODUCT(MAX((tbl_Finance[Job Number]&amp;""=C207&amp;"")*(tbl_Finance[Xero Invoice No]&lt;&gt;"")*tbl_Finance[Date]))=0,"",SUMPRODUCT(MAX((tbl_Finance[Job Number]&amp;""=C207&amp;"")*(tbl_Finance[Xero Invoice No]&lt;&gt;"")*tbl_Finance[Date]))),""))</f>
        <v/>
      </c>
      <c r="B207" s="25">
        <f>IF(C207="","",IF(COUNTIFS(tbl_Finance[Job Number],C207&amp;"",tbl_Finance[Xero Invoice No],"&lt;&gt;")=0,"",IFERROR(IF(COUNTIFS(tbl_Finance[Job Number],C207&amp;"",tbl_Finance[Xero Invoice No],LOOKUP(2,1/((tbl_Finance[Job Number]&amp;""=C207&amp;"")*(tbl_Finance[Xero Invoice No]&lt;&gt;"")),tbl_Finance[Xero Invoice No]))=COUNTIFS(tbl_Finance[Job Number],C207&amp;"",tbl_Finance[Xero Invoice No],"&lt;&gt;"),LOOKUP(2,1/((tbl_Finance[Job Number]&amp;""=C207&amp;"")*(tbl_Finance[Xero Invoice No]&lt;&gt;"")),tbl_Finance[Xero Invoice No]),LOOKUP(2,1/((tbl_Finance[Job Number]&amp;""=C207&amp;"")*(tbl_Finance[Xero Invoice No]&lt;&gt;"")),tbl_Finance[Xero Invoice No])&amp;" +more"),"")))</f>
        <v/>
      </c>
      <c r="C207" s="24" t="n"/>
      <c r="D207" s="25">
        <f>IF(C207="","",IF(COUNTIF(lst_Jobs,C207&amp;"")&gt;0,"OK","CHECK"))</f>
        <v/>
      </c>
      <c r="E207" s="25">
        <f>IF(C207="","",IFERROR(INDEX(lst_JobName,MATCH(C207&amp;"",lst_Jobs,0)),""))</f>
        <v/>
      </c>
      <c r="F207" s="25">
        <f>IF(C207="","",IFERROR(INDEX(tbl_Finance[Client],IFERROR(MATCH(C207&amp;"",tbl_Finance[Job Number],0),MATCH(IFERROR(C207+0,C207),tbl_Finance[Job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6" t="n"/>
      <c r="L207" s="27">
        <f>IF(C207="","",IF(K207="",0,MAX(0,K207-H207)))</f>
        <v/>
      </c>
      <c r="M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N207" s="24" t="n"/>
      <c r="O207" s="24" t="n"/>
      <c r="P207" s="25">
        <f>IF(O207="","",HYPERLINK(IF(LEFT(O207,4)="http",O207,set_QwilrBase&amp;O207),"Open quote"))</f>
        <v/>
      </c>
      <c r="Q207" s="71" t="n"/>
      <c r="R207" s="24" t="n"/>
      <c r="S207" s="24" t="n"/>
    </row>
    <row r="208" ht="15" customHeight="1">
      <c r="A208" s="70">
        <f>IF(C208="","",IFERROR(IF(SUMPRODUCT(MAX((tbl_Finance[Job Number]&amp;""=C208&amp;"")*(tbl_Finance[Xero Invoice No]&lt;&gt;"")*tbl_Finance[Date]))=0,"",SUMPRODUCT(MAX((tbl_Finance[Job Number]&amp;""=C208&amp;"")*(tbl_Finance[Xero Invoice No]&lt;&gt;"")*tbl_Finance[Date]))),""))</f>
        <v/>
      </c>
      <c r="B208" s="25">
        <f>IF(C208="","",IF(COUNTIFS(tbl_Finance[Job Number],C208&amp;"",tbl_Finance[Xero Invoice No],"&lt;&gt;")=0,"",IFERROR(IF(COUNTIFS(tbl_Finance[Job Number],C208&amp;"",tbl_Finance[Xero Invoice No],LOOKUP(2,1/((tbl_Finance[Job Number]&amp;""=C208&amp;"")*(tbl_Finance[Xero Invoice No]&lt;&gt;"")),tbl_Finance[Xero Invoice No]))=COUNTIFS(tbl_Finance[Job Number],C208&amp;"",tbl_Finance[Xero Invoice No],"&lt;&gt;"),LOOKUP(2,1/((tbl_Finance[Job Number]&amp;""=C208&amp;"")*(tbl_Finance[Xero Invoice No]&lt;&gt;"")),tbl_Finance[Xero Invoice No]),LOOKUP(2,1/((tbl_Finance[Job Number]&amp;""=C208&amp;"")*(tbl_Finance[Xero Invoice No]&lt;&gt;"")),tbl_Finance[Xero Invoice No])&amp;" +more"),"")))</f>
        <v/>
      </c>
      <c r="C208" s="24" t="n"/>
      <c r="D208" s="25">
        <f>IF(C208="","",IF(COUNTIF(lst_Jobs,C208&amp;"")&gt;0,"OK","CHECK"))</f>
        <v/>
      </c>
      <c r="E208" s="25">
        <f>IF(C208="","",IFERROR(INDEX(lst_JobName,MATCH(C208&amp;"",lst_Jobs,0)),""))</f>
        <v/>
      </c>
      <c r="F208" s="25">
        <f>IF(C208="","",IFERROR(INDEX(tbl_Finance[Client],IFERROR(MATCH(C208&amp;"",tbl_Finance[Job Number],0),MATCH(IFERROR(C208+0,C208),tbl_Finance[Job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6" t="n"/>
      <c r="L208" s="27">
        <f>IF(C208="","",IF(K208="",0,MAX(0,K208-H208)))</f>
        <v/>
      </c>
      <c r="M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N208" s="24" t="n"/>
      <c r="O208" s="24" t="n"/>
      <c r="P208" s="25">
        <f>IF(O208="","",HYPERLINK(IF(LEFT(O208,4)="http",O208,set_QwilrBase&amp;O208),"Open quote"))</f>
        <v/>
      </c>
      <c r="Q208" s="71" t="n"/>
      <c r="R208" s="24" t="n"/>
      <c r="S208" s="24" t="n"/>
    </row>
    <row r="209" ht="15" customHeight="1">
      <c r="A209" s="70">
        <f>IF(C209="","",IFERROR(IF(SUMPRODUCT(MAX((tbl_Finance[Job Number]&amp;""=C209&amp;"")*(tbl_Finance[Xero Invoice No]&lt;&gt;"")*tbl_Finance[Date]))=0,"",SUMPRODUCT(MAX((tbl_Finance[Job Number]&amp;""=C209&amp;"")*(tbl_Finance[Xero Invoice No]&lt;&gt;"")*tbl_Finance[Date]))),""))</f>
        <v/>
      </c>
      <c r="B209" s="25">
        <f>IF(C209="","",IF(COUNTIFS(tbl_Finance[Job Number],C209&amp;"",tbl_Finance[Xero Invoice No],"&lt;&gt;")=0,"",IFERROR(IF(COUNTIFS(tbl_Finance[Job Number],C209&amp;"",tbl_Finance[Xero Invoice No],LOOKUP(2,1/((tbl_Finance[Job Number]&amp;""=C209&amp;"")*(tbl_Finance[Xero Invoice No]&lt;&gt;"")),tbl_Finance[Xero Invoice No]))=COUNTIFS(tbl_Finance[Job Number],C209&amp;"",tbl_Finance[Xero Invoice No],"&lt;&gt;"),LOOKUP(2,1/((tbl_Finance[Job Number]&amp;""=C209&amp;"")*(tbl_Finance[Xero Invoice No]&lt;&gt;"")),tbl_Finance[Xero Invoice No]),LOOKUP(2,1/((tbl_Finance[Job Number]&amp;""=C209&amp;"")*(tbl_Finance[Xero Invoice No]&lt;&gt;"")),tbl_Finance[Xero Invoice No])&amp;" +more"),"")))</f>
        <v/>
      </c>
      <c r="C209" s="24" t="n"/>
      <c r="D209" s="25">
        <f>IF(C209="","",IF(COUNTIF(lst_Jobs,C209&amp;"")&gt;0,"OK","CHECK"))</f>
        <v/>
      </c>
      <c r="E209" s="25">
        <f>IF(C209="","",IFERROR(INDEX(lst_JobName,MATCH(C209&amp;"",lst_Jobs,0)),""))</f>
        <v/>
      </c>
      <c r="F209" s="25">
        <f>IF(C209="","",IFERROR(INDEX(tbl_Finance[Client],IFERROR(MATCH(C209&amp;"",tbl_Finance[Job Number],0),MATCH(IFERROR(C209+0,C209),tbl_Finance[Job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6" t="n"/>
      <c r="L209" s="27">
        <f>IF(C209="","",IF(K209="",0,MAX(0,K209-H209)))</f>
        <v/>
      </c>
      <c r="M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N209" s="24" t="n"/>
      <c r="O209" s="24" t="n"/>
      <c r="P209" s="25">
        <f>IF(O209="","",HYPERLINK(IF(LEFT(O209,4)="http",O209,set_QwilrBase&amp;O209),"Open quote"))</f>
        <v/>
      </c>
      <c r="Q209" s="71" t="n"/>
      <c r="R209" s="24" t="n"/>
      <c r="S209" s="24" t="n"/>
    </row>
    <row r="210" ht="15" customHeight="1">
      <c r="A210" s="70">
        <f>IF(C210="","",IFERROR(IF(SUMPRODUCT(MAX((tbl_Finance[Job Number]&amp;""=C210&amp;"")*(tbl_Finance[Xero Invoice No]&lt;&gt;"")*tbl_Finance[Date]))=0,"",SUMPRODUCT(MAX((tbl_Finance[Job Number]&amp;""=C210&amp;"")*(tbl_Finance[Xero Invoice No]&lt;&gt;"")*tbl_Finance[Date]))),""))</f>
        <v/>
      </c>
      <c r="B210" s="25">
        <f>IF(C210="","",IF(COUNTIFS(tbl_Finance[Job Number],C210&amp;"",tbl_Finance[Xero Invoice No],"&lt;&gt;")=0,"",IFERROR(IF(COUNTIFS(tbl_Finance[Job Number],C210&amp;"",tbl_Finance[Xero Invoice No],LOOKUP(2,1/((tbl_Finance[Job Number]&amp;""=C210&amp;"")*(tbl_Finance[Xero Invoice No]&lt;&gt;"")),tbl_Finance[Xero Invoice No]))=COUNTIFS(tbl_Finance[Job Number],C210&amp;"",tbl_Finance[Xero Invoice No],"&lt;&gt;"),LOOKUP(2,1/((tbl_Finance[Job Number]&amp;""=C210&amp;"")*(tbl_Finance[Xero Invoice No]&lt;&gt;"")),tbl_Finance[Xero Invoice No]),LOOKUP(2,1/((tbl_Finance[Job Number]&amp;""=C210&amp;"")*(tbl_Finance[Xero Invoice No]&lt;&gt;"")),tbl_Finance[Xero Invoice No])&amp;" +more"),"")))</f>
        <v/>
      </c>
      <c r="C210" s="24" t="n"/>
      <c r="D210" s="25">
        <f>IF(C210="","",IF(COUNTIF(lst_Jobs,C210&amp;"")&gt;0,"OK","CHECK"))</f>
        <v/>
      </c>
      <c r="E210" s="25">
        <f>IF(C210="","",IFERROR(INDEX(lst_JobName,MATCH(C210&amp;"",lst_Jobs,0)),""))</f>
        <v/>
      </c>
      <c r="F210" s="25">
        <f>IF(C210="","",IFERROR(INDEX(tbl_Finance[Client],IFERROR(MATCH(C210&amp;"",tbl_Finance[Job Number],0),MATCH(IFERROR(C210+0,C210),tbl_Finance[Job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6" t="n"/>
      <c r="L210" s="27">
        <f>IF(C210="","",IF(K210="",0,MAX(0,K210-H210)))</f>
        <v/>
      </c>
      <c r="M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N210" s="24" t="n"/>
      <c r="O210" s="24" t="n"/>
      <c r="P210" s="25">
        <f>IF(O210="","",HYPERLINK(IF(LEFT(O210,4)="http",O210,set_QwilrBase&amp;O210),"Open quote"))</f>
        <v/>
      </c>
      <c r="Q210" s="71" t="n"/>
      <c r="R210" s="24" t="n"/>
      <c r="S210" s="24" t="n"/>
    </row>
    <row r="211" ht="15" customHeight="1">
      <c r="A211" s="70">
        <f>IF(C211="","",IFERROR(IF(SUMPRODUCT(MAX((tbl_Finance[Job Number]&amp;""=C211&amp;"")*(tbl_Finance[Xero Invoice No]&lt;&gt;"")*tbl_Finance[Date]))=0,"",SUMPRODUCT(MAX((tbl_Finance[Job Number]&amp;""=C211&amp;"")*(tbl_Finance[Xero Invoice No]&lt;&gt;"")*tbl_Finance[Date]))),""))</f>
        <v/>
      </c>
      <c r="B211" s="25">
        <f>IF(C211="","",IF(COUNTIFS(tbl_Finance[Job Number],C211&amp;"",tbl_Finance[Xero Invoice No],"&lt;&gt;")=0,"",IFERROR(IF(COUNTIFS(tbl_Finance[Job Number],C211&amp;"",tbl_Finance[Xero Invoice No],LOOKUP(2,1/((tbl_Finance[Job Number]&amp;""=C211&amp;"")*(tbl_Finance[Xero Invoice No]&lt;&gt;"")),tbl_Finance[Xero Invoice No]))=COUNTIFS(tbl_Finance[Job Number],C211&amp;"",tbl_Finance[Xero Invoice No],"&lt;&gt;"),LOOKUP(2,1/((tbl_Finance[Job Number]&amp;""=C211&amp;"")*(tbl_Finance[Xero Invoice No]&lt;&gt;"")),tbl_Finance[Xero Invoice No]),LOOKUP(2,1/((tbl_Finance[Job Number]&amp;""=C211&amp;"")*(tbl_Finance[Xero Invoice No]&lt;&gt;"")),tbl_Finance[Xero Invoice No])&amp;" +more"),"")))</f>
        <v/>
      </c>
      <c r="C211" s="24" t="n"/>
      <c r="D211" s="25">
        <f>IF(C211="","",IF(COUNTIF(lst_Jobs,C211&amp;"")&gt;0,"OK","CHECK"))</f>
        <v/>
      </c>
      <c r="E211" s="25">
        <f>IF(C211="","",IFERROR(INDEX(lst_JobName,MATCH(C211&amp;"",lst_Jobs,0)),""))</f>
        <v/>
      </c>
      <c r="F211" s="25">
        <f>IF(C211="","",IFERROR(INDEX(tbl_Finance[Client],IFERROR(MATCH(C211&amp;"",tbl_Finance[Job Number],0),MATCH(IFERROR(C211+0,C211),tbl_Finance[Job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6" t="n"/>
      <c r="L211" s="27">
        <f>IF(C211="","",IF(K211="",0,MAX(0,K211-H211)))</f>
        <v/>
      </c>
      <c r="M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N211" s="24" t="n"/>
      <c r="O211" s="24" t="n"/>
      <c r="P211" s="25">
        <f>IF(O211="","",HYPERLINK(IF(LEFT(O211,4)="http",O211,set_QwilrBase&amp;O211),"Open quote"))</f>
        <v/>
      </c>
      <c r="Q211" s="71" t="n"/>
      <c r="R211" s="24" t="n"/>
      <c r="S211" s="24" t="n"/>
    </row>
    <row r="212" ht="15" customHeight="1">
      <c r="A212" s="70">
        <f>IF(C212="","",IFERROR(IF(SUMPRODUCT(MAX((tbl_Finance[Job Number]&amp;""=C212&amp;"")*(tbl_Finance[Xero Invoice No]&lt;&gt;"")*tbl_Finance[Date]))=0,"",SUMPRODUCT(MAX((tbl_Finance[Job Number]&amp;""=C212&amp;"")*(tbl_Finance[Xero Invoice No]&lt;&gt;"")*tbl_Finance[Date]))),""))</f>
        <v/>
      </c>
      <c r="B212" s="25">
        <f>IF(C212="","",IF(COUNTIFS(tbl_Finance[Job Number],C212&amp;"",tbl_Finance[Xero Invoice No],"&lt;&gt;")=0,"",IFERROR(IF(COUNTIFS(tbl_Finance[Job Number],C212&amp;"",tbl_Finance[Xero Invoice No],LOOKUP(2,1/((tbl_Finance[Job Number]&amp;""=C212&amp;"")*(tbl_Finance[Xero Invoice No]&lt;&gt;"")),tbl_Finance[Xero Invoice No]))=COUNTIFS(tbl_Finance[Job Number],C212&amp;"",tbl_Finance[Xero Invoice No],"&lt;&gt;"),LOOKUP(2,1/((tbl_Finance[Job Number]&amp;""=C212&amp;"")*(tbl_Finance[Xero Invoice No]&lt;&gt;"")),tbl_Finance[Xero Invoice No]),LOOKUP(2,1/((tbl_Finance[Job Number]&amp;""=C212&amp;"")*(tbl_Finance[Xero Invoice No]&lt;&gt;"")),tbl_Finance[Xero Invoice No])&amp;" +more"),"")))</f>
        <v/>
      </c>
      <c r="C212" s="24" t="n"/>
      <c r="D212" s="25">
        <f>IF(C212="","",IF(COUNTIF(lst_Jobs,C212&amp;"")&gt;0,"OK","CHECK"))</f>
        <v/>
      </c>
      <c r="E212" s="25">
        <f>IF(C212="","",IFERROR(INDEX(lst_JobName,MATCH(C212&amp;"",lst_Jobs,0)),""))</f>
        <v/>
      </c>
      <c r="F212" s="25">
        <f>IF(C212="","",IFERROR(INDEX(tbl_Finance[Client],IFERROR(MATCH(C212&amp;"",tbl_Finance[Job Number],0),MATCH(IFERROR(C212+0,C212),tbl_Finance[Job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6" t="n"/>
      <c r="L212" s="27">
        <f>IF(C212="","",IF(K212="",0,MAX(0,K212-H212)))</f>
        <v/>
      </c>
      <c r="M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N212" s="24" t="n"/>
      <c r="O212" s="24" t="n"/>
      <c r="P212" s="25">
        <f>IF(O212="","",HYPERLINK(IF(LEFT(O212,4)="http",O212,set_QwilrBase&amp;O212),"Open quote"))</f>
        <v/>
      </c>
      <c r="Q212" s="71" t="n"/>
      <c r="R212" s="24" t="n"/>
      <c r="S212" s="24" t="n"/>
    </row>
    <row r="213" ht="15" customHeight="1">
      <c r="A213" s="70">
        <f>IF(C213="","",IFERROR(IF(SUMPRODUCT(MAX((tbl_Finance[Job Number]&amp;""=C213&amp;"")*(tbl_Finance[Xero Invoice No]&lt;&gt;"")*tbl_Finance[Date]))=0,"",SUMPRODUCT(MAX((tbl_Finance[Job Number]&amp;""=C213&amp;"")*(tbl_Finance[Xero Invoice No]&lt;&gt;"")*tbl_Finance[Date]))),""))</f>
        <v/>
      </c>
      <c r="B213" s="25">
        <f>IF(C213="","",IF(COUNTIFS(tbl_Finance[Job Number],C213&amp;"",tbl_Finance[Xero Invoice No],"&lt;&gt;")=0,"",IFERROR(IF(COUNTIFS(tbl_Finance[Job Number],C213&amp;"",tbl_Finance[Xero Invoice No],LOOKUP(2,1/((tbl_Finance[Job Number]&amp;""=C213&amp;"")*(tbl_Finance[Xero Invoice No]&lt;&gt;"")),tbl_Finance[Xero Invoice No]))=COUNTIFS(tbl_Finance[Job Number],C213&amp;"",tbl_Finance[Xero Invoice No],"&lt;&gt;"),LOOKUP(2,1/((tbl_Finance[Job Number]&amp;""=C213&amp;"")*(tbl_Finance[Xero Invoice No]&lt;&gt;"")),tbl_Finance[Xero Invoice No]),LOOKUP(2,1/((tbl_Finance[Job Number]&amp;""=C213&amp;"")*(tbl_Finance[Xero Invoice No]&lt;&gt;"")),tbl_Finance[Xero Invoice No])&amp;" +more"),"")))</f>
        <v/>
      </c>
      <c r="C213" s="24" t="n"/>
      <c r="D213" s="25">
        <f>IF(C213="","",IF(COUNTIF(lst_Jobs,C213&amp;"")&gt;0,"OK","CHECK"))</f>
        <v/>
      </c>
      <c r="E213" s="25">
        <f>IF(C213="","",IFERROR(INDEX(lst_JobName,MATCH(C213&amp;"",lst_Jobs,0)),""))</f>
        <v/>
      </c>
      <c r="F213" s="25">
        <f>IF(C213="","",IFERROR(INDEX(tbl_Finance[Client],IFERROR(MATCH(C213&amp;"",tbl_Finance[Job Number],0),MATCH(IFERROR(C213+0,C213),tbl_Finance[Job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6" t="n"/>
      <c r="L213" s="27">
        <f>IF(C213="","",IF(K213="",0,MAX(0,K213-H213)))</f>
        <v/>
      </c>
      <c r="M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N213" s="24" t="n"/>
      <c r="O213" s="24" t="n"/>
      <c r="P213" s="25">
        <f>IF(O213="","",HYPERLINK(IF(LEFT(O213,4)="http",O213,set_QwilrBase&amp;O213),"Open quote"))</f>
        <v/>
      </c>
      <c r="Q213" s="71" t="n"/>
      <c r="R213" s="24" t="n"/>
      <c r="S213" s="24" t="n"/>
    </row>
    <row r="214" ht="15" customHeight="1">
      <c r="A214" s="70">
        <f>IF(C214="","",IFERROR(IF(SUMPRODUCT(MAX((tbl_Finance[Job Number]&amp;""=C214&amp;"")*(tbl_Finance[Xero Invoice No]&lt;&gt;"")*tbl_Finance[Date]))=0,"",SUMPRODUCT(MAX((tbl_Finance[Job Number]&amp;""=C214&amp;"")*(tbl_Finance[Xero Invoice No]&lt;&gt;"")*tbl_Finance[Date]))),""))</f>
        <v/>
      </c>
      <c r="B214" s="25">
        <f>IF(C214="","",IF(COUNTIFS(tbl_Finance[Job Number],C214&amp;"",tbl_Finance[Xero Invoice No],"&lt;&gt;")=0,"",IFERROR(IF(COUNTIFS(tbl_Finance[Job Number],C214&amp;"",tbl_Finance[Xero Invoice No],LOOKUP(2,1/((tbl_Finance[Job Number]&amp;""=C214&amp;"")*(tbl_Finance[Xero Invoice No]&lt;&gt;"")),tbl_Finance[Xero Invoice No]))=COUNTIFS(tbl_Finance[Job Number],C214&amp;"",tbl_Finance[Xero Invoice No],"&lt;&gt;"),LOOKUP(2,1/((tbl_Finance[Job Number]&amp;""=C214&amp;"")*(tbl_Finance[Xero Invoice No]&lt;&gt;"")),tbl_Finance[Xero Invoice No]),LOOKUP(2,1/((tbl_Finance[Job Number]&amp;""=C214&amp;"")*(tbl_Finance[Xero Invoice No]&lt;&gt;"")),tbl_Finance[Xero Invoice No])&amp;" +more"),"")))</f>
        <v/>
      </c>
      <c r="C214" s="24" t="n"/>
      <c r="D214" s="25">
        <f>IF(C214="","",IF(COUNTIF(lst_Jobs,C214&amp;"")&gt;0,"OK","CHECK"))</f>
        <v/>
      </c>
      <c r="E214" s="25">
        <f>IF(C214="","",IFERROR(INDEX(lst_JobName,MATCH(C214&amp;"",lst_Jobs,0)),""))</f>
        <v/>
      </c>
      <c r="F214" s="25">
        <f>IF(C214="","",IFERROR(INDEX(tbl_Finance[Client],IFERROR(MATCH(C214&amp;"",tbl_Finance[Job Number],0),MATCH(IFERROR(C214+0,C214),tbl_Finance[Job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6" t="n"/>
      <c r="L214" s="27">
        <f>IF(C214="","",IF(K214="",0,MAX(0,K214-H214)))</f>
        <v/>
      </c>
      <c r="M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N214" s="24" t="n"/>
      <c r="O214" s="24" t="n"/>
      <c r="P214" s="25">
        <f>IF(O214="","",HYPERLINK(IF(LEFT(O214,4)="http",O214,set_QwilrBase&amp;O214),"Open quote"))</f>
        <v/>
      </c>
      <c r="Q214" s="71" t="n"/>
      <c r="R214" s="24" t="n"/>
      <c r="S214" s="24" t="n"/>
    </row>
    <row r="215" ht="15" customHeight="1">
      <c r="A215" s="70">
        <f>IF(C215="","",IFERROR(IF(SUMPRODUCT(MAX((tbl_Finance[Job Number]&amp;""=C215&amp;"")*(tbl_Finance[Xero Invoice No]&lt;&gt;"")*tbl_Finance[Date]))=0,"",SUMPRODUCT(MAX((tbl_Finance[Job Number]&amp;""=C215&amp;"")*(tbl_Finance[Xero Invoice No]&lt;&gt;"")*tbl_Finance[Date]))),""))</f>
        <v/>
      </c>
      <c r="B215" s="25">
        <f>IF(C215="","",IF(COUNTIFS(tbl_Finance[Job Number],C215&amp;"",tbl_Finance[Xero Invoice No],"&lt;&gt;")=0,"",IFERROR(IF(COUNTIFS(tbl_Finance[Job Number],C215&amp;"",tbl_Finance[Xero Invoice No],LOOKUP(2,1/((tbl_Finance[Job Number]&amp;""=C215&amp;"")*(tbl_Finance[Xero Invoice No]&lt;&gt;"")),tbl_Finance[Xero Invoice No]))=COUNTIFS(tbl_Finance[Job Number],C215&amp;"",tbl_Finance[Xero Invoice No],"&lt;&gt;"),LOOKUP(2,1/((tbl_Finance[Job Number]&amp;""=C215&amp;"")*(tbl_Finance[Xero Invoice No]&lt;&gt;"")),tbl_Finance[Xero Invoice No]),LOOKUP(2,1/((tbl_Finance[Job Number]&amp;""=C215&amp;"")*(tbl_Finance[Xero Invoice No]&lt;&gt;"")),tbl_Finance[Xero Invoice No])&amp;" +more"),"")))</f>
        <v/>
      </c>
      <c r="C215" s="24" t="n"/>
      <c r="D215" s="25">
        <f>IF(C215="","",IF(COUNTIF(lst_Jobs,C215&amp;"")&gt;0,"OK","CHECK"))</f>
        <v/>
      </c>
      <c r="E215" s="25">
        <f>IF(C215="","",IFERROR(INDEX(lst_JobName,MATCH(C215&amp;"",lst_Jobs,0)),""))</f>
        <v/>
      </c>
      <c r="F215" s="25">
        <f>IF(C215="","",IFERROR(INDEX(tbl_Finance[Client],IFERROR(MATCH(C215&amp;"",tbl_Finance[Job Number],0),MATCH(IFERROR(C215+0,C215),tbl_Finance[Job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6" t="n"/>
      <c r="L215" s="27">
        <f>IF(C215="","",IF(K215="",0,MAX(0,K215-H215)))</f>
        <v/>
      </c>
      <c r="M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N215" s="24" t="n"/>
      <c r="O215" s="24" t="n"/>
      <c r="P215" s="25">
        <f>IF(O215="","",HYPERLINK(IF(LEFT(O215,4)="http",O215,set_QwilrBase&amp;O215),"Open quote"))</f>
        <v/>
      </c>
      <c r="Q215" s="71" t="n"/>
      <c r="R215" s="24" t="n"/>
      <c r="S215" s="24" t="n"/>
    </row>
    <row r="216" ht="15" customHeight="1">
      <c r="A216" s="70">
        <f>IF(C216="","",IFERROR(IF(SUMPRODUCT(MAX((tbl_Finance[Job Number]&amp;""=C216&amp;"")*(tbl_Finance[Xero Invoice No]&lt;&gt;"")*tbl_Finance[Date]))=0,"",SUMPRODUCT(MAX((tbl_Finance[Job Number]&amp;""=C216&amp;"")*(tbl_Finance[Xero Invoice No]&lt;&gt;"")*tbl_Finance[Date]))),""))</f>
        <v/>
      </c>
      <c r="B216" s="25">
        <f>IF(C216="","",IF(COUNTIFS(tbl_Finance[Job Number],C216&amp;"",tbl_Finance[Xero Invoice No],"&lt;&gt;")=0,"",IFERROR(IF(COUNTIFS(tbl_Finance[Job Number],C216&amp;"",tbl_Finance[Xero Invoice No],LOOKUP(2,1/((tbl_Finance[Job Number]&amp;""=C216&amp;"")*(tbl_Finance[Xero Invoice No]&lt;&gt;"")),tbl_Finance[Xero Invoice No]))=COUNTIFS(tbl_Finance[Job Number],C216&amp;"",tbl_Finance[Xero Invoice No],"&lt;&gt;"),LOOKUP(2,1/((tbl_Finance[Job Number]&amp;""=C216&amp;"")*(tbl_Finance[Xero Invoice No]&lt;&gt;"")),tbl_Finance[Xero Invoice No]),LOOKUP(2,1/((tbl_Finance[Job Number]&amp;""=C216&amp;"")*(tbl_Finance[Xero Invoice No]&lt;&gt;"")),tbl_Finance[Xero Invoice No])&amp;" +more"),"")))</f>
        <v/>
      </c>
      <c r="C216" s="24" t="n"/>
      <c r="D216" s="25">
        <f>IF(C216="","",IF(COUNTIF(lst_Jobs,C216&amp;"")&gt;0,"OK","CHECK"))</f>
        <v/>
      </c>
      <c r="E216" s="25">
        <f>IF(C216="","",IFERROR(INDEX(lst_JobName,MATCH(C216&amp;"",lst_Jobs,0)),""))</f>
        <v/>
      </c>
      <c r="F216" s="25">
        <f>IF(C216="","",IFERROR(INDEX(tbl_Finance[Client],IFERROR(MATCH(C216&amp;"",tbl_Finance[Job Number],0),MATCH(IFERROR(C216+0,C216),tbl_Finance[Job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6" t="n"/>
      <c r="L216" s="27">
        <f>IF(C216="","",IF(K216="",0,MAX(0,K216-H216)))</f>
        <v/>
      </c>
      <c r="M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N216" s="24" t="n"/>
      <c r="O216" s="24" t="n"/>
      <c r="P216" s="25">
        <f>IF(O216="","",HYPERLINK(IF(LEFT(O216,4)="http",O216,set_QwilrBase&amp;O216),"Open quote"))</f>
        <v/>
      </c>
      <c r="Q216" s="71" t="n"/>
      <c r="R216" s="24" t="n"/>
      <c r="S216" s="24" t="n"/>
    </row>
    <row r="217" ht="15" customHeight="1">
      <c r="A217" s="70">
        <f>IF(C217="","",IFERROR(IF(SUMPRODUCT(MAX((tbl_Finance[Job Number]&amp;""=C217&amp;"")*(tbl_Finance[Xero Invoice No]&lt;&gt;"")*tbl_Finance[Date]))=0,"",SUMPRODUCT(MAX((tbl_Finance[Job Number]&amp;""=C217&amp;"")*(tbl_Finance[Xero Invoice No]&lt;&gt;"")*tbl_Finance[Date]))),""))</f>
        <v/>
      </c>
      <c r="B217" s="25">
        <f>IF(C217="","",IF(COUNTIFS(tbl_Finance[Job Number],C217&amp;"",tbl_Finance[Xero Invoice No],"&lt;&gt;")=0,"",IFERROR(IF(COUNTIFS(tbl_Finance[Job Number],C217&amp;"",tbl_Finance[Xero Invoice No],LOOKUP(2,1/((tbl_Finance[Job Number]&amp;""=C217&amp;"")*(tbl_Finance[Xero Invoice No]&lt;&gt;"")),tbl_Finance[Xero Invoice No]))=COUNTIFS(tbl_Finance[Job Number],C217&amp;"",tbl_Finance[Xero Invoice No],"&lt;&gt;"),LOOKUP(2,1/((tbl_Finance[Job Number]&amp;""=C217&amp;"")*(tbl_Finance[Xero Invoice No]&lt;&gt;"")),tbl_Finance[Xero Invoice No]),LOOKUP(2,1/((tbl_Finance[Job Number]&amp;""=C217&amp;"")*(tbl_Finance[Xero Invoice No]&lt;&gt;"")),tbl_Finance[Xero Invoice No])&amp;" +more"),"")))</f>
        <v/>
      </c>
      <c r="C217" s="24" t="n"/>
      <c r="D217" s="25">
        <f>IF(C217="","",IF(COUNTIF(lst_Jobs,C217&amp;"")&gt;0,"OK","CHECK"))</f>
        <v/>
      </c>
      <c r="E217" s="25">
        <f>IF(C217="","",IFERROR(INDEX(lst_JobName,MATCH(C217&amp;"",lst_Jobs,0)),""))</f>
        <v/>
      </c>
      <c r="F217" s="25">
        <f>IF(C217="","",IFERROR(INDEX(tbl_Finance[Client],IFERROR(MATCH(C217&amp;"",tbl_Finance[Job Number],0),MATCH(IFERROR(C217+0,C217),tbl_Finance[Job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6" t="n"/>
      <c r="L217" s="27">
        <f>IF(C217="","",IF(K217="",0,MAX(0,K217-H217)))</f>
        <v/>
      </c>
      <c r="M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N217" s="24" t="n"/>
      <c r="O217" s="24" t="n"/>
      <c r="P217" s="25">
        <f>IF(O217="","",HYPERLINK(IF(LEFT(O217,4)="http",O217,set_QwilrBase&amp;O217),"Open quote"))</f>
        <v/>
      </c>
      <c r="Q217" s="71" t="n"/>
      <c r="R217" s="24" t="n"/>
      <c r="S217" s="24" t="n"/>
    </row>
    <row r="218" ht="15" customHeight="1">
      <c r="A218" s="70">
        <f>IF(C218="","",IFERROR(IF(SUMPRODUCT(MAX((tbl_Finance[Job Number]&amp;""=C218&amp;"")*(tbl_Finance[Xero Invoice No]&lt;&gt;"")*tbl_Finance[Date]))=0,"",SUMPRODUCT(MAX((tbl_Finance[Job Number]&amp;""=C218&amp;"")*(tbl_Finance[Xero Invoice No]&lt;&gt;"")*tbl_Finance[Date]))),""))</f>
        <v/>
      </c>
      <c r="B218" s="25">
        <f>IF(C218="","",IF(COUNTIFS(tbl_Finance[Job Number],C218&amp;"",tbl_Finance[Xero Invoice No],"&lt;&gt;")=0,"",IFERROR(IF(COUNTIFS(tbl_Finance[Job Number],C218&amp;"",tbl_Finance[Xero Invoice No],LOOKUP(2,1/((tbl_Finance[Job Number]&amp;""=C218&amp;"")*(tbl_Finance[Xero Invoice No]&lt;&gt;"")),tbl_Finance[Xero Invoice No]))=COUNTIFS(tbl_Finance[Job Number],C218&amp;"",tbl_Finance[Xero Invoice No],"&lt;&gt;"),LOOKUP(2,1/((tbl_Finance[Job Number]&amp;""=C218&amp;"")*(tbl_Finance[Xero Invoice No]&lt;&gt;"")),tbl_Finance[Xero Invoice No]),LOOKUP(2,1/((tbl_Finance[Job Number]&amp;""=C218&amp;"")*(tbl_Finance[Xero Invoice No]&lt;&gt;"")),tbl_Finance[Xero Invoice No])&amp;" +more"),"")))</f>
        <v/>
      </c>
      <c r="C218" s="24" t="n"/>
      <c r="D218" s="25">
        <f>IF(C218="","",IF(COUNTIF(lst_Jobs,C218&amp;"")&gt;0,"OK","CHECK"))</f>
        <v/>
      </c>
      <c r="E218" s="25">
        <f>IF(C218="","",IFERROR(INDEX(lst_JobName,MATCH(C218&amp;"",lst_Jobs,0)),""))</f>
        <v/>
      </c>
      <c r="F218" s="25">
        <f>IF(C218="","",IFERROR(INDEX(tbl_Finance[Client],IFERROR(MATCH(C218&amp;"",tbl_Finance[Job Number],0),MATCH(IFERROR(C218+0,C218),tbl_Finance[Job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6" t="n"/>
      <c r="L218" s="27">
        <f>IF(C218="","",IF(K218="",0,MAX(0,K218-H218)))</f>
        <v/>
      </c>
      <c r="M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N218" s="24" t="n"/>
      <c r="O218" s="24" t="n"/>
      <c r="P218" s="25">
        <f>IF(O218="","",HYPERLINK(IF(LEFT(O218,4)="http",O218,set_QwilrBase&amp;O218),"Open quote"))</f>
        <v/>
      </c>
      <c r="Q218" s="71" t="n"/>
      <c r="R218" s="24" t="n"/>
      <c r="S218" s="24" t="n"/>
    </row>
    <row r="219" ht="15" customHeight="1">
      <c r="A219" s="70">
        <f>IF(C219="","",IFERROR(IF(SUMPRODUCT(MAX((tbl_Finance[Job Number]&amp;""=C219&amp;"")*(tbl_Finance[Xero Invoice No]&lt;&gt;"")*tbl_Finance[Date]))=0,"",SUMPRODUCT(MAX((tbl_Finance[Job Number]&amp;""=C219&amp;"")*(tbl_Finance[Xero Invoice No]&lt;&gt;"")*tbl_Finance[Date]))),""))</f>
        <v/>
      </c>
      <c r="B219" s="25">
        <f>IF(C219="","",IF(COUNTIFS(tbl_Finance[Job Number],C219&amp;"",tbl_Finance[Xero Invoice No],"&lt;&gt;")=0,"",IFERROR(IF(COUNTIFS(tbl_Finance[Job Number],C219&amp;"",tbl_Finance[Xero Invoice No],LOOKUP(2,1/((tbl_Finance[Job Number]&amp;""=C219&amp;"")*(tbl_Finance[Xero Invoice No]&lt;&gt;"")),tbl_Finance[Xero Invoice No]))=COUNTIFS(tbl_Finance[Job Number],C219&amp;"",tbl_Finance[Xero Invoice No],"&lt;&gt;"),LOOKUP(2,1/((tbl_Finance[Job Number]&amp;""=C219&amp;"")*(tbl_Finance[Xero Invoice No]&lt;&gt;"")),tbl_Finance[Xero Invoice No]),LOOKUP(2,1/((tbl_Finance[Job Number]&amp;""=C219&amp;"")*(tbl_Finance[Xero Invoice No]&lt;&gt;"")),tbl_Finance[Xero Invoice No])&amp;" +more"),"")))</f>
        <v/>
      </c>
      <c r="C219" s="24" t="n"/>
      <c r="D219" s="25">
        <f>IF(C219="","",IF(COUNTIF(lst_Jobs,C219&amp;"")&gt;0,"OK","CHECK"))</f>
        <v/>
      </c>
      <c r="E219" s="25">
        <f>IF(C219="","",IFERROR(INDEX(lst_JobName,MATCH(C219&amp;"",lst_Jobs,0)),""))</f>
        <v/>
      </c>
      <c r="F219" s="25">
        <f>IF(C219="","",IFERROR(INDEX(tbl_Finance[Client],IFERROR(MATCH(C219&amp;"",tbl_Finance[Job Number],0),MATCH(IFERROR(C219+0,C219),tbl_Finance[Job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6" t="n"/>
      <c r="L219" s="27">
        <f>IF(C219="","",IF(K219="",0,MAX(0,K219-H219)))</f>
        <v/>
      </c>
      <c r="M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N219" s="24" t="n"/>
      <c r="O219" s="24" t="n"/>
      <c r="P219" s="25">
        <f>IF(O219="","",HYPERLINK(IF(LEFT(O219,4)="http",O219,set_QwilrBase&amp;O219),"Open quote"))</f>
        <v/>
      </c>
      <c r="Q219" s="71" t="n"/>
      <c r="R219" s="24" t="n"/>
      <c r="S219" s="24" t="n"/>
    </row>
    <row r="220" ht="15" customHeight="1">
      <c r="A220" s="70">
        <f>IF(C220="","",IFERROR(IF(SUMPRODUCT(MAX((tbl_Finance[Job Number]&amp;""=C220&amp;"")*(tbl_Finance[Xero Invoice No]&lt;&gt;"")*tbl_Finance[Date]))=0,"",SUMPRODUCT(MAX((tbl_Finance[Job Number]&amp;""=C220&amp;"")*(tbl_Finance[Xero Invoice No]&lt;&gt;"")*tbl_Finance[Date]))),""))</f>
        <v/>
      </c>
      <c r="B220" s="25">
        <f>IF(C220="","",IF(COUNTIFS(tbl_Finance[Job Number],C220&amp;"",tbl_Finance[Xero Invoice No],"&lt;&gt;")=0,"",IFERROR(IF(COUNTIFS(tbl_Finance[Job Number],C220&amp;"",tbl_Finance[Xero Invoice No],LOOKUP(2,1/((tbl_Finance[Job Number]&amp;""=C220&amp;"")*(tbl_Finance[Xero Invoice No]&lt;&gt;"")),tbl_Finance[Xero Invoice No]))=COUNTIFS(tbl_Finance[Job Number],C220&amp;"",tbl_Finance[Xero Invoice No],"&lt;&gt;"),LOOKUP(2,1/((tbl_Finance[Job Number]&amp;""=C220&amp;"")*(tbl_Finance[Xero Invoice No]&lt;&gt;"")),tbl_Finance[Xero Invoice No]),LOOKUP(2,1/((tbl_Finance[Job Number]&amp;""=C220&amp;"")*(tbl_Finance[Xero Invoice No]&lt;&gt;"")),tbl_Finance[Xero Invoice No])&amp;" +more"),"")))</f>
        <v/>
      </c>
      <c r="C220" s="24" t="n"/>
      <c r="D220" s="25">
        <f>IF(C220="","",IF(COUNTIF(lst_Jobs,C220&amp;"")&gt;0,"OK","CHECK"))</f>
        <v/>
      </c>
      <c r="E220" s="25">
        <f>IF(C220="","",IFERROR(INDEX(lst_JobName,MATCH(C220&amp;"",lst_Jobs,0)),""))</f>
        <v/>
      </c>
      <c r="F220" s="25">
        <f>IF(C220="","",IFERROR(INDEX(tbl_Finance[Client],IFERROR(MATCH(C220&amp;"",tbl_Finance[Job Number],0),MATCH(IFERROR(C220+0,C220),tbl_Finance[Job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6" t="n"/>
      <c r="L220" s="27">
        <f>IF(C220="","",IF(K220="",0,MAX(0,K220-H220)))</f>
        <v/>
      </c>
      <c r="M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N220" s="24" t="n"/>
      <c r="O220" s="24" t="n"/>
      <c r="P220" s="25">
        <f>IF(O220="","",HYPERLINK(IF(LEFT(O220,4)="http",O220,set_QwilrBase&amp;O220),"Open quote"))</f>
        <v/>
      </c>
      <c r="Q220" s="71" t="n"/>
      <c r="R220" s="24" t="n"/>
      <c r="S220" s="24" t="n"/>
    </row>
    <row r="221" ht="15" customHeight="1">
      <c r="A221" s="70">
        <f>IF(C221="","",IFERROR(IF(SUMPRODUCT(MAX((tbl_Finance[Job Number]&amp;""=C221&amp;"")*(tbl_Finance[Xero Invoice No]&lt;&gt;"")*tbl_Finance[Date]))=0,"",SUMPRODUCT(MAX((tbl_Finance[Job Number]&amp;""=C221&amp;"")*(tbl_Finance[Xero Invoice No]&lt;&gt;"")*tbl_Finance[Date]))),""))</f>
        <v/>
      </c>
      <c r="B221" s="25">
        <f>IF(C221="","",IF(COUNTIFS(tbl_Finance[Job Number],C221&amp;"",tbl_Finance[Xero Invoice No],"&lt;&gt;")=0,"",IFERROR(IF(COUNTIFS(tbl_Finance[Job Number],C221&amp;"",tbl_Finance[Xero Invoice No],LOOKUP(2,1/((tbl_Finance[Job Number]&amp;""=C221&amp;"")*(tbl_Finance[Xero Invoice No]&lt;&gt;"")),tbl_Finance[Xero Invoice No]))=COUNTIFS(tbl_Finance[Job Number],C221&amp;"",tbl_Finance[Xero Invoice No],"&lt;&gt;"),LOOKUP(2,1/((tbl_Finance[Job Number]&amp;""=C221&amp;"")*(tbl_Finance[Xero Invoice No]&lt;&gt;"")),tbl_Finance[Xero Invoice No]),LOOKUP(2,1/((tbl_Finance[Job Number]&amp;""=C221&amp;"")*(tbl_Finance[Xero Invoice No]&lt;&gt;"")),tbl_Finance[Xero Invoice No])&amp;" +more"),"")))</f>
        <v/>
      </c>
      <c r="C221" s="24" t="n"/>
      <c r="D221" s="25">
        <f>IF(C221="","",IF(COUNTIF(lst_Jobs,C221&amp;"")&gt;0,"OK","CHECK"))</f>
        <v/>
      </c>
      <c r="E221" s="25">
        <f>IF(C221="","",IFERROR(INDEX(lst_JobName,MATCH(C221&amp;"",lst_Jobs,0)),""))</f>
        <v/>
      </c>
      <c r="F221" s="25">
        <f>IF(C221="","",IFERROR(INDEX(tbl_Finance[Client],IFERROR(MATCH(C221&amp;"",tbl_Finance[Job Number],0),MATCH(IFERROR(C221+0,C221),tbl_Finance[Job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6" t="n"/>
      <c r="L221" s="27">
        <f>IF(C221="","",IF(K221="",0,MAX(0,K221-H221)))</f>
        <v/>
      </c>
      <c r="M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N221" s="24" t="n"/>
      <c r="O221" s="24" t="n"/>
      <c r="P221" s="25">
        <f>IF(O221="","",HYPERLINK(IF(LEFT(O221,4)="http",O221,set_QwilrBase&amp;O221),"Open quote"))</f>
        <v/>
      </c>
      <c r="Q221" s="71" t="n"/>
      <c r="R221" s="24" t="n"/>
      <c r="S221" s="24" t="n"/>
    </row>
    <row r="222" ht="15" customHeight="1">
      <c r="A222" s="70">
        <f>IF(C222="","",IFERROR(IF(SUMPRODUCT(MAX((tbl_Finance[Job Number]&amp;""=C222&amp;"")*(tbl_Finance[Xero Invoice No]&lt;&gt;"")*tbl_Finance[Date]))=0,"",SUMPRODUCT(MAX((tbl_Finance[Job Number]&amp;""=C222&amp;"")*(tbl_Finance[Xero Invoice No]&lt;&gt;"")*tbl_Finance[Date]))),""))</f>
        <v/>
      </c>
      <c r="B222" s="25">
        <f>IF(C222="","",IF(COUNTIFS(tbl_Finance[Job Number],C222&amp;"",tbl_Finance[Xero Invoice No],"&lt;&gt;")=0,"",IFERROR(IF(COUNTIFS(tbl_Finance[Job Number],C222&amp;"",tbl_Finance[Xero Invoice No],LOOKUP(2,1/((tbl_Finance[Job Number]&amp;""=C222&amp;"")*(tbl_Finance[Xero Invoice No]&lt;&gt;"")),tbl_Finance[Xero Invoice No]))=COUNTIFS(tbl_Finance[Job Number],C222&amp;"",tbl_Finance[Xero Invoice No],"&lt;&gt;"),LOOKUP(2,1/((tbl_Finance[Job Number]&amp;""=C222&amp;"")*(tbl_Finance[Xero Invoice No]&lt;&gt;"")),tbl_Finance[Xero Invoice No]),LOOKUP(2,1/((tbl_Finance[Job Number]&amp;""=C222&amp;"")*(tbl_Finance[Xero Invoice No]&lt;&gt;"")),tbl_Finance[Xero Invoice No])&amp;" +more"),"")))</f>
        <v/>
      </c>
      <c r="C222" s="24" t="n"/>
      <c r="D222" s="25">
        <f>IF(C222="","",IF(COUNTIF(lst_Jobs,C222&amp;"")&gt;0,"OK","CHECK"))</f>
        <v/>
      </c>
      <c r="E222" s="25">
        <f>IF(C222="","",IFERROR(INDEX(lst_JobName,MATCH(C222&amp;"",lst_Jobs,0)),""))</f>
        <v/>
      </c>
      <c r="F222" s="25">
        <f>IF(C222="","",IFERROR(INDEX(tbl_Finance[Client],IFERROR(MATCH(C222&amp;"",tbl_Finance[Job Number],0),MATCH(IFERROR(C222+0,C222),tbl_Finance[Job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6" t="n"/>
      <c r="L222" s="27">
        <f>IF(C222="","",IF(K222="",0,MAX(0,K222-H222)))</f>
        <v/>
      </c>
      <c r="M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N222" s="24" t="n"/>
      <c r="O222" s="24" t="n"/>
      <c r="P222" s="25">
        <f>IF(O222="","",HYPERLINK(IF(LEFT(O222,4)="http",O222,set_QwilrBase&amp;O222),"Open quote"))</f>
        <v/>
      </c>
      <c r="Q222" s="71" t="n"/>
      <c r="R222" s="24" t="n"/>
      <c r="S222" s="24" t="n"/>
    </row>
    <row r="223" ht="15" customHeight="1">
      <c r="A223" s="70">
        <f>IF(C223="","",IFERROR(IF(SUMPRODUCT(MAX((tbl_Finance[Job Number]&amp;""=C223&amp;"")*(tbl_Finance[Xero Invoice No]&lt;&gt;"")*tbl_Finance[Date]))=0,"",SUMPRODUCT(MAX((tbl_Finance[Job Number]&amp;""=C223&amp;"")*(tbl_Finance[Xero Invoice No]&lt;&gt;"")*tbl_Finance[Date]))),""))</f>
        <v/>
      </c>
      <c r="B223" s="25">
        <f>IF(C223="","",IF(COUNTIFS(tbl_Finance[Job Number],C223&amp;"",tbl_Finance[Xero Invoice No],"&lt;&gt;")=0,"",IFERROR(IF(COUNTIFS(tbl_Finance[Job Number],C223&amp;"",tbl_Finance[Xero Invoice No],LOOKUP(2,1/((tbl_Finance[Job Number]&amp;""=C223&amp;"")*(tbl_Finance[Xero Invoice No]&lt;&gt;"")),tbl_Finance[Xero Invoice No]))=COUNTIFS(tbl_Finance[Job Number],C223&amp;"",tbl_Finance[Xero Invoice No],"&lt;&gt;"),LOOKUP(2,1/((tbl_Finance[Job Number]&amp;""=C223&amp;"")*(tbl_Finance[Xero Invoice No]&lt;&gt;"")),tbl_Finance[Xero Invoice No]),LOOKUP(2,1/((tbl_Finance[Job Number]&amp;""=C223&amp;"")*(tbl_Finance[Xero Invoice No]&lt;&gt;"")),tbl_Finance[Xero Invoice No])&amp;" +more"),"")))</f>
        <v/>
      </c>
      <c r="C223" s="24" t="n"/>
      <c r="D223" s="25">
        <f>IF(C223="","",IF(COUNTIF(lst_Jobs,C223&amp;"")&gt;0,"OK","CHECK"))</f>
        <v/>
      </c>
      <c r="E223" s="25">
        <f>IF(C223="","",IFERROR(INDEX(lst_JobName,MATCH(C223&amp;"",lst_Jobs,0)),""))</f>
        <v/>
      </c>
      <c r="F223" s="25">
        <f>IF(C223="","",IFERROR(INDEX(tbl_Finance[Client],IFERROR(MATCH(C223&amp;"",tbl_Finance[Job Number],0),MATCH(IFERROR(C223+0,C223),tbl_Finance[Job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6" t="n"/>
      <c r="L223" s="27">
        <f>IF(C223="","",IF(K223="",0,MAX(0,K223-H223)))</f>
        <v/>
      </c>
      <c r="M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N223" s="24" t="n"/>
      <c r="O223" s="24" t="n"/>
      <c r="P223" s="25">
        <f>IF(O223="","",HYPERLINK(IF(LEFT(O223,4)="http",O223,set_QwilrBase&amp;O223),"Open quote"))</f>
        <v/>
      </c>
      <c r="Q223" s="71" t="n"/>
      <c r="R223" s="24" t="n"/>
      <c r="S223" s="24" t="n"/>
    </row>
    <row r="224" ht="15" customHeight="1">
      <c r="A224" s="70">
        <f>IF(C224="","",IFERROR(IF(SUMPRODUCT(MAX((tbl_Finance[Job Number]&amp;""=C224&amp;"")*(tbl_Finance[Xero Invoice No]&lt;&gt;"")*tbl_Finance[Date]))=0,"",SUMPRODUCT(MAX((tbl_Finance[Job Number]&amp;""=C224&amp;"")*(tbl_Finance[Xero Invoice No]&lt;&gt;"")*tbl_Finance[Date]))),""))</f>
        <v/>
      </c>
      <c r="B224" s="25">
        <f>IF(C224="","",IF(COUNTIFS(tbl_Finance[Job Number],C224&amp;"",tbl_Finance[Xero Invoice No],"&lt;&gt;")=0,"",IFERROR(IF(COUNTIFS(tbl_Finance[Job Number],C224&amp;"",tbl_Finance[Xero Invoice No],LOOKUP(2,1/((tbl_Finance[Job Number]&amp;""=C224&amp;"")*(tbl_Finance[Xero Invoice No]&lt;&gt;"")),tbl_Finance[Xero Invoice No]))=COUNTIFS(tbl_Finance[Job Number],C224&amp;"",tbl_Finance[Xero Invoice No],"&lt;&gt;"),LOOKUP(2,1/((tbl_Finance[Job Number]&amp;""=C224&amp;"")*(tbl_Finance[Xero Invoice No]&lt;&gt;"")),tbl_Finance[Xero Invoice No]),LOOKUP(2,1/((tbl_Finance[Job Number]&amp;""=C224&amp;"")*(tbl_Finance[Xero Invoice No]&lt;&gt;"")),tbl_Finance[Xero Invoice No])&amp;" +more"),"")))</f>
        <v/>
      </c>
      <c r="C224" s="24" t="n"/>
      <c r="D224" s="25">
        <f>IF(C224="","",IF(COUNTIF(lst_Jobs,C224&amp;"")&gt;0,"OK","CHECK"))</f>
        <v/>
      </c>
      <c r="E224" s="25">
        <f>IF(C224="","",IFERROR(INDEX(lst_JobName,MATCH(C224&amp;"",lst_Jobs,0)),""))</f>
        <v/>
      </c>
      <c r="F224" s="25">
        <f>IF(C224="","",IFERROR(INDEX(tbl_Finance[Client],IFERROR(MATCH(C224&amp;"",tbl_Finance[Job Number],0),MATCH(IFERROR(C224+0,C224),tbl_Finance[Job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6" t="n"/>
      <c r="L224" s="27">
        <f>IF(C224="","",IF(K224="",0,MAX(0,K224-H224)))</f>
        <v/>
      </c>
      <c r="M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N224" s="24" t="n"/>
      <c r="O224" s="24" t="n"/>
      <c r="P224" s="25">
        <f>IF(O224="","",HYPERLINK(IF(LEFT(O224,4)="http",O224,set_QwilrBase&amp;O224),"Open quote"))</f>
        <v/>
      </c>
      <c r="Q224" s="71" t="n"/>
      <c r="R224" s="24" t="n"/>
      <c r="S224" s="24" t="n"/>
    </row>
    <row r="225" ht="15" customHeight="1">
      <c r="A225" s="70">
        <f>IF(C225="","",IFERROR(IF(SUMPRODUCT(MAX((tbl_Finance[Job Number]&amp;""=C225&amp;"")*(tbl_Finance[Xero Invoice No]&lt;&gt;"")*tbl_Finance[Date]))=0,"",SUMPRODUCT(MAX((tbl_Finance[Job Number]&amp;""=C225&amp;"")*(tbl_Finance[Xero Invoice No]&lt;&gt;"")*tbl_Finance[Date]))),""))</f>
        <v/>
      </c>
      <c r="B225" s="25">
        <f>IF(C225="","",IF(COUNTIFS(tbl_Finance[Job Number],C225&amp;"",tbl_Finance[Xero Invoice No],"&lt;&gt;")=0,"",IFERROR(IF(COUNTIFS(tbl_Finance[Job Number],C225&amp;"",tbl_Finance[Xero Invoice No],LOOKUP(2,1/((tbl_Finance[Job Number]&amp;""=C225&amp;"")*(tbl_Finance[Xero Invoice No]&lt;&gt;"")),tbl_Finance[Xero Invoice No]))=COUNTIFS(tbl_Finance[Job Number],C225&amp;"",tbl_Finance[Xero Invoice No],"&lt;&gt;"),LOOKUP(2,1/((tbl_Finance[Job Number]&amp;""=C225&amp;"")*(tbl_Finance[Xero Invoice No]&lt;&gt;"")),tbl_Finance[Xero Invoice No]),LOOKUP(2,1/((tbl_Finance[Job Number]&amp;""=C225&amp;"")*(tbl_Finance[Xero Invoice No]&lt;&gt;"")),tbl_Finance[Xero Invoice No])&amp;" +more"),"")))</f>
        <v/>
      </c>
      <c r="C225" s="24" t="n"/>
      <c r="D225" s="25">
        <f>IF(C225="","",IF(COUNTIF(lst_Jobs,C225&amp;"")&gt;0,"OK","CHECK"))</f>
        <v/>
      </c>
      <c r="E225" s="25">
        <f>IF(C225="","",IFERROR(INDEX(lst_JobName,MATCH(C225&amp;"",lst_Jobs,0)),""))</f>
        <v/>
      </c>
      <c r="F225" s="25">
        <f>IF(C225="","",IFERROR(INDEX(tbl_Finance[Client],IFERROR(MATCH(C225&amp;"",tbl_Finance[Job Number],0),MATCH(IFERROR(C225+0,C225),tbl_Finance[Job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6" t="n"/>
      <c r="L225" s="27">
        <f>IF(C225="","",IF(K225="",0,MAX(0,K225-H225)))</f>
        <v/>
      </c>
      <c r="M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N225" s="24" t="n"/>
      <c r="O225" s="24" t="n"/>
      <c r="P225" s="25">
        <f>IF(O225="","",HYPERLINK(IF(LEFT(O225,4)="http",O225,set_QwilrBase&amp;O225),"Open quote"))</f>
        <v/>
      </c>
      <c r="Q225" s="71" t="n"/>
      <c r="R225" s="24" t="n"/>
      <c r="S225" s="24" t="n"/>
    </row>
    <row r="226" ht="15" customHeight="1">
      <c r="A226" s="70">
        <f>IF(C226="","",IFERROR(IF(SUMPRODUCT(MAX((tbl_Finance[Job Number]&amp;""=C226&amp;"")*(tbl_Finance[Xero Invoice No]&lt;&gt;"")*tbl_Finance[Date]))=0,"",SUMPRODUCT(MAX((tbl_Finance[Job Number]&amp;""=C226&amp;"")*(tbl_Finance[Xero Invoice No]&lt;&gt;"")*tbl_Finance[Date]))),""))</f>
        <v/>
      </c>
      <c r="B226" s="25">
        <f>IF(C226="","",IF(COUNTIFS(tbl_Finance[Job Number],C226&amp;"",tbl_Finance[Xero Invoice No],"&lt;&gt;")=0,"",IFERROR(IF(COUNTIFS(tbl_Finance[Job Number],C226&amp;"",tbl_Finance[Xero Invoice No],LOOKUP(2,1/((tbl_Finance[Job Number]&amp;""=C226&amp;"")*(tbl_Finance[Xero Invoice No]&lt;&gt;"")),tbl_Finance[Xero Invoice No]))=COUNTIFS(tbl_Finance[Job Number],C226&amp;"",tbl_Finance[Xero Invoice No],"&lt;&gt;"),LOOKUP(2,1/((tbl_Finance[Job Number]&amp;""=C226&amp;"")*(tbl_Finance[Xero Invoice No]&lt;&gt;"")),tbl_Finance[Xero Invoice No]),LOOKUP(2,1/((tbl_Finance[Job Number]&amp;""=C226&amp;"")*(tbl_Finance[Xero Invoice No]&lt;&gt;"")),tbl_Finance[Xero Invoice No])&amp;" +more"),"")))</f>
        <v/>
      </c>
      <c r="C226" s="24" t="n"/>
      <c r="D226" s="25">
        <f>IF(C226="","",IF(COUNTIF(lst_Jobs,C226&amp;"")&gt;0,"OK","CHECK"))</f>
        <v/>
      </c>
      <c r="E226" s="25">
        <f>IF(C226="","",IFERROR(INDEX(lst_JobName,MATCH(C226&amp;"",lst_Jobs,0)),""))</f>
        <v/>
      </c>
      <c r="F226" s="25">
        <f>IF(C226="","",IFERROR(INDEX(tbl_Finance[Client],IFERROR(MATCH(C226&amp;"",tbl_Finance[Job Number],0),MATCH(IFERROR(C226+0,C226),tbl_Finance[Job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6" t="n"/>
      <c r="L226" s="27">
        <f>IF(C226="","",IF(K226="",0,MAX(0,K226-H226)))</f>
        <v/>
      </c>
      <c r="M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N226" s="24" t="n"/>
      <c r="O226" s="24" t="n"/>
      <c r="P226" s="25">
        <f>IF(O226="","",HYPERLINK(IF(LEFT(O226,4)="http",O226,set_QwilrBase&amp;O226),"Open quote"))</f>
        <v/>
      </c>
      <c r="Q226" s="71" t="n"/>
      <c r="R226" s="24" t="n"/>
      <c r="S226" s="24" t="n"/>
    </row>
    <row r="227" ht="15" customHeight="1">
      <c r="A227" s="70">
        <f>IF(C227="","",IFERROR(IF(SUMPRODUCT(MAX((tbl_Finance[Job Number]&amp;""=C227&amp;"")*(tbl_Finance[Xero Invoice No]&lt;&gt;"")*tbl_Finance[Date]))=0,"",SUMPRODUCT(MAX((tbl_Finance[Job Number]&amp;""=C227&amp;"")*(tbl_Finance[Xero Invoice No]&lt;&gt;"")*tbl_Finance[Date]))),""))</f>
        <v/>
      </c>
      <c r="B227" s="25">
        <f>IF(C227="","",IF(COUNTIFS(tbl_Finance[Job Number],C227&amp;"",tbl_Finance[Xero Invoice No],"&lt;&gt;")=0,"",IFERROR(IF(COUNTIFS(tbl_Finance[Job Number],C227&amp;"",tbl_Finance[Xero Invoice No],LOOKUP(2,1/((tbl_Finance[Job Number]&amp;""=C227&amp;"")*(tbl_Finance[Xero Invoice No]&lt;&gt;"")),tbl_Finance[Xero Invoice No]))=COUNTIFS(tbl_Finance[Job Number],C227&amp;"",tbl_Finance[Xero Invoice No],"&lt;&gt;"),LOOKUP(2,1/((tbl_Finance[Job Number]&amp;""=C227&amp;"")*(tbl_Finance[Xero Invoice No]&lt;&gt;"")),tbl_Finance[Xero Invoice No]),LOOKUP(2,1/((tbl_Finance[Job Number]&amp;""=C227&amp;"")*(tbl_Finance[Xero Invoice No]&lt;&gt;"")),tbl_Finance[Xero Invoice No])&amp;" +more"),"")))</f>
        <v/>
      </c>
      <c r="C227" s="24" t="n"/>
      <c r="D227" s="25">
        <f>IF(C227="","",IF(COUNTIF(lst_Jobs,C227&amp;"")&gt;0,"OK","CHECK"))</f>
        <v/>
      </c>
      <c r="E227" s="25">
        <f>IF(C227="","",IFERROR(INDEX(lst_JobName,MATCH(C227&amp;"",lst_Jobs,0)),""))</f>
        <v/>
      </c>
      <c r="F227" s="25">
        <f>IF(C227="","",IFERROR(INDEX(tbl_Finance[Client],IFERROR(MATCH(C227&amp;"",tbl_Finance[Job Number],0),MATCH(IFERROR(C227+0,C227),tbl_Finance[Job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6" t="n"/>
      <c r="L227" s="27">
        <f>IF(C227="","",IF(K227="",0,MAX(0,K227-H227)))</f>
        <v/>
      </c>
      <c r="M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N227" s="24" t="n"/>
      <c r="O227" s="24" t="n"/>
      <c r="P227" s="25">
        <f>IF(O227="","",HYPERLINK(IF(LEFT(O227,4)="http",O227,set_QwilrBase&amp;O227),"Open quote"))</f>
        <v/>
      </c>
      <c r="Q227" s="71" t="n"/>
      <c r="R227" s="24" t="n"/>
      <c r="S227" s="24" t="n"/>
    </row>
    <row r="228" ht="15" customHeight="1">
      <c r="A228" s="70">
        <f>IF(C228="","",IFERROR(IF(SUMPRODUCT(MAX((tbl_Finance[Job Number]&amp;""=C228&amp;"")*(tbl_Finance[Xero Invoice No]&lt;&gt;"")*tbl_Finance[Date]))=0,"",SUMPRODUCT(MAX((tbl_Finance[Job Number]&amp;""=C228&amp;"")*(tbl_Finance[Xero Invoice No]&lt;&gt;"")*tbl_Finance[Date]))),""))</f>
        <v/>
      </c>
      <c r="B228" s="25">
        <f>IF(C228="","",IF(COUNTIFS(tbl_Finance[Job Number],C228&amp;"",tbl_Finance[Xero Invoice No],"&lt;&gt;")=0,"",IFERROR(IF(COUNTIFS(tbl_Finance[Job Number],C228&amp;"",tbl_Finance[Xero Invoice No],LOOKUP(2,1/((tbl_Finance[Job Number]&amp;""=C228&amp;"")*(tbl_Finance[Xero Invoice No]&lt;&gt;"")),tbl_Finance[Xero Invoice No]))=COUNTIFS(tbl_Finance[Job Number],C228&amp;"",tbl_Finance[Xero Invoice No],"&lt;&gt;"),LOOKUP(2,1/((tbl_Finance[Job Number]&amp;""=C228&amp;"")*(tbl_Finance[Xero Invoice No]&lt;&gt;"")),tbl_Finance[Xero Invoice No]),LOOKUP(2,1/((tbl_Finance[Job Number]&amp;""=C228&amp;"")*(tbl_Finance[Xero Invoice No]&lt;&gt;"")),tbl_Finance[Xero Invoice No])&amp;" +more"),"")))</f>
        <v/>
      </c>
      <c r="C228" s="24" t="n"/>
      <c r="D228" s="25">
        <f>IF(C228="","",IF(COUNTIF(lst_Jobs,C228&amp;"")&gt;0,"OK","CHECK"))</f>
        <v/>
      </c>
      <c r="E228" s="25">
        <f>IF(C228="","",IFERROR(INDEX(lst_JobName,MATCH(C228&amp;"",lst_Jobs,0)),""))</f>
        <v/>
      </c>
      <c r="F228" s="25">
        <f>IF(C228="","",IFERROR(INDEX(tbl_Finance[Client],IFERROR(MATCH(C228&amp;"",tbl_Finance[Job Number],0),MATCH(IFERROR(C228+0,C228),tbl_Finance[Job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6" t="n"/>
      <c r="L228" s="27">
        <f>IF(C228="","",IF(K228="",0,MAX(0,K228-H228)))</f>
        <v/>
      </c>
      <c r="M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N228" s="24" t="n"/>
      <c r="O228" s="24" t="n"/>
      <c r="P228" s="25">
        <f>IF(O228="","",HYPERLINK(IF(LEFT(O228,4)="http",O228,set_QwilrBase&amp;O228),"Open quote"))</f>
        <v/>
      </c>
      <c r="Q228" s="71" t="n"/>
      <c r="R228" s="24" t="n"/>
      <c r="S228" s="24" t="n"/>
    </row>
    <row r="229" ht="15" customHeight="1">
      <c r="A229" s="70">
        <f>IF(C229="","",IFERROR(IF(SUMPRODUCT(MAX((tbl_Finance[Job Number]&amp;""=C229&amp;"")*(tbl_Finance[Xero Invoice No]&lt;&gt;"")*tbl_Finance[Date]))=0,"",SUMPRODUCT(MAX((tbl_Finance[Job Number]&amp;""=C229&amp;"")*(tbl_Finance[Xero Invoice No]&lt;&gt;"")*tbl_Finance[Date]))),""))</f>
        <v/>
      </c>
      <c r="B229" s="25">
        <f>IF(C229="","",IF(COUNTIFS(tbl_Finance[Job Number],C229&amp;"",tbl_Finance[Xero Invoice No],"&lt;&gt;")=0,"",IFERROR(IF(COUNTIFS(tbl_Finance[Job Number],C229&amp;"",tbl_Finance[Xero Invoice No],LOOKUP(2,1/((tbl_Finance[Job Number]&amp;""=C229&amp;"")*(tbl_Finance[Xero Invoice No]&lt;&gt;"")),tbl_Finance[Xero Invoice No]))=COUNTIFS(tbl_Finance[Job Number],C229&amp;"",tbl_Finance[Xero Invoice No],"&lt;&gt;"),LOOKUP(2,1/((tbl_Finance[Job Number]&amp;""=C229&amp;"")*(tbl_Finance[Xero Invoice No]&lt;&gt;"")),tbl_Finance[Xero Invoice No]),LOOKUP(2,1/((tbl_Finance[Job Number]&amp;""=C229&amp;"")*(tbl_Finance[Xero Invoice No]&lt;&gt;"")),tbl_Finance[Xero Invoice No])&amp;" +more"),"")))</f>
        <v/>
      </c>
      <c r="C229" s="24" t="n"/>
      <c r="D229" s="25">
        <f>IF(C229="","",IF(COUNTIF(lst_Jobs,C229&amp;"")&gt;0,"OK","CHECK"))</f>
        <v/>
      </c>
      <c r="E229" s="25">
        <f>IF(C229="","",IFERROR(INDEX(lst_JobName,MATCH(C229&amp;"",lst_Jobs,0)),""))</f>
        <v/>
      </c>
      <c r="F229" s="25">
        <f>IF(C229="","",IFERROR(INDEX(tbl_Finance[Client],IFERROR(MATCH(C229&amp;"",tbl_Finance[Job Number],0),MATCH(IFERROR(C229+0,C229),tbl_Finance[Job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6" t="n"/>
      <c r="L229" s="27">
        <f>IF(C229="","",IF(K229="",0,MAX(0,K229-H229)))</f>
        <v/>
      </c>
      <c r="M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N229" s="24" t="n"/>
      <c r="O229" s="24" t="n"/>
      <c r="P229" s="25">
        <f>IF(O229="","",HYPERLINK(IF(LEFT(O229,4)="http",O229,set_QwilrBase&amp;O229),"Open quote"))</f>
        <v/>
      </c>
      <c r="Q229" s="71" t="n"/>
      <c r="R229" s="24" t="n"/>
      <c r="S229" s="24" t="n"/>
    </row>
    <row r="230" ht="15" customHeight="1">
      <c r="A230" s="70">
        <f>IF(C230="","",IFERROR(IF(SUMPRODUCT(MAX((tbl_Finance[Job Number]&amp;""=C230&amp;"")*(tbl_Finance[Xero Invoice No]&lt;&gt;"")*tbl_Finance[Date]))=0,"",SUMPRODUCT(MAX((tbl_Finance[Job Number]&amp;""=C230&amp;"")*(tbl_Finance[Xero Invoice No]&lt;&gt;"")*tbl_Finance[Date]))),""))</f>
        <v/>
      </c>
      <c r="B230" s="25">
        <f>IF(C230="","",IF(COUNTIFS(tbl_Finance[Job Number],C230&amp;"",tbl_Finance[Xero Invoice No],"&lt;&gt;")=0,"",IFERROR(IF(COUNTIFS(tbl_Finance[Job Number],C230&amp;"",tbl_Finance[Xero Invoice No],LOOKUP(2,1/((tbl_Finance[Job Number]&amp;""=C230&amp;"")*(tbl_Finance[Xero Invoice No]&lt;&gt;"")),tbl_Finance[Xero Invoice No]))=COUNTIFS(tbl_Finance[Job Number],C230&amp;"",tbl_Finance[Xero Invoice No],"&lt;&gt;"),LOOKUP(2,1/((tbl_Finance[Job Number]&amp;""=C230&amp;"")*(tbl_Finance[Xero Invoice No]&lt;&gt;"")),tbl_Finance[Xero Invoice No]),LOOKUP(2,1/((tbl_Finance[Job Number]&amp;""=C230&amp;"")*(tbl_Finance[Xero Invoice No]&lt;&gt;"")),tbl_Finance[Xero Invoice No])&amp;" +more"),"")))</f>
        <v/>
      </c>
      <c r="C230" s="24" t="n"/>
      <c r="D230" s="25">
        <f>IF(C230="","",IF(COUNTIF(lst_Jobs,C230&amp;"")&gt;0,"OK","CHECK"))</f>
        <v/>
      </c>
      <c r="E230" s="25">
        <f>IF(C230="","",IFERROR(INDEX(lst_JobName,MATCH(C230&amp;"",lst_Jobs,0)),""))</f>
        <v/>
      </c>
      <c r="F230" s="25">
        <f>IF(C230="","",IFERROR(INDEX(tbl_Finance[Client],IFERROR(MATCH(C230&amp;"",tbl_Finance[Job Number],0),MATCH(IFERROR(C230+0,C230),tbl_Finance[Job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6" t="n"/>
      <c r="L230" s="27">
        <f>IF(C230="","",IF(K230="",0,MAX(0,K230-H230)))</f>
        <v/>
      </c>
      <c r="M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N230" s="24" t="n"/>
      <c r="O230" s="24" t="n"/>
      <c r="P230" s="25">
        <f>IF(O230="","",HYPERLINK(IF(LEFT(O230,4)="http",O230,set_QwilrBase&amp;O230),"Open quote"))</f>
        <v/>
      </c>
      <c r="Q230" s="71" t="n"/>
      <c r="R230" s="24" t="n"/>
      <c r="S230" s="24" t="n"/>
    </row>
    <row r="231" ht="15" customHeight="1">
      <c r="A231" s="70">
        <f>IF(C231="","",IFERROR(IF(SUMPRODUCT(MAX((tbl_Finance[Job Number]&amp;""=C231&amp;"")*(tbl_Finance[Xero Invoice No]&lt;&gt;"")*tbl_Finance[Date]))=0,"",SUMPRODUCT(MAX((tbl_Finance[Job Number]&amp;""=C231&amp;"")*(tbl_Finance[Xero Invoice No]&lt;&gt;"")*tbl_Finance[Date]))),""))</f>
        <v/>
      </c>
      <c r="B231" s="25">
        <f>IF(C231="","",IF(COUNTIFS(tbl_Finance[Job Number],C231&amp;"",tbl_Finance[Xero Invoice No],"&lt;&gt;")=0,"",IFERROR(IF(COUNTIFS(tbl_Finance[Job Number],C231&amp;"",tbl_Finance[Xero Invoice No],LOOKUP(2,1/((tbl_Finance[Job Number]&amp;""=C231&amp;"")*(tbl_Finance[Xero Invoice No]&lt;&gt;"")),tbl_Finance[Xero Invoice No]))=COUNTIFS(tbl_Finance[Job Number],C231&amp;"",tbl_Finance[Xero Invoice No],"&lt;&gt;"),LOOKUP(2,1/((tbl_Finance[Job Number]&amp;""=C231&amp;"")*(tbl_Finance[Xero Invoice No]&lt;&gt;"")),tbl_Finance[Xero Invoice No]),LOOKUP(2,1/((tbl_Finance[Job Number]&amp;""=C231&amp;"")*(tbl_Finance[Xero Invoice No]&lt;&gt;"")),tbl_Finance[Xero Invoice No])&amp;" +more"),"")))</f>
        <v/>
      </c>
      <c r="C231" s="24" t="n"/>
      <c r="D231" s="25">
        <f>IF(C231="","",IF(COUNTIF(lst_Jobs,C231&amp;"")&gt;0,"OK","CHECK"))</f>
        <v/>
      </c>
      <c r="E231" s="25">
        <f>IF(C231="","",IFERROR(INDEX(lst_JobName,MATCH(C231&amp;"",lst_Jobs,0)),""))</f>
        <v/>
      </c>
      <c r="F231" s="25">
        <f>IF(C231="","",IFERROR(INDEX(tbl_Finance[Client],IFERROR(MATCH(C231&amp;"",tbl_Finance[Job Number],0),MATCH(IFERROR(C231+0,C231),tbl_Finance[Job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6" t="n"/>
      <c r="L231" s="27">
        <f>IF(C231="","",IF(K231="",0,MAX(0,K231-H231)))</f>
        <v/>
      </c>
      <c r="M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N231" s="24" t="n"/>
      <c r="O231" s="24" t="n"/>
      <c r="P231" s="25">
        <f>IF(O231="","",HYPERLINK(IF(LEFT(O231,4)="http",O231,set_QwilrBase&amp;O231),"Open quote"))</f>
        <v/>
      </c>
      <c r="Q231" s="71" t="n"/>
      <c r="R231" s="24" t="n"/>
      <c r="S231" s="24" t="n"/>
    </row>
    <row r="232" ht="15" customHeight="1">
      <c r="A232" s="70">
        <f>IF(C232="","",IFERROR(IF(SUMPRODUCT(MAX((tbl_Finance[Job Number]&amp;""=C232&amp;"")*(tbl_Finance[Xero Invoice No]&lt;&gt;"")*tbl_Finance[Date]))=0,"",SUMPRODUCT(MAX((tbl_Finance[Job Number]&amp;""=C232&amp;"")*(tbl_Finance[Xero Invoice No]&lt;&gt;"")*tbl_Finance[Date]))),""))</f>
        <v/>
      </c>
      <c r="B232" s="25">
        <f>IF(C232="","",IF(COUNTIFS(tbl_Finance[Job Number],C232&amp;"",tbl_Finance[Xero Invoice No],"&lt;&gt;")=0,"",IFERROR(IF(COUNTIFS(tbl_Finance[Job Number],C232&amp;"",tbl_Finance[Xero Invoice No],LOOKUP(2,1/((tbl_Finance[Job Number]&amp;""=C232&amp;"")*(tbl_Finance[Xero Invoice No]&lt;&gt;"")),tbl_Finance[Xero Invoice No]))=COUNTIFS(tbl_Finance[Job Number],C232&amp;"",tbl_Finance[Xero Invoice No],"&lt;&gt;"),LOOKUP(2,1/((tbl_Finance[Job Number]&amp;""=C232&amp;"")*(tbl_Finance[Xero Invoice No]&lt;&gt;"")),tbl_Finance[Xero Invoice No]),LOOKUP(2,1/((tbl_Finance[Job Number]&amp;""=C232&amp;"")*(tbl_Finance[Xero Invoice No]&lt;&gt;"")),tbl_Finance[Xero Invoice No])&amp;" +more"),"")))</f>
        <v/>
      </c>
      <c r="C232" s="24" t="n"/>
      <c r="D232" s="25">
        <f>IF(C232="","",IF(COUNTIF(lst_Jobs,C232&amp;"")&gt;0,"OK","CHECK"))</f>
        <v/>
      </c>
      <c r="E232" s="25">
        <f>IF(C232="","",IFERROR(INDEX(lst_JobName,MATCH(C232&amp;"",lst_Jobs,0)),""))</f>
        <v/>
      </c>
      <c r="F232" s="25">
        <f>IF(C232="","",IFERROR(INDEX(tbl_Finance[Client],IFERROR(MATCH(C232&amp;"",tbl_Finance[Job Number],0),MATCH(IFERROR(C232+0,C232),tbl_Finance[Job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6" t="n"/>
      <c r="L232" s="27">
        <f>IF(C232="","",IF(K232="",0,MAX(0,K232-H232)))</f>
        <v/>
      </c>
      <c r="M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N232" s="24" t="n"/>
      <c r="O232" s="24" t="n"/>
      <c r="P232" s="25">
        <f>IF(O232="","",HYPERLINK(IF(LEFT(O232,4)="http",O232,set_QwilrBase&amp;O232),"Open quote"))</f>
        <v/>
      </c>
      <c r="Q232" s="71" t="n"/>
      <c r="R232" s="24" t="n"/>
      <c r="S232" s="24" t="n"/>
    </row>
    <row r="233" ht="15" customHeight="1">
      <c r="A233" s="70">
        <f>IF(C233="","",IFERROR(IF(SUMPRODUCT(MAX((tbl_Finance[Job Number]&amp;""=C233&amp;"")*(tbl_Finance[Xero Invoice No]&lt;&gt;"")*tbl_Finance[Date]))=0,"",SUMPRODUCT(MAX((tbl_Finance[Job Number]&amp;""=C233&amp;"")*(tbl_Finance[Xero Invoice No]&lt;&gt;"")*tbl_Finance[Date]))),""))</f>
        <v/>
      </c>
      <c r="B233" s="25">
        <f>IF(C233="","",IF(COUNTIFS(tbl_Finance[Job Number],C233&amp;"",tbl_Finance[Xero Invoice No],"&lt;&gt;")=0,"",IFERROR(IF(COUNTIFS(tbl_Finance[Job Number],C233&amp;"",tbl_Finance[Xero Invoice No],LOOKUP(2,1/((tbl_Finance[Job Number]&amp;""=C233&amp;"")*(tbl_Finance[Xero Invoice No]&lt;&gt;"")),tbl_Finance[Xero Invoice No]))=COUNTIFS(tbl_Finance[Job Number],C233&amp;"",tbl_Finance[Xero Invoice No],"&lt;&gt;"),LOOKUP(2,1/((tbl_Finance[Job Number]&amp;""=C233&amp;"")*(tbl_Finance[Xero Invoice No]&lt;&gt;"")),tbl_Finance[Xero Invoice No]),LOOKUP(2,1/((tbl_Finance[Job Number]&amp;""=C233&amp;"")*(tbl_Finance[Xero Invoice No]&lt;&gt;"")),tbl_Finance[Xero Invoice No])&amp;" +more"),"")))</f>
        <v/>
      </c>
      <c r="C233" s="24" t="n"/>
      <c r="D233" s="25">
        <f>IF(C233="","",IF(COUNTIF(lst_Jobs,C233&amp;"")&gt;0,"OK","CHECK"))</f>
        <v/>
      </c>
      <c r="E233" s="25">
        <f>IF(C233="","",IFERROR(INDEX(lst_JobName,MATCH(C233&amp;"",lst_Jobs,0)),""))</f>
        <v/>
      </c>
      <c r="F233" s="25">
        <f>IF(C233="","",IFERROR(INDEX(tbl_Finance[Client],IFERROR(MATCH(C233&amp;"",tbl_Finance[Job Number],0),MATCH(IFERROR(C233+0,C233),tbl_Finance[Job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6" t="n"/>
      <c r="L233" s="27">
        <f>IF(C233="","",IF(K233="",0,MAX(0,K233-H233)))</f>
        <v/>
      </c>
      <c r="M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N233" s="24" t="n"/>
      <c r="O233" s="24" t="n"/>
      <c r="P233" s="25">
        <f>IF(O233="","",HYPERLINK(IF(LEFT(O233,4)="http",O233,set_QwilrBase&amp;O233),"Open quote"))</f>
        <v/>
      </c>
      <c r="Q233" s="71" t="n"/>
      <c r="R233" s="24" t="n"/>
      <c r="S233" s="24" t="n"/>
    </row>
    <row r="234" ht="15" customHeight="1">
      <c r="A234" s="70">
        <f>IF(C234="","",IFERROR(IF(SUMPRODUCT(MAX((tbl_Finance[Job Number]&amp;""=C234&amp;"")*(tbl_Finance[Xero Invoice No]&lt;&gt;"")*tbl_Finance[Date]))=0,"",SUMPRODUCT(MAX((tbl_Finance[Job Number]&amp;""=C234&amp;"")*(tbl_Finance[Xero Invoice No]&lt;&gt;"")*tbl_Finance[Date]))),""))</f>
        <v/>
      </c>
      <c r="B234" s="25">
        <f>IF(C234="","",IF(COUNTIFS(tbl_Finance[Job Number],C234&amp;"",tbl_Finance[Xero Invoice No],"&lt;&gt;")=0,"",IFERROR(IF(COUNTIFS(tbl_Finance[Job Number],C234&amp;"",tbl_Finance[Xero Invoice No],LOOKUP(2,1/((tbl_Finance[Job Number]&amp;""=C234&amp;"")*(tbl_Finance[Xero Invoice No]&lt;&gt;"")),tbl_Finance[Xero Invoice No]))=COUNTIFS(tbl_Finance[Job Number],C234&amp;"",tbl_Finance[Xero Invoice No],"&lt;&gt;"),LOOKUP(2,1/((tbl_Finance[Job Number]&amp;""=C234&amp;"")*(tbl_Finance[Xero Invoice No]&lt;&gt;"")),tbl_Finance[Xero Invoice No]),LOOKUP(2,1/((tbl_Finance[Job Number]&amp;""=C234&amp;"")*(tbl_Finance[Xero Invoice No]&lt;&gt;"")),tbl_Finance[Xero Invoice No])&amp;" +more"),"")))</f>
        <v/>
      </c>
      <c r="C234" s="24" t="n"/>
      <c r="D234" s="25">
        <f>IF(C234="","",IF(COUNTIF(lst_Jobs,C234&amp;"")&gt;0,"OK","CHECK"))</f>
        <v/>
      </c>
      <c r="E234" s="25">
        <f>IF(C234="","",IFERROR(INDEX(lst_JobName,MATCH(C234&amp;"",lst_Jobs,0)),""))</f>
        <v/>
      </c>
      <c r="F234" s="25">
        <f>IF(C234="","",IFERROR(INDEX(tbl_Finance[Client],IFERROR(MATCH(C234&amp;"",tbl_Finance[Job Number],0),MATCH(IFERROR(C234+0,C234),tbl_Finance[Job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6" t="n"/>
      <c r="L234" s="27">
        <f>IF(C234="","",IF(K234="",0,MAX(0,K234-H234)))</f>
        <v/>
      </c>
      <c r="M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N234" s="24" t="n"/>
      <c r="O234" s="24" t="n"/>
      <c r="P234" s="25">
        <f>IF(O234="","",HYPERLINK(IF(LEFT(O234,4)="http",O234,set_QwilrBase&amp;O234),"Open quote"))</f>
        <v/>
      </c>
      <c r="Q234" s="71" t="n"/>
      <c r="R234" s="24" t="n"/>
      <c r="S234" s="24" t="n"/>
    </row>
    <row r="235" ht="15" customHeight="1">
      <c r="A235" s="70">
        <f>IF(C235="","",IFERROR(IF(SUMPRODUCT(MAX((tbl_Finance[Job Number]&amp;""=C235&amp;"")*(tbl_Finance[Xero Invoice No]&lt;&gt;"")*tbl_Finance[Date]))=0,"",SUMPRODUCT(MAX((tbl_Finance[Job Number]&amp;""=C235&amp;"")*(tbl_Finance[Xero Invoice No]&lt;&gt;"")*tbl_Finance[Date]))),""))</f>
        <v/>
      </c>
      <c r="B235" s="25">
        <f>IF(C235="","",IF(COUNTIFS(tbl_Finance[Job Number],C235&amp;"",tbl_Finance[Xero Invoice No],"&lt;&gt;")=0,"",IFERROR(IF(COUNTIFS(tbl_Finance[Job Number],C235&amp;"",tbl_Finance[Xero Invoice No],LOOKUP(2,1/((tbl_Finance[Job Number]&amp;""=C235&amp;"")*(tbl_Finance[Xero Invoice No]&lt;&gt;"")),tbl_Finance[Xero Invoice No]))=COUNTIFS(tbl_Finance[Job Number],C235&amp;"",tbl_Finance[Xero Invoice No],"&lt;&gt;"),LOOKUP(2,1/((tbl_Finance[Job Number]&amp;""=C235&amp;"")*(tbl_Finance[Xero Invoice No]&lt;&gt;"")),tbl_Finance[Xero Invoice No]),LOOKUP(2,1/((tbl_Finance[Job Number]&amp;""=C235&amp;"")*(tbl_Finance[Xero Invoice No]&lt;&gt;"")),tbl_Finance[Xero Invoice No])&amp;" +more"),"")))</f>
        <v/>
      </c>
      <c r="C235" s="24" t="n"/>
      <c r="D235" s="25">
        <f>IF(C235="","",IF(COUNTIF(lst_Jobs,C235&amp;"")&gt;0,"OK","CHECK"))</f>
        <v/>
      </c>
      <c r="E235" s="25">
        <f>IF(C235="","",IFERROR(INDEX(lst_JobName,MATCH(C235&amp;"",lst_Jobs,0)),""))</f>
        <v/>
      </c>
      <c r="F235" s="25">
        <f>IF(C235="","",IFERROR(INDEX(tbl_Finance[Client],IFERROR(MATCH(C235&amp;"",tbl_Finance[Job Number],0),MATCH(IFERROR(C235+0,C235),tbl_Finance[Job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6" t="n"/>
      <c r="L235" s="27">
        <f>IF(C235="","",IF(K235="",0,MAX(0,K235-H235)))</f>
        <v/>
      </c>
      <c r="M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N235" s="24" t="n"/>
      <c r="O235" s="24" t="n"/>
      <c r="P235" s="25">
        <f>IF(O235="","",HYPERLINK(IF(LEFT(O235,4)="http",O235,set_QwilrBase&amp;O235),"Open quote"))</f>
        <v/>
      </c>
      <c r="Q235" s="71" t="n"/>
      <c r="R235" s="24" t="n"/>
      <c r="S235" s="24" t="n"/>
    </row>
    <row r="236" ht="15" customHeight="1">
      <c r="A236" s="70">
        <f>IF(C236="","",IFERROR(IF(SUMPRODUCT(MAX((tbl_Finance[Job Number]&amp;""=C236&amp;"")*(tbl_Finance[Xero Invoice No]&lt;&gt;"")*tbl_Finance[Date]))=0,"",SUMPRODUCT(MAX((tbl_Finance[Job Number]&amp;""=C236&amp;"")*(tbl_Finance[Xero Invoice No]&lt;&gt;"")*tbl_Finance[Date]))),""))</f>
        <v/>
      </c>
      <c r="B236" s="25">
        <f>IF(C236="","",IF(COUNTIFS(tbl_Finance[Job Number],C236&amp;"",tbl_Finance[Xero Invoice No],"&lt;&gt;")=0,"",IFERROR(IF(COUNTIFS(tbl_Finance[Job Number],C236&amp;"",tbl_Finance[Xero Invoice No],LOOKUP(2,1/((tbl_Finance[Job Number]&amp;""=C236&amp;"")*(tbl_Finance[Xero Invoice No]&lt;&gt;"")),tbl_Finance[Xero Invoice No]))=COUNTIFS(tbl_Finance[Job Number],C236&amp;"",tbl_Finance[Xero Invoice No],"&lt;&gt;"),LOOKUP(2,1/((tbl_Finance[Job Number]&amp;""=C236&amp;"")*(tbl_Finance[Xero Invoice No]&lt;&gt;"")),tbl_Finance[Xero Invoice No]),LOOKUP(2,1/((tbl_Finance[Job Number]&amp;""=C236&amp;"")*(tbl_Finance[Xero Invoice No]&lt;&gt;"")),tbl_Finance[Xero Invoice No])&amp;" +more"),"")))</f>
        <v/>
      </c>
      <c r="C236" s="24" t="n"/>
      <c r="D236" s="25">
        <f>IF(C236="","",IF(COUNTIF(lst_Jobs,C236&amp;"")&gt;0,"OK","CHECK"))</f>
        <v/>
      </c>
      <c r="E236" s="25">
        <f>IF(C236="","",IFERROR(INDEX(lst_JobName,MATCH(C236&amp;"",lst_Jobs,0)),""))</f>
        <v/>
      </c>
      <c r="F236" s="25">
        <f>IF(C236="","",IFERROR(INDEX(tbl_Finance[Client],IFERROR(MATCH(C236&amp;"",tbl_Finance[Job Number],0),MATCH(IFERROR(C236+0,C236),tbl_Finance[Job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6" t="n"/>
      <c r="L236" s="27">
        <f>IF(C236="","",IF(K236="",0,MAX(0,K236-H236)))</f>
        <v/>
      </c>
      <c r="M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N236" s="24" t="n"/>
      <c r="O236" s="24" t="n"/>
      <c r="P236" s="25">
        <f>IF(O236="","",HYPERLINK(IF(LEFT(O236,4)="http",O236,set_QwilrBase&amp;O236),"Open quote"))</f>
        <v/>
      </c>
      <c r="Q236" s="71" t="n"/>
      <c r="R236" s="24" t="n"/>
      <c r="S236" s="24" t="n"/>
    </row>
    <row r="237" ht="15" customHeight="1">
      <c r="A237" s="70">
        <f>IF(C237="","",IFERROR(IF(SUMPRODUCT(MAX((tbl_Finance[Job Number]&amp;""=C237&amp;"")*(tbl_Finance[Xero Invoice No]&lt;&gt;"")*tbl_Finance[Date]))=0,"",SUMPRODUCT(MAX((tbl_Finance[Job Number]&amp;""=C237&amp;"")*(tbl_Finance[Xero Invoice No]&lt;&gt;"")*tbl_Finance[Date]))),""))</f>
        <v/>
      </c>
      <c r="B237" s="25">
        <f>IF(C237="","",IF(COUNTIFS(tbl_Finance[Job Number],C237&amp;"",tbl_Finance[Xero Invoice No],"&lt;&gt;")=0,"",IFERROR(IF(COUNTIFS(tbl_Finance[Job Number],C237&amp;"",tbl_Finance[Xero Invoice No],LOOKUP(2,1/((tbl_Finance[Job Number]&amp;""=C237&amp;"")*(tbl_Finance[Xero Invoice No]&lt;&gt;"")),tbl_Finance[Xero Invoice No]))=COUNTIFS(tbl_Finance[Job Number],C237&amp;"",tbl_Finance[Xero Invoice No],"&lt;&gt;"),LOOKUP(2,1/((tbl_Finance[Job Number]&amp;""=C237&amp;"")*(tbl_Finance[Xero Invoice No]&lt;&gt;"")),tbl_Finance[Xero Invoice No]),LOOKUP(2,1/((tbl_Finance[Job Number]&amp;""=C237&amp;"")*(tbl_Finance[Xero Invoice No]&lt;&gt;"")),tbl_Finance[Xero Invoice No])&amp;" +more"),"")))</f>
        <v/>
      </c>
      <c r="C237" s="24" t="n"/>
      <c r="D237" s="25">
        <f>IF(C237="","",IF(COUNTIF(lst_Jobs,C237&amp;"")&gt;0,"OK","CHECK"))</f>
        <v/>
      </c>
      <c r="E237" s="25">
        <f>IF(C237="","",IFERROR(INDEX(lst_JobName,MATCH(C237&amp;"",lst_Jobs,0)),""))</f>
        <v/>
      </c>
      <c r="F237" s="25">
        <f>IF(C237="","",IFERROR(INDEX(tbl_Finance[Client],IFERROR(MATCH(C237&amp;"",tbl_Finance[Job Number],0),MATCH(IFERROR(C237+0,C237),tbl_Finance[Job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6" t="n"/>
      <c r="L237" s="27">
        <f>IF(C237="","",IF(K237="",0,MAX(0,K237-H237)))</f>
        <v/>
      </c>
      <c r="M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N237" s="24" t="n"/>
      <c r="O237" s="24" t="n"/>
      <c r="P237" s="25">
        <f>IF(O237="","",HYPERLINK(IF(LEFT(O237,4)="http",O237,set_QwilrBase&amp;O237),"Open quote"))</f>
        <v/>
      </c>
      <c r="Q237" s="71" t="n"/>
      <c r="R237" s="24" t="n"/>
      <c r="S237" s="24" t="n"/>
    </row>
    <row r="238" ht="15" customHeight="1">
      <c r="A238" s="70">
        <f>IF(C238="","",IFERROR(IF(SUMPRODUCT(MAX((tbl_Finance[Job Number]&amp;""=C238&amp;"")*(tbl_Finance[Xero Invoice No]&lt;&gt;"")*tbl_Finance[Date]))=0,"",SUMPRODUCT(MAX((tbl_Finance[Job Number]&amp;""=C238&amp;"")*(tbl_Finance[Xero Invoice No]&lt;&gt;"")*tbl_Finance[Date]))),""))</f>
        <v/>
      </c>
      <c r="B238" s="25">
        <f>IF(C238="","",IF(COUNTIFS(tbl_Finance[Job Number],C238&amp;"",tbl_Finance[Xero Invoice No],"&lt;&gt;")=0,"",IFERROR(IF(COUNTIFS(tbl_Finance[Job Number],C238&amp;"",tbl_Finance[Xero Invoice No],LOOKUP(2,1/((tbl_Finance[Job Number]&amp;""=C238&amp;"")*(tbl_Finance[Xero Invoice No]&lt;&gt;"")),tbl_Finance[Xero Invoice No]))=COUNTIFS(tbl_Finance[Job Number],C238&amp;"",tbl_Finance[Xero Invoice No],"&lt;&gt;"),LOOKUP(2,1/((tbl_Finance[Job Number]&amp;""=C238&amp;"")*(tbl_Finance[Xero Invoice No]&lt;&gt;"")),tbl_Finance[Xero Invoice No]),LOOKUP(2,1/((tbl_Finance[Job Number]&amp;""=C238&amp;"")*(tbl_Finance[Xero Invoice No]&lt;&gt;"")),tbl_Finance[Xero Invoice No])&amp;" +more"),"")))</f>
        <v/>
      </c>
      <c r="C238" s="24" t="n"/>
      <c r="D238" s="25">
        <f>IF(C238="","",IF(COUNTIF(lst_Jobs,C238&amp;"")&gt;0,"OK","CHECK"))</f>
        <v/>
      </c>
      <c r="E238" s="25">
        <f>IF(C238="","",IFERROR(INDEX(lst_JobName,MATCH(C238&amp;"",lst_Jobs,0)),""))</f>
        <v/>
      </c>
      <c r="F238" s="25">
        <f>IF(C238="","",IFERROR(INDEX(tbl_Finance[Client],IFERROR(MATCH(C238&amp;"",tbl_Finance[Job Number],0),MATCH(IFERROR(C238+0,C238),tbl_Finance[Job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6" t="n"/>
      <c r="L238" s="27">
        <f>IF(C238="","",IF(K238="",0,MAX(0,K238-H238)))</f>
        <v/>
      </c>
      <c r="M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N238" s="24" t="n"/>
      <c r="O238" s="24" t="n"/>
      <c r="P238" s="25">
        <f>IF(O238="","",HYPERLINK(IF(LEFT(O238,4)="http",O238,set_QwilrBase&amp;O238),"Open quote"))</f>
        <v/>
      </c>
      <c r="Q238" s="71" t="n"/>
      <c r="R238" s="24" t="n"/>
      <c r="S238" s="24" t="n"/>
    </row>
    <row r="239" ht="15" customHeight="1">
      <c r="A239" s="70">
        <f>IF(C239="","",IFERROR(IF(SUMPRODUCT(MAX((tbl_Finance[Job Number]&amp;""=C239&amp;"")*(tbl_Finance[Xero Invoice No]&lt;&gt;"")*tbl_Finance[Date]))=0,"",SUMPRODUCT(MAX((tbl_Finance[Job Number]&amp;""=C239&amp;"")*(tbl_Finance[Xero Invoice No]&lt;&gt;"")*tbl_Finance[Date]))),""))</f>
        <v/>
      </c>
      <c r="B239" s="25">
        <f>IF(C239="","",IF(COUNTIFS(tbl_Finance[Job Number],C239&amp;"",tbl_Finance[Xero Invoice No],"&lt;&gt;")=0,"",IFERROR(IF(COUNTIFS(tbl_Finance[Job Number],C239&amp;"",tbl_Finance[Xero Invoice No],LOOKUP(2,1/((tbl_Finance[Job Number]&amp;""=C239&amp;"")*(tbl_Finance[Xero Invoice No]&lt;&gt;"")),tbl_Finance[Xero Invoice No]))=COUNTIFS(tbl_Finance[Job Number],C239&amp;"",tbl_Finance[Xero Invoice No],"&lt;&gt;"),LOOKUP(2,1/((tbl_Finance[Job Number]&amp;""=C239&amp;"")*(tbl_Finance[Xero Invoice No]&lt;&gt;"")),tbl_Finance[Xero Invoice No]),LOOKUP(2,1/((tbl_Finance[Job Number]&amp;""=C239&amp;"")*(tbl_Finance[Xero Invoice No]&lt;&gt;"")),tbl_Finance[Xero Invoice No])&amp;" +more"),"")))</f>
        <v/>
      </c>
      <c r="C239" s="24" t="n"/>
      <c r="D239" s="25">
        <f>IF(C239="","",IF(COUNTIF(lst_Jobs,C239&amp;"")&gt;0,"OK","CHECK"))</f>
        <v/>
      </c>
      <c r="E239" s="25">
        <f>IF(C239="","",IFERROR(INDEX(lst_JobName,MATCH(C239&amp;"",lst_Jobs,0)),""))</f>
        <v/>
      </c>
      <c r="F239" s="25">
        <f>IF(C239="","",IFERROR(INDEX(tbl_Finance[Client],IFERROR(MATCH(C239&amp;"",tbl_Finance[Job Number],0),MATCH(IFERROR(C239+0,C239),tbl_Finance[Job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6" t="n"/>
      <c r="L239" s="27">
        <f>IF(C239="","",IF(K239="",0,MAX(0,K239-H239)))</f>
        <v/>
      </c>
      <c r="M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N239" s="24" t="n"/>
      <c r="O239" s="24" t="n"/>
      <c r="P239" s="25">
        <f>IF(O239="","",HYPERLINK(IF(LEFT(O239,4)="http",O239,set_QwilrBase&amp;O239),"Open quote"))</f>
        <v/>
      </c>
      <c r="Q239" s="71" t="n"/>
      <c r="R239" s="24" t="n"/>
      <c r="S239" s="24" t="n"/>
    </row>
    <row r="240" ht="15" customHeight="1">
      <c r="A240" s="70">
        <f>IF(C240="","",IFERROR(IF(SUMPRODUCT(MAX((tbl_Finance[Job Number]&amp;""=C240&amp;"")*(tbl_Finance[Xero Invoice No]&lt;&gt;"")*tbl_Finance[Date]))=0,"",SUMPRODUCT(MAX((tbl_Finance[Job Number]&amp;""=C240&amp;"")*(tbl_Finance[Xero Invoice No]&lt;&gt;"")*tbl_Finance[Date]))),""))</f>
        <v/>
      </c>
      <c r="B240" s="25">
        <f>IF(C240="","",IF(COUNTIFS(tbl_Finance[Job Number],C240&amp;"",tbl_Finance[Xero Invoice No],"&lt;&gt;")=0,"",IFERROR(IF(COUNTIFS(tbl_Finance[Job Number],C240&amp;"",tbl_Finance[Xero Invoice No],LOOKUP(2,1/((tbl_Finance[Job Number]&amp;""=C240&amp;"")*(tbl_Finance[Xero Invoice No]&lt;&gt;"")),tbl_Finance[Xero Invoice No]))=COUNTIFS(tbl_Finance[Job Number],C240&amp;"",tbl_Finance[Xero Invoice No],"&lt;&gt;"),LOOKUP(2,1/((tbl_Finance[Job Number]&amp;""=C240&amp;"")*(tbl_Finance[Xero Invoice No]&lt;&gt;"")),tbl_Finance[Xero Invoice No]),LOOKUP(2,1/((tbl_Finance[Job Number]&amp;""=C240&amp;"")*(tbl_Finance[Xero Invoice No]&lt;&gt;"")),tbl_Finance[Xero Invoice No])&amp;" +more"),"")))</f>
        <v/>
      </c>
      <c r="C240" s="24" t="n"/>
      <c r="D240" s="25">
        <f>IF(C240="","",IF(COUNTIF(lst_Jobs,C240&amp;"")&gt;0,"OK","CHECK"))</f>
        <v/>
      </c>
      <c r="E240" s="25">
        <f>IF(C240="","",IFERROR(INDEX(lst_JobName,MATCH(C240&amp;"",lst_Jobs,0)),""))</f>
        <v/>
      </c>
      <c r="F240" s="25">
        <f>IF(C240="","",IFERROR(INDEX(tbl_Finance[Client],IFERROR(MATCH(C240&amp;"",tbl_Finance[Job Number],0),MATCH(IFERROR(C240+0,C240),tbl_Finance[Job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6" t="n"/>
      <c r="L240" s="27">
        <f>IF(C240="","",IF(K240="",0,MAX(0,K240-H240)))</f>
        <v/>
      </c>
      <c r="M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N240" s="24" t="n"/>
      <c r="O240" s="24" t="n"/>
      <c r="P240" s="25">
        <f>IF(O240="","",HYPERLINK(IF(LEFT(O240,4)="http",O240,set_QwilrBase&amp;O240),"Open quote"))</f>
        <v/>
      </c>
      <c r="Q240" s="71" t="n"/>
      <c r="R240" s="24" t="n"/>
      <c r="S240" s="24" t="n"/>
    </row>
    <row r="241" ht="15" customHeight="1">
      <c r="A241" s="70">
        <f>IF(C241="","",IFERROR(IF(SUMPRODUCT(MAX((tbl_Finance[Job Number]&amp;""=C241&amp;"")*(tbl_Finance[Xero Invoice No]&lt;&gt;"")*tbl_Finance[Date]))=0,"",SUMPRODUCT(MAX((tbl_Finance[Job Number]&amp;""=C241&amp;"")*(tbl_Finance[Xero Invoice No]&lt;&gt;"")*tbl_Finance[Date]))),""))</f>
        <v/>
      </c>
      <c r="B241" s="25">
        <f>IF(C241="","",IF(COUNTIFS(tbl_Finance[Job Number],C241&amp;"",tbl_Finance[Xero Invoice No],"&lt;&gt;")=0,"",IFERROR(IF(COUNTIFS(tbl_Finance[Job Number],C241&amp;"",tbl_Finance[Xero Invoice No],LOOKUP(2,1/((tbl_Finance[Job Number]&amp;""=C241&amp;"")*(tbl_Finance[Xero Invoice No]&lt;&gt;"")),tbl_Finance[Xero Invoice No]))=COUNTIFS(tbl_Finance[Job Number],C241&amp;"",tbl_Finance[Xero Invoice No],"&lt;&gt;"),LOOKUP(2,1/((tbl_Finance[Job Number]&amp;""=C241&amp;"")*(tbl_Finance[Xero Invoice No]&lt;&gt;"")),tbl_Finance[Xero Invoice No]),LOOKUP(2,1/((tbl_Finance[Job Number]&amp;""=C241&amp;"")*(tbl_Finance[Xero Invoice No]&lt;&gt;"")),tbl_Finance[Xero Invoice No])&amp;" +more"),"")))</f>
        <v/>
      </c>
      <c r="C241" s="24" t="n"/>
      <c r="D241" s="25">
        <f>IF(C241="","",IF(COUNTIF(lst_Jobs,C241&amp;"")&gt;0,"OK","CHECK"))</f>
        <v/>
      </c>
      <c r="E241" s="25">
        <f>IF(C241="","",IFERROR(INDEX(lst_JobName,MATCH(C241&amp;"",lst_Jobs,0)),""))</f>
        <v/>
      </c>
      <c r="F241" s="25">
        <f>IF(C241="","",IFERROR(INDEX(tbl_Finance[Client],IFERROR(MATCH(C241&amp;"",tbl_Finance[Job Number],0),MATCH(IFERROR(C241+0,C241),tbl_Finance[Job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6" t="n"/>
      <c r="L241" s="27">
        <f>IF(C241="","",IF(K241="",0,MAX(0,K241-H241)))</f>
        <v/>
      </c>
      <c r="M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N241" s="24" t="n"/>
      <c r="O241" s="24" t="n"/>
      <c r="P241" s="25">
        <f>IF(O241="","",HYPERLINK(IF(LEFT(O241,4)="http",O241,set_QwilrBase&amp;O241),"Open quote"))</f>
        <v/>
      </c>
      <c r="Q241" s="71" t="n"/>
      <c r="R241" s="24" t="n"/>
      <c r="S241" s="24" t="n"/>
    </row>
    <row r="242" ht="15" customHeight="1">
      <c r="A242" s="70">
        <f>IF(C242="","",IFERROR(IF(SUMPRODUCT(MAX((tbl_Finance[Job Number]&amp;""=C242&amp;"")*(tbl_Finance[Xero Invoice No]&lt;&gt;"")*tbl_Finance[Date]))=0,"",SUMPRODUCT(MAX((tbl_Finance[Job Number]&amp;""=C242&amp;"")*(tbl_Finance[Xero Invoice No]&lt;&gt;"")*tbl_Finance[Date]))),""))</f>
        <v/>
      </c>
      <c r="B242" s="25">
        <f>IF(C242="","",IF(COUNTIFS(tbl_Finance[Job Number],C242&amp;"",tbl_Finance[Xero Invoice No],"&lt;&gt;")=0,"",IFERROR(IF(COUNTIFS(tbl_Finance[Job Number],C242&amp;"",tbl_Finance[Xero Invoice No],LOOKUP(2,1/((tbl_Finance[Job Number]&amp;""=C242&amp;"")*(tbl_Finance[Xero Invoice No]&lt;&gt;"")),tbl_Finance[Xero Invoice No]))=COUNTIFS(tbl_Finance[Job Number],C242&amp;"",tbl_Finance[Xero Invoice No],"&lt;&gt;"),LOOKUP(2,1/((tbl_Finance[Job Number]&amp;""=C242&amp;"")*(tbl_Finance[Xero Invoice No]&lt;&gt;"")),tbl_Finance[Xero Invoice No]),LOOKUP(2,1/((tbl_Finance[Job Number]&amp;""=C242&amp;"")*(tbl_Finance[Xero Invoice No]&lt;&gt;"")),tbl_Finance[Xero Invoice No])&amp;" +more"),"")))</f>
        <v/>
      </c>
      <c r="C242" s="24" t="n"/>
      <c r="D242" s="25">
        <f>IF(C242="","",IF(COUNTIF(lst_Jobs,C242&amp;"")&gt;0,"OK","CHECK"))</f>
        <v/>
      </c>
      <c r="E242" s="25">
        <f>IF(C242="","",IFERROR(INDEX(lst_JobName,MATCH(C242&amp;"",lst_Jobs,0)),""))</f>
        <v/>
      </c>
      <c r="F242" s="25">
        <f>IF(C242="","",IFERROR(INDEX(tbl_Finance[Client],IFERROR(MATCH(C242&amp;"",tbl_Finance[Job Number],0),MATCH(IFERROR(C242+0,C242),tbl_Finance[Job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6" t="n"/>
      <c r="L242" s="27">
        <f>IF(C242="","",IF(K242="",0,MAX(0,K242-H242)))</f>
        <v/>
      </c>
      <c r="M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N242" s="24" t="n"/>
      <c r="O242" s="24" t="n"/>
      <c r="P242" s="25">
        <f>IF(O242="","",HYPERLINK(IF(LEFT(O242,4)="http",O242,set_QwilrBase&amp;O242),"Open quote"))</f>
        <v/>
      </c>
      <c r="Q242" s="71" t="n"/>
      <c r="R242" s="24" t="n"/>
      <c r="S242" s="24" t="n"/>
    </row>
    <row r="243" ht="15" customHeight="1">
      <c r="A243" s="70">
        <f>IF(C243="","",IFERROR(IF(SUMPRODUCT(MAX((tbl_Finance[Job Number]&amp;""=C243&amp;"")*(tbl_Finance[Xero Invoice No]&lt;&gt;"")*tbl_Finance[Date]))=0,"",SUMPRODUCT(MAX((tbl_Finance[Job Number]&amp;""=C243&amp;"")*(tbl_Finance[Xero Invoice No]&lt;&gt;"")*tbl_Finance[Date]))),""))</f>
        <v/>
      </c>
      <c r="B243" s="25">
        <f>IF(C243="","",IF(COUNTIFS(tbl_Finance[Job Number],C243&amp;"",tbl_Finance[Xero Invoice No],"&lt;&gt;")=0,"",IFERROR(IF(COUNTIFS(tbl_Finance[Job Number],C243&amp;"",tbl_Finance[Xero Invoice No],LOOKUP(2,1/((tbl_Finance[Job Number]&amp;""=C243&amp;"")*(tbl_Finance[Xero Invoice No]&lt;&gt;"")),tbl_Finance[Xero Invoice No]))=COUNTIFS(tbl_Finance[Job Number],C243&amp;"",tbl_Finance[Xero Invoice No],"&lt;&gt;"),LOOKUP(2,1/((tbl_Finance[Job Number]&amp;""=C243&amp;"")*(tbl_Finance[Xero Invoice No]&lt;&gt;"")),tbl_Finance[Xero Invoice No]),LOOKUP(2,1/((tbl_Finance[Job Number]&amp;""=C243&amp;"")*(tbl_Finance[Xero Invoice No]&lt;&gt;"")),tbl_Finance[Xero Invoice No])&amp;" +more"),"")))</f>
        <v/>
      </c>
      <c r="C243" s="24" t="n"/>
      <c r="D243" s="25">
        <f>IF(C243="","",IF(COUNTIF(lst_Jobs,C243&amp;"")&gt;0,"OK","CHECK"))</f>
        <v/>
      </c>
      <c r="E243" s="25">
        <f>IF(C243="","",IFERROR(INDEX(lst_JobName,MATCH(C243&amp;"",lst_Jobs,0)),""))</f>
        <v/>
      </c>
      <c r="F243" s="25">
        <f>IF(C243="","",IFERROR(INDEX(tbl_Finance[Client],IFERROR(MATCH(C243&amp;"",tbl_Finance[Job Number],0),MATCH(IFERROR(C243+0,C243),tbl_Finance[Job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6" t="n"/>
      <c r="L243" s="27">
        <f>IF(C243="","",IF(K243="",0,MAX(0,K243-H243)))</f>
        <v/>
      </c>
      <c r="M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N243" s="24" t="n"/>
      <c r="O243" s="24" t="n"/>
      <c r="P243" s="25">
        <f>IF(O243="","",HYPERLINK(IF(LEFT(O243,4)="http",O243,set_QwilrBase&amp;O243),"Open quote"))</f>
        <v/>
      </c>
      <c r="Q243" s="71" t="n"/>
      <c r="R243" s="24" t="n"/>
      <c r="S243" s="24" t="n"/>
    </row>
    <row r="244" ht="15" customHeight="1">
      <c r="A244" s="70">
        <f>IF(C244="","",IFERROR(IF(SUMPRODUCT(MAX((tbl_Finance[Job Number]&amp;""=C244&amp;"")*(tbl_Finance[Xero Invoice No]&lt;&gt;"")*tbl_Finance[Date]))=0,"",SUMPRODUCT(MAX((tbl_Finance[Job Number]&amp;""=C244&amp;"")*(tbl_Finance[Xero Invoice No]&lt;&gt;"")*tbl_Finance[Date]))),""))</f>
        <v/>
      </c>
      <c r="B244" s="25">
        <f>IF(C244="","",IF(COUNTIFS(tbl_Finance[Job Number],C244&amp;"",tbl_Finance[Xero Invoice No],"&lt;&gt;")=0,"",IFERROR(IF(COUNTIFS(tbl_Finance[Job Number],C244&amp;"",tbl_Finance[Xero Invoice No],LOOKUP(2,1/((tbl_Finance[Job Number]&amp;""=C244&amp;"")*(tbl_Finance[Xero Invoice No]&lt;&gt;"")),tbl_Finance[Xero Invoice No]))=COUNTIFS(tbl_Finance[Job Number],C244&amp;"",tbl_Finance[Xero Invoice No],"&lt;&gt;"),LOOKUP(2,1/((tbl_Finance[Job Number]&amp;""=C244&amp;"")*(tbl_Finance[Xero Invoice No]&lt;&gt;"")),tbl_Finance[Xero Invoice No]),LOOKUP(2,1/((tbl_Finance[Job Number]&amp;""=C244&amp;"")*(tbl_Finance[Xero Invoice No]&lt;&gt;"")),tbl_Finance[Xero Invoice No])&amp;" +more"),"")))</f>
        <v/>
      </c>
      <c r="C244" s="24" t="n"/>
      <c r="D244" s="25">
        <f>IF(C244="","",IF(COUNTIF(lst_Jobs,C244&amp;"")&gt;0,"OK","CHECK"))</f>
        <v/>
      </c>
      <c r="E244" s="25">
        <f>IF(C244="","",IFERROR(INDEX(lst_JobName,MATCH(C244&amp;"",lst_Jobs,0)),""))</f>
        <v/>
      </c>
      <c r="F244" s="25">
        <f>IF(C244="","",IFERROR(INDEX(tbl_Finance[Client],IFERROR(MATCH(C244&amp;"",tbl_Finance[Job Number],0),MATCH(IFERROR(C244+0,C244),tbl_Finance[Job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6" t="n"/>
      <c r="L244" s="27">
        <f>IF(C244="","",IF(K244="",0,MAX(0,K244-H244)))</f>
        <v/>
      </c>
      <c r="M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N244" s="24" t="n"/>
      <c r="O244" s="24" t="n"/>
      <c r="P244" s="25">
        <f>IF(O244="","",HYPERLINK(IF(LEFT(O244,4)="http",O244,set_QwilrBase&amp;O244),"Open quote"))</f>
        <v/>
      </c>
      <c r="Q244" s="71" t="n"/>
      <c r="R244" s="24" t="n"/>
      <c r="S244" s="24" t="n"/>
    </row>
    <row r="245" ht="15" customHeight="1">
      <c r="A245" s="70">
        <f>IF(C245="","",IFERROR(IF(SUMPRODUCT(MAX((tbl_Finance[Job Number]&amp;""=C245&amp;"")*(tbl_Finance[Xero Invoice No]&lt;&gt;"")*tbl_Finance[Date]))=0,"",SUMPRODUCT(MAX((tbl_Finance[Job Number]&amp;""=C245&amp;"")*(tbl_Finance[Xero Invoice No]&lt;&gt;"")*tbl_Finance[Date]))),""))</f>
        <v/>
      </c>
      <c r="B245" s="25">
        <f>IF(C245="","",IF(COUNTIFS(tbl_Finance[Job Number],C245&amp;"",tbl_Finance[Xero Invoice No],"&lt;&gt;")=0,"",IFERROR(IF(COUNTIFS(tbl_Finance[Job Number],C245&amp;"",tbl_Finance[Xero Invoice No],LOOKUP(2,1/((tbl_Finance[Job Number]&amp;""=C245&amp;"")*(tbl_Finance[Xero Invoice No]&lt;&gt;"")),tbl_Finance[Xero Invoice No]))=COUNTIFS(tbl_Finance[Job Number],C245&amp;"",tbl_Finance[Xero Invoice No],"&lt;&gt;"),LOOKUP(2,1/((tbl_Finance[Job Number]&amp;""=C245&amp;"")*(tbl_Finance[Xero Invoice No]&lt;&gt;"")),tbl_Finance[Xero Invoice No]),LOOKUP(2,1/((tbl_Finance[Job Number]&amp;""=C245&amp;"")*(tbl_Finance[Xero Invoice No]&lt;&gt;"")),tbl_Finance[Xero Invoice No])&amp;" +more"),"")))</f>
        <v/>
      </c>
      <c r="C245" s="24" t="n"/>
      <c r="D245" s="25">
        <f>IF(C245="","",IF(COUNTIF(lst_Jobs,C245&amp;"")&gt;0,"OK","CHECK"))</f>
        <v/>
      </c>
      <c r="E245" s="25">
        <f>IF(C245="","",IFERROR(INDEX(lst_JobName,MATCH(C245&amp;"",lst_Jobs,0)),""))</f>
        <v/>
      </c>
      <c r="F245" s="25">
        <f>IF(C245="","",IFERROR(INDEX(tbl_Finance[Client],IFERROR(MATCH(C245&amp;"",tbl_Finance[Job Number],0),MATCH(IFERROR(C245+0,C245),tbl_Finance[Job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6" t="n"/>
      <c r="L245" s="27">
        <f>IF(C245="","",IF(K245="",0,MAX(0,K245-H245)))</f>
        <v/>
      </c>
      <c r="M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N245" s="24" t="n"/>
      <c r="O245" s="24" t="n"/>
      <c r="P245" s="25">
        <f>IF(O245="","",HYPERLINK(IF(LEFT(O245,4)="http",O245,set_QwilrBase&amp;O245),"Open quote"))</f>
        <v/>
      </c>
      <c r="Q245" s="71" t="n"/>
      <c r="R245" s="24" t="n"/>
      <c r="S245" s="24" t="n"/>
    </row>
    <row r="246" ht="15" customHeight="1">
      <c r="A246" s="70">
        <f>IF(C246="","",IFERROR(IF(SUMPRODUCT(MAX((tbl_Finance[Job Number]&amp;""=C246&amp;"")*(tbl_Finance[Xero Invoice No]&lt;&gt;"")*tbl_Finance[Date]))=0,"",SUMPRODUCT(MAX((tbl_Finance[Job Number]&amp;""=C246&amp;"")*(tbl_Finance[Xero Invoice No]&lt;&gt;"")*tbl_Finance[Date]))),""))</f>
        <v/>
      </c>
      <c r="B246" s="25">
        <f>IF(C246="","",IF(COUNTIFS(tbl_Finance[Job Number],C246&amp;"",tbl_Finance[Xero Invoice No],"&lt;&gt;")=0,"",IFERROR(IF(COUNTIFS(tbl_Finance[Job Number],C246&amp;"",tbl_Finance[Xero Invoice No],LOOKUP(2,1/((tbl_Finance[Job Number]&amp;""=C246&amp;"")*(tbl_Finance[Xero Invoice No]&lt;&gt;"")),tbl_Finance[Xero Invoice No]))=COUNTIFS(tbl_Finance[Job Number],C246&amp;"",tbl_Finance[Xero Invoice No],"&lt;&gt;"),LOOKUP(2,1/((tbl_Finance[Job Number]&amp;""=C246&amp;"")*(tbl_Finance[Xero Invoice No]&lt;&gt;"")),tbl_Finance[Xero Invoice No]),LOOKUP(2,1/((tbl_Finance[Job Number]&amp;""=C246&amp;"")*(tbl_Finance[Xero Invoice No]&lt;&gt;"")),tbl_Finance[Xero Invoice No])&amp;" +more"),"")))</f>
        <v/>
      </c>
      <c r="C246" s="24" t="n"/>
      <c r="D246" s="25">
        <f>IF(C246="","",IF(COUNTIF(lst_Jobs,C246&amp;"")&gt;0,"OK","CHECK"))</f>
        <v/>
      </c>
      <c r="E246" s="25">
        <f>IF(C246="","",IFERROR(INDEX(lst_JobName,MATCH(C246&amp;"",lst_Jobs,0)),""))</f>
        <v/>
      </c>
      <c r="F246" s="25">
        <f>IF(C246="","",IFERROR(INDEX(tbl_Finance[Client],IFERROR(MATCH(C246&amp;"",tbl_Finance[Job Number],0),MATCH(IFERROR(C246+0,C246),tbl_Finance[Job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6" t="n"/>
      <c r="L246" s="27">
        <f>IF(C246="","",IF(K246="",0,MAX(0,K246-H246)))</f>
        <v/>
      </c>
      <c r="M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N246" s="24" t="n"/>
      <c r="O246" s="24" t="n"/>
      <c r="P246" s="25">
        <f>IF(O246="","",HYPERLINK(IF(LEFT(O246,4)="http",O246,set_QwilrBase&amp;O246),"Open quote"))</f>
        <v/>
      </c>
      <c r="Q246" s="71" t="n"/>
      <c r="R246" s="24" t="n"/>
      <c r="S246" s="24" t="n"/>
    </row>
    <row r="247" ht="15" customHeight="1">
      <c r="A247" s="70">
        <f>IF(C247="","",IFERROR(IF(SUMPRODUCT(MAX((tbl_Finance[Job Number]&amp;""=C247&amp;"")*(tbl_Finance[Xero Invoice No]&lt;&gt;"")*tbl_Finance[Date]))=0,"",SUMPRODUCT(MAX((tbl_Finance[Job Number]&amp;""=C247&amp;"")*(tbl_Finance[Xero Invoice No]&lt;&gt;"")*tbl_Finance[Date]))),""))</f>
        <v/>
      </c>
      <c r="B247" s="25">
        <f>IF(C247="","",IF(COUNTIFS(tbl_Finance[Job Number],C247&amp;"",tbl_Finance[Xero Invoice No],"&lt;&gt;")=0,"",IFERROR(IF(COUNTIFS(tbl_Finance[Job Number],C247&amp;"",tbl_Finance[Xero Invoice No],LOOKUP(2,1/((tbl_Finance[Job Number]&amp;""=C247&amp;"")*(tbl_Finance[Xero Invoice No]&lt;&gt;"")),tbl_Finance[Xero Invoice No]))=COUNTIFS(tbl_Finance[Job Number],C247&amp;"",tbl_Finance[Xero Invoice No],"&lt;&gt;"),LOOKUP(2,1/((tbl_Finance[Job Number]&amp;""=C247&amp;"")*(tbl_Finance[Xero Invoice No]&lt;&gt;"")),tbl_Finance[Xero Invoice No]),LOOKUP(2,1/((tbl_Finance[Job Number]&amp;""=C247&amp;"")*(tbl_Finance[Xero Invoice No]&lt;&gt;"")),tbl_Finance[Xero Invoice No])&amp;" +more"),"")))</f>
        <v/>
      </c>
      <c r="C247" s="24" t="n"/>
      <c r="D247" s="25">
        <f>IF(C247="","",IF(COUNTIF(lst_Jobs,C247&amp;"")&gt;0,"OK","CHECK"))</f>
        <v/>
      </c>
      <c r="E247" s="25">
        <f>IF(C247="","",IFERROR(INDEX(lst_JobName,MATCH(C247&amp;"",lst_Jobs,0)),""))</f>
        <v/>
      </c>
      <c r="F247" s="25">
        <f>IF(C247="","",IFERROR(INDEX(tbl_Finance[Client],IFERROR(MATCH(C247&amp;"",tbl_Finance[Job Number],0),MATCH(IFERROR(C247+0,C247),tbl_Finance[Job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6" t="n"/>
      <c r="L247" s="27">
        <f>IF(C247="","",IF(K247="",0,MAX(0,K247-H247)))</f>
        <v/>
      </c>
      <c r="M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N247" s="24" t="n"/>
      <c r="O247" s="24" t="n"/>
      <c r="P247" s="25">
        <f>IF(O247="","",HYPERLINK(IF(LEFT(O247,4)="http",O247,set_QwilrBase&amp;O247),"Open quote"))</f>
        <v/>
      </c>
      <c r="Q247" s="71" t="n"/>
      <c r="R247" s="24" t="n"/>
      <c r="S247" s="24" t="n"/>
    </row>
    <row r="248" ht="15" customHeight="1">
      <c r="A248" s="70">
        <f>IF(C248="","",IFERROR(IF(SUMPRODUCT(MAX((tbl_Finance[Job Number]&amp;""=C248&amp;"")*(tbl_Finance[Xero Invoice No]&lt;&gt;"")*tbl_Finance[Date]))=0,"",SUMPRODUCT(MAX((tbl_Finance[Job Number]&amp;""=C248&amp;"")*(tbl_Finance[Xero Invoice No]&lt;&gt;"")*tbl_Finance[Date]))),""))</f>
        <v/>
      </c>
      <c r="B248" s="25">
        <f>IF(C248="","",IF(COUNTIFS(tbl_Finance[Job Number],C248&amp;"",tbl_Finance[Xero Invoice No],"&lt;&gt;")=0,"",IFERROR(IF(COUNTIFS(tbl_Finance[Job Number],C248&amp;"",tbl_Finance[Xero Invoice No],LOOKUP(2,1/((tbl_Finance[Job Number]&amp;""=C248&amp;"")*(tbl_Finance[Xero Invoice No]&lt;&gt;"")),tbl_Finance[Xero Invoice No]))=COUNTIFS(tbl_Finance[Job Number],C248&amp;"",tbl_Finance[Xero Invoice No],"&lt;&gt;"),LOOKUP(2,1/((tbl_Finance[Job Number]&amp;""=C248&amp;"")*(tbl_Finance[Xero Invoice No]&lt;&gt;"")),tbl_Finance[Xero Invoice No]),LOOKUP(2,1/((tbl_Finance[Job Number]&amp;""=C248&amp;"")*(tbl_Finance[Xero Invoice No]&lt;&gt;"")),tbl_Finance[Xero Invoice No])&amp;" +more"),"")))</f>
        <v/>
      </c>
      <c r="C248" s="24" t="n"/>
      <c r="D248" s="25">
        <f>IF(C248="","",IF(COUNTIF(lst_Jobs,C248&amp;"")&gt;0,"OK","CHECK"))</f>
        <v/>
      </c>
      <c r="E248" s="25">
        <f>IF(C248="","",IFERROR(INDEX(lst_JobName,MATCH(C248&amp;"",lst_Jobs,0)),""))</f>
        <v/>
      </c>
      <c r="F248" s="25">
        <f>IF(C248="","",IFERROR(INDEX(tbl_Finance[Client],IFERROR(MATCH(C248&amp;"",tbl_Finance[Job Number],0),MATCH(IFERROR(C248+0,C248),tbl_Finance[Job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6" t="n"/>
      <c r="L248" s="27">
        <f>IF(C248="","",IF(K248="",0,MAX(0,K248-H248)))</f>
        <v/>
      </c>
      <c r="M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N248" s="24" t="n"/>
      <c r="O248" s="24" t="n"/>
      <c r="P248" s="25">
        <f>IF(O248="","",HYPERLINK(IF(LEFT(O248,4)="http",O248,set_QwilrBase&amp;O248),"Open quote"))</f>
        <v/>
      </c>
      <c r="Q248" s="71" t="n"/>
      <c r="R248" s="24" t="n"/>
      <c r="S248" s="24" t="n"/>
    </row>
    <row r="249" ht="15" customHeight="1">
      <c r="A249" s="70">
        <f>IF(C249="","",IFERROR(IF(SUMPRODUCT(MAX((tbl_Finance[Job Number]&amp;""=C249&amp;"")*(tbl_Finance[Xero Invoice No]&lt;&gt;"")*tbl_Finance[Date]))=0,"",SUMPRODUCT(MAX((tbl_Finance[Job Number]&amp;""=C249&amp;"")*(tbl_Finance[Xero Invoice No]&lt;&gt;"")*tbl_Finance[Date]))),""))</f>
        <v/>
      </c>
      <c r="B249" s="25">
        <f>IF(C249="","",IF(COUNTIFS(tbl_Finance[Job Number],C249&amp;"",tbl_Finance[Xero Invoice No],"&lt;&gt;")=0,"",IFERROR(IF(COUNTIFS(tbl_Finance[Job Number],C249&amp;"",tbl_Finance[Xero Invoice No],LOOKUP(2,1/((tbl_Finance[Job Number]&amp;""=C249&amp;"")*(tbl_Finance[Xero Invoice No]&lt;&gt;"")),tbl_Finance[Xero Invoice No]))=COUNTIFS(tbl_Finance[Job Number],C249&amp;"",tbl_Finance[Xero Invoice No],"&lt;&gt;"),LOOKUP(2,1/((tbl_Finance[Job Number]&amp;""=C249&amp;"")*(tbl_Finance[Xero Invoice No]&lt;&gt;"")),tbl_Finance[Xero Invoice No]),LOOKUP(2,1/((tbl_Finance[Job Number]&amp;""=C249&amp;"")*(tbl_Finance[Xero Invoice No]&lt;&gt;"")),tbl_Finance[Xero Invoice No])&amp;" +more"),"")))</f>
        <v/>
      </c>
      <c r="C249" s="24" t="n"/>
      <c r="D249" s="25">
        <f>IF(C249="","",IF(COUNTIF(lst_Jobs,C249&amp;"")&gt;0,"OK","CHECK"))</f>
        <v/>
      </c>
      <c r="E249" s="25">
        <f>IF(C249="","",IFERROR(INDEX(lst_JobName,MATCH(C249&amp;"",lst_Jobs,0)),""))</f>
        <v/>
      </c>
      <c r="F249" s="25">
        <f>IF(C249="","",IFERROR(INDEX(tbl_Finance[Client],IFERROR(MATCH(C249&amp;"",tbl_Finance[Job Number],0),MATCH(IFERROR(C249+0,C249),tbl_Finance[Job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6" t="n"/>
      <c r="L249" s="27">
        <f>IF(C249="","",IF(K249="",0,MAX(0,K249-H249)))</f>
        <v/>
      </c>
      <c r="M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N249" s="24" t="n"/>
      <c r="O249" s="24" t="n"/>
      <c r="P249" s="25">
        <f>IF(O249="","",HYPERLINK(IF(LEFT(O249,4)="http",O249,set_QwilrBase&amp;O249),"Open quote"))</f>
        <v/>
      </c>
      <c r="Q249" s="71" t="n"/>
      <c r="R249" s="24" t="n"/>
      <c r="S249" s="24" t="n"/>
    </row>
    <row r="250" ht="15" customHeight="1">
      <c r="A250" s="70">
        <f>IF(C250="","",IFERROR(IF(SUMPRODUCT(MAX((tbl_Finance[Job Number]&amp;""=C250&amp;"")*(tbl_Finance[Xero Invoice No]&lt;&gt;"")*tbl_Finance[Date]))=0,"",SUMPRODUCT(MAX((tbl_Finance[Job Number]&amp;""=C250&amp;"")*(tbl_Finance[Xero Invoice No]&lt;&gt;"")*tbl_Finance[Date]))),""))</f>
        <v/>
      </c>
      <c r="B250" s="25">
        <f>IF(C250="","",IF(COUNTIFS(tbl_Finance[Job Number],C250&amp;"",tbl_Finance[Xero Invoice No],"&lt;&gt;")=0,"",IFERROR(IF(COUNTIFS(tbl_Finance[Job Number],C250&amp;"",tbl_Finance[Xero Invoice No],LOOKUP(2,1/((tbl_Finance[Job Number]&amp;""=C250&amp;"")*(tbl_Finance[Xero Invoice No]&lt;&gt;"")),tbl_Finance[Xero Invoice No]))=COUNTIFS(tbl_Finance[Job Number],C250&amp;"",tbl_Finance[Xero Invoice No],"&lt;&gt;"),LOOKUP(2,1/((tbl_Finance[Job Number]&amp;""=C250&amp;"")*(tbl_Finance[Xero Invoice No]&lt;&gt;"")),tbl_Finance[Xero Invoice No]),LOOKUP(2,1/((tbl_Finance[Job Number]&amp;""=C250&amp;"")*(tbl_Finance[Xero Invoice No]&lt;&gt;"")),tbl_Finance[Xero Invoice No])&amp;" +more"),"")))</f>
        <v/>
      </c>
      <c r="C250" s="24" t="n"/>
      <c r="D250" s="25">
        <f>IF(C250="","",IF(COUNTIF(lst_Jobs,C250&amp;"")&gt;0,"OK","CHECK"))</f>
        <v/>
      </c>
      <c r="E250" s="25">
        <f>IF(C250="","",IFERROR(INDEX(lst_JobName,MATCH(C250&amp;"",lst_Jobs,0)),""))</f>
        <v/>
      </c>
      <c r="F250" s="25">
        <f>IF(C250="","",IFERROR(INDEX(tbl_Finance[Client],IFERROR(MATCH(C250&amp;"",tbl_Finance[Job Number],0),MATCH(IFERROR(C250+0,C250),tbl_Finance[Job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6" t="n"/>
      <c r="L250" s="27">
        <f>IF(C250="","",IF(K250="",0,MAX(0,K250-H250)))</f>
        <v/>
      </c>
      <c r="M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N250" s="24" t="n"/>
      <c r="O250" s="24" t="n"/>
      <c r="P250" s="25">
        <f>IF(O250="","",HYPERLINK(IF(LEFT(O250,4)="http",O250,set_QwilrBase&amp;O250),"Open quote"))</f>
        <v/>
      </c>
      <c r="Q250" s="71" t="n"/>
      <c r="R250" s="24" t="n"/>
      <c r="S250" s="24" t="n"/>
    </row>
    <row r="251" ht="15" customHeight="1">
      <c r="A251" s="70">
        <f>IF(C251="","",IFERROR(IF(SUMPRODUCT(MAX((tbl_Finance[Job Number]&amp;""=C251&amp;"")*(tbl_Finance[Xero Invoice No]&lt;&gt;"")*tbl_Finance[Date]))=0,"",SUMPRODUCT(MAX((tbl_Finance[Job Number]&amp;""=C251&amp;"")*(tbl_Finance[Xero Invoice No]&lt;&gt;"")*tbl_Finance[Date]))),""))</f>
        <v/>
      </c>
      <c r="B251" s="25">
        <f>IF(C251="","",IF(COUNTIFS(tbl_Finance[Job Number],C251&amp;"",tbl_Finance[Xero Invoice No],"&lt;&gt;")=0,"",IFERROR(IF(COUNTIFS(tbl_Finance[Job Number],C251&amp;"",tbl_Finance[Xero Invoice No],LOOKUP(2,1/((tbl_Finance[Job Number]&amp;""=C251&amp;"")*(tbl_Finance[Xero Invoice No]&lt;&gt;"")),tbl_Finance[Xero Invoice No]))=COUNTIFS(tbl_Finance[Job Number],C251&amp;"",tbl_Finance[Xero Invoice No],"&lt;&gt;"),LOOKUP(2,1/((tbl_Finance[Job Number]&amp;""=C251&amp;"")*(tbl_Finance[Xero Invoice No]&lt;&gt;"")),tbl_Finance[Xero Invoice No]),LOOKUP(2,1/((tbl_Finance[Job Number]&amp;""=C251&amp;"")*(tbl_Finance[Xero Invoice No]&lt;&gt;"")),tbl_Finance[Xero Invoice No])&amp;" +more"),"")))</f>
        <v/>
      </c>
      <c r="C251" s="24" t="n"/>
      <c r="D251" s="25">
        <f>IF(C251="","",IF(COUNTIF(lst_Jobs,C251&amp;"")&gt;0,"OK","CHECK"))</f>
        <v/>
      </c>
      <c r="E251" s="25">
        <f>IF(C251="","",IFERROR(INDEX(lst_JobName,MATCH(C251&amp;"",lst_Jobs,0)),""))</f>
        <v/>
      </c>
      <c r="F251" s="25">
        <f>IF(C251="","",IFERROR(INDEX(tbl_Finance[Client],IFERROR(MATCH(C251&amp;"",tbl_Finance[Job Number],0),MATCH(IFERROR(C251+0,C251),tbl_Finance[Job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6" t="n"/>
      <c r="L251" s="27">
        <f>IF(C251="","",IF(K251="",0,MAX(0,K251-H251)))</f>
        <v/>
      </c>
      <c r="M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N251" s="24" t="n"/>
      <c r="O251" s="24" t="n"/>
      <c r="P251" s="25">
        <f>IF(O251="","",HYPERLINK(IF(LEFT(O251,4)="http",O251,set_QwilrBase&amp;O251),"Open quote"))</f>
        <v/>
      </c>
      <c r="Q251" s="71" t="n"/>
      <c r="R251" s="24" t="n"/>
      <c r="S251" s="24" t="n"/>
    </row>
    <row r="252" ht="15" customHeight="1">
      <c r="A252" s="70">
        <f>IF(C252="","",IFERROR(IF(SUMPRODUCT(MAX((tbl_Finance[Job Number]&amp;""=C252&amp;"")*(tbl_Finance[Xero Invoice No]&lt;&gt;"")*tbl_Finance[Date]))=0,"",SUMPRODUCT(MAX((tbl_Finance[Job Number]&amp;""=C252&amp;"")*(tbl_Finance[Xero Invoice No]&lt;&gt;"")*tbl_Finance[Date]))),""))</f>
        <v/>
      </c>
      <c r="B252" s="25">
        <f>IF(C252="","",IF(COUNTIFS(tbl_Finance[Job Number],C252&amp;"",tbl_Finance[Xero Invoice No],"&lt;&gt;")=0,"",IFERROR(IF(COUNTIFS(tbl_Finance[Job Number],C252&amp;"",tbl_Finance[Xero Invoice No],LOOKUP(2,1/((tbl_Finance[Job Number]&amp;""=C252&amp;"")*(tbl_Finance[Xero Invoice No]&lt;&gt;"")),tbl_Finance[Xero Invoice No]))=COUNTIFS(tbl_Finance[Job Number],C252&amp;"",tbl_Finance[Xero Invoice No],"&lt;&gt;"),LOOKUP(2,1/((tbl_Finance[Job Number]&amp;""=C252&amp;"")*(tbl_Finance[Xero Invoice No]&lt;&gt;"")),tbl_Finance[Xero Invoice No]),LOOKUP(2,1/((tbl_Finance[Job Number]&amp;""=C252&amp;"")*(tbl_Finance[Xero Invoice No]&lt;&gt;"")),tbl_Finance[Xero Invoice No])&amp;" +more"),"")))</f>
        <v/>
      </c>
      <c r="C252" s="24" t="n"/>
      <c r="D252" s="25">
        <f>IF(C252="","",IF(COUNTIF(lst_Jobs,C252&amp;"")&gt;0,"OK","CHECK"))</f>
        <v/>
      </c>
      <c r="E252" s="25">
        <f>IF(C252="","",IFERROR(INDEX(lst_JobName,MATCH(C252&amp;"",lst_Jobs,0)),""))</f>
        <v/>
      </c>
      <c r="F252" s="25">
        <f>IF(C252="","",IFERROR(INDEX(tbl_Finance[Client],IFERROR(MATCH(C252&amp;"",tbl_Finance[Job Number],0),MATCH(IFERROR(C252+0,C252),tbl_Finance[Job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6" t="n"/>
      <c r="L252" s="27">
        <f>IF(C252="","",IF(K252="",0,MAX(0,K252-H252)))</f>
        <v/>
      </c>
      <c r="M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N252" s="24" t="n"/>
      <c r="O252" s="24" t="n"/>
      <c r="P252" s="25">
        <f>IF(O252="","",HYPERLINK(IF(LEFT(O252,4)="http",O252,set_QwilrBase&amp;O252),"Open quote"))</f>
        <v/>
      </c>
      <c r="Q252" s="71" t="n"/>
      <c r="R252" s="24" t="n"/>
      <c r="S252" s="24" t="n"/>
    </row>
    <row r="253" ht="15" customHeight="1">
      <c r="A253" s="70">
        <f>IF(C253="","",IFERROR(IF(SUMPRODUCT(MAX((tbl_Finance[Job Number]&amp;""=C253&amp;"")*(tbl_Finance[Xero Invoice No]&lt;&gt;"")*tbl_Finance[Date]))=0,"",SUMPRODUCT(MAX((tbl_Finance[Job Number]&amp;""=C253&amp;"")*(tbl_Finance[Xero Invoice No]&lt;&gt;"")*tbl_Finance[Date]))),""))</f>
        <v/>
      </c>
      <c r="B253" s="25">
        <f>IF(C253="","",IF(COUNTIFS(tbl_Finance[Job Number],C253&amp;"",tbl_Finance[Xero Invoice No],"&lt;&gt;")=0,"",IFERROR(IF(COUNTIFS(tbl_Finance[Job Number],C253&amp;"",tbl_Finance[Xero Invoice No],LOOKUP(2,1/((tbl_Finance[Job Number]&amp;""=C253&amp;"")*(tbl_Finance[Xero Invoice No]&lt;&gt;"")),tbl_Finance[Xero Invoice No]))=COUNTIFS(tbl_Finance[Job Number],C253&amp;"",tbl_Finance[Xero Invoice No],"&lt;&gt;"),LOOKUP(2,1/((tbl_Finance[Job Number]&amp;""=C253&amp;"")*(tbl_Finance[Xero Invoice No]&lt;&gt;"")),tbl_Finance[Xero Invoice No]),LOOKUP(2,1/((tbl_Finance[Job Number]&amp;""=C253&amp;"")*(tbl_Finance[Xero Invoice No]&lt;&gt;"")),tbl_Finance[Xero Invoice No])&amp;" +more"),"")))</f>
        <v/>
      </c>
      <c r="C253" s="24" t="n"/>
      <c r="D253" s="25">
        <f>IF(C253="","",IF(COUNTIF(lst_Jobs,C253&amp;"")&gt;0,"OK","CHECK"))</f>
        <v/>
      </c>
      <c r="E253" s="25">
        <f>IF(C253="","",IFERROR(INDEX(lst_JobName,MATCH(C253&amp;"",lst_Jobs,0)),""))</f>
        <v/>
      </c>
      <c r="F253" s="25">
        <f>IF(C253="","",IFERROR(INDEX(tbl_Finance[Client],IFERROR(MATCH(C253&amp;"",tbl_Finance[Job Number],0),MATCH(IFERROR(C253+0,C253),tbl_Finance[Job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6" t="n"/>
      <c r="L253" s="27">
        <f>IF(C253="","",IF(K253="",0,MAX(0,K253-H253)))</f>
        <v/>
      </c>
      <c r="M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N253" s="24" t="n"/>
      <c r="O253" s="24" t="n"/>
      <c r="P253" s="25">
        <f>IF(O253="","",HYPERLINK(IF(LEFT(O253,4)="http",O253,set_QwilrBase&amp;O253),"Open quote"))</f>
        <v/>
      </c>
      <c r="Q253" s="71" t="n"/>
      <c r="R253" s="24" t="n"/>
      <c r="S253" s="24" t="n"/>
    </row>
    <row r="254" ht="15" customHeight="1">
      <c r="A254" s="70">
        <f>IF(C254="","",IFERROR(IF(SUMPRODUCT(MAX((tbl_Finance[Job Number]&amp;""=C254&amp;"")*(tbl_Finance[Xero Invoice No]&lt;&gt;"")*tbl_Finance[Date]))=0,"",SUMPRODUCT(MAX((tbl_Finance[Job Number]&amp;""=C254&amp;"")*(tbl_Finance[Xero Invoice No]&lt;&gt;"")*tbl_Finance[Date]))),""))</f>
        <v/>
      </c>
      <c r="B254" s="25">
        <f>IF(C254="","",IF(COUNTIFS(tbl_Finance[Job Number],C254&amp;"",tbl_Finance[Xero Invoice No],"&lt;&gt;")=0,"",IFERROR(IF(COUNTIFS(tbl_Finance[Job Number],C254&amp;"",tbl_Finance[Xero Invoice No],LOOKUP(2,1/((tbl_Finance[Job Number]&amp;""=C254&amp;"")*(tbl_Finance[Xero Invoice No]&lt;&gt;"")),tbl_Finance[Xero Invoice No]))=COUNTIFS(tbl_Finance[Job Number],C254&amp;"",tbl_Finance[Xero Invoice No],"&lt;&gt;"),LOOKUP(2,1/((tbl_Finance[Job Number]&amp;""=C254&amp;"")*(tbl_Finance[Xero Invoice No]&lt;&gt;"")),tbl_Finance[Xero Invoice No]),LOOKUP(2,1/((tbl_Finance[Job Number]&amp;""=C254&amp;"")*(tbl_Finance[Xero Invoice No]&lt;&gt;"")),tbl_Finance[Xero Invoice No])&amp;" +more"),"")))</f>
        <v/>
      </c>
      <c r="C254" s="24" t="n"/>
      <c r="D254" s="25">
        <f>IF(C254="","",IF(COUNTIF(lst_Jobs,C254&amp;"")&gt;0,"OK","CHECK"))</f>
        <v/>
      </c>
      <c r="E254" s="25">
        <f>IF(C254="","",IFERROR(INDEX(lst_JobName,MATCH(C254&amp;"",lst_Jobs,0)),""))</f>
        <v/>
      </c>
      <c r="F254" s="25">
        <f>IF(C254="","",IFERROR(INDEX(tbl_Finance[Client],IFERROR(MATCH(C254&amp;"",tbl_Finance[Job Number],0),MATCH(IFERROR(C254+0,C254),tbl_Finance[Job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6" t="n"/>
      <c r="L254" s="27">
        <f>IF(C254="","",IF(K254="",0,MAX(0,K254-H254)))</f>
        <v/>
      </c>
      <c r="M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N254" s="24" t="n"/>
      <c r="O254" s="24" t="n"/>
      <c r="P254" s="25">
        <f>IF(O254="","",HYPERLINK(IF(LEFT(O254,4)="http",O254,set_QwilrBase&amp;O254),"Open quote"))</f>
        <v/>
      </c>
      <c r="Q254" s="71" t="n"/>
      <c r="R254" s="24" t="n"/>
      <c r="S254" s="24" t="n"/>
    </row>
    <row r="255" ht="15" customHeight="1">
      <c r="A255" s="70">
        <f>IF(C255="","",IFERROR(IF(SUMPRODUCT(MAX((tbl_Finance[Job Number]&amp;""=C255&amp;"")*(tbl_Finance[Xero Invoice No]&lt;&gt;"")*tbl_Finance[Date]))=0,"",SUMPRODUCT(MAX((tbl_Finance[Job Number]&amp;""=C255&amp;"")*(tbl_Finance[Xero Invoice No]&lt;&gt;"")*tbl_Finance[Date]))),""))</f>
        <v/>
      </c>
      <c r="B255" s="25">
        <f>IF(C255="","",IF(COUNTIFS(tbl_Finance[Job Number],C255&amp;"",tbl_Finance[Xero Invoice No],"&lt;&gt;")=0,"",IFERROR(IF(COUNTIFS(tbl_Finance[Job Number],C255&amp;"",tbl_Finance[Xero Invoice No],LOOKUP(2,1/((tbl_Finance[Job Number]&amp;""=C255&amp;"")*(tbl_Finance[Xero Invoice No]&lt;&gt;"")),tbl_Finance[Xero Invoice No]))=COUNTIFS(tbl_Finance[Job Number],C255&amp;"",tbl_Finance[Xero Invoice No],"&lt;&gt;"),LOOKUP(2,1/((tbl_Finance[Job Number]&amp;""=C255&amp;"")*(tbl_Finance[Xero Invoice No]&lt;&gt;"")),tbl_Finance[Xero Invoice No]),LOOKUP(2,1/((tbl_Finance[Job Number]&amp;""=C255&amp;"")*(tbl_Finance[Xero Invoice No]&lt;&gt;"")),tbl_Finance[Xero Invoice No])&amp;" +more"),"")))</f>
        <v/>
      </c>
      <c r="C255" s="24" t="n"/>
      <c r="D255" s="25">
        <f>IF(C255="","",IF(COUNTIF(lst_Jobs,C255&amp;"")&gt;0,"OK","CHECK"))</f>
        <v/>
      </c>
      <c r="E255" s="25">
        <f>IF(C255="","",IFERROR(INDEX(lst_JobName,MATCH(C255&amp;"",lst_Jobs,0)),""))</f>
        <v/>
      </c>
      <c r="F255" s="25">
        <f>IF(C255="","",IFERROR(INDEX(tbl_Finance[Client],IFERROR(MATCH(C255&amp;"",tbl_Finance[Job Number],0),MATCH(IFERROR(C255+0,C255),tbl_Finance[Job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6" t="n"/>
      <c r="L255" s="27">
        <f>IF(C255="","",IF(K255="",0,MAX(0,K255-H255)))</f>
        <v/>
      </c>
      <c r="M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N255" s="24" t="n"/>
      <c r="O255" s="24" t="n"/>
      <c r="P255" s="25">
        <f>IF(O255="","",HYPERLINK(IF(LEFT(O255,4)="http",O255,set_QwilrBase&amp;O255),"Open quote"))</f>
        <v/>
      </c>
      <c r="Q255" s="71" t="n"/>
      <c r="R255" s="24" t="n"/>
      <c r="S255" s="24" t="n"/>
    </row>
    <row r="256" ht="15" customHeight="1">
      <c r="A256" s="70">
        <f>IF(C256="","",IFERROR(IF(SUMPRODUCT(MAX((tbl_Finance[Job Number]&amp;""=C256&amp;"")*(tbl_Finance[Xero Invoice No]&lt;&gt;"")*tbl_Finance[Date]))=0,"",SUMPRODUCT(MAX((tbl_Finance[Job Number]&amp;""=C256&amp;"")*(tbl_Finance[Xero Invoice No]&lt;&gt;"")*tbl_Finance[Date]))),""))</f>
        <v/>
      </c>
      <c r="B256" s="25">
        <f>IF(C256="","",IF(COUNTIFS(tbl_Finance[Job Number],C256&amp;"",tbl_Finance[Xero Invoice No],"&lt;&gt;")=0,"",IFERROR(IF(COUNTIFS(tbl_Finance[Job Number],C256&amp;"",tbl_Finance[Xero Invoice No],LOOKUP(2,1/((tbl_Finance[Job Number]&amp;""=C256&amp;"")*(tbl_Finance[Xero Invoice No]&lt;&gt;"")),tbl_Finance[Xero Invoice No]))=COUNTIFS(tbl_Finance[Job Number],C256&amp;"",tbl_Finance[Xero Invoice No],"&lt;&gt;"),LOOKUP(2,1/((tbl_Finance[Job Number]&amp;""=C256&amp;"")*(tbl_Finance[Xero Invoice No]&lt;&gt;"")),tbl_Finance[Xero Invoice No]),LOOKUP(2,1/((tbl_Finance[Job Number]&amp;""=C256&amp;"")*(tbl_Finance[Xero Invoice No]&lt;&gt;"")),tbl_Finance[Xero Invoice No])&amp;" +more"),"")))</f>
        <v/>
      </c>
      <c r="C256" s="24" t="n"/>
      <c r="D256" s="25">
        <f>IF(C256="","",IF(COUNTIF(lst_Jobs,C256&amp;"")&gt;0,"OK","CHECK"))</f>
        <v/>
      </c>
      <c r="E256" s="25">
        <f>IF(C256="","",IFERROR(INDEX(lst_JobName,MATCH(C256&amp;"",lst_Jobs,0)),""))</f>
        <v/>
      </c>
      <c r="F256" s="25">
        <f>IF(C256="","",IFERROR(INDEX(tbl_Finance[Client],IFERROR(MATCH(C256&amp;"",tbl_Finance[Job Number],0),MATCH(IFERROR(C256+0,C256),tbl_Finance[Job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6" t="n"/>
      <c r="L256" s="27">
        <f>IF(C256="","",IF(K256="",0,MAX(0,K256-H256)))</f>
        <v/>
      </c>
      <c r="M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N256" s="24" t="n"/>
      <c r="O256" s="24" t="n"/>
      <c r="P256" s="25">
        <f>IF(O256="","",HYPERLINK(IF(LEFT(O256,4)="http",O256,set_QwilrBase&amp;O256),"Open quote"))</f>
        <v/>
      </c>
      <c r="Q256" s="71" t="n"/>
      <c r="R256" s="24" t="n"/>
      <c r="S256" s="24" t="n"/>
    </row>
    <row r="257" ht="15" customHeight="1">
      <c r="A257" s="70">
        <f>IF(C257="","",IFERROR(IF(SUMPRODUCT(MAX((tbl_Finance[Job Number]&amp;""=C257&amp;"")*(tbl_Finance[Xero Invoice No]&lt;&gt;"")*tbl_Finance[Date]))=0,"",SUMPRODUCT(MAX((tbl_Finance[Job Number]&amp;""=C257&amp;"")*(tbl_Finance[Xero Invoice No]&lt;&gt;"")*tbl_Finance[Date]))),""))</f>
        <v/>
      </c>
      <c r="B257" s="25">
        <f>IF(C257="","",IF(COUNTIFS(tbl_Finance[Job Number],C257&amp;"",tbl_Finance[Xero Invoice No],"&lt;&gt;")=0,"",IFERROR(IF(COUNTIFS(tbl_Finance[Job Number],C257&amp;"",tbl_Finance[Xero Invoice No],LOOKUP(2,1/((tbl_Finance[Job Number]&amp;""=C257&amp;"")*(tbl_Finance[Xero Invoice No]&lt;&gt;"")),tbl_Finance[Xero Invoice No]))=COUNTIFS(tbl_Finance[Job Number],C257&amp;"",tbl_Finance[Xero Invoice No],"&lt;&gt;"),LOOKUP(2,1/((tbl_Finance[Job Number]&amp;""=C257&amp;"")*(tbl_Finance[Xero Invoice No]&lt;&gt;"")),tbl_Finance[Xero Invoice No]),LOOKUP(2,1/((tbl_Finance[Job Number]&amp;""=C257&amp;"")*(tbl_Finance[Xero Invoice No]&lt;&gt;"")),tbl_Finance[Xero Invoice No])&amp;" +more"),"")))</f>
        <v/>
      </c>
      <c r="C257" s="24" t="n"/>
      <c r="D257" s="25">
        <f>IF(C257="","",IF(COUNTIF(lst_Jobs,C257&amp;"")&gt;0,"OK","CHECK"))</f>
        <v/>
      </c>
      <c r="E257" s="25">
        <f>IF(C257="","",IFERROR(INDEX(lst_JobName,MATCH(C257&amp;"",lst_Jobs,0)),""))</f>
        <v/>
      </c>
      <c r="F257" s="25">
        <f>IF(C257="","",IFERROR(INDEX(tbl_Finance[Client],IFERROR(MATCH(C257&amp;"",tbl_Finance[Job Number],0),MATCH(IFERROR(C257+0,C257),tbl_Finance[Job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6" t="n"/>
      <c r="L257" s="27">
        <f>IF(C257="","",IF(K257="",0,MAX(0,K257-H257)))</f>
        <v/>
      </c>
      <c r="M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N257" s="24" t="n"/>
      <c r="O257" s="24" t="n"/>
      <c r="P257" s="25">
        <f>IF(O257="","",HYPERLINK(IF(LEFT(O257,4)="http",O257,set_QwilrBase&amp;O257),"Open quote"))</f>
        <v/>
      </c>
      <c r="Q257" s="71" t="n"/>
      <c r="R257" s="24" t="n"/>
      <c r="S257" s="24" t="n"/>
    </row>
    <row r="258" ht="15" customHeight="1">
      <c r="A258" s="70">
        <f>IF(C258="","",IFERROR(IF(SUMPRODUCT(MAX((tbl_Finance[Job Number]&amp;""=C258&amp;"")*(tbl_Finance[Xero Invoice No]&lt;&gt;"")*tbl_Finance[Date]))=0,"",SUMPRODUCT(MAX((tbl_Finance[Job Number]&amp;""=C258&amp;"")*(tbl_Finance[Xero Invoice No]&lt;&gt;"")*tbl_Finance[Date]))),""))</f>
        <v/>
      </c>
      <c r="B258" s="25">
        <f>IF(C258="","",IF(COUNTIFS(tbl_Finance[Job Number],C258&amp;"",tbl_Finance[Xero Invoice No],"&lt;&gt;")=0,"",IFERROR(IF(COUNTIFS(tbl_Finance[Job Number],C258&amp;"",tbl_Finance[Xero Invoice No],LOOKUP(2,1/((tbl_Finance[Job Number]&amp;""=C258&amp;"")*(tbl_Finance[Xero Invoice No]&lt;&gt;"")),tbl_Finance[Xero Invoice No]))=COUNTIFS(tbl_Finance[Job Number],C258&amp;"",tbl_Finance[Xero Invoice No],"&lt;&gt;"),LOOKUP(2,1/((tbl_Finance[Job Number]&amp;""=C258&amp;"")*(tbl_Finance[Xero Invoice No]&lt;&gt;"")),tbl_Finance[Xero Invoice No]),LOOKUP(2,1/((tbl_Finance[Job Number]&amp;""=C258&amp;"")*(tbl_Finance[Xero Invoice No]&lt;&gt;"")),tbl_Finance[Xero Invoice No])&amp;" +more"),"")))</f>
        <v/>
      </c>
      <c r="C258" s="24" t="n"/>
      <c r="D258" s="25">
        <f>IF(C258="","",IF(COUNTIF(lst_Jobs,C258&amp;"")&gt;0,"OK","CHECK"))</f>
        <v/>
      </c>
      <c r="E258" s="25">
        <f>IF(C258="","",IFERROR(INDEX(lst_JobName,MATCH(C258&amp;"",lst_Jobs,0)),""))</f>
        <v/>
      </c>
      <c r="F258" s="25">
        <f>IF(C258="","",IFERROR(INDEX(tbl_Finance[Client],IFERROR(MATCH(C258&amp;"",tbl_Finance[Job Number],0),MATCH(IFERROR(C258+0,C258),tbl_Finance[Job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6" t="n"/>
      <c r="L258" s="27">
        <f>IF(C258="","",IF(K258="",0,MAX(0,K258-H258)))</f>
        <v/>
      </c>
      <c r="M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N258" s="24" t="n"/>
      <c r="O258" s="24" t="n"/>
      <c r="P258" s="25">
        <f>IF(O258="","",HYPERLINK(IF(LEFT(O258,4)="http",O258,set_QwilrBase&amp;O258),"Open quote"))</f>
        <v/>
      </c>
      <c r="Q258" s="71" t="n"/>
      <c r="R258" s="24" t="n"/>
      <c r="S258" s="24" t="n"/>
    </row>
    <row r="259" ht="15" customHeight="1">
      <c r="A259" s="70">
        <f>IF(C259="","",IFERROR(IF(SUMPRODUCT(MAX((tbl_Finance[Job Number]&amp;""=C259&amp;"")*(tbl_Finance[Xero Invoice No]&lt;&gt;"")*tbl_Finance[Date]))=0,"",SUMPRODUCT(MAX((tbl_Finance[Job Number]&amp;""=C259&amp;"")*(tbl_Finance[Xero Invoice No]&lt;&gt;"")*tbl_Finance[Date]))),""))</f>
        <v/>
      </c>
      <c r="B259" s="25">
        <f>IF(C259="","",IF(COUNTIFS(tbl_Finance[Job Number],C259&amp;"",tbl_Finance[Xero Invoice No],"&lt;&gt;")=0,"",IFERROR(IF(COUNTIFS(tbl_Finance[Job Number],C259&amp;"",tbl_Finance[Xero Invoice No],LOOKUP(2,1/((tbl_Finance[Job Number]&amp;""=C259&amp;"")*(tbl_Finance[Xero Invoice No]&lt;&gt;"")),tbl_Finance[Xero Invoice No]))=COUNTIFS(tbl_Finance[Job Number],C259&amp;"",tbl_Finance[Xero Invoice No],"&lt;&gt;"),LOOKUP(2,1/((tbl_Finance[Job Number]&amp;""=C259&amp;"")*(tbl_Finance[Xero Invoice No]&lt;&gt;"")),tbl_Finance[Xero Invoice No]),LOOKUP(2,1/((tbl_Finance[Job Number]&amp;""=C259&amp;"")*(tbl_Finance[Xero Invoice No]&lt;&gt;"")),tbl_Finance[Xero Invoice No])&amp;" +more"),"")))</f>
        <v/>
      </c>
      <c r="C259" s="24" t="n"/>
      <c r="D259" s="25">
        <f>IF(C259="","",IF(COUNTIF(lst_Jobs,C259&amp;"")&gt;0,"OK","CHECK"))</f>
        <v/>
      </c>
      <c r="E259" s="25">
        <f>IF(C259="","",IFERROR(INDEX(lst_JobName,MATCH(C259&amp;"",lst_Jobs,0)),""))</f>
        <v/>
      </c>
      <c r="F259" s="25">
        <f>IF(C259="","",IFERROR(INDEX(tbl_Finance[Client],IFERROR(MATCH(C259&amp;"",tbl_Finance[Job Number],0),MATCH(IFERROR(C259+0,C259),tbl_Finance[Job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6" t="n"/>
      <c r="L259" s="27">
        <f>IF(C259="","",IF(K259="",0,MAX(0,K259-H259)))</f>
        <v/>
      </c>
      <c r="M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N259" s="24" t="n"/>
      <c r="O259" s="24" t="n"/>
      <c r="P259" s="25">
        <f>IF(O259="","",HYPERLINK(IF(LEFT(O259,4)="http",O259,set_QwilrBase&amp;O259),"Open quote"))</f>
        <v/>
      </c>
      <c r="Q259" s="71" t="n"/>
      <c r="R259" s="24" t="n"/>
      <c r="S259" s="24" t="n"/>
    </row>
    <row r="260" ht="15" customHeight="1">
      <c r="A260" s="70">
        <f>IF(C260="","",IFERROR(IF(SUMPRODUCT(MAX((tbl_Finance[Job Number]&amp;""=C260&amp;"")*(tbl_Finance[Xero Invoice No]&lt;&gt;"")*tbl_Finance[Date]))=0,"",SUMPRODUCT(MAX((tbl_Finance[Job Number]&amp;""=C260&amp;"")*(tbl_Finance[Xero Invoice No]&lt;&gt;"")*tbl_Finance[Date]))),""))</f>
        <v/>
      </c>
      <c r="B260" s="25">
        <f>IF(C260="","",IF(COUNTIFS(tbl_Finance[Job Number],C260&amp;"",tbl_Finance[Xero Invoice No],"&lt;&gt;")=0,"",IFERROR(IF(COUNTIFS(tbl_Finance[Job Number],C260&amp;"",tbl_Finance[Xero Invoice No],LOOKUP(2,1/((tbl_Finance[Job Number]&amp;""=C260&amp;"")*(tbl_Finance[Xero Invoice No]&lt;&gt;"")),tbl_Finance[Xero Invoice No]))=COUNTIFS(tbl_Finance[Job Number],C260&amp;"",tbl_Finance[Xero Invoice No],"&lt;&gt;"),LOOKUP(2,1/((tbl_Finance[Job Number]&amp;""=C260&amp;"")*(tbl_Finance[Xero Invoice No]&lt;&gt;"")),tbl_Finance[Xero Invoice No]),LOOKUP(2,1/((tbl_Finance[Job Number]&amp;""=C260&amp;"")*(tbl_Finance[Xero Invoice No]&lt;&gt;"")),tbl_Finance[Xero Invoice No])&amp;" +more"),"")))</f>
        <v/>
      </c>
      <c r="C260" s="24" t="n"/>
      <c r="D260" s="25">
        <f>IF(C260="","",IF(COUNTIF(lst_Jobs,C260&amp;"")&gt;0,"OK","CHECK"))</f>
        <v/>
      </c>
      <c r="E260" s="25">
        <f>IF(C260="","",IFERROR(INDEX(lst_JobName,MATCH(C260&amp;"",lst_Jobs,0)),""))</f>
        <v/>
      </c>
      <c r="F260" s="25">
        <f>IF(C260="","",IFERROR(INDEX(tbl_Finance[Client],IFERROR(MATCH(C260&amp;"",tbl_Finance[Job Number],0),MATCH(IFERROR(C260+0,C260),tbl_Finance[Job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6" t="n"/>
      <c r="L260" s="27">
        <f>IF(C260="","",IF(K260="",0,MAX(0,K260-H260)))</f>
        <v/>
      </c>
      <c r="M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N260" s="24" t="n"/>
      <c r="O260" s="24" t="n"/>
      <c r="P260" s="25">
        <f>IF(O260="","",HYPERLINK(IF(LEFT(O260,4)="http",O260,set_QwilrBase&amp;O260),"Open quote"))</f>
        <v/>
      </c>
      <c r="Q260" s="71" t="n"/>
      <c r="R260" s="24" t="n"/>
      <c r="S260" s="24" t="n"/>
    </row>
    <row r="261" ht="15" customHeight="1">
      <c r="A261" s="70">
        <f>IF(C261="","",IFERROR(IF(SUMPRODUCT(MAX((tbl_Finance[Job Number]&amp;""=C261&amp;"")*(tbl_Finance[Xero Invoice No]&lt;&gt;"")*tbl_Finance[Date]))=0,"",SUMPRODUCT(MAX((tbl_Finance[Job Number]&amp;""=C261&amp;"")*(tbl_Finance[Xero Invoice No]&lt;&gt;"")*tbl_Finance[Date]))),""))</f>
        <v/>
      </c>
      <c r="B261" s="25">
        <f>IF(C261="","",IF(COUNTIFS(tbl_Finance[Job Number],C261&amp;"",tbl_Finance[Xero Invoice No],"&lt;&gt;")=0,"",IFERROR(IF(COUNTIFS(tbl_Finance[Job Number],C261&amp;"",tbl_Finance[Xero Invoice No],LOOKUP(2,1/((tbl_Finance[Job Number]&amp;""=C261&amp;"")*(tbl_Finance[Xero Invoice No]&lt;&gt;"")),tbl_Finance[Xero Invoice No]))=COUNTIFS(tbl_Finance[Job Number],C261&amp;"",tbl_Finance[Xero Invoice No],"&lt;&gt;"),LOOKUP(2,1/((tbl_Finance[Job Number]&amp;""=C261&amp;"")*(tbl_Finance[Xero Invoice No]&lt;&gt;"")),tbl_Finance[Xero Invoice No]),LOOKUP(2,1/((tbl_Finance[Job Number]&amp;""=C261&amp;"")*(tbl_Finance[Xero Invoice No]&lt;&gt;"")),tbl_Finance[Xero Invoice No])&amp;" +more"),"")))</f>
        <v/>
      </c>
      <c r="C261" s="24" t="n"/>
      <c r="D261" s="25">
        <f>IF(C261="","",IF(COUNTIF(lst_Jobs,C261&amp;"")&gt;0,"OK","CHECK"))</f>
        <v/>
      </c>
      <c r="E261" s="25">
        <f>IF(C261="","",IFERROR(INDEX(lst_JobName,MATCH(C261&amp;"",lst_Jobs,0)),""))</f>
        <v/>
      </c>
      <c r="F261" s="25">
        <f>IF(C261="","",IFERROR(INDEX(tbl_Finance[Client],IFERROR(MATCH(C261&amp;"",tbl_Finance[Job Number],0),MATCH(IFERROR(C261+0,C261),tbl_Finance[Job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6" t="n"/>
      <c r="L261" s="27">
        <f>IF(C261="","",IF(K261="",0,MAX(0,K261-H261)))</f>
        <v/>
      </c>
      <c r="M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N261" s="24" t="n"/>
      <c r="O261" s="24" t="n"/>
      <c r="P261" s="25">
        <f>IF(O261="","",HYPERLINK(IF(LEFT(O261,4)="http",O261,set_QwilrBase&amp;O261),"Open quote"))</f>
        <v/>
      </c>
      <c r="Q261" s="71" t="n"/>
      <c r="R261" s="24" t="n"/>
      <c r="S261" s="24" t="n"/>
    </row>
    <row r="262" ht="15" customHeight="1">
      <c r="A262" s="70">
        <f>IF(C262="","",IFERROR(IF(SUMPRODUCT(MAX((tbl_Finance[Job Number]&amp;""=C262&amp;"")*(tbl_Finance[Xero Invoice No]&lt;&gt;"")*tbl_Finance[Date]))=0,"",SUMPRODUCT(MAX((tbl_Finance[Job Number]&amp;""=C262&amp;"")*(tbl_Finance[Xero Invoice No]&lt;&gt;"")*tbl_Finance[Date]))),""))</f>
        <v/>
      </c>
      <c r="B262" s="25">
        <f>IF(C262="","",IF(COUNTIFS(tbl_Finance[Job Number],C262&amp;"",tbl_Finance[Xero Invoice No],"&lt;&gt;")=0,"",IFERROR(IF(COUNTIFS(tbl_Finance[Job Number],C262&amp;"",tbl_Finance[Xero Invoice No],LOOKUP(2,1/((tbl_Finance[Job Number]&amp;""=C262&amp;"")*(tbl_Finance[Xero Invoice No]&lt;&gt;"")),tbl_Finance[Xero Invoice No]))=COUNTIFS(tbl_Finance[Job Number],C262&amp;"",tbl_Finance[Xero Invoice No],"&lt;&gt;"),LOOKUP(2,1/((tbl_Finance[Job Number]&amp;""=C262&amp;"")*(tbl_Finance[Xero Invoice No]&lt;&gt;"")),tbl_Finance[Xero Invoice No]),LOOKUP(2,1/((tbl_Finance[Job Number]&amp;""=C262&amp;"")*(tbl_Finance[Xero Invoice No]&lt;&gt;"")),tbl_Finance[Xero Invoice No])&amp;" +more"),"")))</f>
        <v/>
      </c>
      <c r="C262" s="24" t="n"/>
      <c r="D262" s="25">
        <f>IF(C262="","",IF(COUNTIF(lst_Jobs,C262&amp;"")&gt;0,"OK","CHECK"))</f>
        <v/>
      </c>
      <c r="E262" s="25">
        <f>IF(C262="","",IFERROR(INDEX(lst_JobName,MATCH(C262&amp;"",lst_Jobs,0)),""))</f>
        <v/>
      </c>
      <c r="F262" s="25">
        <f>IF(C262="","",IFERROR(INDEX(tbl_Finance[Client],IFERROR(MATCH(C262&amp;"",tbl_Finance[Job Number],0),MATCH(IFERROR(C262+0,C262),tbl_Finance[Job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6" t="n"/>
      <c r="L262" s="27">
        <f>IF(C262="","",IF(K262="",0,MAX(0,K262-H262)))</f>
        <v/>
      </c>
      <c r="M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N262" s="24" t="n"/>
      <c r="O262" s="24" t="n"/>
      <c r="P262" s="25">
        <f>IF(O262="","",HYPERLINK(IF(LEFT(O262,4)="http",O262,set_QwilrBase&amp;O262),"Open quote"))</f>
        <v/>
      </c>
      <c r="Q262" s="71" t="n"/>
      <c r="R262" s="24" t="n"/>
      <c r="S262" s="24" t="n"/>
    </row>
    <row r="263" ht="15" customHeight="1">
      <c r="A263" s="70">
        <f>IF(C263="","",IFERROR(IF(SUMPRODUCT(MAX((tbl_Finance[Job Number]&amp;""=C263&amp;"")*(tbl_Finance[Xero Invoice No]&lt;&gt;"")*tbl_Finance[Date]))=0,"",SUMPRODUCT(MAX((tbl_Finance[Job Number]&amp;""=C263&amp;"")*(tbl_Finance[Xero Invoice No]&lt;&gt;"")*tbl_Finance[Date]))),""))</f>
        <v/>
      </c>
      <c r="B263" s="25">
        <f>IF(C263="","",IF(COUNTIFS(tbl_Finance[Job Number],C263&amp;"",tbl_Finance[Xero Invoice No],"&lt;&gt;")=0,"",IFERROR(IF(COUNTIFS(tbl_Finance[Job Number],C263&amp;"",tbl_Finance[Xero Invoice No],LOOKUP(2,1/((tbl_Finance[Job Number]&amp;""=C263&amp;"")*(tbl_Finance[Xero Invoice No]&lt;&gt;"")),tbl_Finance[Xero Invoice No]))=COUNTIFS(tbl_Finance[Job Number],C263&amp;"",tbl_Finance[Xero Invoice No],"&lt;&gt;"),LOOKUP(2,1/((tbl_Finance[Job Number]&amp;""=C263&amp;"")*(tbl_Finance[Xero Invoice No]&lt;&gt;"")),tbl_Finance[Xero Invoice No]),LOOKUP(2,1/((tbl_Finance[Job Number]&amp;""=C263&amp;"")*(tbl_Finance[Xero Invoice No]&lt;&gt;"")),tbl_Finance[Xero Invoice No])&amp;" +more"),"")))</f>
        <v/>
      </c>
      <c r="C263" s="24" t="n"/>
      <c r="D263" s="25">
        <f>IF(C263="","",IF(COUNTIF(lst_Jobs,C263&amp;"")&gt;0,"OK","CHECK"))</f>
        <v/>
      </c>
      <c r="E263" s="25">
        <f>IF(C263="","",IFERROR(INDEX(lst_JobName,MATCH(C263&amp;"",lst_Jobs,0)),""))</f>
        <v/>
      </c>
      <c r="F263" s="25">
        <f>IF(C263="","",IFERROR(INDEX(tbl_Finance[Client],IFERROR(MATCH(C263&amp;"",tbl_Finance[Job Number],0),MATCH(IFERROR(C263+0,C263),tbl_Finance[Job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6" t="n"/>
      <c r="L263" s="27">
        <f>IF(C263="","",IF(K263="",0,MAX(0,K263-H263)))</f>
        <v/>
      </c>
      <c r="M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N263" s="24" t="n"/>
      <c r="O263" s="24" t="n"/>
      <c r="P263" s="25">
        <f>IF(O263="","",HYPERLINK(IF(LEFT(O263,4)="http",O263,set_QwilrBase&amp;O263),"Open quote"))</f>
        <v/>
      </c>
      <c r="Q263" s="71" t="n"/>
      <c r="R263" s="24" t="n"/>
      <c r="S263" s="24" t="n"/>
    </row>
    <row r="264" ht="15" customHeight="1">
      <c r="A264" s="70">
        <f>IF(C264="","",IFERROR(IF(SUMPRODUCT(MAX((tbl_Finance[Job Number]&amp;""=C264&amp;"")*(tbl_Finance[Xero Invoice No]&lt;&gt;"")*tbl_Finance[Date]))=0,"",SUMPRODUCT(MAX((tbl_Finance[Job Number]&amp;""=C264&amp;"")*(tbl_Finance[Xero Invoice No]&lt;&gt;"")*tbl_Finance[Date]))),""))</f>
        <v/>
      </c>
      <c r="B264" s="25">
        <f>IF(C264="","",IF(COUNTIFS(tbl_Finance[Job Number],C264&amp;"",tbl_Finance[Xero Invoice No],"&lt;&gt;")=0,"",IFERROR(IF(COUNTIFS(tbl_Finance[Job Number],C264&amp;"",tbl_Finance[Xero Invoice No],LOOKUP(2,1/((tbl_Finance[Job Number]&amp;""=C264&amp;"")*(tbl_Finance[Xero Invoice No]&lt;&gt;"")),tbl_Finance[Xero Invoice No]))=COUNTIFS(tbl_Finance[Job Number],C264&amp;"",tbl_Finance[Xero Invoice No],"&lt;&gt;"),LOOKUP(2,1/((tbl_Finance[Job Number]&amp;""=C264&amp;"")*(tbl_Finance[Xero Invoice No]&lt;&gt;"")),tbl_Finance[Xero Invoice No]),LOOKUP(2,1/((tbl_Finance[Job Number]&amp;""=C264&amp;"")*(tbl_Finance[Xero Invoice No]&lt;&gt;"")),tbl_Finance[Xero Invoice No])&amp;" +more"),"")))</f>
        <v/>
      </c>
      <c r="C264" s="24" t="n"/>
      <c r="D264" s="25">
        <f>IF(C264="","",IF(COUNTIF(lst_Jobs,C264&amp;"")&gt;0,"OK","CHECK"))</f>
        <v/>
      </c>
      <c r="E264" s="25">
        <f>IF(C264="","",IFERROR(INDEX(lst_JobName,MATCH(C264&amp;"",lst_Jobs,0)),""))</f>
        <v/>
      </c>
      <c r="F264" s="25">
        <f>IF(C264="","",IFERROR(INDEX(tbl_Finance[Client],IFERROR(MATCH(C264&amp;"",tbl_Finance[Job Number],0),MATCH(IFERROR(C264+0,C264),tbl_Finance[Job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6" t="n"/>
      <c r="L264" s="27">
        <f>IF(C264="","",IF(K264="",0,MAX(0,K264-H264)))</f>
        <v/>
      </c>
      <c r="M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N264" s="24" t="n"/>
      <c r="O264" s="24" t="n"/>
      <c r="P264" s="25">
        <f>IF(O264="","",HYPERLINK(IF(LEFT(O264,4)="http",O264,set_QwilrBase&amp;O264),"Open quote"))</f>
        <v/>
      </c>
      <c r="Q264" s="71" t="n"/>
      <c r="R264" s="24" t="n"/>
      <c r="S264" s="24" t="n"/>
    </row>
    <row r="265" ht="15" customHeight="1">
      <c r="A265" s="70">
        <f>IF(C265="","",IFERROR(IF(SUMPRODUCT(MAX((tbl_Finance[Job Number]&amp;""=C265&amp;"")*(tbl_Finance[Xero Invoice No]&lt;&gt;"")*tbl_Finance[Date]))=0,"",SUMPRODUCT(MAX((tbl_Finance[Job Number]&amp;""=C265&amp;"")*(tbl_Finance[Xero Invoice No]&lt;&gt;"")*tbl_Finance[Date]))),""))</f>
        <v/>
      </c>
      <c r="B265" s="25">
        <f>IF(C265="","",IF(COUNTIFS(tbl_Finance[Job Number],C265&amp;"",tbl_Finance[Xero Invoice No],"&lt;&gt;")=0,"",IFERROR(IF(COUNTIFS(tbl_Finance[Job Number],C265&amp;"",tbl_Finance[Xero Invoice No],LOOKUP(2,1/((tbl_Finance[Job Number]&amp;""=C265&amp;"")*(tbl_Finance[Xero Invoice No]&lt;&gt;"")),tbl_Finance[Xero Invoice No]))=COUNTIFS(tbl_Finance[Job Number],C265&amp;"",tbl_Finance[Xero Invoice No],"&lt;&gt;"),LOOKUP(2,1/((tbl_Finance[Job Number]&amp;""=C265&amp;"")*(tbl_Finance[Xero Invoice No]&lt;&gt;"")),tbl_Finance[Xero Invoice No]),LOOKUP(2,1/((tbl_Finance[Job Number]&amp;""=C265&amp;"")*(tbl_Finance[Xero Invoice No]&lt;&gt;"")),tbl_Finance[Xero Invoice No])&amp;" +more"),"")))</f>
        <v/>
      </c>
      <c r="C265" s="24" t="n"/>
      <c r="D265" s="25">
        <f>IF(C265="","",IF(COUNTIF(lst_Jobs,C265&amp;"")&gt;0,"OK","CHECK"))</f>
        <v/>
      </c>
      <c r="E265" s="25">
        <f>IF(C265="","",IFERROR(INDEX(lst_JobName,MATCH(C265&amp;"",lst_Jobs,0)),""))</f>
        <v/>
      </c>
      <c r="F265" s="25">
        <f>IF(C265="","",IFERROR(INDEX(tbl_Finance[Client],IFERROR(MATCH(C265&amp;"",tbl_Finance[Job Number],0),MATCH(IFERROR(C265+0,C265),tbl_Finance[Job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6" t="n"/>
      <c r="L265" s="27">
        <f>IF(C265="","",IF(K265="",0,MAX(0,K265-H265)))</f>
        <v/>
      </c>
      <c r="M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N265" s="24" t="n"/>
      <c r="O265" s="24" t="n"/>
      <c r="P265" s="25">
        <f>IF(O265="","",HYPERLINK(IF(LEFT(O265,4)="http",O265,set_QwilrBase&amp;O265),"Open quote"))</f>
        <v/>
      </c>
      <c r="Q265" s="71" t="n"/>
      <c r="R265" s="24" t="n"/>
      <c r="S265" s="24" t="n"/>
    </row>
    <row r="266" ht="15" customHeight="1">
      <c r="A266" s="70">
        <f>IF(C266="","",IFERROR(IF(SUMPRODUCT(MAX((tbl_Finance[Job Number]&amp;""=C266&amp;"")*(tbl_Finance[Xero Invoice No]&lt;&gt;"")*tbl_Finance[Date]))=0,"",SUMPRODUCT(MAX((tbl_Finance[Job Number]&amp;""=C266&amp;"")*(tbl_Finance[Xero Invoice No]&lt;&gt;"")*tbl_Finance[Date]))),""))</f>
        <v/>
      </c>
      <c r="B266" s="25">
        <f>IF(C266="","",IF(COUNTIFS(tbl_Finance[Job Number],C266&amp;"",tbl_Finance[Xero Invoice No],"&lt;&gt;")=0,"",IFERROR(IF(COUNTIFS(tbl_Finance[Job Number],C266&amp;"",tbl_Finance[Xero Invoice No],LOOKUP(2,1/((tbl_Finance[Job Number]&amp;""=C266&amp;"")*(tbl_Finance[Xero Invoice No]&lt;&gt;"")),tbl_Finance[Xero Invoice No]))=COUNTIFS(tbl_Finance[Job Number],C266&amp;"",tbl_Finance[Xero Invoice No],"&lt;&gt;"),LOOKUP(2,1/((tbl_Finance[Job Number]&amp;""=C266&amp;"")*(tbl_Finance[Xero Invoice No]&lt;&gt;"")),tbl_Finance[Xero Invoice No]),LOOKUP(2,1/((tbl_Finance[Job Number]&amp;""=C266&amp;"")*(tbl_Finance[Xero Invoice No]&lt;&gt;"")),tbl_Finance[Xero Invoice No])&amp;" +more"),"")))</f>
        <v/>
      </c>
      <c r="C266" s="24" t="n"/>
      <c r="D266" s="25">
        <f>IF(C266="","",IF(COUNTIF(lst_Jobs,C266&amp;"")&gt;0,"OK","CHECK"))</f>
        <v/>
      </c>
      <c r="E266" s="25">
        <f>IF(C266="","",IFERROR(INDEX(lst_JobName,MATCH(C266&amp;"",lst_Jobs,0)),""))</f>
        <v/>
      </c>
      <c r="F266" s="25">
        <f>IF(C266="","",IFERROR(INDEX(tbl_Finance[Client],IFERROR(MATCH(C266&amp;"",tbl_Finance[Job Number],0),MATCH(IFERROR(C266+0,C266),tbl_Finance[Job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6" t="n"/>
      <c r="L266" s="27">
        <f>IF(C266="","",IF(K266="",0,MAX(0,K266-H266)))</f>
        <v/>
      </c>
      <c r="M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N266" s="24" t="n"/>
      <c r="O266" s="24" t="n"/>
      <c r="P266" s="25">
        <f>IF(O266="","",HYPERLINK(IF(LEFT(O266,4)="http",O266,set_QwilrBase&amp;O266),"Open quote"))</f>
        <v/>
      </c>
      <c r="Q266" s="71" t="n"/>
      <c r="R266" s="24" t="n"/>
      <c r="S266" s="24" t="n"/>
    </row>
    <row r="267" ht="15" customHeight="1">
      <c r="A267" s="70">
        <f>IF(C267="","",IFERROR(IF(SUMPRODUCT(MAX((tbl_Finance[Job Number]&amp;""=C267&amp;"")*(tbl_Finance[Xero Invoice No]&lt;&gt;"")*tbl_Finance[Date]))=0,"",SUMPRODUCT(MAX((tbl_Finance[Job Number]&amp;""=C267&amp;"")*(tbl_Finance[Xero Invoice No]&lt;&gt;"")*tbl_Finance[Date]))),""))</f>
        <v/>
      </c>
      <c r="B267" s="25">
        <f>IF(C267="","",IF(COUNTIFS(tbl_Finance[Job Number],C267&amp;"",tbl_Finance[Xero Invoice No],"&lt;&gt;")=0,"",IFERROR(IF(COUNTIFS(tbl_Finance[Job Number],C267&amp;"",tbl_Finance[Xero Invoice No],LOOKUP(2,1/((tbl_Finance[Job Number]&amp;""=C267&amp;"")*(tbl_Finance[Xero Invoice No]&lt;&gt;"")),tbl_Finance[Xero Invoice No]))=COUNTIFS(tbl_Finance[Job Number],C267&amp;"",tbl_Finance[Xero Invoice No],"&lt;&gt;"),LOOKUP(2,1/((tbl_Finance[Job Number]&amp;""=C267&amp;"")*(tbl_Finance[Xero Invoice No]&lt;&gt;"")),tbl_Finance[Xero Invoice No]),LOOKUP(2,1/((tbl_Finance[Job Number]&amp;""=C267&amp;"")*(tbl_Finance[Xero Invoice No]&lt;&gt;"")),tbl_Finance[Xero Invoice No])&amp;" +more"),"")))</f>
        <v/>
      </c>
      <c r="C267" s="24" t="n"/>
      <c r="D267" s="25">
        <f>IF(C267="","",IF(COUNTIF(lst_Jobs,C267&amp;"")&gt;0,"OK","CHECK"))</f>
        <v/>
      </c>
      <c r="E267" s="25">
        <f>IF(C267="","",IFERROR(INDEX(lst_JobName,MATCH(C267&amp;"",lst_Jobs,0)),""))</f>
        <v/>
      </c>
      <c r="F267" s="25">
        <f>IF(C267="","",IFERROR(INDEX(tbl_Finance[Client],IFERROR(MATCH(C267&amp;"",tbl_Finance[Job Number],0),MATCH(IFERROR(C267+0,C267),tbl_Finance[Job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6" t="n"/>
      <c r="L267" s="27">
        <f>IF(C267="","",IF(K267="",0,MAX(0,K267-H267)))</f>
        <v/>
      </c>
      <c r="M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N267" s="24" t="n"/>
      <c r="O267" s="24" t="n"/>
      <c r="P267" s="25">
        <f>IF(O267="","",HYPERLINK(IF(LEFT(O267,4)="http",O267,set_QwilrBase&amp;O267),"Open quote"))</f>
        <v/>
      </c>
      <c r="Q267" s="71" t="n"/>
      <c r="R267" s="24" t="n"/>
      <c r="S267" s="24" t="n"/>
    </row>
    <row r="268" ht="15" customHeight="1">
      <c r="A268" s="70">
        <f>IF(C268="","",IFERROR(IF(SUMPRODUCT(MAX((tbl_Finance[Job Number]&amp;""=C268&amp;"")*(tbl_Finance[Xero Invoice No]&lt;&gt;"")*tbl_Finance[Date]))=0,"",SUMPRODUCT(MAX((tbl_Finance[Job Number]&amp;""=C268&amp;"")*(tbl_Finance[Xero Invoice No]&lt;&gt;"")*tbl_Finance[Date]))),""))</f>
        <v/>
      </c>
      <c r="B268" s="25">
        <f>IF(C268="","",IF(COUNTIFS(tbl_Finance[Job Number],C268&amp;"",tbl_Finance[Xero Invoice No],"&lt;&gt;")=0,"",IFERROR(IF(COUNTIFS(tbl_Finance[Job Number],C268&amp;"",tbl_Finance[Xero Invoice No],LOOKUP(2,1/((tbl_Finance[Job Number]&amp;""=C268&amp;"")*(tbl_Finance[Xero Invoice No]&lt;&gt;"")),tbl_Finance[Xero Invoice No]))=COUNTIFS(tbl_Finance[Job Number],C268&amp;"",tbl_Finance[Xero Invoice No],"&lt;&gt;"),LOOKUP(2,1/((tbl_Finance[Job Number]&amp;""=C268&amp;"")*(tbl_Finance[Xero Invoice No]&lt;&gt;"")),tbl_Finance[Xero Invoice No]),LOOKUP(2,1/((tbl_Finance[Job Number]&amp;""=C268&amp;"")*(tbl_Finance[Xero Invoice No]&lt;&gt;"")),tbl_Finance[Xero Invoice No])&amp;" +more"),"")))</f>
        <v/>
      </c>
      <c r="C268" s="24" t="n"/>
      <c r="D268" s="25">
        <f>IF(C268="","",IF(COUNTIF(lst_Jobs,C268&amp;"")&gt;0,"OK","CHECK"))</f>
        <v/>
      </c>
      <c r="E268" s="25">
        <f>IF(C268="","",IFERROR(INDEX(lst_JobName,MATCH(C268&amp;"",lst_Jobs,0)),""))</f>
        <v/>
      </c>
      <c r="F268" s="25">
        <f>IF(C268="","",IFERROR(INDEX(tbl_Finance[Client],IFERROR(MATCH(C268&amp;"",tbl_Finance[Job Number],0),MATCH(IFERROR(C268+0,C268),tbl_Finance[Job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6" t="n"/>
      <c r="L268" s="27">
        <f>IF(C268="","",IF(K268="",0,MAX(0,K268-H268)))</f>
        <v/>
      </c>
      <c r="M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N268" s="24" t="n"/>
      <c r="O268" s="24" t="n"/>
      <c r="P268" s="25">
        <f>IF(O268="","",HYPERLINK(IF(LEFT(O268,4)="http",O268,set_QwilrBase&amp;O268),"Open quote"))</f>
        <v/>
      </c>
      <c r="Q268" s="71" t="n"/>
      <c r="R268" s="24" t="n"/>
      <c r="S268" s="24" t="n"/>
    </row>
    <row r="269" ht="15" customHeight="1">
      <c r="A269" s="70">
        <f>IF(C269="","",IFERROR(IF(SUMPRODUCT(MAX((tbl_Finance[Job Number]&amp;""=C269&amp;"")*(tbl_Finance[Xero Invoice No]&lt;&gt;"")*tbl_Finance[Date]))=0,"",SUMPRODUCT(MAX((tbl_Finance[Job Number]&amp;""=C269&amp;"")*(tbl_Finance[Xero Invoice No]&lt;&gt;"")*tbl_Finance[Date]))),""))</f>
        <v/>
      </c>
      <c r="B269" s="25">
        <f>IF(C269="","",IF(COUNTIFS(tbl_Finance[Job Number],C269&amp;"",tbl_Finance[Xero Invoice No],"&lt;&gt;")=0,"",IFERROR(IF(COUNTIFS(tbl_Finance[Job Number],C269&amp;"",tbl_Finance[Xero Invoice No],LOOKUP(2,1/((tbl_Finance[Job Number]&amp;""=C269&amp;"")*(tbl_Finance[Xero Invoice No]&lt;&gt;"")),tbl_Finance[Xero Invoice No]))=COUNTIFS(tbl_Finance[Job Number],C269&amp;"",tbl_Finance[Xero Invoice No],"&lt;&gt;"),LOOKUP(2,1/((tbl_Finance[Job Number]&amp;""=C269&amp;"")*(tbl_Finance[Xero Invoice No]&lt;&gt;"")),tbl_Finance[Xero Invoice No]),LOOKUP(2,1/((tbl_Finance[Job Number]&amp;""=C269&amp;"")*(tbl_Finance[Xero Invoice No]&lt;&gt;"")),tbl_Finance[Xero Invoice No])&amp;" +more"),"")))</f>
        <v/>
      </c>
      <c r="C269" s="24" t="n"/>
      <c r="D269" s="25">
        <f>IF(C269="","",IF(COUNTIF(lst_Jobs,C269&amp;"")&gt;0,"OK","CHECK"))</f>
        <v/>
      </c>
      <c r="E269" s="25">
        <f>IF(C269="","",IFERROR(INDEX(lst_JobName,MATCH(C269&amp;"",lst_Jobs,0)),""))</f>
        <v/>
      </c>
      <c r="F269" s="25">
        <f>IF(C269="","",IFERROR(INDEX(tbl_Finance[Client],IFERROR(MATCH(C269&amp;"",tbl_Finance[Job Number],0),MATCH(IFERROR(C269+0,C269),tbl_Finance[Job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6" t="n"/>
      <c r="L269" s="27">
        <f>IF(C269="","",IF(K269="",0,MAX(0,K269-H269)))</f>
        <v/>
      </c>
      <c r="M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N269" s="24" t="n"/>
      <c r="O269" s="24" t="n"/>
      <c r="P269" s="25">
        <f>IF(O269="","",HYPERLINK(IF(LEFT(O269,4)="http",O269,set_QwilrBase&amp;O269),"Open quote"))</f>
        <v/>
      </c>
      <c r="Q269" s="71" t="n"/>
      <c r="R269" s="24" t="n"/>
      <c r="S269" s="24" t="n"/>
    </row>
    <row r="270" ht="15" customHeight="1">
      <c r="A270" s="70">
        <f>IF(C270="","",IFERROR(IF(SUMPRODUCT(MAX((tbl_Finance[Job Number]&amp;""=C270&amp;"")*(tbl_Finance[Xero Invoice No]&lt;&gt;"")*tbl_Finance[Date]))=0,"",SUMPRODUCT(MAX((tbl_Finance[Job Number]&amp;""=C270&amp;"")*(tbl_Finance[Xero Invoice No]&lt;&gt;"")*tbl_Finance[Date]))),""))</f>
        <v/>
      </c>
      <c r="B270" s="25">
        <f>IF(C270="","",IF(COUNTIFS(tbl_Finance[Job Number],C270&amp;"",tbl_Finance[Xero Invoice No],"&lt;&gt;")=0,"",IFERROR(IF(COUNTIFS(tbl_Finance[Job Number],C270&amp;"",tbl_Finance[Xero Invoice No],LOOKUP(2,1/((tbl_Finance[Job Number]&amp;""=C270&amp;"")*(tbl_Finance[Xero Invoice No]&lt;&gt;"")),tbl_Finance[Xero Invoice No]))=COUNTIFS(tbl_Finance[Job Number],C270&amp;"",tbl_Finance[Xero Invoice No],"&lt;&gt;"),LOOKUP(2,1/((tbl_Finance[Job Number]&amp;""=C270&amp;"")*(tbl_Finance[Xero Invoice No]&lt;&gt;"")),tbl_Finance[Xero Invoice No]),LOOKUP(2,1/((tbl_Finance[Job Number]&amp;""=C270&amp;"")*(tbl_Finance[Xero Invoice No]&lt;&gt;"")),tbl_Finance[Xero Invoice No])&amp;" +more"),"")))</f>
        <v/>
      </c>
      <c r="C270" s="24" t="n"/>
      <c r="D270" s="25">
        <f>IF(C270="","",IF(COUNTIF(lst_Jobs,C270&amp;"")&gt;0,"OK","CHECK"))</f>
        <v/>
      </c>
      <c r="E270" s="25">
        <f>IF(C270="","",IFERROR(INDEX(lst_JobName,MATCH(C270&amp;"",lst_Jobs,0)),""))</f>
        <v/>
      </c>
      <c r="F270" s="25">
        <f>IF(C270="","",IFERROR(INDEX(tbl_Finance[Client],IFERROR(MATCH(C270&amp;"",tbl_Finance[Job Number],0),MATCH(IFERROR(C270+0,C270),tbl_Finance[Job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6" t="n"/>
      <c r="L270" s="27">
        <f>IF(C270="","",IF(K270="",0,MAX(0,K270-H270)))</f>
        <v/>
      </c>
      <c r="M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N270" s="24" t="n"/>
      <c r="O270" s="24" t="n"/>
      <c r="P270" s="25">
        <f>IF(O270="","",HYPERLINK(IF(LEFT(O270,4)="http",O270,set_QwilrBase&amp;O270),"Open quote"))</f>
        <v/>
      </c>
      <c r="Q270" s="71" t="n"/>
      <c r="R270" s="24" t="n"/>
      <c r="S270" s="24" t="n"/>
    </row>
    <row r="271" ht="15" customHeight="1">
      <c r="A271" s="70">
        <f>IF(C271="","",IFERROR(IF(SUMPRODUCT(MAX((tbl_Finance[Job Number]&amp;""=C271&amp;"")*(tbl_Finance[Xero Invoice No]&lt;&gt;"")*tbl_Finance[Date]))=0,"",SUMPRODUCT(MAX((tbl_Finance[Job Number]&amp;""=C271&amp;"")*(tbl_Finance[Xero Invoice No]&lt;&gt;"")*tbl_Finance[Date]))),""))</f>
        <v/>
      </c>
      <c r="B271" s="25">
        <f>IF(C271="","",IF(COUNTIFS(tbl_Finance[Job Number],C271&amp;"",tbl_Finance[Xero Invoice No],"&lt;&gt;")=0,"",IFERROR(IF(COUNTIFS(tbl_Finance[Job Number],C271&amp;"",tbl_Finance[Xero Invoice No],LOOKUP(2,1/((tbl_Finance[Job Number]&amp;""=C271&amp;"")*(tbl_Finance[Xero Invoice No]&lt;&gt;"")),tbl_Finance[Xero Invoice No]))=COUNTIFS(tbl_Finance[Job Number],C271&amp;"",tbl_Finance[Xero Invoice No],"&lt;&gt;"),LOOKUP(2,1/((tbl_Finance[Job Number]&amp;""=C271&amp;"")*(tbl_Finance[Xero Invoice No]&lt;&gt;"")),tbl_Finance[Xero Invoice No]),LOOKUP(2,1/((tbl_Finance[Job Number]&amp;""=C271&amp;"")*(tbl_Finance[Xero Invoice No]&lt;&gt;"")),tbl_Finance[Xero Invoice No])&amp;" +more"),"")))</f>
        <v/>
      </c>
      <c r="C271" s="24" t="n"/>
      <c r="D271" s="25">
        <f>IF(C271="","",IF(COUNTIF(lst_Jobs,C271&amp;"")&gt;0,"OK","CHECK"))</f>
        <v/>
      </c>
      <c r="E271" s="25">
        <f>IF(C271="","",IFERROR(INDEX(lst_JobName,MATCH(C271&amp;"",lst_Jobs,0)),""))</f>
        <v/>
      </c>
      <c r="F271" s="25">
        <f>IF(C271="","",IFERROR(INDEX(tbl_Finance[Client],IFERROR(MATCH(C271&amp;"",tbl_Finance[Job Number],0),MATCH(IFERROR(C271+0,C271),tbl_Finance[Job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6" t="n"/>
      <c r="L271" s="27">
        <f>IF(C271="","",IF(K271="",0,MAX(0,K271-H271)))</f>
        <v/>
      </c>
      <c r="M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N271" s="24" t="n"/>
      <c r="O271" s="24" t="n"/>
      <c r="P271" s="25">
        <f>IF(O271="","",HYPERLINK(IF(LEFT(O271,4)="http",O271,set_QwilrBase&amp;O271),"Open quote"))</f>
        <v/>
      </c>
      <c r="Q271" s="71" t="n"/>
      <c r="R271" s="24" t="n"/>
      <c r="S271" s="24" t="n"/>
    </row>
    <row r="272" ht="15" customHeight="1">
      <c r="A272" s="70">
        <f>IF(C272="","",IFERROR(IF(SUMPRODUCT(MAX((tbl_Finance[Job Number]&amp;""=C272&amp;"")*(tbl_Finance[Xero Invoice No]&lt;&gt;"")*tbl_Finance[Date]))=0,"",SUMPRODUCT(MAX((tbl_Finance[Job Number]&amp;""=C272&amp;"")*(tbl_Finance[Xero Invoice No]&lt;&gt;"")*tbl_Finance[Date]))),""))</f>
        <v/>
      </c>
      <c r="B272" s="25">
        <f>IF(C272="","",IF(COUNTIFS(tbl_Finance[Job Number],C272&amp;"",tbl_Finance[Xero Invoice No],"&lt;&gt;")=0,"",IFERROR(IF(COUNTIFS(tbl_Finance[Job Number],C272&amp;"",tbl_Finance[Xero Invoice No],LOOKUP(2,1/((tbl_Finance[Job Number]&amp;""=C272&amp;"")*(tbl_Finance[Xero Invoice No]&lt;&gt;"")),tbl_Finance[Xero Invoice No]))=COUNTIFS(tbl_Finance[Job Number],C272&amp;"",tbl_Finance[Xero Invoice No],"&lt;&gt;"),LOOKUP(2,1/((tbl_Finance[Job Number]&amp;""=C272&amp;"")*(tbl_Finance[Xero Invoice No]&lt;&gt;"")),tbl_Finance[Xero Invoice No]),LOOKUP(2,1/((tbl_Finance[Job Number]&amp;""=C272&amp;"")*(tbl_Finance[Xero Invoice No]&lt;&gt;"")),tbl_Finance[Xero Invoice No])&amp;" +more"),"")))</f>
        <v/>
      </c>
      <c r="C272" s="24" t="n"/>
      <c r="D272" s="25">
        <f>IF(C272="","",IF(COUNTIF(lst_Jobs,C272&amp;"")&gt;0,"OK","CHECK"))</f>
        <v/>
      </c>
      <c r="E272" s="25">
        <f>IF(C272="","",IFERROR(INDEX(lst_JobName,MATCH(C272&amp;"",lst_Jobs,0)),""))</f>
        <v/>
      </c>
      <c r="F272" s="25">
        <f>IF(C272="","",IFERROR(INDEX(tbl_Finance[Client],IFERROR(MATCH(C272&amp;"",tbl_Finance[Job Number],0),MATCH(IFERROR(C272+0,C272),tbl_Finance[Job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6" t="n"/>
      <c r="L272" s="27">
        <f>IF(C272="","",IF(K272="",0,MAX(0,K272-H272)))</f>
        <v/>
      </c>
      <c r="M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N272" s="24" t="n"/>
      <c r="O272" s="24" t="n"/>
      <c r="P272" s="25">
        <f>IF(O272="","",HYPERLINK(IF(LEFT(O272,4)="http",O272,set_QwilrBase&amp;O272),"Open quote"))</f>
        <v/>
      </c>
      <c r="Q272" s="71" t="n"/>
      <c r="R272" s="24" t="n"/>
      <c r="S272" s="24" t="n"/>
    </row>
    <row r="273" ht="15" customHeight="1">
      <c r="A273" s="70">
        <f>IF(C273="","",IFERROR(IF(SUMPRODUCT(MAX((tbl_Finance[Job Number]&amp;""=C273&amp;"")*(tbl_Finance[Xero Invoice No]&lt;&gt;"")*tbl_Finance[Date]))=0,"",SUMPRODUCT(MAX((tbl_Finance[Job Number]&amp;""=C273&amp;"")*(tbl_Finance[Xero Invoice No]&lt;&gt;"")*tbl_Finance[Date]))),""))</f>
        <v/>
      </c>
      <c r="B273" s="25">
        <f>IF(C273="","",IF(COUNTIFS(tbl_Finance[Job Number],C273&amp;"",tbl_Finance[Xero Invoice No],"&lt;&gt;")=0,"",IFERROR(IF(COUNTIFS(tbl_Finance[Job Number],C273&amp;"",tbl_Finance[Xero Invoice No],LOOKUP(2,1/((tbl_Finance[Job Number]&amp;""=C273&amp;"")*(tbl_Finance[Xero Invoice No]&lt;&gt;"")),tbl_Finance[Xero Invoice No]))=COUNTIFS(tbl_Finance[Job Number],C273&amp;"",tbl_Finance[Xero Invoice No],"&lt;&gt;"),LOOKUP(2,1/((tbl_Finance[Job Number]&amp;""=C273&amp;"")*(tbl_Finance[Xero Invoice No]&lt;&gt;"")),tbl_Finance[Xero Invoice No]),LOOKUP(2,1/((tbl_Finance[Job Number]&amp;""=C273&amp;"")*(tbl_Finance[Xero Invoice No]&lt;&gt;"")),tbl_Finance[Xero Invoice No])&amp;" +more"),"")))</f>
        <v/>
      </c>
      <c r="C273" s="24" t="n"/>
      <c r="D273" s="25">
        <f>IF(C273="","",IF(COUNTIF(lst_Jobs,C273&amp;"")&gt;0,"OK","CHECK"))</f>
        <v/>
      </c>
      <c r="E273" s="25">
        <f>IF(C273="","",IFERROR(INDEX(lst_JobName,MATCH(C273&amp;"",lst_Jobs,0)),""))</f>
        <v/>
      </c>
      <c r="F273" s="25">
        <f>IF(C273="","",IFERROR(INDEX(tbl_Finance[Client],IFERROR(MATCH(C273&amp;"",tbl_Finance[Job Number],0),MATCH(IFERROR(C273+0,C273),tbl_Finance[Job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6" t="n"/>
      <c r="L273" s="27">
        <f>IF(C273="","",IF(K273="",0,MAX(0,K273-H273)))</f>
        <v/>
      </c>
      <c r="M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N273" s="24" t="n"/>
      <c r="O273" s="24" t="n"/>
      <c r="P273" s="25">
        <f>IF(O273="","",HYPERLINK(IF(LEFT(O273,4)="http",O273,set_QwilrBase&amp;O273),"Open quote"))</f>
        <v/>
      </c>
      <c r="Q273" s="71" t="n"/>
      <c r="R273" s="24" t="n"/>
      <c r="S273" s="24" t="n"/>
    </row>
    <row r="274" ht="15" customHeight="1">
      <c r="A274" s="70">
        <f>IF(C274="","",IFERROR(IF(SUMPRODUCT(MAX((tbl_Finance[Job Number]&amp;""=C274&amp;"")*(tbl_Finance[Xero Invoice No]&lt;&gt;"")*tbl_Finance[Date]))=0,"",SUMPRODUCT(MAX((tbl_Finance[Job Number]&amp;""=C274&amp;"")*(tbl_Finance[Xero Invoice No]&lt;&gt;"")*tbl_Finance[Date]))),""))</f>
        <v/>
      </c>
      <c r="B274" s="25">
        <f>IF(C274="","",IF(COUNTIFS(tbl_Finance[Job Number],C274&amp;"",tbl_Finance[Xero Invoice No],"&lt;&gt;")=0,"",IFERROR(IF(COUNTIFS(tbl_Finance[Job Number],C274&amp;"",tbl_Finance[Xero Invoice No],LOOKUP(2,1/((tbl_Finance[Job Number]&amp;""=C274&amp;"")*(tbl_Finance[Xero Invoice No]&lt;&gt;"")),tbl_Finance[Xero Invoice No]))=COUNTIFS(tbl_Finance[Job Number],C274&amp;"",tbl_Finance[Xero Invoice No],"&lt;&gt;"),LOOKUP(2,1/((tbl_Finance[Job Number]&amp;""=C274&amp;"")*(tbl_Finance[Xero Invoice No]&lt;&gt;"")),tbl_Finance[Xero Invoice No]),LOOKUP(2,1/((tbl_Finance[Job Number]&amp;""=C274&amp;"")*(tbl_Finance[Xero Invoice No]&lt;&gt;"")),tbl_Finance[Xero Invoice No])&amp;" +more"),"")))</f>
        <v/>
      </c>
      <c r="C274" s="24" t="n"/>
      <c r="D274" s="25">
        <f>IF(C274="","",IF(COUNTIF(lst_Jobs,C274&amp;"")&gt;0,"OK","CHECK"))</f>
        <v/>
      </c>
      <c r="E274" s="25">
        <f>IF(C274="","",IFERROR(INDEX(lst_JobName,MATCH(C274&amp;"",lst_Jobs,0)),""))</f>
        <v/>
      </c>
      <c r="F274" s="25">
        <f>IF(C274="","",IFERROR(INDEX(tbl_Finance[Client],IFERROR(MATCH(C274&amp;"",tbl_Finance[Job Number],0),MATCH(IFERROR(C274+0,C274),tbl_Finance[Job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6" t="n"/>
      <c r="L274" s="27">
        <f>IF(C274="","",IF(K274="",0,MAX(0,K274-H274)))</f>
        <v/>
      </c>
      <c r="M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N274" s="24" t="n"/>
      <c r="O274" s="24" t="n"/>
      <c r="P274" s="25">
        <f>IF(O274="","",HYPERLINK(IF(LEFT(O274,4)="http",O274,set_QwilrBase&amp;O274),"Open quote"))</f>
        <v/>
      </c>
      <c r="Q274" s="71" t="n"/>
      <c r="R274" s="24" t="n"/>
      <c r="S274" s="24" t="n"/>
    </row>
    <row r="275" ht="15" customHeight="1">
      <c r="A275" s="70">
        <f>IF(C275="","",IFERROR(IF(SUMPRODUCT(MAX((tbl_Finance[Job Number]&amp;""=C275&amp;"")*(tbl_Finance[Xero Invoice No]&lt;&gt;"")*tbl_Finance[Date]))=0,"",SUMPRODUCT(MAX((tbl_Finance[Job Number]&amp;""=C275&amp;"")*(tbl_Finance[Xero Invoice No]&lt;&gt;"")*tbl_Finance[Date]))),""))</f>
        <v/>
      </c>
      <c r="B275" s="25">
        <f>IF(C275="","",IF(COUNTIFS(tbl_Finance[Job Number],C275&amp;"",tbl_Finance[Xero Invoice No],"&lt;&gt;")=0,"",IFERROR(IF(COUNTIFS(tbl_Finance[Job Number],C275&amp;"",tbl_Finance[Xero Invoice No],LOOKUP(2,1/((tbl_Finance[Job Number]&amp;""=C275&amp;"")*(tbl_Finance[Xero Invoice No]&lt;&gt;"")),tbl_Finance[Xero Invoice No]))=COUNTIFS(tbl_Finance[Job Number],C275&amp;"",tbl_Finance[Xero Invoice No],"&lt;&gt;"),LOOKUP(2,1/((tbl_Finance[Job Number]&amp;""=C275&amp;"")*(tbl_Finance[Xero Invoice No]&lt;&gt;"")),tbl_Finance[Xero Invoice No]),LOOKUP(2,1/((tbl_Finance[Job Number]&amp;""=C275&amp;"")*(tbl_Finance[Xero Invoice No]&lt;&gt;"")),tbl_Finance[Xero Invoice No])&amp;" +more"),"")))</f>
        <v/>
      </c>
      <c r="C275" s="24" t="n"/>
      <c r="D275" s="25">
        <f>IF(C275="","",IF(COUNTIF(lst_Jobs,C275&amp;"")&gt;0,"OK","CHECK"))</f>
        <v/>
      </c>
      <c r="E275" s="25">
        <f>IF(C275="","",IFERROR(INDEX(lst_JobName,MATCH(C275&amp;"",lst_Jobs,0)),""))</f>
        <v/>
      </c>
      <c r="F275" s="25">
        <f>IF(C275="","",IFERROR(INDEX(tbl_Finance[Client],IFERROR(MATCH(C275&amp;"",tbl_Finance[Job Number],0),MATCH(IFERROR(C275+0,C275),tbl_Finance[Job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6" t="n"/>
      <c r="L275" s="27">
        <f>IF(C275="","",IF(K275="",0,MAX(0,K275-H275)))</f>
        <v/>
      </c>
      <c r="M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N275" s="24" t="n"/>
      <c r="O275" s="24" t="n"/>
      <c r="P275" s="25">
        <f>IF(O275="","",HYPERLINK(IF(LEFT(O275,4)="http",O275,set_QwilrBase&amp;O275),"Open quote"))</f>
        <v/>
      </c>
      <c r="Q275" s="71" t="n"/>
      <c r="R275" s="24" t="n"/>
      <c r="S275" s="24" t="n"/>
    </row>
    <row r="276" ht="15" customHeight="1">
      <c r="A276" s="70">
        <f>IF(C276="","",IFERROR(IF(SUMPRODUCT(MAX((tbl_Finance[Job Number]&amp;""=C276&amp;"")*(tbl_Finance[Xero Invoice No]&lt;&gt;"")*tbl_Finance[Date]))=0,"",SUMPRODUCT(MAX((tbl_Finance[Job Number]&amp;""=C276&amp;"")*(tbl_Finance[Xero Invoice No]&lt;&gt;"")*tbl_Finance[Date]))),""))</f>
        <v/>
      </c>
      <c r="B276" s="25">
        <f>IF(C276="","",IF(COUNTIFS(tbl_Finance[Job Number],C276&amp;"",tbl_Finance[Xero Invoice No],"&lt;&gt;")=0,"",IFERROR(IF(COUNTIFS(tbl_Finance[Job Number],C276&amp;"",tbl_Finance[Xero Invoice No],LOOKUP(2,1/((tbl_Finance[Job Number]&amp;""=C276&amp;"")*(tbl_Finance[Xero Invoice No]&lt;&gt;"")),tbl_Finance[Xero Invoice No]))=COUNTIFS(tbl_Finance[Job Number],C276&amp;"",tbl_Finance[Xero Invoice No],"&lt;&gt;"),LOOKUP(2,1/((tbl_Finance[Job Number]&amp;""=C276&amp;"")*(tbl_Finance[Xero Invoice No]&lt;&gt;"")),tbl_Finance[Xero Invoice No]),LOOKUP(2,1/((tbl_Finance[Job Number]&amp;""=C276&amp;"")*(tbl_Finance[Xero Invoice No]&lt;&gt;"")),tbl_Finance[Xero Invoice No])&amp;" +more"),"")))</f>
        <v/>
      </c>
      <c r="C276" s="24" t="n"/>
      <c r="D276" s="25">
        <f>IF(C276="","",IF(COUNTIF(lst_Jobs,C276&amp;"")&gt;0,"OK","CHECK"))</f>
        <v/>
      </c>
      <c r="E276" s="25">
        <f>IF(C276="","",IFERROR(INDEX(lst_JobName,MATCH(C276&amp;"",lst_Jobs,0)),""))</f>
        <v/>
      </c>
      <c r="F276" s="25">
        <f>IF(C276="","",IFERROR(INDEX(tbl_Finance[Client],IFERROR(MATCH(C276&amp;"",tbl_Finance[Job Number],0),MATCH(IFERROR(C276+0,C276),tbl_Finance[Job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6" t="n"/>
      <c r="L276" s="27">
        <f>IF(C276="","",IF(K276="",0,MAX(0,K276-H276)))</f>
        <v/>
      </c>
      <c r="M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N276" s="24" t="n"/>
      <c r="O276" s="24" t="n"/>
      <c r="P276" s="25">
        <f>IF(O276="","",HYPERLINK(IF(LEFT(O276,4)="http",O276,set_QwilrBase&amp;O276),"Open quote"))</f>
        <v/>
      </c>
      <c r="Q276" s="71" t="n"/>
      <c r="R276" s="24" t="n"/>
      <c r="S276" s="24" t="n"/>
    </row>
    <row r="277" ht="15" customHeight="1">
      <c r="A277" s="70">
        <f>IF(C277="","",IFERROR(IF(SUMPRODUCT(MAX((tbl_Finance[Job Number]&amp;""=C277&amp;"")*(tbl_Finance[Xero Invoice No]&lt;&gt;"")*tbl_Finance[Date]))=0,"",SUMPRODUCT(MAX((tbl_Finance[Job Number]&amp;""=C277&amp;"")*(tbl_Finance[Xero Invoice No]&lt;&gt;"")*tbl_Finance[Date]))),""))</f>
        <v/>
      </c>
      <c r="B277" s="25">
        <f>IF(C277="","",IF(COUNTIFS(tbl_Finance[Job Number],C277&amp;"",tbl_Finance[Xero Invoice No],"&lt;&gt;")=0,"",IFERROR(IF(COUNTIFS(tbl_Finance[Job Number],C277&amp;"",tbl_Finance[Xero Invoice No],LOOKUP(2,1/((tbl_Finance[Job Number]&amp;""=C277&amp;"")*(tbl_Finance[Xero Invoice No]&lt;&gt;"")),tbl_Finance[Xero Invoice No]))=COUNTIFS(tbl_Finance[Job Number],C277&amp;"",tbl_Finance[Xero Invoice No],"&lt;&gt;"),LOOKUP(2,1/((tbl_Finance[Job Number]&amp;""=C277&amp;"")*(tbl_Finance[Xero Invoice No]&lt;&gt;"")),tbl_Finance[Xero Invoice No]),LOOKUP(2,1/((tbl_Finance[Job Number]&amp;""=C277&amp;"")*(tbl_Finance[Xero Invoice No]&lt;&gt;"")),tbl_Finance[Xero Invoice No])&amp;" +more"),"")))</f>
        <v/>
      </c>
      <c r="C277" s="24" t="n"/>
      <c r="D277" s="25">
        <f>IF(C277="","",IF(COUNTIF(lst_Jobs,C277&amp;"")&gt;0,"OK","CHECK"))</f>
        <v/>
      </c>
      <c r="E277" s="25">
        <f>IF(C277="","",IFERROR(INDEX(lst_JobName,MATCH(C277&amp;"",lst_Jobs,0)),""))</f>
        <v/>
      </c>
      <c r="F277" s="25">
        <f>IF(C277="","",IFERROR(INDEX(tbl_Finance[Client],IFERROR(MATCH(C277&amp;"",tbl_Finance[Job Number],0),MATCH(IFERROR(C277+0,C277),tbl_Finance[Job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6" t="n"/>
      <c r="L277" s="27">
        <f>IF(C277="","",IF(K277="",0,MAX(0,K277-H277)))</f>
        <v/>
      </c>
      <c r="M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N277" s="24" t="n"/>
      <c r="O277" s="24" t="n"/>
      <c r="P277" s="25">
        <f>IF(O277="","",HYPERLINK(IF(LEFT(O277,4)="http",O277,set_QwilrBase&amp;O277),"Open quote"))</f>
        <v/>
      </c>
      <c r="Q277" s="71" t="n"/>
      <c r="R277" s="24" t="n"/>
      <c r="S277" s="24" t="n"/>
    </row>
    <row r="278" ht="15" customHeight="1">
      <c r="A278" s="70">
        <f>IF(C278="","",IFERROR(IF(SUMPRODUCT(MAX((tbl_Finance[Job Number]&amp;""=C278&amp;"")*(tbl_Finance[Xero Invoice No]&lt;&gt;"")*tbl_Finance[Date]))=0,"",SUMPRODUCT(MAX((tbl_Finance[Job Number]&amp;""=C278&amp;"")*(tbl_Finance[Xero Invoice No]&lt;&gt;"")*tbl_Finance[Date]))),""))</f>
        <v/>
      </c>
      <c r="B278" s="25">
        <f>IF(C278="","",IF(COUNTIFS(tbl_Finance[Job Number],C278&amp;"",tbl_Finance[Xero Invoice No],"&lt;&gt;")=0,"",IFERROR(IF(COUNTIFS(tbl_Finance[Job Number],C278&amp;"",tbl_Finance[Xero Invoice No],LOOKUP(2,1/((tbl_Finance[Job Number]&amp;""=C278&amp;"")*(tbl_Finance[Xero Invoice No]&lt;&gt;"")),tbl_Finance[Xero Invoice No]))=COUNTIFS(tbl_Finance[Job Number],C278&amp;"",tbl_Finance[Xero Invoice No],"&lt;&gt;"),LOOKUP(2,1/((tbl_Finance[Job Number]&amp;""=C278&amp;"")*(tbl_Finance[Xero Invoice No]&lt;&gt;"")),tbl_Finance[Xero Invoice No]),LOOKUP(2,1/((tbl_Finance[Job Number]&amp;""=C278&amp;"")*(tbl_Finance[Xero Invoice No]&lt;&gt;"")),tbl_Finance[Xero Invoice No])&amp;" +more"),"")))</f>
        <v/>
      </c>
      <c r="C278" s="24" t="n"/>
      <c r="D278" s="25">
        <f>IF(C278="","",IF(COUNTIF(lst_Jobs,C278&amp;"")&gt;0,"OK","CHECK"))</f>
        <v/>
      </c>
      <c r="E278" s="25">
        <f>IF(C278="","",IFERROR(INDEX(lst_JobName,MATCH(C278&amp;"",lst_Jobs,0)),""))</f>
        <v/>
      </c>
      <c r="F278" s="25">
        <f>IF(C278="","",IFERROR(INDEX(tbl_Finance[Client],IFERROR(MATCH(C278&amp;"",tbl_Finance[Job Number],0),MATCH(IFERROR(C278+0,C278),tbl_Finance[Job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6" t="n"/>
      <c r="L278" s="27">
        <f>IF(C278="","",IF(K278="",0,MAX(0,K278-H278)))</f>
        <v/>
      </c>
      <c r="M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N278" s="24" t="n"/>
      <c r="O278" s="24" t="n"/>
      <c r="P278" s="25">
        <f>IF(O278="","",HYPERLINK(IF(LEFT(O278,4)="http",O278,set_QwilrBase&amp;O278),"Open quote"))</f>
        <v/>
      </c>
      <c r="Q278" s="71" t="n"/>
      <c r="R278" s="24" t="n"/>
      <c r="S278" s="24" t="n"/>
    </row>
    <row r="279" ht="15" customHeight="1">
      <c r="A279" s="70">
        <f>IF(C279="","",IFERROR(IF(SUMPRODUCT(MAX((tbl_Finance[Job Number]&amp;""=C279&amp;"")*(tbl_Finance[Xero Invoice No]&lt;&gt;"")*tbl_Finance[Date]))=0,"",SUMPRODUCT(MAX((tbl_Finance[Job Number]&amp;""=C279&amp;"")*(tbl_Finance[Xero Invoice No]&lt;&gt;"")*tbl_Finance[Date]))),""))</f>
        <v/>
      </c>
      <c r="B279" s="25">
        <f>IF(C279="","",IF(COUNTIFS(tbl_Finance[Job Number],C279&amp;"",tbl_Finance[Xero Invoice No],"&lt;&gt;")=0,"",IFERROR(IF(COUNTIFS(tbl_Finance[Job Number],C279&amp;"",tbl_Finance[Xero Invoice No],LOOKUP(2,1/((tbl_Finance[Job Number]&amp;""=C279&amp;"")*(tbl_Finance[Xero Invoice No]&lt;&gt;"")),tbl_Finance[Xero Invoice No]))=COUNTIFS(tbl_Finance[Job Number],C279&amp;"",tbl_Finance[Xero Invoice No],"&lt;&gt;"),LOOKUP(2,1/((tbl_Finance[Job Number]&amp;""=C279&amp;"")*(tbl_Finance[Xero Invoice No]&lt;&gt;"")),tbl_Finance[Xero Invoice No]),LOOKUP(2,1/((tbl_Finance[Job Number]&amp;""=C279&amp;"")*(tbl_Finance[Xero Invoice No]&lt;&gt;"")),tbl_Finance[Xero Invoice No])&amp;" +more"),"")))</f>
        <v/>
      </c>
      <c r="C279" s="24" t="n"/>
      <c r="D279" s="25">
        <f>IF(C279="","",IF(COUNTIF(lst_Jobs,C279&amp;"")&gt;0,"OK","CHECK"))</f>
        <v/>
      </c>
      <c r="E279" s="25">
        <f>IF(C279="","",IFERROR(INDEX(lst_JobName,MATCH(C279&amp;"",lst_Jobs,0)),""))</f>
        <v/>
      </c>
      <c r="F279" s="25">
        <f>IF(C279="","",IFERROR(INDEX(tbl_Finance[Client],IFERROR(MATCH(C279&amp;"",tbl_Finance[Job Number],0),MATCH(IFERROR(C279+0,C279),tbl_Finance[Job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6" t="n"/>
      <c r="L279" s="27">
        <f>IF(C279="","",IF(K279="",0,MAX(0,K279-H279)))</f>
        <v/>
      </c>
      <c r="M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N279" s="24" t="n"/>
      <c r="O279" s="24" t="n"/>
      <c r="P279" s="25">
        <f>IF(O279="","",HYPERLINK(IF(LEFT(O279,4)="http",O279,set_QwilrBase&amp;O279),"Open quote"))</f>
        <v/>
      </c>
      <c r="Q279" s="71" t="n"/>
      <c r="R279" s="24" t="n"/>
      <c r="S279" s="24" t="n"/>
    </row>
    <row r="280" ht="15" customHeight="1">
      <c r="A280" s="70">
        <f>IF(C280="","",IFERROR(IF(SUMPRODUCT(MAX((tbl_Finance[Job Number]&amp;""=C280&amp;"")*(tbl_Finance[Xero Invoice No]&lt;&gt;"")*tbl_Finance[Date]))=0,"",SUMPRODUCT(MAX((tbl_Finance[Job Number]&amp;""=C280&amp;"")*(tbl_Finance[Xero Invoice No]&lt;&gt;"")*tbl_Finance[Date]))),""))</f>
        <v/>
      </c>
      <c r="B280" s="25">
        <f>IF(C280="","",IF(COUNTIFS(tbl_Finance[Job Number],C280&amp;"",tbl_Finance[Xero Invoice No],"&lt;&gt;")=0,"",IFERROR(IF(COUNTIFS(tbl_Finance[Job Number],C280&amp;"",tbl_Finance[Xero Invoice No],LOOKUP(2,1/((tbl_Finance[Job Number]&amp;""=C280&amp;"")*(tbl_Finance[Xero Invoice No]&lt;&gt;"")),tbl_Finance[Xero Invoice No]))=COUNTIFS(tbl_Finance[Job Number],C280&amp;"",tbl_Finance[Xero Invoice No],"&lt;&gt;"),LOOKUP(2,1/((tbl_Finance[Job Number]&amp;""=C280&amp;"")*(tbl_Finance[Xero Invoice No]&lt;&gt;"")),tbl_Finance[Xero Invoice No]),LOOKUP(2,1/((tbl_Finance[Job Number]&amp;""=C280&amp;"")*(tbl_Finance[Xero Invoice No]&lt;&gt;"")),tbl_Finance[Xero Invoice No])&amp;" +more"),"")))</f>
        <v/>
      </c>
      <c r="C280" s="24" t="n"/>
      <c r="D280" s="25">
        <f>IF(C280="","",IF(COUNTIF(lst_Jobs,C280&amp;"")&gt;0,"OK","CHECK"))</f>
        <v/>
      </c>
      <c r="E280" s="25">
        <f>IF(C280="","",IFERROR(INDEX(lst_JobName,MATCH(C280&amp;"",lst_Jobs,0)),""))</f>
        <v/>
      </c>
      <c r="F280" s="25">
        <f>IF(C280="","",IFERROR(INDEX(tbl_Finance[Client],IFERROR(MATCH(C280&amp;"",tbl_Finance[Job Number],0),MATCH(IFERROR(C280+0,C280),tbl_Finance[Job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6" t="n"/>
      <c r="L280" s="27">
        <f>IF(C280="","",IF(K280="",0,MAX(0,K280-H280)))</f>
        <v/>
      </c>
      <c r="M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N280" s="24" t="n"/>
      <c r="O280" s="24" t="n"/>
      <c r="P280" s="25">
        <f>IF(O280="","",HYPERLINK(IF(LEFT(O280,4)="http",O280,set_QwilrBase&amp;O280),"Open quote"))</f>
        <v/>
      </c>
      <c r="Q280" s="71" t="n"/>
      <c r="R280" s="24" t="n"/>
      <c r="S280" s="24" t="n"/>
    </row>
    <row r="281" ht="15" customHeight="1">
      <c r="A281" s="70">
        <f>IF(C281="","",IFERROR(IF(SUMPRODUCT(MAX((tbl_Finance[Job Number]&amp;""=C281&amp;"")*(tbl_Finance[Xero Invoice No]&lt;&gt;"")*tbl_Finance[Date]))=0,"",SUMPRODUCT(MAX((tbl_Finance[Job Number]&amp;""=C281&amp;"")*(tbl_Finance[Xero Invoice No]&lt;&gt;"")*tbl_Finance[Date]))),""))</f>
        <v/>
      </c>
      <c r="B281" s="25">
        <f>IF(C281="","",IF(COUNTIFS(tbl_Finance[Job Number],C281&amp;"",tbl_Finance[Xero Invoice No],"&lt;&gt;")=0,"",IFERROR(IF(COUNTIFS(tbl_Finance[Job Number],C281&amp;"",tbl_Finance[Xero Invoice No],LOOKUP(2,1/((tbl_Finance[Job Number]&amp;""=C281&amp;"")*(tbl_Finance[Xero Invoice No]&lt;&gt;"")),tbl_Finance[Xero Invoice No]))=COUNTIFS(tbl_Finance[Job Number],C281&amp;"",tbl_Finance[Xero Invoice No],"&lt;&gt;"),LOOKUP(2,1/((tbl_Finance[Job Number]&amp;""=C281&amp;"")*(tbl_Finance[Xero Invoice No]&lt;&gt;"")),tbl_Finance[Xero Invoice No]),LOOKUP(2,1/((tbl_Finance[Job Number]&amp;""=C281&amp;"")*(tbl_Finance[Xero Invoice No]&lt;&gt;"")),tbl_Finance[Xero Invoice No])&amp;" +more"),"")))</f>
        <v/>
      </c>
      <c r="C281" s="24" t="n"/>
      <c r="D281" s="25">
        <f>IF(C281="","",IF(COUNTIF(lst_Jobs,C281&amp;"")&gt;0,"OK","CHECK"))</f>
        <v/>
      </c>
      <c r="E281" s="25">
        <f>IF(C281="","",IFERROR(INDEX(lst_JobName,MATCH(C281&amp;"",lst_Jobs,0)),""))</f>
        <v/>
      </c>
      <c r="F281" s="25">
        <f>IF(C281="","",IFERROR(INDEX(tbl_Finance[Client],IFERROR(MATCH(C281&amp;"",tbl_Finance[Job Number],0),MATCH(IFERROR(C281+0,C281),tbl_Finance[Job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6" t="n"/>
      <c r="L281" s="27">
        <f>IF(C281="","",IF(K281="",0,MAX(0,K281-H281)))</f>
        <v/>
      </c>
      <c r="M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N281" s="24" t="n"/>
      <c r="O281" s="24" t="n"/>
      <c r="P281" s="25">
        <f>IF(O281="","",HYPERLINK(IF(LEFT(O281,4)="http",O281,set_QwilrBase&amp;O281),"Open quote"))</f>
        <v/>
      </c>
      <c r="Q281" s="71" t="n"/>
      <c r="R281" s="24" t="n"/>
      <c r="S281" s="24" t="n"/>
    </row>
    <row r="282" ht="15" customHeight="1">
      <c r="A282" s="70">
        <f>IF(C282="","",IFERROR(IF(SUMPRODUCT(MAX((tbl_Finance[Job Number]&amp;""=C282&amp;"")*(tbl_Finance[Xero Invoice No]&lt;&gt;"")*tbl_Finance[Date]))=0,"",SUMPRODUCT(MAX((tbl_Finance[Job Number]&amp;""=C282&amp;"")*(tbl_Finance[Xero Invoice No]&lt;&gt;"")*tbl_Finance[Date]))),""))</f>
        <v/>
      </c>
      <c r="B282" s="25">
        <f>IF(C282="","",IF(COUNTIFS(tbl_Finance[Job Number],C282&amp;"",tbl_Finance[Xero Invoice No],"&lt;&gt;")=0,"",IFERROR(IF(COUNTIFS(tbl_Finance[Job Number],C282&amp;"",tbl_Finance[Xero Invoice No],LOOKUP(2,1/((tbl_Finance[Job Number]&amp;""=C282&amp;"")*(tbl_Finance[Xero Invoice No]&lt;&gt;"")),tbl_Finance[Xero Invoice No]))=COUNTIFS(tbl_Finance[Job Number],C282&amp;"",tbl_Finance[Xero Invoice No],"&lt;&gt;"),LOOKUP(2,1/((tbl_Finance[Job Number]&amp;""=C282&amp;"")*(tbl_Finance[Xero Invoice No]&lt;&gt;"")),tbl_Finance[Xero Invoice No]),LOOKUP(2,1/((tbl_Finance[Job Number]&amp;""=C282&amp;"")*(tbl_Finance[Xero Invoice No]&lt;&gt;"")),tbl_Finance[Xero Invoice No])&amp;" +more"),"")))</f>
        <v/>
      </c>
      <c r="C282" s="24" t="n"/>
      <c r="D282" s="25">
        <f>IF(C282="","",IF(COUNTIF(lst_Jobs,C282&amp;"")&gt;0,"OK","CHECK"))</f>
        <v/>
      </c>
      <c r="E282" s="25">
        <f>IF(C282="","",IFERROR(INDEX(lst_JobName,MATCH(C282&amp;"",lst_Jobs,0)),""))</f>
        <v/>
      </c>
      <c r="F282" s="25">
        <f>IF(C282="","",IFERROR(INDEX(tbl_Finance[Client],IFERROR(MATCH(C282&amp;"",tbl_Finance[Job Number],0),MATCH(IFERROR(C282+0,C282),tbl_Finance[Job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6" t="n"/>
      <c r="L282" s="27">
        <f>IF(C282="","",IF(K282="",0,MAX(0,K282-H282)))</f>
        <v/>
      </c>
      <c r="M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N282" s="24" t="n"/>
      <c r="O282" s="24" t="n"/>
      <c r="P282" s="25">
        <f>IF(O282="","",HYPERLINK(IF(LEFT(O282,4)="http",O282,set_QwilrBase&amp;O282),"Open quote"))</f>
        <v/>
      </c>
      <c r="Q282" s="71" t="n"/>
      <c r="R282" s="24" t="n"/>
      <c r="S282" s="24" t="n"/>
    </row>
    <row r="283" ht="15" customHeight="1">
      <c r="A283" s="70">
        <f>IF(C283="","",IFERROR(IF(SUMPRODUCT(MAX((tbl_Finance[Job Number]&amp;""=C283&amp;"")*(tbl_Finance[Xero Invoice No]&lt;&gt;"")*tbl_Finance[Date]))=0,"",SUMPRODUCT(MAX((tbl_Finance[Job Number]&amp;""=C283&amp;"")*(tbl_Finance[Xero Invoice No]&lt;&gt;"")*tbl_Finance[Date]))),""))</f>
        <v/>
      </c>
      <c r="B283" s="25">
        <f>IF(C283="","",IF(COUNTIFS(tbl_Finance[Job Number],C283&amp;"",tbl_Finance[Xero Invoice No],"&lt;&gt;")=0,"",IFERROR(IF(COUNTIFS(tbl_Finance[Job Number],C283&amp;"",tbl_Finance[Xero Invoice No],LOOKUP(2,1/((tbl_Finance[Job Number]&amp;""=C283&amp;"")*(tbl_Finance[Xero Invoice No]&lt;&gt;"")),tbl_Finance[Xero Invoice No]))=COUNTIFS(tbl_Finance[Job Number],C283&amp;"",tbl_Finance[Xero Invoice No],"&lt;&gt;"),LOOKUP(2,1/((tbl_Finance[Job Number]&amp;""=C283&amp;"")*(tbl_Finance[Xero Invoice No]&lt;&gt;"")),tbl_Finance[Xero Invoice No]),LOOKUP(2,1/((tbl_Finance[Job Number]&amp;""=C283&amp;"")*(tbl_Finance[Xero Invoice No]&lt;&gt;"")),tbl_Finance[Xero Invoice No])&amp;" +more"),"")))</f>
        <v/>
      </c>
      <c r="C283" s="24" t="n"/>
      <c r="D283" s="25">
        <f>IF(C283="","",IF(COUNTIF(lst_Jobs,C283&amp;"")&gt;0,"OK","CHECK"))</f>
        <v/>
      </c>
      <c r="E283" s="25">
        <f>IF(C283="","",IFERROR(INDEX(lst_JobName,MATCH(C283&amp;"",lst_Jobs,0)),""))</f>
        <v/>
      </c>
      <c r="F283" s="25">
        <f>IF(C283="","",IFERROR(INDEX(tbl_Finance[Client],IFERROR(MATCH(C283&amp;"",tbl_Finance[Job Number],0),MATCH(IFERROR(C283+0,C283),tbl_Finance[Job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6" t="n"/>
      <c r="L283" s="27">
        <f>IF(C283="","",IF(K283="",0,MAX(0,K283-H283)))</f>
        <v/>
      </c>
      <c r="M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N283" s="24" t="n"/>
      <c r="O283" s="24" t="n"/>
      <c r="P283" s="25">
        <f>IF(O283="","",HYPERLINK(IF(LEFT(O283,4)="http",O283,set_QwilrBase&amp;O283),"Open quote"))</f>
        <v/>
      </c>
      <c r="Q283" s="71" t="n"/>
      <c r="R283" s="24" t="n"/>
      <c r="S283" s="24" t="n"/>
    </row>
    <row r="284" ht="15" customHeight="1">
      <c r="A284" s="70">
        <f>IF(C284="","",IFERROR(IF(SUMPRODUCT(MAX((tbl_Finance[Job Number]&amp;""=C284&amp;"")*(tbl_Finance[Xero Invoice No]&lt;&gt;"")*tbl_Finance[Date]))=0,"",SUMPRODUCT(MAX((tbl_Finance[Job Number]&amp;""=C284&amp;"")*(tbl_Finance[Xero Invoice No]&lt;&gt;"")*tbl_Finance[Date]))),""))</f>
        <v/>
      </c>
      <c r="B284" s="25">
        <f>IF(C284="","",IF(COUNTIFS(tbl_Finance[Job Number],C284&amp;"",tbl_Finance[Xero Invoice No],"&lt;&gt;")=0,"",IFERROR(IF(COUNTIFS(tbl_Finance[Job Number],C284&amp;"",tbl_Finance[Xero Invoice No],LOOKUP(2,1/((tbl_Finance[Job Number]&amp;""=C284&amp;"")*(tbl_Finance[Xero Invoice No]&lt;&gt;"")),tbl_Finance[Xero Invoice No]))=COUNTIFS(tbl_Finance[Job Number],C284&amp;"",tbl_Finance[Xero Invoice No],"&lt;&gt;"),LOOKUP(2,1/((tbl_Finance[Job Number]&amp;""=C284&amp;"")*(tbl_Finance[Xero Invoice No]&lt;&gt;"")),tbl_Finance[Xero Invoice No]),LOOKUP(2,1/((tbl_Finance[Job Number]&amp;""=C284&amp;"")*(tbl_Finance[Xero Invoice No]&lt;&gt;"")),tbl_Finance[Xero Invoice No])&amp;" +more"),"")))</f>
        <v/>
      </c>
      <c r="C284" s="24" t="n"/>
      <c r="D284" s="25">
        <f>IF(C284="","",IF(COUNTIF(lst_Jobs,C284&amp;"")&gt;0,"OK","CHECK"))</f>
        <v/>
      </c>
      <c r="E284" s="25">
        <f>IF(C284="","",IFERROR(INDEX(lst_JobName,MATCH(C284&amp;"",lst_Jobs,0)),""))</f>
        <v/>
      </c>
      <c r="F284" s="25">
        <f>IF(C284="","",IFERROR(INDEX(tbl_Finance[Client],IFERROR(MATCH(C284&amp;"",tbl_Finance[Job Number],0),MATCH(IFERROR(C284+0,C284),tbl_Finance[Job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6" t="n"/>
      <c r="L284" s="27">
        <f>IF(C284="","",IF(K284="",0,MAX(0,K284-H284)))</f>
        <v/>
      </c>
      <c r="M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N284" s="24" t="n"/>
      <c r="O284" s="24" t="n"/>
      <c r="P284" s="25">
        <f>IF(O284="","",HYPERLINK(IF(LEFT(O284,4)="http",O284,set_QwilrBase&amp;O284),"Open quote"))</f>
        <v/>
      </c>
      <c r="Q284" s="71" t="n"/>
      <c r="R284" s="24" t="n"/>
      <c r="S284" s="24" t="n"/>
    </row>
    <row r="285" ht="15" customHeight="1">
      <c r="A285" s="70">
        <f>IF(C285="","",IFERROR(IF(SUMPRODUCT(MAX((tbl_Finance[Job Number]&amp;""=C285&amp;"")*(tbl_Finance[Xero Invoice No]&lt;&gt;"")*tbl_Finance[Date]))=0,"",SUMPRODUCT(MAX((tbl_Finance[Job Number]&amp;""=C285&amp;"")*(tbl_Finance[Xero Invoice No]&lt;&gt;"")*tbl_Finance[Date]))),""))</f>
        <v/>
      </c>
      <c r="B285" s="25">
        <f>IF(C285="","",IF(COUNTIFS(tbl_Finance[Job Number],C285&amp;"",tbl_Finance[Xero Invoice No],"&lt;&gt;")=0,"",IFERROR(IF(COUNTIFS(tbl_Finance[Job Number],C285&amp;"",tbl_Finance[Xero Invoice No],LOOKUP(2,1/((tbl_Finance[Job Number]&amp;""=C285&amp;"")*(tbl_Finance[Xero Invoice No]&lt;&gt;"")),tbl_Finance[Xero Invoice No]))=COUNTIFS(tbl_Finance[Job Number],C285&amp;"",tbl_Finance[Xero Invoice No],"&lt;&gt;"),LOOKUP(2,1/((tbl_Finance[Job Number]&amp;""=C285&amp;"")*(tbl_Finance[Xero Invoice No]&lt;&gt;"")),tbl_Finance[Xero Invoice No]),LOOKUP(2,1/((tbl_Finance[Job Number]&amp;""=C285&amp;"")*(tbl_Finance[Xero Invoice No]&lt;&gt;"")),tbl_Finance[Xero Invoice No])&amp;" +more"),"")))</f>
        <v/>
      </c>
      <c r="C285" s="24" t="n"/>
      <c r="D285" s="25">
        <f>IF(C285="","",IF(COUNTIF(lst_Jobs,C285&amp;"")&gt;0,"OK","CHECK"))</f>
        <v/>
      </c>
      <c r="E285" s="25">
        <f>IF(C285="","",IFERROR(INDEX(lst_JobName,MATCH(C285&amp;"",lst_Jobs,0)),""))</f>
        <v/>
      </c>
      <c r="F285" s="25">
        <f>IF(C285="","",IFERROR(INDEX(tbl_Finance[Client],IFERROR(MATCH(C285&amp;"",tbl_Finance[Job Number],0),MATCH(IFERROR(C285+0,C285),tbl_Finance[Job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6" t="n"/>
      <c r="L285" s="27">
        <f>IF(C285="","",IF(K285="",0,MAX(0,K285-H285)))</f>
        <v/>
      </c>
      <c r="M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N285" s="24" t="n"/>
      <c r="O285" s="24" t="n"/>
      <c r="P285" s="25">
        <f>IF(O285="","",HYPERLINK(IF(LEFT(O285,4)="http",O285,set_QwilrBase&amp;O285),"Open quote"))</f>
        <v/>
      </c>
      <c r="Q285" s="71" t="n"/>
      <c r="R285" s="24" t="n"/>
      <c r="S285" s="24" t="n"/>
    </row>
    <row r="286" ht="15" customHeight="1">
      <c r="A286" s="70">
        <f>IF(C286="","",IFERROR(IF(SUMPRODUCT(MAX((tbl_Finance[Job Number]&amp;""=C286&amp;"")*(tbl_Finance[Xero Invoice No]&lt;&gt;"")*tbl_Finance[Date]))=0,"",SUMPRODUCT(MAX((tbl_Finance[Job Number]&amp;""=C286&amp;"")*(tbl_Finance[Xero Invoice No]&lt;&gt;"")*tbl_Finance[Date]))),""))</f>
        <v/>
      </c>
      <c r="B286" s="25">
        <f>IF(C286="","",IF(COUNTIFS(tbl_Finance[Job Number],C286&amp;"",tbl_Finance[Xero Invoice No],"&lt;&gt;")=0,"",IFERROR(IF(COUNTIFS(tbl_Finance[Job Number],C286&amp;"",tbl_Finance[Xero Invoice No],LOOKUP(2,1/((tbl_Finance[Job Number]&amp;""=C286&amp;"")*(tbl_Finance[Xero Invoice No]&lt;&gt;"")),tbl_Finance[Xero Invoice No]))=COUNTIFS(tbl_Finance[Job Number],C286&amp;"",tbl_Finance[Xero Invoice No],"&lt;&gt;"),LOOKUP(2,1/((tbl_Finance[Job Number]&amp;""=C286&amp;"")*(tbl_Finance[Xero Invoice No]&lt;&gt;"")),tbl_Finance[Xero Invoice No]),LOOKUP(2,1/((tbl_Finance[Job Number]&amp;""=C286&amp;"")*(tbl_Finance[Xero Invoice No]&lt;&gt;"")),tbl_Finance[Xero Invoice No])&amp;" +more"),"")))</f>
        <v/>
      </c>
      <c r="C286" s="24" t="n"/>
      <c r="D286" s="25">
        <f>IF(C286="","",IF(COUNTIF(lst_Jobs,C286&amp;"")&gt;0,"OK","CHECK"))</f>
        <v/>
      </c>
      <c r="E286" s="25">
        <f>IF(C286="","",IFERROR(INDEX(lst_JobName,MATCH(C286&amp;"",lst_Jobs,0)),""))</f>
        <v/>
      </c>
      <c r="F286" s="25">
        <f>IF(C286="","",IFERROR(INDEX(tbl_Finance[Client],IFERROR(MATCH(C286&amp;"",tbl_Finance[Job Number],0),MATCH(IFERROR(C286+0,C286),tbl_Finance[Job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6" t="n"/>
      <c r="L286" s="27">
        <f>IF(C286="","",IF(K286="",0,MAX(0,K286-H286)))</f>
        <v/>
      </c>
      <c r="M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N286" s="24" t="n"/>
      <c r="O286" s="24" t="n"/>
      <c r="P286" s="25">
        <f>IF(O286="","",HYPERLINK(IF(LEFT(O286,4)="http",O286,set_QwilrBase&amp;O286),"Open quote"))</f>
        <v/>
      </c>
      <c r="Q286" s="71" t="n"/>
      <c r="R286" s="24" t="n"/>
      <c r="S286" s="24" t="n"/>
    </row>
    <row r="287" ht="15" customHeight="1">
      <c r="A287" s="70">
        <f>IF(C287="","",IFERROR(IF(SUMPRODUCT(MAX((tbl_Finance[Job Number]&amp;""=C287&amp;"")*(tbl_Finance[Xero Invoice No]&lt;&gt;"")*tbl_Finance[Date]))=0,"",SUMPRODUCT(MAX((tbl_Finance[Job Number]&amp;""=C287&amp;"")*(tbl_Finance[Xero Invoice No]&lt;&gt;"")*tbl_Finance[Date]))),""))</f>
        <v/>
      </c>
      <c r="B287" s="25">
        <f>IF(C287="","",IF(COUNTIFS(tbl_Finance[Job Number],C287&amp;"",tbl_Finance[Xero Invoice No],"&lt;&gt;")=0,"",IFERROR(IF(COUNTIFS(tbl_Finance[Job Number],C287&amp;"",tbl_Finance[Xero Invoice No],LOOKUP(2,1/((tbl_Finance[Job Number]&amp;""=C287&amp;"")*(tbl_Finance[Xero Invoice No]&lt;&gt;"")),tbl_Finance[Xero Invoice No]))=COUNTIFS(tbl_Finance[Job Number],C287&amp;"",tbl_Finance[Xero Invoice No],"&lt;&gt;"),LOOKUP(2,1/((tbl_Finance[Job Number]&amp;""=C287&amp;"")*(tbl_Finance[Xero Invoice No]&lt;&gt;"")),tbl_Finance[Xero Invoice No]),LOOKUP(2,1/((tbl_Finance[Job Number]&amp;""=C287&amp;"")*(tbl_Finance[Xero Invoice No]&lt;&gt;"")),tbl_Finance[Xero Invoice No])&amp;" +more"),"")))</f>
        <v/>
      </c>
      <c r="C287" s="24" t="n"/>
      <c r="D287" s="25">
        <f>IF(C287="","",IF(COUNTIF(lst_Jobs,C287&amp;"")&gt;0,"OK","CHECK"))</f>
        <v/>
      </c>
      <c r="E287" s="25">
        <f>IF(C287="","",IFERROR(INDEX(lst_JobName,MATCH(C287&amp;"",lst_Jobs,0)),""))</f>
        <v/>
      </c>
      <c r="F287" s="25">
        <f>IF(C287="","",IFERROR(INDEX(tbl_Finance[Client],IFERROR(MATCH(C287&amp;"",tbl_Finance[Job Number],0),MATCH(IFERROR(C287+0,C287),tbl_Finance[Job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6" t="n"/>
      <c r="L287" s="27">
        <f>IF(C287="","",IF(K287="",0,MAX(0,K287-H287)))</f>
        <v/>
      </c>
      <c r="M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N287" s="24" t="n"/>
      <c r="O287" s="24" t="n"/>
      <c r="P287" s="25">
        <f>IF(O287="","",HYPERLINK(IF(LEFT(O287,4)="http",O287,set_QwilrBase&amp;O287),"Open quote"))</f>
        <v/>
      </c>
      <c r="Q287" s="71" t="n"/>
      <c r="R287" s="24" t="n"/>
      <c r="S287" s="24" t="n"/>
    </row>
    <row r="288" ht="15" customHeight="1">
      <c r="A288" s="70">
        <f>IF(C288="","",IFERROR(IF(SUMPRODUCT(MAX((tbl_Finance[Job Number]&amp;""=C288&amp;"")*(tbl_Finance[Xero Invoice No]&lt;&gt;"")*tbl_Finance[Date]))=0,"",SUMPRODUCT(MAX((tbl_Finance[Job Number]&amp;""=C288&amp;"")*(tbl_Finance[Xero Invoice No]&lt;&gt;"")*tbl_Finance[Date]))),""))</f>
        <v/>
      </c>
      <c r="B288" s="25">
        <f>IF(C288="","",IF(COUNTIFS(tbl_Finance[Job Number],C288&amp;"",tbl_Finance[Xero Invoice No],"&lt;&gt;")=0,"",IFERROR(IF(COUNTIFS(tbl_Finance[Job Number],C288&amp;"",tbl_Finance[Xero Invoice No],LOOKUP(2,1/((tbl_Finance[Job Number]&amp;""=C288&amp;"")*(tbl_Finance[Xero Invoice No]&lt;&gt;"")),tbl_Finance[Xero Invoice No]))=COUNTIFS(tbl_Finance[Job Number],C288&amp;"",tbl_Finance[Xero Invoice No],"&lt;&gt;"),LOOKUP(2,1/((tbl_Finance[Job Number]&amp;""=C288&amp;"")*(tbl_Finance[Xero Invoice No]&lt;&gt;"")),tbl_Finance[Xero Invoice No]),LOOKUP(2,1/((tbl_Finance[Job Number]&amp;""=C288&amp;"")*(tbl_Finance[Xero Invoice No]&lt;&gt;"")),tbl_Finance[Xero Invoice No])&amp;" +more"),"")))</f>
        <v/>
      </c>
      <c r="C288" s="24" t="n"/>
      <c r="D288" s="25">
        <f>IF(C288="","",IF(COUNTIF(lst_Jobs,C288&amp;"")&gt;0,"OK","CHECK"))</f>
        <v/>
      </c>
      <c r="E288" s="25">
        <f>IF(C288="","",IFERROR(INDEX(lst_JobName,MATCH(C288&amp;"",lst_Jobs,0)),""))</f>
        <v/>
      </c>
      <c r="F288" s="25">
        <f>IF(C288="","",IFERROR(INDEX(tbl_Finance[Client],IFERROR(MATCH(C288&amp;"",tbl_Finance[Job Number],0),MATCH(IFERROR(C288+0,C288),tbl_Finance[Job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6" t="n"/>
      <c r="L288" s="27">
        <f>IF(C288="","",IF(K288="",0,MAX(0,K288-H288)))</f>
        <v/>
      </c>
      <c r="M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N288" s="24" t="n"/>
      <c r="O288" s="24" t="n"/>
      <c r="P288" s="25">
        <f>IF(O288="","",HYPERLINK(IF(LEFT(O288,4)="http",O288,set_QwilrBase&amp;O288),"Open quote"))</f>
        <v/>
      </c>
      <c r="Q288" s="71" t="n"/>
      <c r="R288" s="24" t="n"/>
      <c r="S288" s="24" t="n"/>
    </row>
    <row r="289" ht="15" customHeight="1">
      <c r="A289" s="70">
        <f>IF(C289="","",IFERROR(IF(SUMPRODUCT(MAX((tbl_Finance[Job Number]&amp;""=C289&amp;"")*(tbl_Finance[Xero Invoice No]&lt;&gt;"")*tbl_Finance[Date]))=0,"",SUMPRODUCT(MAX((tbl_Finance[Job Number]&amp;""=C289&amp;"")*(tbl_Finance[Xero Invoice No]&lt;&gt;"")*tbl_Finance[Date]))),""))</f>
        <v/>
      </c>
      <c r="B289" s="25">
        <f>IF(C289="","",IF(COUNTIFS(tbl_Finance[Job Number],C289&amp;"",tbl_Finance[Xero Invoice No],"&lt;&gt;")=0,"",IFERROR(IF(COUNTIFS(tbl_Finance[Job Number],C289&amp;"",tbl_Finance[Xero Invoice No],LOOKUP(2,1/((tbl_Finance[Job Number]&amp;""=C289&amp;"")*(tbl_Finance[Xero Invoice No]&lt;&gt;"")),tbl_Finance[Xero Invoice No]))=COUNTIFS(tbl_Finance[Job Number],C289&amp;"",tbl_Finance[Xero Invoice No],"&lt;&gt;"),LOOKUP(2,1/((tbl_Finance[Job Number]&amp;""=C289&amp;"")*(tbl_Finance[Xero Invoice No]&lt;&gt;"")),tbl_Finance[Xero Invoice No]),LOOKUP(2,1/((tbl_Finance[Job Number]&amp;""=C289&amp;"")*(tbl_Finance[Xero Invoice No]&lt;&gt;"")),tbl_Finance[Xero Invoice No])&amp;" +more"),"")))</f>
        <v/>
      </c>
      <c r="C289" s="24" t="n"/>
      <c r="D289" s="25">
        <f>IF(C289="","",IF(COUNTIF(lst_Jobs,C289&amp;"")&gt;0,"OK","CHECK"))</f>
        <v/>
      </c>
      <c r="E289" s="25">
        <f>IF(C289="","",IFERROR(INDEX(lst_JobName,MATCH(C289&amp;"",lst_Jobs,0)),""))</f>
        <v/>
      </c>
      <c r="F289" s="25">
        <f>IF(C289="","",IFERROR(INDEX(tbl_Finance[Client],IFERROR(MATCH(C289&amp;"",tbl_Finance[Job Number],0),MATCH(IFERROR(C289+0,C289),tbl_Finance[Job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6" t="n"/>
      <c r="L289" s="27">
        <f>IF(C289="","",IF(K289="",0,MAX(0,K289-H289)))</f>
        <v/>
      </c>
      <c r="M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N289" s="24" t="n"/>
      <c r="O289" s="24" t="n"/>
      <c r="P289" s="25">
        <f>IF(O289="","",HYPERLINK(IF(LEFT(O289,4)="http",O289,set_QwilrBase&amp;O289),"Open quote"))</f>
        <v/>
      </c>
      <c r="Q289" s="71" t="n"/>
      <c r="R289" s="24" t="n"/>
      <c r="S289" s="24" t="n"/>
    </row>
    <row r="290" ht="15" customHeight="1">
      <c r="A290" s="70">
        <f>IF(C290="","",IFERROR(IF(SUMPRODUCT(MAX((tbl_Finance[Job Number]&amp;""=C290&amp;"")*(tbl_Finance[Xero Invoice No]&lt;&gt;"")*tbl_Finance[Date]))=0,"",SUMPRODUCT(MAX((tbl_Finance[Job Number]&amp;""=C290&amp;"")*(tbl_Finance[Xero Invoice No]&lt;&gt;"")*tbl_Finance[Date]))),""))</f>
        <v/>
      </c>
      <c r="B290" s="25">
        <f>IF(C290="","",IF(COUNTIFS(tbl_Finance[Job Number],C290&amp;"",tbl_Finance[Xero Invoice No],"&lt;&gt;")=0,"",IFERROR(IF(COUNTIFS(tbl_Finance[Job Number],C290&amp;"",tbl_Finance[Xero Invoice No],LOOKUP(2,1/((tbl_Finance[Job Number]&amp;""=C290&amp;"")*(tbl_Finance[Xero Invoice No]&lt;&gt;"")),tbl_Finance[Xero Invoice No]))=COUNTIFS(tbl_Finance[Job Number],C290&amp;"",tbl_Finance[Xero Invoice No],"&lt;&gt;"),LOOKUP(2,1/((tbl_Finance[Job Number]&amp;""=C290&amp;"")*(tbl_Finance[Xero Invoice No]&lt;&gt;"")),tbl_Finance[Xero Invoice No]),LOOKUP(2,1/((tbl_Finance[Job Number]&amp;""=C290&amp;"")*(tbl_Finance[Xero Invoice No]&lt;&gt;"")),tbl_Finance[Xero Invoice No])&amp;" +more"),"")))</f>
        <v/>
      </c>
      <c r="C290" s="24" t="n"/>
      <c r="D290" s="25">
        <f>IF(C290="","",IF(COUNTIF(lst_Jobs,C290&amp;"")&gt;0,"OK","CHECK"))</f>
        <v/>
      </c>
      <c r="E290" s="25">
        <f>IF(C290="","",IFERROR(INDEX(lst_JobName,MATCH(C290&amp;"",lst_Jobs,0)),""))</f>
        <v/>
      </c>
      <c r="F290" s="25">
        <f>IF(C290="","",IFERROR(INDEX(tbl_Finance[Client],IFERROR(MATCH(C290&amp;"",tbl_Finance[Job Number],0),MATCH(IFERROR(C290+0,C290),tbl_Finance[Job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6" t="n"/>
      <c r="L290" s="27">
        <f>IF(C290="","",IF(K290="",0,MAX(0,K290-H290)))</f>
        <v/>
      </c>
      <c r="M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N290" s="24" t="n"/>
      <c r="O290" s="24" t="n"/>
      <c r="P290" s="25">
        <f>IF(O290="","",HYPERLINK(IF(LEFT(O290,4)="http",O290,set_QwilrBase&amp;O290),"Open quote"))</f>
        <v/>
      </c>
      <c r="Q290" s="71" t="n"/>
      <c r="R290" s="24" t="n"/>
      <c r="S290" s="24" t="n"/>
    </row>
    <row r="291" ht="15" customHeight="1">
      <c r="A291" s="70">
        <f>IF(C291="","",IFERROR(IF(SUMPRODUCT(MAX((tbl_Finance[Job Number]&amp;""=C291&amp;"")*(tbl_Finance[Xero Invoice No]&lt;&gt;"")*tbl_Finance[Date]))=0,"",SUMPRODUCT(MAX((tbl_Finance[Job Number]&amp;""=C291&amp;"")*(tbl_Finance[Xero Invoice No]&lt;&gt;"")*tbl_Finance[Date]))),""))</f>
        <v/>
      </c>
      <c r="B291" s="25">
        <f>IF(C291="","",IF(COUNTIFS(tbl_Finance[Job Number],C291&amp;"",tbl_Finance[Xero Invoice No],"&lt;&gt;")=0,"",IFERROR(IF(COUNTIFS(tbl_Finance[Job Number],C291&amp;"",tbl_Finance[Xero Invoice No],LOOKUP(2,1/((tbl_Finance[Job Number]&amp;""=C291&amp;"")*(tbl_Finance[Xero Invoice No]&lt;&gt;"")),tbl_Finance[Xero Invoice No]))=COUNTIFS(tbl_Finance[Job Number],C291&amp;"",tbl_Finance[Xero Invoice No],"&lt;&gt;"),LOOKUP(2,1/((tbl_Finance[Job Number]&amp;""=C291&amp;"")*(tbl_Finance[Xero Invoice No]&lt;&gt;"")),tbl_Finance[Xero Invoice No]),LOOKUP(2,1/((tbl_Finance[Job Number]&amp;""=C291&amp;"")*(tbl_Finance[Xero Invoice No]&lt;&gt;"")),tbl_Finance[Xero Invoice No])&amp;" +more"),"")))</f>
        <v/>
      </c>
      <c r="C291" s="24" t="n"/>
      <c r="D291" s="25">
        <f>IF(C291="","",IF(COUNTIF(lst_Jobs,C291&amp;"")&gt;0,"OK","CHECK"))</f>
        <v/>
      </c>
      <c r="E291" s="25">
        <f>IF(C291="","",IFERROR(INDEX(lst_JobName,MATCH(C291&amp;"",lst_Jobs,0)),""))</f>
        <v/>
      </c>
      <c r="F291" s="25">
        <f>IF(C291="","",IFERROR(INDEX(tbl_Finance[Client],IFERROR(MATCH(C291&amp;"",tbl_Finance[Job Number],0),MATCH(IFERROR(C291+0,C291),tbl_Finance[Job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6" t="n"/>
      <c r="L291" s="27">
        <f>IF(C291="","",IF(K291="",0,MAX(0,K291-H291)))</f>
        <v/>
      </c>
      <c r="M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N291" s="24" t="n"/>
      <c r="O291" s="24" t="n"/>
      <c r="P291" s="25">
        <f>IF(O291="","",HYPERLINK(IF(LEFT(O291,4)="http",O291,set_QwilrBase&amp;O291),"Open quote"))</f>
        <v/>
      </c>
      <c r="Q291" s="71" t="n"/>
      <c r="R291" s="24" t="n"/>
      <c r="S291" s="24" t="n"/>
    </row>
    <row r="292" ht="15" customHeight="1">
      <c r="A292" s="70">
        <f>IF(C292="","",IFERROR(IF(SUMPRODUCT(MAX((tbl_Finance[Job Number]&amp;""=C292&amp;"")*(tbl_Finance[Xero Invoice No]&lt;&gt;"")*tbl_Finance[Date]))=0,"",SUMPRODUCT(MAX((tbl_Finance[Job Number]&amp;""=C292&amp;"")*(tbl_Finance[Xero Invoice No]&lt;&gt;"")*tbl_Finance[Date]))),""))</f>
        <v/>
      </c>
      <c r="B292" s="25">
        <f>IF(C292="","",IF(COUNTIFS(tbl_Finance[Job Number],C292&amp;"",tbl_Finance[Xero Invoice No],"&lt;&gt;")=0,"",IFERROR(IF(COUNTIFS(tbl_Finance[Job Number],C292&amp;"",tbl_Finance[Xero Invoice No],LOOKUP(2,1/((tbl_Finance[Job Number]&amp;""=C292&amp;"")*(tbl_Finance[Xero Invoice No]&lt;&gt;"")),tbl_Finance[Xero Invoice No]))=COUNTIFS(tbl_Finance[Job Number],C292&amp;"",tbl_Finance[Xero Invoice No],"&lt;&gt;"),LOOKUP(2,1/((tbl_Finance[Job Number]&amp;""=C292&amp;"")*(tbl_Finance[Xero Invoice No]&lt;&gt;"")),tbl_Finance[Xero Invoice No]),LOOKUP(2,1/((tbl_Finance[Job Number]&amp;""=C292&amp;"")*(tbl_Finance[Xero Invoice No]&lt;&gt;"")),tbl_Finance[Xero Invoice No])&amp;" +more"),"")))</f>
        <v/>
      </c>
      <c r="C292" s="24" t="n"/>
      <c r="D292" s="25">
        <f>IF(C292="","",IF(COUNTIF(lst_Jobs,C292&amp;"")&gt;0,"OK","CHECK"))</f>
        <v/>
      </c>
      <c r="E292" s="25">
        <f>IF(C292="","",IFERROR(INDEX(lst_JobName,MATCH(C292&amp;"",lst_Jobs,0)),""))</f>
        <v/>
      </c>
      <c r="F292" s="25">
        <f>IF(C292="","",IFERROR(INDEX(tbl_Finance[Client],IFERROR(MATCH(C292&amp;"",tbl_Finance[Job Number],0),MATCH(IFERROR(C292+0,C292),tbl_Finance[Job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6" t="n"/>
      <c r="L292" s="27">
        <f>IF(C292="","",IF(K292="",0,MAX(0,K292-H292)))</f>
        <v/>
      </c>
      <c r="M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N292" s="24" t="n"/>
      <c r="O292" s="24" t="n"/>
      <c r="P292" s="25">
        <f>IF(O292="","",HYPERLINK(IF(LEFT(O292,4)="http",O292,set_QwilrBase&amp;O292),"Open quote"))</f>
        <v/>
      </c>
      <c r="Q292" s="71" t="n"/>
      <c r="R292" s="24" t="n"/>
      <c r="S292" s="24" t="n"/>
    </row>
    <row r="293" ht="15" customHeight="1">
      <c r="A293" s="70">
        <f>IF(C293="","",IFERROR(IF(SUMPRODUCT(MAX((tbl_Finance[Job Number]&amp;""=C293&amp;"")*(tbl_Finance[Xero Invoice No]&lt;&gt;"")*tbl_Finance[Date]))=0,"",SUMPRODUCT(MAX((tbl_Finance[Job Number]&amp;""=C293&amp;"")*(tbl_Finance[Xero Invoice No]&lt;&gt;"")*tbl_Finance[Date]))),""))</f>
        <v/>
      </c>
      <c r="B293" s="25">
        <f>IF(C293="","",IF(COUNTIFS(tbl_Finance[Job Number],C293&amp;"",tbl_Finance[Xero Invoice No],"&lt;&gt;")=0,"",IFERROR(IF(COUNTIFS(tbl_Finance[Job Number],C293&amp;"",tbl_Finance[Xero Invoice No],LOOKUP(2,1/((tbl_Finance[Job Number]&amp;""=C293&amp;"")*(tbl_Finance[Xero Invoice No]&lt;&gt;"")),tbl_Finance[Xero Invoice No]))=COUNTIFS(tbl_Finance[Job Number],C293&amp;"",tbl_Finance[Xero Invoice No],"&lt;&gt;"),LOOKUP(2,1/((tbl_Finance[Job Number]&amp;""=C293&amp;"")*(tbl_Finance[Xero Invoice No]&lt;&gt;"")),tbl_Finance[Xero Invoice No]),LOOKUP(2,1/((tbl_Finance[Job Number]&amp;""=C293&amp;"")*(tbl_Finance[Xero Invoice No]&lt;&gt;"")),tbl_Finance[Xero Invoice No])&amp;" +more"),"")))</f>
        <v/>
      </c>
      <c r="C293" s="24" t="n"/>
      <c r="D293" s="25">
        <f>IF(C293="","",IF(COUNTIF(lst_Jobs,C293&amp;"")&gt;0,"OK","CHECK"))</f>
        <v/>
      </c>
      <c r="E293" s="25">
        <f>IF(C293="","",IFERROR(INDEX(lst_JobName,MATCH(C293&amp;"",lst_Jobs,0)),""))</f>
        <v/>
      </c>
      <c r="F293" s="25">
        <f>IF(C293="","",IFERROR(INDEX(tbl_Finance[Client],IFERROR(MATCH(C293&amp;"",tbl_Finance[Job Number],0),MATCH(IFERROR(C293+0,C293),tbl_Finance[Job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6" t="n"/>
      <c r="L293" s="27">
        <f>IF(C293="","",IF(K293="",0,MAX(0,K293-H293)))</f>
        <v/>
      </c>
      <c r="M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N293" s="24" t="n"/>
      <c r="O293" s="24" t="n"/>
      <c r="P293" s="25">
        <f>IF(O293="","",HYPERLINK(IF(LEFT(O293,4)="http",O293,set_QwilrBase&amp;O293),"Open quote"))</f>
        <v/>
      </c>
      <c r="Q293" s="71" t="n"/>
      <c r="R293" s="24" t="n"/>
      <c r="S293" s="24" t="n"/>
    </row>
    <row r="294" ht="15" customHeight="1">
      <c r="A294" s="70">
        <f>IF(C294="","",IFERROR(IF(SUMPRODUCT(MAX((tbl_Finance[Job Number]&amp;""=C294&amp;"")*(tbl_Finance[Xero Invoice No]&lt;&gt;"")*tbl_Finance[Date]))=0,"",SUMPRODUCT(MAX((tbl_Finance[Job Number]&amp;""=C294&amp;"")*(tbl_Finance[Xero Invoice No]&lt;&gt;"")*tbl_Finance[Date]))),""))</f>
        <v/>
      </c>
      <c r="B294" s="25">
        <f>IF(C294="","",IF(COUNTIFS(tbl_Finance[Job Number],C294&amp;"",tbl_Finance[Xero Invoice No],"&lt;&gt;")=0,"",IFERROR(IF(COUNTIFS(tbl_Finance[Job Number],C294&amp;"",tbl_Finance[Xero Invoice No],LOOKUP(2,1/((tbl_Finance[Job Number]&amp;""=C294&amp;"")*(tbl_Finance[Xero Invoice No]&lt;&gt;"")),tbl_Finance[Xero Invoice No]))=COUNTIFS(tbl_Finance[Job Number],C294&amp;"",tbl_Finance[Xero Invoice No],"&lt;&gt;"),LOOKUP(2,1/((tbl_Finance[Job Number]&amp;""=C294&amp;"")*(tbl_Finance[Xero Invoice No]&lt;&gt;"")),tbl_Finance[Xero Invoice No]),LOOKUP(2,1/((tbl_Finance[Job Number]&amp;""=C294&amp;"")*(tbl_Finance[Xero Invoice No]&lt;&gt;"")),tbl_Finance[Xero Invoice No])&amp;" +more"),"")))</f>
        <v/>
      </c>
      <c r="C294" s="24" t="n"/>
      <c r="D294" s="25">
        <f>IF(C294="","",IF(COUNTIF(lst_Jobs,C294&amp;"")&gt;0,"OK","CHECK"))</f>
        <v/>
      </c>
      <c r="E294" s="25">
        <f>IF(C294="","",IFERROR(INDEX(lst_JobName,MATCH(C294&amp;"",lst_Jobs,0)),""))</f>
        <v/>
      </c>
      <c r="F294" s="25">
        <f>IF(C294="","",IFERROR(INDEX(tbl_Finance[Client],IFERROR(MATCH(C294&amp;"",tbl_Finance[Job Number],0),MATCH(IFERROR(C294+0,C294),tbl_Finance[Job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6" t="n"/>
      <c r="L294" s="27">
        <f>IF(C294="","",IF(K294="",0,MAX(0,K294-H294)))</f>
        <v/>
      </c>
      <c r="M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N294" s="24" t="n"/>
      <c r="O294" s="24" t="n"/>
      <c r="P294" s="25">
        <f>IF(O294="","",HYPERLINK(IF(LEFT(O294,4)="http",O294,set_QwilrBase&amp;O294),"Open quote"))</f>
        <v/>
      </c>
      <c r="Q294" s="71" t="n"/>
      <c r="R294" s="24" t="n"/>
      <c r="S294" s="24" t="n"/>
    </row>
    <row r="295" ht="15" customHeight="1">
      <c r="A295" s="70">
        <f>IF(C295="","",IFERROR(IF(SUMPRODUCT(MAX((tbl_Finance[Job Number]&amp;""=C295&amp;"")*(tbl_Finance[Xero Invoice No]&lt;&gt;"")*tbl_Finance[Date]))=0,"",SUMPRODUCT(MAX((tbl_Finance[Job Number]&amp;""=C295&amp;"")*(tbl_Finance[Xero Invoice No]&lt;&gt;"")*tbl_Finance[Date]))),""))</f>
        <v/>
      </c>
      <c r="B295" s="25">
        <f>IF(C295="","",IF(COUNTIFS(tbl_Finance[Job Number],C295&amp;"",tbl_Finance[Xero Invoice No],"&lt;&gt;")=0,"",IFERROR(IF(COUNTIFS(tbl_Finance[Job Number],C295&amp;"",tbl_Finance[Xero Invoice No],LOOKUP(2,1/((tbl_Finance[Job Number]&amp;""=C295&amp;"")*(tbl_Finance[Xero Invoice No]&lt;&gt;"")),tbl_Finance[Xero Invoice No]))=COUNTIFS(tbl_Finance[Job Number],C295&amp;"",tbl_Finance[Xero Invoice No],"&lt;&gt;"),LOOKUP(2,1/((tbl_Finance[Job Number]&amp;""=C295&amp;"")*(tbl_Finance[Xero Invoice No]&lt;&gt;"")),tbl_Finance[Xero Invoice No]),LOOKUP(2,1/((tbl_Finance[Job Number]&amp;""=C295&amp;"")*(tbl_Finance[Xero Invoice No]&lt;&gt;"")),tbl_Finance[Xero Invoice No])&amp;" +more"),"")))</f>
        <v/>
      </c>
      <c r="C295" s="24" t="n"/>
      <c r="D295" s="25">
        <f>IF(C295="","",IF(COUNTIF(lst_Jobs,C295&amp;"")&gt;0,"OK","CHECK"))</f>
        <v/>
      </c>
      <c r="E295" s="25">
        <f>IF(C295="","",IFERROR(INDEX(lst_JobName,MATCH(C295&amp;"",lst_Jobs,0)),""))</f>
        <v/>
      </c>
      <c r="F295" s="25">
        <f>IF(C295="","",IFERROR(INDEX(tbl_Finance[Client],IFERROR(MATCH(C295&amp;"",tbl_Finance[Job Number],0),MATCH(IFERROR(C295+0,C295),tbl_Finance[Job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6" t="n"/>
      <c r="L295" s="27">
        <f>IF(C295="","",IF(K295="",0,MAX(0,K295-H295)))</f>
        <v/>
      </c>
      <c r="M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N295" s="24" t="n"/>
      <c r="O295" s="24" t="n"/>
      <c r="P295" s="25">
        <f>IF(O295="","",HYPERLINK(IF(LEFT(O295,4)="http",O295,set_QwilrBase&amp;O295),"Open quote"))</f>
        <v/>
      </c>
      <c r="Q295" s="71" t="n"/>
      <c r="R295" s="24" t="n"/>
      <c r="S295" s="24" t="n"/>
    </row>
    <row r="296" ht="15" customHeight="1">
      <c r="A296" s="70">
        <f>IF(C296="","",IFERROR(IF(SUMPRODUCT(MAX((tbl_Finance[Job Number]&amp;""=C296&amp;"")*(tbl_Finance[Xero Invoice No]&lt;&gt;"")*tbl_Finance[Date]))=0,"",SUMPRODUCT(MAX((tbl_Finance[Job Number]&amp;""=C296&amp;"")*(tbl_Finance[Xero Invoice No]&lt;&gt;"")*tbl_Finance[Date]))),""))</f>
        <v/>
      </c>
      <c r="B296" s="25">
        <f>IF(C296="","",IF(COUNTIFS(tbl_Finance[Job Number],C296&amp;"",tbl_Finance[Xero Invoice No],"&lt;&gt;")=0,"",IFERROR(IF(COUNTIFS(tbl_Finance[Job Number],C296&amp;"",tbl_Finance[Xero Invoice No],LOOKUP(2,1/((tbl_Finance[Job Number]&amp;""=C296&amp;"")*(tbl_Finance[Xero Invoice No]&lt;&gt;"")),tbl_Finance[Xero Invoice No]))=COUNTIFS(tbl_Finance[Job Number],C296&amp;"",tbl_Finance[Xero Invoice No],"&lt;&gt;"),LOOKUP(2,1/((tbl_Finance[Job Number]&amp;""=C296&amp;"")*(tbl_Finance[Xero Invoice No]&lt;&gt;"")),tbl_Finance[Xero Invoice No]),LOOKUP(2,1/((tbl_Finance[Job Number]&amp;""=C296&amp;"")*(tbl_Finance[Xero Invoice No]&lt;&gt;"")),tbl_Finance[Xero Invoice No])&amp;" +more"),"")))</f>
        <v/>
      </c>
      <c r="C296" s="24" t="n"/>
      <c r="D296" s="25">
        <f>IF(C296="","",IF(COUNTIF(lst_Jobs,C296&amp;"")&gt;0,"OK","CHECK"))</f>
        <v/>
      </c>
      <c r="E296" s="25">
        <f>IF(C296="","",IFERROR(INDEX(lst_JobName,MATCH(C296&amp;"",lst_Jobs,0)),""))</f>
        <v/>
      </c>
      <c r="F296" s="25">
        <f>IF(C296="","",IFERROR(INDEX(tbl_Finance[Client],IFERROR(MATCH(C296&amp;"",tbl_Finance[Job Number],0),MATCH(IFERROR(C296+0,C296),tbl_Finance[Job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6" t="n"/>
      <c r="L296" s="27">
        <f>IF(C296="","",IF(K296="",0,MAX(0,K296-H296)))</f>
        <v/>
      </c>
      <c r="M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N296" s="24" t="n"/>
      <c r="O296" s="24" t="n"/>
      <c r="P296" s="25">
        <f>IF(O296="","",HYPERLINK(IF(LEFT(O296,4)="http",O296,set_QwilrBase&amp;O296),"Open quote"))</f>
        <v/>
      </c>
      <c r="Q296" s="71" t="n"/>
      <c r="R296" s="24" t="n"/>
      <c r="S296" s="24" t="n"/>
    </row>
    <row r="297" ht="15" customHeight="1">
      <c r="A297" s="70">
        <f>IF(C297="","",IFERROR(IF(SUMPRODUCT(MAX((tbl_Finance[Job Number]&amp;""=C297&amp;"")*(tbl_Finance[Xero Invoice No]&lt;&gt;"")*tbl_Finance[Date]))=0,"",SUMPRODUCT(MAX((tbl_Finance[Job Number]&amp;""=C297&amp;"")*(tbl_Finance[Xero Invoice No]&lt;&gt;"")*tbl_Finance[Date]))),""))</f>
        <v/>
      </c>
      <c r="B297" s="25">
        <f>IF(C297="","",IF(COUNTIFS(tbl_Finance[Job Number],C297&amp;"",tbl_Finance[Xero Invoice No],"&lt;&gt;")=0,"",IFERROR(IF(COUNTIFS(tbl_Finance[Job Number],C297&amp;"",tbl_Finance[Xero Invoice No],LOOKUP(2,1/((tbl_Finance[Job Number]&amp;""=C297&amp;"")*(tbl_Finance[Xero Invoice No]&lt;&gt;"")),tbl_Finance[Xero Invoice No]))=COUNTIFS(tbl_Finance[Job Number],C297&amp;"",tbl_Finance[Xero Invoice No],"&lt;&gt;"),LOOKUP(2,1/((tbl_Finance[Job Number]&amp;""=C297&amp;"")*(tbl_Finance[Xero Invoice No]&lt;&gt;"")),tbl_Finance[Xero Invoice No]),LOOKUP(2,1/((tbl_Finance[Job Number]&amp;""=C297&amp;"")*(tbl_Finance[Xero Invoice No]&lt;&gt;"")),tbl_Finance[Xero Invoice No])&amp;" +more"),"")))</f>
        <v/>
      </c>
      <c r="C297" s="24" t="n"/>
      <c r="D297" s="25">
        <f>IF(C297="","",IF(COUNTIF(lst_Jobs,C297&amp;"")&gt;0,"OK","CHECK"))</f>
        <v/>
      </c>
      <c r="E297" s="25">
        <f>IF(C297="","",IFERROR(INDEX(lst_JobName,MATCH(C297&amp;"",lst_Jobs,0)),""))</f>
        <v/>
      </c>
      <c r="F297" s="25">
        <f>IF(C297="","",IFERROR(INDEX(tbl_Finance[Client],IFERROR(MATCH(C297&amp;"",tbl_Finance[Job Number],0),MATCH(IFERROR(C297+0,C297),tbl_Finance[Job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6" t="n"/>
      <c r="L297" s="27">
        <f>IF(C297="","",IF(K297="",0,MAX(0,K297-H297)))</f>
        <v/>
      </c>
      <c r="M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N297" s="24" t="n"/>
      <c r="O297" s="24" t="n"/>
      <c r="P297" s="25">
        <f>IF(O297="","",HYPERLINK(IF(LEFT(O297,4)="http",O297,set_QwilrBase&amp;O297),"Open quote"))</f>
        <v/>
      </c>
      <c r="Q297" s="71" t="n"/>
      <c r="R297" s="24" t="n"/>
      <c r="S297" s="24" t="n"/>
    </row>
    <row r="298" ht="15" customHeight="1">
      <c r="A298" s="70">
        <f>IF(C298="","",IFERROR(IF(SUMPRODUCT(MAX((tbl_Finance[Job Number]&amp;""=C298&amp;"")*(tbl_Finance[Xero Invoice No]&lt;&gt;"")*tbl_Finance[Date]))=0,"",SUMPRODUCT(MAX((tbl_Finance[Job Number]&amp;""=C298&amp;"")*(tbl_Finance[Xero Invoice No]&lt;&gt;"")*tbl_Finance[Date]))),""))</f>
        <v/>
      </c>
      <c r="B298" s="25">
        <f>IF(C298="","",IF(COUNTIFS(tbl_Finance[Job Number],C298&amp;"",tbl_Finance[Xero Invoice No],"&lt;&gt;")=0,"",IFERROR(IF(COUNTIFS(tbl_Finance[Job Number],C298&amp;"",tbl_Finance[Xero Invoice No],LOOKUP(2,1/((tbl_Finance[Job Number]&amp;""=C298&amp;"")*(tbl_Finance[Xero Invoice No]&lt;&gt;"")),tbl_Finance[Xero Invoice No]))=COUNTIFS(tbl_Finance[Job Number],C298&amp;"",tbl_Finance[Xero Invoice No],"&lt;&gt;"),LOOKUP(2,1/((tbl_Finance[Job Number]&amp;""=C298&amp;"")*(tbl_Finance[Xero Invoice No]&lt;&gt;"")),tbl_Finance[Xero Invoice No]),LOOKUP(2,1/((tbl_Finance[Job Number]&amp;""=C298&amp;"")*(tbl_Finance[Xero Invoice No]&lt;&gt;"")),tbl_Finance[Xero Invoice No])&amp;" +more"),"")))</f>
        <v/>
      </c>
      <c r="C298" s="24" t="n"/>
      <c r="D298" s="25">
        <f>IF(C298="","",IF(COUNTIF(lst_Jobs,C298&amp;"")&gt;0,"OK","CHECK"))</f>
        <v/>
      </c>
      <c r="E298" s="25">
        <f>IF(C298="","",IFERROR(INDEX(lst_JobName,MATCH(C298&amp;"",lst_Jobs,0)),""))</f>
        <v/>
      </c>
      <c r="F298" s="25">
        <f>IF(C298="","",IFERROR(INDEX(tbl_Finance[Client],IFERROR(MATCH(C298&amp;"",tbl_Finance[Job Number],0),MATCH(IFERROR(C298+0,C298),tbl_Finance[Job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6" t="n"/>
      <c r="L298" s="27">
        <f>IF(C298="","",IF(K298="",0,MAX(0,K298-H298)))</f>
        <v/>
      </c>
      <c r="M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N298" s="24" t="n"/>
      <c r="O298" s="24" t="n"/>
      <c r="P298" s="25">
        <f>IF(O298="","",HYPERLINK(IF(LEFT(O298,4)="http",O298,set_QwilrBase&amp;O298),"Open quote"))</f>
        <v/>
      </c>
      <c r="Q298" s="71" t="n"/>
      <c r="R298" s="24" t="n"/>
      <c r="S298" s="24" t="n"/>
    </row>
    <row r="299" ht="15" customHeight="1">
      <c r="A299" s="70">
        <f>IF(C299="","",IFERROR(IF(SUMPRODUCT(MAX((tbl_Finance[Job Number]&amp;""=C299&amp;"")*(tbl_Finance[Xero Invoice No]&lt;&gt;"")*tbl_Finance[Date]))=0,"",SUMPRODUCT(MAX((tbl_Finance[Job Number]&amp;""=C299&amp;"")*(tbl_Finance[Xero Invoice No]&lt;&gt;"")*tbl_Finance[Date]))),""))</f>
        <v/>
      </c>
      <c r="B299" s="25">
        <f>IF(C299="","",IF(COUNTIFS(tbl_Finance[Job Number],C299&amp;"",tbl_Finance[Xero Invoice No],"&lt;&gt;")=0,"",IFERROR(IF(COUNTIFS(tbl_Finance[Job Number],C299&amp;"",tbl_Finance[Xero Invoice No],LOOKUP(2,1/((tbl_Finance[Job Number]&amp;""=C299&amp;"")*(tbl_Finance[Xero Invoice No]&lt;&gt;"")),tbl_Finance[Xero Invoice No]))=COUNTIFS(tbl_Finance[Job Number],C299&amp;"",tbl_Finance[Xero Invoice No],"&lt;&gt;"),LOOKUP(2,1/((tbl_Finance[Job Number]&amp;""=C299&amp;"")*(tbl_Finance[Xero Invoice No]&lt;&gt;"")),tbl_Finance[Xero Invoice No]),LOOKUP(2,1/((tbl_Finance[Job Number]&amp;""=C299&amp;"")*(tbl_Finance[Xero Invoice No]&lt;&gt;"")),tbl_Finance[Xero Invoice No])&amp;" +more"),"")))</f>
        <v/>
      </c>
      <c r="C299" s="24" t="n"/>
      <c r="D299" s="25">
        <f>IF(C299="","",IF(COUNTIF(lst_Jobs,C299&amp;"")&gt;0,"OK","CHECK"))</f>
        <v/>
      </c>
      <c r="E299" s="25">
        <f>IF(C299="","",IFERROR(INDEX(lst_JobName,MATCH(C299&amp;"",lst_Jobs,0)),""))</f>
        <v/>
      </c>
      <c r="F299" s="25">
        <f>IF(C299="","",IFERROR(INDEX(tbl_Finance[Client],IFERROR(MATCH(C299&amp;"",tbl_Finance[Job Number],0),MATCH(IFERROR(C299+0,C299),tbl_Finance[Job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6" t="n"/>
      <c r="L299" s="27">
        <f>IF(C299="","",IF(K299="",0,MAX(0,K299-H299)))</f>
        <v/>
      </c>
      <c r="M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N299" s="24" t="n"/>
      <c r="O299" s="24" t="n"/>
      <c r="P299" s="25">
        <f>IF(O299="","",HYPERLINK(IF(LEFT(O299,4)="http",O299,set_QwilrBase&amp;O299),"Open quote"))</f>
        <v/>
      </c>
      <c r="Q299" s="71" t="n"/>
      <c r="R299" s="24" t="n"/>
      <c r="S299" s="24" t="n"/>
    </row>
    <row r="300" ht="15" customHeight="1">
      <c r="A300" s="70">
        <f>IF(C300="","",IFERROR(IF(SUMPRODUCT(MAX((tbl_Finance[Job Number]&amp;""=C300&amp;"")*(tbl_Finance[Xero Invoice No]&lt;&gt;"")*tbl_Finance[Date]))=0,"",SUMPRODUCT(MAX((tbl_Finance[Job Number]&amp;""=C300&amp;"")*(tbl_Finance[Xero Invoice No]&lt;&gt;"")*tbl_Finance[Date]))),""))</f>
        <v/>
      </c>
      <c r="B300" s="25">
        <f>IF(C300="","",IF(COUNTIFS(tbl_Finance[Job Number],C300&amp;"",tbl_Finance[Xero Invoice No],"&lt;&gt;")=0,"",IFERROR(IF(COUNTIFS(tbl_Finance[Job Number],C300&amp;"",tbl_Finance[Xero Invoice No],LOOKUP(2,1/((tbl_Finance[Job Number]&amp;""=C300&amp;"")*(tbl_Finance[Xero Invoice No]&lt;&gt;"")),tbl_Finance[Xero Invoice No]))=COUNTIFS(tbl_Finance[Job Number],C300&amp;"",tbl_Finance[Xero Invoice No],"&lt;&gt;"),LOOKUP(2,1/((tbl_Finance[Job Number]&amp;""=C300&amp;"")*(tbl_Finance[Xero Invoice No]&lt;&gt;"")),tbl_Finance[Xero Invoice No]),LOOKUP(2,1/((tbl_Finance[Job Number]&amp;""=C300&amp;"")*(tbl_Finance[Xero Invoice No]&lt;&gt;"")),tbl_Finance[Xero Invoice No])&amp;" +more"),"")))</f>
        <v/>
      </c>
      <c r="C300" s="24" t="n"/>
      <c r="D300" s="25">
        <f>IF(C300="","",IF(COUNTIF(lst_Jobs,C300&amp;"")&gt;0,"OK","CHECK"))</f>
        <v/>
      </c>
      <c r="E300" s="25">
        <f>IF(C300="","",IFERROR(INDEX(lst_JobName,MATCH(C300&amp;"",lst_Jobs,0)),""))</f>
        <v/>
      </c>
      <c r="F300" s="25">
        <f>IF(C300="","",IFERROR(INDEX(tbl_Finance[Client],IFERROR(MATCH(C300&amp;"",tbl_Finance[Job Number],0),MATCH(IFERROR(C300+0,C300),tbl_Finance[Job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6" t="n"/>
      <c r="L300" s="27">
        <f>IF(C300="","",IF(K300="",0,MAX(0,K300-H300)))</f>
        <v/>
      </c>
      <c r="M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N300" s="24" t="n"/>
      <c r="O300" s="24" t="n"/>
      <c r="P300" s="25">
        <f>IF(O300="","",HYPERLINK(IF(LEFT(O300,4)="http",O300,set_QwilrBase&amp;O300),"Open quote"))</f>
        <v/>
      </c>
      <c r="Q300" s="71" t="n"/>
      <c r="R300" s="24" t="n"/>
      <c r="S300" s="24" t="n"/>
    </row>
    <row r="301" ht="15" customHeight="1">
      <c r="A301" s="70">
        <f>IF(C301="","",IFERROR(IF(SUMPRODUCT(MAX((tbl_Finance[Job Number]&amp;""=C301&amp;"")*(tbl_Finance[Xero Invoice No]&lt;&gt;"")*tbl_Finance[Date]))=0,"",SUMPRODUCT(MAX((tbl_Finance[Job Number]&amp;""=C301&amp;"")*(tbl_Finance[Xero Invoice No]&lt;&gt;"")*tbl_Finance[Date]))),""))</f>
        <v/>
      </c>
      <c r="B301" s="25">
        <f>IF(C301="","",IF(COUNTIFS(tbl_Finance[Job Number],C301&amp;"",tbl_Finance[Xero Invoice No],"&lt;&gt;")=0,"",IFERROR(IF(COUNTIFS(tbl_Finance[Job Number],C301&amp;"",tbl_Finance[Xero Invoice No],LOOKUP(2,1/((tbl_Finance[Job Number]&amp;""=C301&amp;"")*(tbl_Finance[Xero Invoice No]&lt;&gt;"")),tbl_Finance[Xero Invoice No]))=COUNTIFS(tbl_Finance[Job Number],C301&amp;"",tbl_Finance[Xero Invoice No],"&lt;&gt;"),LOOKUP(2,1/((tbl_Finance[Job Number]&amp;""=C301&amp;"")*(tbl_Finance[Xero Invoice No]&lt;&gt;"")),tbl_Finance[Xero Invoice No]),LOOKUP(2,1/((tbl_Finance[Job Number]&amp;""=C301&amp;"")*(tbl_Finance[Xero Invoice No]&lt;&gt;"")),tbl_Finance[Xero Invoice No])&amp;" +more"),"")))</f>
        <v/>
      </c>
      <c r="C301" s="24" t="n"/>
      <c r="D301" s="25">
        <f>IF(C301="","",IF(COUNTIF(lst_Jobs,C301&amp;"")&gt;0,"OK","CHECK"))</f>
        <v/>
      </c>
      <c r="E301" s="25">
        <f>IF(C301="","",IFERROR(INDEX(lst_JobName,MATCH(C301&amp;"",lst_Jobs,0)),""))</f>
        <v/>
      </c>
      <c r="F301" s="25">
        <f>IF(C301="","",IFERROR(INDEX(tbl_Finance[Client],IFERROR(MATCH(C301&amp;"",tbl_Finance[Job Number],0),MATCH(IFERROR(C301+0,C301),tbl_Finance[Job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6" t="n"/>
      <c r="L301" s="27">
        <f>IF(C301="","",IF(K301="",0,MAX(0,K301-H301)))</f>
        <v/>
      </c>
      <c r="M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N301" s="24" t="n"/>
      <c r="O301" s="24" t="n"/>
      <c r="P301" s="25">
        <f>IF(O301="","",HYPERLINK(IF(LEFT(O301,4)="http",O301,set_QwilrBase&amp;O301),"Open quote"))</f>
        <v/>
      </c>
      <c r="Q301" s="71" t="n"/>
      <c r="R301" s="24" t="n"/>
      <c r="S301" s="24" t="n"/>
    </row>
    <row r="302" ht="15" customHeight="1">
      <c r="A302" s="70">
        <f>IF(C302="","",IFERROR(IF(SUMPRODUCT(MAX((tbl_Finance[Job Number]&amp;""=C302&amp;"")*(tbl_Finance[Xero Invoice No]&lt;&gt;"")*tbl_Finance[Date]))=0,"",SUMPRODUCT(MAX((tbl_Finance[Job Number]&amp;""=C302&amp;"")*(tbl_Finance[Xero Invoice No]&lt;&gt;"")*tbl_Finance[Date]))),""))</f>
        <v/>
      </c>
      <c r="B302" s="25">
        <f>IF(C302="","",IF(COUNTIFS(tbl_Finance[Job Number],C302&amp;"",tbl_Finance[Xero Invoice No],"&lt;&gt;")=0,"",IFERROR(IF(COUNTIFS(tbl_Finance[Job Number],C302&amp;"",tbl_Finance[Xero Invoice No],LOOKUP(2,1/((tbl_Finance[Job Number]&amp;""=C302&amp;"")*(tbl_Finance[Xero Invoice No]&lt;&gt;"")),tbl_Finance[Xero Invoice No]))=COUNTIFS(tbl_Finance[Job Number],C302&amp;"",tbl_Finance[Xero Invoice No],"&lt;&gt;"),LOOKUP(2,1/((tbl_Finance[Job Number]&amp;""=C302&amp;"")*(tbl_Finance[Xero Invoice No]&lt;&gt;"")),tbl_Finance[Xero Invoice No]),LOOKUP(2,1/((tbl_Finance[Job Number]&amp;""=C302&amp;"")*(tbl_Finance[Xero Invoice No]&lt;&gt;"")),tbl_Finance[Xero Invoice No])&amp;" +more"),"")))</f>
        <v/>
      </c>
      <c r="C302" s="24" t="n"/>
      <c r="D302" s="25">
        <f>IF(C302="","",IF(COUNTIF(lst_Jobs,C302&amp;"")&gt;0,"OK","CHECK"))</f>
        <v/>
      </c>
      <c r="E302" s="25">
        <f>IF(C302="","",IFERROR(INDEX(lst_JobName,MATCH(C302&amp;"",lst_Jobs,0)),""))</f>
        <v/>
      </c>
      <c r="F302" s="25">
        <f>IF(C302="","",IFERROR(INDEX(tbl_Finance[Client],IFERROR(MATCH(C302&amp;"",tbl_Finance[Job Number],0),MATCH(IFERROR(C302+0,C302),tbl_Finance[Job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6" t="n"/>
      <c r="L302" s="27">
        <f>IF(C302="","",IF(K302="",0,MAX(0,K302-H302)))</f>
        <v/>
      </c>
      <c r="M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N302" s="24" t="n"/>
      <c r="O302" s="24" t="n"/>
      <c r="P302" s="25">
        <f>IF(O302="","",HYPERLINK(IF(LEFT(O302,4)="http",O302,set_QwilrBase&amp;O302),"Open quote"))</f>
        <v/>
      </c>
      <c r="Q302" s="71" t="n"/>
      <c r="R302" s="24" t="n"/>
      <c r="S302" s="24" t="n"/>
    </row>
    <row r="303" ht="15" customHeight="1">
      <c r="A303" s="70">
        <f>IF(C303="","",IFERROR(IF(SUMPRODUCT(MAX((tbl_Finance[Job Number]&amp;""=C303&amp;"")*(tbl_Finance[Xero Invoice No]&lt;&gt;"")*tbl_Finance[Date]))=0,"",SUMPRODUCT(MAX((tbl_Finance[Job Number]&amp;""=C303&amp;"")*(tbl_Finance[Xero Invoice No]&lt;&gt;"")*tbl_Finance[Date]))),""))</f>
        <v/>
      </c>
      <c r="B303" s="25">
        <f>IF(C303="","",IF(COUNTIFS(tbl_Finance[Job Number],C303&amp;"",tbl_Finance[Xero Invoice No],"&lt;&gt;")=0,"",IFERROR(IF(COUNTIFS(tbl_Finance[Job Number],C303&amp;"",tbl_Finance[Xero Invoice No],LOOKUP(2,1/((tbl_Finance[Job Number]&amp;""=C303&amp;"")*(tbl_Finance[Xero Invoice No]&lt;&gt;"")),tbl_Finance[Xero Invoice No]))=COUNTIFS(tbl_Finance[Job Number],C303&amp;"",tbl_Finance[Xero Invoice No],"&lt;&gt;"),LOOKUP(2,1/((tbl_Finance[Job Number]&amp;""=C303&amp;"")*(tbl_Finance[Xero Invoice No]&lt;&gt;"")),tbl_Finance[Xero Invoice No]),LOOKUP(2,1/((tbl_Finance[Job Number]&amp;""=C303&amp;"")*(tbl_Finance[Xero Invoice No]&lt;&gt;"")),tbl_Finance[Xero Invoice No])&amp;" +more"),"")))</f>
        <v/>
      </c>
      <c r="C303" s="24" t="n"/>
      <c r="D303" s="25">
        <f>IF(C303="","",IF(COUNTIF(lst_Jobs,C303&amp;"")&gt;0,"OK","CHECK"))</f>
        <v/>
      </c>
      <c r="E303" s="25">
        <f>IF(C303="","",IFERROR(INDEX(lst_JobName,MATCH(C303&amp;"",lst_Jobs,0)),""))</f>
        <v/>
      </c>
      <c r="F303" s="25">
        <f>IF(C303="","",IFERROR(INDEX(tbl_Finance[Client],IFERROR(MATCH(C303&amp;"",tbl_Finance[Job Number],0),MATCH(IFERROR(C303+0,C303),tbl_Finance[Job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6" t="n"/>
      <c r="L303" s="27">
        <f>IF(C303="","",IF(K303="",0,MAX(0,K303-H303)))</f>
        <v/>
      </c>
      <c r="M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N303" s="24" t="n"/>
      <c r="O303" s="24" t="n"/>
      <c r="P303" s="25">
        <f>IF(O303="","",HYPERLINK(IF(LEFT(O303,4)="http",O303,set_QwilrBase&amp;O303),"Open quote"))</f>
        <v/>
      </c>
      <c r="Q303" s="71" t="n"/>
      <c r="R303" s="24" t="n"/>
      <c r="S303" s="24" t="n"/>
    </row>
    <row r="304" ht="15" customHeight="1">
      <c r="A304" s="70">
        <f>IF(C304="","",IFERROR(IF(SUMPRODUCT(MAX((tbl_Finance[Job Number]&amp;""=C304&amp;"")*(tbl_Finance[Xero Invoice No]&lt;&gt;"")*tbl_Finance[Date]))=0,"",SUMPRODUCT(MAX((tbl_Finance[Job Number]&amp;""=C304&amp;"")*(tbl_Finance[Xero Invoice No]&lt;&gt;"")*tbl_Finance[Date]))),""))</f>
        <v/>
      </c>
      <c r="B304" s="25">
        <f>IF(C304="","",IF(COUNTIFS(tbl_Finance[Job Number],C304&amp;"",tbl_Finance[Xero Invoice No],"&lt;&gt;")=0,"",IFERROR(IF(COUNTIFS(tbl_Finance[Job Number],C304&amp;"",tbl_Finance[Xero Invoice No],LOOKUP(2,1/((tbl_Finance[Job Number]&amp;""=C304&amp;"")*(tbl_Finance[Xero Invoice No]&lt;&gt;"")),tbl_Finance[Xero Invoice No]))=COUNTIFS(tbl_Finance[Job Number],C304&amp;"",tbl_Finance[Xero Invoice No],"&lt;&gt;"),LOOKUP(2,1/((tbl_Finance[Job Number]&amp;""=C304&amp;"")*(tbl_Finance[Xero Invoice No]&lt;&gt;"")),tbl_Finance[Xero Invoice No]),LOOKUP(2,1/((tbl_Finance[Job Number]&amp;""=C304&amp;"")*(tbl_Finance[Xero Invoice No]&lt;&gt;"")),tbl_Finance[Xero Invoice No])&amp;" +more"),"")))</f>
        <v/>
      </c>
      <c r="C304" s="24" t="n"/>
      <c r="D304" s="25">
        <f>IF(C304="","",IF(COUNTIF(lst_Jobs,C304&amp;"")&gt;0,"OK","CHECK"))</f>
        <v/>
      </c>
      <c r="E304" s="25">
        <f>IF(C304="","",IFERROR(INDEX(lst_JobName,MATCH(C304&amp;"",lst_Jobs,0)),""))</f>
        <v/>
      </c>
      <c r="F304" s="25">
        <f>IF(C304="","",IFERROR(INDEX(tbl_Finance[Client],IFERROR(MATCH(C304&amp;"",tbl_Finance[Job Number],0),MATCH(IFERROR(C304+0,C304),tbl_Finance[Job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6" t="n"/>
      <c r="L304" s="27">
        <f>IF(C304="","",IF(K304="",0,MAX(0,K304-H304)))</f>
        <v/>
      </c>
      <c r="M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N304" s="24" t="n"/>
      <c r="O304" s="24" t="n"/>
      <c r="P304" s="25">
        <f>IF(O304="","",HYPERLINK(IF(LEFT(O304,4)="http",O304,set_QwilrBase&amp;O304),"Open quote"))</f>
        <v/>
      </c>
      <c r="Q304" s="71" t="n"/>
      <c r="R304" s="24" t="n"/>
      <c r="S304" s="24" t="n"/>
    </row>
    <row r="305" ht="15" customHeight="1">
      <c r="A305" s="70">
        <f>IF(C305="","",IFERROR(IF(SUMPRODUCT(MAX((tbl_Finance[Job Number]&amp;""=C305&amp;"")*(tbl_Finance[Xero Invoice No]&lt;&gt;"")*tbl_Finance[Date]))=0,"",SUMPRODUCT(MAX((tbl_Finance[Job Number]&amp;""=C305&amp;"")*(tbl_Finance[Xero Invoice No]&lt;&gt;"")*tbl_Finance[Date]))),""))</f>
        <v/>
      </c>
      <c r="B305" s="25">
        <f>IF(C305="","",IF(COUNTIFS(tbl_Finance[Job Number],C305&amp;"",tbl_Finance[Xero Invoice No],"&lt;&gt;")=0,"",IFERROR(IF(COUNTIFS(tbl_Finance[Job Number],C305&amp;"",tbl_Finance[Xero Invoice No],LOOKUP(2,1/((tbl_Finance[Job Number]&amp;""=C305&amp;"")*(tbl_Finance[Xero Invoice No]&lt;&gt;"")),tbl_Finance[Xero Invoice No]))=COUNTIFS(tbl_Finance[Job Number],C305&amp;"",tbl_Finance[Xero Invoice No],"&lt;&gt;"),LOOKUP(2,1/((tbl_Finance[Job Number]&amp;""=C305&amp;"")*(tbl_Finance[Xero Invoice No]&lt;&gt;"")),tbl_Finance[Xero Invoice No]),LOOKUP(2,1/((tbl_Finance[Job Number]&amp;""=C305&amp;"")*(tbl_Finance[Xero Invoice No]&lt;&gt;"")),tbl_Finance[Xero Invoice No])&amp;" +more"),"")))</f>
        <v/>
      </c>
      <c r="C305" s="24" t="n"/>
      <c r="D305" s="25">
        <f>IF(C305="","",IF(COUNTIF(lst_Jobs,C305&amp;"")&gt;0,"OK","CHECK"))</f>
        <v/>
      </c>
      <c r="E305" s="25">
        <f>IF(C305="","",IFERROR(INDEX(lst_JobName,MATCH(C305&amp;"",lst_Jobs,0)),""))</f>
        <v/>
      </c>
      <c r="F305" s="25">
        <f>IF(C305="","",IFERROR(INDEX(tbl_Finance[Client],IFERROR(MATCH(C305&amp;"",tbl_Finance[Job Number],0),MATCH(IFERROR(C305+0,C305),tbl_Finance[Job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6" t="n"/>
      <c r="L305" s="27">
        <f>IF(C305="","",IF(K305="",0,MAX(0,K305-H305)))</f>
        <v/>
      </c>
      <c r="M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N305" s="24" t="n"/>
      <c r="O305" s="24" t="n"/>
      <c r="P305" s="25">
        <f>IF(O305="","",HYPERLINK(IF(LEFT(O305,4)="http",O305,set_QwilrBase&amp;O305),"Open quote"))</f>
        <v/>
      </c>
      <c r="Q305" s="71" t="n"/>
      <c r="R305" s="24" t="n"/>
      <c r="S305" s="24" t="n"/>
    </row>
    <row r="306" ht="15" customHeight="1">
      <c r="A306" s="70">
        <f>IF(C306="","",IFERROR(IF(SUMPRODUCT(MAX((tbl_Finance[Job Number]&amp;""=C306&amp;"")*(tbl_Finance[Xero Invoice No]&lt;&gt;"")*tbl_Finance[Date]))=0,"",SUMPRODUCT(MAX((tbl_Finance[Job Number]&amp;""=C306&amp;"")*(tbl_Finance[Xero Invoice No]&lt;&gt;"")*tbl_Finance[Date]))),""))</f>
        <v/>
      </c>
      <c r="B306" s="25">
        <f>IF(C306="","",IF(COUNTIFS(tbl_Finance[Job Number],C306&amp;"",tbl_Finance[Xero Invoice No],"&lt;&gt;")=0,"",IFERROR(IF(COUNTIFS(tbl_Finance[Job Number],C306&amp;"",tbl_Finance[Xero Invoice No],LOOKUP(2,1/((tbl_Finance[Job Number]&amp;""=C306&amp;"")*(tbl_Finance[Xero Invoice No]&lt;&gt;"")),tbl_Finance[Xero Invoice No]))=COUNTIFS(tbl_Finance[Job Number],C306&amp;"",tbl_Finance[Xero Invoice No],"&lt;&gt;"),LOOKUP(2,1/((tbl_Finance[Job Number]&amp;""=C306&amp;"")*(tbl_Finance[Xero Invoice No]&lt;&gt;"")),tbl_Finance[Xero Invoice No]),LOOKUP(2,1/((tbl_Finance[Job Number]&amp;""=C306&amp;"")*(tbl_Finance[Xero Invoice No]&lt;&gt;"")),tbl_Finance[Xero Invoice No])&amp;" +more"),"")))</f>
        <v/>
      </c>
      <c r="C306" s="24" t="n"/>
      <c r="D306" s="25">
        <f>IF(C306="","",IF(COUNTIF(lst_Jobs,C306&amp;"")&gt;0,"OK","CHECK"))</f>
        <v/>
      </c>
      <c r="E306" s="25">
        <f>IF(C306="","",IFERROR(INDEX(lst_JobName,MATCH(C306&amp;"",lst_Jobs,0)),""))</f>
        <v/>
      </c>
      <c r="F306" s="25">
        <f>IF(C306="","",IFERROR(INDEX(tbl_Finance[Client],IFERROR(MATCH(C306&amp;"",tbl_Finance[Job Number],0),MATCH(IFERROR(C306+0,C306),tbl_Finance[Job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6" t="n"/>
      <c r="L306" s="27">
        <f>IF(C306="","",IF(K306="",0,MAX(0,K306-H306)))</f>
        <v/>
      </c>
      <c r="M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N306" s="24" t="n"/>
      <c r="O306" s="24" t="n"/>
      <c r="P306" s="25">
        <f>IF(O306="","",HYPERLINK(IF(LEFT(O306,4)="http",O306,set_QwilrBase&amp;O306),"Open quote"))</f>
        <v/>
      </c>
      <c r="Q306" s="71" t="n"/>
      <c r="R306" s="24" t="n"/>
      <c r="S306" s="24" t="n"/>
    </row>
    <row r="307" ht="15" customHeight="1">
      <c r="A307" s="70">
        <f>IF(C307="","",IFERROR(IF(SUMPRODUCT(MAX((tbl_Finance[Job Number]&amp;""=C307&amp;"")*(tbl_Finance[Xero Invoice No]&lt;&gt;"")*tbl_Finance[Date]))=0,"",SUMPRODUCT(MAX((tbl_Finance[Job Number]&amp;""=C307&amp;"")*(tbl_Finance[Xero Invoice No]&lt;&gt;"")*tbl_Finance[Date]))),""))</f>
        <v/>
      </c>
      <c r="B307" s="25">
        <f>IF(C307="","",IF(COUNTIFS(tbl_Finance[Job Number],C307&amp;"",tbl_Finance[Xero Invoice No],"&lt;&gt;")=0,"",IFERROR(IF(COUNTIFS(tbl_Finance[Job Number],C307&amp;"",tbl_Finance[Xero Invoice No],LOOKUP(2,1/((tbl_Finance[Job Number]&amp;""=C307&amp;"")*(tbl_Finance[Xero Invoice No]&lt;&gt;"")),tbl_Finance[Xero Invoice No]))=COUNTIFS(tbl_Finance[Job Number],C307&amp;"",tbl_Finance[Xero Invoice No],"&lt;&gt;"),LOOKUP(2,1/((tbl_Finance[Job Number]&amp;""=C307&amp;"")*(tbl_Finance[Xero Invoice No]&lt;&gt;"")),tbl_Finance[Xero Invoice No]),LOOKUP(2,1/((tbl_Finance[Job Number]&amp;""=C307&amp;"")*(tbl_Finance[Xero Invoice No]&lt;&gt;"")),tbl_Finance[Xero Invoice No])&amp;" +more"),"")))</f>
        <v/>
      </c>
      <c r="C307" s="24" t="n"/>
      <c r="D307" s="25">
        <f>IF(C307="","",IF(COUNTIF(lst_Jobs,C307&amp;"")&gt;0,"OK","CHECK"))</f>
        <v/>
      </c>
      <c r="E307" s="25">
        <f>IF(C307="","",IFERROR(INDEX(lst_JobName,MATCH(C307&amp;"",lst_Jobs,0)),""))</f>
        <v/>
      </c>
      <c r="F307" s="25">
        <f>IF(C307="","",IFERROR(INDEX(tbl_Finance[Client],IFERROR(MATCH(C307&amp;"",tbl_Finance[Job Number],0),MATCH(IFERROR(C307+0,C307),tbl_Finance[Job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6" t="n"/>
      <c r="L307" s="27">
        <f>IF(C307="","",IF(K307="",0,MAX(0,K307-H307)))</f>
        <v/>
      </c>
      <c r="M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N307" s="24" t="n"/>
      <c r="O307" s="24" t="n"/>
      <c r="P307" s="25">
        <f>IF(O307="","",HYPERLINK(IF(LEFT(O307,4)="http",O307,set_QwilrBase&amp;O307),"Open quote"))</f>
        <v/>
      </c>
      <c r="Q307" s="71" t="n"/>
      <c r="R307" s="24" t="n"/>
      <c r="S307" s="24" t="n"/>
    </row>
    <row r="308" ht="15" customHeight="1">
      <c r="A308" s="70">
        <f>IF(C308="","",IFERROR(IF(SUMPRODUCT(MAX((tbl_Finance[Job Number]&amp;""=C308&amp;"")*(tbl_Finance[Xero Invoice No]&lt;&gt;"")*tbl_Finance[Date]))=0,"",SUMPRODUCT(MAX((tbl_Finance[Job Number]&amp;""=C308&amp;"")*(tbl_Finance[Xero Invoice No]&lt;&gt;"")*tbl_Finance[Date]))),""))</f>
        <v/>
      </c>
      <c r="B308" s="25">
        <f>IF(C308="","",IF(COUNTIFS(tbl_Finance[Job Number],C308&amp;"",tbl_Finance[Xero Invoice No],"&lt;&gt;")=0,"",IFERROR(IF(COUNTIFS(tbl_Finance[Job Number],C308&amp;"",tbl_Finance[Xero Invoice No],LOOKUP(2,1/((tbl_Finance[Job Number]&amp;""=C308&amp;"")*(tbl_Finance[Xero Invoice No]&lt;&gt;"")),tbl_Finance[Xero Invoice No]))=COUNTIFS(tbl_Finance[Job Number],C308&amp;"",tbl_Finance[Xero Invoice No],"&lt;&gt;"),LOOKUP(2,1/((tbl_Finance[Job Number]&amp;""=C308&amp;"")*(tbl_Finance[Xero Invoice No]&lt;&gt;"")),tbl_Finance[Xero Invoice No]),LOOKUP(2,1/((tbl_Finance[Job Number]&amp;""=C308&amp;"")*(tbl_Finance[Xero Invoice No]&lt;&gt;"")),tbl_Finance[Xero Invoice No])&amp;" +more"),"")))</f>
        <v/>
      </c>
      <c r="C308" s="24" t="n"/>
      <c r="D308" s="25">
        <f>IF(C308="","",IF(COUNTIF(lst_Jobs,C308&amp;"")&gt;0,"OK","CHECK"))</f>
        <v/>
      </c>
      <c r="E308" s="25">
        <f>IF(C308="","",IFERROR(INDEX(lst_JobName,MATCH(C308&amp;"",lst_Jobs,0)),""))</f>
        <v/>
      </c>
      <c r="F308" s="25">
        <f>IF(C308="","",IFERROR(INDEX(tbl_Finance[Client],IFERROR(MATCH(C308&amp;"",tbl_Finance[Job Number],0),MATCH(IFERROR(C308+0,C308),tbl_Finance[Job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6" t="n"/>
      <c r="L308" s="27">
        <f>IF(C308="","",IF(K308="",0,MAX(0,K308-H308)))</f>
        <v/>
      </c>
      <c r="M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N308" s="24" t="n"/>
      <c r="O308" s="24" t="n"/>
      <c r="P308" s="25">
        <f>IF(O308="","",HYPERLINK(IF(LEFT(O308,4)="http",O308,set_QwilrBase&amp;O308),"Open quote"))</f>
        <v/>
      </c>
      <c r="Q308" s="71" t="n"/>
      <c r="R308" s="24" t="n"/>
      <c r="S308" s="24" t="n"/>
    </row>
    <row r="309" ht="15" customHeight="1">
      <c r="A309" s="70">
        <f>IF(C309="","",IFERROR(IF(SUMPRODUCT(MAX((tbl_Finance[Job Number]&amp;""=C309&amp;"")*(tbl_Finance[Xero Invoice No]&lt;&gt;"")*tbl_Finance[Date]))=0,"",SUMPRODUCT(MAX((tbl_Finance[Job Number]&amp;""=C309&amp;"")*(tbl_Finance[Xero Invoice No]&lt;&gt;"")*tbl_Finance[Date]))),""))</f>
        <v/>
      </c>
      <c r="B309" s="25">
        <f>IF(C309="","",IF(COUNTIFS(tbl_Finance[Job Number],C309&amp;"",tbl_Finance[Xero Invoice No],"&lt;&gt;")=0,"",IFERROR(IF(COUNTIFS(tbl_Finance[Job Number],C309&amp;"",tbl_Finance[Xero Invoice No],LOOKUP(2,1/((tbl_Finance[Job Number]&amp;""=C309&amp;"")*(tbl_Finance[Xero Invoice No]&lt;&gt;"")),tbl_Finance[Xero Invoice No]))=COUNTIFS(tbl_Finance[Job Number],C309&amp;"",tbl_Finance[Xero Invoice No],"&lt;&gt;"),LOOKUP(2,1/((tbl_Finance[Job Number]&amp;""=C309&amp;"")*(tbl_Finance[Xero Invoice No]&lt;&gt;"")),tbl_Finance[Xero Invoice No]),LOOKUP(2,1/((tbl_Finance[Job Number]&amp;""=C309&amp;"")*(tbl_Finance[Xero Invoice No]&lt;&gt;"")),tbl_Finance[Xero Invoice No])&amp;" +more"),"")))</f>
        <v/>
      </c>
      <c r="C309" s="24" t="n"/>
      <c r="D309" s="25">
        <f>IF(C309="","",IF(COUNTIF(lst_Jobs,C309&amp;"")&gt;0,"OK","CHECK"))</f>
        <v/>
      </c>
      <c r="E309" s="25">
        <f>IF(C309="","",IFERROR(INDEX(lst_JobName,MATCH(C309&amp;"",lst_Jobs,0)),""))</f>
        <v/>
      </c>
      <c r="F309" s="25">
        <f>IF(C309="","",IFERROR(INDEX(tbl_Finance[Client],IFERROR(MATCH(C309&amp;"",tbl_Finance[Job Number],0),MATCH(IFERROR(C309+0,C309),tbl_Finance[Job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6" t="n"/>
      <c r="L309" s="27">
        <f>IF(C309="","",IF(K309="",0,MAX(0,K309-H309)))</f>
        <v/>
      </c>
      <c r="M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N309" s="24" t="n"/>
      <c r="O309" s="24" t="n"/>
      <c r="P309" s="25">
        <f>IF(O309="","",HYPERLINK(IF(LEFT(O309,4)="http",O309,set_QwilrBase&amp;O309),"Open quote"))</f>
        <v/>
      </c>
      <c r="Q309" s="71" t="n"/>
      <c r="R309" s="24" t="n"/>
      <c r="S309" s="24" t="n"/>
    </row>
    <row r="310" ht="15" customHeight="1">
      <c r="A310" s="70">
        <f>IF(C310="","",IFERROR(IF(SUMPRODUCT(MAX((tbl_Finance[Job Number]&amp;""=C310&amp;"")*(tbl_Finance[Xero Invoice No]&lt;&gt;"")*tbl_Finance[Date]))=0,"",SUMPRODUCT(MAX((tbl_Finance[Job Number]&amp;""=C310&amp;"")*(tbl_Finance[Xero Invoice No]&lt;&gt;"")*tbl_Finance[Date]))),""))</f>
        <v/>
      </c>
      <c r="B310" s="25">
        <f>IF(C310="","",IF(COUNTIFS(tbl_Finance[Job Number],C310&amp;"",tbl_Finance[Xero Invoice No],"&lt;&gt;")=0,"",IFERROR(IF(COUNTIFS(tbl_Finance[Job Number],C310&amp;"",tbl_Finance[Xero Invoice No],LOOKUP(2,1/((tbl_Finance[Job Number]&amp;""=C310&amp;"")*(tbl_Finance[Xero Invoice No]&lt;&gt;"")),tbl_Finance[Xero Invoice No]))=COUNTIFS(tbl_Finance[Job Number],C310&amp;"",tbl_Finance[Xero Invoice No],"&lt;&gt;"),LOOKUP(2,1/((tbl_Finance[Job Number]&amp;""=C310&amp;"")*(tbl_Finance[Xero Invoice No]&lt;&gt;"")),tbl_Finance[Xero Invoice No]),LOOKUP(2,1/((tbl_Finance[Job Number]&amp;""=C310&amp;"")*(tbl_Finance[Xero Invoice No]&lt;&gt;"")),tbl_Finance[Xero Invoice No])&amp;" +more"),"")))</f>
        <v/>
      </c>
      <c r="C310" s="24" t="n"/>
      <c r="D310" s="25">
        <f>IF(C310="","",IF(COUNTIF(lst_Jobs,C310&amp;"")&gt;0,"OK","CHECK"))</f>
        <v/>
      </c>
      <c r="E310" s="25">
        <f>IF(C310="","",IFERROR(INDEX(lst_JobName,MATCH(C310&amp;"",lst_Jobs,0)),""))</f>
        <v/>
      </c>
      <c r="F310" s="25">
        <f>IF(C310="","",IFERROR(INDEX(tbl_Finance[Client],IFERROR(MATCH(C310&amp;"",tbl_Finance[Job Number],0),MATCH(IFERROR(C310+0,C310),tbl_Finance[Job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6" t="n"/>
      <c r="L310" s="27">
        <f>IF(C310="","",IF(K310="",0,MAX(0,K310-H310)))</f>
        <v/>
      </c>
      <c r="M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N310" s="24" t="n"/>
      <c r="O310" s="24" t="n"/>
      <c r="P310" s="25">
        <f>IF(O310="","",HYPERLINK(IF(LEFT(O310,4)="http",O310,set_QwilrBase&amp;O310),"Open quote"))</f>
        <v/>
      </c>
      <c r="Q310" s="71" t="n"/>
      <c r="R310" s="24" t="n"/>
      <c r="S310" s="24" t="n"/>
    </row>
    <row r="311" ht="15" customHeight="1">
      <c r="A311" s="70">
        <f>IF(C311="","",IFERROR(IF(SUMPRODUCT(MAX((tbl_Finance[Job Number]&amp;""=C311&amp;"")*(tbl_Finance[Xero Invoice No]&lt;&gt;"")*tbl_Finance[Date]))=0,"",SUMPRODUCT(MAX((tbl_Finance[Job Number]&amp;""=C311&amp;"")*(tbl_Finance[Xero Invoice No]&lt;&gt;"")*tbl_Finance[Date]))),""))</f>
        <v/>
      </c>
      <c r="B311" s="25">
        <f>IF(C311="","",IF(COUNTIFS(tbl_Finance[Job Number],C311&amp;"",tbl_Finance[Xero Invoice No],"&lt;&gt;")=0,"",IFERROR(IF(COUNTIFS(tbl_Finance[Job Number],C311&amp;"",tbl_Finance[Xero Invoice No],LOOKUP(2,1/((tbl_Finance[Job Number]&amp;""=C311&amp;"")*(tbl_Finance[Xero Invoice No]&lt;&gt;"")),tbl_Finance[Xero Invoice No]))=COUNTIFS(tbl_Finance[Job Number],C311&amp;"",tbl_Finance[Xero Invoice No],"&lt;&gt;"),LOOKUP(2,1/((tbl_Finance[Job Number]&amp;""=C311&amp;"")*(tbl_Finance[Xero Invoice No]&lt;&gt;"")),tbl_Finance[Xero Invoice No]),LOOKUP(2,1/((tbl_Finance[Job Number]&amp;""=C311&amp;"")*(tbl_Finance[Xero Invoice No]&lt;&gt;"")),tbl_Finance[Xero Invoice No])&amp;" +more"),"")))</f>
        <v/>
      </c>
      <c r="C311" s="24" t="n"/>
      <c r="D311" s="25">
        <f>IF(C311="","",IF(COUNTIF(lst_Jobs,C311&amp;"")&gt;0,"OK","CHECK"))</f>
        <v/>
      </c>
      <c r="E311" s="25">
        <f>IF(C311="","",IFERROR(INDEX(lst_JobName,MATCH(C311&amp;"",lst_Jobs,0)),""))</f>
        <v/>
      </c>
      <c r="F311" s="25">
        <f>IF(C311="","",IFERROR(INDEX(tbl_Finance[Client],IFERROR(MATCH(C311&amp;"",tbl_Finance[Job Number],0),MATCH(IFERROR(C311+0,C311),tbl_Finance[Job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6" t="n"/>
      <c r="L311" s="27">
        <f>IF(C311="","",IF(K311="",0,MAX(0,K311-H311)))</f>
        <v/>
      </c>
      <c r="M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N311" s="24" t="n"/>
      <c r="O311" s="24" t="n"/>
      <c r="P311" s="25">
        <f>IF(O311="","",HYPERLINK(IF(LEFT(O311,4)="http",O311,set_QwilrBase&amp;O311),"Open quote"))</f>
        <v/>
      </c>
      <c r="Q311" s="71" t="n"/>
      <c r="R311" s="24" t="n"/>
      <c r="S311" s="24" t="n"/>
    </row>
    <row r="312" ht="15" customHeight="1">
      <c r="A312" s="70">
        <f>IF(C312="","",IFERROR(IF(SUMPRODUCT(MAX((tbl_Finance[Job Number]&amp;""=C312&amp;"")*(tbl_Finance[Xero Invoice No]&lt;&gt;"")*tbl_Finance[Date]))=0,"",SUMPRODUCT(MAX((tbl_Finance[Job Number]&amp;""=C312&amp;"")*(tbl_Finance[Xero Invoice No]&lt;&gt;"")*tbl_Finance[Date]))),""))</f>
        <v/>
      </c>
      <c r="B312" s="25">
        <f>IF(C312="","",IF(COUNTIFS(tbl_Finance[Job Number],C312&amp;"",tbl_Finance[Xero Invoice No],"&lt;&gt;")=0,"",IFERROR(IF(COUNTIFS(tbl_Finance[Job Number],C312&amp;"",tbl_Finance[Xero Invoice No],LOOKUP(2,1/((tbl_Finance[Job Number]&amp;""=C312&amp;"")*(tbl_Finance[Xero Invoice No]&lt;&gt;"")),tbl_Finance[Xero Invoice No]))=COUNTIFS(tbl_Finance[Job Number],C312&amp;"",tbl_Finance[Xero Invoice No],"&lt;&gt;"),LOOKUP(2,1/((tbl_Finance[Job Number]&amp;""=C312&amp;"")*(tbl_Finance[Xero Invoice No]&lt;&gt;"")),tbl_Finance[Xero Invoice No]),LOOKUP(2,1/((tbl_Finance[Job Number]&amp;""=C312&amp;"")*(tbl_Finance[Xero Invoice No]&lt;&gt;"")),tbl_Finance[Xero Invoice No])&amp;" +more"),"")))</f>
        <v/>
      </c>
      <c r="C312" s="24" t="n"/>
      <c r="D312" s="25">
        <f>IF(C312="","",IF(COUNTIF(lst_Jobs,C312&amp;"")&gt;0,"OK","CHECK"))</f>
        <v/>
      </c>
      <c r="E312" s="25">
        <f>IF(C312="","",IFERROR(INDEX(lst_JobName,MATCH(C312&amp;"",lst_Jobs,0)),""))</f>
        <v/>
      </c>
      <c r="F312" s="25">
        <f>IF(C312="","",IFERROR(INDEX(tbl_Finance[Client],IFERROR(MATCH(C312&amp;"",tbl_Finance[Job Number],0),MATCH(IFERROR(C312+0,C312),tbl_Finance[Job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6" t="n"/>
      <c r="L312" s="27">
        <f>IF(C312="","",IF(K312="",0,MAX(0,K312-H312)))</f>
        <v/>
      </c>
      <c r="M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N312" s="24" t="n"/>
      <c r="O312" s="24" t="n"/>
      <c r="P312" s="25">
        <f>IF(O312="","",HYPERLINK(IF(LEFT(O312,4)="http",O312,set_QwilrBase&amp;O312),"Open quote"))</f>
        <v/>
      </c>
      <c r="Q312" s="71" t="n"/>
      <c r="R312" s="24" t="n"/>
      <c r="S312" s="24" t="n"/>
    </row>
    <row r="313" ht="15" customHeight="1">
      <c r="A313" s="70">
        <f>IF(C313="","",IFERROR(IF(SUMPRODUCT(MAX((tbl_Finance[Job Number]&amp;""=C313&amp;"")*(tbl_Finance[Xero Invoice No]&lt;&gt;"")*tbl_Finance[Date]))=0,"",SUMPRODUCT(MAX((tbl_Finance[Job Number]&amp;""=C313&amp;"")*(tbl_Finance[Xero Invoice No]&lt;&gt;"")*tbl_Finance[Date]))),""))</f>
        <v/>
      </c>
      <c r="B313" s="25">
        <f>IF(C313="","",IF(COUNTIFS(tbl_Finance[Job Number],C313&amp;"",tbl_Finance[Xero Invoice No],"&lt;&gt;")=0,"",IFERROR(IF(COUNTIFS(tbl_Finance[Job Number],C313&amp;"",tbl_Finance[Xero Invoice No],LOOKUP(2,1/((tbl_Finance[Job Number]&amp;""=C313&amp;"")*(tbl_Finance[Xero Invoice No]&lt;&gt;"")),tbl_Finance[Xero Invoice No]))=COUNTIFS(tbl_Finance[Job Number],C313&amp;"",tbl_Finance[Xero Invoice No],"&lt;&gt;"),LOOKUP(2,1/((tbl_Finance[Job Number]&amp;""=C313&amp;"")*(tbl_Finance[Xero Invoice No]&lt;&gt;"")),tbl_Finance[Xero Invoice No]),LOOKUP(2,1/((tbl_Finance[Job Number]&amp;""=C313&amp;"")*(tbl_Finance[Xero Invoice No]&lt;&gt;"")),tbl_Finance[Xero Invoice No])&amp;" +more"),"")))</f>
        <v/>
      </c>
      <c r="C313" s="24" t="n"/>
      <c r="D313" s="25">
        <f>IF(C313="","",IF(COUNTIF(lst_Jobs,C313&amp;"")&gt;0,"OK","CHECK"))</f>
        <v/>
      </c>
      <c r="E313" s="25">
        <f>IF(C313="","",IFERROR(INDEX(lst_JobName,MATCH(C313&amp;"",lst_Jobs,0)),""))</f>
        <v/>
      </c>
      <c r="F313" s="25">
        <f>IF(C313="","",IFERROR(INDEX(tbl_Finance[Client],IFERROR(MATCH(C313&amp;"",tbl_Finance[Job Number],0),MATCH(IFERROR(C313+0,C313),tbl_Finance[Job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6" t="n"/>
      <c r="L313" s="27">
        <f>IF(C313="","",IF(K313="",0,MAX(0,K313-H313)))</f>
        <v/>
      </c>
      <c r="M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N313" s="24" t="n"/>
      <c r="O313" s="24" t="n"/>
      <c r="P313" s="25">
        <f>IF(O313="","",HYPERLINK(IF(LEFT(O313,4)="http",O313,set_QwilrBase&amp;O313),"Open quote"))</f>
        <v/>
      </c>
      <c r="Q313" s="71" t="n"/>
      <c r="R313" s="24" t="n"/>
      <c r="S313" s="24" t="n"/>
    </row>
    <row r="314" ht="15" customHeight="1">
      <c r="A314" s="70">
        <f>IF(C314="","",IFERROR(IF(SUMPRODUCT(MAX((tbl_Finance[Job Number]&amp;""=C314&amp;"")*(tbl_Finance[Xero Invoice No]&lt;&gt;"")*tbl_Finance[Date]))=0,"",SUMPRODUCT(MAX((tbl_Finance[Job Number]&amp;""=C314&amp;"")*(tbl_Finance[Xero Invoice No]&lt;&gt;"")*tbl_Finance[Date]))),""))</f>
        <v/>
      </c>
      <c r="B314" s="25">
        <f>IF(C314="","",IF(COUNTIFS(tbl_Finance[Job Number],C314&amp;"",tbl_Finance[Xero Invoice No],"&lt;&gt;")=0,"",IFERROR(IF(COUNTIFS(tbl_Finance[Job Number],C314&amp;"",tbl_Finance[Xero Invoice No],LOOKUP(2,1/((tbl_Finance[Job Number]&amp;""=C314&amp;"")*(tbl_Finance[Xero Invoice No]&lt;&gt;"")),tbl_Finance[Xero Invoice No]))=COUNTIFS(tbl_Finance[Job Number],C314&amp;"",tbl_Finance[Xero Invoice No],"&lt;&gt;"),LOOKUP(2,1/((tbl_Finance[Job Number]&amp;""=C314&amp;"")*(tbl_Finance[Xero Invoice No]&lt;&gt;"")),tbl_Finance[Xero Invoice No]),LOOKUP(2,1/((tbl_Finance[Job Number]&amp;""=C314&amp;"")*(tbl_Finance[Xero Invoice No]&lt;&gt;"")),tbl_Finance[Xero Invoice No])&amp;" +more"),"")))</f>
        <v/>
      </c>
      <c r="C314" s="24" t="n"/>
      <c r="D314" s="25">
        <f>IF(C314="","",IF(COUNTIF(lst_Jobs,C314&amp;"")&gt;0,"OK","CHECK"))</f>
        <v/>
      </c>
      <c r="E314" s="25">
        <f>IF(C314="","",IFERROR(INDEX(lst_JobName,MATCH(C314&amp;"",lst_Jobs,0)),""))</f>
        <v/>
      </c>
      <c r="F314" s="25">
        <f>IF(C314="","",IFERROR(INDEX(tbl_Finance[Client],IFERROR(MATCH(C314&amp;"",tbl_Finance[Job Number],0),MATCH(IFERROR(C314+0,C314),tbl_Finance[Job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6" t="n"/>
      <c r="L314" s="27">
        <f>IF(C314="","",IF(K314="",0,MAX(0,K314-H314)))</f>
        <v/>
      </c>
      <c r="M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N314" s="24" t="n"/>
      <c r="O314" s="24" t="n"/>
      <c r="P314" s="25">
        <f>IF(O314="","",HYPERLINK(IF(LEFT(O314,4)="http",O314,set_QwilrBase&amp;O314),"Open quote"))</f>
        <v/>
      </c>
      <c r="Q314" s="71" t="n"/>
      <c r="R314" s="24" t="n"/>
      <c r="S314" s="24" t="n"/>
    </row>
    <row r="315" ht="15" customHeight="1">
      <c r="A315" s="70">
        <f>IF(C315="","",IFERROR(IF(SUMPRODUCT(MAX((tbl_Finance[Job Number]&amp;""=C315&amp;"")*(tbl_Finance[Xero Invoice No]&lt;&gt;"")*tbl_Finance[Date]))=0,"",SUMPRODUCT(MAX((tbl_Finance[Job Number]&amp;""=C315&amp;"")*(tbl_Finance[Xero Invoice No]&lt;&gt;"")*tbl_Finance[Date]))),""))</f>
        <v/>
      </c>
      <c r="B315" s="25">
        <f>IF(C315="","",IF(COUNTIFS(tbl_Finance[Job Number],C315&amp;"",tbl_Finance[Xero Invoice No],"&lt;&gt;")=0,"",IFERROR(IF(COUNTIFS(tbl_Finance[Job Number],C315&amp;"",tbl_Finance[Xero Invoice No],LOOKUP(2,1/((tbl_Finance[Job Number]&amp;""=C315&amp;"")*(tbl_Finance[Xero Invoice No]&lt;&gt;"")),tbl_Finance[Xero Invoice No]))=COUNTIFS(tbl_Finance[Job Number],C315&amp;"",tbl_Finance[Xero Invoice No],"&lt;&gt;"),LOOKUP(2,1/((tbl_Finance[Job Number]&amp;""=C315&amp;"")*(tbl_Finance[Xero Invoice No]&lt;&gt;"")),tbl_Finance[Xero Invoice No]),LOOKUP(2,1/((tbl_Finance[Job Number]&amp;""=C315&amp;"")*(tbl_Finance[Xero Invoice No]&lt;&gt;"")),tbl_Finance[Xero Invoice No])&amp;" +more"),"")))</f>
        <v/>
      </c>
      <c r="C315" s="24" t="n"/>
      <c r="D315" s="25">
        <f>IF(C315="","",IF(COUNTIF(lst_Jobs,C315&amp;"")&gt;0,"OK","CHECK"))</f>
        <v/>
      </c>
      <c r="E315" s="25">
        <f>IF(C315="","",IFERROR(INDEX(lst_JobName,MATCH(C315&amp;"",lst_Jobs,0)),""))</f>
        <v/>
      </c>
      <c r="F315" s="25">
        <f>IF(C315="","",IFERROR(INDEX(tbl_Finance[Client],IFERROR(MATCH(C315&amp;"",tbl_Finance[Job Number],0),MATCH(IFERROR(C315+0,C315),tbl_Finance[Job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6" t="n"/>
      <c r="L315" s="27">
        <f>IF(C315="","",IF(K315="",0,MAX(0,K315-H315)))</f>
        <v/>
      </c>
      <c r="M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N315" s="24" t="n"/>
      <c r="O315" s="24" t="n"/>
      <c r="P315" s="25">
        <f>IF(O315="","",HYPERLINK(IF(LEFT(O315,4)="http",O315,set_QwilrBase&amp;O315),"Open quote"))</f>
        <v/>
      </c>
      <c r="Q315" s="71" t="n"/>
      <c r="R315" s="24" t="n"/>
      <c r="S315" s="24" t="n"/>
    </row>
    <row r="316" ht="15" customHeight="1">
      <c r="A316" s="70">
        <f>IF(C316="","",IFERROR(IF(SUMPRODUCT(MAX((tbl_Finance[Job Number]&amp;""=C316&amp;"")*(tbl_Finance[Xero Invoice No]&lt;&gt;"")*tbl_Finance[Date]))=0,"",SUMPRODUCT(MAX((tbl_Finance[Job Number]&amp;""=C316&amp;"")*(tbl_Finance[Xero Invoice No]&lt;&gt;"")*tbl_Finance[Date]))),""))</f>
        <v/>
      </c>
      <c r="B316" s="25">
        <f>IF(C316="","",IF(COUNTIFS(tbl_Finance[Job Number],C316&amp;"",tbl_Finance[Xero Invoice No],"&lt;&gt;")=0,"",IFERROR(IF(COUNTIFS(tbl_Finance[Job Number],C316&amp;"",tbl_Finance[Xero Invoice No],LOOKUP(2,1/((tbl_Finance[Job Number]&amp;""=C316&amp;"")*(tbl_Finance[Xero Invoice No]&lt;&gt;"")),tbl_Finance[Xero Invoice No]))=COUNTIFS(tbl_Finance[Job Number],C316&amp;"",tbl_Finance[Xero Invoice No],"&lt;&gt;"),LOOKUP(2,1/((tbl_Finance[Job Number]&amp;""=C316&amp;"")*(tbl_Finance[Xero Invoice No]&lt;&gt;"")),tbl_Finance[Xero Invoice No]),LOOKUP(2,1/((tbl_Finance[Job Number]&amp;""=C316&amp;"")*(tbl_Finance[Xero Invoice No]&lt;&gt;"")),tbl_Finance[Xero Invoice No])&amp;" +more"),"")))</f>
        <v/>
      </c>
      <c r="C316" s="24" t="n"/>
      <c r="D316" s="25">
        <f>IF(C316="","",IF(COUNTIF(lst_Jobs,C316&amp;"")&gt;0,"OK","CHECK"))</f>
        <v/>
      </c>
      <c r="E316" s="25">
        <f>IF(C316="","",IFERROR(INDEX(lst_JobName,MATCH(C316&amp;"",lst_Jobs,0)),""))</f>
        <v/>
      </c>
      <c r="F316" s="25">
        <f>IF(C316="","",IFERROR(INDEX(tbl_Finance[Client],IFERROR(MATCH(C316&amp;"",tbl_Finance[Job Number],0),MATCH(IFERROR(C316+0,C316),tbl_Finance[Job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6" t="n"/>
      <c r="L316" s="27">
        <f>IF(C316="","",IF(K316="",0,MAX(0,K316-H316)))</f>
        <v/>
      </c>
      <c r="M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N316" s="24" t="n"/>
      <c r="O316" s="24" t="n"/>
      <c r="P316" s="25">
        <f>IF(O316="","",HYPERLINK(IF(LEFT(O316,4)="http",O316,set_QwilrBase&amp;O316),"Open quote"))</f>
        <v/>
      </c>
      <c r="Q316" s="71" t="n"/>
      <c r="R316" s="24" t="n"/>
      <c r="S316" s="24" t="n"/>
    </row>
    <row r="317" ht="15" customHeight="1">
      <c r="A317" s="70">
        <f>IF(C317="","",IFERROR(IF(SUMPRODUCT(MAX((tbl_Finance[Job Number]&amp;""=C317&amp;"")*(tbl_Finance[Xero Invoice No]&lt;&gt;"")*tbl_Finance[Date]))=0,"",SUMPRODUCT(MAX((tbl_Finance[Job Number]&amp;""=C317&amp;"")*(tbl_Finance[Xero Invoice No]&lt;&gt;"")*tbl_Finance[Date]))),""))</f>
        <v/>
      </c>
      <c r="B317" s="25">
        <f>IF(C317="","",IF(COUNTIFS(tbl_Finance[Job Number],C317&amp;"",tbl_Finance[Xero Invoice No],"&lt;&gt;")=0,"",IFERROR(IF(COUNTIFS(tbl_Finance[Job Number],C317&amp;"",tbl_Finance[Xero Invoice No],LOOKUP(2,1/((tbl_Finance[Job Number]&amp;""=C317&amp;"")*(tbl_Finance[Xero Invoice No]&lt;&gt;"")),tbl_Finance[Xero Invoice No]))=COUNTIFS(tbl_Finance[Job Number],C317&amp;"",tbl_Finance[Xero Invoice No],"&lt;&gt;"),LOOKUP(2,1/((tbl_Finance[Job Number]&amp;""=C317&amp;"")*(tbl_Finance[Xero Invoice No]&lt;&gt;"")),tbl_Finance[Xero Invoice No]),LOOKUP(2,1/((tbl_Finance[Job Number]&amp;""=C317&amp;"")*(tbl_Finance[Xero Invoice No]&lt;&gt;"")),tbl_Finance[Xero Invoice No])&amp;" +more"),"")))</f>
        <v/>
      </c>
      <c r="C317" s="24" t="n"/>
      <c r="D317" s="25">
        <f>IF(C317="","",IF(COUNTIF(lst_Jobs,C317&amp;"")&gt;0,"OK","CHECK"))</f>
        <v/>
      </c>
      <c r="E317" s="25">
        <f>IF(C317="","",IFERROR(INDEX(lst_JobName,MATCH(C317&amp;"",lst_Jobs,0)),""))</f>
        <v/>
      </c>
      <c r="F317" s="25">
        <f>IF(C317="","",IFERROR(INDEX(tbl_Finance[Client],IFERROR(MATCH(C317&amp;"",tbl_Finance[Job Number],0),MATCH(IFERROR(C317+0,C317),tbl_Finance[Job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6" t="n"/>
      <c r="L317" s="27">
        <f>IF(C317="","",IF(K317="",0,MAX(0,K317-H317)))</f>
        <v/>
      </c>
      <c r="M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N317" s="24" t="n"/>
      <c r="O317" s="24" t="n"/>
      <c r="P317" s="25">
        <f>IF(O317="","",HYPERLINK(IF(LEFT(O317,4)="http",O317,set_QwilrBase&amp;O317),"Open quote"))</f>
        <v/>
      </c>
      <c r="Q317" s="71" t="n"/>
      <c r="R317" s="24" t="n"/>
      <c r="S317" s="24" t="n"/>
    </row>
    <row r="318" ht="15" customHeight="1">
      <c r="A318" s="70">
        <f>IF(C318="","",IFERROR(IF(SUMPRODUCT(MAX((tbl_Finance[Job Number]&amp;""=C318&amp;"")*(tbl_Finance[Xero Invoice No]&lt;&gt;"")*tbl_Finance[Date]))=0,"",SUMPRODUCT(MAX((tbl_Finance[Job Number]&amp;""=C318&amp;"")*(tbl_Finance[Xero Invoice No]&lt;&gt;"")*tbl_Finance[Date]))),""))</f>
        <v/>
      </c>
      <c r="B318" s="25">
        <f>IF(C318="","",IF(COUNTIFS(tbl_Finance[Job Number],C318&amp;"",tbl_Finance[Xero Invoice No],"&lt;&gt;")=0,"",IFERROR(IF(COUNTIFS(tbl_Finance[Job Number],C318&amp;"",tbl_Finance[Xero Invoice No],LOOKUP(2,1/((tbl_Finance[Job Number]&amp;""=C318&amp;"")*(tbl_Finance[Xero Invoice No]&lt;&gt;"")),tbl_Finance[Xero Invoice No]))=COUNTIFS(tbl_Finance[Job Number],C318&amp;"",tbl_Finance[Xero Invoice No],"&lt;&gt;"),LOOKUP(2,1/((tbl_Finance[Job Number]&amp;""=C318&amp;"")*(tbl_Finance[Xero Invoice No]&lt;&gt;"")),tbl_Finance[Xero Invoice No]),LOOKUP(2,1/((tbl_Finance[Job Number]&amp;""=C318&amp;"")*(tbl_Finance[Xero Invoice No]&lt;&gt;"")),tbl_Finance[Xero Invoice No])&amp;" +more"),"")))</f>
        <v/>
      </c>
      <c r="C318" s="24" t="n"/>
      <c r="D318" s="25">
        <f>IF(C318="","",IF(COUNTIF(lst_Jobs,C318&amp;"")&gt;0,"OK","CHECK"))</f>
        <v/>
      </c>
      <c r="E318" s="25">
        <f>IF(C318="","",IFERROR(INDEX(lst_JobName,MATCH(C318&amp;"",lst_Jobs,0)),""))</f>
        <v/>
      </c>
      <c r="F318" s="25">
        <f>IF(C318="","",IFERROR(INDEX(tbl_Finance[Client],IFERROR(MATCH(C318&amp;"",tbl_Finance[Job Number],0),MATCH(IFERROR(C318+0,C318),tbl_Finance[Job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6" t="n"/>
      <c r="L318" s="27">
        <f>IF(C318="","",IF(K318="",0,MAX(0,K318-H318)))</f>
        <v/>
      </c>
      <c r="M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N318" s="24" t="n"/>
      <c r="O318" s="24" t="n"/>
      <c r="P318" s="25">
        <f>IF(O318="","",HYPERLINK(IF(LEFT(O318,4)="http",O318,set_QwilrBase&amp;O318),"Open quote"))</f>
        <v/>
      </c>
      <c r="Q318" s="71" t="n"/>
      <c r="R318" s="24" t="n"/>
      <c r="S318" s="24" t="n"/>
    </row>
    <row r="319" ht="15" customHeight="1">
      <c r="A319" s="70">
        <f>IF(C319="","",IFERROR(IF(SUMPRODUCT(MAX((tbl_Finance[Job Number]&amp;""=C319&amp;"")*(tbl_Finance[Xero Invoice No]&lt;&gt;"")*tbl_Finance[Date]))=0,"",SUMPRODUCT(MAX((tbl_Finance[Job Number]&amp;""=C319&amp;"")*(tbl_Finance[Xero Invoice No]&lt;&gt;"")*tbl_Finance[Date]))),""))</f>
        <v/>
      </c>
      <c r="B319" s="25">
        <f>IF(C319="","",IF(COUNTIFS(tbl_Finance[Job Number],C319&amp;"",tbl_Finance[Xero Invoice No],"&lt;&gt;")=0,"",IFERROR(IF(COUNTIFS(tbl_Finance[Job Number],C319&amp;"",tbl_Finance[Xero Invoice No],LOOKUP(2,1/((tbl_Finance[Job Number]&amp;""=C319&amp;"")*(tbl_Finance[Xero Invoice No]&lt;&gt;"")),tbl_Finance[Xero Invoice No]))=COUNTIFS(tbl_Finance[Job Number],C319&amp;"",tbl_Finance[Xero Invoice No],"&lt;&gt;"),LOOKUP(2,1/((tbl_Finance[Job Number]&amp;""=C319&amp;"")*(tbl_Finance[Xero Invoice No]&lt;&gt;"")),tbl_Finance[Xero Invoice No]),LOOKUP(2,1/((tbl_Finance[Job Number]&amp;""=C319&amp;"")*(tbl_Finance[Xero Invoice No]&lt;&gt;"")),tbl_Finance[Xero Invoice No])&amp;" +more"),"")))</f>
        <v/>
      </c>
      <c r="C319" s="24" t="n"/>
      <c r="D319" s="25">
        <f>IF(C319="","",IF(COUNTIF(lst_Jobs,C319&amp;"")&gt;0,"OK","CHECK"))</f>
        <v/>
      </c>
      <c r="E319" s="25">
        <f>IF(C319="","",IFERROR(INDEX(lst_JobName,MATCH(C319&amp;"",lst_Jobs,0)),""))</f>
        <v/>
      </c>
      <c r="F319" s="25">
        <f>IF(C319="","",IFERROR(INDEX(tbl_Finance[Client],IFERROR(MATCH(C319&amp;"",tbl_Finance[Job Number],0),MATCH(IFERROR(C319+0,C319),tbl_Finance[Job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6" t="n"/>
      <c r="L319" s="27">
        <f>IF(C319="","",IF(K319="",0,MAX(0,K319-H319)))</f>
        <v/>
      </c>
      <c r="M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N319" s="24" t="n"/>
      <c r="O319" s="24" t="n"/>
      <c r="P319" s="25">
        <f>IF(O319="","",HYPERLINK(IF(LEFT(O319,4)="http",O319,set_QwilrBase&amp;O319),"Open quote"))</f>
        <v/>
      </c>
      <c r="Q319" s="71" t="n"/>
      <c r="R319" s="24" t="n"/>
      <c r="S319" s="24" t="n"/>
    </row>
    <row r="320" ht="15" customHeight="1">
      <c r="A320" s="70">
        <f>IF(C320="","",IFERROR(IF(SUMPRODUCT(MAX((tbl_Finance[Job Number]&amp;""=C320&amp;"")*(tbl_Finance[Xero Invoice No]&lt;&gt;"")*tbl_Finance[Date]))=0,"",SUMPRODUCT(MAX((tbl_Finance[Job Number]&amp;""=C320&amp;"")*(tbl_Finance[Xero Invoice No]&lt;&gt;"")*tbl_Finance[Date]))),""))</f>
        <v/>
      </c>
      <c r="B320" s="25">
        <f>IF(C320="","",IF(COUNTIFS(tbl_Finance[Job Number],C320&amp;"",tbl_Finance[Xero Invoice No],"&lt;&gt;")=0,"",IFERROR(IF(COUNTIFS(tbl_Finance[Job Number],C320&amp;"",tbl_Finance[Xero Invoice No],LOOKUP(2,1/((tbl_Finance[Job Number]&amp;""=C320&amp;"")*(tbl_Finance[Xero Invoice No]&lt;&gt;"")),tbl_Finance[Xero Invoice No]))=COUNTIFS(tbl_Finance[Job Number],C320&amp;"",tbl_Finance[Xero Invoice No],"&lt;&gt;"),LOOKUP(2,1/((tbl_Finance[Job Number]&amp;""=C320&amp;"")*(tbl_Finance[Xero Invoice No]&lt;&gt;"")),tbl_Finance[Xero Invoice No]),LOOKUP(2,1/((tbl_Finance[Job Number]&amp;""=C320&amp;"")*(tbl_Finance[Xero Invoice No]&lt;&gt;"")),tbl_Finance[Xero Invoice No])&amp;" +more"),"")))</f>
        <v/>
      </c>
      <c r="C320" s="24" t="n"/>
      <c r="D320" s="25">
        <f>IF(C320="","",IF(COUNTIF(lst_Jobs,C320&amp;"")&gt;0,"OK","CHECK"))</f>
        <v/>
      </c>
      <c r="E320" s="25">
        <f>IF(C320="","",IFERROR(INDEX(lst_JobName,MATCH(C320&amp;"",lst_Jobs,0)),""))</f>
        <v/>
      </c>
      <c r="F320" s="25">
        <f>IF(C320="","",IFERROR(INDEX(tbl_Finance[Client],IFERROR(MATCH(C320&amp;"",tbl_Finance[Job Number],0),MATCH(IFERROR(C320+0,C320),tbl_Finance[Job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6" t="n"/>
      <c r="L320" s="27">
        <f>IF(C320="","",IF(K320="",0,MAX(0,K320-H320)))</f>
        <v/>
      </c>
      <c r="M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N320" s="24" t="n"/>
      <c r="O320" s="24" t="n"/>
      <c r="P320" s="25">
        <f>IF(O320="","",HYPERLINK(IF(LEFT(O320,4)="http",O320,set_QwilrBase&amp;O320),"Open quote"))</f>
        <v/>
      </c>
      <c r="Q320" s="71" t="n"/>
      <c r="R320" s="24" t="n"/>
      <c r="S320" s="24" t="n"/>
    </row>
    <row r="321" ht="15" customHeight="1">
      <c r="A321" s="70">
        <f>IF(C321="","",IFERROR(IF(SUMPRODUCT(MAX((tbl_Finance[Job Number]&amp;""=C321&amp;"")*(tbl_Finance[Xero Invoice No]&lt;&gt;"")*tbl_Finance[Date]))=0,"",SUMPRODUCT(MAX((tbl_Finance[Job Number]&amp;""=C321&amp;"")*(tbl_Finance[Xero Invoice No]&lt;&gt;"")*tbl_Finance[Date]))),""))</f>
        <v/>
      </c>
      <c r="B321" s="25">
        <f>IF(C321="","",IF(COUNTIFS(tbl_Finance[Job Number],C321&amp;"",tbl_Finance[Xero Invoice No],"&lt;&gt;")=0,"",IFERROR(IF(COUNTIFS(tbl_Finance[Job Number],C321&amp;"",tbl_Finance[Xero Invoice No],LOOKUP(2,1/((tbl_Finance[Job Number]&amp;""=C321&amp;"")*(tbl_Finance[Xero Invoice No]&lt;&gt;"")),tbl_Finance[Xero Invoice No]))=COUNTIFS(tbl_Finance[Job Number],C321&amp;"",tbl_Finance[Xero Invoice No],"&lt;&gt;"),LOOKUP(2,1/((tbl_Finance[Job Number]&amp;""=C321&amp;"")*(tbl_Finance[Xero Invoice No]&lt;&gt;"")),tbl_Finance[Xero Invoice No]),LOOKUP(2,1/((tbl_Finance[Job Number]&amp;""=C321&amp;"")*(tbl_Finance[Xero Invoice No]&lt;&gt;"")),tbl_Finance[Xero Invoice No])&amp;" +more"),"")))</f>
        <v/>
      </c>
      <c r="C321" s="24" t="n"/>
      <c r="D321" s="25">
        <f>IF(C321="","",IF(COUNTIF(lst_Jobs,C321&amp;"")&gt;0,"OK","CHECK"))</f>
        <v/>
      </c>
      <c r="E321" s="25">
        <f>IF(C321="","",IFERROR(INDEX(lst_JobName,MATCH(C321&amp;"",lst_Jobs,0)),""))</f>
        <v/>
      </c>
      <c r="F321" s="25">
        <f>IF(C321="","",IFERROR(INDEX(tbl_Finance[Client],IFERROR(MATCH(C321&amp;"",tbl_Finance[Job Number],0),MATCH(IFERROR(C321+0,C321),tbl_Finance[Job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6" t="n"/>
      <c r="L321" s="27">
        <f>IF(C321="","",IF(K321="",0,MAX(0,K321-H321)))</f>
        <v/>
      </c>
      <c r="M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N321" s="24" t="n"/>
      <c r="O321" s="24" t="n"/>
      <c r="P321" s="25">
        <f>IF(O321="","",HYPERLINK(IF(LEFT(O321,4)="http",O321,set_QwilrBase&amp;O321),"Open quote"))</f>
        <v/>
      </c>
      <c r="Q321" s="71" t="n"/>
      <c r="R321" s="24" t="n"/>
      <c r="S321" s="24" t="n"/>
    </row>
    <row r="322" ht="15" customHeight="1">
      <c r="A322" s="70">
        <f>IF(C322="","",IFERROR(IF(SUMPRODUCT(MAX((tbl_Finance[Job Number]&amp;""=C322&amp;"")*(tbl_Finance[Xero Invoice No]&lt;&gt;"")*tbl_Finance[Date]))=0,"",SUMPRODUCT(MAX((tbl_Finance[Job Number]&amp;""=C322&amp;"")*(tbl_Finance[Xero Invoice No]&lt;&gt;"")*tbl_Finance[Date]))),""))</f>
        <v/>
      </c>
      <c r="B322" s="25">
        <f>IF(C322="","",IF(COUNTIFS(tbl_Finance[Job Number],C322&amp;"",tbl_Finance[Xero Invoice No],"&lt;&gt;")=0,"",IFERROR(IF(COUNTIFS(tbl_Finance[Job Number],C322&amp;"",tbl_Finance[Xero Invoice No],LOOKUP(2,1/((tbl_Finance[Job Number]&amp;""=C322&amp;"")*(tbl_Finance[Xero Invoice No]&lt;&gt;"")),tbl_Finance[Xero Invoice No]))=COUNTIFS(tbl_Finance[Job Number],C322&amp;"",tbl_Finance[Xero Invoice No],"&lt;&gt;"),LOOKUP(2,1/((tbl_Finance[Job Number]&amp;""=C322&amp;"")*(tbl_Finance[Xero Invoice No]&lt;&gt;"")),tbl_Finance[Xero Invoice No]),LOOKUP(2,1/((tbl_Finance[Job Number]&amp;""=C322&amp;"")*(tbl_Finance[Xero Invoice No]&lt;&gt;"")),tbl_Finance[Xero Invoice No])&amp;" +more"),"")))</f>
        <v/>
      </c>
      <c r="C322" s="24" t="n"/>
      <c r="D322" s="25">
        <f>IF(C322="","",IF(COUNTIF(lst_Jobs,C322&amp;"")&gt;0,"OK","CHECK"))</f>
        <v/>
      </c>
      <c r="E322" s="25">
        <f>IF(C322="","",IFERROR(INDEX(lst_JobName,MATCH(C322&amp;"",lst_Jobs,0)),""))</f>
        <v/>
      </c>
      <c r="F322" s="25">
        <f>IF(C322="","",IFERROR(INDEX(tbl_Finance[Client],IFERROR(MATCH(C322&amp;"",tbl_Finance[Job Number],0),MATCH(IFERROR(C322+0,C322),tbl_Finance[Job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6" t="n"/>
      <c r="L322" s="27">
        <f>IF(C322="","",IF(K322="",0,MAX(0,K322-H322)))</f>
        <v/>
      </c>
      <c r="M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N322" s="24" t="n"/>
      <c r="O322" s="24" t="n"/>
      <c r="P322" s="25">
        <f>IF(O322="","",HYPERLINK(IF(LEFT(O322,4)="http",O322,set_QwilrBase&amp;O322),"Open quote"))</f>
        <v/>
      </c>
      <c r="Q322" s="71" t="n"/>
      <c r="R322" s="24" t="n"/>
      <c r="S322" s="24" t="n"/>
    </row>
    <row r="323" ht="15" customHeight="1">
      <c r="A323" s="70">
        <f>IF(C323="","",IFERROR(IF(SUMPRODUCT(MAX((tbl_Finance[Job Number]&amp;""=C323&amp;"")*(tbl_Finance[Xero Invoice No]&lt;&gt;"")*tbl_Finance[Date]))=0,"",SUMPRODUCT(MAX((tbl_Finance[Job Number]&amp;""=C323&amp;"")*(tbl_Finance[Xero Invoice No]&lt;&gt;"")*tbl_Finance[Date]))),""))</f>
        <v/>
      </c>
      <c r="B323" s="25">
        <f>IF(C323="","",IF(COUNTIFS(tbl_Finance[Job Number],C323&amp;"",tbl_Finance[Xero Invoice No],"&lt;&gt;")=0,"",IFERROR(IF(COUNTIFS(tbl_Finance[Job Number],C323&amp;"",tbl_Finance[Xero Invoice No],LOOKUP(2,1/((tbl_Finance[Job Number]&amp;""=C323&amp;"")*(tbl_Finance[Xero Invoice No]&lt;&gt;"")),tbl_Finance[Xero Invoice No]))=COUNTIFS(tbl_Finance[Job Number],C323&amp;"",tbl_Finance[Xero Invoice No],"&lt;&gt;"),LOOKUP(2,1/((tbl_Finance[Job Number]&amp;""=C323&amp;"")*(tbl_Finance[Xero Invoice No]&lt;&gt;"")),tbl_Finance[Xero Invoice No]),LOOKUP(2,1/((tbl_Finance[Job Number]&amp;""=C323&amp;"")*(tbl_Finance[Xero Invoice No]&lt;&gt;"")),tbl_Finance[Xero Invoice No])&amp;" +more"),"")))</f>
        <v/>
      </c>
      <c r="C323" s="24" t="n"/>
      <c r="D323" s="25">
        <f>IF(C323="","",IF(COUNTIF(lst_Jobs,C323&amp;"")&gt;0,"OK","CHECK"))</f>
        <v/>
      </c>
      <c r="E323" s="25">
        <f>IF(C323="","",IFERROR(INDEX(lst_JobName,MATCH(C323&amp;"",lst_Jobs,0)),""))</f>
        <v/>
      </c>
      <c r="F323" s="25">
        <f>IF(C323="","",IFERROR(INDEX(tbl_Finance[Client],IFERROR(MATCH(C323&amp;"",tbl_Finance[Job Number],0),MATCH(IFERROR(C323+0,C323),tbl_Finance[Job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6" t="n"/>
      <c r="L323" s="27">
        <f>IF(C323="","",IF(K323="",0,MAX(0,K323-H323)))</f>
        <v/>
      </c>
      <c r="M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N323" s="24" t="n"/>
      <c r="O323" s="24" t="n"/>
      <c r="P323" s="25">
        <f>IF(O323="","",HYPERLINK(IF(LEFT(O323,4)="http",O323,set_QwilrBase&amp;O323),"Open quote"))</f>
        <v/>
      </c>
      <c r="Q323" s="71" t="n"/>
      <c r="R323" s="24" t="n"/>
      <c r="S323" s="24" t="n"/>
    </row>
    <row r="324" ht="15" customHeight="1">
      <c r="A324" s="70">
        <f>IF(C324="","",IFERROR(IF(SUMPRODUCT(MAX((tbl_Finance[Job Number]&amp;""=C324&amp;"")*(tbl_Finance[Xero Invoice No]&lt;&gt;"")*tbl_Finance[Date]))=0,"",SUMPRODUCT(MAX((tbl_Finance[Job Number]&amp;""=C324&amp;"")*(tbl_Finance[Xero Invoice No]&lt;&gt;"")*tbl_Finance[Date]))),""))</f>
        <v/>
      </c>
      <c r="B324" s="25">
        <f>IF(C324="","",IF(COUNTIFS(tbl_Finance[Job Number],C324&amp;"",tbl_Finance[Xero Invoice No],"&lt;&gt;")=0,"",IFERROR(IF(COUNTIFS(tbl_Finance[Job Number],C324&amp;"",tbl_Finance[Xero Invoice No],LOOKUP(2,1/((tbl_Finance[Job Number]&amp;""=C324&amp;"")*(tbl_Finance[Xero Invoice No]&lt;&gt;"")),tbl_Finance[Xero Invoice No]))=COUNTIFS(tbl_Finance[Job Number],C324&amp;"",tbl_Finance[Xero Invoice No],"&lt;&gt;"),LOOKUP(2,1/((tbl_Finance[Job Number]&amp;""=C324&amp;"")*(tbl_Finance[Xero Invoice No]&lt;&gt;"")),tbl_Finance[Xero Invoice No]),LOOKUP(2,1/((tbl_Finance[Job Number]&amp;""=C324&amp;"")*(tbl_Finance[Xero Invoice No]&lt;&gt;"")),tbl_Finance[Xero Invoice No])&amp;" +more"),"")))</f>
        <v/>
      </c>
      <c r="C324" s="24" t="n"/>
      <c r="D324" s="25">
        <f>IF(C324="","",IF(COUNTIF(lst_Jobs,C324&amp;"")&gt;0,"OK","CHECK"))</f>
        <v/>
      </c>
      <c r="E324" s="25">
        <f>IF(C324="","",IFERROR(INDEX(lst_JobName,MATCH(C324&amp;"",lst_Jobs,0)),""))</f>
        <v/>
      </c>
      <c r="F324" s="25">
        <f>IF(C324="","",IFERROR(INDEX(tbl_Finance[Client],IFERROR(MATCH(C324&amp;"",tbl_Finance[Job Number],0),MATCH(IFERROR(C324+0,C324),tbl_Finance[Job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6" t="n"/>
      <c r="L324" s="27">
        <f>IF(C324="","",IF(K324="",0,MAX(0,K324-H324)))</f>
        <v/>
      </c>
      <c r="M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N324" s="24" t="n"/>
      <c r="O324" s="24" t="n"/>
      <c r="P324" s="25">
        <f>IF(O324="","",HYPERLINK(IF(LEFT(O324,4)="http",O324,set_QwilrBase&amp;O324),"Open quote"))</f>
        <v/>
      </c>
      <c r="Q324" s="71" t="n"/>
      <c r="R324" s="24" t="n"/>
      <c r="S324" s="24" t="n"/>
    </row>
    <row r="325" ht="15" customHeight="1">
      <c r="A325" s="70">
        <f>IF(C325="","",IFERROR(IF(SUMPRODUCT(MAX((tbl_Finance[Job Number]&amp;""=C325&amp;"")*(tbl_Finance[Xero Invoice No]&lt;&gt;"")*tbl_Finance[Date]))=0,"",SUMPRODUCT(MAX((tbl_Finance[Job Number]&amp;""=C325&amp;"")*(tbl_Finance[Xero Invoice No]&lt;&gt;"")*tbl_Finance[Date]))),""))</f>
        <v/>
      </c>
      <c r="B325" s="25">
        <f>IF(C325="","",IF(COUNTIFS(tbl_Finance[Job Number],C325&amp;"",tbl_Finance[Xero Invoice No],"&lt;&gt;")=0,"",IFERROR(IF(COUNTIFS(tbl_Finance[Job Number],C325&amp;"",tbl_Finance[Xero Invoice No],LOOKUP(2,1/((tbl_Finance[Job Number]&amp;""=C325&amp;"")*(tbl_Finance[Xero Invoice No]&lt;&gt;"")),tbl_Finance[Xero Invoice No]))=COUNTIFS(tbl_Finance[Job Number],C325&amp;"",tbl_Finance[Xero Invoice No],"&lt;&gt;"),LOOKUP(2,1/((tbl_Finance[Job Number]&amp;""=C325&amp;"")*(tbl_Finance[Xero Invoice No]&lt;&gt;"")),tbl_Finance[Xero Invoice No]),LOOKUP(2,1/((tbl_Finance[Job Number]&amp;""=C325&amp;"")*(tbl_Finance[Xero Invoice No]&lt;&gt;"")),tbl_Finance[Xero Invoice No])&amp;" +more"),"")))</f>
        <v/>
      </c>
      <c r="C325" s="24" t="n"/>
      <c r="D325" s="25">
        <f>IF(C325="","",IF(COUNTIF(lst_Jobs,C325&amp;"")&gt;0,"OK","CHECK"))</f>
        <v/>
      </c>
      <c r="E325" s="25">
        <f>IF(C325="","",IFERROR(INDEX(lst_JobName,MATCH(C325&amp;"",lst_Jobs,0)),""))</f>
        <v/>
      </c>
      <c r="F325" s="25">
        <f>IF(C325="","",IFERROR(INDEX(tbl_Finance[Client],IFERROR(MATCH(C325&amp;"",tbl_Finance[Job Number],0),MATCH(IFERROR(C325+0,C325),tbl_Finance[Job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6" t="n"/>
      <c r="L325" s="27">
        <f>IF(C325="","",IF(K325="",0,MAX(0,K325-H325)))</f>
        <v/>
      </c>
      <c r="M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N325" s="24" t="n"/>
      <c r="O325" s="24" t="n"/>
      <c r="P325" s="25">
        <f>IF(O325="","",HYPERLINK(IF(LEFT(O325,4)="http",O325,set_QwilrBase&amp;O325),"Open quote"))</f>
        <v/>
      </c>
      <c r="Q325" s="71" t="n"/>
      <c r="R325" s="24" t="n"/>
      <c r="S325" s="24" t="n"/>
    </row>
    <row r="326" ht="15" customHeight="1">
      <c r="A326" s="70">
        <f>IF(C326="","",IFERROR(IF(SUMPRODUCT(MAX((tbl_Finance[Job Number]&amp;""=C326&amp;"")*(tbl_Finance[Xero Invoice No]&lt;&gt;"")*tbl_Finance[Date]))=0,"",SUMPRODUCT(MAX((tbl_Finance[Job Number]&amp;""=C326&amp;"")*(tbl_Finance[Xero Invoice No]&lt;&gt;"")*tbl_Finance[Date]))),""))</f>
        <v/>
      </c>
      <c r="B326" s="25">
        <f>IF(C326="","",IF(COUNTIFS(tbl_Finance[Job Number],C326&amp;"",tbl_Finance[Xero Invoice No],"&lt;&gt;")=0,"",IFERROR(IF(COUNTIFS(tbl_Finance[Job Number],C326&amp;"",tbl_Finance[Xero Invoice No],LOOKUP(2,1/((tbl_Finance[Job Number]&amp;""=C326&amp;"")*(tbl_Finance[Xero Invoice No]&lt;&gt;"")),tbl_Finance[Xero Invoice No]))=COUNTIFS(tbl_Finance[Job Number],C326&amp;"",tbl_Finance[Xero Invoice No],"&lt;&gt;"),LOOKUP(2,1/((tbl_Finance[Job Number]&amp;""=C326&amp;"")*(tbl_Finance[Xero Invoice No]&lt;&gt;"")),tbl_Finance[Xero Invoice No]),LOOKUP(2,1/((tbl_Finance[Job Number]&amp;""=C326&amp;"")*(tbl_Finance[Xero Invoice No]&lt;&gt;"")),tbl_Finance[Xero Invoice No])&amp;" +more"),"")))</f>
        <v/>
      </c>
      <c r="C326" s="24" t="n"/>
      <c r="D326" s="25">
        <f>IF(C326="","",IF(COUNTIF(lst_Jobs,C326&amp;"")&gt;0,"OK","CHECK"))</f>
        <v/>
      </c>
      <c r="E326" s="25">
        <f>IF(C326="","",IFERROR(INDEX(lst_JobName,MATCH(C326&amp;"",lst_Jobs,0)),""))</f>
        <v/>
      </c>
      <c r="F326" s="25">
        <f>IF(C326="","",IFERROR(INDEX(tbl_Finance[Client],IFERROR(MATCH(C326&amp;"",tbl_Finance[Job Number],0),MATCH(IFERROR(C326+0,C326),tbl_Finance[Job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6" t="n"/>
      <c r="L326" s="27">
        <f>IF(C326="","",IF(K326="",0,MAX(0,K326-H326)))</f>
        <v/>
      </c>
      <c r="M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N326" s="24" t="n"/>
      <c r="O326" s="24" t="n"/>
      <c r="P326" s="25">
        <f>IF(O326="","",HYPERLINK(IF(LEFT(O326,4)="http",O326,set_QwilrBase&amp;O326),"Open quote"))</f>
        <v/>
      </c>
      <c r="Q326" s="71" t="n"/>
      <c r="R326" s="24" t="n"/>
      <c r="S326" s="24" t="n"/>
    </row>
    <row r="327" ht="15" customHeight="1">
      <c r="A327" s="70">
        <f>IF(C327="","",IFERROR(IF(SUMPRODUCT(MAX((tbl_Finance[Job Number]&amp;""=C327&amp;"")*(tbl_Finance[Xero Invoice No]&lt;&gt;"")*tbl_Finance[Date]))=0,"",SUMPRODUCT(MAX((tbl_Finance[Job Number]&amp;""=C327&amp;"")*(tbl_Finance[Xero Invoice No]&lt;&gt;"")*tbl_Finance[Date]))),""))</f>
        <v/>
      </c>
      <c r="B327" s="25">
        <f>IF(C327="","",IF(COUNTIFS(tbl_Finance[Job Number],C327&amp;"",tbl_Finance[Xero Invoice No],"&lt;&gt;")=0,"",IFERROR(IF(COUNTIFS(tbl_Finance[Job Number],C327&amp;"",tbl_Finance[Xero Invoice No],LOOKUP(2,1/((tbl_Finance[Job Number]&amp;""=C327&amp;"")*(tbl_Finance[Xero Invoice No]&lt;&gt;"")),tbl_Finance[Xero Invoice No]))=COUNTIFS(tbl_Finance[Job Number],C327&amp;"",tbl_Finance[Xero Invoice No],"&lt;&gt;"),LOOKUP(2,1/((tbl_Finance[Job Number]&amp;""=C327&amp;"")*(tbl_Finance[Xero Invoice No]&lt;&gt;"")),tbl_Finance[Xero Invoice No]),LOOKUP(2,1/((tbl_Finance[Job Number]&amp;""=C327&amp;"")*(tbl_Finance[Xero Invoice No]&lt;&gt;"")),tbl_Finance[Xero Invoice No])&amp;" +more"),"")))</f>
        <v/>
      </c>
      <c r="C327" s="24" t="n"/>
      <c r="D327" s="25">
        <f>IF(C327="","",IF(COUNTIF(lst_Jobs,C327&amp;"")&gt;0,"OK","CHECK"))</f>
        <v/>
      </c>
      <c r="E327" s="25">
        <f>IF(C327="","",IFERROR(INDEX(lst_JobName,MATCH(C327&amp;"",lst_Jobs,0)),""))</f>
        <v/>
      </c>
      <c r="F327" s="25">
        <f>IF(C327="","",IFERROR(INDEX(tbl_Finance[Client],IFERROR(MATCH(C327&amp;"",tbl_Finance[Job Number],0),MATCH(IFERROR(C327+0,C327),tbl_Finance[Job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6" t="n"/>
      <c r="L327" s="27">
        <f>IF(C327="","",IF(K327="",0,MAX(0,K327-H327)))</f>
        <v/>
      </c>
      <c r="M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N327" s="24" t="n"/>
      <c r="O327" s="24" t="n"/>
      <c r="P327" s="25">
        <f>IF(O327="","",HYPERLINK(IF(LEFT(O327,4)="http",O327,set_QwilrBase&amp;O327),"Open quote"))</f>
        <v/>
      </c>
      <c r="Q327" s="71" t="n"/>
      <c r="R327" s="24" t="n"/>
      <c r="S327" s="24" t="n"/>
    </row>
    <row r="328" ht="15" customHeight="1">
      <c r="A328" s="70">
        <f>IF(C328="","",IFERROR(IF(SUMPRODUCT(MAX((tbl_Finance[Job Number]&amp;""=C328&amp;"")*(tbl_Finance[Xero Invoice No]&lt;&gt;"")*tbl_Finance[Date]))=0,"",SUMPRODUCT(MAX((tbl_Finance[Job Number]&amp;""=C328&amp;"")*(tbl_Finance[Xero Invoice No]&lt;&gt;"")*tbl_Finance[Date]))),""))</f>
        <v/>
      </c>
      <c r="B328" s="25">
        <f>IF(C328="","",IF(COUNTIFS(tbl_Finance[Job Number],C328&amp;"",tbl_Finance[Xero Invoice No],"&lt;&gt;")=0,"",IFERROR(IF(COUNTIFS(tbl_Finance[Job Number],C328&amp;"",tbl_Finance[Xero Invoice No],LOOKUP(2,1/((tbl_Finance[Job Number]&amp;""=C328&amp;"")*(tbl_Finance[Xero Invoice No]&lt;&gt;"")),tbl_Finance[Xero Invoice No]))=COUNTIFS(tbl_Finance[Job Number],C328&amp;"",tbl_Finance[Xero Invoice No],"&lt;&gt;"),LOOKUP(2,1/((tbl_Finance[Job Number]&amp;""=C328&amp;"")*(tbl_Finance[Xero Invoice No]&lt;&gt;"")),tbl_Finance[Xero Invoice No]),LOOKUP(2,1/((tbl_Finance[Job Number]&amp;""=C328&amp;"")*(tbl_Finance[Xero Invoice No]&lt;&gt;"")),tbl_Finance[Xero Invoice No])&amp;" +more"),"")))</f>
        <v/>
      </c>
      <c r="C328" s="24" t="n"/>
      <c r="D328" s="25">
        <f>IF(C328="","",IF(COUNTIF(lst_Jobs,C328&amp;"")&gt;0,"OK","CHECK"))</f>
        <v/>
      </c>
      <c r="E328" s="25">
        <f>IF(C328="","",IFERROR(INDEX(lst_JobName,MATCH(C328&amp;"",lst_Jobs,0)),""))</f>
        <v/>
      </c>
      <c r="F328" s="25">
        <f>IF(C328="","",IFERROR(INDEX(tbl_Finance[Client],IFERROR(MATCH(C328&amp;"",tbl_Finance[Job Number],0),MATCH(IFERROR(C328+0,C328),tbl_Finance[Job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6" t="n"/>
      <c r="L328" s="27">
        <f>IF(C328="","",IF(K328="",0,MAX(0,K328-H328)))</f>
        <v/>
      </c>
      <c r="M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N328" s="24" t="n"/>
      <c r="O328" s="24" t="n"/>
      <c r="P328" s="25">
        <f>IF(O328="","",HYPERLINK(IF(LEFT(O328,4)="http",O328,set_QwilrBase&amp;O328),"Open quote"))</f>
        <v/>
      </c>
      <c r="Q328" s="71" t="n"/>
      <c r="R328" s="24" t="n"/>
      <c r="S328" s="24" t="n"/>
    </row>
    <row r="329" ht="15" customHeight="1">
      <c r="A329" s="70">
        <f>IF(C329="","",IFERROR(IF(SUMPRODUCT(MAX((tbl_Finance[Job Number]&amp;""=C329&amp;"")*(tbl_Finance[Xero Invoice No]&lt;&gt;"")*tbl_Finance[Date]))=0,"",SUMPRODUCT(MAX((tbl_Finance[Job Number]&amp;""=C329&amp;"")*(tbl_Finance[Xero Invoice No]&lt;&gt;"")*tbl_Finance[Date]))),""))</f>
        <v/>
      </c>
      <c r="B329" s="25">
        <f>IF(C329="","",IF(COUNTIFS(tbl_Finance[Job Number],C329&amp;"",tbl_Finance[Xero Invoice No],"&lt;&gt;")=0,"",IFERROR(IF(COUNTIFS(tbl_Finance[Job Number],C329&amp;"",tbl_Finance[Xero Invoice No],LOOKUP(2,1/((tbl_Finance[Job Number]&amp;""=C329&amp;"")*(tbl_Finance[Xero Invoice No]&lt;&gt;"")),tbl_Finance[Xero Invoice No]))=COUNTIFS(tbl_Finance[Job Number],C329&amp;"",tbl_Finance[Xero Invoice No],"&lt;&gt;"),LOOKUP(2,1/((tbl_Finance[Job Number]&amp;""=C329&amp;"")*(tbl_Finance[Xero Invoice No]&lt;&gt;"")),tbl_Finance[Xero Invoice No]),LOOKUP(2,1/((tbl_Finance[Job Number]&amp;""=C329&amp;"")*(tbl_Finance[Xero Invoice No]&lt;&gt;"")),tbl_Finance[Xero Invoice No])&amp;" +more"),"")))</f>
        <v/>
      </c>
      <c r="C329" s="24" t="n"/>
      <c r="D329" s="25">
        <f>IF(C329="","",IF(COUNTIF(lst_Jobs,C329&amp;"")&gt;0,"OK","CHECK"))</f>
        <v/>
      </c>
      <c r="E329" s="25">
        <f>IF(C329="","",IFERROR(INDEX(lst_JobName,MATCH(C329&amp;"",lst_Jobs,0)),""))</f>
        <v/>
      </c>
      <c r="F329" s="25">
        <f>IF(C329="","",IFERROR(INDEX(tbl_Finance[Client],IFERROR(MATCH(C329&amp;"",tbl_Finance[Job Number],0),MATCH(IFERROR(C329+0,C329),tbl_Finance[Job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6" t="n"/>
      <c r="L329" s="27">
        <f>IF(C329="","",IF(K329="",0,MAX(0,K329-H329)))</f>
        <v/>
      </c>
      <c r="M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N329" s="24" t="n"/>
      <c r="O329" s="24" t="n"/>
      <c r="P329" s="25">
        <f>IF(O329="","",HYPERLINK(IF(LEFT(O329,4)="http",O329,set_QwilrBase&amp;O329),"Open quote"))</f>
        <v/>
      </c>
      <c r="Q329" s="71" t="n"/>
      <c r="R329" s="24" t="n"/>
      <c r="S329" s="24" t="n"/>
    </row>
    <row r="330" ht="15" customHeight="1">
      <c r="A330" s="70">
        <f>IF(C330="","",IFERROR(IF(SUMPRODUCT(MAX((tbl_Finance[Job Number]&amp;""=C330&amp;"")*(tbl_Finance[Xero Invoice No]&lt;&gt;"")*tbl_Finance[Date]))=0,"",SUMPRODUCT(MAX((tbl_Finance[Job Number]&amp;""=C330&amp;"")*(tbl_Finance[Xero Invoice No]&lt;&gt;"")*tbl_Finance[Date]))),""))</f>
        <v/>
      </c>
      <c r="B330" s="25">
        <f>IF(C330="","",IF(COUNTIFS(tbl_Finance[Job Number],C330&amp;"",tbl_Finance[Xero Invoice No],"&lt;&gt;")=0,"",IFERROR(IF(COUNTIFS(tbl_Finance[Job Number],C330&amp;"",tbl_Finance[Xero Invoice No],LOOKUP(2,1/((tbl_Finance[Job Number]&amp;""=C330&amp;"")*(tbl_Finance[Xero Invoice No]&lt;&gt;"")),tbl_Finance[Xero Invoice No]))=COUNTIFS(tbl_Finance[Job Number],C330&amp;"",tbl_Finance[Xero Invoice No],"&lt;&gt;"),LOOKUP(2,1/((tbl_Finance[Job Number]&amp;""=C330&amp;"")*(tbl_Finance[Xero Invoice No]&lt;&gt;"")),tbl_Finance[Xero Invoice No]),LOOKUP(2,1/((tbl_Finance[Job Number]&amp;""=C330&amp;"")*(tbl_Finance[Xero Invoice No]&lt;&gt;"")),tbl_Finance[Xero Invoice No])&amp;" +more"),"")))</f>
        <v/>
      </c>
      <c r="C330" s="24" t="n"/>
      <c r="D330" s="25">
        <f>IF(C330="","",IF(COUNTIF(lst_Jobs,C330&amp;"")&gt;0,"OK","CHECK"))</f>
        <v/>
      </c>
      <c r="E330" s="25">
        <f>IF(C330="","",IFERROR(INDEX(lst_JobName,MATCH(C330&amp;"",lst_Jobs,0)),""))</f>
        <v/>
      </c>
      <c r="F330" s="25">
        <f>IF(C330="","",IFERROR(INDEX(tbl_Finance[Client],IFERROR(MATCH(C330&amp;"",tbl_Finance[Job Number],0),MATCH(IFERROR(C330+0,C330),tbl_Finance[Job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6" t="n"/>
      <c r="L330" s="27">
        <f>IF(C330="","",IF(K330="",0,MAX(0,K330-H330)))</f>
        <v/>
      </c>
      <c r="M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N330" s="24" t="n"/>
      <c r="O330" s="24" t="n"/>
      <c r="P330" s="25">
        <f>IF(O330="","",HYPERLINK(IF(LEFT(O330,4)="http",O330,set_QwilrBase&amp;O330),"Open quote"))</f>
        <v/>
      </c>
      <c r="Q330" s="71" t="n"/>
      <c r="R330" s="24" t="n"/>
      <c r="S330" s="24" t="n"/>
    </row>
    <row r="331" ht="15" customHeight="1">
      <c r="A331" s="70">
        <f>IF(C331="","",IFERROR(IF(SUMPRODUCT(MAX((tbl_Finance[Job Number]&amp;""=C331&amp;"")*(tbl_Finance[Xero Invoice No]&lt;&gt;"")*tbl_Finance[Date]))=0,"",SUMPRODUCT(MAX((tbl_Finance[Job Number]&amp;""=C331&amp;"")*(tbl_Finance[Xero Invoice No]&lt;&gt;"")*tbl_Finance[Date]))),""))</f>
        <v/>
      </c>
      <c r="B331" s="25">
        <f>IF(C331="","",IF(COUNTIFS(tbl_Finance[Job Number],C331&amp;"",tbl_Finance[Xero Invoice No],"&lt;&gt;")=0,"",IFERROR(IF(COUNTIFS(tbl_Finance[Job Number],C331&amp;"",tbl_Finance[Xero Invoice No],LOOKUP(2,1/((tbl_Finance[Job Number]&amp;""=C331&amp;"")*(tbl_Finance[Xero Invoice No]&lt;&gt;"")),tbl_Finance[Xero Invoice No]))=COUNTIFS(tbl_Finance[Job Number],C331&amp;"",tbl_Finance[Xero Invoice No],"&lt;&gt;"),LOOKUP(2,1/((tbl_Finance[Job Number]&amp;""=C331&amp;"")*(tbl_Finance[Xero Invoice No]&lt;&gt;"")),tbl_Finance[Xero Invoice No]),LOOKUP(2,1/((tbl_Finance[Job Number]&amp;""=C331&amp;"")*(tbl_Finance[Xero Invoice No]&lt;&gt;"")),tbl_Finance[Xero Invoice No])&amp;" +more"),"")))</f>
        <v/>
      </c>
      <c r="C331" s="24" t="n"/>
      <c r="D331" s="25">
        <f>IF(C331="","",IF(COUNTIF(lst_Jobs,C331&amp;"")&gt;0,"OK","CHECK"))</f>
        <v/>
      </c>
      <c r="E331" s="25">
        <f>IF(C331="","",IFERROR(INDEX(lst_JobName,MATCH(C331&amp;"",lst_Jobs,0)),""))</f>
        <v/>
      </c>
      <c r="F331" s="25">
        <f>IF(C331="","",IFERROR(INDEX(tbl_Finance[Client],IFERROR(MATCH(C331&amp;"",tbl_Finance[Job Number],0),MATCH(IFERROR(C331+0,C331),tbl_Finance[Job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6" t="n"/>
      <c r="L331" s="27">
        <f>IF(C331="","",IF(K331="",0,MAX(0,K331-H331)))</f>
        <v/>
      </c>
      <c r="M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N331" s="24" t="n"/>
      <c r="O331" s="24" t="n"/>
      <c r="P331" s="25">
        <f>IF(O331="","",HYPERLINK(IF(LEFT(O331,4)="http",O331,set_QwilrBase&amp;O331),"Open quote"))</f>
        <v/>
      </c>
      <c r="Q331" s="71" t="n"/>
      <c r="R331" s="24" t="n"/>
      <c r="S331" s="24" t="n"/>
    </row>
    <row r="332" ht="15" customHeight="1">
      <c r="A332" s="70">
        <f>IF(C332="","",IFERROR(IF(SUMPRODUCT(MAX((tbl_Finance[Job Number]&amp;""=C332&amp;"")*(tbl_Finance[Xero Invoice No]&lt;&gt;"")*tbl_Finance[Date]))=0,"",SUMPRODUCT(MAX((tbl_Finance[Job Number]&amp;""=C332&amp;"")*(tbl_Finance[Xero Invoice No]&lt;&gt;"")*tbl_Finance[Date]))),""))</f>
        <v/>
      </c>
      <c r="B332" s="25">
        <f>IF(C332="","",IF(COUNTIFS(tbl_Finance[Job Number],C332&amp;"",tbl_Finance[Xero Invoice No],"&lt;&gt;")=0,"",IFERROR(IF(COUNTIFS(tbl_Finance[Job Number],C332&amp;"",tbl_Finance[Xero Invoice No],LOOKUP(2,1/((tbl_Finance[Job Number]&amp;""=C332&amp;"")*(tbl_Finance[Xero Invoice No]&lt;&gt;"")),tbl_Finance[Xero Invoice No]))=COUNTIFS(tbl_Finance[Job Number],C332&amp;"",tbl_Finance[Xero Invoice No],"&lt;&gt;"),LOOKUP(2,1/((tbl_Finance[Job Number]&amp;""=C332&amp;"")*(tbl_Finance[Xero Invoice No]&lt;&gt;"")),tbl_Finance[Xero Invoice No]),LOOKUP(2,1/((tbl_Finance[Job Number]&amp;""=C332&amp;"")*(tbl_Finance[Xero Invoice No]&lt;&gt;"")),tbl_Finance[Xero Invoice No])&amp;" +more"),"")))</f>
        <v/>
      </c>
      <c r="C332" s="24" t="n"/>
      <c r="D332" s="25">
        <f>IF(C332="","",IF(COUNTIF(lst_Jobs,C332&amp;"")&gt;0,"OK","CHECK"))</f>
        <v/>
      </c>
      <c r="E332" s="25">
        <f>IF(C332="","",IFERROR(INDEX(lst_JobName,MATCH(C332&amp;"",lst_Jobs,0)),""))</f>
        <v/>
      </c>
      <c r="F332" s="25">
        <f>IF(C332="","",IFERROR(INDEX(tbl_Finance[Client],IFERROR(MATCH(C332&amp;"",tbl_Finance[Job Number],0),MATCH(IFERROR(C332+0,C332),tbl_Finance[Job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6" t="n"/>
      <c r="L332" s="27">
        <f>IF(C332="","",IF(K332="",0,MAX(0,K332-H332)))</f>
        <v/>
      </c>
      <c r="M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N332" s="24" t="n"/>
      <c r="O332" s="24" t="n"/>
      <c r="P332" s="25">
        <f>IF(O332="","",HYPERLINK(IF(LEFT(O332,4)="http",O332,set_QwilrBase&amp;O332),"Open quote"))</f>
        <v/>
      </c>
      <c r="Q332" s="71" t="n"/>
      <c r="R332" s="24" t="n"/>
      <c r="S332" s="24" t="n"/>
    </row>
    <row r="333" ht="15" customHeight="1">
      <c r="A333" s="70">
        <f>IF(C333="","",IFERROR(IF(SUMPRODUCT(MAX((tbl_Finance[Job Number]&amp;""=C333&amp;"")*(tbl_Finance[Xero Invoice No]&lt;&gt;"")*tbl_Finance[Date]))=0,"",SUMPRODUCT(MAX((tbl_Finance[Job Number]&amp;""=C333&amp;"")*(tbl_Finance[Xero Invoice No]&lt;&gt;"")*tbl_Finance[Date]))),""))</f>
        <v/>
      </c>
      <c r="B333" s="25">
        <f>IF(C333="","",IF(COUNTIFS(tbl_Finance[Job Number],C333&amp;"",tbl_Finance[Xero Invoice No],"&lt;&gt;")=0,"",IFERROR(IF(COUNTIFS(tbl_Finance[Job Number],C333&amp;"",tbl_Finance[Xero Invoice No],LOOKUP(2,1/((tbl_Finance[Job Number]&amp;""=C333&amp;"")*(tbl_Finance[Xero Invoice No]&lt;&gt;"")),tbl_Finance[Xero Invoice No]))=COUNTIFS(tbl_Finance[Job Number],C333&amp;"",tbl_Finance[Xero Invoice No],"&lt;&gt;"),LOOKUP(2,1/((tbl_Finance[Job Number]&amp;""=C333&amp;"")*(tbl_Finance[Xero Invoice No]&lt;&gt;"")),tbl_Finance[Xero Invoice No]),LOOKUP(2,1/((tbl_Finance[Job Number]&amp;""=C333&amp;"")*(tbl_Finance[Xero Invoice No]&lt;&gt;"")),tbl_Finance[Xero Invoice No])&amp;" +more"),"")))</f>
        <v/>
      </c>
      <c r="C333" s="24" t="n"/>
      <c r="D333" s="25">
        <f>IF(C333="","",IF(COUNTIF(lst_Jobs,C333&amp;"")&gt;0,"OK","CHECK"))</f>
        <v/>
      </c>
      <c r="E333" s="25">
        <f>IF(C333="","",IFERROR(INDEX(lst_JobName,MATCH(C333&amp;"",lst_Jobs,0)),""))</f>
        <v/>
      </c>
      <c r="F333" s="25">
        <f>IF(C333="","",IFERROR(INDEX(tbl_Finance[Client],IFERROR(MATCH(C333&amp;"",tbl_Finance[Job Number],0),MATCH(IFERROR(C333+0,C333),tbl_Finance[Job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6" t="n"/>
      <c r="L333" s="27">
        <f>IF(C333="","",IF(K333="",0,MAX(0,K333-H333)))</f>
        <v/>
      </c>
      <c r="M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N333" s="24" t="n"/>
      <c r="O333" s="24" t="n"/>
      <c r="P333" s="25">
        <f>IF(O333="","",HYPERLINK(IF(LEFT(O333,4)="http",O333,set_QwilrBase&amp;O333),"Open quote"))</f>
        <v/>
      </c>
      <c r="Q333" s="71" t="n"/>
      <c r="R333" s="24" t="n"/>
      <c r="S333" s="24" t="n"/>
    </row>
    <row r="334" ht="15" customHeight="1">
      <c r="A334" s="70">
        <f>IF(C334="","",IFERROR(IF(SUMPRODUCT(MAX((tbl_Finance[Job Number]&amp;""=C334&amp;"")*(tbl_Finance[Xero Invoice No]&lt;&gt;"")*tbl_Finance[Date]))=0,"",SUMPRODUCT(MAX((tbl_Finance[Job Number]&amp;""=C334&amp;"")*(tbl_Finance[Xero Invoice No]&lt;&gt;"")*tbl_Finance[Date]))),""))</f>
        <v/>
      </c>
      <c r="B334" s="25">
        <f>IF(C334="","",IF(COUNTIFS(tbl_Finance[Job Number],C334&amp;"",tbl_Finance[Xero Invoice No],"&lt;&gt;")=0,"",IFERROR(IF(COUNTIFS(tbl_Finance[Job Number],C334&amp;"",tbl_Finance[Xero Invoice No],LOOKUP(2,1/((tbl_Finance[Job Number]&amp;""=C334&amp;"")*(tbl_Finance[Xero Invoice No]&lt;&gt;"")),tbl_Finance[Xero Invoice No]))=COUNTIFS(tbl_Finance[Job Number],C334&amp;"",tbl_Finance[Xero Invoice No],"&lt;&gt;"),LOOKUP(2,1/((tbl_Finance[Job Number]&amp;""=C334&amp;"")*(tbl_Finance[Xero Invoice No]&lt;&gt;"")),tbl_Finance[Xero Invoice No]),LOOKUP(2,1/((tbl_Finance[Job Number]&amp;""=C334&amp;"")*(tbl_Finance[Xero Invoice No]&lt;&gt;"")),tbl_Finance[Xero Invoice No])&amp;" +more"),"")))</f>
        <v/>
      </c>
      <c r="C334" s="24" t="n"/>
      <c r="D334" s="25">
        <f>IF(C334="","",IF(COUNTIF(lst_Jobs,C334&amp;"")&gt;0,"OK","CHECK"))</f>
        <v/>
      </c>
      <c r="E334" s="25">
        <f>IF(C334="","",IFERROR(INDEX(lst_JobName,MATCH(C334&amp;"",lst_Jobs,0)),""))</f>
        <v/>
      </c>
      <c r="F334" s="25">
        <f>IF(C334="","",IFERROR(INDEX(tbl_Finance[Client],IFERROR(MATCH(C334&amp;"",tbl_Finance[Job Number],0),MATCH(IFERROR(C334+0,C334),tbl_Finance[Job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6" t="n"/>
      <c r="L334" s="27">
        <f>IF(C334="","",IF(K334="",0,MAX(0,K334-H334)))</f>
        <v/>
      </c>
      <c r="M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N334" s="24" t="n"/>
      <c r="O334" s="24" t="n"/>
      <c r="P334" s="25">
        <f>IF(O334="","",HYPERLINK(IF(LEFT(O334,4)="http",O334,set_QwilrBase&amp;O334),"Open quote"))</f>
        <v/>
      </c>
      <c r="Q334" s="71" t="n"/>
      <c r="R334" s="24" t="n"/>
      <c r="S334" s="24" t="n"/>
    </row>
    <row r="335" ht="15" customHeight="1">
      <c r="A335" s="70">
        <f>IF(C335="","",IFERROR(IF(SUMPRODUCT(MAX((tbl_Finance[Job Number]&amp;""=C335&amp;"")*(tbl_Finance[Xero Invoice No]&lt;&gt;"")*tbl_Finance[Date]))=0,"",SUMPRODUCT(MAX((tbl_Finance[Job Number]&amp;""=C335&amp;"")*(tbl_Finance[Xero Invoice No]&lt;&gt;"")*tbl_Finance[Date]))),""))</f>
        <v/>
      </c>
      <c r="B335" s="25">
        <f>IF(C335="","",IF(COUNTIFS(tbl_Finance[Job Number],C335&amp;"",tbl_Finance[Xero Invoice No],"&lt;&gt;")=0,"",IFERROR(IF(COUNTIFS(tbl_Finance[Job Number],C335&amp;"",tbl_Finance[Xero Invoice No],LOOKUP(2,1/((tbl_Finance[Job Number]&amp;""=C335&amp;"")*(tbl_Finance[Xero Invoice No]&lt;&gt;"")),tbl_Finance[Xero Invoice No]))=COUNTIFS(tbl_Finance[Job Number],C335&amp;"",tbl_Finance[Xero Invoice No],"&lt;&gt;"),LOOKUP(2,1/((tbl_Finance[Job Number]&amp;""=C335&amp;"")*(tbl_Finance[Xero Invoice No]&lt;&gt;"")),tbl_Finance[Xero Invoice No]),LOOKUP(2,1/((tbl_Finance[Job Number]&amp;""=C335&amp;"")*(tbl_Finance[Xero Invoice No]&lt;&gt;"")),tbl_Finance[Xero Invoice No])&amp;" +more"),"")))</f>
        <v/>
      </c>
      <c r="C335" s="24" t="n"/>
      <c r="D335" s="25">
        <f>IF(C335="","",IF(COUNTIF(lst_Jobs,C335&amp;"")&gt;0,"OK","CHECK"))</f>
        <v/>
      </c>
      <c r="E335" s="25">
        <f>IF(C335="","",IFERROR(INDEX(lst_JobName,MATCH(C335&amp;"",lst_Jobs,0)),""))</f>
        <v/>
      </c>
      <c r="F335" s="25">
        <f>IF(C335="","",IFERROR(INDEX(tbl_Finance[Client],IFERROR(MATCH(C335&amp;"",tbl_Finance[Job Number],0),MATCH(IFERROR(C335+0,C335),tbl_Finance[Job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6" t="n"/>
      <c r="L335" s="27">
        <f>IF(C335="","",IF(K335="",0,MAX(0,K335-H335)))</f>
        <v/>
      </c>
      <c r="M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N335" s="24" t="n"/>
      <c r="O335" s="24" t="n"/>
      <c r="P335" s="25">
        <f>IF(O335="","",HYPERLINK(IF(LEFT(O335,4)="http",O335,set_QwilrBase&amp;O335),"Open quote"))</f>
        <v/>
      </c>
      <c r="Q335" s="71" t="n"/>
      <c r="R335" s="24" t="n"/>
      <c r="S335" s="24" t="n"/>
    </row>
    <row r="336" ht="15" customHeight="1">
      <c r="A336" s="70">
        <f>IF(C336="","",IFERROR(IF(SUMPRODUCT(MAX((tbl_Finance[Job Number]&amp;""=C336&amp;"")*(tbl_Finance[Xero Invoice No]&lt;&gt;"")*tbl_Finance[Date]))=0,"",SUMPRODUCT(MAX((tbl_Finance[Job Number]&amp;""=C336&amp;"")*(tbl_Finance[Xero Invoice No]&lt;&gt;"")*tbl_Finance[Date]))),""))</f>
        <v/>
      </c>
      <c r="B336" s="25">
        <f>IF(C336="","",IF(COUNTIFS(tbl_Finance[Job Number],C336&amp;"",tbl_Finance[Xero Invoice No],"&lt;&gt;")=0,"",IFERROR(IF(COUNTIFS(tbl_Finance[Job Number],C336&amp;"",tbl_Finance[Xero Invoice No],LOOKUP(2,1/((tbl_Finance[Job Number]&amp;""=C336&amp;"")*(tbl_Finance[Xero Invoice No]&lt;&gt;"")),tbl_Finance[Xero Invoice No]))=COUNTIFS(tbl_Finance[Job Number],C336&amp;"",tbl_Finance[Xero Invoice No],"&lt;&gt;"),LOOKUP(2,1/((tbl_Finance[Job Number]&amp;""=C336&amp;"")*(tbl_Finance[Xero Invoice No]&lt;&gt;"")),tbl_Finance[Xero Invoice No]),LOOKUP(2,1/((tbl_Finance[Job Number]&amp;""=C336&amp;"")*(tbl_Finance[Xero Invoice No]&lt;&gt;"")),tbl_Finance[Xero Invoice No])&amp;" +more"),"")))</f>
        <v/>
      </c>
      <c r="C336" s="24" t="n"/>
      <c r="D336" s="25">
        <f>IF(C336="","",IF(COUNTIF(lst_Jobs,C336&amp;"")&gt;0,"OK","CHECK"))</f>
        <v/>
      </c>
      <c r="E336" s="25">
        <f>IF(C336="","",IFERROR(INDEX(lst_JobName,MATCH(C336&amp;"",lst_Jobs,0)),""))</f>
        <v/>
      </c>
      <c r="F336" s="25">
        <f>IF(C336="","",IFERROR(INDEX(tbl_Finance[Client],IFERROR(MATCH(C336&amp;"",tbl_Finance[Job Number],0),MATCH(IFERROR(C336+0,C336),tbl_Finance[Job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6" t="n"/>
      <c r="L336" s="27">
        <f>IF(C336="","",IF(K336="",0,MAX(0,K336-H336)))</f>
        <v/>
      </c>
      <c r="M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N336" s="24" t="n"/>
      <c r="O336" s="24" t="n"/>
      <c r="P336" s="25">
        <f>IF(O336="","",HYPERLINK(IF(LEFT(O336,4)="http",O336,set_QwilrBase&amp;O336),"Open quote"))</f>
        <v/>
      </c>
      <c r="Q336" s="71" t="n"/>
      <c r="R336" s="24" t="n"/>
      <c r="S336" s="24" t="n"/>
    </row>
    <row r="337" ht="15" customHeight="1">
      <c r="A337" s="70">
        <f>IF(C337="","",IFERROR(IF(SUMPRODUCT(MAX((tbl_Finance[Job Number]&amp;""=C337&amp;"")*(tbl_Finance[Xero Invoice No]&lt;&gt;"")*tbl_Finance[Date]))=0,"",SUMPRODUCT(MAX((tbl_Finance[Job Number]&amp;""=C337&amp;"")*(tbl_Finance[Xero Invoice No]&lt;&gt;"")*tbl_Finance[Date]))),""))</f>
        <v/>
      </c>
      <c r="B337" s="25">
        <f>IF(C337="","",IF(COUNTIFS(tbl_Finance[Job Number],C337&amp;"",tbl_Finance[Xero Invoice No],"&lt;&gt;")=0,"",IFERROR(IF(COUNTIFS(tbl_Finance[Job Number],C337&amp;"",tbl_Finance[Xero Invoice No],LOOKUP(2,1/((tbl_Finance[Job Number]&amp;""=C337&amp;"")*(tbl_Finance[Xero Invoice No]&lt;&gt;"")),tbl_Finance[Xero Invoice No]))=COUNTIFS(tbl_Finance[Job Number],C337&amp;"",tbl_Finance[Xero Invoice No],"&lt;&gt;"),LOOKUP(2,1/((tbl_Finance[Job Number]&amp;""=C337&amp;"")*(tbl_Finance[Xero Invoice No]&lt;&gt;"")),tbl_Finance[Xero Invoice No]),LOOKUP(2,1/((tbl_Finance[Job Number]&amp;""=C337&amp;"")*(tbl_Finance[Xero Invoice No]&lt;&gt;"")),tbl_Finance[Xero Invoice No])&amp;" +more"),"")))</f>
        <v/>
      </c>
      <c r="C337" s="24" t="n"/>
      <c r="D337" s="25">
        <f>IF(C337="","",IF(COUNTIF(lst_Jobs,C337&amp;"")&gt;0,"OK","CHECK"))</f>
        <v/>
      </c>
      <c r="E337" s="25">
        <f>IF(C337="","",IFERROR(INDEX(lst_JobName,MATCH(C337&amp;"",lst_Jobs,0)),""))</f>
        <v/>
      </c>
      <c r="F337" s="25">
        <f>IF(C337="","",IFERROR(INDEX(tbl_Finance[Client],IFERROR(MATCH(C337&amp;"",tbl_Finance[Job Number],0),MATCH(IFERROR(C337+0,C337),tbl_Finance[Job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6" t="n"/>
      <c r="L337" s="27">
        <f>IF(C337="","",IF(K337="",0,MAX(0,K337-H337)))</f>
        <v/>
      </c>
      <c r="M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N337" s="24" t="n"/>
      <c r="O337" s="24" t="n"/>
      <c r="P337" s="25">
        <f>IF(O337="","",HYPERLINK(IF(LEFT(O337,4)="http",O337,set_QwilrBase&amp;O337),"Open quote"))</f>
        <v/>
      </c>
      <c r="Q337" s="71" t="n"/>
      <c r="R337" s="24" t="n"/>
      <c r="S337" s="24" t="n"/>
    </row>
    <row r="338" ht="15" customHeight="1">
      <c r="A338" s="70">
        <f>IF(C338="","",IFERROR(IF(SUMPRODUCT(MAX((tbl_Finance[Job Number]&amp;""=C338&amp;"")*(tbl_Finance[Xero Invoice No]&lt;&gt;"")*tbl_Finance[Date]))=0,"",SUMPRODUCT(MAX((tbl_Finance[Job Number]&amp;""=C338&amp;"")*(tbl_Finance[Xero Invoice No]&lt;&gt;"")*tbl_Finance[Date]))),""))</f>
        <v/>
      </c>
      <c r="B338" s="25">
        <f>IF(C338="","",IF(COUNTIFS(tbl_Finance[Job Number],C338&amp;"",tbl_Finance[Xero Invoice No],"&lt;&gt;")=0,"",IFERROR(IF(COUNTIFS(tbl_Finance[Job Number],C338&amp;"",tbl_Finance[Xero Invoice No],LOOKUP(2,1/((tbl_Finance[Job Number]&amp;""=C338&amp;"")*(tbl_Finance[Xero Invoice No]&lt;&gt;"")),tbl_Finance[Xero Invoice No]))=COUNTIFS(tbl_Finance[Job Number],C338&amp;"",tbl_Finance[Xero Invoice No],"&lt;&gt;"),LOOKUP(2,1/((tbl_Finance[Job Number]&amp;""=C338&amp;"")*(tbl_Finance[Xero Invoice No]&lt;&gt;"")),tbl_Finance[Xero Invoice No]),LOOKUP(2,1/((tbl_Finance[Job Number]&amp;""=C338&amp;"")*(tbl_Finance[Xero Invoice No]&lt;&gt;"")),tbl_Finance[Xero Invoice No])&amp;" +more"),"")))</f>
        <v/>
      </c>
      <c r="C338" s="24" t="n"/>
      <c r="D338" s="25">
        <f>IF(C338="","",IF(COUNTIF(lst_Jobs,C338&amp;"")&gt;0,"OK","CHECK"))</f>
        <v/>
      </c>
      <c r="E338" s="25">
        <f>IF(C338="","",IFERROR(INDEX(lst_JobName,MATCH(C338&amp;"",lst_Jobs,0)),""))</f>
        <v/>
      </c>
      <c r="F338" s="25">
        <f>IF(C338="","",IFERROR(INDEX(tbl_Finance[Client],IFERROR(MATCH(C338&amp;"",tbl_Finance[Job Number],0),MATCH(IFERROR(C338+0,C338),tbl_Finance[Job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6" t="n"/>
      <c r="L338" s="27">
        <f>IF(C338="","",IF(K338="",0,MAX(0,K338-H338)))</f>
        <v/>
      </c>
      <c r="M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N338" s="24" t="n"/>
      <c r="O338" s="24" t="n"/>
      <c r="P338" s="25">
        <f>IF(O338="","",HYPERLINK(IF(LEFT(O338,4)="http",O338,set_QwilrBase&amp;O338),"Open quote"))</f>
        <v/>
      </c>
      <c r="Q338" s="71" t="n"/>
      <c r="R338" s="24" t="n"/>
      <c r="S338" s="24" t="n"/>
    </row>
    <row r="339" ht="15" customHeight="1">
      <c r="A339" s="70">
        <f>IF(C339="","",IFERROR(IF(SUMPRODUCT(MAX((tbl_Finance[Job Number]&amp;""=C339&amp;"")*(tbl_Finance[Xero Invoice No]&lt;&gt;"")*tbl_Finance[Date]))=0,"",SUMPRODUCT(MAX((tbl_Finance[Job Number]&amp;""=C339&amp;"")*(tbl_Finance[Xero Invoice No]&lt;&gt;"")*tbl_Finance[Date]))),""))</f>
        <v/>
      </c>
      <c r="B339" s="25">
        <f>IF(C339="","",IF(COUNTIFS(tbl_Finance[Job Number],C339&amp;"",tbl_Finance[Xero Invoice No],"&lt;&gt;")=0,"",IFERROR(IF(COUNTIFS(tbl_Finance[Job Number],C339&amp;"",tbl_Finance[Xero Invoice No],LOOKUP(2,1/((tbl_Finance[Job Number]&amp;""=C339&amp;"")*(tbl_Finance[Xero Invoice No]&lt;&gt;"")),tbl_Finance[Xero Invoice No]))=COUNTIFS(tbl_Finance[Job Number],C339&amp;"",tbl_Finance[Xero Invoice No],"&lt;&gt;"),LOOKUP(2,1/((tbl_Finance[Job Number]&amp;""=C339&amp;"")*(tbl_Finance[Xero Invoice No]&lt;&gt;"")),tbl_Finance[Xero Invoice No]),LOOKUP(2,1/((tbl_Finance[Job Number]&amp;""=C339&amp;"")*(tbl_Finance[Xero Invoice No]&lt;&gt;"")),tbl_Finance[Xero Invoice No])&amp;" +more"),"")))</f>
        <v/>
      </c>
      <c r="C339" s="24" t="n"/>
      <c r="D339" s="25">
        <f>IF(C339="","",IF(COUNTIF(lst_Jobs,C339&amp;"")&gt;0,"OK","CHECK"))</f>
        <v/>
      </c>
      <c r="E339" s="25">
        <f>IF(C339="","",IFERROR(INDEX(lst_JobName,MATCH(C339&amp;"",lst_Jobs,0)),""))</f>
        <v/>
      </c>
      <c r="F339" s="25">
        <f>IF(C339="","",IFERROR(INDEX(tbl_Finance[Client],IFERROR(MATCH(C339&amp;"",tbl_Finance[Job Number],0),MATCH(IFERROR(C339+0,C339),tbl_Finance[Job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6" t="n"/>
      <c r="L339" s="27">
        <f>IF(C339="","",IF(K339="",0,MAX(0,K339-H339)))</f>
        <v/>
      </c>
      <c r="M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N339" s="24" t="n"/>
      <c r="O339" s="24" t="n"/>
      <c r="P339" s="25">
        <f>IF(O339="","",HYPERLINK(IF(LEFT(O339,4)="http",O339,set_QwilrBase&amp;O339),"Open quote"))</f>
        <v/>
      </c>
      <c r="Q339" s="71" t="n"/>
      <c r="R339" s="24" t="n"/>
      <c r="S339" s="24" t="n"/>
    </row>
    <row r="340" ht="15" customHeight="1">
      <c r="A340" s="70">
        <f>IF(C340="","",IFERROR(IF(SUMPRODUCT(MAX((tbl_Finance[Job Number]&amp;""=C340&amp;"")*(tbl_Finance[Xero Invoice No]&lt;&gt;"")*tbl_Finance[Date]))=0,"",SUMPRODUCT(MAX((tbl_Finance[Job Number]&amp;""=C340&amp;"")*(tbl_Finance[Xero Invoice No]&lt;&gt;"")*tbl_Finance[Date]))),""))</f>
        <v/>
      </c>
      <c r="B340" s="25">
        <f>IF(C340="","",IF(COUNTIFS(tbl_Finance[Job Number],C340&amp;"",tbl_Finance[Xero Invoice No],"&lt;&gt;")=0,"",IFERROR(IF(COUNTIFS(tbl_Finance[Job Number],C340&amp;"",tbl_Finance[Xero Invoice No],LOOKUP(2,1/((tbl_Finance[Job Number]&amp;""=C340&amp;"")*(tbl_Finance[Xero Invoice No]&lt;&gt;"")),tbl_Finance[Xero Invoice No]))=COUNTIFS(tbl_Finance[Job Number],C340&amp;"",tbl_Finance[Xero Invoice No],"&lt;&gt;"),LOOKUP(2,1/((tbl_Finance[Job Number]&amp;""=C340&amp;"")*(tbl_Finance[Xero Invoice No]&lt;&gt;"")),tbl_Finance[Xero Invoice No]),LOOKUP(2,1/((tbl_Finance[Job Number]&amp;""=C340&amp;"")*(tbl_Finance[Xero Invoice No]&lt;&gt;"")),tbl_Finance[Xero Invoice No])&amp;" +more"),"")))</f>
        <v/>
      </c>
      <c r="C340" s="24" t="n"/>
      <c r="D340" s="25">
        <f>IF(C340="","",IF(COUNTIF(lst_Jobs,C340&amp;"")&gt;0,"OK","CHECK"))</f>
        <v/>
      </c>
      <c r="E340" s="25">
        <f>IF(C340="","",IFERROR(INDEX(lst_JobName,MATCH(C340&amp;"",lst_Jobs,0)),""))</f>
        <v/>
      </c>
      <c r="F340" s="25">
        <f>IF(C340="","",IFERROR(INDEX(tbl_Finance[Client],IFERROR(MATCH(C340&amp;"",tbl_Finance[Job Number],0),MATCH(IFERROR(C340+0,C340),tbl_Finance[Job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6" t="n"/>
      <c r="L340" s="27">
        <f>IF(C340="","",IF(K340="",0,MAX(0,K340-H340)))</f>
        <v/>
      </c>
      <c r="M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N340" s="24" t="n"/>
      <c r="O340" s="24" t="n"/>
      <c r="P340" s="25">
        <f>IF(O340="","",HYPERLINK(IF(LEFT(O340,4)="http",O340,set_QwilrBase&amp;O340),"Open quote"))</f>
        <v/>
      </c>
      <c r="Q340" s="71" t="n"/>
      <c r="R340" s="24" t="n"/>
      <c r="S340" s="24" t="n"/>
    </row>
    <row r="341" ht="15" customHeight="1">
      <c r="A341" s="70">
        <f>IF(C341="","",IFERROR(IF(SUMPRODUCT(MAX((tbl_Finance[Job Number]&amp;""=C341&amp;"")*(tbl_Finance[Xero Invoice No]&lt;&gt;"")*tbl_Finance[Date]))=0,"",SUMPRODUCT(MAX((tbl_Finance[Job Number]&amp;""=C341&amp;"")*(tbl_Finance[Xero Invoice No]&lt;&gt;"")*tbl_Finance[Date]))),""))</f>
        <v/>
      </c>
      <c r="B341" s="25">
        <f>IF(C341="","",IF(COUNTIFS(tbl_Finance[Job Number],C341&amp;"",tbl_Finance[Xero Invoice No],"&lt;&gt;")=0,"",IFERROR(IF(COUNTIFS(tbl_Finance[Job Number],C341&amp;"",tbl_Finance[Xero Invoice No],LOOKUP(2,1/((tbl_Finance[Job Number]&amp;""=C341&amp;"")*(tbl_Finance[Xero Invoice No]&lt;&gt;"")),tbl_Finance[Xero Invoice No]))=COUNTIFS(tbl_Finance[Job Number],C341&amp;"",tbl_Finance[Xero Invoice No],"&lt;&gt;"),LOOKUP(2,1/((tbl_Finance[Job Number]&amp;""=C341&amp;"")*(tbl_Finance[Xero Invoice No]&lt;&gt;"")),tbl_Finance[Xero Invoice No]),LOOKUP(2,1/((tbl_Finance[Job Number]&amp;""=C341&amp;"")*(tbl_Finance[Xero Invoice No]&lt;&gt;"")),tbl_Finance[Xero Invoice No])&amp;" +more"),"")))</f>
        <v/>
      </c>
      <c r="C341" s="24" t="n"/>
      <c r="D341" s="25">
        <f>IF(C341="","",IF(COUNTIF(lst_Jobs,C341&amp;"")&gt;0,"OK","CHECK"))</f>
        <v/>
      </c>
      <c r="E341" s="25">
        <f>IF(C341="","",IFERROR(INDEX(lst_JobName,MATCH(C341&amp;"",lst_Jobs,0)),""))</f>
        <v/>
      </c>
      <c r="F341" s="25">
        <f>IF(C341="","",IFERROR(INDEX(tbl_Finance[Client],IFERROR(MATCH(C341&amp;"",tbl_Finance[Job Number],0),MATCH(IFERROR(C341+0,C341),tbl_Finance[Job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6" t="n"/>
      <c r="L341" s="27">
        <f>IF(C341="","",IF(K341="",0,MAX(0,K341-H341)))</f>
        <v/>
      </c>
      <c r="M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N341" s="24" t="n"/>
      <c r="O341" s="24" t="n"/>
      <c r="P341" s="25">
        <f>IF(O341="","",HYPERLINK(IF(LEFT(O341,4)="http",O341,set_QwilrBase&amp;O341),"Open quote"))</f>
        <v/>
      </c>
      <c r="Q341" s="71" t="n"/>
      <c r="R341" s="24" t="n"/>
      <c r="S341" s="24" t="n"/>
    </row>
    <row r="342" ht="15" customHeight="1">
      <c r="A342" s="70">
        <f>IF(C342="","",IFERROR(IF(SUMPRODUCT(MAX((tbl_Finance[Job Number]&amp;""=C342&amp;"")*(tbl_Finance[Xero Invoice No]&lt;&gt;"")*tbl_Finance[Date]))=0,"",SUMPRODUCT(MAX((tbl_Finance[Job Number]&amp;""=C342&amp;"")*(tbl_Finance[Xero Invoice No]&lt;&gt;"")*tbl_Finance[Date]))),""))</f>
        <v/>
      </c>
      <c r="B342" s="25">
        <f>IF(C342="","",IF(COUNTIFS(tbl_Finance[Job Number],C342&amp;"",tbl_Finance[Xero Invoice No],"&lt;&gt;")=0,"",IFERROR(IF(COUNTIFS(tbl_Finance[Job Number],C342&amp;"",tbl_Finance[Xero Invoice No],LOOKUP(2,1/((tbl_Finance[Job Number]&amp;""=C342&amp;"")*(tbl_Finance[Xero Invoice No]&lt;&gt;"")),tbl_Finance[Xero Invoice No]))=COUNTIFS(tbl_Finance[Job Number],C342&amp;"",tbl_Finance[Xero Invoice No],"&lt;&gt;"),LOOKUP(2,1/((tbl_Finance[Job Number]&amp;""=C342&amp;"")*(tbl_Finance[Xero Invoice No]&lt;&gt;"")),tbl_Finance[Xero Invoice No]),LOOKUP(2,1/((tbl_Finance[Job Number]&amp;""=C342&amp;"")*(tbl_Finance[Xero Invoice No]&lt;&gt;"")),tbl_Finance[Xero Invoice No])&amp;" +more"),"")))</f>
        <v/>
      </c>
      <c r="C342" s="24" t="n"/>
      <c r="D342" s="25">
        <f>IF(C342="","",IF(COUNTIF(lst_Jobs,C342&amp;"")&gt;0,"OK","CHECK"))</f>
        <v/>
      </c>
      <c r="E342" s="25">
        <f>IF(C342="","",IFERROR(INDEX(lst_JobName,MATCH(C342&amp;"",lst_Jobs,0)),""))</f>
        <v/>
      </c>
      <c r="F342" s="25">
        <f>IF(C342="","",IFERROR(INDEX(tbl_Finance[Client],IFERROR(MATCH(C342&amp;"",tbl_Finance[Job Number],0),MATCH(IFERROR(C342+0,C342),tbl_Finance[Job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6" t="n"/>
      <c r="L342" s="27">
        <f>IF(C342="","",IF(K342="",0,MAX(0,K342-H342)))</f>
        <v/>
      </c>
      <c r="M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N342" s="24" t="n"/>
      <c r="O342" s="24" t="n"/>
      <c r="P342" s="25">
        <f>IF(O342="","",HYPERLINK(IF(LEFT(O342,4)="http",O342,set_QwilrBase&amp;O342),"Open quote"))</f>
        <v/>
      </c>
      <c r="Q342" s="71" t="n"/>
      <c r="R342" s="24" t="n"/>
      <c r="S342" s="24" t="n"/>
    </row>
    <row r="343" ht="15" customHeight="1">
      <c r="A343" s="70">
        <f>IF(C343="","",IFERROR(IF(SUMPRODUCT(MAX((tbl_Finance[Job Number]&amp;""=C343&amp;"")*(tbl_Finance[Xero Invoice No]&lt;&gt;"")*tbl_Finance[Date]))=0,"",SUMPRODUCT(MAX((tbl_Finance[Job Number]&amp;""=C343&amp;"")*(tbl_Finance[Xero Invoice No]&lt;&gt;"")*tbl_Finance[Date]))),""))</f>
        <v/>
      </c>
      <c r="B343" s="25">
        <f>IF(C343="","",IF(COUNTIFS(tbl_Finance[Job Number],C343&amp;"",tbl_Finance[Xero Invoice No],"&lt;&gt;")=0,"",IFERROR(IF(COUNTIFS(tbl_Finance[Job Number],C343&amp;"",tbl_Finance[Xero Invoice No],LOOKUP(2,1/((tbl_Finance[Job Number]&amp;""=C343&amp;"")*(tbl_Finance[Xero Invoice No]&lt;&gt;"")),tbl_Finance[Xero Invoice No]))=COUNTIFS(tbl_Finance[Job Number],C343&amp;"",tbl_Finance[Xero Invoice No],"&lt;&gt;"),LOOKUP(2,1/((tbl_Finance[Job Number]&amp;""=C343&amp;"")*(tbl_Finance[Xero Invoice No]&lt;&gt;"")),tbl_Finance[Xero Invoice No]),LOOKUP(2,1/((tbl_Finance[Job Number]&amp;""=C343&amp;"")*(tbl_Finance[Xero Invoice No]&lt;&gt;"")),tbl_Finance[Xero Invoice No])&amp;" +more"),"")))</f>
        <v/>
      </c>
      <c r="C343" s="24" t="n"/>
      <c r="D343" s="25">
        <f>IF(C343="","",IF(COUNTIF(lst_Jobs,C343&amp;"")&gt;0,"OK","CHECK"))</f>
        <v/>
      </c>
      <c r="E343" s="25">
        <f>IF(C343="","",IFERROR(INDEX(lst_JobName,MATCH(C343&amp;"",lst_Jobs,0)),""))</f>
        <v/>
      </c>
      <c r="F343" s="25">
        <f>IF(C343="","",IFERROR(INDEX(tbl_Finance[Client],IFERROR(MATCH(C343&amp;"",tbl_Finance[Job Number],0),MATCH(IFERROR(C343+0,C343),tbl_Finance[Job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6" t="n"/>
      <c r="L343" s="27">
        <f>IF(C343="","",IF(K343="",0,MAX(0,K343-H343)))</f>
        <v/>
      </c>
      <c r="M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N343" s="24" t="n"/>
      <c r="O343" s="24" t="n"/>
      <c r="P343" s="25">
        <f>IF(O343="","",HYPERLINK(IF(LEFT(O343,4)="http",O343,set_QwilrBase&amp;O343),"Open quote"))</f>
        <v/>
      </c>
      <c r="Q343" s="71" t="n"/>
      <c r="R343" s="24" t="n"/>
      <c r="S343" s="24" t="n"/>
    </row>
    <row r="344" ht="15" customHeight="1">
      <c r="A344" s="70">
        <f>IF(C344="","",IFERROR(IF(SUMPRODUCT(MAX((tbl_Finance[Job Number]&amp;""=C344&amp;"")*(tbl_Finance[Xero Invoice No]&lt;&gt;"")*tbl_Finance[Date]))=0,"",SUMPRODUCT(MAX((tbl_Finance[Job Number]&amp;""=C344&amp;"")*(tbl_Finance[Xero Invoice No]&lt;&gt;"")*tbl_Finance[Date]))),""))</f>
        <v/>
      </c>
      <c r="B344" s="25">
        <f>IF(C344="","",IF(COUNTIFS(tbl_Finance[Job Number],C344&amp;"",tbl_Finance[Xero Invoice No],"&lt;&gt;")=0,"",IFERROR(IF(COUNTIFS(tbl_Finance[Job Number],C344&amp;"",tbl_Finance[Xero Invoice No],LOOKUP(2,1/((tbl_Finance[Job Number]&amp;""=C344&amp;"")*(tbl_Finance[Xero Invoice No]&lt;&gt;"")),tbl_Finance[Xero Invoice No]))=COUNTIFS(tbl_Finance[Job Number],C344&amp;"",tbl_Finance[Xero Invoice No],"&lt;&gt;"),LOOKUP(2,1/((tbl_Finance[Job Number]&amp;""=C344&amp;"")*(tbl_Finance[Xero Invoice No]&lt;&gt;"")),tbl_Finance[Xero Invoice No]),LOOKUP(2,1/((tbl_Finance[Job Number]&amp;""=C344&amp;"")*(tbl_Finance[Xero Invoice No]&lt;&gt;"")),tbl_Finance[Xero Invoice No])&amp;" +more"),"")))</f>
        <v/>
      </c>
      <c r="C344" s="24" t="n"/>
      <c r="D344" s="25">
        <f>IF(C344="","",IF(COUNTIF(lst_Jobs,C344&amp;"")&gt;0,"OK","CHECK"))</f>
        <v/>
      </c>
      <c r="E344" s="25">
        <f>IF(C344="","",IFERROR(INDEX(lst_JobName,MATCH(C344&amp;"",lst_Jobs,0)),""))</f>
        <v/>
      </c>
      <c r="F344" s="25">
        <f>IF(C344="","",IFERROR(INDEX(tbl_Finance[Client],IFERROR(MATCH(C344&amp;"",tbl_Finance[Job Number],0),MATCH(IFERROR(C344+0,C344),tbl_Finance[Job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6" t="n"/>
      <c r="L344" s="27">
        <f>IF(C344="","",IF(K344="",0,MAX(0,K344-H344)))</f>
        <v/>
      </c>
      <c r="M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N344" s="24" t="n"/>
      <c r="O344" s="24" t="n"/>
      <c r="P344" s="25">
        <f>IF(O344="","",HYPERLINK(IF(LEFT(O344,4)="http",O344,set_QwilrBase&amp;O344),"Open quote"))</f>
        <v/>
      </c>
      <c r="Q344" s="71" t="n"/>
      <c r="R344" s="24" t="n"/>
      <c r="S344" s="24" t="n"/>
    </row>
    <row r="345" ht="15" customHeight="1">
      <c r="A345" s="70">
        <f>IF(C345="","",IFERROR(IF(SUMPRODUCT(MAX((tbl_Finance[Job Number]&amp;""=C345&amp;"")*(tbl_Finance[Xero Invoice No]&lt;&gt;"")*tbl_Finance[Date]))=0,"",SUMPRODUCT(MAX((tbl_Finance[Job Number]&amp;""=C345&amp;"")*(tbl_Finance[Xero Invoice No]&lt;&gt;"")*tbl_Finance[Date]))),""))</f>
        <v/>
      </c>
      <c r="B345" s="25">
        <f>IF(C345="","",IF(COUNTIFS(tbl_Finance[Job Number],C345&amp;"",tbl_Finance[Xero Invoice No],"&lt;&gt;")=0,"",IFERROR(IF(COUNTIFS(tbl_Finance[Job Number],C345&amp;"",tbl_Finance[Xero Invoice No],LOOKUP(2,1/((tbl_Finance[Job Number]&amp;""=C345&amp;"")*(tbl_Finance[Xero Invoice No]&lt;&gt;"")),tbl_Finance[Xero Invoice No]))=COUNTIFS(tbl_Finance[Job Number],C345&amp;"",tbl_Finance[Xero Invoice No],"&lt;&gt;"),LOOKUP(2,1/((tbl_Finance[Job Number]&amp;""=C345&amp;"")*(tbl_Finance[Xero Invoice No]&lt;&gt;"")),tbl_Finance[Xero Invoice No]),LOOKUP(2,1/((tbl_Finance[Job Number]&amp;""=C345&amp;"")*(tbl_Finance[Xero Invoice No]&lt;&gt;"")),tbl_Finance[Xero Invoice No])&amp;" +more"),"")))</f>
        <v/>
      </c>
      <c r="C345" s="24" t="n"/>
      <c r="D345" s="25">
        <f>IF(C345="","",IF(COUNTIF(lst_Jobs,C345&amp;"")&gt;0,"OK","CHECK"))</f>
        <v/>
      </c>
      <c r="E345" s="25">
        <f>IF(C345="","",IFERROR(INDEX(lst_JobName,MATCH(C345&amp;"",lst_Jobs,0)),""))</f>
        <v/>
      </c>
      <c r="F345" s="25">
        <f>IF(C345="","",IFERROR(INDEX(tbl_Finance[Client],IFERROR(MATCH(C345&amp;"",tbl_Finance[Job Number],0),MATCH(IFERROR(C345+0,C345),tbl_Finance[Job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6" t="n"/>
      <c r="L345" s="27">
        <f>IF(C345="","",IF(K345="",0,MAX(0,K345-H345)))</f>
        <v/>
      </c>
      <c r="M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N345" s="24" t="n"/>
      <c r="O345" s="24" t="n"/>
      <c r="P345" s="25">
        <f>IF(O345="","",HYPERLINK(IF(LEFT(O345,4)="http",O345,set_QwilrBase&amp;O345),"Open quote"))</f>
        <v/>
      </c>
      <c r="Q345" s="71" t="n"/>
      <c r="R345" s="24" t="n"/>
      <c r="S345" s="24" t="n"/>
    </row>
    <row r="346" ht="15" customHeight="1">
      <c r="A346" s="70">
        <f>IF(C346="","",IFERROR(IF(SUMPRODUCT(MAX((tbl_Finance[Job Number]&amp;""=C346&amp;"")*(tbl_Finance[Xero Invoice No]&lt;&gt;"")*tbl_Finance[Date]))=0,"",SUMPRODUCT(MAX((tbl_Finance[Job Number]&amp;""=C346&amp;"")*(tbl_Finance[Xero Invoice No]&lt;&gt;"")*tbl_Finance[Date]))),""))</f>
        <v/>
      </c>
      <c r="B346" s="25">
        <f>IF(C346="","",IF(COUNTIFS(tbl_Finance[Job Number],C346&amp;"",tbl_Finance[Xero Invoice No],"&lt;&gt;")=0,"",IFERROR(IF(COUNTIFS(tbl_Finance[Job Number],C346&amp;"",tbl_Finance[Xero Invoice No],LOOKUP(2,1/((tbl_Finance[Job Number]&amp;""=C346&amp;"")*(tbl_Finance[Xero Invoice No]&lt;&gt;"")),tbl_Finance[Xero Invoice No]))=COUNTIFS(tbl_Finance[Job Number],C346&amp;"",tbl_Finance[Xero Invoice No],"&lt;&gt;"),LOOKUP(2,1/((tbl_Finance[Job Number]&amp;""=C346&amp;"")*(tbl_Finance[Xero Invoice No]&lt;&gt;"")),tbl_Finance[Xero Invoice No]),LOOKUP(2,1/((tbl_Finance[Job Number]&amp;""=C346&amp;"")*(tbl_Finance[Xero Invoice No]&lt;&gt;"")),tbl_Finance[Xero Invoice No])&amp;" +more"),"")))</f>
        <v/>
      </c>
      <c r="C346" s="24" t="n"/>
      <c r="D346" s="25">
        <f>IF(C346="","",IF(COUNTIF(lst_Jobs,C346&amp;"")&gt;0,"OK","CHECK"))</f>
        <v/>
      </c>
      <c r="E346" s="25">
        <f>IF(C346="","",IFERROR(INDEX(lst_JobName,MATCH(C346&amp;"",lst_Jobs,0)),""))</f>
        <v/>
      </c>
      <c r="F346" s="25">
        <f>IF(C346="","",IFERROR(INDEX(tbl_Finance[Client],IFERROR(MATCH(C346&amp;"",tbl_Finance[Job Number],0),MATCH(IFERROR(C346+0,C346),tbl_Finance[Job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6" t="n"/>
      <c r="L346" s="27">
        <f>IF(C346="","",IF(K346="",0,MAX(0,K346-H346)))</f>
        <v/>
      </c>
      <c r="M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N346" s="24" t="n"/>
      <c r="O346" s="24" t="n"/>
      <c r="P346" s="25">
        <f>IF(O346="","",HYPERLINK(IF(LEFT(O346,4)="http",O346,set_QwilrBase&amp;O346),"Open quote"))</f>
        <v/>
      </c>
      <c r="Q346" s="71" t="n"/>
      <c r="R346" s="24" t="n"/>
      <c r="S346" s="24" t="n"/>
    </row>
    <row r="347" ht="15" customHeight="1">
      <c r="A347" s="70">
        <f>IF(C347="","",IFERROR(IF(SUMPRODUCT(MAX((tbl_Finance[Job Number]&amp;""=C347&amp;"")*(tbl_Finance[Xero Invoice No]&lt;&gt;"")*tbl_Finance[Date]))=0,"",SUMPRODUCT(MAX((tbl_Finance[Job Number]&amp;""=C347&amp;"")*(tbl_Finance[Xero Invoice No]&lt;&gt;"")*tbl_Finance[Date]))),""))</f>
        <v/>
      </c>
      <c r="B347" s="25">
        <f>IF(C347="","",IF(COUNTIFS(tbl_Finance[Job Number],C347&amp;"",tbl_Finance[Xero Invoice No],"&lt;&gt;")=0,"",IFERROR(IF(COUNTIFS(tbl_Finance[Job Number],C347&amp;"",tbl_Finance[Xero Invoice No],LOOKUP(2,1/((tbl_Finance[Job Number]&amp;""=C347&amp;"")*(tbl_Finance[Xero Invoice No]&lt;&gt;"")),tbl_Finance[Xero Invoice No]))=COUNTIFS(tbl_Finance[Job Number],C347&amp;"",tbl_Finance[Xero Invoice No],"&lt;&gt;"),LOOKUP(2,1/((tbl_Finance[Job Number]&amp;""=C347&amp;"")*(tbl_Finance[Xero Invoice No]&lt;&gt;"")),tbl_Finance[Xero Invoice No]),LOOKUP(2,1/((tbl_Finance[Job Number]&amp;""=C347&amp;"")*(tbl_Finance[Xero Invoice No]&lt;&gt;"")),tbl_Finance[Xero Invoice No])&amp;" +more"),"")))</f>
        <v/>
      </c>
      <c r="C347" s="24" t="n"/>
      <c r="D347" s="25">
        <f>IF(C347="","",IF(COUNTIF(lst_Jobs,C347&amp;"")&gt;0,"OK","CHECK"))</f>
        <v/>
      </c>
      <c r="E347" s="25">
        <f>IF(C347="","",IFERROR(INDEX(lst_JobName,MATCH(C347&amp;"",lst_Jobs,0)),""))</f>
        <v/>
      </c>
      <c r="F347" s="25">
        <f>IF(C347="","",IFERROR(INDEX(tbl_Finance[Client],IFERROR(MATCH(C347&amp;"",tbl_Finance[Job Number],0),MATCH(IFERROR(C347+0,C347),tbl_Finance[Job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6" t="n"/>
      <c r="L347" s="27">
        <f>IF(C347="","",IF(K347="",0,MAX(0,K347-H347)))</f>
        <v/>
      </c>
      <c r="M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N347" s="24" t="n"/>
      <c r="O347" s="24" t="n"/>
      <c r="P347" s="25">
        <f>IF(O347="","",HYPERLINK(IF(LEFT(O347,4)="http",O347,set_QwilrBase&amp;O347),"Open quote"))</f>
        <v/>
      </c>
      <c r="Q347" s="71" t="n"/>
      <c r="R347" s="24" t="n"/>
      <c r="S347" s="24" t="n"/>
    </row>
    <row r="348" ht="15" customHeight="1">
      <c r="A348" s="70">
        <f>IF(C348="","",IFERROR(IF(SUMPRODUCT(MAX((tbl_Finance[Job Number]&amp;""=C348&amp;"")*(tbl_Finance[Xero Invoice No]&lt;&gt;"")*tbl_Finance[Date]))=0,"",SUMPRODUCT(MAX((tbl_Finance[Job Number]&amp;""=C348&amp;"")*(tbl_Finance[Xero Invoice No]&lt;&gt;"")*tbl_Finance[Date]))),""))</f>
        <v/>
      </c>
      <c r="B348" s="25">
        <f>IF(C348="","",IF(COUNTIFS(tbl_Finance[Job Number],C348&amp;"",tbl_Finance[Xero Invoice No],"&lt;&gt;")=0,"",IFERROR(IF(COUNTIFS(tbl_Finance[Job Number],C348&amp;"",tbl_Finance[Xero Invoice No],LOOKUP(2,1/((tbl_Finance[Job Number]&amp;""=C348&amp;"")*(tbl_Finance[Xero Invoice No]&lt;&gt;"")),tbl_Finance[Xero Invoice No]))=COUNTIFS(tbl_Finance[Job Number],C348&amp;"",tbl_Finance[Xero Invoice No],"&lt;&gt;"),LOOKUP(2,1/((tbl_Finance[Job Number]&amp;""=C348&amp;"")*(tbl_Finance[Xero Invoice No]&lt;&gt;"")),tbl_Finance[Xero Invoice No]),LOOKUP(2,1/((tbl_Finance[Job Number]&amp;""=C348&amp;"")*(tbl_Finance[Xero Invoice No]&lt;&gt;"")),tbl_Finance[Xero Invoice No])&amp;" +more"),"")))</f>
        <v/>
      </c>
      <c r="C348" s="24" t="n"/>
      <c r="D348" s="25">
        <f>IF(C348="","",IF(COUNTIF(lst_Jobs,C348&amp;"")&gt;0,"OK","CHECK"))</f>
        <v/>
      </c>
      <c r="E348" s="25">
        <f>IF(C348="","",IFERROR(INDEX(lst_JobName,MATCH(C348&amp;"",lst_Jobs,0)),""))</f>
        <v/>
      </c>
      <c r="F348" s="25">
        <f>IF(C348="","",IFERROR(INDEX(tbl_Finance[Client],IFERROR(MATCH(C348&amp;"",tbl_Finance[Job Number],0),MATCH(IFERROR(C348+0,C348),tbl_Finance[Job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6" t="n"/>
      <c r="L348" s="27">
        <f>IF(C348="","",IF(K348="",0,MAX(0,K348-H348)))</f>
        <v/>
      </c>
      <c r="M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N348" s="24" t="n"/>
      <c r="O348" s="24" t="n"/>
      <c r="P348" s="25">
        <f>IF(O348="","",HYPERLINK(IF(LEFT(O348,4)="http",O348,set_QwilrBase&amp;O348),"Open quote"))</f>
        <v/>
      </c>
      <c r="Q348" s="71" t="n"/>
      <c r="R348" s="24" t="n"/>
      <c r="S348" s="24" t="n"/>
    </row>
    <row r="349" ht="15" customHeight="1">
      <c r="A349" s="70">
        <f>IF(C349="","",IFERROR(IF(SUMPRODUCT(MAX((tbl_Finance[Job Number]&amp;""=C349&amp;"")*(tbl_Finance[Xero Invoice No]&lt;&gt;"")*tbl_Finance[Date]))=0,"",SUMPRODUCT(MAX((tbl_Finance[Job Number]&amp;""=C349&amp;"")*(tbl_Finance[Xero Invoice No]&lt;&gt;"")*tbl_Finance[Date]))),""))</f>
        <v/>
      </c>
      <c r="B349" s="25">
        <f>IF(C349="","",IF(COUNTIFS(tbl_Finance[Job Number],C349&amp;"",tbl_Finance[Xero Invoice No],"&lt;&gt;")=0,"",IFERROR(IF(COUNTIFS(tbl_Finance[Job Number],C349&amp;"",tbl_Finance[Xero Invoice No],LOOKUP(2,1/((tbl_Finance[Job Number]&amp;""=C349&amp;"")*(tbl_Finance[Xero Invoice No]&lt;&gt;"")),tbl_Finance[Xero Invoice No]))=COUNTIFS(tbl_Finance[Job Number],C349&amp;"",tbl_Finance[Xero Invoice No],"&lt;&gt;"),LOOKUP(2,1/((tbl_Finance[Job Number]&amp;""=C349&amp;"")*(tbl_Finance[Xero Invoice No]&lt;&gt;"")),tbl_Finance[Xero Invoice No]),LOOKUP(2,1/((tbl_Finance[Job Number]&amp;""=C349&amp;"")*(tbl_Finance[Xero Invoice No]&lt;&gt;"")),tbl_Finance[Xero Invoice No])&amp;" +more"),"")))</f>
        <v/>
      </c>
      <c r="C349" s="24" t="n"/>
      <c r="D349" s="25">
        <f>IF(C349="","",IF(COUNTIF(lst_Jobs,C349&amp;"")&gt;0,"OK","CHECK"))</f>
        <v/>
      </c>
      <c r="E349" s="25">
        <f>IF(C349="","",IFERROR(INDEX(lst_JobName,MATCH(C349&amp;"",lst_Jobs,0)),""))</f>
        <v/>
      </c>
      <c r="F349" s="25">
        <f>IF(C349="","",IFERROR(INDEX(tbl_Finance[Client],IFERROR(MATCH(C349&amp;"",tbl_Finance[Job Number],0),MATCH(IFERROR(C349+0,C349),tbl_Finance[Job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6" t="n"/>
      <c r="L349" s="27">
        <f>IF(C349="","",IF(K349="",0,MAX(0,K349-H349)))</f>
        <v/>
      </c>
      <c r="M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N349" s="24" t="n"/>
      <c r="O349" s="24" t="n"/>
      <c r="P349" s="25">
        <f>IF(O349="","",HYPERLINK(IF(LEFT(O349,4)="http",O349,set_QwilrBase&amp;O349),"Open quote"))</f>
        <v/>
      </c>
      <c r="Q349" s="71" t="n"/>
      <c r="R349" s="24" t="n"/>
      <c r="S349" s="24" t="n"/>
    </row>
    <row r="350" ht="15" customHeight="1">
      <c r="A350" s="70">
        <f>IF(C350="","",IFERROR(IF(SUMPRODUCT(MAX((tbl_Finance[Job Number]&amp;""=C350&amp;"")*(tbl_Finance[Xero Invoice No]&lt;&gt;"")*tbl_Finance[Date]))=0,"",SUMPRODUCT(MAX((tbl_Finance[Job Number]&amp;""=C350&amp;"")*(tbl_Finance[Xero Invoice No]&lt;&gt;"")*tbl_Finance[Date]))),""))</f>
        <v/>
      </c>
      <c r="B350" s="25">
        <f>IF(C350="","",IF(COUNTIFS(tbl_Finance[Job Number],C350&amp;"",tbl_Finance[Xero Invoice No],"&lt;&gt;")=0,"",IFERROR(IF(COUNTIFS(tbl_Finance[Job Number],C350&amp;"",tbl_Finance[Xero Invoice No],LOOKUP(2,1/((tbl_Finance[Job Number]&amp;""=C350&amp;"")*(tbl_Finance[Xero Invoice No]&lt;&gt;"")),tbl_Finance[Xero Invoice No]))=COUNTIFS(tbl_Finance[Job Number],C350&amp;"",tbl_Finance[Xero Invoice No],"&lt;&gt;"),LOOKUP(2,1/((tbl_Finance[Job Number]&amp;""=C350&amp;"")*(tbl_Finance[Xero Invoice No]&lt;&gt;"")),tbl_Finance[Xero Invoice No]),LOOKUP(2,1/((tbl_Finance[Job Number]&amp;""=C350&amp;"")*(tbl_Finance[Xero Invoice No]&lt;&gt;"")),tbl_Finance[Xero Invoice No])&amp;" +more"),"")))</f>
        <v/>
      </c>
      <c r="C350" s="24" t="n"/>
      <c r="D350" s="25">
        <f>IF(C350="","",IF(COUNTIF(lst_Jobs,C350&amp;"")&gt;0,"OK","CHECK"))</f>
        <v/>
      </c>
      <c r="E350" s="25">
        <f>IF(C350="","",IFERROR(INDEX(lst_JobName,MATCH(C350&amp;"",lst_Jobs,0)),""))</f>
        <v/>
      </c>
      <c r="F350" s="25">
        <f>IF(C350="","",IFERROR(INDEX(tbl_Finance[Client],IFERROR(MATCH(C350&amp;"",tbl_Finance[Job Number],0),MATCH(IFERROR(C350+0,C350),tbl_Finance[Job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6" t="n"/>
      <c r="L350" s="27">
        <f>IF(C350="","",IF(K350="",0,MAX(0,K350-H350)))</f>
        <v/>
      </c>
      <c r="M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N350" s="24" t="n"/>
      <c r="O350" s="24" t="n"/>
      <c r="P350" s="25">
        <f>IF(O350="","",HYPERLINK(IF(LEFT(O350,4)="http",O350,set_QwilrBase&amp;O350),"Open quote"))</f>
        <v/>
      </c>
      <c r="Q350" s="71" t="n"/>
      <c r="R350" s="24" t="n"/>
      <c r="S350" s="24" t="n"/>
    </row>
    <row r="351" ht="15" customHeight="1">
      <c r="A351" s="70">
        <f>IF(C351="","",IFERROR(IF(SUMPRODUCT(MAX((tbl_Finance[Job Number]&amp;""=C351&amp;"")*(tbl_Finance[Xero Invoice No]&lt;&gt;"")*tbl_Finance[Date]))=0,"",SUMPRODUCT(MAX((tbl_Finance[Job Number]&amp;""=C351&amp;"")*(tbl_Finance[Xero Invoice No]&lt;&gt;"")*tbl_Finance[Date]))),""))</f>
        <v/>
      </c>
      <c r="B351" s="25">
        <f>IF(C351="","",IF(COUNTIFS(tbl_Finance[Job Number],C351&amp;"",tbl_Finance[Xero Invoice No],"&lt;&gt;")=0,"",IFERROR(IF(COUNTIFS(tbl_Finance[Job Number],C351&amp;"",tbl_Finance[Xero Invoice No],LOOKUP(2,1/((tbl_Finance[Job Number]&amp;""=C351&amp;"")*(tbl_Finance[Xero Invoice No]&lt;&gt;"")),tbl_Finance[Xero Invoice No]))=COUNTIFS(tbl_Finance[Job Number],C351&amp;"",tbl_Finance[Xero Invoice No],"&lt;&gt;"),LOOKUP(2,1/((tbl_Finance[Job Number]&amp;""=C351&amp;"")*(tbl_Finance[Xero Invoice No]&lt;&gt;"")),tbl_Finance[Xero Invoice No]),LOOKUP(2,1/((tbl_Finance[Job Number]&amp;""=C351&amp;"")*(tbl_Finance[Xero Invoice No]&lt;&gt;"")),tbl_Finance[Xero Invoice No])&amp;" +more"),"")))</f>
        <v/>
      </c>
      <c r="C351" s="24" t="n"/>
      <c r="D351" s="25">
        <f>IF(C351="","",IF(COUNTIF(lst_Jobs,C351&amp;"")&gt;0,"OK","CHECK"))</f>
        <v/>
      </c>
      <c r="E351" s="25">
        <f>IF(C351="","",IFERROR(INDEX(lst_JobName,MATCH(C351&amp;"",lst_Jobs,0)),""))</f>
        <v/>
      </c>
      <c r="F351" s="25">
        <f>IF(C351="","",IFERROR(INDEX(tbl_Finance[Client],IFERROR(MATCH(C351&amp;"",tbl_Finance[Job Number],0),MATCH(IFERROR(C351+0,C351),tbl_Finance[Job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6" t="n"/>
      <c r="L351" s="27">
        <f>IF(C351="","",IF(K351="",0,MAX(0,K351-H351)))</f>
        <v/>
      </c>
      <c r="M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N351" s="24" t="n"/>
      <c r="O351" s="24" t="n"/>
      <c r="P351" s="25">
        <f>IF(O351="","",HYPERLINK(IF(LEFT(O351,4)="http",O351,set_QwilrBase&amp;O351),"Open quote"))</f>
        <v/>
      </c>
      <c r="Q351" s="71" t="n"/>
      <c r="R351" s="24" t="n"/>
      <c r="S351" s="24" t="n"/>
    </row>
    <row r="352" ht="15" customHeight="1">
      <c r="A352" s="70">
        <f>IF(C352="","",IFERROR(IF(SUMPRODUCT(MAX((tbl_Finance[Job Number]&amp;""=C352&amp;"")*(tbl_Finance[Xero Invoice No]&lt;&gt;"")*tbl_Finance[Date]))=0,"",SUMPRODUCT(MAX((tbl_Finance[Job Number]&amp;""=C352&amp;"")*(tbl_Finance[Xero Invoice No]&lt;&gt;"")*tbl_Finance[Date]))),""))</f>
        <v/>
      </c>
      <c r="B352" s="25">
        <f>IF(C352="","",IF(COUNTIFS(tbl_Finance[Job Number],C352&amp;"",tbl_Finance[Xero Invoice No],"&lt;&gt;")=0,"",IFERROR(IF(COUNTIFS(tbl_Finance[Job Number],C352&amp;"",tbl_Finance[Xero Invoice No],LOOKUP(2,1/((tbl_Finance[Job Number]&amp;""=C352&amp;"")*(tbl_Finance[Xero Invoice No]&lt;&gt;"")),tbl_Finance[Xero Invoice No]))=COUNTIFS(tbl_Finance[Job Number],C352&amp;"",tbl_Finance[Xero Invoice No],"&lt;&gt;"),LOOKUP(2,1/((tbl_Finance[Job Number]&amp;""=C352&amp;"")*(tbl_Finance[Xero Invoice No]&lt;&gt;"")),tbl_Finance[Xero Invoice No]),LOOKUP(2,1/((tbl_Finance[Job Number]&amp;""=C352&amp;"")*(tbl_Finance[Xero Invoice No]&lt;&gt;"")),tbl_Finance[Xero Invoice No])&amp;" +more"),"")))</f>
        <v/>
      </c>
      <c r="C352" s="24" t="n"/>
      <c r="D352" s="25">
        <f>IF(C352="","",IF(COUNTIF(lst_Jobs,C352&amp;"")&gt;0,"OK","CHECK"))</f>
        <v/>
      </c>
      <c r="E352" s="25">
        <f>IF(C352="","",IFERROR(INDEX(lst_JobName,MATCH(C352&amp;"",lst_Jobs,0)),""))</f>
        <v/>
      </c>
      <c r="F352" s="25">
        <f>IF(C352="","",IFERROR(INDEX(tbl_Finance[Client],IFERROR(MATCH(C352&amp;"",tbl_Finance[Job Number],0),MATCH(IFERROR(C352+0,C352),tbl_Finance[Job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6" t="n"/>
      <c r="L352" s="27">
        <f>IF(C352="","",IF(K352="",0,MAX(0,K352-H352)))</f>
        <v/>
      </c>
      <c r="M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N352" s="24" t="n"/>
      <c r="O352" s="24" t="n"/>
      <c r="P352" s="25">
        <f>IF(O352="","",HYPERLINK(IF(LEFT(O352,4)="http",O352,set_QwilrBase&amp;O352),"Open quote"))</f>
        <v/>
      </c>
      <c r="Q352" s="71" t="n"/>
      <c r="R352" s="24" t="n"/>
      <c r="S352" s="24" t="n"/>
    </row>
    <row r="353" ht="15" customHeight="1">
      <c r="A353" s="70">
        <f>IF(C353="","",IFERROR(IF(SUMPRODUCT(MAX((tbl_Finance[Job Number]&amp;""=C353&amp;"")*(tbl_Finance[Xero Invoice No]&lt;&gt;"")*tbl_Finance[Date]))=0,"",SUMPRODUCT(MAX((tbl_Finance[Job Number]&amp;""=C353&amp;"")*(tbl_Finance[Xero Invoice No]&lt;&gt;"")*tbl_Finance[Date]))),""))</f>
        <v/>
      </c>
      <c r="B353" s="25">
        <f>IF(C353="","",IF(COUNTIFS(tbl_Finance[Job Number],C353&amp;"",tbl_Finance[Xero Invoice No],"&lt;&gt;")=0,"",IFERROR(IF(COUNTIFS(tbl_Finance[Job Number],C353&amp;"",tbl_Finance[Xero Invoice No],LOOKUP(2,1/((tbl_Finance[Job Number]&amp;""=C353&amp;"")*(tbl_Finance[Xero Invoice No]&lt;&gt;"")),tbl_Finance[Xero Invoice No]))=COUNTIFS(tbl_Finance[Job Number],C353&amp;"",tbl_Finance[Xero Invoice No],"&lt;&gt;"),LOOKUP(2,1/((tbl_Finance[Job Number]&amp;""=C353&amp;"")*(tbl_Finance[Xero Invoice No]&lt;&gt;"")),tbl_Finance[Xero Invoice No]),LOOKUP(2,1/((tbl_Finance[Job Number]&amp;""=C353&amp;"")*(tbl_Finance[Xero Invoice No]&lt;&gt;"")),tbl_Finance[Xero Invoice No])&amp;" +more"),"")))</f>
        <v/>
      </c>
      <c r="C353" s="24" t="n"/>
      <c r="D353" s="25">
        <f>IF(C353="","",IF(COUNTIF(lst_Jobs,C353&amp;"")&gt;0,"OK","CHECK"))</f>
        <v/>
      </c>
      <c r="E353" s="25">
        <f>IF(C353="","",IFERROR(INDEX(lst_JobName,MATCH(C353&amp;"",lst_Jobs,0)),""))</f>
        <v/>
      </c>
      <c r="F353" s="25">
        <f>IF(C353="","",IFERROR(INDEX(tbl_Finance[Client],IFERROR(MATCH(C353&amp;"",tbl_Finance[Job Number],0),MATCH(IFERROR(C353+0,C353),tbl_Finance[Job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6" t="n"/>
      <c r="L353" s="27">
        <f>IF(C353="","",IF(K353="",0,MAX(0,K353-H353)))</f>
        <v/>
      </c>
      <c r="M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N353" s="24" t="n"/>
      <c r="O353" s="24" t="n"/>
      <c r="P353" s="25">
        <f>IF(O353="","",HYPERLINK(IF(LEFT(O353,4)="http",O353,set_QwilrBase&amp;O353),"Open quote"))</f>
        <v/>
      </c>
      <c r="Q353" s="71" t="n"/>
      <c r="R353" s="24" t="n"/>
      <c r="S353" s="24" t="n"/>
    </row>
    <row r="354" ht="15" customHeight="1">
      <c r="A354" s="70">
        <f>IF(C354="","",IFERROR(IF(SUMPRODUCT(MAX((tbl_Finance[Job Number]&amp;""=C354&amp;"")*(tbl_Finance[Xero Invoice No]&lt;&gt;"")*tbl_Finance[Date]))=0,"",SUMPRODUCT(MAX((tbl_Finance[Job Number]&amp;""=C354&amp;"")*(tbl_Finance[Xero Invoice No]&lt;&gt;"")*tbl_Finance[Date]))),""))</f>
        <v/>
      </c>
      <c r="B354" s="25">
        <f>IF(C354="","",IF(COUNTIFS(tbl_Finance[Job Number],C354&amp;"",tbl_Finance[Xero Invoice No],"&lt;&gt;")=0,"",IFERROR(IF(COUNTIFS(tbl_Finance[Job Number],C354&amp;"",tbl_Finance[Xero Invoice No],LOOKUP(2,1/((tbl_Finance[Job Number]&amp;""=C354&amp;"")*(tbl_Finance[Xero Invoice No]&lt;&gt;"")),tbl_Finance[Xero Invoice No]))=COUNTIFS(tbl_Finance[Job Number],C354&amp;"",tbl_Finance[Xero Invoice No],"&lt;&gt;"),LOOKUP(2,1/((tbl_Finance[Job Number]&amp;""=C354&amp;"")*(tbl_Finance[Xero Invoice No]&lt;&gt;"")),tbl_Finance[Xero Invoice No]),LOOKUP(2,1/((tbl_Finance[Job Number]&amp;""=C354&amp;"")*(tbl_Finance[Xero Invoice No]&lt;&gt;"")),tbl_Finance[Xero Invoice No])&amp;" +more"),"")))</f>
        <v/>
      </c>
      <c r="C354" s="24" t="n"/>
      <c r="D354" s="25">
        <f>IF(C354="","",IF(COUNTIF(lst_Jobs,C354&amp;"")&gt;0,"OK","CHECK"))</f>
        <v/>
      </c>
      <c r="E354" s="25">
        <f>IF(C354="","",IFERROR(INDEX(lst_JobName,MATCH(C354&amp;"",lst_Jobs,0)),""))</f>
        <v/>
      </c>
      <c r="F354" s="25">
        <f>IF(C354="","",IFERROR(INDEX(tbl_Finance[Client],IFERROR(MATCH(C354&amp;"",tbl_Finance[Job Number],0),MATCH(IFERROR(C354+0,C354),tbl_Finance[Job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6" t="n"/>
      <c r="L354" s="27">
        <f>IF(C354="","",IF(K354="",0,MAX(0,K354-H354)))</f>
        <v/>
      </c>
      <c r="M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N354" s="24" t="n"/>
      <c r="O354" s="24" t="n"/>
      <c r="P354" s="25">
        <f>IF(O354="","",HYPERLINK(IF(LEFT(O354,4)="http",O354,set_QwilrBase&amp;O354),"Open quote"))</f>
        <v/>
      </c>
      <c r="Q354" s="71" t="n"/>
      <c r="R354" s="24" t="n"/>
      <c r="S354" s="24" t="n"/>
    </row>
    <row r="355" ht="15" customHeight="1">
      <c r="A355" s="70">
        <f>IF(C355="","",IFERROR(IF(SUMPRODUCT(MAX((tbl_Finance[Job Number]&amp;""=C355&amp;"")*(tbl_Finance[Xero Invoice No]&lt;&gt;"")*tbl_Finance[Date]))=0,"",SUMPRODUCT(MAX((tbl_Finance[Job Number]&amp;""=C355&amp;"")*(tbl_Finance[Xero Invoice No]&lt;&gt;"")*tbl_Finance[Date]))),""))</f>
        <v/>
      </c>
      <c r="B355" s="25">
        <f>IF(C355="","",IF(COUNTIFS(tbl_Finance[Job Number],C355&amp;"",tbl_Finance[Xero Invoice No],"&lt;&gt;")=0,"",IFERROR(IF(COUNTIFS(tbl_Finance[Job Number],C355&amp;"",tbl_Finance[Xero Invoice No],LOOKUP(2,1/((tbl_Finance[Job Number]&amp;""=C355&amp;"")*(tbl_Finance[Xero Invoice No]&lt;&gt;"")),tbl_Finance[Xero Invoice No]))=COUNTIFS(tbl_Finance[Job Number],C355&amp;"",tbl_Finance[Xero Invoice No],"&lt;&gt;"),LOOKUP(2,1/((tbl_Finance[Job Number]&amp;""=C355&amp;"")*(tbl_Finance[Xero Invoice No]&lt;&gt;"")),tbl_Finance[Xero Invoice No]),LOOKUP(2,1/((tbl_Finance[Job Number]&amp;""=C355&amp;"")*(tbl_Finance[Xero Invoice No]&lt;&gt;"")),tbl_Finance[Xero Invoice No])&amp;" +more"),"")))</f>
        <v/>
      </c>
      <c r="C355" s="24" t="n"/>
      <c r="D355" s="25">
        <f>IF(C355="","",IF(COUNTIF(lst_Jobs,C355&amp;"")&gt;0,"OK","CHECK"))</f>
        <v/>
      </c>
      <c r="E355" s="25">
        <f>IF(C355="","",IFERROR(INDEX(lst_JobName,MATCH(C355&amp;"",lst_Jobs,0)),""))</f>
        <v/>
      </c>
      <c r="F355" s="25">
        <f>IF(C355="","",IFERROR(INDEX(tbl_Finance[Client],IFERROR(MATCH(C355&amp;"",tbl_Finance[Job Number],0),MATCH(IFERROR(C355+0,C355),tbl_Finance[Job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6" t="n"/>
      <c r="L355" s="27">
        <f>IF(C355="","",IF(K355="",0,MAX(0,K355-H355)))</f>
        <v/>
      </c>
      <c r="M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N355" s="24" t="n"/>
      <c r="O355" s="24" t="n"/>
      <c r="P355" s="25">
        <f>IF(O355="","",HYPERLINK(IF(LEFT(O355,4)="http",O355,set_QwilrBase&amp;O355),"Open quote"))</f>
        <v/>
      </c>
      <c r="Q355" s="71" t="n"/>
      <c r="R355" s="24" t="n"/>
      <c r="S355" s="24" t="n"/>
    </row>
    <row r="356" ht="15" customHeight="1">
      <c r="A356" s="70">
        <f>IF(C356="","",IFERROR(IF(SUMPRODUCT(MAX((tbl_Finance[Job Number]&amp;""=C356&amp;"")*(tbl_Finance[Xero Invoice No]&lt;&gt;"")*tbl_Finance[Date]))=0,"",SUMPRODUCT(MAX((tbl_Finance[Job Number]&amp;""=C356&amp;"")*(tbl_Finance[Xero Invoice No]&lt;&gt;"")*tbl_Finance[Date]))),""))</f>
        <v/>
      </c>
      <c r="B356" s="25">
        <f>IF(C356="","",IF(COUNTIFS(tbl_Finance[Job Number],C356&amp;"",tbl_Finance[Xero Invoice No],"&lt;&gt;")=0,"",IFERROR(IF(COUNTIFS(tbl_Finance[Job Number],C356&amp;"",tbl_Finance[Xero Invoice No],LOOKUP(2,1/((tbl_Finance[Job Number]&amp;""=C356&amp;"")*(tbl_Finance[Xero Invoice No]&lt;&gt;"")),tbl_Finance[Xero Invoice No]))=COUNTIFS(tbl_Finance[Job Number],C356&amp;"",tbl_Finance[Xero Invoice No],"&lt;&gt;"),LOOKUP(2,1/((tbl_Finance[Job Number]&amp;""=C356&amp;"")*(tbl_Finance[Xero Invoice No]&lt;&gt;"")),tbl_Finance[Xero Invoice No]),LOOKUP(2,1/((tbl_Finance[Job Number]&amp;""=C356&amp;"")*(tbl_Finance[Xero Invoice No]&lt;&gt;"")),tbl_Finance[Xero Invoice No])&amp;" +more"),"")))</f>
        <v/>
      </c>
      <c r="C356" s="24" t="n"/>
      <c r="D356" s="25">
        <f>IF(C356="","",IF(COUNTIF(lst_Jobs,C356&amp;"")&gt;0,"OK","CHECK"))</f>
        <v/>
      </c>
      <c r="E356" s="25">
        <f>IF(C356="","",IFERROR(INDEX(lst_JobName,MATCH(C356&amp;"",lst_Jobs,0)),""))</f>
        <v/>
      </c>
      <c r="F356" s="25">
        <f>IF(C356="","",IFERROR(INDEX(tbl_Finance[Client],IFERROR(MATCH(C356&amp;"",tbl_Finance[Job Number],0),MATCH(IFERROR(C356+0,C356),tbl_Finance[Job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6" t="n"/>
      <c r="L356" s="27">
        <f>IF(C356="","",IF(K356="",0,MAX(0,K356-H356)))</f>
        <v/>
      </c>
      <c r="M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N356" s="24" t="n"/>
      <c r="O356" s="24" t="n"/>
      <c r="P356" s="25">
        <f>IF(O356="","",HYPERLINK(IF(LEFT(O356,4)="http",O356,set_QwilrBase&amp;O356),"Open quote"))</f>
        <v/>
      </c>
      <c r="Q356" s="71" t="n"/>
      <c r="R356" s="24" t="n"/>
      <c r="S356" s="24" t="n"/>
    </row>
    <row r="357" ht="15" customHeight="1">
      <c r="A357" s="70">
        <f>IF(C357="","",IFERROR(IF(SUMPRODUCT(MAX((tbl_Finance[Job Number]&amp;""=C357&amp;"")*(tbl_Finance[Xero Invoice No]&lt;&gt;"")*tbl_Finance[Date]))=0,"",SUMPRODUCT(MAX((tbl_Finance[Job Number]&amp;""=C357&amp;"")*(tbl_Finance[Xero Invoice No]&lt;&gt;"")*tbl_Finance[Date]))),""))</f>
        <v/>
      </c>
      <c r="B357" s="25">
        <f>IF(C357="","",IF(COUNTIFS(tbl_Finance[Job Number],C357&amp;"",tbl_Finance[Xero Invoice No],"&lt;&gt;")=0,"",IFERROR(IF(COUNTIFS(tbl_Finance[Job Number],C357&amp;"",tbl_Finance[Xero Invoice No],LOOKUP(2,1/((tbl_Finance[Job Number]&amp;""=C357&amp;"")*(tbl_Finance[Xero Invoice No]&lt;&gt;"")),tbl_Finance[Xero Invoice No]))=COUNTIFS(tbl_Finance[Job Number],C357&amp;"",tbl_Finance[Xero Invoice No],"&lt;&gt;"),LOOKUP(2,1/((tbl_Finance[Job Number]&amp;""=C357&amp;"")*(tbl_Finance[Xero Invoice No]&lt;&gt;"")),tbl_Finance[Xero Invoice No]),LOOKUP(2,1/((tbl_Finance[Job Number]&amp;""=C357&amp;"")*(tbl_Finance[Xero Invoice No]&lt;&gt;"")),tbl_Finance[Xero Invoice No])&amp;" +more"),"")))</f>
        <v/>
      </c>
      <c r="C357" s="24" t="n"/>
      <c r="D357" s="25">
        <f>IF(C357="","",IF(COUNTIF(lst_Jobs,C357&amp;"")&gt;0,"OK","CHECK"))</f>
        <v/>
      </c>
      <c r="E357" s="25">
        <f>IF(C357="","",IFERROR(INDEX(lst_JobName,MATCH(C357&amp;"",lst_Jobs,0)),""))</f>
        <v/>
      </c>
      <c r="F357" s="25">
        <f>IF(C357="","",IFERROR(INDEX(tbl_Finance[Client],IFERROR(MATCH(C357&amp;"",tbl_Finance[Job Number],0),MATCH(IFERROR(C357+0,C357),tbl_Finance[Job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6" t="n"/>
      <c r="L357" s="27">
        <f>IF(C357="","",IF(K357="",0,MAX(0,K357-H357)))</f>
        <v/>
      </c>
      <c r="M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N357" s="24" t="n"/>
      <c r="O357" s="24" t="n"/>
      <c r="P357" s="25">
        <f>IF(O357="","",HYPERLINK(IF(LEFT(O357,4)="http",O357,set_QwilrBase&amp;O357),"Open quote"))</f>
        <v/>
      </c>
      <c r="Q357" s="71" t="n"/>
      <c r="R357" s="24" t="n"/>
      <c r="S357" s="24" t="n"/>
    </row>
    <row r="358" ht="15" customHeight="1">
      <c r="A358" s="70">
        <f>IF(C358="","",IFERROR(IF(SUMPRODUCT(MAX((tbl_Finance[Job Number]&amp;""=C358&amp;"")*(tbl_Finance[Xero Invoice No]&lt;&gt;"")*tbl_Finance[Date]))=0,"",SUMPRODUCT(MAX((tbl_Finance[Job Number]&amp;""=C358&amp;"")*(tbl_Finance[Xero Invoice No]&lt;&gt;"")*tbl_Finance[Date]))),""))</f>
        <v/>
      </c>
      <c r="B358" s="25">
        <f>IF(C358="","",IF(COUNTIFS(tbl_Finance[Job Number],C358&amp;"",tbl_Finance[Xero Invoice No],"&lt;&gt;")=0,"",IFERROR(IF(COUNTIFS(tbl_Finance[Job Number],C358&amp;"",tbl_Finance[Xero Invoice No],LOOKUP(2,1/((tbl_Finance[Job Number]&amp;""=C358&amp;"")*(tbl_Finance[Xero Invoice No]&lt;&gt;"")),tbl_Finance[Xero Invoice No]))=COUNTIFS(tbl_Finance[Job Number],C358&amp;"",tbl_Finance[Xero Invoice No],"&lt;&gt;"),LOOKUP(2,1/((tbl_Finance[Job Number]&amp;""=C358&amp;"")*(tbl_Finance[Xero Invoice No]&lt;&gt;"")),tbl_Finance[Xero Invoice No]),LOOKUP(2,1/((tbl_Finance[Job Number]&amp;""=C358&amp;"")*(tbl_Finance[Xero Invoice No]&lt;&gt;"")),tbl_Finance[Xero Invoice No])&amp;" +more"),"")))</f>
        <v/>
      </c>
      <c r="C358" s="24" t="n"/>
      <c r="D358" s="25">
        <f>IF(C358="","",IF(COUNTIF(lst_Jobs,C358&amp;"")&gt;0,"OK","CHECK"))</f>
        <v/>
      </c>
      <c r="E358" s="25">
        <f>IF(C358="","",IFERROR(INDEX(lst_JobName,MATCH(C358&amp;"",lst_Jobs,0)),""))</f>
        <v/>
      </c>
      <c r="F358" s="25">
        <f>IF(C358="","",IFERROR(INDEX(tbl_Finance[Client],IFERROR(MATCH(C358&amp;"",tbl_Finance[Job Number],0),MATCH(IFERROR(C358+0,C358),tbl_Finance[Job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6" t="n"/>
      <c r="L358" s="27">
        <f>IF(C358="","",IF(K358="",0,MAX(0,K358-H358)))</f>
        <v/>
      </c>
      <c r="M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N358" s="24" t="n"/>
      <c r="O358" s="24" t="n"/>
      <c r="P358" s="25">
        <f>IF(O358="","",HYPERLINK(IF(LEFT(O358,4)="http",O358,set_QwilrBase&amp;O358),"Open quote"))</f>
        <v/>
      </c>
      <c r="Q358" s="71" t="n"/>
      <c r="R358" s="24" t="n"/>
      <c r="S358" s="24" t="n"/>
    </row>
    <row r="359" ht="15" customHeight="1">
      <c r="A359" s="70">
        <f>IF(C359="","",IFERROR(IF(SUMPRODUCT(MAX((tbl_Finance[Job Number]&amp;""=C359&amp;"")*(tbl_Finance[Xero Invoice No]&lt;&gt;"")*tbl_Finance[Date]))=0,"",SUMPRODUCT(MAX((tbl_Finance[Job Number]&amp;""=C359&amp;"")*(tbl_Finance[Xero Invoice No]&lt;&gt;"")*tbl_Finance[Date]))),""))</f>
        <v/>
      </c>
      <c r="B359" s="25">
        <f>IF(C359="","",IF(COUNTIFS(tbl_Finance[Job Number],C359&amp;"",tbl_Finance[Xero Invoice No],"&lt;&gt;")=0,"",IFERROR(IF(COUNTIFS(tbl_Finance[Job Number],C359&amp;"",tbl_Finance[Xero Invoice No],LOOKUP(2,1/((tbl_Finance[Job Number]&amp;""=C359&amp;"")*(tbl_Finance[Xero Invoice No]&lt;&gt;"")),tbl_Finance[Xero Invoice No]))=COUNTIFS(tbl_Finance[Job Number],C359&amp;"",tbl_Finance[Xero Invoice No],"&lt;&gt;"),LOOKUP(2,1/((tbl_Finance[Job Number]&amp;""=C359&amp;"")*(tbl_Finance[Xero Invoice No]&lt;&gt;"")),tbl_Finance[Xero Invoice No]),LOOKUP(2,1/((tbl_Finance[Job Number]&amp;""=C359&amp;"")*(tbl_Finance[Xero Invoice No]&lt;&gt;"")),tbl_Finance[Xero Invoice No])&amp;" +more"),"")))</f>
        <v/>
      </c>
      <c r="C359" s="24" t="n"/>
      <c r="D359" s="25">
        <f>IF(C359="","",IF(COUNTIF(lst_Jobs,C359&amp;"")&gt;0,"OK","CHECK"))</f>
        <v/>
      </c>
      <c r="E359" s="25">
        <f>IF(C359="","",IFERROR(INDEX(lst_JobName,MATCH(C359&amp;"",lst_Jobs,0)),""))</f>
        <v/>
      </c>
      <c r="F359" s="25">
        <f>IF(C359="","",IFERROR(INDEX(tbl_Finance[Client],IFERROR(MATCH(C359&amp;"",tbl_Finance[Job Number],0),MATCH(IFERROR(C359+0,C359),tbl_Finance[Job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6" t="n"/>
      <c r="L359" s="27">
        <f>IF(C359="","",IF(K359="",0,MAX(0,K359-H359)))</f>
        <v/>
      </c>
      <c r="M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N359" s="24" t="n"/>
      <c r="O359" s="24" t="n"/>
      <c r="P359" s="25">
        <f>IF(O359="","",HYPERLINK(IF(LEFT(O359,4)="http",O359,set_QwilrBase&amp;O359),"Open quote"))</f>
        <v/>
      </c>
      <c r="Q359" s="71" t="n"/>
      <c r="R359" s="24" t="n"/>
      <c r="S359" s="24" t="n"/>
    </row>
    <row r="360" ht="15" customHeight="1">
      <c r="A360" s="70">
        <f>IF(C360="","",IFERROR(IF(SUMPRODUCT(MAX((tbl_Finance[Job Number]&amp;""=C360&amp;"")*(tbl_Finance[Xero Invoice No]&lt;&gt;"")*tbl_Finance[Date]))=0,"",SUMPRODUCT(MAX((tbl_Finance[Job Number]&amp;""=C360&amp;"")*(tbl_Finance[Xero Invoice No]&lt;&gt;"")*tbl_Finance[Date]))),""))</f>
        <v/>
      </c>
      <c r="B360" s="25">
        <f>IF(C360="","",IF(COUNTIFS(tbl_Finance[Job Number],C360&amp;"",tbl_Finance[Xero Invoice No],"&lt;&gt;")=0,"",IFERROR(IF(COUNTIFS(tbl_Finance[Job Number],C360&amp;"",tbl_Finance[Xero Invoice No],LOOKUP(2,1/((tbl_Finance[Job Number]&amp;""=C360&amp;"")*(tbl_Finance[Xero Invoice No]&lt;&gt;"")),tbl_Finance[Xero Invoice No]))=COUNTIFS(tbl_Finance[Job Number],C360&amp;"",tbl_Finance[Xero Invoice No],"&lt;&gt;"),LOOKUP(2,1/((tbl_Finance[Job Number]&amp;""=C360&amp;"")*(tbl_Finance[Xero Invoice No]&lt;&gt;"")),tbl_Finance[Xero Invoice No]),LOOKUP(2,1/((tbl_Finance[Job Number]&amp;""=C360&amp;"")*(tbl_Finance[Xero Invoice No]&lt;&gt;"")),tbl_Finance[Xero Invoice No])&amp;" +more"),"")))</f>
        <v/>
      </c>
      <c r="C360" s="24" t="n"/>
      <c r="D360" s="25">
        <f>IF(C360="","",IF(COUNTIF(lst_Jobs,C360&amp;"")&gt;0,"OK","CHECK"))</f>
        <v/>
      </c>
      <c r="E360" s="25">
        <f>IF(C360="","",IFERROR(INDEX(lst_JobName,MATCH(C360&amp;"",lst_Jobs,0)),""))</f>
        <v/>
      </c>
      <c r="F360" s="25">
        <f>IF(C360="","",IFERROR(INDEX(tbl_Finance[Client],IFERROR(MATCH(C360&amp;"",tbl_Finance[Job Number],0),MATCH(IFERROR(C360+0,C360),tbl_Finance[Job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6" t="n"/>
      <c r="L360" s="27">
        <f>IF(C360="","",IF(K360="",0,MAX(0,K360-H360)))</f>
        <v/>
      </c>
      <c r="M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N360" s="24" t="n"/>
      <c r="O360" s="24" t="n"/>
      <c r="P360" s="25">
        <f>IF(O360="","",HYPERLINK(IF(LEFT(O360,4)="http",O360,set_QwilrBase&amp;O360),"Open quote"))</f>
        <v/>
      </c>
      <c r="Q360" s="71" t="n"/>
      <c r="R360" s="24" t="n"/>
      <c r="S360" s="24" t="n"/>
    </row>
    <row r="361" ht="15" customHeight="1">
      <c r="A361" s="70">
        <f>IF(C361="","",IFERROR(IF(SUMPRODUCT(MAX((tbl_Finance[Job Number]&amp;""=C361&amp;"")*(tbl_Finance[Xero Invoice No]&lt;&gt;"")*tbl_Finance[Date]))=0,"",SUMPRODUCT(MAX((tbl_Finance[Job Number]&amp;""=C361&amp;"")*(tbl_Finance[Xero Invoice No]&lt;&gt;"")*tbl_Finance[Date]))),""))</f>
        <v/>
      </c>
      <c r="B361" s="25">
        <f>IF(C361="","",IF(COUNTIFS(tbl_Finance[Job Number],C361&amp;"",tbl_Finance[Xero Invoice No],"&lt;&gt;")=0,"",IFERROR(IF(COUNTIFS(tbl_Finance[Job Number],C361&amp;"",tbl_Finance[Xero Invoice No],LOOKUP(2,1/((tbl_Finance[Job Number]&amp;""=C361&amp;"")*(tbl_Finance[Xero Invoice No]&lt;&gt;"")),tbl_Finance[Xero Invoice No]))=COUNTIFS(tbl_Finance[Job Number],C361&amp;"",tbl_Finance[Xero Invoice No],"&lt;&gt;"),LOOKUP(2,1/((tbl_Finance[Job Number]&amp;""=C361&amp;"")*(tbl_Finance[Xero Invoice No]&lt;&gt;"")),tbl_Finance[Xero Invoice No]),LOOKUP(2,1/((tbl_Finance[Job Number]&amp;""=C361&amp;"")*(tbl_Finance[Xero Invoice No]&lt;&gt;"")),tbl_Finance[Xero Invoice No])&amp;" +more"),"")))</f>
        <v/>
      </c>
      <c r="C361" s="24" t="n"/>
      <c r="D361" s="25">
        <f>IF(C361="","",IF(COUNTIF(lst_Jobs,C361&amp;"")&gt;0,"OK","CHECK"))</f>
        <v/>
      </c>
      <c r="E361" s="25">
        <f>IF(C361="","",IFERROR(INDEX(lst_JobName,MATCH(C361&amp;"",lst_Jobs,0)),""))</f>
        <v/>
      </c>
      <c r="F361" s="25">
        <f>IF(C361="","",IFERROR(INDEX(tbl_Finance[Client],IFERROR(MATCH(C361&amp;"",tbl_Finance[Job Number],0),MATCH(IFERROR(C361+0,C361),tbl_Finance[Job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6" t="n"/>
      <c r="L361" s="27">
        <f>IF(C361="","",IF(K361="",0,MAX(0,K361-H361)))</f>
        <v/>
      </c>
      <c r="M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N361" s="24" t="n"/>
      <c r="O361" s="24" t="n"/>
      <c r="P361" s="25">
        <f>IF(O361="","",HYPERLINK(IF(LEFT(O361,4)="http",O361,set_QwilrBase&amp;O361),"Open quote"))</f>
        <v/>
      </c>
      <c r="Q361" s="71" t="n"/>
      <c r="R361" s="24" t="n"/>
      <c r="S361" s="24" t="n"/>
    </row>
    <row r="362" ht="15" customHeight="1">
      <c r="A362" s="70">
        <f>IF(C362="","",IFERROR(IF(SUMPRODUCT(MAX((tbl_Finance[Job Number]&amp;""=C362&amp;"")*(tbl_Finance[Xero Invoice No]&lt;&gt;"")*tbl_Finance[Date]))=0,"",SUMPRODUCT(MAX((tbl_Finance[Job Number]&amp;""=C362&amp;"")*(tbl_Finance[Xero Invoice No]&lt;&gt;"")*tbl_Finance[Date]))),""))</f>
        <v/>
      </c>
      <c r="B362" s="25">
        <f>IF(C362="","",IF(COUNTIFS(tbl_Finance[Job Number],C362&amp;"",tbl_Finance[Xero Invoice No],"&lt;&gt;")=0,"",IFERROR(IF(COUNTIFS(tbl_Finance[Job Number],C362&amp;"",tbl_Finance[Xero Invoice No],LOOKUP(2,1/((tbl_Finance[Job Number]&amp;""=C362&amp;"")*(tbl_Finance[Xero Invoice No]&lt;&gt;"")),tbl_Finance[Xero Invoice No]))=COUNTIFS(tbl_Finance[Job Number],C362&amp;"",tbl_Finance[Xero Invoice No],"&lt;&gt;"),LOOKUP(2,1/((tbl_Finance[Job Number]&amp;""=C362&amp;"")*(tbl_Finance[Xero Invoice No]&lt;&gt;"")),tbl_Finance[Xero Invoice No]),LOOKUP(2,1/((tbl_Finance[Job Number]&amp;""=C362&amp;"")*(tbl_Finance[Xero Invoice No]&lt;&gt;"")),tbl_Finance[Xero Invoice No])&amp;" +more"),"")))</f>
        <v/>
      </c>
      <c r="C362" s="24" t="n"/>
      <c r="D362" s="25">
        <f>IF(C362="","",IF(COUNTIF(lst_Jobs,C362&amp;"")&gt;0,"OK","CHECK"))</f>
        <v/>
      </c>
      <c r="E362" s="25">
        <f>IF(C362="","",IFERROR(INDEX(lst_JobName,MATCH(C362&amp;"",lst_Jobs,0)),""))</f>
        <v/>
      </c>
      <c r="F362" s="25">
        <f>IF(C362="","",IFERROR(INDEX(tbl_Finance[Client],IFERROR(MATCH(C362&amp;"",tbl_Finance[Job Number],0),MATCH(IFERROR(C362+0,C362),tbl_Finance[Job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6" t="n"/>
      <c r="L362" s="27">
        <f>IF(C362="","",IF(K362="",0,MAX(0,K362-H362)))</f>
        <v/>
      </c>
      <c r="M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N362" s="24" t="n"/>
      <c r="O362" s="24" t="n"/>
      <c r="P362" s="25">
        <f>IF(O362="","",HYPERLINK(IF(LEFT(O362,4)="http",O362,set_QwilrBase&amp;O362),"Open quote"))</f>
        <v/>
      </c>
      <c r="Q362" s="71" t="n"/>
      <c r="R362" s="24" t="n"/>
      <c r="S362" s="24" t="n"/>
    </row>
    <row r="363" ht="15" customHeight="1">
      <c r="A363" s="70">
        <f>IF(C363="","",IFERROR(IF(SUMPRODUCT(MAX((tbl_Finance[Job Number]&amp;""=C363&amp;"")*(tbl_Finance[Xero Invoice No]&lt;&gt;"")*tbl_Finance[Date]))=0,"",SUMPRODUCT(MAX((tbl_Finance[Job Number]&amp;""=C363&amp;"")*(tbl_Finance[Xero Invoice No]&lt;&gt;"")*tbl_Finance[Date]))),""))</f>
        <v/>
      </c>
      <c r="B363" s="25">
        <f>IF(C363="","",IF(COUNTIFS(tbl_Finance[Job Number],C363&amp;"",tbl_Finance[Xero Invoice No],"&lt;&gt;")=0,"",IFERROR(IF(COUNTIFS(tbl_Finance[Job Number],C363&amp;"",tbl_Finance[Xero Invoice No],LOOKUP(2,1/((tbl_Finance[Job Number]&amp;""=C363&amp;"")*(tbl_Finance[Xero Invoice No]&lt;&gt;"")),tbl_Finance[Xero Invoice No]))=COUNTIFS(tbl_Finance[Job Number],C363&amp;"",tbl_Finance[Xero Invoice No],"&lt;&gt;"),LOOKUP(2,1/((tbl_Finance[Job Number]&amp;""=C363&amp;"")*(tbl_Finance[Xero Invoice No]&lt;&gt;"")),tbl_Finance[Xero Invoice No]),LOOKUP(2,1/((tbl_Finance[Job Number]&amp;""=C363&amp;"")*(tbl_Finance[Xero Invoice No]&lt;&gt;"")),tbl_Finance[Xero Invoice No])&amp;" +more"),"")))</f>
        <v/>
      </c>
      <c r="C363" s="24" t="n"/>
      <c r="D363" s="25">
        <f>IF(C363="","",IF(COUNTIF(lst_Jobs,C363&amp;"")&gt;0,"OK","CHECK"))</f>
        <v/>
      </c>
      <c r="E363" s="25">
        <f>IF(C363="","",IFERROR(INDEX(lst_JobName,MATCH(C363&amp;"",lst_Jobs,0)),""))</f>
        <v/>
      </c>
      <c r="F363" s="25">
        <f>IF(C363="","",IFERROR(INDEX(tbl_Finance[Client],IFERROR(MATCH(C363&amp;"",tbl_Finance[Job Number],0),MATCH(IFERROR(C363+0,C363),tbl_Finance[Job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6" t="n"/>
      <c r="L363" s="27">
        <f>IF(C363="","",IF(K363="",0,MAX(0,K363-H363)))</f>
        <v/>
      </c>
      <c r="M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N363" s="24" t="n"/>
      <c r="O363" s="24" t="n"/>
      <c r="P363" s="25">
        <f>IF(O363="","",HYPERLINK(IF(LEFT(O363,4)="http",O363,set_QwilrBase&amp;O363),"Open quote"))</f>
        <v/>
      </c>
      <c r="Q363" s="71" t="n"/>
      <c r="R363" s="24" t="n"/>
      <c r="S363" s="24" t="n"/>
    </row>
    <row r="364" ht="15" customHeight="1">
      <c r="A364" s="70">
        <f>IF(C364="","",IFERROR(IF(SUMPRODUCT(MAX((tbl_Finance[Job Number]&amp;""=C364&amp;"")*(tbl_Finance[Xero Invoice No]&lt;&gt;"")*tbl_Finance[Date]))=0,"",SUMPRODUCT(MAX((tbl_Finance[Job Number]&amp;""=C364&amp;"")*(tbl_Finance[Xero Invoice No]&lt;&gt;"")*tbl_Finance[Date]))),""))</f>
        <v/>
      </c>
      <c r="B364" s="25">
        <f>IF(C364="","",IF(COUNTIFS(tbl_Finance[Job Number],C364&amp;"",tbl_Finance[Xero Invoice No],"&lt;&gt;")=0,"",IFERROR(IF(COUNTIFS(tbl_Finance[Job Number],C364&amp;"",tbl_Finance[Xero Invoice No],LOOKUP(2,1/((tbl_Finance[Job Number]&amp;""=C364&amp;"")*(tbl_Finance[Xero Invoice No]&lt;&gt;"")),tbl_Finance[Xero Invoice No]))=COUNTIFS(tbl_Finance[Job Number],C364&amp;"",tbl_Finance[Xero Invoice No],"&lt;&gt;"),LOOKUP(2,1/((tbl_Finance[Job Number]&amp;""=C364&amp;"")*(tbl_Finance[Xero Invoice No]&lt;&gt;"")),tbl_Finance[Xero Invoice No]),LOOKUP(2,1/((tbl_Finance[Job Number]&amp;""=C364&amp;"")*(tbl_Finance[Xero Invoice No]&lt;&gt;"")),tbl_Finance[Xero Invoice No])&amp;" +more"),"")))</f>
        <v/>
      </c>
      <c r="C364" s="24" t="n"/>
      <c r="D364" s="25">
        <f>IF(C364="","",IF(COUNTIF(lst_Jobs,C364&amp;"")&gt;0,"OK","CHECK"))</f>
        <v/>
      </c>
      <c r="E364" s="25">
        <f>IF(C364="","",IFERROR(INDEX(lst_JobName,MATCH(C364&amp;"",lst_Jobs,0)),""))</f>
        <v/>
      </c>
      <c r="F364" s="25">
        <f>IF(C364="","",IFERROR(INDEX(tbl_Finance[Client],IFERROR(MATCH(C364&amp;"",tbl_Finance[Job Number],0),MATCH(IFERROR(C364+0,C364),tbl_Finance[Job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6" t="n"/>
      <c r="L364" s="27">
        <f>IF(C364="","",IF(K364="",0,MAX(0,K364-H364)))</f>
        <v/>
      </c>
      <c r="M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N364" s="24" t="n"/>
      <c r="O364" s="24" t="n"/>
      <c r="P364" s="25">
        <f>IF(O364="","",HYPERLINK(IF(LEFT(O364,4)="http",O364,set_QwilrBase&amp;O364),"Open quote"))</f>
        <v/>
      </c>
      <c r="Q364" s="71" t="n"/>
      <c r="R364" s="24" t="n"/>
      <c r="S364" s="24" t="n"/>
    </row>
    <row r="365" ht="15" customHeight="1">
      <c r="A365" s="70">
        <f>IF(C365="","",IFERROR(IF(SUMPRODUCT(MAX((tbl_Finance[Job Number]&amp;""=C365&amp;"")*(tbl_Finance[Xero Invoice No]&lt;&gt;"")*tbl_Finance[Date]))=0,"",SUMPRODUCT(MAX((tbl_Finance[Job Number]&amp;""=C365&amp;"")*(tbl_Finance[Xero Invoice No]&lt;&gt;"")*tbl_Finance[Date]))),""))</f>
        <v/>
      </c>
      <c r="B365" s="25">
        <f>IF(C365="","",IF(COUNTIFS(tbl_Finance[Job Number],C365&amp;"",tbl_Finance[Xero Invoice No],"&lt;&gt;")=0,"",IFERROR(IF(COUNTIFS(tbl_Finance[Job Number],C365&amp;"",tbl_Finance[Xero Invoice No],LOOKUP(2,1/((tbl_Finance[Job Number]&amp;""=C365&amp;"")*(tbl_Finance[Xero Invoice No]&lt;&gt;"")),tbl_Finance[Xero Invoice No]))=COUNTIFS(tbl_Finance[Job Number],C365&amp;"",tbl_Finance[Xero Invoice No],"&lt;&gt;"),LOOKUP(2,1/((tbl_Finance[Job Number]&amp;""=C365&amp;"")*(tbl_Finance[Xero Invoice No]&lt;&gt;"")),tbl_Finance[Xero Invoice No]),LOOKUP(2,1/((tbl_Finance[Job Number]&amp;""=C365&amp;"")*(tbl_Finance[Xero Invoice No]&lt;&gt;"")),tbl_Finance[Xero Invoice No])&amp;" +more"),"")))</f>
        <v/>
      </c>
      <c r="C365" s="24" t="n"/>
      <c r="D365" s="25">
        <f>IF(C365="","",IF(COUNTIF(lst_Jobs,C365&amp;"")&gt;0,"OK","CHECK"))</f>
        <v/>
      </c>
      <c r="E365" s="25">
        <f>IF(C365="","",IFERROR(INDEX(lst_JobName,MATCH(C365&amp;"",lst_Jobs,0)),""))</f>
        <v/>
      </c>
      <c r="F365" s="25">
        <f>IF(C365="","",IFERROR(INDEX(tbl_Finance[Client],IFERROR(MATCH(C365&amp;"",tbl_Finance[Job Number],0),MATCH(IFERROR(C365+0,C365),tbl_Finance[Job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6" t="n"/>
      <c r="L365" s="27">
        <f>IF(C365="","",IF(K365="",0,MAX(0,K365-H365)))</f>
        <v/>
      </c>
      <c r="M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N365" s="24" t="n"/>
      <c r="O365" s="24" t="n"/>
      <c r="P365" s="25">
        <f>IF(O365="","",HYPERLINK(IF(LEFT(O365,4)="http",O365,set_QwilrBase&amp;O365),"Open quote"))</f>
        <v/>
      </c>
      <c r="Q365" s="71" t="n"/>
      <c r="R365" s="24" t="n"/>
      <c r="S365" s="24" t="n"/>
    </row>
    <row r="366" ht="15" customHeight="1">
      <c r="A366" s="70">
        <f>IF(C366="","",IFERROR(IF(SUMPRODUCT(MAX((tbl_Finance[Job Number]&amp;""=C366&amp;"")*(tbl_Finance[Xero Invoice No]&lt;&gt;"")*tbl_Finance[Date]))=0,"",SUMPRODUCT(MAX((tbl_Finance[Job Number]&amp;""=C366&amp;"")*(tbl_Finance[Xero Invoice No]&lt;&gt;"")*tbl_Finance[Date]))),""))</f>
        <v/>
      </c>
      <c r="B366" s="25">
        <f>IF(C366="","",IF(COUNTIFS(tbl_Finance[Job Number],C366&amp;"",tbl_Finance[Xero Invoice No],"&lt;&gt;")=0,"",IFERROR(IF(COUNTIFS(tbl_Finance[Job Number],C366&amp;"",tbl_Finance[Xero Invoice No],LOOKUP(2,1/((tbl_Finance[Job Number]&amp;""=C366&amp;"")*(tbl_Finance[Xero Invoice No]&lt;&gt;"")),tbl_Finance[Xero Invoice No]))=COUNTIFS(tbl_Finance[Job Number],C366&amp;"",tbl_Finance[Xero Invoice No],"&lt;&gt;"),LOOKUP(2,1/((tbl_Finance[Job Number]&amp;""=C366&amp;"")*(tbl_Finance[Xero Invoice No]&lt;&gt;"")),tbl_Finance[Xero Invoice No]),LOOKUP(2,1/((tbl_Finance[Job Number]&amp;""=C366&amp;"")*(tbl_Finance[Xero Invoice No]&lt;&gt;"")),tbl_Finance[Xero Invoice No])&amp;" +more"),"")))</f>
        <v/>
      </c>
      <c r="C366" s="24" t="n"/>
      <c r="D366" s="25">
        <f>IF(C366="","",IF(COUNTIF(lst_Jobs,C366&amp;"")&gt;0,"OK","CHECK"))</f>
        <v/>
      </c>
      <c r="E366" s="25">
        <f>IF(C366="","",IFERROR(INDEX(lst_JobName,MATCH(C366&amp;"",lst_Jobs,0)),""))</f>
        <v/>
      </c>
      <c r="F366" s="25">
        <f>IF(C366="","",IFERROR(INDEX(tbl_Finance[Client],IFERROR(MATCH(C366&amp;"",tbl_Finance[Job Number],0),MATCH(IFERROR(C366+0,C366),tbl_Finance[Job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6" t="n"/>
      <c r="L366" s="27">
        <f>IF(C366="","",IF(K366="",0,MAX(0,K366-H366)))</f>
        <v/>
      </c>
      <c r="M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N366" s="24" t="n"/>
      <c r="O366" s="24" t="n"/>
      <c r="P366" s="25">
        <f>IF(O366="","",HYPERLINK(IF(LEFT(O366,4)="http",O366,set_QwilrBase&amp;O366),"Open quote"))</f>
        <v/>
      </c>
      <c r="Q366" s="71" t="n"/>
      <c r="R366" s="24" t="n"/>
      <c r="S366" s="24" t="n"/>
    </row>
    <row r="367" ht="15" customHeight="1">
      <c r="A367" s="70">
        <f>IF(C367="","",IFERROR(IF(SUMPRODUCT(MAX((tbl_Finance[Job Number]&amp;""=C367&amp;"")*(tbl_Finance[Xero Invoice No]&lt;&gt;"")*tbl_Finance[Date]))=0,"",SUMPRODUCT(MAX((tbl_Finance[Job Number]&amp;""=C367&amp;"")*(tbl_Finance[Xero Invoice No]&lt;&gt;"")*tbl_Finance[Date]))),""))</f>
        <v/>
      </c>
      <c r="B367" s="25">
        <f>IF(C367="","",IF(COUNTIFS(tbl_Finance[Job Number],C367&amp;"",tbl_Finance[Xero Invoice No],"&lt;&gt;")=0,"",IFERROR(IF(COUNTIFS(tbl_Finance[Job Number],C367&amp;"",tbl_Finance[Xero Invoice No],LOOKUP(2,1/((tbl_Finance[Job Number]&amp;""=C367&amp;"")*(tbl_Finance[Xero Invoice No]&lt;&gt;"")),tbl_Finance[Xero Invoice No]))=COUNTIFS(tbl_Finance[Job Number],C367&amp;"",tbl_Finance[Xero Invoice No],"&lt;&gt;"),LOOKUP(2,1/((tbl_Finance[Job Number]&amp;""=C367&amp;"")*(tbl_Finance[Xero Invoice No]&lt;&gt;"")),tbl_Finance[Xero Invoice No]),LOOKUP(2,1/((tbl_Finance[Job Number]&amp;""=C367&amp;"")*(tbl_Finance[Xero Invoice No]&lt;&gt;"")),tbl_Finance[Xero Invoice No])&amp;" +more"),"")))</f>
        <v/>
      </c>
      <c r="C367" s="24" t="n"/>
      <c r="D367" s="25">
        <f>IF(C367="","",IF(COUNTIF(lst_Jobs,C367&amp;"")&gt;0,"OK","CHECK"))</f>
        <v/>
      </c>
      <c r="E367" s="25">
        <f>IF(C367="","",IFERROR(INDEX(lst_JobName,MATCH(C367&amp;"",lst_Jobs,0)),""))</f>
        <v/>
      </c>
      <c r="F367" s="25">
        <f>IF(C367="","",IFERROR(INDEX(tbl_Finance[Client],IFERROR(MATCH(C367&amp;"",tbl_Finance[Job Number],0),MATCH(IFERROR(C367+0,C367),tbl_Finance[Job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6" t="n"/>
      <c r="L367" s="27">
        <f>IF(C367="","",IF(K367="",0,MAX(0,K367-H367)))</f>
        <v/>
      </c>
      <c r="M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N367" s="24" t="n"/>
      <c r="O367" s="24" t="n"/>
      <c r="P367" s="25">
        <f>IF(O367="","",HYPERLINK(IF(LEFT(O367,4)="http",O367,set_QwilrBase&amp;O367),"Open quote"))</f>
        <v/>
      </c>
      <c r="Q367" s="71" t="n"/>
      <c r="R367" s="24" t="n"/>
      <c r="S367" s="24" t="n"/>
    </row>
    <row r="368" ht="15" customHeight="1">
      <c r="A368" s="70">
        <f>IF(C368="","",IFERROR(IF(SUMPRODUCT(MAX((tbl_Finance[Job Number]&amp;""=C368&amp;"")*(tbl_Finance[Xero Invoice No]&lt;&gt;"")*tbl_Finance[Date]))=0,"",SUMPRODUCT(MAX((tbl_Finance[Job Number]&amp;""=C368&amp;"")*(tbl_Finance[Xero Invoice No]&lt;&gt;"")*tbl_Finance[Date]))),""))</f>
        <v/>
      </c>
      <c r="B368" s="25">
        <f>IF(C368="","",IF(COUNTIFS(tbl_Finance[Job Number],C368&amp;"",tbl_Finance[Xero Invoice No],"&lt;&gt;")=0,"",IFERROR(IF(COUNTIFS(tbl_Finance[Job Number],C368&amp;"",tbl_Finance[Xero Invoice No],LOOKUP(2,1/((tbl_Finance[Job Number]&amp;""=C368&amp;"")*(tbl_Finance[Xero Invoice No]&lt;&gt;"")),tbl_Finance[Xero Invoice No]))=COUNTIFS(tbl_Finance[Job Number],C368&amp;"",tbl_Finance[Xero Invoice No],"&lt;&gt;"),LOOKUP(2,1/((tbl_Finance[Job Number]&amp;""=C368&amp;"")*(tbl_Finance[Xero Invoice No]&lt;&gt;"")),tbl_Finance[Xero Invoice No]),LOOKUP(2,1/((tbl_Finance[Job Number]&amp;""=C368&amp;"")*(tbl_Finance[Xero Invoice No]&lt;&gt;"")),tbl_Finance[Xero Invoice No])&amp;" +more"),"")))</f>
        <v/>
      </c>
      <c r="C368" s="24" t="n"/>
      <c r="D368" s="25">
        <f>IF(C368="","",IF(COUNTIF(lst_Jobs,C368&amp;"")&gt;0,"OK","CHECK"))</f>
        <v/>
      </c>
      <c r="E368" s="25">
        <f>IF(C368="","",IFERROR(INDEX(lst_JobName,MATCH(C368&amp;"",lst_Jobs,0)),""))</f>
        <v/>
      </c>
      <c r="F368" s="25">
        <f>IF(C368="","",IFERROR(INDEX(tbl_Finance[Client],IFERROR(MATCH(C368&amp;"",tbl_Finance[Job Number],0),MATCH(IFERROR(C368+0,C368),tbl_Finance[Job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6" t="n"/>
      <c r="L368" s="27">
        <f>IF(C368="","",IF(K368="",0,MAX(0,K368-H368)))</f>
        <v/>
      </c>
      <c r="M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N368" s="24" t="n"/>
      <c r="O368" s="24" t="n"/>
      <c r="P368" s="25">
        <f>IF(O368="","",HYPERLINK(IF(LEFT(O368,4)="http",O368,set_QwilrBase&amp;O368),"Open quote"))</f>
        <v/>
      </c>
      <c r="Q368" s="71" t="n"/>
      <c r="R368" s="24" t="n"/>
      <c r="S368" s="24" t="n"/>
    </row>
    <row r="369" ht="15" customHeight="1">
      <c r="A369" s="70">
        <f>IF(C369="","",IFERROR(IF(SUMPRODUCT(MAX((tbl_Finance[Job Number]&amp;""=C369&amp;"")*(tbl_Finance[Xero Invoice No]&lt;&gt;"")*tbl_Finance[Date]))=0,"",SUMPRODUCT(MAX((tbl_Finance[Job Number]&amp;""=C369&amp;"")*(tbl_Finance[Xero Invoice No]&lt;&gt;"")*tbl_Finance[Date]))),""))</f>
        <v/>
      </c>
      <c r="B369" s="25">
        <f>IF(C369="","",IF(COUNTIFS(tbl_Finance[Job Number],C369&amp;"",tbl_Finance[Xero Invoice No],"&lt;&gt;")=0,"",IFERROR(IF(COUNTIFS(tbl_Finance[Job Number],C369&amp;"",tbl_Finance[Xero Invoice No],LOOKUP(2,1/((tbl_Finance[Job Number]&amp;""=C369&amp;"")*(tbl_Finance[Xero Invoice No]&lt;&gt;"")),tbl_Finance[Xero Invoice No]))=COUNTIFS(tbl_Finance[Job Number],C369&amp;"",tbl_Finance[Xero Invoice No],"&lt;&gt;"),LOOKUP(2,1/((tbl_Finance[Job Number]&amp;""=C369&amp;"")*(tbl_Finance[Xero Invoice No]&lt;&gt;"")),tbl_Finance[Xero Invoice No]),LOOKUP(2,1/((tbl_Finance[Job Number]&amp;""=C369&amp;"")*(tbl_Finance[Xero Invoice No]&lt;&gt;"")),tbl_Finance[Xero Invoice No])&amp;" +more"),"")))</f>
        <v/>
      </c>
      <c r="C369" s="24" t="n"/>
      <c r="D369" s="25">
        <f>IF(C369="","",IF(COUNTIF(lst_Jobs,C369&amp;"")&gt;0,"OK","CHECK"))</f>
        <v/>
      </c>
      <c r="E369" s="25">
        <f>IF(C369="","",IFERROR(INDEX(lst_JobName,MATCH(C369&amp;"",lst_Jobs,0)),""))</f>
        <v/>
      </c>
      <c r="F369" s="25">
        <f>IF(C369="","",IFERROR(INDEX(tbl_Finance[Client],IFERROR(MATCH(C369&amp;"",tbl_Finance[Job Number],0),MATCH(IFERROR(C369+0,C369),tbl_Finance[Job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6" t="n"/>
      <c r="L369" s="27">
        <f>IF(C369="","",IF(K369="",0,MAX(0,K369-H369)))</f>
        <v/>
      </c>
      <c r="M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N369" s="24" t="n"/>
      <c r="O369" s="24" t="n"/>
      <c r="P369" s="25">
        <f>IF(O369="","",HYPERLINK(IF(LEFT(O369,4)="http",O369,set_QwilrBase&amp;O369),"Open quote"))</f>
        <v/>
      </c>
      <c r="Q369" s="71" t="n"/>
      <c r="R369" s="24" t="n"/>
      <c r="S369" s="24" t="n"/>
    </row>
    <row r="370" ht="15" customHeight="1">
      <c r="A370" s="70">
        <f>IF(C370="","",IFERROR(IF(SUMPRODUCT(MAX((tbl_Finance[Job Number]&amp;""=C370&amp;"")*(tbl_Finance[Xero Invoice No]&lt;&gt;"")*tbl_Finance[Date]))=0,"",SUMPRODUCT(MAX((tbl_Finance[Job Number]&amp;""=C370&amp;"")*(tbl_Finance[Xero Invoice No]&lt;&gt;"")*tbl_Finance[Date]))),""))</f>
        <v/>
      </c>
      <c r="B370" s="25">
        <f>IF(C370="","",IF(COUNTIFS(tbl_Finance[Job Number],C370&amp;"",tbl_Finance[Xero Invoice No],"&lt;&gt;")=0,"",IFERROR(IF(COUNTIFS(tbl_Finance[Job Number],C370&amp;"",tbl_Finance[Xero Invoice No],LOOKUP(2,1/((tbl_Finance[Job Number]&amp;""=C370&amp;"")*(tbl_Finance[Xero Invoice No]&lt;&gt;"")),tbl_Finance[Xero Invoice No]))=COUNTIFS(tbl_Finance[Job Number],C370&amp;"",tbl_Finance[Xero Invoice No],"&lt;&gt;"),LOOKUP(2,1/((tbl_Finance[Job Number]&amp;""=C370&amp;"")*(tbl_Finance[Xero Invoice No]&lt;&gt;"")),tbl_Finance[Xero Invoice No]),LOOKUP(2,1/((tbl_Finance[Job Number]&amp;""=C370&amp;"")*(tbl_Finance[Xero Invoice No]&lt;&gt;"")),tbl_Finance[Xero Invoice No])&amp;" +more"),"")))</f>
        <v/>
      </c>
      <c r="C370" s="24" t="n"/>
      <c r="D370" s="25">
        <f>IF(C370="","",IF(COUNTIF(lst_Jobs,C370&amp;"")&gt;0,"OK","CHECK"))</f>
        <v/>
      </c>
      <c r="E370" s="25">
        <f>IF(C370="","",IFERROR(INDEX(lst_JobName,MATCH(C370&amp;"",lst_Jobs,0)),""))</f>
        <v/>
      </c>
      <c r="F370" s="25">
        <f>IF(C370="","",IFERROR(INDEX(tbl_Finance[Client],IFERROR(MATCH(C370&amp;"",tbl_Finance[Job Number],0),MATCH(IFERROR(C370+0,C370),tbl_Finance[Job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6" t="n"/>
      <c r="L370" s="27">
        <f>IF(C370="","",IF(K370="",0,MAX(0,K370-H370)))</f>
        <v/>
      </c>
      <c r="M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N370" s="24" t="n"/>
      <c r="O370" s="24" t="n"/>
      <c r="P370" s="25">
        <f>IF(O370="","",HYPERLINK(IF(LEFT(O370,4)="http",O370,set_QwilrBase&amp;O370),"Open quote"))</f>
        <v/>
      </c>
      <c r="Q370" s="71" t="n"/>
      <c r="R370" s="24" t="n"/>
      <c r="S370" s="24" t="n"/>
    </row>
    <row r="371" ht="15" customHeight="1">
      <c r="A371" s="70">
        <f>IF(C371="","",IFERROR(IF(SUMPRODUCT(MAX((tbl_Finance[Job Number]&amp;""=C371&amp;"")*(tbl_Finance[Xero Invoice No]&lt;&gt;"")*tbl_Finance[Date]))=0,"",SUMPRODUCT(MAX((tbl_Finance[Job Number]&amp;""=C371&amp;"")*(tbl_Finance[Xero Invoice No]&lt;&gt;"")*tbl_Finance[Date]))),""))</f>
        <v/>
      </c>
      <c r="B371" s="25">
        <f>IF(C371="","",IF(COUNTIFS(tbl_Finance[Job Number],C371&amp;"",tbl_Finance[Xero Invoice No],"&lt;&gt;")=0,"",IFERROR(IF(COUNTIFS(tbl_Finance[Job Number],C371&amp;"",tbl_Finance[Xero Invoice No],LOOKUP(2,1/((tbl_Finance[Job Number]&amp;""=C371&amp;"")*(tbl_Finance[Xero Invoice No]&lt;&gt;"")),tbl_Finance[Xero Invoice No]))=COUNTIFS(tbl_Finance[Job Number],C371&amp;"",tbl_Finance[Xero Invoice No],"&lt;&gt;"),LOOKUP(2,1/((tbl_Finance[Job Number]&amp;""=C371&amp;"")*(tbl_Finance[Xero Invoice No]&lt;&gt;"")),tbl_Finance[Xero Invoice No]),LOOKUP(2,1/((tbl_Finance[Job Number]&amp;""=C371&amp;"")*(tbl_Finance[Xero Invoice No]&lt;&gt;"")),tbl_Finance[Xero Invoice No])&amp;" +more"),"")))</f>
        <v/>
      </c>
      <c r="C371" s="24" t="n"/>
      <c r="D371" s="25">
        <f>IF(C371="","",IF(COUNTIF(lst_Jobs,C371&amp;"")&gt;0,"OK","CHECK"))</f>
        <v/>
      </c>
      <c r="E371" s="25">
        <f>IF(C371="","",IFERROR(INDEX(lst_JobName,MATCH(C371&amp;"",lst_Jobs,0)),""))</f>
        <v/>
      </c>
      <c r="F371" s="25">
        <f>IF(C371="","",IFERROR(INDEX(tbl_Finance[Client],IFERROR(MATCH(C371&amp;"",tbl_Finance[Job Number],0),MATCH(IFERROR(C371+0,C371),tbl_Finance[Job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6" t="n"/>
      <c r="L371" s="27">
        <f>IF(C371="","",IF(K371="",0,MAX(0,K371-H371)))</f>
        <v/>
      </c>
      <c r="M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N371" s="24" t="n"/>
      <c r="O371" s="24" t="n"/>
      <c r="P371" s="25">
        <f>IF(O371="","",HYPERLINK(IF(LEFT(O371,4)="http",O371,set_QwilrBase&amp;O371),"Open quote"))</f>
        <v/>
      </c>
      <c r="Q371" s="71" t="n"/>
      <c r="R371" s="24" t="n"/>
      <c r="S371" s="24" t="n"/>
    </row>
    <row r="372" ht="15" customHeight="1">
      <c r="A372" s="70">
        <f>IF(C372="","",IFERROR(IF(SUMPRODUCT(MAX((tbl_Finance[Job Number]&amp;""=C372&amp;"")*(tbl_Finance[Xero Invoice No]&lt;&gt;"")*tbl_Finance[Date]))=0,"",SUMPRODUCT(MAX((tbl_Finance[Job Number]&amp;""=C372&amp;"")*(tbl_Finance[Xero Invoice No]&lt;&gt;"")*tbl_Finance[Date]))),""))</f>
        <v/>
      </c>
      <c r="B372" s="25">
        <f>IF(C372="","",IF(COUNTIFS(tbl_Finance[Job Number],C372&amp;"",tbl_Finance[Xero Invoice No],"&lt;&gt;")=0,"",IFERROR(IF(COUNTIFS(tbl_Finance[Job Number],C372&amp;"",tbl_Finance[Xero Invoice No],LOOKUP(2,1/((tbl_Finance[Job Number]&amp;""=C372&amp;"")*(tbl_Finance[Xero Invoice No]&lt;&gt;"")),tbl_Finance[Xero Invoice No]))=COUNTIFS(tbl_Finance[Job Number],C372&amp;"",tbl_Finance[Xero Invoice No],"&lt;&gt;"),LOOKUP(2,1/((tbl_Finance[Job Number]&amp;""=C372&amp;"")*(tbl_Finance[Xero Invoice No]&lt;&gt;"")),tbl_Finance[Xero Invoice No]),LOOKUP(2,1/((tbl_Finance[Job Number]&amp;""=C372&amp;"")*(tbl_Finance[Xero Invoice No]&lt;&gt;"")),tbl_Finance[Xero Invoice No])&amp;" +more"),"")))</f>
        <v/>
      </c>
      <c r="C372" s="24" t="n"/>
      <c r="D372" s="25">
        <f>IF(C372="","",IF(COUNTIF(lst_Jobs,C372&amp;"")&gt;0,"OK","CHECK"))</f>
        <v/>
      </c>
      <c r="E372" s="25">
        <f>IF(C372="","",IFERROR(INDEX(lst_JobName,MATCH(C372&amp;"",lst_Jobs,0)),""))</f>
        <v/>
      </c>
      <c r="F372" s="25">
        <f>IF(C372="","",IFERROR(INDEX(tbl_Finance[Client],IFERROR(MATCH(C372&amp;"",tbl_Finance[Job Number],0),MATCH(IFERROR(C372+0,C372),tbl_Finance[Job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6" t="n"/>
      <c r="L372" s="27">
        <f>IF(C372="","",IF(K372="",0,MAX(0,K372-H372)))</f>
        <v/>
      </c>
      <c r="M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N372" s="24" t="n"/>
      <c r="O372" s="24" t="n"/>
      <c r="P372" s="25">
        <f>IF(O372="","",HYPERLINK(IF(LEFT(O372,4)="http",O372,set_QwilrBase&amp;O372),"Open quote"))</f>
        <v/>
      </c>
      <c r="Q372" s="71" t="n"/>
      <c r="R372" s="24" t="n"/>
      <c r="S372" s="24" t="n"/>
    </row>
    <row r="373" ht="15" customHeight="1">
      <c r="A373" s="70">
        <f>IF(C373="","",IFERROR(IF(SUMPRODUCT(MAX((tbl_Finance[Job Number]&amp;""=C373&amp;"")*(tbl_Finance[Xero Invoice No]&lt;&gt;"")*tbl_Finance[Date]))=0,"",SUMPRODUCT(MAX((tbl_Finance[Job Number]&amp;""=C373&amp;"")*(tbl_Finance[Xero Invoice No]&lt;&gt;"")*tbl_Finance[Date]))),""))</f>
        <v/>
      </c>
      <c r="B373" s="25">
        <f>IF(C373="","",IF(COUNTIFS(tbl_Finance[Job Number],C373&amp;"",tbl_Finance[Xero Invoice No],"&lt;&gt;")=0,"",IFERROR(IF(COUNTIFS(tbl_Finance[Job Number],C373&amp;"",tbl_Finance[Xero Invoice No],LOOKUP(2,1/((tbl_Finance[Job Number]&amp;""=C373&amp;"")*(tbl_Finance[Xero Invoice No]&lt;&gt;"")),tbl_Finance[Xero Invoice No]))=COUNTIFS(tbl_Finance[Job Number],C373&amp;"",tbl_Finance[Xero Invoice No],"&lt;&gt;"),LOOKUP(2,1/((tbl_Finance[Job Number]&amp;""=C373&amp;"")*(tbl_Finance[Xero Invoice No]&lt;&gt;"")),tbl_Finance[Xero Invoice No]),LOOKUP(2,1/((tbl_Finance[Job Number]&amp;""=C373&amp;"")*(tbl_Finance[Xero Invoice No]&lt;&gt;"")),tbl_Finance[Xero Invoice No])&amp;" +more"),"")))</f>
        <v/>
      </c>
      <c r="C373" s="24" t="n"/>
      <c r="D373" s="25">
        <f>IF(C373="","",IF(COUNTIF(lst_Jobs,C373&amp;"")&gt;0,"OK","CHECK"))</f>
        <v/>
      </c>
      <c r="E373" s="25">
        <f>IF(C373="","",IFERROR(INDEX(lst_JobName,MATCH(C373&amp;"",lst_Jobs,0)),""))</f>
        <v/>
      </c>
      <c r="F373" s="25">
        <f>IF(C373="","",IFERROR(INDEX(tbl_Finance[Client],IFERROR(MATCH(C373&amp;"",tbl_Finance[Job Number],0),MATCH(IFERROR(C373+0,C373),tbl_Finance[Job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6" t="n"/>
      <c r="L373" s="27">
        <f>IF(C373="","",IF(K373="",0,MAX(0,K373-H373)))</f>
        <v/>
      </c>
      <c r="M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N373" s="24" t="n"/>
      <c r="O373" s="24" t="n"/>
      <c r="P373" s="25">
        <f>IF(O373="","",HYPERLINK(IF(LEFT(O373,4)="http",O373,set_QwilrBase&amp;O373),"Open quote"))</f>
        <v/>
      </c>
      <c r="Q373" s="71" t="n"/>
      <c r="R373" s="24" t="n"/>
      <c r="S373" s="24" t="n"/>
    </row>
    <row r="374" ht="15" customHeight="1">
      <c r="A374" s="70">
        <f>IF(C374="","",IFERROR(IF(SUMPRODUCT(MAX((tbl_Finance[Job Number]&amp;""=C374&amp;"")*(tbl_Finance[Xero Invoice No]&lt;&gt;"")*tbl_Finance[Date]))=0,"",SUMPRODUCT(MAX((tbl_Finance[Job Number]&amp;""=C374&amp;"")*(tbl_Finance[Xero Invoice No]&lt;&gt;"")*tbl_Finance[Date]))),""))</f>
        <v/>
      </c>
      <c r="B374" s="25">
        <f>IF(C374="","",IF(COUNTIFS(tbl_Finance[Job Number],C374&amp;"",tbl_Finance[Xero Invoice No],"&lt;&gt;")=0,"",IFERROR(IF(COUNTIFS(tbl_Finance[Job Number],C374&amp;"",tbl_Finance[Xero Invoice No],LOOKUP(2,1/((tbl_Finance[Job Number]&amp;""=C374&amp;"")*(tbl_Finance[Xero Invoice No]&lt;&gt;"")),tbl_Finance[Xero Invoice No]))=COUNTIFS(tbl_Finance[Job Number],C374&amp;"",tbl_Finance[Xero Invoice No],"&lt;&gt;"),LOOKUP(2,1/((tbl_Finance[Job Number]&amp;""=C374&amp;"")*(tbl_Finance[Xero Invoice No]&lt;&gt;"")),tbl_Finance[Xero Invoice No]),LOOKUP(2,1/((tbl_Finance[Job Number]&amp;""=C374&amp;"")*(tbl_Finance[Xero Invoice No]&lt;&gt;"")),tbl_Finance[Xero Invoice No])&amp;" +more"),"")))</f>
        <v/>
      </c>
      <c r="C374" s="24" t="n"/>
      <c r="D374" s="25">
        <f>IF(C374="","",IF(COUNTIF(lst_Jobs,C374&amp;"")&gt;0,"OK","CHECK"))</f>
        <v/>
      </c>
      <c r="E374" s="25">
        <f>IF(C374="","",IFERROR(INDEX(lst_JobName,MATCH(C374&amp;"",lst_Jobs,0)),""))</f>
        <v/>
      </c>
      <c r="F374" s="25">
        <f>IF(C374="","",IFERROR(INDEX(tbl_Finance[Client],IFERROR(MATCH(C374&amp;"",tbl_Finance[Job Number],0),MATCH(IFERROR(C374+0,C374),tbl_Finance[Job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6" t="n"/>
      <c r="L374" s="27">
        <f>IF(C374="","",IF(K374="",0,MAX(0,K374-H374)))</f>
        <v/>
      </c>
      <c r="M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N374" s="24" t="n"/>
      <c r="O374" s="24" t="n"/>
      <c r="P374" s="25">
        <f>IF(O374="","",HYPERLINK(IF(LEFT(O374,4)="http",O374,set_QwilrBase&amp;O374),"Open quote"))</f>
        <v/>
      </c>
      <c r="Q374" s="71" t="n"/>
      <c r="R374" s="24" t="n"/>
      <c r="S374" s="24" t="n"/>
    </row>
    <row r="375" ht="15" customHeight="1">
      <c r="A375" s="70">
        <f>IF(C375="","",IFERROR(IF(SUMPRODUCT(MAX((tbl_Finance[Job Number]&amp;""=C375&amp;"")*(tbl_Finance[Xero Invoice No]&lt;&gt;"")*tbl_Finance[Date]))=0,"",SUMPRODUCT(MAX((tbl_Finance[Job Number]&amp;""=C375&amp;"")*(tbl_Finance[Xero Invoice No]&lt;&gt;"")*tbl_Finance[Date]))),""))</f>
        <v/>
      </c>
      <c r="B375" s="25">
        <f>IF(C375="","",IF(COUNTIFS(tbl_Finance[Job Number],C375&amp;"",tbl_Finance[Xero Invoice No],"&lt;&gt;")=0,"",IFERROR(IF(COUNTIFS(tbl_Finance[Job Number],C375&amp;"",tbl_Finance[Xero Invoice No],LOOKUP(2,1/((tbl_Finance[Job Number]&amp;""=C375&amp;"")*(tbl_Finance[Xero Invoice No]&lt;&gt;"")),tbl_Finance[Xero Invoice No]))=COUNTIFS(tbl_Finance[Job Number],C375&amp;"",tbl_Finance[Xero Invoice No],"&lt;&gt;"),LOOKUP(2,1/((tbl_Finance[Job Number]&amp;""=C375&amp;"")*(tbl_Finance[Xero Invoice No]&lt;&gt;"")),tbl_Finance[Xero Invoice No]),LOOKUP(2,1/((tbl_Finance[Job Number]&amp;""=C375&amp;"")*(tbl_Finance[Xero Invoice No]&lt;&gt;"")),tbl_Finance[Xero Invoice No])&amp;" +more"),"")))</f>
        <v/>
      </c>
      <c r="C375" s="24" t="n"/>
      <c r="D375" s="25">
        <f>IF(C375="","",IF(COUNTIF(lst_Jobs,C375&amp;"")&gt;0,"OK","CHECK"))</f>
        <v/>
      </c>
      <c r="E375" s="25">
        <f>IF(C375="","",IFERROR(INDEX(lst_JobName,MATCH(C375&amp;"",lst_Jobs,0)),""))</f>
        <v/>
      </c>
      <c r="F375" s="25">
        <f>IF(C375="","",IFERROR(INDEX(tbl_Finance[Client],IFERROR(MATCH(C375&amp;"",tbl_Finance[Job Number],0),MATCH(IFERROR(C375+0,C375),tbl_Finance[Job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6" t="n"/>
      <c r="L375" s="27">
        <f>IF(C375="","",IF(K375="",0,MAX(0,K375-H375)))</f>
        <v/>
      </c>
      <c r="M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N375" s="24" t="n"/>
      <c r="O375" s="24" t="n"/>
      <c r="P375" s="25">
        <f>IF(O375="","",HYPERLINK(IF(LEFT(O375,4)="http",O375,set_QwilrBase&amp;O375),"Open quote"))</f>
        <v/>
      </c>
      <c r="Q375" s="71" t="n"/>
      <c r="R375" s="24" t="n"/>
      <c r="S375" s="24" t="n"/>
    </row>
    <row r="376" ht="15" customHeight="1">
      <c r="A376" s="70">
        <f>IF(C376="","",IFERROR(IF(SUMPRODUCT(MAX((tbl_Finance[Job Number]&amp;""=C376&amp;"")*(tbl_Finance[Xero Invoice No]&lt;&gt;"")*tbl_Finance[Date]))=0,"",SUMPRODUCT(MAX((tbl_Finance[Job Number]&amp;""=C376&amp;"")*(tbl_Finance[Xero Invoice No]&lt;&gt;"")*tbl_Finance[Date]))),""))</f>
        <v/>
      </c>
      <c r="B376" s="25">
        <f>IF(C376="","",IF(COUNTIFS(tbl_Finance[Job Number],C376&amp;"",tbl_Finance[Xero Invoice No],"&lt;&gt;")=0,"",IFERROR(IF(COUNTIFS(tbl_Finance[Job Number],C376&amp;"",tbl_Finance[Xero Invoice No],LOOKUP(2,1/((tbl_Finance[Job Number]&amp;""=C376&amp;"")*(tbl_Finance[Xero Invoice No]&lt;&gt;"")),tbl_Finance[Xero Invoice No]))=COUNTIFS(tbl_Finance[Job Number],C376&amp;"",tbl_Finance[Xero Invoice No],"&lt;&gt;"),LOOKUP(2,1/((tbl_Finance[Job Number]&amp;""=C376&amp;"")*(tbl_Finance[Xero Invoice No]&lt;&gt;"")),tbl_Finance[Xero Invoice No]),LOOKUP(2,1/((tbl_Finance[Job Number]&amp;""=C376&amp;"")*(tbl_Finance[Xero Invoice No]&lt;&gt;"")),tbl_Finance[Xero Invoice No])&amp;" +more"),"")))</f>
        <v/>
      </c>
      <c r="C376" s="24" t="n"/>
      <c r="D376" s="25">
        <f>IF(C376="","",IF(COUNTIF(lst_Jobs,C376&amp;"")&gt;0,"OK","CHECK"))</f>
        <v/>
      </c>
      <c r="E376" s="25">
        <f>IF(C376="","",IFERROR(INDEX(lst_JobName,MATCH(C376&amp;"",lst_Jobs,0)),""))</f>
        <v/>
      </c>
      <c r="F376" s="25">
        <f>IF(C376="","",IFERROR(INDEX(tbl_Finance[Client],IFERROR(MATCH(C376&amp;"",tbl_Finance[Job Number],0),MATCH(IFERROR(C376+0,C376),tbl_Finance[Job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6" t="n"/>
      <c r="L376" s="27">
        <f>IF(C376="","",IF(K376="",0,MAX(0,K376-H376)))</f>
        <v/>
      </c>
      <c r="M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N376" s="24" t="n"/>
      <c r="O376" s="24" t="n"/>
      <c r="P376" s="25">
        <f>IF(O376="","",HYPERLINK(IF(LEFT(O376,4)="http",O376,set_QwilrBase&amp;O376),"Open quote"))</f>
        <v/>
      </c>
      <c r="Q376" s="71" t="n"/>
      <c r="R376" s="24" t="n"/>
      <c r="S376" s="24" t="n"/>
    </row>
    <row r="377" ht="15" customHeight="1">
      <c r="A377" s="70">
        <f>IF(C377="","",IFERROR(IF(SUMPRODUCT(MAX((tbl_Finance[Job Number]&amp;""=C377&amp;"")*(tbl_Finance[Xero Invoice No]&lt;&gt;"")*tbl_Finance[Date]))=0,"",SUMPRODUCT(MAX((tbl_Finance[Job Number]&amp;""=C377&amp;"")*(tbl_Finance[Xero Invoice No]&lt;&gt;"")*tbl_Finance[Date]))),""))</f>
        <v/>
      </c>
      <c r="B377" s="25">
        <f>IF(C377="","",IF(COUNTIFS(tbl_Finance[Job Number],C377&amp;"",tbl_Finance[Xero Invoice No],"&lt;&gt;")=0,"",IFERROR(IF(COUNTIFS(tbl_Finance[Job Number],C377&amp;"",tbl_Finance[Xero Invoice No],LOOKUP(2,1/((tbl_Finance[Job Number]&amp;""=C377&amp;"")*(tbl_Finance[Xero Invoice No]&lt;&gt;"")),tbl_Finance[Xero Invoice No]))=COUNTIFS(tbl_Finance[Job Number],C377&amp;"",tbl_Finance[Xero Invoice No],"&lt;&gt;"),LOOKUP(2,1/((tbl_Finance[Job Number]&amp;""=C377&amp;"")*(tbl_Finance[Xero Invoice No]&lt;&gt;"")),tbl_Finance[Xero Invoice No]),LOOKUP(2,1/((tbl_Finance[Job Number]&amp;""=C377&amp;"")*(tbl_Finance[Xero Invoice No]&lt;&gt;"")),tbl_Finance[Xero Invoice No])&amp;" +more"),"")))</f>
        <v/>
      </c>
      <c r="C377" s="24" t="n"/>
      <c r="D377" s="25">
        <f>IF(C377="","",IF(COUNTIF(lst_Jobs,C377&amp;"")&gt;0,"OK","CHECK"))</f>
        <v/>
      </c>
      <c r="E377" s="25">
        <f>IF(C377="","",IFERROR(INDEX(lst_JobName,MATCH(C377&amp;"",lst_Jobs,0)),""))</f>
        <v/>
      </c>
      <c r="F377" s="25">
        <f>IF(C377="","",IFERROR(INDEX(tbl_Finance[Client],IFERROR(MATCH(C377&amp;"",tbl_Finance[Job Number],0),MATCH(IFERROR(C377+0,C377),tbl_Finance[Job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6" t="n"/>
      <c r="L377" s="27">
        <f>IF(C377="","",IF(K377="",0,MAX(0,K377-H377)))</f>
        <v/>
      </c>
      <c r="M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N377" s="24" t="n"/>
      <c r="O377" s="24" t="n"/>
      <c r="P377" s="25">
        <f>IF(O377="","",HYPERLINK(IF(LEFT(O377,4)="http",O377,set_QwilrBase&amp;O377),"Open quote"))</f>
        <v/>
      </c>
      <c r="Q377" s="71" t="n"/>
      <c r="R377" s="24" t="n"/>
      <c r="S377" s="24" t="n"/>
    </row>
    <row r="378" ht="15" customHeight="1">
      <c r="A378" s="70">
        <f>IF(C378="","",IFERROR(IF(SUMPRODUCT(MAX((tbl_Finance[Job Number]&amp;""=C378&amp;"")*(tbl_Finance[Xero Invoice No]&lt;&gt;"")*tbl_Finance[Date]))=0,"",SUMPRODUCT(MAX((tbl_Finance[Job Number]&amp;""=C378&amp;"")*(tbl_Finance[Xero Invoice No]&lt;&gt;"")*tbl_Finance[Date]))),""))</f>
        <v/>
      </c>
      <c r="B378" s="25">
        <f>IF(C378="","",IF(COUNTIFS(tbl_Finance[Job Number],C378&amp;"",tbl_Finance[Xero Invoice No],"&lt;&gt;")=0,"",IFERROR(IF(COUNTIFS(tbl_Finance[Job Number],C378&amp;"",tbl_Finance[Xero Invoice No],LOOKUP(2,1/((tbl_Finance[Job Number]&amp;""=C378&amp;"")*(tbl_Finance[Xero Invoice No]&lt;&gt;"")),tbl_Finance[Xero Invoice No]))=COUNTIFS(tbl_Finance[Job Number],C378&amp;"",tbl_Finance[Xero Invoice No],"&lt;&gt;"),LOOKUP(2,1/((tbl_Finance[Job Number]&amp;""=C378&amp;"")*(tbl_Finance[Xero Invoice No]&lt;&gt;"")),tbl_Finance[Xero Invoice No]),LOOKUP(2,1/((tbl_Finance[Job Number]&amp;""=C378&amp;"")*(tbl_Finance[Xero Invoice No]&lt;&gt;"")),tbl_Finance[Xero Invoice No])&amp;" +more"),"")))</f>
        <v/>
      </c>
      <c r="C378" s="24" t="n"/>
      <c r="D378" s="25">
        <f>IF(C378="","",IF(COUNTIF(lst_Jobs,C378&amp;"")&gt;0,"OK","CHECK"))</f>
        <v/>
      </c>
      <c r="E378" s="25">
        <f>IF(C378="","",IFERROR(INDEX(lst_JobName,MATCH(C378&amp;"",lst_Jobs,0)),""))</f>
        <v/>
      </c>
      <c r="F378" s="25">
        <f>IF(C378="","",IFERROR(INDEX(tbl_Finance[Client],IFERROR(MATCH(C378&amp;"",tbl_Finance[Job Number],0),MATCH(IFERROR(C378+0,C378),tbl_Finance[Job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6" t="n"/>
      <c r="L378" s="27">
        <f>IF(C378="","",IF(K378="",0,MAX(0,K378-H378)))</f>
        <v/>
      </c>
      <c r="M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N378" s="24" t="n"/>
      <c r="O378" s="24" t="n"/>
      <c r="P378" s="25">
        <f>IF(O378="","",HYPERLINK(IF(LEFT(O378,4)="http",O378,set_QwilrBase&amp;O378),"Open quote"))</f>
        <v/>
      </c>
      <c r="Q378" s="71" t="n"/>
      <c r="R378" s="24" t="n"/>
      <c r="S378" s="24" t="n"/>
    </row>
    <row r="379" ht="15" customHeight="1">
      <c r="A379" s="70">
        <f>IF(C379="","",IFERROR(IF(SUMPRODUCT(MAX((tbl_Finance[Job Number]&amp;""=C379&amp;"")*(tbl_Finance[Xero Invoice No]&lt;&gt;"")*tbl_Finance[Date]))=0,"",SUMPRODUCT(MAX((tbl_Finance[Job Number]&amp;""=C379&amp;"")*(tbl_Finance[Xero Invoice No]&lt;&gt;"")*tbl_Finance[Date]))),""))</f>
        <v/>
      </c>
      <c r="B379" s="25">
        <f>IF(C379="","",IF(COUNTIFS(tbl_Finance[Job Number],C379&amp;"",tbl_Finance[Xero Invoice No],"&lt;&gt;")=0,"",IFERROR(IF(COUNTIFS(tbl_Finance[Job Number],C379&amp;"",tbl_Finance[Xero Invoice No],LOOKUP(2,1/((tbl_Finance[Job Number]&amp;""=C379&amp;"")*(tbl_Finance[Xero Invoice No]&lt;&gt;"")),tbl_Finance[Xero Invoice No]))=COUNTIFS(tbl_Finance[Job Number],C379&amp;"",tbl_Finance[Xero Invoice No],"&lt;&gt;"),LOOKUP(2,1/((tbl_Finance[Job Number]&amp;""=C379&amp;"")*(tbl_Finance[Xero Invoice No]&lt;&gt;"")),tbl_Finance[Xero Invoice No]),LOOKUP(2,1/((tbl_Finance[Job Number]&amp;""=C379&amp;"")*(tbl_Finance[Xero Invoice No]&lt;&gt;"")),tbl_Finance[Xero Invoice No])&amp;" +more"),"")))</f>
        <v/>
      </c>
      <c r="C379" s="24" t="n"/>
      <c r="D379" s="25">
        <f>IF(C379="","",IF(COUNTIF(lst_Jobs,C379&amp;"")&gt;0,"OK","CHECK"))</f>
        <v/>
      </c>
      <c r="E379" s="25">
        <f>IF(C379="","",IFERROR(INDEX(lst_JobName,MATCH(C379&amp;"",lst_Jobs,0)),""))</f>
        <v/>
      </c>
      <c r="F379" s="25">
        <f>IF(C379="","",IFERROR(INDEX(tbl_Finance[Client],IFERROR(MATCH(C379&amp;"",tbl_Finance[Job Number],0),MATCH(IFERROR(C379+0,C379),tbl_Finance[Job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6" t="n"/>
      <c r="L379" s="27">
        <f>IF(C379="","",IF(K379="",0,MAX(0,K379-H379)))</f>
        <v/>
      </c>
      <c r="M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N379" s="24" t="n"/>
      <c r="O379" s="24" t="n"/>
      <c r="P379" s="25">
        <f>IF(O379="","",HYPERLINK(IF(LEFT(O379,4)="http",O379,set_QwilrBase&amp;O379),"Open quote"))</f>
        <v/>
      </c>
      <c r="Q379" s="71" t="n"/>
      <c r="R379" s="24" t="n"/>
      <c r="S379" s="24" t="n"/>
    </row>
    <row r="380" ht="15" customHeight="1">
      <c r="A380" s="70">
        <f>IF(C380="","",IFERROR(IF(SUMPRODUCT(MAX((tbl_Finance[Job Number]&amp;""=C380&amp;"")*(tbl_Finance[Xero Invoice No]&lt;&gt;"")*tbl_Finance[Date]))=0,"",SUMPRODUCT(MAX((tbl_Finance[Job Number]&amp;""=C380&amp;"")*(tbl_Finance[Xero Invoice No]&lt;&gt;"")*tbl_Finance[Date]))),""))</f>
        <v/>
      </c>
      <c r="B380" s="25">
        <f>IF(C380="","",IF(COUNTIFS(tbl_Finance[Job Number],C380&amp;"",tbl_Finance[Xero Invoice No],"&lt;&gt;")=0,"",IFERROR(IF(COUNTIFS(tbl_Finance[Job Number],C380&amp;"",tbl_Finance[Xero Invoice No],LOOKUP(2,1/((tbl_Finance[Job Number]&amp;""=C380&amp;"")*(tbl_Finance[Xero Invoice No]&lt;&gt;"")),tbl_Finance[Xero Invoice No]))=COUNTIFS(tbl_Finance[Job Number],C380&amp;"",tbl_Finance[Xero Invoice No],"&lt;&gt;"),LOOKUP(2,1/((tbl_Finance[Job Number]&amp;""=C380&amp;"")*(tbl_Finance[Xero Invoice No]&lt;&gt;"")),tbl_Finance[Xero Invoice No]),LOOKUP(2,1/((tbl_Finance[Job Number]&amp;""=C380&amp;"")*(tbl_Finance[Xero Invoice No]&lt;&gt;"")),tbl_Finance[Xero Invoice No])&amp;" +more"),"")))</f>
        <v/>
      </c>
      <c r="C380" s="24" t="n"/>
      <c r="D380" s="25">
        <f>IF(C380="","",IF(COUNTIF(lst_Jobs,C380&amp;"")&gt;0,"OK","CHECK"))</f>
        <v/>
      </c>
      <c r="E380" s="25">
        <f>IF(C380="","",IFERROR(INDEX(lst_JobName,MATCH(C380&amp;"",lst_Jobs,0)),""))</f>
        <v/>
      </c>
      <c r="F380" s="25">
        <f>IF(C380="","",IFERROR(INDEX(tbl_Finance[Client],IFERROR(MATCH(C380&amp;"",tbl_Finance[Job Number],0),MATCH(IFERROR(C380+0,C380),tbl_Finance[Job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6" t="n"/>
      <c r="L380" s="27">
        <f>IF(C380="","",IF(K380="",0,MAX(0,K380-H380)))</f>
        <v/>
      </c>
      <c r="M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N380" s="24" t="n"/>
      <c r="O380" s="24" t="n"/>
      <c r="P380" s="25">
        <f>IF(O380="","",HYPERLINK(IF(LEFT(O380,4)="http",O380,set_QwilrBase&amp;O380),"Open quote"))</f>
        <v/>
      </c>
      <c r="Q380" s="71" t="n"/>
      <c r="R380" s="24" t="n"/>
      <c r="S380" s="24" t="n"/>
    </row>
    <row r="381" ht="15" customHeight="1">
      <c r="A381" s="70">
        <f>IF(C381="","",IFERROR(IF(SUMPRODUCT(MAX((tbl_Finance[Job Number]&amp;""=C381&amp;"")*(tbl_Finance[Xero Invoice No]&lt;&gt;"")*tbl_Finance[Date]))=0,"",SUMPRODUCT(MAX((tbl_Finance[Job Number]&amp;""=C381&amp;"")*(tbl_Finance[Xero Invoice No]&lt;&gt;"")*tbl_Finance[Date]))),""))</f>
        <v/>
      </c>
      <c r="B381" s="25">
        <f>IF(C381="","",IF(COUNTIFS(tbl_Finance[Job Number],C381&amp;"",tbl_Finance[Xero Invoice No],"&lt;&gt;")=0,"",IFERROR(IF(COUNTIFS(tbl_Finance[Job Number],C381&amp;"",tbl_Finance[Xero Invoice No],LOOKUP(2,1/((tbl_Finance[Job Number]&amp;""=C381&amp;"")*(tbl_Finance[Xero Invoice No]&lt;&gt;"")),tbl_Finance[Xero Invoice No]))=COUNTIFS(tbl_Finance[Job Number],C381&amp;"",tbl_Finance[Xero Invoice No],"&lt;&gt;"),LOOKUP(2,1/((tbl_Finance[Job Number]&amp;""=C381&amp;"")*(tbl_Finance[Xero Invoice No]&lt;&gt;"")),tbl_Finance[Xero Invoice No]),LOOKUP(2,1/((tbl_Finance[Job Number]&amp;""=C381&amp;"")*(tbl_Finance[Xero Invoice No]&lt;&gt;"")),tbl_Finance[Xero Invoice No])&amp;" +more"),"")))</f>
        <v/>
      </c>
      <c r="C381" s="24" t="n"/>
      <c r="D381" s="25">
        <f>IF(C381="","",IF(COUNTIF(lst_Jobs,C381&amp;"")&gt;0,"OK","CHECK"))</f>
        <v/>
      </c>
      <c r="E381" s="25">
        <f>IF(C381="","",IFERROR(INDEX(lst_JobName,MATCH(C381&amp;"",lst_Jobs,0)),""))</f>
        <v/>
      </c>
      <c r="F381" s="25">
        <f>IF(C381="","",IFERROR(INDEX(tbl_Finance[Client],IFERROR(MATCH(C381&amp;"",tbl_Finance[Job Number],0),MATCH(IFERROR(C381+0,C381),tbl_Finance[Job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6" t="n"/>
      <c r="L381" s="27">
        <f>IF(C381="","",IF(K381="",0,MAX(0,K381-H381)))</f>
        <v/>
      </c>
      <c r="M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N381" s="24" t="n"/>
      <c r="O381" s="24" t="n"/>
      <c r="P381" s="25">
        <f>IF(O381="","",HYPERLINK(IF(LEFT(O381,4)="http",O381,set_QwilrBase&amp;O381),"Open quote"))</f>
        <v/>
      </c>
      <c r="Q381" s="71" t="n"/>
      <c r="R381" s="24" t="n"/>
      <c r="S381" s="24" t="n"/>
    </row>
    <row r="382" ht="15" customHeight="1">
      <c r="A382" s="70">
        <f>IF(C382="","",IFERROR(IF(SUMPRODUCT(MAX((tbl_Finance[Job Number]&amp;""=C382&amp;"")*(tbl_Finance[Xero Invoice No]&lt;&gt;"")*tbl_Finance[Date]))=0,"",SUMPRODUCT(MAX((tbl_Finance[Job Number]&amp;""=C382&amp;"")*(tbl_Finance[Xero Invoice No]&lt;&gt;"")*tbl_Finance[Date]))),""))</f>
        <v/>
      </c>
      <c r="B382" s="25">
        <f>IF(C382="","",IF(COUNTIFS(tbl_Finance[Job Number],C382&amp;"",tbl_Finance[Xero Invoice No],"&lt;&gt;")=0,"",IFERROR(IF(COUNTIFS(tbl_Finance[Job Number],C382&amp;"",tbl_Finance[Xero Invoice No],LOOKUP(2,1/((tbl_Finance[Job Number]&amp;""=C382&amp;"")*(tbl_Finance[Xero Invoice No]&lt;&gt;"")),tbl_Finance[Xero Invoice No]))=COUNTIFS(tbl_Finance[Job Number],C382&amp;"",tbl_Finance[Xero Invoice No],"&lt;&gt;"),LOOKUP(2,1/((tbl_Finance[Job Number]&amp;""=C382&amp;"")*(tbl_Finance[Xero Invoice No]&lt;&gt;"")),tbl_Finance[Xero Invoice No]),LOOKUP(2,1/((tbl_Finance[Job Number]&amp;""=C382&amp;"")*(tbl_Finance[Xero Invoice No]&lt;&gt;"")),tbl_Finance[Xero Invoice No])&amp;" +more"),"")))</f>
        <v/>
      </c>
      <c r="C382" s="24" t="n"/>
      <c r="D382" s="25">
        <f>IF(C382="","",IF(COUNTIF(lst_Jobs,C382&amp;"")&gt;0,"OK","CHECK"))</f>
        <v/>
      </c>
      <c r="E382" s="25">
        <f>IF(C382="","",IFERROR(INDEX(lst_JobName,MATCH(C382&amp;"",lst_Jobs,0)),""))</f>
        <v/>
      </c>
      <c r="F382" s="25">
        <f>IF(C382="","",IFERROR(INDEX(tbl_Finance[Client],IFERROR(MATCH(C382&amp;"",tbl_Finance[Job Number],0),MATCH(IFERROR(C382+0,C382),tbl_Finance[Job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6" t="n"/>
      <c r="L382" s="27">
        <f>IF(C382="","",IF(K382="",0,MAX(0,K382-H382)))</f>
        <v/>
      </c>
      <c r="M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N382" s="24" t="n"/>
      <c r="O382" s="24" t="n"/>
      <c r="P382" s="25">
        <f>IF(O382="","",HYPERLINK(IF(LEFT(O382,4)="http",O382,set_QwilrBase&amp;O382),"Open quote"))</f>
        <v/>
      </c>
      <c r="Q382" s="71" t="n"/>
      <c r="R382" s="24" t="n"/>
      <c r="S382" s="24" t="n"/>
    </row>
    <row r="383" ht="15" customHeight="1">
      <c r="A383" s="70">
        <f>IF(C383="","",IFERROR(IF(SUMPRODUCT(MAX((tbl_Finance[Job Number]&amp;""=C383&amp;"")*(tbl_Finance[Xero Invoice No]&lt;&gt;"")*tbl_Finance[Date]))=0,"",SUMPRODUCT(MAX((tbl_Finance[Job Number]&amp;""=C383&amp;"")*(tbl_Finance[Xero Invoice No]&lt;&gt;"")*tbl_Finance[Date]))),""))</f>
        <v/>
      </c>
      <c r="B383" s="25">
        <f>IF(C383="","",IF(COUNTIFS(tbl_Finance[Job Number],C383&amp;"",tbl_Finance[Xero Invoice No],"&lt;&gt;")=0,"",IFERROR(IF(COUNTIFS(tbl_Finance[Job Number],C383&amp;"",tbl_Finance[Xero Invoice No],LOOKUP(2,1/((tbl_Finance[Job Number]&amp;""=C383&amp;"")*(tbl_Finance[Xero Invoice No]&lt;&gt;"")),tbl_Finance[Xero Invoice No]))=COUNTIFS(tbl_Finance[Job Number],C383&amp;"",tbl_Finance[Xero Invoice No],"&lt;&gt;"),LOOKUP(2,1/((tbl_Finance[Job Number]&amp;""=C383&amp;"")*(tbl_Finance[Xero Invoice No]&lt;&gt;"")),tbl_Finance[Xero Invoice No]),LOOKUP(2,1/((tbl_Finance[Job Number]&amp;""=C383&amp;"")*(tbl_Finance[Xero Invoice No]&lt;&gt;"")),tbl_Finance[Xero Invoice No])&amp;" +more"),"")))</f>
        <v/>
      </c>
      <c r="C383" s="24" t="n"/>
      <c r="D383" s="25">
        <f>IF(C383="","",IF(COUNTIF(lst_Jobs,C383&amp;"")&gt;0,"OK","CHECK"))</f>
        <v/>
      </c>
      <c r="E383" s="25">
        <f>IF(C383="","",IFERROR(INDEX(lst_JobName,MATCH(C383&amp;"",lst_Jobs,0)),""))</f>
        <v/>
      </c>
      <c r="F383" s="25">
        <f>IF(C383="","",IFERROR(INDEX(tbl_Finance[Client],IFERROR(MATCH(C383&amp;"",tbl_Finance[Job Number],0),MATCH(IFERROR(C383+0,C383),tbl_Finance[Job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6" t="n"/>
      <c r="L383" s="27">
        <f>IF(C383="","",IF(K383="",0,MAX(0,K383-H383)))</f>
        <v/>
      </c>
      <c r="M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N383" s="24" t="n"/>
      <c r="O383" s="24" t="n"/>
      <c r="P383" s="25">
        <f>IF(O383="","",HYPERLINK(IF(LEFT(O383,4)="http",O383,set_QwilrBase&amp;O383),"Open quote"))</f>
        <v/>
      </c>
      <c r="Q383" s="71" t="n"/>
      <c r="R383" s="24" t="n"/>
      <c r="S383" s="24" t="n"/>
    </row>
    <row r="384" ht="15" customHeight="1">
      <c r="A384" s="70">
        <f>IF(C384="","",IFERROR(IF(SUMPRODUCT(MAX((tbl_Finance[Job Number]&amp;""=C384&amp;"")*(tbl_Finance[Xero Invoice No]&lt;&gt;"")*tbl_Finance[Date]))=0,"",SUMPRODUCT(MAX((tbl_Finance[Job Number]&amp;""=C384&amp;"")*(tbl_Finance[Xero Invoice No]&lt;&gt;"")*tbl_Finance[Date]))),""))</f>
        <v/>
      </c>
      <c r="B384" s="25">
        <f>IF(C384="","",IF(COUNTIFS(tbl_Finance[Job Number],C384&amp;"",tbl_Finance[Xero Invoice No],"&lt;&gt;")=0,"",IFERROR(IF(COUNTIFS(tbl_Finance[Job Number],C384&amp;"",tbl_Finance[Xero Invoice No],LOOKUP(2,1/((tbl_Finance[Job Number]&amp;""=C384&amp;"")*(tbl_Finance[Xero Invoice No]&lt;&gt;"")),tbl_Finance[Xero Invoice No]))=COUNTIFS(tbl_Finance[Job Number],C384&amp;"",tbl_Finance[Xero Invoice No],"&lt;&gt;"),LOOKUP(2,1/((tbl_Finance[Job Number]&amp;""=C384&amp;"")*(tbl_Finance[Xero Invoice No]&lt;&gt;"")),tbl_Finance[Xero Invoice No]),LOOKUP(2,1/((tbl_Finance[Job Number]&amp;""=C384&amp;"")*(tbl_Finance[Xero Invoice No]&lt;&gt;"")),tbl_Finance[Xero Invoice No])&amp;" +more"),"")))</f>
        <v/>
      </c>
      <c r="C384" s="24" t="n"/>
      <c r="D384" s="25">
        <f>IF(C384="","",IF(COUNTIF(lst_Jobs,C384&amp;"")&gt;0,"OK","CHECK"))</f>
        <v/>
      </c>
      <c r="E384" s="25">
        <f>IF(C384="","",IFERROR(INDEX(lst_JobName,MATCH(C384&amp;"",lst_Jobs,0)),""))</f>
        <v/>
      </c>
      <c r="F384" s="25">
        <f>IF(C384="","",IFERROR(INDEX(tbl_Finance[Client],IFERROR(MATCH(C384&amp;"",tbl_Finance[Job Number],0),MATCH(IFERROR(C384+0,C384),tbl_Finance[Job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6" t="n"/>
      <c r="L384" s="27">
        <f>IF(C384="","",IF(K384="",0,MAX(0,K384-H384)))</f>
        <v/>
      </c>
      <c r="M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N384" s="24" t="n"/>
      <c r="O384" s="24" t="n"/>
      <c r="P384" s="25">
        <f>IF(O384="","",HYPERLINK(IF(LEFT(O384,4)="http",O384,set_QwilrBase&amp;O384),"Open quote"))</f>
        <v/>
      </c>
      <c r="Q384" s="71" t="n"/>
      <c r="R384" s="24" t="n"/>
      <c r="S384" s="24" t="n"/>
    </row>
    <row r="385" ht="15" customHeight="1">
      <c r="A385" s="70">
        <f>IF(C385="","",IFERROR(IF(SUMPRODUCT(MAX((tbl_Finance[Job Number]&amp;""=C385&amp;"")*(tbl_Finance[Xero Invoice No]&lt;&gt;"")*tbl_Finance[Date]))=0,"",SUMPRODUCT(MAX((tbl_Finance[Job Number]&amp;""=C385&amp;"")*(tbl_Finance[Xero Invoice No]&lt;&gt;"")*tbl_Finance[Date]))),""))</f>
        <v/>
      </c>
      <c r="B385" s="25">
        <f>IF(C385="","",IF(COUNTIFS(tbl_Finance[Job Number],C385&amp;"",tbl_Finance[Xero Invoice No],"&lt;&gt;")=0,"",IFERROR(IF(COUNTIFS(tbl_Finance[Job Number],C385&amp;"",tbl_Finance[Xero Invoice No],LOOKUP(2,1/((tbl_Finance[Job Number]&amp;""=C385&amp;"")*(tbl_Finance[Xero Invoice No]&lt;&gt;"")),tbl_Finance[Xero Invoice No]))=COUNTIFS(tbl_Finance[Job Number],C385&amp;"",tbl_Finance[Xero Invoice No],"&lt;&gt;"),LOOKUP(2,1/((tbl_Finance[Job Number]&amp;""=C385&amp;"")*(tbl_Finance[Xero Invoice No]&lt;&gt;"")),tbl_Finance[Xero Invoice No]),LOOKUP(2,1/((tbl_Finance[Job Number]&amp;""=C385&amp;"")*(tbl_Finance[Xero Invoice No]&lt;&gt;"")),tbl_Finance[Xero Invoice No])&amp;" +more"),"")))</f>
        <v/>
      </c>
      <c r="C385" s="24" t="n"/>
      <c r="D385" s="25">
        <f>IF(C385="","",IF(COUNTIF(lst_Jobs,C385&amp;"")&gt;0,"OK","CHECK"))</f>
        <v/>
      </c>
      <c r="E385" s="25">
        <f>IF(C385="","",IFERROR(INDEX(lst_JobName,MATCH(C385&amp;"",lst_Jobs,0)),""))</f>
        <v/>
      </c>
      <c r="F385" s="25">
        <f>IF(C385="","",IFERROR(INDEX(tbl_Finance[Client],IFERROR(MATCH(C385&amp;"",tbl_Finance[Job Number],0),MATCH(IFERROR(C385+0,C385),tbl_Finance[Job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6" t="n"/>
      <c r="L385" s="27">
        <f>IF(C385="","",IF(K385="",0,MAX(0,K385-H385)))</f>
        <v/>
      </c>
      <c r="M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N385" s="24" t="n"/>
      <c r="O385" s="24" t="n"/>
      <c r="P385" s="25">
        <f>IF(O385="","",HYPERLINK(IF(LEFT(O385,4)="http",O385,set_QwilrBase&amp;O385),"Open quote"))</f>
        <v/>
      </c>
      <c r="Q385" s="71" t="n"/>
      <c r="R385" s="24" t="n"/>
      <c r="S385" s="24" t="n"/>
    </row>
    <row r="386" ht="15" customHeight="1">
      <c r="A386" s="70">
        <f>IF(C386="","",IFERROR(IF(SUMPRODUCT(MAX((tbl_Finance[Job Number]&amp;""=C386&amp;"")*(tbl_Finance[Xero Invoice No]&lt;&gt;"")*tbl_Finance[Date]))=0,"",SUMPRODUCT(MAX((tbl_Finance[Job Number]&amp;""=C386&amp;"")*(tbl_Finance[Xero Invoice No]&lt;&gt;"")*tbl_Finance[Date]))),""))</f>
        <v/>
      </c>
      <c r="B386" s="25">
        <f>IF(C386="","",IF(COUNTIFS(tbl_Finance[Job Number],C386&amp;"",tbl_Finance[Xero Invoice No],"&lt;&gt;")=0,"",IFERROR(IF(COUNTIFS(tbl_Finance[Job Number],C386&amp;"",tbl_Finance[Xero Invoice No],LOOKUP(2,1/((tbl_Finance[Job Number]&amp;""=C386&amp;"")*(tbl_Finance[Xero Invoice No]&lt;&gt;"")),tbl_Finance[Xero Invoice No]))=COUNTIFS(tbl_Finance[Job Number],C386&amp;"",tbl_Finance[Xero Invoice No],"&lt;&gt;"),LOOKUP(2,1/((tbl_Finance[Job Number]&amp;""=C386&amp;"")*(tbl_Finance[Xero Invoice No]&lt;&gt;"")),tbl_Finance[Xero Invoice No]),LOOKUP(2,1/((tbl_Finance[Job Number]&amp;""=C386&amp;"")*(tbl_Finance[Xero Invoice No]&lt;&gt;"")),tbl_Finance[Xero Invoice No])&amp;" +more"),"")))</f>
        <v/>
      </c>
      <c r="C386" s="24" t="n"/>
      <c r="D386" s="25">
        <f>IF(C386="","",IF(COUNTIF(lst_Jobs,C386&amp;"")&gt;0,"OK","CHECK"))</f>
        <v/>
      </c>
      <c r="E386" s="25">
        <f>IF(C386="","",IFERROR(INDEX(lst_JobName,MATCH(C386&amp;"",lst_Jobs,0)),""))</f>
        <v/>
      </c>
      <c r="F386" s="25">
        <f>IF(C386="","",IFERROR(INDEX(tbl_Finance[Client],IFERROR(MATCH(C386&amp;"",tbl_Finance[Job Number],0),MATCH(IFERROR(C386+0,C386),tbl_Finance[Job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6" t="n"/>
      <c r="L386" s="27">
        <f>IF(C386="","",IF(K386="",0,MAX(0,K386-H386)))</f>
        <v/>
      </c>
      <c r="M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N386" s="24" t="n"/>
      <c r="O386" s="24" t="n"/>
      <c r="P386" s="25">
        <f>IF(O386="","",HYPERLINK(IF(LEFT(O386,4)="http",O386,set_QwilrBase&amp;O386),"Open quote"))</f>
        <v/>
      </c>
      <c r="Q386" s="71" t="n"/>
      <c r="R386" s="24" t="n"/>
      <c r="S386" s="24" t="n"/>
    </row>
    <row r="387" ht="15" customHeight="1">
      <c r="A387" s="70">
        <f>IF(C387="","",IFERROR(IF(SUMPRODUCT(MAX((tbl_Finance[Job Number]&amp;""=C387&amp;"")*(tbl_Finance[Xero Invoice No]&lt;&gt;"")*tbl_Finance[Date]))=0,"",SUMPRODUCT(MAX((tbl_Finance[Job Number]&amp;""=C387&amp;"")*(tbl_Finance[Xero Invoice No]&lt;&gt;"")*tbl_Finance[Date]))),""))</f>
        <v/>
      </c>
      <c r="B387" s="25">
        <f>IF(C387="","",IF(COUNTIFS(tbl_Finance[Job Number],C387&amp;"",tbl_Finance[Xero Invoice No],"&lt;&gt;")=0,"",IFERROR(IF(COUNTIFS(tbl_Finance[Job Number],C387&amp;"",tbl_Finance[Xero Invoice No],LOOKUP(2,1/((tbl_Finance[Job Number]&amp;""=C387&amp;"")*(tbl_Finance[Xero Invoice No]&lt;&gt;"")),tbl_Finance[Xero Invoice No]))=COUNTIFS(tbl_Finance[Job Number],C387&amp;"",tbl_Finance[Xero Invoice No],"&lt;&gt;"),LOOKUP(2,1/((tbl_Finance[Job Number]&amp;""=C387&amp;"")*(tbl_Finance[Xero Invoice No]&lt;&gt;"")),tbl_Finance[Xero Invoice No]),LOOKUP(2,1/((tbl_Finance[Job Number]&amp;""=C387&amp;"")*(tbl_Finance[Xero Invoice No]&lt;&gt;"")),tbl_Finance[Xero Invoice No])&amp;" +more"),"")))</f>
        <v/>
      </c>
      <c r="C387" s="24" t="n"/>
      <c r="D387" s="25">
        <f>IF(C387="","",IF(COUNTIF(lst_Jobs,C387&amp;"")&gt;0,"OK","CHECK"))</f>
        <v/>
      </c>
      <c r="E387" s="25">
        <f>IF(C387="","",IFERROR(INDEX(lst_JobName,MATCH(C387&amp;"",lst_Jobs,0)),""))</f>
        <v/>
      </c>
      <c r="F387" s="25">
        <f>IF(C387="","",IFERROR(INDEX(tbl_Finance[Client],IFERROR(MATCH(C387&amp;"",tbl_Finance[Job Number],0),MATCH(IFERROR(C387+0,C387),tbl_Finance[Job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6" t="n"/>
      <c r="L387" s="27">
        <f>IF(C387="","",IF(K387="",0,MAX(0,K387-H387)))</f>
        <v/>
      </c>
      <c r="M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N387" s="24" t="n"/>
      <c r="O387" s="24" t="n"/>
      <c r="P387" s="25">
        <f>IF(O387="","",HYPERLINK(IF(LEFT(O387,4)="http",O387,set_QwilrBase&amp;O387),"Open quote"))</f>
        <v/>
      </c>
      <c r="Q387" s="71" t="n"/>
      <c r="R387" s="24" t="n"/>
      <c r="S387" s="24" t="n"/>
    </row>
    <row r="388" ht="15" customHeight="1">
      <c r="A388" s="70">
        <f>IF(C388="","",IFERROR(IF(SUMPRODUCT(MAX((tbl_Finance[Job Number]&amp;""=C388&amp;"")*(tbl_Finance[Xero Invoice No]&lt;&gt;"")*tbl_Finance[Date]))=0,"",SUMPRODUCT(MAX((tbl_Finance[Job Number]&amp;""=C388&amp;"")*(tbl_Finance[Xero Invoice No]&lt;&gt;"")*tbl_Finance[Date]))),""))</f>
        <v/>
      </c>
      <c r="B388" s="25">
        <f>IF(C388="","",IF(COUNTIFS(tbl_Finance[Job Number],C388&amp;"",tbl_Finance[Xero Invoice No],"&lt;&gt;")=0,"",IFERROR(IF(COUNTIFS(tbl_Finance[Job Number],C388&amp;"",tbl_Finance[Xero Invoice No],LOOKUP(2,1/((tbl_Finance[Job Number]&amp;""=C388&amp;"")*(tbl_Finance[Xero Invoice No]&lt;&gt;"")),tbl_Finance[Xero Invoice No]))=COUNTIFS(tbl_Finance[Job Number],C388&amp;"",tbl_Finance[Xero Invoice No],"&lt;&gt;"),LOOKUP(2,1/((tbl_Finance[Job Number]&amp;""=C388&amp;"")*(tbl_Finance[Xero Invoice No]&lt;&gt;"")),tbl_Finance[Xero Invoice No]),LOOKUP(2,1/((tbl_Finance[Job Number]&amp;""=C388&amp;"")*(tbl_Finance[Xero Invoice No]&lt;&gt;"")),tbl_Finance[Xero Invoice No])&amp;" +more"),"")))</f>
        <v/>
      </c>
      <c r="C388" s="24" t="n"/>
      <c r="D388" s="25">
        <f>IF(C388="","",IF(COUNTIF(lst_Jobs,C388&amp;"")&gt;0,"OK","CHECK"))</f>
        <v/>
      </c>
      <c r="E388" s="25">
        <f>IF(C388="","",IFERROR(INDEX(lst_JobName,MATCH(C388&amp;"",lst_Jobs,0)),""))</f>
        <v/>
      </c>
      <c r="F388" s="25">
        <f>IF(C388="","",IFERROR(INDEX(tbl_Finance[Client],IFERROR(MATCH(C388&amp;"",tbl_Finance[Job Number],0),MATCH(IFERROR(C388+0,C388),tbl_Finance[Job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6" t="n"/>
      <c r="L388" s="27">
        <f>IF(C388="","",IF(K388="",0,MAX(0,K388-H388)))</f>
        <v/>
      </c>
      <c r="M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N388" s="24" t="n"/>
      <c r="O388" s="24" t="n"/>
      <c r="P388" s="25">
        <f>IF(O388="","",HYPERLINK(IF(LEFT(O388,4)="http",O388,set_QwilrBase&amp;O388),"Open quote"))</f>
        <v/>
      </c>
      <c r="Q388" s="71" t="n"/>
      <c r="R388" s="24" t="n"/>
      <c r="S388" s="24" t="n"/>
    </row>
    <row r="389" ht="15" customHeight="1">
      <c r="A389" s="70">
        <f>IF(C389="","",IFERROR(IF(SUMPRODUCT(MAX((tbl_Finance[Job Number]&amp;""=C389&amp;"")*(tbl_Finance[Xero Invoice No]&lt;&gt;"")*tbl_Finance[Date]))=0,"",SUMPRODUCT(MAX((tbl_Finance[Job Number]&amp;""=C389&amp;"")*(tbl_Finance[Xero Invoice No]&lt;&gt;"")*tbl_Finance[Date]))),""))</f>
        <v/>
      </c>
      <c r="B389" s="25">
        <f>IF(C389="","",IF(COUNTIFS(tbl_Finance[Job Number],C389&amp;"",tbl_Finance[Xero Invoice No],"&lt;&gt;")=0,"",IFERROR(IF(COUNTIFS(tbl_Finance[Job Number],C389&amp;"",tbl_Finance[Xero Invoice No],LOOKUP(2,1/((tbl_Finance[Job Number]&amp;""=C389&amp;"")*(tbl_Finance[Xero Invoice No]&lt;&gt;"")),tbl_Finance[Xero Invoice No]))=COUNTIFS(tbl_Finance[Job Number],C389&amp;"",tbl_Finance[Xero Invoice No],"&lt;&gt;"),LOOKUP(2,1/((tbl_Finance[Job Number]&amp;""=C389&amp;"")*(tbl_Finance[Xero Invoice No]&lt;&gt;"")),tbl_Finance[Xero Invoice No]),LOOKUP(2,1/((tbl_Finance[Job Number]&amp;""=C389&amp;"")*(tbl_Finance[Xero Invoice No]&lt;&gt;"")),tbl_Finance[Xero Invoice No])&amp;" +more"),"")))</f>
        <v/>
      </c>
      <c r="C389" s="24" t="n"/>
      <c r="D389" s="25">
        <f>IF(C389="","",IF(COUNTIF(lst_Jobs,C389&amp;"")&gt;0,"OK","CHECK"))</f>
        <v/>
      </c>
      <c r="E389" s="25">
        <f>IF(C389="","",IFERROR(INDEX(lst_JobName,MATCH(C389&amp;"",lst_Jobs,0)),""))</f>
        <v/>
      </c>
      <c r="F389" s="25">
        <f>IF(C389="","",IFERROR(INDEX(tbl_Finance[Client],IFERROR(MATCH(C389&amp;"",tbl_Finance[Job Number],0),MATCH(IFERROR(C389+0,C389),tbl_Finance[Job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6" t="n"/>
      <c r="L389" s="27">
        <f>IF(C389="","",IF(K389="",0,MAX(0,K389-H389)))</f>
        <v/>
      </c>
      <c r="M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N389" s="24" t="n"/>
      <c r="O389" s="24" t="n"/>
      <c r="P389" s="25">
        <f>IF(O389="","",HYPERLINK(IF(LEFT(O389,4)="http",O389,set_QwilrBase&amp;O389),"Open quote"))</f>
        <v/>
      </c>
      <c r="Q389" s="71" t="n"/>
      <c r="R389" s="24" t="n"/>
      <c r="S389" s="24" t="n"/>
    </row>
    <row r="390" ht="15" customHeight="1">
      <c r="A390" s="70">
        <f>IF(C390="","",IFERROR(IF(SUMPRODUCT(MAX((tbl_Finance[Job Number]&amp;""=C390&amp;"")*(tbl_Finance[Xero Invoice No]&lt;&gt;"")*tbl_Finance[Date]))=0,"",SUMPRODUCT(MAX((tbl_Finance[Job Number]&amp;""=C390&amp;"")*(tbl_Finance[Xero Invoice No]&lt;&gt;"")*tbl_Finance[Date]))),""))</f>
        <v/>
      </c>
      <c r="B390" s="25">
        <f>IF(C390="","",IF(COUNTIFS(tbl_Finance[Job Number],C390&amp;"",tbl_Finance[Xero Invoice No],"&lt;&gt;")=0,"",IFERROR(IF(COUNTIFS(tbl_Finance[Job Number],C390&amp;"",tbl_Finance[Xero Invoice No],LOOKUP(2,1/((tbl_Finance[Job Number]&amp;""=C390&amp;"")*(tbl_Finance[Xero Invoice No]&lt;&gt;"")),tbl_Finance[Xero Invoice No]))=COUNTIFS(tbl_Finance[Job Number],C390&amp;"",tbl_Finance[Xero Invoice No],"&lt;&gt;"),LOOKUP(2,1/((tbl_Finance[Job Number]&amp;""=C390&amp;"")*(tbl_Finance[Xero Invoice No]&lt;&gt;"")),tbl_Finance[Xero Invoice No]),LOOKUP(2,1/((tbl_Finance[Job Number]&amp;""=C390&amp;"")*(tbl_Finance[Xero Invoice No]&lt;&gt;"")),tbl_Finance[Xero Invoice No])&amp;" +more"),"")))</f>
        <v/>
      </c>
      <c r="C390" s="24" t="n"/>
      <c r="D390" s="25">
        <f>IF(C390="","",IF(COUNTIF(lst_Jobs,C390&amp;"")&gt;0,"OK","CHECK"))</f>
        <v/>
      </c>
      <c r="E390" s="25">
        <f>IF(C390="","",IFERROR(INDEX(lst_JobName,MATCH(C390&amp;"",lst_Jobs,0)),""))</f>
        <v/>
      </c>
      <c r="F390" s="25">
        <f>IF(C390="","",IFERROR(INDEX(tbl_Finance[Client],IFERROR(MATCH(C390&amp;"",tbl_Finance[Job Number],0),MATCH(IFERROR(C390+0,C390),tbl_Finance[Job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6" t="n"/>
      <c r="L390" s="27">
        <f>IF(C390="","",IF(K390="",0,MAX(0,K390-H390)))</f>
        <v/>
      </c>
      <c r="M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N390" s="24" t="n"/>
      <c r="O390" s="24" t="n"/>
      <c r="P390" s="25">
        <f>IF(O390="","",HYPERLINK(IF(LEFT(O390,4)="http",O390,set_QwilrBase&amp;O390),"Open quote"))</f>
        <v/>
      </c>
      <c r="Q390" s="71" t="n"/>
      <c r="R390" s="24" t="n"/>
      <c r="S390" s="24" t="n"/>
    </row>
    <row r="391" ht="15" customHeight="1">
      <c r="A391" s="70">
        <f>IF(C391="","",IFERROR(IF(SUMPRODUCT(MAX((tbl_Finance[Job Number]&amp;""=C391&amp;"")*(tbl_Finance[Xero Invoice No]&lt;&gt;"")*tbl_Finance[Date]))=0,"",SUMPRODUCT(MAX((tbl_Finance[Job Number]&amp;""=C391&amp;"")*(tbl_Finance[Xero Invoice No]&lt;&gt;"")*tbl_Finance[Date]))),""))</f>
        <v/>
      </c>
      <c r="B391" s="25">
        <f>IF(C391="","",IF(COUNTIFS(tbl_Finance[Job Number],C391&amp;"",tbl_Finance[Xero Invoice No],"&lt;&gt;")=0,"",IFERROR(IF(COUNTIFS(tbl_Finance[Job Number],C391&amp;"",tbl_Finance[Xero Invoice No],LOOKUP(2,1/((tbl_Finance[Job Number]&amp;""=C391&amp;"")*(tbl_Finance[Xero Invoice No]&lt;&gt;"")),tbl_Finance[Xero Invoice No]))=COUNTIFS(tbl_Finance[Job Number],C391&amp;"",tbl_Finance[Xero Invoice No],"&lt;&gt;"),LOOKUP(2,1/((tbl_Finance[Job Number]&amp;""=C391&amp;"")*(tbl_Finance[Xero Invoice No]&lt;&gt;"")),tbl_Finance[Xero Invoice No]),LOOKUP(2,1/((tbl_Finance[Job Number]&amp;""=C391&amp;"")*(tbl_Finance[Xero Invoice No]&lt;&gt;"")),tbl_Finance[Xero Invoice No])&amp;" +more"),"")))</f>
        <v/>
      </c>
      <c r="C391" s="24" t="n"/>
      <c r="D391" s="25">
        <f>IF(C391="","",IF(COUNTIF(lst_Jobs,C391&amp;"")&gt;0,"OK","CHECK"))</f>
        <v/>
      </c>
      <c r="E391" s="25">
        <f>IF(C391="","",IFERROR(INDEX(lst_JobName,MATCH(C391&amp;"",lst_Jobs,0)),""))</f>
        <v/>
      </c>
      <c r="F391" s="25">
        <f>IF(C391="","",IFERROR(INDEX(tbl_Finance[Client],IFERROR(MATCH(C391&amp;"",tbl_Finance[Job Number],0),MATCH(IFERROR(C391+0,C391),tbl_Finance[Job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6" t="n"/>
      <c r="L391" s="27">
        <f>IF(C391="","",IF(K391="",0,MAX(0,K391-H391)))</f>
        <v/>
      </c>
      <c r="M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N391" s="24" t="n"/>
      <c r="O391" s="24" t="n"/>
      <c r="P391" s="25">
        <f>IF(O391="","",HYPERLINK(IF(LEFT(O391,4)="http",O391,set_QwilrBase&amp;O391),"Open quote"))</f>
        <v/>
      </c>
      <c r="Q391" s="71" t="n"/>
      <c r="R391" s="24" t="n"/>
      <c r="S391" s="24" t="n"/>
    </row>
    <row r="392" ht="15" customHeight="1">
      <c r="A392" s="70">
        <f>IF(C392="","",IFERROR(IF(SUMPRODUCT(MAX((tbl_Finance[Job Number]&amp;""=C392&amp;"")*(tbl_Finance[Xero Invoice No]&lt;&gt;"")*tbl_Finance[Date]))=0,"",SUMPRODUCT(MAX((tbl_Finance[Job Number]&amp;""=C392&amp;"")*(tbl_Finance[Xero Invoice No]&lt;&gt;"")*tbl_Finance[Date]))),""))</f>
        <v/>
      </c>
      <c r="B392" s="25">
        <f>IF(C392="","",IF(COUNTIFS(tbl_Finance[Job Number],C392&amp;"",tbl_Finance[Xero Invoice No],"&lt;&gt;")=0,"",IFERROR(IF(COUNTIFS(tbl_Finance[Job Number],C392&amp;"",tbl_Finance[Xero Invoice No],LOOKUP(2,1/((tbl_Finance[Job Number]&amp;""=C392&amp;"")*(tbl_Finance[Xero Invoice No]&lt;&gt;"")),tbl_Finance[Xero Invoice No]))=COUNTIFS(tbl_Finance[Job Number],C392&amp;"",tbl_Finance[Xero Invoice No],"&lt;&gt;"),LOOKUP(2,1/((tbl_Finance[Job Number]&amp;""=C392&amp;"")*(tbl_Finance[Xero Invoice No]&lt;&gt;"")),tbl_Finance[Xero Invoice No]),LOOKUP(2,1/((tbl_Finance[Job Number]&amp;""=C392&amp;"")*(tbl_Finance[Xero Invoice No]&lt;&gt;"")),tbl_Finance[Xero Invoice No])&amp;" +more"),"")))</f>
        <v/>
      </c>
      <c r="C392" s="24" t="n"/>
      <c r="D392" s="25">
        <f>IF(C392="","",IF(COUNTIF(lst_Jobs,C392&amp;"")&gt;0,"OK","CHECK"))</f>
        <v/>
      </c>
      <c r="E392" s="25">
        <f>IF(C392="","",IFERROR(INDEX(lst_JobName,MATCH(C392&amp;"",lst_Jobs,0)),""))</f>
        <v/>
      </c>
      <c r="F392" s="25">
        <f>IF(C392="","",IFERROR(INDEX(tbl_Finance[Client],IFERROR(MATCH(C392&amp;"",tbl_Finance[Job Number],0),MATCH(IFERROR(C392+0,C392),tbl_Finance[Job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6" t="n"/>
      <c r="L392" s="27">
        <f>IF(C392="","",IF(K392="",0,MAX(0,K392-H392)))</f>
        <v/>
      </c>
      <c r="M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N392" s="24" t="n"/>
      <c r="O392" s="24" t="n"/>
      <c r="P392" s="25">
        <f>IF(O392="","",HYPERLINK(IF(LEFT(O392,4)="http",O392,set_QwilrBase&amp;O392),"Open quote"))</f>
        <v/>
      </c>
      <c r="Q392" s="71" t="n"/>
      <c r="R392" s="24" t="n"/>
      <c r="S392" s="24" t="n"/>
    </row>
    <row r="393" ht="15" customHeight="1">
      <c r="A393" s="70">
        <f>IF(C393="","",IFERROR(IF(SUMPRODUCT(MAX((tbl_Finance[Job Number]&amp;""=C393&amp;"")*(tbl_Finance[Xero Invoice No]&lt;&gt;"")*tbl_Finance[Date]))=0,"",SUMPRODUCT(MAX((tbl_Finance[Job Number]&amp;""=C393&amp;"")*(tbl_Finance[Xero Invoice No]&lt;&gt;"")*tbl_Finance[Date]))),""))</f>
        <v/>
      </c>
      <c r="B393" s="25">
        <f>IF(C393="","",IF(COUNTIFS(tbl_Finance[Job Number],C393&amp;"",tbl_Finance[Xero Invoice No],"&lt;&gt;")=0,"",IFERROR(IF(COUNTIFS(tbl_Finance[Job Number],C393&amp;"",tbl_Finance[Xero Invoice No],LOOKUP(2,1/((tbl_Finance[Job Number]&amp;""=C393&amp;"")*(tbl_Finance[Xero Invoice No]&lt;&gt;"")),tbl_Finance[Xero Invoice No]))=COUNTIFS(tbl_Finance[Job Number],C393&amp;"",tbl_Finance[Xero Invoice No],"&lt;&gt;"),LOOKUP(2,1/((tbl_Finance[Job Number]&amp;""=C393&amp;"")*(tbl_Finance[Xero Invoice No]&lt;&gt;"")),tbl_Finance[Xero Invoice No]),LOOKUP(2,1/((tbl_Finance[Job Number]&amp;""=C393&amp;"")*(tbl_Finance[Xero Invoice No]&lt;&gt;"")),tbl_Finance[Xero Invoice No])&amp;" +more"),"")))</f>
        <v/>
      </c>
      <c r="C393" s="24" t="n"/>
      <c r="D393" s="25">
        <f>IF(C393="","",IF(COUNTIF(lst_Jobs,C393&amp;"")&gt;0,"OK","CHECK"))</f>
        <v/>
      </c>
      <c r="E393" s="25">
        <f>IF(C393="","",IFERROR(INDEX(lst_JobName,MATCH(C393&amp;"",lst_Jobs,0)),""))</f>
        <v/>
      </c>
      <c r="F393" s="25">
        <f>IF(C393="","",IFERROR(INDEX(tbl_Finance[Client],IFERROR(MATCH(C393&amp;"",tbl_Finance[Job Number],0),MATCH(IFERROR(C393+0,C393),tbl_Finance[Job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6" t="n"/>
      <c r="L393" s="27">
        <f>IF(C393="","",IF(K393="",0,MAX(0,K393-H393)))</f>
        <v/>
      </c>
      <c r="M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N393" s="24" t="n"/>
      <c r="O393" s="24" t="n"/>
      <c r="P393" s="25">
        <f>IF(O393="","",HYPERLINK(IF(LEFT(O393,4)="http",O393,set_QwilrBase&amp;O393),"Open quote"))</f>
        <v/>
      </c>
      <c r="Q393" s="71" t="n"/>
      <c r="R393" s="24" t="n"/>
      <c r="S393" s="24" t="n"/>
    </row>
    <row r="394" ht="15" customHeight="1">
      <c r="A394" s="70">
        <f>IF(C394="","",IFERROR(IF(SUMPRODUCT(MAX((tbl_Finance[Job Number]&amp;""=C394&amp;"")*(tbl_Finance[Xero Invoice No]&lt;&gt;"")*tbl_Finance[Date]))=0,"",SUMPRODUCT(MAX((tbl_Finance[Job Number]&amp;""=C394&amp;"")*(tbl_Finance[Xero Invoice No]&lt;&gt;"")*tbl_Finance[Date]))),""))</f>
        <v/>
      </c>
      <c r="B394" s="25">
        <f>IF(C394="","",IF(COUNTIFS(tbl_Finance[Job Number],C394&amp;"",tbl_Finance[Xero Invoice No],"&lt;&gt;")=0,"",IFERROR(IF(COUNTIFS(tbl_Finance[Job Number],C394&amp;"",tbl_Finance[Xero Invoice No],LOOKUP(2,1/((tbl_Finance[Job Number]&amp;""=C394&amp;"")*(tbl_Finance[Xero Invoice No]&lt;&gt;"")),tbl_Finance[Xero Invoice No]))=COUNTIFS(tbl_Finance[Job Number],C394&amp;"",tbl_Finance[Xero Invoice No],"&lt;&gt;"),LOOKUP(2,1/((tbl_Finance[Job Number]&amp;""=C394&amp;"")*(tbl_Finance[Xero Invoice No]&lt;&gt;"")),tbl_Finance[Xero Invoice No]),LOOKUP(2,1/((tbl_Finance[Job Number]&amp;""=C394&amp;"")*(tbl_Finance[Xero Invoice No]&lt;&gt;"")),tbl_Finance[Xero Invoice No])&amp;" +more"),"")))</f>
        <v/>
      </c>
      <c r="C394" s="24" t="n"/>
      <c r="D394" s="25">
        <f>IF(C394="","",IF(COUNTIF(lst_Jobs,C394&amp;"")&gt;0,"OK","CHECK"))</f>
        <v/>
      </c>
      <c r="E394" s="25">
        <f>IF(C394="","",IFERROR(INDEX(lst_JobName,MATCH(C394&amp;"",lst_Jobs,0)),""))</f>
        <v/>
      </c>
      <c r="F394" s="25">
        <f>IF(C394="","",IFERROR(INDEX(tbl_Finance[Client],IFERROR(MATCH(C394&amp;"",tbl_Finance[Job Number],0),MATCH(IFERROR(C394+0,C394),tbl_Finance[Job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6" t="n"/>
      <c r="L394" s="27">
        <f>IF(C394="","",IF(K394="",0,MAX(0,K394-H394)))</f>
        <v/>
      </c>
      <c r="M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N394" s="24" t="n"/>
      <c r="O394" s="24" t="n"/>
      <c r="P394" s="25">
        <f>IF(O394="","",HYPERLINK(IF(LEFT(O394,4)="http",O394,set_QwilrBase&amp;O394),"Open quote"))</f>
        <v/>
      </c>
      <c r="Q394" s="71" t="n"/>
      <c r="R394" s="24" t="n"/>
      <c r="S394" s="24" t="n"/>
    </row>
    <row r="395" ht="15" customHeight="1">
      <c r="A395" s="70">
        <f>IF(C395="","",IFERROR(IF(SUMPRODUCT(MAX((tbl_Finance[Job Number]&amp;""=C395&amp;"")*(tbl_Finance[Xero Invoice No]&lt;&gt;"")*tbl_Finance[Date]))=0,"",SUMPRODUCT(MAX((tbl_Finance[Job Number]&amp;""=C395&amp;"")*(tbl_Finance[Xero Invoice No]&lt;&gt;"")*tbl_Finance[Date]))),""))</f>
        <v/>
      </c>
      <c r="B395" s="25">
        <f>IF(C395="","",IF(COUNTIFS(tbl_Finance[Job Number],C395&amp;"",tbl_Finance[Xero Invoice No],"&lt;&gt;")=0,"",IFERROR(IF(COUNTIFS(tbl_Finance[Job Number],C395&amp;"",tbl_Finance[Xero Invoice No],LOOKUP(2,1/((tbl_Finance[Job Number]&amp;""=C395&amp;"")*(tbl_Finance[Xero Invoice No]&lt;&gt;"")),tbl_Finance[Xero Invoice No]))=COUNTIFS(tbl_Finance[Job Number],C395&amp;"",tbl_Finance[Xero Invoice No],"&lt;&gt;"),LOOKUP(2,1/((tbl_Finance[Job Number]&amp;""=C395&amp;"")*(tbl_Finance[Xero Invoice No]&lt;&gt;"")),tbl_Finance[Xero Invoice No]),LOOKUP(2,1/((tbl_Finance[Job Number]&amp;""=C395&amp;"")*(tbl_Finance[Xero Invoice No]&lt;&gt;"")),tbl_Finance[Xero Invoice No])&amp;" +more"),"")))</f>
        <v/>
      </c>
      <c r="C395" s="24" t="n"/>
      <c r="D395" s="25">
        <f>IF(C395="","",IF(COUNTIF(lst_Jobs,C395&amp;"")&gt;0,"OK","CHECK"))</f>
        <v/>
      </c>
      <c r="E395" s="25">
        <f>IF(C395="","",IFERROR(INDEX(lst_JobName,MATCH(C395&amp;"",lst_Jobs,0)),""))</f>
        <v/>
      </c>
      <c r="F395" s="25">
        <f>IF(C395="","",IFERROR(INDEX(tbl_Finance[Client],IFERROR(MATCH(C395&amp;"",tbl_Finance[Job Number],0),MATCH(IFERROR(C395+0,C395),tbl_Finance[Job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6" t="n"/>
      <c r="L395" s="27">
        <f>IF(C395="","",IF(K395="",0,MAX(0,K395-H395)))</f>
        <v/>
      </c>
      <c r="M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N395" s="24" t="n"/>
      <c r="O395" s="24" t="n"/>
      <c r="P395" s="25">
        <f>IF(O395="","",HYPERLINK(IF(LEFT(O395,4)="http",O395,set_QwilrBase&amp;O395),"Open quote"))</f>
        <v/>
      </c>
      <c r="Q395" s="71" t="n"/>
      <c r="R395" s="24" t="n"/>
      <c r="S395" s="24" t="n"/>
    </row>
    <row r="396" ht="15" customHeight="1">
      <c r="A396" s="70">
        <f>IF(C396="","",IFERROR(IF(SUMPRODUCT(MAX((tbl_Finance[Job Number]&amp;""=C396&amp;"")*(tbl_Finance[Xero Invoice No]&lt;&gt;"")*tbl_Finance[Date]))=0,"",SUMPRODUCT(MAX((tbl_Finance[Job Number]&amp;""=C396&amp;"")*(tbl_Finance[Xero Invoice No]&lt;&gt;"")*tbl_Finance[Date]))),""))</f>
        <v/>
      </c>
      <c r="B396" s="25">
        <f>IF(C396="","",IF(COUNTIFS(tbl_Finance[Job Number],C396&amp;"",tbl_Finance[Xero Invoice No],"&lt;&gt;")=0,"",IFERROR(IF(COUNTIFS(tbl_Finance[Job Number],C396&amp;"",tbl_Finance[Xero Invoice No],LOOKUP(2,1/((tbl_Finance[Job Number]&amp;""=C396&amp;"")*(tbl_Finance[Xero Invoice No]&lt;&gt;"")),tbl_Finance[Xero Invoice No]))=COUNTIFS(tbl_Finance[Job Number],C396&amp;"",tbl_Finance[Xero Invoice No],"&lt;&gt;"),LOOKUP(2,1/((tbl_Finance[Job Number]&amp;""=C396&amp;"")*(tbl_Finance[Xero Invoice No]&lt;&gt;"")),tbl_Finance[Xero Invoice No]),LOOKUP(2,1/((tbl_Finance[Job Number]&amp;""=C396&amp;"")*(tbl_Finance[Xero Invoice No]&lt;&gt;"")),tbl_Finance[Xero Invoice No])&amp;" +more"),"")))</f>
        <v/>
      </c>
      <c r="C396" s="24" t="n"/>
      <c r="D396" s="25">
        <f>IF(C396="","",IF(COUNTIF(lst_Jobs,C396&amp;"")&gt;0,"OK","CHECK"))</f>
        <v/>
      </c>
      <c r="E396" s="25">
        <f>IF(C396="","",IFERROR(INDEX(lst_JobName,MATCH(C396&amp;"",lst_Jobs,0)),""))</f>
        <v/>
      </c>
      <c r="F396" s="25">
        <f>IF(C396="","",IFERROR(INDEX(tbl_Finance[Client],IFERROR(MATCH(C396&amp;"",tbl_Finance[Job Number],0),MATCH(IFERROR(C396+0,C396),tbl_Finance[Job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6" t="n"/>
      <c r="L396" s="27">
        <f>IF(C396="","",IF(K396="",0,MAX(0,K396-H396)))</f>
        <v/>
      </c>
      <c r="M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N396" s="24" t="n"/>
      <c r="O396" s="24" t="n"/>
      <c r="P396" s="25">
        <f>IF(O396="","",HYPERLINK(IF(LEFT(O396,4)="http",O396,set_QwilrBase&amp;O396),"Open quote"))</f>
        <v/>
      </c>
      <c r="Q396" s="71" t="n"/>
      <c r="R396" s="24" t="n"/>
      <c r="S396" s="24" t="n"/>
    </row>
    <row r="397" ht="15" customHeight="1">
      <c r="A397" s="70">
        <f>IF(C397="","",IFERROR(IF(SUMPRODUCT(MAX((tbl_Finance[Job Number]&amp;""=C397&amp;"")*(tbl_Finance[Xero Invoice No]&lt;&gt;"")*tbl_Finance[Date]))=0,"",SUMPRODUCT(MAX((tbl_Finance[Job Number]&amp;""=C397&amp;"")*(tbl_Finance[Xero Invoice No]&lt;&gt;"")*tbl_Finance[Date]))),""))</f>
        <v/>
      </c>
      <c r="B397" s="25">
        <f>IF(C397="","",IF(COUNTIFS(tbl_Finance[Job Number],C397&amp;"",tbl_Finance[Xero Invoice No],"&lt;&gt;")=0,"",IFERROR(IF(COUNTIFS(tbl_Finance[Job Number],C397&amp;"",tbl_Finance[Xero Invoice No],LOOKUP(2,1/((tbl_Finance[Job Number]&amp;""=C397&amp;"")*(tbl_Finance[Xero Invoice No]&lt;&gt;"")),tbl_Finance[Xero Invoice No]))=COUNTIFS(tbl_Finance[Job Number],C397&amp;"",tbl_Finance[Xero Invoice No],"&lt;&gt;"),LOOKUP(2,1/((tbl_Finance[Job Number]&amp;""=C397&amp;"")*(tbl_Finance[Xero Invoice No]&lt;&gt;"")),tbl_Finance[Xero Invoice No]),LOOKUP(2,1/((tbl_Finance[Job Number]&amp;""=C397&amp;"")*(tbl_Finance[Xero Invoice No]&lt;&gt;"")),tbl_Finance[Xero Invoice No])&amp;" +more"),"")))</f>
        <v/>
      </c>
      <c r="C397" s="24" t="n"/>
      <c r="D397" s="25">
        <f>IF(C397="","",IF(COUNTIF(lst_Jobs,C397&amp;"")&gt;0,"OK","CHECK"))</f>
        <v/>
      </c>
      <c r="E397" s="25">
        <f>IF(C397="","",IFERROR(INDEX(lst_JobName,MATCH(C397&amp;"",lst_Jobs,0)),""))</f>
        <v/>
      </c>
      <c r="F397" s="25">
        <f>IF(C397="","",IFERROR(INDEX(tbl_Finance[Client],IFERROR(MATCH(C397&amp;"",tbl_Finance[Job Number],0),MATCH(IFERROR(C397+0,C397),tbl_Finance[Job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6" t="n"/>
      <c r="L397" s="27">
        <f>IF(C397="","",IF(K397="",0,MAX(0,K397-H397)))</f>
        <v/>
      </c>
      <c r="M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N397" s="24" t="n"/>
      <c r="O397" s="24" t="n"/>
      <c r="P397" s="25">
        <f>IF(O397="","",HYPERLINK(IF(LEFT(O397,4)="http",O397,set_QwilrBase&amp;O397),"Open quote"))</f>
        <v/>
      </c>
      <c r="Q397" s="71" t="n"/>
      <c r="R397" s="24" t="n"/>
      <c r="S397" s="24" t="n"/>
    </row>
    <row r="398" ht="15" customHeight="1">
      <c r="A398" s="70">
        <f>IF(C398="","",IFERROR(IF(SUMPRODUCT(MAX((tbl_Finance[Job Number]&amp;""=C398&amp;"")*(tbl_Finance[Xero Invoice No]&lt;&gt;"")*tbl_Finance[Date]))=0,"",SUMPRODUCT(MAX((tbl_Finance[Job Number]&amp;""=C398&amp;"")*(tbl_Finance[Xero Invoice No]&lt;&gt;"")*tbl_Finance[Date]))),""))</f>
        <v/>
      </c>
      <c r="B398" s="25">
        <f>IF(C398="","",IF(COUNTIFS(tbl_Finance[Job Number],C398&amp;"",tbl_Finance[Xero Invoice No],"&lt;&gt;")=0,"",IFERROR(IF(COUNTIFS(tbl_Finance[Job Number],C398&amp;"",tbl_Finance[Xero Invoice No],LOOKUP(2,1/((tbl_Finance[Job Number]&amp;""=C398&amp;"")*(tbl_Finance[Xero Invoice No]&lt;&gt;"")),tbl_Finance[Xero Invoice No]))=COUNTIFS(tbl_Finance[Job Number],C398&amp;"",tbl_Finance[Xero Invoice No],"&lt;&gt;"),LOOKUP(2,1/((tbl_Finance[Job Number]&amp;""=C398&amp;"")*(tbl_Finance[Xero Invoice No]&lt;&gt;"")),tbl_Finance[Xero Invoice No]),LOOKUP(2,1/((tbl_Finance[Job Number]&amp;""=C398&amp;"")*(tbl_Finance[Xero Invoice No]&lt;&gt;"")),tbl_Finance[Xero Invoice No])&amp;" +more"),"")))</f>
        <v/>
      </c>
      <c r="C398" s="24" t="n"/>
      <c r="D398" s="25">
        <f>IF(C398="","",IF(COUNTIF(lst_Jobs,C398&amp;"")&gt;0,"OK","CHECK"))</f>
        <v/>
      </c>
      <c r="E398" s="25">
        <f>IF(C398="","",IFERROR(INDEX(lst_JobName,MATCH(C398&amp;"",lst_Jobs,0)),""))</f>
        <v/>
      </c>
      <c r="F398" s="25">
        <f>IF(C398="","",IFERROR(INDEX(tbl_Finance[Client],IFERROR(MATCH(C398&amp;"",tbl_Finance[Job Number],0),MATCH(IFERROR(C398+0,C398),tbl_Finance[Job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6" t="n"/>
      <c r="L398" s="27">
        <f>IF(C398="","",IF(K398="",0,MAX(0,K398-H398)))</f>
        <v/>
      </c>
      <c r="M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N398" s="24" t="n"/>
      <c r="O398" s="24" t="n"/>
      <c r="P398" s="25">
        <f>IF(O398="","",HYPERLINK(IF(LEFT(O398,4)="http",O398,set_QwilrBase&amp;O398),"Open quote"))</f>
        <v/>
      </c>
      <c r="Q398" s="71" t="n"/>
      <c r="R398" s="24" t="n"/>
      <c r="S398" s="24" t="n"/>
    </row>
    <row r="399" ht="15" customHeight="1">
      <c r="A399" s="70">
        <f>IF(C399="","",IFERROR(IF(SUMPRODUCT(MAX((tbl_Finance[Job Number]&amp;""=C399&amp;"")*(tbl_Finance[Xero Invoice No]&lt;&gt;"")*tbl_Finance[Date]))=0,"",SUMPRODUCT(MAX((tbl_Finance[Job Number]&amp;""=C399&amp;"")*(tbl_Finance[Xero Invoice No]&lt;&gt;"")*tbl_Finance[Date]))),""))</f>
        <v/>
      </c>
      <c r="B399" s="25">
        <f>IF(C399="","",IF(COUNTIFS(tbl_Finance[Job Number],C399&amp;"",tbl_Finance[Xero Invoice No],"&lt;&gt;")=0,"",IFERROR(IF(COUNTIFS(tbl_Finance[Job Number],C399&amp;"",tbl_Finance[Xero Invoice No],LOOKUP(2,1/((tbl_Finance[Job Number]&amp;""=C399&amp;"")*(tbl_Finance[Xero Invoice No]&lt;&gt;"")),tbl_Finance[Xero Invoice No]))=COUNTIFS(tbl_Finance[Job Number],C399&amp;"",tbl_Finance[Xero Invoice No],"&lt;&gt;"),LOOKUP(2,1/((tbl_Finance[Job Number]&amp;""=C399&amp;"")*(tbl_Finance[Xero Invoice No]&lt;&gt;"")),tbl_Finance[Xero Invoice No]),LOOKUP(2,1/((tbl_Finance[Job Number]&amp;""=C399&amp;"")*(tbl_Finance[Xero Invoice No]&lt;&gt;"")),tbl_Finance[Xero Invoice No])&amp;" +more"),"")))</f>
        <v/>
      </c>
      <c r="C399" s="24" t="n"/>
      <c r="D399" s="25">
        <f>IF(C399="","",IF(COUNTIF(lst_Jobs,C399&amp;"")&gt;0,"OK","CHECK"))</f>
        <v/>
      </c>
      <c r="E399" s="25">
        <f>IF(C399="","",IFERROR(INDEX(lst_JobName,MATCH(C399&amp;"",lst_Jobs,0)),""))</f>
        <v/>
      </c>
      <c r="F399" s="25">
        <f>IF(C399="","",IFERROR(INDEX(tbl_Finance[Client],IFERROR(MATCH(C399&amp;"",tbl_Finance[Job Number],0),MATCH(IFERROR(C399+0,C399),tbl_Finance[Job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6" t="n"/>
      <c r="L399" s="27">
        <f>IF(C399="","",IF(K399="",0,MAX(0,K399-H399)))</f>
        <v/>
      </c>
      <c r="M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N399" s="24" t="n"/>
      <c r="O399" s="24" t="n"/>
      <c r="P399" s="25">
        <f>IF(O399="","",HYPERLINK(IF(LEFT(O399,4)="http",O399,set_QwilrBase&amp;O399),"Open quote"))</f>
        <v/>
      </c>
      <c r="Q399" s="71" t="n"/>
      <c r="R399" s="24" t="n"/>
      <c r="S399" s="24" t="n"/>
    </row>
    <row r="400" ht="15" customHeight="1">
      <c r="A400" s="70">
        <f>IF(C400="","",IFERROR(IF(SUMPRODUCT(MAX((tbl_Finance[Job Number]&amp;""=C400&amp;"")*(tbl_Finance[Xero Invoice No]&lt;&gt;"")*tbl_Finance[Date]))=0,"",SUMPRODUCT(MAX((tbl_Finance[Job Number]&amp;""=C400&amp;"")*(tbl_Finance[Xero Invoice No]&lt;&gt;"")*tbl_Finance[Date]))),""))</f>
        <v/>
      </c>
      <c r="B400" s="25">
        <f>IF(C400="","",IF(COUNTIFS(tbl_Finance[Job Number],C400&amp;"",tbl_Finance[Xero Invoice No],"&lt;&gt;")=0,"",IFERROR(IF(COUNTIFS(tbl_Finance[Job Number],C400&amp;"",tbl_Finance[Xero Invoice No],LOOKUP(2,1/((tbl_Finance[Job Number]&amp;""=C400&amp;"")*(tbl_Finance[Xero Invoice No]&lt;&gt;"")),tbl_Finance[Xero Invoice No]))=COUNTIFS(tbl_Finance[Job Number],C400&amp;"",tbl_Finance[Xero Invoice No],"&lt;&gt;"),LOOKUP(2,1/((tbl_Finance[Job Number]&amp;""=C400&amp;"")*(tbl_Finance[Xero Invoice No]&lt;&gt;"")),tbl_Finance[Xero Invoice No]),LOOKUP(2,1/((tbl_Finance[Job Number]&amp;""=C400&amp;"")*(tbl_Finance[Xero Invoice No]&lt;&gt;"")),tbl_Finance[Xero Invoice No])&amp;" +more"),"")))</f>
        <v/>
      </c>
      <c r="C400" s="24" t="n"/>
      <c r="D400" s="25">
        <f>IF(C400="","",IF(COUNTIF(lst_Jobs,C400&amp;"")&gt;0,"OK","CHECK"))</f>
        <v/>
      </c>
      <c r="E400" s="25">
        <f>IF(C400="","",IFERROR(INDEX(lst_JobName,MATCH(C400&amp;"",lst_Jobs,0)),""))</f>
        <v/>
      </c>
      <c r="F400" s="25">
        <f>IF(C400="","",IFERROR(INDEX(tbl_Finance[Client],IFERROR(MATCH(C400&amp;"",tbl_Finance[Job Number],0),MATCH(IFERROR(C400+0,C400),tbl_Finance[Job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6" t="n"/>
      <c r="L400" s="27">
        <f>IF(C400="","",IF(K400="",0,MAX(0,K400-H400)))</f>
        <v/>
      </c>
      <c r="M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N400" s="24" t="n"/>
      <c r="O400" s="24" t="n"/>
      <c r="P400" s="25">
        <f>IF(O400="","",HYPERLINK(IF(LEFT(O400,4)="http",O400,set_QwilrBase&amp;O400),"Open quote"))</f>
        <v/>
      </c>
      <c r="Q400" s="71" t="n"/>
      <c r="R400" s="24" t="n"/>
      <c r="S400" s="24" t="n"/>
    </row>
    <row r="401" ht="15" customHeight="1">
      <c r="A401" s="70">
        <f>IF(C401="","",IFERROR(IF(SUMPRODUCT(MAX((tbl_Finance[Job Number]&amp;""=C401&amp;"")*(tbl_Finance[Xero Invoice No]&lt;&gt;"")*tbl_Finance[Date]))=0,"",SUMPRODUCT(MAX((tbl_Finance[Job Number]&amp;""=C401&amp;"")*(tbl_Finance[Xero Invoice No]&lt;&gt;"")*tbl_Finance[Date]))),""))</f>
        <v/>
      </c>
      <c r="B401" s="25">
        <f>IF(C401="","",IF(COUNTIFS(tbl_Finance[Job Number],C401&amp;"",tbl_Finance[Xero Invoice No],"&lt;&gt;")=0,"",IFERROR(IF(COUNTIFS(tbl_Finance[Job Number],C401&amp;"",tbl_Finance[Xero Invoice No],LOOKUP(2,1/((tbl_Finance[Job Number]&amp;""=C401&amp;"")*(tbl_Finance[Xero Invoice No]&lt;&gt;"")),tbl_Finance[Xero Invoice No]))=COUNTIFS(tbl_Finance[Job Number],C401&amp;"",tbl_Finance[Xero Invoice No],"&lt;&gt;"),LOOKUP(2,1/((tbl_Finance[Job Number]&amp;""=C401&amp;"")*(tbl_Finance[Xero Invoice No]&lt;&gt;"")),tbl_Finance[Xero Invoice No]),LOOKUP(2,1/((tbl_Finance[Job Number]&amp;""=C401&amp;"")*(tbl_Finance[Xero Invoice No]&lt;&gt;"")),tbl_Finance[Xero Invoice No])&amp;" +more"),"")))</f>
        <v/>
      </c>
      <c r="C401" s="24" t="n"/>
      <c r="D401" s="25">
        <f>IF(C401="","",IF(COUNTIF(lst_Jobs,C401&amp;"")&gt;0,"OK","CHECK"))</f>
        <v/>
      </c>
      <c r="E401" s="25">
        <f>IF(C401="","",IFERROR(INDEX(lst_JobName,MATCH(C401&amp;"",lst_Jobs,0)),""))</f>
        <v/>
      </c>
      <c r="F401" s="25">
        <f>IF(C401="","",IFERROR(INDEX(tbl_Finance[Client],IFERROR(MATCH(C401&amp;"",tbl_Finance[Job Number],0),MATCH(IFERROR(C401+0,C401),tbl_Finance[Job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6" t="n"/>
      <c r="L401" s="27">
        <f>IF(C401="","",IF(K401="",0,MAX(0,K401-H401)))</f>
        <v/>
      </c>
      <c r="M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N401" s="24" t="n"/>
      <c r="O401" s="24" t="n"/>
      <c r="P401" s="25">
        <f>IF(O401="","",HYPERLINK(IF(LEFT(O401,4)="http",O401,set_QwilrBase&amp;O401),"Open quote"))</f>
        <v/>
      </c>
      <c r="Q401" s="71" t="n"/>
      <c r="R401" s="24" t="n"/>
      <c r="S401" s="24" t="n"/>
    </row>
    <row r="402" ht="15" customHeight="1">
      <c r="A402" s="70">
        <f>IF(C402="","",IFERROR(IF(SUMPRODUCT(MAX((tbl_Finance[Job Number]&amp;""=C402&amp;"")*(tbl_Finance[Xero Invoice No]&lt;&gt;"")*tbl_Finance[Date]))=0,"",SUMPRODUCT(MAX((tbl_Finance[Job Number]&amp;""=C402&amp;"")*(tbl_Finance[Xero Invoice No]&lt;&gt;"")*tbl_Finance[Date]))),""))</f>
        <v/>
      </c>
      <c r="B402" s="25">
        <f>IF(C402="","",IF(COUNTIFS(tbl_Finance[Job Number],C402&amp;"",tbl_Finance[Xero Invoice No],"&lt;&gt;")=0,"",IFERROR(IF(COUNTIFS(tbl_Finance[Job Number],C402&amp;"",tbl_Finance[Xero Invoice No],LOOKUP(2,1/((tbl_Finance[Job Number]&amp;""=C402&amp;"")*(tbl_Finance[Xero Invoice No]&lt;&gt;"")),tbl_Finance[Xero Invoice No]))=COUNTIFS(tbl_Finance[Job Number],C402&amp;"",tbl_Finance[Xero Invoice No],"&lt;&gt;"),LOOKUP(2,1/((tbl_Finance[Job Number]&amp;""=C402&amp;"")*(tbl_Finance[Xero Invoice No]&lt;&gt;"")),tbl_Finance[Xero Invoice No]),LOOKUP(2,1/((tbl_Finance[Job Number]&amp;""=C402&amp;"")*(tbl_Finance[Xero Invoice No]&lt;&gt;"")),tbl_Finance[Xero Invoice No])&amp;" +more"),"")))</f>
        <v/>
      </c>
      <c r="C402" s="24" t="n"/>
      <c r="D402" s="25">
        <f>IF(C402="","",IF(COUNTIF(lst_Jobs,C402&amp;"")&gt;0,"OK","CHECK"))</f>
        <v/>
      </c>
      <c r="E402" s="25">
        <f>IF(C402="","",IFERROR(INDEX(lst_JobName,MATCH(C402&amp;"",lst_Jobs,0)),""))</f>
        <v/>
      </c>
      <c r="F402" s="25">
        <f>IF(C402="","",IFERROR(INDEX(tbl_Finance[Client],IFERROR(MATCH(C402&amp;"",tbl_Finance[Job Number],0),MATCH(IFERROR(C402+0,C402),tbl_Finance[Job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6" t="n"/>
      <c r="L402" s="27">
        <f>IF(C402="","",IF(K402="",0,MAX(0,K402-H402)))</f>
        <v/>
      </c>
      <c r="M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N402" s="24" t="n"/>
      <c r="O402" s="24" t="n"/>
      <c r="P402" s="25">
        <f>IF(O402="","",HYPERLINK(IF(LEFT(O402,4)="http",O402,set_QwilrBase&amp;O402),"Open quote"))</f>
        <v/>
      </c>
      <c r="Q402" s="71" t="n"/>
      <c r="R402" s="24" t="n"/>
      <c r="S402" s="24" t="n"/>
    </row>
    <row r="403" ht="15" customHeight="1">
      <c r="A403" s="70">
        <f>IF(C403="","",IFERROR(IF(SUMPRODUCT(MAX((tbl_Finance[Job Number]&amp;""=C403&amp;"")*(tbl_Finance[Xero Invoice No]&lt;&gt;"")*tbl_Finance[Date]))=0,"",SUMPRODUCT(MAX((tbl_Finance[Job Number]&amp;""=C403&amp;"")*(tbl_Finance[Xero Invoice No]&lt;&gt;"")*tbl_Finance[Date]))),""))</f>
        <v/>
      </c>
      <c r="B403" s="25">
        <f>IF(C403="","",IF(COUNTIFS(tbl_Finance[Job Number],C403&amp;"",tbl_Finance[Xero Invoice No],"&lt;&gt;")=0,"",IFERROR(IF(COUNTIFS(tbl_Finance[Job Number],C403&amp;"",tbl_Finance[Xero Invoice No],LOOKUP(2,1/((tbl_Finance[Job Number]&amp;""=C403&amp;"")*(tbl_Finance[Xero Invoice No]&lt;&gt;"")),tbl_Finance[Xero Invoice No]))=COUNTIFS(tbl_Finance[Job Number],C403&amp;"",tbl_Finance[Xero Invoice No],"&lt;&gt;"),LOOKUP(2,1/((tbl_Finance[Job Number]&amp;""=C403&amp;"")*(tbl_Finance[Xero Invoice No]&lt;&gt;"")),tbl_Finance[Xero Invoice No]),LOOKUP(2,1/((tbl_Finance[Job Number]&amp;""=C403&amp;"")*(tbl_Finance[Xero Invoice No]&lt;&gt;"")),tbl_Finance[Xero Invoice No])&amp;" +more"),"")))</f>
        <v/>
      </c>
      <c r="C403" s="24" t="n"/>
      <c r="D403" s="25">
        <f>IF(C403="","",IF(COUNTIF(lst_Jobs,C403&amp;"")&gt;0,"OK","CHECK"))</f>
        <v/>
      </c>
      <c r="E403" s="25">
        <f>IF(C403="","",IFERROR(INDEX(lst_JobName,MATCH(C403&amp;"",lst_Jobs,0)),""))</f>
        <v/>
      </c>
      <c r="F403" s="25">
        <f>IF(C403="","",IFERROR(INDEX(tbl_Finance[Client],IFERROR(MATCH(C403&amp;"",tbl_Finance[Job Number],0),MATCH(IFERROR(C403+0,C403),tbl_Finance[Job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6" t="n"/>
      <c r="L403" s="27">
        <f>IF(C403="","",IF(K403="",0,MAX(0,K403-H403)))</f>
        <v/>
      </c>
      <c r="M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N403" s="24" t="n"/>
      <c r="O403" s="24" t="n"/>
      <c r="P403" s="25">
        <f>IF(O403="","",HYPERLINK(IF(LEFT(O403,4)="http",O403,set_QwilrBase&amp;O403),"Open quote"))</f>
        <v/>
      </c>
      <c r="Q403" s="71" t="n"/>
      <c r="R403" s="24" t="n"/>
      <c r="S403" s="24" t="n"/>
    </row>
    <row r="404" ht="15" customHeight="1">
      <c r="A404" s="70">
        <f>IF(C404="","",IFERROR(IF(SUMPRODUCT(MAX((tbl_Finance[Job Number]&amp;""=C404&amp;"")*(tbl_Finance[Xero Invoice No]&lt;&gt;"")*tbl_Finance[Date]))=0,"",SUMPRODUCT(MAX((tbl_Finance[Job Number]&amp;""=C404&amp;"")*(tbl_Finance[Xero Invoice No]&lt;&gt;"")*tbl_Finance[Date]))),""))</f>
        <v/>
      </c>
      <c r="B404" s="25">
        <f>IF(C404="","",IF(COUNTIFS(tbl_Finance[Job Number],C404&amp;"",tbl_Finance[Xero Invoice No],"&lt;&gt;")=0,"",IFERROR(IF(COUNTIFS(tbl_Finance[Job Number],C404&amp;"",tbl_Finance[Xero Invoice No],LOOKUP(2,1/((tbl_Finance[Job Number]&amp;""=C404&amp;"")*(tbl_Finance[Xero Invoice No]&lt;&gt;"")),tbl_Finance[Xero Invoice No]))=COUNTIFS(tbl_Finance[Job Number],C404&amp;"",tbl_Finance[Xero Invoice No],"&lt;&gt;"),LOOKUP(2,1/((tbl_Finance[Job Number]&amp;""=C404&amp;"")*(tbl_Finance[Xero Invoice No]&lt;&gt;"")),tbl_Finance[Xero Invoice No]),LOOKUP(2,1/((tbl_Finance[Job Number]&amp;""=C404&amp;"")*(tbl_Finance[Xero Invoice No]&lt;&gt;"")),tbl_Finance[Xero Invoice No])&amp;" +more"),"")))</f>
        <v/>
      </c>
      <c r="C404" s="24" t="n"/>
      <c r="D404" s="25">
        <f>IF(C404="","",IF(COUNTIF(lst_Jobs,C404&amp;"")&gt;0,"OK","CHECK"))</f>
        <v/>
      </c>
      <c r="E404" s="25">
        <f>IF(C404="","",IFERROR(INDEX(lst_JobName,MATCH(C404&amp;"",lst_Jobs,0)),""))</f>
        <v/>
      </c>
      <c r="F404" s="25">
        <f>IF(C404="","",IFERROR(INDEX(tbl_Finance[Client],IFERROR(MATCH(C404&amp;"",tbl_Finance[Job Number],0),MATCH(IFERROR(C404+0,C404),tbl_Finance[Job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6" t="n"/>
      <c r="L404" s="27">
        <f>IF(C404="","",IF(K404="",0,MAX(0,K404-H404)))</f>
        <v/>
      </c>
      <c r="M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N404" s="24" t="n"/>
      <c r="O404" s="24" t="n"/>
      <c r="P404" s="25">
        <f>IF(O404="","",HYPERLINK(IF(LEFT(O404,4)="http",O404,set_QwilrBase&amp;O404),"Open quote"))</f>
        <v/>
      </c>
      <c r="Q404" s="71" t="n"/>
      <c r="R404" s="24" t="n"/>
      <c r="S4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Q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21" customWidth="1" min="11" max="11"/>
    <col width="17" customWidth="1" min="12" max="12"/>
    <col width="16" customWidth="1" min="13" max="13"/>
    <col width="14" customWidth="1" min="14" max="14"/>
    <col width="18" customWidth="1" min="15" max="15"/>
    <col width="34" customWidth="1" min="16" max="16"/>
    <col width="30" customWidth="1" min="17" max="17"/>
    <col width="20" customWidth="1" min="18" max="18"/>
    <col width="12" customWidth="1" min="19" max="19"/>
    <col width="14" customWidth="1" min="20" max="20"/>
    <col width="18" customWidth="1" min="21" max="21"/>
    <col width="40" customWidth="1" min="22" max="22"/>
    <col width="14" customWidth="1" min="23" max="23"/>
    <col width="14" customWidth="1" min="24" max="24"/>
    <col width="11" customWidth="1" min="25" max="25"/>
    <col width="16" customWidth="1" min="26" max="26"/>
    <col width="20" customWidth="1" min="27" max="27"/>
    <col width="11" customWidth="1" min="28" max="28"/>
    <col width="17" customWidth="1" min="29" max="29"/>
    <col width="15" customWidth="1" min="30" max="30"/>
    <col width="18" customWidth="1" min="31" max="31"/>
    <col width="22" customWidth="1" min="32" max="32"/>
    <col width="14" customWidth="1" min="33" max="33"/>
    <col width="16" customWidth="1" min="34" max="34"/>
    <col width="14" customWidth="1" min="35" max="35"/>
    <col width="14" customWidth="1" min="36" max="36"/>
    <col width="10" customWidth="1" min="37" max="37"/>
    <col width="15" customWidth="1" min="38" max="38"/>
    <col width="15" customWidth="1" min="39" max="39"/>
    <col width="15" customWidth="1" min="40" max="40"/>
    <col width="19" customWidth="1" min="41" max="41"/>
    <col width="18" customWidth="1" min="42" max="42"/>
    <col width="38" customWidth="1" min="43" max="43"/>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0" t="inlineStr">
        <is>
          <t>Expected Revenue Ex GST</t>
        </is>
      </c>
      <c r="L4" s="21" t="inlineStr">
        <is>
          <t>Not Yet on Finance</t>
        </is>
      </c>
      <c r="M4" s="21" t="inlineStr">
        <is>
          <t>Cost Centres</t>
        </is>
      </c>
      <c r="N4" s="21" t="inlineStr">
        <is>
          <t>Total Inc GST</t>
        </is>
      </c>
      <c r="O4" s="20" t="inlineStr">
        <is>
          <t>Company</t>
        </is>
      </c>
      <c r="P4" s="21" t="inlineStr">
        <is>
          <t>Event Name</t>
        </is>
      </c>
      <c r="Q4" s="20" t="inlineStr">
        <is>
          <t>Client Email</t>
        </is>
      </c>
      <c r="R4" s="20" t="inlineStr">
        <is>
          <t>Event Grouping</t>
        </is>
      </c>
      <c r="S4" s="20" t="inlineStr">
        <is>
          <t>Event Date</t>
        </is>
      </c>
      <c r="T4" s="20" t="inlineStr">
        <is>
          <t>Current RMS No</t>
        </is>
      </c>
      <c r="U4" s="21" t="inlineStr">
        <is>
          <t>Open in Current RMS</t>
        </is>
      </c>
      <c r="V4" s="20" t="inlineStr">
        <is>
          <t>Qwilr Quote</t>
        </is>
      </c>
      <c r="W4" s="21" t="inlineStr">
        <is>
          <t>Open Qwilr</t>
        </is>
      </c>
      <c r="X4" s="21" t="inlineStr">
        <is>
          <t>Zoho Number</t>
        </is>
      </c>
      <c r="Y4" s="20" t="inlineStr">
        <is>
          <t>Job Closed</t>
        </is>
      </c>
      <c r="Z4" s="20" t="inlineStr">
        <is>
          <t>Discounts Given</t>
        </is>
      </c>
      <c r="AA4" s="21" t="inlineStr">
        <is>
          <t>Value Before Discount</t>
        </is>
      </c>
      <c r="AB4" s="21" t="inlineStr">
        <is>
          <t>Discount %</t>
        </is>
      </c>
      <c r="AC4" s="20" t="inlineStr">
        <is>
          <t>Cross Hire Expense</t>
        </is>
      </c>
      <c r="AD4" s="20" t="inlineStr">
        <is>
          <t>Conf. Call Costs</t>
        </is>
      </c>
      <c r="AE4" s="20" t="inlineStr">
        <is>
          <t>Transcription Costs</t>
        </is>
      </c>
      <c r="AF4" s="20" t="inlineStr">
        <is>
          <t>Labour Expense (Internal)</t>
        </is>
      </c>
      <c r="AG4" s="21" t="inlineStr">
        <is>
          <t>Video Revenue</t>
        </is>
      </c>
      <c r="AH4" s="21" t="inlineStr">
        <is>
          <t>Video % of Revenue</t>
        </is>
      </c>
      <c r="AI4" s="21" t="inlineStr">
        <is>
          <t>Total Expense</t>
        </is>
      </c>
      <c r="AJ4" s="21" t="inlineStr">
        <is>
          <t>Margin</t>
        </is>
      </c>
      <c r="AK4" s="21" t="inlineStr">
        <is>
          <t>Margin %</t>
        </is>
      </c>
      <c r="AL4" s="20" t="inlineStr">
        <is>
          <t>Video Filming Hrs</t>
        </is>
      </c>
      <c r="AM4" s="20" t="inlineStr">
        <is>
          <t>Video Editing Hrs</t>
        </is>
      </c>
      <c r="AN4" s="20" t="inlineStr">
        <is>
          <t>Project Mgmt Hrs</t>
        </is>
      </c>
      <c r="AO4" s="20" t="inlineStr">
        <is>
          <t>Video Project Mgmt Hrs</t>
        </is>
      </c>
      <c r="AP4" s="20" t="inlineStr">
        <is>
          <t>Production Labour Hrs</t>
        </is>
      </c>
      <c r="AQ4" s="20" t="inlineStr">
        <is>
          <t>Notes</t>
        </is>
      </c>
    </row>
    <row r="5" ht="15" customHeight="1">
      <c r="A5" s="70">
        <f>IF(C5="","",IFERROR(IF(SUMPRODUCT(MAX((tbl_Finance[Job Number]&amp;""=C5&amp;"")*(tbl_Finance[Xero Invoice No]&lt;&gt;"")*tbl_Finance[Date]))=0,"",SUMPRODUCT(MAX((tbl_Finance[Job Number]&amp;""=C5&amp;"")*(tbl_Finance[Xero Invoice No]&lt;&gt;"")*tbl_Finance[Date]))),""))</f>
        <v/>
      </c>
      <c r="B5" s="25">
        <f>IF(C5="","",IF(COUNTIFS(tbl_Finance[Job Number],C5&amp;"",tbl_Finance[Xero Invoice No],"&lt;&gt;")=0,"",IFERROR(IF(COUNTIFS(tbl_Finance[Job Number],C5&amp;"",tbl_Finance[Xero Invoice No],LOOKUP(2,1/((tbl_Finance[Job Number]&amp;""=C5&amp;"")*(tbl_Finance[Xero Invoice No]&lt;&gt;"")),tbl_Finance[Xero Invoice No]))=COUNTIFS(tbl_Finance[Job Number],C5&amp;"",tbl_Finance[Xero Invoice No],"&lt;&gt;"),LOOKUP(2,1/((tbl_Finance[Job Number]&amp;""=C5&amp;"")*(tbl_Finance[Xero Invoice No]&lt;&gt;"")),tbl_Finance[Xero Invoice No]),LOOKUP(2,1/((tbl_Finance[Job Number]&amp;""=C5&amp;"")*(tbl_Finance[Xero Invoice No]&lt;&gt;"")),tbl_Finance[Xero Invoice No])&amp;" +more"),"")))</f>
        <v/>
      </c>
      <c r="C5" s="24" t="n"/>
      <c r="D5" s="25">
        <f>IF(C5="","",IF(COUNTIF(lst_Jobs,C5&amp;"")&gt;0,"OK","CHECK"))</f>
        <v/>
      </c>
      <c r="E5" s="25">
        <f>IF(C5="","",IFERROR(INDEX(lst_JobName,MATCH(C5&amp;"",lst_Jobs,0)),""))</f>
        <v/>
      </c>
      <c r="F5" s="25">
        <f>IF(C5="","",IFERROR(INDEX(tbl_Finance[Client],IFERROR(MATCH(C5&amp;"",tbl_Finance[Job Number],0),MATCH(IFERROR(C5+0,C5),tbl_Finance[Job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6" t="n"/>
      <c r="L5" s="27">
        <f>IF(C5="","",IF(K5="",0,MAX(0,K5-H5)))</f>
        <v/>
      </c>
      <c r="M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N5" s="27">
        <f>IF(C5="","",SUMIFS(tbl_Finance[Inc GST],tbl_Finance[Job Number],C5&amp;""))</f>
        <v/>
      </c>
      <c r="O5" s="24" t="n"/>
      <c r="P5" s="25">
        <f>IF(C5="","",IFERROR(INDEX(tbl_Finance[Description],MATCH(C5&amp;"",tbl_Finance[Job Number],0)),""))</f>
        <v/>
      </c>
      <c r="Q5" s="24" t="n"/>
      <c r="R5" s="24" t="n"/>
      <c r="S5" s="22" t="n"/>
      <c r="T5" s="24" t="n"/>
      <c r="U5" s="25">
        <f>IF(T5="","",IF(AND(LEFT(T5,4)&lt;&gt;"http",set_RMSBase=""),"",HYPERLINK(IF(LEFT(T5,4)="http",T5,set_RMSBase&amp;T5),"Open opportunity")))</f>
        <v/>
      </c>
      <c r="V5" s="24" t="n"/>
      <c r="W5" s="25">
        <f>IF(V5="","",HYPERLINK(IF(LEFT(V5,4)="http",V5,set_QwilrBase&amp;V5),"Open quote"))</f>
        <v/>
      </c>
      <c r="X5" s="25">
        <f>IF(C5="","",C5)</f>
        <v/>
      </c>
      <c r="Y5" s="24" t="n"/>
      <c r="Z5" s="26" t="n"/>
      <c r="AA5" s="27">
        <f>IF(C5="","",H5+N(Z5))</f>
        <v/>
      </c>
      <c r="AB5" s="29">
        <f>IFERROR(Z5/AA5,"")</f>
        <v/>
      </c>
      <c r="AC5" s="26" t="n"/>
      <c r="AD5" s="26" t="n"/>
      <c r="AE5" s="26" t="n"/>
      <c r="AF5" s="26" t="n"/>
      <c r="AG5" s="27">
        <f>IF(C5="","",SUMIFS(tbl_Finance[Ex GST],tbl_Finance[Job Number],C5&amp;"",tbl_Finance[Cost Centre],"VIDEO"))</f>
        <v/>
      </c>
      <c r="AH5" s="29">
        <f>IFERROR(AG5/H5,"")</f>
        <v/>
      </c>
      <c r="AI5" s="27">
        <f>IF(C5="","",N(AC5)+N(AD5)+N(AE5)+N(AF5))</f>
        <v/>
      </c>
      <c r="AJ5" s="27">
        <f>IF(C5="","",H5+L5-AI5)</f>
        <v/>
      </c>
      <c r="AK5" s="29">
        <f>IFERROR(AJ5/(H5+L5),"")</f>
        <v/>
      </c>
      <c r="AL5" s="71" t="n"/>
      <c r="AM5" s="71" t="n"/>
      <c r="AN5" s="71" t="n"/>
      <c r="AO5" s="71" t="n"/>
      <c r="AP5" s="71" t="n"/>
      <c r="AQ5" s="24" t="n"/>
    </row>
    <row r="6" ht="15" customHeight="1">
      <c r="A6" s="70">
        <f>IF(C6="","",IFERROR(IF(SUMPRODUCT(MAX((tbl_Finance[Job Number]&amp;""=C6&amp;"")*(tbl_Finance[Xero Invoice No]&lt;&gt;"")*tbl_Finance[Date]))=0,"",SUMPRODUCT(MAX((tbl_Finance[Job Number]&amp;""=C6&amp;"")*(tbl_Finance[Xero Invoice No]&lt;&gt;"")*tbl_Finance[Date]))),""))</f>
        <v/>
      </c>
      <c r="B6" s="25">
        <f>IF(C6="","",IF(COUNTIFS(tbl_Finance[Job Number],C6&amp;"",tbl_Finance[Xero Invoice No],"&lt;&gt;")=0,"",IFERROR(IF(COUNTIFS(tbl_Finance[Job Number],C6&amp;"",tbl_Finance[Xero Invoice No],LOOKUP(2,1/((tbl_Finance[Job Number]&amp;""=C6&amp;"")*(tbl_Finance[Xero Invoice No]&lt;&gt;"")),tbl_Finance[Xero Invoice No]))=COUNTIFS(tbl_Finance[Job Number],C6&amp;"",tbl_Finance[Xero Invoice No],"&lt;&gt;"),LOOKUP(2,1/((tbl_Finance[Job Number]&amp;""=C6&amp;"")*(tbl_Finance[Xero Invoice No]&lt;&gt;"")),tbl_Finance[Xero Invoice No]),LOOKUP(2,1/((tbl_Finance[Job Number]&amp;""=C6&amp;"")*(tbl_Finance[Xero Invoice No]&lt;&gt;"")),tbl_Finance[Xero Invoice No])&amp;" +more"),"")))</f>
        <v/>
      </c>
      <c r="C6" s="24" t="n"/>
      <c r="D6" s="25">
        <f>IF(C6="","",IF(COUNTIF(lst_Jobs,C6&amp;"")&gt;0,"OK","CHECK"))</f>
        <v/>
      </c>
      <c r="E6" s="25">
        <f>IF(C6="","",IFERROR(INDEX(lst_JobName,MATCH(C6&amp;"",lst_Jobs,0)),""))</f>
        <v/>
      </c>
      <c r="F6" s="25">
        <f>IF(C6="","",IFERROR(INDEX(tbl_Finance[Client],IFERROR(MATCH(C6&amp;"",tbl_Finance[Job Number],0),MATCH(IFERROR(C6+0,C6),tbl_Finance[Job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6" t="n"/>
      <c r="L6" s="27">
        <f>IF(C6="","",IF(K6="",0,MAX(0,K6-H6)))</f>
        <v/>
      </c>
      <c r="M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N6" s="27">
        <f>IF(C6="","",SUMIFS(tbl_Finance[Inc GST],tbl_Finance[Job Number],C6&amp;""))</f>
        <v/>
      </c>
      <c r="O6" s="24" t="n"/>
      <c r="P6" s="25">
        <f>IF(C6="","",IFERROR(INDEX(tbl_Finance[Description],MATCH(C6&amp;"",tbl_Finance[Job Number],0)),""))</f>
        <v/>
      </c>
      <c r="Q6" s="24" t="n"/>
      <c r="R6" s="24" t="n"/>
      <c r="S6" s="22" t="n"/>
      <c r="T6" s="24" t="n"/>
      <c r="U6" s="25">
        <f>IF(T6="","",IF(AND(LEFT(T6,4)&lt;&gt;"http",set_RMSBase=""),"",HYPERLINK(IF(LEFT(T6,4)="http",T6,set_RMSBase&amp;T6),"Open opportunity")))</f>
        <v/>
      </c>
      <c r="V6" s="24" t="n"/>
      <c r="W6" s="25">
        <f>IF(V6="","",HYPERLINK(IF(LEFT(V6,4)="http",V6,set_QwilrBase&amp;V6),"Open quote"))</f>
        <v/>
      </c>
      <c r="X6" s="25">
        <f>IF(C6="","",C6)</f>
        <v/>
      </c>
      <c r="Y6" s="24" t="n"/>
      <c r="Z6" s="26" t="n"/>
      <c r="AA6" s="27">
        <f>IF(C6="","",H6+N(Z6))</f>
        <v/>
      </c>
      <c r="AB6" s="29">
        <f>IFERROR(Z6/AA6,"")</f>
        <v/>
      </c>
      <c r="AC6" s="26" t="n"/>
      <c r="AD6" s="26" t="n"/>
      <c r="AE6" s="26" t="n"/>
      <c r="AF6" s="26" t="n"/>
      <c r="AG6" s="27">
        <f>IF(C6="","",SUMIFS(tbl_Finance[Ex GST],tbl_Finance[Job Number],C6&amp;"",tbl_Finance[Cost Centre],"VIDEO"))</f>
        <v/>
      </c>
      <c r="AH6" s="29">
        <f>IFERROR(AG6/H6,"")</f>
        <v/>
      </c>
      <c r="AI6" s="27">
        <f>IF(C6="","",N(AC6)+N(AD6)+N(AE6)+N(AF6))</f>
        <v/>
      </c>
      <c r="AJ6" s="27">
        <f>IF(C6="","",H6+L6-AI6)</f>
        <v/>
      </c>
      <c r="AK6" s="29">
        <f>IFERROR(AJ6/(H6+L6),"")</f>
        <v/>
      </c>
      <c r="AL6" s="71" t="n"/>
      <c r="AM6" s="71" t="n"/>
      <c r="AN6" s="71" t="n"/>
      <c r="AO6" s="71" t="n"/>
      <c r="AP6" s="71" t="n"/>
      <c r="AQ6" s="24" t="n"/>
    </row>
    <row r="7" ht="15" customHeight="1">
      <c r="A7" s="70">
        <f>IF(C7="","",IFERROR(IF(SUMPRODUCT(MAX((tbl_Finance[Job Number]&amp;""=C7&amp;"")*(tbl_Finance[Xero Invoice No]&lt;&gt;"")*tbl_Finance[Date]))=0,"",SUMPRODUCT(MAX((tbl_Finance[Job Number]&amp;""=C7&amp;"")*(tbl_Finance[Xero Invoice No]&lt;&gt;"")*tbl_Finance[Date]))),""))</f>
        <v/>
      </c>
      <c r="B7" s="25">
        <f>IF(C7="","",IF(COUNTIFS(tbl_Finance[Job Number],C7&amp;"",tbl_Finance[Xero Invoice No],"&lt;&gt;")=0,"",IFERROR(IF(COUNTIFS(tbl_Finance[Job Number],C7&amp;"",tbl_Finance[Xero Invoice No],LOOKUP(2,1/((tbl_Finance[Job Number]&amp;""=C7&amp;"")*(tbl_Finance[Xero Invoice No]&lt;&gt;"")),tbl_Finance[Xero Invoice No]))=COUNTIFS(tbl_Finance[Job Number],C7&amp;"",tbl_Finance[Xero Invoice No],"&lt;&gt;"),LOOKUP(2,1/((tbl_Finance[Job Number]&amp;""=C7&amp;"")*(tbl_Finance[Xero Invoice No]&lt;&gt;"")),tbl_Finance[Xero Invoice No]),LOOKUP(2,1/((tbl_Finance[Job Number]&amp;""=C7&amp;"")*(tbl_Finance[Xero Invoice No]&lt;&gt;"")),tbl_Finance[Xero Invoice No])&amp;" +more"),"")))</f>
        <v/>
      </c>
      <c r="C7" s="24" t="n"/>
      <c r="D7" s="25">
        <f>IF(C7="","",IF(COUNTIF(lst_Jobs,C7&amp;"")&gt;0,"OK","CHECK"))</f>
        <v/>
      </c>
      <c r="E7" s="25">
        <f>IF(C7="","",IFERROR(INDEX(lst_JobName,MATCH(C7&amp;"",lst_Jobs,0)),""))</f>
        <v/>
      </c>
      <c r="F7" s="25">
        <f>IF(C7="","",IFERROR(INDEX(tbl_Finance[Client],IFERROR(MATCH(C7&amp;"",tbl_Finance[Job Number],0),MATCH(IFERROR(C7+0,C7),tbl_Finance[Job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6" t="n"/>
      <c r="L7" s="27">
        <f>IF(C7="","",IF(K7="",0,MAX(0,K7-H7)))</f>
        <v/>
      </c>
      <c r="M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N7" s="27">
        <f>IF(C7="","",SUMIFS(tbl_Finance[Inc GST],tbl_Finance[Job Number],C7&amp;""))</f>
        <v/>
      </c>
      <c r="O7" s="24" t="n"/>
      <c r="P7" s="25">
        <f>IF(C7="","",IFERROR(INDEX(tbl_Finance[Description],MATCH(C7&amp;"",tbl_Finance[Job Number],0)),""))</f>
        <v/>
      </c>
      <c r="Q7" s="24" t="n"/>
      <c r="R7" s="24" t="n"/>
      <c r="S7" s="22" t="n"/>
      <c r="T7" s="24" t="n"/>
      <c r="U7" s="25">
        <f>IF(T7="","",IF(AND(LEFT(T7,4)&lt;&gt;"http",set_RMSBase=""),"",HYPERLINK(IF(LEFT(T7,4)="http",T7,set_RMSBase&amp;T7),"Open opportunity")))</f>
        <v/>
      </c>
      <c r="V7" s="24" t="n"/>
      <c r="W7" s="25">
        <f>IF(V7="","",HYPERLINK(IF(LEFT(V7,4)="http",V7,set_QwilrBase&amp;V7),"Open quote"))</f>
        <v/>
      </c>
      <c r="X7" s="25">
        <f>IF(C7="","",C7)</f>
        <v/>
      </c>
      <c r="Y7" s="24" t="n"/>
      <c r="Z7" s="26" t="n"/>
      <c r="AA7" s="27">
        <f>IF(C7="","",H7+N(Z7))</f>
        <v/>
      </c>
      <c r="AB7" s="29">
        <f>IFERROR(Z7/AA7,"")</f>
        <v/>
      </c>
      <c r="AC7" s="26" t="n"/>
      <c r="AD7" s="26" t="n"/>
      <c r="AE7" s="26" t="n"/>
      <c r="AF7" s="26" t="n"/>
      <c r="AG7" s="27">
        <f>IF(C7="","",SUMIFS(tbl_Finance[Ex GST],tbl_Finance[Job Number],C7&amp;"",tbl_Finance[Cost Centre],"VIDEO"))</f>
        <v/>
      </c>
      <c r="AH7" s="29">
        <f>IFERROR(AG7/H7,"")</f>
        <v/>
      </c>
      <c r="AI7" s="27">
        <f>IF(C7="","",N(AC7)+N(AD7)+N(AE7)+N(AF7))</f>
        <v/>
      </c>
      <c r="AJ7" s="27">
        <f>IF(C7="","",H7+L7-AI7)</f>
        <v/>
      </c>
      <c r="AK7" s="29">
        <f>IFERROR(AJ7/(H7+L7),"")</f>
        <v/>
      </c>
      <c r="AL7" s="71" t="n"/>
      <c r="AM7" s="71" t="n"/>
      <c r="AN7" s="71" t="n"/>
      <c r="AO7" s="71" t="n"/>
      <c r="AP7" s="71" t="n"/>
      <c r="AQ7" s="24" t="n"/>
    </row>
    <row r="8" ht="15" customHeight="1">
      <c r="A8" s="70">
        <f>IF(C8="","",IFERROR(IF(SUMPRODUCT(MAX((tbl_Finance[Job Number]&amp;""=C8&amp;"")*(tbl_Finance[Xero Invoice No]&lt;&gt;"")*tbl_Finance[Date]))=0,"",SUMPRODUCT(MAX((tbl_Finance[Job Number]&amp;""=C8&amp;"")*(tbl_Finance[Xero Invoice No]&lt;&gt;"")*tbl_Finance[Date]))),""))</f>
        <v/>
      </c>
      <c r="B8" s="25">
        <f>IF(C8="","",IF(COUNTIFS(tbl_Finance[Job Number],C8&amp;"",tbl_Finance[Xero Invoice No],"&lt;&gt;")=0,"",IFERROR(IF(COUNTIFS(tbl_Finance[Job Number],C8&amp;"",tbl_Finance[Xero Invoice No],LOOKUP(2,1/((tbl_Finance[Job Number]&amp;""=C8&amp;"")*(tbl_Finance[Xero Invoice No]&lt;&gt;"")),tbl_Finance[Xero Invoice No]))=COUNTIFS(tbl_Finance[Job Number],C8&amp;"",tbl_Finance[Xero Invoice No],"&lt;&gt;"),LOOKUP(2,1/((tbl_Finance[Job Number]&amp;""=C8&amp;"")*(tbl_Finance[Xero Invoice No]&lt;&gt;"")),tbl_Finance[Xero Invoice No]),LOOKUP(2,1/((tbl_Finance[Job Number]&amp;""=C8&amp;"")*(tbl_Finance[Xero Invoice No]&lt;&gt;"")),tbl_Finance[Xero Invoice No])&amp;" +more"),"")))</f>
        <v/>
      </c>
      <c r="C8" s="24" t="n"/>
      <c r="D8" s="25">
        <f>IF(C8="","",IF(COUNTIF(lst_Jobs,C8&amp;"")&gt;0,"OK","CHECK"))</f>
        <v/>
      </c>
      <c r="E8" s="25">
        <f>IF(C8="","",IFERROR(INDEX(lst_JobName,MATCH(C8&amp;"",lst_Jobs,0)),""))</f>
        <v/>
      </c>
      <c r="F8" s="25">
        <f>IF(C8="","",IFERROR(INDEX(tbl_Finance[Client],IFERROR(MATCH(C8&amp;"",tbl_Finance[Job Number],0),MATCH(IFERROR(C8+0,C8),tbl_Finance[Job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6" t="n"/>
      <c r="L8" s="27">
        <f>IF(C8="","",IF(K8="",0,MAX(0,K8-H8)))</f>
        <v/>
      </c>
      <c r="M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N8" s="27">
        <f>IF(C8="","",SUMIFS(tbl_Finance[Inc GST],tbl_Finance[Job Number],C8&amp;""))</f>
        <v/>
      </c>
      <c r="O8" s="24" t="n"/>
      <c r="P8" s="25">
        <f>IF(C8="","",IFERROR(INDEX(tbl_Finance[Description],MATCH(C8&amp;"",tbl_Finance[Job Number],0)),""))</f>
        <v/>
      </c>
      <c r="Q8" s="24" t="n"/>
      <c r="R8" s="24" t="n"/>
      <c r="S8" s="22" t="n"/>
      <c r="T8" s="24" t="n"/>
      <c r="U8" s="25">
        <f>IF(T8="","",IF(AND(LEFT(T8,4)&lt;&gt;"http",set_RMSBase=""),"",HYPERLINK(IF(LEFT(T8,4)="http",T8,set_RMSBase&amp;T8),"Open opportunity")))</f>
        <v/>
      </c>
      <c r="V8" s="24" t="n"/>
      <c r="W8" s="25">
        <f>IF(V8="","",HYPERLINK(IF(LEFT(V8,4)="http",V8,set_QwilrBase&amp;V8),"Open quote"))</f>
        <v/>
      </c>
      <c r="X8" s="25">
        <f>IF(C8="","",C8)</f>
        <v/>
      </c>
      <c r="Y8" s="24" t="n"/>
      <c r="Z8" s="26" t="n"/>
      <c r="AA8" s="27">
        <f>IF(C8="","",H8+N(Z8))</f>
        <v/>
      </c>
      <c r="AB8" s="29">
        <f>IFERROR(Z8/AA8,"")</f>
        <v/>
      </c>
      <c r="AC8" s="26" t="n"/>
      <c r="AD8" s="26" t="n"/>
      <c r="AE8" s="26" t="n"/>
      <c r="AF8" s="26" t="n"/>
      <c r="AG8" s="27">
        <f>IF(C8="","",SUMIFS(tbl_Finance[Ex GST],tbl_Finance[Job Number],C8&amp;"",tbl_Finance[Cost Centre],"VIDEO"))</f>
        <v/>
      </c>
      <c r="AH8" s="29">
        <f>IFERROR(AG8/H8,"")</f>
        <v/>
      </c>
      <c r="AI8" s="27">
        <f>IF(C8="","",N(AC8)+N(AD8)+N(AE8)+N(AF8))</f>
        <v/>
      </c>
      <c r="AJ8" s="27">
        <f>IF(C8="","",H8+L8-AI8)</f>
        <v/>
      </c>
      <c r="AK8" s="29">
        <f>IFERROR(AJ8/(H8+L8),"")</f>
        <v/>
      </c>
      <c r="AL8" s="71" t="n"/>
      <c r="AM8" s="71" t="n"/>
      <c r="AN8" s="71" t="n"/>
      <c r="AO8" s="71" t="n"/>
      <c r="AP8" s="71" t="n"/>
      <c r="AQ8" s="24" t="n"/>
    </row>
    <row r="9" ht="15" customHeight="1">
      <c r="A9" s="70">
        <f>IF(C9="","",IFERROR(IF(SUMPRODUCT(MAX((tbl_Finance[Job Number]&amp;""=C9&amp;"")*(tbl_Finance[Xero Invoice No]&lt;&gt;"")*tbl_Finance[Date]))=0,"",SUMPRODUCT(MAX((tbl_Finance[Job Number]&amp;""=C9&amp;"")*(tbl_Finance[Xero Invoice No]&lt;&gt;"")*tbl_Finance[Date]))),""))</f>
        <v/>
      </c>
      <c r="B9" s="25">
        <f>IF(C9="","",IF(COUNTIFS(tbl_Finance[Job Number],C9&amp;"",tbl_Finance[Xero Invoice No],"&lt;&gt;")=0,"",IFERROR(IF(COUNTIFS(tbl_Finance[Job Number],C9&amp;"",tbl_Finance[Xero Invoice No],LOOKUP(2,1/((tbl_Finance[Job Number]&amp;""=C9&amp;"")*(tbl_Finance[Xero Invoice No]&lt;&gt;"")),tbl_Finance[Xero Invoice No]))=COUNTIFS(tbl_Finance[Job Number],C9&amp;"",tbl_Finance[Xero Invoice No],"&lt;&gt;"),LOOKUP(2,1/((tbl_Finance[Job Number]&amp;""=C9&amp;"")*(tbl_Finance[Xero Invoice No]&lt;&gt;"")),tbl_Finance[Xero Invoice No]),LOOKUP(2,1/((tbl_Finance[Job Number]&amp;""=C9&amp;"")*(tbl_Finance[Xero Invoice No]&lt;&gt;"")),tbl_Finance[Xero Invoice No])&amp;" +more"),"")))</f>
        <v/>
      </c>
      <c r="C9" s="24" t="n"/>
      <c r="D9" s="25">
        <f>IF(C9="","",IF(COUNTIF(lst_Jobs,C9&amp;"")&gt;0,"OK","CHECK"))</f>
        <v/>
      </c>
      <c r="E9" s="25">
        <f>IF(C9="","",IFERROR(INDEX(lst_JobName,MATCH(C9&amp;"",lst_Jobs,0)),""))</f>
        <v/>
      </c>
      <c r="F9" s="25">
        <f>IF(C9="","",IFERROR(INDEX(tbl_Finance[Client],IFERROR(MATCH(C9&amp;"",tbl_Finance[Job Number],0),MATCH(IFERROR(C9+0,C9),tbl_Finance[Job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6" t="n"/>
      <c r="L9" s="27">
        <f>IF(C9="","",IF(K9="",0,MAX(0,K9-H9)))</f>
        <v/>
      </c>
      <c r="M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N9" s="27">
        <f>IF(C9="","",SUMIFS(tbl_Finance[Inc GST],tbl_Finance[Job Number],C9&amp;""))</f>
        <v/>
      </c>
      <c r="O9" s="24" t="n"/>
      <c r="P9" s="25">
        <f>IF(C9="","",IFERROR(INDEX(tbl_Finance[Description],MATCH(C9&amp;"",tbl_Finance[Job Number],0)),""))</f>
        <v/>
      </c>
      <c r="Q9" s="24" t="n"/>
      <c r="R9" s="24" t="n"/>
      <c r="S9" s="22" t="n"/>
      <c r="T9" s="24" t="n"/>
      <c r="U9" s="25">
        <f>IF(T9="","",IF(AND(LEFT(T9,4)&lt;&gt;"http",set_RMSBase=""),"",HYPERLINK(IF(LEFT(T9,4)="http",T9,set_RMSBase&amp;T9),"Open opportunity")))</f>
        <v/>
      </c>
      <c r="V9" s="24" t="n"/>
      <c r="W9" s="25">
        <f>IF(V9="","",HYPERLINK(IF(LEFT(V9,4)="http",V9,set_QwilrBase&amp;V9),"Open quote"))</f>
        <v/>
      </c>
      <c r="X9" s="25">
        <f>IF(C9="","",C9)</f>
        <v/>
      </c>
      <c r="Y9" s="24" t="n"/>
      <c r="Z9" s="26" t="n"/>
      <c r="AA9" s="27">
        <f>IF(C9="","",H9+N(Z9))</f>
        <v/>
      </c>
      <c r="AB9" s="29">
        <f>IFERROR(Z9/AA9,"")</f>
        <v/>
      </c>
      <c r="AC9" s="26" t="n"/>
      <c r="AD9" s="26" t="n"/>
      <c r="AE9" s="26" t="n"/>
      <c r="AF9" s="26" t="n"/>
      <c r="AG9" s="27">
        <f>IF(C9="","",SUMIFS(tbl_Finance[Ex GST],tbl_Finance[Job Number],C9&amp;"",tbl_Finance[Cost Centre],"VIDEO"))</f>
        <v/>
      </c>
      <c r="AH9" s="29">
        <f>IFERROR(AG9/H9,"")</f>
        <v/>
      </c>
      <c r="AI9" s="27">
        <f>IF(C9="","",N(AC9)+N(AD9)+N(AE9)+N(AF9))</f>
        <v/>
      </c>
      <c r="AJ9" s="27">
        <f>IF(C9="","",H9+L9-AI9)</f>
        <v/>
      </c>
      <c r="AK9" s="29">
        <f>IFERROR(AJ9/(H9+L9),"")</f>
        <v/>
      </c>
      <c r="AL9" s="71" t="n"/>
      <c r="AM9" s="71" t="n"/>
      <c r="AN9" s="71" t="n"/>
      <c r="AO9" s="71" t="n"/>
      <c r="AP9" s="71" t="n"/>
      <c r="AQ9" s="24" t="n"/>
    </row>
    <row r="10" ht="15" customHeight="1">
      <c r="A10" s="70">
        <f>IF(C10="","",IFERROR(IF(SUMPRODUCT(MAX((tbl_Finance[Job Number]&amp;""=C10&amp;"")*(tbl_Finance[Xero Invoice No]&lt;&gt;"")*tbl_Finance[Date]))=0,"",SUMPRODUCT(MAX((tbl_Finance[Job Number]&amp;""=C10&amp;"")*(tbl_Finance[Xero Invoice No]&lt;&gt;"")*tbl_Finance[Date]))),""))</f>
        <v/>
      </c>
      <c r="B10" s="25">
        <f>IF(C10="","",IF(COUNTIFS(tbl_Finance[Job Number],C10&amp;"",tbl_Finance[Xero Invoice No],"&lt;&gt;")=0,"",IFERROR(IF(COUNTIFS(tbl_Finance[Job Number],C10&amp;"",tbl_Finance[Xero Invoice No],LOOKUP(2,1/((tbl_Finance[Job Number]&amp;""=C10&amp;"")*(tbl_Finance[Xero Invoice No]&lt;&gt;"")),tbl_Finance[Xero Invoice No]))=COUNTIFS(tbl_Finance[Job Number],C10&amp;"",tbl_Finance[Xero Invoice No],"&lt;&gt;"),LOOKUP(2,1/((tbl_Finance[Job Number]&amp;""=C10&amp;"")*(tbl_Finance[Xero Invoice No]&lt;&gt;"")),tbl_Finance[Xero Invoice No]),LOOKUP(2,1/((tbl_Finance[Job Number]&amp;""=C10&amp;"")*(tbl_Finance[Xero Invoice No]&lt;&gt;"")),tbl_Finance[Xero Invoice No])&amp;" +more"),"")))</f>
        <v/>
      </c>
      <c r="C10" s="24" t="n"/>
      <c r="D10" s="25">
        <f>IF(C10="","",IF(COUNTIF(lst_Jobs,C10&amp;"")&gt;0,"OK","CHECK"))</f>
        <v/>
      </c>
      <c r="E10" s="25">
        <f>IF(C10="","",IFERROR(INDEX(lst_JobName,MATCH(C10&amp;"",lst_Jobs,0)),""))</f>
        <v/>
      </c>
      <c r="F10" s="25">
        <f>IF(C10="","",IFERROR(INDEX(tbl_Finance[Client],IFERROR(MATCH(C10&amp;"",tbl_Finance[Job Number],0),MATCH(IFERROR(C10+0,C10),tbl_Finance[Job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6" t="n"/>
      <c r="L10" s="27">
        <f>IF(C10="","",IF(K10="",0,MAX(0,K10-H10)))</f>
        <v/>
      </c>
      <c r="M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N10" s="27">
        <f>IF(C10="","",SUMIFS(tbl_Finance[Inc GST],tbl_Finance[Job Number],C10&amp;""))</f>
        <v/>
      </c>
      <c r="O10" s="24" t="n"/>
      <c r="P10" s="25">
        <f>IF(C10="","",IFERROR(INDEX(tbl_Finance[Description],MATCH(C10&amp;"",tbl_Finance[Job Number],0)),""))</f>
        <v/>
      </c>
      <c r="Q10" s="24" t="n"/>
      <c r="R10" s="24" t="n"/>
      <c r="S10" s="22" t="n"/>
      <c r="T10" s="24" t="n"/>
      <c r="U10" s="25">
        <f>IF(T10="","",IF(AND(LEFT(T10,4)&lt;&gt;"http",set_RMSBase=""),"",HYPERLINK(IF(LEFT(T10,4)="http",T10,set_RMSBase&amp;T10),"Open opportunity")))</f>
        <v/>
      </c>
      <c r="V10" s="24" t="n"/>
      <c r="W10" s="25">
        <f>IF(V10="","",HYPERLINK(IF(LEFT(V10,4)="http",V10,set_QwilrBase&amp;V10),"Open quote"))</f>
        <v/>
      </c>
      <c r="X10" s="25">
        <f>IF(C10="","",C10)</f>
        <v/>
      </c>
      <c r="Y10" s="24" t="n"/>
      <c r="Z10" s="26" t="n"/>
      <c r="AA10" s="27">
        <f>IF(C10="","",H10+N(Z10))</f>
        <v/>
      </c>
      <c r="AB10" s="29">
        <f>IFERROR(Z10/AA10,"")</f>
        <v/>
      </c>
      <c r="AC10" s="26" t="n"/>
      <c r="AD10" s="26" t="n"/>
      <c r="AE10" s="26" t="n"/>
      <c r="AF10" s="26" t="n"/>
      <c r="AG10" s="27">
        <f>IF(C10="","",SUMIFS(tbl_Finance[Ex GST],tbl_Finance[Job Number],C10&amp;"",tbl_Finance[Cost Centre],"VIDEO"))</f>
        <v/>
      </c>
      <c r="AH10" s="29">
        <f>IFERROR(AG10/H10,"")</f>
        <v/>
      </c>
      <c r="AI10" s="27">
        <f>IF(C10="","",N(AC10)+N(AD10)+N(AE10)+N(AF10))</f>
        <v/>
      </c>
      <c r="AJ10" s="27">
        <f>IF(C10="","",H10+L10-AI10)</f>
        <v/>
      </c>
      <c r="AK10" s="29">
        <f>IFERROR(AJ10/(H10+L10),"")</f>
        <v/>
      </c>
      <c r="AL10" s="71" t="n"/>
      <c r="AM10" s="71" t="n"/>
      <c r="AN10" s="71" t="n"/>
      <c r="AO10" s="71" t="n"/>
      <c r="AP10" s="71" t="n"/>
      <c r="AQ10" s="24" t="n"/>
    </row>
    <row r="11" ht="15" customHeight="1">
      <c r="A11" s="70">
        <f>IF(C11="","",IFERROR(IF(SUMPRODUCT(MAX((tbl_Finance[Job Number]&amp;""=C11&amp;"")*(tbl_Finance[Xero Invoice No]&lt;&gt;"")*tbl_Finance[Date]))=0,"",SUMPRODUCT(MAX((tbl_Finance[Job Number]&amp;""=C11&amp;"")*(tbl_Finance[Xero Invoice No]&lt;&gt;"")*tbl_Finance[Date]))),""))</f>
        <v/>
      </c>
      <c r="B11" s="25">
        <f>IF(C11="","",IF(COUNTIFS(tbl_Finance[Job Number],C11&amp;"",tbl_Finance[Xero Invoice No],"&lt;&gt;")=0,"",IFERROR(IF(COUNTIFS(tbl_Finance[Job Number],C11&amp;"",tbl_Finance[Xero Invoice No],LOOKUP(2,1/((tbl_Finance[Job Number]&amp;""=C11&amp;"")*(tbl_Finance[Xero Invoice No]&lt;&gt;"")),tbl_Finance[Xero Invoice No]))=COUNTIFS(tbl_Finance[Job Number],C11&amp;"",tbl_Finance[Xero Invoice No],"&lt;&gt;"),LOOKUP(2,1/((tbl_Finance[Job Number]&amp;""=C11&amp;"")*(tbl_Finance[Xero Invoice No]&lt;&gt;"")),tbl_Finance[Xero Invoice No]),LOOKUP(2,1/((tbl_Finance[Job Number]&amp;""=C11&amp;"")*(tbl_Finance[Xero Invoice No]&lt;&gt;"")),tbl_Finance[Xero Invoice No])&amp;" +more"),"")))</f>
        <v/>
      </c>
      <c r="C11" s="24" t="n"/>
      <c r="D11" s="25">
        <f>IF(C11="","",IF(COUNTIF(lst_Jobs,C11&amp;"")&gt;0,"OK","CHECK"))</f>
        <v/>
      </c>
      <c r="E11" s="25">
        <f>IF(C11="","",IFERROR(INDEX(lst_JobName,MATCH(C11&amp;"",lst_Jobs,0)),""))</f>
        <v/>
      </c>
      <c r="F11" s="25">
        <f>IF(C11="","",IFERROR(INDEX(tbl_Finance[Client],IFERROR(MATCH(C11&amp;"",tbl_Finance[Job Number],0),MATCH(IFERROR(C11+0,C11),tbl_Finance[Job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6" t="n"/>
      <c r="L11" s="27">
        <f>IF(C11="","",IF(K11="",0,MAX(0,K11-H11)))</f>
        <v/>
      </c>
      <c r="M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N11" s="27">
        <f>IF(C11="","",SUMIFS(tbl_Finance[Inc GST],tbl_Finance[Job Number],C11&amp;""))</f>
        <v/>
      </c>
      <c r="O11" s="24" t="n"/>
      <c r="P11" s="25">
        <f>IF(C11="","",IFERROR(INDEX(tbl_Finance[Description],MATCH(C11&amp;"",tbl_Finance[Job Number],0)),""))</f>
        <v/>
      </c>
      <c r="Q11" s="24" t="n"/>
      <c r="R11" s="24" t="n"/>
      <c r="S11" s="22" t="n"/>
      <c r="T11" s="24" t="n"/>
      <c r="U11" s="25">
        <f>IF(T11="","",IF(AND(LEFT(T11,4)&lt;&gt;"http",set_RMSBase=""),"",HYPERLINK(IF(LEFT(T11,4)="http",T11,set_RMSBase&amp;T11),"Open opportunity")))</f>
        <v/>
      </c>
      <c r="V11" s="24" t="n"/>
      <c r="W11" s="25">
        <f>IF(V11="","",HYPERLINK(IF(LEFT(V11,4)="http",V11,set_QwilrBase&amp;V11),"Open quote"))</f>
        <v/>
      </c>
      <c r="X11" s="25">
        <f>IF(C11="","",C11)</f>
        <v/>
      </c>
      <c r="Y11" s="24" t="n"/>
      <c r="Z11" s="26" t="n"/>
      <c r="AA11" s="27">
        <f>IF(C11="","",H11+N(Z11))</f>
        <v/>
      </c>
      <c r="AB11" s="29">
        <f>IFERROR(Z11/AA11,"")</f>
        <v/>
      </c>
      <c r="AC11" s="26" t="n"/>
      <c r="AD11" s="26" t="n"/>
      <c r="AE11" s="26" t="n"/>
      <c r="AF11" s="26" t="n"/>
      <c r="AG11" s="27">
        <f>IF(C11="","",SUMIFS(tbl_Finance[Ex GST],tbl_Finance[Job Number],C11&amp;"",tbl_Finance[Cost Centre],"VIDEO"))</f>
        <v/>
      </c>
      <c r="AH11" s="29">
        <f>IFERROR(AG11/H11,"")</f>
        <v/>
      </c>
      <c r="AI11" s="27">
        <f>IF(C11="","",N(AC11)+N(AD11)+N(AE11)+N(AF11))</f>
        <v/>
      </c>
      <c r="AJ11" s="27">
        <f>IF(C11="","",H11+L11-AI11)</f>
        <v/>
      </c>
      <c r="AK11" s="29">
        <f>IFERROR(AJ11/(H11+L11),"")</f>
        <v/>
      </c>
      <c r="AL11" s="71" t="n"/>
      <c r="AM11" s="71" t="n"/>
      <c r="AN11" s="71" t="n"/>
      <c r="AO11" s="71" t="n"/>
      <c r="AP11" s="71" t="n"/>
      <c r="AQ11" s="24" t="n"/>
    </row>
    <row r="12" ht="15" customHeight="1">
      <c r="A12" s="70">
        <f>IF(C12="","",IFERROR(IF(SUMPRODUCT(MAX((tbl_Finance[Job Number]&amp;""=C12&amp;"")*(tbl_Finance[Xero Invoice No]&lt;&gt;"")*tbl_Finance[Date]))=0,"",SUMPRODUCT(MAX((tbl_Finance[Job Number]&amp;""=C12&amp;"")*(tbl_Finance[Xero Invoice No]&lt;&gt;"")*tbl_Finance[Date]))),""))</f>
        <v/>
      </c>
      <c r="B12" s="25">
        <f>IF(C12="","",IF(COUNTIFS(tbl_Finance[Job Number],C12&amp;"",tbl_Finance[Xero Invoice No],"&lt;&gt;")=0,"",IFERROR(IF(COUNTIFS(tbl_Finance[Job Number],C12&amp;"",tbl_Finance[Xero Invoice No],LOOKUP(2,1/((tbl_Finance[Job Number]&amp;""=C12&amp;"")*(tbl_Finance[Xero Invoice No]&lt;&gt;"")),tbl_Finance[Xero Invoice No]))=COUNTIFS(tbl_Finance[Job Number],C12&amp;"",tbl_Finance[Xero Invoice No],"&lt;&gt;"),LOOKUP(2,1/((tbl_Finance[Job Number]&amp;""=C12&amp;"")*(tbl_Finance[Xero Invoice No]&lt;&gt;"")),tbl_Finance[Xero Invoice No]),LOOKUP(2,1/((tbl_Finance[Job Number]&amp;""=C12&amp;"")*(tbl_Finance[Xero Invoice No]&lt;&gt;"")),tbl_Finance[Xero Invoice No])&amp;" +more"),"")))</f>
        <v/>
      </c>
      <c r="C12" s="24" t="n"/>
      <c r="D12" s="25">
        <f>IF(C12="","",IF(COUNTIF(lst_Jobs,C12&amp;"")&gt;0,"OK","CHECK"))</f>
        <v/>
      </c>
      <c r="E12" s="25">
        <f>IF(C12="","",IFERROR(INDEX(lst_JobName,MATCH(C12&amp;"",lst_Jobs,0)),""))</f>
        <v/>
      </c>
      <c r="F12" s="25">
        <f>IF(C12="","",IFERROR(INDEX(tbl_Finance[Client],IFERROR(MATCH(C12&amp;"",tbl_Finance[Job Number],0),MATCH(IFERROR(C12+0,C12),tbl_Finance[Job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6" t="n"/>
      <c r="L12" s="27">
        <f>IF(C12="","",IF(K12="",0,MAX(0,K12-H12)))</f>
        <v/>
      </c>
      <c r="M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N12" s="27">
        <f>IF(C12="","",SUMIFS(tbl_Finance[Inc GST],tbl_Finance[Job Number],C12&amp;""))</f>
        <v/>
      </c>
      <c r="O12" s="24" t="n"/>
      <c r="P12" s="25">
        <f>IF(C12="","",IFERROR(INDEX(tbl_Finance[Description],MATCH(C12&amp;"",tbl_Finance[Job Number],0)),""))</f>
        <v/>
      </c>
      <c r="Q12" s="24" t="n"/>
      <c r="R12" s="24" t="n"/>
      <c r="S12" s="22" t="n"/>
      <c r="T12" s="24" t="n"/>
      <c r="U12" s="25">
        <f>IF(T12="","",IF(AND(LEFT(T12,4)&lt;&gt;"http",set_RMSBase=""),"",HYPERLINK(IF(LEFT(T12,4)="http",T12,set_RMSBase&amp;T12),"Open opportunity")))</f>
        <v/>
      </c>
      <c r="V12" s="24" t="n"/>
      <c r="W12" s="25">
        <f>IF(V12="","",HYPERLINK(IF(LEFT(V12,4)="http",V12,set_QwilrBase&amp;V12),"Open quote"))</f>
        <v/>
      </c>
      <c r="X12" s="25">
        <f>IF(C12="","",C12)</f>
        <v/>
      </c>
      <c r="Y12" s="24" t="n"/>
      <c r="Z12" s="26" t="n"/>
      <c r="AA12" s="27">
        <f>IF(C12="","",H12+N(Z12))</f>
        <v/>
      </c>
      <c r="AB12" s="29">
        <f>IFERROR(Z12/AA12,"")</f>
        <v/>
      </c>
      <c r="AC12" s="26" t="n"/>
      <c r="AD12" s="26" t="n"/>
      <c r="AE12" s="26" t="n"/>
      <c r="AF12" s="26" t="n"/>
      <c r="AG12" s="27">
        <f>IF(C12="","",SUMIFS(tbl_Finance[Ex GST],tbl_Finance[Job Number],C12&amp;"",tbl_Finance[Cost Centre],"VIDEO"))</f>
        <v/>
      </c>
      <c r="AH12" s="29">
        <f>IFERROR(AG12/H12,"")</f>
        <v/>
      </c>
      <c r="AI12" s="27">
        <f>IF(C12="","",N(AC12)+N(AD12)+N(AE12)+N(AF12))</f>
        <v/>
      </c>
      <c r="AJ12" s="27">
        <f>IF(C12="","",H12+L12-AI12)</f>
        <v/>
      </c>
      <c r="AK12" s="29">
        <f>IFERROR(AJ12/(H12+L12),"")</f>
        <v/>
      </c>
      <c r="AL12" s="71" t="n"/>
      <c r="AM12" s="71" t="n"/>
      <c r="AN12" s="71" t="n"/>
      <c r="AO12" s="71" t="n"/>
      <c r="AP12" s="71" t="n"/>
      <c r="AQ12" s="24" t="n"/>
    </row>
    <row r="13" ht="15" customHeight="1">
      <c r="A13" s="70">
        <f>IF(C13="","",IFERROR(IF(SUMPRODUCT(MAX((tbl_Finance[Job Number]&amp;""=C13&amp;"")*(tbl_Finance[Xero Invoice No]&lt;&gt;"")*tbl_Finance[Date]))=0,"",SUMPRODUCT(MAX((tbl_Finance[Job Number]&amp;""=C13&amp;"")*(tbl_Finance[Xero Invoice No]&lt;&gt;"")*tbl_Finance[Date]))),""))</f>
        <v/>
      </c>
      <c r="B13" s="25">
        <f>IF(C13="","",IF(COUNTIFS(tbl_Finance[Job Number],C13&amp;"",tbl_Finance[Xero Invoice No],"&lt;&gt;")=0,"",IFERROR(IF(COUNTIFS(tbl_Finance[Job Number],C13&amp;"",tbl_Finance[Xero Invoice No],LOOKUP(2,1/((tbl_Finance[Job Number]&amp;""=C13&amp;"")*(tbl_Finance[Xero Invoice No]&lt;&gt;"")),tbl_Finance[Xero Invoice No]))=COUNTIFS(tbl_Finance[Job Number],C13&amp;"",tbl_Finance[Xero Invoice No],"&lt;&gt;"),LOOKUP(2,1/((tbl_Finance[Job Number]&amp;""=C13&amp;"")*(tbl_Finance[Xero Invoice No]&lt;&gt;"")),tbl_Finance[Xero Invoice No]),LOOKUP(2,1/((tbl_Finance[Job Number]&amp;""=C13&amp;"")*(tbl_Finance[Xero Invoice No]&lt;&gt;"")),tbl_Finance[Xero Invoice No])&amp;" +more"),"")))</f>
        <v/>
      </c>
      <c r="C13" s="24" t="n"/>
      <c r="D13" s="25">
        <f>IF(C13="","",IF(COUNTIF(lst_Jobs,C13&amp;"")&gt;0,"OK","CHECK"))</f>
        <v/>
      </c>
      <c r="E13" s="25">
        <f>IF(C13="","",IFERROR(INDEX(lst_JobName,MATCH(C13&amp;"",lst_Jobs,0)),""))</f>
        <v/>
      </c>
      <c r="F13" s="25">
        <f>IF(C13="","",IFERROR(INDEX(tbl_Finance[Client],IFERROR(MATCH(C13&amp;"",tbl_Finance[Job Number],0),MATCH(IFERROR(C13+0,C13),tbl_Finance[Job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6" t="n"/>
      <c r="L13" s="27">
        <f>IF(C13="","",IF(K13="",0,MAX(0,K13-H13)))</f>
        <v/>
      </c>
      <c r="M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N13" s="27">
        <f>IF(C13="","",SUMIFS(tbl_Finance[Inc GST],tbl_Finance[Job Number],C13&amp;""))</f>
        <v/>
      </c>
      <c r="O13" s="24" t="n"/>
      <c r="P13" s="25">
        <f>IF(C13="","",IFERROR(INDEX(tbl_Finance[Description],MATCH(C13&amp;"",tbl_Finance[Job Number],0)),""))</f>
        <v/>
      </c>
      <c r="Q13" s="24" t="n"/>
      <c r="R13" s="24" t="n"/>
      <c r="S13" s="22" t="n"/>
      <c r="T13" s="24" t="n"/>
      <c r="U13" s="25">
        <f>IF(T13="","",IF(AND(LEFT(T13,4)&lt;&gt;"http",set_RMSBase=""),"",HYPERLINK(IF(LEFT(T13,4)="http",T13,set_RMSBase&amp;T13),"Open opportunity")))</f>
        <v/>
      </c>
      <c r="V13" s="24" t="n"/>
      <c r="W13" s="25">
        <f>IF(V13="","",HYPERLINK(IF(LEFT(V13,4)="http",V13,set_QwilrBase&amp;V13),"Open quote"))</f>
        <v/>
      </c>
      <c r="X13" s="25">
        <f>IF(C13="","",C13)</f>
        <v/>
      </c>
      <c r="Y13" s="24" t="n"/>
      <c r="Z13" s="26" t="n"/>
      <c r="AA13" s="27">
        <f>IF(C13="","",H13+N(Z13))</f>
        <v/>
      </c>
      <c r="AB13" s="29">
        <f>IFERROR(Z13/AA13,"")</f>
        <v/>
      </c>
      <c r="AC13" s="26" t="n"/>
      <c r="AD13" s="26" t="n"/>
      <c r="AE13" s="26" t="n"/>
      <c r="AF13" s="26" t="n"/>
      <c r="AG13" s="27">
        <f>IF(C13="","",SUMIFS(tbl_Finance[Ex GST],tbl_Finance[Job Number],C13&amp;"",tbl_Finance[Cost Centre],"VIDEO"))</f>
        <v/>
      </c>
      <c r="AH13" s="29">
        <f>IFERROR(AG13/H13,"")</f>
        <v/>
      </c>
      <c r="AI13" s="27">
        <f>IF(C13="","",N(AC13)+N(AD13)+N(AE13)+N(AF13))</f>
        <v/>
      </c>
      <c r="AJ13" s="27">
        <f>IF(C13="","",H13+L13-AI13)</f>
        <v/>
      </c>
      <c r="AK13" s="29">
        <f>IFERROR(AJ13/(H13+L13),"")</f>
        <v/>
      </c>
      <c r="AL13" s="71" t="n"/>
      <c r="AM13" s="71" t="n"/>
      <c r="AN13" s="71" t="n"/>
      <c r="AO13" s="71" t="n"/>
      <c r="AP13" s="71" t="n"/>
      <c r="AQ13" s="24" t="n"/>
    </row>
    <row r="14" ht="15" customHeight="1">
      <c r="A14" s="70">
        <f>IF(C14="","",IFERROR(IF(SUMPRODUCT(MAX((tbl_Finance[Job Number]&amp;""=C14&amp;"")*(tbl_Finance[Xero Invoice No]&lt;&gt;"")*tbl_Finance[Date]))=0,"",SUMPRODUCT(MAX((tbl_Finance[Job Number]&amp;""=C14&amp;"")*(tbl_Finance[Xero Invoice No]&lt;&gt;"")*tbl_Finance[Date]))),""))</f>
        <v/>
      </c>
      <c r="B14" s="25">
        <f>IF(C14="","",IF(COUNTIFS(tbl_Finance[Job Number],C14&amp;"",tbl_Finance[Xero Invoice No],"&lt;&gt;")=0,"",IFERROR(IF(COUNTIFS(tbl_Finance[Job Number],C14&amp;"",tbl_Finance[Xero Invoice No],LOOKUP(2,1/((tbl_Finance[Job Number]&amp;""=C14&amp;"")*(tbl_Finance[Xero Invoice No]&lt;&gt;"")),tbl_Finance[Xero Invoice No]))=COUNTIFS(tbl_Finance[Job Number],C14&amp;"",tbl_Finance[Xero Invoice No],"&lt;&gt;"),LOOKUP(2,1/((tbl_Finance[Job Number]&amp;""=C14&amp;"")*(tbl_Finance[Xero Invoice No]&lt;&gt;"")),tbl_Finance[Xero Invoice No]),LOOKUP(2,1/((tbl_Finance[Job Number]&amp;""=C14&amp;"")*(tbl_Finance[Xero Invoice No]&lt;&gt;"")),tbl_Finance[Xero Invoice No])&amp;" +more"),"")))</f>
        <v/>
      </c>
      <c r="C14" s="24" t="n"/>
      <c r="D14" s="25">
        <f>IF(C14="","",IF(COUNTIF(lst_Jobs,C14&amp;"")&gt;0,"OK","CHECK"))</f>
        <v/>
      </c>
      <c r="E14" s="25">
        <f>IF(C14="","",IFERROR(INDEX(lst_JobName,MATCH(C14&amp;"",lst_Jobs,0)),""))</f>
        <v/>
      </c>
      <c r="F14" s="25">
        <f>IF(C14="","",IFERROR(INDEX(tbl_Finance[Client],IFERROR(MATCH(C14&amp;"",tbl_Finance[Job Number],0),MATCH(IFERROR(C14+0,C14),tbl_Finance[Job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6" t="n"/>
      <c r="L14" s="27">
        <f>IF(C14="","",IF(K14="",0,MAX(0,K14-H14)))</f>
        <v/>
      </c>
      <c r="M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N14" s="27">
        <f>IF(C14="","",SUMIFS(tbl_Finance[Inc GST],tbl_Finance[Job Number],C14&amp;""))</f>
        <v/>
      </c>
      <c r="O14" s="24" t="n"/>
      <c r="P14" s="25">
        <f>IF(C14="","",IFERROR(INDEX(tbl_Finance[Description],MATCH(C14&amp;"",tbl_Finance[Job Number],0)),""))</f>
        <v/>
      </c>
      <c r="Q14" s="24" t="n"/>
      <c r="R14" s="24" t="n"/>
      <c r="S14" s="22" t="n"/>
      <c r="T14" s="24" t="n"/>
      <c r="U14" s="25">
        <f>IF(T14="","",IF(AND(LEFT(T14,4)&lt;&gt;"http",set_RMSBase=""),"",HYPERLINK(IF(LEFT(T14,4)="http",T14,set_RMSBase&amp;T14),"Open opportunity")))</f>
        <v/>
      </c>
      <c r="V14" s="24" t="n"/>
      <c r="W14" s="25">
        <f>IF(V14="","",HYPERLINK(IF(LEFT(V14,4)="http",V14,set_QwilrBase&amp;V14),"Open quote"))</f>
        <v/>
      </c>
      <c r="X14" s="25">
        <f>IF(C14="","",C14)</f>
        <v/>
      </c>
      <c r="Y14" s="24" t="n"/>
      <c r="Z14" s="26" t="n"/>
      <c r="AA14" s="27">
        <f>IF(C14="","",H14+N(Z14))</f>
        <v/>
      </c>
      <c r="AB14" s="29">
        <f>IFERROR(Z14/AA14,"")</f>
        <v/>
      </c>
      <c r="AC14" s="26" t="n"/>
      <c r="AD14" s="26" t="n"/>
      <c r="AE14" s="26" t="n"/>
      <c r="AF14" s="26" t="n"/>
      <c r="AG14" s="27">
        <f>IF(C14="","",SUMIFS(tbl_Finance[Ex GST],tbl_Finance[Job Number],C14&amp;"",tbl_Finance[Cost Centre],"VIDEO"))</f>
        <v/>
      </c>
      <c r="AH14" s="29">
        <f>IFERROR(AG14/H14,"")</f>
        <v/>
      </c>
      <c r="AI14" s="27">
        <f>IF(C14="","",N(AC14)+N(AD14)+N(AE14)+N(AF14))</f>
        <v/>
      </c>
      <c r="AJ14" s="27">
        <f>IF(C14="","",H14+L14-AI14)</f>
        <v/>
      </c>
      <c r="AK14" s="29">
        <f>IFERROR(AJ14/(H14+L14),"")</f>
        <v/>
      </c>
      <c r="AL14" s="71" t="n"/>
      <c r="AM14" s="71" t="n"/>
      <c r="AN14" s="71" t="n"/>
      <c r="AO14" s="71" t="n"/>
      <c r="AP14" s="71" t="n"/>
      <c r="AQ14" s="24" t="n"/>
    </row>
    <row r="15" ht="15" customHeight="1">
      <c r="A15" s="70">
        <f>IF(C15="","",IFERROR(IF(SUMPRODUCT(MAX((tbl_Finance[Job Number]&amp;""=C15&amp;"")*(tbl_Finance[Xero Invoice No]&lt;&gt;"")*tbl_Finance[Date]))=0,"",SUMPRODUCT(MAX((tbl_Finance[Job Number]&amp;""=C15&amp;"")*(tbl_Finance[Xero Invoice No]&lt;&gt;"")*tbl_Finance[Date]))),""))</f>
        <v/>
      </c>
      <c r="B15" s="25">
        <f>IF(C15="","",IF(COUNTIFS(tbl_Finance[Job Number],C15&amp;"",tbl_Finance[Xero Invoice No],"&lt;&gt;")=0,"",IFERROR(IF(COUNTIFS(tbl_Finance[Job Number],C15&amp;"",tbl_Finance[Xero Invoice No],LOOKUP(2,1/((tbl_Finance[Job Number]&amp;""=C15&amp;"")*(tbl_Finance[Xero Invoice No]&lt;&gt;"")),tbl_Finance[Xero Invoice No]))=COUNTIFS(tbl_Finance[Job Number],C15&amp;"",tbl_Finance[Xero Invoice No],"&lt;&gt;"),LOOKUP(2,1/((tbl_Finance[Job Number]&amp;""=C15&amp;"")*(tbl_Finance[Xero Invoice No]&lt;&gt;"")),tbl_Finance[Xero Invoice No]),LOOKUP(2,1/((tbl_Finance[Job Number]&amp;""=C15&amp;"")*(tbl_Finance[Xero Invoice No]&lt;&gt;"")),tbl_Finance[Xero Invoice No])&amp;" +more"),"")))</f>
        <v/>
      </c>
      <c r="C15" s="24" t="n"/>
      <c r="D15" s="25">
        <f>IF(C15="","",IF(COUNTIF(lst_Jobs,C15&amp;"")&gt;0,"OK","CHECK"))</f>
        <v/>
      </c>
      <c r="E15" s="25">
        <f>IF(C15="","",IFERROR(INDEX(lst_JobName,MATCH(C15&amp;"",lst_Jobs,0)),""))</f>
        <v/>
      </c>
      <c r="F15" s="25">
        <f>IF(C15="","",IFERROR(INDEX(tbl_Finance[Client],IFERROR(MATCH(C15&amp;"",tbl_Finance[Job Number],0),MATCH(IFERROR(C15+0,C15),tbl_Finance[Job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6" t="n"/>
      <c r="L15" s="27">
        <f>IF(C15="","",IF(K15="",0,MAX(0,K15-H15)))</f>
        <v/>
      </c>
      <c r="M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N15" s="27">
        <f>IF(C15="","",SUMIFS(tbl_Finance[Inc GST],tbl_Finance[Job Number],C15&amp;""))</f>
        <v/>
      </c>
      <c r="O15" s="24" t="n"/>
      <c r="P15" s="25">
        <f>IF(C15="","",IFERROR(INDEX(tbl_Finance[Description],MATCH(C15&amp;"",tbl_Finance[Job Number],0)),""))</f>
        <v/>
      </c>
      <c r="Q15" s="24" t="n"/>
      <c r="R15" s="24" t="n"/>
      <c r="S15" s="22" t="n"/>
      <c r="T15" s="24" t="n"/>
      <c r="U15" s="25">
        <f>IF(T15="","",IF(AND(LEFT(T15,4)&lt;&gt;"http",set_RMSBase=""),"",HYPERLINK(IF(LEFT(T15,4)="http",T15,set_RMSBase&amp;T15),"Open opportunity")))</f>
        <v/>
      </c>
      <c r="V15" s="24" t="n"/>
      <c r="W15" s="25">
        <f>IF(V15="","",HYPERLINK(IF(LEFT(V15,4)="http",V15,set_QwilrBase&amp;V15),"Open quote"))</f>
        <v/>
      </c>
      <c r="X15" s="25">
        <f>IF(C15="","",C15)</f>
        <v/>
      </c>
      <c r="Y15" s="24" t="n"/>
      <c r="Z15" s="26" t="n"/>
      <c r="AA15" s="27">
        <f>IF(C15="","",H15+N(Z15))</f>
        <v/>
      </c>
      <c r="AB15" s="29">
        <f>IFERROR(Z15/AA15,"")</f>
        <v/>
      </c>
      <c r="AC15" s="26" t="n"/>
      <c r="AD15" s="26" t="n"/>
      <c r="AE15" s="26" t="n"/>
      <c r="AF15" s="26" t="n"/>
      <c r="AG15" s="27">
        <f>IF(C15="","",SUMIFS(tbl_Finance[Ex GST],tbl_Finance[Job Number],C15&amp;"",tbl_Finance[Cost Centre],"VIDEO"))</f>
        <v/>
      </c>
      <c r="AH15" s="29">
        <f>IFERROR(AG15/H15,"")</f>
        <v/>
      </c>
      <c r="AI15" s="27">
        <f>IF(C15="","",N(AC15)+N(AD15)+N(AE15)+N(AF15))</f>
        <v/>
      </c>
      <c r="AJ15" s="27">
        <f>IF(C15="","",H15+L15-AI15)</f>
        <v/>
      </c>
      <c r="AK15" s="29">
        <f>IFERROR(AJ15/(H15+L15),"")</f>
        <v/>
      </c>
      <c r="AL15" s="71" t="n"/>
      <c r="AM15" s="71" t="n"/>
      <c r="AN15" s="71" t="n"/>
      <c r="AO15" s="71" t="n"/>
      <c r="AP15" s="71" t="n"/>
      <c r="AQ15" s="24" t="n"/>
    </row>
    <row r="16" ht="15" customHeight="1">
      <c r="A16" s="70">
        <f>IF(C16="","",IFERROR(IF(SUMPRODUCT(MAX((tbl_Finance[Job Number]&amp;""=C16&amp;"")*(tbl_Finance[Xero Invoice No]&lt;&gt;"")*tbl_Finance[Date]))=0,"",SUMPRODUCT(MAX((tbl_Finance[Job Number]&amp;""=C16&amp;"")*(tbl_Finance[Xero Invoice No]&lt;&gt;"")*tbl_Finance[Date]))),""))</f>
        <v/>
      </c>
      <c r="B16" s="25">
        <f>IF(C16="","",IF(COUNTIFS(tbl_Finance[Job Number],C16&amp;"",tbl_Finance[Xero Invoice No],"&lt;&gt;")=0,"",IFERROR(IF(COUNTIFS(tbl_Finance[Job Number],C16&amp;"",tbl_Finance[Xero Invoice No],LOOKUP(2,1/((tbl_Finance[Job Number]&amp;""=C16&amp;"")*(tbl_Finance[Xero Invoice No]&lt;&gt;"")),tbl_Finance[Xero Invoice No]))=COUNTIFS(tbl_Finance[Job Number],C16&amp;"",tbl_Finance[Xero Invoice No],"&lt;&gt;"),LOOKUP(2,1/((tbl_Finance[Job Number]&amp;""=C16&amp;"")*(tbl_Finance[Xero Invoice No]&lt;&gt;"")),tbl_Finance[Xero Invoice No]),LOOKUP(2,1/((tbl_Finance[Job Number]&amp;""=C16&amp;"")*(tbl_Finance[Xero Invoice No]&lt;&gt;"")),tbl_Finance[Xero Invoice No])&amp;" +more"),"")))</f>
        <v/>
      </c>
      <c r="C16" s="24" t="n"/>
      <c r="D16" s="25">
        <f>IF(C16="","",IF(COUNTIF(lst_Jobs,C16&amp;"")&gt;0,"OK","CHECK"))</f>
        <v/>
      </c>
      <c r="E16" s="25">
        <f>IF(C16="","",IFERROR(INDEX(lst_JobName,MATCH(C16&amp;"",lst_Jobs,0)),""))</f>
        <v/>
      </c>
      <c r="F16" s="25">
        <f>IF(C16="","",IFERROR(INDEX(tbl_Finance[Client],IFERROR(MATCH(C16&amp;"",tbl_Finance[Job Number],0),MATCH(IFERROR(C16+0,C16),tbl_Finance[Job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6" t="n"/>
      <c r="L16" s="27">
        <f>IF(C16="","",IF(K16="",0,MAX(0,K16-H16)))</f>
        <v/>
      </c>
      <c r="M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N16" s="27">
        <f>IF(C16="","",SUMIFS(tbl_Finance[Inc GST],tbl_Finance[Job Number],C16&amp;""))</f>
        <v/>
      </c>
      <c r="O16" s="24" t="n"/>
      <c r="P16" s="25">
        <f>IF(C16="","",IFERROR(INDEX(tbl_Finance[Description],MATCH(C16&amp;"",tbl_Finance[Job Number],0)),""))</f>
        <v/>
      </c>
      <c r="Q16" s="24" t="n"/>
      <c r="R16" s="24" t="n"/>
      <c r="S16" s="22" t="n"/>
      <c r="T16" s="24" t="n"/>
      <c r="U16" s="25">
        <f>IF(T16="","",IF(AND(LEFT(T16,4)&lt;&gt;"http",set_RMSBase=""),"",HYPERLINK(IF(LEFT(T16,4)="http",T16,set_RMSBase&amp;T16),"Open opportunity")))</f>
        <v/>
      </c>
      <c r="V16" s="24" t="n"/>
      <c r="W16" s="25">
        <f>IF(V16="","",HYPERLINK(IF(LEFT(V16,4)="http",V16,set_QwilrBase&amp;V16),"Open quote"))</f>
        <v/>
      </c>
      <c r="X16" s="25">
        <f>IF(C16="","",C16)</f>
        <v/>
      </c>
      <c r="Y16" s="24" t="n"/>
      <c r="Z16" s="26" t="n"/>
      <c r="AA16" s="27">
        <f>IF(C16="","",H16+N(Z16))</f>
        <v/>
      </c>
      <c r="AB16" s="29">
        <f>IFERROR(Z16/AA16,"")</f>
        <v/>
      </c>
      <c r="AC16" s="26" t="n"/>
      <c r="AD16" s="26" t="n"/>
      <c r="AE16" s="26" t="n"/>
      <c r="AF16" s="26" t="n"/>
      <c r="AG16" s="27">
        <f>IF(C16="","",SUMIFS(tbl_Finance[Ex GST],tbl_Finance[Job Number],C16&amp;"",tbl_Finance[Cost Centre],"VIDEO"))</f>
        <v/>
      </c>
      <c r="AH16" s="29">
        <f>IFERROR(AG16/H16,"")</f>
        <v/>
      </c>
      <c r="AI16" s="27">
        <f>IF(C16="","",N(AC16)+N(AD16)+N(AE16)+N(AF16))</f>
        <v/>
      </c>
      <c r="AJ16" s="27">
        <f>IF(C16="","",H16+L16-AI16)</f>
        <v/>
      </c>
      <c r="AK16" s="29">
        <f>IFERROR(AJ16/(H16+L16),"")</f>
        <v/>
      </c>
      <c r="AL16" s="71" t="n"/>
      <c r="AM16" s="71" t="n"/>
      <c r="AN16" s="71" t="n"/>
      <c r="AO16" s="71" t="n"/>
      <c r="AP16" s="71" t="n"/>
      <c r="AQ16" s="24" t="n"/>
    </row>
    <row r="17" ht="15" customHeight="1">
      <c r="A17" s="70">
        <f>IF(C17="","",IFERROR(IF(SUMPRODUCT(MAX((tbl_Finance[Job Number]&amp;""=C17&amp;"")*(tbl_Finance[Xero Invoice No]&lt;&gt;"")*tbl_Finance[Date]))=0,"",SUMPRODUCT(MAX((tbl_Finance[Job Number]&amp;""=C17&amp;"")*(tbl_Finance[Xero Invoice No]&lt;&gt;"")*tbl_Finance[Date]))),""))</f>
        <v/>
      </c>
      <c r="B17" s="25">
        <f>IF(C17="","",IF(COUNTIFS(tbl_Finance[Job Number],C17&amp;"",tbl_Finance[Xero Invoice No],"&lt;&gt;")=0,"",IFERROR(IF(COUNTIFS(tbl_Finance[Job Number],C17&amp;"",tbl_Finance[Xero Invoice No],LOOKUP(2,1/((tbl_Finance[Job Number]&amp;""=C17&amp;"")*(tbl_Finance[Xero Invoice No]&lt;&gt;"")),tbl_Finance[Xero Invoice No]))=COUNTIFS(tbl_Finance[Job Number],C17&amp;"",tbl_Finance[Xero Invoice No],"&lt;&gt;"),LOOKUP(2,1/((tbl_Finance[Job Number]&amp;""=C17&amp;"")*(tbl_Finance[Xero Invoice No]&lt;&gt;"")),tbl_Finance[Xero Invoice No]),LOOKUP(2,1/((tbl_Finance[Job Number]&amp;""=C17&amp;"")*(tbl_Finance[Xero Invoice No]&lt;&gt;"")),tbl_Finance[Xero Invoice No])&amp;" +more"),"")))</f>
        <v/>
      </c>
      <c r="C17" s="24" t="n"/>
      <c r="D17" s="25">
        <f>IF(C17="","",IF(COUNTIF(lst_Jobs,C17&amp;"")&gt;0,"OK","CHECK"))</f>
        <v/>
      </c>
      <c r="E17" s="25">
        <f>IF(C17="","",IFERROR(INDEX(lst_JobName,MATCH(C17&amp;"",lst_Jobs,0)),""))</f>
        <v/>
      </c>
      <c r="F17" s="25">
        <f>IF(C17="","",IFERROR(INDEX(tbl_Finance[Client],IFERROR(MATCH(C17&amp;"",tbl_Finance[Job Number],0),MATCH(IFERROR(C17+0,C17),tbl_Finance[Job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6" t="n"/>
      <c r="L17" s="27">
        <f>IF(C17="","",IF(K17="",0,MAX(0,K17-H17)))</f>
        <v/>
      </c>
      <c r="M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N17" s="27">
        <f>IF(C17="","",SUMIFS(tbl_Finance[Inc GST],tbl_Finance[Job Number],C17&amp;""))</f>
        <v/>
      </c>
      <c r="O17" s="24" t="n"/>
      <c r="P17" s="25">
        <f>IF(C17="","",IFERROR(INDEX(tbl_Finance[Description],MATCH(C17&amp;"",tbl_Finance[Job Number],0)),""))</f>
        <v/>
      </c>
      <c r="Q17" s="24" t="n"/>
      <c r="R17" s="24" t="n"/>
      <c r="S17" s="22" t="n"/>
      <c r="T17" s="24" t="n"/>
      <c r="U17" s="25">
        <f>IF(T17="","",IF(AND(LEFT(T17,4)&lt;&gt;"http",set_RMSBase=""),"",HYPERLINK(IF(LEFT(T17,4)="http",T17,set_RMSBase&amp;T17),"Open opportunity")))</f>
        <v/>
      </c>
      <c r="V17" s="24" t="n"/>
      <c r="W17" s="25">
        <f>IF(V17="","",HYPERLINK(IF(LEFT(V17,4)="http",V17,set_QwilrBase&amp;V17),"Open quote"))</f>
        <v/>
      </c>
      <c r="X17" s="25">
        <f>IF(C17="","",C17)</f>
        <v/>
      </c>
      <c r="Y17" s="24" t="n"/>
      <c r="Z17" s="26" t="n"/>
      <c r="AA17" s="27">
        <f>IF(C17="","",H17+N(Z17))</f>
        <v/>
      </c>
      <c r="AB17" s="29">
        <f>IFERROR(Z17/AA17,"")</f>
        <v/>
      </c>
      <c r="AC17" s="26" t="n"/>
      <c r="AD17" s="26" t="n"/>
      <c r="AE17" s="26" t="n"/>
      <c r="AF17" s="26" t="n"/>
      <c r="AG17" s="27">
        <f>IF(C17="","",SUMIFS(tbl_Finance[Ex GST],tbl_Finance[Job Number],C17&amp;"",tbl_Finance[Cost Centre],"VIDEO"))</f>
        <v/>
      </c>
      <c r="AH17" s="29">
        <f>IFERROR(AG17/H17,"")</f>
        <v/>
      </c>
      <c r="AI17" s="27">
        <f>IF(C17="","",N(AC17)+N(AD17)+N(AE17)+N(AF17))</f>
        <v/>
      </c>
      <c r="AJ17" s="27">
        <f>IF(C17="","",H17+L17-AI17)</f>
        <v/>
      </c>
      <c r="AK17" s="29">
        <f>IFERROR(AJ17/(H17+L17),"")</f>
        <v/>
      </c>
      <c r="AL17" s="71" t="n"/>
      <c r="AM17" s="71" t="n"/>
      <c r="AN17" s="71" t="n"/>
      <c r="AO17" s="71" t="n"/>
      <c r="AP17" s="71" t="n"/>
      <c r="AQ17" s="24" t="n"/>
    </row>
    <row r="18" ht="15" customHeight="1">
      <c r="A18" s="70">
        <f>IF(C18="","",IFERROR(IF(SUMPRODUCT(MAX((tbl_Finance[Job Number]&amp;""=C18&amp;"")*(tbl_Finance[Xero Invoice No]&lt;&gt;"")*tbl_Finance[Date]))=0,"",SUMPRODUCT(MAX((tbl_Finance[Job Number]&amp;""=C18&amp;"")*(tbl_Finance[Xero Invoice No]&lt;&gt;"")*tbl_Finance[Date]))),""))</f>
        <v/>
      </c>
      <c r="B18" s="25">
        <f>IF(C18="","",IF(COUNTIFS(tbl_Finance[Job Number],C18&amp;"",tbl_Finance[Xero Invoice No],"&lt;&gt;")=0,"",IFERROR(IF(COUNTIFS(tbl_Finance[Job Number],C18&amp;"",tbl_Finance[Xero Invoice No],LOOKUP(2,1/((tbl_Finance[Job Number]&amp;""=C18&amp;"")*(tbl_Finance[Xero Invoice No]&lt;&gt;"")),tbl_Finance[Xero Invoice No]))=COUNTIFS(tbl_Finance[Job Number],C18&amp;"",tbl_Finance[Xero Invoice No],"&lt;&gt;"),LOOKUP(2,1/((tbl_Finance[Job Number]&amp;""=C18&amp;"")*(tbl_Finance[Xero Invoice No]&lt;&gt;"")),tbl_Finance[Xero Invoice No]),LOOKUP(2,1/((tbl_Finance[Job Number]&amp;""=C18&amp;"")*(tbl_Finance[Xero Invoice No]&lt;&gt;"")),tbl_Finance[Xero Invoice No])&amp;" +more"),"")))</f>
        <v/>
      </c>
      <c r="C18" s="24" t="n"/>
      <c r="D18" s="25">
        <f>IF(C18="","",IF(COUNTIF(lst_Jobs,C18&amp;"")&gt;0,"OK","CHECK"))</f>
        <v/>
      </c>
      <c r="E18" s="25">
        <f>IF(C18="","",IFERROR(INDEX(lst_JobName,MATCH(C18&amp;"",lst_Jobs,0)),""))</f>
        <v/>
      </c>
      <c r="F18" s="25">
        <f>IF(C18="","",IFERROR(INDEX(tbl_Finance[Client],IFERROR(MATCH(C18&amp;"",tbl_Finance[Job Number],0),MATCH(IFERROR(C18+0,C18),tbl_Finance[Job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6" t="n"/>
      <c r="L18" s="27">
        <f>IF(C18="","",IF(K18="",0,MAX(0,K18-H18)))</f>
        <v/>
      </c>
      <c r="M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N18" s="27">
        <f>IF(C18="","",SUMIFS(tbl_Finance[Inc GST],tbl_Finance[Job Number],C18&amp;""))</f>
        <v/>
      </c>
      <c r="O18" s="24" t="n"/>
      <c r="P18" s="25">
        <f>IF(C18="","",IFERROR(INDEX(tbl_Finance[Description],MATCH(C18&amp;"",tbl_Finance[Job Number],0)),""))</f>
        <v/>
      </c>
      <c r="Q18" s="24" t="n"/>
      <c r="R18" s="24" t="n"/>
      <c r="S18" s="22" t="n"/>
      <c r="T18" s="24" t="n"/>
      <c r="U18" s="25">
        <f>IF(T18="","",IF(AND(LEFT(T18,4)&lt;&gt;"http",set_RMSBase=""),"",HYPERLINK(IF(LEFT(T18,4)="http",T18,set_RMSBase&amp;T18),"Open opportunity")))</f>
        <v/>
      </c>
      <c r="V18" s="24" t="n"/>
      <c r="W18" s="25">
        <f>IF(V18="","",HYPERLINK(IF(LEFT(V18,4)="http",V18,set_QwilrBase&amp;V18),"Open quote"))</f>
        <v/>
      </c>
      <c r="X18" s="25">
        <f>IF(C18="","",C18)</f>
        <v/>
      </c>
      <c r="Y18" s="24" t="n"/>
      <c r="Z18" s="26" t="n"/>
      <c r="AA18" s="27">
        <f>IF(C18="","",H18+N(Z18))</f>
        <v/>
      </c>
      <c r="AB18" s="29">
        <f>IFERROR(Z18/AA18,"")</f>
        <v/>
      </c>
      <c r="AC18" s="26" t="n"/>
      <c r="AD18" s="26" t="n"/>
      <c r="AE18" s="26" t="n"/>
      <c r="AF18" s="26" t="n"/>
      <c r="AG18" s="27">
        <f>IF(C18="","",SUMIFS(tbl_Finance[Ex GST],tbl_Finance[Job Number],C18&amp;"",tbl_Finance[Cost Centre],"VIDEO"))</f>
        <v/>
      </c>
      <c r="AH18" s="29">
        <f>IFERROR(AG18/H18,"")</f>
        <v/>
      </c>
      <c r="AI18" s="27">
        <f>IF(C18="","",N(AC18)+N(AD18)+N(AE18)+N(AF18))</f>
        <v/>
      </c>
      <c r="AJ18" s="27">
        <f>IF(C18="","",H18+L18-AI18)</f>
        <v/>
      </c>
      <c r="AK18" s="29">
        <f>IFERROR(AJ18/(H18+L18),"")</f>
        <v/>
      </c>
      <c r="AL18" s="71" t="n"/>
      <c r="AM18" s="71" t="n"/>
      <c r="AN18" s="71" t="n"/>
      <c r="AO18" s="71" t="n"/>
      <c r="AP18" s="71" t="n"/>
      <c r="AQ18" s="24" t="n"/>
    </row>
    <row r="19" ht="15" customHeight="1">
      <c r="A19" s="70">
        <f>IF(C19="","",IFERROR(IF(SUMPRODUCT(MAX((tbl_Finance[Job Number]&amp;""=C19&amp;"")*(tbl_Finance[Xero Invoice No]&lt;&gt;"")*tbl_Finance[Date]))=0,"",SUMPRODUCT(MAX((tbl_Finance[Job Number]&amp;""=C19&amp;"")*(tbl_Finance[Xero Invoice No]&lt;&gt;"")*tbl_Finance[Date]))),""))</f>
        <v/>
      </c>
      <c r="B19" s="25">
        <f>IF(C19="","",IF(COUNTIFS(tbl_Finance[Job Number],C19&amp;"",tbl_Finance[Xero Invoice No],"&lt;&gt;")=0,"",IFERROR(IF(COUNTIFS(tbl_Finance[Job Number],C19&amp;"",tbl_Finance[Xero Invoice No],LOOKUP(2,1/((tbl_Finance[Job Number]&amp;""=C19&amp;"")*(tbl_Finance[Xero Invoice No]&lt;&gt;"")),tbl_Finance[Xero Invoice No]))=COUNTIFS(tbl_Finance[Job Number],C19&amp;"",tbl_Finance[Xero Invoice No],"&lt;&gt;"),LOOKUP(2,1/((tbl_Finance[Job Number]&amp;""=C19&amp;"")*(tbl_Finance[Xero Invoice No]&lt;&gt;"")),tbl_Finance[Xero Invoice No]),LOOKUP(2,1/((tbl_Finance[Job Number]&amp;""=C19&amp;"")*(tbl_Finance[Xero Invoice No]&lt;&gt;"")),tbl_Finance[Xero Invoice No])&amp;" +more"),"")))</f>
        <v/>
      </c>
      <c r="C19" s="24" t="n"/>
      <c r="D19" s="25">
        <f>IF(C19="","",IF(COUNTIF(lst_Jobs,C19&amp;"")&gt;0,"OK","CHECK"))</f>
        <v/>
      </c>
      <c r="E19" s="25">
        <f>IF(C19="","",IFERROR(INDEX(lst_JobName,MATCH(C19&amp;"",lst_Jobs,0)),""))</f>
        <v/>
      </c>
      <c r="F19" s="25">
        <f>IF(C19="","",IFERROR(INDEX(tbl_Finance[Client],IFERROR(MATCH(C19&amp;"",tbl_Finance[Job Number],0),MATCH(IFERROR(C19+0,C19),tbl_Finance[Job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6" t="n"/>
      <c r="L19" s="27">
        <f>IF(C19="","",IF(K19="",0,MAX(0,K19-H19)))</f>
        <v/>
      </c>
      <c r="M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N19" s="27">
        <f>IF(C19="","",SUMIFS(tbl_Finance[Inc GST],tbl_Finance[Job Number],C19&amp;""))</f>
        <v/>
      </c>
      <c r="O19" s="24" t="n"/>
      <c r="P19" s="25">
        <f>IF(C19="","",IFERROR(INDEX(tbl_Finance[Description],MATCH(C19&amp;"",tbl_Finance[Job Number],0)),""))</f>
        <v/>
      </c>
      <c r="Q19" s="24" t="n"/>
      <c r="R19" s="24" t="n"/>
      <c r="S19" s="22" t="n"/>
      <c r="T19" s="24" t="n"/>
      <c r="U19" s="25">
        <f>IF(T19="","",IF(AND(LEFT(T19,4)&lt;&gt;"http",set_RMSBase=""),"",HYPERLINK(IF(LEFT(T19,4)="http",T19,set_RMSBase&amp;T19),"Open opportunity")))</f>
        <v/>
      </c>
      <c r="V19" s="24" t="n"/>
      <c r="W19" s="25">
        <f>IF(V19="","",HYPERLINK(IF(LEFT(V19,4)="http",V19,set_QwilrBase&amp;V19),"Open quote"))</f>
        <v/>
      </c>
      <c r="X19" s="25">
        <f>IF(C19="","",C19)</f>
        <v/>
      </c>
      <c r="Y19" s="24" t="n"/>
      <c r="Z19" s="26" t="n"/>
      <c r="AA19" s="27">
        <f>IF(C19="","",H19+N(Z19))</f>
        <v/>
      </c>
      <c r="AB19" s="29">
        <f>IFERROR(Z19/AA19,"")</f>
        <v/>
      </c>
      <c r="AC19" s="26" t="n"/>
      <c r="AD19" s="26" t="n"/>
      <c r="AE19" s="26" t="n"/>
      <c r="AF19" s="26" t="n"/>
      <c r="AG19" s="27">
        <f>IF(C19="","",SUMIFS(tbl_Finance[Ex GST],tbl_Finance[Job Number],C19&amp;"",tbl_Finance[Cost Centre],"VIDEO"))</f>
        <v/>
      </c>
      <c r="AH19" s="29">
        <f>IFERROR(AG19/H19,"")</f>
        <v/>
      </c>
      <c r="AI19" s="27">
        <f>IF(C19="","",N(AC19)+N(AD19)+N(AE19)+N(AF19))</f>
        <v/>
      </c>
      <c r="AJ19" s="27">
        <f>IF(C19="","",H19+L19-AI19)</f>
        <v/>
      </c>
      <c r="AK19" s="29">
        <f>IFERROR(AJ19/(H19+L19),"")</f>
        <v/>
      </c>
      <c r="AL19" s="71" t="n"/>
      <c r="AM19" s="71" t="n"/>
      <c r="AN19" s="71" t="n"/>
      <c r="AO19" s="71" t="n"/>
      <c r="AP19" s="71" t="n"/>
      <c r="AQ19" s="24" t="n"/>
    </row>
    <row r="20" ht="15" customHeight="1">
      <c r="A20" s="70">
        <f>IF(C20="","",IFERROR(IF(SUMPRODUCT(MAX((tbl_Finance[Job Number]&amp;""=C20&amp;"")*(tbl_Finance[Xero Invoice No]&lt;&gt;"")*tbl_Finance[Date]))=0,"",SUMPRODUCT(MAX((tbl_Finance[Job Number]&amp;""=C20&amp;"")*(tbl_Finance[Xero Invoice No]&lt;&gt;"")*tbl_Finance[Date]))),""))</f>
        <v/>
      </c>
      <c r="B20" s="25">
        <f>IF(C20="","",IF(COUNTIFS(tbl_Finance[Job Number],C20&amp;"",tbl_Finance[Xero Invoice No],"&lt;&gt;")=0,"",IFERROR(IF(COUNTIFS(tbl_Finance[Job Number],C20&amp;"",tbl_Finance[Xero Invoice No],LOOKUP(2,1/((tbl_Finance[Job Number]&amp;""=C20&amp;"")*(tbl_Finance[Xero Invoice No]&lt;&gt;"")),tbl_Finance[Xero Invoice No]))=COUNTIFS(tbl_Finance[Job Number],C20&amp;"",tbl_Finance[Xero Invoice No],"&lt;&gt;"),LOOKUP(2,1/((tbl_Finance[Job Number]&amp;""=C20&amp;"")*(tbl_Finance[Xero Invoice No]&lt;&gt;"")),tbl_Finance[Xero Invoice No]),LOOKUP(2,1/((tbl_Finance[Job Number]&amp;""=C20&amp;"")*(tbl_Finance[Xero Invoice No]&lt;&gt;"")),tbl_Finance[Xero Invoice No])&amp;" +more"),"")))</f>
        <v/>
      </c>
      <c r="C20" s="24" t="n"/>
      <c r="D20" s="25">
        <f>IF(C20="","",IF(COUNTIF(lst_Jobs,C20&amp;"")&gt;0,"OK","CHECK"))</f>
        <v/>
      </c>
      <c r="E20" s="25">
        <f>IF(C20="","",IFERROR(INDEX(lst_JobName,MATCH(C20&amp;"",lst_Jobs,0)),""))</f>
        <v/>
      </c>
      <c r="F20" s="25">
        <f>IF(C20="","",IFERROR(INDEX(tbl_Finance[Client],IFERROR(MATCH(C20&amp;"",tbl_Finance[Job Number],0),MATCH(IFERROR(C20+0,C20),tbl_Finance[Job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6" t="n"/>
      <c r="L20" s="27">
        <f>IF(C20="","",IF(K20="",0,MAX(0,K20-H20)))</f>
        <v/>
      </c>
      <c r="M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N20" s="27">
        <f>IF(C20="","",SUMIFS(tbl_Finance[Inc GST],tbl_Finance[Job Number],C20&amp;""))</f>
        <v/>
      </c>
      <c r="O20" s="24" t="n"/>
      <c r="P20" s="25">
        <f>IF(C20="","",IFERROR(INDEX(tbl_Finance[Description],MATCH(C20&amp;"",tbl_Finance[Job Number],0)),""))</f>
        <v/>
      </c>
      <c r="Q20" s="24" t="n"/>
      <c r="R20" s="24" t="n"/>
      <c r="S20" s="22" t="n"/>
      <c r="T20" s="24" t="n"/>
      <c r="U20" s="25">
        <f>IF(T20="","",IF(AND(LEFT(T20,4)&lt;&gt;"http",set_RMSBase=""),"",HYPERLINK(IF(LEFT(T20,4)="http",T20,set_RMSBase&amp;T20),"Open opportunity")))</f>
        <v/>
      </c>
      <c r="V20" s="24" t="n"/>
      <c r="W20" s="25">
        <f>IF(V20="","",HYPERLINK(IF(LEFT(V20,4)="http",V20,set_QwilrBase&amp;V20),"Open quote"))</f>
        <v/>
      </c>
      <c r="X20" s="25">
        <f>IF(C20="","",C20)</f>
        <v/>
      </c>
      <c r="Y20" s="24" t="n"/>
      <c r="Z20" s="26" t="n"/>
      <c r="AA20" s="27">
        <f>IF(C20="","",H20+N(Z20))</f>
        <v/>
      </c>
      <c r="AB20" s="29">
        <f>IFERROR(Z20/AA20,"")</f>
        <v/>
      </c>
      <c r="AC20" s="26" t="n"/>
      <c r="AD20" s="26" t="n"/>
      <c r="AE20" s="26" t="n"/>
      <c r="AF20" s="26" t="n"/>
      <c r="AG20" s="27">
        <f>IF(C20="","",SUMIFS(tbl_Finance[Ex GST],tbl_Finance[Job Number],C20&amp;"",tbl_Finance[Cost Centre],"VIDEO"))</f>
        <v/>
      </c>
      <c r="AH20" s="29">
        <f>IFERROR(AG20/H20,"")</f>
        <v/>
      </c>
      <c r="AI20" s="27">
        <f>IF(C20="","",N(AC20)+N(AD20)+N(AE20)+N(AF20))</f>
        <v/>
      </c>
      <c r="AJ20" s="27">
        <f>IF(C20="","",H20+L20-AI20)</f>
        <v/>
      </c>
      <c r="AK20" s="29">
        <f>IFERROR(AJ20/(H20+L20),"")</f>
        <v/>
      </c>
      <c r="AL20" s="71" t="n"/>
      <c r="AM20" s="71" t="n"/>
      <c r="AN20" s="71" t="n"/>
      <c r="AO20" s="71" t="n"/>
      <c r="AP20" s="71" t="n"/>
      <c r="AQ20" s="24" t="n"/>
    </row>
    <row r="21" ht="15" customHeight="1">
      <c r="A21" s="70">
        <f>IF(C21="","",IFERROR(IF(SUMPRODUCT(MAX((tbl_Finance[Job Number]&amp;""=C21&amp;"")*(tbl_Finance[Xero Invoice No]&lt;&gt;"")*tbl_Finance[Date]))=0,"",SUMPRODUCT(MAX((tbl_Finance[Job Number]&amp;""=C21&amp;"")*(tbl_Finance[Xero Invoice No]&lt;&gt;"")*tbl_Finance[Date]))),""))</f>
        <v/>
      </c>
      <c r="B21" s="25">
        <f>IF(C21="","",IF(COUNTIFS(tbl_Finance[Job Number],C21&amp;"",tbl_Finance[Xero Invoice No],"&lt;&gt;")=0,"",IFERROR(IF(COUNTIFS(tbl_Finance[Job Number],C21&amp;"",tbl_Finance[Xero Invoice No],LOOKUP(2,1/((tbl_Finance[Job Number]&amp;""=C21&amp;"")*(tbl_Finance[Xero Invoice No]&lt;&gt;"")),tbl_Finance[Xero Invoice No]))=COUNTIFS(tbl_Finance[Job Number],C21&amp;"",tbl_Finance[Xero Invoice No],"&lt;&gt;"),LOOKUP(2,1/((tbl_Finance[Job Number]&amp;""=C21&amp;"")*(tbl_Finance[Xero Invoice No]&lt;&gt;"")),tbl_Finance[Xero Invoice No]),LOOKUP(2,1/((tbl_Finance[Job Number]&amp;""=C21&amp;"")*(tbl_Finance[Xero Invoice No]&lt;&gt;"")),tbl_Finance[Xero Invoice No])&amp;" +more"),"")))</f>
        <v/>
      </c>
      <c r="C21" s="24" t="n"/>
      <c r="D21" s="25">
        <f>IF(C21="","",IF(COUNTIF(lst_Jobs,C21&amp;"")&gt;0,"OK","CHECK"))</f>
        <v/>
      </c>
      <c r="E21" s="25">
        <f>IF(C21="","",IFERROR(INDEX(lst_JobName,MATCH(C21&amp;"",lst_Jobs,0)),""))</f>
        <v/>
      </c>
      <c r="F21" s="25">
        <f>IF(C21="","",IFERROR(INDEX(tbl_Finance[Client],IFERROR(MATCH(C21&amp;"",tbl_Finance[Job Number],0),MATCH(IFERROR(C21+0,C21),tbl_Finance[Job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6" t="n"/>
      <c r="L21" s="27">
        <f>IF(C21="","",IF(K21="",0,MAX(0,K21-H21)))</f>
        <v/>
      </c>
      <c r="M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N21" s="27">
        <f>IF(C21="","",SUMIFS(tbl_Finance[Inc GST],tbl_Finance[Job Number],C21&amp;""))</f>
        <v/>
      </c>
      <c r="O21" s="24" t="n"/>
      <c r="P21" s="25">
        <f>IF(C21="","",IFERROR(INDEX(tbl_Finance[Description],MATCH(C21&amp;"",tbl_Finance[Job Number],0)),""))</f>
        <v/>
      </c>
      <c r="Q21" s="24" t="n"/>
      <c r="R21" s="24" t="n"/>
      <c r="S21" s="22" t="n"/>
      <c r="T21" s="24" t="n"/>
      <c r="U21" s="25">
        <f>IF(T21="","",IF(AND(LEFT(T21,4)&lt;&gt;"http",set_RMSBase=""),"",HYPERLINK(IF(LEFT(T21,4)="http",T21,set_RMSBase&amp;T21),"Open opportunity")))</f>
        <v/>
      </c>
      <c r="V21" s="24" t="n"/>
      <c r="W21" s="25">
        <f>IF(V21="","",HYPERLINK(IF(LEFT(V21,4)="http",V21,set_QwilrBase&amp;V21),"Open quote"))</f>
        <v/>
      </c>
      <c r="X21" s="25">
        <f>IF(C21="","",C21)</f>
        <v/>
      </c>
      <c r="Y21" s="24" t="n"/>
      <c r="Z21" s="26" t="n"/>
      <c r="AA21" s="27">
        <f>IF(C21="","",H21+N(Z21))</f>
        <v/>
      </c>
      <c r="AB21" s="29">
        <f>IFERROR(Z21/AA21,"")</f>
        <v/>
      </c>
      <c r="AC21" s="26" t="n"/>
      <c r="AD21" s="26" t="n"/>
      <c r="AE21" s="26" t="n"/>
      <c r="AF21" s="26" t="n"/>
      <c r="AG21" s="27">
        <f>IF(C21="","",SUMIFS(tbl_Finance[Ex GST],tbl_Finance[Job Number],C21&amp;"",tbl_Finance[Cost Centre],"VIDEO"))</f>
        <v/>
      </c>
      <c r="AH21" s="29">
        <f>IFERROR(AG21/H21,"")</f>
        <v/>
      </c>
      <c r="AI21" s="27">
        <f>IF(C21="","",N(AC21)+N(AD21)+N(AE21)+N(AF21))</f>
        <v/>
      </c>
      <c r="AJ21" s="27">
        <f>IF(C21="","",H21+L21-AI21)</f>
        <v/>
      </c>
      <c r="AK21" s="29">
        <f>IFERROR(AJ21/(H21+L21),"")</f>
        <v/>
      </c>
      <c r="AL21" s="71" t="n"/>
      <c r="AM21" s="71" t="n"/>
      <c r="AN21" s="71" t="n"/>
      <c r="AO21" s="71" t="n"/>
      <c r="AP21" s="71" t="n"/>
      <c r="AQ21" s="24" t="n"/>
    </row>
    <row r="22" ht="15" customHeight="1">
      <c r="A22" s="70">
        <f>IF(C22="","",IFERROR(IF(SUMPRODUCT(MAX((tbl_Finance[Job Number]&amp;""=C22&amp;"")*(tbl_Finance[Xero Invoice No]&lt;&gt;"")*tbl_Finance[Date]))=0,"",SUMPRODUCT(MAX((tbl_Finance[Job Number]&amp;""=C22&amp;"")*(tbl_Finance[Xero Invoice No]&lt;&gt;"")*tbl_Finance[Date]))),""))</f>
        <v/>
      </c>
      <c r="B22" s="25">
        <f>IF(C22="","",IF(COUNTIFS(tbl_Finance[Job Number],C22&amp;"",tbl_Finance[Xero Invoice No],"&lt;&gt;")=0,"",IFERROR(IF(COUNTIFS(tbl_Finance[Job Number],C22&amp;"",tbl_Finance[Xero Invoice No],LOOKUP(2,1/((tbl_Finance[Job Number]&amp;""=C22&amp;"")*(tbl_Finance[Xero Invoice No]&lt;&gt;"")),tbl_Finance[Xero Invoice No]))=COUNTIFS(tbl_Finance[Job Number],C22&amp;"",tbl_Finance[Xero Invoice No],"&lt;&gt;"),LOOKUP(2,1/((tbl_Finance[Job Number]&amp;""=C22&amp;"")*(tbl_Finance[Xero Invoice No]&lt;&gt;"")),tbl_Finance[Xero Invoice No]),LOOKUP(2,1/((tbl_Finance[Job Number]&amp;""=C22&amp;"")*(tbl_Finance[Xero Invoice No]&lt;&gt;"")),tbl_Finance[Xero Invoice No])&amp;" +more"),"")))</f>
        <v/>
      </c>
      <c r="C22" s="24" t="n"/>
      <c r="D22" s="25">
        <f>IF(C22="","",IF(COUNTIF(lst_Jobs,C22&amp;"")&gt;0,"OK","CHECK"))</f>
        <v/>
      </c>
      <c r="E22" s="25">
        <f>IF(C22="","",IFERROR(INDEX(lst_JobName,MATCH(C22&amp;"",lst_Jobs,0)),""))</f>
        <v/>
      </c>
      <c r="F22" s="25">
        <f>IF(C22="","",IFERROR(INDEX(tbl_Finance[Client],IFERROR(MATCH(C22&amp;"",tbl_Finance[Job Number],0),MATCH(IFERROR(C22+0,C22),tbl_Finance[Job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6" t="n"/>
      <c r="L22" s="27">
        <f>IF(C22="","",IF(K22="",0,MAX(0,K22-H22)))</f>
        <v/>
      </c>
      <c r="M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N22" s="27">
        <f>IF(C22="","",SUMIFS(tbl_Finance[Inc GST],tbl_Finance[Job Number],C22&amp;""))</f>
        <v/>
      </c>
      <c r="O22" s="24" t="n"/>
      <c r="P22" s="25">
        <f>IF(C22="","",IFERROR(INDEX(tbl_Finance[Description],MATCH(C22&amp;"",tbl_Finance[Job Number],0)),""))</f>
        <v/>
      </c>
      <c r="Q22" s="24" t="n"/>
      <c r="R22" s="24" t="n"/>
      <c r="S22" s="22" t="n"/>
      <c r="T22" s="24" t="n"/>
      <c r="U22" s="25">
        <f>IF(T22="","",IF(AND(LEFT(T22,4)&lt;&gt;"http",set_RMSBase=""),"",HYPERLINK(IF(LEFT(T22,4)="http",T22,set_RMSBase&amp;T22),"Open opportunity")))</f>
        <v/>
      </c>
      <c r="V22" s="24" t="n"/>
      <c r="W22" s="25">
        <f>IF(V22="","",HYPERLINK(IF(LEFT(V22,4)="http",V22,set_QwilrBase&amp;V22),"Open quote"))</f>
        <v/>
      </c>
      <c r="X22" s="25">
        <f>IF(C22="","",C22)</f>
        <v/>
      </c>
      <c r="Y22" s="24" t="n"/>
      <c r="Z22" s="26" t="n"/>
      <c r="AA22" s="27">
        <f>IF(C22="","",H22+N(Z22))</f>
        <v/>
      </c>
      <c r="AB22" s="29">
        <f>IFERROR(Z22/AA22,"")</f>
        <v/>
      </c>
      <c r="AC22" s="26" t="n"/>
      <c r="AD22" s="26" t="n"/>
      <c r="AE22" s="26" t="n"/>
      <c r="AF22" s="26" t="n"/>
      <c r="AG22" s="27">
        <f>IF(C22="","",SUMIFS(tbl_Finance[Ex GST],tbl_Finance[Job Number],C22&amp;"",tbl_Finance[Cost Centre],"VIDEO"))</f>
        <v/>
      </c>
      <c r="AH22" s="29">
        <f>IFERROR(AG22/H22,"")</f>
        <v/>
      </c>
      <c r="AI22" s="27">
        <f>IF(C22="","",N(AC22)+N(AD22)+N(AE22)+N(AF22))</f>
        <v/>
      </c>
      <c r="AJ22" s="27">
        <f>IF(C22="","",H22+L22-AI22)</f>
        <v/>
      </c>
      <c r="AK22" s="29">
        <f>IFERROR(AJ22/(H22+L22),"")</f>
        <v/>
      </c>
      <c r="AL22" s="71" t="n"/>
      <c r="AM22" s="71" t="n"/>
      <c r="AN22" s="71" t="n"/>
      <c r="AO22" s="71" t="n"/>
      <c r="AP22" s="71" t="n"/>
      <c r="AQ22" s="24" t="n"/>
    </row>
    <row r="23" ht="15" customHeight="1">
      <c r="A23" s="70">
        <f>IF(C23="","",IFERROR(IF(SUMPRODUCT(MAX((tbl_Finance[Job Number]&amp;""=C23&amp;"")*(tbl_Finance[Xero Invoice No]&lt;&gt;"")*tbl_Finance[Date]))=0,"",SUMPRODUCT(MAX((tbl_Finance[Job Number]&amp;""=C23&amp;"")*(tbl_Finance[Xero Invoice No]&lt;&gt;"")*tbl_Finance[Date]))),""))</f>
        <v/>
      </c>
      <c r="B23" s="25">
        <f>IF(C23="","",IF(COUNTIFS(tbl_Finance[Job Number],C23&amp;"",tbl_Finance[Xero Invoice No],"&lt;&gt;")=0,"",IFERROR(IF(COUNTIFS(tbl_Finance[Job Number],C23&amp;"",tbl_Finance[Xero Invoice No],LOOKUP(2,1/((tbl_Finance[Job Number]&amp;""=C23&amp;"")*(tbl_Finance[Xero Invoice No]&lt;&gt;"")),tbl_Finance[Xero Invoice No]))=COUNTIFS(tbl_Finance[Job Number],C23&amp;"",tbl_Finance[Xero Invoice No],"&lt;&gt;"),LOOKUP(2,1/((tbl_Finance[Job Number]&amp;""=C23&amp;"")*(tbl_Finance[Xero Invoice No]&lt;&gt;"")),tbl_Finance[Xero Invoice No]),LOOKUP(2,1/((tbl_Finance[Job Number]&amp;""=C23&amp;"")*(tbl_Finance[Xero Invoice No]&lt;&gt;"")),tbl_Finance[Xero Invoice No])&amp;" +more"),"")))</f>
        <v/>
      </c>
      <c r="C23" s="24" t="n"/>
      <c r="D23" s="25">
        <f>IF(C23="","",IF(COUNTIF(lst_Jobs,C23&amp;"")&gt;0,"OK","CHECK"))</f>
        <v/>
      </c>
      <c r="E23" s="25">
        <f>IF(C23="","",IFERROR(INDEX(lst_JobName,MATCH(C23&amp;"",lst_Jobs,0)),""))</f>
        <v/>
      </c>
      <c r="F23" s="25">
        <f>IF(C23="","",IFERROR(INDEX(tbl_Finance[Client],IFERROR(MATCH(C23&amp;"",tbl_Finance[Job Number],0),MATCH(IFERROR(C23+0,C23),tbl_Finance[Job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6" t="n"/>
      <c r="L23" s="27">
        <f>IF(C23="","",IF(K23="",0,MAX(0,K23-H23)))</f>
        <v/>
      </c>
      <c r="M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N23" s="27">
        <f>IF(C23="","",SUMIFS(tbl_Finance[Inc GST],tbl_Finance[Job Number],C23&amp;""))</f>
        <v/>
      </c>
      <c r="O23" s="24" t="n"/>
      <c r="P23" s="25">
        <f>IF(C23="","",IFERROR(INDEX(tbl_Finance[Description],MATCH(C23&amp;"",tbl_Finance[Job Number],0)),""))</f>
        <v/>
      </c>
      <c r="Q23" s="24" t="n"/>
      <c r="R23" s="24" t="n"/>
      <c r="S23" s="22" t="n"/>
      <c r="T23" s="24" t="n"/>
      <c r="U23" s="25">
        <f>IF(T23="","",IF(AND(LEFT(T23,4)&lt;&gt;"http",set_RMSBase=""),"",HYPERLINK(IF(LEFT(T23,4)="http",T23,set_RMSBase&amp;T23),"Open opportunity")))</f>
        <v/>
      </c>
      <c r="V23" s="24" t="n"/>
      <c r="W23" s="25">
        <f>IF(V23="","",HYPERLINK(IF(LEFT(V23,4)="http",V23,set_QwilrBase&amp;V23),"Open quote"))</f>
        <v/>
      </c>
      <c r="X23" s="25">
        <f>IF(C23="","",C23)</f>
        <v/>
      </c>
      <c r="Y23" s="24" t="n"/>
      <c r="Z23" s="26" t="n"/>
      <c r="AA23" s="27">
        <f>IF(C23="","",H23+N(Z23))</f>
        <v/>
      </c>
      <c r="AB23" s="29">
        <f>IFERROR(Z23/AA23,"")</f>
        <v/>
      </c>
      <c r="AC23" s="26" t="n"/>
      <c r="AD23" s="26" t="n"/>
      <c r="AE23" s="26" t="n"/>
      <c r="AF23" s="26" t="n"/>
      <c r="AG23" s="27">
        <f>IF(C23="","",SUMIFS(tbl_Finance[Ex GST],tbl_Finance[Job Number],C23&amp;"",tbl_Finance[Cost Centre],"VIDEO"))</f>
        <v/>
      </c>
      <c r="AH23" s="29">
        <f>IFERROR(AG23/H23,"")</f>
        <v/>
      </c>
      <c r="AI23" s="27">
        <f>IF(C23="","",N(AC23)+N(AD23)+N(AE23)+N(AF23))</f>
        <v/>
      </c>
      <c r="AJ23" s="27">
        <f>IF(C23="","",H23+L23-AI23)</f>
        <v/>
      </c>
      <c r="AK23" s="29">
        <f>IFERROR(AJ23/(H23+L23),"")</f>
        <v/>
      </c>
      <c r="AL23" s="71" t="n"/>
      <c r="AM23" s="71" t="n"/>
      <c r="AN23" s="71" t="n"/>
      <c r="AO23" s="71" t="n"/>
      <c r="AP23" s="71" t="n"/>
      <c r="AQ23" s="24" t="n"/>
    </row>
    <row r="24" ht="15" customHeight="1">
      <c r="A24" s="70">
        <f>IF(C24="","",IFERROR(IF(SUMPRODUCT(MAX((tbl_Finance[Job Number]&amp;""=C24&amp;"")*(tbl_Finance[Xero Invoice No]&lt;&gt;"")*tbl_Finance[Date]))=0,"",SUMPRODUCT(MAX((tbl_Finance[Job Number]&amp;""=C24&amp;"")*(tbl_Finance[Xero Invoice No]&lt;&gt;"")*tbl_Finance[Date]))),""))</f>
        <v/>
      </c>
      <c r="B24" s="25">
        <f>IF(C24="","",IF(COUNTIFS(tbl_Finance[Job Number],C24&amp;"",tbl_Finance[Xero Invoice No],"&lt;&gt;")=0,"",IFERROR(IF(COUNTIFS(tbl_Finance[Job Number],C24&amp;"",tbl_Finance[Xero Invoice No],LOOKUP(2,1/((tbl_Finance[Job Number]&amp;""=C24&amp;"")*(tbl_Finance[Xero Invoice No]&lt;&gt;"")),tbl_Finance[Xero Invoice No]))=COUNTIFS(tbl_Finance[Job Number],C24&amp;"",tbl_Finance[Xero Invoice No],"&lt;&gt;"),LOOKUP(2,1/((tbl_Finance[Job Number]&amp;""=C24&amp;"")*(tbl_Finance[Xero Invoice No]&lt;&gt;"")),tbl_Finance[Xero Invoice No]),LOOKUP(2,1/((tbl_Finance[Job Number]&amp;""=C24&amp;"")*(tbl_Finance[Xero Invoice No]&lt;&gt;"")),tbl_Finance[Xero Invoice No])&amp;" +more"),"")))</f>
        <v/>
      </c>
      <c r="C24" s="24" t="n"/>
      <c r="D24" s="25">
        <f>IF(C24="","",IF(COUNTIF(lst_Jobs,C24&amp;"")&gt;0,"OK","CHECK"))</f>
        <v/>
      </c>
      <c r="E24" s="25">
        <f>IF(C24="","",IFERROR(INDEX(lst_JobName,MATCH(C24&amp;"",lst_Jobs,0)),""))</f>
        <v/>
      </c>
      <c r="F24" s="25">
        <f>IF(C24="","",IFERROR(INDEX(tbl_Finance[Client],IFERROR(MATCH(C24&amp;"",tbl_Finance[Job Number],0),MATCH(IFERROR(C24+0,C24),tbl_Finance[Job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6" t="n"/>
      <c r="L24" s="27">
        <f>IF(C24="","",IF(K24="",0,MAX(0,K24-H24)))</f>
        <v/>
      </c>
      <c r="M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N24" s="27">
        <f>IF(C24="","",SUMIFS(tbl_Finance[Inc GST],tbl_Finance[Job Number],C24&amp;""))</f>
        <v/>
      </c>
      <c r="O24" s="24" t="n"/>
      <c r="P24" s="25">
        <f>IF(C24="","",IFERROR(INDEX(tbl_Finance[Description],MATCH(C24&amp;"",tbl_Finance[Job Number],0)),""))</f>
        <v/>
      </c>
      <c r="Q24" s="24" t="n"/>
      <c r="R24" s="24" t="n"/>
      <c r="S24" s="22" t="n"/>
      <c r="T24" s="24" t="n"/>
      <c r="U24" s="25">
        <f>IF(T24="","",IF(AND(LEFT(T24,4)&lt;&gt;"http",set_RMSBase=""),"",HYPERLINK(IF(LEFT(T24,4)="http",T24,set_RMSBase&amp;T24),"Open opportunity")))</f>
        <v/>
      </c>
      <c r="V24" s="24" t="n"/>
      <c r="W24" s="25">
        <f>IF(V24="","",HYPERLINK(IF(LEFT(V24,4)="http",V24,set_QwilrBase&amp;V24),"Open quote"))</f>
        <v/>
      </c>
      <c r="X24" s="25">
        <f>IF(C24="","",C24)</f>
        <v/>
      </c>
      <c r="Y24" s="24" t="n"/>
      <c r="Z24" s="26" t="n"/>
      <c r="AA24" s="27">
        <f>IF(C24="","",H24+N(Z24))</f>
        <v/>
      </c>
      <c r="AB24" s="29">
        <f>IFERROR(Z24/AA24,"")</f>
        <v/>
      </c>
      <c r="AC24" s="26" t="n"/>
      <c r="AD24" s="26" t="n"/>
      <c r="AE24" s="26" t="n"/>
      <c r="AF24" s="26" t="n"/>
      <c r="AG24" s="27">
        <f>IF(C24="","",SUMIFS(tbl_Finance[Ex GST],tbl_Finance[Job Number],C24&amp;"",tbl_Finance[Cost Centre],"VIDEO"))</f>
        <v/>
      </c>
      <c r="AH24" s="29">
        <f>IFERROR(AG24/H24,"")</f>
        <v/>
      </c>
      <c r="AI24" s="27">
        <f>IF(C24="","",N(AC24)+N(AD24)+N(AE24)+N(AF24))</f>
        <v/>
      </c>
      <c r="AJ24" s="27">
        <f>IF(C24="","",H24+L24-AI24)</f>
        <v/>
      </c>
      <c r="AK24" s="29">
        <f>IFERROR(AJ24/(H24+L24),"")</f>
        <v/>
      </c>
      <c r="AL24" s="71" t="n"/>
      <c r="AM24" s="71" t="n"/>
      <c r="AN24" s="71" t="n"/>
      <c r="AO24" s="71" t="n"/>
      <c r="AP24" s="71" t="n"/>
      <c r="AQ24" s="24" t="n"/>
    </row>
    <row r="25" ht="15" customHeight="1">
      <c r="A25" s="70">
        <f>IF(C25="","",IFERROR(IF(SUMPRODUCT(MAX((tbl_Finance[Job Number]&amp;""=C25&amp;"")*(tbl_Finance[Xero Invoice No]&lt;&gt;"")*tbl_Finance[Date]))=0,"",SUMPRODUCT(MAX((tbl_Finance[Job Number]&amp;""=C25&amp;"")*(tbl_Finance[Xero Invoice No]&lt;&gt;"")*tbl_Finance[Date]))),""))</f>
        <v/>
      </c>
      <c r="B25" s="25">
        <f>IF(C25="","",IF(COUNTIFS(tbl_Finance[Job Number],C25&amp;"",tbl_Finance[Xero Invoice No],"&lt;&gt;")=0,"",IFERROR(IF(COUNTIFS(tbl_Finance[Job Number],C25&amp;"",tbl_Finance[Xero Invoice No],LOOKUP(2,1/((tbl_Finance[Job Number]&amp;""=C25&amp;"")*(tbl_Finance[Xero Invoice No]&lt;&gt;"")),tbl_Finance[Xero Invoice No]))=COUNTIFS(tbl_Finance[Job Number],C25&amp;"",tbl_Finance[Xero Invoice No],"&lt;&gt;"),LOOKUP(2,1/((tbl_Finance[Job Number]&amp;""=C25&amp;"")*(tbl_Finance[Xero Invoice No]&lt;&gt;"")),tbl_Finance[Xero Invoice No]),LOOKUP(2,1/((tbl_Finance[Job Number]&amp;""=C25&amp;"")*(tbl_Finance[Xero Invoice No]&lt;&gt;"")),tbl_Finance[Xero Invoice No])&amp;" +more"),"")))</f>
        <v/>
      </c>
      <c r="C25" s="24" t="n"/>
      <c r="D25" s="25">
        <f>IF(C25="","",IF(COUNTIF(lst_Jobs,C25&amp;"")&gt;0,"OK","CHECK"))</f>
        <v/>
      </c>
      <c r="E25" s="25">
        <f>IF(C25="","",IFERROR(INDEX(lst_JobName,MATCH(C25&amp;"",lst_Jobs,0)),""))</f>
        <v/>
      </c>
      <c r="F25" s="25">
        <f>IF(C25="","",IFERROR(INDEX(tbl_Finance[Client],IFERROR(MATCH(C25&amp;"",tbl_Finance[Job Number],0),MATCH(IFERROR(C25+0,C25),tbl_Finance[Job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6" t="n"/>
      <c r="L25" s="27">
        <f>IF(C25="","",IF(K25="",0,MAX(0,K25-H25)))</f>
        <v/>
      </c>
      <c r="M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N25" s="27">
        <f>IF(C25="","",SUMIFS(tbl_Finance[Inc GST],tbl_Finance[Job Number],C25&amp;""))</f>
        <v/>
      </c>
      <c r="O25" s="24" t="n"/>
      <c r="P25" s="25">
        <f>IF(C25="","",IFERROR(INDEX(tbl_Finance[Description],MATCH(C25&amp;"",tbl_Finance[Job Number],0)),""))</f>
        <v/>
      </c>
      <c r="Q25" s="24" t="n"/>
      <c r="R25" s="24" t="n"/>
      <c r="S25" s="22" t="n"/>
      <c r="T25" s="24" t="n"/>
      <c r="U25" s="25">
        <f>IF(T25="","",IF(AND(LEFT(T25,4)&lt;&gt;"http",set_RMSBase=""),"",HYPERLINK(IF(LEFT(T25,4)="http",T25,set_RMSBase&amp;T25),"Open opportunity")))</f>
        <v/>
      </c>
      <c r="V25" s="24" t="n"/>
      <c r="W25" s="25">
        <f>IF(V25="","",HYPERLINK(IF(LEFT(V25,4)="http",V25,set_QwilrBase&amp;V25),"Open quote"))</f>
        <v/>
      </c>
      <c r="X25" s="25">
        <f>IF(C25="","",C25)</f>
        <v/>
      </c>
      <c r="Y25" s="24" t="n"/>
      <c r="Z25" s="26" t="n"/>
      <c r="AA25" s="27">
        <f>IF(C25="","",H25+N(Z25))</f>
        <v/>
      </c>
      <c r="AB25" s="29">
        <f>IFERROR(Z25/AA25,"")</f>
        <v/>
      </c>
      <c r="AC25" s="26" t="n"/>
      <c r="AD25" s="26" t="n"/>
      <c r="AE25" s="26" t="n"/>
      <c r="AF25" s="26" t="n"/>
      <c r="AG25" s="27">
        <f>IF(C25="","",SUMIFS(tbl_Finance[Ex GST],tbl_Finance[Job Number],C25&amp;"",tbl_Finance[Cost Centre],"VIDEO"))</f>
        <v/>
      </c>
      <c r="AH25" s="29">
        <f>IFERROR(AG25/H25,"")</f>
        <v/>
      </c>
      <c r="AI25" s="27">
        <f>IF(C25="","",N(AC25)+N(AD25)+N(AE25)+N(AF25))</f>
        <v/>
      </c>
      <c r="AJ25" s="27">
        <f>IF(C25="","",H25+L25-AI25)</f>
        <v/>
      </c>
      <c r="AK25" s="29">
        <f>IFERROR(AJ25/(H25+L25),"")</f>
        <v/>
      </c>
      <c r="AL25" s="71" t="n"/>
      <c r="AM25" s="71" t="n"/>
      <c r="AN25" s="71" t="n"/>
      <c r="AO25" s="71" t="n"/>
      <c r="AP25" s="71" t="n"/>
      <c r="AQ25" s="24" t="n"/>
    </row>
    <row r="26" ht="15" customHeight="1">
      <c r="A26" s="70">
        <f>IF(C26="","",IFERROR(IF(SUMPRODUCT(MAX((tbl_Finance[Job Number]&amp;""=C26&amp;"")*(tbl_Finance[Xero Invoice No]&lt;&gt;"")*tbl_Finance[Date]))=0,"",SUMPRODUCT(MAX((tbl_Finance[Job Number]&amp;""=C26&amp;"")*(tbl_Finance[Xero Invoice No]&lt;&gt;"")*tbl_Finance[Date]))),""))</f>
        <v/>
      </c>
      <c r="B26" s="25">
        <f>IF(C26="","",IF(COUNTIFS(tbl_Finance[Job Number],C26&amp;"",tbl_Finance[Xero Invoice No],"&lt;&gt;")=0,"",IFERROR(IF(COUNTIFS(tbl_Finance[Job Number],C26&amp;"",tbl_Finance[Xero Invoice No],LOOKUP(2,1/((tbl_Finance[Job Number]&amp;""=C26&amp;"")*(tbl_Finance[Xero Invoice No]&lt;&gt;"")),tbl_Finance[Xero Invoice No]))=COUNTIFS(tbl_Finance[Job Number],C26&amp;"",tbl_Finance[Xero Invoice No],"&lt;&gt;"),LOOKUP(2,1/((tbl_Finance[Job Number]&amp;""=C26&amp;"")*(tbl_Finance[Xero Invoice No]&lt;&gt;"")),tbl_Finance[Xero Invoice No]),LOOKUP(2,1/((tbl_Finance[Job Number]&amp;""=C26&amp;"")*(tbl_Finance[Xero Invoice No]&lt;&gt;"")),tbl_Finance[Xero Invoice No])&amp;" +more"),"")))</f>
        <v/>
      </c>
      <c r="C26" s="24" t="n"/>
      <c r="D26" s="25">
        <f>IF(C26="","",IF(COUNTIF(lst_Jobs,C26&amp;"")&gt;0,"OK","CHECK"))</f>
        <v/>
      </c>
      <c r="E26" s="25">
        <f>IF(C26="","",IFERROR(INDEX(lst_JobName,MATCH(C26&amp;"",lst_Jobs,0)),""))</f>
        <v/>
      </c>
      <c r="F26" s="25">
        <f>IF(C26="","",IFERROR(INDEX(tbl_Finance[Client],IFERROR(MATCH(C26&amp;"",tbl_Finance[Job Number],0),MATCH(IFERROR(C26+0,C26),tbl_Finance[Job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6" t="n"/>
      <c r="L26" s="27">
        <f>IF(C26="","",IF(K26="",0,MAX(0,K26-H26)))</f>
        <v/>
      </c>
      <c r="M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N26" s="27">
        <f>IF(C26="","",SUMIFS(tbl_Finance[Inc GST],tbl_Finance[Job Number],C26&amp;""))</f>
        <v/>
      </c>
      <c r="O26" s="24" t="n"/>
      <c r="P26" s="25">
        <f>IF(C26="","",IFERROR(INDEX(tbl_Finance[Description],MATCH(C26&amp;"",tbl_Finance[Job Number],0)),""))</f>
        <v/>
      </c>
      <c r="Q26" s="24" t="n"/>
      <c r="R26" s="24" t="n"/>
      <c r="S26" s="22" t="n"/>
      <c r="T26" s="24" t="n"/>
      <c r="U26" s="25">
        <f>IF(T26="","",IF(AND(LEFT(T26,4)&lt;&gt;"http",set_RMSBase=""),"",HYPERLINK(IF(LEFT(T26,4)="http",T26,set_RMSBase&amp;T26),"Open opportunity")))</f>
        <v/>
      </c>
      <c r="V26" s="24" t="n"/>
      <c r="W26" s="25">
        <f>IF(V26="","",HYPERLINK(IF(LEFT(V26,4)="http",V26,set_QwilrBase&amp;V26),"Open quote"))</f>
        <v/>
      </c>
      <c r="X26" s="25">
        <f>IF(C26="","",C26)</f>
        <v/>
      </c>
      <c r="Y26" s="24" t="n"/>
      <c r="Z26" s="26" t="n"/>
      <c r="AA26" s="27">
        <f>IF(C26="","",H26+N(Z26))</f>
        <v/>
      </c>
      <c r="AB26" s="29">
        <f>IFERROR(Z26/AA26,"")</f>
        <v/>
      </c>
      <c r="AC26" s="26" t="n"/>
      <c r="AD26" s="26" t="n"/>
      <c r="AE26" s="26" t="n"/>
      <c r="AF26" s="26" t="n"/>
      <c r="AG26" s="27">
        <f>IF(C26="","",SUMIFS(tbl_Finance[Ex GST],tbl_Finance[Job Number],C26&amp;"",tbl_Finance[Cost Centre],"VIDEO"))</f>
        <v/>
      </c>
      <c r="AH26" s="29">
        <f>IFERROR(AG26/H26,"")</f>
        <v/>
      </c>
      <c r="AI26" s="27">
        <f>IF(C26="","",N(AC26)+N(AD26)+N(AE26)+N(AF26))</f>
        <v/>
      </c>
      <c r="AJ26" s="27">
        <f>IF(C26="","",H26+L26-AI26)</f>
        <v/>
      </c>
      <c r="AK26" s="29">
        <f>IFERROR(AJ26/(H26+L26),"")</f>
        <v/>
      </c>
      <c r="AL26" s="71" t="n"/>
      <c r="AM26" s="71" t="n"/>
      <c r="AN26" s="71" t="n"/>
      <c r="AO26" s="71" t="n"/>
      <c r="AP26" s="71" t="n"/>
      <c r="AQ26" s="24" t="n"/>
    </row>
    <row r="27" ht="15" customHeight="1">
      <c r="A27" s="70">
        <f>IF(C27="","",IFERROR(IF(SUMPRODUCT(MAX((tbl_Finance[Job Number]&amp;""=C27&amp;"")*(tbl_Finance[Xero Invoice No]&lt;&gt;"")*tbl_Finance[Date]))=0,"",SUMPRODUCT(MAX((tbl_Finance[Job Number]&amp;""=C27&amp;"")*(tbl_Finance[Xero Invoice No]&lt;&gt;"")*tbl_Finance[Date]))),""))</f>
        <v/>
      </c>
      <c r="B27" s="25">
        <f>IF(C27="","",IF(COUNTIFS(tbl_Finance[Job Number],C27&amp;"",tbl_Finance[Xero Invoice No],"&lt;&gt;")=0,"",IFERROR(IF(COUNTIFS(tbl_Finance[Job Number],C27&amp;"",tbl_Finance[Xero Invoice No],LOOKUP(2,1/((tbl_Finance[Job Number]&amp;""=C27&amp;"")*(tbl_Finance[Xero Invoice No]&lt;&gt;"")),tbl_Finance[Xero Invoice No]))=COUNTIFS(tbl_Finance[Job Number],C27&amp;"",tbl_Finance[Xero Invoice No],"&lt;&gt;"),LOOKUP(2,1/((tbl_Finance[Job Number]&amp;""=C27&amp;"")*(tbl_Finance[Xero Invoice No]&lt;&gt;"")),tbl_Finance[Xero Invoice No]),LOOKUP(2,1/((tbl_Finance[Job Number]&amp;""=C27&amp;"")*(tbl_Finance[Xero Invoice No]&lt;&gt;"")),tbl_Finance[Xero Invoice No])&amp;" +more"),"")))</f>
        <v/>
      </c>
      <c r="C27" s="24" t="n"/>
      <c r="D27" s="25">
        <f>IF(C27="","",IF(COUNTIF(lst_Jobs,C27&amp;"")&gt;0,"OK","CHECK"))</f>
        <v/>
      </c>
      <c r="E27" s="25">
        <f>IF(C27="","",IFERROR(INDEX(lst_JobName,MATCH(C27&amp;"",lst_Jobs,0)),""))</f>
        <v/>
      </c>
      <c r="F27" s="25">
        <f>IF(C27="","",IFERROR(INDEX(tbl_Finance[Client],IFERROR(MATCH(C27&amp;"",tbl_Finance[Job Number],0),MATCH(IFERROR(C27+0,C27),tbl_Finance[Job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6" t="n"/>
      <c r="L27" s="27">
        <f>IF(C27="","",IF(K27="",0,MAX(0,K27-H27)))</f>
        <v/>
      </c>
      <c r="M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N27" s="27">
        <f>IF(C27="","",SUMIFS(tbl_Finance[Inc GST],tbl_Finance[Job Number],C27&amp;""))</f>
        <v/>
      </c>
      <c r="O27" s="24" t="n"/>
      <c r="P27" s="25">
        <f>IF(C27="","",IFERROR(INDEX(tbl_Finance[Description],MATCH(C27&amp;"",tbl_Finance[Job Number],0)),""))</f>
        <v/>
      </c>
      <c r="Q27" s="24" t="n"/>
      <c r="R27" s="24" t="n"/>
      <c r="S27" s="22" t="n"/>
      <c r="T27" s="24" t="n"/>
      <c r="U27" s="25">
        <f>IF(T27="","",IF(AND(LEFT(T27,4)&lt;&gt;"http",set_RMSBase=""),"",HYPERLINK(IF(LEFT(T27,4)="http",T27,set_RMSBase&amp;T27),"Open opportunity")))</f>
        <v/>
      </c>
      <c r="V27" s="24" t="n"/>
      <c r="W27" s="25">
        <f>IF(V27="","",HYPERLINK(IF(LEFT(V27,4)="http",V27,set_QwilrBase&amp;V27),"Open quote"))</f>
        <v/>
      </c>
      <c r="X27" s="25">
        <f>IF(C27="","",C27)</f>
        <v/>
      </c>
      <c r="Y27" s="24" t="n"/>
      <c r="Z27" s="26" t="n"/>
      <c r="AA27" s="27">
        <f>IF(C27="","",H27+N(Z27))</f>
        <v/>
      </c>
      <c r="AB27" s="29">
        <f>IFERROR(Z27/AA27,"")</f>
        <v/>
      </c>
      <c r="AC27" s="26" t="n"/>
      <c r="AD27" s="26" t="n"/>
      <c r="AE27" s="26" t="n"/>
      <c r="AF27" s="26" t="n"/>
      <c r="AG27" s="27">
        <f>IF(C27="","",SUMIFS(tbl_Finance[Ex GST],tbl_Finance[Job Number],C27&amp;"",tbl_Finance[Cost Centre],"VIDEO"))</f>
        <v/>
      </c>
      <c r="AH27" s="29">
        <f>IFERROR(AG27/H27,"")</f>
        <v/>
      </c>
      <c r="AI27" s="27">
        <f>IF(C27="","",N(AC27)+N(AD27)+N(AE27)+N(AF27))</f>
        <v/>
      </c>
      <c r="AJ27" s="27">
        <f>IF(C27="","",H27+L27-AI27)</f>
        <v/>
      </c>
      <c r="AK27" s="29">
        <f>IFERROR(AJ27/(H27+L27),"")</f>
        <v/>
      </c>
      <c r="AL27" s="71" t="n"/>
      <c r="AM27" s="71" t="n"/>
      <c r="AN27" s="71" t="n"/>
      <c r="AO27" s="71" t="n"/>
      <c r="AP27" s="71" t="n"/>
      <c r="AQ27" s="24" t="n"/>
    </row>
    <row r="28" ht="15" customHeight="1">
      <c r="A28" s="70">
        <f>IF(C28="","",IFERROR(IF(SUMPRODUCT(MAX((tbl_Finance[Job Number]&amp;""=C28&amp;"")*(tbl_Finance[Xero Invoice No]&lt;&gt;"")*tbl_Finance[Date]))=0,"",SUMPRODUCT(MAX((tbl_Finance[Job Number]&amp;""=C28&amp;"")*(tbl_Finance[Xero Invoice No]&lt;&gt;"")*tbl_Finance[Date]))),""))</f>
        <v/>
      </c>
      <c r="B28" s="25">
        <f>IF(C28="","",IF(COUNTIFS(tbl_Finance[Job Number],C28&amp;"",tbl_Finance[Xero Invoice No],"&lt;&gt;")=0,"",IFERROR(IF(COUNTIFS(tbl_Finance[Job Number],C28&amp;"",tbl_Finance[Xero Invoice No],LOOKUP(2,1/((tbl_Finance[Job Number]&amp;""=C28&amp;"")*(tbl_Finance[Xero Invoice No]&lt;&gt;"")),tbl_Finance[Xero Invoice No]))=COUNTIFS(tbl_Finance[Job Number],C28&amp;"",tbl_Finance[Xero Invoice No],"&lt;&gt;"),LOOKUP(2,1/((tbl_Finance[Job Number]&amp;""=C28&amp;"")*(tbl_Finance[Xero Invoice No]&lt;&gt;"")),tbl_Finance[Xero Invoice No]),LOOKUP(2,1/((tbl_Finance[Job Number]&amp;""=C28&amp;"")*(tbl_Finance[Xero Invoice No]&lt;&gt;"")),tbl_Finance[Xero Invoice No])&amp;" +more"),"")))</f>
        <v/>
      </c>
      <c r="C28" s="24" t="n"/>
      <c r="D28" s="25">
        <f>IF(C28="","",IF(COUNTIF(lst_Jobs,C28&amp;"")&gt;0,"OK","CHECK"))</f>
        <v/>
      </c>
      <c r="E28" s="25">
        <f>IF(C28="","",IFERROR(INDEX(lst_JobName,MATCH(C28&amp;"",lst_Jobs,0)),""))</f>
        <v/>
      </c>
      <c r="F28" s="25">
        <f>IF(C28="","",IFERROR(INDEX(tbl_Finance[Client],IFERROR(MATCH(C28&amp;"",tbl_Finance[Job Number],0),MATCH(IFERROR(C28+0,C28),tbl_Finance[Job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6" t="n"/>
      <c r="L28" s="27">
        <f>IF(C28="","",IF(K28="",0,MAX(0,K28-H28)))</f>
        <v/>
      </c>
      <c r="M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N28" s="27">
        <f>IF(C28="","",SUMIFS(tbl_Finance[Inc GST],tbl_Finance[Job Number],C28&amp;""))</f>
        <v/>
      </c>
      <c r="O28" s="24" t="n"/>
      <c r="P28" s="25">
        <f>IF(C28="","",IFERROR(INDEX(tbl_Finance[Description],MATCH(C28&amp;"",tbl_Finance[Job Number],0)),""))</f>
        <v/>
      </c>
      <c r="Q28" s="24" t="n"/>
      <c r="R28" s="24" t="n"/>
      <c r="S28" s="22" t="n"/>
      <c r="T28" s="24" t="n"/>
      <c r="U28" s="25">
        <f>IF(T28="","",IF(AND(LEFT(T28,4)&lt;&gt;"http",set_RMSBase=""),"",HYPERLINK(IF(LEFT(T28,4)="http",T28,set_RMSBase&amp;T28),"Open opportunity")))</f>
        <v/>
      </c>
      <c r="V28" s="24" t="n"/>
      <c r="W28" s="25">
        <f>IF(V28="","",HYPERLINK(IF(LEFT(V28,4)="http",V28,set_QwilrBase&amp;V28),"Open quote"))</f>
        <v/>
      </c>
      <c r="X28" s="25">
        <f>IF(C28="","",C28)</f>
        <v/>
      </c>
      <c r="Y28" s="24" t="n"/>
      <c r="Z28" s="26" t="n"/>
      <c r="AA28" s="27">
        <f>IF(C28="","",H28+N(Z28))</f>
        <v/>
      </c>
      <c r="AB28" s="29">
        <f>IFERROR(Z28/AA28,"")</f>
        <v/>
      </c>
      <c r="AC28" s="26" t="n"/>
      <c r="AD28" s="26" t="n"/>
      <c r="AE28" s="26" t="n"/>
      <c r="AF28" s="26" t="n"/>
      <c r="AG28" s="27">
        <f>IF(C28="","",SUMIFS(tbl_Finance[Ex GST],tbl_Finance[Job Number],C28&amp;"",tbl_Finance[Cost Centre],"VIDEO"))</f>
        <v/>
      </c>
      <c r="AH28" s="29">
        <f>IFERROR(AG28/H28,"")</f>
        <v/>
      </c>
      <c r="AI28" s="27">
        <f>IF(C28="","",N(AC28)+N(AD28)+N(AE28)+N(AF28))</f>
        <v/>
      </c>
      <c r="AJ28" s="27">
        <f>IF(C28="","",H28+L28-AI28)</f>
        <v/>
      </c>
      <c r="AK28" s="29">
        <f>IFERROR(AJ28/(H28+L28),"")</f>
        <v/>
      </c>
      <c r="AL28" s="71" t="n"/>
      <c r="AM28" s="71" t="n"/>
      <c r="AN28" s="71" t="n"/>
      <c r="AO28" s="71" t="n"/>
      <c r="AP28" s="71" t="n"/>
      <c r="AQ28" s="24" t="n"/>
    </row>
    <row r="29" ht="15" customHeight="1">
      <c r="A29" s="70">
        <f>IF(C29="","",IFERROR(IF(SUMPRODUCT(MAX((tbl_Finance[Job Number]&amp;""=C29&amp;"")*(tbl_Finance[Xero Invoice No]&lt;&gt;"")*tbl_Finance[Date]))=0,"",SUMPRODUCT(MAX((tbl_Finance[Job Number]&amp;""=C29&amp;"")*(tbl_Finance[Xero Invoice No]&lt;&gt;"")*tbl_Finance[Date]))),""))</f>
        <v/>
      </c>
      <c r="B29" s="25">
        <f>IF(C29="","",IF(COUNTIFS(tbl_Finance[Job Number],C29&amp;"",tbl_Finance[Xero Invoice No],"&lt;&gt;")=0,"",IFERROR(IF(COUNTIFS(tbl_Finance[Job Number],C29&amp;"",tbl_Finance[Xero Invoice No],LOOKUP(2,1/((tbl_Finance[Job Number]&amp;""=C29&amp;"")*(tbl_Finance[Xero Invoice No]&lt;&gt;"")),tbl_Finance[Xero Invoice No]))=COUNTIFS(tbl_Finance[Job Number],C29&amp;"",tbl_Finance[Xero Invoice No],"&lt;&gt;"),LOOKUP(2,1/((tbl_Finance[Job Number]&amp;""=C29&amp;"")*(tbl_Finance[Xero Invoice No]&lt;&gt;"")),tbl_Finance[Xero Invoice No]),LOOKUP(2,1/((tbl_Finance[Job Number]&amp;""=C29&amp;"")*(tbl_Finance[Xero Invoice No]&lt;&gt;"")),tbl_Finance[Xero Invoice No])&amp;" +more"),"")))</f>
        <v/>
      </c>
      <c r="C29" s="24" t="n"/>
      <c r="D29" s="25">
        <f>IF(C29="","",IF(COUNTIF(lst_Jobs,C29&amp;"")&gt;0,"OK","CHECK"))</f>
        <v/>
      </c>
      <c r="E29" s="25">
        <f>IF(C29="","",IFERROR(INDEX(lst_JobName,MATCH(C29&amp;"",lst_Jobs,0)),""))</f>
        <v/>
      </c>
      <c r="F29" s="25">
        <f>IF(C29="","",IFERROR(INDEX(tbl_Finance[Client],IFERROR(MATCH(C29&amp;"",tbl_Finance[Job Number],0),MATCH(IFERROR(C29+0,C29),tbl_Finance[Job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6" t="n"/>
      <c r="L29" s="27">
        <f>IF(C29="","",IF(K29="",0,MAX(0,K29-H29)))</f>
        <v/>
      </c>
      <c r="M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N29" s="27">
        <f>IF(C29="","",SUMIFS(tbl_Finance[Inc GST],tbl_Finance[Job Number],C29&amp;""))</f>
        <v/>
      </c>
      <c r="O29" s="24" t="n"/>
      <c r="P29" s="25">
        <f>IF(C29="","",IFERROR(INDEX(tbl_Finance[Description],MATCH(C29&amp;"",tbl_Finance[Job Number],0)),""))</f>
        <v/>
      </c>
      <c r="Q29" s="24" t="n"/>
      <c r="R29" s="24" t="n"/>
      <c r="S29" s="22" t="n"/>
      <c r="T29" s="24" t="n"/>
      <c r="U29" s="25">
        <f>IF(T29="","",IF(AND(LEFT(T29,4)&lt;&gt;"http",set_RMSBase=""),"",HYPERLINK(IF(LEFT(T29,4)="http",T29,set_RMSBase&amp;T29),"Open opportunity")))</f>
        <v/>
      </c>
      <c r="V29" s="24" t="n"/>
      <c r="W29" s="25">
        <f>IF(V29="","",HYPERLINK(IF(LEFT(V29,4)="http",V29,set_QwilrBase&amp;V29),"Open quote"))</f>
        <v/>
      </c>
      <c r="X29" s="25">
        <f>IF(C29="","",C29)</f>
        <v/>
      </c>
      <c r="Y29" s="24" t="n"/>
      <c r="Z29" s="26" t="n"/>
      <c r="AA29" s="27">
        <f>IF(C29="","",H29+N(Z29))</f>
        <v/>
      </c>
      <c r="AB29" s="29">
        <f>IFERROR(Z29/AA29,"")</f>
        <v/>
      </c>
      <c r="AC29" s="26" t="n"/>
      <c r="AD29" s="26" t="n"/>
      <c r="AE29" s="26" t="n"/>
      <c r="AF29" s="26" t="n"/>
      <c r="AG29" s="27">
        <f>IF(C29="","",SUMIFS(tbl_Finance[Ex GST],tbl_Finance[Job Number],C29&amp;"",tbl_Finance[Cost Centre],"VIDEO"))</f>
        <v/>
      </c>
      <c r="AH29" s="29">
        <f>IFERROR(AG29/H29,"")</f>
        <v/>
      </c>
      <c r="AI29" s="27">
        <f>IF(C29="","",N(AC29)+N(AD29)+N(AE29)+N(AF29))</f>
        <v/>
      </c>
      <c r="AJ29" s="27">
        <f>IF(C29="","",H29+L29-AI29)</f>
        <v/>
      </c>
      <c r="AK29" s="29">
        <f>IFERROR(AJ29/(H29+L29),"")</f>
        <v/>
      </c>
      <c r="AL29" s="71" t="n"/>
      <c r="AM29" s="71" t="n"/>
      <c r="AN29" s="71" t="n"/>
      <c r="AO29" s="71" t="n"/>
      <c r="AP29" s="71" t="n"/>
      <c r="AQ29" s="24" t="n"/>
    </row>
    <row r="30" ht="15" customHeight="1">
      <c r="A30" s="70">
        <f>IF(C30="","",IFERROR(IF(SUMPRODUCT(MAX((tbl_Finance[Job Number]&amp;""=C30&amp;"")*(tbl_Finance[Xero Invoice No]&lt;&gt;"")*tbl_Finance[Date]))=0,"",SUMPRODUCT(MAX((tbl_Finance[Job Number]&amp;""=C30&amp;"")*(tbl_Finance[Xero Invoice No]&lt;&gt;"")*tbl_Finance[Date]))),""))</f>
        <v/>
      </c>
      <c r="B30" s="25">
        <f>IF(C30="","",IF(COUNTIFS(tbl_Finance[Job Number],C30&amp;"",tbl_Finance[Xero Invoice No],"&lt;&gt;")=0,"",IFERROR(IF(COUNTIFS(tbl_Finance[Job Number],C30&amp;"",tbl_Finance[Xero Invoice No],LOOKUP(2,1/((tbl_Finance[Job Number]&amp;""=C30&amp;"")*(tbl_Finance[Xero Invoice No]&lt;&gt;"")),tbl_Finance[Xero Invoice No]))=COUNTIFS(tbl_Finance[Job Number],C30&amp;"",tbl_Finance[Xero Invoice No],"&lt;&gt;"),LOOKUP(2,1/((tbl_Finance[Job Number]&amp;""=C30&amp;"")*(tbl_Finance[Xero Invoice No]&lt;&gt;"")),tbl_Finance[Xero Invoice No]),LOOKUP(2,1/((tbl_Finance[Job Number]&amp;""=C30&amp;"")*(tbl_Finance[Xero Invoice No]&lt;&gt;"")),tbl_Finance[Xero Invoice No])&amp;" +more"),"")))</f>
        <v/>
      </c>
      <c r="C30" s="24" t="n"/>
      <c r="D30" s="25">
        <f>IF(C30="","",IF(COUNTIF(lst_Jobs,C30&amp;"")&gt;0,"OK","CHECK"))</f>
        <v/>
      </c>
      <c r="E30" s="25">
        <f>IF(C30="","",IFERROR(INDEX(lst_JobName,MATCH(C30&amp;"",lst_Jobs,0)),""))</f>
        <v/>
      </c>
      <c r="F30" s="25">
        <f>IF(C30="","",IFERROR(INDEX(tbl_Finance[Client],IFERROR(MATCH(C30&amp;"",tbl_Finance[Job Number],0),MATCH(IFERROR(C30+0,C30),tbl_Finance[Job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6" t="n"/>
      <c r="L30" s="27">
        <f>IF(C30="","",IF(K30="",0,MAX(0,K30-H30)))</f>
        <v/>
      </c>
      <c r="M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N30" s="27">
        <f>IF(C30="","",SUMIFS(tbl_Finance[Inc GST],tbl_Finance[Job Number],C30&amp;""))</f>
        <v/>
      </c>
      <c r="O30" s="24" t="n"/>
      <c r="P30" s="25">
        <f>IF(C30="","",IFERROR(INDEX(tbl_Finance[Description],MATCH(C30&amp;"",tbl_Finance[Job Number],0)),""))</f>
        <v/>
      </c>
      <c r="Q30" s="24" t="n"/>
      <c r="R30" s="24" t="n"/>
      <c r="S30" s="22" t="n"/>
      <c r="T30" s="24" t="n"/>
      <c r="U30" s="25">
        <f>IF(T30="","",IF(AND(LEFT(T30,4)&lt;&gt;"http",set_RMSBase=""),"",HYPERLINK(IF(LEFT(T30,4)="http",T30,set_RMSBase&amp;T30),"Open opportunity")))</f>
        <v/>
      </c>
      <c r="V30" s="24" t="n"/>
      <c r="W30" s="25">
        <f>IF(V30="","",HYPERLINK(IF(LEFT(V30,4)="http",V30,set_QwilrBase&amp;V30),"Open quote"))</f>
        <v/>
      </c>
      <c r="X30" s="25">
        <f>IF(C30="","",C30)</f>
        <v/>
      </c>
      <c r="Y30" s="24" t="n"/>
      <c r="Z30" s="26" t="n"/>
      <c r="AA30" s="27">
        <f>IF(C30="","",H30+N(Z30))</f>
        <v/>
      </c>
      <c r="AB30" s="29">
        <f>IFERROR(Z30/AA30,"")</f>
        <v/>
      </c>
      <c r="AC30" s="26" t="n"/>
      <c r="AD30" s="26" t="n"/>
      <c r="AE30" s="26" t="n"/>
      <c r="AF30" s="26" t="n"/>
      <c r="AG30" s="27">
        <f>IF(C30="","",SUMIFS(tbl_Finance[Ex GST],tbl_Finance[Job Number],C30&amp;"",tbl_Finance[Cost Centre],"VIDEO"))</f>
        <v/>
      </c>
      <c r="AH30" s="29">
        <f>IFERROR(AG30/H30,"")</f>
        <v/>
      </c>
      <c r="AI30" s="27">
        <f>IF(C30="","",N(AC30)+N(AD30)+N(AE30)+N(AF30))</f>
        <v/>
      </c>
      <c r="AJ30" s="27">
        <f>IF(C30="","",H30+L30-AI30)</f>
        <v/>
      </c>
      <c r="AK30" s="29">
        <f>IFERROR(AJ30/(H30+L30),"")</f>
        <v/>
      </c>
      <c r="AL30" s="71" t="n"/>
      <c r="AM30" s="71" t="n"/>
      <c r="AN30" s="71" t="n"/>
      <c r="AO30" s="71" t="n"/>
      <c r="AP30" s="71" t="n"/>
      <c r="AQ30" s="24" t="n"/>
    </row>
    <row r="31" ht="15" customHeight="1">
      <c r="A31" s="70">
        <f>IF(C31="","",IFERROR(IF(SUMPRODUCT(MAX((tbl_Finance[Job Number]&amp;""=C31&amp;"")*(tbl_Finance[Xero Invoice No]&lt;&gt;"")*tbl_Finance[Date]))=0,"",SUMPRODUCT(MAX((tbl_Finance[Job Number]&amp;""=C31&amp;"")*(tbl_Finance[Xero Invoice No]&lt;&gt;"")*tbl_Finance[Date]))),""))</f>
        <v/>
      </c>
      <c r="B31" s="25">
        <f>IF(C31="","",IF(COUNTIFS(tbl_Finance[Job Number],C31&amp;"",tbl_Finance[Xero Invoice No],"&lt;&gt;")=0,"",IFERROR(IF(COUNTIFS(tbl_Finance[Job Number],C31&amp;"",tbl_Finance[Xero Invoice No],LOOKUP(2,1/((tbl_Finance[Job Number]&amp;""=C31&amp;"")*(tbl_Finance[Xero Invoice No]&lt;&gt;"")),tbl_Finance[Xero Invoice No]))=COUNTIFS(tbl_Finance[Job Number],C31&amp;"",tbl_Finance[Xero Invoice No],"&lt;&gt;"),LOOKUP(2,1/((tbl_Finance[Job Number]&amp;""=C31&amp;"")*(tbl_Finance[Xero Invoice No]&lt;&gt;"")),tbl_Finance[Xero Invoice No]),LOOKUP(2,1/((tbl_Finance[Job Number]&amp;""=C31&amp;"")*(tbl_Finance[Xero Invoice No]&lt;&gt;"")),tbl_Finance[Xero Invoice No])&amp;" +more"),"")))</f>
        <v/>
      </c>
      <c r="C31" s="24" t="n"/>
      <c r="D31" s="25">
        <f>IF(C31="","",IF(COUNTIF(lst_Jobs,C31&amp;"")&gt;0,"OK","CHECK"))</f>
        <v/>
      </c>
      <c r="E31" s="25">
        <f>IF(C31="","",IFERROR(INDEX(lst_JobName,MATCH(C31&amp;"",lst_Jobs,0)),""))</f>
        <v/>
      </c>
      <c r="F31" s="25">
        <f>IF(C31="","",IFERROR(INDEX(tbl_Finance[Client],IFERROR(MATCH(C31&amp;"",tbl_Finance[Job Number],0),MATCH(IFERROR(C31+0,C31),tbl_Finance[Job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6" t="n"/>
      <c r="L31" s="27">
        <f>IF(C31="","",IF(K31="",0,MAX(0,K31-H31)))</f>
        <v/>
      </c>
      <c r="M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N31" s="27">
        <f>IF(C31="","",SUMIFS(tbl_Finance[Inc GST],tbl_Finance[Job Number],C31&amp;""))</f>
        <v/>
      </c>
      <c r="O31" s="24" t="n"/>
      <c r="P31" s="25">
        <f>IF(C31="","",IFERROR(INDEX(tbl_Finance[Description],MATCH(C31&amp;"",tbl_Finance[Job Number],0)),""))</f>
        <v/>
      </c>
      <c r="Q31" s="24" t="n"/>
      <c r="R31" s="24" t="n"/>
      <c r="S31" s="22" t="n"/>
      <c r="T31" s="24" t="n"/>
      <c r="U31" s="25">
        <f>IF(T31="","",IF(AND(LEFT(T31,4)&lt;&gt;"http",set_RMSBase=""),"",HYPERLINK(IF(LEFT(T31,4)="http",T31,set_RMSBase&amp;T31),"Open opportunity")))</f>
        <v/>
      </c>
      <c r="V31" s="24" t="n"/>
      <c r="W31" s="25">
        <f>IF(V31="","",HYPERLINK(IF(LEFT(V31,4)="http",V31,set_QwilrBase&amp;V31),"Open quote"))</f>
        <v/>
      </c>
      <c r="X31" s="25">
        <f>IF(C31="","",C31)</f>
        <v/>
      </c>
      <c r="Y31" s="24" t="n"/>
      <c r="Z31" s="26" t="n"/>
      <c r="AA31" s="27">
        <f>IF(C31="","",H31+N(Z31))</f>
        <v/>
      </c>
      <c r="AB31" s="29">
        <f>IFERROR(Z31/AA31,"")</f>
        <v/>
      </c>
      <c r="AC31" s="26" t="n"/>
      <c r="AD31" s="26" t="n"/>
      <c r="AE31" s="26" t="n"/>
      <c r="AF31" s="26" t="n"/>
      <c r="AG31" s="27">
        <f>IF(C31="","",SUMIFS(tbl_Finance[Ex GST],tbl_Finance[Job Number],C31&amp;"",tbl_Finance[Cost Centre],"VIDEO"))</f>
        <v/>
      </c>
      <c r="AH31" s="29">
        <f>IFERROR(AG31/H31,"")</f>
        <v/>
      </c>
      <c r="AI31" s="27">
        <f>IF(C31="","",N(AC31)+N(AD31)+N(AE31)+N(AF31))</f>
        <v/>
      </c>
      <c r="AJ31" s="27">
        <f>IF(C31="","",H31+L31-AI31)</f>
        <v/>
      </c>
      <c r="AK31" s="29">
        <f>IFERROR(AJ31/(H31+L31),"")</f>
        <v/>
      </c>
      <c r="AL31" s="71" t="n"/>
      <c r="AM31" s="71" t="n"/>
      <c r="AN31" s="71" t="n"/>
      <c r="AO31" s="71" t="n"/>
      <c r="AP31" s="71" t="n"/>
      <c r="AQ31" s="24" t="n"/>
    </row>
    <row r="32" ht="15" customHeight="1">
      <c r="A32" s="70">
        <f>IF(C32="","",IFERROR(IF(SUMPRODUCT(MAX((tbl_Finance[Job Number]&amp;""=C32&amp;"")*(tbl_Finance[Xero Invoice No]&lt;&gt;"")*tbl_Finance[Date]))=0,"",SUMPRODUCT(MAX((tbl_Finance[Job Number]&amp;""=C32&amp;"")*(tbl_Finance[Xero Invoice No]&lt;&gt;"")*tbl_Finance[Date]))),""))</f>
        <v/>
      </c>
      <c r="B32" s="25">
        <f>IF(C32="","",IF(COUNTIFS(tbl_Finance[Job Number],C32&amp;"",tbl_Finance[Xero Invoice No],"&lt;&gt;")=0,"",IFERROR(IF(COUNTIFS(tbl_Finance[Job Number],C32&amp;"",tbl_Finance[Xero Invoice No],LOOKUP(2,1/((tbl_Finance[Job Number]&amp;""=C32&amp;"")*(tbl_Finance[Xero Invoice No]&lt;&gt;"")),tbl_Finance[Xero Invoice No]))=COUNTIFS(tbl_Finance[Job Number],C32&amp;"",tbl_Finance[Xero Invoice No],"&lt;&gt;"),LOOKUP(2,1/((tbl_Finance[Job Number]&amp;""=C32&amp;"")*(tbl_Finance[Xero Invoice No]&lt;&gt;"")),tbl_Finance[Xero Invoice No]),LOOKUP(2,1/((tbl_Finance[Job Number]&amp;""=C32&amp;"")*(tbl_Finance[Xero Invoice No]&lt;&gt;"")),tbl_Finance[Xero Invoice No])&amp;" +more"),"")))</f>
        <v/>
      </c>
      <c r="C32" s="24" t="n"/>
      <c r="D32" s="25">
        <f>IF(C32="","",IF(COUNTIF(lst_Jobs,C32&amp;"")&gt;0,"OK","CHECK"))</f>
        <v/>
      </c>
      <c r="E32" s="25">
        <f>IF(C32="","",IFERROR(INDEX(lst_JobName,MATCH(C32&amp;"",lst_Jobs,0)),""))</f>
        <v/>
      </c>
      <c r="F32" s="25">
        <f>IF(C32="","",IFERROR(INDEX(tbl_Finance[Client],IFERROR(MATCH(C32&amp;"",tbl_Finance[Job Number],0),MATCH(IFERROR(C32+0,C32),tbl_Finance[Job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6" t="n"/>
      <c r="L32" s="27">
        <f>IF(C32="","",IF(K32="",0,MAX(0,K32-H32)))</f>
        <v/>
      </c>
      <c r="M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N32" s="27">
        <f>IF(C32="","",SUMIFS(tbl_Finance[Inc GST],tbl_Finance[Job Number],C32&amp;""))</f>
        <v/>
      </c>
      <c r="O32" s="24" t="n"/>
      <c r="P32" s="25">
        <f>IF(C32="","",IFERROR(INDEX(tbl_Finance[Description],MATCH(C32&amp;"",tbl_Finance[Job Number],0)),""))</f>
        <v/>
      </c>
      <c r="Q32" s="24" t="n"/>
      <c r="R32" s="24" t="n"/>
      <c r="S32" s="22" t="n"/>
      <c r="T32" s="24" t="n"/>
      <c r="U32" s="25">
        <f>IF(T32="","",IF(AND(LEFT(T32,4)&lt;&gt;"http",set_RMSBase=""),"",HYPERLINK(IF(LEFT(T32,4)="http",T32,set_RMSBase&amp;T32),"Open opportunity")))</f>
        <v/>
      </c>
      <c r="V32" s="24" t="n"/>
      <c r="W32" s="25">
        <f>IF(V32="","",HYPERLINK(IF(LEFT(V32,4)="http",V32,set_QwilrBase&amp;V32),"Open quote"))</f>
        <v/>
      </c>
      <c r="X32" s="25">
        <f>IF(C32="","",C32)</f>
        <v/>
      </c>
      <c r="Y32" s="24" t="n"/>
      <c r="Z32" s="26" t="n"/>
      <c r="AA32" s="27">
        <f>IF(C32="","",H32+N(Z32))</f>
        <v/>
      </c>
      <c r="AB32" s="29">
        <f>IFERROR(Z32/AA32,"")</f>
        <v/>
      </c>
      <c r="AC32" s="26" t="n"/>
      <c r="AD32" s="26" t="n"/>
      <c r="AE32" s="26" t="n"/>
      <c r="AF32" s="26" t="n"/>
      <c r="AG32" s="27">
        <f>IF(C32="","",SUMIFS(tbl_Finance[Ex GST],tbl_Finance[Job Number],C32&amp;"",tbl_Finance[Cost Centre],"VIDEO"))</f>
        <v/>
      </c>
      <c r="AH32" s="29">
        <f>IFERROR(AG32/H32,"")</f>
        <v/>
      </c>
      <c r="AI32" s="27">
        <f>IF(C32="","",N(AC32)+N(AD32)+N(AE32)+N(AF32))</f>
        <v/>
      </c>
      <c r="AJ32" s="27">
        <f>IF(C32="","",H32+L32-AI32)</f>
        <v/>
      </c>
      <c r="AK32" s="29">
        <f>IFERROR(AJ32/(H32+L32),"")</f>
        <v/>
      </c>
      <c r="AL32" s="71" t="n"/>
      <c r="AM32" s="71" t="n"/>
      <c r="AN32" s="71" t="n"/>
      <c r="AO32" s="71" t="n"/>
      <c r="AP32" s="71" t="n"/>
      <c r="AQ32" s="24" t="n"/>
    </row>
    <row r="33" ht="15" customHeight="1">
      <c r="A33" s="70">
        <f>IF(C33="","",IFERROR(IF(SUMPRODUCT(MAX((tbl_Finance[Job Number]&amp;""=C33&amp;"")*(tbl_Finance[Xero Invoice No]&lt;&gt;"")*tbl_Finance[Date]))=0,"",SUMPRODUCT(MAX((tbl_Finance[Job Number]&amp;""=C33&amp;"")*(tbl_Finance[Xero Invoice No]&lt;&gt;"")*tbl_Finance[Date]))),""))</f>
        <v/>
      </c>
      <c r="B33" s="25">
        <f>IF(C33="","",IF(COUNTIFS(tbl_Finance[Job Number],C33&amp;"",tbl_Finance[Xero Invoice No],"&lt;&gt;")=0,"",IFERROR(IF(COUNTIFS(tbl_Finance[Job Number],C33&amp;"",tbl_Finance[Xero Invoice No],LOOKUP(2,1/((tbl_Finance[Job Number]&amp;""=C33&amp;"")*(tbl_Finance[Xero Invoice No]&lt;&gt;"")),tbl_Finance[Xero Invoice No]))=COUNTIFS(tbl_Finance[Job Number],C33&amp;"",tbl_Finance[Xero Invoice No],"&lt;&gt;"),LOOKUP(2,1/((tbl_Finance[Job Number]&amp;""=C33&amp;"")*(tbl_Finance[Xero Invoice No]&lt;&gt;"")),tbl_Finance[Xero Invoice No]),LOOKUP(2,1/((tbl_Finance[Job Number]&amp;""=C33&amp;"")*(tbl_Finance[Xero Invoice No]&lt;&gt;"")),tbl_Finance[Xero Invoice No])&amp;" +more"),"")))</f>
        <v/>
      </c>
      <c r="C33" s="24" t="n"/>
      <c r="D33" s="25">
        <f>IF(C33="","",IF(COUNTIF(lst_Jobs,C33&amp;"")&gt;0,"OK","CHECK"))</f>
        <v/>
      </c>
      <c r="E33" s="25">
        <f>IF(C33="","",IFERROR(INDEX(lst_JobName,MATCH(C33&amp;"",lst_Jobs,0)),""))</f>
        <v/>
      </c>
      <c r="F33" s="25">
        <f>IF(C33="","",IFERROR(INDEX(tbl_Finance[Client],IFERROR(MATCH(C33&amp;"",tbl_Finance[Job Number],0),MATCH(IFERROR(C33+0,C33),tbl_Finance[Job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6" t="n"/>
      <c r="L33" s="27">
        <f>IF(C33="","",IF(K33="",0,MAX(0,K33-H33)))</f>
        <v/>
      </c>
      <c r="M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N33" s="27">
        <f>IF(C33="","",SUMIFS(tbl_Finance[Inc GST],tbl_Finance[Job Number],C33&amp;""))</f>
        <v/>
      </c>
      <c r="O33" s="24" t="n"/>
      <c r="P33" s="25">
        <f>IF(C33="","",IFERROR(INDEX(tbl_Finance[Description],MATCH(C33&amp;"",tbl_Finance[Job Number],0)),""))</f>
        <v/>
      </c>
      <c r="Q33" s="24" t="n"/>
      <c r="R33" s="24" t="n"/>
      <c r="S33" s="22" t="n"/>
      <c r="T33" s="24" t="n"/>
      <c r="U33" s="25">
        <f>IF(T33="","",IF(AND(LEFT(T33,4)&lt;&gt;"http",set_RMSBase=""),"",HYPERLINK(IF(LEFT(T33,4)="http",T33,set_RMSBase&amp;T33),"Open opportunity")))</f>
        <v/>
      </c>
      <c r="V33" s="24" t="n"/>
      <c r="W33" s="25">
        <f>IF(V33="","",HYPERLINK(IF(LEFT(V33,4)="http",V33,set_QwilrBase&amp;V33),"Open quote"))</f>
        <v/>
      </c>
      <c r="X33" s="25">
        <f>IF(C33="","",C33)</f>
        <v/>
      </c>
      <c r="Y33" s="24" t="n"/>
      <c r="Z33" s="26" t="n"/>
      <c r="AA33" s="27">
        <f>IF(C33="","",H33+N(Z33))</f>
        <v/>
      </c>
      <c r="AB33" s="29">
        <f>IFERROR(Z33/AA33,"")</f>
        <v/>
      </c>
      <c r="AC33" s="26" t="n"/>
      <c r="AD33" s="26" t="n"/>
      <c r="AE33" s="26" t="n"/>
      <c r="AF33" s="26" t="n"/>
      <c r="AG33" s="27">
        <f>IF(C33="","",SUMIFS(tbl_Finance[Ex GST],tbl_Finance[Job Number],C33&amp;"",tbl_Finance[Cost Centre],"VIDEO"))</f>
        <v/>
      </c>
      <c r="AH33" s="29">
        <f>IFERROR(AG33/H33,"")</f>
        <v/>
      </c>
      <c r="AI33" s="27">
        <f>IF(C33="","",N(AC33)+N(AD33)+N(AE33)+N(AF33))</f>
        <v/>
      </c>
      <c r="AJ33" s="27">
        <f>IF(C33="","",H33+L33-AI33)</f>
        <v/>
      </c>
      <c r="AK33" s="29">
        <f>IFERROR(AJ33/(H33+L33),"")</f>
        <v/>
      </c>
      <c r="AL33" s="71" t="n"/>
      <c r="AM33" s="71" t="n"/>
      <c r="AN33" s="71" t="n"/>
      <c r="AO33" s="71" t="n"/>
      <c r="AP33" s="71" t="n"/>
      <c r="AQ33" s="24" t="n"/>
    </row>
    <row r="34" ht="15" customHeight="1">
      <c r="A34" s="70">
        <f>IF(C34="","",IFERROR(IF(SUMPRODUCT(MAX((tbl_Finance[Job Number]&amp;""=C34&amp;"")*(tbl_Finance[Xero Invoice No]&lt;&gt;"")*tbl_Finance[Date]))=0,"",SUMPRODUCT(MAX((tbl_Finance[Job Number]&amp;""=C34&amp;"")*(tbl_Finance[Xero Invoice No]&lt;&gt;"")*tbl_Finance[Date]))),""))</f>
        <v/>
      </c>
      <c r="B34" s="25">
        <f>IF(C34="","",IF(COUNTIFS(tbl_Finance[Job Number],C34&amp;"",tbl_Finance[Xero Invoice No],"&lt;&gt;")=0,"",IFERROR(IF(COUNTIFS(tbl_Finance[Job Number],C34&amp;"",tbl_Finance[Xero Invoice No],LOOKUP(2,1/((tbl_Finance[Job Number]&amp;""=C34&amp;"")*(tbl_Finance[Xero Invoice No]&lt;&gt;"")),tbl_Finance[Xero Invoice No]))=COUNTIFS(tbl_Finance[Job Number],C34&amp;"",tbl_Finance[Xero Invoice No],"&lt;&gt;"),LOOKUP(2,1/((tbl_Finance[Job Number]&amp;""=C34&amp;"")*(tbl_Finance[Xero Invoice No]&lt;&gt;"")),tbl_Finance[Xero Invoice No]),LOOKUP(2,1/((tbl_Finance[Job Number]&amp;""=C34&amp;"")*(tbl_Finance[Xero Invoice No]&lt;&gt;"")),tbl_Finance[Xero Invoice No])&amp;" +more"),"")))</f>
        <v/>
      </c>
      <c r="C34" s="24" t="n"/>
      <c r="D34" s="25">
        <f>IF(C34="","",IF(COUNTIF(lst_Jobs,C34&amp;"")&gt;0,"OK","CHECK"))</f>
        <v/>
      </c>
      <c r="E34" s="25">
        <f>IF(C34="","",IFERROR(INDEX(lst_JobName,MATCH(C34&amp;"",lst_Jobs,0)),""))</f>
        <v/>
      </c>
      <c r="F34" s="25">
        <f>IF(C34="","",IFERROR(INDEX(tbl_Finance[Client],IFERROR(MATCH(C34&amp;"",tbl_Finance[Job Number],0),MATCH(IFERROR(C34+0,C34),tbl_Finance[Job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6" t="n"/>
      <c r="L34" s="27">
        <f>IF(C34="","",IF(K34="",0,MAX(0,K34-H34)))</f>
        <v/>
      </c>
      <c r="M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N34" s="27">
        <f>IF(C34="","",SUMIFS(tbl_Finance[Inc GST],tbl_Finance[Job Number],C34&amp;""))</f>
        <v/>
      </c>
      <c r="O34" s="24" t="n"/>
      <c r="P34" s="25">
        <f>IF(C34="","",IFERROR(INDEX(tbl_Finance[Description],MATCH(C34&amp;"",tbl_Finance[Job Number],0)),""))</f>
        <v/>
      </c>
      <c r="Q34" s="24" t="n"/>
      <c r="R34" s="24" t="n"/>
      <c r="S34" s="22" t="n"/>
      <c r="T34" s="24" t="n"/>
      <c r="U34" s="25">
        <f>IF(T34="","",IF(AND(LEFT(T34,4)&lt;&gt;"http",set_RMSBase=""),"",HYPERLINK(IF(LEFT(T34,4)="http",T34,set_RMSBase&amp;T34),"Open opportunity")))</f>
        <v/>
      </c>
      <c r="V34" s="24" t="n"/>
      <c r="W34" s="25">
        <f>IF(V34="","",HYPERLINK(IF(LEFT(V34,4)="http",V34,set_QwilrBase&amp;V34),"Open quote"))</f>
        <v/>
      </c>
      <c r="X34" s="25">
        <f>IF(C34="","",C34)</f>
        <v/>
      </c>
      <c r="Y34" s="24" t="n"/>
      <c r="Z34" s="26" t="n"/>
      <c r="AA34" s="27">
        <f>IF(C34="","",H34+N(Z34))</f>
        <v/>
      </c>
      <c r="AB34" s="29">
        <f>IFERROR(Z34/AA34,"")</f>
        <v/>
      </c>
      <c r="AC34" s="26" t="n"/>
      <c r="AD34" s="26" t="n"/>
      <c r="AE34" s="26" t="n"/>
      <c r="AF34" s="26" t="n"/>
      <c r="AG34" s="27">
        <f>IF(C34="","",SUMIFS(tbl_Finance[Ex GST],tbl_Finance[Job Number],C34&amp;"",tbl_Finance[Cost Centre],"VIDEO"))</f>
        <v/>
      </c>
      <c r="AH34" s="29">
        <f>IFERROR(AG34/H34,"")</f>
        <v/>
      </c>
      <c r="AI34" s="27">
        <f>IF(C34="","",N(AC34)+N(AD34)+N(AE34)+N(AF34))</f>
        <v/>
      </c>
      <c r="AJ34" s="27">
        <f>IF(C34="","",H34+L34-AI34)</f>
        <v/>
      </c>
      <c r="AK34" s="29">
        <f>IFERROR(AJ34/(H34+L34),"")</f>
        <v/>
      </c>
      <c r="AL34" s="71" t="n"/>
      <c r="AM34" s="71" t="n"/>
      <c r="AN34" s="71" t="n"/>
      <c r="AO34" s="71" t="n"/>
      <c r="AP34" s="71" t="n"/>
      <c r="AQ34" s="24" t="n"/>
    </row>
    <row r="35" ht="15" customHeight="1">
      <c r="A35" s="70">
        <f>IF(C35="","",IFERROR(IF(SUMPRODUCT(MAX((tbl_Finance[Job Number]&amp;""=C35&amp;"")*(tbl_Finance[Xero Invoice No]&lt;&gt;"")*tbl_Finance[Date]))=0,"",SUMPRODUCT(MAX((tbl_Finance[Job Number]&amp;""=C35&amp;"")*(tbl_Finance[Xero Invoice No]&lt;&gt;"")*tbl_Finance[Date]))),""))</f>
        <v/>
      </c>
      <c r="B35" s="25">
        <f>IF(C35="","",IF(COUNTIFS(tbl_Finance[Job Number],C35&amp;"",tbl_Finance[Xero Invoice No],"&lt;&gt;")=0,"",IFERROR(IF(COUNTIFS(tbl_Finance[Job Number],C35&amp;"",tbl_Finance[Xero Invoice No],LOOKUP(2,1/((tbl_Finance[Job Number]&amp;""=C35&amp;"")*(tbl_Finance[Xero Invoice No]&lt;&gt;"")),tbl_Finance[Xero Invoice No]))=COUNTIFS(tbl_Finance[Job Number],C35&amp;"",tbl_Finance[Xero Invoice No],"&lt;&gt;"),LOOKUP(2,1/((tbl_Finance[Job Number]&amp;""=C35&amp;"")*(tbl_Finance[Xero Invoice No]&lt;&gt;"")),tbl_Finance[Xero Invoice No]),LOOKUP(2,1/((tbl_Finance[Job Number]&amp;""=C35&amp;"")*(tbl_Finance[Xero Invoice No]&lt;&gt;"")),tbl_Finance[Xero Invoice No])&amp;" +more"),"")))</f>
        <v/>
      </c>
      <c r="C35" s="24" t="n"/>
      <c r="D35" s="25">
        <f>IF(C35="","",IF(COUNTIF(lst_Jobs,C35&amp;"")&gt;0,"OK","CHECK"))</f>
        <v/>
      </c>
      <c r="E35" s="25">
        <f>IF(C35="","",IFERROR(INDEX(lst_JobName,MATCH(C35&amp;"",lst_Jobs,0)),""))</f>
        <v/>
      </c>
      <c r="F35" s="25">
        <f>IF(C35="","",IFERROR(INDEX(tbl_Finance[Client],IFERROR(MATCH(C35&amp;"",tbl_Finance[Job Number],0),MATCH(IFERROR(C35+0,C35),tbl_Finance[Job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6" t="n"/>
      <c r="L35" s="27">
        <f>IF(C35="","",IF(K35="",0,MAX(0,K35-H35)))</f>
        <v/>
      </c>
      <c r="M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N35" s="27">
        <f>IF(C35="","",SUMIFS(tbl_Finance[Inc GST],tbl_Finance[Job Number],C35&amp;""))</f>
        <v/>
      </c>
      <c r="O35" s="24" t="n"/>
      <c r="P35" s="25">
        <f>IF(C35="","",IFERROR(INDEX(tbl_Finance[Description],MATCH(C35&amp;"",tbl_Finance[Job Number],0)),""))</f>
        <v/>
      </c>
      <c r="Q35" s="24" t="n"/>
      <c r="R35" s="24" t="n"/>
      <c r="S35" s="22" t="n"/>
      <c r="T35" s="24" t="n"/>
      <c r="U35" s="25">
        <f>IF(T35="","",IF(AND(LEFT(T35,4)&lt;&gt;"http",set_RMSBase=""),"",HYPERLINK(IF(LEFT(T35,4)="http",T35,set_RMSBase&amp;T35),"Open opportunity")))</f>
        <v/>
      </c>
      <c r="V35" s="24" t="n"/>
      <c r="W35" s="25">
        <f>IF(V35="","",HYPERLINK(IF(LEFT(V35,4)="http",V35,set_QwilrBase&amp;V35),"Open quote"))</f>
        <v/>
      </c>
      <c r="X35" s="25">
        <f>IF(C35="","",C35)</f>
        <v/>
      </c>
      <c r="Y35" s="24" t="n"/>
      <c r="Z35" s="26" t="n"/>
      <c r="AA35" s="27">
        <f>IF(C35="","",H35+N(Z35))</f>
        <v/>
      </c>
      <c r="AB35" s="29">
        <f>IFERROR(Z35/AA35,"")</f>
        <v/>
      </c>
      <c r="AC35" s="26" t="n"/>
      <c r="AD35" s="26" t="n"/>
      <c r="AE35" s="26" t="n"/>
      <c r="AF35" s="26" t="n"/>
      <c r="AG35" s="27">
        <f>IF(C35="","",SUMIFS(tbl_Finance[Ex GST],tbl_Finance[Job Number],C35&amp;"",tbl_Finance[Cost Centre],"VIDEO"))</f>
        <v/>
      </c>
      <c r="AH35" s="29">
        <f>IFERROR(AG35/H35,"")</f>
        <v/>
      </c>
      <c r="AI35" s="27">
        <f>IF(C35="","",N(AC35)+N(AD35)+N(AE35)+N(AF35))</f>
        <v/>
      </c>
      <c r="AJ35" s="27">
        <f>IF(C35="","",H35+L35-AI35)</f>
        <v/>
      </c>
      <c r="AK35" s="29">
        <f>IFERROR(AJ35/(H35+L35),"")</f>
        <v/>
      </c>
      <c r="AL35" s="71" t="n"/>
      <c r="AM35" s="71" t="n"/>
      <c r="AN35" s="71" t="n"/>
      <c r="AO35" s="71" t="n"/>
      <c r="AP35" s="71" t="n"/>
      <c r="AQ35" s="24" t="n"/>
    </row>
    <row r="36" ht="15" customHeight="1">
      <c r="A36" s="70">
        <f>IF(C36="","",IFERROR(IF(SUMPRODUCT(MAX((tbl_Finance[Job Number]&amp;""=C36&amp;"")*(tbl_Finance[Xero Invoice No]&lt;&gt;"")*tbl_Finance[Date]))=0,"",SUMPRODUCT(MAX((tbl_Finance[Job Number]&amp;""=C36&amp;"")*(tbl_Finance[Xero Invoice No]&lt;&gt;"")*tbl_Finance[Date]))),""))</f>
        <v/>
      </c>
      <c r="B36" s="25">
        <f>IF(C36="","",IF(COUNTIFS(tbl_Finance[Job Number],C36&amp;"",tbl_Finance[Xero Invoice No],"&lt;&gt;")=0,"",IFERROR(IF(COUNTIFS(tbl_Finance[Job Number],C36&amp;"",tbl_Finance[Xero Invoice No],LOOKUP(2,1/((tbl_Finance[Job Number]&amp;""=C36&amp;"")*(tbl_Finance[Xero Invoice No]&lt;&gt;"")),tbl_Finance[Xero Invoice No]))=COUNTIFS(tbl_Finance[Job Number],C36&amp;"",tbl_Finance[Xero Invoice No],"&lt;&gt;"),LOOKUP(2,1/((tbl_Finance[Job Number]&amp;""=C36&amp;"")*(tbl_Finance[Xero Invoice No]&lt;&gt;"")),tbl_Finance[Xero Invoice No]),LOOKUP(2,1/((tbl_Finance[Job Number]&amp;""=C36&amp;"")*(tbl_Finance[Xero Invoice No]&lt;&gt;"")),tbl_Finance[Xero Invoice No])&amp;" +more"),"")))</f>
        <v/>
      </c>
      <c r="C36" s="24" t="n"/>
      <c r="D36" s="25">
        <f>IF(C36="","",IF(COUNTIF(lst_Jobs,C36&amp;"")&gt;0,"OK","CHECK"))</f>
        <v/>
      </c>
      <c r="E36" s="25">
        <f>IF(C36="","",IFERROR(INDEX(lst_JobName,MATCH(C36&amp;"",lst_Jobs,0)),""))</f>
        <v/>
      </c>
      <c r="F36" s="25">
        <f>IF(C36="","",IFERROR(INDEX(tbl_Finance[Client],IFERROR(MATCH(C36&amp;"",tbl_Finance[Job Number],0),MATCH(IFERROR(C36+0,C36),tbl_Finance[Job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6" t="n"/>
      <c r="L36" s="27">
        <f>IF(C36="","",IF(K36="",0,MAX(0,K36-H36)))</f>
        <v/>
      </c>
      <c r="M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N36" s="27">
        <f>IF(C36="","",SUMIFS(tbl_Finance[Inc GST],tbl_Finance[Job Number],C36&amp;""))</f>
        <v/>
      </c>
      <c r="O36" s="24" t="n"/>
      <c r="P36" s="25">
        <f>IF(C36="","",IFERROR(INDEX(tbl_Finance[Description],MATCH(C36&amp;"",tbl_Finance[Job Number],0)),""))</f>
        <v/>
      </c>
      <c r="Q36" s="24" t="n"/>
      <c r="R36" s="24" t="n"/>
      <c r="S36" s="22" t="n"/>
      <c r="T36" s="24" t="n"/>
      <c r="U36" s="25">
        <f>IF(T36="","",IF(AND(LEFT(T36,4)&lt;&gt;"http",set_RMSBase=""),"",HYPERLINK(IF(LEFT(T36,4)="http",T36,set_RMSBase&amp;T36),"Open opportunity")))</f>
        <v/>
      </c>
      <c r="V36" s="24" t="n"/>
      <c r="W36" s="25">
        <f>IF(V36="","",HYPERLINK(IF(LEFT(V36,4)="http",V36,set_QwilrBase&amp;V36),"Open quote"))</f>
        <v/>
      </c>
      <c r="X36" s="25">
        <f>IF(C36="","",C36)</f>
        <v/>
      </c>
      <c r="Y36" s="24" t="n"/>
      <c r="Z36" s="26" t="n"/>
      <c r="AA36" s="27">
        <f>IF(C36="","",H36+N(Z36))</f>
        <v/>
      </c>
      <c r="AB36" s="29">
        <f>IFERROR(Z36/AA36,"")</f>
        <v/>
      </c>
      <c r="AC36" s="26" t="n"/>
      <c r="AD36" s="26" t="n"/>
      <c r="AE36" s="26" t="n"/>
      <c r="AF36" s="26" t="n"/>
      <c r="AG36" s="27">
        <f>IF(C36="","",SUMIFS(tbl_Finance[Ex GST],tbl_Finance[Job Number],C36&amp;"",tbl_Finance[Cost Centre],"VIDEO"))</f>
        <v/>
      </c>
      <c r="AH36" s="29">
        <f>IFERROR(AG36/H36,"")</f>
        <v/>
      </c>
      <c r="AI36" s="27">
        <f>IF(C36="","",N(AC36)+N(AD36)+N(AE36)+N(AF36))</f>
        <v/>
      </c>
      <c r="AJ36" s="27">
        <f>IF(C36="","",H36+L36-AI36)</f>
        <v/>
      </c>
      <c r="AK36" s="29">
        <f>IFERROR(AJ36/(H36+L36),"")</f>
        <v/>
      </c>
      <c r="AL36" s="71" t="n"/>
      <c r="AM36" s="71" t="n"/>
      <c r="AN36" s="71" t="n"/>
      <c r="AO36" s="71" t="n"/>
      <c r="AP36" s="71" t="n"/>
      <c r="AQ36" s="24" t="n"/>
    </row>
    <row r="37" ht="15" customHeight="1">
      <c r="A37" s="70">
        <f>IF(C37="","",IFERROR(IF(SUMPRODUCT(MAX((tbl_Finance[Job Number]&amp;""=C37&amp;"")*(tbl_Finance[Xero Invoice No]&lt;&gt;"")*tbl_Finance[Date]))=0,"",SUMPRODUCT(MAX((tbl_Finance[Job Number]&amp;""=C37&amp;"")*(tbl_Finance[Xero Invoice No]&lt;&gt;"")*tbl_Finance[Date]))),""))</f>
        <v/>
      </c>
      <c r="B37" s="25">
        <f>IF(C37="","",IF(COUNTIFS(tbl_Finance[Job Number],C37&amp;"",tbl_Finance[Xero Invoice No],"&lt;&gt;")=0,"",IFERROR(IF(COUNTIFS(tbl_Finance[Job Number],C37&amp;"",tbl_Finance[Xero Invoice No],LOOKUP(2,1/((tbl_Finance[Job Number]&amp;""=C37&amp;"")*(tbl_Finance[Xero Invoice No]&lt;&gt;"")),tbl_Finance[Xero Invoice No]))=COUNTIFS(tbl_Finance[Job Number],C37&amp;"",tbl_Finance[Xero Invoice No],"&lt;&gt;"),LOOKUP(2,1/((tbl_Finance[Job Number]&amp;""=C37&amp;"")*(tbl_Finance[Xero Invoice No]&lt;&gt;"")),tbl_Finance[Xero Invoice No]),LOOKUP(2,1/((tbl_Finance[Job Number]&amp;""=C37&amp;"")*(tbl_Finance[Xero Invoice No]&lt;&gt;"")),tbl_Finance[Xero Invoice No])&amp;" +more"),"")))</f>
        <v/>
      </c>
      <c r="C37" s="24" t="n"/>
      <c r="D37" s="25">
        <f>IF(C37="","",IF(COUNTIF(lst_Jobs,C37&amp;"")&gt;0,"OK","CHECK"))</f>
        <v/>
      </c>
      <c r="E37" s="25">
        <f>IF(C37="","",IFERROR(INDEX(lst_JobName,MATCH(C37&amp;"",lst_Jobs,0)),""))</f>
        <v/>
      </c>
      <c r="F37" s="25">
        <f>IF(C37="","",IFERROR(INDEX(tbl_Finance[Client],IFERROR(MATCH(C37&amp;"",tbl_Finance[Job Number],0),MATCH(IFERROR(C37+0,C37),tbl_Finance[Job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6" t="n"/>
      <c r="L37" s="27">
        <f>IF(C37="","",IF(K37="",0,MAX(0,K37-H37)))</f>
        <v/>
      </c>
      <c r="M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N37" s="27">
        <f>IF(C37="","",SUMIFS(tbl_Finance[Inc GST],tbl_Finance[Job Number],C37&amp;""))</f>
        <v/>
      </c>
      <c r="O37" s="24" t="n"/>
      <c r="P37" s="25">
        <f>IF(C37="","",IFERROR(INDEX(tbl_Finance[Description],MATCH(C37&amp;"",tbl_Finance[Job Number],0)),""))</f>
        <v/>
      </c>
      <c r="Q37" s="24" t="n"/>
      <c r="R37" s="24" t="n"/>
      <c r="S37" s="22" t="n"/>
      <c r="T37" s="24" t="n"/>
      <c r="U37" s="25">
        <f>IF(T37="","",IF(AND(LEFT(T37,4)&lt;&gt;"http",set_RMSBase=""),"",HYPERLINK(IF(LEFT(T37,4)="http",T37,set_RMSBase&amp;T37),"Open opportunity")))</f>
        <v/>
      </c>
      <c r="V37" s="24" t="n"/>
      <c r="W37" s="25">
        <f>IF(V37="","",HYPERLINK(IF(LEFT(V37,4)="http",V37,set_QwilrBase&amp;V37),"Open quote"))</f>
        <v/>
      </c>
      <c r="X37" s="25">
        <f>IF(C37="","",C37)</f>
        <v/>
      </c>
      <c r="Y37" s="24" t="n"/>
      <c r="Z37" s="26" t="n"/>
      <c r="AA37" s="27">
        <f>IF(C37="","",H37+N(Z37))</f>
        <v/>
      </c>
      <c r="AB37" s="29">
        <f>IFERROR(Z37/AA37,"")</f>
        <v/>
      </c>
      <c r="AC37" s="26" t="n"/>
      <c r="AD37" s="26" t="n"/>
      <c r="AE37" s="26" t="n"/>
      <c r="AF37" s="26" t="n"/>
      <c r="AG37" s="27">
        <f>IF(C37="","",SUMIFS(tbl_Finance[Ex GST],tbl_Finance[Job Number],C37&amp;"",tbl_Finance[Cost Centre],"VIDEO"))</f>
        <v/>
      </c>
      <c r="AH37" s="29">
        <f>IFERROR(AG37/H37,"")</f>
        <v/>
      </c>
      <c r="AI37" s="27">
        <f>IF(C37="","",N(AC37)+N(AD37)+N(AE37)+N(AF37))</f>
        <v/>
      </c>
      <c r="AJ37" s="27">
        <f>IF(C37="","",H37+L37-AI37)</f>
        <v/>
      </c>
      <c r="AK37" s="29">
        <f>IFERROR(AJ37/(H37+L37),"")</f>
        <v/>
      </c>
      <c r="AL37" s="71" t="n"/>
      <c r="AM37" s="71" t="n"/>
      <c r="AN37" s="71" t="n"/>
      <c r="AO37" s="71" t="n"/>
      <c r="AP37" s="71" t="n"/>
      <c r="AQ37" s="24" t="n"/>
    </row>
    <row r="38" ht="15" customHeight="1">
      <c r="A38" s="70">
        <f>IF(C38="","",IFERROR(IF(SUMPRODUCT(MAX((tbl_Finance[Job Number]&amp;""=C38&amp;"")*(tbl_Finance[Xero Invoice No]&lt;&gt;"")*tbl_Finance[Date]))=0,"",SUMPRODUCT(MAX((tbl_Finance[Job Number]&amp;""=C38&amp;"")*(tbl_Finance[Xero Invoice No]&lt;&gt;"")*tbl_Finance[Date]))),""))</f>
        <v/>
      </c>
      <c r="B38" s="25">
        <f>IF(C38="","",IF(COUNTIFS(tbl_Finance[Job Number],C38&amp;"",tbl_Finance[Xero Invoice No],"&lt;&gt;")=0,"",IFERROR(IF(COUNTIFS(tbl_Finance[Job Number],C38&amp;"",tbl_Finance[Xero Invoice No],LOOKUP(2,1/((tbl_Finance[Job Number]&amp;""=C38&amp;"")*(tbl_Finance[Xero Invoice No]&lt;&gt;"")),tbl_Finance[Xero Invoice No]))=COUNTIFS(tbl_Finance[Job Number],C38&amp;"",tbl_Finance[Xero Invoice No],"&lt;&gt;"),LOOKUP(2,1/((tbl_Finance[Job Number]&amp;""=C38&amp;"")*(tbl_Finance[Xero Invoice No]&lt;&gt;"")),tbl_Finance[Xero Invoice No]),LOOKUP(2,1/((tbl_Finance[Job Number]&amp;""=C38&amp;"")*(tbl_Finance[Xero Invoice No]&lt;&gt;"")),tbl_Finance[Xero Invoice No])&amp;" +more"),"")))</f>
        <v/>
      </c>
      <c r="C38" s="24" t="n"/>
      <c r="D38" s="25">
        <f>IF(C38="","",IF(COUNTIF(lst_Jobs,C38&amp;"")&gt;0,"OK","CHECK"))</f>
        <v/>
      </c>
      <c r="E38" s="25">
        <f>IF(C38="","",IFERROR(INDEX(lst_JobName,MATCH(C38&amp;"",lst_Jobs,0)),""))</f>
        <v/>
      </c>
      <c r="F38" s="25">
        <f>IF(C38="","",IFERROR(INDEX(tbl_Finance[Client],IFERROR(MATCH(C38&amp;"",tbl_Finance[Job Number],0),MATCH(IFERROR(C38+0,C38),tbl_Finance[Job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6" t="n"/>
      <c r="L38" s="27">
        <f>IF(C38="","",IF(K38="",0,MAX(0,K38-H38)))</f>
        <v/>
      </c>
      <c r="M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N38" s="27">
        <f>IF(C38="","",SUMIFS(tbl_Finance[Inc GST],tbl_Finance[Job Number],C38&amp;""))</f>
        <v/>
      </c>
      <c r="O38" s="24" t="n"/>
      <c r="P38" s="25">
        <f>IF(C38="","",IFERROR(INDEX(tbl_Finance[Description],MATCH(C38&amp;"",tbl_Finance[Job Number],0)),""))</f>
        <v/>
      </c>
      <c r="Q38" s="24" t="n"/>
      <c r="R38" s="24" t="n"/>
      <c r="S38" s="22" t="n"/>
      <c r="T38" s="24" t="n"/>
      <c r="U38" s="25">
        <f>IF(T38="","",IF(AND(LEFT(T38,4)&lt;&gt;"http",set_RMSBase=""),"",HYPERLINK(IF(LEFT(T38,4)="http",T38,set_RMSBase&amp;T38),"Open opportunity")))</f>
        <v/>
      </c>
      <c r="V38" s="24" t="n"/>
      <c r="W38" s="25">
        <f>IF(V38="","",HYPERLINK(IF(LEFT(V38,4)="http",V38,set_QwilrBase&amp;V38),"Open quote"))</f>
        <v/>
      </c>
      <c r="X38" s="25">
        <f>IF(C38="","",C38)</f>
        <v/>
      </c>
      <c r="Y38" s="24" t="n"/>
      <c r="Z38" s="26" t="n"/>
      <c r="AA38" s="27">
        <f>IF(C38="","",H38+N(Z38))</f>
        <v/>
      </c>
      <c r="AB38" s="29">
        <f>IFERROR(Z38/AA38,"")</f>
        <v/>
      </c>
      <c r="AC38" s="26" t="n"/>
      <c r="AD38" s="26" t="n"/>
      <c r="AE38" s="26" t="n"/>
      <c r="AF38" s="26" t="n"/>
      <c r="AG38" s="27">
        <f>IF(C38="","",SUMIFS(tbl_Finance[Ex GST],tbl_Finance[Job Number],C38&amp;"",tbl_Finance[Cost Centre],"VIDEO"))</f>
        <v/>
      </c>
      <c r="AH38" s="29">
        <f>IFERROR(AG38/H38,"")</f>
        <v/>
      </c>
      <c r="AI38" s="27">
        <f>IF(C38="","",N(AC38)+N(AD38)+N(AE38)+N(AF38))</f>
        <v/>
      </c>
      <c r="AJ38" s="27">
        <f>IF(C38="","",H38+L38-AI38)</f>
        <v/>
      </c>
      <c r="AK38" s="29">
        <f>IFERROR(AJ38/(H38+L38),"")</f>
        <v/>
      </c>
      <c r="AL38" s="71" t="n"/>
      <c r="AM38" s="71" t="n"/>
      <c r="AN38" s="71" t="n"/>
      <c r="AO38" s="71" t="n"/>
      <c r="AP38" s="71" t="n"/>
      <c r="AQ38" s="24" t="n"/>
    </row>
    <row r="39" ht="15" customHeight="1">
      <c r="A39" s="70">
        <f>IF(C39="","",IFERROR(IF(SUMPRODUCT(MAX((tbl_Finance[Job Number]&amp;""=C39&amp;"")*(tbl_Finance[Xero Invoice No]&lt;&gt;"")*tbl_Finance[Date]))=0,"",SUMPRODUCT(MAX((tbl_Finance[Job Number]&amp;""=C39&amp;"")*(tbl_Finance[Xero Invoice No]&lt;&gt;"")*tbl_Finance[Date]))),""))</f>
        <v/>
      </c>
      <c r="B39" s="25">
        <f>IF(C39="","",IF(COUNTIFS(tbl_Finance[Job Number],C39&amp;"",tbl_Finance[Xero Invoice No],"&lt;&gt;")=0,"",IFERROR(IF(COUNTIFS(tbl_Finance[Job Number],C39&amp;"",tbl_Finance[Xero Invoice No],LOOKUP(2,1/((tbl_Finance[Job Number]&amp;""=C39&amp;"")*(tbl_Finance[Xero Invoice No]&lt;&gt;"")),tbl_Finance[Xero Invoice No]))=COUNTIFS(tbl_Finance[Job Number],C39&amp;"",tbl_Finance[Xero Invoice No],"&lt;&gt;"),LOOKUP(2,1/((tbl_Finance[Job Number]&amp;""=C39&amp;"")*(tbl_Finance[Xero Invoice No]&lt;&gt;"")),tbl_Finance[Xero Invoice No]),LOOKUP(2,1/((tbl_Finance[Job Number]&amp;""=C39&amp;"")*(tbl_Finance[Xero Invoice No]&lt;&gt;"")),tbl_Finance[Xero Invoice No])&amp;" +more"),"")))</f>
        <v/>
      </c>
      <c r="C39" s="24" t="n"/>
      <c r="D39" s="25">
        <f>IF(C39="","",IF(COUNTIF(lst_Jobs,C39&amp;"")&gt;0,"OK","CHECK"))</f>
        <v/>
      </c>
      <c r="E39" s="25">
        <f>IF(C39="","",IFERROR(INDEX(lst_JobName,MATCH(C39&amp;"",lst_Jobs,0)),""))</f>
        <v/>
      </c>
      <c r="F39" s="25">
        <f>IF(C39="","",IFERROR(INDEX(tbl_Finance[Client],IFERROR(MATCH(C39&amp;"",tbl_Finance[Job Number],0),MATCH(IFERROR(C39+0,C39),tbl_Finance[Job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6" t="n"/>
      <c r="L39" s="27">
        <f>IF(C39="","",IF(K39="",0,MAX(0,K39-H39)))</f>
        <v/>
      </c>
      <c r="M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N39" s="27">
        <f>IF(C39="","",SUMIFS(tbl_Finance[Inc GST],tbl_Finance[Job Number],C39&amp;""))</f>
        <v/>
      </c>
      <c r="O39" s="24" t="n"/>
      <c r="P39" s="25">
        <f>IF(C39="","",IFERROR(INDEX(tbl_Finance[Description],MATCH(C39&amp;"",tbl_Finance[Job Number],0)),""))</f>
        <v/>
      </c>
      <c r="Q39" s="24" t="n"/>
      <c r="R39" s="24" t="n"/>
      <c r="S39" s="22" t="n"/>
      <c r="T39" s="24" t="n"/>
      <c r="U39" s="25">
        <f>IF(T39="","",IF(AND(LEFT(T39,4)&lt;&gt;"http",set_RMSBase=""),"",HYPERLINK(IF(LEFT(T39,4)="http",T39,set_RMSBase&amp;T39),"Open opportunity")))</f>
        <v/>
      </c>
      <c r="V39" s="24" t="n"/>
      <c r="W39" s="25">
        <f>IF(V39="","",HYPERLINK(IF(LEFT(V39,4)="http",V39,set_QwilrBase&amp;V39),"Open quote"))</f>
        <v/>
      </c>
      <c r="X39" s="25">
        <f>IF(C39="","",C39)</f>
        <v/>
      </c>
      <c r="Y39" s="24" t="n"/>
      <c r="Z39" s="26" t="n"/>
      <c r="AA39" s="27">
        <f>IF(C39="","",H39+N(Z39))</f>
        <v/>
      </c>
      <c r="AB39" s="29">
        <f>IFERROR(Z39/AA39,"")</f>
        <v/>
      </c>
      <c r="AC39" s="26" t="n"/>
      <c r="AD39" s="26" t="n"/>
      <c r="AE39" s="26" t="n"/>
      <c r="AF39" s="26" t="n"/>
      <c r="AG39" s="27">
        <f>IF(C39="","",SUMIFS(tbl_Finance[Ex GST],tbl_Finance[Job Number],C39&amp;"",tbl_Finance[Cost Centre],"VIDEO"))</f>
        <v/>
      </c>
      <c r="AH39" s="29">
        <f>IFERROR(AG39/H39,"")</f>
        <v/>
      </c>
      <c r="AI39" s="27">
        <f>IF(C39="","",N(AC39)+N(AD39)+N(AE39)+N(AF39))</f>
        <v/>
      </c>
      <c r="AJ39" s="27">
        <f>IF(C39="","",H39+L39-AI39)</f>
        <v/>
      </c>
      <c r="AK39" s="29">
        <f>IFERROR(AJ39/(H39+L39),"")</f>
        <v/>
      </c>
      <c r="AL39" s="71" t="n"/>
      <c r="AM39" s="71" t="n"/>
      <c r="AN39" s="71" t="n"/>
      <c r="AO39" s="71" t="n"/>
      <c r="AP39" s="71" t="n"/>
      <c r="AQ39" s="24" t="n"/>
    </row>
    <row r="40" ht="15" customHeight="1">
      <c r="A40" s="70">
        <f>IF(C40="","",IFERROR(IF(SUMPRODUCT(MAX((tbl_Finance[Job Number]&amp;""=C40&amp;"")*(tbl_Finance[Xero Invoice No]&lt;&gt;"")*tbl_Finance[Date]))=0,"",SUMPRODUCT(MAX((tbl_Finance[Job Number]&amp;""=C40&amp;"")*(tbl_Finance[Xero Invoice No]&lt;&gt;"")*tbl_Finance[Date]))),""))</f>
        <v/>
      </c>
      <c r="B40" s="25">
        <f>IF(C40="","",IF(COUNTIFS(tbl_Finance[Job Number],C40&amp;"",tbl_Finance[Xero Invoice No],"&lt;&gt;")=0,"",IFERROR(IF(COUNTIFS(tbl_Finance[Job Number],C40&amp;"",tbl_Finance[Xero Invoice No],LOOKUP(2,1/((tbl_Finance[Job Number]&amp;""=C40&amp;"")*(tbl_Finance[Xero Invoice No]&lt;&gt;"")),tbl_Finance[Xero Invoice No]))=COUNTIFS(tbl_Finance[Job Number],C40&amp;"",tbl_Finance[Xero Invoice No],"&lt;&gt;"),LOOKUP(2,1/((tbl_Finance[Job Number]&amp;""=C40&amp;"")*(tbl_Finance[Xero Invoice No]&lt;&gt;"")),tbl_Finance[Xero Invoice No]),LOOKUP(2,1/((tbl_Finance[Job Number]&amp;""=C40&amp;"")*(tbl_Finance[Xero Invoice No]&lt;&gt;"")),tbl_Finance[Xero Invoice No])&amp;" +more"),"")))</f>
        <v/>
      </c>
      <c r="C40" s="24" t="n"/>
      <c r="D40" s="25">
        <f>IF(C40="","",IF(COUNTIF(lst_Jobs,C40&amp;"")&gt;0,"OK","CHECK"))</f>
        <v/>
      </c>
      <c r="E40" s="25">
        <f>IF(C40="","",IFERROR(INDEX(lst_JobName,MATCH(C40&amp;"",lst_Jobs,0)),""))</f>
        <v/>
      </c>
      <c r="F40" s="25">
        <f>IF(C40="","",IFERROR(INDEX(tbl_Finance[Client],IFERROR(MATCH(C40&amp;"",tbl_Finance[Job Number],0),MATCH(IFERROR(C40+0,C40),tbl_Finance[Job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6" t="n"/>
      <c r="L40" s="27">
        <f>IF(C40="","",IF(K40="",0,MAX(0,K40-H40)))</f>
        <v/>
      </c>
      <c r="M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N40" s="27">
        <f>IF(C40="","",SUMIFS(tbl_Finance[Inc GST],tbl_Finance[Job Number],C40&amp;""))</f>
        <v/>
      </c>
      <c r="O40" s="24" t="n"/>
      <c r="P40" s="25">
        <f>IF(C40="","",IFERROR(INDEX(tbl_Finance[Description],MATCH(C40&amp;"",tbl_Finance[Job Number],0)),""))</f>
        <v/>
      </c>
      <c r="Q40" s="24" t="n"/>
      <c r="R40" s="24" t="n"/>
      <c r="S40" s="22" t="n"/>
      <c r="T40" s="24" t="n"/>
      <c r="U40" s="25">
        <f>IF(T40="","",IF(AND(LEFT(T40,4)&lt;&gt;"http",set_RMSBase=""),"",HYPERLINK(IF(LEFT(T40,4)="http",T40,set_RMSBase&amp;T40),"Open opportunity")))</f>
        <v/>
      </c>
      <c r="V40" s="24" t="n"/>
      <c r="W40" s="25">
        <f>IF(V40="","",HYPERLINK(IF(LEFT(V40,4)="http",V40,set_QwilrBase&amp;V40),"Open quote"))</f>
        <v/>
      </c>
      <c r="X40" s="25">
        <f>IF(C40="","",C40)</f>
        <v/>
      </c>
      <c r="Y40" s="24" t="n"/>
      <c r="Z40" s="26" t="n"/>
      <c r="AA40" s="27">
        <f>IF(C40="","",H40+N(Z40))</f>
        <v/>
      </c>
      <c r="AB40" s="29">
        <f>IFERROR(Z40/AA40,"")</f>
        <v/>
      </c>
      <c r="AC40" s="26" t="n"/>
      <c r="AD40" s="26" t="n"/>
      <c r="AE40" s="26" t="n"/>
      <c r="AF40" s="26" t="n"/>
      <c r="AG40" s="27">
        <f>IF(C40="","",SUMIFS(tbl_Finance[Ex GST],tbl_Finance[Job Number],C40&amp;"",tbl_Finance[Cost Centre],"VIDEO"))</f>
        <v/>
      </c>
      <c r="AH40" s="29">
        <f>IFERROR(AG40/H40,"")</f>
        <v/>
      </c>
      <c r="AI40" s="27">
        <f>IF(C40="","",N(AC40)+N(AD40)+N(AE40)+N(AF40))</f>
        <v/>
      </c>
      <c r="AJ40" s="27">
        <f>IF(C40="","",H40+L40-AI40)</f>
        <v/>
      </c>
      <c r="AK40" s="29">
        <f>IFERROR(AJ40/(H40+L40),"")</f>
        <v/>
      </c>
      <c r="AL40" s="71" t="n"/>
      <c r="AM40" s="71" t="n"/>
      <c r="AN40" s="71" t="n"/>
      <c r="AO40" s="71" t="n"/>
      <c r="AP40" s="71" t="n"/>
      <c r="AQ40" s="24" t="n"/>
    </row>
    <row r="41" ht="15" customHeight="1">
      <c r="A41" s="70">
        <f>IF(C41="","",IFERROR(IF(SUMPRODUCT(MAX((tbl_Finance[Job Number]&amp;""=C41&amp;"")*(tbl_Finance[Xero Invoice No]&lt;&gt;"")*tbl_Finance[Date]))=0,"",SUMPRODUCT(MAX((tbl_Finance[Job Number]&amp;""=C41&amp;"")*(tbl_Finance[Xero Invoice No]&lt;&gt;"")*tbl_Finance[Date]))),""))</f>
        <v/>
      </c>
      <c r="B41" s="25">
        <f>IF(C41="","",IF(COUNTIFS(tbl_Finance[Job Number],C41&amp;"",tbl_Finance[Xero Invoice No],"&lt;&gt;")=0,"",IFERROR(IF(COUNTIFS(tbl_Finance[Job Number],C41&amp;"",tbl_Finance[Xero Invoice No],LOOKUP(2,1/((tbl_Finance[Job Number]&amp;""=C41&amp;"")*(tbl_Finance[Xero Invoice No]&lt;&gt;"")),tbl_Finance[Xero Invoice No]))=COUNTIFS(tbl_Finance[Job Number],C41&amp;"",tbl_Finance[Xero Invoice No],"&lt;&gt;"),LOOKUP(2,1/((tbl_Finance[Job Number]&amp;""=C41&amp;"")*(tbl_Finance[Xero Invoice No]&lt;&gt;"")),tbl_Finance[Xero Invoice No]),LOOKUP(2,1/((tbl_Finance[Job Number]&amp;""=C41&amp;"")*(tbl_Finance[Xero Invoice No]&lt;&gt;"")),tbl_Finance[Xero Invoice No])&amp;" +more"),"")))</f>
        <v/>
      </c>
      <c r="C41" s="24" t="n"/>
      <c r="D41" s="25">
        <f>IF(C41="","",IF(COUNTIF(lst_Jobs,C41&amp;"")&gt;0,"OK","CHECK"))</f>
        <v/>
      </c>
      <c r="E41" s="25">
        <f>IF(C41="","",IFERROR(INDEX(lst_JobName,MATCH(C41&amp;"",lst_Jobs,0)),""))</f>
        <v/>
      </c>
      <c r="F41" s="25">
        <f>IF(C41="","",IFERROR(INDEX(tbl_Finance[Client],IFERROR(MATCH(C41&amp;"",tbl_Finance[Job Number],0),MATCH(IFERROR(C41+0,C41),tbl_Finance[Job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6" t="n"/>
      <c r="L41" s="27">
        <f>IF(C41="","",IF(K41="",0,MAX(0,K41-H41)))</f>
        <v/>
      </c>
      <c r="M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N41" s="27">
        <f>IF(C41="","",SUMIFS(tbl_Finance[Inc GST],tbl_Finance[Job Number],C41&amp;""))</f>
        <v/>
      </c>
      <c r="O41" s="24" t="n"/>
      <c r="P41" s="25">
        <f>IF(C41="","",IFERROR(INDEX(tbl_Finance[Description],MATCH(C41&amp;"",tbl_Finance[Job Number],0)),""))</f>
        <v/>
      </c>
      <c r="Q41" s="24" t="n"/>
      <c r="R41" s="24" t="n"/>
      <c r="S41" s="22" t="n"/>
      <c r="T41" s="24" t="n"/>
      <c r="U41" s="25">
        <f>IF(T41="","",IF(AND(LEFT(T41,4)&lt;&gt;"http",set_RMSBase=""),"",HYPERLINK(IF(LEFT(T41,4)="http",T41,set_RMSBase&amp;T41),"Open opportunity")))</f>
        <v/>
      </c>
      <c r="V41" s="24" t="n"/>
      <c r="W41" s="25">
        <f>IF(V41="","",HYPERLINK(IF(LEFT(V41,4)="http",V41,set_QwilrBase&amp;V41),"Open quote"))</f>
        <v/>
      </c>
      <c r="X41" s="25">
        <f>IF(C41="","",C41)</f>
        <v/>
      </c>
      <c r="Y41" s="24" t="n"/>
      <c r="Z41" s="26" t="n"/>
      <c r="AA41" s="27">
        <f>IF(C41="","",H41+N(Z41))</f>
        <v/>
      </c>
      <c r="AB41" s="29">
        <f>IFERROR(Z41/AA41,"")</f>
        <v/>
      </c>
      <c r="AC41" s="26" t="n"/>
      <c r="AD41" s="26" t="n"/>
      <c r="AE41" s="26" t="n"/>
      <c r="AF41" s="26" t="n"/>
      <c r="AG41" s="27">
        <f>IF(C41="","",SUMIFS(tbl_Finance[Ex GST],tbl_Finance[Job Number],C41&amp;"",tbl_Finance[Cost Centre],"VIDEO"))</f>
        <v/>
      </c>
      <c r="AH41" s="29">
        <f>IFERROR(AG41/H41,"")</f>
        <v/>
      </c>
      <c r="AI41" s="27">
        <f>IF(C41="","",N(AC41)+N(AD41)+N(AE41)+N(AF41))</f>
        <v/>
      </c>
      <c r="AJ41" s="27">
        <f>IF(C41="","",H41+L41-AI41)</f>
        <v/>
      </c>
      <c r="AK41" s="29">
        <f>IFERROR(AJ41/(H41+L41),"")</f>
        <v/>
      </c>
      <c r="AL41" s="71" t="n"/>
      <c r="AM41" s="71" t="n"/>
      <c r="AN41" s="71" t="n"/>
      <c r="AO41" s="71" t="n"/>
      <c r="AP41" s="71" t="n"/>
      <c r="AQ41" s="24" t="n"/>
    </row>
    <row r="42" ht="15" customHeight="1">
      <c r="A42" s="70">
        <f>IF(C42="","",IFERROR(IF(SUMPRODUCT(MAX((tbl_Finance[Job Number]&amp;""=C42&amp;"")*(tbl_Finance[Xero Invoice No]&lt;&gt;"")*tbl_Finance[Date]))=0,"",SUMPRODUCT(MAX((tbl_Finance[Job Number]&amp;""=C42&amp;"")*(tbl_Finance[Xero Invoice No]&lt;&gt;"")*tbl_Finance[Date]))),""))</f>
        <v/>
      </c>
      <c r="B42" s="25">
        <f>IF(C42="","",IF(COUNTIFS(tbl_Finance[Job Number],C42&amp;"",tbl_Finance[Xero Invoice No],"&lt;&gt;")=0,"",IFERROR(IF(COUNTIFS(tbl_Finance[Job Number],C42&amp;"",tbl_Finance[Xero Invoice No],LOOKUP(2,1/((tbl_Finance[Job Number]&amp;""=C42&amp;"")*(tbl_Finance[Xero Invoice No]&lt;&gt;"")),tbl_Finance[Xero Invoice No]))=COUNTIFS(tbl_Finance[Job Number],C42&amp;"",tbl_Finance[Xero Invoice No],"&lt;&gt;"),LOOKUP(2,1/((tbl_Finance[Job Number]&amp;""=C42&amp;"")*(tbl_Finance[Xero Invoice No]&lt;&gt;"")),tbl_Finance[Xero Invoice No]),LOOKUP(2,1/((tbl_Finance[Job Number]&amp;""=C42&amp;"")*(tbl_Finance[Xero Invoice No]&lt;&gt;"")),tbl_Finance[Xero Invoice No])&amp;" +more"),"")))</f>
        <v/>
      </c>
      <c r="C42" s="24" t="n"/>
      <c r="D42" s="25">
        <f>IF(C42="","",IF(COUNTIF(lst_Jobs,C42&amp;"")&gt;0,"OK","CHECK"))</f>
        <v/>
      </c>
      <c r="E42" s="25">
        <f>IF(C42="","",IFERROR(INDEX(lst_JobName,MATCH(C42&amp;"",lst_Jobs,0)),""))</f>
        <v/>
      </c>
      <c r="F42" s="25">
        <f>IF(C42="","",IFERROR(INDEX(tbl_Finance[Client],IFERROR(MATCH(C42&amp;"",tbl_Finance[Job Number],0),MATCH(IFERROR(C42+0,C42),tbl_Finance[Job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6" t="n"/>
      <c r="L42" s="27">
        <f>IF(C42="","",IF(K42="",0,MAX(0,K42-H42)))</f>
        <v/>
      </c>
      <c r="M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N42" s="27">
        <f>IF(C42="","",SUMIFS(tbl_Finance[Inc GST],tbl_Finance[Job Number],C42&amp;""))</f>
        <v/>
      </c>
      <c r="O42" s="24" t="n"/>
      <c r="P42" s="25">
        <f>IF(C42="","",IFERROR(INDEX(tbl_Finance[Description],MATCH(C42&amp;"",tbl_Finance[Job Number],0)),""))</f>
        <v/>
      </c>
      <c r="Q42" s="24" t="n"/>
      <c r="R42" s="24" t="n"/>
      <c r="S42" s="22" t="n"/>
      <c r="T42" s="24" t="n"/>
      <c r="U42" s="25">
        <f>IF(T42="","",IF(AND(LEFT(T42,4)&lt;&gt;"http",set_RMSBase=""),"",HYPERLINK(IF(LEFT(T42,4)="http",T42,set_RMSBase&amp;T42),"Open opportunity")))</f>
        <v/>
      </c>
      <c r="V42" s="24" t="n"/>
      <c r="W42" s="25">
        <f>IF(V42="","",HYPERLINK(IF(LEFT(V42,4)="http",V42,set_QwilrBase&amp;V42),"Open quote"))</f>
        <v/>
      </c>
      <c r="X42" s="25">
        <f>IF(C42="","",C42)</f>
        <v/>
      </c>
      <c r="Y42" s="24" t="n"/>
      <c r="Z42" s="26" t="n"/>
      <c r="AA42" s="27">
        <f>IF(C42="","",H42+N(Z42))</f>
        <v/>
      </c>
      <c r="AB42" s="29">
        <f>IFERROR(Z42/AA42,"")</f>
        <v/>
      </c>
      <c r="AC42" s="26" t="n"/>
      <c r="AD42" s="26" t="n"/>
      <c r="AE42" s="26" t="n"/>
      <c r="AF42" s="26" t="n"/>
      <c r="AG42" s="27">
        <f>IF(C42="","",SUMIFS(tbl_Finance[Ex GST],tbl_Finance[Job Number],C42&amp;"",tbl_Finance[Cost Centre],"VIDEO"))</f>
        <v/>
      </c>
      <c r="AH42" s="29">
        <f>IFERROR(AG42/H42,"")</f>
        <v/>
      </c>
      <c r="AI42" s="27">
        <f>IF(C42="","",N(AC42)+N(AD42)+N(AE42)+N(AF42))</f>
        <v/>
      </c>
      <c r="AJ42" s="27">
        <f>IF(C42="","",H42+L42-AI42)</f>
        <v/>
      </c>
      <c r="AK42" s="29">
        <f>IFERROR(AJ42/(H42+L42),"")</f>
        <v/>
      </c>
      <c r="AL42" s="71" t="n"/>
      <c r="AM42" s="71" t="n"/>
      <c r="AN42" s="71" t="n"/>
      <c r="AO42" s="71" t="n"/>
      <c r="AP42" s="71" t="n"/>
      <c r="AQ42" s="24" t="n"/>
    </row>
    <row r="43" ht="15" customHeight="1">
      <c r="A43" s="70">
        <f>IF(C43="","",IFERROR(IF(SUMPRODUCT(MAX((tbl_Finance[Job Number]&amp;""=C43&amp;"")*(tbl_Finance[Xero Invoice No]&lt;&gt;"")*tbl_Finance[Date]))=0,"",SUMPRODUCT(MAX((tbl_Finance[Job Number]&amp;""=C43&amp;"")*(tbl_Finance[Xero Invoice No]&lt;&gt;"")*tbl_Finance[Date]))),""))</f>
        <v/>
      </c>
      <c r="B43" s="25">
        <f>IF(C43="","",IF(COUNTIFS(tbl_Finance[Job Number],C43&amp;"",tbl_Finance[Xero Invoice No],"&lt;&gt;")=0,"",IFERROR(IF(COUNTIFS(tbl_Finance[Job Number],C43&amp;"",tbl_Finance[Xero Invoice No],LOOKUP(2,1/((tbl_Finance[Job Number]&amp;""=C43&amp;"")*(tbl_Finance[Xero Invoice No]&lt;&gt;"")),tbl_Finance[Xero Invoice No]))=COUNTIFS(tbl_Finance[Job Number],C43&amp;"",tbl_Finance[Xero Invoice No],"&lt;&gt;"),LOOKUP(2,1/((tbl_Finance[Job Number]&amp;""=C43&amp;"")*(tbl_Finance[Xero Invoice No]&lt;&gt;"")),tbl_Finance[Xero Invoice No]),LOOKUP(2,1/((tbl_Finance[Job Number]&amp;""=C43&amp;"")*(tbl_Finance[Xero Invoice No]&lt;&gt;"")),tbl_Finance[Xero Invoice No])&amp;" +more"),"")))</f>
        <v/>
      </c>
      <c r="C43" s="24" t="n"/>
      <c r="D43" s="25">
        <f>IF(C43="","",IF(COUNTIF(lst_Jobs,C43&amp;"")&gt;0,"OK","CHECK"))</f>
        <v/>
      </c>
      <c r="E43" s="25">
        <f>IF(C43="","",IFERROR(INDEX(lst_JobName,MATCH(C43&amp;"",lst_Jobs,0)),""))</f>
        <v/>
      </c>
      <c r="F43" s="25">
        <f>IF(C43="","",IFERROR(INDEX(tbl_Finance[Client],IFERROR(MATCH(C43&amp;"",tbl_Finance[Job Number],0),MATCH(IFERROR(C43+0,C43),tbl_Finance[Job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6" t="n"/>
      <c r="L43" s="27">
        <f>IF(C43="","",IF(K43="",0,MAX(0,K43-H43)))</f>
        <v/>
      </c>
      <c r="M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N43" s="27">
        <f>IF(C43="","",SUMIFS(tbl_Finance[Inc GST],tbl_Finance[Job Number],C43&amp;""))</f>
        <v/>
      </c>
      <c r="O43" s="24" t="n"/>
      <c r="P43" s="25">
        <f>IF(C43="","",IFERROR(INDEX(tbl_Finance[Description],MATCH(C43&amp;"",tbl_Finance[Job Number],0)),""))</f>
        <v/>
      </c>
      <c r="Q43" s="24" t="n"/>
      <c r="R43" s="24" t="n"/>
      <c r="S43" s="22" t="n"/>
      <c r="T43" s="24" t="n"/>
      <c r="U43" s="25">
        <f>IF(T43="","",IF(AND(LEFT(T43,4)&lt;&gt;"http",set_RMSBase=""),"",HYPERLINK(IF(LEFT(T43,4)="http",T43,set_RMSBase&amp;T43),"Open opportunity")))</f>
        <v/>
      </c>
      <c r="V43" s="24" t="n"/>
      <c r="W43" s="25">
        <f>IF(V43="","",HYPERLINK(IF(LEFT(V43,4)="http",V43,set_QwilrBase&amp;V43),"Open quote"))</f>
        <v/>
      </c>
      <c r="X43" s="25">
        <f>IF(C43="","",C43)</f>
        <v/>
      </c>
      <c r="Y43" s="24" t="n"/>
      <c r="Z43" s="26" t="n"/>
      <c r="AA43" s="27">
        <f>IF(C43="","",H43+N(Z43))</f>
        <v/>
      </c>
      <c r="AB43" s="29">
        <f>IFERROR(Z43/AA43,"")</f>
        <v/>
      </c>
      <c r="AC43" s="26" t="n"/>
      <c r="AD43" s="26" t="n"/>
      <c r="AE43" s="26" t="n"/>
      <c r="AF43" s="26" t="n"/>
      <c r="AG43" s="27">
        <f>IF(C43="","",SUMIFS(tbl_Finance[Ex GST],tbl_Finance[Job Number],C43&amp;"",tbl_Finance[Cost Centre],"VIDEO"))</f>
        <v/>
      </c>
      <c r="AH43" s="29">
        <f>IFERROR(AG43/H43,"")</f>
        <v/>
      </c>
      <c r="AI43" s="27">
        <f>IF(C43="","",N(AC43)+N(AD43)+N(AE43)+N(AF43))</f>
        <v/>
      </c>
      <c r="AJ43" s="27">
        <f>IF(C43="","",H43+L43-AI43)</f>
        <v/>
      </c>
      <c r="AK43" s="29">
        <f>IFERROR(AJ43/(H43+L43),"")</f>
        <v/>
      </c>
      <c r="AL43" s="71" t="n"/>
      <c r="AM43" s="71" t="n"/>
      <c r="AN43" s="71" t="n"/>
      <c r="AO43" s="71" t="n"/>
      <c r="AP43" s="71" t="n"/>
      <c r="AQ43" s="24" t="n"/>
    </row>
    <row r="44" ht="15" customHeight="1">
      <c r="A44" s="70">
        <f>IF(C44="","",IFERROR(IF(SUMPRODUCT(MAX((tbl_Finance[Job Number]&amp;""=C44&amp;"")*(tbl_Finance[Xero Invoice No]&lt;&gt;"")*tbl_Finance[Date]))=0,"",SUMPRODUCT(MAX((tbl_Finance[Job Number]&amp;""=C44&amp;"")*(tbl_Finance[Xero Invoice No]&lt;&gt;"")*tbl_Finance[Date]))),""))</f>
        <v/>
      </c>
      <c r="B44" s="25">
        <f>IF(C44="","",IF(COUNTIFS(tbl_Finance[Job Number],C44&amp;"",tbl_Finance[Xero Invoice No],"&lt;&gt;")=0,"",IFERROR(IF(COUNTIFS(tbl_Finance[Job Number],C44&amp;"",tbl_Finance[Xero Invoice No],LOOKUP(2,1/((tbl_Finance[Job Number]&amp;""=C44&amp;"")*(tbl_Finance[Xero Invoice No]&lt;&gt;"")),tbl_Finance[Xero Invoice No]))=COUNTIFS(tbl_Finance[Job Number],C44&amp;"",tbl_Finance[Xero Invoice No],"&lt;&gt;"),LOOKUP(2,1/((tbl_Finance[Job Number]&amp;""=C44&amp;"")*(tbl_Finance[Xero Invoice No]&lt;&gt;"")),tbl_Finance[Xero Invoice No]),LOOKUP(2,1/((tbl_Finance[Job Number]&amp;""=C44&amp;"")*(tbl_Finance[Xero Invoice No]&lt;&gt;"")),tbl_Finance[Xero Invoice No])&amp;" +more"),"")))</f>
        <v/>
      </c>
      <c r="C44" s="24" t="n"/>
      <c r="D44" s="25">
        <f>IF(C44="","",IF(COUNTIF(lst_Jobs,C44&amp;"")&gt;0,"OK","CHECK"))</f>
        <v/>
      </c>
      <c r="E44" s="25">
        <f>IF(C44="","",IFERROR(INDEX(lst_JobName,MATCH(C44&amp;"",lst_Jobs,0)),""))</f>
        <v/>
      </c>
      <c r="F44" s="25">
        <f>IF(C44="","",IFERROR(INDEX(tbl_Finance[Client],IFERROR(MATCH(C44&amp;"",tbl_Finance[Job Number],0),MATCH(IFERROR(C44+0,C44),tbl_Finance[Job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6" t="n"/>
      <c r="L44" s="27">
        <f>IF(C44="","",IF(K44="",0,MAX(0,K44-H44)))</f>
        <v/>
      </c>
      <c r="M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N44" s="27">
        <f>IF(C44="","",SUMIFS(tbl_Finance[Inc GST],tbl_Finance[Job Number],C44&amp;""))</f>
        <v/>
      </c>
      <c r="O44" s="24" t="n"/>
      <c r="P44" s="25">
        <f>IF(C44="","",IFERROR(INDEX(tbl_Finance[Description],MATCH(C44&amp;"",tbl_Finance[Job Number],0)),""))</f>
        <v/>
      </c>
      <c r="Q44" s="24" t="n"/>
      <c r="R44" s="24" t="n"/>
      <c r="S44" s="22" t="n"/>
      <c r="T44" s="24" t="n"/>
      <c r="U44" s="25">
        <f>IF(T44="","",IF(AND(LEFT(T44,4)&lt;&gt;"http",set_RMSBase=""),"",HYPERLINK(IF(LEFT(T44,4)="http",T44,set_RMSBase&amp;T44),"Open opportunity")))</f>
        <v/>
      </c>
      <c r="V44" s="24" t="n"/>
      <c r="W44" s="25">
        <f>IF(V44="","",HYPERLINK(IF(LEFT(V44,4)="http",V44,set_QwilrBase&amp;V44),"Open quote"))</f>
        <v/>
      </c>
      <c r="X44" s="25">
        <f>IF(C44="","",C44)</f>
        <v/>
      </c>
      <c r="Y44" s="24" t="n"/>
      <c r="Z44" s="26" t="n"/>
      <c r="AA44" s="27">
        <f>IF(C44="","",H44+N(Z44))</f>
        <v/>
      </c>
      <c r="AB44" s="29">
        <f>IFERROR(Z44/AA44,"")</f>
        <v/>
      </c>
      <c r="AC44" s="26" t="n"/>
      <c r="AD44" s="26" t="n"/>
      <c r="AE44" s="26" t="n"/>
      <c r="AF44" s="26" t="n"/>
      <c r="AG44" s="27">
        <f>IF(C44="","",SUMIFS(tbl_Finance[Ex GST],tbl_Finance[Job Number],C44&amp;"",tbl_Finance[Cost Centre],"VIDEO"))</f>
        <v/>
      </c>
      <c r="AH44" s="29">
        <f>IFERROR(AG44/H44,"")</f>
        <v/>
      </c>
      <c r="AI44" s="27">
        <f>IF(C44="","",N(AC44)+N(AD44)+N(AE44)+N(AF44))</f>
        <v/>
      </c>
      <c r="AJ44" s="27">
        <f>IF(C44="","",H44+L44-AI44)</f>
        <v/>
      </c>
      <c r="AK44" s="29">
        <f>IFERROR(AJ44/(H44+L44),"")</f>
        <v/>
      </c>
      <c r="AL44" s="71" t="n"/>
      <c r="AM44" s="71" t="n"/>
      <c r="AN44" s="71" t="n"/>
      <c r="AO44" s="71" t="n"/>
      <c r="AP44" s="71" t="n"/>
      <c r="AQ44" s="24" t="n"/>
    </row>
    <row r="45" ht="15" customHeight="1">
      <c r="A45" s="70">
        <f>IF(C45="","",IFERROR(IF(SUMPRODUCT(MAX((tbl_Finance[Job Number]&amp;""=C45&amp;"")*(tbl_Finance[Xero Invoice No]&lt;&gt;"")*tbl_Finance[Date]))=0,"",SUMPRODUCT(MAX((tbl_Finance[Job Number]&amp;""=C45&amp;"")*(tbl_Finance[Xero Invoice No]&lt;&gt;"")*tbl_Finance[Date]))),""))</f>
        <v/>
      </c>
      <c r="B45" s="25">
        <f>IF(C45="","",IF(COUNTIFS(tbl_Finance[Job Number],C45&amp;"",tbl_Finance[Xero Invoice No],"&lt;&gt;")=0,"",IFERROR(IF(COUNTIFS(tbl_Finance[Job Number],C45&amp;"",tbl_Finance[Xero Invoice No],LOOKUP(2,1/((tbl_Finance[Job Number]&amp;""=C45&amp;"")*(tbl_Finance[Xero Invoice No]&lt;&gt;"")),tbl_Finance[Xero Invoice No]))=COUNTIFS(tbl_Finance[Job Number],C45&amp;"",tbl_Finance[Xero Invoice No],"&lt;&gt;"),LOOKUP(2,1/((tbl_Finance[Job Number]&amp;""=C45&amp;"")*(tbl_Finance[Xero Invoice No]&lt;&gt;"")),tbl_Finance[Xero Invoice No]),LOOKUP(2,1/((tbl_Finance[Job Number]&amp;""=C45&amp;"")*(tbl_Finance[Xero Invoice No]&lt;&gt;"")),tbl_Finance[Xero Invoice No])&amp;" +more"),"")))</f>
        <v/>
      </c>
      <c r="C45" s="24" t="n"/>
      <c r="D45" s="25">
        <f>IF(C45="","",IF(COUNTIF(lst_Jobs,C45&amp;"")&gt;0,"OK","CHECK"))</f>
        <v/>
      </c>
      <c r="E45" s="25">
        <f>IF(C45="","",IFERROR(INDEX(lst_JobName,MATCH(C45&amp;"",lst_Jobs,0)),""))</f>
        <v/>
      </c>
      <c r="F45" s="25">
        <f>IF(C45="","",IFERROR(INDEX(tbl_Finance[Client],IFERROR(MATCH(C45&amp;"",tbl_Finance[Job Number],0),MATCH(IFERROR(C45+0,C45),tbl_Finance[Job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6" t="n"/>
      <c r="L45" s="27">
        <f>IF(C45="","",IF(K45="",0,MAX(0,K45-H45)))</f>
        <v/>
      </c>
      <c r="M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N45" s="27">
        <f>IF(C45="","",SUMIFS(tbl_Finance[Inc GST],tbl_Finance[Job Number],C45&amp;""))</f>
        <v/>
      </c>
      <c r="O45" s="24" t="n"/>
      <c r="P45" s="25">
        <f>IF(C45="","",IFERROR(INDEX(tbl_Finance[Description],MATCH(C45&amp;"",tbl_Finance[Job Number],0)),""))</f>
        <v/>
      </c>
      <c r="Q45" s="24" t="n"/>
      <c r="R45" s="24" t="n"/>
      <c r="S45" s="22" t="n"/>
      <c r="T45" s="24" t="n"/>
      <c r="U45" s="25">
        <f>IF(T45="","",IF(AND(LEFT(T45,4)&lt;&gt;"http",set_RMSBase=""),"",HYPERLINK(IF(LEFT(T45,4)="http",T45,set_RMSBase&amp;T45),"Open opportunity")))</f>
        <v/>
      </c>
      <c r="V45" s="24" t="n"/>
      <c r="W45" s="25">
        <f>IF(V45="","",HYPERLINK(IF(LEFT(V45,4)="http",V45,set_QwilrBase&amp;V45),"Open quote"))</f>
        <v/>
      </c>
      <c r="X45" s="25">
        <f>IF(C45="","",C45)</f>
        <v/>
      </c>
      <c r="Y45" s="24" t="n"/>
      <c r="Z45" s="26" t="n"/>
      <c r="AA45" s="27">
        <f>IF(C45="","",H45+N(Z45))</f>
        <v/>
      </c>
      <c r="AB45" s="29">
        <f>IFERROR(Z45/AA45,"")</f>
        <v/>
      </c>
      <c r="AC45" s="26" t="n"/>
      <c r="AD45" s="26" t="n"/>
      <c r="AE45" s="26" t="n"/>
      <c r="AF45" s="26" t="n"/>
      <c r="AG45" s="27">
        <f>IF(C45="","",SUMIFS(tbl_Finance[Ex GST],tbl_Finance[Job Number],C45&amp;"",tbl_Finance[Cost Centre],"VIDEO"))</f>
        <v/>
      </c>
      <c r="AH45" s="29">
        <f>IFERROR(AG45/H45,"")</f>
        <v/>
      </c>
      <c r="AI45" s="27">
        <f>IF(C45="","",N(AC45)+N(AD45)+N(AE45)+N(AF45))</f>
        <v/>
      </c>
      <c r="AJ45" s="27">
        <f>IF(C45="","",H45+L45-AI45)</f>
        <v/>
      </c>
      <c r="AK45" s="29">
        <f>IFERROR(AJ45/(H45+L45),"")</f>
        <v/>
      </c>
      <c r="AL45" s="71" t="n"/>
      <c r="AM45" s="71" t="n"/>
      <c r="AN45" s="71" t="n"/>
      <c r="AO45" s="71" t="n"/>
      <c r="AP45" s="71" t="n"/>
      <c r="AQ45" s="24" t="n"/>
    </row>
    <row r="46" ht="15" customHeight="1">
      <c r="A46" s="70">
        <f>IF(C46="","",IFERROR(IF(SUMPRODUCT(MAX((tbl_Finance[Job Number]&amp;""=C46&amp;"")*(tbl_Finance[Xero Invoice No]&lt;&gt;"")*tbl_Finance[Date]))=0,"",SUMPRODUCT(MAX((tbl_Finance[Job Number]&amp;""=C46&amp;"")*(tbl_Finance[Xero Invoice No]&lt;&gt;"")*tbl_Finance[Date]))),""))</f>
        <v/>
      </c>
      <c r="B46" s="25">
        <f>IF(C46="","",IF(COUNTIFS(tbl_Finance[Job Number],C46&amp;"",tbl_Finance[Xero Invoice No],"&lt;&gt;")=0,"",IFERROR(IF(COUNTIFS(tbl_Finance[Job Number],C46&amp;"",tbl_Finance[Xero Invoice No],LOOKUP(2,1/((tbl_Finance[Job Number]&amp;""=C46&amp;"")*(tbl_Finance[Xero Invoice No]&lt;&gt;"")),tbl_Finance[Xero Invoice No]))=COUNTIFS(tbl_Finance[Job Number],C46&amp;"",tbl_Finance[Xero Invoice No],"&lt;&gt;"),LOOKUP(2,1/((tbl_Finance[Job Number]&amp;""=C46&amp;"")*(tbl_Finance[Xero Invoice No]&lt;&gt;"")),tbl_Finance[Xero Invoice No]),LOOKUP(2,1/((tbl_Finance[Job Number]&amp;""=C46&amp;"")*(tbl_Finance[Xero Invoice No]&lt;&gt;"")),tbl_Finance[Xero Invoice No])&amp;" +more"),"")))</f>
        <v/>
      </c>
      <c r="C46" s="24" t="n"/>
      <c r="D46" s="25">
        <f>IF(C46="","",IF(COUNTIF(lst_Jobs,C46&amp;"")&gt;0,"OK","CHECK"))</f>
        <v/>
      </c>
      <c r="E46" s="25">
        <f>IF(C46="","",IFERROR(INDEX(lst_JobName,MATCH(C46&amp;"",lst_Jobs,0)),""))</f>
        <v/>
      </c>
      <c r="F46" s="25">
        <f>IF(C46="","",IFERROR(INDEX(tbl_Finance[Client],IFERROR(MATCH(C46&amp;"",tbl_Finance[Job Number],0),MATCH(IFERROR(C46+0,C46),tbl_Finance[Job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6" t="n"/>
      <c r="L46" s="27">
        <f>IF(C46="","",IF(K46="",0,MAX(0,K46-H46)))</f>
        <v/>
      </c>
      <c r="M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N46" s="27">
        <f>IF(C46="","",SUMIFS(tbl_Finance[Inc GST],tbl_Finance[Job Number],C46&amp;""))</f>
        <v/>
      </c>
      <c r="O46" s="24" t="n"/>
      <c r="P46" s="25">
        <f>IF(C46="","",IFERROR(INDEX(tbl_Finance[Description],MATCH(C46&amp;"",tbl_Finance[Job Number],0)),""))</f>
        <v/>
      </c>
      <c r="Q46" s="24" t="n"/>
      <c r="R46" s="24" t="n"/>
      <c r="S46" s="22" t="n"/>
      <c r="T46" s="24" t="n"/>
      <c r="U46" s="25">
        <f>IF(T46="","",IF(AND(LEFT(T46,4)&lt;&gt;"http",set_RMSBase=""),"",HYPERLINK(IF(LEFT(T46,4)="http",T46,set_RMSBase&amp;T46),"Open opportunity")))</f>
        <v/>
      </c>
      <c r="V46" s="24" t="n"/>
      <c r="W46" s="25">
        <f>IF(V46="","",HYPERLINK(IF(LEFT(V46,4)="http",V46,set_QwilrBase&amp;V46),"Open quote"))</f>
        <v/>
      </c>
      <c r="X46" s="25">
        <f>IF(C46="","",C46)</f>
        <v/>
      </c>
      <c r="Y46" s="24" t="n"/>
      <c r="Z46" s="26" t="n"/>
      <c r="AA46" s="27">
        <f>IF(C46="","",H46+N(Z46))</f>
        <v/>
      </c>
      <c r="AB46" s="29">
        <f>IFERROR(Z46/AA46,"")</f>
        <v/>
      </c>
      <c r="AC46" s="26" t="n"/>
      <c r="AD46" s="26" t="n"/>
      <c r="AE46" s="26" t="n"/>
      <c r="AF46" s="26" t="n"/>
      <c r="AG46" s="27">
        <f>IF(C46="","",SUMIFS(tbl_Finance[Ex GST],tbl_Finance[Job Number],C46&amp;"",tbl_Finance[Cost Centre],"VIDEO"))</f>
        <v/>
      </c>
      <c r="AH46" s="29">
        <f>IFERROR(AG46/H46,"")</f>
        <v/>
      </c>
      <c r="AI46" s="27">
        <f>IF(C46="","",N(AC46)+N(AD46)+N(AE46)+N(AF46))</f>
        <v/>
      </c>
      <c r="AJ46" s="27">
        <f>IF(C46="","",H46+L46-AI46)</f>
        <v/>
      </c>
      <c r="AK46" s="29">
        <f>IFERROR(AJ46/(H46+L46),"")</f>
        <v/>
      </c>
      <c r="AL46" s="71" t="n"/>
      <c r="AM46" s="71" t="n"/>
      <c r="AN46" s="71" t="n"/>
      <c r="AO46" s="71" t="n"/>
      <c r="AP46" s="71" t="n"/>
      <c r="AQ46" s="24" t="n"/>
    </row>
    <row r="47" ht="15" customHeight="1">
      <c r="A47" s="70">
        <f>IF(C47="","",IFERROR(IF(SUMPRODUCT(MAX((tbl_Finance[Job Number]&amp;""=C47&amp;"")*(tbl_Finance[Xero Invoice No]&lt;&gt;"")*tbl_Finance[Date]))=0,"",SUMPRODUCT(MAX((tbl_Finance[Job Number]&amp;""=C47&amp;"")*(tbl_Finance[Xero Invoice No]&lt;&gt;"")*tbl_Finance[Date]))),""))</f>
        <v/>
      </c>
      <c r="B47" s="25">
        <f>IF(C47="","",IF(COUNTIFS(tbl_Finance[Job Number],C47&amp;"",tbl_Finance[Xero Invoice No],"&lt;&gt;")=0,"",IFERROR(IF(COUNTIFS(tbl_Finance[Job Number],C47&amp;"",tbl_Finance[Xero Invoice No],LOOKUP(2,1/((tbl_Finance[Job Number]&amp;""=C47&amp;"")*(tbl_Finance[Xero Invoice No]&lt;&gt;"")),tbl_Finance[Xero Invoice No]))=COUNTIFS(tbl_Finance[Job Number],C47&amp;"",tbl_Finance[Xero Invoice No],"&lt;&gt;"),LOOKUP(2,1/((tbl_Finance[Job Number]&amp;""=C47&amp;"")*(tbl_Finance[Xero Invoice No]&lt;&gt;"")),tbl_Finance[Xero Invoice No]),LOOKUP(2,1/((tbl_Finance[Job Number]&amp;""=C47&amp;"")*(tbl_Finance[Xero Invoice No]&lt;&gt;"")),tbl_Finance[Xero Invoice No])&amp;" +more"),"")))</f>
        <v/>
      </c>
      <c r="C47" s="24" t="n"/>
      <c r="D47" s="25">
        <f>IF(C47="","",IF(COUNTIF(lst_Jobs,C47&amp;"")&gt;0,"OK","CHECK"))</f>
        <v/>
      </c>
      <c r="E47" s="25">
        <f>IF(C47="","",IFERROR(INDEX(lst_JobName,MATCH(C47&amp;"",lst_Jobs,0)),""))</f>
        <v/>
      </c>
      <c r="F47" s="25">
        <f>IF(C47="","",IFERROR(INDEX(tbl_Finance[Client],IFERROR(MATCH(C47&amp;"",tbl_Finance[Job Number],0),MATCH(IFERROR(C47+0,C47),tbl_Finance[Job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6" t="n"/>
      <c r="L47" s="27">
        <f>IF(C47="","",IF(K47="",0,MAX(0,K47-H47)))</f>
        <v/>
      </c>
      <c r="M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N47" s="27">
        <f>IF(C47="","",SUMIFS(tbl_Finance[Inc GST],tbl_Finance[Job Number],C47&amp;""))</f>
        <v/>
      </c>
      <c r="O47" s="24" t="n"/>
      <c r="P47" s="25">
        <f>IF(C47="","",IFERROR(INDEX(tbl_Finance[Description],MATCH(C47&amp;"",tbl_Finance[Job Number],0)),""))</f>
        <v/>
      </c>
      <c r="Q47" s="24" t="n"/>
      <c r="R47" s="24" t="n"/>
      <c r="S47" s="22" t="n"/>
      <c r="T47" s="24" t="n"/>
      <c r="U47" s="25">
        <f>IF(T47="","",IF(AND(LEFT(T47,4)&lt;&gt;"http",set_RMSBase=""),"",HYPERLINK(IF(LEFT(T47,4)="http",T47,set_RMSBase&amp;T47),"Open opportunity")))</f>
        <v/>
      </c>
      <c r="V47" s="24" t="n"/>
      <c r="W47" s="25">
        <f>IF(V47="","",HYPERLINK(IF(LEFT(V47,4)="http",V47,set_QwilrBase&amp;V47),"Open quote"))</f>
        <v/>
      </c>
      <c r="X47" s="25">
        <f>IF(C47="","",C47)</f>
        <v/>
      </c>
      <c r="Y47" s="24" t="n"/>
      <c r="Z47" s="26" t="n"/>
      <c r="AA47" s="27">
        <f>IF(C47="","",H47+N(Z47))</f>
        <v/>
      </c>
      <c r="AB47" s="29">
        <f>IFERROR(Z47/AA47,"")</f>
        <v/>
      </c>
      <c r="AC47" s="26" t="n"/>
      <c r="AD47" s="26" t="n"/>
      <c r="AE47" s="26" t="n"/>
      <c r="AF47" s="26" t="n"/>
      <c r="AG47" s="27">
        <f>IF(C47="","",SUMIFS(tbl_Finance[Ex GST],tbl_Finance[Job Number],C47&amp;"",tbl_Finance[Cost Centre],"VIDEO"))</f>
        <v/>
      </c>
      <c r="AH47" s="29">
        <f>IFERROR(AG47/H47,"")</f>
        <v/>
      </c>
      <c r="AI47" s="27">
        <f>IF(C47="","",N(AC47)+N(AD47)+N(AE47)+N(AF47))</f>
        <v/>
      </c>
      <c r="AJ47" s="27">
        <f>IF(C47="","",H47+L47-AI47)</f>
        <v/>
      </c>
      <c r="AK47" s="29">
        <f>IFERROR(AJ47/(H47+L47),"")</f>
        <v/>
      </c>
      <c r="AL47" s="71" t="n"/>
      <c r="AM47" s="71" t="n"/>
      <c r="AN47" s="71" t="n"/>
      <c r="AO47" s="71" t="n"/>
      <c r="AP47" s="71" t="n"/>
      <c r="AQ47" s="24" t="n"/>
    </row>
    <row r="48" ht="15" customHeight="1">
      <c r="A48" s="70">
        <f>IF(C48="","",IFERROR(IF(SUMPRODUCT(MAX((tbl_Finance[Job Number]&amp;""=C48&amp;"")*(tbl_Finance[Xero Invoice No]&lt;&gt;"")*tbl_Finance[Date]))=0,"",SUMPRODUCT(MAX((tbl_Finance[Job Number]&amp;""=C48&amp;"")*(tbl_Finance[Xero Invoice No]&lt;&gt;"")*tbl_Finance[Date]))),""))</f>
        <v/>
      </c>
      <c r="B48" s="25">
        <f>IF(C48="","",IF(COUNTIFS(tbl_Finance[Job Number],C48&amp;"",tbl_Finance[Xero Invoice No],"&lt;&gt;")=0,"",IFERROR(IF(COUNTIFS(tbl_Finance[Job Number],C48&amp;"",tbl_Finance[Xero Invoice No],LOOKUP(2,1/((tbl_Finance[Job Number]&amp;""=C48&amp;"")*(tbl_Finance[Xero Invoice No]&lt;&gt;"")),tbl_Finance[Xero Invoice No]))=COUNTIFS(tbl_Finance[Job Number],C48&amp;"",tbl_Finance[Xero Invoice No],"&lt;&gt;"),LOOKUP(2,1/((tbl_Finance[Job Number]&amp;""=C48&amp;"")*(tbl_Finance[Xero Invoice No]&lt;&gt;"")),tbl_Finance[Xero Invoice No]),LOOKUP(2,1/((tbl_Finance[Job Number]&amp;""=C48&amp;"")*(tbl_Finance[Xero Invoice No]&lt;&gt;"")),tbl_Finance[Xero Invoice No])&amp;" +more"),"")))</f>
        <v/>
      </c>
      <c r="C48" s="24" t="n"/>
      <c r="D48" s="25">
        <f>IF(C48="","",IF(COUNTIF(lst_Jobs,C48&amp;"")&gt;0,"OK","CHECK"))</f>
        <v/>
      </c>
      <c r="E48" s="25">
        <f>IF(C48="","",IFERROR(INDEX(lst_JobName,MATCH(C48&amp;"",lst_Jobs,0)),""))</f>
        <v/>
      </c>
      <c r="F48" s="25">
        <f>IF(C48="","",IFERROR(INDEX(tbl_Finance[Client],IFERROR(MATCH(C48&amp;"",tbl_Finance[Job Number],0),MATCH(IFERROR(C48+0,C48),tbl_Finance[Job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6" t="n"/>
      <c r="L48" s="27">
        <f>IF(C48="","",IF(K48="",0,MAX(0,K48-H48)))</f>
        <v/>
      </c>
      <c r="M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N48" s="27">
        <f>IF(C48="","",SUMIFS(tbl_Finance[Inc GST],tbl_Finance[Job Number],C48&amp;""))</f>
        <v/>
      </c>
      <c r="O48" s="24" t="n"/>
      <c r="P48" s="25">
        <f>IF(C48="","",IFERROR(INDEX(tbl_Finance[Description],MATCH(C48&amp;"",tbl_Finance[Job Number],0)),""))</f>
        <v/>
      </c>
      <c r="Q48" s="24" t="n"/>
      <c r="R48" s="24" t="n"/>
      <c r="S48" s="22" t="n"/>
      <c r="T48" s="24" t="n"/>
      <c r="U48" s="25">
        <f>IF(T48="","",IF(AND(LEFT(T48,4)&lt;&gt;"http",set_RMSBase=""),"",HYPERLINK(IF(LEFT(T48,4)="http",T48,set_RMSBase&amp;T48),"Open opportunity")))</f>
        <v/>
      </c>
      <c r="V48" s="24" t="n"/>
      <c r="W48" s="25">
        <f>IF(V48="","",HYPERLINK(IF(LEFT(V48,4)="http",V48,set_QwilrBase&amp;V48),"Open quote"))</f>
        <v/>
      </c>
      <c r="X48" s="25">
        <f>IF(C48="","",C48)</f>
        <v/>
      </c>
      <c r="Y48" s="24" t="n"/>
      <c r="Z48" s="26" t="n"/>
      <c r="AA48" s="27">
        <f>IF(C48="","",H48+N(Z48))</f>
        <v/>
      </c>
      <c r="AB48" s="29">
        <f>IFERROR(Z48/AA48,"")</f>
        <v/>
      </c>
      <c r="AC48" s="26" t="n"/>
      <c r="AD48" s="26" t="n"/>
      <c r="AE48" s="26" t="n"/>
      <c r="AF48" s="26" t="n"/>
      <c r="AG48" s="27">
        <f>IF(C48="","",SUMIFS(tbl_Finance[Ex GST],tbl_Finance[Job Number],C48&amp;"",tbl_Finance[Cost Centre],"VIDEO"))</f>
        <v/>
      </c>
      <c r="AH48" s="29">
        <f>IFERROR(AG48/H48,"")</f>
        <v/>
      </c>
      <c r="AI48" s="27">
        <f>IF(C48="","",N(AC48)+N(AD48)+N(AE48)+N(AF48))</f>
        <v/>
      </c>
      <c r="AJ48" s="27">
        <f>IF(C48="","",H48+L48-AI48)</f>
        <v/>
      </c>
      <c r="AK48" s="29">
        <f>IFERROR(AJ48/(H48+L48),"")</f>
        <v/>
      </c>
      <c r="AL48" s="71" t="n"/>
      <c r="AM48" s="71" t="n"/>
      <c r="AN48" s="71" t="n"/>
      <c r="AO48" s="71" t="n"/>
      <c r="AP48" s="71" t="n"/>
      <c r="AQ48" s="24" t="n"/>
    </row>
    <row r="49" ht="15" customHeight="1">
      <c r="A49" s="70">
        <f>IF(C49="","",IFERROR(IF(SUMPRODUCT(MAX((tbl_Finance[Job Number]&amp;""=C49&amp;"")*(tbl_Finance[Xero Invoice No]&lt;&gt;"")*tbl_Finance[Date]))=0,"",SUMPRODUCT(MAX((tbl_Finance[Job Number]&amp;""=C49&amp;"")*(tbl_Finance[Xero Invoice No]&lt;&gt;"")*tbl_Finance[Date]))),""))</f>
        <v/>
      </c>
      <c r="B49" s="25">
        <f>IF(C49="","",IF(COUNTIFS(tbl_Finance[Job Number],C49&amp;"",tbl_Finance[Xero Invoice No],"&lt;&gt;")=0,"",IFERROR(IF(COUNTIFS(tbl_Finance[Job Number],C49&amp;"",tbl_Finance[Xero Invoice No],LOOKUP(2,1/((tbl_Finance[Job Number]&amp;""=C49&amp;"")*(tbl_Finance[Xero Invoice No]&lt;&gt;"")),tbl_Finance[Xero Invoice No]))=COUNTIFS(tbl_Finance[Job Number],C49&amp;"",tbl_Finance[Xero Invoice No],"&lt;&gt;"),LOOKUP(2,1/((tbl_Finance[Job Number]&amp;""=C49&amp;"")*(tbl_Finance[Xero Invoice No]&lt;&gt;"")),tbl_Finance[Xero Invoice No]),LOOKUP(2,1/((tbl_Finance[Job Number]&amp;""=C49&amp;"")*(tbl_Finance[Xero Invoice No]&lt;&gt;"")),tbl_Finance[Xero Invoice No])&amp;" +more"),"")))</f>
        <v/>
      </c>
      <c r="C49" s="24" t="n"/>
      <c r="D49" s="25">
        <f>IF(C49="","",IF(COUNTIF(lst_Jobs,C49&amp;"")&gt;0,"OK","CHECK"))</f>
        <v/>
      </c>
      <c r="E49" s="25">
        <f>IF(C49="","",IFERROR(INDEX(lst_JobName,MATCH(C49&amp;"",lst_Jobs,0)),""))</f>
        <v/>
      </c>
      <c r="F49" s="25">
        <f>IF(C49="","",IFERROR(INDEX(tbl_Finance[Client],IFERROR(MATCH(C49&amp;"",tbl_Finance[Job Number],0),MATCH(IFERROR(C49+0,C49),tbl_Finance[Job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6" t="n"/>
      <c r="L49" s="27">
        <f>IF(C49="","",IF(K49="",0,MAX(0,K49-H49)))</f>
        <v/>
      </c>
      <c r="M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N49" s="27">
        <f>IF(C49="","",SUMIFS(tbl_Finance[Inc GST],tbl_Finance[Job Number],C49&amp;""))</f>
        <v/>
      </c>
      <c r="O49" s="24" t="n"/>
      <c r="P49" s="25">
        <f>IF(C49="","",IFERROR(INDEX(tbl_Finance[Description],MATCH(C49&amp;"",tbl_Finance[Job Number],0)),""))</f>
        <v/>
      </c>
      <c r="Q49" s="24" t="n"/>
      <c r="R49" s="24" t="n"/>
      <c r="S49" s="22" t="n"/>
      <c r="T49" s="24" t="n"/>
      <c r="U49" s="25">
        <f>IF(T49="","",IF(AND(LEFT(T49,4)&lt;&gt;"http",set_RMSBase=""),"",HYPERLINK(IF(LEFT(T49,4)="http",T49,set_RMSBase&amp;T49),"Open opportunity")))</f>
        <v/>
      </c>
      <c r="V49" s="24" t="n"/>
      <c r="W49" s="25">
        <f>IF(V49="","",HYPERLINK(IF(LEFT(V49,4)="http",V49,set_QwilrBase&amp;V49),"Open quote"))</f>
        <v/>
      </c>
      <c r="X49" s="25">
        <f>IF(C49="","",C49)</f>
        <v/>
      </c>
      <c r="Y49" s="24" t="n"/>
      <c r="Z49" s="26" t="n"/>
      <c r="AA49" s="27">
        <f>IF(C49="","",H49+N(Z49))</f>
        <v/>
      </c>
      <c r="AB49" s="29">
        <f>IFERROR(Z49/AA49,"")</f>
        <v/>
      </c>
      <c r="AC49" s="26" t="n"/>
      <c r="AD49" s="26" t="n"/>
      <c r="AE49" s="26" t="n"/>
      <c r="AF49" s="26" t="n"/>
      <c r="AG49" s="27">
        <f>IF(C49="","",SUMIFS(tbl_Finance[Ex GST],tbl_Finance[Job Number],C49&amp;"",tbl_Finance[Cost Centre],"VIDEO"))</f>
        <v/>
      </c>
      <c r="AH49" s="29">
        <f>IFERROR(AG49/H49,"")</f>
        <v/>
      </c>
      <c r="AI49" s="27">
        <f>IF(C49="","",N(AC49)+N(AD49)+N(AE49)+N(AF49))</f>
        <v/>
      </c>
      <c r="AJ49" s="27">
        <f>IF(C49="","",H49+L49-AI49)</f>
        <v/>
      </c>
      <c r="AK49" s="29">
        <f>IFERROR(AJ49/(H49+L49),"")</f>
        <v/>
      </c>
      <c r="AL49" s="71" t="n"/>
      <c r="AM49" s="71" t="n"/>
      <c r="AN49" s="71" t="n"/>
      <c r="AO49" s="71" t="n"/>
      <c r="AP49" s="71" t="n"/>
      <c r="AQ49" s="24" t="n"/>
    </row>
    <row r="50" ht="15" customHeight="1">
      <c r="A50" s="70">
        <f>IF(C50="","",IFERROR(IF(SUMPRODUCT(MAX((tbl_Finance[Job Number]&amp;""=C50&amp;"")*(tbl_Finance[Xero Invoice No]&lt;&gt;"")*tbl_Finance[Date]))=0,"",SUMPRODUCT(MAX((tbl_Finance[Job Number]&amp;""=C50&amp;"")*(tbl_Finance[Xero Invoice No]&lt;&gt;"")*tbl_Finance[Date]))),""))</f>
        <v/>
      </c>
      <c r="B50" s="25">
        <f>IF(C50="","",IF(COUNTIFS(tbl_Finance[Job Number],C50&amp;"",tbl_Finance[Xero Invoice No],"&lt;&gt;")=0,"",IFERROR(IF(COUNTIFS(tbl_Finance[Job Number],C50&amp;"",tbl_Finance[Xero Invoice No],LOOKUP(2,1/((tbl_Finance[Job Number]&amp;""=C50&amp;"")*(tbl_Finance[Xero Invoice No]&lt;&gt;"")),tbl_Finance[Xero Invoice No]))=COUNTIFS(tbl_Finance[Job Number],C50&amp;"",tbl_Finance[Xero Invoice No],"&lt;&gt;"),LOOKUP(2,1/((tbl_Finance[Job Number]&amp;""=C50&amp;"")*(tbl_Finance[Xero Invoice No]&lt;&gt;"")),tbl_Finance[Xero Invoice No]),LOOKUP(2,1/((tbl_Finance[Job Number]&amp;""=C50&amp;"")*(tbl_Finance[Xero Invoice No]&lt;&gt;"")),tbl_Finance[Xero Invoice No])&amp;" +more"),"")))</f>
        <v/>
      </c>
      <c r="C50" s="24" t="n"/>
      <c r="D50" s="25">
        <f>IF(C50="","",IF(COUNTIF(lst_Jobs,C50&amp;"")&gt;0,"OK","CHECK"))</f>
        <v/>
      </c>
      <c r="E50" s="25">
        <f>IF(C50="","",IFERROR(INDEX(lst_JobName,MATCH(C50&amp;"",lst_Jobs,0)),""))</f>
        <v/>
      </c>
      <c r="F50" s="25">
        <f>IF(C50="","",IFERROR(INDEX(tbl_Finance[Client],IFERROR(MATCH(C50&amp;"",tbl_Finance[Job Number],0),MATCH(IFERROR(C50+0,C50),tbl_Finance[Job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6" t="n"/>
      <c r="L50" s="27">
        <f>IF(C50="","",IF(K50="",0,MAX(0,K50-H50)))</f>
        <v/>
      </c>
      <c r="M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N50" s="27">
        <f>IF(C50="","",SUMIFS(tbl_Finance[Inc GST],tbl_Finance[Job Number],C50&amp;""))</f>
        <v/>
      </c>
      <c r="O50" s="24" t="n"/>
      <c r="P50" s="25">
        <f>IF(C50="","",IFERROR(INDEX(tbl_Finance[Description],MATCH(C50&amp;"",tbl_Finance[Job Number],0)),""))</f>
        <v/>
      </c>
      <c r="Q50" s="24" t="n"/>
      <c r="R50" s="24" t="n"/>
      <c r="S50" s="22" t="n"/>
      <c r="T50" s="24" t="n"/>
      <c r="U50" s="25">
        <f>IF(T50="","",IF(AND(LEFT(T50,4)&lt;&gt;"http",set_RMSBase=""),"",HYPERLINK(IF(LEFT(T50,4)="http",T50,set_RMSBase&amp;T50),"Open opportunity")))</f>
        <v/>
      </c>
      <c r="V50" s="24" t="n"/>
      <c r="W50" s="25">
        <f>IF(V50="","",HYPERLINK(IF(LEFT(V50,4)="http",V50,set_QwilrBase&amp;V50),"Open quote"))</f>
        <v/>
      </c>
      <c r="X50" s="25">
        <f>IF(C50="","",C50)</f>
        <v/>
      </c>
      <c r="Y50" s="24" t="n"/>
      <c r="Z50" s="26" t="n"/>
      <c r="AA50" s="27">
        <f>IF(C50="","",H50+N(Z50))</f>
        <v/>
      </c>
      <c r="AB50" s="29">
        <f>IFERROR(Z50/AA50,"")</f>
        <v/>
      </c>
      <c r="AC50" s="26" t="n"/>
      <c r="AD50" s="26" t="n"/>
      <c r="AE50" s="26" t="n"/>
      <c r="AF50" s="26" t="n"/>
      <c r="AG50" s="27">
        <f>IF(C50="","",SUMIFS(tbl_Finance[Ex GST],tbl_Finance[Job Number],C50&amp;"",tbl_Finance[Cost Centre],"VIDEO"))</f>
        <v/>
      </c>
      <c r="AH50" s="29">
        <f>IFERROR(AG50/H50,"")</f>
        <v/>
      </c>
      <c r="AI50" s="27">
        <f>IF(C50="","",N(AC50)+N(AD50)+N(AE50)+N(AF50))</f>
        <v/>
      </c>
      <c r="AJ50" s="27">
        <f>IF(C50="","",H50+L50-AI50)</f>
        <v/>
      </c>
      <c r="AK50" s="29">
        <f>IFERROR(AJ50/(H50+L50),"")</f>
        <v/>
      </c>
      <c r="AL50" s="71" t="n"/>
      <c r="AM50" s="71" t="n"/>
      <c r="AN50" s="71" t="n"/>
      <c r="AO50" s="71" t="n"/>
      <c r="AP50" s="71" t="n"/>
      <c r="AQ50" s="24" t="n"/>
    </row>
    <row r="51" ht="15" customHeight="1">
      <c r="A51" s="70">
        <f>IF(C51="","",IFERROR(IF(SUMPRODUCT(MAX((tbl_Finance[Job Number]&amp;""=C51&amp;"")*(tbl_Finance[Xero Invoice No]&lt;&gt;"")*tbl_Finance[Date]))=0,"",SUMPRODUCT(MAX((tbl_Finance[Job Number]&amp;""=C51&amp;"")*(tbl_Finance[Xero Invoice No]&lt;&gt;"")*tbl_Finance[Date]))),""))</f>
        <v/>
      </c>
      <c r="B51" s="25">
        <f>IF(C51="","",IF(COUNTIFS(tbl_Finance[Job Number],C51&amp;"",tbl_Finance[Xero Invoice No],"&lt;&gt;")=0,"",IFERROR(IF(COUNTIFS(tbl_Finance[Job Number],C51&amp;"",tbl_Finance[Xero Invoice No],LOOKUP(2,1/((tbl_Finance[Job Number]&amp;""=C51&amp;"")*(tbl_Finance[Xero Invoice No]&lt;&gt;"")),tbl_Finance[Xero Invoice No]))=COUNTIFS(tbl_Finance[Job Number],C51&amp;"",tbl_Finance[Xero Invoice No],"&lt;&gt;"),LOOKUP(2,1/((tbl_Finance[Job Number]&amp;""=C51&amp;"")*(tbl_Finance[Xero Invoice No]&lt;&gt;"")),tbl_Finance[Xero Invoice No]),LOOKUP(2,1/((tbl_Finance[Job Number]&amp;""=C51&amp;"")*(tbl_Finance[Xero Invoice No]&lt;&gt;"")),tbl_Finance[Xero Invoice No])&amp;" +more"),"")))</f>
        <v/>
      </c>
      <c r="C51" s="24" t="n"/>
      <c r="D51" s="25">
        <f>IF(C51="","",IF(COUNTIF(lst_Jobs,C51&amp;"")&gt;0,"OK","CHECK"))</f>
        <v/>
      </c>
      <c r="E51" s="25">
        <f>IF(C51="","",IFERROR(INDEX(lst_JobName,MATCH(C51&amp;"",lst_Jobs,0)),""))</f>
        <v/>
      </c>
      <c r="F51" s="25">
        <f>IF(C51="","",IFERROR(INDEX(tbl_Finance[Client],IFERROR(MATCH(C51&amp;"",tbl_Finance[Job Number],0),MATCH(IFERROR(C51+0,C51),tbl_Finance[Job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6" t="n"/>
      <c r="L51" s="27">
        <f>IF(C51="","",IF(K51="",0,MAX(0,K51-H51)))</f>
        <v/>
      </c>
      <c r="M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N51" s="27">
        <f>IF(C51="","",SUMIFS(tbl_Finance[Inc GST],tbl_Finance[Job Number],C51&amp;""))</f>
        <v/>
      </c>
      <c r="O51" s="24" t="n"/>
      <c r="P51" s="25">
        <f>IF(C51="","",IFERROR(INDEX(tbl_Finance[Description],MATCH(C51&amp;"",tbl_Finance[Job Number],0)),""))</f>
        <v/>
      </c>
      <c r="Q51" s="24" t="n"/>
      <c r="R51" s="24" t="n"/>
      <c r="S51" s="22" t="n"/>
      <c r="T51" s="24" t="n"/>
      <c r="U51" s="25">
        <f>IF(T51="","",IF(AND(LEFT(T51,4)&lt;&gt;"http",set_RMSBase=""),"",HYPERLINK(IF(LEFT(T51,4)="http",T51,set_RMSBase&amp;T51),"Open opportunity")))</f>
        <v/>
      </c>
      <c r="V51" s="24" t="n"/>
      <c r="W51" s="25">
        <f>IF(V51="","",HYPERLINK(IF(LEFT(V51,4)="http",V51,set_QwilrBase&amp;V51),"Open quote"))</f>
        <v/>
      </c>
      <c r="X51" s="25">
        <f>IF(C51="","",C51)</f>
        <v/>
      </c>
      <c r="Y51" s="24" t="n"/>
      <c r="Z51" s="26" t="n"/>
      <c r="AA51" s="27">
        <f>IF(C51="","",H51+N(Z51))</f>
        <v/>
      </c>
      <c r="AB51" s="29">
        <f>IFERROR(Z51/AA51,"")</f>
        <v/>
      </c>
      <c r="AC51" s="26" t="n"/>
      <c r="AD51" s="26" t="n"/>
      <c r="AE51" s="26" t="n"/>
      <c r="AF51" s="26" t="n"/>
      <c r="AG51" s="27">
        <f>IF(C51="","",SUMIFS(tbl_Finance[Ex GST],tbl_Finance[Job Number],C51&amp;"",tbl_Finance[Cost Centre],"VIDEO"))</f>
        <v/>
      </c>
      <c r="AH51" s="29">
        <f>IFERROR(AG51/H51,"")</f>
        <v/>
      </c>
      <c r="AI51" s="27">
        <f>IF(C51="","",N(AC51)+N(AD51)+N(AE51)+N(AF51))</f>
        <v/>
      </c>
      <c r="AJ51" s="27">
        <f>IF(C51="","",H51+L51-AI51)</f>
        <v/>
      </c>
      <c r="AK51" s="29">
        <f>IFERROR(AJ51/(H51+L51),"")</f>
        <v/>
      </c>
      <c r="AL51" s="71" t="n"/>
      <c r="AM51" s="71" t="n"/>
      <c r="AN51" s="71" t="n"/>
      <c r="AO51" s="71" t="n"/>
      <c r="AP51" s="71" t="n"/>
      <c r="AQ51" s="24" t="n"/>
    </row>
    <row r="52" ht="15" customHeight="1">
      <c r="A52" s="70">
        <f>IF(C52="","",IFERROR(IF(SUMPRODUCT(MAX((tbl_Finance[Job Number]&amp;""=C52&amp;"")*(tbl_Finance[Xero Invoice No]&lt;&gt;"")*tbl_Finance[Date]))=0,"",SUMPRODUCT(MAX((tbl_Finance[Job Number]&amp;""=C52&amp;"")*(tbl_Finance[Xero Invoice No]&lt;&gt;"")*tbl_Finance[Date]))),""))</f>
        <v/>
      </c>
      <c r="B52" s="25">
        <f>IF(C52="","",IF(COUNTIFS(tbl_Finance[Job Number],C52&amp;"",tbl_Finance[Xero Invoice No],"&lt;&gt;")=0,"",IFERROR(IF(COUNTIFS(tbl_Finance[Job Number],C52&amp;"",tbl_Finance[Xero Invoice No],LOOKUP(2,1/((tbl_Finance[Job Number]&amp;""=C52&amp;"")*(tbl_Finance[Xero Invoice No]&lt;&gt;"")),tbl_Finance[Xero Invoice No]))=COUNTIFS(tbl_Finance[Job Number],C52&amp;"",tbl_Finance[Xero Invoice No],"&lt;&gt;"),LOOKUP(2,1/((tbl_Finance[Job Number]&amp;""=C52&amp;"")*(tbl_Finance[Xero Invoice No]&lt;&gt;"")),tbl_Finance[Xero Invoice No]),LOOKUP(2,1/((tbl_Finance[Job Number]&amp;""=C52&amp;"")*(tbl_Finance[Xero Invoice No]&lt;&gt;"")),tbl_Finance[Xero Invoice No])&amp;" +more"),"")))</f>
        <v/>
      </c>
      <c r="C52" s="24" t="n"/>
      <c r="D52" s="25">
        <f>IF(C52="","",IF(COUNTIF(lst_Jobs,C52&amp;"")&gt;0,"OK","CHECK"))</f>
        <v/>
      </c>
      <c r="E52" s="25">
        <f>IF(C52="","",IFERROR(INDEX(lst_JobName,MATCH(C52&amp;"",lst_Jobs,0)),""))</f>
        <v/>
      </c>
      <c r="F52" s="25">
        <f>IF(C52="","",IFERROR(INDEX(tbl_Finance[Client],IFERROR(MATCH(C52&amp;"",tbl_Finance[Job Number],0),MATCH(IFERROR(C52+0,C52),tbl_Finance[Job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6" t="n"/>
      <c r="L52" s="27">
        <f>IF(C52="","",IF(K52="",0,MAX(0,K52-H52)))</f>
        <v/>
      </c>
      <c r="M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N52" s="27">
        <f>IF(C52="","",SUMIFS(tbl_Finance[Inc GST],tbl_Finance[Job Number],C52&amp;""))</f>
        <v/>
      </c>
      <c r="O52" s="24" t="n"/>
      <c r="P52" s="25">
        <f>IF(C52="","",IFERROR(INDEX(tbl_Finance[Description],MATCH(C52&amp;"",tbl_Finance[Job Number],0)),""))</f>
        <v/>
      </c>
      <c r="Q52" s="24" t="n"/>
      <c r="R52" s="24" t="n"/>
      <c r="S52" s="22" t="n"/>
      <c r="T52" s="24" t="n"/>
      <c r="U52" s="25">
        <f>IF(T52="","",IF(AND(LEFT(T52,4)&lt;&gt;"http",set_RMSBase=""),"",HYPERLINK(IF(LEFT(T52,4)="http",T52,set_RMSBase&amp;T52),"Open opportunity")))</f>
        <v/>
      </c>
      <c r="V52" s="24" t="n"/>
      <c r="W52" s="25">
        <f>IF(V52="","",HYPERLINK(IF(LEFT(V52,4)="http",V52,set_QwilrBase&amp;V52),"Open quote"))</f>
        <v/>
      </c>
      <c r="X52" s="25">
        <f>IF(C52="","",C52)</f>
        <v/>
      </c>
      <c r="Y52" s="24" t="n"/>
      <c r="Z52" s="26" t="n"/>
      <c r="AA52" s="27">
        <f>IF(C52="","",H52+N(Z52))</f>
        <v/>
      </c>
      <c r="AB52" s="29">
        <f>IFERROR(Z52/AA52,"")</f>
        <v/>
      </c>
      <c r="AC52" s="26" t="n"/>
      <c r="AD52" s="26" t="n"/>
      <c r="AE52" s="26" t="n"/>
      <c r="AF52" s="26" t="n"/>
      <c r="AG52" s="27">
        <f>IF(C52="","",SUMIFS(tbl_Finance[Ex GST],tbl_Finance[Job Number],C52&amp;"",tbl_Finance[Cost Centre],"VIDEO"))</f>
        <v/>
      </c>
      <c r="AH52" s="29">
        <f>IFERROR(AG52/H52,"")</f>
        <v/>
      </c>
      <c r="AI52" s="27">
        <f>IF(C52="","",N(AC52)+N(AD52)+N(AE52)+N(AF52))</f>
        <v/>
      </c>
      <c r="AJ52" s="27">
        <f>IF(C52="","",H52+L52-AI52)</f>
        <v/>
      </c>
      <c r="AK52" s="29">
        <f>IFERROR(AJ52/(H52+L52),"")</f>
        <v/>
      </c>
      <c r="AL52" s="71" t="n"/>
      <c r="AM52" s="71" t="n"/>
      <c r="AN52" s="71" t="n"/>
      <c r="AO52" s="71" t="n"/>
      <c r="AP52" s="71" t="n"/>
      <c r="AQ52" s="24" t="n"/>
    </row>
    <row r="53" ht="15" customHeight="1">
      <c r="A53" s="70">
        <f>IF(C53="","",IFERROR(IF(SUMPRODUCT(MAX((tbl_Finance[Job Number]&amp;""=C53&amp;"")*(tbl_Finance[Xero Invoice No]&lt;&gt;"")*tbl_Finance[Date]))=0,"",SUMPRODUCT(MAX((tbl_Finance[Job Number]&amp;""=C53&amp;"")*(tbl_Finance[Xero Invoice No]&lt;&gt;"")*tbl_Finance[Date]))),""))</f>
        <v/>
      </c>
      <c r="B53" s="25">
        <f>IF(C53="","",IF(COUNTIFS(tbl_Finance[Job Number],C53&amp;"",tbl_Finance[Xero Invoice No],"&lt;&gt;")=0,"",IFERROR(IF(COUNTIFS(tbl_Finance[Job Number],C53&amp;"",tbl_Finance[Xero Invoice No],LOOKUP(2,1/((tbl_Finance[Job Number]&amp;""=C53&amp;"")*(tbl_Finance[Xero Invoice No]&lt;&gt;"")),tbl_Finance[Xero Invoice No]))=COUNTIFS(tbl_Finance[Job Number],C53&amp;"",tbl_Finance[Xero Invoice No],"&lt;&gt;"),LOOKUP(2,1/((tbl_Finance[Job Number]&amp;""=C53&amp;"")*(tbl_Finance[Xero Invoice No]&lt;&gt;"")),tbl_Finance[Xero Invoice No]),LOOKUP(2,1/((tbl_Finance[Job Number]&amp;""=C53&amp;"")*(tbl_Finance[Xero Invoice No]&lt;&gt;"")),tbl_Finance[Xero Invoice No])&amp;" +more"),"")))</f>
        <v/>
      </c>
      <c r="C53" s="24" t="n"/>
      <c r="D53" s="25">
        <f>IF(C53="","",IF(COUNTIF(lst_Jobs,C53&amp;"")&gt;0,"OK","CHECK"))</f>
        <v/>
      </c>
      <c r="E53" s="25">
        <f>IF(C53="","",IFERROR(INDEX(lst_JobName,MATCH(C53&amp;"",lst_Jobs,0)),""))</f>
        <v/>
      </c>
      <c r="F53" s="25">
        <f>IF(C53="","",IFERROR(INDEX(tbl_Finance[Client],IFERROR(MATCH(C53&amp;"",tbl_Finance[Job Number],0),MATCH(IFERROR(C53+0,C53),tbl_Finance[Job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6" t="n"/>
      <c r="L53" s="27">
        <f>IF(C53="","",IF(K53="",0,MAX(0,K53-H53)))</f>
        <v/>
      </c>
      <c r="M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N53" s="27">
        <f>IF(C53="","",SUMIFS(tbl_Finance[Inc GST],tbl_Finance[Job Number],C53&amp;""))</f>
        <v/>
      </c>
      <c r="O53" s="24" t="n"/>
      <c r="P53" s="25">
        <f>IF(C53="","",IFERROR(INDEX(tbl_Finance[Description],MATCH(C53&amp;"",tbl_Finance[Job Number],0)),""))</f>
        <v/>
      </c>
      <c r="Q53" s="24" t="n"/>
      <c r="R53" s="24" t="n"/>
      <c r="S53" s="22" t="n"/>
      <c r="T53" s="24" t="n"/>
      <c r="U53" s="25">
        <f>IF(T53="","",IF(AND(LEFT(T53,4)&lt;&gt;"http",set_RMSBase=""),"",HYPERLINK(IF(LEFT(T53,4)="http",T53,set_RMSBase&amp;T53),"Open opportunity")))</f>
        <v/>
      </c>
      <c r="V53" s="24" t="n"/>
      <c r="W53" s="25">
        <f>IF(V53="","",HYPERLINK(IF(LEFT(V53,4)="http",V53,set_QwilrBase&amp;V53),"Open quote"))</f>
        <v/>
      </c>
      <c r="X53" s="25">
        <f>IF(C53="","",C53)</f>
        <v/>
      </c>
      <c r="Y53" s="24" t="n"/>
      <c r="Z53" s="26" t="n"/>
      <c r="AA53" s="27">
        <f>IF(C53="","",H53+N(Z53))</f>
        <v/>
      </c>
      <c r="AB53" s="29">
        <f>IFERROR(Z53/AA53,"")</f>
        <v/>
      </c>
      <c r="AC53" s="26" t="n"/>
      <c r="AD53" s="26" t="n"/>
      <c r="AE53" s="26" t="n"/>
      <c r="AF53" s="26" t="n"/>
      <c r="AG53" s="27">
        <f>IF(C53="","",SUMIFS(tbl_Finance[Ex GST],tbl_Finance[Job Number],C53&amp;"",tbl_Finance[Cost Centre],"VIDEO"))</f>
        <v/>
      </c>
      <c r="AH53" s="29">
        <f>IFERROR(AG53/H53,"")</f>
        <v/>
      </c>
      <c r="AI53" s="27">
        <f>IF(C53="","",N(AC53)+N(AD53)+N(AE53)+N(AF53))</f>
        <v/>
      </c>
      <c r="AJ53" s="27">
        <f>IF(C53="","",H53+L53-AI53)</f>
        <v/>
      </c>
      <c r="AK53" s="29">
        <f>IFERROR(AJ53/(H53+L53),"")</f>
        <v/>
      </c>
      <c r="AL53" s="71" t="n"/>
      <c r="AM53" s="71" t="n"/>
      <c r="AN53" s="71" t="n"/>
      <c r="AO53" s="71" t="n"/>
      <c r="AP53" s="71" t="n"/>
      <c r="AQ53" s="24" t="n"/>
    </row>
    <row r="54" ht="15" customHeight="1">
      <c r="A54" s="70">
        <f>IF(C54="","",IFERROR(IF(SUMPRODUCT(MAX((tbl_Finance[Job Number]&amp;""=C54&amp;"")*(tbl_Finance[Xero Invoice No]&lt;&gt;"")*tbl_Finance[Date]))=0,"",SUMPRODUCT(MAX((tbl_Finance[Job Number]&amp;""=C54&amp;"")*(tbl_Finance[Xero Invoice No]&lt;&gt;"")*tbl_Finance[Date]))),""))</f>
        <v/>
      </c>
      <c r="B54" s="25">
        <f>IF(C54="","",IF(COUNTIFS(tbl_Finance[Job Number],C54&amp;"",tbl_Finance[Xero Invoice No],"&lt;&gt;")=0,"",IFERROR(IF(COUNTIFS(tbl_Finance[Job Number],C54&amp;"",tbl_Finance[Xero Invoice No],LOOKUP(2,1/((tbl_Finance[Job Number]&amp;""=C54&amp;"")*(tbl_Finance[Xero Invoice No]&lt;&gt;"")),tbl_Finance[Xero Invoice No]))=COUNTIFS(tbl_Finance[Job Number],C54&amp;"",tbl_Finance[Xero Invoice No],"&lt;&gt;"),LOOKUP(2,1/((tbl_Finance[Job Number]&amp;""=C54&amp;"")*(tbl_Finance[Xero Invoice No]&lt;&gt;"")),tbl_Finance[Xero Invoice No]),LOOKUP(2,1/((tbl_Finance[Job Number]&amp;""=C54&amp;"")*(tbl_Finance[Xero Invoice No]&lt;&gt;"")),tbl_Finance[Xero Invoice No])&amp;" +more"),"")))</f>
        <v/>
      </c>
      <c r="C54" s="24" t="n"/>
      <c r="D54" s="25">
        <f>IF(C54="","",IF(COUNTIF(lst_Jobs,C54&amp;"")&gt;0,"OK","CHECK"))</f>
        <v/>
      </c>
      <c r="E54" s="25">
        <f>IF(C54="","",IFERROR(INDEX(lst_JobName,MATCH(C54&amp;"",lst_Jobs,0)),""))</f>
        <v/>
      </c>
      <c r="F54" s="25">
        <f>IF(C54="","",IFERROR(INDEX(tbl_Finance[Client],IFERROR(MATCH(C54&amp;"",tbl_Finance[Job Number],0),MATCH(IFERROR(C54+0,C54),tbl_Finance[Job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6" t="n"/>
      <c r="L54" s="27">
        <f>IF(C54="","",IF(K54="",0,MAX(0,K54-H54)))</f>
        <v/>
      </c>
      <c r="M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N54" s="27">
        <f>IF(C54="","",SUMIFS(tbl_Finance[Inc GST],tbl_Finance[Job Number],C54&amp;""))</f>
        <v/>
      </c>
      <c r="O54" s="24" t="n"/>
      <c r="P54" s="25">
        <f>IF(C54="","",IFERROR(INDEX(tbl_Finance[Description],MATCH(C54&amp;"",tbl_Finance[Job Number],0)),""))</f>
        <v/>
      </c>
      <c r="Q54" s="24" t="n"/>
      <c r="R54" s="24" t="n"/>
      <c r="S54" s="22" t="n"/>
      <c r="T54" s="24" t="n"/>
      <c r="U54" s="25">
        <f>IF(T54="","",IF(AND(LEFT(T54,4)&lt;&gt;"http",set_RMSBase=""),"",HYPERLINK(IF(LEFT(T54,4)="http",T54,set_RMSBase&amp;T54),"Open opportunity")))</f>
        <v/>
      </c>
      <c r="V54" s="24" t="n"/>
      <c r="W54" s="25">
        <f>IF(V54="","",HYPERLINK(IF(LEFT(V54,4)="http",V54,set_QwilrBase&amp;V54),"Open quote"))</f>
        <v/>
      </c>
      <c r="X54" s="25">
        <f>IF(C54="","",C54)</f>
        <v/>
      </c>
      <c r="Y54" s="24" t="n"/>
      <c r="Z54" s="26" t="n"/>
      <c r="AA54" s="27">
        <f>IF(C54="","",H54+N(Z54))</f>
        <v/>
      </c>
      <c r="AB54" s="29">
        <f>IFERROR(Z54/AA54,"")</f>
        <v/>
      </c>
      <c r="AC54" s="26" t="n"/>
      <c r="AD54" s="26" t="n"/>
      <c r="AE54" s="26" t="n"/>
      <c r="AF54" s="26" t="n"/>
      <c r="AG54" s="27">
        <f>IF(C54="","",SUMIFS(tbl_Finance[Ex GST],tbl_Finance[Job Number],C54&amp;"",tbl_Finance[Cost Centre],"VIDEO"))</f>
        <v/>
      </c>
      <c r="AH54" s="29">
        <f>IFERROR(AG54/H54,"")</f>
        <v/>
      </c>
      <c r="AI54" s="27">
        <f>IF(C54="","",N(AC54)+N(AD54)+N(AE54)+N(AF54))</f>
        <v/>
      </c>
      <c r="AJ54" s="27">
        <f>IF(C54="","",H54+L54-AI54)</f>
        <v/>
      </c>
      <c r="AK54" s="29">
        <f>IFERROR(AJ54/(H54+L54),"")</f>
        <v/>
      </c>
      <c r="AL54" s="71" t="n"/>
      <c r="AM54" s="71" t="n"/>
      <c r="AN54" s="71" t="n"/>
      <c r="AO54" s="71" t="n"/>
      <c r="AP54" s="71" t="n"/>
      <c r="AQ54" s="24" t="n"/>
    </row>
    <row r="55" ht="15" customHeight="1">
      <c r="A55" s="70">
        <f>IF(C55="","",IFERROR(IF(SUMPRODUCT(MAX((tbl_Finance[Job Number]&amp;""=C55&amp;"")*(tbl_Finance[Xero Invoice No]&lt;&gt;"")*tbl_Finance[Date]))=0,"",SUMPRODUCT(MAX((tbl_Finance[Job Number]&amp;""=C55&amp;"")*(tbl_Finance[Xero Invoice No]&lt;&gt;"")*tbl_Finance[Date]))),""))</f>
        <v/>
      </c>
      <c r="B55" s="25">
        <f>IF(C55="","",IF(COUNTIFS(tbl_Finance[Job Number],C55&amp;"",tbl_Finance[Xero Invoice No],"&lt;&gt;")=0,"",IFERROR(IF(COUNTIFS(tbl_Finance[Job Number],C55&amp;"",tbl_Finance[Xero Invoice No],LOOKUP(2,1/((tbl_Finance[Job Number]&amp;""=C55&amp;"")*(tbl_Finance[Xero Invoice No]&lt;&gt;"")),tbl_Finance[Xero Invoice No]))=COUNTIFS(tbl_Finance[Job Number],C55&amp;"",tbl_Finance[Xero Invoice No],"&lt;&gt;"),LOOKUP(2,1/((tbl_Finance[Job Number]&amp;""=C55&amp;"")*(tbl_Finance[Xero Invoice No]&lt;&gt;"")),tbl_Finance[Xero Invoice No]),LOOKUP(2,1/((tbl_Finance[Job Number]&amp;""=C55&amp;"")*(tbl_Finance[Xero Invoice No]&lt;&gt;"")),tbl_Finance[Xero Invoice No])&amp;" +more"),"")))</f>
        <v/>
      </c>
      <c r="C55" s="24" t="n"/>
      <c r="D55" s="25">
        <f>IF(C55="","",IF(COUNTIF(lst_Jobs,C55&amp;"")&gt;0,"OK","CHECK"))</f>
        <v/>
      </c>
      <c r="E55" s="25">
        <f>IF(C55="","",IFERROR(INDEX(lst_JobName,MATCH(C55&amp;"",lst_Jobs,0)),""))</f>
        <v/>
      </c>
      <c r="F55" s="25">
        <f>IF(C55="","",IFERROR(INDEX(tbl_Finance[Client],IFERROR(MATCH(C55&amp;"",tbl_Finance[Job Number],0),MATCH(IFERROR(C55+0,C55),tbl_Finance[Job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6" t="n"/>
      <c r="L55" s="27">
        <f>IF(C55="","",IF(K55="",0,MAX(0,K55-H55)))</f>
        <v/>
      </c>
      <c r="M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N55" s="27">
        <f>IF(C55="","",SUMIFS(tbl_Finance[Inc GST],tbl_Finance[Job Number],C55&amp;""))</f>
        <v/>
      </c>
      <c r="O55" s="24" t="n"/>
      <c r="P55" s="25">
        <f>IF(C55="","",IFERROR(INDEX(tbl_Finance[Description],MATCH(C55&amp;"",tbl_Finance[Job Number],0)),""))</f>
        <v/>
      </c>
      <c r="Q55" s="24" t="n"/>
      <c r="R55" s="24" t="n"/>
      <c r="S55" s="22" t="n"/>
      <c r="T55" s="24" t="n"/>
      <c r="U55" s="25">
        <f>IF(T55="","",IF(AND(LEFT(T55,4)&lt;&gt;"http",set_RMSBase=""),"",HYPERLINK(IF(LEFT(T55,4)="http",T55,set_RMSBase&amp;T55),"Open opportunity")))</f>
        <v/>
      </c>
      <c r="V55" s="24" t="n"/>
      <c r="W55" s="25">
        <f>IF(V55="","",HYPERLINK(IF(LEFT(V55,4)="http",V55,set_QwilrBase&amp;V55),"Open quote"))</f>
        <v/>
      </c>
      <c r="X55" s="25">
        <f>IF(C55="","",C55)</f>
        <v/>
      </c>
      <c r="Y55" s="24" t="n"/>
      <c r="Z55" s="26" t="n"/>
      <c r="AA55" s="27">
        <f>IF(C55="","",H55+N(Z55))</f>
        <v/>
      </c>
      <c r="AB55" s="29">
        <f>IFERROR(Z55/AA55,"")</f>
        <v/>
      </c>
      <c r="AC55" s="26" t="n"/>
      <c r="AD55" s="26" t="n"/>
      <c r="AE55" s="26" t="n"/>
      <c r="AF55" s="26" t="n"/>
      <c r="AG55" s="27">
        <f>IF(C55="","",SUMIFS(tbl_Finance[Ex GST],tbl_Finance[Job Number],C55&amp;"",tbl_Finance[Cost Centre],"VIDEO"))</f>
        <v/>
      </c>
      <c r="AH55" s="29">
        <f>IFERROR(AG55/H55,"")</f>
        <v/>
      </c>
      <c r="AI55" s="27">
        <f>IF(C55="","",N(AC55)+N(AD55)+N(AE55)+N(AF55))</f>
        <v/>
      </c>
      <c r="AJ55" s="27">
        <f>IF(C55="","",H55+L55-AI55)</f>
        <v/>
      </c>
      <c r="AK55" s="29">
        <f>IFERROR(AJ55/(H55+L55),"")</f>
        <v/>
      </c>
      <c r="AL55" s="71" t="n"/>
      <c r="AM55" s="71" t="n"/>
      <c r="AN55" s="71" t="n"/>
      <c r="AO55" s="71" t="n"/>
      <c r="AP55" s="71" t="n"/>
      <c r="AQ55" s="24" t="n"/>
    </row>
    <row r="56" ht="15" customHeight="1">
      <c r="A56" s="70">
        <f>IF(C56="","",IFERROR(IF(SUMPRODUCT(MAX((tbl_Finance[Job Number]&amp;""=C56&amp;"")*(tbl_Finance[Xero Invoice No]&lt;&gt;"")*tbl_Finance[Date]))=0,"",SUMPRODUCT(MAX((tbl_Finance[Job Number]&amp;""=C56&amp;"")*(tbl_Finance[Xero Invoice No]&lt;&gt;"")*tbl_Finance[Date]))),""))</f>
        <v/>
      </c>
      <c r="B56" s="25">
        <f>IF(C56="","",IF(COUNTIFS(tbl_Finance[Job Number],C56&amp;"",tbl_Finance[Xero Invoice No],"&lt;&gt;")=0,"",IFERROR(IF(COUNTIFS(tbl_Finance[Job Number],C56&amp;"",tbl_Finance[Xero Invoice No],LOOKUP(2,1/((tbl_Finance[Job Number]&amp;""=C56&amp;"")*(tbl_Finance[Xero Invoice No]&lt;&gt;"")),tbl_Finance[Xero Invoice No]))=COUNTIFS(tbl_Finance[Job Number],C56&amp;"",tbl_Finance[Xero Invoice No],"&lt;&gt;"),LOOKUP(2,1/((tbl_Finance[Job Number]&amp;""=C56&amp;"")*(tbl_Finance[Xero Invoice No]&lt;&gt;"")),tbl_Finance[Xero Invoice No]),LOOKUP(2,1/((tbl_Finance[Job Number]&amp;""=C56&amp;"")*(tbl_Finance[Xero Invoice No]&lt;&gt;"")),tbl_Finance[Xero Invoice No])&amp;" +more"),"")))</f>
        <v/>
      </c>
      <c r="C56" s="24" t="n"/>
      <c r="D56" s="25">
        <f>IF(C56="","",IF(COUNTIF(lst_Jobs,C56&amp;"")&gt;0,"OK","CHECK"))</f>
        <v/>
      </c>
      <c r="E56" s="25">
        <f>IF(C56="","",IFERROR(INDEX(lst_JobName,MATCH(C56&amp;"",lst_Jobs,0)),""))</f>
        <v/>
      </c>
      <c r="F56" s="25">
        <f>IF(C56="","",IFERROR(INDEX(tbl_Finance[Client],IFERROR(MATCH(C56&amp;"",tbl_Finance[Job Number],0),MATCH(IFERROR(C56+0,C56),tbl_Finance[Job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6" t="n"/>
      <c r="L56" s="27">
        <f>IF(C56="","",IF(K56="",0,MAX(0,K56-H56)))</f>
        <v/>
      </c>
      <c r="M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N56" s="27">
        <f>IF(C56="","",SUMIFS(tbl_Finance[Inc GST],tbl_Finance[Job Number],C56&amp;""))</f>
        <v/>
      </c>
      <c r="O56" s="24" t="n"/>
      <c r="P56" s="25">
        <f>IF(C56="","",IFERROR(INDEX(tbl_Finance[Description],MATCH(C56&amp;"",tbl_Finance[Job Number],0)),""))</f>
        <v/>
      </c>
      <c r="Q56" s="24" t="n"/>
      <c r="R56" s="24" t="n"/>
      <c r="S56" s="22" t="n"/>
      <c r="T56" s="24" t="n"/>
      <c r="U56" s="25">
        <f>IF(T56="","",IF(AND(LEFT(T56,4)&lt;&gt;"http",set_RMSBase=""),"",HYPERLINK(IF(LEFT(T56,4)="http",T56,set_RMSBase&amp;T56),"Open opportunity")))</f>
        <v/>
      </c>
      <c r="V56" s="24" t="n"/>
      <c r="W56" s="25">
        <f>IF(V56="","",HYPERLINK(IF(LEFT(V56,4)="http",V56,set_QwilrBase&amp;V56),"Open quote"))</f>
        <v/>
      </c>
      <c r="X56" s="25">
        <f>IF(C56="","",C56)</f>
        <v/>
      </c>
      <c r="Y56" s="24" t="n"/>
      <c r="Z56" s="26" t="n"/>
      <c r="AA56" s="27">
        <f>IF(C56="","",H56+N(Z56))</f>
        <v/>
      </c>
      <c r="AB56" s="29">
        <f>IFERROR(Z56/AA56,"")</f>
        <v/>
      </c>
      <c r="AC56" s="26" t="n"/>
      <c r="AD56" s="26" t="n"/>
      <c r="AE56" s="26" t="n"/>
      <c r="AF56" s="26" t="n"/>
      <c r="AG56" s="27">
        <f>IF(C56="","",SUMIFS(tbl_Finance[Ex GST],tbl_Finance[Job Number],C56&amp;"",tbl_Finance[Cost Centre],"VIDEO"))</f>
        <v/>
      </c>
      <c r="AH56" s="29">
        <f>IFERROR(AG56/H56,"")</f>
        <v/>
      </c>
      <c r="AI56" s="27">
        <f>IF(C56="","",N(AC56)+N(AD56)+N(AE56)+N(AF56))</f>
        <v/>
      </c>
      <c r="AJ56" s="27">
        <f>IF(C56="","",H56+L56-AI56)</f>
        <v/>
      </c>
      <c r="AK56" s="29">
        <f>IFERROR(AJ56/(H56+L56),"")</f>
        <v/>
      </c>
      <c r="AL56" s="71" t="n"/>
      <c r="AM56" s="71" t="n"/>
      <c r="AN56" s="71" t="n"/>
      <c r="AO56" s="71" t="n"/>
      <c r="AP56" s="71" t="n"/>
      <c r="AQ56" s="24" t="n"/>
    </row>
    <row r="57" ht="15" customHeight="1">
      <c r="A57" s="70">
        <f>IF(C57="","",IFERROR(IF(SUMPRODUCT(MAX((tbl_Finance[Job Number]&amp;""=C57&amp;"")*(tbl_Finance[Xero Invoice No]&lt;&gt;"")*tbl_Finance[Date]))=0,"",SUMPRODUCT(MAX((tbl_Finance[Job Number]&amp;""=C57&amp;"")*(tbl_Finance[Xero Invoice No]&lt;&gt;"")*tbl_Finance[Date]))),""))</f>
        <v/>
      </c>
      <c r="B57" s="25">
        <f>IF(C57="","",IF(COUNTIFS(tbl_Finance[Job Number],C57&amp;"",tbl_Finance[Xero Invoice No],"&lt;&gt;")=0,"",IFERROR(IF(COUNTIFS(tbl_Finance[Job Number],C57&amp;"",tbl_Finance[Xero Invoice No],LOOKUP(2,1/((tbl_Finance[Job Number]&amp;""=C57&amp;"")*(tbl_Finance[Xero Invoice No]&lt;&gt;"")),tbl_Finance[Xero Invoice No]))=COUNTIFS(tbl_Finance[Job Number],C57&amp;"",tbl_Finance[Xero Invoice No],"&lt;&gt;"),LOOKUP(2,1/((tbl_Finance[Job Number]&amp;""=C57&amp;"")*(tbl_Finance[Xero Invoice No]&lt;&gt;"")),tbl_Finance[Xero Invoice No]),LOOKUP(2,1/((tbl_Finance[Job Number]&amp;""=C57&amp;"")*(tbl_Finance[Xero Invoice No]&lt;&gt;"")),tbl_Finance[Xero Invoice No])&amp;" +more"),"")))</f>
        <v/>
      </c>
      <c r="C57" s="24" t="n"/>
      <c r="D57" s="25">
        <f>IF(C57="","",IF(COUNTIF(lst_Jobs,C57&amp;"")&gt;0,"OK","CHECK"))</f>
        <v/>
      </c>
      <c r="E57" s="25">
        <f>IF(C57="","",IFERROR(INDEX(lst_JobName,MATCH(C57&amp;"",lst_Jobs,0)),""))</f>
        <v/>
      </c>
      <c r="F57" s="25">
        <f>IF(C57="","",IFERROR(INDEX(tbl_Finance[Client],IFERROR(MATCH(C57&amp;"",tbl_Finance[Job Number],0),MATCH(IFERROR(C57+0,C57),tbl_Finance[Job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6" t="n"/>
      <c r="L57" s="27">
        <f>IF(C57="","",IF(K57="",0,MAX(0,K57-H57)))</f>
        <v/>
      </c>
      <c r="M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N57" s="27">
        <f>IF(C57="","",SUMIFS(tbl_Finance[Inc GST],tbl_Finance[Job Number],C57&amp;""))</f>
        <v/>
      </c>
      <c r="O57" s="24" t="n"/>
      <c r="P57" s="25">
        <f>IF(C57="","",IFERROR(INDEX(tbl_Finance[Description],MATCH(C57&amp;"",tbl_Finance[Job Number],0)),""))</f>
        <v/>
      </c>
      <c r="Q57" s="24" t="n"/>
      <c r="R57" s="24" t="n"/>
      <c r="S57" s="22" t="n"/>
      <c r="T57" s="24" t="n"/>
      <c r="U57" s="25">
        <f>IF(T57="","",IF(AND(LEFT(T57,4)&lt;&gt;"http",set_RMSBase=""),"",HYPERLINK(IF(LEFT(T57,4)="http",T57,set_RMSBase&amp;T57),"Open opportunity")))</f>
        <v/>
      </c>
      <c r="V57" s="24" t="n"/>
      <c r="W57" s="25">
        <f>IF(V57="","",HYPERLINK(IF(LEFT(V57,4)="http",V57,set_QwilrBase&amp;V57),"Open quote"))</f>
        <v/>
      </c>
      <c r="X57" s="25">
        <f>IF(C57="","",C57)</f>
        <v/>
      </c>
      <c r="Y57" s="24" t="n"/>
      <c r="Z57" s="26" t="n"/>
      <c r="AA57" s="27">
        <f>IF(C57="","",H57+N(Z57))</f>
        <v/>
      </c>
      <c r="AB57" s="29">
        <f>IFERROR(Z57/AA57,"")</f>
        <v/>
      </c>
      <c r="AC57" s="26" t="n"/>
      <c r="AD57" s="26" t="n"/>
      <c r="AE57" s="26" t="n"/>
      <c r="AF57" s="26" t="n"/>
      <c r="AG57" s="27">
        <f>IF(C57="","",SUMIFS(tbl_Finance[Ex GST],tbl_Finance[Job Number],C57&amp;"",tbl_Finance[Cost Centre],"VIDEO"))</f>
        <v/>
      </c>
      <c r="AH57" s="29">
        <f>IFERROR(AG57/H57,"")</f>
        <v/>
      </c>
      <c r="AI57" s="27">
        <f>IF(C57="","",N(AC57)+N(AD57)+N(AE57)+N(AF57))</f>
        <v/>
      </c>
      <c r="AJ57" s="27">
        <f>IF(C57="","",H57+L57-AI57)</f>
        <v/>
      </c>
      <c r="AK57" s="29">
        <f>IFERROR(AJ57/(H57+L57),"")</f>
        <v/>
      </c>
      <c r="AL57" s="71" t="n"/>
      <c r="AM57" s="71" t="n"/>
      <c r="AN57" s="71" t="n"/>
      <c r="AO57" s="71" t="n"/>
      <c r="AP57" s="71" t="n"/>
      <c r="AQ57" s="24" t="n"/>
    </row>
    <row r="58" ht="15" customHeight="1">
      <c r="A58" s="70">
        <f>IF(C58="","",IFERROR(IF(SUMPRODUCT(MAX((tbl_Finance[Job Number]&amp;""=C58&amp;"")*(tbl_Finance[Xero Invoice No]&lt;&gt;"")*tbl_Finance[Date]))=0,"",SUMPRODUCT(MAX((tbl_Finance[Job Number]&amp;""=C58&amp;"")*(tbl_Finance[Xero Invoice No]&lt;&gt;"")*tbl_Finance[Date]))),""))</f>
        <v/>
      </c>
      <c r="B58" s="25">
        <f>IF(C58="","",IF(COUNTIFS(tbl_Finance[Job Number],C58&amp;"",tbl_Finance[Xero Invoice No],"&lt;&gt;")=0,"",IFERROR(IF(COUNTIFS(tbl_Finance[Job Number],C58&amp;"",tbl_Finance[Xero Invoice No],LOOKUP(2,1/((tbl_Finance[Job Number]&amp;""=C58&amp;"")*(tbl_Finance[Xero Invoice No]&lt;&gt;"")),tbl_Finance[Xero Invoice No]))=COUNTIFS(tbl_Finance[Job Number],C58&amp;"",tbl_Finance[Xero Invoice No],"&lt;&gt;"),LOOKUP(2,1/((tbl_Finance[Job Number]&amp;""=C58&amp;"")*(tbl_Finance[Xero Invoice No]&lt;&gt;"")),tbl_Finance[Xero Invoice No]),LOOKUP(2,1/((tbl_Finance[Job Number]&amp;""=C58&amp;"")*(tbl_Finance[Xero Invoice No]&lt;&gt;"")),tbl_Finance[Xero Invoice No])&amp;" +more"),"")))</f>
        <v/>
      </c>
      <c r="C58" s="24" t="n"/>
      <c r="D58" s="25">
        <f>IF(C58="","",IF(COUNTIF(lst_Jobs,C58&amp;"")&gt;0,"OK","CHECK"))</f>
        <v/>
      </c>
      <c r="E58" s="25">
        <f>IF(C58="","",IFERROR(INDEX(lst_JobName,MATCH(C58&amp;"",lst_Jobs,0)),""))</f>
        <v/>
      </c>
      <c r="F58" s="25">
        <f>IF(C58="","",IFERROR(INDEX(tbl_Finance[Client],IFERROR(MATCH(C58&amp;"",tbl_Finance[Job Number],0),MATCH(IFERROR(C58+0,C58),tbl_Finance[Job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6" t="n"/>
      <c r="L58" s="27">
        <f>IF(C58="","",IF(K58="",0,MAX(0,K58-H58)))</f>
        <v/>
      </c>
      <c r="M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N58" s="27">
        <f>IF(C58="","",SUMIFS(tbl_Finance[Inc GST],tbl_Finance[Job Number],C58&amp;""))</f>
        <v/>
      </c>
      <c r="O58" s="24" t="n"/>
      <c r="P58" s="25">
        <f>IF(C58="","",IFERROR(INDEX(tbl_Finance[Description],MATCH(C58&amp;"",tbl_Finance[Job Number],0)),""))</f>
        <v/>
      </c>
      <c r="Q58" s="24" t="n"/>
      <c r="R58" s="24" t="n"/>
      <c r="S58" s="22" t="n"/>
      <c r="T58" s="24" t="n"/>
      <c r="U58" s="25">
        <f>IF(T58="","",IF(AND(LEFT(T58,4)&lt;&gt;"http",set_RMSBase=""),"",HYPERLINK(IF(LEFT(T58,4)="http",T58,set_RMSBase&amp;T58),"Open opportunity")))</f>
        <v/>
      </c>
      <c r="V58" s="24" t="n"/>
      <c r="W58" s="25">
        <f>IF(V58="","",HYPERLINK(IF(LEFT(V58,4)="http",V58,set_QwilrBase&amp;V58),"Open quote"))</f>
        <v/>
      </c>
      <c r="X58" s="25">
        <f>IF(C58="","",C58)</f>
        <v/>
      </c>
      <c r="Y58" s="24" t="n"/>
      <c r="Z58" s="26" t="n"/>
      <c r="AA58" s="27">
        <f>IF(C58="","",H58+N(Z58))</f>
        <v/>
      </c>
      <c r="AB58" s="29">
        <f>IFERROR(Z58/AA58,"")</f>
        <v/>
      </c>
      <c r="AC58" s="26" t="n"/>
      <c r="AD58" s="26" t="n"/>
      <c r="AE58" s="26" t="n"/>
      <c r="AF58" s="26" t="n"/>
      <c r="AG58" s="27">
        <f>IF(C58="","",SUMIFS(tbl_Finance[Ex GST],tbl_Finance[Job Number],C58&amp;"",tbl_Finance[Cost Centre],"VIDEO"))</f>
        <v/>
      </c>
      <c r="AH58" s="29">
        <f>IFERROR(AG58/H58,"")</f>
        <v/>
      </c>
      <c r="AI58" s="27">
        <f>IF(C58="","",N(AC58)+N(AD58)+N(AE58)+N(AF58))</f>
        <v/>
      </c>
      <c r="AJ58" s="27">
        <f>IF(C58="","",H58+L58-AI58)</f>
        <v/>
      </c>
      <c r="AK58" s="29">
        <f>IFERROR(AJ58/(H58+L58),"")</f>
        <v/>
      </c>
      <c r="AL58" s="71" t="n"/>
      <c r="AM58" s="71" t="n"/>
      <c r="AN58" s="71" t="n"/>
      <c r="AO58" s="71" t="n"/>
      <c r="AP58" s="71" t="n"/>
      <c r="AQ58" s="24" t="n"/>
    </row>
    <row r="59" ht="15" customHeight="1">
      <c r="A59" s="70">
        <f>IF(C59="","",IFERROR(IF(SUMPRODUCT(MAX((tbl_Finance[Job Number]&amp;""=C59&amp;"")*(tbl_Finance[Xero Invoice No]&lt;&gt;"")*tbl_Finance[Date]))=0,"",SUMPRODUCT(MAX((tbl_Finance[Job Number]&amp;""=C59&amp;"")*(tbl_Finance[Xero Invoice No]&lt;&gt;"")*tbl_Finance[Date]))),""))</f>
        <v/>
      </c>
      <c r="B59" s="25">
        <f>IF(C59="","",IF(COUNTIFS(tbl_Finance[Job Number],C59&amp;"",tbl_Finance[Xero Invoice No],"&lt;&gt;")=0,"",IFERROR(IF(COUNTIFS(tbl_Finance[Job Number],C59&amp;"",tbl_Finance[Xero Invoice No],LOOKUP(2,1/((tbl_Finance[Job Number]&amp;""=C59&amp;"")*(tbl_Finance[Xero Invoice No]&lt;&gt;"")),tbl_Finance[Xero Invoice No]))=COUNTIFS(tbl_Finance[Job Number],C59&amp;"",tbl_Finance[Xero Invoice No],"&lt;&gt;"),LOOKUP(2,1/((tbl_Finance[Job Number]&amp;""=C59&amp;"")*(tbl_Finance[Xero Invoice No]&lt;&gt;"")),tbl_Finance[Xero Invoice No]),LOOKUP(2,1/((tbl_Finance[Job Number]&amp;""=C59&amp;"")*(tbl_Finance[Xero Invoice No]&lt;&gt;"")),tbl_Finance[Xero Invoice No])&amp;" +more"),"")))</f>
        <v/>
      </c>
      <c r="C59" s="24" t="n"/>
      <c r="D59" s="25">
        <f>IF(C59="","",IF(COUNTIF(lst_Jobs,C59&amp;"")&gt;0,"OK","CHECK"))</f>
        <v/>
      </c>
      <c r="E59" s="25">
        <f>IF(C59="","",IFERROR(INDEX(lst_JobName,MATCH(C59&amp;"",lst_Jobs,0)),""))</f>
        <v/>
      </c>
      <c r="F59" s="25">
        <f>IF(C59="","",IFERROR(INDEX(tbl_Finance[Client],IFERROR(MATCH(C59&amp;"",tbl_Finance[Job Number],0),MATCH(IFERROR(C59+0,C59),tbl_Finance[Job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6" t="n"/>
      <c r="L59" s="27">
        <f>IF(C59="","",IF(K59="",0,MAX(0,K59-H59)))</f>
        <v/>
      </c>
      <c r="M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N59" s="27">
        <f>IF(C59="","",SUMIFS(tbl_Finance[Inc GST],tbl_Finance[Job Number],C59&amp;""))</f>
        <v/>
      </c>
      <c r="O59" s="24" t="n"/>
      <c r="P59" s="25">
        <f>IF(C59="","",IFERROR(INDEX(tbl_Finance[Description],MATCH(C59&amp;"",tbl_Finance[Job Number],0)),""))</f>
        <v/>
      </c>
      <c r="Q59" s="24" t="n"/>
      <c r="R59" s="24" t="n"/>
      <c r="S59" s="22" t="n"/>
      <c r="T59" s="24" t="n"/>
      <c r="U59" s="25">
        <f>IF(T59="","",IF(AND(LEFT(T59,4)&lt;&gt;"http",set_RMSBase=""),"",HYPERLINK(IF(LEFT(T59,4)="http",T59,set_RMSBase&amp;T59),"Open opportunity")))</f>
        <v/>
      </c>
      <c r="V59" s="24" t="n"/>
      <c r="W59" s="25">
        <f>IF(V59="","",HYPERLINK(IF(LEFT(V59,4)="http",V59,set_QwilrBase&amp;V59),"Open quote"))</f>
        <v/>
      </c>
      <c r="X59" s="25">
        <f>IF(C59="","",C59)</f>
        <v/>
      </c>
      <c r="Y59" s="24" t="n"/>
      <c r="Z59" s="26" t="n"/>
      <c r="AA59" s="27">
        <f>IF(C59="","",H59+N(Z59))</f>
        <v/>
      </c>
      <c r="AB59" s="29">
        <f>IFERROR(Z59/AA59,"")</f>
        <v/>
      </c>
      <c r="AC59" s="26" t="n"/>
      <c r="AD59" s="26" t="n"/>
      <c r="AE59" s="26" t="n"/>
      <c r="AF59" s="26" t="n"/>
      <c r="AG59" s="27">
        <f>IF(C59="","",SUMIFS(tbl_Finance[Ex GST],tbl_Finance[Job Number],C59&amp;"",tbl_Finance[Cost Centre],"VIDEO"))</f>
        <v/>
      </c>
      <c r="AH59" s="29">
        <f>IFERROR(AG59/H59,"")</f>
        <v/>
      </c>
      <c r="AI59" s="27">
        <f>IF(C59="","",N(AC59)+N(AD59)+N(AE59)+N(AF59))</f>
        <v/>
      </c>
      <c r="AJ59" s="27">
        <f>IF(C59="","",H59+L59-AI59)</f>
        <v/>
      </c>
      <c r="AK59" s="29">
        <f>IFERROR(AJ59/(H59+L59),"")</f>
        <v/>
      </c>
      <c r="AL59" s="71" t="n"/>
      <c r="AM59" s="71" t="n"/>
      <c r="AN59" s="71" t="n"/>
      <c r="AO59" s="71" t="n"/>
      <c r="AP59" s="71" t="n"/>
      <c r="AQ59" s="24" t="n"/>
    </row>
    <row r="60" ht="15" customHeight="1">
      <c r="A60" s="70">
        <f>IF(C60="","",IFERROR(IF(SUMPRODUCT(MAX((tbl_Finance[Job Number]&amp;""=C60&amp;"")*(tbl_Finance[Xero Invoice No]&lt;&gt;"")*tbl_Finance[Date]))=0,"",SUMPRODUCT(MAX((tbl_Finance[Job Number]&amp;""=C60&amp;"")*(tbl_Finance[Xero Invoice No]&lt;&gt;"")*tbl_Finance[Date]))),""))</f>
        <v/>
      </c>
      <c r="B60" s="25">
        <f>IF(C60="","",IF(COUNTIFS(tbl_Finance[Job Number],C60&amp;"",tbl_Finance[Xero Invoice No],"&lt;&gt;")=0,"",IFERROR(IF(COUNTIFS(tbl_Finance[Job Number],C60&amp;"",tbl_Finance[Xero Invoice No],LOOKUP(2,1/((tbl_Finance[Job Number]&amp;""=C60&amp;"")*(tbl_Finance[Xero Invoice No]&lt;&gt;"")),tbl_Finance[Xero Invoice No]))=COUNTIFS(tbl_Finance[Job Number],C60&amp;"",tbl_Finance[Xero Invoice No],"&lt;&gt;"),LOOKUP(2,1/((tbl_Finance[Job Number]&amp;""=C60&amp;"")*(tbl_Finance[Xero Invoice No]&lt;&gt;"")),tbl_Finance[Xero Invoice No]),LOOKUP(2,1/((tbl_Finance[Job Number]&amp;""=C60&amp;"")*(tbl_Finance[Xero Invoice No]&lt;&gt;"")),tbl_Finance[Xero Invoice No])&amp;" +more"),"")))</f>
        <v/>
      </c>
      <c r="C60" s="24" t="n"/>
      <c r="D60" s="25">
        <f>IF(C60="","",IF(COUNTIF(lst_Jobs,C60&amp;"")&gt;0,"OK","CHECK"))</f>
        <v/>
      </c>
      <c r="E60" s="25">
        <f>IF(C60="","",IFERROR(INDEX(lst_JobName,MATCH(C60&amp;"",lst_Jobs,0)),""))</f>
        <v/>
      </c>
      <c r="F60" s="25">
        <f>IF(C60="","",IFERROR(INDEX(tbl_Finance[Client],IFERROR(MATCH(C60&amp;"",tbl_Finance[Job Number],0),MATCH(IFERROR(C60+0,C60),tbl_Finance[Job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6" t="n"/>
      <c r="L60" s="27">
        <f>IF(C60="","",IF(K60="",0,MAX(0,K60-H60)))</f>
        <v/>
      </c>
      <c r="M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N60" s="27">
        <f>IF(C60="","",SUMIFS(tbl_Finance[Inc GST],tbl_Finance[Job Number],C60&amp;""))</f>
        <v/>
      </c>
      <c r="O60" s="24" t="n"/>
      <c r="P60" s="25">
        <f>IF(C60="","",IFERROR(INDEX(tbl_Finance[Description],MATCH(C60&amp;"",tbl_Finance[Job Number],0)),""))</f>
        <v/>
      </c>
      <c r="Q60" s="24" t="n"/>
      <c r="R60" s="24" t="n"/>
      <c r="S60" s="22" t="n"/>
      <c r="T60" s="24" t="n"/>
      <c r="U60" s="25">
        <f>IF(T60="","",IF(AND(LEFT(T60,4)&lt;&gt;"http",set_RMSBase=""),"",HYPERLINK(IF(LEFT(T60,4)="http",T60,set_RMSBase&amp;T60),"Open opportunity")))</f>
        <v/>
      </c>
      <c r="V60" s="24" t="n"/>
      <c r="W60" s="25">
        <f>IF(V60="","",HYPERLINK(IF(LEFT(V60,4)="http",V60,set_QwilrBase&amp;V60),"Open quote"))</f>
        <v/>
      </c>
      <c r="X60" s="25">
        <f>IF(C60="","",C60)</f>
        <v/>
      </c>
      <c r="Y60" s="24" t="n"/>
      <c r="Z60" s="26" t="n"/>
      <c r="AA60" s="27">
        <f>IF(C60="","",H60+N(Z60))</f>
        <v/>
      </c>
      <c r="AB60" s="29">
        <f>IFERROR(Z60/AA60,"")</f>
        <v/>
      </c>
      <c r="AC60" s="26" t="n"/>
      <c r="AD60" s="26" t="n"/>
      <c r="AE60" s="26" t="n"/>
      <c r="AF60" s="26" t="n"/>
      <c r="AG60" s="27">
        <f>IF(C60="","",SUMIFS(tbl_Finance[Ex GST],tbl_Finance[Job Number],C60&amp;"",tbl_Finance[Cost Centre],"VIDEO"))</f>
        <v/>
      </c>
      <c r="AH60" s="29">
        <f>IFERROR(AG60/H60,"")</f>
        <v/>
      </c>
      <c r="AI60" s="27">
        <f>IF(C60="","",N(AC60)+N(AD60)+N(AE60)+N(AF60))</f>
        <v/>
      </c>
      <c r="AJ60" s="27">
        <f>IF(C60="","",H60+L60-AI60)</f>
        <v/>
      </c>
      <c r="AK60" s="29">
        <f>IFERROR(AJ60/(H60+L60),"")</f>
        <v/>
      </c>
      <c r="AL60" s="71" t="n"/>
      <c r="AM60" s="71" t="n"/>
      <c r="AN60" s="71" t="n"/>
      <c r="AO60" s="71" t="n"/>
      <c r="AP60" s="71" t="n"/>
      <c r="AQ60" s="24" t="n"/>
    </row>
    <row r="61" ht="15" customHeight="1">
      <c r="A61" s="70">
        <f>IF(C61="","",IFERROR(IF(SUMPRODUCT(MAX((tbl_Finance[Job Number]&amp;""=C61&amp;"")*(tbl_Finance[Xero Invoice No]&lt;&gt;"")*tbl_Finance[Date]))=0,"",SUMPRODUCT(MAX((tbl_Finance[Job Number]&amp;""=C61&amp;"")*(tbl_Finance[Xero Invoice No]&lt;&gt;"")*tbl_Finance[Date]))),""))</f>
        <v/>
      </c>
      <c r="B61" s="25">
        <f>IF(C61="","",IF(COUNTIFS(tbl_Finance[Job Number],C61&amp;"",tbl_Finance[Xero Invoice No],"&lt;&gt;")=0,"",IFERROR(IF(COUNTIFS(tbl_Finance[Job Number],C61&amp;"",tbl_Finance[Xero Invoice No],LOOKUP(2,1/((tbl_Finance[Job Number]&amp;""=C61&amp;"")*(tbl_Finance[Xero Invoice No]&lt;&gt;"")),tbl_Finance[Xero Invoice No]))=COUNTIFS(tbl_Finance[Job Number],C61&amp;"",tbl_Finance[Xero Invoice No],"&lt;&gt;"),LOOKUP(2,1/((tbl_Finance[Job Number]&amp;""=C61&amp;"")*(tbl_Finance[Xero Invoice No]&lt;&gt;"")),tbl_Finance[Xero Invoice No]),LOOKUP(2,1/((tbl_Finance[Job Number]&amp;""=C61&amp;"")*(tbl_Finance[Xero Invoice No]&lt;&gt;"")),tbl_Finance[Xero Invoice No])&amp;" +more"),"")))</f>
        <v/>
      </c>
      <c r="C61" s="24" t="n"/>
      <c r="D61" s="25">
        <f>IF(C61="","",IF(COUNTIF(lst_Jobs,C61&amp;"")&gt;0,"OK","CHECK"))</f>
        <v/>
      </c>
      <c r="E61" s="25">
        <f>IF(C61="","",IFERROR(INDEX(lst_JobName,MATCH(C61&amp;"",lst_Jobs,0)),""))</f>
        <v/>
      </c>
      <c r="F61" s="25">
        <f>IF(C61="","",IFERROR(INDEX(tbl_Finance[Client],IFERROR(MATCH(C61&amp;"",tbl_Finance[Job Number],0),MATCH(IFERROR(C61+0,C61),tbl_Finance[Job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6" t="n"/>
      <c r="L61" s="27">
        <f>IF(C61="","",IF(K61="",0,MAX(0,K61-H61)))</f>
        <v/>
      </c>
      <c r="M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N61" s="27">
        <f>IF(C61="","",SUMIFS(tbl_Finance[Inc GST],tbl_Finance[Job Number],C61&amp;""))</f>
        <v/>
      </c>
      <c r="O61" s="24" t="n"/>
      <c r="P61" s="25">
        <f>IF(C61="","",IFERROR(INDEX(tbl_Finance[Description],MATCH(C61&amp;"",tbl_Finance[Job Number],0)),""))</f>
        <v/>
      </c>
      <c r="Q61" s="24" t="n"/>
      <c r="R61" s="24" t="n"/>
      <c r="S61" s="22" t="n"/>
      <c r="T61" s="24" t="n"/>
      <c r="U61" s="25">
        <f>IF(T61="","",IF(AND(LEFT(T61,4)&lt;&gt;"http",set_RMSBase=""),"",HYPERLINK(IF(LEFT(T61,4)="http",T61,set_RMSBase&amp;T61),"Open opportunity")))</f>
        <v/>
      </c>
      <c r="V61" s="24" t="n"/>
      <c r="W61" s="25">
        <f>IF(V61="","",HYPERLINK(IF(LEFT(V61,4)="http",V61,set_QwilrBase&amp;V61),"Open quote"))</f>
        <v/>
      </c>
      <c r="X61" s="25">
        <f>IF(C61="","",C61)</f>
        <v/>
      </c>
      <c r="Y61" s="24" t="n"/>
      <c r="Z61" s="26" t="n"/>
      <c r="AA61" s="27">
        <f>IF(C61="","",H61+N(Z61))</f>
        <v/>
      </c>
      <c r="AB61" s="29">
        <f>IFERROR(Z61/AA61,"")</f>
        <v/>
      </c>
      <c r="AC61" s="26" t="n"/>
      <c r="AD61" s="26" t="n"/>
      <c r="AE61" s="26" t="n"/>
      <c r="AF61" s="26" t="n"/>
      <c r="AG61" s="27">
        <f>IF(C61="","",SUMIFS(tbl_Finance[Ex GST],tbl_Finance[Job Number],C61&amp;"",tbl_Finance[Cost Centre],"VIDEO"))</f>
        <v/>
      </c>
      <c r="AH61" s="29">
        <f>IFERROR(AG61/H61,"")</f>
        <v/>
      </c>
      <c r="AI61" s="27">
        <f>IF(C61="","",N(AC61)+N(AD61)+N(AE61)+N(AF61))</f>
        <v/>
      </c>
      <c r="AJ61" s="27">
        <f>IF(C61="","",H61+L61-AI61)</f>
        <v/>
      </c>
      <c r="AK61" s="29">
        <f>IFERROR(AJ61/(H61+L61),"")</f>
        <v/>
      </c>
      <c r="AL61" s="71" t="n"/>
      <c r="AM61" s="71" t="n"/>
      <c r="AN61" s="71" t="n"/>
      <c r="AO61" s="71" t="n"/>
      <c r="AP61" s="71" t="n"/>
      <c r="AQ61" s="24" t="n"/>
    </row>
    <row r="62" ht="15" customHeight="1">
      <c r="A62" s="70">
        <f>IF(C62="","",IFERROR(IF(SUMPRODUCT(MAX((tbl_Finance[Job Number]&amp;""=C62&amp;"")*(tbl_Finance[Xero Invoice No]&lt;&gt;"")*tbl_Finance[Date]))=0,"",SUMPRODUCT(MAX((tbl_Finance[Job Number]&amp;""=C62&amp;"")*(tbl_Finance[Xero Invoice No]&lt;&gt;"")*tbl_Finance[Date]))),""))</f>
        <v/>
      </c>
      <c r="B62" s="25">
        <f>IF(C62="","",IF(COUNTIFS(tbl_Finance[Job Number],C62&amp;"",tbl_Finance[Xero Invoice No],"&lt;&gt;")=0,"",IFERROR(IF(COUNTIFS(tbl_Finance[Job Number],C62&amp;"",tbl_Finance[Xero Invoice No],LOOKUP(2,1/((tbl_Finance[Job Number]&amp;""=C62&amp;"")*(tbl_Finance[Xero Invoice No]&lt;&gt;"")),tbl_Finance[Xero Invoice No]))=COUNTIFS(tbl_Finance[Job Number],C62&amp;"",tbl_Finance[Xero Invoice No],"&lt;&gt;"),LOOKUP(2,1/((tbl_Finance[Job Number]&amp;""=C62&amp;"")*(tbl_Finance[Xero Invoice No]&lt;&gt;"")),tbl_Finance[Xero Invoice No]),LOOKUP(2,1/((tbl_Finance[Job Number]&amp;""=C62&amp;"")*(tbl_Finance[Xero Invoice No]&lt;&gt;"")),tbl_Finance[Xero Invoice No])&amp;" +more"),"")))</f>
        <v/>
      </c>
      <c r="C62" s="24" t="n"/>
      <c r="D62" s="25">
        <f>IF(C62="","",IF(COUNTIF(lst_Jobs,C62&amp;"")&gt;0,"OK","CHECK"))</f>
        <v/>
      </c>
      <c r="E62" s="25">
        <f>IF(C62="","",IFERROR(INDEX(lst_JobName,MATCH(C62&amp;"",lst_Jobs,0)),""))</f>
        <v/>
      </c>
      <c r="F62" s="25">
        <f>IF(C62="","",IFERROR(INDEX(tbl_Finance[Client],IFERROR(MATCH(C62&amp;"",tbl_Finance[Job Number],0),MATCH(IFERROR(C62+0,C62),tbl_Finance[Job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6" t="n"/>
      <c r="L62" s="27">
        <f>IF(C62="","",IF(K62="",0,MAX(0,K62-H62)))</f>
        <v/>
      </c>
      <c r="M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N62" s="27">
        <f>IF(C62="","",SUMIFS(tbl_Finance[Inc GST],tbl_Finance[Job Number],C62&amp;""))</f>
        <v/>
      </c>
      <c r="O62" s="24" t="n"/>
      <c r="P62" s="25">
        <f>IF(C62="","",IFERROR(INDEX(tbl_Finance[Description],MATCH(C62&amp;"",tbl_Finance[Job Number],0)),""))</f>
        <v/>
      </c>
      <c r="Q62" s="24" t="n"/>
      <c r="R62" s="24" t="n"/>
      <c r="S62" s="22" t="n"/>
      <c r="T62" s="24" t="n"/>
      <c r="U62" s="25">
        <f>IF(T62="","",IF(AND(LEFT(T62,4)&lt;&gt;"http",set_RMSBase=""),"",HYPERLINK(IF(LEFT(T62,4)="http",T62,set_RMSBase&amp;T62),"Open opportunity")))</f>
        <v/>
      </c>
      <c r="V62" s="24" t="n"/>
      <c r="W62" s="25">
        <f>IF(V62="","",HYPERLINK(IF(LEFT(V62,4)="http",V62,set_QwilrBase&amp;V62),"Open quote"))</f>
        <v/>
      </c>
      <c r="X62" s="25">
        <f>IF(C62="","",C62)</f>
        <v/>
      </c>
      <c r="Y62" s="24" t="n"/>
      <c r="Z62" s="26" t="n"/>
      <c r="AA62" s="27">
        <f>IF(C62="","",H62+N(Z62))</f>
        <v/>
      </c>
      <c r="AB62" s="29">
        <f>IFERROR(Z62/AA62,"")</f>
        <v/>
      </c>
      <c r="AC62" s="26" t="n"/>
      <c r="AD62" s="26" t="n"/>
      <c r="AE62" s="26" t="n"/>
      <c r="AF62" s="26" t="n"/>
      <c r="AG62" s="27">
        <f>IF(C62="","",SUMIFS(tbl_Finance[Ex GST],tbl_Finance[Job Number],C62&amp;"",tbl_Finance[Cost Centre],"VIDEO"))</f>
        <v/>
      </c>
      <c r="AH62" s="29">
        <f>IFERROR(AG62/H62,"")</f>
        <v/>
      </c>
      <c r="AI62" s="27">
        <f>IF(C62="","",N(AC62)+N(AD62)+N(AE62)+N(AF62))</f>
        <v/>
      </c>
      <c r="AJ62" s="27">
        <f>IF(C62="","",H62+L62-AI62)</f>
        <v/>
      </c>
      <c r="AK62" s="29">
        <f>IFERROR(AJ62/(H62+L62),"")</f>
        <v/>
      </c>
      <c r="AL62" s="71" t="n"/>
      <c r="AM62" s="71" t="n"/>
      <c r="AN62" s="71" t="n"/>
      <c r="AO62" s="71" t="n"/>
      <c r="AP62" s="71" t="n"/>
      <c r="AQ62" s="24" t="n"/>
    </row>
    <row r="63" ht="15" customHeight="1">
      <c r="A63" s="70">
        <f>IF(C63="","",IFERROR(IF(SUMPRODUCT(MAX((tbl_Finance[Job Number]&amp;""=C63&amp;"")*(tbl_Finance[Xero Invoice No]&lt;&gt;"")*tbl_Finance[Date]))=0,"",SUMPRODUCT(MAX((tbl_Finance[Job Number]&amp;""=C63&amp;"")*(tbl_Finance[Xero Invoice No]&lt;&gt;"")*tbl_Finance[Date]))),""))</f>
        <v/>
      </c>
      <c r="B63" s="25">
        <f>IF(C63="","",IF(COUNTIFS(tbl_Finance[Job Number],C63&amp;"",tbl_Finance[Xero Invoice No],"&lt;&gt;")=0,"",IFERROR(IF(COUNTIFS(tbl_Finance[Job Number],C63&amp;"",tbl_Finance[Xero Invoice No],LOOKUP(2,1/((tbl_Finance[Job Number]&amp;""=C63&amp;"")*(tbl_Finance[Xero Invoice No]&lt;&gt;"")),tbl_Finance[Xero Invoice No]))=COUNTIFS(tbl_Finance[Job Number],C63&amp;"",tbl_Finance[Xero Invoice No],"&lt;&gt;"),LOOKUP(2,1/((tbl_Finance[Job Number]&amp;""=C63&amp;"")*(tbl_Finance[Xero Invoice No]&lt;&gt;"")),tbl_Finance[Xero Invoice No]),LOOKUP(2,1/((tbl_Finance[Job Number]&amp;""=C63&amp;"")*(tbl_Finance[Xero Invoice No]&lt;&gt;"")),tbl_Finance[Xero Invoice No])&amp;" +more"),"")))</f>
        <v/>
      </c>
      <c r="C63" s="24" t="n"/>
      <c r="D63" s="25">
        <f>IF(C63="","",IF(COUNTIF(lst_Jobs,C63&amp;"")&gt;0,"OK","CHECK"))</f>
        <v/>
      </c>
      <c r="E63" s="25">
        <f>IF(C63="","",IFERROR(INDEX(lst_JobName,MATCH(C63&amp;"",lst_Jobs,0)),""))</f>
        <v/>
      </c>
      <c r="F63" s="25">
        <f>IF(C63="","",IFERROR(INDEX(tbl_Finance[Client],IFERROR(MATCH(C63&amp;"",tbl_Finance[Job Number],0),MATCH(IFERROR(C63+0,C63),tbl_Finance[Job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6" t="n"/>
      <c r="L63" s="27">
        <f>IF(C63="","",IF(K63="",0,MAX(0,K63-H63)))</f>
        <v/>
      </c>
      <c r="M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N63" s="27">
        <f>IF(C63="","",SUMIFS(tbl_Finance[Inc GST],tbl_Finance[Job Number],C63&amp;""))</f>
        <v/>
      </c>
      <c r="O63" s="24" t="n"/>
      <c r="P63" s="25">
        <f>IF(C63="","",IFERROR(INDEX(tbl_Finance[Description],MATCH(C63&amp;"",tbl_Finance[Job Number],0)),""))</f>
        <v/>
      </c>
      <c r="Q63" s="24" t="n"/>
      <c r="R63" s="24" t="n"/>
      <c r="S63" s="22" t="n"/>
      <c r="T63" s="24" t="n"/>
      <c r="U63" s="25">
        <f>IF(T63="","",IF(AND(LEFT(T63,4)&lt;&gt;"http",set_RMSBase=""),"",HYPERLINK(IF(LEFT(T63,4)="http",T63,set_RMSBase&amp;T63),"Open opportunity")))</f>
        <v/>
      </c>
      <c r="V63" s="24" t="n"/>
      <c r="W63" s="25">
        <f>IF(V63="","",HYPERLINK(IF(LEFT(V63,4)="http",V63,set_QwilrBase&amp;V63),"Open quote"))</f>
        <v/>
      </c>
      <c r="X63" s="25">
        <f>IF(C63="","",C63)</f>
        <v/>
      </c>
      <c r="Y63" s="24" t="n"/>
      <c r="Z63" s="26" t="n"/>
      <c r="AA63" s="27">
        <f>IF(C63="","",H63+N(Z63))</f>
        <v/>
      </c>
      <c r="AB63" s="29">
        <f>IFERROR(Z63/AA63,"")</f>
        <v/>
      </c>
      <c r="AC63" s="26" t="n"/>
      <c r="AD63" s="26" t="n"/>
      <c r="AE63" s="26" t="n"/>
      <c r="AF63" s="26" t="n"/>
      <c r="AG63" s="27">
        <f>IF(C63="","",SUMIFS(tbl_Finance[Ex GST],tbl_Finance[Job Number],C63&amp;"",tbl_Finance[Cost Centre],"VIDEO"))</f>
        <v/>
      </c>
      <c r="AH63" s="29">
        <f>IFERROR(AG63/H63,"")</f>
        <v/>
      </c>
      <c r="AI63" s="27">
        <f>IF(C63="","",N(AC63)+N(AD63)+N(AE63)+N(AF63))</f>
        <v/>
      </c>
      <c r="AJ63" s="27">
        <f>IF(C63="","",H63+L63-AI63)</f>
        <v/>
      </c>
      <c r="AK63" s="29">
        <f>IFERROR(AJ63/(H63+L63),"")</f>
        <v/>
      </c>
      <c r="AL63" s="71" t="n"/>
      <c r="AM63" s="71" t="n"/>
      <c r="AN63" s="71" t="n"/>
      <c r="AO63" s="71" t="n"/>
      <c r="AP63" s="71" t="n"/>
      <c r="AQ63" s="24" t="n"/>
    </row>
    <row r="64" ht="15" customHeight="1">
      <c r="A64" s="70">
        <f>IF(C64="","",IFERROR(IF(SUMPRODUCT(MAX((tbl_Finance[Job Number]&amp;""=C64&amp;"")*(tbl_Finance[Xero Invoice No]&lt;&gt;"")*tbl_Finance[Date]))=0,"",SUMPRODUCT(MAX((tbl_Finance[Job Number]&amp;""=C64&amp;"")*(tbl_Finance[Xero Invoice No]&lt;&gt;"")*tbl_Finance[Date]))),""))</f>
        <v/>
      </c>
      <c r="B64" s="25">
        <f>IF(C64="","",IF(COUNTIFS(tbl_Finance[Job Number],C64&amp;"",tbl_Finance[Xero Invoice No],"&lt;&gt;")=0,"",IFERROR(IF(COUNTIFS(tbl_Finance[Job Number],C64&amp;"",tbl_Finance[Xero Invoice No],LOOKUP(2,1/((tbl_Finance[Job Number]&amp;""=C64&amp;"")*(tbl_Finance[Xero Invoice No]&lt;&gt;"")),tbl_Finance[Xero Invoice No]))=COUNTIFS(tbl_Finance[Job Number],C64&amp;"",tbl_Finance[Xero Invoice No],"&lt;&gt;"),LOOKUP(2,1/((tbl_Finance[Job Number]&amp;""=C64&amp;"")*(tbl_Finance[Xero Invoice No]&lt;&gt;"")),tbl_Finance[Xero Invoice No]),LOOKUP(2,1/((tbl_Finance[Job Number]&amp;""=C64&amp;"")*(tbl_Finance[Xero Invoice No]&lt;&gt;"")),tbl_Finance[Xero Invoice No])&amp;" +more"),"")))</f>
        <v/>
      </c>
      <c r="C64" s="24" t="n"/>
      <c r="D64" s="25">
        <f>IF(C64="","",IF(COUNTIF(lst_Jobs,C64&amp;"")&gt;0,"OK","CHECK"))</f>
        <v/>
      </c>
      <c r="E64" s="25">
        <f>IF(C64="","",IFERROR(INDEX(lst_JobName,MATCH(C64&amp;"",lst_Jobs,0)),""))</f>
        <v/>
      </c>
      <c r="F64" s="25">
        <f>IF(C64="","",IFERROR(INDEX(tbl_Finance[Client],IFERROR(MATCH(C64&amp;"",tbl_Finance[Job Number],0),MATCH(IFERROR(C64+0,C64),tbl_Finance[Job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6" t="n"/>
      <c r="L64" s="27">
        <f>IF(C64="","",IF(K64="",0,MAX(0,K64-H64)))</f>
        <v/>
      </c>
      <c r="M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N64" s="27">
        <f>IF(C64="","",SUMIFS(tbl_Finance[Inc GST],tbl_Finance[Job Number],C64&amp;""))</f>
        <v/>
      </c>
      <c r="O64" s="24" t="n"/>
      <c r="P64" s="25">
        <f>IF(C64="","",IFERROR(INDEX(tbl_Finance[Description],MATCH(C64&amp;"",tbl_Finance[Job Number],0)),""))</f>
        <v/>
      </c>
      <c r="Q64" s="24" t="n"/>
      <c r="R64" s="24" t="n"/>
      <c r="S64" s="22" t="n"/>
      <c r="T64" s="24" t="n"/>
      <c r="U64" s="25">
        <f>IF(T64="","",IF(AND(LEFT(T64,4)&lt;&gt;"http",set_RMSBase=""),"",HYPERLINK(IF(LEFT(T64,4)="http",T64,set_RMSBase&amp;T64),"Open opportunity")))</f>
        <v/>
      </c>
      <c r="V64" s="24" t="n"/>
      <c r="W64" s="25">
        <f>IF(V64="","",HYPERLINK(IF(LEFT(V64,4)="http",V64,set_QwilrBase&amp;V64),"Open quote"))</f>
        <v/>
      </c>
      <c r="X64" s="25">
        <f>IF(C64="","",C64)</f>
        <v/>
      </c>
      <c r="Y64" s="24" t="n"/>
      <c r="Z64" s="26" t="n"/>
      <c r="AA64" s="27">
        <f>IF(C64="","",H64+N(Z64))</f>
        <v/>
      </c>
      <c r="AB64" s="29">
        <f>IFERROR(Z64/AA64,"")</f>
        <v/>
      </c>
      <c r="AC64" s="26" t="n"/>
      <c r="AD64" s="26" t="n"/>
      <c r="AE64" s="26" t="n"/>
      <c r="AF64" s="26" t="n"/>
      <c r="AG64" s="27">
        <f>IF(C64="","",SUMIFS(tbl_Finance[Ex GST],tbl_Finance[Job Number],C64&amp;"",tbl_Finance[Cost Centre],"VIDEO"))</f>
        <v/>
      </c>
      <c r="AH64" s="29">
        <f>IFERROR(AG64/H64,"")</f>
        <v/>
      </c>
      <c r="AI64" s="27">
        <f>IF(C64="","",N(AC64)+N(AD64)+N(AE64)+N(AF64))</f>
        <v/>
      </c>
      <c r="AJ64" s="27">
        <f>IF(C64="","",H64+L64-AI64)</f>
        <v/>
      </c>
      <c r="AK64" s="29">
        <f>IFERROR(AJ64/(H64+L64),"")</f>
        <v/>
      </c>
      <c r="AL64" s="71" t="n"/>
      <c r="AM64" s="71" t="n"/>
      <c r="AN64" s="71" t="n"/>
      <c r="AO64" s="71" t="n"/>
      <c r="AP64" s="71" t="n"/>
      <c r="AQ64" s="24" t="n"/>
    </row>
    <row r="65" ht="15" customHeight="1">
      <c r="A65" s="70">
        <f>IF(C65="","",IFERROR(IF(SUMPRODUCT(MAX((tbl_Finance[Job Number]&amp;""=C65&amp;"")*(tbl_Finance[Xero Invoice No]&lt;&gt;"")*tbl_Finance[Date]))=0,"",SUMPRODUCT(MAX((tbl_Finance[Job Number]&amp;""=C65&amp;"")*(tbl_Finance[Xero Invoice No]&lt;&gt;"")*tbl_Finance[Date]))),""))</f>
        <v/>
      </c>
      <c r="B65" s="25">
        <f>IF(C65="","",IF(COUNTIFS(tbl_Finance[Job Number],C65&amp;"",tbl_Finance[Xero Invoice No],"&lt;&gt;")=0,"",IFERROR(IF(COUNTIFS(tbl_Finance[Job Number],C65&amp;"",tbl_Finance[Xero Invoice No],LOOKUP(2,1/((tbl_Finance[Job Number]&amp;""=C65&amp;"")*(tbl_Finance[Xero Invoice No]&lt;&gt;"")),tbl_Finance[Xero Invoice No]))=COUNTIFS(tbl_Finance[Job Number],C65&amp;"",tbl_Finance[Xero Invoice No],"&lt;&gt;"),LOOKUP(2,1/((tbl_Finance[Job Number]&amp;""=C65&amp;"")*(tbl_Finance[Xero Invoice No]&lt;&gt;"")),tbl_Finance[Xero Invoice No]),LOOKUP(2,1/((tbl_Finance[Job Number]&amp;""=C65&amp;"")*(tbl_Finance[Xero Invoice No]&lt;&gt;"")),tbl_Finance[Xero Invoice No])&amp;" +more"),"")))</f>
        <v/>
      </c>
      <c r="C65" s="24" t="n"/>
      <c r="D65" s="25">
        <f>IF(C65="","",IF(COUNTIF(lst_Jobs,C65&amp;"")&gt;0,"OK","CHECK"))</f>
        <v/>
      </c>
      <c r="E65" s="25">
        <f>IF(C65="","",IFERROR(INDEX(lst_JobName,MATCH(C65&amp;"",lst_Jobs,0)),""))</f>
        <v/>
      </c>
      <c r="F65" s="25">
        <f>IF(C65="","",IFERROR(INDEX(tbl_Finance[Client],IFERROR(MATCH(C65&amp;"",tbl_Finance[Job Number],0),MATCH(IFERROR(C65+0,C65),tbl_Finance[Job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6" t="n"/>
      <c r="L65" s="27">
        <f>IF(C65="","",IF(K65="",0,MAX(0,K65-H65)))</f>
        <v/>
      </c>
      <c r="M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N65" s="27">
        <f>IF(C65="","",SUMIFS(tbl_Finance[Inc GST],tbl_Finance[Job Number],C65&amp;""))</f>
        <v/>
      </c>
      <c r="O65" s="24" t="n"/>
      <c r="P65" s="25">
        <f>IF(C65="","",IFERROR(INDEX(tbl_Finance[Description],MATCH(C65&amp;"",tbl_Finance[Job Number],0)),""))</f>
        <v/>
      </c>
      <c r="Q65" s="24" t="n"/>
      <c r="R65" s="24" t="n"/>
      <c r="S65" s="22" t="n"/>
      <c r="T65" s="24" t="n"/>
      <c r="U65" s="25">
        <f>IF(T65="","",IF(AND(LEFT(T65,4)&lt;&gt;"http",set_RMSBase=""),"",HYPERLINK(IF(LEFT(T65,4)="http",T65,set_RMSBase&amp;T65),"Open opportunity")))</f>
        <v/>
      </c>
      <c r="V65" s="24" t="n"/>
      <c r="W65" s="25">
        <f>IF(V65="","",HYPERLINK(IF(LEFT(V65,4)="http",V65,set_QwilrBase&amp;V65),"Open quote"))</f>
        <v/>
      </c>
      <c r="X65" s="25">
        <f>IF(C65="","",C65)</f>
        <v/>
      </c>
      <c r="Y65" s="24" t="n"/>
      <c r="Z65" s="26" t="n"/>
      <c r="AA65" s="27">
        <f>IF(C65="","",H65+N(Z65))</f>
        <v/>
      </c>
      <c r="AB65" s="29">
        <f>IFERROR(Z65/AA65,"")</f>
        <v/>
      </c>
      <c r="AC65" s="26" t="n"/>
      <c r="AD65" s="26" t="n"/>
      <c r="AE65" s="26" t="n"/>
      <c r="AF65" s="26" t="n"/>
      <c r="AG65" s="27">
        <f>IF(C65="","",SUMIFS(tbl_Finance[Ex GST],tbl_Finance[Job Number],C65&amp;"",tbl_Finance[Cost Centre],"VIDEO"))</f>
        <v/>
      </c>
      <c r="AH65" s="29">
        <f>IFERROR(AG65/H65,"")</f>
        <v/>
      </c>
      <c r="AI65" s="27">
        <f>IF(C65="","",N(AC65)+N(AD65)+N(AE65)+N(AF65))</f>
        <v/>
      </c>
      <c r="AJ65" s="27">
        <f>IF(C65="","",H65+L65-AI65)</f>
        <v/>
      </c>
      <c r="AK65" s="29">
        <f>IFERROR(AJ65/(H65+L65),"")</f>
        <v/>
      </c>
      <c r="AL65" s="71" t="n"/>
      <c r="AM65" s="71" t="n"/>
      <c r="AN65" s="71" t="n"/>
      <c r="AO65" s="71" t="n"/>
      <c r="AP65" s="71" t="n"/>
      <c r="AQ65" s="24" t="n"/>
    </row>
    <row r="66" ht="15" customHeight="1">
      <c r="A66" s="70">
        <f>IF(C66="","",IFERROR(IF(SUMPRODUCT(MAX((tbl_Finance[Job Number]&amp;""=C66&amp;"")*(tbl_Finance[Xero Invoice No]&lt;&gt;"")*tbl_Finance[Date]))=0,"",SUMPRODUCT(MAX((tbl_Finance[Job Number]&amp;""=C66&amp;"")*(tbl_Finance[Xero Invoice No]&lt;&gt;"")*tbl_Finance[Date]))),""))</f>
        <v/>
      </c>
      <c r="B66" s="25">
        <f>IF(C66="","",IF(COUNTIFS(tbl_Finance[Job Number],C66&amp;"",tbl_Finance[Xero Invoice No],"&lt;&gt;")=0,"",IFERROR(IF(COUNTIFS(tbl_Finance[Job Number],C66&amp;"",tbl_Finance[Xero Invoice No],LOOKUP(2,1/((tbl_Finance[Job Number]&amp;""=C66&amp;"")*(tbl_Finance[Xero Invoice No]&lt;&gt;"")),tbl_Finance[Xero Invoice No]))=COUNTIFS(tbl_Finance[Job Number],C66&amp;"",tbl_Finance[Xero Invoice No],"&lt;&gt;"),LOOKUP(2,1/((tbl_Finance[Job Number]&amp;""=C66&amp;"")*(tbl_Finance[Xero Invoice No]&lt;&gt;"")),tbl_Finance[Xero Invoice No]),LOOKUP(2,1/((tbl_Finance[Job Number]&amp;""=C66&amp;"")*(tbl_Finance[Xero Invoice No]&lt;&gt;"")),tbl_Finance[Xero Invoice No])&amp;" +more"),"")))</f>
        <v/>
      </c>
      <c r="C66" s="24" t="n"/>
      <c r="D66" s="25">
        <f>IF(C66="","",IF(COUNTIF(lst_Jobs,C66&amp;"")&gt;0,"OK","CHECK"))</f>
        <v/>
      </c>
      <c r="E66" s="25">
        <f>IF(C66="","",IFERROR(INDEX(lst_JobName,MATCH(C66&amp;"",lst_Jobs,0)),""))</f>
        <v/>
      </c>
      <c r="F66" s="25">
        <f>IF(C66="","",IFERROR(INDEX(tbl_Finance[Client],IFERROR(MATCH(C66&amp;"",tbl_Finance[Job Number],0),MATCH(IFERROR(C66+0,C66),tbl_Finance[Job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6" t="n"/>
      <c r="L66" s="27">
        <f>IF(C66="","",IF(K66="",0,MAX(0,K66-H66)))</f>
        <v/>
      </c>
      <c r="M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N66" s="27">
        <f>IF(C66="","",SUMIFS(tbl_Finance[Inc GST],tbl_Finance[Job Number],C66&amp;""))</f>
        <v/>
      </c>
      <c r="O66" s="24" t="n"/>
      <c r="P66" s="25">
        <f>IF(C66="","",IFERROR(INDEX(tbl_Finance[Description],MATCH(C66&amp;"",tbl_Finance[Job Number],0)),""))</f>
        <v/>
      </c>
      <c r="Q66" s="24" t="n"/>
      <c r="R66" s="24" t="n"/>
      <c r="S66" s="22" t="n"/>
      <c r="T66" s="24" t="n"/>
      <c r="U66" s="25">
        <f>IF(T66="","",IF(AND(LEFT(T66,4)&lt;&gt;"http",set_RMSBase=""),"",HYPERLINK(IF(LEFT(T66,4)="http",T66,set_RMSBase&amp;T66),"Open opportunity")))</f>
        <v/>
      </c>
      <c r="V66" s="24" t="n"/>
      <c r="W66" s="25">
        <f>IF(V66="","",HYPERLINK(IF(LEFT(V66,4)="http",V66,set_QwilrBase&amp;V66),"Open quote"))</f>
        <v/>
      </c>
      <c r="X66" s="25">
        <f>IF(C66="","",C66)</f>
        <v/>
      </c>
      <c r="Y66" s="24" t="n"/>
      <c r="Z66" s="26" t="n"/>
      <c r="AA66" s="27">
        <f>IF(C66="","",H66+N(Z66))</f>
        <v/>
      </c>
      <c r="AB66" s="29">
        <f>IFERROR(Z66/AA66,"")</f>
        <v/>
      </c>
      <c r="AC66" s="26" t="n"/>
      <c r="AD66" s="26" t="n"/>
      <c r="AE66" s="26" t="n"/>
      <c r="AF66" s="26" t="n"/>
      <c r="AG66" s="27">
        <f>IF(C66="","",SUMIFS(tbl_Finance[Ex GST],tbl_Finance[Job Number],C66&amp;"",tbl_Finance[Cost Centre],"VIDEO"))</f>
        <v/>
      </c>
      <c r="AH66" s="29">
        <f>IFERROR(AG66/H66,"")</f>
        <v/>
      </c>
      <c r="AI66" s="27">
        <f>IF(C66="","",N(AC66)+N(AD66)+N(AE66)+N(AF66))</f>
        <v/>
      </c>
      <c r="AJ66" s="27">
        <f>IF(C66="","",H66+L66-AI66)</f>
        <v/>
      </c>
      <c r="AK66" s="29">
        <f>IFERROR(AJ66/(H66+L66),"")</f>
        <v/>
      </c>
      <c r="AL66" s="71" t="n"/>
      <c r="AM66" s="71" t="n"/>
      <c r="AN66" s="71" t="n"/>
      <c r="AO66" s="71" t="n"/>
      <c r="AP66" s="71" t="n"/>
      <c r="AQ66" s="24" t="n"/>
    </row>
    <row r="67" ht="15" customHeight="1">
      <c r="A67" s="70">
        <f>IF(C67="","",IFERROR(IF(SUMPRODUCT(MAX((tbl_Finance[Job Number]&amp;""=C67&amp;"")*(tbl_Finance[Xero Invoice No]&lt;&gt;"")*tbl_Finance[Date]))=0,"",SUMPRODUCT(MAX((tbl_Finance[Job Number]&amp;""=C67&amp;"")*(tbl_Finance[Xero Invoice No]&lt;&gt;"")*tbl_Finance[Date]))),""))</f>
        <v/>
      </c>
      <c r="B67" s="25">
        <f>IF(C67="","",IF(COUNTIFS(tbl_Finance[Job Number],C67&amp;"",tbl_Finance[Xero Invoice No],"&lt;&gt;")=0,"",IFERROR(IF(COUNTIFS(tbl_Finance[Job Number],C67&amp;"",tbl_Finance[Xero Invoice No],LOOKUP(2,1/((tbl_Finance[Job Number]&amp;""=C67&amp;"")*(tbl_Finance[Xero Invoice No]&lt;&gt;"")),tbl_Finance[Xero Invoice No]))=COUNTIFS(tbl_Finance[Job Number],C67&amp;"",tbl_Finance[Xero Invoice No],"&lt;&gt;"),LOOKUP(2,1/((tbl_Finance[Job Number]&amp;""=C67&amp;"")*(tbl_Finance[Xero Invoice No]&lt;&gt;"")),tbl_Finance[Xero Invoice No]),LOOKUP(2,1/((tbl_Finance[Job Number]&amp;""=C67&amp;"")*(tbl_Finance[Xero Invoice No]&lt;&gt;"")),tbl_Finance[Xero Invoice No])&amp;" +more"),"")))</f>
        <v/>
      </c>
      <c r="C67" s="24" t="n"/>
      <c r="D67" s="25">
        <f>IF(C67="","",IF(COUNTIF(lst_Jobs,C67&amp;"")&gt;0,"OK","CHECK"))</f>
        <v/>
      </c>
      <c r="E67" s="25">
        <f>IF(C67="","",IFERROR(INDEX(lst_JobName,MATCH(C67&amp;"",lst_Jobs,0)),""))</f>
        <v/>
      </c>
      <c r="F67" s="25">
        <f>IF(C67="","",IFERROR(INDEX(tbl_Finance[Client],IFERROR(MATCH(C67&amp;"",tbl_Finance[Job Number],0),MATCH(IFERROR(C67+0,C67),tbl_Finance[Job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6" t="n"/>
      <c r="L67" s="27">
        <f>IF(C67="","",IF(K67="",0,MAX(0,K67-H67)))</f>
        <v/>
      </c>
      <c r="M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N67" s="27">
        <f>IF(C67="","",SUMIFS(tbl_Finance[Inc GST],tbl_Finance[Job Number],C67&amp;""))</f>
        <v/>
      </c>
      <c r="O67" s="24" t="n"/>
      <c r="P67" s="25">
        <f>IF(C67="","",IFERROR(INDEX(tbl_Finance[Description],MATCH(C67&amp;"",tbl_Finance[Job Number],0)),""))</f>
        <v/>
      </c>
      <c r="Q67" s="24" t="n"/>
      <c r="R67" s="24" t="n"/>
      <c r="S67" s="22" t="n"/>
      <c r="T67" s="24" t="n"/>
      <c r="U67" s="25">
        <f>IF(T67="","",IF(AND(LEFT(T67,4)&lt;&gt;"http",set_RMSBase=""),"",HYPERLINK(IF(LEFT(T67,4)="http",T67,set_RMSBase&amp;T67),"Open opportunity")))</f>
        <v/>
      </c>
      <c r="V67" s="24" t="n"/>
      <c r="W67" s="25">
        <f>IF(V67="","",HYPERLINK(IF(LEFT(V67,4)="http",V67,set_QwilrBase&amp;V67),"Open quote"))</f>
        <v/>
      </c>
      <c r="X67" s="25">
        <f>IF(C67="","",C67)</f>
        <v/>
      </c>
      <c r="Y67" s="24" t="n"/>
      <c r="Z67" s="26" t="n"/>
      <c r="AA67" s="27">
        <f>IF(C67="","",H67+N(Z67))</f>
        <v/>
      </c>
      <c r="AB67" s="29">
        <f>IFERROR(Z67/AA67,"")</f>
        <v/>
      </c>
      <c r="AC67" s="26" t="n"/>
      <c r="AD67" s="26" t="n"/>
      <c r="AE67" s="26" t="n"/>
      <c r="AF67" s="26" t="n"/>
      <c r="AG67" s="27">
        <f>IF(C67="","",SUMIFS(tbl_Finance[Ex GST],tbl_Finance[Job Number],C67&amp;"",tbl_Finance[Cost Centre],"VIDEO"))</f>
        <v/>
      </c>
      <c r="AH67" s="29">
        <f>IFERROR(AG67/H67,"")</f>
        <v/>
      </c>
      <c r="AI67" s="27">
        <f>IF(C67="","",N(AC67)+N(AD67)+N(AE67)+N(AF67))</f>
        <v/>
      </c>
      <c r="AJ67" s="27">
        <f>IF(C67="","",H67+L67-AI67)</f>
        <v/>
      </c>
      <c r="AK67" s="29">
        <f>IFERROR(AJ67/(H67+L67),"")</f>
        <v/>
      </c>
      <c r="AL67" s="71" t="n"/>
      <c r="AM67" s="71" t="n"/>
      <c r="AN67" s="71" t="n"/>
      <c r="AO67" s="71" t="n"/>
      <c r="AP67" s="71" t="n"/>
      <c r="AQ67" s="24" t="n"/>
    </row>
    <row r="68" ht="15" customHeight="1">
      <c r="A68" s="70">
        <f>IF(C68="","",IFERROR(IF(SUMPRODUCT(MAX((tbl_Finance[Job Number]&amp;""=C68&amp;"")*(tbl_Finance[Xero Invoice No]&lt;&gt;"")*tbl_Finance[Date]))=0,"",SUMPRODUCT(MAX((tbl_Finance[Job Number]&amp;""=C68&amp;"")*(tbl_Finance[Xero Invoice No]&lt;&gt;"")*tbl_Finance[Date]))),""))</f>
        <v/>
      </c>
      <c r="B68" s="25">
        <f>IF(C68="","",IF(COUNTIFS(tbl_Finance[Job Number],C68&amp;"",tbl_Finance[Xero Invoice No],"&lt;&gt;")=0,"",IFERROR(IF(COUNTIFS(tbl_Finance[Job Number],C68&amp;"",tbl_Finance[Xero Invoice No],LOOKUP(2,1/((tbl_Finance[Job Number]&amp;""=C68&amp;"")*(tbl_Finance[Xero Invoice No]&lt;&gt;"")),tbl_Finance[Xero Invoice No]))=COUNTIFS(tbl_Finance[Job Number],C68&amp;"",tbl_Finance[Xero Invoice No],"&lt;&gt;"),LOOKUP(2,1/((tbl_Finance[Job Number]&amp;""=C68&amp;"")*(tbl_Finance[Xero Invoice No]&lt;&gt;"")),tbl_Finance[Xero Invoice No]),LOOKUP(2,1/((tbl_Finance[Job Number]&amp;""=C68&amp;"")*(tbl_Finance[Xero Invoice No]&lt;&gt;"")),tbl_Finance[Xero Invoice No])&amp;" +more"),"")))</f>
        <v/>
      </c>
      <c r="C68" s="24" t="n"/>
      <c r="D68" s="25">
        <f>IF(C68="","",IF(COUNTIF(lst_Jobs,C68&amp;"")&gt;0,"OK","CHECK"))</f>
        <v/>
      </c>
      <c r="E68" s="25">
        <f>IF(C68="","",IFERROR(INDEX(lst_JobName,MATCH(C68&amp;"",lst_Jobs,0)),""))</f>
        <v/>
      </c>
      <c r="F68" s="25">
        <f>IF(C68="","",IFERROR(INDEX(tbl_Finance[Client],IFERROR(MATCH(C68&amp;"",tbl_Finance[Job Number],0),MATCH(IFERROR(C68+0,C68),tbl_Finance[Job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6" t="n"/>
      <c r="L68" s="27">
        <f>IF(C68="","",IF(K68="",0,MAX(0,K68-H68)))</f>
        <v/>
      </c>
      <c r="M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N68" s="27">
        <f>IF(C68="","",SUMIFS(tbl_Finance[Inc GST],tbl_Finance[Job Number],C68&amp;""))</f>
        <v/>
      </c>
      <c r="O68" s="24" t="n"/>
      <c r="P68" s="25">
        <f>IF(C68="","",IFERROR(INDEX(tbl_Finance[Description],MATCH(C68&amp;"",tbl_Finance[Job Number],0)),""))</f>
        <v/>
      </c>
      <c r="Q68" s="24" t="n"/>
      <c r="R68" s="24" t="n"/>
      <c r="S68" s="22" t="n"/>
      <c r="T68" s="24" t="n"/>
      <c r="U68" s="25">
        <f>IF(T68="","",IF(AND(LEFT(T68,4)&lt;&gt;"http",set_RMSBase=""),"",HYPERLINK(IF(LEFT(T68,4)="http",T68,set_RMSBase&amp;T68),"Open opportunity")))</f>
        <v/>
      </c>
      <c r="V68" s="24" t="n"/>
      <c r="W68" s="25">
        <f>IF(V68="","",HYPERLINK(IF(LEFT(V68,4)="http",V68,set_QwilrBase&amp;V68),"Open quote"))</f>
        <v/>
      </c>
      <c r="X68" s="25">
        <f>IF(C68="","",C68)</f>
        <v/>
      </c>
      <c r="Y68" s="24" t="n"/>
      <c r="Z68" s="26" t="n"/>
      <c r="AA68" s="27">
        <f>IF(C68="","",H68+N(Z68))</f>
        <v/>
      </c>
      <c r="AB68" s="29">
        <f>IFERROR(Z68/AA68,"")</f>
        <v/>
      </c>
      <c r="AC68" s="26" t="n"/>
      <c r="AD68" s="26" t="n"/>
      <c r="AE68" s="26" t="n"/>
      <c r="AF68" s="26" t="n"/>
      <c r="AG68" s="27">
        <f>IF(C68="","",SUMIFS(tbl_Finance[Ex GST],tbl_Finance[Job Number],C68&amp;"",tbl_Finance[Cost Centre],"VIDEO"))</f>
        <v/>
      </c>
      <c r="AH68" s="29">
        <f>IFERROR(AG68/H68,"")</f>
        <v/>
      </c>
      <c r="AI68" s="27">
        <f>IF(C68="","",N(AC68)+N(AD68)+N(AE68)+N(AF68))</f>
        <v/>
      </c>
      <c r="AJ68" s="27">
        <f>IF(C68="","",H68+L68-AI68)</f>
        <v/>
      </c>
      <c r="AK68" s="29">
        <f>IFERROR(AJ68/(H68+L68),"")</f>
        <v/>
      </c>
      <c r="AL68" s="71" t="n"/>
      <c r="AM68" s="71" t="n"/>
      <c r="AN68" s="71" t="n"/>
      <c r="AO68" s="71" t="n"/>
      <c r="AP68" s="71" t="n"/>
      <c r="AQ68" s="24" t="n"/>
    </row>
    <row r="69" ht="15" customHeight="1">
      <c r="A69" s="70">
        <f>IF(C69="","",IFERROR(IF(SUMPRODUCT(MAX((tbl_Finance[Job Number]&amp;""=C69&amp;"")*(tbl_Finance[Xero Invoice No]&lt;&gt;"")*tbl_Finance[Date]))=0,"",SUMPRODUCT(MAX((tbl_Finance[Job Number]&amp;""=C69&amp;"")*(tbl_Finance[Xero Invoice No]&lt;&gt;"")*tbl_Finance[Date]))),""))</f>
        <v/>
      </c>
      <c r="B69" s="25">
        <f>IF(C69="","",IF(COUNTIFS(tbl_Finance[Job Number],C69&amp;"",tbl_Finance[Xero Invoice No],"&lt;&gt;")=0,"",IFERROR(IF(COUNTIFS(tbl_Finance[Job Number],C69&amp;"",tbl_Finance[Xero Invoice No],LOOKUP(2,1/((tbl_Finance[Job Number]&amp;""=C69&amp;"")*(tbl_Finance[Xero Invoice No]&lt;&gt;"")),tbl_Finance[Xero Invoice No]))=COUNTIFS(tbl_Finance[Job Number],C69&amp;"",tbl_Finance[Xero Invoice No],"&lt;&gt;"),LOOKUP(2,1/((tbl_Finance[Job Number]&amp;""=C69&amp;"")*(tbl_Finance[Xero Invoice No]&lt;&gt;"")),tbl_Finance[Xero Invoice No]),LOOKUP(2,1/((tbl_Finance[Job Number]&amp;""=C69&amp;"")*(tbl_Finance[Xero Invoice No]&lt;&gt;"")),tbl_Finance[Xero Invoice No])&amp;" +more"),"")))</f>
        <v/>
      </c>
      <c r="C69" s="24" t="n"/>
      <c r="D69" s="25">
        <f>IF(C69="","",IF(COUNTIF(lst_Jobs,C69&amp;"")&gt;0,"OK","CHECK"))</f>
        <v/>
      </c>
      <c r="E69" s="25">
        <f>IF(C69="","",IFERROR(INDEX(lst_JobName,MATCH(C69&amp;"",lst_Jobs,0)),""))</f>
        <v/>
      </c>
      <c r="F69" s="25">
        <f>IF(C69="","",IFERROR(INDEX(tbl_Finance[Client],IFERROR(MATCH(C69&amp;"",tbl_Finance[Job Number],0),MATCH(IFERROR(C69+0,C69),tbl_Finance[Job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6" t="n"/>
      <c r="L69" s="27">
        <f>IF(C69="","",IF(K69="",0,MAX(0,K69-H69)))</f>
        <v/>
      </c>
      <c r="M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N69" s="27">
        <f>IF(C69="","",SUMIFS(tbl_Finance[Inc GST],tbl_Finance[Job Number],C69&amp;""))</f>
        <v/>
      </c>
      <c r="O69" s="24" t="n"/>
      <c r="P69" s="25">
        <f>IF(C69="","",IFERROR(INDEX(tbl_Finance[Description],MATCH(C69&amp;"",tbl_Finance[Job Number],0)),""))</f>
        <v/>
      </c>
      <c r="Q69" s="24" t="n"/>
      <c r="R69" s="24" t="n"/>
      <c r="S69" s="22" t="n"/>
      <c r="T69" s="24" t="n"/>
      <c r="U69" s="25">
        <f>IF(T69="","",IF(AND(LEFT(T69,4)&lt;&gt;"http",set_RMSBase=""),"",HYPERLINK(IF(LEFT(T69,4)="http",T69,set_RMSBase&amp;T69),"Open opportunity")))</f>
        <v/>
      </c>
      <c r="V69" s="24" t="n"/>
      <c r="W69" s="25">
        <f>IF(V69="","",HYPERLINK(IF(LEFT(V69,4)="http",V69,set_QwilrBase&amp;V69),"Open quote"))</f>
        <v/>
      </c>
      <c r="X69" s="25">
        <f>IF(C69="","",C69)</f>
        <v/>
      </c>
      <c r="Y69" s="24" t="n"/>
      <c r="Z69" s="26" t="n"/>
      <c r="AA69" s="27">
        <f>IF(C69="","",H69+N(Z69))</f>
        <v/>
      </c>
      <c r="AB69" s="29">
        <f>IFERROR(Z69/AA69,"")</f>
        <v/>
      </c>
      <c r="AC69" s="26" t="n"/>
      <c r="AD69" s="26" t="n"/>
      <c r="AE69" s="26" t="n"/>
      <c r="AF69" s="26" t="n"/>
      <c r="AG69" s="27">
        <f>IF(C69="","",SUMIFS(tbl_Finance[Ex GST],tbl_Finance[Job Number],C69&amp;"",tbl_Finance[Cost Centre],"VIDEO"))</f>
        <v/>
      </c>
      <c r="AH69" s="29">
        <f>IFERROR(AG69/H69,"")</f>
        <v/>
      </c>
      <c r="AI69" s="27">
        <f>IF(C69="","",N(AC69)+N(AD69)+N(AE69)+N(AF69))</f>
        <v/>
      </c>
      <c r="AJ69" s="27">
        <f>IF(C69="","",H69+L69-AI69)</f>
        <v/>
      </c>
      <c r="AK69" s="29">
        <f>IFERROR(AJ69/(H69+L69),"")</f>
        <v/>
      </c>
      <c r="AL69" s="71" t="n"/>
      <c r="AM69" s="71" t="n"/>
      <c r="AN69" s="71" t="n"/>
      <c r="AO69" s="71" t="n"/>
      <c r="AP69" s="71" t="n"/>
      <c r="AQ69" s="24" t="n"/>
    </row>
    <row r="70" ht="15" customHeight="1">
      <c r="A70" s="70">
        <f>IF(C70="","",IFERROR(IF(SUMPRODUCT(MAX((tbl_Finance[Job Number]&amp;""=C70&amp;"")*(tbl_Finance[Xero Invoice No]&lt;&gt;"")*tbl_Finance[Date]))=0,"",SUMPRODUCT(MAX((tbl_Finance[Job Number]&amp;""=C70&amp;"")*(tbl_Finance[Xero Invoice No]&lt;&gt;"")*tbl_Finance[Date]))),""))</f>
        <v/>
      </c>
      <c r="B70" s="25">
        <f>IF(C70="","",IF(COUNTIFS(tbl_Finance[Job Number],C70&amp;"",tbl_Finance[Xero Invoice No],"&lt;&gt;")=0,"",IFERROR(IF(COUNTIFS(tbl_Finance[Job Number],C70&amp;"",tbl_Finance[Xero Invoice No],LOOKUP(2,1/((tbl_Finance[Job Number]&amp;""=C70&amp;"")*(tbl_Finance[Xero Invoice No]&lt;&gt;"")),tbl_Finance[Xero Invoice No]))=COUNTIFS(tbl_Finance[Job Number],C70&amp;"",tbl_Finance[Xero Invoice No],"&lt;&gt;"),LOOKUP(2,1/((tbl_Finance[Job Number]&amp;""=C70&amp;"")*(tbl_Finance[Xero Invoice No]&lt;&gt;"")),tbl_Finance[Xero Invoice No]),LOOKUP(2,1/((tbl_Finance[Job Number]&amp;""=C70&amp;"")*(tbl_Finance[Xero Invoice No]&lt;&gt;"")),tbl_Finance[Xero Invoice No])&amp;" +more"),"")))</f>
        <v/>
      </c>
      <c r="C70" s="24" t="n"/>
      <c r="D70" s="25">
        <f>IF(C70="","",IF(COUNTIF(lst_Jobs,C70&amp;"")&gt;0,"OK","CHECK"))</f>
        <v/>
      </c>
      <c r="E70" s="25">
        <f>IF(C70="","",IFERROR(INDEX(lst_JobName,MATCH(C70&amp;"",lst_Jobs,0)),""))</f>
        <v/>
      </c>
      <c r="F70" s="25">
        <f>IF(C70="","",IFERROR(INDEX(tbl_Finance[Client],IFERROR(MATCH(C70&amp;"",tbl_Finance[Job Number],0),MATCH(IFERROR(C70+0,C70),tbl_Finance[Job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6" t="n"/>
      <c r="L70" s="27">
        <f>IF(C70="","",IF(K70="",0,MAX(0,K70-H70)))</f>
        <v/>
      </c>
      <c r="M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N70" s="27">
        <f>IF(C70="","",SUMIFS(tbl_Finance[Inc GST],tbl_Finance[Job Number],C70&amp;""))</f>
        <v/>
      </c>
      <c r="O70" s="24" t="n"/>
      <c r="P70" s="25">
        <f>IF(C70="","",IFERROR(INDEX(tbl_Finance[Description],MATCH(C70&amp;"",tbl_Finance[Job Number],0)),""))</f>
        <v/>
      </c>
      <c r="Q70" s="24" t="n"/>
      <c r="R70" s="24" t="n"/>
      <c r="S70" s="22" t="n"/>
      <c r="T70" s="24" t="n"/>
      <c r="U70" s="25">
        <f>IF(T70="","",IF(AND(LEFT(T70,4)&lt;&gt;"http",set_RMSBase=""),"",HYPERLINK(IF(LEFT(T70,4)="http",T70,set_RMSBase&amp;T70),"Open opportunity")))</f>
        <v/>
      </c>
      <c r="V70" s="24" t="n"/>
      <c r="W70" s="25">
        <f>IF(V70="","",HYPERLINK(IF(LEFT(V70,4)="http",V70,set_QwilrBase&amp;V70),"Open quote"))</f>
        <v/>
      </c>
      <c r="X70" s="25">
        <f>IF(C70="","",C70)</f>
        <v/>
      </c>
      <c r="Y70" s="24" t="n"/>
      <c r="Z70" s="26" t="n"/>
      <c r="AA70" s="27">
        <f>IF(C70="","",H70+N(Z70))</f>
        <v/>
      </c>
      <c r="AB70" s="29">
        <f>IFERROR(Z70/AA70,"")</f>
        <v/>
      </c>
      <c r="AC70" s="26" t="n"/>
      <c r="AD70" s="26" t="n"/>
      <c r="AE70" s="26" t="n"/>
      <c r="AF70" s="26" t="n"/>
      <c r="AG70" s="27">
        <f>IF(C70="","",SUMIFS(tbl_Finance[Ex GST],tbl_Finance[Job Number],C70&amp;"",tbl_Finance[Cost Centre],"VIDEO"))</f>
        <v/>
      </c>
      <c r="AH70" s="29">
        <f>IFERROR(AG70/H70,"")</f>
        <v/>
      </c>
      <c r="AI70" s="27">
        <f>IF(C70="","",N(AC70)+N(AD70)+N(AE70)+N(AF70))</f>
        <v/>
      </c>
      <c r="AJ70" s="27">
        <f>IF(C70="","",H70+L70-AI70)</f>
        <v/>
      </c>
      <c r="AK70" s="29">
        <f>IFERROR(AJ70/(H70+L70),"")</f>
        <v/>
      </c>
      <c r="AL70" s="71" t="n"/>
      <c r="AM70" s="71" t="n"/>
      <c r="AN70" s="71" t="n"/>
      <c r="AO70" s="71" t="n"/>
      <c r="AP70" s="71" t="n"/>
      <c r="AQ70" s="24" t="n"/>
    </row>
    <row r="71" ht="15" customHeight="1">
      <c r="A71" s="70">
        <f>IF(C71="","",IFERROR(IF(SUMPRODUCT(MAX((tbl_Finance[Job Number]&amp;""=C71&amp;"")*(tbl_Finance[Xero Invoice No]&lt;&gt;"")*tbl_Finance[Date]))=0,"",SUMPRODUCT(MAX((tbl_Finance[Job Number]&amp;""=C71&amp;"")*(tbl_Finance[Xero Invoice No]&lt;&gt;"")*tbl_Finance[Date]))),""))</f>
        <v/>
      </c>
      <c r="B71" s="25">
        <f>IF(C71="","",IF(COUNTIFS(tbl_Finance[Job Number],C71&amp;"",tbl_Finance[Xero Invoice No],"&lt;&gt;")=0,"",IFERROR(IF(COUNTIFS(tbl_Finance[Job Number],C71&amp;"",tbl_Finance[Xero Invoice No],LOOKUP(2,1/((tbl_Finance[Job Number]&amp;""=C71&amp;"")*(tbl_Finance[Xero Invoice No]&lt;&gt;"")),tbl_Finance[Xero Invoice No]))=COUNTIFS(tbl_Finance[Job Number],C71&amp;"",tbl_Finance[Xero Invoice No],"&lt;&gt;"),LOOKUP(2,1/((tbl_Finance[Job Number]&amp;""=C71&amp;"")*(tbl_Finance[Xero Invoice No]&lt;&gt;"")),tbl_Finance[Xero Invoice No]),LOOKUP(2,1/((tbl_Finance[Job Number]&amp;""=C71&amp;"")*(tbl_Finance[Xero Invoice No]&lt;&gt;"")),tbl_Finance[Xero Invoice No])&amp;" +more"),"")))</f>
        <v/>
      </c>
      <c r="C71" s="24" t="n"/>
      <c r="D71" s="25">
        <f>IF(C71="","",IF(COUNTIF(lst_Jobs,C71&amp;"")&gt;0,"OK","CHECK"))</f>
        <v/>
      </c>
      <c r="E71" s="25">
        <f>IF(C71="","",IFERROR(INDEX(lst_JobName,MATCH(C71&amp;"",lst_Jobs,0)),""))</f>
        <v/>
      </c>
      <c r="F71" s="25">
        <f>IF(C71="","",IFERROR(INDEX(tbl_Finance[Client],IFERROR(MATCH(C71&amp;"",tbl_Finance[Job Number],0),MATCH(IFERROR(C71+0,C71),tbl_Finance[Job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6" t="n"/>
      <c r="L71" s="27">
        <f>IF(C71="","",IF(K71="",0,MAX(0,K71-H71)))</f>
        <v/>
      </c>
      <c r="M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N71" s="27">
        <f>IF(C71="","",SUMIFS(tbl_Finance[Inc GST],tbl_Finance[Job Number],C71&amp;""))</f>
        <v/>
      </c>
      <c r="O71" s="24" t="n"/>
      <c r="P71" s="25">
        <f>IF(C71="","",IFERROR(INDEX(tbl_Finance[Description],MATCH(C71&amp;"",tbl_Finance[Job Number],0)),""))</f>
        <v/>
      </c>
      <c r="Q71" s="24" t="n"/>
      <c r="R71" s="24" t="n"/>
      <c r="S71" s="22" t="n"/>
      <c r="T71" s="24" t="n"/>
      <c r="U71" s="25">
        <f>IF(T71="","",IF(AND(LEFT(T71,4)&lt;&gt;"http",set_RMSBase=""),"",HYPERLINK(IF(LEFT(T71,4)="http",T71,set_RMSBase&amp;T71),"Open opportunity")))</f>
        <v/>
      </c>
      <c r="V71" s="24" t="n"/>
      <c r="W71" s="25">
        <f>IF(V71="","",HYPERLINK(IF(LEFT(V71,4)="http",V71,set_QwilrBase&amp;V71),"Open quote"))</f>
        <v/>
      </c>
      <c r="X71" s="25">
        <f>IF(C71="","",C71)</f>
        <v/>
      </c>
      <c r="Y71" s="24" t="n"/>
      <c r="Z71" s="26" t="n"/>
      <c r="AA71" s="27">
        <f>IF(C71="","",H71+N(Z71))</f>
        <v/>
      </c>
      <c r="AB71" s="29">
        <f>IFERROR(Z71/AA71,"")</f>
        <v/>
      </c>
      <c r="AC71" s="26" t="n"/>
      <c r="AD71" s="26" t="n"/>
      <c r="AE71" s="26" t="n"/>
      <c r="AF71" s="26" t="n"/>
      <c r="AG71" s="27">
        <f>IF(C71="","",SUMIFS(tbl_Finance[Ex GST],tbl_Finance[Job Number],C71&amp;"",tbl_Finance[Cost Centre],"VIDEO"))</f>
        <v/>
      </c>
      <c r="AH71" s="29">
        <f>IFERROR(AG71/H71,"")</f>
        <v/>
      </c>
      <c r="AI71" s="27">
        <f>IF(C71="","",N(AC71)+N(AD71)+N(AE71)+N(AF71))</f>
        <v/>
      </c>
      <c r="AJ71" s="27">
        <f>IF(C71="","",H71+L71-AI71)</f>
        <v/>
      </c>
      <c r="AK71" s="29">
        <f>IFERROR(AJ71/(H71+L71),"")</f>
        <v/>
      </c>
      <c r="AL71" s="71" t="n"/>
      <c r="AM71" s="71" t="n"/>
      <c r="AN71" s="71" t="n"/>
      <c r="AO71" s="71" t="n"/>
      <c r="AP71" s="71" t="n"/>
      <c r="AQ71" s="24" t="n"/>
    </row>
    <row r="72" ht="15" customHeight="1">
      <c r="A72" s="70">
        <f>IF(C72="","",IFERROR(IF(SUMPRODUCT(MAX((tbl_Finance[Job Number]&amp;""=C72&amp;"")*(tbl_Finance[Xero Invoice No]&lt;&gt;"")*tbl_Finance[Date]))=0,"",SUMPRODUCT(MAX((tbl_Finance[Job Number]&amp;""=C72&amp;"")*(tbl_Finance[Xero Invoice No]&lt;&gt;"")*tbl_Finance[Date]))),""))</f>
        <v/>
      </c>
      <c r="B72" s="25">
        <f>IF(C72="","",IF(COUNTIFS(tbl_Finance[Job Number],C72&amp;"",tbl_Finance[Xero Invoice No],"&lt;&gt;")=0,"",IFERROR(IF(COUNTIFS(tbl_Finance[Job Number],C72&amp;"",tbl_Finance[Xero Invoice No],LOOKUP(2,1/((tbl_Finance[Job Number]&amp;""=C72&amp;"")*(tbl_Finance[Xero Invoice No]&lt;&gt;"")),tbl_Finance[Xero Invoice No]))=COUNTIFS(tbl_Finance[Job Number],C72&amp;"",tbl_Finance[Xero Invoice No],"&lt;&gt;"),LOOKUP(2,1/((tbl_Finance[Job Number]&amp;""=C72&amp;"")*(tbl_Finance[Xero Invoice No]&lt;&gt;"")),tbl_Finance[Xero Invoice No]),LOOKUP(2,1/((tbl_Finance[Job Number]&amp;""=C72&amp;"")*(tbl_Finance[Xero Invoice No]&lt;&gt;"")),tbl_Finance[Xero Invoice No])&amp;" +more"),"")))</f>
        <v/>
      </c>
      <c r="C72" s="24" t="n"/>
      <c r="D72" s="25">
        <f>IF(C72="","",IF(COUNTIF(lst_Jobs,C72&amp;"")&gt;0,"OK","CHECK"))</f>
        <v/>
      </c>
      <c r="E72" s="25">
        <f>IF(C72="","",IFERROR(INDEX(lst_JobName,MATCH(C72&amp;"",lst_Jobs,0)),""))</f>
        <v/>
      </c>
      <c r="F72" s="25">
        <f>IF(C72="","",IFERROR(INDEX(tbl_Finance[Client],IFERROR(MATCH(C72&amp;"",tbl_Finance[Job Number],0),MATCH(IFERROR(C72+0,C72),tbl_Finance[Job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6" t="n"/>
      <c r="L72" s="27">
        <f>IF(C72="","",IF(K72="",0,MAX(0,K72-H72)))</f>
        <v/>
      </c>
      <c r="M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N72" s="27">
        <f>IF(C72="","",SUMIFS(tbl_Finance[Inc GST],tbl_Finance[Job Number],C72&amp;""))</f>
        <v/>
      </c>
      <c r="O72" s="24" t="n"/>
      <c r="P72" s="25">
        <f>IF(C72="","",IFERROR(INDEX(tbl_Finance[Description],MATCH(C72&amp;"",tbl_Finance[Job Number],0)),""))</f>
        <v/>
      </c>
      <c r="Q72" s="24" t="n"/>
      <c r="R72" s="24" t="n"/>
      <c r="S72" s="22" t="n"/>
      <c r="T72" s="24" t="n"/>
      <c r="U72" s="25">
        <f>IF(T72="","",IF(AND(LEFT(T72,4)&lt;&gt;"http",set_RMSBase=""),"",HYPERLINK(IF(LEFT(T72,4)="http",T72,set_RMSBase&amp;T72),"Open opportunity")))</f>
        <v/>
      </c>
      <c r="V72" s="24" t="n"/>
      <c r="W72" s="25">
        <f>IF(V72="","",HYPERLINK(IF(LEFT(V72,4)="http",V72,set_QwilrBase&amp;V72),"Open quote"))</f>
        <v/>
      </c>
      <c r="X72" s="25">
        <f>IF(C72="","",C72)</f>
        <v/>
      </c>
      <c r="Y72" s="24" t="n"/>
      <c r="Z72" s="26" t="n"/>
      <c r="AA72" s="27">
        <f>IF(C72="","",H72+N(Z72))</f>
        <v/>
      </c>
      <c r="AB72" s="29">
        <f>IFERROR(Z72/AA72,"")</f>
        <v/>
      </c>
      <c r="AC72" s="26" t="n"/>
      <c r="AD72" s="26" t="n"/>
      <c r="AE72" s="26" t="n"/>
      <c r="AF72" s="26" t="n"/>
      <c r="AG72" s="27">
        <f>IF(C72="","",SUMIFS(tbl_Finance[Ex GST],tbl_Finance[Job Number],C72&amp;"",tbl_Finance[Cost Centre],"VIDEO"))</f>
        <v/>
      </c>
      <c r="AH72" s="29">
        <f>IFERROR(AG72/H72,"")</f>
        <v/>
      </c>
      <c r="AI72" s="27">
        <f>IF(C72="","",N(AC72)+N(AD72)+N(AE72)+N(AF72))</f>
        <v/>
      </c>
      <c r="AJ72" s="27">
        <f>IF(C72="","",H72+L72-AI72)</f>
        <v/>
      </c>
      <c r="AK72" s="29">
        <f>IFERROR(AJ72/(H72+L72),"")</f>
        <v/>
      </c>
      <c r="AL72" s="71" t="n"/>
      <c r="AM72" s="71" t="n"/>
      <c r="AN72" s="71" t="n"/>
      <c r="AO72" s="71" t="n"/>
      <c r="AP72" s="71" t="n"/>
      <c r="AQ72" s="24" t="n"/>
    </row>
    <row r="73" ht="15" customHeight="1">
      <c r="A73" s="70">
        <f>IF(C73="","",IFERROR(IF(SUMPRODUCT(MAX((tbl_Finance[Job Number]&amp;""=C73&amp;"")*(tbl_Finance[Xero Invoice No]&lt;&gt;"")*tbl_Finance[Date]))=0,"",SUMPRODUCT(MAX((tbl_Finance[Job Number]&amp;""=C73&amp;"")*(tbl_Finance[Xero Invoice No]&lt;&gt;"")*tbl_Finance[Date]))),""))</f>
        <v/>
      </c>
      <c r="B73" s="25">
        <f>IF(C73="","",IF(COUNTIFS(tbl_Finance[Job Number],C73&amp;"",tbl_Finance[Xero Invoice No],"&lt;&gt;")=0,"",IFERROR(IF(COUNTIFS(tbl_Finance[Job Number],C73&amp;"",tbl_Finance[Xero Invoice No],LOOKUP(2,1/((tbl_Finance[Job Number]&amp;""=C73&amp;"")*(tbl_Finance[Xero Invoice No]&lt;&gt;"")),tbl_Finance[Xero Invoice No]))=COUNTIFS(tbl_Finance[Job Number],C73&amp;"",tbl_Finance[Xero Invoice No],"&lt;&gt;"),LOOKUP(2,1/((tbl_Finance[Job Number]&amp;""=C73&amp;"")*(tbl_Finance[Xero Invoice No]&lt;&gt;"")),tbl_Finance[Xero Invoice No]),LOOKUP(2,1/((tbl_Finance[Job Number]&amp;""=C73&amp;"")*(tbl_Finance[Xero Invoice No]&lt;&gt;"")),tbl_Finance[Xero Invoice No])&amp;" +more"),"")))</f>
        <v/>
      </c>
      <c r="C73" s="24" t="n"/>
      <c r="D73" s="25">
        <f>IF(C73="","",IF(COUNTIF(lst_Jobs,C73&amp;"")&gt;0,"OK","CHECK"))</f>
        <v/>
      </c>
      <c r="E73" s="25">
        <f>IF(C73="","",IFERROR(INDEX(lst_JobName,MATCH(C73&amp;"",lst_Jobs,0)),""))</f>
        <v/>
      </c>
      <c r="F73" s="25">
        <f>IF(C73="","",IFERROR(INDEX(tbl_Finance[Client],IFERROR(MATCH(C73&amp;"",tbl_Finance[Job Number],0),MATCH(IFERROR(C73+0,C73),tbl_Finance[Job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6" t="n"/>
      <c r="L73" s="27">
        <f>IF(C73="","",IF(K73="",0,MAX(0,K73-H73)))</f>
        <v/>
      </c>
      <c r="M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N73" s="27">
        <f>IF(C73="","",SUMIFS(tbl_Finance[Inc GST],tbl_Finance[Job Number],C73&amp;""))</f>
        <v/>
      </c>
      <c r="O73" s="24" t="n"/>
      <c r="P73" s="25">
        <f>IF(C73="","",IFERROR(INDEX(tbl_Finance[Description],MATCH(C73&amp;"",tbl_Finance[Job Number],0)),""))</f>
        <v/>
      </c>
      <c r="Q73" s="24" t="n"/>
      <c r="R73" s="24" t="n"/>
      <c r="S73" s="22" t="n"/>
      <c r="T73" s="24" t="n"/>
      <c r="U73" s="25">
        <f>IF(T73="","",IF(AND(LEFT(T73,4)&lt;&gt;"http",set_RMSBase=""),"",HYPERLINK(IF(LEFT(T73,4)="http",T73,set_RMSBase&amp;T73),"Open opportunity")))</f>
        <v/>
      </c>
      <c r="V73" s="24" t="n"/>
      <c r="W73" s="25">
        <f>IF(V73="","",HYPERLINK(IF(LEFT(V73,4)="http",V73,set_QwilrBase&amp;V73),"Open quote"))</f>
        <v/>
      </c>
      <c r="X73" s="25">
        <f>IF(C73="","",C73)</f>
        <v/>
      </c>
      <c r="Y73" s="24" t="n"/>
      <c r="Z73" s="26" t="n"/>
      <c r="AA73" s="27">
        <f>IF(C73="","",H73+N(Z73))</f>
        <v/>
      </c>
      <c r="AB73" s="29">
        <f>IFERROR(Z73/AA73,"")</f>
        <v/>
      </c>
      <c r="AC73" s="26" t="n"/>
      <c r="AD73" s="26" t="n"/>
      <c r="AE73" s="26" t="n"/>
      <c r="AF73" s="26" t="n"/>
      <c r="AG73" s="27">
        <f>IF(C73="","",SUMIFS(tbl_Finance[Ex GST],tbl_Finance[Job Number],C73&amp;"",tbl_Finance[Cost Centre],"VIDEO"))</f>
        <v/>
      </c>
      <c r="AH73" s="29">
        <f>IFERROR(AG73/H73,"")</f>
        <v/>
      </c>
      <c r="AI73" s="27">
        <f>IF(C73="","",N(AC73)+N(AD73)+N(AE73)+N(AF73))</f>
        <v/>
      </c>
      <c r="AJ73" s="27">
        <f>IF(C73="","",H73+L73-AI73)</f>
        <v/>
      </c>
      <c r="AK73" s="29">
        <f>IFERROR(AJ73/(H73+L73),"")</f>
        <v/>
      </c>
      <c r="AL73" s="71" t="n"/>
      <c r="AM73" s="71" t="n"/>
      <c r="AN73" s="71" t="n"/>
      <c r="AO73" s="71" t="n"/>
      <c r="AP73" s="71" t="n"/>
      <c r="AQ73" s="24" t="n"/>
    </row>
    <row r="74" ht="15" customHeight="1">
      <c r="A74" s="70">
        <f>IF(C74="","",IFERROR(IF(SUMPRODUCT(MAX((tbl_Finance[Job Number]&amp;""=C74&amp;"")*(tbl_Finance[Xero Invoice No]&lt;&gt;"")*tbl_Finance[Date]))=0,"",SUMPRODUCT(MAX((tbl_Finance[Job Number]&amp;""=C74&amp;"")*(tbl_Finance[Xero Invoice No]&lt;&gt;"")*tbl_Finance[Date]))),""))</f>
        <v/>
      </c>
      <c r="B74" s="25">
        <f>IF(C74="","",IF(COUNTIFS(tbl_Finance[Job Number],C74&amp;"",tbl_Finance[Xero Invoice No],"&lt;&gt;")=0,"",IFERROR(IF(COUNTIFS(tbl_Finance[Job Number],C74&amp;"",tbl_Finance[Xero Invoice No],LOOKUP(2,1/((tbl_Finance[Job Number]&amp;""=C74&amp;"")*(tbl_Finance[Xero Invoice No]&lt;&gt;"")),tbl_Finance[Xero Invoice No]))=COUNTIFS(tbl_Finance[Job Number],C74&amp;"",tbl_Finance[Xero Invoice No],"&lt;&gt;"),LOOKUP(2,1/((tbl_Finance[Job Number]&amp;""=C74&amp;"")*(tbl_Finance[Xero Invoice No]&lt;&gt;"")),tbl_Finance[Xero Invoice No]),LOOKUP(2,1/((tbl_Finance[Job Number]&amp;""=C74&amp;"")*(tbl_Finance[Xero Invoice No]&lt;&gt;"")),tbl_Finance[Xero Invoice No])&amp;" +more"),"")))</f>
        <v/>
      </c>
      <c r="C74" s="24" t="n"/>
      <c r="D74" s="25">
        <f>IF(C74="","",IF(COUNTIF(lst_Jobs,C74&amp;"")&gt;0,"OK","CHECK"))</f>
        <v/>
      </c>
      <c r="E74" s="25">
        <f>IF(C74="","",IFERROR(INDEX(lst_JobName,MATCH(C74&amp;"",lst_Jobs,0)),""))</f>
        <v/>
      </c>
      <c r="F74" s="25">
        <f>IF(C74="","",IFERROR(INDEX(tbl_Finance[Client],IFERROR(MATCH(C74&amp;"",tbl_Finance[Job Number],0),MATCH(IFERROR(C74+0,C74),tbl_Finance[Job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6" t="n"/>
      <c r="L74" s="27">
        <f>IF(C74="","",IF(K74="",0,MAX(0,K74-H74)))</f>
        <v/>
      </c>
      <c r="M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N74" s="27">
        <f>IF(C74="","",SUMIFS(tbl_Finance[Inc GST],tbl_Finance[Job Number],C74&amp;""))</f>
        <v/>
      </c>
      <c r="O74" s="24" t="n"/>
      <c r="P74" s="25">
        <f>IF(C74="","",IFERROR(INDEX(tbl_Finance[Description],MATCH(C74&amp;"",tbl_Finance[Job Number],0)),""))</f>
        <v/>
      </c>
      <c r="Q74" s="24" t="n"/>
      <c r="R74" s="24" t="n"/>
      <c r="S74" s="22" t="n"/>
      <c r="T74" s="24" t="n"/>
      <c r="U74" s="25">
        <f>IF(T74="","",IF(AND(LEFT(T74,4)&lt;&gt;"http",set_RMSBase=""),"",HYPERLINK(IF(LEFT(T74,4)="http",T74,set_RMSBase&amp;T74),"Open opportunity")))</f>
        <v/>
      </c>
      <c r="V74" s="24" t="n"/>
      <c r="W74" s="25">
        <f>IF(V74="","",HYPERLINK(IF(LEFT(V74,4)="http",V74,set_QwilrBase&amp;V74),"Open quote"))</f>
        <v/>
      </c>
      <c r="X74" s="25">
        <f>IF(C74="","",C74)</f>
        <v/>
      </c>
      <c r="Y74" s="24" t="n"/>
      <c r="Z74" s="26" t="n"/>
      <c r="AA74" s="27">
        <f>IF(C74="","",H74+N(Z74))</f>
        <v/>
      </c>
      <c r="AB74" s="29">
        <f>IFERROR(Z74/AA74,"")</f>
        <v/>
      </c>
      <c r="AC74" s="26" t="n"/>
      <c r="AD74" s="26" t="n"/>
      <c r="AE74" s="26" t="n"/>
      <c r="AF74" s="26" t="n"/>
      <c r="AG74" s="27">
        <f>IF(C74="","",SUMIFS(tbl_Finance[Ex GST],tbl_Finance[Job Number],C74&amp;"",tbl_Finance[Cost Centre],"VIDEO"))</f>
        <v/>
      </c>
      <c r="AH74" s="29">
        <f>IFERROR(AG74/H74,"")</f>
        <v/>
      </c>
      <c r="AI74" s="27">
        <f>IF(C74="","",N(AC74)+N(AD74)+N(AE74)+N(AF74))</f>
        <v/>
      </c>
      <c r="AJ74" s="27">
        <f>IF(C74="","",H74+L74-AI74)</f>
        <v/>
      </c>
      <c r="AK74" s="29">
        <f>IFERROR(AJ74/(H74+L74),"")</f>
        <v/>
      </c>
      <c r="AL74" s="71" t="n"/>
      <c r="AM74" s="71" t="n"/>
      <c r="AN74" s="71" t="n"/>
      <c r="AO74" s="71" t="n"/>
      <c r="AP74" s="71" t="n"/>
      <c r="AQ74" s="24" t="n"/>
    </row>
    <row r="75" ht="15" customHeight="1">
      <c r="A75" s="70">
        <f>IF(C75="","",IFERROR(IF(SUMPRODUCT(MAX((tbl_Finance[Job Number]&amp;""=C75&amp;"")*(tbl_Finance[Xero Invoice No]&lt;&gt;"")*tbl_Finance[Date]))=0,"",SUMPRODUCT(MAX((tbl_Finance[Job Number]&amp;""=C75&amp;"")*(tbl_Finance[Xero Invoice No]&lt;&gt;"")*tbl_Finance[Date]))),""))</f>
        <v/>
      </c>
      <c r="B75" s="25">
        <f>IF(C75="","",IF(COUNTIFS(tbl_Finance[Job Number],C75&amp;"",tbl_Finance[Xero Invoice No],"&lt;&gt;")=0,"",IFERROR(IF(COUNTIFS(tbl_Finance[Job Number],C75&amp;"",tbl_Finance[Xero Invoice No],LOOKUP(2,1/((tbl_Finance[Job Number]&amp;""=C75&amp;"")*(tbl_Finance[Xero Invoice No]&lt;&gt;"")),tbl_Finance[Xero Invoice No]))=COUNTIFS(tbl_Finance[Job Number],C75&amp;"",tbl_Finance[Xero Invoice No],"&lt;&gt;"),LOOKUP(2,1/((tbl_Finance[Job Number]&amp;""=C75&amp;"")*(tbl_Finance[Xero Invoice No]&lt;&gt;"")),tbl_Finance[Xero Invoice No]),LOOKUP(2,1/((tbl_Finance[Job Number]&amp;""=C75&amp;"")*(tbl_Finance[Xero Invoice No]&lt;&gt;"")),tbl_Finance[Xero Invoice No])&amp;" +more"),"")))</f>
        <v/>
      </c>
      <c r="C75" s="24" t="n"/>
      <c r="D75" s="25">
        <f>IF(C75="","",IF(COUNTIF(lst_Jobs,C75&amp;"")&gt;0,"OK","CHECK"))</f>
        <v/>
      </c>
      <c r="E75" s="25">
        <f>IF(C75="","",IFERROR(INDEX(lst_JobName,MATCH(C75&amp;"",lst_Jobs,0)),""))</f>
        <v/>
      </c>
      <c r="F75" s="25">
        <f>IF(C75="","",IFERROR(INDEX(tbl_Finance[Client],IFERROR(MATCH(C75&amp;"",tbl_Finance[Job Number],0),MATCH(IFERROR(C75+0,C75),tbl_Finance[Job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6" t="n"/>
      <c r="L75" s="27">
        <f>IF(C75="","",IF(K75="",0,MAX(0,K75-H75)))</f>
        <v/>
      </c>
      <c r="M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N75" s="27">
        <f>IF(C75="","",SUMIFS(tbl_Finance[Inc GST],tbl_Finance[Job Number],C75&amp;""))</f>
        <v/>
      </c>
      <c r="O75" s="24" t="n"/>
      <c r="P75" s="25">
        <f>IF(C75="","",IFERROR(INDEX(tbl_Finance[Description],MATCH(C75&amp;"",tbl_Finance[Job Number],0)),""))</f>
        <v/>
      </c>
      <c r="Q75" s="24" t="n"/>
      <c r="R75" s="24" t="n"/>
      <c r="S75" s="22" t="n"/>
      <c r="T75" s="24" t="n"/>
      <c r="U75" s="25">
        <f>IF(T75="","",IF(AND(LEFT(T75,4)&lt;&gt;"http",set_RMSBase=""),"",HYPERLINK(IF(LEFT(T75,4)="http",T75,set_RMSBase&amp;T75),"Open opportunity")))</f>
        <v/>
      </c>
      <c r="V75" s="24" t="n"/>
      <c r="W75" s="25">
        <f>IF(V75="","",HYPERLINK(IF(LEFT(V75,4)="http",V75,set_QwilrBase&amp;V75),"Open quote"))</f>
        <v/>
      </c>
      <c r="X75" s="25">
        <f>IF(C75="","",C75)</f>
        <v/>
      </c>
      <c r="Y75" s="24" t="n"/>
      <c r="Z75" s="26" t="n"/>
      <c r="AA75" s="27">
        <f>IF(C75="","",H75+N(Z75))</f>
        <v/>
      </c>
      <c r="AB75" s="29">
        <f>IFERROR(Z75/AA75,"")</f>
        <v/>
      </c>
      <c r="AC75" s="26" t="n"/>
      <c r="AD75" s="26" t="n"/>
      <c r="AE75" s="26" t="n"/>
      <c r="AF75" s="26" t="n"/>
      <c r="AG75" s="27">
        <f>IF(C75="","",SUMIFS(tbl_Finance[Ex GST],tbl_Finance[Job Number],C75&amp;"",tbl_Finance[Cost Centre],"VIDEO"))</f>
        <v/>
      </c>
      <c r="AH75" s="29">
        <f>IFERROR(AG75/H75,"")</f>
        <v/>
      </c>
      <c r="AI75" s="27">
        <f>IF(C75="","",N(AC75)+N(AD75)+N(AE75)+N(AF75))</f>
        <v/>
      </c>
      <c r="AJ75" s="27">
        <f>IF(C75="","",H75+L75-AI75)</f>
        <v/>
      </c>
      <c r="AK75" s="29">
        <f>IFERROR(AJ75/(H75+L75),"")</f>
        <v/>
      </c>
      <c r="AL75" s="71" t="n"/>
      <c r="AM75" s="71" t="n"/>
      <c r="AN75" s="71" t="n"/>
      <c r="AO75" s="71" t="n"/>
      <c r="AP75" s="71" t="n"/>
      <c r="AQ75" s="24" t="n"/>
    </row>
    <row r="76" ht="15" customHeight="1">
      <c r="A76" s="70">
        <f>IF(C76="","",IFERROR(IF(SUMPRODUCT(MAX((tbl_Finance[Job Number]&amp;""=C76&amp;"")*(tbl_Finance[Xero Invoice No]&lt;&gt;"")*tbl_Finance[Date]))=0,"",SUMPRODUCT(MAX((tbl_Finance[Job Number]&amp;""=C76&amp;"")*(tbl_Finance[Xero Invoice No]&lt;&gt;"")*tbl_Finance[Date]))),""))</f>
        <v/>
      </c>
      <c r="B76" s="25">
        <f>IF(C76="","",IF(COUNTIFS(tbl_Finance[Job Number],C76&amp;"",tbl_Finance[Xero Invoice No],"&lt;&gt;")=0,"",IFERROR(IF(COUNTIFS(tbl_Finance[Job Number],C76&amp;"",tbl_Finance[Xero Invoice No],LOOKUP(2,1/((tbl_Finance[Job Number]&amp;""=C76&amp;"")*(tbl_Finance[Xero Invoice No]&lt;&gt;"")),tbl_Finance[Xero Invoice No]))=COUNTIFS(tbl_Finance[Job Number],C76&amp;"",tbl_Finance[Xero Invoice No],"&lt;&gt;"),LOOKUP(2,1/((tbl_Finance[Job Number]&amp;""=C76&amp;"")*(tbl_Finance[Xero Invoice No]&lt;&gt;"")),tbl_Finance[Xero Invoice No]),LOOKUP(2,1/((tbl_Finance[Job Number]&amp;""=C76&amp;"")*(tbl_Finance[Xero Invoice No]&lt;&gt;"")),tbl_Finance[Xero Invoice No])&amp;" +more"),"")))</f>
        <v/>
      </c>
      <c r="C76" s="24" t="n"/>
      <c r="D76" s="25">
        <f>IF(C76="","",IF(COUNTIF(lst_Jobs,C76&amp;"")&gt;0,"OK","CHECK"))</f>
        <v/>
      </c>
      <c r="E76" s="25">
        <f>IF(C76="","",IFERROR(INDEX(lst_JobName,MATCH(C76&amp;"",lst_Jobs,0)),""))</f>
        <v/>
      </c>
      <c r="F76" s="25">
        <f>IF(C76="","",IFERROR(INDEX(tbl_Finance[Client],IFERROR(MATCH(C76&amp;"",tbl_Finance[Job Number],0),MATCH(IFERROR(C76+0,C76),tbl_Finance[Job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6" t="n"/>
      <c r="L76" s="27">
        <f>IF(C76="","",IF(K76="",0,MAX(0,K76-H76)))</f>
        <v/>
      </c>
      <c r="M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N76" s="27">
        <f>IF(C76="","",SUMIFS(tbl_Finance[Inc GST],tbl_Finance[Job Number],C76&amp;""))</f>
        <v/>
      </c>
      <c r="O76" s="24" t="n"/>
      <c r="P76" s="25">
        <f>IF(C76="","",IFERROR(INDEX(tbl_Finance[Description],MATCH(C76&amp;"",tbl_Finance[Job Number],0)),""))</f>
        <v/>
      </c>
      <c r="Q76" s="24" t="n"/>
      <c r="R76" s="24" t="n"/>
      <c r="S76" s="22" t="n"/>
      <c r="T76" s="24" t="n"/>
      <c r="U76" s="25">
        <f>IF(T76="","",IF(AND(LEFT(T76,4)&lt;&gt;"http",set_RMSBase=""),"",HYPERLINK(IF(LEFT(T76,4)="http",T76,set_RMSBase&amp;T76),"Open opportunity")))</f>
        <v/>
      </c>
      <c r="V76" s="24" t="n"/>
      <c r="W76" s="25">
        <f>IF(V76="","",HYPERLINK(IF(LEFT(V76,4)="http",V76,set_QwilrBase&amp;V76),"Open quote"))</f>
        <v/>
      </c>
      <c r="X76" s="25">
        <f>IF(C76="","",C76)</f>
        <v/>
      </c>
      <c r="Y76" s="24" t="n"/>
      <c r="Z76" s="26" t="n"/>
      <c r="AA76" s="27">
        <f>IF(C76="","",H76+N(Z76))</f>
        <v/>
      </c>
      <c r="AB76" s="29">
        <f>IFERROR(Z76/AA76,"")</f>
        <v/>
      </c>
      <c r="AC76" s="26" t="n"/>
      <c r="AD76" s="26" t="n"/>
      <c r="AE76" s="26" t="n"/>
      <c r="AF76" s="26" t="n"/>
      <c r="AG76" s="27">
        <f>IF(C76="","",SUMIFS(tbl_Finance[Ex GST],tbl_Finance[Job Number],C76&amp;"",tbl_Finance[Cost Centre],"VIDEO"))</f>
        <v/>
      </c>
      <c r="AH76" s="29">
        <f>IFERROR(AG76/H76,"")</f>
        <v/>
      </c>
      <c r="AI76" s="27">
        <f>IF(C76="","",N(AC76)+N(AD76)+N(AE76)+N(AF76))</f>
        <v/>
      </c>
      <c r="AJ76" s="27">
        <f>IF(C76="","",H76+L76-AI76)</f>
        <v/>
      </c>
      <c r="AK76" s="29">
        <f>IFERROR(AJ76/(H76+L76),"")</f>
        <v/>
      </c>
      <c r="AL76" s="71" t="n"/>
      <c r="AM76" s="71" t="n"/>
      <c r="AN76" s="71" t="n"/>
      <c r="AO76" s="71" t="n"/>
      <c r="AP76" s="71" t="n"/>
      <c r="AQ76" s="24" t="n"/>
    </row>
    <row r="77" ht="15" customHeight="1">
      <c r="A77" s="70">
        <f>IF(C77="","",IFERROR(IF(SUMPRODUCT(MAX((tbl_Finance[Job Number]&amp;""=C77&amp;"")*(tbl_Finance[Xero Invoice No]&lt;&gt;"")*tbl_Finance[Date]))=0,"",SUMPRODUCT(MAX((tbl_Finance[Job Number]&amp;""=C77&amp;"")*(tbl_Finance[Xero Invoice No]&lt;&gt;"")*tbl_Finance[Date]))),""))</f>
        <v/>
      </c>
      <c r="B77" s="25">
        <f>IF(C77="","",IF(COUNTIFS(tbl_Finance[Job Number],C77&amp;"",tbl_Finance[Xero Invoice No],"&lt;&gt;")=0,"",IFERROR(IF(COUNTIFS(tbl_Finance[Job Number],C77&amp;"",tbl_Finance[Xero Invoice No],LOOKUP(2,1/((tbl_Finance[Job Number]&amp;""=C77&amp;"")*(tbl_Finance[Xero Invoice No]&lt;&gt;"")),tbl_Finance[Xero Invoice No]))=COUNTIFS(tbl_Finance[Job Number],C77&amp;"",tbl_Finance[Xero Invoice No],"&lt;&gt;"),LOOKUP(2,1/((tbl_Finance[Job Number]&amp;""=C77&amp;"")*(tbl_Finance[Xero Invoice No]&lt;&gt;"")),tbl_Finance[Xero Invoice No]),LOOKUP(2,1/((tbl_Finance[Job Number]&amp;""=C77&amp;"")*(tbl_Finance[Xero Invoice No]&lt;&gt;"")),tbl_Finance[Xero Invoice No])&amp;" +more"),"")))</f>
        <v/>
      </c>
      <c r="C77" s="24" t="n"/>
      <c r="D77" s="25">
        <f>IF(C77="","",IF(COUNTIF(lst_Jobs,C77&amp;"")&gt;0,"OK","CHECK"))</f>
        <v/>
      </c>
      <c r="E77" s="25">
        <f>IF(C77="","",IFERROR(INDEX(lst_JobName,MATCH(C77&amp;"",lst_Jobs,0)),""))</f>
        <v/>
      </c>
      <c r="F77" s="25">
        <f>IF(C77="","",IFERROR(INDEX(tbl_Finance[Client],IFERROR(MATCH(C77&amp;"",tbl_Finance[Job Number],0),MATCH(IFERROR(C77+0,C77),tbl_Finance[Job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6" t="n"/>
      <c r="L77" s="27">
        <f>IF(C77="","",IF(K77="",0,MAX(0,K77-H77)))</f>
        <v/>
      </c>
      <c r="M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N77" s="27">
        <f>IF(C77="","",SUMIFS(tbl_Finance[Inc GST],tbl_Finance[Job Number],C77&amp;""))</f>
        <v/>
      </c>
      <c r="O77" s="24" t="n"/>
      <c r="P77" s="25">
        <f>IF(C77="","",IFERROR(INDEX(tbl_Finance[Description],MATCH(C77&amp;"",tbl_Finance[Job Number],0)),""))</f>
        <v/>
      </c>
      <c r="Q77" s="24" t="n"/>
      <c r="R77" s="24" t="n"/>
      <c r="S77" s="22" t="n"/>
      <c r="T77" s="24" t="n"/>
      <c r="U77" s="25">
        <f>IF(T77="","",IF(AND(LEFT(T77,4)&lt;&gt;"http",set_RMSBase=""),"",HYPERLINK(IF(LEFT(T77,4)="http",T77,set_RMSBase&amp;T77),"Open opportunity")))</f>
        <v/>
      </c>
      <c r="V77" s="24" t="n"/>
      <c r="W77" s="25">
        <f>IF(V77="","",HYPERLINK(IF(LEFT(V77,4)="http",V77,set_QwilrBase&amp;V77),"Open quote"))</f>
        <v/>
      </c>
      <c r="X77" s="25">
        <f>IF(C77="","",C77)</f>
        <v/>
      </c>
      <c r="Y77" s="24" t="n"/>
      <c r="Z77" s="26" t="n"/>
      <c r="AA77" s="27">
        <f>IF(C77="","",H77+N(Z77))</f>
        <v/>
      </c>
      <c r="AB77" s="29">
        <f>IFERROR(Z77/AA77,"")</f>
        <v/>
      </c>
      <c r="AC77" s="26" t="n"/>
      <c r="AD77" s="26" t="n"/>
      <c r="AE77" s="26" t="n"/>
      <c r="AF77" s="26" t="n"/>
      <c r="AG77" s="27">
        <f>IF(C77="","",SUMIFS(tbl_Finance[Ex GST],tbl_Finance[Job Number],C77&amp;"",tbl_Finance[Cost Centre],"VIDEO"))</f>
        <v/>
      </c>
      <c r="AH77" s="29">
        <f>IFERROR(AG77/H77,"")</f>
        <v/>
      </c>
      <c r="AI77" s="27">
        <f>IF(C77="","",N(AC77)+N(AD77)+N(AE77)+N(AF77))</f>
        <v/>
      </c>
      <c r="AJ77" s="27">
        <f>IF(C77="","",H77+L77-AI77)</f>
        <v/>
      </c>
      <c r="AK77" s="29">
        <f>IFERROR(AJ77/(H77+L77),"")</f>
        <v/>
      </c>
      <c r="AL77" s="71" t="n"/>
      <c r="AM77" s="71" t="n"/>
      <c r="AN77" s="71" t="n"/>
      <c r="AO77" s="71" t="n"/>
      <c r="AP77" s="71" t="n"/>
      <c r="AQ77" s="24" t="n"/>
    </row>
    <row r="78" ht="15" customHeight="1">
      <c r="A78" s="70">
        <f>IF(C78="","",IFERROR(IF(SUMPRODUCT(MAX((tbl_Finance[Job Number]&amp;""=C78&amp;"")*(tbl_Finance[Xero Invoice No]&lt;&gt;"")*tbl_Finance[Date]))=0,"",SUMPRODUCT(MAX((tbl_Finance[Job Number]&amp;""=C78&amp;"")*(tbl_Finance[Xero Invoice No]&lt;&gt;"")*tbl_Finance[Date]))),""))</f>
        <v/>
      </c>
      <c r="B78" s="25">
        <f>IF(C78="","",IF(COUNTIFS(tbl_Finance[Job Number],C78&amp;"",tbl_Finance[Xero Invoice No],"&lt;&gt;")=0,"",IFERROR(IF(COUNTIFS(tbl_Finance[Job Number],C78&amp;"",tbl_Finance[Xero Invoice No],LOOKUP(2,1/((tbl_Finance[Job Number]&amp;""=C78&amp;"")*(tbl_Finance[Xero Invoice No]&lt;&gt;"")),tbl_Finance[Xero Invoice No]))=COUNTIFS(tbl_Finance[Job Number],C78&amp;"",tbl_Finance[Xero Invoice No],"&lt;&gt;"),LOOKUP(2,1/((tbl_Finance[Job Number]&amp;""=C78&amp;"")*(tbl_Finance[Xero Invoice No]&lt;&gt;"")),tbl_Finance[Xero Invoice No]),LOOKUP(2,1/((tbl_Finance[Job Number]&amp;""=C78&amp;"")*(tbl_Finance[Xero Invoice No]&lt;&gt;"")),tbl_Finance[Xero Invoice No])&amp;" +more"),"")))</f>
        <v/>
      </c>
      <c r="C78" s="24" t="n"/>
      <c r="D78" s="25">
        <f>IF(C78="","",IF(COUNTIF(lst_Jobs,C78&amp;"")&gt;0,"OK","CHECK"))</f>
        <v/>
      </c>
      <c r="E78" s="25">
        <f>IF(C78="","",IFERROR(INDEX(lst_JobName,MATCH(C78&amp;"",lst_Jobs,0)),""))</f>
        <v/>
      </c>
      <c r="F78" s="25">
        <f>IF(C78="","",IFERROR(INDEX(tbl_Finance[Client],IFERROR(MATCH(C78&amp;"",tbl_Finance[Job Number],0),MATCH(IFERROR(C78+0,C78),tbl_Finance[Job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6" t="n"/>
      <c r="L78" s="27">
        <f>IF(C78="","",IF(K78="",0,MAX(0,K78-H78)))</f>
        <v/>
      </c>
      <c r="M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N78" s="27">
        <f>IF(C78="","",SUMIFS(tbl_Finance[Inc GST],tbl_Finance[Job Number],C78&amp;""))</f>
        <v/>
      </c>
      <c r="O78" s="24" t="n"/>
      <c r="P78" s="25">
        <f>IF(C78="","",IFERROR(INDEX(tbl_Finance[Description],MATCH(C78&amp;"",tbl_Finance[Job Number],0)),""))</f>
        <v/>
      </c>
      <c r="Q78" s="24" t="n"/>
      <c r="R78" s="24" t="n"/>
      <c r="S78" s="22" t="n"/>
      <c r="T78" s="24" t="n"/>
      <c r="U78" s="25">
        <f>IF(T78="","",IF(AND(LEFT(T78,4)&lt;&gt;"http",set_RMSBase=""),"",HYPERLINK(IF(LEFT(T78,4)="http",T78,set_RMSBase&amp;T78),"Open opportunity")))</f>
        <v/>
      </c>
      <c r="V78" s="24" t="n"/>
      <c r="W78" s="25">
        <f>IF(V78="","",HYPERLINK(IF(LEFT(V78,4)="http",V78,set_QwilrBase&amp;V78),"Open quote"))</f>
        <v/>
      </c>
      <c r="X78" s="25">
        <f>IF(C78="","",C78)</f>
        <v/>
      </c>
      <c r="Y78" s="24" t="n"/>
      <c r="Z78" s="26" t="n"/>
      <c r="AA78" s="27">
        <f>IF(C78="","",H78+N(Z78))</f>
        <v/>
      </c>
      <c r="AB78" s="29">
        <f>IFERROR(Z78/AA78,"")</f>
        <v/>
      </c>
      <c r="AC78" s="26" t="n"/>
      <c r="AD78" s="26" t="n"/>
      <c r="AE78" s="26" t="n"/>
      <c r="AF78" s="26" t="n"/>
      <c r="AG78" s="27">
        <f>IF(C78="","",SUMIFS(tbl_Finance[Ex GST],tbl_Finance[Job Number],C78&amp;"",tbl_Finance[Cost Centre],"VIDEO"))</f>
        <v/>
      </c>
      <c r="AH78" s="29">
        <f>IFERROR(AG78/H78,"")</f>
        <v/>
      </c>
      <c r="AI78" s="27">
        <f>IF(C78="","",N(AC78)+N(AD78)+N(AE78)+N(AF78))</f>
        <v/>
      </c>
      <c r="AJ78" s="27">
        <f>IF(C78="","",H78+L78-AI78)</f>
        <v/>
      </c>
      <c r="AK78" s="29">
        <f>IFERROR(AJ78/(H78+L78),"")</f>
        <v/>
      </c>
      <c r="AL78" s="71" t="n"/>
      <c r="AM78" s="71" t="n"/>
      <c r="AN78" s="71" t="n"/>
      <c r="AO78" s="71" t="n"/>
      <c r="AP78" s="71" t="n"/>
      <c r="AQ78" s="24" t="n"/>
    </row>
    <row r="79" ht="15" customHeight="1">
      <c r="A79" s="70">
        <f>IF(C79="","",IFERROR(IF(SUMPRODUCT(MAX((tbl_Finance[Job Number]&amp;""=C79&amp;"")*(tbl_Finance[Xero Invoice No]&lt;&gt;"")*tbl_Finance[Date]))=0,"",SUMPRODUCT(MAX((tbl_Finance[Job Number]&amp;""=C79&amp;"")*(tbl_Finance[Xero Invoice No]&lt;&gt;"")*tbl_Finance[Date]))),""))</f>
        <v/>
      </c>
      <c r="B79" s="25">
        <f>IF(C79="","",IF(COUNTIFS(tbl_Finance[Job Number],C79&amp;"",tbl_Finance[Xero Invoice No],"&lt;&gt;")=0,"",IFERROR(IF(COUNTIFS(tbl_Finance[Job Number],C79&amp;"",tbl_Finance[Xero Invoice No],LOOKUP(2,1/((tbl_Finance[Job Number]&amp;""=C79&amp;"")*(tbl_Finance[Xero Invoice No]&lt;&gt;"")),tbl_Finance[Xero Invoice No]))=COUNTIFS(tbl_Finance[Job Number],C79&amp;"",tbl_Finance[Xero Invoice No],"&lt;&gt;"),LOOKUP(2,1/((tbl_Finance[Job Number]&amp;""=C79&amp;"")*(tbl_Finance[Xero Invoice No]&lt;&gt;"")),tbl_Finance[Xero Invoice No]),LOOKUP(2,1/((tbl_Finance[Job Number]&amp;""=C79&amp;"")*(tbl_Finance[Xero Invoice No]&lt;&gt;"")),tbl_Finance[Xero Invoice No])&amp;" +more"),"")))</f>
        <v/>
      </c>
      <c r="C79" s="24" t="n"/>
      <c r="D79" s="25">
        <f>IF(C79="","",IF(COUNTIF(lst_Jobs,C79&amp;"")&gt;0,"OK","CHECK"))</f>
        <v/>
      </c>
      <c r="E79" s="25">
        <f>IF(C79="","",IFERROR(INDEX(lst_JobName,MATCH(C79&amp;"",lst_Jobs,0)),""))</f>
        <v/>
      </c>
      <c r="F79" s="25">
        <f>IF(C79="","",IFERROR(INDEX(tbl_Finance[Client],IFERROR(MATCH(C79&amp;"",tbl_Finance[Job Number],0),MATCH(IFERROR(C79+0,C79),tbl_Finance[Job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6" t="n"/>
      <c r="L79" s="27">
        <f>IF(C79="","",IF(K79="",0,MAX(0,K79-H79)))</f>
        <v/>
      </c>
      <c r="M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N79" s="27">
        <f>IF(C79="","",SUMIFS(tbl_Finance[Inc GST],tbl_Finance[Job Number],C79&amp;""))</f>
        <v/>
      </c>
      <c r="O79" s="24" t="n"/>
      <c r="P79" s="25">
        <f>IF(C79="","",IFERROR(INDEX(tbl_Finance[Description],MATCH(C79&amp;"",tbl_Finance[Job Number],0)),""))</f>
        <v/>
      </c>
      <c r="Q79" s="24" t="n"/>
      <c r="R79" s="24" t="n"/>
      <c r="S79" s="22" t="n"/>
      <c r="T79" s="24" t="n"/>
      <c r="U79" s="25">
        <f>IF(T79="","",IF(AND(LEFT(T79,4)&lt;&gt;"http",set_RMSBase=""),"",HYPERLINK(IF(LEFT(T79,4)="http",T79,set_RMSBase&amp;T79),"Open opportunity")))</f>
        <v/>
      </c>
      <c r="V79" s="24" t="n"/>
      <c r="W79" s="25">
        <f>IF(V79="","",HYPERLINK(IF(LEFT(V79,4)="http",V79,set_QwilrBase&amp;V79),"Open quote"))</f>
        <v/>
      </c>
      <c r="X79" s="25">
        <f>IF(C79="","",C79)</f>
        <v/>
      </c>
      <c r="Y79" s="24" t="n"/>
      <c r="Z79" s="26" t="n"/>
      <c r="AA79" s="27">
        <f>IF(C79="","",H79+N(Z79))</f>
        <v/>
      </c>
      <c r="AB79" s="29">
        <f>IFERROR(Z79/AA79,"")</f>
        <v/>
      </c>
      <c r="AC79" s="26" t="n"/>
      <c r="AD79" s="26" t="n"/>
      <c r="AE79" s="26" t="n"/>
      <c r="AF79" s="26" t="n"/>
      <c r="AG79" s="27">
        <f>IF(C79="","",SUMIFS(tbl_Finance[Ex GST],tbl_Finance[Job Number],C79&amp;"",tbl_Finance[Cost Centre],"VIDEO"))</f>
        <v/>
      </c>
      <c r="AH79" s="29">
        <f>IFERROR(AG79/H79,"")</f>
        <v/>
      </c>
      <c r="AI79" s="27">
        <f>IF(C79="","",N(AC79)+N(AD79)+N(AE79)+N(AF79))</f>
        <v/>
      </c>
      <c r="AJ79" s="27">
        <f>IF(C79="","",H79+L79-AI79)</f>
        <v/>
      </c>
      <c r="AK79" s="29">
        <f>IFERROR(AJ79/(H79+L79),"")</f>
        <v/>
      </c>
      <c r="AL79" s="71" t="n"/>
      <c r="AM79" s="71" t="n"/>
      <c r="AN79" s="71" t="n"/>
      <c r="AO79" s="71" t="n"/>
      <c r="AP79" s="71" t="n"/>
      <c r="AQ79" s="24" t="n"/>
    </row>
    <row r="80" ht="15" customHeight="1">
      <c r="A80" s="70">
        <f>IF(C80="","",IFERROR(IF(SUMPRODUCT(MAX((tbl_Finance[Job Number]&amp;""=C80&amp;"")*(tbl_Finance[Xero Invoice No]&lt;&gt;"")*tbl_Finance[Date]))=0,"",SUMPRODUCT(MAX((tbl_Finance[Job Number]&amp;""=C80&amp;"")*(tbl_Finance[Xero Invoice No]&lt;&gt;"")*tbl_Finance[Date]))),""))</f>
        <v/>
      </c>
      <c r="B80" s="25">
        <f>IF(C80="","",IF(COUNTIFS(tbl_Finance[Job Number],C80&amp;"",tbl_Finance[Xero Invoice No],"&lt;&gt;")=0,"",IFERROR(IF(COUNTIFS(tbl_Finance[Job Number],C80&amp;"",tbl_Finance[Xero Invoice No],LOOKUP(2,1/((tbl_Finance[Job Number]&amp;""=C80&amp;"")*(tbl_Finance[Xero Invoice No]&lt;&gt;"")),tbl_Finance[Xero Invoice No]))=COUNTIFS(tbl_Finance[Job Number],C80&amp;"",tbl_Finance[Xero Invoice No],"&lt;&gt;"),LOOKUP(2,1/((tbl_Finance[Job Number]&amp;""=C80&amp;"")*(tbl_Finance[Xero Invoice No]&lt;&gt;"")),tbl_Finance[Xero Invoice No]),LOOKUP(2,1/((tbl_Finance[Job Number]&amp;""=C80&amp;"")*(tbl_Finance[Xero Invoice No]&lt;&gt;"")),tbl_Finance[Xero Invoice No])&amp;" +more"),"")))</f>
        <v/>
      </c>
      <c r="C80" s="24" t="n"/>
      <c r="D80" s="25">
        <f>IF(C80="","",IF(COUNTIF(lst_Jobs,C80&amp;"")&gt;0,"OK","CHECK"))</f>
        <v/>
      </c>
      <c r="E80" s="25">
        <f>IF(C80="","",IFERROR(INDEX(lst_JobName,MATCH(C80&amp;"",lst_Jobs,0)),""))</f>
        <v/>
      </c>
      <c r="F80" s="25">
        <f>IF(C80="","",IFERROR(INDEX(tbl_Finance[Client],IFERROR(MATCH(C80&amp;"",tbl_Finance[Job Number],0),MATCH(IFERROR(C80+0,C80),tbl_Finance[Job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6" t="n"/>
      <c r="L80" s="27">
        <f>IF(C80="","",IF(K80="",0,MAX(0,K80-H80)))</f>
        <v/>
      </c>
      <c r="M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N80" s="27">
        <f>IF(C80="","",SUMIFS(tbl_Finance[Inc GST],tbl_Finance[Job Number],C80&amp;""))</f>
        <v/>
      </c>
      <c r="O80" s="24" t="n"/>
      <c r="P80" s="25">
        <f>IF(C80="","",IFERROR(INDEX(tbl_Finance[Description],MATCH(C80&amp;"",tbl_Finance[Job Number],0)),""))</f>
        <v/>
      </c>
      <c r="Q80" s="24" t="n"/>
      <c r="R80" s="24" t="n"/>
      <c r="S80" s="22" t="n"/>
      <c r="T80" s="24" t="n"/>
      <c r="U80" s="25">
        <f>IF(T80="","",IF(AND(LEFT(T80,4)&lt;&gt;"http",set_RMSBase=""),"",HYPERLINK(IF(LEFT(T80,4)="http",T80,set_RMSBase&amp;T80),"Open opportunity")))</f>
        <v/>
      </c>
      <c r="V80" s="24" t="n"/>
      <c r="W80" s="25">
        <f>IF(V80="","",HYPERLINK(IF(LEFT(V80,4)="http",V80,set_QwilrBase&amp;V80),"Open quote"))</f>
        <v/>
      </c>
      <c r="X80" s="25">
        <f>IF(C80="","",C80)</f>
        <v/>
      </c>
      <c r="Y80" s="24" t="n"/>
      <c r="Z80" s="26" t="n"/>
      <c r="AA80" s="27">
        <f>IF(C80="","",H80+N(Z80))</f>
        <v/>
      </c>
      <c r="AB80" s="29">
        <f>IFERROR(Z80/AA80,"")</f>
        <v/>
      </c>
      <c r="AC80" s="26" t="n"/>
      <c r="AD80" s="26" t="n"/>
      <c r="AE80" s="26" t="n"/>
      <c r="AF80" s="26" t="n"/>
      <c r="AG80" s="27">
        <f>IF(C80="","",SUMIFS(tbl_Finance[Ex GST],tbl_Finance[Job Number],C80&amp;"",tbl_Finance[Cost Centre],"VIDEO"))</f>
        <v/>
      </c>
      <c r="AH80" s="29">
        <f>IFERROR(AG80/H80,"")</f>
        <v/>
      </c>
      <c r="AI80" s="27">
        <f>IF(C80="","",N(AC80)+N(AD80)+N(AE80)+N(AF80))</f>
        <v/>
      </c>
      <c r="AJ80" s="27">
        <f>IF(C80="","",H80+L80-AI80)</f>
        <v/>
      </c>
      <c r="AK80" s="29">
        <f>IFERROR(AJ80/(H80+L80),"")</f>
        <v/>
      </c>
      <c r="AL80" s="71" t="n"/>
      <c r="AM80" s="71" t="n"/>
      <c r="AN80" s="71" t="n"/>
      <c r="AO80" s="71" t="n"/>
      <c r="AP80" s="71" t="n"/>
      <c r="AQ80" s="24" t="n"/>
    </row>
    <row r="81" ht="15" customHeight="1">
      <c r="A81" s="70">
        <f>IF(C81="","",IFERROR(IF(SUMPRODUCT(MAX((tbl_Finance[Job Number]&amp;""=C81&amp;"")*(tbl_Finance[Xero Invoice No]&lt;&gt;"")*tbl_Finance[Date]))=0,"",SUMPRODUCT(MAX((tbl_Finance[Job Number]&amp;""=C81&amp;"")*(tbl_Finance[Xero Invoice No]&lt;&gt;"")*tbl_Finance[Date]))),""))</f>
        <v/>
      </c>
      <c r="B81" s="25">
        <f>IF(C81="","",IF(COUNTIFS(tbl_Finance[Job Number],C81&amp;"",tbl_Finance[Xero Invoice No],"&lt;&gt;")=0,"",IFERROR(IF(COUNTIFS(tbl_Finance[Job Number],C81&amp;"",tbl_Finance[Xero Invoice No],LOOKUP(2,1/((tbl_Finance[Job Number]&amp;""=C81&amp;"")*(tbl_Finance[Xero Invoice No]&lt;&gt;"")),tbl_Finance[Xero Invoice No]))=COUNTIFS(tbl_Finance[Job Number],C81&amp;"",tbl_Finance[Xero Invoice No],"&lt;&gt;"),LOOKUP(2,1/((tbl_Finance[Job Number]&amp;""=C81&amp;"")*(tbl_Finance[Xero Invoice No]&lt;&gt;"")),tbl_Finance[Xero Invoice No]),LOOKUP(2,1/((tbl_Finance[Job Number]&amp;""=C81&amp;"")*(tbl_Finance[Xero Invoice No]&lt;&gt;"")),tbl_Finance[Xero Invoice No])&amp;" +more"),"")))</f>
        <v/>
      </c>
      <c r="C81" s="24" t="n"/>
      <c r="D81" s="25">
        <f>IF(C81="","",IF(COUNTIF(lst_Jobs,C81&amp;"")&gt;0,"OK","CHECK"))</f>
        <v/>
      </c>
      <c r="E81" s="25">
        <f>IF(C81="","",IFERROR(INDEX(lst_JobName,MATCH(C81&amp;"",lst_Jobs,0)),""))</f>
        <v/>
      </c>
      <c r="F81" s="25">
        <f>IF(C81="","",IFERROR(INDEX(tbl_Finance[Client],IFERROR(MATCH(C81&amp;"",tbl_Finance[Job Number],0),MATCH(IFERROR(C81+0,C81),tbl_Finance[Job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6" t="n"/>
      <c r="L81" s="27">
        <f>IF(C81="","",IF(K81="",0,MAX(0,K81-H81)))</f>
        <v/>
      </c>
      <c r="M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N81" s="27">
        <f>IF(C81="","",SUMIFS(tbl_Finance[Inc GST],tbl_Finance[Job Number],C81&amp;""))</f>
        <v/>
      </c>
      <c r="O81" s="24" t="n"/>
      <c r="P81" s="25">
        <f>IF(C81="","",IFERROR(INDEX(tbl_Finance[Description],MATCH(C81&amp;"",tbl_Finance[Job Number],0)),""))</f>
        <v/>
      </c>
      <c r="Q81" s="24" t="n"/>
      <c r="R81" s="24" t="n"/>
      <c r="S81" s="22" t="n"/>
      <c r="T81" s="24" t="n"/>
      <c r="U81" s="25">
        <f>IF(T81="","",IF(AND(LEFT(T81,4)&lt;&gt;"http",set_RMSBase=""),"",HYPERLINK(IF(LEFT(T81,4)="http",T81,set_RMSBase&amp;T81),"Open opportunity")))</f>
        <v/>
      </c>
      <c r="V81" s="24" t="n"/>
      <c r="W81" s="25">
        <f>IF(V81="","",HYPERLINK(IF(LEFT(V81,4)="http",V81,set_QwilrBase&amp;V81),"Open quote"))</f>
        <v/>
      </c>
      <c r="X81" s="25">
        <f>IF(C81="","",C81)</f>
        <v/>
      </c>
      <c r="Y81" s="24" t="n"/>
      <c r="Z81" s="26" t="n"/>
      <c r="AA81" s="27">
        <f>IF(C81="","",H81+N(Z81))</f>
        <v/>
      </c>
      <c r="AB81" s="29">
        <f>IFERROR(Z81/AA81,"")</f>
        <v/>
      </c>
      <c r="AC81" s="26" t="n"/>
      <c r="AD81" s="26" t="n"/>
      <c r="AE81" s="26" t="n"/>
      <c r="AF81" s="26" t="n"/>
      <c r="AG81" s="27">
        <f>IF(C81="","",SUMIFS(tbl_Finance[Ex GST],tbl_Finance[Job Number],C81&amp;"",tbl_Finance[Cost Centre],"VIDEO"))</f>
        <v/>
      </c>
      <c r="AH81" s="29">
        <f>IFERROR(AG81/H81,"")</f>
        <v/>
      </c>
      <c r="AI81" s="27">
        <f>IF(C81="","",N(AC81)+N(AD81)+N(AE81)+N(AF81))</f>
        <v/>
      </c>
      <c r="AJ81" s="27">
        <f>IF(C81="","",H81+L81-AI81)</f>
        <v/>
      </c>
      <c r="AK81" s="29">
        <f>IFERROR(AJ81/(H81+L81),"")</f>
        <v/>
      </c>
      <c r="AL81" s="71" t="n"/>
      <c r="AM81" s="71" t="n"/>
      <c r="AN81" s="71" t="n"/>
      <c r="AO81" s="71" t="n"/>
      <c r="AP81" s="71" t="n"/>
      <c r="AQ81" s="24" t="n"/>
    </row>
    <row r="82" ht="15" customHeight="1">
      <c r="A82" s="70">
        <f>IF(C82="","",IFERROR(IF(SUMPRODUCT(MAX((tbl_Finance[Job Number]&amp;""=C82&amp;"")*(tbl_Finance[Xero Invoice No]&lt;&gt;"")*tbl_Finance[Date]))=0,"",SUMPRODUCT(MAX((tbl_Finance[Job Number]&amp;""=C82&amp;"")*(tbl_Finance[Xero Invoice No]&lt;&gt;"")*tbl_Finance[Date]))),""))</f>
        <v/>
      </c>
      <c r="B82" s="25">
        <f>IF(C82="","",IF(COUNTIFS(tbl_Finance[Job Number],C82&amp;"",tbl_Finance[Xero Invoice No],"&lt;&gt;")=0,"",IFERROR(IF(COUNTIFS(tbl_Finance[Job Number],C82&amp;"",tbl_Finance[Xero Invoice No],LOOKUP(2,1/((tbl_Finance[Job Number]&amp;""=C82&amp;"")*(tbl_Finance[Xero Invoice No]&lt;&gt;"")),tbl_Finance[Xero Invoice No]))=COUNTIFS(tbl_Finance[Job Number],C82&amp;"",tbl_Finance[Xero Invoice No],"&lt;&gt;"),LOOKUP(2,1/((tbl_Finance[Job Number]&amp;""=C82&amp;"")*(tbl_Finance[Xero Invoice No]&lt;&gt;"")),tbl_Finance[Xero Invoice No]),LOOKUP(2,1/((tbl_Finance[Job Number]&amp;""=C82&amp;"")*(tbl_Finance[Xero Invoice No]&lt;&gt;"")),tbl_Finance[Xero Invoice No])&amp;" +more"),"")))</f>
        <v/>
      </c>
      <c r="C82" s="24" t="n"/>
      <c r="D82" s="25">
        <f>IF(C82="","",IF(COUNTIF(lst_Jobs,C82&amp;"")&gt;0,"OK","CHECK"))</f>
        <v/>
      </c>
      <c r="E82" s="25">
        <f>IF(C82="","",IFERROR(INDEX(lst_JobName,MATCH(C82&amp;"",lst_Jobs,0)),""))</f>
        <v/>
      </c>
      <c r="F82" s="25">
        <f>IF(C82="","",IFERROR(INDEX(tbl_Finance[Client],IFERROR(MATCH(C82&amp;"",tbl_Finance[Job Number],0),MATCH(IFERROR(C82+0,C82),tbl_Finance[Job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6" t="n"/>
      <c r="L82" s="27">
        <f>IF(C82="","",IF(K82="",0,MAX(0,K82-H82)))</f>
        <v/>
      </c>
      <c r="M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N82" s="27">
        <f>IF(C82="","",SUMIFS(tbl_Finance[Inc GST],tbl_Finance[Job Number],C82&amp;""))</f>
        <v/>
      </c>
      <c r="O82" s="24" t="n"/>
      <c r="P82" s="25">
        <f>IF(C82="","",IFERROR(INDEX(tbl_Finance[Description],MATCH(C82&amp;"",tbl_Finance[Job Number],0)),""))</f>
        <v/>
      </c>
      <c r="Q82" s="24" t="n"/>
      <c r="R82" s="24" t="n"/>
      <c r="S82" s="22" t="n"/>
      <c r="T82" s="24" t="n"/>
      <c r="U82" s="25">
        <f>IF(T82="","",IF(AND(LEFT(T82,4)&lt;&gt;"http",set_RMSBase=""),"",HYPERLINK(IF(LEFT(T82,4)="http",T82,set_RMSBase&amp;T82),"Open opportunity")))</f>
        <v/>
      </c>
      <c r="V82" s="24" t="n"/>
      <c r="W82" s="25">
        <f>IF(V82="","",HYPERLINK(IF(LEFT(V82,4)="http",V82,set_QwilrBase&amp;V82),"Open quote"))</f>
        <v/>
      </c>
      <c r="X82" s="25">
        <f>IF(C82="","",C82)</f>
        <v/>
      </c>
      <c r="Y82" s="24" t="n"/>
      <c r="Z82" s="26" t="n"/>
      <c r="AA82" s="27">
        <f>IF(C82="","",H82+N(Z82))</f>
        <v/>
      </c>
      <c r="AB82" s="29">
        <f>IFERROR(Z82/AA82,"")</f>
        <v/>
      </c>
      <c r="AC82" s="26" t="n"/>
      <c r="AD82" s="26" t="n"/>
      <c r="AE82" s="26" t="n"/>
      <c r="AF82" s="26" t="n"/>
      <c r="AG82" s="27">
        <f>IF(C82="","",SUMIFS(tbl_Finance[Ex GST],tbl_Finance[Job Number],C82&amp;"",tbl_Finance[Cost Centre],"VIDEO"))</f>
        <v/>
      </c>
      <c r="AH82" s="29">
        <f>IFERROR(AG82/H82,"")</f>
        <v/>
      </c>
      <c r="AI82" s="27">
        <f>IF(C82="","",N(AC82)+N(AD82)+N(AE82)+N(AF82))</f>
        <v/>
      </c>
      <c r="AJ82" s="27">
        <f>IF(C82="","",H82+L82-AI82)</f>
        <v/>
      </c>
      <c r="AK82" s="29">
        <f>IFERROR(AJ82/(H82+L82),"")</f>
        <v/>
      </c>
      <c r="AL82" s="71" t="n"/>
      <c r="AM82" s="71" t="n"/>
      <c r="AN82" s="71" t="n"/>
      <c r="AO82" s="71" t="n"/>
      <c r="AP82" s="71" t="n"/>
      <c r="AQ82" s="24" t="n"/>
    </row>
    <row r="83" ht="15" customHeight="1">
      <c r="A83" s="70">
        <f>IF(C83="","",IFERROR(IF(SUMPRODUCT(MAX((tbl_Finance[Job Number]&amp;""=C83&amp;"")*(tbl_Finance[Xero Invoice No]&lt;&gt;"")*tbl_Finance[Date]))=0,"",SUMPRODUCT(MAX((tbl_Finance[Job Number]&amp;""=C83&amp;"")*(tbl_Finance[Xero Invoice No]&lt;&gt;"")*tbl_Finance[Date]))),""))</f>
        <v/>
      </c>
      <c r="B83" s="25">
        <f>IF(C83="","",IF(COUNTIFS(tbl_Finance[Job Number],C83&amp;"",tbl_Finance[Xero Invoice No],"&lt;&gt;")=0,"",IFERROR(IF(COUNTIFS(tbl_Finance[Job Number],C83&amp;"",tbl_Finance[Xero Invoice No],LOOKUP(2,1/((tbl_Finance[Job Number]&amp;""=C83&amp;"")*(tbl_Finance[Xero Invoice No]&lt;&gt;"")),tbl_Finance[Xero Invoice No]))=COUNTIFS(tbl_Finance[Job Number],C83&amp;"",tbl_Finance[Xero Invoice No],"&lt;&gt;"),LOOKUP(2,1/((tbl_Finance[Job Number]&amp;""=C83&amp;"")*(tbl_Finance[Xero Invoice No]&lt;&gt;"")),tbl_Finance[Xero Invoice No]),LOOKUP(2,1/((tbl_Finance[Job Number]&amp;""=C83&amp;"")*(tbl_Finance[Xero Invoice No]&lt;&gt;"")),tbl_Finance[Xero Invoice No])&amp;" +more"),"")))</f>
        <v/>
      </c>
      <c r="C83" s="24" t="n"/>
      <c r="D83" s="25">
        <f>IF(C83="","",IF(COUNTIF(lst_Jobs,C83&amp;"")&gt;0,"OK","CHECK"))</f>
        <v/>
      </c>
      <c r="E83" s="25">
        <f>IF(C83="","",IFERROR(INDEX(lst_JobName,MATCH(C83&amp;"",lst_Jobs,0)),""))</f>
        <v/>
      </c>
      <c r="F83" s="25">
        <f>IF(C83="","",IFERROR(INDEX(tbl_Finance[Client],IFERROR(MATCH(C83&amp;"",tbl_Finance[Job Number],0),MATCH(IFERROR(C83+0,C83),tbl_Finance[Job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6" t="n"/>
      <c r="L83" s="27">
        <f>IF(C83="","",IF(K83="",0,MAX(0,K83-H83)))</f>
        <v/>
      </c>
      <c r="M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N83" s="27">
        <f>IF(C83="","",SUMIFS(tbl_Finance[Inc GST],tbl_Finance[Job Number],C83&amp;""))</f>
        <v/>
      </c>
      <c r="O83" s="24" t="n"/>
      <c r="P83" s="25">
        <f>IF(C83="","",IFERROR(INDEX(tbl_Finance[Description],MATCH(C83&amp;"",tbl_Finance[Job Number],0)),""))</f>
        <v/>
      </c>
      <c r="Q83" s="24" t="n"/>
      <c r="R83" s="24" t="n"/>
      <c r="S83" s="22" t="n"/>
      <c r="T83" s="24" t="n"/>
      <c r="U83" s="25">
        <f>IF(T83="","",IF(AND(LEFT(T83,4)&lt;&gt;"http",set_RMSBase=""),"",HYPERLINK(IF(LEFT(T83,4)="http",T83,set_RMSBase&amp;T83),"Open opportunity")))</f>
        <v/>
      </c>
      <c r="V83" s="24" t="n"/>
      <c r="W83" s="25">
        <f>IF(V83="","",HYPERLINK(IF(LEFT(V83,4)="http",V83,set_QwilrBase&amp;V83),"Open quote"))</f>
        <v/>
      </c>
      <c r="X83" s="25">
        <f>IF(C83="","",C83)</f>
        <v/>
      </c>
      <c r="Y83" s="24" t="n"/>
      <c r="Z83" s="26" t="n"/>
      <c r="AA83" s="27">
        <f>IF(C83="","",H83+N(Z83))</f>
        <v/>
      </c>
      <c r="AB83" s="29">
        <f>IFERROR(Z83/AA83,"")</f>
        <v/>
      </c>
      <c r="AC83" s="26" t="n"/>
      <c r="AD83" s="26" t="n"/>
      <c r="AE83" s="26" t="n"/>
      <c r="AF83" s="26" t="n"/>
      <c r="AG83" s="27">
        <f>IF(C83="","",SUMIFS(tbl_Finance[Ex GST],tbl_Finance[Job Number],C83&amp;"",tbl_Finance[Cost Centre],"VIDEO"))</f>
        <v/>
      </c>
      <c r="AH83" s="29">
        <f>IFERROR(AG83/H83,"")</f>
        <v/>
      </c>
      <c r="AI83" s="27">
        <f>IF(C83="","",N(AC83)+N(AD83)+N(AE83)+N(AF83))</f>
        <v/>
      </c>
      <c r="AJ83" s="27">
        <f>IF(C83="","",H83+L83-AI83)</f>
        <v/>
      </c>
      <c r="AK83" s="29">
        <f>IFERROR(AJ83/(H83+L83),"")</f>
        <v/>
      </c>
      <c r="AL83" s="71" t="n"/>
      <c r="AM83" s="71" t="n"/>
      <c r="AN83" s="71" t="n"/>
      <c r="AO83" s="71" t="n"/>
      <c r="AP83" s="71" t="n"/>
      <c r="AQ83" s="24" t="n"/>
    </row>
    <row r="84" ht="15" customHeight="1">
      <c r="A84" s="70">
        <f>IF(C84="","",IFERROR(IF(SUMPRODUCT(MAX((tbl_Finance[Job Number]&amp;""=C84&amp;"")*(tbl_Finance[Xero Invoice No]&lt;&gt;"")*tbl_Finance[Date]))=0,"",SUMPRODUCT(MAX((tbl_Finance[Job Number]&amp;""=C84&amp;"")*(tbl_Finance[Xero Invoice No]&lt;&gt;"")*tbl_Finance[Date]))),""))</f>
        <v/>
      </c>
      <c r="B84" s="25">
        <f>IF(C84="","",IF(COUNTIFS(tbl_Finance[Job Number],C84&amp;"",tbl_Finance[Xero Invoice No],"&lt;&gt;")=0,"",IFERROR(IF(COUNTIFS(tbl_Finance[Job Number],C84&amp;"",tbl_Finance[Xero Invoice No],LOOKUP(2,1/((tbl_Finance[Job Number]&amp;""=C84&amp;"")*(tbl_Finance[Xero Invoice No]&lt;&gt;"")),tbl_Finance[Xero Invoice No]))=COUNTIFS(tbl_Finance[Job Number],C84&amp;"",tbl_Finance[Xero Invoice No],"&lt;&gt;"),LOOKUP(2,1/((tbl_Finance[Job Number]&amp;""=C84&amp;"")*(tbl_Finance[Xero Invoice No]&lt;&gt;"")),tbl_Finance[Xero Invoice No]),LOOKUP(2,1/((tbl_Finance[Job Number]&amp;""=C84&amp;"")*(tbl_Finance[Xero Invoice No]&lt;&gt;"")),tbl_Finance[Xero Invoice No])&amp;" +more"),"")))</f>
        <v/>
      </c>
      <c r="C84" s="24" t="n"/>
      <c r="D84" s="25">
        <f>IF(C84="","",IF(COUNTIF(lst_Jobs,C84&amp;"")&gt;0,"OK","CHECK"))</f>
        <v/>
      </c>
      <c r="E84" s="25">
        <f>IF(C84="","",IFERROR(INDEX(lst_JobName,MATCH(C84&amp;"",lst_Jobs,0)),""))</f>
        <v/>
      </c>
      <c r="F84" s="25">
        <f>IF(C84="","",IFERROR(INDEX(tbl_Finance[Client],IFERROR(MATCH(C84&amp;"",tbl_Finance[Job Number],0),MATCH(IFERROR(C84+0,C84),tbl_Finance[Job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6" t="n"/>
      <c r="L84" s="27">
        <f>IF(C84="","",IF(K84="",0,MAX(0,K84-H84)))</f>
        <v/>
      </c>
      <c r="M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N84" s="27">
        <f>IF(C84="","",SUMIFS(tbl_Finance[Inc GST],tbl_Finance[Job Number],C84&amp;""))</f>
        <v/>
      </c>
      <c r="O84" s="24" t="n"/>
      <c r="P84" s="25">
        <f>IF(C84="","",IFERROR(INDEX(tbl_Finance[Description],MATCH(C84&amp;"",tbl_Finance[Job Number],0)),""))</f>
        <v/>
      </c>
      <c r="Q84" s="24" t="n"/>
      <c r="R84" s="24" t="n"/>
      <c r="S84" s="22" t="n"/>
      <c r="T84" s="24" t="n"/>
      <c r="U84" s="25">
        <f>IF(T84="","",IF(AND(LEFT(T84,4)&lt;&gt;"http",set_RMSBase=""),"",HYPERLINK(IF(LEFT(T84,4)="http",T84,set_RMSBase&amp;T84),"Open opportunity")))</f>
        <v/>
      </c>
      <c r="V84" s="24" t="n"/>
      <c r="W84" s="25">
        <f>IF(V84="","",HYPERLINK(IF(LEFT(V84,4)="http",V84,set_QwilrBase&amp;V84),"Open quote"))</f>
        <v/>
      </c>
      <c r="X84" s="25">
        <f>IF(C84="","",C84)</f>
        <v/>
      </c>
      <c r="Y84" s="24" t="n"/>
      <c r="Z84" s="26" t="n"/>
      <c r="AA84" s="27">
        <f>IF(C84="","",H84+N(Z84))</f>
        <v/>
      </c>
      <c r="AB84" s="29">
        <f>IFERROR(Z84/AA84,"")</f>
        <v/>
      </c>
      <c r="AC84" s="26" t="n"/>
      <c r="AD84" s="26" t="n"/>
      <c r="AE84" s="26" t="n"/>
      <c r="AF84" s="26" t="n"/>
      <c r="AG84" s="27">
        <f>IF(C84="","",SUMIFS(tbl_Finance[Ex GST],tbl_Finance[Job Number],C84&amp;"",tbl_Finance[Cost Centre],"VIDEO"))</f>
        <v/>
      </c>
      <c r="AH84" s="29">
        <f>IFERROR(AG84/H84,"")</f>
        <v/>
      </c>
      <c r="AI84" s="27">
        <f>IF(C84="","",N(AC84)+N(AD84)+N(AE84)+N(AF84))</f>
        <v/>
      </c>
      <c r="AJ84" s="27">
        <f>IF(C84="","",H84+L84-AI84)</f>
        <v/>
      </c>
      <c r="AK84" s="29">
        <f>IFERROR(AJ84/(H84+L84),"")</f>
        <v/>
      </c>
      <c r="AL84" s="71" t="n"/>
      <c r="AM84" s="71" t="n"/>
      <c r="AN84" s="71" t="n"/>
      <c r="AO84" s="71" t="n"/>
      <c r="AP84" s="71" t="n"/>
      <c r="AQ84" s="24" t="n"/>
    </row>
    <row r="85" ht="15" customHeight="1">
      <c r="A85" s="70">
        <f>IF(C85="","",IFERROR(IF(SUMPRODUCT(MAX((tbl_Finance[Job Number]&amp;""=C85&amp;"")*(tbl_Finance[Xero Invoice No]&lt;&gt;"")*tbl_Finance[Date]))=0,"",SUMPRODUCT(MAX((tbl_Finance[Job Number]&amp;""=C85&amp;"")*(tbl_Finance[Xero Invoice No]&lt;&gt;"")*tbl_Finance[Date]))),""))</f>
        <v/>
      </c>
      <c r="B85" s="25">
        <f>IF(C85="","",IF(COUNTIFS(tbl_Finance[Job Number],C85&amp;"",tbl_Finance[Xero Invoice No],"&lt;&gt;")=0,"",IFERROR(IF(COUNTIFS(tbl_Finance[Job Number],C85&amp;"",tbl_Finance[Xero Invoice No],LOOKUP(2,1/((tbl_Finance[Job Number]&amp;""=C85&amp;"")*(tbl_Finance[Xero Invoice No]&lt;&gt;"")),tbl_Finance[Xero Invoice No]))=COUNTIFS(tbl_Finance[Job Number],C85&amp;"",tbl_Finance[Xero Invoice No],"&lt;&gt;"),LOOKUP(2,1/((tbl_Finance[Job Number]&amp;""=C85&amp;"")*(tbl_Finance[Xero Invoice No]&lt;&gt;"")),tbl_Finance[Xero Invoice No]),LOOKUP(2,1/((tbl_Finance[Job Number]&amp;""=C85&amp;"")*(tbl_Finance[Xero Invoice No]&lt;&gt;"")),tbl_Finance[Xero Invoice No])&amp;" +more"),"")))</f>
        <v/>
      </c>
      <c r="C85" s="24" t="n"/>
      <c r="D85" s="25">
        <f>IF(C85="","",IF(COUNTIF(lst_Jobs,C85&amp;"")&gt;0,"OK","CHECK"))</f>
        <v/>
      </c>
      <c r="E85" s="25">
        <f>IF(C85="","",IFERROR(INDEX(lst_JobName,MATCH(C85&amp;"",lst_Jobs,0)),""))</f>
        <v/>
      </c>
      <c r="F85" s="25">
        <f>IF(C85="","",IFERROR(INDEX(tbl_Finance[Client],IFERROR(MATCH(C85&amp;"",tbl_Finance[Job Number],0),MATCH(IFERROR(C85+0,C85),tbl_Finance[Job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6" t="n"/>
      <c r="L85" s="27">
        <f>IF(C85="","",IF(K85="",0,MAX(0,K85-H85)))</f>
        <v/>
      </c>
      <c r="M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N85" s="27">
        <f>IF(C85="","",SUMIFS(tbl_Finance[Inc GST],tbl_Finance[Job Number],C85&amp;""))</f>
        <v/>
      </c>
      <c r="O85" s="24" t="n"/>
      <c r="P85" s="25">
        <f>IF(C85="","",IFERROR(INDEX(tbl_Finance[Description],MATCH(C85&amp;"",tbl_Finance[Job Number],0)),""))</f>
        <v/>
      </c>
      <c r="Q85" s="24" t="n"/>
      <c r="R85" s="24" t="n"/>
      <c r="S85" s="22" t="n"/>
      <c r="T85" s="24" t="n"/>
      <c r="U85" s="25">
        <f>IF(T85="","",IF(AND(LEFT(T85,4)&lt;&gt;"http",set_RMSBase=""),"",HYPERLINK(IF(LEFT(T85,4)="http",T85,set_RMSBase&amp;T85),"Open opportunity")))</f>
        <v/>
      </c>
      <c r="V85" s="24" t="n"/>
      <c r="W85" s="25">
        <f>IF(V85="","",HYPERLINK(IF(LEFT(V85,4)="http",V85,set_QwilrBase&amp;V85),"Open quote"))</f>
        <v/>
      </c>
      <c r="X85" s="25">
        <f>IF(C85="","",C85)</f>
        <v/>
      </c>
      <c r="Y85" s="24" t="n"/>
      <c r="Z85" s="26" t="n"/>
      <c r="AA85" s="27">
        <f>IF(C85="","",H85+N(Z85))</f>
        <v/>
      </c>
      <c r="AB85" s="29">
        <f>IFERROR(Z85/AA85,"")</f>
        <v/>
      </c>
      <c r="AC85" s="26" t="n"/>
      <c r="AD85" s="26" t="n"/>
      <c r="AE85" s="26" t="n"/>
      <c r="AF85" s="26" t="n"/>
      <c r="AG85" s="27">
        <f>IF(C85="","",SUMIFS(tbl_Finance[Ex GST],tbl_Finance[Job Number],C85&amp;"",tbl_Finance[Cost Centre],"VIDEO"))</f>
        <v/>
      </c>
      <c r="AH85" s="29">
        <f>IFERROR(AG85/H85,"")</f>
        <v/>
      </c>
      <c r="AI85" s="27">
        <f>IF(C85="","",N(AC85)+N(AD85)+N(AE85)+N(AF85))</f>
        <v/>
      </c>
      <c r="AJ85" s="27">
        <f>IF(C85="","",H85+L85-AI85)</f>
        <v/>
      </c>
      <c r="AK85" s="29">
        <f>IFERROR(AJ85/(H85+L85),"")</f>
        <v/>
      </c>
      <c r="AL85" s="71" t="n"/>
      <c r="AM85" s="71" t="n"/>
      <c r="AN85" s="71" t="n"/>
      <c r="AO85" s="71" t="n"/>
      <c r="AP85" s="71" t="n"/>
      <c r="AQ85" s="24" t="n"/>
    </row>
    <row r="86" ht="15" customHeight="1">
      <c r="A86" s="70">
        <f>IF(C86="","",IFERROR(IF(SUMPRODUCT(MAX((tbl_Finance[Job Number]&amp;""=C86&amp;"")*(tbl_Finance[Xero Invoice No]&lt;&gt;"")*tbl_Finance[Date]))=0,"",SUMPRODUCT(MAX((tbl_Finance[Job Number]&amp;""=C86&amp;"")*(tbl_Finance[Xero Invoice No]&lt;&gt;"")*tbl_Finance[Date]))),""))</f>
        <v/>
      </c>
      <c r="B86" s="25">
        <f>IF(C86="","",IF(COUNTIFS(tbl_Finance[Job Number],C86&amp;"",tbl_Finance[Xero Invoice No],"&lt;&gt;")=0,"",IFERROR(IF(COUNTIFS(tbl_Finance[Job Number],C86&amp;"",tbl_Finance[Xero Invoice No],LOOKUP(2,1/((tbl_Finance[Job Number]&amp;""=C86&amp;"")*(tbl_Finance[Xero Invoice No]&lt;&gt;"")),tbl_Finance[Xero Invoice No]))=COUNTIFS(tbl_Finance[Job Number],C86&amp;"",tbl_Finance[Xero Invoice No],"&lt;&gt;"),LOOKUP(2,1/((tbl_Finance[Job Number]&amp;""=C86&amp;"")*(tbl_Finance[Xero Invoice No]&lt;&gt;"")),tbl_Finance[Xero Invoice No]),LOOKUP(2,1/((tbl_Finance[Job Number]&amp;""=C86&amp;"")*(tbl_Finance[Xero Invoice No]&lt;&gt;"")),tbl_Finance[Xero Invoice No])&amp;" +more"),"")))</f>
        <v/>
      </c>
      <c r="C86" s="24" t="n"/>
      <c r="D86" s="25">
        <f>IF(C86="","",IF(COUNTIF(lst_Jobs,C86&amp;"")&gt;0,"OK","CHECK"))</f>
        <v/>
      </c>
      <c r="E86" s="25">
        <f>IF(C86="","",IFERROR(INDEX(lst_JobName,MATCH(C86&amp;"",lst_Jobs,0)),""))</f>
        <v/>
      </c>
      <c r="F86" s="25">
        <f>IF(C86="","",IFERROR(INDEX(tbl_Finance[Client],IFERROR(MATCH(C86&amp;"",tbl_Finance[Job Number],0),MATCH(IFERROR(C86+0,C86),tbl_Finance[Job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6" t="n"/>
      <c r="L86" s="27">
        <f>IF(C86="","",IF(K86="",0,MAX(0,K86-H86)))</f>
        <v/>
      </c>
      <c r="M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N86" s="27">
        <f>IF(C86="","",SUMIFS(tbl_Finance[Inc GST],tbl_Finance[Job Number],C86&amp;""))</f>
        <v/>
      </c>
      <c r="O86" s="24" t="n"/>
      <c r="P86" s="25">
        <f>IF(C86="","",IFERROR(INDEX(tbl_Finance[Description],MATCH(C86&amp;"",tbl_Finance[Job Number],0)),""))</f>
        <v/>
      </c>
      <c r="Q86" s="24" t="n"/>
      <c r="R86" s="24" t="n"/>
      <c r="S86" s="22" t="n"/>
      <c r="T86" s="24" t="n"/>
      <c r="U86" s="25">
        <f>IF(T86="","",IF(AND(LEFT(T86,4)&lt;&gt;"http",set_RMSBase=""),"",HYPERLINK(IF(LEFT(T86,4)="http",T86,set_RMSBase&amp;T86),"Open opportunity")))</f>
        <v/>
      </c>
      <c r="V86" s="24" t="n"/>
      <c r="W86" s="25">
        <f>IF(V86="","",HYPERLINK(IF(LEFT(V86,4)="http",V86,set_QwilrBase&amp;V86),"Open quote"))</f>
        <v/>
      </c>
      <c r="X86" s="25">
        <f>IF(C86="","",C86)</f>
        <v/>
      </c>
      <c r="Y86" s="24" t="n"/>
      <c r="Z86" s="26" t="n"/>
      <c r="AA86" s="27">
        <f>IF(C86="","",H86+N(Z86))</f>
        <v/>
      </c>
      <c r="AB86" s="29">
        <f>IFERROR(Z86/AA86,"")</f>
        <v/>
      </c>
      <c r="AC86" s="26" t="n"/>
      <c r="AD86" s="26" t="n"/>
      <c r="AE86" s="26" t="n"/>
      <c r="AF86" s="26" t="n"/>
      <c r="AG86" s="27">
        <f>IF(C86="","",SUMIFS(tbl_Finance[Ex GST],tbl_Finance[Job Number],C86&amp;"",tbl_Finance[Cost Centre],"VIDEO"))</f>
        <v/>
      </c>
      <c r="AH86" s="29">
        <f>IFERROR(AG86/H86,"")</f>
        <v/>
      </c>
      <c r="AI86" s="27">
        <f>IF(C86="","",N(AC86)+N(AD86)+N(AE86)+N(AF86))</f>
        <v/>
      </c>
      <c r="AJ86" s="27">
        <f>IF(C86="","",H86+L86-AI86)</f>
        <v/>
      </c>
      <c r="AK86" s="29">
        <f>IFERROR(AJ86/(H86+L86),"")</f>
        <v/>
      </c>
      <c r="AL86" s="71" t="n"/>
      <c r="AM86" s="71" t="n"/>
      <c r="AN86" s="71" t="n"/>
      <c r="AO86" s="71" t="n"/>
      <c r="AP86" s="71" t="n"/>
      <c r="AQ86" s="24" t="n"/>
    </row>
    <row r="87" ht="15" customHeight="1">
      <c r="A87" s="70">
        <f>IF(C87="","",IFERROR(IF(SUMPRODUCT(MAX((tbl_Finance[Job Number]&amp;""=C87&amp;"")*(tbl_Finance[Xero Invoice No]&lt;&gt;"")*tbl_Finance[Date]))=0,"",SUMPRODUCT(MAX((tbl_Finance[Job Number]&amp;""=C87&amp;"")*(tbl_Finance[Xero Invoice No]&lt;&gt;"")*tbl_Finance[Date]))),""))</f>
        <v/>
      </c>
      <c r="B87" s="25">
        <f>IF(C87="","",IF(COUNTIFS(tbl_Finance[Job Number],C87&amp;"",tbl_Finance[Xero Invoice No],"&lt;&gt;")=0,"",IFERROR(IF(COUNTIFS(tbl_Finance[Job Number],C87&amp;"",tbl_Finance[Xero Invoice No],LOOKUP(2,1/((tbl_Finance[Job Number]&amp;""=C87&amp;"")*(tbl_Finance[Xero Invoice No]&lt;&gt;"")),tbl_Finance[Xero Invoice No]))=COUNTIFS(tbl_Finance[Job Number],C87&amp;"",tbl_Finance[Xero Invoice No],"&lt;&gt;"),LOOKUP(2,1/((tbl_Finance[Job Number]&amp;""=C87&amp;"")*(tbl_Finance[Xero Invoice No]&lt;&gt;"")),tbl_Finance[Xero Invoice No]),LOOKUP(2,1/((tbl_Finance[Job Number]&amp;""=C87&amp;"")*(tbl_Finance[Xero Invoice No]&lt;&gt;"")),tbl_Finance[Xero Invoice No])&amp;" +more"),"")))</f>
        <v/>
      </c>
      <c r="C87" s="24" t="n"/>
      <c r="D87" s="25">
        <f>IF(C87="","",IF(COUNTIF(lst_Jobs,C87&amp;"")&gt;0,"OK","CHECK"))</f>
        <v/>
      </c>
      <c r="E87" s="25">
        <f>IF(C87="","",IFERROR(INDEX(lst_JobName,MATCH(C87&amp;"",lst_Jobs,0)),""))</f>
        <v/>
      </c>
      <c r="F87" s="25">
        <f>IF(C87="","",IFERROR(INDEX(tbl_Finance[Client],IFERROR(MATCH(C87&amp;"",tbl_Finance[Job Number],0),MATCH(IFERROR(C87+0,C87),tbl_Finance[Job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6" t="n"/>
      <c r="L87" s="27">
        <f>IF(C87="","",IF(K87="",0,MAX(0,K87-H87)))</f>
        <v/>
      </c>
      <c r="M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N87" s="27">
        <f>IF(C87="","",SUMIFS(tbl_Finance[Inc GST],tbl_Finance[Job Number],C87&amp;""))</f>
        <v/>
      </c>
      <c r="O87" s="24" t="n"/>
      <c r="P87" s="25">
        <f>IF(C87="","",IFERROR(INDEX(tbl_Finance[Description],MATCH(C87&amp;"",tbl_Finance[Job Number],0)),""))</f>
        <v/>
      </c>
      <c r="Q87" s="24" t="n"/>
      <c r="R87" s="24" t="n"/>
      <c r="S87" s="22" t="n"/>
      <c r="T87" s="24" t="n"/>
      <c r="U87" s="25">
        <f>IF(T87="","",IF(AND(LEFT(T87,4)&lt;&gt;"http",set_RMSBase=""),"",HYPERLINK(IF(LEFT(T87,4)="http",T87,set_RMSBase&amp;T87),"Open opportunity")))</f>
        <v/>
      </c>
      <c r="V87" s="24" t="n"/>
      <c r="W87" s="25">
        <f>IF(V87="","",HYPERLINK(IF(LEFT(V87,4)="http",V87,set_QwilrBase&amp;V87),"Open quote"))</f>
        <v/>
      </c>
      <c r="X87" s="25">
        <f>IF(C87="","",C87)</f>
        <v/>
      </c>
      <c r="Y87" s="24" t="n"/>
      <c r="Z87" s="26" t="n"/>
      <c r="AA87" s="27">
        <f>IF(C87="","",H87+N(Z87))</f>
        <v/>
      </c>
      <c r="AB87" s="29">
        <f>IFERROR(Z87/AA87,"")</f>
        <v/>
      </c>
      <c r="AC87" s="26" t="n"/>
      <c r="AD87" s="26" t="n"/>
      <c r="AE87" s="26" t="n"/>
      <c r="AF87" s="26" t="n"/>
      <c r="AG87" s="27">
        <f>IF(C87="","",SUMIFS(tbl_Finance[Ex GST],tbl_Finance[Job Number],C87&amp;"",tbl_Finance[Cost Centre],"VIDEO"))</f>
        <v/>
      </c>
      <c r="AH87" s="29">
        <f>IFERROR(AG87/H87,"")</f>
        <v/>
      </c>
      <c r="AI87" s="27">
        <f>IF(C87="","",N(AC87)+N(AD87)+N(AE87)+N(AF87))</f>
        <v/>
      </c>
      <c r="AJ87" s="27">
        <f>IF(C87="","",H87+L87-AI87)</f>
        <v/>
      </c>
      <c r="AK87" s="29">
        <f>IFERROR(AJ87/(H87+L87),"")</f>
        <v/>
      </c>
      <c r="AL87" s="71" t="n"/>
      <c r="AM87" s="71" t="n"/>
      <c r="AN87" s="71" t="n"/>
      <c r="AO87" s="71" t="n"/>
      <c r="AP87" s="71" t="n"/>
      <c r="AQ87" s="24" t="n"/>
    </row>
    <row r="88" ht="15" customHeight="1">
      <c r="A88" s="70">
        <f>IF(C88="","",IFERROR(IF(SUMPRODUCT(MAX((tbl_Finance[Job Number]&amp;""=C88&amp;"")*(tbl_Finance[Xero Invoice No]&lt;&gt;"")*tbl_Finance[Date]))=0,"",SUMPRODUCT(MAX((tbl_Finance[Job Number]&amp;""=C88&amp;"")*(tbl_Finance[Xero Invoice No]&lt;&gt;"")*tbl_Finance[Date]))),""))</f>
        <v/>
      </c>
      <c r="B88" s="25">
        <f>IF(C88="","",IF(COUNTIFS(tbl_Finance[Job Number],C88&amp;"",tbl_Finance[Xero Invoice No],"&lt;&gt;")=0,"",IFERROR(IF(COUNTIFS(tbl_Finance[Job Number],C88&amp;"",tbl_Finance[Xero Invoice No],LOOKUP(2,1/((tbl_Finance[Job Number]&amp;""=C88&amp;"")*(tbl_Finance[Xero Invoice No]&lt;&gt;"")),tbl_Finance[Xero Invoice No]))=COUNTIFS(tbl_Finance[Job Number],C88&amp;"",tbl_Finance[Xero Invoice No],"&lt;&gt;"),LOOKUP(2,1/((tbl_Finance[Job Number]&amp;""=C88&amp;"")*(tbl_Finance[Xero Invoice No]&lt;&gt;"")),tbl_Finance[Xero Invoice No]),LOOKUP(2,1/((tbl_Finance[Job Number]&amp;""=C88&amp;"")*(tbl_Finance[Xero Invoice No]&lt;&gt;"")),tbl_Finance[Xero Invoice No])&amp;" +more"),"")))</f>
        <v/>
      </c>
      <c r="C88" s="24" t="n"/>
      <c r="D88" s="25">
        <f>IF(C88="","",IF(COUNTIF(lst_Jobs,C88&amp;"")&gt;0,"OK","CHECK"))</f>
        <v/>
      </c>
      <c r="E88" s="25">
        <f>IF(C88="","",IFERROR(INDEX(lst_JobName,MATCH(C88&amp;"",lst_Jobs,0)),""))</f>
        <v/>
      </c>
      <c r="F88" s="25">
        <f>IF(C88="","",IFERROR(INDEX(tbl_Finance[Client],IFERROR(MATCH(C88&amp;"",tbl_Finance[Job Number],0),MATCH(IFERROR(C88+0,C88),tbl_Finance[Job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6" t="n"/>
      <c r="L88" s="27">
        <f>IF(C88="","",IF(K88="",0,MAX(0,K88-H88)))</f>
        <v/>
      </c>
      <c r="M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N88" s="27">
        <f>IF(C88="","",SUMIFS(tbl_Finance[Inc GST],tbl_Finance[Job Number],C88&amp;""))</f>
        <v/>
      </c>
      <c r="O88" s="24" t="n"/>
      <c r="P88" s="25">
        <f>IF(C88="","",IFERROR(INDEX(tbl_Finance[Description],MATCH(C88&amp;"",tbl_Finance[Job Number],0)),""))</f>
        <v/>
      </c>
      <c r="Q88" s="24" t="n"/>
      <c r="R88" s="24" t="n"/>
      <c r="S88" s="22" t="n"/>
      <c r="T88" s="24" t="n"/>
      <c r="U88" s="25">
        <f>IF(T88="","",IF(AND(LEFT(T88,4)&lt;&gt;"http",set_RMSBase=""),"",HYPERLINK(IF(LEFT(T88,4)="http",T88,set_RMSBase&amp;T88),"Open opportunity")))</f>
        <v/>
      </c>
      <c r="V88" s="24" t="n"/>
      <c r="W88" s="25">
        <f>IF(V88="","",HYPERLINK(IF(LEFT(V88,4)="http",V88,set_QwilrBase&amp;V88),"Open quote"))</f>
        <v/>
      </c>
      <c r="X88" s="25">
        <f>IF(C88="","",C88)</f>
        <v/>
      </c>
      <c r="Y88" s="24" t="n"/>
      <c r="Z88" s="26" t="n"/>
      <c r="AA88" s="27">
        <f>IF(C88="","",H88+N(Z88))</f>
        <v/>
      </c>
      <c r="AB88" s="29">
        <f>IFERROR(Z88/AA88,"")</f>
        <v/>
      </c>
      <c r="AC88" s="26" t="n"/>
      <c r="AD88" s="26" t="n"/>
      <c r="AE88" s="26" t="n"/>
      <c r="AF88" s="26" t="n"/>
      <c r="AG88" s="27">
        <f>IF(C88="","",SUMIFS(tbl_Finance[Ex GST],tbl_Finance[Job Number],C88&amp;"",tbl_Finance[Cost Centre],"VIDEO"))</f>
        <v/>
      </c>
      <c r="AH88" s="29">
        <f>IFERROR(AG88/H88,"")</f>
        <v/>
      </c>
      <c r="AI88" s="27">
        <f>IF(C88="","",N(AC88)+N(AD88)+N(AE88)+N(AF88))</f>
        <v/>
      </c>
      <c r="AJ88" s="27">
        <f>IF(C88="","",H88+L88-AI88)</f>
        <v/>
      </c>
      <c r="AK88" s="29">
        <f>IFERROR(AJ88/(H88+L88),"")</f>
        <v/>
      </c>
      <c r="AL88" s="71" t="n"/>
      <c r="AM88" s="71" t="n"/>
      <c r="AN88" s="71" t="n"/>
      <c r="AO88" s="71" t="n"/>
      <c r="AP88" s="71" t="n"/>
      <c r="AQ88" s="24" t="n"/>
    </row>
    <row r="89" ht="15" customHeight="1">
      <c r="A89" s="70">
        <f>IF(C89="","",IFERROR(IF(SUMPRODUCT(MAX((tbl_Finance[Job Number]&amp;""=C89&amp;"")*(tbl_Finance[Xero Invoice No]&lt;&gt;"")*tbl_Finance[Date]))=0,"",SUMPRODUCT(MAX((tbl_Finance[Job Number]&amp;""=C89&amp;"")*(tbl_Finance[Xero Invoice No]&lt;&gt;"")*tbl_Finance[Date]))),""))</f>
        <v/>
      </c>
      <c r="B89" s="25">
        <f>IF(C89="","",IF(COUNTIFS(tbl_Finance[Job Number],C89&amp;"",tbl_Finance[Xero Invoice No],"&lt;&gt;")=0,"",IFERROR(IF(COUNTIFS(tbl_Finance[Job Number],C89&amp;"",tbl_Finance[Xero Invoice No],LOOKUP(2,1/((tbl_Finance[Job Number]&amp;""=C89&amp;"")*(tbl_Finance[Xero Invoice No]&lt;&gt;"")),tbl_Finance[Xero Invoice No]))=COUNTIFS(tbl_Finance[Job Number],C89&amp;"",tbl_Finance[Xero Invoice No],"&lt;&gt;"),LOOKUP(2,1/((tbl_Finance[Job Number]&amp;""=C89&amp;"")*(tbl_Finance[Xero Invoice No]&lt;&gt;"")),tbl_Finance[Xero Invoice No]),LOOKUP(2,1/((tbl_Finance[Job Number]&amp;""=C89&amp;"")*(tbl_Finance[Xero Invoice No]&lt;&gt;"")),tbl_Finance[Xero Invoice No])&amp;" +more"),"")))</f>
        <v/>
      </c>
      <c r="C89" s="24" t="n"/>
      <c r="D89" s="25">
        <f>IF(C89="","",IF(COUNTIF(lst_Jobs,C89&amp;"")&gt;0,"OK","CHECK"))</f>
        <v/>
      </c>
      <c r="E89" s="25">
        <f>IF(C89="","",IFERROR(INDEX(lst_JobName,MATCH(C89&amp;"",lst_Jobs,0)),""))</f>
        <v/>
      </c>
      <c r="F89" s="25">
        <f>IF(C89="","",IFERROR(INDEX(tbl_Finance[Client],IFERROR(MATCH(C89&amp;"",tbl_Finance[Job Number],0),MATCH(IFERROR(C89+0,C89),tbl_Finance[Job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6" t="n"/>
      <c r="L89" s="27">
        <f>IF(C89="","",IF(K89="",0,MAX(0,K89-H89)))</f>
        <v/>
      </c>
      <c r="M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N89" s="27">
        <f>IF(C89="","",SUMIFS(tbl_Finance[Inc GST],tbl_Finance[Job Number],C89&amp;""))</f>
        <v/>
      </c>
      <c r="O89" s="24" t="n"/>
      <c r="P89" s="25">
        <f>IF(C89="","",IFERROR(INDEX(tbl_Finance[Description],MATCH(C89&amp;"",tbl_Finance[Job Number],0)),""))</f>
        <v/>
      </c>
      <c r="Q89" s="24" t="n"/>
      <c r="R89" s="24" t="n"/>
      <c r="S89" s="22" t="n"/>
      <c r="T89" s="24" t="n"/>
      <c r="U89" s="25">
        <f>IF(T89="","",IF(AND(LEFT(T89,4)&lt;&gt;"http",set_RMSBase=""),"",HYPERLINK(IF(LEFT(T89,4)="http",T89,set_RMSBase&amp;T89),"Open opportunity")))</f>
        <v/>
      </c>
      <c r="V89" s="24" t="n"/>
      <c r="W89" s="25">
        <f>IF(V89="","",HYPERLINK(IF(LEFT(V89,4)="http",V89,set_QwilrBase&amp;V89),"Open quote"))</f>
        <v/>
      </c>
      <c r="X89" s="25">
        <f>IF(C89="","",C89)</f>
        <v/>
      </c>
      <c r="Y89" s="24" t="n"/>
      <c r="Z89" s="26" t="n"/>
      <c r="AA89" s="27">
        <f>IF(C89="","",H89+N(Z89))</f>
        <v/>
      </c>
      <c r="AB89" s="29">
        <f>IFERROR(Z89/AA89,"")</f>
        <v/>
      </c>
      <c r="AC89" s="26" t="n"/>
      <c r="AD89" s="26" t="n"/>
      <c r="AE89" s="26" t="n"/>
      <c r="AF89" s="26" t="n"/>
      <c r="AG89" s="27">
        <f>IF(C89="","",SUMIFS(tbl_Finance[Ex GST],tbl_Finance[Job Number],C89&amp;"",tbl_Finance[Cost Centre],"VIDEO"))</f>
        <v/>
      </c>
      <c r="AH89" s="29">
        <f>IFERROR(AG89/H89,"")</f>
        <v/>
      </c>
      <c r="AI89" s="27">
        <f>IF(C89="","",N(AC89)+N(AD89)+N(AE89)+N(AF89))</f>
        <v/>
      </c>
      <c r="AJ89" s="27">
        <f>IF(C89="","",H89+L89-AI89)</f>
        <v/>
      </c>
      <c r="AK89" s="29">
        <f>IFERROR(AJ89/(H89+L89),"")</f>
        <v/>
      </c>
      <c r="AL89" s="71" t="n"/>
      <c r="AM89" s="71" t="n"/>
      <c r="AN89" s="71" t="n"/>
      <c r="AO89" s="71" t="n"/>
      <c r="AP89" s="71" t="n"/>
      <c r="AQ89" s="24" t="n"/>
    </row>
    <row r="90" ht="15" customHeight="1">
      <c r="A90" s="70">
        <f>IF(C90="","",IFERROR(IF(SUMPRODUCT(MAX((tbl_Finance[Job Number]&amp;""=C90&amp;"")*(tbl_Finance[Xero Invoice No]&lt;&gt;"")*tbl_Finance[Date]))=0,"",SUMPRODUCT(MAX((tbl_Finance[Job Number]&amp;""=C90&amp;"")*(tbl_Finance[Xero Invoice No]&lt;&gt;"")*tbl_Finance[Date]))),""))</f>
        <v/>
      </c>
      <c r="B90" s="25">
        <f>IF(C90="","",IF(COUNTIFS(tbl_Finance[Job Number],C90&amp;"",tbl_Finance[Xero Invoice No],"&lt;&gt;")=0,"",IFERROR(IF(COUNTIFS(tbl_Finance[Job Number],C90&amp;"",tbl_Finance[Xero Invoice No],LOOKUP(2,1/((tbl_Finance[Job Number]&amp;""=C90&amp;"")*(tbl_Finance[Xero Invoice No]&lt;&gt;"")),tbl_Finance[Xero Invoice No]))=COUNTIFS(tbl_Finance[Job Number],C90&amp;"",tbl_Finance[Xero Invoice No],"&lt;&gt;"),LOOKUP(2,1/((tbl_Finance[Job Number]&amp;""=C90&amp;"")*(tbl_Finance[Xero Invoice No]&lt;&gt;"")),tbl_Finance[Xero Invoice No]),LOOKUP(2,1/((tbl_Finance[Job Number]&amp;""=C90&amp;"")*(tbl_Finance[Xero Invoice No]&lt;&gt;"")),tbl_Finance[Xero Invoice No])&amp;" +more"),"")))</f>
        <v/>
      </c>
      <c r="C90" s="24" t="n"/>
      <c r="D90" s="25">
        <f>IF(C90="","",IF(COUNTIF(lst_Jobs,C90&amp;"")&gt;0,"OK","CHECK"))</f>
        <v/>
      </c>
      <c r="E90" s="25">
        <f>IF(C90="","",IFERROR(INDEX(lst_JobName,MATCH(C90&amp;"",lst_Jobs,0)),""))</f>
        <v/>
      </c>
      <c r="F90" s="25">
        <f>IF(C90="","",IFERROR(INDEX(tbl_Finance[Client],IFERROR(MATCH(C90&amp;"",tbl_Finance[Job Number],0),MATCH(IFERROR(C90+0,C90),tbl_Finance[Job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6" t="n"/>
      <c r="L90" s="27">
        <f>IF(C90="","",IF(K90="",0,MAX(0,K90-H90)))</f>
        <v/>
      </c>
      <c r="M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N90" s="27">
        <f>IF(C90="","",SUMIFS(tbl_Finance[Inc GST],tbl_Finance[Job Number],C90&amp;""))</f>
        <v/>
      </c>
      <c r="O90" s="24" t="n"/>
      <c r="P90" s="25">
        <f>IF(C90="","",IFERROR(INDEX(tbl_Finance[Description],MATCH(C90&amp;"",tbl_Finance[Job Number],0)),""))</f>
        <v/>
      </c>
      <c r="Q90" s="24" t="n"/>
      <c r="R90" s="24" t="n"/>
      <c r="S90" s="22" t="n"/>
      <c r="T90" s="24" t="n"/>
      <c r="U90" s="25">
        <f>IF(T90="","",IF(AND(LEFT(T90,4)&lt;&gt;"http",set_RMSBase=""),"",HYPERLINK(IF(LEFT(T90,4)="http",T90,set_RMSBase&amp;T90),"Open opportunity")))</f>
        <v/>
      </c>
      <c r="V90" s="24" t="n"/>
      <c r="W90" s="25">
        <f>IF(V90="","",HYPERLINK(IF(LEFT(V90,4)="http",V90,set_QwilrBase&amp;V90),"Open quote"))</f>
        <v/>
      </c>
      <c r="X90" s="25">
        <f>IF(C90="","",C90)</f>
        <v/>
      </c>
      <c r="Y90" s="24" t="n"/>
      <c r="Z90" s="26" t="n"/>
      <c r="AA90" s="27">
        <f>IF(C90="","",H90+N(Z90))</f>
        <v/>
      </c>
      <c r="AB90" s="29">
        <f>IFERROR(Z90/AA90,"")</f>
        <v/>
      </c>
      <c r="AC90" s="26" t="n"/>
      <c r="AD90" s="26" t="n"/>
      <c r="AE90" s="26" t="n"/>
      <c r="AF90" s="26" t="n"/>
      <c r="AG90" s="27">
        <f>IF(C90="","",SUMIFS(tbl_Finance[Ex GST],tbl_Finance[Job Number],C90&amp;"",tbl_Finance[Cost Centre],"VIDEO"))</f>
        <v/>
      </c>
      <c r="AH90" s="29">
        <f>IFERROR(AG90/H90,"")</f>
        <v/>
      </c>
      <c r="AI90" s="27">
        <f>IF(C90="","",N(AC90)+N(AD90)+N(AE90)+N(AF90))</f>
        <v/>
      </c>
      <c r="AJ90" s="27">
        <f>IF(C90="","",H90+L90-AI90)</f>
        <v/>
      </c>
      <c r="AK90" s="29">
        <f>IFERROR(AJ90/(H90+L90),"")</f>
        <v/>
      </c>
      <c r="AL90" s="71" t="n"/>
      <c r="AM90" s="71" t="n"/>
      <c r="AN90" s="71" t="n"/>
      <c r="AO90" s="71" t="n"/>
      <c r="AP90" s="71" t="n"/>
      <c r="AQ90" s="24" t="n"/>
    </row>
    <row r="91" ht="15" customHeight="1">
      <c r="A91" s="70">
        <f>IF(C91="","",IFERROR(IF(SUMPRODUCT(MAX((tbl_Finance[Job Number]&amp;""=C91&amp;"")*(tbl_Finance[Xero Invoice No]&lt;&gt;"")*tbl_Finance[Date]))=0,"",SUMPRODUCT(MAX((tbl_Finance[Job Number]&amp;""=C91&amp;"")*(tbl_Finance[Xero Invoice No]&lt;&gt;"")*tbl_Finance[Date]))),""))</f>
        <v/>
      </c>
      <c r="B91" s="25">
        <f>IF(C91="","",IF(COUNTIFS(tbl_Finance[Job Number],C91&amp;"",tbl_Finance[Xero Invoice No],"&lt;&gt;")=0,"",IFERROR(IF(COUNTIFS(tbl_Finance[Job Number],C91&amp;"",tbl_Finance[Xero Invoice No],LOOKUP(2,1/((tbl_Finance[Job Number]&amp;""=C91&amp;"")*(tbl_Finance[Xero Invoice No]&lt;&gt;"")),tbl_Finance[Xero Invoice No]))=COUNTIFS(tbl_Finance[Job Number],C91&amp;"",tbl_Finance[Xero Invoice No],"&lt;&gt;"),LOOKUP(2,1/((tbl_Finance[Job Number]&amp;""=C91&amp;"")*(tbl_Finance[Xero Invoice No]&lt;&gt;"")),tbl_Finance[Xero Invoice No]),LOOKUP(2,1/((tbl_Finance[Job Number]&amp;""=C91&amp;"")*(tbl_Finance[Xero Invoice No]&lt;&gt;"")),tbl_Finance[Xero Invoice No])&amp;" +more"),"")))</f>
        <v/>
      </c>
      <c r="C91" s="24" t="n"/>
      <c r="D91" s="25">
        <f>IF(C91="","",IF(COUNTIF(lst_Jobs,C91&amp;"")&gt;0,"OK","CHECK"))</f>
        <v/>
      </c>
      <c r="E91" s="25">
        <f>IF(C91="","",IFERROR(INDEX(lst_JobName,MATCH(C91&amp;"",lst_Jobs,0)),""))</f>
        <v/>
      </c>
      <c r="F91" s="25">
        <f>IF(C91="","",IFERROR(INDEX(tbl_Finance[Client],IFERROR(MATCH(C91&amp;"",tbl_Finance[Job Number],0),MATCH(IFERROR(C91+0,C91),tbl_Finance[Job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6" t="n"/>
      <c r="L91" s="27">
        <f>IF(C91="","",IF(K91="",0,MAX(0,K91-H91)))</f>
        <v/>
      </c>
      <c r="M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N91" s="27">
        <f>IF(C91="","",SUMIFS(tbl_Finance[Inc GST],tbl_Finance[Job Number],C91&amp;""))</f>
        <v/>
      </c>
      <c r="O91" s="24" t="n"/>
      <c r="P91" s="25">
        <f>IF(C91="","",IFERROR(INDEX(tbl_Finance[Description],MATCH(C91&amp;"",tbl_Finance[Job Number],0)),""))</f>
        <v/>
      </c>
      <c r="Q91" s="24" t="n"/>
      <c r="R91" s="24" t="n"/>
      <c r="S91" s="22" t="n"/>
      <c r="T91" s="24" t="n"/>
      <c r="U91" s="25">
        <f>IF(T91="","",IF(AND(LEFT(T91,4)&lt;&gt;"http",set_RMSBase=""),"",HYPERLINK(IF(LEFT(T91,4)="http",T91,set_RMSBase&amp;T91),"Open opportunity")))</f>
        <v/>
      </c>
      <c r="V91" s="24" t="n"/>
      <c r="W91" s="25">
        <f>IF(V91="","",HYPERLINK(IF(LEFT(V91,4)="http",V91,set_QwilrBase&amp;V91),"Open quote"))</f>
        <v/>
      </c>
      <c r="X91" s="25">
        <f>IF(C91="","",C91)</f>
        <v/>
      </c>
      <c r="Y91" s="24" t="n"/>
      <c r="Z91" s="26" t="n"/>
      <c r="AA91" s="27">
        <f>IF(C91="","",H91+N(Z91))</f>
        <v/>
      </c>
      <c r="AB91" s="29">
        <f>IFERROR(Z91/AA91,"")</f>
        <v/>
      </c>
      <c r="AC91" s="26" t="n"/>
      <c r="AD91" s="26" t="n"/>
      <c r="AE91" s="26" t="n"/>
      <c r="AF91" s="26" t="n"/>
      <c r="AG91" s="27">
        <f>IF(C91="","",SUMIFS(tbl_Finance[Ex GST],tbl_Finance[Job Number],C91&amp;"",tbl_Finance[Cost Centre],"VIDEO"))</f>
        <v/>
      </c>
      <c r="AH91" s="29">
        <f>IFERROR(AG91/H91,"")</f>
        <v/>
      </c>
      <c r="AI91" s="27">
        <f>IF(C91="","",N(AC91)+N(AD91)+N(AE91)+N(AF91))</f>
        <v/>
      </c>
      <c r="AJ91" s="27">
        <f>IF(C91="","",H91+L91-AI91)</f>
        <v/>
      </c>
      <c r="AK91" s="29">
        <f>IFERROR(AJ91/(H91+L91),"")</f>
        <v/>
      </c>
      <c r="AL91" s="71" t="n"/>
      <c r="AM91" s="71" t="n"/>
      <c r="AN91" s="71" t="n"/>
      <c r="AO91" s="71" t="n"/>
      <c r="AP91" s="71" t="n"/>
      <c r="AQ91" s="24" t="n"/>
    </row>
    <row r="92" ht="15" customHeight="1">
      <c r="A92" s="70">
        <f>IF(C92="","",IFERROR(IF(SUMPRODUCT(MAX((tbl_Finance[Job Number]&amp;""=C92&amp;"")*(tbl_Finance[Xero Invoice No]&lt;&gt;"")*tbl_Finance[Date]))=0,"",SUMPRODUCT(MAX((tbl_Finance[Job Number]&amp;""=C92&amp;"")*(tbl_Finance[Xero Invoice No]&lt;&gt;"")*tbl_Finance[Date]))),""))</f>
        <v/>
      </c>
      <c r="B92" s="25">
        <f>IF(C92="","",IF(COUNTIFS(tbl_Finance[Job Number],C92&amp;"",tbl_Finance[Xero Invoice No],"&lt;&gt;")=0,"",IFERROR(IF(COUNTIFS(tbl_Finance[Job Number],C92&amp;"",tbl_Finance[Xero Invoice No],LOOKUP(2,1/((tbl_Finance[Job Number]&amp;""=C92&amp;"")*(tbl_Finance[Xero Invoice No]&lt;&gt;"")),tbl_Finance[Xero Invoice No]))=COUNTIFS(tbl_Finance[Job Number],C92&amp;"",tbl_Finance[Xero Invoice No],"&lt;&gt;"),LOOKUP(2,1/((tbl_Finance[Job Number]&amp;""=C92&amp;"")*(tbl_Finance[Xero Invoice No]&lt;&gt;"")),tbl_Finance[Xero Invoice No]),LOOKUP(2,1/((tbl_Finance[Job Number]&amp;""=C92&amp;"")*(tbl_Finance[Xero Invoice No]&lt;&gt;"")),tbl_Finance[Xero Invoice No])&amp;" +more"),"")))</f>
        <v/>
      </c>
      <c r="C92" s="24" t="n"/>
      <c r="D92" s="25">
        <f>IF(C92="","",IF(COUNTIF(lst_Jobs,C92&amp;"")&gt;0,"OK","CHECK"))</f>
        <v/>
      </c>
      <c r="E92" s="25">
        <f>IF(C92="","",IFERROR(INDEX(lst_JobName,MATCH(C92&amp;"",lst_Jobs,0)),""))</f>
        <v/>
      </c>
      <c r="F92" s="25">
        <f>IF(C92="","",IFERROR(INDEX(tbl_Finance[Client],IFERROR(MATCH(C92&amp;"",tbl_Finance[Job Number],0),MATCH(IFERROR(C92+0,C92),tbl_Finance[Job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6" t="n"/>
      <c r="L92" s="27">
        <f>IF(C92="","",IF(K92="",0,MAX(0,K92-H92)))</f>
        <v/>
      </c>
      <c r="M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N92" s="27">
        <f>IF(C92="","",SUMIFS(tbl_Finance[Inc GST],tbl_Finance[Job Number],C92&amp;""))</f>
        <v/>
      </c>
      <c r="O92" s="24" t="n"/>
      <c r="P92" s="25">
        <f>IF(C92="","",IFERROR(INDEX(tbl_Finance[Description],MATCH(C92&amp;"",tbl_Finance[Job Number],0)),""))</f>
        <v/>
      </c>
      <c r="Q92" s="24" t="n"/>
      <c r="R92" s="24" t="n"/>
      <c r="S92" s="22" t="n"/>
      <c r="T92" s="24" t="n"/>
      <c r="U92" s="25">
        <f>IF(T92="","",IF(AND(LEFT(T92,4)&lt;&gt;"http",set_RMSBase=""),"",HYPERLINK(IF(LEFT(T92,4)="http",T92,set_RMSBase&amp;T92),"Open opportunity")))</f>
        <v/>
      </c>
      <c r="V92" s="24" t="n"/>
      <c r="W92" s="25">
        <f>IF(V92="","",HYPERLINK(IF(LEFT(V92,4)="http",V92,set_QwilrBase&amp;V92),"Open quote"))</f>
        <v/>
      </c>
      <c r="X92" s="25">
        <f>IF(C92="","",C92)</f>
        <v/>
      </c>
      <c r="Y92" s="24" t="n"/>
      <c r="Z92" s="26" t="n"/>
      <c r="AA92" s="27">
        <f>IF(C92="","",H92+N(Z92))</f>
        <v/>
      </c>
      <c r="AB92" s="29">
        <f>IFERROR(Z92/AA92,"")</f>
        <v/>
      </c>
      <c r="AC92" s="26" t="n"/>
      <c r="AD92" s="26" t="n"/>
      <c r="AE92" s="26" t="n"/>
      <c r="AF92" s="26" t="n"/>
      <c r="AG92" s="27">
        <f>IF(C92="","",SUMIFS(tbl_Finance[Ex GST],tbl_Finance[Job Number],C92&amp;"",tbl_Finance[Cost Centre],"VIDEO"))</f>
        <v/>
      </c>
      <c r="AH92" s="29">
        <f>IFERROR(AG92/H92,"")</f>
        <v/>
      </c>
      <c r="AI92" s="27">
        <f>IF(C92="","",N(AC92)+N(AD92)+N(AE92)+N(AF92))</f>
        <v/>
      </c>
      <c r="AJ92" s="27">
        <f>IF(C92="","",H92+L92-AI92)</f>
        <v/>
      </c>
      <c r="AK92" s="29">
        <f>IFERROR(AJ92/(H92+L92),"")</f>
        <v/>
      </c>
      <c r="AL92" s="71" t="n"/>
      <c r="AM92" s="71" t="n"/>
      <c r="AN92" s="71" t="n"/>
      <c r="AO92" s="71" t="n"/>
      <c r="AP92" s="71" t="n"/>
      <c r="AQ92" s="24" t="n"/>
    </row>
    <row r="93" ht="15" customHeight="1">
      <c r="A93" s="70">
        <f>IF(C93="","",IFERROR(IF(SUMPRODUCT(MAX((tbl_Finance[Job Number]&amp;""=C93&amp;"")*(tbl_Finance[Xero Invoice No]&lt;&gt;"")*tbl_Finance[Date]))=0,"",SUMPRODUCT(MAX((tbl_Finance[Job Number]&amp;""=C93&amp;"")*(tbl_Finance[Xero Invoice No]&lt;&gt;"")*tbl_Finance[Date]))),""))</f>
        <v/>
      </c>
      <c r="B93" s="25">
        <f>IF(C93="","",IF(COUNTIFS(tbl_Finance[Job Number],C93&amp;"",tbl_Finance[Xero Invoice No],"&lt;&gt;")=0,"",IFERROR(IF(COUNTIFS(tbl_Finance[Job Number],C93&amp;"",tbl_Finance[Xero Invoice No],LOOKUP(2,1/((tbl_Finance[Job Number]&amp;""=C93&amp;"")*(tbl_Finance[Xero Invoice No]&lt;&gt;"")),tbl_Finance[Xero Invoice No]))=COUNTIFS(tbl_Finance[Job Number],C93&amp;"",tbl_Finance[Xero Invoice No],"&lt;&gt;"),LOOKUP(2,1/((tbl_Finance[Job Number]&amp;""=C93&amp;"")*(tbl_Finance[Xero Invoice No]&lt;&gt;"")),tbl_Finance[Xero Invoice No]),LOOKUP(2,1/((tbl_Finance[Job Number]&amp;""=C93&amp;"")*(tbl_Finance[Xero Invoice No]&lt;&gt;"")),tbl_Finance[Xero Invoice No])&amp;" +more"),"")))</f>
        <v/>
      </c>
      <c r="C93" s="24" t="n"/>
      <c r="D93" s="25">
        <f>IF(C93="","",IF(COUNTIF(lst_Jobs,C93&amp;"")&gt;0,"OK","CHECK"))</f>
        <v/>
      </c>
      <c r="E93" s="25">
        <f>IF(C93="","",IFERROR(INDEX(lst_JobName,MATCH(C93&amp;"",lst_Jobs,0)),""))</f>
        <v/>
      </c>
      <c r="F93" s="25">
        <f>IF(C93="","",IFERROR(INDEX(tbl_Finance[Client],IFERROR(MATCH(C93&amp;"",tbl_Finance[Job Number],0),MATCH(IFERROR(C93+0,C93),tbl_Finance[Job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6" t="n"/>
      <c r="L93" s="27">
        <f>IF(C93="","",IF(K93="",0,MAX(0,K93-H93)))</f>
        <v/>
      </c>
      <c r="M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N93" s="27">
        <f>IF(C93="","",SUMIFS(tbl_Finance[Inc GST],tbl_Finance[Job Number],C93&amp;""))</f>
        <v/>
      </c>
      <c r="O93" s="24" t="n"/>
      <c r="P93" s="25">
        <f>IF(C93="","",IFERROR(INDEX(tbl_Finance[Description],MATCH(C93&amp;"",tbl_Finance[Job Number],0)),""))</f>
        <v/>
      </c>
      <c r="Q93" s="24" t="n"/>
      <c r="R93" s="24" t="n"/>
      <c r="S93" s="22" t="n"/>
      <c r="T93" s="24" t="n"/>
      <c r="U93" s="25">
        <f>IF(T93="","",IF(AND(LEFT(T93,4)&lt;&gt;"http",set_RMSBase=""),"",HYPERLINK(IF(LEFT(T93,4)="http",T93,set_RMSBase&amp;T93),"Open opportunity")))</f>
        <v/>
      </c>
      <c r="V93" s="24" t="n"/>
      <c r="W93" s="25">
        <f>IF(V93="","",HYPERLINK(IF(LEFT(V93,4)="http",V93,set_QwilrBase&amp;V93),"Open quote"))</f>
        <v/>
      </c>
      <c r="X93" s="25">
        <f>IF(C93="","",C93)</f>
        <v/>
      </c>
      <c r="Y93" s="24" t="n"/>
      <c r="Z93" s="26" t="n"/>
      <c r="AA93" s="27">
        <f>IF(C93="","",H93+N(Z93))</f>
        <v/>
      </c>
      <c r="AB93" s="29">
        <f>IFERROR(Z93/AA93,"")</f>
        <v/>
      </c>
      <c r="AC93" s="26" t="n"/>
      <c r="AD93" s="26" t="n"/>
      <c r="AE93" s="26" t="n"/>
      <c r="AF93" s="26" t="n"/>
      <c r="AG93" s="27">
        <f>IF(C93="","",SUMIFS(tbl_Finance[Ex GST],tbl_Finance[Job Number],C93&amp;"",tbl_Finance[Cost Centre],"VIDEO"))</f>
        <v/>
      </c>
      <c r="AH93" s="29">
        <f>IFERROR(AG93/H93,"")</f>
        <v/>
      </c>
      <c r="AI93" s="27">
        <f>IF(C93="","",N(AC93)+N(AD93)+N(AE93)+N(AF93))</f>
        <v/>
      </c>
      <c r="AJ93" s="27">
        <f>IF(C93="","",H93+L93-AI93)</f>
        <v/>
      </c>
      <c r="AK93" s="29">
        <f>IFERROR(AJ93/(H93+L93),"")</f>
        <v/>
      </c>
      <c r="AL93" s="71" t="n"/>
      <c r="AM93" s="71" t="n"/>
      <c r="AN93" s="71" t="n"/>
      <c r="AO93" s="71" t="n"/>
      <c r="AP93" s="71" t="n"/>
      <c r="AQ93" s="24" t="n"/>
    </row>
    <row r="94" ht="15" customHeight="1">
      <c r="A94" s="70">
        <f>IF(C94="","",IFERROR(IF(SUMPRODUCT(MAX((tbl_Finance[Job Number]&amp;""=C94&amp;"")*(tbl_Finance[Xero Invoice No]&lt;&gt;"")*tbl_Finance[Date]))=0,"",SUMPRODUCT(MAX((tbl_Finance[Job Number]&amp;""=C94&amp;"")*(tbl_Finance[Xero Invoice No]&lt;&gt;"")*tbl_Finance[Date]))),""))</f>
        <v/>
      </c>
      <c r="B94" s="25">
        <f>IF(C94="","",IF(COUNTIFS(tbl_Finance[Job Number],C94&amp;"",tbl_Finance[Xero Invoice No],"&lt;&gt;")=0,"",IFERROR(IF(COUNTIFS(tbl_Finance[Job Number],C94&amp;"",tbl_Finance[Xero Invoice No],LOOKUP(2,1/((tbl_Finance[Job Number]&amp;""=C94&amp;"")*(tbl_Finance[Xero Invoice No]&lt;&gt;"")),tbl_Finance[Xero Invoice No]))=COUNTIFS(tbl_Finance[Job Number],C94&amp;"",tbl_Finance[Xero Invoice No],"&lt;&gt;"),LOOKUP(2,1/((tbl_Finance[Job Number]&amp;""=C94&amp;"")*(tbl_Finance[Xero Invoice No]&lt;&gt;"")),tbl_Finance[Xero Invoice No]),LOOKUP(2,1/((tbl_Finance[Job Number]&amp;""=C94&amp;"")*(tbl_Finance[Xero Invoice No]&lt;&gt;"")),tbl_Finance[Xero Invoice No])&amp;" +more"),"")))</f>
        <v/>
      </c>
      <c r="C94" s="24" t="n"/>
      <c r="D94" s="25">
        <f>IF(C94="","",IF(COUNTIF(lst_Jobs,C94&amp;"")&gt;0,"OK","CHECK"))</f>
        <v/>
      </c>
      <c r="E94" s="25">
        <f>IF(C94="","",IFERROR(INDEX(lst_JobName,MATCH(C94&amp;"",lst_Jobs,0)),""))</f>
        <v/>
      </c>
      <c r="F94" s="25">
        <f>IF(C94="","",IFERROR(INDEX(tbl_Finance[Client],IFERROR(MATCH(C94&amp;"",tbl_Finance[Job Number],0),MATCH(IFERROR(C94+0,C94),tbl_Finance[Job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6" t="n"/>
      <c r="L94" s="27">
        <f>IF(C94="","",IF(K94="",0,MAX(0,K94-H94)))</f>
        <v/>
      </c>
      <c r="M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N94" s="27">
        <f>IF(C94="","",SUMIFS(tbl_Finance[Inc GST],tbl_Finance[Job Number],C94&amp;""))</f>
        <v/>
      </c>
      <c r="O94" s="24" t="n"/>
      <c r="P94" s="25">
        <f>IF(C94="","",IFERROR(INDEX(tbl_Finance[Description],MATCH(C94&amp;"",tbl_Finance[Job Number],0)),""))</f>
        <v/>
      </c>
      <c r="Q94" s="24" t="n"/>
      <c r="R94" s="24" t="n"/>
      <c r="S94" s="22" t="n"/>
      <c r="T94" s="24" t="n"/>
      <c r="U94" s="25">
        <f>IF(T94="","",IF(AND(LEFT(T94,4)&lt;&gt;"http",set_RMSBase=""),"",HYPERLINK(IF(LEFT(T94,4)="http",T94,set_RMSBase&amp;T94),"Open opportunity")))</f>
        <v/>
      </c>
      <c r="V94" s="24" t="n"/>
      <c r="W94" s="25">
        <f>IF(V94="","",HYPERLINK(IF(LEFT(V94,4)="http",V94,set_QwilrBase&amp;V94),"Open quote"))</f>
        <v/>
      </c>
      <c r="X94" s="25">
        <f>IF(C94="","",C94)</f>
        <v/>
      </c>
      <c r="Y94" s="24" t="n"/>
      <c r="Z94" s="26" t="n"/>
      <c r="AA94" s="27">
        <f>IF(C94="","",H94+N(Z94))</f>
        <v/>
      </c>
      <c r="AB94" s="29">
        <f>IFERROR(Z94/AA94,"")</f>
        <v/>
      </c>
      <c r="AC94" s="26" t="n"/>
      <c r="AD94" s="26" t="n"/>
      <c r="AE94" s="26" t="n"/>
      <c r="AF94" s="26" t="n"/>
      <c r="AG94" s="27">
        <f>IF(C94="","",SUMIFS(tbl_Finance[Ex GST],tbl_Finance[Job Number],C94&amp;"",tbl_Finance[Cost Centre],"VIDEO"))</f>
        <v/>
      </c>
      <c r="AH94" s="29">
        <f>IFERROR(AG94/H94,"")</f>
        <v/>
      </c>
      <c r="AI94" s="27">
        <f>IF(C94="","",N(AC94)+N(AD94)+N(AE94)+N(AF94))</f>
        <v/>
      </c>
      <c r="AJ94" s="27">
        <f>IF(C94="","",H94+L94-AI94)</f>
        <v/>
      </c>
      <c r="AK94" s="29">
        <f>IFERROR(AJ94/(H94+L94),"")</f>
        <v/>
      </c>
      <c r="AL94" s="71" t="n"/>
      <c r="AM94" s="71" t="n"/>
      <c r="AN94" s="71" t="n"/>
      <c r="AO94" s="71" t="n"/>
      <c r="AP94" s="71" t="n"/>
      <c r="AQ94" s="24" t="n"/>
    </row>
    <row r="95" ht="15" customHeight="1">
      <c r="A95" s="70">
        <f>IF(C95="","",IFERROR(IF(SUMPRODUCT(MAX((tbl_Finance[Job Number]&amp;""=C95&amp;"")*(tbl_Finance[Xero Invoice No]&lt;&gt;"")*tbl_Finance[Date]))=0,"",SUMPRODUCT(MAX((tbl_Finance[Job Number]&amp;""=C95&amp;"")*(tbl_Finance[Xero Invoice No]&lt;&gt;"")*tbl_Finance[Date]))),""))</f>
        <v/>
      </c>
      <c r="B95" s="25">
        <f>IF(C95="","",IF(COUNTIFS(tbl_Finance[Job Number],C95&amp;"",tbl_Finance[Xero Invoice No],"&lt;&gt;")=0,"",IFERROR(IF(COUNTIFS(tbl_Finance[Job Number],C95&amp;"",tbl_Finance[Xero Invoice No],LOOKUP(2,1/((tbl_Finance[Job Number]&amp;""=C95&amp;"")*(tbl_Finance[Xero Invoice No]&lt;&gt;"")),tbl_Finance[Xero Invoice No]))=COUNTIFS(tbl_Finance[Job Number],C95&amp;"",tbl_Finance[Xero Invoice No],"&lt;&gt;"),LOOKUP(2,1/((tbl_Finance[Job Number]&amp;""=C95&amp;"")*(tbl_Finance[Xero Invoice No]&lt;&gt;"")),tbl_Finance[Xero Invoice No]),LOOKUP(2,1/((tbl_Finance[Job Number]&amp;""=C95&amp;"")*(tbl_Finance[Xero Invoice No]&lt;&gt;"")),tbl_Finance[Xero Invoice No])&amp;" +more"),"")))</f>
        <v/>
      </c>
      <c r="C95" s="24" t="n"/>
      <c r="D95" s="25">
        <f>IF(C95="","",IF(COUNTIF(lst_Jobs,C95&amp;"")&gt;0,"OK","CHECK"))</f>
        <v/>
      </c>
      <c r="E95" s="25">
        <f>IF(C95="","",IFERROR(INDEX(lst_JobName,MATCH(C95&amp;"",lst_Jobs,0)),""))</f>
        <v/>
      </c>
      <c r="F95" s="25">
        <f>IF(C95="","",IFERROR(INDEX(tbl_Finance[Client],IFERROR(MATCH(C95&amp;"",tbl_Finance[Job Number],0),MATCH(IFERROR(C95+0,C95),tbl_Finance[Job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6" t="n"/>
      <c r="L95" s="27">
        <f>IF(C95="","",IF(K95="",0,MAX(0,K95-H95)))</f>
        <v/>
      </c>
      <c r="M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N95" s="27">
        <f>IF(C95="","",SUMIFS(tbl_Finance[Inc GST],tbl_Finance[Job Number],C95&amp;""))</f>
        <v/>
      </c>
      <c r="O95" s="24" t="n"/>
      <c r="P95" s="25">
        <f>IF(C95="","",IFERROR(INDEX(tbl_Finance[Description],MATCH(C95&amp;"",tbl_Finance[Job Number],0)),""))</f>
        <v/>
      </c>
      <c r="Q95" s="24" t="n"/>
      <c r="R95" s="24" t="n"/>
      <c r="S95" s="22" t="n"/>
      <c r="T95" s="24" t="n"/>
      <c r="U95" s="25">
        <f>IF(T95="","",IF(AND(LEFT(T95,4)&lt;&gt;"http",set_RMSBase=""),"",HYPERLINK(IF(LEFT(T95,4)="http",T95,set_RMSBase&amp;T95),"Open opportunity")))</f>
        <v/>
      </c>
      <c r="V95" s="24" t="n"/>
      <c r="W95" s="25">
        <f>IF(V95="","",HYPERLINK(IF(LEFT(V95,4)="http",V95,set_QwilrBase&amp;V95),"Open quote"))</f>
        <v/>
      </c>
      <c r="X95" s="25">
        <f>IF(C95="","",C95)</f>
        <v/>
      </c>
      <c r="Y95" s="24" t="n"/>
      <c r="Z95" s="26" t="n"/>
      <c r="AA95" s="27">
        <f>IF(C95="","",H95+N(Z95))</f>
        <v/>
      </c>
      <c r="AB95" s="29">
        <f>IFERROR(Z95/AA95,"")</f>
        <v/>
      </c>
      <c r="AC95" s="26" t="n"/>
      <c r="AD95" s="26" t="n"/>
      <c r="AE95" s="26" t="n"/>
      <c r="AF95" s="26" t="n"/>
      <c r="AG95" s="27">
        <f>IF(C95="","",SUMIFS(tbl_Finance[Ex GST],tbl_Finance[Job Number],C95&amp;"",tbl_Finance[Cost Centre],"VIDEO"))</f>
        <v/>
      </c>
      <c r="AH95" s="29">
        <f>IFERROR(AG95/H95,"")</f>
        <v/>
      </c>
      <c r="AI95" s="27">
        <f>IF(C95="","",N(AC95)+N(AD95)+N(AE95)+N(AF95))</f>
        <v/>
      </c>
      <c r="AJ95" s="27">
        <f>IF(C95="","",H95+L95-AI95)</f>
        <v/>
      </c>
      <c r="AK95" s="29">
        <f>IFERROR(AJ95/(H95+L95),"")</f>
        <v/>
      </c>
      <c r="AL95" s="71" t="n"/>
      <c r="AM95" s="71" t="n"/>
      <c r="AN95" s="71" t="n"/>
      <c r="AO95" s="71" t="n"/>
      <c r="AP95" s="71" t="n"/>
      <c r="AQ95" s="24" t="n"/>
    </row>
    <row r="96" ht="15" customHeight="1">
      <c r="A96" s="70">
        <f>IF(C96="","",IFERROR(IF(SUMPRODUCT(MAX((tbl_Finance[Job Number]&amp;""=C96&amp;"")*(tbl_Finance[Xero Invoice No]&lt;&gt;"")*tbl_Finance[Date]))=0,"",SUMPRODUCT(MAX((tbl_Finance[Job Number]&amp;""=C96&amp;"")*(tbl_Finance[Xero Invoice No]&lt;&gt;"")*tbl_Finance[Date]))),""))</f>
        <v/>
      </c>
      <c r="B96" s="25">
        <f>IF(C96="","",IF(COUNTIFS(tbl_Finance[Job Number],C96&amp;"",tbl_Finance[Xero Invoice No],"&lt;&gt;")=0,"",IFERROR(IF(COUNTIFS(tbl_Finance[Job Number],C96&amp;"",tbl_Finance[Xero Invoice No],LOOKUP(2,1/((tbl_Finance[Job Number]&amp;""=C96&amp;"")*(tbl_Finance[Xero Invoice No]&lt;&gt;"")),tbl_Finance[Xero Invoice No]))=COUNTIFS(tbl_Finance[Job Number],C96&amp;"",tbl_Finance[Xero Invoice No],"&lt;&gt;"),LOOKUP(2,1/((tbl_Finance[Job Number]&amp;""=C96&amp;"")*(tbl_Finance[Xero Invoice No]&lt;&gt;"")),tbl_Finance[Xero Invoice No]),LOOKUP(2,1/((tbl_Finance[Job Number]&amp;""=C96&amp;"")*(tbl_Finance[Xero Invoice No]&lt;&gt;"")),tbl_Finance[Xero Invoice No])&amp;" +more"),"")))</f>
        <v/>
      </c>
      <c r="C96" s="24" t="n"/>
      <c r="D96" s="25">
        <f>IF(C96="","",IF(COUNTIF(lst_Jobs,C96&amp;"")&gt;0,"OK","CHECK"))</f>
        <v/>
      </c>
      <c r="E96" s="25">
        <f>IF(C96="","",IFERROR(INDEX(lst_JobName,MATCH(C96&amp;"",lst_Jobs,0)),""))</f>
        <v/>
      </c>
      <c r="F96" s="25">
        <f>IF(C96="","",IFERROR(INDEX(tbl_Finance[Client],IFERROR(MATCH(C96&amp;"",tbl_Finance[Job Number],0),MATCH(IFERROR(C96+0,C96),tbl_Finance[Job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6" t="n"/>
      <c r="L96" s="27">
        <f>IF(C96="","",IF(K96="",0,MAX(0,K96-H96)))</f>
        <v/>
      </c>
      <c r="M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N96" s="27">
        <f>IF(C96="","",SUMIFS(tbl_Finance[Inc GST],tbl_Finance[Job Number],C96&amp;""))</f>
        <v/>
      </c>
      <c r="O96" s="24" t="n"/>
      <c r="P96" s="25">
        <f>IF(C96="","",IFERROR(INDEX(tbl_Finance[Description],MATCH(C96&amp;"",tbl_Finance[Job Number],0)),""))</f>
        <v/>
      </c>
      <c r="Q96" s="24" t="n"/>
      <c r="R96" s="24" t="n"/>
      <c r="S96" s="22" t="n"/>
      <c r="T96" s="24" t="n"/>
      <c r="U96" s="25">
        <f>IF(T96="","",IF(AND(LEFT(T96,4)&lt;&gt;"http",set_RMSBase=""),"",HYPERLINK(IF(LEFT(T96,4)="http",T96,set_RMSBase&amp;T96),"Open opportunity")))</f>
        <v/>
      </c>
      <c r="V96" s="24" t="n"/>
      <c r="W96" s="25">
        <f>IF(V96="","",HYPERLINK(IF(LEFT(V96,4)="http",V96,set_QwilrBase&amp;V96),"Open quote"))</f>
        <v/>
      </c>
      <c r="X96" s="25">
        <f>IF(C96="","",C96)</f>
        <v/>
      </c>
      <c r="Y96" s="24" t="n"/>
      <c r="Z96" s="26" t="n"/>
      <c r="AA96" s="27">
        <f>IF(C96="","",H96+N(Z96))</f>
        <v/>
      </c>
      <c r="AB96" s="29">
        <f>IFERROR(Z96/AA96,"")</f>
        <v/>
      </c>
      <c r="AC96" s="26" t="n"/>
      <c r="AD96" s="26" t="n"/>
      <c r="AE96" s="26" t="n"/>
      <c r="AF96" s="26" t="n"/>
      <c r="AG96" s="27">
        <f>IF(C96="","",SUMIFS(tbl_Finance[Ex GST],tbl_Finance[Job Number],C96&amp;"",tbl_Finance[Cost Centre],"VIDEO"))</f>
        <v/>
      </c>
      <c r="AH96" s="29">
        <f>IFERROR(AG96/H96,"")</f>
        <v/>
      </c>
      <c r="AI96" s="27">
        <f>IF(C96="","",N(AC96)+N(AD96)+N(AE96)+N(AF96))</f>
        <v/>
      </c>
      <c r="AJ96" s="27">
        <f>IF(C96="","",H96+L96-AI96)</f>
        <v/>
      </c>
      <c r="AK96" s="29">
        <f>IFERROR(AJ96/(H96+L96),"")</f>
        <v/>
      </c>
      <c r="AL96" s="71" t="n"/>
      <c r="AM96" s="71" t="n"/>
      <c r="AN96" s="71" t="n"/>
      <c r="AO96" s="71" t="n"/>
      <c r="AP96" s="71" t="n"/>
      <c r="AQ96" s="24" t="n"/>
    </row>
    <row r="97" ht="15" customHeight="1">
      <c r="A97" s="70">
        <f>IF(C97="","",IFERROR(IF(SUMPRODUCT(MAX((tbl_Finance[Job Number]&amp;""=C97&amp;"")*(tbl_Finance[Xero Invoice No]&lt;&gt;"")*tbl_Finance[Date]))=0,"",SUMPRODUCT(MAX((tbl_Finance[Job Number]&amp;""=C97&amp;"")*(tbl_Finance[Xero Invoice No]&lt;&gt;"")*tbl_Finance[Date]))),""))</f>
        <v/>
      </c>
      <c r="B97" s="25">
        <f>IF(C97="","",IF(COUNTIFS(tbl_Finance[Job Number],C97&amp;"",tbl_Finance[Xero Invoice No],"&lt;&gt;")=0,"",IFERROR(IF(COUNTIFS(tbl_Finance[Job Number],C97&amp;"",tbl_Finance[Xero Invoice No],LOOKUP(2,1/((tbl_Finance[Job Number]&amp;""=C97&amp;"")*(tbl_Finance[Xero Invoice No]&lt;&gt;"")),tbl_Finance[Xero Invoice No]))=COUNTIFS(tbl_Finance[Job Number],C97&amp;"",tbl_Finance[Xero Invoice No],"&lt;&gt;"),LOOKUP(2,1/((tbl_Finance[Job Number]&amp;""=C97&amp;"")*(tbl_Finance[Xero Invoice No]&lt;&gt;"")),tbl_Finance[Xero Invoice No]),LOOKUP(2,1/((tbl_Finance[Job Number]&amp;""=C97&amp;"")*(tbl_Finance[Xero Invoice No]&lt;&gt;"")),tbl_Finance[Xero Invoice No])&amp;" +more"),"")))</f>
        <v/>
      </c>
      <c r="C97" s="24" t="n"/>
      <c r="D97" s="25">
        <f>IF(C97="","",IF(COUNTIF(lst_Jobs,C97&amp;"")&gt;0,"OK","CHECK"))</f>
        <v/>
      </c>
      <c r="E97" s="25">
        <f>IF(C97="","",IFERROR(INDEX(lst_JobName,MATCH(C97&amp;"",lst_Jobs,0)),""))</f>
        <v/>
      </c>
      <c r="F97" s="25">
        <f>IF(C97="","",IFERROR(INDEX(tbl_Finance[Client],IFERROR(MATCH(C97&amp;"",tbl_Finance[Job Number],0),MATCH(IFERROR(C97+0,C97),tbl_Finance[Job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6" t="n"/>
      <c r="L97" s="27">
        <f>IF(C97="","",IF(K97="",0,MAX(0,K97-H97)))</f>
        <v/>
      </c>
      <c r="M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N97" s="27">
        <f>IF(C97="","",SUMIFS(tbl_Finance[Inc GST],tbl_Finance[Job Number],C97&amp;""))</f>
        <v/>
      </c>
      <c r="O97" s="24" t="n"/>
      <c r="P97" s="25">
        <f>IF(C97="","",IFERROR(INDEX(tbl_Finance[Description],MATCH(C97&amp;"",tbl_Finance[Job Number],0)),""))</f>
        <v/>
      </c>
      <c r="Q97" s="24" t="n"/>
      <c r="R97" s="24" t="n"/>
      <c r="S97" s="22" t="n"/>
      <c r="T97" s="24" t="n"/>
      <c r="U97" s="25">
        <f>IF(T97="","",IF(AND(LEFT(T97,4)&lt;&gt;"http",set_RMSBase=""),"",HYPERLINK(IF(LEFT(T97,4)="http",T97,set_RMSBase&amp;T97),"Open opportunity")))</f>
        <v/>
      </c>
      <c r="V97" s="24" t="n"/>
      <c r="W97" s="25">
        <f>IF(V97="","",HYPERLINK(IF(LEFT(V97,4)="http",V97,set_QwilrBase&amp;V97),"Open quote"))</f>
        <v/>
      </c>
      <c r="X97" s="25">
        <f>IF(C97="","",C97)</f>
        <v/>
      </c>
      <c r="Y97" s="24" t="n"/>
      <c r="Z97" s="26" t="n"/>
      <c r="AA97" s="27">
        <f>IF(C97="","",H97+N(Z97))</f>
        <v/>
      </c>
      <c r="AB97" s="29">
        <f>IFERROR(Z97/AA97,"")</f>
        <v/>
      </c>
      <c r="AC97" s="26" t="n"/>
      <c r="AD97" s="26" t="n"/>
      <c r="AE97" s="26" t="n"/>
      <c r="AF97" s="26" t="n"/>
      <c r="AG97" s="27">
        <f>IF(C97="","",SUMIFS(tbl_Finance[Ex GST],tbl_Finance[Job Number],C97&amp;"",tbl_Finance[Cost Centre],"VIDEO"))</f>
        <v/>
      </c>
      <c r="AH97" s="29">
        <f>IFERROR(AG97/H97,"")</f>
        <v/>
      </c>
      <c r="AI97" s="27">
        <f>IF(C97="","",N(AC97)+N(AD97)+N(AE97)+N(AF97))</f>
        <v/>
      </c>
      <c r="AJ97" s="27">
        <f>IF(C97="","",H97+L97-AI97)</f>
        <v/>
      </c>
      <c r="AK97" s="29">
        <f>IFERROR(AJ97/(H97+L97),"")</f>
        <v/>
      </c>
      <c r="AL97" s="71" t="n"/>
      <c r="AM97" s="71" t="n"/>
      <c r="AN97" s="71" t="n"/>
      <c r="AO97" s="71" t="n"/>
      <c r="AP97" s="71" t="n"/>
      <c r="AQ97" s="24" t="n"/>
    </row>
    <row r="98" ht="15" customHeight="1">
      <c r="A98" s="70">
        <f>IF(C98="","",IFERROR(IF(SUMPRODUCT(MAX((tbl_Finance[Job Number]&amp;""=C98&amp;"")*(tbl_Finance[Xero Invoice No]&lt;&gt;"")*tbl_Finance[Date]))=0,"",SUMPRODUCT(MAX((tbl_Finance[Job Number]&amp;""=C98&amp;"")*(tbl_Finance[Xero Invoice No]&lt;&gt;"")*tbl_Finance[Date]))),""))</f>
        <v/>
      </c>
      <c r="B98" s="25">
        <f>IF(C98="","",IF(COUNTIFS(tbl_Finance[Job Number],C98&amp;"",tbl_Finance[Xero Invoice No],"&lt;&gt;")=0,"",IFERROR(IF(COUNTIFS(tbl_Finance[Job Number],C98&amp;"",tbl_Finance[Xero Invoice No],LOOKUP(2,1/((tbl_Finance[Job Number]&amp;""=C98&amp;"")*(tbl_Finance[Xero Invoice No]&lt;&gt;"")),tbl_Finance[Xero Invoice No]))=COUNTIFS(tbl_Finance[Job Number],C98&amp;"",tbl_Finance[Xero Invoice No],"&lt;&gt;"),LOOKUP(2,1/((tbl_Finance[Job Number]&amp;""=C98&amp;"")*(tbl_Finance[Xero Invoice No]&lt;&gt;"")),tbl_Finance[Xero Invoice No]),LOOKUP(2,1/((tbl_Finance[Job Number]&amp;""=C98&amp;"")*(tbl_Finance[Xero Invoice No]&lt;&gt;"")),tbl_Finance[Xero Invoice No])&amp;" +more"),"")))</f>
        <v/>
      </c>
      <c r="C98" s="24" t="n"/>
      <c r="D98" s="25">
        <f>IF(C98="","",IF(COUNTIF(lst_Jobs,C98&amp;"")&gt;0,"OK","CHECK"))</f>
        <v/>
      </c>
      <c r="E98" s="25">
        <f>IF(C98="","",IFERROR(INDEX(lst_JobName,MATCH(C98&amp;"",lst_Jobs,0)),""))</f>
        <v/>
      </c>
      <c r="F98" s="25">
        <f>IF(C98="","",IFERROR(INDEX(tbl_Finance[Client],IFERROR(MATCH(C98&amp;"",tbl_Finance[Job Number],0),MATCH(IFERROR(C98+0,C98),tbl_Finance[Job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6" t="n"/>
      <c r="L98" s="27">
        <f>IF(C98="","",IF(K98="",0,MAX(0,K98-H98)))</f>
        <v/>
      </c>
      <c r="M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N98" s="27">
        <f>IF(C98="","",SUMIFS(tbl_Finance[Inc GST],tbl_Finance[Job Number],C98&amp;""))</f>
        <v/>
      </c>
      <c r="O98" s="24" t="n"/>
      <c r="P98" s="25">
        <f>IF(C98="","",IFERROR(INDEX(tbl_Finance[Description],MATCH(C98&amp;"",tbl_Finance[Job Number],0)),""))</f>
        <v/>
      </c>
      <c r="Q98" s="24" t="n"/>
      <c r="R98" s="24" t="n"/>
      <c r="S98" s="22" t="n"/>
      <c r="T98" s="24" t="n"/>
      <c r="U98" s="25">
        <f>IF(T98="","",IF(AND(LEFT(T98,4)&lt;&gt;"http",set_RMSBase=""),"",HYPERLINK(IF(LEFT(T98,4)="http",T98,set_RMSBase&amp;T98),"Open opportunity")))</f>
        <v/>
      </c>
      <c r="V98" s="24" t="n"/>
      <c r="W98" s="25">
        <f>IF(V98="","",HYPERLINK(IF(LEFT(V98,4)="http",V98,set_QwilrBase&amp;V98),"Open quote"))</f>
        <v/>
      </c>
      <c r="X98" s="25">
        <f>IF(C98="","",C98)</f>
        <v/>
      </c>
      <c r="Y98" s="24" t="n"/>
      <c r="Z98" s="26" t="n"/>
      <c r="AA98" s="27">
        <f>IF(C98="","",H98+N(Z98))</f>
        <v/>
      </c>
      <c r="AB98" s="29">
        <f>IFERROR(Z98/AA98,"")</f>
        <v/>
      </c>
      <c r="AC98" s="26" t="n"/>
      <c r="AD98" s="26" t="n"/>
      <c r="AE98" s="26" t="n"/>
      <c r="AF98" s="26" t="n"/>
      <c r="AG98" s="27">
        <f>IF(C98="","",SUMIFS(tbl_Finance[Ex GST],tbl_Finance[Job Number],C98&amp;"",tbl_Finance[Cost Centre],"VIDEO"))</f>
        <v/>
      </c>
      <c r="AH98" s="29">
        <f>IFERROR(AG98/H98,"")</f>
        <v/>
      </c>
      <c r="AI98" s="27">
        <f>IF(C98="","",N(AC98)+N(AD98)+N(AE98)+N(AF98))</f>
        <v/>
      </c>
      <c r="AJ98" s="27">
        <f>IF(C98="","",H98+L98-AI98)</f>
        <v/>
      </c>
      <c r="AK98" s="29">
        <f>IFERROR(AJ98/(H98+L98),"")</f>
        <v/>
      </c>
      <c r="AL98" s="71" t="n"/>
      <c r="AM98" s="71" t="n"/>
      <c r="AN98" s="71" t="n"/>
      <c r="AO98" s="71" t="n"/>
      <c r="AP98" s="71" t="n"/>
      <c r="AQ98" s="24" t="n"/>
    </row>
    <row r="99" ht="15" customHeight="1">
      <c r="A99" s="70">
        <f>IF(C99="","",IFERROR(IF(SUMPRODUCT(MAX((tbl_Finance[Job Number]&amp;""=C99&amp;"")*(tbl_Finance[Xero Invoice No]&lt;&gt;"")*tbl_Finance[Date]))=0,"",SUMPRODUCT(MAX((tbl_Finance[Job Number]&amp;""=C99&amp;"")*(tbl_Finance[Xero Invoice No]&lt;&gt;"")*tbl_Finance[Date]))),""))</f>
        <v/>
      </c>
      <c r="B99" s="25">
        <f>IF(C99="","",IF(COUNTIFS(tbl_Finance[Job Number],C99&amp;"",tbl_Finance[Xero Invoice No],"&lt;&gt;")=0,"",IFERROR(IF(COUNTIFS(tbl_Finance[Job Number],C99&amp;"",tbl_Finance[Xero Invoice No],LOOKUP(2,1/((tbl_Finance[Job Number]&amp;""=C99&amp;"")*(tbl_Finance[Xero Invoice No]&lt;&gt;"")),tbl_Finance[Xero Invoice No]))=COUNTIFS(tbl_Finance[Job Number],C99&amp;"",tbl_Finance[Xero Invoice No],"&lt;&gt;"),LOOKUP(2,1/((tbl_Finance[Job Number]&amp;""=C99&amp;"")*(tbl_Finance[Xero Invoice No]&lt;&gt;"")),tbl_Finance[Xero Invoice No]),LOOKUP(2,1/((tbl_Finance[Job Number]&amp;""=C99&amp;"")*(tbl_Finance[Xero Invoice No]&lt;&gt;"")),tbl_Finance[Xero Invoice No])&amp;" +more"),"")))</f>
        <v/>
      </c>
      <c r="C99" s="24" t="n"/>
      <c r="D99" s="25">
        <f>IF(C99="","",IF(COUNTIF(lst_Jobs,C99&amp;"")&gt;0,"OK","CHECK"))</f>
        <v/>
      </c>
      <c r="E99" s="25">
        <f>IF(C99="","",IFERROR(INDEX(lst_JobName,MATCH(C99&amp;"",lst_Jobs,0)),""))</f>
        <v/>
      </c>
      <c r="F99" s="25">
        <f>IF(C99="","",IFERROR(INDEX(tbl_Finance[Client],IFERROR(MATCH(C99&amp;"",tbl_Finance[Job Number],0),MATCH(IFERROR(C99+0,C99),tbl_Finance[Job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6" t="n"/>
      <c r="L99" s="27">
        <f>IF(C99="","",IF(K99="",0,MAX(0,K99-H99)))</f>
        <v/>
      </c>
      <c r="M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N99" s="27">
        <f>IF(C99="","",SUMIFS(tbl_Finance[Inc GST],tbl_Finance[Job Number],C99&amp;""))</f>
        <v/>
      </c>
      <c r="O99" s="24" t="n"/>
      <c r="P99" s="25">
        <f>IF(C99="","",IFERROR(INDEX(tbl_Finance[Description],MATCH(C99&amp;"",tbl_Finance[Job Number],0)),""))</f>
        <v/>
      </c>
      <c r="Q99" s="24" t="n"/>
      <c r="R99" s="24" t="n"/>
      <c r="S99" s="22" t="n"/>
      <c r="T99" s="24" t="n"/>
      <c r="U99" s="25">
        <f>IF(T99="","",IF(AND(LEFT(T99,4)&lt;&gt;"http",set_RMSBase=""),"",HYPERLINK(IF(LEFT(T99,4)="http",T99,set_RMSBase&amp;T99),"Open opportunity")))</f>
        <v/>
      </c>
      <c r="V99" s="24" t="n"/>
      <c r="W99" s="25">
        <f>IF(V99="","",HYPERLINK(IF(LEFT(V99,4)="http",V99,set_QwilrBase&amp;V99),"Open quote"))</f>
        <v/>
      </c>
      <c r="X99" s="25">
        <f>IF(C99="","",C99)</f>
        <v/>
      </c>
      <c r="Y99" s="24" t="n"/>
      <c r="Z99" s="26" t="n"/>
      <c r="AA99" s="27">
        <f>IF(C99="","",H99+N(Z99))</f>
        <v/>
      </c>
      <c r="AB99" s="29">
        <f>IFERROR(Z99/AA99,"")</f>
        <v/>
      </c>
      <c r="AC99" s="26" t="n"/>
      <c r="AD99" s="26" t="n"/>
      <c r="AE99" s="26" t="n"/>
      <c r="AF99" s="26" t="n"/>
      <c r="AG99" s="27">
        <f>IF(C99="","",SUMIFS(tbl_Finance[Ex GST],tbl_Finance[Job Number],C99&amp;"",tbl_Finance[Cost Centre],"VIDEO"))</f>
        <v/>
      </c>
      <c r="AH99" s="29">
        <f>IFERROR(AG99/H99,"")</f>
        <v/>
      </c>
      <c r="AI99" s="27">
        <f>IF(C99="","",N(AC99)+N(AD99)+N(AE99)+N(AF99))</f>
        <v/>
      </c>
      <c r="AJ99" s="27">
        <f>IF(C99="","",H99+L99-AI99)</f>
        <v/>
      </c>
      <c r="AK99" s="29">
        <f>IFERROR(AJ99/(H99+L99),"")</f>
        <v/>
      </c>
      <c r="AL99" s="71" t="n"/>
      <c r="AM99" s="71" t="n"/>
      <c r="AN99" s="71" t="n"/>
      <c r="AO99" s="71" t="n"/>
      <c r="AP99" s="71" t="n"/>
      <c r="AQ99" s="24" t="n"/>
    </row>
    <row r="100" ht="15" customHeight="1">
      <c r="A100" s="70">
        <f>IF(C100="","",IFERROR(IF(SUMPRODUCT(MAX((tbl_Finance[Job Number]&amp;""=C100&amp;"")*(tbl_Finance[Xero Invoice No]&lt;&gt;"")*tbl_Finance[Date]))=0,"",SUMPRODUCT(MAX((tbl_Finance[Job Number]&amp;""=C100&amp;"")*(tbl_Finance[Xero Invoice No]&lt;&gt;"")*tbl_Finance[Date]))),""))</f>
        <v/>
      </c>
      <c r="B100" s="25">
        <f>IF(C100="","",IF(COUNTIFS(tbl_Finance[Job Number],C100&amp;"",tbl_Finance[Xero Invoice No],"&lt;&gt;")=0,"",IFERROR(IF(COUNTIFS(tbl_Finance[Job Number],C100&amp;"",tbl_Finance[Xero Invoice No],LOOKUP(2,1/((tbl_Finance[Job Number]&amp;""=C100&amp;"")*(tbl_Finance[Xero Invoice No]&lt;&gt;"")),tbl_Finance[Xero Invoice No]))=COUNTIFS(tbl_Finance[Job Number],C100&amp;"",tbl_Finance[Xero Invoice No],"&lt;&gt;"),LOOKUP(2,1/((tbl_Finance[Job Number]&amp;""=C100&amp;"")*(tbl_Finance[Xero Invoice No]&lt;&gt;"")),tbl_Finance[Xero Invoice No]),LOOKUP(2,1/((tbl_Finance[Job Number]&amp;""=C100&amp;"")*(tbl_Finance[Xero Invoice No]&lt;&gt;"")),tbl_Finance[Xero Invoice No])&amp;" +more"),"")))</f>
        <v/>
      </c>
      <c r="C100" s="24" t="n"/>
      <c r="D100" s="25">
        <f>IF(C100="","",IF(COUNTIF(lst_Jobs,C100&amp;"")&gt;0,"OK","CHECK"))</f>
        <v/>
      </c>
      <c r="E100" s="25">
        <f>IF(C100="","",IFERROR(INDEX(lst_JobName,MATCH(C100&amp;"",lst_Jobs,0)),""))</f>
        <v/>
      </c>
      <c r="F100" s="25">
        <f>IF(C100="","",IFERROR(INDEX(tbl_Finance[Client],IFERROR(MATCH(C100&amp;"",tbl_Finance[Job Number],0),MATCH(IFERROR(C100+0,C100),tbl_Finance[Job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6" t="n"/>
      <c r="L100" s="27">
        <f>IF(C100="","",IF(K100="",0,MAX(0,K100-H100)))</f>
        <v/>
      </c>
      <c r="M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N100" s="27">
        <f>IF(C100="","",SUMIFS(tbl_Finance[Inc GST],tbl_Finance[Job Number],C100&amp;""))</f>
        <v/>
      </c>
      <c r="O100" s="24" t="n"/>
      <c r="P100" s="25">
        <f>IF(C100="","",IFERROR(INDEX(tbl_Finance[Description],MATCH(C100&amp;"",tbl_Finance[Job Number],0)),""))</f>
        <v/>
      </c>
      <c r="Q100" s="24" t="n"/>
      <c r="R100" s="24" t="n"/>
      <c r="S100" s="22" t="n"/>
      <c r="T100" s="24" t="n"/>
      <c r="U100" s="25">
        <f>IF(T100="","",IF(AND(LEFT(T100,4)&lt;&gt;"http",set_RMSBase=""),"",HYPERLINK(IF(LEFT(T100,4)="http",T100,set_RMSBase&amp;T100),"Open opportunity")))</f>
        <v/>
      </c>
      <c r="V100" s="24" t="n"/>
      <c r="W100" s="25">
        <f>IF(V100="","",HYPERLINK(IF(LEFT(V100,4)="http",V100,set_QwilrBase&amp;V100),"Open quote"))</f>
        <v/>
      </c>
      <c r="X100" s="25">
        <f>IF(C100="","",C100)</f>
        <v/>
      </c>
      <c r="Y100" s="24" t="n"/>
      <c r="Z100" s="26" t="n"/>
      <c r="AA100" s="27">
        <f>IF(C100="","",H100+N(Z100))</f>
        <v/>
      </c>
      <c r="AB100" s="29">
        <f>IFERROR(Z100/AA100,"")</f>
        <v/>
      </c>
      <c r="AC100" s="26" t="n"/>
      <c r="AD100" s="26" t="n"/>
      <c r="AE100" s="26" t="n"/>
      <c r="AF100" s="26" t="n"/>
      <c r="AG100" s="27">
        <f>IF(C100="","",SUMIFS(tbl_Finance[Ex GST],tbl_Finance[Job Number],C100&amp;"",tbl_Finance[Cost Centre],"VIDEO"))</f>
        <v/>
      </c>
      <c r="AH100" s="29">
        <f>IFERROR(AG100/H100,"")</f>
        <v/>
      </c>
      <c r="AI100" s="27">
        <f>IF(C100="","",N(AC100)+N(AD100)+N(AE100)+N(AF100))</f>
        <v/>
      </c>
      <c r="AJ100" s="27">
        <f>IF(C100="","",H100+L100-AI100)</f>
        <v/>
      </c>
      <c r="AK100" s="29">
        <f>IFERROR(AJ100/(H100+L100),"")</f>
        <v/>
      </c>
      <c r="AL100" s="71" t="n"/>
      <c r="AM100" s="71" t="n"/>
      <c r="AN100" s="71" t="n"/>
      <c r="AO100" s="71" t="n"/>
      <c r="AP100" s="71" t="n"/>
      <c r="AQ100" s="24" t="n"/>
    </row>
    <row r="101" ht="15" customHeight="1">
      <c r="A101" s="70">
        <f>IF(C101="","",IFERROR(IF(SUMPRODUCT(MAX((tbl_Finance[Job Number]&amp;""=C101&amp;"")*(tbl_Finance[Xero Invoice No]&lt;&gt;"")*tbl_Finance[Date]))=0,"",SUMPRODUCT(MAX((tbl_Finance[Job Number]&amp;""=C101&amp;"")*(tbl_Finance[Xero Invoice No]&lt;&gt;"")*tbl_Finance[Date]))),""))</f>
        <v/>
      </c>
      <c r="B101" s="25">
        <f>IF(C101="","",IF(COUNTIFS(tbl_Finance[Job Number],C101&amp;"",tbl_Finance[Xero Invoice No],"&lt;&gt;")=0,"",IFERROR(IF(COUNTIFS(tbl_Finance[Job Number],C101&amp;"",tbl_Finance[Xero Invoice No],LOOKUP(2,1/((tbl_Finance[Job Number]&amp;""=C101&amp;"")*(tbl_Finance[Xero Invoice No]&lt;&gt;"")),tbl_Finance[Xero Invoice No]))=COUNTIFS(tbl_Finance[Job Number],C101&amp;"",tbl_Finance[Xero Invoice No],"&lt;&gt;"),LOOKUP(2,1/((tbl_Finance[Job Number]&amp;""=C101&amp;"")*(tbl_Finance[Xero Invoice No]&lt;&gt;"")),tbl_Finance[Xero Invoice No]),LOOKUP(2,1/((tbl_Finance[Job Number]&amp;""=C101&amp;"")*(tbl_Finance[Xero Invoice No]&lt;&gt;"")),tbl_Finance[Xero Invoice No])&amp;" +more"),"")))</f>
        <v/>
      </c>
      <c r="C101" s="24" t="n"/>
      <c r="D101" s="25">
        <f>IF(C101="","",IF(COUNTIF(lst_Jobs,C101&amp;"")&gt;0,"OK","CHECK"))</f>
        <v/>
      </c>
      <c r="E101" s="25">
        <f>IF(C101="","",IFERROR(INDEX(lst_JobName,MATCH(C101&amp;"",lst_Jobs,0)),""))</f>
        <v/>
      </c>
      <c r="F101" s="25">
        <f>IF(C101="","",IFERROR(INDEX(tbl_Finance[Client],IFERROR(MATCH(C101&amp;"",tbl_Finance[Job Number],0),MATCH(IFERROR(C101+0,C101),tbl_Finance[Job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6" t="n"/>
      <c r="L101" s="27">
        <f>IF(C101="","",IF(K101="",0,MAX(0,K101-H101)))</f>
        <v/>
      </c>
      <c r="M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N101" s="27">
        <f>IF(C101="","",SUMIFS(tbl_Finance[Inc GST],tbl_Finance[Job Number],C101&amp;""))</f>
        <v/>
      </c>
      <c r="O101" s="24" t="n"/>
      <c r="P101" s="25">
        <f>IF(C101="","",IFERROR(INDEX(tbl_Finance[Description],MATCH(C101&amp;"",tbl_Finance[Job Number],0)),""))</f>
        <v/>
      </c>
      <c r="Q101" s="24" t="n"/>
      <c r="R101" s="24" t="n"/>
      <c r="S101" s="22" t="n"/>
      <c r="T101" s="24" t="n"/>
      <c r="U101" s="25">
        <f>IF(T101="","",IF(AND(LEFT(T101,4)&lt;&gt;"http",set_RMSBase=""),"",HYPERLINK(IF(LEFT(T101,4)="http",T101,set_RMSBase&amp;T101),"Open opportunity")))</f>
        <v/>
      </c>
      <c r="V101" s="24" t="n"/>
      <c r="W101" s="25">
        <f>IF(V101="","",HYPERLINK(IF(LEFT(V101,4)="http",V101,set_QwilrBase&amp;V101),"Open quote"))</f>
        <v/>
      </c>
      <c r="X101" s="25">
        <f>IF(C101="","",C101)</f>
        <v/>
      </c>
      <c r="Y101" s="24" t="n"/>
      <c r="Z101" s="26" t="n"/>
      <c r="AA101" s="27">
        <f>IF(C101="","",H101+N(Z101))</f>
        <v/>
      </c>
      <c r="AB101" s="29">
        <f>IFERROR(Z101/AA101,"")</f>
        <v/>
      </c>
      <c r="AC101" s="26" t="n"/>
      <c r="AD101" s="26" t="n"/>
      <c r="AE101" s="26" t="n"/>
      <c r="AF101" s="26" t="n"/>
      <c r="AG101" s="27">
        <f>IF(C101="","",SUMIFS(tbl_Finance[Ex GST],tbl_Finance[Job Number],C101&amp;"",tbl_Finance[Cost Centre],"VIDEO"))</f>
        <v/>
      </c>
      <c r="AH101" s="29">
        <f>IFERROR(AG101/H101,"")</f>
        <v/>
      </c>
      <c r="AI101" s="27">
        <f>IF(C101="","",N(AC101)+N(AD101)+N(AE101)+N(AF101))</f>
        <v/>
      </c>
      <c r="AJ101" s="27">
        <f>IF(C101="","",H101+L101-AI101)</f>
        <v/>
      </c>
      <c r="AK101" s="29">
        <f>IFERROR(AJ101/(H101+L101),"")</f>
        <v/>
      </c>
      <c r="AL101" s="71" t="n"/>
      <c r="AM101" s="71" t="n"/>
      <c r="AN101" s="71" t="n"/>
      <c r="AO101" s="71" t="n"/>
      <c r="AP101" s="71" t="n"/>
      <c r="AQ101" s="24" t="n"/>
    </row>
    <row r="102" ht="15" customHeight="1">
      <c r="A102" s="70">
        <f>IF(C102="","",IFERROR(IF(SUMPRODUCT(MAX((tbl_Finance[Job Number]&amp;""=C102&amp;"")*(tbl_Finance[Xero Invoice No]&lt;&gt;"")*tbl_Finance[Date]))=0,"",SUMPRODUCT(MAX((tbl_Finance[Job Number]&amp;""=C102&amp;"")*(tbl_Finance[Xero Invoice No]&lt;&gt;"")*tbl_Finance[Date]))),""))</f>
        <v/>
      </c>
      <c r="B102" s="25">
        <f>IF(C102="","",IF(COUNTIFS(tbl_Finance[Job Number],C102&amp;"",tbl_Finance[Xero Invoice No],"&lt;&gt;")=0,"",IFERROR(IF(COUNTIFS(tbl_Finance[Job Number],C102&amp;"",tbl_Finance[Xero Invoice No],LOOKUP(2,1/((tbl_Finance[Job Number]&amp;""=C102&amp;"")*(tbl_Finance[Xero Invoice No]&lt;&gt;"")),tbl_Finance[Xero Invoice No]))=COUNTIFS(tbl_Finance[Job Number],C102&amp;"",tbl_Finance[Xero Invoice No],"&lt;&gt;"),LOOKUP(2,1/((tbl_Finance[Job Number]&amp;""=C102&amp;"")*(tbl_Finance[Xero Invoice No]&lt;&gt;"")),tbl_Finance[Xero Invoice No]),LOOKUP(2,1/((tbl_Finance[Job Number]&amp;""=C102&amp;"")*(tbl_Finance[Xero Invoice No]&lt;&gt;"")),tbl_Finance[Xero Invoice No])&amp;" +more"),"")))</f>
        <v/>
      </c>
      <c r="C102" s="24" t="n"/>
      <c r="D102" s="25">
        <f>IF(C102="","",IF(COUNTIF(lst_Jobs,C102&amp;"")&gt;0,"OK","CHECK"))</f>
        <v/>
      </c>
      <c r="E102" s="25">
        <f>IF(C102="","",IFERROR(INDEX(lst_JobName,MATCH(C102&amp;"",lst_Jobs,0)),""))</f>
        <v/>
      </c>
      <c r="F102" s="25">
        <f>IF(C102="","",IFERROR(INDEX(tbl_Finance[Client],IFERROR(MATCH(C102&amp;"",tbl_Finance[Job Number],0),MATCH(IFERROR(C102+0,C102),tbl_Finance[Job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6" t="n"/>
      <c r="L102" s="27">
        <f>IF(C102="","",IF(K102="",0,MAX(0,K102-H102)))</f>
        <v/>
      </c>
      <c r="M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N102" s="27">
        <f>IF(C102="","",SUMIFS(tbl_Finance[Inc GST],tbl_Finance[Job Number],C102&amp;""))</f>
        <v/>
      </c>
      <c r="O102" s="24" t="n"/>
      <c r="P102" s="25">
        <f>IF(C102="","",IFERROR(INDEX(tbl_Finance[Description],MATCH(C102&amp;"",tbl_Finance[Job Number],0)),""))</f>
        <v/>
      </c>
      <c r="Q102" s="24" t="n"/>
      <c r="R102" s="24" t="n"/>
      <c r="S102" s="22" t="n"/>
      <c r="T102" s="24" t="n"/>
      <c r="U102" s="25">
        <f>IF(T102="","",IF(AND(LEFT(T102,4)&lt;&gt;"http",set_RMSBase=""),"",HYPERLINK(IF(LEFT(T102,4)="http",T102,set_RMSBase&amp;T102),"Open opportunity")))</f>
        <v/>
      </c>
      <c r="V102" s="24" t="n"/>
      <c r="W102" s="25">
        <f>IF(V102="","",HYPERLINK(IF(LEFT(V102,4)="http",V102,set_QwilrBase&amp;V102),"Open quote"))</f>
        <v/>
      </c>
      <c r="X102" s="25">
        <f>IF(C102="","",C102)</f>
        <v/>
      </c>
      <c r="Y102" s="24" t="n"/>
      <c r="Z102" s="26" t="n"/>
      <c r="AA102" s="27">
        <f>IF(C102="","",H102+N(Z102))</f>
        <v/>
      </c>
      <c r="AB102" s="29">
        <f>IFERROR(Z102/AA102,"")</f>
        <v/>
      </c>
      <c r="AC102" s="26" t="n"/>
      <c r="AD102" s="26" t="n"/>
      <c r="AE102" s="26" t="n"/>
      <c r="AF102" s="26" t="n"/>
      <c r="AG102" s="27">
        <f>IF(C102="","",SUMIFS(tbl_Finance[Ex GST],tbl_Finance[Job Number],C102&amp;"",tbl_Finance[Cost Centre],"VIDEO"))</f>
        <v/>
      </c>
      <c r="AH102" s="29">
        <f>IFERROR(AG102/H102,"")</f>
        <v/>
      </c>
      <c r="AI102" s="27">
        <f>IF(C102="","",N(AC102)+N(AD102)+N(AE102)+N(AF102))</f>
        <v/>
      </c>
      <c r="AJ102" s="27">
        <f>IF(C102="","",H102+L102-AI102)</f>
        <v/>
      </c>
      <c r="AK102" s="29">
        <f>IFERROR(AJ102/(H102+L102),"")</f>
        <v/>
      </c>
      <c r="AL102" s="71" t="n"/>
      <c r="AM102" s="71" t="n"/>
      <c r="AN102" s="71" t="n"/>
      <c r="AO102" s="71" t="n"/>
      <c r="AP102" s="71" t="n"/>
      <c r="AQ102" s="24" t="n"/>
    </row>
    <row r="103" ht="15" customHeight="1">
      <c r="A103" s="70">
        <f>IF(C103="","",IFERROR(IF(SUMPRODUCT(MAX((tbl_Finance[Job Number]&amp;""=C103&amp;"")*(tbl_Finance[Xero Invoice No]&lt;&gt;"")*tbl_Finance[Date]))=0,"",SUMPRODUCT(MAX((tbl_Finance[Job Number]&amp;""=C103&amp;"")*(tbl_Finance[Xero Invoice No]&lt;&gt;"")*tbl_Finance[Date]))),""))</f>
        <v/>
      </c>
      <c r="B103" s="25">
        <f>IF(C103="","",IF(COUNTIFS(tbl_Finance[Job Number],C103&amp;"",tbl_Finance[Xero Invoice No],"&lt;&gt;")=0,"",IFERROR(IF(COUNTIFS(tbl_Finance[Job Number],C103&amp;"",tbl_Finance[Xero Invoice No],LOOKUP(2,1/((tbl_Finance[Job Number]&amp;""=C103&amp;"")*(tbl_Finance[Xero Invoice No]&lt;&gt;"")),tbl_Finance[Xero Invoice No]))=COUNTIFS(tbl_Finance[Job Number],C103&amp;"",tbl_Finance[Xero Invoice No],"&lt;&gt;"),LOOKUP(2,1/((tbl_Finance[Job Number]&amp;""=C103&amp;"")*(tbl_Finance[Xero Invoice No]&lt;&gt;"")),tbl_Finance[Xero Invoice No]),LOOKUP(2,1/((tbl_Finance[Job Number]&amp;""=C103&amp;"")*(tbl_Finance[Xero Invoice No]&lt;&gt;"")),tbl_Finance[Xero Invoice No])&amp;" +more"),"")))</f>
        <v/>
      </c>
      <c r="C103" s="24" t="n"/>
      <c r="D103" s="25">
        <f>IF(C103="","",IF(COUNTIF(lst_Jobs,C103&amp;"")&gt;0,"OK","CHECK"))</f>
        <v/>
      </c>
      <c r="E103" s="25">
        <f>IF(C103="","",IFERROR(INDEX(lst_JobName,MATCH(C103&amp;"",lst_Jobs,0)),""))</f>
        <v/>
      </c>
      <c r="F103" s="25">
        <f>IF(C103="","",IFERROR(INDEX(tbl_Finance[Client],IFERROR(MATCH(C103&amp;"",tbl_Finance[Job Number],0),MATCH(IFERROR(C103+0,C103),tbl_Finance[Job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6" t="n"/>
      <c r="L103" s="27">
        <f>IF(C103="","",IF(K103="",0,MAX(0,K103-H103)))</f>
        <v/>
      </c>
      <c r="M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N103" s="27">
        <f>IF(C103="","",SUMIFS(tbl_Finance[Inc GST],tbl_Finance[Job Number],C103&amp;""))</f>
        <v/>
      </c>
      <c r="O103" s="24" t="n"/>
      <c r="P103" s="25">
        <f>IF(C103="","",IFERROR(INDEX(tbl_Finance[Description],MATCH(C103&amp;"",tbl_Finance[Job Number],0)),""))</f>
        <v/>
      </c>
      <c r="Q103" s="24" t="n"/>
      <c r="R103" s="24" t="n"/>
      <c r="S103" s="22" t="n"/>
      <c r="T103" s="24" t="n"/>
      <c r="U103" s="25">
        <f>IF(T103="","",IF(AND(LEFT(T103,4)&lt;&gt;"http",set_RMSBase=""),"",HYPERLINK(IF(LEFT(T103,4)="http",T103,set_RMSBase&amp;T103),"Open opportunity")))</f>
        <v/>
      </c>
      <c r="V103" s="24" t="n"/>
      <c r="W103" s="25">
        <f>IF(V103="","",HYPERLINK(IF(LEFT(V103,4)="http",V103,set_QwilrBase&amp;V103),"Open quote"))</f>
        <v/>
      </c>
      <c r="X103" s="25">
        <f>IF(C103="","",C103)</f>
        <v/>
      </c>
      <c r="Y103" s="24" t="n"/>
      <c r="Z103" s="26" t="n"/>
      <c r="AA103" s="27">
        <f>IF(C103="","",H103+N(Z103))</f>
        <v/>
      </c>
      <c r="AB103" s="29">
        <f>IFERROR(Z103/AA103,"")</f>
        <v/>
      </c>
      <c r="AC103" s="26" t="n"/>
      <c r="AD103" s="26" t="n"/>
      <c r="AE103" s="26" t="n"/>
      <c r="AF103" s="26" t="n"/>
      <c r="AG103" s="27">
        <f>IF(C103="","",SUMIFS(tbl_Finance[Ex GST],tbl_Finance[Job Number],C103&amp;"",tbl_Finance[Cost Centre],"VIDEO"))</f>
        <v/>
      </c>
      <c r="AH103" s="29">
        <f>IFERROR(AG103/H103,"")</f>
        <v/>
      </c>
      <c r="AI103" s="27">
        <f>IF(C103="","",N(AC103)+N(AD103)+N(AE103)+N(AF103))</f>
        <v/>
      </c>
      <c r="AJ103" s="27">
        <f>IF(C103="","",H103+L103-AI103)</f>
        <v/>
      </c>
      <c r="AK103" s="29">
        <f>IFERROR(AJ103/(H103+L103),"")</f>
        <v/>
      </c>
      <c r="AL103" s="71" t="n"/>
      <c r="AM103" s="71" t="n"/>
      <c r="AN103" s="71" t="n"/>
      <c r="AO103" s="71" t="n"/>
      <c r="AP103" s="71" t="n"/>
      <c r="AQ103" s="24" t="n"/>
    </row>
    <row r="104" ht="15" customHeight="1">
      <c r="A104" s="70">
        <f>IF(C104="","",IFERROR(IF(SUMPRODUCT(MAX((tbl_Finance[Job Number]&amp;""=C104&amp;"")*(tbl_Finance[Xero Invoice No]&lt;&gt;"")*tbl_Finance[Date]))=0,"",SUMPRODUCT(MAX((tbl_Finance[Job Number]&amp;""=C104&amp;"")*(tbl_Finance[Xero Invoice No]&lt;&gt;"")*tbl_Finance[Date]))),""))</f>
        <v/>
      </c>
      <c r="B104" s="25">
        <f>IF(C104="","",IF(COUNTIFS(tbl_Finance[Job Number],C104&amp;"",tbl_Finance[Xero Invoice No],"&lt;&gt;")=0,"",IFERROR(IF(COUNTIFS(tbl_Finance[Job Number],C104&amp;"",tbl_Finance[Xero Invoice No],LOOKUP(2,1/((tbl_Finance[Job Number]&amp;""=C104&amp;"")*(tbl_Finance[Xero Invoice No]&lt;&gt;"")),tbl_Finance[Xero Invoice No]))=COUNTIFS(tbl_Finance[Job Number],C104&amp;"",tbl_Finance[Xero Invoice No],"&lt;&gt;"),LOOKUP(2,1/((tbl_Finance[Job Number]&amp;""=C104&amp;"")*(tbl_Finance[Xero Invoice No]&lt;&gt;"")),tbl_Finance[Xero Invoice No]),LOOKUP(2,1/((tbl_Finance[Job Number]&amp;""=C104&amp;"")*(tbl_Finance[Xero Invoice No]&lt;&gt;"")),tbl_Finance[Xero Invoice No])&amp;" +more"),"")))</f>
        <v/>
      </c>
      <c r="C104" s="24" t="n"/>
      <c r="D104" s="25">
        <f>IF(C104="","",IF(COUNTIF(lst_Jobs,C104&amp;"")&gt;0,"OK","CHECK"))</f>
        <v/>
      </c>
      <c r="E104" s="25">
        <f>IF(C104="","",IFERROR(INDEX(lst_JobName,MATCH(C104&amp;"",lst_Jobs,0)),""))</f>
        <v/>
      </c>
      <c r="F104" s="25">
        <f>IF(C104="","",IFERROR(INDEX(tbl_Finance[Client],IFERROR(MATCH(C104&amp;"",tbl_Finance[Job Number],0),MATCH(IFERROR(C104+0,C104),tbl_Finance[Job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6" t="n"/>
      <c r="L104" s="27">
        <f>IF(C104="","",IF(K104="",0,MAX(0,K104-H104)))</f>
        <v/>
      </c>
      <c r="M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N104" s="27">
        <f>IF(C104="","",SUMIFS(tbl_Finance[Inc GST],tbl_Finance[Job Number],C104&amp;""))</f>
        <v/>
      </c>
      <c r="O104" s="24" t="n"/>
      <c r="P104" s="25">
        <f>IF(C104="","",IFERROR(INDEX(tbl_Finance[Description],MATCH(C104&amp;"",tbl_Finance[Job Number],0)),""))</f>
        <v/>
      </c>
      <c r="Q104" s="24" t="n"/>
      <c r="R104" s="24" t="n"/>
      <c r="S104" s="22" t="n"/>
      <c r="T104" s="24" t="n"/>
      <c r="U104" s="25">
        <f>IF(T104="","",IF(AND(LEFT(T104,4)&lt;&gt;"http",set_RMSBase=""),"",HYPERLINK(IF(LEFT(T104,4)="http",T104,set_RMSBase&amp;T104),"Open opportunity")))</f>
        <v/>
      </c>
      <c r="V104" s="24" t="n"/>
      <c r="W104" s="25">
        <f>IF(V104="","",HYPERLINK(IF(LEFT(V104,4)="http",V104,set_QwilrBase&amp;V104),"Open quote"))</f>
        <v/>
      </c>
      <c r="X104" s="25">
        <f>IF(C104="","",C104)</f>
        <v/>
      </c>
      <c r="Y104" s="24" t="n"/>
      <c r="Z104" s="26" t="n"/>
      <c r="AA104" s="27">
        <f>IF(C104="","",H104+N(Z104))</f>
        <v/>
      </c>
      <c r="AB104" s="29">
        <f>IFERROR(Z104/AA104,"")</f>
        <v/>
      </c>
      <c r="AC104" s="26" t="n"/>
      <c r="AD104" s="26" t="n"/>
      <c r="AE104" s="26" t="n"/>
      <c r="AF104" s="26" t="n"/>
      <c r="AG104" s="27">
        <f>IF(C104="","",SUMIFS(tbl_Finance[Ex GST],tbl_Finance[Job Number],C104&amp;"",tbl_Finance[Cost Centre],"VIDEO"))</f>
        <v/>
      </c>
      <c r="AH104" s="29">
        <f>IFERROR(AG104/H104,"")</f>
        <v/>
      </c>
      <c r="AI104" s="27">
        <f>IF(C104="","",N(AC104)+N(AD104)+N(AE104)+N(AF104))</f>
        <v/>
      </c>
      <c r="AJ104" s="27">
        <f>IF(C104="","",H104+L104-AI104)</f>
        <v/>
      </c>
      <c r="AK104" s="29">
        <f>IFERROR(AJ104/(H104+L104),"")</f>
        <v/>
      </c>
      <c r="AL104" s="71" t="n"/>
      <c r="AM104" s="71" t="n"/>
      <c r="AN104" s="71" t="n"/>
      <c r="AO104" s="71" t="n"/>
      <c r="AP104" s="71" t="n"/>
      <c r="AQ104" s="24" t="n"/>
    </row>
    <row r="105" ht="15" customHeight="1">
      <c r="A105" s="70">
        <f>IF(C105="","",IFERROR(IF(SUMPRODUCT(MAX((tbl_Finance[Job Number]&amp;""=C105&amp;"")*(tbl_Finance[Xero Invoice No]&lt;&gt;"")*tbl_Finance[Date]))=0,"",SUMPRODUCT(MAX((tbl_Finance[Job Number]&amp;""=C105&amp;"")*(tbl_Finance[Xero Invoice No]&lt;&gt;"")*tbl_Finance[Date]))),""))</f>
        <v/>
      </c>
      <c r="B105" s="25">
        <f>IF(C105="","",IF(COUNTIFS(tbl_Finance[Job Number],C105&amp;"",tbl_Finance[Xero Invoice No],"&lt;&gt;")=0,"",IFERROR(IF(COUNTIFS(tbl_Finance[Job Number],C105&amp;"",tbl_Finance[Xero Invoice No],LOOKUP(2,1/((tbl_Finance[Job Number]&amp;""=C105&amp;"")*(tbl_Finance[Xero Invoice No]&lt;&gt;"")),tbl_Finance[Xero Invoice No]))=COUNTIFS(tbl_Finance[Job Number],C105&amp;"",tbl_Finance[Xero Invoice No],"&lt;&gt;"),LOOKUP(2,1/((tbl_Finance[Job Number]&amp;""=C105&amp;"")*(tbl_Finance[Xero Invoice No]&lt;&gt;"")),tbl_Finance[Xero Invoice No]),LOOKUP(2,1/((tbl_Finance[Job Number]&amp;""=C105&amp;"")*(tbl_Finance[Xero Invoice No]&lt;&gt;"")),tbl_Finance[Xero Invoice No])&amp;" +more"),"")))</f>
        <v/>
      </c>
      <c r="C105" s="24" t="n"/>
      <c r="D105" s="25">
        <f>IF(C105="","",IF(COUNTIF(lst_Jobs,C105&amp;"")&gt;0,"OK","CHECK"))</f>
        <v/>
      </c>
      <c r="E105" s="25">
        <f>IF(C105="","",IFERROR(INDEX(lst_JobName,MATCH(C105&amp;"",lst_Jobs,0)),""))</f>
        <v/>
      </c>
      <c r="F105" s="25">
        <f>IF(C105="","",IFERROR(INDEX(tbl_Finance[Client],IFERROR(MATCH(C105&amp;"",tbl_Finance[Job Number],0),MATCH(IFERROR(C105+0,C105),tbl_Finance[Job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6" t="n"/>
      <c r="L105" s="27">
        <f>IF(C105="","",IF(K105="",0,MAX(0,K105-H105)))</f>
        <v/>
      </c>
      <c r="M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N105" s="27">
        <f>IF(C105="","",SUMIFS(tbl_Finance[Inc GST],tbl_Finance[Job Number],C105&amp;""))</f>
        <v/>
      </c>
      <c r="O105" s="24" t="n"/>
      <c r="P105" s="25">
        <f>IF(C105="","",IFERROR(INDEX(tbl_Finance[Description],MATCH(C105&amp;"",tbl_Finance[Job Number],0)),""))</f>
        <v/>
      </c>
      <c r="Q105" s="24" t="n"/>
      <c r="R105" s="24" t="n"/>
      <c r="S105" s="22" t="n"/>
      <c r="T105" s="24" t="n"/>
      <c r="U105" s="25">
        <f>IF(T105="","",IF(AND(LEFT(T105,4)&lt;&gt;"http",set_RMSBase=""),"",HYPERLINK(IF(LEFT(T105,4)="http",T105,set_RMSBase&amp;T105),"Open opportunity")))</f>
        <v/>
      </c>
      <c r="V105" s="24" t="n"/>
      <c r="W105" s="25">
        <f>IF(V105="","",HYPERLINK(IF(LEFT(V105,4)="http",V105,set_QwilrBase&amp;V105),"Open quote"))</f>
        <v/>
      </c>
      <c r="X105" s="25">
        <f>IF(C105="","",C105)</f>
        <v/>
      </c>
      <c r="Y105" s="24" t="n"/>
      <c r="Z105" s="26" t="n"/>
      <c r="AA105" s="27">
        <f>IF(C105="","",H105+N(Z105))</f>
        <v/>
      </c>
      <c r="AB105" s="29">
        <f>IFERROR(Z105/AA105,"")</f>
        <v/>
      </c>
      <c r="AC105" s="26" t="n"/>
      <c r="AD105" s="26" t="n"/>
      <c r="AE105" s="26" t="n"/>
      <c r="AF105" s="26" t="n"/>
      <c r="AG105" s="27">
        <f>IF(C105="","",SUMIFS(tbl_Finance[Ex GST],tbl_Finance[Job Number],C105&amp;"",tbl_Finance[Cost Centre],"VIDEO"))</f>
        <v/>
      </c>
      <c r="AH105" s="29">
        <f>IFERROR(AG105/H105,"")</f>
        <v/>
      </c>
      <c r="AI105" s="27">
        <f>IF(C105="","",N(AC105)+N(AD105)+N(AE105)+N(AF105))</f>
        <v/>
      </c>
      <c r="AJ105" s="27">
        <f>IF(C105="","",H105+L105-AI105)</f>
        <v/>
      </c>
      <c r="AK105" s="29">
        <f>IFERROR(AJ105/(H105+L105),"")</f>
        <v/>
      </c>
      <c r="AL105" s="71" t="n"/>
      <c r="AM105" s="71" t="n"/>
      <c r="AN105" s="71" t="n"/>
      <c r="AO105" s="71" t="n"/>
      <c r="AP105" s="71" t="n"/>
      <c r="AQ105" s="24" t="n"/>
    </row>
    <row r="106" ht="15" customHeight="1">
      <c r="A106" s="70">
        <f>IF(C106="","",IFERROR(IF(SUMPRODUCT(MAX((tbl_Finance[Job Number]&amp;""=C106&amp;"")*(tbl_Finance[Xero Invoice No]&lt;&gt;"")*tbl_Finance[Date]))=0,"",SUMPRODUCT(MAX((tbl_Finance[Job Number]&amp;""=C106&amp;"")*(tbl_Finance[Xero Invoice No]&lt;&gt;"")*tbl_Finance[Date]))),""))</f>
        <v/>
      </c>
      <c r="B106" s="25">
        <f>IF(C106="","",IF(COUNTIFS(tbl_Finance[Job Number],C106&amp;"",tbl_Finance[Xero Invoice No],"&lt;&gt;")=0,"",IFERROR(IF(COUNTIFS(tbl_Finance[Job Number],C106&amp;"",tbl_Finance[Xero Invoice No],LOOKUP(2,1/((tbl_Finance[Job Number]&amp;""=C106&amp;"")*(tbl_Finance[Xero Invoice No]&lt;&gt;"")),tbl_Finance[Xero Invoice No]))=COUNTIFS(tbl_Finance[Job Number],C106&amp;"",tbl_Finance[Xero Invoice No],"&lt;&gt;"),LOOKUP(2,1/((tbl_Finance[Job Number]&amp;""=C106&amp;"")*(tbl_Finance[Xero Invoice No]&lt;&gt;"")),tbl_Finance[Xero Invoice No]),LOOKUP(2,1/((tbl_Finance[Job Number]&amp;""=C106&amp;"")*(tbl_Finance[Xero Invoice No]&lt;&gt;"")),tbl_Finance[Xero Invoice No])&amp;" +more"),"")))</f>
        <v/>
      </c>
      <c r="C106" s="24" t="n"/>
      <c r="D106" s="25">
        <f>IF(C106="","",IF(COUNTIF(lst_Jobs,C106&amp;"")&gt;0,"OK","CHECK"))</f>
        <v/>
      </c>
      <c r="E106" s="25">
        <f>IF(C106="","",IFERROR(INDEX(lst_JobName,MATCH(C106&amp;"",lst_Jobs,0)),""))</f>
        <v/>
      </c>
      <c r="F106" s="25">
        <f>IF(C106="","",IFERROR(INDEX(tbl_Finance[Client],IFERROR(MATCH(C106&amp;"",tbl_Finance[Job Number],0),MATCH(IFERROR(C106+0,C106),tbl_Finance[Job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6" t="n"/>
      <c r="L106" s="27">
        <f>IF(C106="","",IF(K106="",0,MAX(0,K106-H106)))</f>
        <v/>
      </c>
      <c r="M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N106" s="27">
        <f>IF(C106="","",SUMIFS(tbl_Finance[Inc GST],tbl_Finance[Job Number],C106&amp;""))</f>
        <v/>
      </c>
      <c r="O106" s="24" t="n"/>
      <c r="P106" s="25">
        <f>IF(C106="","",IFERROR(INDEX(tbl_Finance[Description],MATCH(C106&amp;"",tbl_Finance[Job Number],0)),""))</f>
        <v/>
      </c>
      <c r="Q106" s="24" t="n"/>
      <c r="R106" s="24" t="n"/>
      <c r="S106" s="22" t="n"/>
      <c r="T106" s="24" t="n"/>
      <c r="U106" s="25">
        <f>IF(T106="","",IF(AND(LEFT(T106,4)&lt;&gt;"http",set_RMSBase=""),"",HYPERLINK(IF(LEFT(T106,4)="http",T106,set_RMSBase&amp;T106),"Open opportunity")))</f>
        <v/>
      </c>
      <c r="V106" s="24" t="n"/>
      <c r="W106" s="25">
        <f>IF(V106="","",HYPERLINK(IF(LEFT(V106,4)="http",V106,set_QwilrBase&amp;V106),"Open quote"))</f>
        <v/>
      </c>
      <c r="X106" s="25">
        <f>IF(C106="","",C106)</f>
        <v/>
      </c>
      <c r="Y106" s="24" t="n"/>
      <c r="Z106" s="26" t="n"/>
      <c r="AA106" s="27">
        <f>IF(C106="","",H106+N(Z106))</f>
        <v/>
      </c>
      <c r="AB106" s="29">
        <f>IFERROR(Z106/AA106,"")</f>
        <v/>
      </c>
      <c r="AC106" s="26" t="n"/>
      <c r="AD106" s="26" t="n"/>
      <c r="AE106" s="26" t="n"/>
      <c r="AF106" s="26" t="n"/>
      <c r="AG106" s="27">
        <f>IF(C106="","",SUMIFS(tbl_Finance[Ex GST],tbl_Finance[Job Number],C106&amp;"",tbl_Finance[Cost Centre],"VIDEO"))</f>
        <v/>
      </c>
      <c r="AH106" s="29">
        <f>IFERROR(AG106/H106,"")</f>
        <v/>
      </c>
      <c r="AI106" s="27">
        <f>IF(C106="","",N(AC106)+N(AD106)+N(AE106)+N(AF106))</f>
        <v/>
      </c>
      <c r="AJ106" s="27">
        <f>IF(C106="","",H106+L106-AI106)</f>
        <v/>
      </c>
      <c r="AK106" s="29">
        <f>IFERROR(AJ106/(H106+L106),"")</f>
        <v/>
      </c>
      <c r="AL106" s="71" t="n"/>
      <c r="AM106" s="71" t="n"/>
      <c r="AN106" s="71" t="n"/>
      <c r="AO106" s="71" t="n"/>
      <c r="AP106" s="71" t="n"/>
      <c r="AQ106" s="24" t="n"/>
    </row>
    <row r="107" ht="15" customHeight="1">
      <c r="A107" s="70">
        <f>IF(C107="","",IFERROR(IF(SUMPRODUCT(MAX((tbl_Finance[Job Number]&amp;""=C107&amp;"")*(tbl_Finance[Xero Invoice No]&lt;&gt;"")*tbl_Finance[Date]))=0,"",SUMPRODUCT(MAX((tbl_Finance[Job Number]&amp;""=C107&amp;"")*(tbl_Finance[Xero Invoice No]&lt;&gt;"")*tbl_Finance[Date]))),""))</f>
        <v/>
      </c>
      <c r="B107" s="25">
        <f>IF(C107="","",IF(COUNTIFS(tbl_Finance[Job Number],C107&amp;"",tbl_Finance[Xero Invoice No],"&lt;&gt;")=0,"",IFERROR(IF(COUNTIFS(tbl_Finance[Job Number],C107&amp;"",tbl_Finance[Xero Invoice No],LOOKUP(2,1/((tbl_Finance[Job Number]&amp;""=C107&amp;"")*(tbl_Finance[Xero Invoice No]&lt;&gt;"")),tbl_Finance[Xero Invoice No]))=COUNTIFS(tbl_Finance[Job Number],C107&amp;"",tbl_Finance[Xero Invoice No],"&lt;&gt;"),LOOKUP(2,1/((tbl_Finance[Job Number]&amp;""=C107&amp;"")*(tbl_Finance[Xero Invoice No]&lt;&gt;"")),tbl_Finance[Xero Invoice No]),LOOKUP(2,1/((tbl_Finance[Job Number]&amp;""=C107&amp;"")*(tbl_Finance[Xero Invoice No]&lt;&gt;"")),tbl_Finance[Xero Invoice No])&amp;" +more"),"")))</f>
        <v/>
      </c>
      <c r="C107" s="24" t="n"/>
      <c r="D107" s="25">
        <f>IF(C107="","",IF(COUNTIF(lst_Jobs,C107&amp;"")&gt;0,"OK","CHECK"))</f>
        <v/>
      </c>
      <c r="E107" s="25">
        <f>IF(C107="","",IFERROR(INDEX(lst_JobName,MATCH(C107&amp;"",lst_Jobs,0)),""))</f>
        <v/>
      </c>
      <c r="F107" s="25">
        <f>IF(C107="","",IFERROR(INDEX(tbl_Finance[Client],IFERROR(MATCH(C107&amp;"",tbl_Finance[Job Number],0),MATCH(IFERROR(C107+0,C107),tbl_Finance[Job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6" t="n"/>
      <c r="L107" s="27">
        <f>IF(C107="","",IF(K107="",0,MAX(0,K107-H107)))</f>
        <v/>
      </c>
      <c r="M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N107" s="27">
        <f>IF(C107="","",SUMIFS(tbl_Finance[Inc GST],tbl_Finance[Job Number],C107&amp;""))</f>
        <v/>
      </c>
      <c r="O107" s="24" t="n"/>
      <c r="P107" s="25">
        <f>IF(C107="","",IFERROR(INDEX(tbl_Finance[Description],MATCH(C107&amp;"",tbl_Finance[Job Number],0)),""))</f>
        <v/>
      </c>
      <c r="Q107" s="24" t="n"/>
      <c r="R107" s="24" t="n"/>
      <c r="S107" s="22" t="n"/>
      <c r="T107" s="24" t="n"/>
      <c r="U107" s="25">
        <f>IF(T107="","",IF(AND(LEFT(T107,4)&lt;&gt;"http",set_RMSBase=""),"",HYPERLINK(IF(LEFT(T107,4)="http",T107,set_RMSBase&amp;T107),"Open opportunity")))</f>
        <v/>
      </c>
      <c r="V107" s="24" t="n"/>
      <c r="W107" s="25">
        <f>IF(V107="","",HYPERLINK(IF(LEFT(V107,4)="http",V107,set_QwilrBase&amp;V107),"Open quote"))</f>
        <v/>
      </c>
      <c r="X107" s="25">
        <f>IF(C107="","",C107)</f>
        <v/>
      </c>
      <c r="Y107" s="24" t="n"/>
      <c r="Z107" s="26" t="n"/>
      <c r="AA107" s="27">
        <f>IF(C107="","",H107+N(Z107))</f>
        <v/>
      </c>
      <c r="AB107" s="29">
        <f>IFERROR(Z107/AA107,"")</f>
        <v/>
      </c>
      <c r="AC107" s="26" t="n"/>
      <c r="AD107" s="26" t="n"/>
      <c r="AE107" s="26" t="n"/>
      <c r="AF107" s="26" t="n"/>
      <c r="AG107" s="27">
        <f>IF(C107="","",SUMIFS(tbl_Finance[Ex GST],tbl_Finance[Job Number],C107&amp;"",tbl_Finance[Cost Centre],"VIDEO"))</f>
        <v/>
      </c>
      <c r="AH107" s="29">
        <f>IFERROR(AG107/H107,"")</f>
        <v/>
      </c>
      <c r="AI107" s="27">
        <f>IF(C107="","",N(AC107)+N(AD107)+N(AE107)+N(AF107))</f>
        <v/>
      </c>
      <c r="AJ107" s="27">
        <f>IF(C107="","",H107+L107-AI107)</f>
        <v/>
      </c>
      <c r="AK107" s="29">
        <f>IFERROR(AJ107/(H107+L107),"")</f>
        <v/>
      </c>
      <c r="AL107" s="71" t="n"/>
      <c r="AM107" s="71" t="n"/>
      <c r="AN107" s="71" t="n"/>
      <c r="AO107" s="71" t="n"/>
      <c r="AP107" s="71" t="n"/>
      <c r="AQ107" s="24" t="n"/>
    </row>
    <row r="108" ht="15" customHeight="1">
      <c r="A108" s="70">
        <f>IF(C108="","",IFERROR(IF(SUMPRODUCT(MAX((tbl_Finance[Job Number]&amp;""=C108&amp;"")*(tbl_Finance[Xero Invoice No]&lt;&gt;"")*tbl_Finance[Date]))=0,"",SUMPRODUCT(MAX((tbl_Finance[Job Number]&amp;""=C108&amp;"")*(tbl_Finance[Xero Invoice No]&lt;&gt;"")*tbl_Finance[Date]))),""))</f>
        <v/>
      </c>
      <c r="B108" s="25">
        <f>IF(C108="","",IF(COUNTIFS(tbl_Finance[Job Number],C108&amp;"",tbl_Finance[Xero Invoice No],"&lt;&gt;")=0,"",IFERROR(IF(COUNTIFS(tbl_Finance[Job Number],C108&amp;"",tbl_Finance[Xero Invoice No],LOOKUP(2,1/((tbl_Finance[Job Number]&amp;""=C108&amp;"")*(tbl_Finance[Xero Invoice No]&lt;&gt;"")),tbl_Finance[Xero Invoice No]))=COUNTIFS(tbl_Finance[Job Number],C108&amp;"",tbl_Finance[Xero Invoice No],"&lt;&gt;"),LOOKUP(2,1/((tbl_Finance[Job Number]&amp;""=C108&amp;"")*(tbl_Finance[Xero Invoice No]&lt;&gt;"")),tbl_Finance[Xero Invoice No]),LOOKUP(2,1/((tbl_Finance[Job Number]&amp;""=C108&amp;"")*(tbl_Finance[Xero Invoice No]&lt;&gt;"")),tbl_Finance[Xero Invoice No])&amp;" +more"),"")))</f>
        <v/>
      </c>
      <c r="C108" s="24" t="n"/>
      <c r="D108" s="25">
        <f>IF(C108="","",IF(COUNTIF(lst_Jobs,C108&amp;"")&gt;0,"OK","CHECK"))</f>
        <v/>
      </c>
      <c r="E108" s="25">
        <f>IF(C108="","",IFERROR(INDEX(lst_JobName,MATCH(C108&amp;"",lst_Jobs,0)),""))</f>
        <v/>
      </c>
      <c r="F108" s="25">
        <f>IF(C108="","",IFERROR(INDEX(tbl_Finance[Client],IFERROR(MATCH(C108&amp;"",tbl_Finance[Job Number],0),MATCH(IFERROR(C108+0,C108),tbl_Finance[Job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6" t="n"/>
      <c r="L108" s="27">
        <f>IF(C108="","",IF(K108="",0,MAX(0,K108-H108)))</f>
        <v/>
      </c>
      <c r="M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N108" s="27">
        <f>IF(C108="","",SUMIFS(tbl_Finance[Inc GST],tbl_Finance[Job Number],C108&amp;""))</f>
        <v/>
      </c>
      <c r="O108" s="24" t="n"/>
      <c r="P108" s="25">
        <f>IF(C108="","",IFERROR(INDEX(tbl_Finance[Description],MATCH(C108&amp;"",tbl_Finance[Job Number],0)),""))</f>
        <v/>
      </c>
      <c r="Q108" s="24" t="n"/>
      <c r="R108" s="24" t="n"/>
      <c r="S108" s="22" t="n"/>
      <c r="T108" s="24" t="n"/>
      <c r="U108" s="25">
        <f>IF(T108="","",IF(AND(LEFT(T108,4)&lt;&gt;"http",set_RMSBase=""),"",HYPERLINK(IF(LEFT(T108,4)="http",T108,set_RMSBase&amp;T108),"Open opportunity")))</f>
        <v/>
      </c>
      <c r="V108" s="24" t="n"/>
      <c r="W108" s="25">
        <f>IF(V108="","",HYPERLINK(IF(LEFT(V108,4)="http",V108,set_QwilrBase&amp;V108),"Open quote"))</f>
        <v/>
      </c>
      <c r="X108" s="25">
        <f>IF(C108="","",C108)</f>
        <v/>
      </c>
      <c r="Y108" s="24" t="n"/>
      <c r="Z108" s="26" t="n"/>
      <c r="AA108" s="27">
        <f>IF(C108="","",H108+N(Z108))</f>
        <v/>
      </c>
      <c r="AB108" s="29">
        <f>IFERROR(Z108/AA108,"")</f>
        <v/>
      </c>
      <c r="AC108" s="26" t="n"/>
      <c r="AD108" s="26" t="n"/>
      <c r="AE108" s="26" t="n"/>
      <c r="AF108" s="26" t="n"/>
      <c r="AG108" s="27">
        <f>IF(C108="","",SUMIFS(tbl_Finance[Ex GST],tbl_Finance[Job Number],C108&amp;"",tbl_Finance[Cost Centre],"VIDEO"))</f>
        <v/>
      </c>
      <c r="AH108" s="29">
        <f>IFERROR(AG108/H108,"")</f>
        <v/>
      </c>
      <c r="AI108" s="27">
        <f>IF(C108="","",N(AC108)+N(AD108)+N(AE108)+N(AF108))</f>
        <v/>
      </c>
      <c r="AJ108" s="27">
        <f>IF(C108="","",H108+L108-AI108)</f>
        <v/>
      </c>
      <c r="AK108" s="29">
        <f>IFERROR(AJ108/(H108+L108),"")</f>
        <v/>
      </c>
      <c r="AL108" s="71" t="n"/>
      <c r="AM108" s="71" t="n"/>
      <c r="AN108" s="71" t="n"/>
      <c r="AO108" s="71" t="n"/>
      <c r="AP108" s="71" t="n"/>
      <c r="AQ108" s="24" t="n"/>
    </row>
    <row r="109" ht="15" customHeight="1">
      <c r="A109" s="70">
        <f>IF(C109="","",IFERROR(IF(SUMPRODUCT(MAX((tbl_Finance[Job Number]&amp;""=C109&amp;"")*(tbl_Finance[Xero Invoice No]&lt;&gt;"")*tbl_Finance[Date]))=0,"",SUMPRODUCT(MAX((tbl_Finance[Job Number]&amp;""=C109&amp;"")*(tbl_Finance[Xero Invoice No]&lt;&gt;"")*tbl_Finance[Date]))),""))</f>
        <v/>
      </c>
      <c r="B109" s="25">
        <f>IF(C109="","",IF(COUNTIFS(tbl_Finance[Job Number],C109&amp;"",tbl_Finance[Xero Invoice No],"&lt;&gt;")=0,"",IFERROR(IF(COUNTIFS(tbl_Finance[Job Number],C109&amp;"",tbl_Finance[Xero Invoice No],LOOKUP(2,1/((tbl_Finance[Job Number]&amp;""=C109&amp;"")*(tbl_Finance[Xero Invoice No]&lt;&gt;"")),tbl_Finance[Xero Invoice No]))=COUNTIFS(tbl_Finance[Job Number],C109&amp;"",tbl_Finance[Xero Invoice No],"&lt;&gt;"),LOOKUP(2,1/((tbl_Finance[Job Number]&amp;""=C109&amp;"")*(tbl_Finance[Xero Invoice No]&lt;&gt;"")),tbl_Finance[Xero Invoice No]),LOOKUP(2,1/((tbl_Finance[Job Number]&amp;""=C109&amp;"")*(tbl_Finance[Xero Invoice No]&lt;&gt;"")),tbl_Finance[Xero Invoice No])&amp;" +more"),"")))</f>
        <v/>
      </c>
      <c r="C109" s="24" t="n"/>
      <c r="D109" s="25">
        <f>IF(C109="","",IF(COUNTIF(lst_Jobs,C109&amp;"")&gt;0,"OK","CHECK"))</f>
        <v/>
      </c>
      <c r="E109" s="25">
        <f>IF(C109="","",IFERROR(INDEX(lst_JobName,MATCH(C109&amp;"",lst_Jobs,0)),""))</f>
        <v/>
      </c>
      <c r="F109" s="25">
        <f>IF(C109="","",IFERROR(INDEX(tbl_Finance[Client],IFERROR(MATCH(C109&amp;"",tbl_Finance[Job Number],0),MATCH(IFERROR(C109+0,C109),tbl_Finance[Job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6" t="n"/>
      <c r="L109" s="27">
        <f>IF(C109="","",IF(K109="",0,MAX(0,K109-H109)))</f>
        <v/>
      </c>
      <c r="M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N109" s="27">
        <f>IF(C109="","",SUMIFS(tbl_Finance[Inc GST],tbl_Finance[Job Number],C109&amp;""))</f>
        <v/>
      </c>
      <c r="O109" s="24" t="n"/>
      <c r="P109" s="25">
        <f>IF(C109="","",IFERROR(INDEX(tbl_Finance[Description],MATCH(C109&amp;"",tbl_Finance[Job Number],0)),""))</f>
        <v/>
      </c>
      <c r="Q109" s="24" t="n"/>
      <c r="R109" s="24" t="n"/>
      <c r="S109" s="22" t="n"/>
      <c r="T109" s="24" t="n"/>
      <c r="U109" s="25">
        <f>IF(T109="","",IF(AND(LEFT(T109,4)&lt;&gt;"http",set_RMSBase=""),"",HYPERLINK(IF(LEFT(T109,4)="http",T109,set_RMSBase&amp;T109),"Open opportunity")))</f>
        <v/>
      </c>
      <c r="V109" s="24" t="n"/>
      <c r="W109" s="25">
        <f>IF(V109="","",HYPERLINK(IF(LEFT(V109,4)="http",V109,set_QwilrBase&amp;V109),"Open quote"))</f>
        <v/>
      </c>
      <c r="X109" s="25">
        <f>IF(C109="","",C109)</f>
        <v/>
      </c>
      <c r="Y109" s="24" t="n"/>
      <c r="Z109" s="26" t="n"/>
      <c r="AA109" s="27">
        <f>IF(C109="","",H109+N(Z109))</f>
        <v/>
      </c>
      <c r="AB109" s="29">
        <f>IFERROR(Z109/AA109,"")</f>
        <v/>
      </c>
      <c r="AC109" s="26" t="n"/>
      <c r="AD109" s="26" t="n"/>
      <c r="AE109" s="26" t="n"/>
      <c r="AF109" s="26" t="n"/>
      <c r="AG109" s="27">
        <f>IF(C109="","",SUMIFS(tbl_Finance[Ex GST],tbl_Finance[Job Number],C109&amp;"",tbl_Finance[Cost Centre],"VIDEO"))</f>
        <v/>
      </c>
      <c r="AH109" s="29">
        <f>IFERROR(AG109/H109,"")</f>
        <v/>
      </c>
      <c r="AI109" s="27">
        <f>IF(C109="","",N(AC109)+N(AD109)+N(AE109)+N(AF109))</f>
        <v/>
      </c>
      <c r="AJ109" s="27">
        <f>IF(C109="","",H109+L109-AI109)</f>
        <v/>
      </c>
      <c r="AK109" s="29">
        <f>IFERROR(AJ109/(H109+L109),"")</f>
        <v/>
      </c>
      <c r="AL109" s="71" t="n"/>
      <c r="AM109" s="71" t="n"/>
      <c r="AN109" s="71" t="n"/>
      <c r="AO109" s="71" t="n"/>
      <c r="AP109" s="71" t="n"/>
      <c r="AQ109" s="24" t="n"/>
    </row>
    <row r="110" ht="15" customHeight="1">
      <c r="A110" s="70">
        <f>IF(C110="","",IFERROR(IF(SUMPRODUCT(MAX((tbl_Finance[Job Number]&amp;""=C110&amp;"")*(tbl_Finance[Xero Invoice No]&lt;&gt;"")*tbl_Finance[Date]))=0,"",SUMPRODUCT(MAX((tbl_Finance[Job Number]&amp;""=C110&amp;"")*(tbl_Finance[Xero Invoice No]&lt;&gt;"")*tbl_Finance[Date]))),""))</f>
        <v/>
      </c>
      <c r="B110" s="25">
        <f>IF(C110="","",IF(COUNTIFS(tbl_Finance[Job Number],C110&amp;"",tbl_Finance[Xero Invoice No],"&lt;&gt;")=0,"",IFERROR(IF(COUNTIFS(tbl_Finance[Job Number],C110&amp;"",tbl_Finance[Xero Invoice No],LOOKUP(2,1/((tbl_Finance[Job Number]&amp;""=C110&amp;"")*(tbl_Finance[Xero Invoice No]&lt;&gt;"")),tbl_Finance[Xero Invoice No]))=COUNTIFS(tbl_Finance[Job Number],C110&amp;"",tbl_Finance[Xero Invoice No],"&lt;&gt;"),LOOKUP(2,1/((tbl_Finance[Job Number]&amp;""=C110&amp;"")*(tbl_Finance[Xero Invoice No]&lt;&gt;"")),tbl_Finance[Xero Invoice No]),LOOKUP(2,1/((tbl_Finance[Job Number]&amp;""=C110&amp;"")*(tbl_Finance[Xero Invoice No]&lt;&gt;"")),tbl_Finance[Xero Invoice No])&amp;" +more"),"")))</f>
        <v/>
      </c>
      <c r="C110" s="24" t="n"/>
      <c r="D110" s="25">
        <f>IF(C110="","",IF(COUNTIF(lst_Jobs,C110&amp;"")&gt;0,"OK","CHECK"))</f>
        <v/>
      </c>
      <c r="E110" s="25">
        <f>IF(C110="","",IFERROR(INDEX(lst_JobName,MATCH(C110&amp;"",lst_Jobs,0)),""))</f>
        <v/>
      </c>
      <c r="F110" s="25">
        <f>IF(C110="","",IFERROR(INDEX(tbl_Finance[Client],IFERROR(MATCH(C110&amp;"",tbl_Finance[Job Number],0),MATCH(IFERROR(C110+0,C110),tbl_Finance[Job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6" t="n"/>
      <c r="L110" s="27">
        <f>IF(C110="","",IF(K110="",0,MAX(0,K110-H110)))</f>
        <v/>
      </c>
      <c r="M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N110" s="27">
        <f>IF(C110="","",SUMIFS(tbl_Finance[Inc GST],tbl_Finance[Job Number],C110&amp;""))</f>
        <v/>
      </c>
      <c r="O110" s="24" t="n"/>
      <c r="P110" s="25">
        <f>IF(C110="","",IFERROR(INDEX(tbl_Finance[Description],MATCH(C110&amp;"",tbl_Finance[Job Number],0)),""))</f>
        <v/>
      </c>
      <c r="Q110" s="24" t="n"/>
      <c r="R110" s="24" t="n"/>
      <c r="S110" s="22" t="n"/>
      <c r="T110" s="24" t="n"/>
      <c r="U110" s="25">
        <f>IF(T110="","",IF(AND(LEFT(T110,4)&lt;&gt;"http",set_RMSBase=""),"",HYPERLINK(IF(LEFT(T110,4)="http",T110,set_RMSBase&amp;T110),"Open opportunity")))</f>
        <v/>
      </c>
      <c r="V110" s="24" t="n"/>
      <c r="W110" s="25">
        <f>IF(V110="","",HYPERLINK(IF(LEFT(V110,4)="http",V110,set_QwilrBase&amp;V110),"Open quote"))</f>
        <v/>
      </c>
      <c r="X110" s="25">
        <f>IF(C110="","",C110)</f>
        <v/>
      </c>
      <c r="Y110" s="24" t="n"/>
      <c r="Z110" s="26" t="n"/>
      <c r="AA110" s="27">
        <f>IF(C110="","",H110+N(Z110))</f>
        <v/>
      </c>
      <c r="AB110" s="29">
        <f>IFERROR(Z110/AA110,"")</f>
        <v/>
      </c>
      <c r="AC110" s="26" t="n"/>
      <c r="AD110" s="26" t="n"/>
      <c r="AE110" s="26" t="n"/>
      <c r="AF110" s="26" t="n"/>
      <c r="AG110" s="27">
        <f>IF(C110="","",SUMIFS(tbl_Finance[Ex GST],tbl_Finance[Job Number],C110&amp;"",tbl_Finance[Cost Centre],"VIDEO"))</f>
        <v/>
      </c>
      <c r="AH110" s="29">
        <f>IFERROR(AG110/H110,"")</f>
        <v/>
      </c>
      <c r="AI110" s="27">
        <f>IF(C110="","",N(AC110)+N(AD110)+N(AE110)+N(AF110))</f>
        <v/>
      </c>
      <c r="AJ110" s="27">
        <f>IF(C110="","",H110+L110-AI110)</f>
        <v/>
      </c>
      <c r="AK110" s="29">
        <f>IFERROR(AJ110/(H110+L110),"")</f>
        <v/>
      </c>
      <c r="AL110" s="71" t="n"/>
      <c r="AM110" s="71" t="n"/>
      <c r="AN110" s="71" t="n"/>
      <c r="AO110" s="71" t="n"/>
      <c r="AP110" s="71" t="n"/>
      <c r="AQ110" s="24" t="n"/>
    </row>
    <row r="111" ht="15" customHeight="1">
      <c r="A111" s="70">
        <f>IF(C111="","",IFERROR(IF(SUMPRODUCT(MAX((tbl_Finance[Job Number]&amp;""=C111&amp;"")*(tbl_Finance[Xero Invoice No]&lt;&gt;"")*tbl_Finance[Date]))=0,"",SUMPRODUCT(MAX((tbl_Finance[Job Number]&amp;""=C111&amp;"")*(tbl_Finance[Xero Invoice No]&lt;&gt;"")*tbl_Finance[Date]))),""))</f>
        <v/>
      </c>
      <c r="B111" s="25">
        <f>IF(C111="","",IF(COUNTIFS(tbl_Finance[Job Number],C111&amp;"",tbl_Finance[Xero Invoice No],"&lt;&gt;")=0,"",IFERROR(IF(COUNTIFS(tbl_Finance[Job Number],C111&amp;"",tbl_Finance[Xero Invoice No],LOOKUP(2,1/((tbl_Finance[Job Number]&amp;""=C111&amp;"")*(tbl_Finance[Xero Invoice No]&lt;&gt;"")),tbl_Finance[Xero Invoice No]))=COUNTIFS(tbl_Finance[Job Number],C111&amp;"",tbl_Finance[Xero Invoice No],"&lt;&gt;"),LOOKUP(2,1/((tbl_Finance[Job Number]&amp;""=C111&amp;"")*(tbl_Finance[Xero Invoice No]&lt;&gt;"")),tbl_Finance[Xero Invoice No]),LOOKUP(2,1/((tbl_Finance[Job Number]&amp;""=C111&amp;"")*(tbl_Finance[Xero Invoice No]&lt;&gt;"")),tbl_Finance[Xero Invoice No])&amp;" +more"),"")))</f>
        <v/>
      </c>
      <c r="C111" s="24" t="n"/>
      <c r="D111" s="25">
        <f>IF(C111="","",IF(COUNTIF(lst_Jobs,C111&amp;"")&gt;0,"OK","CHECK"))</f>
        <v/>
      </c>
      <c r="E111" s="25">
        <f>IF(C111="","",IFERROR(INDEX(lst_JobName,MATCH(C111&amp;"",lst_Jobs,0)),""))</f>
        <v/>
      </c>
      <c r="F111" s="25">
        <f>IF(C111="","",IFERROR(INDEX(tbl_Finance[Client],IFERROR(MATCH(C111&amp;"",tbl_Finance[Job Number],0),MATCH(IFERROR(C111+0,C111),tbl_Finance[Job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6" t="n"/>
      <c r="L111" s="27">
        <f>IF(C111="","",IF(K111="",0,MAX(0,K111-H111)))</f>
        <v/>
      </c>
      <c r="M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N111" s="27">
        <f>IF(C111="","",SUMIFS(tbl_Finance[Inc GST],tbl_Finance[Job Number],C111&amp;""))</f>
        <v/>
      </c>
      <c r="O111" s="24" t="n"/>
      <c r="P111" s="25">
        <f>IF(C111="","",IFERROR(INDEX(tbl_Finance[Description],MATCH(C111&amp;"",tbl_Finance[Job Number],0)),""))</f>
        <v/>
      </c>
      <c r="Q111" s="24" t="n"/>
      <c r="R111" s="24" t="n"/>
      <c r="S111" s="22" t="n"/>
      <c r="T111" s="24" t="n"/>
      <c r="U111" s="25">
        <f>IF(T111="","",IF(AND(LEFT(T111,4)&lt;&gt;"http",set_RMSBase=""),"",HYPERLINK(IF(LEFT(T111,4)="http",T111,set_RMSBase&amp;T111),"Open opportunity")))</f>
        <v/>
      </c>
      <c r="V111" s="24" t="n"/>
      <c r="W111" s="25">
        <f>IF(V111="","",HYPERLINK(IF(LEFT(V111,4)="http",V111,set_QwilrBase&amp;V111),"Open quote"))</f>
        <v/>
      </c>
      <c r="X111" s="25">
        <f>IF(C111="","",C111)</f>
        <v/>
      </c>
      <c r="Y111" s="24" t="n"/>
      <c r="Z111" s="26" t="n"/>
      <c r="AA111" s="27">
        <f>IF(C111="","",H111+N(Z111))</f>
        <v/>
      </c>
      <c r="AB111" s="29">
        <f>IFERROR(Z111/AA111,"")</f>
        <v/>
      </c>
      <c r="AC111" s="26" t="n"/>
      <c r="AD111" s="26" t="n"/>
      <c r="AE111" s="26" t="n"/>
      <c r="AF111" s="26" t="n"/>
      <c r="AG111" s="27">
        <f>IF(C111="","",SUMIFS(tbl_Finance[Ex GST],tbl_Finance[Job Number],C111&amp;"",tbl_Finance[Cost Centre],"VIDEO"))</f>
        <v/>
      </c>
      <c r="AH111" s="29">
        <f>IFERROR(AG111/H111,"")</f>
        <v/>
      </c>
      <c r="AI111" s="27">
        <f>IF(C111="","",N(AC111)+N(AD111)+N(AE111)+N(AF111))</f>
        <v/>
      </c>
      <c r="AJ111" s="27">
        <f>IF(C111="","",H111+L111-AI111)</f>
        <v/>
      </c>
      <c r="AK111" s="29">
        <f>IFERROR(AJ111/(H111+L111),"")</f>
        <v/>
      </c>
      <c r="AL111" s="71" t="n"/>
      <c r="AM111" s="71" t="n"/>
      <c r="AN111" s="71" t="n"/>
      <c r="AO111" s="71" t="n"/>
      <c r="AP111" s="71" t="n"/>
      <c r="AQ111" s="24" t="n"/>
    </row>
    <row r="112" ht="15" customHeight="1">
      <c r="A112" s="70">
        <f>IF(C112="","",IFERROR(IF(SUMPRODUCT(MAX((tbl_Finance[Job Number]&amp;""=C112&amp;"")*(tbl_Finance[Xero Invoice No]&lt;&gt;"")*tbl_Finance[Date]))=0,"",SUMPRODUCT(MAX((tbl_Finance[Job Number]&amp;""=C112&amp;"")*(tbl_Finance[Xero Invoice No]&lt;&gt;"")*tbl_Finance[Date]))),""))</f>
        <v/>
      </c>
      <c r="B112" s="25">
        <f>IF(C112="","",IF(COUNTIFS(tbl_Finance[Job Number],C112&amp;"",tbl_Finance[Xero Invoice No],"&lt;&gt;")=0,"",IFERROR(IF(COUNTIFS(tbl_Finance[Job Number],C112&amp;"",tbl_Finance[Xero Invoice No],LOOKUP(2,1/((tbl_Finance[Job Number]&amp;""=C112&amp;"")*(tbl_Finance[Xero Invoice No]&lt;&gt;"")),tbl_Finance[Xero Invoice No]))=COUNTIFS(tbl_Finance[Job Number],C112&amp;"",tbl_Finance[Xero Invoice No],"&lt;&gt;"),LOOKUP(2,1/((tbl_Finance[Job Number]&amp;""=C112&amp;"")*(tbl_Finance[Xero Invoice No]&lt;&gt;"")),tbl_Finance[Xero Invoice No]),LOOKUP(2,1/((tbl_Finance[Job Number]&amp;""=C112&amp;"")*(tbl_Finance[Xero Invoice No]&lt;&gt;"")),tbl_Finance[Xero Invoice No])&amp;" +more"),"")))</f>
        <v/>
      </c>
      <c r="C112" s="24" t="n"/>
      <c r="D112" s="25">
        <f>IF(C112="","",IF(COUNTIF(lst_Jobs,C112&amp;"")&gt;0,"OK","CHECK"))</f>
        <v/>
      </c>
      <c r="E112" s="25">
        <f>IF(C112="","",IFERROR(INDEX(lst_JobName,MATCH(C112&amp;"",lst_Jobs,0)),""))</f>
        <v/>
      </c>
      <c r="F112" s="25">
        <f>IF(C112="","",IFERROR(INDEX(tbl_Finance[Client],IFERROR(MATCH(C112&amp;"",tbl_Finance[Job Number],0),MATCH(IFERROR(C112+0,C112),tbl_Finance[Job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6" t="n"/>
      <c r="L112" s="27">
        <f>IF(C112="","",IF(K112="",0,MAX(0,K112-H112)))</f>
        <v/>
      </c>
      <c r="M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N112" s="27">
        <f>IF(C112="","",SUMIFS(tbl_Finance[Inc GST],tbl_Finance[Job Number],C112&amp;""))</f>
        <v/>
      </c>
      <c r="O112" s="24" t="n"/>
      <c r="P112" s="25">
        <f>IF(C112="","",IFERROR(INDEX(tbl_Finance[Description],MATCH(C112&amp;"",tbl_Finance[Job Number],0)),""))</f>
        <v/>
      </c>
      <c r="Q112" s="24" t="n"/>
      <c r="R112" s="24" t="n"/>
      <c r="S112" s="22" t="n"/>
      <c r="T112" s="24" t="n"/>
      <c r="U112" s="25">
        <f>IF(T112="","",IF(AND(LEFT(T112,4)&lt;&gt;"http",set_RMSBase=""),"",HYPERLINK(IF(LEFT(T112,4)="http",T112,set_RMSBase&amp;T112),"Open opportunity")))</f>
        <v/>
      </c>
      <c r="V112" s="24" t="n"/>
      <c r="W112" s="25">
        <f>IF(V112="","",HYPERLINK(IF(LEFT(V112,4)="http",V112,set_QwilrBase&amp;V112),"Open quote"))</f>
        <v/>
      </c>
      <c r="X112" s="25">
        <f>IF(C112="","",C112)</f>
        <v/>
      </c>
      <c r="Y112" s="24" t="n"/>
      <c r="Z112" s="26" t="n"/>
      <c r="AA112" s="27">
        <f>IF(C112="","",H112+N(Z112))</f>
        <v/>
      </c>
      <c r="AB112" s="29">
        <f>IFERROR(Z112/AA112,"")</f>
        <v/>
      </c>
      <c r="AC112" s="26" t="n"/>
      <c r="AD112" s="26" t="n"/>
      <c r="AE112" s="26" t="n"/>
      <c r="AF112" s="26" t="n"/>
      <c r="AG112" s="27">
        <f>IF(C112="","",SUMIFS(tbl_Finance[Ex GST],tbl_Finance[Job Number],C112&amp;"",tbl_Finance[Cost Centre],"VIDEO"))</f>
        <v/>
      </c>
      <c r="AH112" s="29">
        <f>IFERROR(AG112/H112,"")</f>
        <v/>
      </c>
      <c r="AI112" s="27">
        <f>IF(C112="","",N(AC112)+N(AD112)+N(AE112)+N(AF112))</f>
        <v/>
      </c>
      <c r="AJ112" s="27">
        <f>IF(C112="","",H112+L112-AI112)</f>
        <v/>
      </c>
      <c r="AK112" s="29">
        <f>IFERROR(AJ112/(H112+L112),"")</f>
        <v/>
      </c>
      <c r="AL112" s="71" t="n"/>
      <c r="AM112" s="71" t="n"/>
      <c r="AN112" s="71" t="n"/>
      <c r="AO112" s="71" t="n"/>
      <c r="AP112" s="71" t="n"/>
      <c r="AQ112" s="24" t="n"/>
    </row>
    <row r="113" ht="15" customHeight="1">
      <c r="A113" s="70">
        <f>IF(C113="","",IFERROR(IF(SUMPRODUCT(MAX((tbl_Finance[Job Number]&amp;""=C113&amp;"")*(tbl_Finance[Xero Invoice No]&lt;&gt;"")*tbl_Finance[Date]))=0,"",SUMPRODUCT(MAX((tbl_Finance[Job Number]&amp;""=C113&amp;"")*(tbl_Finance[Xero Invoice No]&lt;&gt;"")*tbl_Finance[Date]))),""))</f>
        <v/>
      </c>
      <c r="B113" s="25">
        <f>IF(C113="","",IF(COUNTIFS(tbl_Finance[Job Number],C113&amp;"",tbl_Finance[Xero Invoice No],"&lt;&gt;")=0,"",IFERROR(IF(COUNTIFS(tbl_Finance[Job Number],C113&amp;"",tbl_Finance[Xero Invoice No],LOOKUP(2,1/((tbl_Finance[Job Number]&amp;""=C113&amp;"")*(tbl_Finance[Xero Invoice No]&lt;&gt;"")),tbl_Finance[Xero Invoice No]))=COUNTIFS(tbl_Finance[Job Number],C113&amp;"",tbl_Finance[Xero Invoice No],"&lt;&gt;"),LOOKUP(2,1/((tbl_Finance[Job Number]&amp;""=C113&amp;"")*(tbl_Finance[Xero Invoice No]&lt;&gt;"")),tbl_Finance[Xero Invoice No]),LOOKUP(2,1/((tbl_Finance[Job Number]&amp;""=C113&amp;"")*(tbl_Finance[Xero Invoice No]&lt;&gt;"")),tbl_Finance[Xero Invoice No])&amp;" +more"),"")))</f>
        <v/>
      </c>
      <c r="C113" s="24" t="n"/>
      <c r="D113" s="25">
        <f>IF(C113="","",IF(COUNTIF(lst_Jobs,C113&amp;"")&gt;0,"OK","CHECK"))</f>
        <v/>
      </c>
      <c r="E113" s="25">
        <f>IF(C113="","",IFERROR(INDEX(lst_JobName,MATCH(C113&amp;"",lst_Jobs,0)),""))</f>
        <v/>
      </c>
      <c r="F113" s="25">
        <f>IF(C113="","",IFERROR(INDEX(tbl_Finance[Client],IFERROR(MATCH(C113&amp;"",tbl_Finance[Job Number],0),MATCH(IFERROR(C113+0,C113),tbl_Finance[Job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6" t="n"/>
      <c r="L113" s="27">
        <f>IF(C113="","",IF(K113="",0,MAX(0,K113-H113)))</f>
        <v/>
      </c>
      <c r="M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N113" s="27">
        <f>IF(C113="","",SUMIFS(tbl_Finance[Inc GST],tbl_Finance[Job Number],C113&amp;""))</f>
        <v/>
      </c>
      <c r="O113" s="24" t="n"/>
      <c r="P113" s="25">
        <f>IF(C113="","",IFERROR(INDEX(tbl_Finance[Description],MATCH(C113&amp;"",tbl_Finance[Job Number],0)),""))</f>
        <v/>
      </c>
      <c r="Q113" s="24" t="n"/>
      <c r="R113" s="24" t="n"/>
      <c r="S113" s="22" t="n"/>
      <c r="T113" s="24" t="n"/>
      <c r="U113" s="25">
        <f>IF(T113="","",IF(AND(LEFT(T113,4)&lt;&gt;"http",set_RMSBase=""),"",HYPERLINK(IF(LEFT(T113,4)="http",T113,set_RMSBase&amp;T113),"Open opportunity")))</f>
        <v/>
      </c>
      <c r="V113" s="24" t="n"/>
      <c r="W113" s="25">
        <f>IF(V113="","",HYPERLINK(IF(LEFT(V113,4)="http",V113,set_QwilrBase&amp;V113),"Open quote"))</f>
        <v/>
      </c>
      <c r="X113" s="25">
        <f>IF(C113="","",C113)</f>
        <v/>
      </c>
      <c r="Y113" s="24" t="n"/>
      <c r="Z113" s="26" t="n"/>
      <c r="AA113" s="27">
        <f>IF(C113="","",H113+N(Z113))</f>
        <v/>
      </c>
      <c r="AB113" s="29">
        <f>IFERROR(Z113/AA113,"")</f>
        <v/>
      </c>
      <c r="AC113" s="26" t="n"/>
      <c r="AD113" s="26" t="n"/>
      <c r="AE113" s="26" t="n"/>
      <c r="AF113" s="26" t="n"/>
      <c r="AG113" s="27">
        <f>IF(C113="","",SUMIFS(tbl_Finance[Ex GST],tbl_Finance[Job Number],C113&amp;"",tbl_Finance[Cost Centre],"VIDEO"))</f>
        <v/>
      </c>
      <c r="AH113" s="29">
        <f>IFERROR(AG113/H113,"")</f>
        <v/>
      </c>
      <c r="AI113" s="27">
        <f>IF(C113="","",N(AC113)+N(AD113)+N(AE113)+N(AF113))</f>
        <v/>
      </c>
      <c r="AJ113" s="27">
        <f>IF(C113="","",H113+L113-AI113)</f>
        <v/>
      </c>
      <c r="AK113" s="29">
        <f>IFERROR(AJ113/(H113+L113),"")</f>
        <v/>
      </c>
      <c r="AL113" s="71" t="n"/>
      <c r="AM113" s="71" t="n"/>
      <c r="AN113" s="71" t="n"/>
      <c r="AO113" s="71" t="n"/>
      <c r="AP113" s="71" t="n"/>
      <c r="AQ113" s="24" t="n"/>
    </row>
    <row r="114" ht="15" customHeight="1">
      <c r="A114" s="70">
        <f>IF(C114="","",IFERROR(IF(SUMPRODUCT(MAX((tbl_Finance[Job Number]&amp;""=C114&amp;"")*(tbl_Finance[Xero Invoice No]&lt;&gt;"")*tbl_Finance[Date]))=0,"",SUMPRODUCT(MAX((tbl_Finance[Job Number]&amp;""=C114&amp;"")*(tbl_Finance[Xero Invoice No]&lt;&gt;"")*tbl_Finance[Date]))),""))</f>
        <v/>
      </c>
      <c r="B114" s="25">
        <f>IF(C114="","",IF(COUNTIFS(tbl_Finance[Job Number],C114&amp;"",tbl_Finance[Xero Invoice No],"&lt;&gt;")=0,"",IFERROR(IF(COUNTIFS(tbl_Finance[Job Number],C114&amp;"",tbl_Finance[Xero Invoice No],LOOKUP(2,1/((tbl_Finance[Job Number]&amp;""=C114&amp;"")*(tbl_Finance[Xero Invoice No]&lt;&gt;"")),tbl_Finance[Xero Invoice No]))=COUNTIFS(tbl_Finance[Job Number],C114&amp;"",tbl_Finance[Xero Invoice No],"&lt;&gt;"),LOOKUP(2,1/((tbl_Finance[Job Number]&amp;""=C114&amp;"")*(tbl_Finance[Xero Invoice No]&lt;&gt;"")),tbl_Finance[Xero Invoice No]),LOOKUP(2,1/((tbl_Finance[Job Number]&amp;""=C114&amp;"")*(tbl_Finance[Xero Invoice No]&lt;&gt;"")),tbl_Finance[Xero Invoice No])&amp;" +more"),"")))</f>
        <v/>
      </c>
      <c r="C114" s="24" t="n"/>
      <c r="D114" s="25">
        <f>IF(C114="","",IF(COUNTIF(lst_Jobs,C114&amp;"")&gt;0,"OK","CHECK"))</f>
        <v/>
      </c>
      <c r="E114" s="25">
        <f>IF(C114="","",IFERROR(INDEX(lst_JobName,MATCH(C114&amp;"",lst_Jobs,0)),""))</f>
        <v/>
      </c>
      <c r="F114" s="25">
        <f>IF(C114="","",IFERROR(INDEX(tbl_Finance[Client],IFERROR(MATCH(C114&amp;"",tbl_Finance[Job Number],0),MATCH(IFERROR(C114+0,C114),tbl_Finance[Job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6" t="n"/>
      <c r="L114" s="27">
        <f>IF(C114="","",IF(K114="",0,MAX(0,K114-H114)))</f>
        <v/>
      </c>
      <c r="M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N114" s="27">
        <f>IF(C114="","",SUMIFS(tbl_Finance[Inc GST],tbl_Finance[Job Number],C114&amp;""))</f>
        <v/>
      </c>
      <c r="O114" s="24" t="n"/>
      <c r="P114" s="25">
        <f>IF(C114="","",IFERROR(INDEX(tbl_Finance[Description],MATCH(C114&amp;"",tbl_Finance[Job Number],0)),""))</f>
        <v/>
      </c>
      <c r="Q114" s="24" t="n"/>
      <c r="R114" s="24" t="n"/>
      <c r="S114" s="22" t="n"/>
      <c r="T114" s="24" t="n"/>
      <c r="U114" s="25">
        <f>IF(T114="","",IF(AND(LEFT(T114,4)&lt;&gt;"http",set_RMSBase=""),"",HYPERLINK(IF(LEFT(T114,4)="http",T114,set_RMSBase&amp;T114),"Open opportunity")))</f>
        <v/>
      </c>
      <c r="V114" s="24" t="n"/>
      <c r="W114" s="25">
        <f>IF(V114="","",HYPERLINK(IF(LEFT(V114,4)="http",V114,set_QwilrBase&amp;V114),"Open quote"))</f>
        <v/>
      </c>
      <c r="X114" s="25">
        <f>IF(C114="","",C114)</f>
        <v/>
      </c>
      <c r="Y114" s="24" t="n"/>
      <c r="Z114" s="26" t="n"/>
      <c r="AA114" s="27">
        <f>IF(C114="","",H114+N(Z114))</f>
        <v/>
      </c>
      <c r="AB114" s="29">
        <f>IFERROR(Z114/AA114,"")</f>
        <v/>
      </c>
      <c r="AC114" s="26" t="n"/>
      <c r="AD114" s="26" t="n"/>
      <c r="AE114" s="26" t="n"/>
      <c r="AF114" s="26" t="n"/>
      <c r="AG114" s="27">
        <f>IF(C114="","",SUMIFS(tbl_Finance[Ex GST],tbl_Finance[Job Number],C114&amp;"",tbl_Finance[Cost Centre],"VIDEO"))</f>
        <v/>
      </c>
      <c r="AH114" s="29">
        <f>IFERROR(AG114/H114,"")</f>
        <v/>
      </c>
      <c r="AI114" s="27">
        <f>IF(C114="","",N(AC114)+N(AD114)+N(AE114)+N(AF114))</f>
        <v/>
      </c>
      <c r="AJ114" s="27">
        <f>IF(C114="","",H114+L114-AI114)</f>
        <v/>
      </c>
      <c r="AK114" s="29">
        <f>IFERROR(AJ114/(H114+L114),"")</f>
        <v/>
      </c>
      <c r="AL114" s="71" t="n"/>
      <c r="AM114" s="71" t="n"/>
      <c r="AN114" s="71" t="n"/>
      <c r="AO114" s="71" t="n"/>
      <c r="AP114" s="71" t="n"/>
      <c r="AQ114" s="24" t="n"/>
    </row>
    <row r="115" ht="15" customHeight="1">
      <c r="A115" s="70">
        <f>IF(C115="","",IFERROR(IF(SUMPRODUCT(MAX((tbl_Finance[Job Number]&amp;""=C115&amp;"")*(tbl_Finance[Xero Invoice No]&lt;&gt;"")*tbl_Finance[Date]))=0,"",SUMPRODUCT(MAX((tbl_Finance[Job Number]&amp;""=C115&amp;"")*(tbl_Finance[Xero Invoice No]&lt;&gt;"")*tbl_Finance[Date]))),""))</f>
        <v/>
      </c>
      <c r="B115" s="25">
        <f>IF(C115="","",IF(COUNTIFS(tbl_Finance[Job Number],C115&amp;"",tbl_Finance[Xero Invoice No],"&lt;&gt;")=0,"",IFERROR(IF(COUNTIFS(tbl_Finance[Job Number],C115&amp;"",tbl_Finance[Xero Invoice No],LOOKUP(2,1/((tbl_Finance[Job Number]&amp;""=C115&amp;"")*(tbl_Finance[Xero Invoice No]&lt;&gt;"")),tbl_Finance[Xero Invoice No]))=COUNTIFS(tbl_Finance[Job Number],C115&amp;"",tbl_Finance[Xero Invoice No],"&lt;&gt;"),LOOKUP(2,1/((tbl_Finance[Job Number]&amp;""=C115&amp;"")*(tbl_Finance[Xero Invoice No]&lt;&gt;"")),tbl_Finance[Xero Invoice No]),LOOKUP(2,1/((tbl_Finance[Job Number]&amp;""=C115&amp;"")*(tbl_Finance[Xero Invoice No]&lt;&gt;"")),tbl_Finance[Xero Invoice No])&amp;" +more"),"")))</f>
        <v/>
      </c>
      <c r="C115" s="24" t="n"/>
      <c r="D115" s="25">
        <f>IF(C115="","",IF(COUNTIF(lst_Jobs,C115&amp;"")&gt;0,"OK","CHECK"))</f>
        <v/>
      </c>
      <c r="E115" s="25">
        <f>IF(C115="","",IFERROR(INDEX(lst_JobName,MATCH(C115&amp;"",lst_Jobs,0)),""))</f>
        <v/>
      </c>
      <c r="F115" s="25">
        <f>IF(C115="","",IFERROR(INDEX(tbl_Finance[Client],IFERROR(MATCH(C115&amp;"",tbl_Finance[Job Number],0),MATCH(IFERROR(C115+0,C115),tbl_Finance[Job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6" t="n"/>
      <c r="L115" s="27">
        <f>IF(C115="","",IF(K115="",0,MAX(0,K115-H115)))</f>
        <v/>
      </c>
      <c r="M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N115" s="27">
        <f>IF(C115="","",SUMIFS(tbl_Finance[Inc GST],tbl_Finance[Job Number],C115&amp;""))</f>
        <v/>
      </c>
      <c r="O115" s="24" t="n"/>
      <c r="P115" s="25">
        <f>IF(C115="","",IFERROR(INDEX(tbl_Finance[Description],MATCH(C115&amp;"",tbl_Finance[Job Number],0)),""))</f>
        <v/>
      </c>
      <c r="Q115" s="24" t="n"/>
      <c r="R115" s="24" t="n"/>
      <c r="S115" s="22" t="n"/>
      <c r="T115" s="24" t="n"/>
      <c r="U115" s="25">
        <f>IF(T115="","",IF(AND(LEFT(T115,4)&lt;&gt;"http",set_RMSBase=""),"",HYPERLINK(IF(LEFT(T115,4)="http",T115,set_RMSBase&amp;T115),"Open opportunity")))</f>
        <v/>
      </c>
      <c r="V115" s="24" t="n"/>
      <c r="W115" s="25">
        <f>IF(V115="","",HYPERLINK(IF(LEFT(V115,4)="http",V115,set_QwilrBase&amp;V115),"Open quote"))</f>
        <v/>
      </c>
      <c r="X115" s="25">
        <f>IF(C115="","",C115)</f>
        <v/>
      </c>
      <c r="Y115" s="24" t="n"/>
      <c r="Z115" s="26" t="n"/>
      <c r="AA115" s="27">
        <f>IF(C115="","",H115+N(Z115))</f>
        <v/>
      </c>
      <c r="AB115" s="29">
        <f>IFERROR(Z115/AA115,"")</f>
        <v/>
      </c>
      <c r="AC115" s="26" t="n"/>
      <c r="AD115" s="26" t="n"/>
      <c r="AE115" s="26" t="n"/>
      <c r="AF115" s="26" t="n"/>
      <c r="AG115" s="27">
        <f>IF(C115="","",SUMIFS(tbl_Finance[Ex GST],tbl_Finance[Job Number],C115&amp;"",tbl_Finance[Cost Centre],"VIDEO"))</f>
        <v/>
      </c>
      <c r="AH115" s="29">
        <f>IFERROR(AG115/H115,"")</f>
        <v/>
      </c>
      <c r="AI115" s="27">
        <f>IF(C115="","",N(AC115)+N(AD115)+N(AE115)+N(AF115))</f>
        <v/>
      </c>
      <c r="AJ115" s="27">
        <f>IF(C115="","",H115+L115-AI115)</f>
        <v/>
      </c>
      <c r="AK115" s="29">
        <f>IFERROR(AJ115/(H115+L115),"")</f>
        <v/>
      </c>
      <c r="AL115" s="71" t="n"/>
      <c r="AM115" s="71" t="n"/>
      <c r="AN115" s="71" t="n"/>
      <c r="AO115" s="71" t="n"/>
      <c r="AP115" s="71" t="n"/>
      <c r="AQ115" s="24" t="n"/>
    </row>
    <row r="116" ht="15" customHeight="1">
      <c r="A116" s="70">
        <f>IF(C116="","",IFERROR(IF(SUMPRODUCT(MAX((tbl_Finance[Job Number]&amp;""=C116&amp;"")*(tbl_Finance[Xero Invoice No]&lt;&gt;"")*tbl_Finance[Date]))=0,"",SUMPRODUCT(MAX((tbl_Finance[Job Number]&amp;""=C116&amp;"")*(tbl_Finance[Xero Invoice No]&lt;&gt;"")*tbl_Finance[Date]))),""))</f>
        <v/>
      </c>
      <c r="B116" s="25">
        <f>IF(C116="","",IF(COUNTIFS(tbl_Finance[Job Number],C116&amp;"",tbl_Finance[Xero Invoice No],"&lt;&gt;")=0,"",IFERROR(IF(COUNTIFS(tbl_Finance[Job Number],C116&amp;"",tbl_Finance[Xero Invoice No],LOOKUP(2,1/((tbl_Finance[Job Number]&amp;""=C116&amp;"")*(tbl_Finance[Xero Invoice No]&lt;&gt;"")),tbl_Finance[Xero Invoice No]))=COUNTIFS(tbl_Finance[Job Number],C116&amp;"",tbl_Finance[Xero Invoice No],"&lt;&gt;"),LOOKUP(2,1/((tbl_Finance[Job Number]&amp;""=C116&amp;"")*(tbl_Finance[Xero Invoice No]&lt;&gt;"")),tbl_Finance[Xero Invoice No]),LOOKUP(2,1/((tbl_Finance[Job Number]&amp;""=C116&amp;"")*(tbl_Finance[Xero Invoice No]&lt;&gt;"")),tbl_Finance[Xero Invoice No])&amp;" +more"),"")))</f>
        <v/>
      </c>
      <c r="C116" s="24" t="n"/>
      <c r="D116" s="25">
        <f>IF(C116="","",IF(COUNTIF(lst_Jobs,C116&amp;"")&gt;0,"OK","CHECK"))</f>
        <v/>
      </c>
      <c r="E116" s="25">
        <f>IF(C116="","",IFERROR(INDEX(lst_JobName,MATCH(C116&amp;"",lst_Jobs,0)),""))</f>
        <v/>
      </c>
      <c r="F116" s="25">
        <f>IF(C116="","",IFERROR(INDEX(tbl_Finance[Client],IFERROR(MATCH(C116&amp;"",tbl_Finance[Job Number],0),MATCH(IFERROR(C116+0,C116),tbl_Finance[Job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6" t="n"/>
      <c r="L116" s="27">
        <f>IF(C116="","",IF(K116="",0,MAX(0,K116-H116)))</f>
        <v/>
      </c>
      <c r="M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N116" s="27">
        <f>IF(C116="","",SUMIFS(tbl_Finance[Inc GST],tbl_Finance[Job Number],C116&amp;""))</f>
        <v/>
      </c>
      <c r="O116" s="24" t="n"/>
      <c r="P116" s="25">
        <f>IF(C116="","",IFERROR(INDEX(tbl_Finance[Description],MATCH(C116&amp;"",tbl_Finance[Job Number],0)),""))</f>
        <v/>
      </c>
      <c r="Q116" s="24" t="n"/>
      <c r="R116" s="24" t="n"/>
      <c r="S116" s="22" t="n"/>
      <c r="T116" s="24" t="n"/>
      <c r="U116" s="25">
        <f>IF(T116="","",IF(AND(LEFT(T116,4)&lt;&gt;"http",set_RMSBase=""),"",HYPERLINK(IF(LEFT(T116,4)="http",T116,set_RMSBase&amp;T116),"Open opportunity")))</f>
        <v/>
      </c>
      <c r="V116" s="24" t="n"/>
      <c r="W116" s="25">
        <f>IF(V116="","",HYPERLINK(IF(LEFT(V116,4)="http",V116,set_QwilrBase&amp;V116),"Open quote"))</f>
        <v/>
      </c>
      <c r="X116" s="25">
        <f>IF(C116="","",C116)</f>
        <v/>
      </c>
      <c r="Y116" s="24" t="n"/>
      <c r="Z116" s="26" t="n"/>
      <c r="AA116" s="27">
        <f>IF(C116="","",H116+N(Z116))</f>
        <v/>
      </c>
      <c r="AB116" s="29">
        <f>IFERROR(Z116/AA116,"")</f>
        <v/>
      </c>
      <c r="AC116" s="26" t="n"/>
      <c r="AD116" s="26" t="n"/>
      <c r="AE116" s="26" t="n"/>
      <c r="AF116" s="26" t="n"/>
      <c r="AG116" s="27">
        <f>IF(C116="","",SUMIFS(tbl_Finance[Ex GST],tbl_Finance[Job Number],C116&amp;"",tbl_Finance[Cost Centre],"VIDEO"))</f>
        <v/>
      </c>
      <c r="AH116" s="29">
        <f>IFERROR(AG116/H116,"")</f>
        <v/>
      </c>
      <c r="AI116" s="27">
        <f>IF(C116="","",N(AC116)+N(AD116)+N(AE116)+N(AF116))</f>
        <v/>
      </c>
      <c r="AJ116" s="27">
        <f>IF(C116="","",H116+L116-AI116)</f>
        <v/>
      </c>
      <c r="AK116" s="29">
        <f>IFERROR(AJ116/(H116+L116),"")</f>
        <v/>
      </c>
      <c r="AL116" s="71" t="n"/>
      <c r="AM116" s="71" t="n"/>
      <c r="AN116" s="71" t="n"/>
      <c r="AO116" s="71" t="n"/>
      <c r="AP116" s="71" t="n"/>
      <c r="AQ116" s="24" t="n"/>
    </row>
    <row r="117" ht="15" customHeight="1">
      <c r="A117" s="70">
        <f>IF(C117="","",IFERROR(IF(SUMPRODUCT(MAX((tbl_Finance[Job Number]&amp;""=C117&amp;"")*(tbl_Finance[Xero Invoice No]&lt;&gt;"")*tbl_Finance[Date]))=0,"",SUMPRODUCT(MAX((tbl_Finance[Job Number]&amp;""=C117&amp;"")*(tbl_Finance[Xero Invoice No]&lt;&gt;"")*tbl_Finance[Date]))),""))</f>
        <v/>
      </c>
      <c r="B117" s="25">
        <f>IF(C117="","",IF(COUNTIFS(tbl_Finance[Job Number],C117&amp;"",tbl_Finance[Xero Invoice No],"&lt;&gt;")=0,"",IFERROR(IF(COUNTIFS(tbl_Finance[Job Number],C117&amp;"",tbl_Finance[Xero Invoice No],LOOKUP(2,1/((tbl_Finance[Job Number]&amp;""=C117&amp;"")*(tbl_Finance[Xero Invoice No]&lt;&gt;"")),tbl_Finance[Xero Invoice No]))=COUNTIFS(tbl_Finance[Job Number],C117&amp;"",tbl_Finance[Xero Invoice No],"&lt;&gt;"),LOOKUP(2,1/((tbl_Finance[Job Number]&amp;""=C117&amp;"")*(tbl_Finance[Xero Invoice No]&lt;&gt;"")),tbl_Finance[Xero Invoice No]),LOOKUP(2,1/((tbl_Finance[Job Number]&amp;""=C117&amp;"")*(tbl_Finance[Xero Invoice No]&lt;&gt;"")),tbl_Finance[Xero Invoice No])&amp;" +more"),"")))</f>
        <v/>
      </c>
      <c r="C117" s="24" t="n"/>
      <c r="D117" s="25">
        <f>IF(C117="","",IF(COUNTIF(lst_Jobs,C117&amp;"")&gt;0,"OK","CHECK"))</f>
        <v/>
      </c>
      <c r="E117" s="25">
        <f>IF(C117="","",IFERROR(INDEX(lst_JobName,MATCH(C117&amp;"",lst_Jobs,0)),""))</f>
        <v/>
      </c>
      <c r="F117" s="25">
        <f>IF(C117="","",IFERROR(INDEX(tbl_Finance[Client],IFERROR(MATCH(C117&amp;"",tbl_Finance[Job Number],0),MATCH(IFERROR(C117+0,C117),tbl_Finance[Job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6" t="n"/>
      <c r="L117" s="27">
        <f>IF(C117="","",IF(K117="",0,MAX(0,K117-H117)))</f>
        <v/>
      </c>
      <c r="M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N117" s="27">
        <f>IF(C117="","",SUMIFS(tbl_Finance[Inc GST],tbl_Finance[Job Number],C117&amp;""))</f>
        <v/>
      </c>
      <c r="O117" s="24" t="n"/>
      <c r="P117" s="25">
        <f>IF(C117="","",IFERROR(INDEX(tbl_Finance[Description],MATCH(C117&amp;"",tbl_Finance[Job Number],0)),""))</f>
        <v/>
      </c>
      <c r="Q117" s="24" t="n"/>
      <c r="R117" s="24" t="n"/>
      <c r="S117" s="22" t="n"/>
      <c r="T117" s="24" t="n"/>
      <c r="U117" s="25">
        <f>IF(T117="","",IF(AND(LEFT(T117,4)&lt;&gt;"http",set_RMSBase=""),"",HYPERLINK(IF(LEFT(T117,4)="http",T117,set_RMSBase&amp;T117),"Open opportunity")))</f>
        <v/>
      </c>
      <c r="V117" s="24" t="n"/>
      <c r="W117" s="25">
        <f>IF(V117="","",HYPERLINK(IF(LEFT(V117,4)="http",V117,set_QwilrBase&amp;V117),"Open quote"))</f>
        <v/>
      </c>
      <c r="X117" s="25">
        <f>IF(C117="","",C117)</f>
        <v/>
      </c>
      <c r="Y117" s="24" t="n"/>
      <c r="Z117" s="26" t="n"/>
      <c r="AA117" s="27">
        <f>IF(C117="","",H117+N(Z117))</f>
        <v/>
      </c>
      <c r="AB117" s="29">
        <f>IFERROR(Z117/AA117,"")</f>
        <v/>
      </c>
      <c r="AC117" s="26" t="n"/>
      <c r="AD117" s="26" t="n"/>
      <c r="AE117" s="26" t="n"/>
      <c r="AF117" s="26" t="n"/>
      <c r="AG117" s="27">
        <f>IF(C117="","",SUMIFS(tbl_Finance[Ex GST],tbl_Finance[Job Number],C117&amp;"",tbl_Finance[Cost Centre],"VIDEO"))</f>
        <v/>
      </c>
      <c r="AH117" s="29">
        <f>IFERROR(AG117/H117,"")</f>
        <v/>
      </c>
      <c r="AI117" s="27">
        <f>IF(C117="","",N(AC117)+N(AD117)+N(AE117)+N(AF117))</f>
        <v/>
      </c>
      <c r="AJ117" s="27">
        <f>IF(C117="","",H117+L117-AI117)</f>
        <v/>
      </c>
      <c r="AK117" s="29">
        <f>IFERROR(AJ117/(H117+L117),"")</f>
        <v/>
      </c>
      <c r="AL117" s="71" t="n"/>
      <c r="AM117" s="71" t="n"/>
      <c r="AN117" s="71" t="n"/>
      <c r="AO117" s="71" t="n"/>
      <c r="AP117" s="71" t="n"/>
      <c r="AQ117" s="24" t="n"/>
    </row>
    <row r="118" ht="15" customHeight="1">
      <c r="A118" s="70">
        <f>IF(C118="","",IFERROR(IF(SUMPRODUCT(MAX((tbl_Finance[Job Number]&amp;""=C118&amp;"")*(tbl_Finance[Xero Invoice No]&lt;&gt;"")*tbl_Finance[Date]))=0,"",SUMPRODUCT(MAX((tbl_Finance[Job Number]&amp;""=C118&amp;"")*(tbl_Finance[Xero Invoice No]&lt;&gt;"")*tbl_Finance[Date]))),""))</f>
        <v/>
      </c>
      <c r="B118" s="25">
        <f>IF(C118="","",IF(COUNTIFS(tbl_Finance[Job Number],C118&amp;"",tbl_Finance[Xero Invoice No],"&lt;&gt;")=0,"",IFERROR(IF(COUNTIFS(tbl_Finance[Job Number],C118&amp;"",tbl_Finance[Xero Invoice No],LOOKUP(2,1/((tbl_Finance[Job Number]&amp;""=C118&amp;"")*(tbl_Finance[Xero Invoice No]&lt;&gt;"")),tbl_Finance[Xero Invoice No]))=COUNTIFS(tbl_Finance[Job Number],C118&amp;"",tbl_Finance[Xero Invoice No],"&lt;&gt;"),LOOKUP(2,1/((tbl_Finance[Job Number]&amp;""=C118&amp;"")*(tbl_Finance[Xero Invoice No]&lt;&gt;"")),tbl_Finance[Xero Invoice No]),LOOKUP(2,1/((tbl_Finance[Job Number]&amp;""=C118&amp;"")*(tbl_Finance[Xero Invoice No]&lt;&gt;"")),tbl_Finance[Xero Invoice No])&amp;" +more"),"")))</f>
        <v/>
      </c>
      <c r="C118" s="24" t="n"/>
      <c r="D118" s="25">
        <f>IF(C118="","",IF(COUNTIF(lst_Jobs,C118&amp;"")&gt;0,"OK","CHECK"))</f>
        <v/>
      </c>
      <c r="E118" s="25">
        <f>IF(C118="","",IFERROR(INDEX(lst_JobName,MATCH(C118&amp;"",lst_Jobs,0)),""))</f>
        <v/>
      </c>
      <c r="F118" s="25">
        <f>IF(C118="","",IFERROR(INDEX(tbl_Finance[Client],IFERROR(MATCH(C118&amp;"",tbl_Finance[Job Number],0),MATCH(IFERROR(C118+0,C118),tbl_Finance[Job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6" t="n"/>
      <c r="L118" s="27">
        <f>IF(C118="","",IF(K118="",0,MAX(0,K118-H118)))</f>
        <v/>
      </c>
      <c r="M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N118" s="27">
        <f>IF(C118="","",SUMIFS(tbl_Finance[Inc GST],tbl_Finance[Job Number],C118&amp;""))</f>
        <v/>
      </c>
      <c r="O118" s="24" t="n"/>
      <c r="P118" s="25">
        <f>IF(C118="","",IFERROR(INDEX(tbl_Finance[Description],MATCH(C118&amp;"",tbl_Finance[Job Number],0)),""))</f>
        <v/>
      </c>
      <c r="Q118" s="24" t="n"/>
      <c r="R118" s="24" t="n"/>
      <c r="S118" s="22" t="n"/>
      <c r="T118" s="24" t="n"/>
      <c r="U118" s="25">
        <f>IF(T118="","",IF(AND(LEFT(T118,4)&lt;&gt;"http",set_RMSBase=""),"",HYPERLINK(IF(LEFT(T118,4)="http",T118,set_RMSBase&amp;T118),"Open opportunity")))</f>
        <v/>
      </c>
      <c r="V118" s="24" t="n"/>
      <c r="W118" s="25">
        <f>IF(V118="","",HYPERLINK(IF(LEFT(V118,4)="http",V118,set_QwilrBase&amp;V118),"Open quote"))</f>
        <v/>
      </c>
      <c r="X118" s="25">
        <f>IF(C118="","",C118)</f>
        <v/>
      </c>
      <c r="Y118" s="24" t="n"/>
      <c r="Z118" s="26" t="n"/>
      <c r="AA118" s="27">
        <f>IF(C118="","",H118+N(Z118))</f>
        <v/>
      </c>
      <c r="AB118" s="29">
        <f>IFERROR(Z118/AA118,"")</f>
        <v/>
      </c>
      <c r="AC118" s="26" t="n"/>
      <c r="AD118" s="26" t="n"/>
      <c r="AE118" s="26" t="n"/>
      <c r="AF118" s="26" t="n"/>
      <c r="AG118" s="27">
        <f>IF(C118="","",SUMIFS(tbl_Finance[Ex GST],tbl_Finance[Job Number],C118&amp;"",tbl_Finance[Cost Centre],"VIDEO"))</f>
        <v/>
      </c>
      <c r="AH118" s="29">
        <f>IFERROR(AG118/H118,"")</f>
        <v/>
      </c>
      <c r="AI118" s="27">
        <f>IF(C118="","",N(AC118)+N(AD118)+N(AE118)+N(AF118))</f>
        <v/>
      </c>
      <c r="AJ118" s="27">
        <f>IF(C118="","",H118+L118-AI118)</f>
        <v/>
      </c>
      <c r="AK118" s="29">
        <f>IFERROR(AJ118/(H118+L118),"")</f>
        <v/>
      </c>
      <c r="AL118" s="71" t="n"/>
      <c r="AM118" s="71" t="n"/>
      <c r="AN118" s="71" t="n"/>
      <c r="AO118" s="71" t="n"/>
      <c r="AP118" s="71" t="n"/>
      <c r="AQ118" s="24" t="n"/>
    </row>
    <row r="119" ht="15" customHeight="1">
      <c r="A119" s="70">
        <f>IF(C119="","",IFERROR(IF(SUMPRODUCT(MAX((tbl_Finance[Job Number]&amp;""=C119&amp;"")*(tbl_Finance[Xero Invoice No]&lt;&gt;"")*tbl_Finance[Date]))=0,"",SUMPRODUCT(MAX((tbl_Finance[Job Number]&amp;""=C119&amp;"")*(tbl_Finance[Xero Invoice No]&lt;&gt;"")*tbl_Finance[Date]))),""))</f>
        <v/>
      </c>
      <c r="B119" s="25">
        <f>IF(C119="","",IF(COUNTIFS(tbl_Finance[Job Number],C119&amp;"",tbl_Finance[Xero Invoice No],"&lt;&gt;")=0,"",IFERROR(IF(COUNTIFS(tbl_Finance[Job Number],C119&amp;"",tbl_Finance[Xero Invoice No],LOOKUP(2,1/((tbl_Finance[Job Number]&amp;""=C119&amp;"")*(tbl_Finance[Xero Invoice No]&lt;&gt;"")),tbl_Finance[Xero Invoice No]))=COUNTIFS(tbl_Finance[Job Number],C119&amp;"",tbl_Finance[Xero Invoice No],"&lt;&gt;"),LOOKUP(2,1/((tbl_Finance[Job Number]&amp;""=C119&amp;"")*(tbl_Finance[Xero Invoice No]&lt;&gt;"")),tbl_Finance[Xero Invoice No]),LOOKUP(2,1/((tbl_Finance[Job Number]&amp;""=C119&amp;"")*(tbl_Finance[Xero Invoice No]&lt;&gt;"")),tbl_Finance[Xero Invoice No])&amp;" +more"),"")))</f>
        <v/>
      </c>
      <c r="C119" s="24" t="n"/>
      <c r="D119" s="25">
        <f>IF(C119="","",IF(COUNTIF(lst_Jobs,C119&amp;"")&gt;0,"OK","CHECK"))</f>
        <v/>
      </c>
      <c r="E119" s="25">
        <f>IF(C119="","",IFERROR(INDEX(lst_JobName,MATCH(C119&amp;"",lst_Jobs,0)),""))</f>
        <v/>
      </c>
      <c r="F119" s="25">
        <f>IF(C119="","",IFERROR(INDEX(tbl_Finance[Client],IFERROR(MATCH(C119&amp;"",tbl_Finance[Job Number],0),MATCH(IFERROR(C119+0,C119),tbl_Finance[Job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6" t="n"/>
      <c r="L119" s="27">
        <f>IF(C119="","",IF(K119="",0,MAX(0,K119-H119)))</f>
        <v/>
      </c>
      <c r="M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N119" s="27">
        <f>IF(C119="","",SUMIFS(tbl_Finance[Inc GST],tbl_Finance[Job Number],C119&amp;""))</f>
        <v/>
      </c>
      <c r="O119" s="24" t="n"/>
      <c r="P119" s="25">
        <f>IF(C119="","",IFERROR(INDEX(tbl_Finance[Description],MATCH(C119&amp;"",tbl_Finance[Job Number],0)),""))</f>
        <v/>
      </c>
      <c r="Q119" s="24" t="n"/>
      <c r="R119" s="24" t="n"/>
      <c r="S119" s="22" t="n"/>
      <c r="T119" s="24" t="n"/>
      <c r="U119" s="25">
        <f>IF(T119="","",IF(AND(LEFT(T119,4)&lt;&gt;"http",set_RMSBase=""),"",HYPERLINK(IF(LEFT(T119,4)="http",T119,set_RMSBase&amp;T119),"Open opportunity")))</f>
        <v/>
      </c>
      <c r="V119" s="24" t="n"/>
      <c r="W119" s="25">
        <f>IF(V119="","",HYPERLINK(IF(LEFT(V119,4)="http",V119,set_QwilrBase&amp;V119),"Open quote"))</f>
        <v/>
      </c>
      <c r="X119" s="25">
        <f>IF(C119="","",C119)</f>
        <v/>
      </c>
      <c r="Y119" s="24" t="n"/>
      <c r="Z119" s="26" t="n"/>
      <c r="AA119" s="27">
        <f>IF(C119="","",H119+N(Z119))</f>
        <v/>
      </c>
      <c r="AB119" s="29">
        <f>IFERROR(Z119/AA119,"")</f>
        <v/>
      </c>
      <c r="AC119" s="26" t="n"/>
      <c r="AD119" s="26" t="n"/>
      <c r="AE119" s="26" t="n"/>
      <c r="AF119" s="26" t="n"/>
      <c r="AG119" s="27">
        <f>IF(C119="","",SUMIFS(tbl_Finance[Ex GST],tbl_Finance[Job Number],C119&amp;"",tbl_Finance[Cost Centre],"VIDEO"))</f>
        <v/>
      </c>
      <c r="AH119" s="29">
        <f>IFERROR(AG119/H119,"")</f>
        <v/>
      </c>
      <c r="AI119" s="27">
        <f>IF(C119="","",N(AC119)+N(AD119)+N(AE119)+N(AF119))</f>
        <v/>
      </c>
      <c r="AJ119" s="27">
        <f>IF(C119="","",H119+L119-AI119)</f>
        <v/>
      </c>
      <c r="AK119" s="29">
        <f>IFERROR(AJ119/(H119+L119),"")</f>
        <v/>
      </c>
      <c r="AL119" s="71" t="n"/>
      <c r="AM119" s="71" t="n"/>
      <c r="AN119" s="71" t="n"/>
      <c r="AO119" s="71" t="n"/>
      <c r="AP119" s="71" t="n"/>
      <c r="AQ119" s="24" t="n"/>
    </row>
    <row r="120" ht="15" customHeight="1">
      <c r="A120" s="70">
        <f>IF(C120="","",IFERROR(IF(SUMPRODUCT(MAX((tbl_Finance[Job Number]&amp;""=C120&amp;"")*(tbl_Finance[Xero Invoice No]&lt;&gt;"")*tbl_Finance[Date]))=0,"",SUMPRODUCT(MAX((tbl_Finance[Job Number]&amp;""=C120&amp;"")*(tbl_Finance[Xero Invoice No]&lt;&gt;"")*tbl_Finance[Date]))),""))</f>
        <v/>
      </c>
      <c r="B120" s="25">
        <f>IF(C120="","",IF(COUNTIFS(tbl_Finance[Job Number],C120&amp;"",tbl_Finance[Xero Invoice No],"&lt;&gt;")=0,"",IFERROR(IF(COUNTIFS(tbl_Finance[Job Number],C120&amp;"",tbl_Finance[Xero Invoice No],LOOKUP(2,1/((tbl_Finance[Job Number]&amp;""=C120&amp;"")*(tbl_Finance[Xero Invoice No]&lt;&gt;"")),tbl_Finance[Xero Invoice No]))=COUNTIFS(tbl_Finance[Job Number],C120&amp;"",tbl_Finance[Xero Invoice No],"&lt;&gt;"),LOOKUP(2,1/((tbl_Finance[Job Number]&amp;""=C120&amp;"")*(tbl_Finance[Xero Invoice No]&lt;&gt;"")),tbl_Finance[Xero Invoice No]),LOOKUP(2,1/((tbl_Finance[Job Number]&amp;""=C120&amp;"")*(tbl_Finance[Xero Invoice No]&lt;&gt;"")),tbl_Finance[Xero Invoice No])&amp;" +more"),"")))</f>
        <v/>
      </c>
      <c r="C120" s="24" t="n"/>
      <c r="D120" s="25">
        <f>IF(C120="","",IF(COUNTIF(lst_Jobs,C120&amp;"")&gt;0,"OK","CHECK"))</f>
        <v/>
      </c>
      <c r="E120" s="25">
        <f>IF(C120="","",IFERROR(INDEX(lst_JobName,MATCH(C120&amp;"",lst_Jobs,0)),""))</f>
        <v/>
      </c>
      <c r="F120" s="25">
        <f>IF(C120="","",IFERROR(INDEX(tbl_Finance[Client],IFERROR(MATCH(C120&amp;"",tbl_Finance[Job Number],0),MATCH(IFERROR(C120+0,C120),tbl_Finance[Job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6" t="n"/>
      <c r="L120" s="27">
        <f>IF(C120="","",IF(K120="",0,MAX(0,K120-H120)))</f>
        <v/>
      </c>
      <c r="M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N120" s="27">
        <f>IF(C120="","",SUMIFS(tbl_Finance[Inc GST],tbl_Finance[Job Number],C120&amp;""))</f>
        <v/>
      </c>
      <c r="O120" s="24" t="n"/>
      <c r="P120" s="25">
        <f>IF(C120="","",IFERROR(INDEX(tbl_Finance[Description],MATCH(C120&amp;"",tbl_Finance[Job Number],0)),""))</f>
        <v/>
      </c>
      <c r="Q120" s="24" t="n"/>
      <c r="R120" s="24" t="n"/>
      <c r="S120" s="22" t="n"/>
      <c r="T120" s="24" t="n"/>
      <c r="U120" s="25">
        <f>IF(T120="","",IF(AND(LEFT(T120,4)&lt;&gt;"http",set_RMSBase=""),"",HYPERLINK(IF(LEFT(T120,4)="http",T120,set_RMSBase&amp;T120),"Open opportunity")))</f>
        <v/>
      </c>
      <c r="V120" s="24" t="n"/>
      <c r="W120" s="25">
        <f>IF(V120="","",HYPERLINK(IF(LEFT(V120,4)="http",V120,set_QwilrBase&amp;V120),"Open quote"))</f>
        <v/>
      </c>
      <c r="X120" s="25">
        <f>IF(C120="","",C120)</f>
        <v/>
      </c>
      <c r="Y120" s="24" t="n"/>
      <c r="Z120" s="26" t="n"/>
      <c r="AA120" s="27">
        <f>IF(C120="","",H120+N(Z120))</f>
        <v/>
      </c>
      <c r="AB120" s="29">
        <f>IFERROR(Z120/AA120,"")</f>
        <v/>
      </c>
      <c r="AC120" s="26" t="n"/>
      <c r="AD120" s="26" t="n"/>
      <c r="AE120" s="26" t="n"/>
      <c r="AF120" s="26" t="n"/>
      <c r="AG120" s="27">
        <f>IF(C120="","",SUMIFS(tbl_Finance[Ex GST],tbl_Finance[Job Number],C120&amp;"",tbl_Finance[Cost Centre],"VIDEO"))</f>
        <v/>
      </c>
      <c r="AH120" s="29">
        <f>IFERROR(AG120/H120,"")</f>
        <v/>
      </c>
      <c r="AI120" s="27">
        <f>IF(C120="","",N(AC120)+N(AD120)+N(AE120)+N(AF120))</f>
        <v/>
      </c>
      <c r="AJ120" s="27">
        <f>IF(C120="","",H120+L120-AI120)</f>
        <v/>
      </c>
      <c r="AK120" s="29">
        <f>IFERROR(AJ120/(H120+L120),"")</f>
        <v/>
      </c>
      <c r="AL120" s="71" t="n"/>
      <c r="AM120" s="71" t="n"/>
      <c r="AN120" s="71" t="n"/>
      <c r="AO120" s="71" t="n"/>
      <c r="AP120" s="71" t="n"/>
      <c r="AQ120" s="24" t="n"/>
    </row>
    <row r="121" ht="15" customHeight="1">
      <c r="A121" s="70">
        <f>IF(C121="","",IFERROR(IF(SUMPRODUCT(MAX((tbl_Finance[Job Number]&amp;""=C121&amp;"")*(tbl_Finance[Xero Invoice No]&lt;&gt;"")*tbl_Finance[Date]))=0,"",SUMPRODUCT(MAX((tbl_Finance[Job Number]&amp;""=C121&amp;"")*(tbl_Finance[Xero Invoice No]&lt;&gt;"")*tbl_Finance[Date]))),""))</f>
        <v/>
      </c>
      <c r="B121" s="25">
        <f>IF(C121="","",IF(COUNTIFS(tbl_Finance[Job Number],C121&amp;"",tbl_Finance[Xero Invoice No],"&lt;&gt;")=0,"",IFERROR(IF(COUNTIFS(tbl_Finance[Job Number],C121&amp;"",tbl_Finance[Xero Invoice No],LOOKUP(2,1/((tbl_Finance[Job Number]&amp;""=C121&amp;"")*(tbl_Finance[Xero Invoice No]&lt;&gt;"")),tbl_Finance[Xero Invoice No]))=COUNTIFS(tbl_Finance[Job Number],C121&amp;"",tbl_Finance[Xero Invoice No],"&lt;&gt;"),LOOKUP(2,1/((tbl_Finance[Job Number]&amp;""=C121&amp;"")*(tbl_Finance[Xero Invoice No]&lt;&gt;"")),tbl_Finance[Xero Invoice No]),LOOKUP(2,1/((tbl_Finance[Job Number]&amp;""=C121&amp;"")*(tbl_Finance[Xero Invoice No]&lt;&gt;"")),tbl_Finance[Xero Invoice No])&amp;" +more"),"")))</f>
        <v/>
      </c>
      <c r="C121" s="24" t="n"/>
      <c r="D121" s="25">
        <f>IF(C121="","",IF(COUNTIF(lst_Jobs,C121&amp;"")&gt;0,"OK","CHECK"))</f>
        <v/>
      </c>
      <c r="E121" s="25">
        <f>IF(C121="","",IFERROR(INDEX(lst_JobName,MATCH(C121&amp;"",lst_Jobs,0)),""))</f>
        <v/>
      </c>
      <c r="F121" s="25">
        <f>IF(C121="","",IFERROR(INDEX(tbl_Finance[Client],IFERROR(MATCH(C121&amp;"",tbl_Finance[Job Number],0),MATCH(IFERROR(C121+0,C121),tbl_Finance[Job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6" t="n"/>
      <c r="L121" s="27">
        <f>IF(C121="","",IF(K121="",0,MAX(0,K121-H121)))</f>
        <v/>
      </c>
      <c r="M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N121" s="27">
        <f>IF(C121="","",SUMIFS(tbl_Finance[Inc GST],tbl_Finance[Job Number],C121&amp;""))</f>
        <v/>
      </c>
      <c r="O121" s="24" t="n"/>
      <c r="P121" s="25">
        <f>IF(C121="","",IFERROR(INDEX(tbl_Finance[Description],MATCH(C121&amp;"",tbl_Finance[Job Number],0)),""))</f>
        <v/>
      </c>
      <c r="Q121" s="24" t="n"/>
      <c r="R121" s="24" t="n"/>
      <c r="S121" s="22" t="n"/>
      <c r="T121" s="24" t="n"/>
      <c r="U121" s="25">
        <f>IF(T121="","",IF(AND(LEFT(T121,4)&lt;&gt;"http",set_RMSBase=""),"",HYPERLINK(IF(LEFT(T121,4)="http",T121,set_RMSBase&amp;T121),"Open opportunity")))</f>
        <v/>
      </c>
      <c r="V121" s="24" t="n"/>
      <c r="W121" s="25">
        <f>IF(V121="","",HYPERLINK(IF(LEFT(V121,4)="http",V121,set_QwilrBase&amp;V121),"Open quote"))</f>
        <v/>
      </c>
      <c r="X121" s="25">
        <f>IF(C121="","",C121)</f>
        <v/>
      </c>
      <c r="Y121" s="24" t="n"/>
      <c r="Z121" s="26" t="n"/>
      <c r="AA121" s="27">
        <f>IF(C121="","",H121+N(Z121))</f>
        <v/>
      </c>
      <c r="AB121" s="29">
        <f>IFERROR(Z121/AA121,"")</f>
        <v/>
      </c>
      <c r="AC121" s="26" t="n"/>
      <c r="AD121" s="26" t="n"/>
      <c r="AE121" s="26" t="n"/>
      <c r="AF121" s="26" t="n"/>
      <c r="AG121" s="27">
        <f>IF(C121="","",SUMIFS(tbl_Finance[Ex GST],tbl_Finance[Job Number],C121&amp;"",tbl_Finance[Cost Centre],"VIDEO"))</f>
        <v/>
      </c>
      <c r="AH121" s="29">
        <f>IFERROR(AG121/H121,"")</f>
        <v/>
      </c>
      <c r="AI121" s="27">
        <f>IF(C121="","",N(AC121)+N(AD121)+N(AE121)+N(AF121))</f>
        <v/>
      </c>
      <c r="AJ121" s="27">
        <f>IF(C121="","",H121+L121-AI121)</f>
        <v/>
      </c>
      <c r="AK121" s="29">
        <f>IFERROR(AJ121/(H121+L121),"")</f>
        <v/>
      </c>
      <c r="AL121" s="71" t="n"/>
      <c r="AM121" s="71" t="n"/>
      <c r="AN121" s="71" t="n"/>
      <c r="AO121" s="71" t="n"/>
      <c r="AP121" s="71" t="n"/>
      <c r="AQ121" s="24" t="n"/>
    </row>
    <row r="122" ht="15" customHeight="1">
      <c r="A122" s="70">
        <f>IF(C122="","",IFERROR(IF(SUMPRODUCT(MAX((tbl_Finance[Job Number]&amp;""=C122&amp;"")*(tbl_Finance[Xero Invoice No]&lt;&gt;"")*tbl_Finance[Date]))=0,"",SUMPRODUCT(MAX((tbl_Finance[Job Number]&amp;""=C122&amp;"")*(tbl_Finance[Xero Invoice No]&lt;&gt;"")*tbl_Finance[Date]))),""))</f>
        <v/>
      </c>
      <c r="B122" s="25">
        <f>IF(C122="","",IF(COUNTIFS(tbl_Finance[Job Number],C122&amp;"",tbl_Finance[Xero Invoice No],"&lt;&gt;")=0,"",IFERROR(IF(COUNTIFS(tbl_Finance[Job Number],C122&amp;"",tbl_Finance[Xero Invoice No],LOOKUP(2,1/((tbl_Finance[Job Number]&amp;""=C122&amp;"")*(tbl_Finance[Xero Invoice No]&lt;&gt;"")),tbl_Finance[Xero Invoice No]))=COUNTIFS(tbl_Finance[Job Number],C122&amp;"",tbl_Finance[Xero Invoice No],"&lt;&gt;"),LOOKUP(2,1/((tbl_Finance[Job Number]&amp;""=C122&amp;"")*(tbl_Finance[Xero Invoice No]&lt;&gt;"")),tbl_Finance[Xero Invoice No]),LOOKUP(2,1/((tbl_Finance[Job Number]&amp;""=C122&amp;"")*(tbl_Finance[Xero Invoice No]&lt;&gt;"")),tbl_Finance[Xero Invoice No])&amp;" +more"),"")))</f>
        <v/>
      </c>
      <c r="C122" s="24" t="n"/>
      <c r="D122" s="25">
        <f>IF(C122="","",IF(COUNTIF(lst_Jobs,C122&amp;"")&gt;0,"OK","CHECK"))</f>
        <v/>
      </c>
      <c r="E122" s="25">
        <f>IF(C122="","",IFERROR(INDEX(lst_JobName,MATCH(C122&amp;"",lst_Jobs,0)),""))</f>
        <v/>
      </c>
      <c r="F122" s="25">
        <f>IF(C122="","",IFERROR(INDEX(tbl_Finance[Client],IFERROR(MATCH(C122&amp;"",tbl_Finance[Job Number],0),MATCH(IFERROR(C122+0,C122),tbl_Finance[Job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6" t="n"/>
      <c r="L122" s="27">
        <f>IF(C122="","",IF(K122="",0,MAX(0,K122-H122)))</f>
        <v/>
      </c>
      <c r="M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N122" s="27">
        <f>IF(C122="","",SUMIFS(tbl_Finance[Inc GST],tbl_Finance[Job Number],C122&amp;""))</f>
        <v/>
      </c>
      <c r="O122" s="24" t="n"/>
      <c r="P122" s="25">
        <f>IF(C122="","",IFERROR(INDEX(tbl_Finance[Description],MATCH(C122&amp;"",tbl_Finance[Job Number],0)),""))</f>
        <v/>
      </c>
      <c r="Q122" s="24" t="n"/>
      <c r="R122" s="24" t="n"/>
      <c r="S122" s="22" t="n"/>
      <c r="T122" s="24" t="n"/>
      <c r="U122" s="25">
        <f>IF(T122="","",IF(AND(LEFT(T122,4)&lt;&gt;"http",set_RMSBase=""),"",HYPERLINK(IF(LEFT(T122,4)="http",T122,set_RMSBase&amp;T122),"Open opportunity")))</f>
        <v/>
      </c>
      <c r="V122" s="24" t="n"/>
      <c r="W122" s="25">
        <f>IF(V122="","",HYPERLINK(IF(LEFT(V122,4)="http",V122,set_QwilrBase&amp;V122),"Open quote"))</f>
        <v/>
      </c>
      <c r="X122" s="25">
        <f>IF(C122="","",C122)</f>
        <v/>
      </c>
      <c r="Y122" s="24" t="n"/>
      <c r="Z122" s="26" t="n"/>
      <c r="AA122" s="27">
        <f>IF(C122="","",H122+N(Z122))</f>
        <v/>
      </c>
      <c r="AB122" s="29">
        <f>IFERROR(Z122/AA122,"")</f>
        <v/>
      </c>
      <c r="AC122" s="26" t="n"/>
      <c r="AD122" s="26" t="n"/>
      <c r="AE122" s="26" t="n"/>
      <c r="AF122" s="26" t="n"/>
      <c r="AG122" s="27">
        <f>IF(C122="","",SUMIFS(tbl_Finance[Ex GST],tbl_Finance[Job Number],C122&amp;"",tbl_Finance[Cost Centre],"VIDEO"))</f>
        <v/>
      </c>
      <c r="AH122" s="29">
        <f>IFERROR(AG122/H122,"")</f>
        <v/>
      </c>
      <c r="AI122" s="27">
        <f>IF(C122="","",N(AC122)+N(AD122)+N(AE122)+N(AF122))</f>
        <v/>
      </c>
      <c r="AJ122" s="27">
        <f>IF(C122="","",H122+L122-AI122)</f>
        <v/>
      </c>
      <c r="AK122" s="29">
        <f>IFERROR(AJ122/(H122+L122),"")</f>
        <v/>
      </c>
      <c r="AL122" s="71" t="n"/>
      <c r="AM122" s="71" t="n"/>
      <c r="AN122" s="71" t="n"/>
      <c r="AO122" s="71" t="n"/>
      <c r="AP122" s="71" t="n"/>
      <c r="AQ122" s="24" t="n"/>
    </row>
    <row r="123" ht="15" customHeight="1">
      <c r="A123" s="70">
        <f>IF(C123="","",IFERROR(IF(SUMPRODUCT(MAX((tbl_Finance[Job Number]&amp;""=C123&amp;"")*(tbl_Finance[Xero Invoice No]&lt;&gt;"")*tbl_Finance[Date]))=0,"",SUMPRODUCT(MAX((tbl_Finance[Job Number]&amp;""=C123&amp;"")*(tbl_Finance[Xero Invoice No]&lt;&gt;"")*tbl_Finance[Date]))),""))</f>
        <v/>
      </c>
      <c r="B123" s="25">
        <f>IF(C123="","",IF(COUNTIFS(tbl_Finance[Job Number],C123&amp;"",tbl_Finance[Xero Invoice No],"&lt;&gt;")=0,"",IFERROR(IF(COUNTIFS(tbl_Finance[Job Number],C123&amp;"",tbl_Finance[Xero Invoice No],LOOKUP(2,1/((tbl_Finance[Job Number]&amp;""=C123&amp;"")*(tbl_Finance[Xero Invoice No]&lt;&gt;"")),tbl_Finance[Xero Invoice No]))=COUNTIFS(tbl_Finance[Job Number],C123&amp;"",tbl_Finance[Xero Invoice No],"&lt;&gt;"),LOOKUP(2,1/((tbl_Finance[Job Number]&amp;""=C123&amp;"")*(tbl_Finance[Xero Invoice No]&lt;&gt;"")),tbl_Finance[Xero Invoice No]),LOOKUP(2,1/((tbl_Finance[Job Number]&amp;""=C123&amp;"")*(tbl_Finance[Xero Invoice No]&lt;&gt;"")),tbl_Finance[Xero Invoice No])&amp;" +more"),"")))</f>
        <v/>
      </c>
      <c r="C123" s="24" t="n"/>
      <c r="D123" s="25">
        <f>IF(C123="","",IF(COUNTIF(lst_Jobs,C123&amp;"")&gt;0,"OK","CHECK"))</f>
        <v/>
      </c>
      <c r="E123" s="25">
        <f>IF(C123="","",IFERROR(INDEX(lst_JobName,MATCH(C123&amp;"",lst_Jobs,0)),""))</f>
        <v/>
      </c>
      <c r="F123" s="25">
        <f>IF(C123="","",IFERROR(INDEX(tbl_Finance[Client],IFERROR(MATCH(C123&amp;"",tbl_Finance[Job Number],0),MATCH(IFERROR(C123+0,C123),tbl_Finance[Job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6" t="n"/>
      <c r="L123" s="27">
        <f>IF(C123="","",IF(K123="",0,MAX(0,K123-H123)))</f>
        <v/>
      </c>
      <c r="M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N123" s="27">
        <f>IF(C123="","",SUMIFS(tbl_Finance[Inc GST],tbl_Finance[Job Number],C123&amp;""))</f>
        <v/>
      </c>
      <c r="O123" s="24" t="n"/>
      <c r="P123" s="25">
        <f>IF(C123="","",IFERROR(INDEX(tbl_Finance[Description],MATCH(C123&amp;"",tbl_Finance[Job Number],0)),""))</f>
        <v/>
      </c>
      <c r="Q123" s="24" t="n"/>
      <c r="R123" s="24" t="n"/>
      <c r="S123" s="22" t="n"/>
      <c r="T123" s="24" t="n"/>
      <c r="U123" s="25">
        <f>IF(T123="","",IF(AND(LEFT(T123,4)&lt;&gt;"http",set_RMSBase=""),"",HYPERLINK(IF(LEFT(T123,4)="http",T123,set_RMSBase&amp;T123),"Open opportunity")))</f>
        <v/>
      </c>
      <c r="V123" s="24" t="n"/>
      <c r="W123" s="25">
        <f>IF(V123="","",HYPERLINK(IF(LEFT(V123,4)="http",V123,set_QwilrBase&amp;V123),"Open quote"))</f>
        <v/>
      </c>
      <c r="X123" s="25">
        <f>IF(C123="","",C123)</f>
        <v/>
      </c>
      <c r="Y123" s="24" t="n"/>
      <c r="Z123" s="26" t="n"/>
      <c r="AA123" s="27">
        <f>IF(C123="","",H123+N(Z123))</f>
        <v/>
      </c>
      <c r="AB123" s="29">
        <f>IFERROR(Z123/AA123,"")</f>
        <v/>
      </c>
      <c r="AC123" s="26" t="n"/>
      <c r="AD123" s="26" t="n"/>
      <c r="AE123" s="26" t="n"/>
      <c r="AF123" s="26" t="n"/>
      <c r="AG123" s="27">
        <f>IF(C123="","",SUMIFS(tbl_Finance[Ex GST],tbl_Finance[Job Number],C123&amp;"",tbl_Finance[Cost Centre],"VIDEO"))</f>
        <v/>
      </c>
      <c r="AH123" s="29">
        <f>IFERROR(AG123/H123,"")</f>
        <v/>
      </c>
      <c r="AI123" s="27">
        <f>IF(C123="","",N(AC123)+N(AD123)+N(AE123)+N(AF123))</f>
        <v/>
      </c>
      <c r="AJ123" s="27">
        <f>IF(C123="","",H123+L123-AI123)</f>
        <v/>
      </c>
      <c r="AK123" s="29">
        <f>IFERROR(AJ123/(H123+L123),"")</f>
        <v/>
      </c>
      <c r="AL123" s="71" t="n"/>
      <c r="AM123" s="71" t="n"/>
      <c r="AN123" s="71" t="n"/>
      <c r="AO123" s="71" t="n"/>
      <c r="AP123" s="71" t="n"/>
      <c r="AQ123" s="24" t="n"/>
    </row>
    <row r="124" ht="15" customHeight="1">
      <c r="A124" s="70">
        <f>IF(C124="","",IFERROR(IF(SUMPRODUCT(MAX((tbl_Finance[Job Number]&amp;""=C124&amp;"")*(tbl_Finance[Xero Invoice No]&lt;&gt;"")*tbl_Finance[Date]))=0,"",SUMPRODUCT(MAX((tbl_Finance[Job Number]&amp;""=C124&amp;"")*(tbl_Finance[Xero Invoice No]&lt;&gt;"")*tbl_Finance[Date]))),""))</f>
        <v/>
      </c>
      <c r="B124" s="25">
        <f>IF(C124="","",IF(COUNTIFS(tbl_Finance[Job Number],C124&amp;"",tbl_Finance[Xero Invoice No],"&lt;&gt;")=0,"",IFERROR(IF(COUNTIFS(tbl_Finance[Job Number],C124&amp;"",tbl_Finance[Xero Invoice No],LOOKUP(2,1/((tbl_Finance[Job Number]&amp;""=C124&amp;"")*(tbl_Finance[Xero Invoice No]&lt;&gt;"")),tbl_Finance[Xero Invoice No]))=COUNTIFS(tbl_Finance[Job Number],C124&amp;"",tbl_Finance[Xero Invoice No],"&lt;&gt;"),LOOKUP(2,1/((tbl_Finance[Job Number]&amp;""=C124&amp;"")*(tbl_Finance[Xero Invoice No]&lt;&gt;"")),tbl_Finance[Xero Invoice No]),LOOKUP(2,1/((tbl_Finance[Job Number]&amp;""=C124&amp;"")*(tbl_Finance[Xero Invoice No]&lt;&gt;"")),tbl_Finance[Xero Invoice No])&amp;" +more"),"")))</f>
        <v/>
      </c>
      <c r="C124" s="24" t="n"/>
      <c r="D124" s="25">
        <f>IF(C124="","",IF(COUNTIF(lst_Jobs,C124&amp;"")&gt;0,"OK","CHECK"))</f>
        <v/>
      </c>
      <c r="E124" s="25">
        <f>IF(C124="","",IFERROR(INDEX(lst_JobName,MATCH(C124&amp;"",lst_Jobs,0)),""))</f>
        <v/>
      </c>
      <c r="F124" s="25">
        <f>IF(C124="","",IFERROR(INDEX(tbl_Finance[Client],IFERROR(MATCH(C124&amp;"",tbl_Finance[Job Number],0),MATCH(IFERROR(C124+0,C124),tbl_Finance[Job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6" t="n"/>
      <c r="L124" s="27">
        <f>IF(C124="","",IF(K124="",0,MAX(0,K124-H124)))</f>
        <v/>
      </c>
      <c r="M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N124" s="27">
        <f>IF(C124="","",SUMIFS(tbl_Finance[Inc GST],tbl_Finance[Job Number],C124&amp;""))</f>
        <v/>
      </c>
      <c r="O124" s="24" t="n"/>
      <c r="P124" s="25">
        <f>IF(C124="","",IFERROR(INDEX(tbl_Finance[Description],MATCH(C124&amp;"",tbl_Finance[Job Number],0)),""))</f>
        <v/>
      </c>
      <c r="Q124" s="24" t="n"/>
      <c r="R124" s="24" t="n"/>
      <c r="S124" s="22" t="n"/>
      <c r="T124" s="24" t="n"/>
      <c r="U124" s="25">
        <f>IF(T124="","",IF(AND(LEFT(T124,4)&lt;&gt;"http",set_RMSBase=""),"",HYPERLINK(IF(LEFT(T124,4)="http",T124,set_RMSBase&amp;T124),"Open opportunity")))</f>
        <v/>
      </c>
      <c r="V124" s="24" t="n"/>
      <c r="W124" s="25">
        <f>IF(V124="","",HYPERLINK(IF(LEFT(V124,4)="http",V124,set_QwilrBase&amp;V124),"Open quote"))</f>
        <v/>
      </c>
      <c r="X124" s="25">
        <f>IF(C124="","",C124)</f>
        <v/>
      </c>
      <c r="Y124" s="24" t="n"/>
      <c r="Z124" s="26" t="n"/>
      <c r="AA124" s="27">
        <f>IF(C124="","",H124+N(Z124))</f>
        <v/>
      </c>
      <c r="AB124" s="29">
        <f>IFERROR(Z124/AA124,"")</f>
        <v/>
      </c>
      <c r="AC124" s="26" t="n"/>
      <c r="AD124" s="26" t="n"/>
      <c r="AE124" s="26" t="n"/>
      <c r="AF124" s="26" t="n"/>
      <c r="AG124" s="27">
        <f>IF(C124="","",SUMIFS(tbl_Finance[Ex GST],tbl_Finance[Job Number],C124&amp;"",tbl_Finance[Cost Centre],"VIDEO"))</f>
        <v/>
      </c>
      <c r="AH124" s="29">
        <f>IFERROR(AG124/H124,"")</f>
        <v/>
      </c>
      <c r="AI124" s="27">
        <f>IF(C124="","",N(AC124)+N(AD124)+N(AE124)+N(AF124))</f>
        <v/>
      </c>
      <c r="AJ124" s="27">
        <f>IF(C124="","",H124+L124-AI124)</f>
        <v/>
      </c>
      <c r="AK124" s="29">
        <f>IFERROR(AJ124/(H124+L124),"")</f>
        <v/>
      </c>
      <c r="AL124" s="71" t="n"/>
      <c r="AM124" s="71" t="n"/>
      <c r="AN124" s="71" t="n"/>
      <c r="AO124" s="71" t="n"/>
      <c r="AP124" s="71" t="n"/>
      <c r="AQ124" s="24" t="n"/>
    </row>
    <row r="125" ht="15" customHeight="1">
      <c r="A125" s="70">
        <f>IF(C125="","",IFERROR(IF(SUMPRODUCT(MAX((tbl_Finance[Job Number]&amp;""=C125&amp;"")*(tbl_Finance[Xero Invoice No]&lt;&gt;"")*tbl_Finance[Date]))=0,"",SUMPRODUCT(MAX((tbl_Finance[Job Number]&amp;""=C125&amp;"")*(tbl_Finance[Xero Invoice No]&lt;&gt;"")*tbl_Finance[Date]))),""))</f>
        <v/>
      </c>
      <c r="B125" s="25">
        <f>IF(C125="","",IF(COUNTIFS(tbl_Finance[Job Number],C125&amp;"",tbl_Finance[Xero Invoice No],"&lt;&gt;")=0,"",IFERROR(IF(COUNTIFS(tbl_Finance[Job Number],C125&amp;"",tbl_Finance[Xero Invoice No],LOOKUP(2,1/((tbl_Finance[Job Number]&amp;""=C125&amp;"")*(tbl_Finance[Xero Invoice No]&lt;&gt;"")),tbl_Finance[Xero Invoice No]))=COUNTIFS(tbl_Finance[Job Number],C125&amp;"",tbl_Finance[Xero Invoice No],"&lt;&gt;"),LOOKUP(2,1/((tbl_Finance[Job Number]&amp;""=C125&amp;"")*(tbl_Finance[Xero Invoice No]&lt;&gt;"")),tbl_Finance[Xero Invoice No]),LOOKUP(2,1/((tbl_Finance[Job Number]&amp;""=C125&amp;"")*(tbl_Finance[Xero Invoice No]&lt;&gt;"")),tbl_Finance[Xero Invoice No])&amp;" +more"),"")))</f>
        <v/>
      </c>
      <c r="C125" s="24" t="n"/>
      <c r="D125" s="25">
        <f>IF(C125="","",IF(COUNTIF(lst_Jobs,C125&amp;"")&gt;0,"OK","CHECK"))</f>
        <v/>
      </c>
      <c r="E125" s="25">
        <f>IF(C125="","",IFERROR(INDEX(lst_JobName,MATCH(C125&amp;"",lst_Jobs,0)),""))</f>
        <v/>
      </c>
      <c r="F125" s="25">
        <f>IF(C125="","",IFERROR(INDEX(tbl_Finance[Client],IFERROR(MATCH(C125&amp;"",tbl_Finance[Job Number],0),MATCH(IFERROR(C125+0,C125),tbl_Finance[Job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6" t="n"/>
      <c r="L125" s="27">
        <f>IF(C125="","",IF(K125="",0,MAX(0,K125-H125)))</f>
        <v/>
      </c>
      <c r="M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N125" s="27">
        <f>IF(C125="","",SUMIFS(tbl_Finance[Inc GST],tbl_Finance[Job Number],C125&amp;""))</f>
        <v/>
      </c>
      <c r="O125" s="24" t="n"/>
      <c r="P125" s="25">
        <f>IF(C125="","",IFERROR(INDEX(tbl_Finance[Description],MATCH(C125&amp;"",tbl_Finance[Job Number],0)),""))</f>
        <v/>
      </c>
      <c r="Q125" s="24" t="n"/>
      <c r="R125" s="24" t="n"/>
      <c r="S125" s="22" t="n"/>
      <c r="T125" s="24" t="n"/>
      <c r="U125" s="25">
        <f>IF(T125="","",IF(AND(LEFT(T125,4)&lt;&gt;"http",set_RMSBase=""),"",HYPERLINK(IF(LEFT(T125,4)="http",T125,set_RMSBase&amp;T125),"Open opportunity")))</f>
        <v/>
      </c>
      <c r="V125" s="24" t="n"/>
      <c r="W125" s="25">
        <f>IF(V125="","",HYPERLINK(IF(LEFT(V125,4)="http",V125,set_QwilrBase&amp;V125),"Open quote"))</f>
        <v/>
      </c>
      <c r="X125" s="25">
        <f>IF(C125="","",C125)</f>
        <v/>
      </c>
      <c r="Y125" s="24" t="n"/>
      <c r="Z125" s="26" t="n"/>
      <c r="AA125" s="27">
        <f>IF(C125="","",H125+N(Z125))</f>
        <v/>
      </c>
      <c r="AB125" s="29">
        <f>IFERROR(Z125/AA125,"")</f>
        <v/>
      </c>
      <c r="AC125" s="26" t="n"/>
      <c r="AD125" s="26" t="n"/>
      <c r="AE125" s="26" t="n"/>
      <c r="AF125" s="26" t="n"/>
      <c r="AG125" s="27">
        <f>IF(C125="","",SUMIFS(tbl_Finance[Ex GST],tbl_Finance[Job Number],C125&amp;"",tbl_Finance[Cost Centre],"VIDEO"))</f>
        <v/>
      </c>
      <c r="AH125" s="29">
        <f>IFERROR(AG125/H125,"")</f>
        <v/>
      </c>
      <c r="AI125" s="27">
        <f>IF(C125="","",N(AC125)+N(AD125)+N(AE125)+N(AF125))</f>
        <v/>
      </c>
      <c r="AJ125" s="27">
        <f>IF(C125="","",H125+L125-AI125)</f>
        <v/>
      </c>
      <c r="AK125" s="29">
        <f>IFERROR(AJ125/(H125+L125),"")</f>
        <v/>
      </c>
      <c r="AL125" s="71" t="n"/>
      <c r="AM125" s="71" t="n"/>
      <c r="AN125" s="71" t="n"/>
      <c r="AO125" s="71" t="n"/>
      <c r="AP125" s="71" t="n"/>
      <c r="AQ125" s="24" t="n"/>
    </row>
    <row r="126" ht="15" customHeight="1">
      <c r="A126" s="70">
        <f>IF(C126="","",IFERROR(IF(SUMPRODUCT(MAX((tbl_Finance[Job Number]&amp;""=C126&amp;"")*(tbl_Finance[Xero Invoice No]&lt;&gt;"")*tbl_Finance[Date]))=0,"",SUMPRODUCT(MAX((tbl_Finance[Job Number]&amp;""=C126&amp;"")*(tbl_Finance[Xero Invoice No]&lt;&gt;"")*tbl_Finance[Date]))),""))</f>
        <v/>
      </c>
      <c r="B126" s="25">
        <f>IF(C126="","",IF(COUNTIFS(tbl_Finance[Job Number],C126&amp;"",tbl_Finance[Xero Invoice No],"&lt;&gt;")=0,"",IFERROR(IF(COUNTIFS(tbl_Finance[Job Number],C126&amp;"",tbl_Finance[Xero Invoice No],LOOKUP(2,1/((tbl_Finance[Job Number]&amp;""=C126&amp;"")*(tbl_Finance[Xero Invoice No]&lt;&gt;"")),tbl_Finance[Xero Invoice No]))=COUNTIFS(tbl_Finance[Job Number],C126&amp;"",tbl_Finance[Xero Invoice No],"&lt;&gt;"),LOOKUP(2,1/((tbl_Finance[Job Number]&amp;""=C126&amp;"")*(tbl_Finance[Xero Invoice No]&lt;&gt;"")),tbl_Finance[Xero Invoice No]),LOOKUP(2,1/((tbl_Finance[Job Number]&amp;""=C126&amp;"")*(tbl_Finance[Xero Invoice No]&lt;&gt;"")),tbl_Finance[Xero Invoice No])&amp;" +more"),"")))</f>
        <v/>
      </c>
      <c r="C126" s="24" t="n"/>
      <c r="D126" s="25">
        <f>IF(C126="","",IF(COUNTIF(lst_Jobs,C126&amp;"")&gt;0,"OK","CHECK"))</f>
        <v/>
      </c>
      <c r="E126" s="25">
        <f>IF(C126="","",IFERROR(INDEX(lst_JobName,MATCH(C126&amp;"",lst_Jobs,0)),""))</f>
        <v/>
      </c>
      <c r="F126" s="25">
        <f>IF(C126="","",IFERROR(INDEX(tbl_Finance[Client],IFERROR(MATCH(C126&amp;"",tbl_Finance[Job Number],0),MATCH(IFERROR(C126+0,C126),tbl_Finance[Job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6" t="n"/>
      <c r="L126" s="27">
        <f>IF(C126="","",IF(K126="",0,MAX(0,K126-H126)))</f>
        <v/>
      </c>
      <c r="M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N126" s="27">
        <f>IF(C126="","",SUMIFS(tbl_Finance[Inc GST],tbl_Finance[Job Number],C126&amp;""))</f>
        <v/>
      </c>
      <c r="O126" s="24" t="n"/>
      <c r="P126" s="25">
        <f>IF(C126="","",IFERROR(INDEX(tbl_Finance[Description],MATCH(C126&amp;"",tbl_Finance[Job Number],0)),""))</f>
        <v/>
      </c>
      <c r="Q126" s="24" t="n"/>
      <c r="R126" s="24" t="n"/>
      <c r="S126" s="22" t="n"/>
      <c r="T126" s="24" t="n"/>
      <c r="U126" s="25">
        <f>IF(T126="","",IF(AND(LEFT(T126,4)&lt;&gt;"http",set_RMSBase=""),"",HYPERLINK(IF(LEFT(T126,4)="http",T126,set_RMSBase&amp;T126),"Open opportunity")))</f>
        <v/>
      </c>
      <c r="V126" s="24" t="n"/>
      <c r="W126" s="25">
        <f>IF(V126="","",HYPERLINK(IF(LEFT(V126,4)="http",V126,set_QwilrBase&amp;V126),"Open quote"))</f>
        <v/>
      </c>
      <c r="X126" s="25">
        <f>IF(C126="","",C126)</f>
        <v/>
      </c>
      <c r="Y126" s="24" t="n"/>
      <c r="Z126" s="26" t="n"/>
      <c r="AA126" s="27">
        <f>IF(C126="","",H126+N(Z126))</f>
        <v/>
      </c>
      <c r="AB126" s="29">
        <f>IFERROR(Z126/AA126,"")</f>
        <v/>
      </c>
      <c r="AC126" s="26" t="n"/>
      <c r="AD126" s="26" t="n"/>
      <c r="AE126" s="26" t="n"/>
      <c r="AF126" s="26" t="n"/>
      <c r="AG126" s="27">
        <f>IF(C126="","",SUMIFS(tbl_Finance[Ex GST],tbl_Finance[Job Number],C126&amp;"",tbl_Finance[Cost Centre],"VIDEO"))</f>
        <v/>
      </c>
      <c r="AH126" s="29">
        <f>IFERROR(AG126/H126,"")</f>
        <v/>
      </c>
      <c r="AI126" s="27">
        <f>IF(C126="","",N(AC126)+N(AD126)+N(AE126)+N(AF126))</f>
        <v/>
      </c>
      <c r="AJ126" s="27">
        <f>IF(C126="","",H126+L126-AI126)</f>
        <v/>
      </c>
      <c r="AK126" s="29">
        <f>IFERROR(AJ126/(H126+L126),"")</f>
        <v/>
      </c>
      <c r="AL126" s="71" t="n"/>
      <c r="AM126" s="71" t="n"/>
      <c r="AN126" s="71" t="n"/>
      <c r="AO126" s="71" t="n"/>
      <c r="AP126" s="71" t="n"/>
      <c r="AQ126" s="24" t="n"/>
    </row>
    <row r="127" ht="15" customHeight="1">
      <c r="A127" s="70">
        <f>IF(C127="","",IFERROR(IF(SUMPRODUCT(MAX((tbl_Finance[Job Number]&amp;""=C127&amp;"")*(tbl_Finance[Xero Invoice No]&lt;&gt;"")*tbl_Finance[Date]))=0,"",SUMPRODUCT(MAX((tbl_Finance[Job Number]&amp;""=C127&amp;"")*(tbl_Finance[Xero Invoice No]&lt;&gt;"")*tbl_Finance[Date]))),""))</f>
        <v/>
      </c>
      <c r="B127" s="25">
        <f>IF(C127="","",IF(COUNTIFS(tbl_Finance[Job Number],C127&amp;"",tbl_Finance[Xero Invoice No],"&lt;&gt;")=0,"",IFERROR(IF(COUNTIFS(tbl_Finance[Job Number],C127&amp;"",tbl_Finance[Xero Invoice No],LOOKUP(2,1/((tbl_Finance[Job Number]&amp;""=C127&amp;"")*(tbl_Finance[Xero Invoice No]&lt;&gt;"")),tbl_Finance[Xero Invoice No]))=COUNTIFS(tbl_Finance[Job Number],C127&amp;"",tbl_Finance[Xero Invoice No],"&lt;&gt;"),LOOKUP(2,1/((tbl_Finance[Job Number]&amp;""=C127&amp;"")*(tbl_Finance[Xero Invoice No]&lt;&gt;"")),tbl_Finance[Xero Invoice No]),LOOKUP(2,1/((tbl_Finance[Job Number]&amp;""=C127&amp;"")*(tbl_Finance[Xero Invoice No]&lt;&gt;"")),tbl_Finance[Xero Invoice No])&amp;" +more"),"")))</f>
        <v/>
      </c>
      <c r="C127" s="24" t="n"/>
      <c r="D127" s="25">
        <f>IF(C127="","",IF(COUNTIF(lst_Jobs,C127&amp;"")&gt;0,"OK","CHECK"))</f>
        <v/>
      </c>
      <c r="E127" s="25">
        <f>IF(C127="","",IFERROR(INDEX(lst_JobName,MATCH(C127&amp;"",lst_Jobs,0)),""))</f>
        <v/>
      </c>
      <c r="F127" s="25">
        <f>IF(C127="","",IFERROR(INDEX(tbl_Finance[Client],IFERROR(MATCH(C127&amp;"",tbl_Finance[Job Number],0),MATCH(IFERROR(C127+0,C127),tbl_Finance[Job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6" t="n"/>
      <c r="L127" s="27">
        <f>IF(C127="","",IF(K127="",0,MAX(0,K127-H127)))</f>
        <v/>
      </c>
      <c r="M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N127" s="27">
        <f>IF(C127="","",SUMIFS(tbl_Finance[Inc GST],tbl_Finance[Job Number],C127&amp;""))</f>
        <v/>
      </c>
      <c r="O127" s="24" t="n"/>
      <c r="P127" s="25">
        <f>IF(C127="","",IFERROR(INDEX(tbl_Finance[Description],MATCH(C127&amp;"",tbl_Finance[Job Number],0)),""))</f>
        <v/>
      </c>
      <c r="Q127" s="24" t="n"/>
      <c r="R127" s="24" t="n"/>
      <c r="S127" s="22" t="n"/>
      <c r="T127" s="24" t="n"/>
      <c r="U127" s="25">
        <f>IF(T127="","",IF(AND(LEFT(T127,4)&lt;&gt;"http",set_RMSBase=""),"",HYPERLINK(IF(LEFT(T127,4)="http",T127,set_RMSBase&amp;T127),"Open opportunity")))</f>
        <v/>
      </c>
      <c r="V127" s="24" t="n"/>
      <c r="W127" s="25">
        <f>IF(V127="","",HYPERLINK(IF(LEFT(V127,4)="http",V127,set_QwilrBase&amp;V127),"Open quote"))</f>
        <v/>
      </c>
      <c r="X127" s="25">
        <f>IF(C127="","",C127)</f>
        <v/>
      </c>
      <c r="Y127" s="24" t="n"/>
      <c r="Z127" s="26" t="n"/>
      <c r="AA127" s="27">
        <f>IF(C127="","",H127+N(Z127))</f>
        <v/>
      </c>
      <c r="AB127" s="29">
        <f>IFERROR(Z127/AA127,"")</f>
        <v/>
      </c>
      <c r="AC127" s="26" t="n"/>
      <c r="AD127" s="26" t="n"/>
      <c r="AE127" s="26" t="n"/>
      <c r="AF127" s="26" t="n"/>
      <c r="AG127" s="27">
        <f>IF(C127="","",SUMIFS(tbl_Finance[Ex GST],tbl_Finance[Job Number],C127&amp;"",tbl_Finance[Cost Centre],"VIDEO"))</f>
        <v/>
      </c>
      <c r="AH127" s="29">
        <f>IFERROR(AG127/H127,"")</f>
        <v/>
      </c>
      <c r="AI127" s="27">
        <f>IF(C127="","",N(AC127)+N(AD127)+N(AE127)+N(AF127))</f>
        <v/>
      </c>
      <c r="AJ127" s="27">
        <f>IF(C127="","",H127+L127-AI127)</f>
        <v/>
      </c>
      <c r="AK127" s="29">
        <f>IFERROR(AJ127/(H127+L127),"")</f>
        <v/>
      </c>
      <c r="AL127" s="71" t="n"/>
      <c r="AM127" s="71" t="n"/>
      <c r="AN127" s="71" t="n"/>
      <c r="AO127" s="71" t="n"/>
      <c r="AP127" s="71" t="n"/>
      <c r="AQ127" s="24" t="n"/>
    </row>
    <row r="128" ht="15" customHeight="1">
      <c r="A128" s="70">
        <f>IF(C128="","",IFERROR(IF(SUMPRODUCT(MAX((tbl_Finance[Job Number]&amp;""=C128&amp;"")*(tbl_Finance[Xero Invoice No]&lt;&gt;"")*tbl_Finance[Date]))=0,"",SUMPRODUCT(MAX((tbl_Finance[Job Number]&amp;""=C128&amp;"")*(tbl_Finance[Xero Invoice No]&lt;&gt;"")*tbl_Finance[Date]))),""))</f>
        <v/>
      </c>
      <c r="B128" s="25">
        <f>IF(C128="","",IF(COUNTIFS(tbl_Finance[Job Number],C128&amp;"",tbl_Finance[Xero Invoice No],"&lt;&gt;")=0,"",IFERROR(IF(COUNTIFS(tbl_Finance[Job Number],C128&amp;"",tbl_Finance[Xero Invoice No],LOOKUP(2,1/((tbl_Finance[Job Number]&amp;""=C128&amp;"")*(tbl_Finance[Xero Invoice No]&lt;&gt;"")),tbl_Finance[Xero Invoice No]))=COUNTIFS(tbl_Finance[Job Number],C128&amp;"",tbl_Finance[Xero Invoice No],"&lt;&gt;"),LOOKUP(2,1/((tbl_Finance[Job Number]&amp;""=C128&amp;"")*(tbl_Finance[Xero Invoice No]&lt;&gt;"")),tbl_Finance[Xero Invoice No]),LOOKUP(2,1/((tbl_Finance[Job Number]&amp;""=C128&amp;"")*(tbl_Finance[Xero Invoice No]&lt;&gt;"")),tbl_Finance[Xero Invoice No])&amp;" +more"),"")))</f>
        <v/>
      </c>
      <c r="C128" s="24" t="n"/>
      <c r="D128" s="25">
        <f>IF(C128="","",IF(COUNTIF(lst_Jobs,C128&amp;"")&gt;0,"OK","CHECK"))</f>
        <v/>
      </c>
      <c r="E128" s="25">
        <f>IF(C128="","",IFERROR(INDEX(lst_JobName,MATCH(C128&amp;"",lst_Jobs,0)),""))</f>
        <v/>
      </c>
      <c r="F128" s="25">
        <f>IF(C128="","",IFERROR(INDEX(tbl_Finance[Client],IFERROR(MATCH(C128&amp;"",tbl_Finance[Job Number],0),MATCH(IFERROR(C128+0,C128),tbl_Finance[Job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6" t="n"/>
      <c r="L128" s="27">
        <f>IF(C128="","",IF(K128="",0,MAX(0,K128-H128)))</f>
        <v/>
      </c>
      <c r="M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N128" s="27">
        <f>IF(C128="","",SUMIFS(tbl_Finance[Inc GST],tbl_Finance[Job Number],C128&amp;""))</f>
        <v/>
      </c>
      <c r="O128" s="24" t="n"/>
      <c r="P128" s="25">
        <f>IF(C128="","",IFERROR(INDEX(tbl_Finance[Description],MATCH(C128&amp;"",tbl_Finance[Job Number],0)),""))</f>
        <v/>
      </c>
      <c r="Q128" s="24" t="n"/>
      <c r="R128" s="24" t="n"/>
      <c r="S128" s="22" t="n"/>
      <c r="T128" s="24" t="n"/>
      <c r="U128" s="25">
        <f>IF(T128="","",IF(AND(LEFT(T128,4)&lt;&gt;"http",set_RMSBase=""),"",HYPERLINK(IF(LEFT(T128,4)="http",T128,set_RMSBase&amp;T128),"Open opportunity")))</f>
        <v/>
      </c>
      <c r="V128" s="24" t="n"/>
      <c r="W128" s="25">
        <f>IF(V128="","",HYPERLINK(IF(LEFT(V128,4)="http",V128,set_QwilrBase&amp;V128),"Open quote"))</f>
        <v/>
      </c>
      <c r="X128" s="25">
        <f>IF(C128="","",C128)</f>
        <v/>
      </c>
      <c r="Y128" s="24" t="n"/>
      <c r="Z128" s="26" t="n"/>
      <c r="AA128" s="27">
        <f>IF(C128="","",H128+N(Z128))</f>
        <v/>
      </c>
      <c r="AB128" s="29">
        <f>IFERROR(Z128/AA128,"")</f>
        <v/>
      </c>
      <c r="AC128" s="26" t="n"/>
      <c r="AD128" s="26" t="n"/>
      <c r="AE128" s="26" t="n"/>
      <c r="AF128" s="26" t="n"/>
      <c r="AG128" s="27">
        <f>IF(C128="","",SUMIFS(tbl_Finance[Ex GST],tbl_Finance[Job Number],C128&amp;"",tbl_Finance[Cost Centre],"VIDEO"))</f>
        <v/>
      </c>
      <c r="AH128" s="29">
        <f>IFERROR(AG128/H128,"")</f>
        <v/>
      </c>
      <c r="AI128" s="27">
        <f>IF(C128="","",N(AC128)+N(AD128)+N(AE128)+N(AF128))</f>
        <v/>
      </c>
      <c r="AJ128" s="27">
        <f>IF(C128="","",H128+L128-AI128)</f>
        <v/>
      </c>
      <c r="AK128" s="29">
        <f>IFERROR(AJ128/(H128+L128),"")</f>
        <v/>
      </c>
      <c r="AL128" s="71" t="n"/>
      <c r="AM128" s="71" t="n"/>
      <c r="AN128" s="71" t="n"/>
      <c r="AO128" s="71" t="n"/>
      <c r="AP128" s="71" t="n"/>
      <c r="AQ128" s="24" t="n"/>
    </row>
    <row r="129" ht="15" customHeight="1">
      <c r="A129" s="70">
        <f>IF(C129="","",IFERROR(IF(SUMPRODUCT(MAX((tbl_Finance[Job Number]&amp;""=C129&amp;"")*(tbl_Finance[Xero Invoice No]&lt;&gt;"")*tbl_Finance[Date]))=0,"",SUMPRODUCT(MAX((tbl_Finance[Job Number]&amp;""=C129&amp;"")*(tbl_Finance[Xero Invoice No]&lt;&gt;"")*tbl_Finance[Date]))),""))</f>
        <v/>
      </c>
      <c r="B129" s="25">
        <f>IF(C129="","",IF(COUNTIFS(tbl_Finance[Job Number],C129&amp;"",tbl_Finance[Xero Invoice No],"&lt;&gt;")=0,"",IFERROR(IF(COUNTIFS(tbl_Finance[Job Number],C129&amp;"",tbl_Finance[Xero Invoice No],LOOKUP(2,1/((tbl_Finance[Job Number]&amp;""=C129&amp;"")*(tbl_Finance[Xero Invoice No]&lt;&gt;"")),tbl_Finance[Xero Invoice No]))=COUNTIFS(tbl_Finance[Job Number],C129&amp;"",tbl_Finance[Xero Invoice No],"&lt;&gt;"),LOOKUP(2,1/((tbl_Finance[Job Number]&amp;""=C129&amp;"")*(tbl_Finance[Xero Invoice No]&lt;&gt;"")),tbl_Finance[Xero Invoice No]),LOOKUP(2,1/((tbl_Finance[Job Number]&amp;""=C129&amp;"")*(tbl_Finance[Xero Invoice No]&lt;&gt;"")),tbl_Finance[Xero Invoice No])&amp;" +more"),"")))</f>
        <v/>
      </c>
      <c r="C129" s="24" t="n"/>
      <c r="D129" s="25">
        <f>IF(C129="","",IF(COUNTIF(lst_Jobs,C129&amp;"")&gt;0,"OK","CHECK"))</f>
        <v/>
      </c>
      <c r="E129" s="25">
        <f>IF(C129="","",IFERROR(INDEX(lst_JobName,MATCH(C129&amp;"",lst_Jobs,0)),""))</f>
        <v/>
      </c>
      <c r="F129" s="25">
        <f>IF(C129="","",IFERROR(INDEX(tbl_Finance[Client],IFERROR(MATCH(C129&amp;"",tbl_Finance[Job Number],0),MATCH(IFERROR(C129+0,C129),tbl_Finance[Job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6" t="n"/>
      <c r="L129" s="27">
        <f>IF(C129="","",IF(K129="",0,MAX(0,K129-H129)))</f>
        <v/>
      </c>
      <c r="M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N129" s="27">
        <f>IF(C129="","",SUMIFS(tbl_Finance[Inc GST],tbl_Finance[Job Number],C129&amp;""))</f>
        <v/>
      </c>
      <c r="O129" s="24" t="n"/>
      <c r="P129" s="25">
        <f>IF(C129="","",IFERROR(INDEX(tbl_Finance[Description],MATCH(C129&amp;"",tbl_Finance[Job Number],0)),""))</f>
        <v/>
      </c>
      <c r="Q129" s="24" t="n"/>
      <c r="R129" s="24" t="n"/>
      <c r="S129" s="22" t="n"/>
      <c r="T129" s="24" t="n"/>
      <c r="U129" s="25">
        <f>IF(T129="","",IF(AND(LEFT(T129,4)&lt;&gt;"http",set_RMSBase=""),"",HYPERLINK(IF(LEFT(T129,4)="http",T129,set_RMSBase&amp;T129),"Open opportunity")))</f>
        <v/>
      </c>
      <c r="V129" s="24" t="n"/>
      <c r="W129" s="25">
        <f>IF(V129="","",HYPERLINK(IF(LEFT(V129,4)="http",V129,set_QwilrBase&amp;V129),"Open quote"))</f>
        <v/>
      </c>
      <c r="X129" s="25">
        <f>IF(C129="","",C129)</f>
        <v/>
      </c>
      <c r="Y129" s="24" t="n"/>
      <c r="Z129" s="26" t="n"/>
      <c r="AA129" s="27">
        <f>IF(C129="","",H129+N(Z129))</f>
        <v/>
      </c>
      <c r="AB129" s="29">
        <f>IFERROR(Z129/AA129,"")</f>
        <v/>
      </c>
      <c r="AC129" s="26" t="n"/>
      <c r="AD129" s="26" t="n"/>
      <c r="AE129" s="26" t="n"/>
      <c r="AF129" s="26" t="n"/>
      <c r="AG129" s="27">
        <f>IF(C129="","",SUMIFS(tbl_Finance[Ex GST],tbl_Finance[Job Number],C129&amp;"",tbl_Finance[Cost Centre],"VIDEO"))</f>
        <v/>
      </c>
      <c r="AH129" s="29">
        <f>IFERROR(AG129/H129,"")</f>
        <v/>
      </c>
      <c r="AI129" s="27">
        <f>IF(C129="","",N(AC129)+N(AD129)+N(AE129)+N(AF129))</f>
        <v/>
      </c>
      <c r="AJ129" s="27">
        <f>IF(C129="","",H129+L129-AI129)</f>
        <v/>
      </c>
      <c r="AK129" s="29">
        <f>IFERROR(AJ129/(H129+L129),"")</f>
        <v/>
      </c>
      <c r="AL129" s="71" t="n"/>
      <c r="AM129" s="71" t="n"/>
      <c r="AN129" s="71" t="n"/>
      <c r="AO129" s="71" t="n"/>
      <c r="AP129" s="71" t="n"/>
      <c r="AQ129" s="24" t="n"/>
    </row>
    <row r="130" ht="15" customHeight="1">
      <c r="A130" s="70">
        <f>IF(C130="","",IFERROR(IF(SUMPRODUCT(MAX((tbl_Finance[Job Number]&amp;""=C130&amp;"")*(tbl_Finance[Xero Invoice No]&lt;&gt;"")*tbl_Finance[Date]))=0,"",SUMPRODUCT(MAX((tbl_Finance[Job Number]&amp;""=C130&amp;"")*(tbl_Finance[Xero Invoice No]&lt;&gt;"")*tbl_Finance[Date]))),""))</f>
        <v/>
      </c>
      <c r="B130" s="25">
        <f>IF(C130="","",IF(COUNTIFS(tbl_Finance[Job Number],C130&amp;"",tbl_Finance[Xero Invoice No],"&lt;&gt;")=0,"",IFERROR(IF(COUNTIFS(tbl_Finance[Job Number],C130&amp;"",tbl_Finance[Xero Invoice No],LOOKUP(2,1/((tbl_Finance[Job Number]&amp;""=C130&amp;"")*(tbl_Finance[Xero Invoice No]&lt;&gt;"")),tbl_Finance[Xero Invoice No]))=COUNTIFS(tbl_Finance[Job Number],C130&amp;"",tbl_Finance[Xero Invoice No],"&lt;&gt;"),LOOKUP(2,1/((tbl_Finance[Job Number]&amp;""=C130&amp;"")*(tbl_Finance[Xero Invoice No]&lt;&gt;"")),tbl_Finance[Xero Invoice No]),LOOKUP(2,1/((tbl_Finance[Job Number]&amp;""=C130&amp;"")*(tbl_Finance[Xero Invoice No]&lt;&gt;"")),tbl_Finance[Xero Invoice No])&amp;" +more"),"")))</f>
        <v/>
      </c>
      <c r="C130" s="24" t="n"/>
      <c r="D130" s="25">
        <f>IF(C130="","",IF(COUNTIF(lst_Jobs,C130&amp;"")&gt;0,"OK","CHECK"))</f>
        <v/>
      </c>
      <c r="E130" s="25">
        <f>IF(C130="","",IFERROR(INDEX(lst_JobName,MATCH(C130&amp;"",lst_Jobs,0)),""))</f>
        <v/>
      </c>
      <c r="F130" s="25">
        <f>IF(C130="","",IFERROR(INDEX(tbl_Finance[Client],IFERROR(MATCH(C130&amp;"",tbl_Finance[Job Number],0),MATCH(IFERROR(C130+0,C130),tbl_Finance[Job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6" t="n"/>
      <c r="L130" s="27">
        <f>IF(C130="","",IF(K130="",0,MAX(0,K130-H130)))</f>
        <v/>
      </c>
      <c r="M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N130" s="27">
        <f>IF(C130="","",SUMIFS(tbl_Finance[Inc GST],tbl_Finance[Job Number],C130&amp;""))</f>
        <v/>
      </c>
      <c r="O130" s="24" t="n"/>
      <c r="P130" s="25">
        <f>IF(C130="","",IFERROR(INDEX(tbl_Finance[Description],MATCH(C130&amp;"",tbl_Finance[Job Number],0)),""))</f>
        <v/>
      </c>
      <c r="Q130" s="24" t="n"/>
      <c r="R130" s="24" t="n"/>
      <c r="S130" s="22" t="n"/>
      <c r="T130" s="24" t="n"/>
      <c r="U130" s="25">
        <f>IF(T130="","",IF(AND(LEFT(T130,4)&lt;&gt;"http",set_RMSBase=""),"",HYPERLINK(IF(LEFT(T130,4)="http",T130,set_RMSBase&amp;T130),"Open opportunity")))</f>
        <v/>
      </c>
      <c r="V130" s="24" t="n"/>
      <c r="W130" s="25">
        <f>IF(V130="","",HYPERLINK(IF(LEFT(V130,4)="http",V130,set_QwilrBase&amp;V130),"Open quote"))</f>
        <v/>
      </c>
      <c r="X130" s="25">
        <f>IF(C130="","",C130)</f>
        <v/>
      </c>
      <c r="Y130" s="24" t="n"/>
      <c r="Z130" s="26" t="n"/>
      <c r="AA130" s="27">
        <f>IF(C130="","",H130+N(Z130))</f>
        <v/>
      </c>
      <c r="AB130" s="29">
        <f>IFERROR(Z130/AA130,"")</f>
        <v/>
      </c>
      <c r="AC130" s="26" t="n"/>
      <c r="AD130" s="26" t="n"/>
      <c r="AE130" s="26" t="n"/>
      <c r="AF130" s="26" t="n"/>
      <c r="AG130" s="27">
        <f>IF(C130="","",SUMIFS(tbl_Finance[Ex GST],tbl_Finance[Job Number],C130&amp;"",tbl_Finance[Cost Centre],"VIDEO"))</f>
        <v/>
      </c>
      <c r="AH130" s="29">
        <f>IFERROR(AG130/H130,"")</f>
        <v/>
      </c>
      <c r="AI130" s="27">
        <f>IF(C130="","",N(AC130)+N(AD130)+N(AE130)+N(AF130))</f>
        <v/>
      </c>
      <c r="AJ130" s="27">
        <f>IF(C130="","",H130+L130-AI130)</f>
        <v/>
      </c>
      <c r="AK130" s="29">
        <f>IFERROR(AJ130/(H130+L130),"")</f>
        <v/>
      </c>
      <c r="AL130" s="71" t="n"/>
      <c r="AM130" s="71" t="n"/>
      <c r="AN130" s="71" t="n"/>
      <c r="AO130" s="71" t="n"/>
      <c r="AP130" s="71" t="n"/>
      <c r="AQ130" s="24" t="n"/>
    </row>
    <row r="131" ht="15" customHeight="1">
      <c r="A131" s="70">
        <f>IF(C131="","",IFERROR(IF(SUMPRODUCT(MAX((tbl_Finance[Job Number]&amp;""=C131&amp;"")*(tbl_Finance[Xero Invoice No]&lt;&gt;"")*tbl_Finance[Date]))=0,"",SUMPRODUCT(MAX((tbl_Finance[Job Number]&amp;""=C131&amp;"")*(tbl_Finance[Xero Invoice No]&lt;&gt;"")*tbl_Finance[Date]))),""))</f>
        <v/>
      </c>
      <c r="B131" s="25">
        <f>IF(C131="","",IF(COUNTIFS(tbl_Finance[Job Number],C131&amp;"",tbl_Finance[Xero Invoice No],"&lt;&gt;")=0,"",IFERROR(IF(COUNTIFS(tbl_Finance[Job Number],C131&amp;"",tbl_Finance[Xero Invoice No],LOOKUP(2,1/((tbl_Finance[Job Number]&amp;""=C131&amp;"")*(tbl_Finance[Xero Invoice No]&lt;&gt;"")),tbl_Finance[Xero Invoice No]))=COUNTIFS(tbl_Finance[Job Number],C131&amp;"",tbl_Finance[Xero Invoice No],"&lt;&gt;"),LOOKUP(2,1/((tbl_Finance[Job Number]&amp;""=C131&amp;"")*(tbl_Finance[Xero Invoice No]&lt;&gt;"")),tbl_Finance[Xero Invoice No]),LOOKUP(2,1/((tbl_Finance[Job Number]&amp;""=C131&amp;"")*(tbl_Finance[Xero Invoice No]&lt;&gt;"")),tbl_Finance[Xero Invoice No])&amp;" +more"),"")))</f>
        <v/>
      </c>
      <c r="C131" s="24" t="n"/>
      <c r="D131" s="25">
        <f>IF(C131="","",IF(COUNTIF(lst_Jobs,C131&amp;"")&gt;0,"OK","CHECK"))</f>
        <v/>
      </c>
      <c r="E131" s="25">
        <f>IF(C131="","",IFERROR(INDEX(lst_JobName,MATCH(C131&amp;"",lst_Jobs,0)),""))</f>
        <v/>
      </c>
      <c r="F131" s="25">
        <f>IF(C131="","",IFERROR(INDEX(tbl_Finance[Client],IFERROR(MATCH(C131&amp;"",tbl_Finance[Job Number],0),MATCH(IFERROR(C131+0,C131),tbl_Finance[Job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6" t="n"/>
      <c r="L131" s="27">
        <f>IF(C131="","",IF(K131="",0,MAX(0,K131-H131)))</f>
        <v/>
      </c>
      <c r="M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N131" s="27">
        <f>IF(C131="","",SUMIFS(tbl_Finance[Inc GST],tbl_Finance[Job Number],C131&amp;""))</f>
        <v/>
      </c>
      <c r="O131" s="24" t="n"/>
      <c r="P131" s="25">
        <f>IF(C131="","",IFERROR(INDEX(tbl_Finance[Description],MATCH(C131&amp;"",tbl_Finance[Job Number],0)),""))</f>
        <v/>
      </c>
      <c r="Q131" s="24" t="n"/>
      <c r="R131" s="24" t="n"/>
      <c r="S131" s="22" t="n"/>
      <c r="T131" s="24" t="n"/>
      <c r="U131" s="25">
        <f>IF(T131="","",IF(AND(LEFT(T131,4)&lt;&gt;"http",set_RMSBase=""),"",HYPERLINK(IF(LEFT(T131,4)="http",T131,set_RMSBase&amp;T131),"Open opportunity")))</f>
        <v/>
      </c>
      <c r="V131" s="24" t="n"/>
      <c r="W131" s="25">
        <f>IF(V131="","",HYPERLINK(IF(LEFT(V131,4)="http",V131,set_QwilrBase&amp;V131),"Open quote"))</f>
        <v/>
      </c>
      <c r="X131" s="25">
        <f>IF(C131="","",C131)</f>
        <v/>
      </c>
      <c r="Y131" s="24" t="n"/>
      <c r="Z131" s="26" t="n"/>
      <c r="AA131" s="27">
        <f>IF(C131="","",H131+N(Z131))</f>
        <v/>
      </c>
      <c r="AB131" s="29">
        <f>IFERROR(Z131/AA131,"")</f>
        <v/>
      </c>
      <c r="AC131" s="26" t="n"/>
      <c r="AD131" s="26" t="n"/>
      <c r="AE131" s="26" t="n"/>
      <c r="AF131" s="26" t="n"/>
      <c r="AG131" s="27">
        <f>IF(C131="","",SUMIFS(tbl_Finance[Ex GST],tbl_Finance[Job Number],C131&amp;"",tbl_Finance[Cost Centre],"VIDEO"))</f>
        <v/>
      </c>
      <c r="AH131" s="29">
        <f>IFERROR(AG131/H131,"")</f>
        <v/>
      </c>
      <c r="AI131" s="27">
        <f>IF(C131="","",N(AC131)+N(AD131)+N(AE131)+N(AF131))</f>
        <v/>
      </c>
      <c r="AJ131" s="27">
        <f>IF(C131="","",H131+L131-AI131)</f>
        <v/>
      </c>
      <c r="AK131" s="29">
        <f>IFERROR(AJ131/(H131+L131),"")</f>
        <v/>
      </c>
      <c r="AL131" s="71" t="n"/>
      <c r="AM131" s="71" t="n"/>
      <c r="AN131" s="71" t="n"/>
      <c r="AO131" s="71" t="n"/>
      <c r="AP131" s="71" t="n"/>
      <c r="AQ131" s="24" t="n"/>
    </row>
    <row r="132" ht="15" customHeight="1">
      <c r="A132" s="70">
        <f>IF(C132="","",IFERROR(IF(SUMPRODUCT(MAX((tbl_Finance[Job Number]&amp;""=C132&amp;"")*(tbl_Finance[Xero Invoice No]&lt;&gt;"")*tbl_Finance[Date]))=0,"",SUMPRODUCT(MAX((tbl_Finance[Job Number]&amp;""=C132&amp;"")*(tbl_Finance[Xero Invoice No]&lt;&gt;"")*tbl_Finance[Date]))),""))</f>
        <v/>
      </c>
      <c r="B132" s="25">
        <f>IF(C132="","",IF(COUNTIFS(tbl_Finance[Job Number],C132&amp;"",tbl_Finance[Xero Invoice No],"&lt;&gt;")=0,"",IFERROR(IF(COUNTIFS(tbl_Finance[Job Number],C132&amp;"",tbl_Finance[Xero Invoice No],LOOKUP(2,1/((tbl_Finance[Job Number]&amp;""=C132&amp;"")*(tbl_Finance[Xero Invoice No]&lt;&gt;"")),tbl_Finance[Xero Invoice No]))=COUNTIFS(tbl_Finance[Job Number],C132&amp;"",tbl_Finance[Xero Invoice No],"&lt;&gt;"),LOOKUP(2,1/((tbl_Finance[Job Number]&amp;""=C132&amp;"")*(tbl_Finance[Xero Invoice No]&lt;&gt;"")),tbl_Finance[Xero Invoice No]),LOOKUP(2,1/((tbl_Finance[Job Number]&amp;""=C132&amp;"")*(tbl_Finance[Xero Invoice No]&lt;&gt;"")),tbl_Finance[Xero Invoice No])&amp;" +more"),"")))</f>
        <v/>
      </c>
      <c r="C132" s="24" t="n"/>
      <c r="D132" s="25">
        <f>IF(C132="","",IF(COUNTIF(lst_Jobs,C132&amp;"")&gt;0,"OK","CHECK"))</f>
        <v/>
      </c>
      <c r="E132" s="25">
        <f>IF(C132="","",IFERROR(INDEX(lst_JobName,MATCH(C132&amp;"",lst_Jobs,0)),""))</f>
        <v/>
      </c>
      <c r="F132" s="25">
        <f>IF(C132="","",IFERROR(INDEX(tbl_Finance[Client],IFERROR(MATCH(C132&amp;"",tbl_Finance[Job Number],0),MATCH(IFERROR(C132+0,C132),tbl_Finance[Job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6" t="n"/>
      <c r="L132" s="27">
        <f>IF(C132="","",IF(K132="",0,MAX(0,K132-H132)))</f>
        <v/>
      </c>
      <c r="M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N132" s="27">
        <f>IF(C132="","",SUMIFS(tbl_Finance[Inc GST],tbl_Finance[Job Number],C132&amp;""))</f>
        <v/>
      </c>
      <c r="O132" s="24" t="n"/>
      <c r="P132" s="25">
        <f>IF(C132="","",IFERROR(INDEX(tbl_Finance[Description],MATCH(C132&amp;"",tbl_Finance[Job Number],0)),""))</f>
        <v/>
      </c>
      <c r="Q132" s="24" t="n"/>
      <c r="R132" s="24" t="n"/>
      <c r="S132" s="22" t="n"/>
      <c r="T132" s="24" t="n"/>
      <c r="U132" s="25">
        <f>IF(T132="","",IF(AND(LEFT(T132,4)&lt;&gt;"http",set_RMSBase=""),"",HYPERLINK(IF(LEFT(T132,4)="http",T132,set_RMSBase&amp;T132),"Open opportunity")))</f>
        <v/>
      </c>
      <c r="V132" s="24" t="n"/>
      <c r="W132" s="25">
        <f>IF(V132="","",HYPERLINK(IF(LEFT(V132,4)="http",V132,set_QwilrBase&amp;V132),"Open quote"))</f>
        <v/>
      </c>
      <c r="X132" s="25">
        <f>IF(C132="","",C132)</f>
        <v/>
      </c>
      <c r="Y132" s="24" t="n"/>
      <c r="Z132" s="26" t="n"/>
      <c r="AA132" s="27">
        <f>IF(C132="","",H132+N(Z132))</f>
        <v/>
      </c>
      <c r="AB132" s="29">
        <f>IFERROR(Z132/AA132,"")</f>
        <v/>
      </c>
      <c r="AC132" s="26" t="n"/>
      <c r="AD132" s="26" t="n"/>
      <c r="AE132" s="26" t="n"/>
      <c r="AF132" s="26" t="n"/>
      <c r="AG132" s="27">
        <f>IF(C132="","",SUMIFS(tbl_Finance[Ex GST],tbl_Finance[Job Number],C132&amp;"",tbl_Finance[Cost Centre],"VIDEO"))</f>
        <v/>
      </c>
      <c r="AH132" s="29">
        <f>IFERROR(AG132/H132,"")</f>
        <v/>
      </c>
      <c r="AI132" s="27">
        <f>IF(C132="","",N(AC132)+N(AD132)+N(AE132)+N(AF132))</f>
        <v/>
      </c>
      <c r="AJ132" s="27">
        <f>IF(C132="","",H132+L132-AI132)</f>
        <v/>
      </c>
      <c r="AK132" s="29">
        <f>IFERROR(AJ132/(H132+L132),"")</f>
        <v/>
      </c>
      <c r="AL132" s="71" t="n"/>
      <c r="AM132" s="71" t="n"/>
      <c r="AN132" s="71" t="n"/>
      <c r="AO132" s="71" t="n"/>
      <c r="AP132" s="71" t="n"/>
      <c r="AQ132" s="24" t="n"/>
    </row>
    <row r="133" ht="15" customHeight="1">
      <c r="A133" s="70">
        <f>IF(C133="","",IFERROR(IF(SUMPRODUCT(MAX((tbl_Finance[Job Number]&amp;""=C133&amp;"")*(tbl_Finance[Xero Invoice No]&lt;&gt;"")*tbl_Finance[Date]))=0,"",SUMPRODUCT(MAX((tbl_Finance[Job Number]&amp;""=C133&amp;"")*(tbl_Finance[Xero Invoice No]&lt;&gt;"")*tbl_Finance[Date]))),""))</f>
        <v/>
      </c>
      <c r="B133" s="25">
        <f>IF(C133="","",IF(COUNTIFS(tbl_Finance[Job Number],C133&amp;"",tbl_Finance[Xero Invoice No],"&lt;&gt;")=0,"",IFERROR(IF(COUNTIFS(tbl_Finance[Job Number],C133&amp;"",tbl_Finance[Xero Invoice No],LOOKUP(2,1/((tbl_Finance[Job Number]&amp;""=C133&amp;"")*(tbl_Finance[Xero Invoice No]&lt;&gt;"")),tbl_Finance[Xero Invoice No]))=COUNTIFS(tbl_Finance[Job Number],C133&amp;"",tbl_Finance[Xero Invoice No],"&lt;&gt;"),LOOKUP(2,1/((tbl_Finance[Job Number]&amp;""=C133&amp;"")*(tbl_Finance[Xero Invoice No]&lt;&gt;"")),tbl_Finance[Xero Invoice No]),LOOKUP(2,1/((tbl_Finance[Job Number]&amp;""=C133&amp;"")*(tbl_Finance[Xero Invoice No]&lt;&gt;"")),tbl_Finance[Xero Invoice No])&amp;" +more"),"")))</f>
        <v/>
      </c>
      <c r="C133" s="24" t="n"/>
      <c r="D133" s="25">
        <f>IF(C133="","",IF(COUNTIF(lst_Jobs,C133&amp;"")&gt;0,"OK","CHECK"))</f>
        <v/>
      </c>
      <c r="E133" s="25">
        <f>IF(C133="","",IFERROR(INDEX(lst_JobName,MATCH(C133&amp;"",lst_Jobs,0)),""))</f>
        <v/>
      </c>
      <c r="F133" s="25">
        <f>IF(C133="","",IFERROR(INDEX(tbl_Finance[Client],IFERROR(MATCH(C133&amp;"",tbl_Finance[Job Number],0),MATCH(IFERROR(C133+0,C133),tbl_Finance[Job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6" t="n"/>
      <c r="L133" s="27">
        <f>IF(C133="","",IF(K133="",0,MAX(0,K133-H133)))</f>
        <v/>
      </c>
      <c r="M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N133" s="27">
        <f>IF(C133="","",SUMIFS(tbl_Finance[Inc GST],tbl_Finance[Job Number],C133&amp;""))</f>
        <v/>
      </c>
      <c r="O133" s="24" t="n"/>
      <c r="P133" s="25">
        <f>IF(C133="","",IFERROR(INDEX(tbl_Finance[Description],MATCH(C133&amp;"",tbl_Finance[Job Number],0)),""))</f>
        <v/>
      </c>
      <c r="Q133" s="24" t="n"/>
      <c r="R133" s="24" t="n"/>
      <c r="S133" s="22" t="n"/>
      <c r="T133" s="24" t="n"/>
      <c r="U133" s="25">
        <f>IF(T133="","",IF(AND(LEFT(T133,4)&lt;&gt;"http",set_RMSBase=""),"",HYPERLINK(IF(LEFT(T133,4)="http",T133,set_RMSBase&amp;T133),"Open opportunity")))</f>
        <v/>
      </c>
      <c r="V133" s="24" t="n"/>
      <c r="W133" s="25">
        <f>IF(V133="","",HYPERLINK(IF(LEFT(V133,4)="http",V133,set_QwilrBase&amp;V133),"Open quote"))</f>
        <v/>
      </c>
      <c r="X133" s="25">
        <f>IF(C133="","",C133)</f>
        <v/>
      </c>
      <c r="Y133" s="24" t="n"/>
      <c r="Z133" s="26" t="n"/>
      <c r="AA133" s="27">
        <f>IF(C133="","",H133+N(Z133))</f>
        <v/>
      </c>
      <c r="AB133" s="29">
        <f>IFERROR(Z133/AA133,"")</f>
        <v/>
      </c>
      <c r="AC133" s="26" t="n"/>
      <c r="AD133" s="26" t="n"/>
      <c r="AE133" s="26" t="n"/>
      <c r="AF133" s="26" t="n"/>
      <c r="AG133" s="27">
        <f>IF(C133="","",SUMIFS(tbl_Finance[Ex GST],tbl_Finance[Job Number],C133&amp;"",tbl_Finance[Cost Centre],"VIDEO"))</f>
        <v/>
      </c>
      <c r="AH133" s="29">
        <f>IFERROR(AG133/H133,"")</f>
        <v/>
      </c>
      <c r="AI133" s="27">
        <f>IF(C133="","",N(AC133)+N(AD133)+N(AE133)+N(AF133))</f>
        <v/>
      </c>
      <c r="AJ133" s="27">
        <f>IF(C133="","",H133+L133-AI133)</f>
        <v/>
      </c>
      <c r="AK133" s="29">
        <f>IFERROR(AJ133/(H133+L133),"")</f>
        <v/>
      </c>
      <c r="AL133" s="71" t="n"/>
      <c r="AM133" s="71" t="n"/>
      <c r="AN133" s="71" t="n"/>
      <c r="AO133" s="71" t="n"/>
      <c r="AP133" s="71" t="n"/>
      <c r="AQ133" s="24" t="n"/>
    </row>
    <row r="134" ht="15" customHeight="1">
      <c r="A134" s="70">
        <f>IF(C134="","",IFERROR(IF(SUMPRODUCT(MAX((tbl_Finance[Job Number]&amp;""=C134&amp;"")*(tbl_Finance[Xero Invoice No]&lt;&gt;"")*tbl_Finance[Date]))=0,"",SUMPRODUCT(MAX((tbl_Finance[Job Number]&amp;""=C134&amp;"")*(tbl_Finance[Xero Invoice No]&lt;&gt;"")*tbl_Finance[Date]))),""))</f>
        <v/>
      </c>
      <c r="B134" s="25">
        <f>IF(C134="","",IF(COUNTIFS(tbl_Finance[Job Number],C134&amp;"",tbl_Finance[Xero Invoice No],"&lt;&gt;")=0,"",IFERROR(IF(COUNTIFS(tbl_Finance[Job Number],C134&amp;"",tbl_Finance[Xero Invoice No],LOOKUP(2,1/((tbl_Finance[Job Number]&amp;""=C134&amp;"")*(tbl_Finance[Xero Invoice No]&lt;&gt;"")),tbl_Finance[Xero Invoice No]))=COUNTIFS(tbl_Finance[Job Number],C134&amp;"",tbl_Finance[Xero Invoice No],"&lt;&gt;"),LOOKUP(2,1/((tbl_Finance[Job Number]&amp;""=C134&amp;"")*(tbl_Finance[Xero Invoice No]&lt;&gt;"")),tbl_Finance[Xero Invoice No]),LOOKUP(2,1/((tbl_Finance[Job Number]&amp;""=C134&amp;"")*(tbl_Finance[Xero Invoice No]&lt;&gt;"")),tbl_Finance[Xero Invoice No])&amp;" +more"),"")))</f>
        <v/>
      </c>
      <c r="C134" s="24" t="n"/>
      <c r="D134" s="25">
        <f>IF(C134="","",IF(COUNTIF(lst_Jobs,C134&amp;"")&gt;0,"OK","CHECK"))</f>
        <v/>
      </c>
      <c r="E134" s="25">
        <f>IF(C134="","",IFERROR(INDEX(lst_JobName,MATCH(C134&amp;"",lst_Jobs,0)),""))</f>
        <v/>
      </c>
      <c r="F134" s="25">
        <f>IF(C134="","",IFERROR(INDEX(tbl_Finance[Client],IFERROR(MATCH(C134&amp;"",tbl_Finance[Job Number],0),MATCH(IFERROR(C134+0,C134),tbl_Finance[Job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6" t="n"/>
      <c r="L134" s="27">
        <f>IF(C134="","",IF(K134="",0,MAX(0,K134-H134)))</f>
        <v/>
      </c>
      <c r="M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N134" s="27">
        <f>IF(C134="","",SUMIFS(tbl_Finance[Inc GST],tbl_Finance[Job Number],C134&amp;""))</f>
        <v/>
      </c>
      <c r="O134" s="24" t="n"/>
      <c r="P134" s="25">
        <f>IF(C134="","",IFERROR(INDEX(tbl_Finance[Description],MATCH(C134&amp;"",tbl_Finance[Job Number],0)),""))</f>
        <v/>
      </c>
      <c r="Q134" s="24" t="n"/>
      <c r="R134" s="24" t="n"/>
      <c r="S134" s="22" t="n"/>
      <c r="T134" s="24" t="n"/>
      <c r="U134" s="25">
        <f>IF(T134="","",IF(AND(LEFT(T134,4)&lt;&gt;"http",set_RMSBase=""),"",HYPERLINK(IF(LEFT(T134,4)="http",T134,set_RMSBase&amp;T134),"Open opportunity")))</f>
        <v/>
      </c>
      <c r="V134" s="24" t="n"/>
      <c r="W134" s="25">
        <f>IF(V134="","",HYPERLINK(IF(LEFT(V134,4)="http",V134,set_QwilrBase&amp;V134),"Open quote"))</f>
        <v/>
      </c>
      <c r="X134" s="25">
        <f>IF(C134="","",C134)</f>
        <v/>
      </c>
      <c r="Y134" s="24" t="n"/>
      <c r="Z134" s="26" t="n"/>
      <c r="AA134" s="27">
        <f>IF(C134="","",H134+N(Z134))</f>
        <v/>
      </c>
      <c r="AB134" s="29">
        <f>IFERROR(Z134/AA134,"")</f>
        <v/>
      </c>
      <c r="AC134" s="26" t="n"/>
      <c r="AD134" s="26" t="n"/>
      <c r="AE134" s="26" t="n"/>
      <c r="AF134" s="26" t="n"/>
      <c r="AG134" s="27">
        <f>IF(C134="","",SUMIFS(tbl_Finance[Ex GST],tbl_Finance[Job Number],C134&amp;"",tbl_Finance[Cost Centre],"VIDEO"))</f>
        <v/>
      </c>
      <c r="AH134" s="29">
        <f>IFERROR(AG134/H134,"")</f>
        <v/>
      </c>
      <c r="AI134" s="27">
        <f>IF(C134="","",N(AC134)+N(AD134)+N(AE134)+N(AF134))</f>
        <v/>
      </c>
      <c r="AJ134" s="27">
        <f>IF(C134="","",H134+L134-AI134)</f>
        <v/>
      </c>
      <c r="AK134" s="29">
        <f>IFERROR(AJ134/(H134+L134),"")</f>
        <v/>
      </c>
      <c r="AL134" s="71" t="n"/>
      <c r="AM134" s="71" t="n"/>
      <c r="AN134" s="71" t="n"/>
      <c r="AO134" s="71" t="n"/>
      <c r="AP134" s="71" t="n"/>
      <c r="AQ134" s="24" t="n"/>
    </row>
    <row r="135" ht="15" customHeight="1">
      <c r="A135" s="70">
        <f>IF(C135="","",IFERROR(IF(SUMPRODUCT(MAX((tbl_Finance[Job Number]&amp;""=C135&amp;"")*(tbl_Finance[Xero Invoice No]&lt;&gt;"")*tbl_Finance[Date]))=0,"",SUMPRODUCT(MAX((tbl_Finance[Job Number]&amp;""=C135&amp;"")*(tbl_Finance[Xero Invoice No]&lt;&gt;"")*tbl_Finance[Date]))),""))</f>
        <v/>
      </c>
      <c r="B135" s="25">
        <f>IF(C135="","",IF(COUNTIFS(tbl_Finance[Job Number],C135&amp;"",tbl_Finance[Xero Invoice No],"&lt;&gt;")=0,"",IFERROR(IF(COUNTIFS(tbl_Finance[Job Number],C135&amp;"",tbl_Finance[Xero Invoice No],LOOKUP(2,1/((tbl_Finance[Job Number]&amp;""=C135&amp;"")*(tbl_Finance[Xero Invoice No]&lt;&gt;"")),tbl_Finance[Xero Invoice No]))=COUNTIFS(tbl_Finance[Job Number],C135&amp;"",tbl_Finance[Xero Invoice No],"&lt;&gt;"),LOOKUP(2,1/((tbl_Finance[Job Number]&amp;""=C135&amp;"")*(tbl_Finance[Xero Invoice No]&lt;&gt;"")),tbl_Finance[Xero Invoice No]),LOOKUP(2,1/((tbl_Finance[Job Number]&amp;""=C135&amp;"")*(tbl_Finance[Xero Invoice No]&lt;&gt;"")),tbl_Finance[Xero Invoice No])&amp;" +more"),"")))</f>
        <v/>
      </c>
      <c r="C135" s="24" t="n"/>
      <c r="D135" s="25">
        <f>IF(C135="","",IF(COUNTIF(lst_Jobs,C135&amp;"")&gt;0,"OK","CHECK"))</f>
        <v/>
      </c>
      <c r="E135" s="25">
        <f>IF(C135="","",IFERROR(INDEX(lst_JobName,MATCH(C135&amp;"",lst_Jobs,0)),""))</f>
        <v/>
      </c>
      <c r="F135" s="25">
        <f>IF(C135="","",IFERROR(INDEX(tbl_Finance[Client],IFERROR(MATCH(C135&amp;"",tbl_Finance[Job Number],0),MATCH(IFERROR(C135+0,C135),tbl_Finance[Job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6" t="n"/>
      <c r="L135" s="27">
        <f>IF(C135="","",IF(K135="",0,MAX(0,K135-H135)))</f>
        <v/>
      </c>
      <c r="M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N135" s="27">
        <f>IF(C135="","",SUMIFS(tbl_Finance[Inc GST],tbl_Finance[Job Number],C135&amp;""))</f>
        <v/>
      </c>
      <c r="O135" s="24" t="n"/>
      <c r="P135" s="25">
        <f>IF(C135="","",IFERROR(INDEX(tbl_Finance[Description],MATCH(C135&amp;"",tbl_Finance[Job Number],0)),""))</f>
        <v/>
      </c>
      <c r="Q135" s="24" t="n"/>
      <c r="R135" s="24" t="n"/>
      <c r="S135" s="22" t="n"/>
      <c r="T135" s="24" t="n"/>
      <c r="U135" s="25">
        <f>IF(T135="","",IF(AND(LEFT(T135,4)&lt;&gt;"http",set_RMSBase=""),"",HYPERLINK(IF(LEFT(T135,4)="http",T135,set_RMSBase&amp;T135),"Open opportunity")))</f>
        <v/>
      </c>
      <c r="V135" s="24" t="n"/>
      <c r="W135" s="25">
        <f>IF(V135="","",HYPERLINK(IF(LEFT(V135,4)="http",V135,set_QwilrBase&amp;V135),"Open quote"))</f>
        <v/>
      </c>
      <c r="X135" s="25">
        <f>IF(C135="","",C135)</f>
        <v/>
      </c>
      <c r="Y135" s="24" t="n"/>
      <c r="Z135" s="26" t="n"/>
      <c r="AA135" s="27">
        <f>IF(C135="","",H135+N(Z135))</f>
        <v/>
      </c>
      <c r="AB135" s="29">
        <f>IFERROR(Z135/AA135,"")</f>
        <v/>
      </c>
      <c r="AC135" s="26" t="n"/>
      <c r="AD135" s="26" t="n"/>
      <c r="AE135" s="26" t="n"/>
      <c r="AF135" s="26" t="n"/>
      <c r="AG135" s="27">
        <f>IF(C135="","",SUMIFS(tbl_Finance[Ex GST],tbl_Finance[Job Number],C135&amp;"",tbl_Finance[Cost Centre],"VIDEO"))</f>
        <v/>
      </c>
      <c r="AH135" s="29">
        <f>IFERROR(AG135/H135,"")</f>
        <v/>
      </c>
      <c r="AI135" s="27">
        <f>IF(C135="","",N(AC135)+N(AD135)+N(AE135)+N(AF135))</f>
        <v/>
      </c>
      <c r="AJ135" s="27">
        <f>IF(C135="","",H135+L135-AI135)</f>
        <v/>
      </c>
      <c r="AK135" s="29">
        <f>IFERROR(AJ135/(H135+L135),"")</f>
        <v/>
      </c>
      <c r="AL135" s="71" t="n"/>
      <c r="AM135" s="71" t="n"/>
      <c r="AN135" s="71" t="n"/>
      <c r="AO135" s="71" t="n"/>
      <c r="AP135" s="71" t="n"/>
      <c r="AQ135" s="24" t="n"/>
    </row>
    <row r="136" ht="15" customHeight="1">
      <c r="A136" s="70">
        <f>IF(C136="","",IFERROR(IF(SUMPRODUCT(MAX((tbl_Finance[Job Number]&amp;""=C136&amp;"")*(tbl_Finance[Xero Invoice No]&lt;&gt;"")*tbl_Finance[Date]))=0,"",SUMPRODUCT(MAX((tbl_Finance[Job Number]&amp;""=C136&amp;"")*(tbl_Finance[Xero Invoice No]&lt;&gt;"")*tbl_Finance[Date]))),""))</f>
        <v/>
      </c>
      <c r="B136" s="25">
        <f>IF(C136="","",IF(COUNTIFS(tbl_Finance[Job Number],C136&amp;"",tbl_Finance[Xero Invoice No],"&lt;&gt;")=0,"",IFERROR(IF(COUNTIFS(tbl_Finance[Job Number],C136&amp;"",tbl_Finance[Xero Invoice No],LOOKUP(2,1/((tbl_Finance[Job Number]&amp;""=C136&amp;"")*(tbl_Finance[Xero Invoice No]&lt;&gt;"")),tbl_Finance[Xero Invoice No]))=COUNTIFS(tbl_Finance[Job Number],C136&amp;"",tbl_Finance[Xero Invoice No],"&lt;&gt;"),LOOKUP(2,1/((tbl_Finance[Job Number]&amp;""=C136&amp;"")*(tbl_Finance[Xero Invoice No]&lt;&gt;"")),tbl_Finance[Xero Invoice No]),LOOKUP(2,1/((tbl_Finance[Job Number]&amp;""=C136&amp;"")*(tbl_Finance[Xero Invoice No]&lt;&gt;"")),tbl_Finance[Xero Invoice No])&amp;" +more"),"")))</f>
        <v/>
      </c>
      <c r="C136" s="24" t="n"/>
      <c r="D136" s="25">
        <f>IF(C136="","",IF(COUNTIF(lst_Jobs,C136&amp;"")&gt;0,"OK","CHECK"))</f>
        <v/>
      </c>
      <c r="E136" s="25">
        <f>IF(C136="","",IFERROR(INDEX(lst_JobName,MATCH(C136&amp;"",lst_Jobs,0)),""))</f>
        <v/>
      </c>
      <c r="F136" s="25">
        <f>IF(C136="","",IFERROR(INDEX(tbl_Finance[Client],IFERROR(MATCH(C136&amp;"",tbl_Finance[Job Number],0),MATCH(IFERROR(C136+0,C136),tbl_Finance[Job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6" t="n"/>
      <c r="L136" s="27">
        <f>IF(C136="","",IF(K136="",0,MAX(0,K136-H136)))</f>
        <v/>
      </c>
      <c r="M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N136" s="27">
        <f>IF(C136="","",SUMIFS(tbl_Finance[Inc GST],tbl_Finance[Job Number],C136&amp;""))</f>
        <v/>
      </c>
      <c r="O136" s="24" t="n"/>
      <c r="P136" s="25">
        <f>IF(C136="","",IFERROR(INDEX(tbl_Finance[Description],MATCH(C136&amp;"",tbl_Finance[Job Number],0)),""))</f>
        <v/>
      </c>
      <c r="Q136" s="24" t="n"/>
      <c r="R136" s="24" t="n"/>
      <c r="S136" s="22" t="n"/>
      <c r="T136" s="24" t="n"/>
      <c r="U136" s="25">
        <f>IF(T136="","",IF(AND(LEFT(T136,4)&lt;&gt;"http",set_RMSBase=""),"",HYPERLINK(IF(LEFT(T136,4)="http",T136,set_RMSBase&amp;T136),"Open opportunity")))</f>
        <v/>
      </c>
      <c r="V136" s="24" t="n"/>
      <c r="W136" s="25">
        <f>IF(V136="","",HYPERLINK(IF(LEFT(V136,4)="http",V136,set_QwilrBase&amp;V136),"Open quote"))</f>
        <v/>
      </c>
      <c r="X136" s="25">
        <f>IF(C136="","",C136)</f>
        <v/>
      </c>
      <c r="Y136" s="24" t="n"/>
      <c r="Z136" s="26" t="n"/>
      <c r="AA136" s="27">
        <f>IF(C136="","",H136+N(Z136))</f>
        <v/>
      </c>
      <c r="AB136" s="29">
        <f>IFERROR(Z136/AA136,"")</f>
        <v/>
      </c>
      <c r="AC136" s="26" t="n"/>
      <c r="AD136" s="26" t="n"/>
      <c r="AE136" s="26" t="n"/>
      <c r="AF136" s="26" t="n"/>
      <c r="AG136" s="27">
        <f>IF(C136="","",SUMIFS(tbl_Finance[Ex GST],tbl_Finance[Job Number],C136&amp;"",tbl_Finance[Cost Centre],"VIDEO"))</f>
        <v/>
      </c>
      <c r="AH136" s="29">
        <f>IFERROR(AG136/H136,"")</f>
        <v/>
      </c>
      <c r="AI136" s="27">
        <f>IF(C136="","",N(AC136)+N(AD136)+N(AE136)+N(AF136))</f>
        <v/>
      </c>
      <c r="AJ136" s="27">
        <f>IF(C136="","",H136+L136-AI136)</f>
        <v/>
      </c>
      <c r="AK136" s="29">
        <f>IFERROR(AJ136/(H136+L136),"")</f>
        <v/>
      </c>
      <c r="AL136" s="71" t="n"/>
      <c r="AM136" s="71" t="n"/>
      <c r="AN136" s="71" t="n"/>
      <c r="AO136" s="71" t="n"/>
      <c r="AP136" s="71" t="n"/>
      <c r="AQ136" s="24" t="n"/>
    </row>
    <row r="137" ht="15" customHeight="1">
      <c r="A137" s="70">
        <f>IF(C137="","",IFERROR(IF(SUMPRODUCT(MAX((tbl_Finance[Job Number]&amp;""=C137&amp;"")*(tbl_Finance[Xero Invoice No]&lt;&gt;"")*tbl_Finance[Date]))=0,"",SUMPRODUCT(MAX((tbl_Finance[Job Number]&amp;""=C137&amp;"")*(tbl_Finance[Xero Invoice No]&lt;&gt;"")*tbl_Finance[Date]))),""))</f>
        <v/>
      </c>
      <c r="B137" s="25">
        <f>IF(C137="","",IF(COUNTIFS(tbl_Finance[Job Number],C137&amp;"",tbl_Finance[Xero Invoice No],"&lt;&gt;")=0,"",IFERROR(IF(COUNTIFS(tbl_Finance[Job Number],C137&amp;"",tbl_Finance[Xero Invoice No],LOOKUP(2,1/((tbl_Finance[Job Number]&amp;""=C137&amp;"")*(tbl_Finance[Xero Invoice No]&lt;&gt;"")),tbl_Finance[Xero Invoice No]))=COUNTIFS(tbl_Finance[Job Number],C137&amp;"",tbl_Finance[Xero Invoice No],"&lt;&gt;"),LOOKUP(2,1/((tbl_Finance[Job Number]&amp;""=C137&amp;"")*(tbl_Finance[Xero Invoice No]&lt;&gt;"")),tbl_Finance[Xero Invoice No]),LOOKUP(2,1/((tbl_Finance[Job Number]&amp;""=C137&amp;"")*(tbl_Finance[Xero Invoice No]&lt;&gt;"")),tbl_Finance[Xero Invoice No])&amp;" +more"),"")))</f>
        <v/>
      </c>
      <c r="C137" s="24" t="n"/>
      <c r="D137" s="25">
        <f>IF(C137="","",IF(COUNTIF(lst_Jobs,C137&amp;"")&gt;0,"OK","CHECK"))</f>
        <v/>
      </c>
      <c r="E137" s="25">
        <f>IF(C137="","",IFERROR(INDEX(lst_JobName,MATCH(C137&amp;"",lst_Jobs,0)),""))</f>
        <v/>
      </c>
      <c r="F137" s="25">
        <f>IF(C137="","",IFERROR(INDEX(tbl_Finance[Client],IFERROR(MATCH(C137&amp;"",tbl_Finance[Job Number],0),MATCH(IFERROR(C137+0,C137),tbl_Finance[Job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6" t="n"/>
      <c r="L137" s="27">
        <f>IF(C137="","",IF(K137="",0,MAX(0,K137-H137)))</f>
        <v/>
      </c>
      <c r="M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N137" s="27">
        <f>IF(C137="","",SUMIFS(tbl_Finance[Inc GST],tbl_Finance[Job Number],C137&amp;""))</f>
        <v/>
      </c>
      <c r="O137" s="24" t="n"/>
      <c r="P137" s="25">
        <f>IF(C137="","",IFERROR(INDEX(tbl_Finance[Description],MATCH(C137&amp;"",tbl_Finance[Job Number],0)),""))</f>
        <v/>
      </c>
      <c r="Q137" s="24" t="n"/>
      <c r="R137" s="24" t="n"/>
      <c r="S137" s="22" t="n"/>
      <c r="T137" s="24" t="n"/>
      <c r="U137" s="25">
        <f>IF(T137="","",IF(AND(LEFT(T137,4)&lt;&gt;"http",set_RMSBase=""),"",HYPERLINK(IF(LEFT(T137,4)="http",T137,set_RMSBase&amp;T137),"Open opportunity")))</f>
        <v/>
      </c>
      <c r="V137" s="24" t="n"/>
      <c r="W137" s="25">
        <f>IF(V137="","",HYPERLINK(IF(LEFT(V137,4)="http",V137,set_QwilrBase&amp;V137),"Open quote"))</f>
        <v/>
      </c>
      <c r="X137" s="25">
        <f>IF(C137="","",C137)</f>
        <v/>
      </c>
      <c r="Y137" s="24" t="n"/>
      <c r="Z137" s="26" t="n"/>
      <c r="AA137" s="27">
        <f>IF(C137="","",H137+N(Z137))</f>
        <v/>
      </c>
      <c r="AB137" s="29">
        <f>IFERROR(Z137/AA137,"")</f>
        <v/>
      </c>
      <c r="AC137" s="26" t="n"/>
      <c r="AD137" s="26" t="n"/>
      <c r="AE137" s="26" t="n"/>
      <c r="AF137" s="26" t="n"/>
      <c r="AG137" s="27">
        <f>IF(C137="","",SUMIFS(tbl_Finance[Ex GST],tbl_Finance[Job Number],C137&amp;"",tbl_Finance[Cost Centre],"VIDEO"))</f>
        <v/>
      </c>
      <c r="AH137" s="29">
        <f>IFERROR(AG137/H137,"")</f>
        <v/>
      </c>
      <c r="AI137" s="27">
        <f>IF(C137="","",N(AC137)+N(AD137)+N(AE137)+N(AF137))</f>
        <v/>
      </c>
      <c r="AJ137" s="27">
        <f>IF(C137="","",H137+L137-AI137)</f>
        <v/>
      </c>
      <c r="AK137" s="29">
        <f>IFERROR(AJ137/(H137+L137),"")</f>
        <v/>
      </c>
      <c r="AL137" s="71" t="n"/>
      <c r="AM137" s="71" t="n"/>
      <c r="AN137" s="71" t="n"/>
      <c r="AO137" s="71" t="n"/>
      <c r="AP137" s="71" t="n"/>
      <c r="AQ137" s="24" t="n"/>
    </row>
    <row r="138" ht="15" customHeight="1">
      <c r="A138" s="70">
        <f>IF(C138="","",IFERROR(IF(SUMPRODUCT(MAX((tbl_Finance[Job Number]&amp;""=C138&amp;"")*(tbl_Finance[Xero Invoice No]&lt;&gt;"")*tbl_Finance[Date]))=0,"",SUMPRODUCT(MAX((tbl_Finance[Job Number]&amp;""=C138&amp;"")*(tbl_Finance[Xero Invoice No]&lt;&gt;"")*tbl_Finance[Date]))),""))</f>
        <v/>
      </c>
      <c r="B138" s="25">
        <f>IF(C138="","",IF(COUNTIFS(tbl_Finance[Job Number],C138&amp;"",tbl_Finance[Xero Invoice No],"&lt;&gt;")=0,"",IFERROR(IF(COUNTIFS(tbl_Finance[Job Number],C138&amp;"",tbl_Finance[Xero Invoice No],LOOKUP(2,1/((tbl_Finance[Job Number]&amp;""=C138&amp;"")*(tbl_Finance[Xero Invoice No]&lt;&gt;"")),tbl_Finance[Xero Invoice No]))=COUNTIFS(tbl_Finance[Job Number],C138&amp;"",tbl_Finance[Xero Invoice No],"&lt;&gt;"),LOOKUP(2,1/((tbl_Finance[Job Number]&amp;""=C138&amp;"")*(tbl_Finance[Xero Invoice No]&lt;&gt;"")),tbl_Finance[Xero Invoice No]),LOOKUP(2,1/((tbl_Finance[Job Number]&amp;""=C138&amp;"")*(tbl_Finance[Xero Invoice No]&lt;&gt;"")),tbl_Finance[Xero Invoice No])&amp;" +more"),"")))</f>
        <v/>
      </c>
      <c r="C138" s="24" t="n"/>
      <c r="D138" s="25">
        <f>IF(C138="","",IF(COUNTIF(lst_Jobs,C138&amp;"")&gt;0,"OK","CHECK"))</f>
        <v/>
      </c>
      <c r="E138" s="25">
        <f>IF(C138="","",IFERROR(INDEX(lst_JobName,MATCH(C138&amp;"",lst_Jobs,0)),""))</f>
        <v/>
      </c>
      <c r="F138" s="25">
        <f>IF(C138="","",IFERROR(INDEX(tbl_Finance[Client],IFERROR(MATCH(C138&amp;"",tbl_Finance[Job Number],0),MATCH(IFERROR(C138+0,C138),tbl_Finance[Job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6" t="n"/>
      <c r="L138" s="27">
        <f>IF(C138="","",IF(K138="",0,MAX(0,K138-H138)))</f>
        <v/>
      </c>
      <c r="M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N138" s="27">
        <f>IF(C138="","",SUMIFS(tbl_Finance[Inc GST],tbl_Finance[Job Number],C138&amp;""))</f>
        <v/>
      </c>
      <c r="O138" s="24" t="n"/>
      <c r="P138" s="25">
        <f>IF(C138="","",IFERROR(INDEX(tbl_Finance[Description],MATCH(C138&amp;"",tbl_Finance[Job Number],0)),""))</f>
        <v/>
      </c>
      <c r="Q138" s="24" t="n"/>
      <c r="R138" s="24" t="n"/>
      <c r="S138" s="22" t="n"/>
      <c r="T138" s="24" t="n"/>
      <c r="U138" s="25">
        <f>IF(T138="","",IF(AND(LEFT(T138,4)&lt;&gt;"http",set_RMSBase=""),"",HYPERLINK(IF(LEFT(T138,4)="http",T138,set_RMSBase&amp;T138),"Open opportunity")))</f>
        <v/>
      </c>
      <c r="V138" s="24" t="n"/>
      <c r="W138" s="25">
        <f>IF(V138="","",HYPERLINK(IF(LEFT(V138,4)="http",V138,set_QwilrBase&amp;V138),"Open quote"))</f>
        <v/>
      </c>
      <c r="X138" s="25">
        <f>IF(C138="","",C138)</f>
        <v/>
      </c>
      <c r="Y138" s="24" t="n"/>
      <c r="Z138" s="26" t="n"/>
      <c r="AA138" s="27">
        <f>IF(C138="","",H138+N(Z138))</f>
        <v/>
      </c>
      <c r="AB138" s="29">
        <f>IFERROR(Z138/AA138,"")</f>
        <v/>
      </c>
      <c r="AC138" s="26" t="n"/>
      <c r="AD138" s="26" t="n"/>
      <c r="AE138" s="26" t="n"/>
      <c r="AF138" s="26" t="n"/>
      <c r="AG138" s="27">
        <f>IF(C138="","",SUMIFS(tbl_Finance[Ex GST],tbl_Finance[Job Number],C138&amp;"",tbl_Finance[Cost Centre],"VIDEO"))</f>
        <v/>
      </c>
      <c r="AH138" s="29">
        <f>IFERROR(AG138/H138,"")</f>
        <v/>
      </c>
      <c r="AI138" s="27">
        <f>IF(C138="","",N(AC138)+N(AD138)+N(AE138)+N(AF138))</f>
        <v/>
      </c>
      <c r="AJ138" s="27">
        <f>IF(C138="","",H138+L138-AI138)</f>
        <v/>
      </c>
      <c r="AK138" s="29">
        <f>IFERROR(AJ138/(H138+L138),"")</f>
        <v/>
      </c>
      <c r="AL138" s="71" t="n"/>
      <c r="AM138" s="71" t="n"/>
      <c r="AN138" s="71" t="n"/>
      <c r="AO138" s="71" t="n"/>
      <c r="AP138" s="71" t="n"/>
      <c r="AQ138" s="24" t="n"/>
    </row>
    <row r="139" ht="15" customHeight="1">
      <c r="A139" s="70">
        <f>IF(C139="","",IFERROR(IF(SUMPRODUCT(MAX((tbl_Finance[Job Number]&amp;""=C139&amp;"")*(tbl_Finance[Xero Invoice No]&lt;&gt;"")*tbl_Finance[Date]))=0,"",SUMPRODUCT(MAX((tbl_Finance[Job Number]&amp;""=C139&amp;"")*(tbl_Finance[Xero Invoice No]&lt;&gt;"")*tbl_Finance[Date]))),""))</f>
        <v/>
      </c>
      <c r="B139" s="25">
        <f>IF(C139="","",IF(COUNTIFS(tbl_Finance[Job Number],C139&amp;"",tbl_Finance[Xero Invoice No],"&lt;&gt;")=0,"",IFERROR(IF(COUNTIFS(tbl_Finance[Job Number],C139&amp;"",tbl_Finance[Xero Invoice No],LOOKUP(2,1/((tbl_Finance[Job Number]&amp;""=C139&amp;"")*(tbl_Finance[Xero Invoice No]&lt;&gt;"")),tbl_Finance[Xero Invoice No]))=COUNTIFS(tbl_Finance[Job Number],C139&amp;"",tbl_Finance[Xero Invoice No],"&lt;&gt;"),LOOKUP(2,1/((tbl_Finance[Job Number]&amp;""=C139&amp;"")*(tbl_Finance[Xero Invoice No]&lt;&gt;"")),tbl_Finance[Xero Invoice No]),LOOKUP(2,1/((tbl_Finance[Job Number]&amp;""=C139&amp;"")*(tbl_Finance[Xero Invoice No]&lt;&gt;"")),tbl_Finance[Xero Invoice No])&amp;" +more"),"")))</f>
        <v/>
      </c>
      <c r="C139" s="24" t="n"/>
      <c r="D139" s="25">
        <f>IF(C139="","",IF(COUNTIF(lst_Jobs,C139&amp;"")&gt;0,"OK","CHECK"))</f>
        <v/>
      </c>
      <c r="E139" s="25">
        <f>IF(C139="","",IFERROR(INDEX(lst_JobName,MATCH(C139&amp;"",lst_Jobs,0)),""))</f>
        <v/>
      </c>
      <c r="F139" s="25">
        <f>IF(C139="","",IFERROR(INDEX(tbl_Finance[Client],IFERROR(MATCH(C139&amp;"",tbl_Finance[Job Number],0),MATCH(IFERROR(C139+0,C139),tbl_Finance[Job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6" t="n"/>
      <c r="L139" s="27">
        <f>IF(C139="","",IF(K139="",0,MAX(0,K139-H139)))</f>
        <v/>
      </c>
      <c r="M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N139" s="27">
        <f>IF(C139="","",SUMIFS(tbl_Finance[Inc GST],tbl_Finance[Job Number],C139&amp;""))</f>
        <v/>
      </c>
      <c r="O139" s="24" t="n"/>
      <c r="P139" s="25">
        <f>IF(C139="","",IFERROR(INDEX(tbl_Finance[Description],MATCH(C139&amp;"",tbl_Finance[Job Number],0)),""))</f>
        <v/>
      </c>
      <c r="Q139" s="24" t="n"/>
      <c r="R139" s="24" t="n"/>
      <c r="S139" s="22" t="n"/>
      <c r="T139" s="24" t="n"/>
      <c r="U139" s="25">
        <f>IF(T139="","",IF(AND(LEFT(T139,4)&lt;&gt;"http",set_RMSBase=""),"",HYPERLINK(IF(LEFT(T139,4)="http",T139,set_RMSBase&amp;T139),"Open opportunity")))</f>
        <v/>
      </c>
      <c r="V139" s="24" t="n"/>
      <c r="W139" s="25">
        <f>IF(V139="","",HYPERLINK(IF(LEFT(V139,4)="http",V139,set_QwilrBase&amp;V139),"Open quote"))</f>
        <v/>
      </c>
      <c r="X139" s="25">
        <f>IF(C139="","",C139)</f>
        <v/>
      </c>
      <c r="Y139" s="24" t="n"/>
      <c r="Z139" s="26" t="n"/>
      <c r="AA139" s="27">
        <f>IF(C139="","",H139+N(Z139))</f>
        <v/>
      </c>
      <c r="AB139" s="29">
        <f>IFERROR(Z139/AA139,"")</f>
        <v/>
      </c>
      <c r="AC139" s="26" t="n"/>
      <c r="AD139" s="26" t="n"/>
      <c r="AE139" s="26" t="n"/>
      <c r="AF139" s="26" t="n"/>
      <c r="AG139" s="27">
        <f>IF(C139="","",SUMIFS(tbl_Finance[Ex GST],tbl_Finance[Job Number],C139&amp;"",tbl_Finance[Cost Centre],"VIDEO"))</f>
        <v/>
      </c>
      <c r="AH139" s="29">
        <f>IFERROR(AG139/H139,"")</f>
        <v/>
      </c>
      <c r="AI139" s="27">
        <f>IF(C139="","",N(AC139)+N(AD139)+N(AE139)+N(AF139))</f>
        <v/>
      </c>
      <c r="AJ139" s="27">
        <f>IF(C139="","",H139+L139-AI139)</f>
        <v/>
      </c>
      <c r="AK139" s="29">
        <f>IFERROR(AJ139/(H139+L139),"")</f>
        <v/>
      </c>
      <c r="AL139" s="71" t="n"/>
      <c r="AM139" s="71" t="n"/>
      <c r="AN139" s="71" t="n"/>
      <c r="AO139" s="71" t="n"/>
      <c r="AP139" s="71" t="n"/>
      <c r="AQ139" s="24" t="n"/>
    </row>
    <row r="140" ht="15" customHeight="1">
      <c r="A140" s="70">
        <f>IF(C140="","",IFERROR(IF(SUMPRODUCT(MAX((tbl_Finance[Job Number]&amp;""=C140&amp;"")*(tbl_Finance[Xero Invoice No]&lt;&gt;"")*tbl_Finance[Date]))=0,"",SUMPRODUCT(MAX((tbl_Finance[Job Number]&amp;""=C140&amp;"")*(tbl_Finance[Xero Invoice No]&lt;&gt;"")*tbl_Finance[Date]))),""))</f>
        <v/>
      </c>
      <c r="B140" s="25">
        <f>IF(C140="","",IF(COUNTIFS(tbl_Finance[Job Number],C140&amp;"",tbl_Finance[Xero Invoice No],"&lt;&gt;")=0,"",IFERROR(IF(COUNTIFS(tbl_Finance[Job Number],C140&amp;"",tbl_Finance[Xero Invoice No],LOOKUP(2,1/((tbl_Finance[Job Number]&amp;""=C140&amp;"")*(tbl_Finance[Xero Invoice No]&lt;&gt;"")),tbl_Finance[Xero Invoice No]))=COUNTIFS(tbl_Finance[Job Number],C140&amp;"",tbl_Finance[Xero Invoice No],"&lt;&gt;"),LOOKUP(2,1/((tbl_Finance[Job Number]&amp;""=C140&amp;"")*(tbl_Finance[Xero Invoice No]&lt;&gt;"")),tbl_Finance[Xero Invoice No]),LOOKUP(2,1/((tbl_Finance[Job Number]&amp;""=C140&amp;"")*(tbl_Finance[Xero Invoice No]&lt;&gt;"")),tbl_Finance[Xero Invoice No])&amp;" +more"),"")))</f>
        <v/>
      </c>
      <c r="C140" s="24" t="n"/>
      <c r="D140" s="25">
        <f>IF(C140="","",IF(COUNTIF(lst_Jobs,C140&amp;"")&gt;0,"OK","CHECK"))</f>
        <v/>
      </c>
      <c r="E140" s="25">
        <f>IF(C140="","",IFERROR(INDEX(lst_JobName,MATCH(C140&amp;"",lst_Jobs,0)),""))</f>
        <v/>
      </c>
      <c r="F140" s="25">
        <f>IF(C140="","",IFERROR(INDEX(tbl_Finance[Client],IFERROR(MATCH(C140&amp;"",tbl_Finance[Job Number],0),MATCH(IFERROR(C140+0,C140),tbl_Finance[Job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6" t="n"/>
      <c r="L140" s="27">
        <f>IF(C140="","",IF(K140="",0,MAX(0,K140-H140)))</f>
        <v/>
      </c>
      <c r="M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N140" s="27">
        <f>IF(C140="","",SUMIFS(tbl_Finance[Inc GST],tbl_Finance[Job Number],C140&amp;""))</f>
        <v/>
      </c>
      <c r="O140" s="24" t="n"/>
      <c r="P140" s="25">
        <f>IF(C140="","",IFERROR(INDEX(tbl_Finance[Description],MATCH(C140&amp;"",tbl_Finance[Job Number],0)),""))</f>
        <v/>
      </c>
      <c r="Q140" s="24" t="n"/>
      <c r="R140" s="24" t="n"/>
      <c r="S140" s="22" t="n"/>
      <c r="T140" s="24" t="n"/>
      <c r="U140" s="25">
        <f>IF(T140="","",IF(AND(LEFT(T140,4)&lt;&gt;"http",set_RMSBase=""),"",HYPERLINK(IF(LEFT(T140,4)="http",T140,set_RMSBase&amp;T140),"Open opportunity")))</f>
        <v/>
      </c>
      <c r="V140" s="24" t="n"/>
      <c r="W140" s="25">
        <f>IF(V140="","",HYPERLINK(IF(LEFT(V140,4)="http",V140,set_QwilrBase&amp;V140),"Open quote"))</f>
        <v/>
      </c>
      <c r="X140" s="25">
        <f>IF(C140="","",C140)</f>
        <v/>
      </c>
      <c r="Y140" s="24" t="n"/>
      <c r="Z140" s="26" t="n"/>
      <c r="AA140" s="27">
        <f>IF(C140="","",H140+N(Z140))</f>
        <v/>
      </c>
      <c r="AB140" s="29">
        <f>IFERROR(Z140/AA140,"")</f>
        <v/>
      </c>
      <c r="AC140" s="26" t="n"/>
      <c r="AD140" s="26" t="n"/>
      <c r="AE140" s="26" t="n"/>
      <c r="AF140" s="26" t="n"/>
      <c r="AG140" s="27">
        <f>IF(C140="","",SUMIFS(tbl_Finance[Ex GST],tbl_Finance[Job Number],C140&amp;"",tbl_Finance[Cost Centre],"VIDEO"))</f>
        <v/>
      </c>
      <c r="AH140" s="29">
        <f>IFERROR(AG140/H140,"")</f>
        <v/>
      </c>
      <c r="AI140" s="27">
        <f>IF(C140="","",N(AC140)+N(AD140)+N(AE140)+N(AF140))</f>
        <v/>
      </c>
      <c r="AJ140" s="27">
        <f>IF(C140="","",H140+L140-AI140)</f>
        <v/>
      </c>
      <c r="AK140" s="29">
        <f>IFERROR(AJ140/(H140+L140),"")</f>
        <v/>
      </c>
      <c r="AL140" s="71" t="n"/>
      <c r="AM140" s="71" t="n"/>
      <c r="AN140" s="71" t="n"/>
      <c r="AO140" s="71" t="n"/>
      <c r="AP140" s="71" t="n"/>
      <c r="AQ140" s="24" t="n"/>
    </row>
    <row r="141" ht="15" customHeight="1">
      <c r="A141" s="70">
        <f>IF(C141="","",IFERROR(IF(SUMPRODUCT(MAX((tbl_Finance[Job Number]&amp;""=C141&amp;"")*(tbl_Finance[Xero Invoice No]&lt;&gt;"")*tbl_Finance[Date]))=0,"",SUMPRODUCT(MAX((tbl_Finance[Job Number]&amp;""=C141&amp;"")*(tbl_Finance[Xero Invoice No]&lt;&gt;"")*tbl_Finance[Date]))),""))</f>
        <v/>
      </c>
      <c r="B141" s="25">
        <f>IF(C141="","",IF(COUNTIFS(tbl_Finance[Job Number],C141&amp;"",tbl_Finance[Xero Invoice No],"&lt;&gt;")=0,"",IFERROR(IF(COUNTIFS(tbl_Finance[Job Number],C141&amp;"",tbl_Finance[Xero Invoice No],LOOKUP(2,1/((tbl_Finance[Job Number]&amp;""=C141&amp;"")*(tbl_Finance[Xero Invoice No]&lt;&gt;"")),tbl_Finance[Xero Invoice No]))=COUNTIFS(tbl_Finance[Job Number],C141&amp;"",tbl_Finance[Xero Invoice No],"&lt;&gt;"),LOOKUP(2,1/((tbl_Finance[Job Number]&amp;""=C141&amp;"")*(tbl_Finance[Xero Invoice No]&lt;&gt;"")),tbl_Finance[Xero Invoice No]),LOOKUP(2,1/((tbl_Finance[Job Number]&amp;""=C141&amp;"")*(tbl_Finance[Xero Invoice No]&lt;&gt;"")),tbl_Finance[Xero Invoice No])&amp;" +more"),"")))</f>
        <v/>
      </c>
      <c r="C141" s="24" t="n"/>
      <c r="D141" s="25">
        <f>IF(C141="","",IF(COUNTIF(lst_Jobs,C141&amp;"")&gt;0,"OK","CHECK"))</f>
        <v/>
      </c>
      <c r="E141" s="25">
        <f>IF(C141="","",IFERROR(INDEX(lst_JobName,MATCH(C141&amp;"",lst_Jobs,0)),""))</f>
        <v/>
      </c>
      <c r="F141" s="25">
        <f>IF(C141="","",IFERROR(INDEX(tbl_Finance[Client],IFERROR(MATCH(C141&amp;"",tbl_Finance[Job Number],0),MATCH(IFERROR(C141+0,C141),tbl_Finance[Job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6" t="n"/>
      <c r="L141" s="27">
        <f>IF(C141="","",IF(K141="",0,MAX(0,K141-H141)))</f>
        <v/>
      </c>
      <c r="M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N141" s="27">
        <f>IF(C141="","",SUMIFS(tbl_Finance[Inc GST],tbl_Finance[Job Number],C141&amp;""))</f>
        <v/>
      </c>
      <c r="O141" s="24" t="n"/>
      <c r="P141" s="25">
        <f>IF(C141="","",IFERROR(INDEX(tbl_Finance[Description],MATCH(C141&amp;"",tbl_Finance[Job Number],0)),""))</f>
        <v/>
      </c>
      <c r="Q141" s="24" t="n"/>
      <c r="R141" s="24" t="n"/>
      <c r="S141" s="22" t="n"/>
      <c r="T141" s="24" t="n"/>
      <c r="U141" s="25">
        <f>IF(T141="","",IF(AND(LEFT(T141,4)&lt;&gt;"http",set_RMSBase=""),"",HYPERLINK(IF(LEFT(T141,4)="http",T141,set_RMSBase&amp;T141),"Open opportunity")))</f>
        <v/>
      </c>
      <c r="V141" s="24" t="n"/>
      <c r="W141" s="25">
        <f>IF(V141="","",HYPERLINK(IF(LEFT(V141,4)="http",V141,set_QwilrBase&amp;V141),"Open quote"))</f>
        <v/>
      </c>
      <c r="X141" s="25">
        <f>IF(C141="","",C141)</f>
        <v/>
      </c>
      <c r="Y141" s="24" t="n"/>
      <c r="Z141" s="26" t="n"/>
      <c r="AA141" s="27">
        <f>IF(C141="","",H141+N(Z141))</f>
        <v/>
      </c>
      <c r="AB141" s="29">
        <f>IFERROR(Z141/AA141,"")</f>
        <v/>
      </c>
      <c r="AC141" s="26" t="n"/>
      <c r="AD141" s="26" t="n"/>
      <c r="AE141" s="26" t="n"/>
      <c r="AF141" s="26" t="n"/>
      <c r="AG141" s="27">
        <f>IF(C141="","",SUMIFS(tbl_Finance[Ex GST],tbl_Finance[Job Number],C141&amp;"",tbl_Finance[Cost Centre],"VIDEO"))</f>
        <v/>
      </c>
      <c r="AH141" s="29">
        <f>IFERROR(AG141/H141,"")</f>
        <v/>
      </c>
      <c r="AI141" s="27">
        <f>IF(C141="","",N(AC141)+N(AD141)+N(AE141)+N(AF141))</f>
        <v/>
      </c>
      <c r="AJ141" s="27">
        <f>IF(C141="","",H141+L141-AI141)</f>
        <v/>
      </c>
      <c r="AK141" s="29">
        <f>IFERROR(AJ141/(H141+L141),"")</f>
        <v/>
      </c>
      <c r="AL141" s="71" t="n"/>
      <c r="AM141" s="71" t="n"/>
      <c r="AN141" s="71" t="n"/>
      <c r="AO141" s="71" t="n"/>
      <c r="AP141" s="71" t="n"/>
      <c r="AQ141" s="24" t="n"/>
    </row>
    <row r="142" ht="15" customHeight="1">
      <c r="A142" s="70">
        <f>IF(C142="","",IFERROR(IF(SUMPRODUCT(MAX((tbl_Finance[Job Number]&amp;""=C142&amp;"")*(tbl_Finance[Xero Invoice No]&lt;&gt;"")*tbl_Finance[Date]))=0,"",SUMPRODUCT(MAX((tbl_Finance[Job Number]&amp;""=C142&amp;"")*(tbl_Finance[Xero Invoice No]&lt;&gt;"")*tbl_Finance[Date]))),""))</f>
        <v/>
      </c>
      <c r="B142" s="25">
        <f>IF(C142="","",IF(COUNTIFS(tbl_Finance[Job Number],C142&amp;"",tbl_Finance[Xero Invoice No],"&lt;&gt;")=0,"",IFERROR(IF(COUNTIFS(tbl_Finance[Job Number],C142&amp;"",tbl_Finance[Xero Invoice No],LOOKUP(2,1/((tbl_Finance[Job Number]&amp;""=C142&amp;"")*(tbl_Finance[Xero Invoice No]&lt;&gt;"")),tbl_Finance[Xero Invoice No]))=COUNTIFS(tbl_Finance[Job Number],C142&amp;"",tbl_Finance[Xero Invoice No],"&lt;&gt;"),LOOKUP(2,1/((tbl_Finance[Job Number]&amp;""=C142&amp;"")*(tbl_Finance[Xero Invoice No]&lt;&gt;"")),tbl_Finance[Xero Invoice No]),LOOKUP(2,1/((tbl_Finance[Job Number]&amp;""=C142&amp;"")*(tbl_Finance[Xero Invoice No]&lt;&gt;"")),tbl_Finance[Xero Invoice No])&amp;" +more"),"")))</f>
        <v/>
      </c>
      <c r="C142" s="24" t="n"/>
      <c r="D142" s="25">
        <f>IF(C142="","",IF(COUNTIF(lst_Jobs,C142&amp;"")&gt;0,"OK","CHECK"))</f>
        <v/>
      </c>
      <c r="E142" s="25">
        <f>IF(C142="","",IFERROR(INDEX(lst_JobName,MATCH(C142&amp;"",lst_Jobs,0)),""))</f>
        <v/>
      </c>
      <c r="F142" s="25">
        <f>IF(C142="","",IFERROR(INDEX(tbl_Finance[Client],IFERROR(MATCH(C142&amp;"",tbl_Finance[Job Number],0),MATCH(IFERROR(C142+0,C142),tbl_Finance[Job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6" t="n"/>
      <c r="L142" s="27">
        <f>IF(C142="","",IF(K142="",0,MAX(0,K142-H142)))</f>
        <v/>
      </c>
      <c r="M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N142" s="27">
        <f>IF(C142="","",SUMIFS(tbl_Finance[Inc GST],tbl_Finance[Job Number],C142&amp;""))</f>
        <v/>
      </c>
      <c r="O142" s="24" t="n"/>
      <c r="P142" s="25">
        <f>IF(C142="","",IFERROR(INDEX(tbl_Finance[Description],MATCH(C142&amp;"",tbl_Finance[Job Number],0)),""))</f>
        <v/>
      </c>
      <c r="Q142" s="24" t="n"/>
      <c r="R142" s="24" t="n"/>
      <c r="S142" s="22" t="n"/>
      <c r="T142" s="24" t="n"/>
      <c r="U142" s="25">
        <f>IF(T142="","",IF(AND(LEFT(T142,4)&lt;&gt;"http",set_RMSBase=""),"",HYPERLINK(IF(LEFT(T142,4)="http",T142,set_RMSBase&amp;T142),"Open opportunity")))</f>
        <v/>
      </c>
      <c r="V142" s="24" t="n"/>
      <c r="W142" s="25">
        <f>IF(V142="","",HYPERLINK(IF(LEFT(V142,4)="http",V142,set_QwilrBase&amp;V142),"Open quote"))</f>
        <v/>
      </c>
      <c r="X142" s="25">
        <f>IF(C142="","",C142)</f>
        <v/>
      </c>
      <c r="Y142" s="24" t="n"/>
      <c r="Z142" s="26" t="n"/>
      <c r="AA142" s="27">
        <f>IF(C142="","",H142+N(Z142))</f>
        <v/>
      </c>
      <c r="AB142" s="29">
        <f>IFERROR(Z142/AA142,"")</f>
        <v/>
      </c>
      <c r="AC142" s="26" t="n"/>
      <c r="AD142" s="26" t="n"/>
      <c r="AE142" s="26" t="n"/>
      <c r="AF142" s="26" t="n"/>
      <c r="AG142" s="27">
        <f>IF(C142="","",SUMIFS(tbl_Finance[Ex GST],tbl_Finance[Job Number],C142&amp;"",tbl_Finance[Cost Centre],"VIDEO"))</f>
        <v/>
      </c>
      <c r="AH142" s="29">
        <f>IFERROR(AG142/H142,"")</f>
        <v/>
      </c>
      <c r="AI142" s="27">
        <f>IF(C142="","",N(AC142)+N(AD142)+N(AE142)+N(AF142))</f>
        <v/>
      </c>
      <c r="AJ142" s="27">
        <f>IF(C142="","",H142+L142-AI142)</f>
        <v/>
      </c>
      <c r="AK142" s="29">
        <f>IFERROR(AJ142/(H142+L142),"")</f>
        <v/>
      </c>
      <c r="AL142" s="71" t="n"/>
      <c r="AM142" s="71" t="n"/>
      <c r="AN142" s="71" t="n"/>
      <c r="AO142" s="71" t="n"/>
      <c r="AP142" s="71" t="n"/>
      <c r="AQ142" s="24" t="n"/>
    </row>
    <row r="143" ht="15" customHeight="1">
      <c r="A143" s="70">
        <f>IF(C143="","",IFERROR(IF(SUMPRODUCT(MAX((tbl_Finance[Job Number]&amp;""=C143&amp;"")*(tbl_Finance[Xero Invoice No]&lt;&gt;"")*tbl_Finance[Date]))=0,"",SUMPRODUCT(MAX((tbl_Finance[Job Number]&amp;""=C143&amp;"")*(tbl_Finance[Xero Invoice No]&lt;&gt;"")*tbl_Finance[Date]))),""))</f>
        <v/>
      </c>
      <c r="B143" s="25">
        <f>IF(C143="","",IF(COUNTIFS(tbl_Finance[Job Number],C143&amp;"",tbl_Finance[Xero Invoice No],"&lt;&gt;")=0,"",IFERROR(IF(COUNTIFS(tbl_Finance[Job Number],C143&amp;"",tbl_Finance[Xero Invoice No],LOOKUP(2,1/((tbl_Finance[Job Number]&amp;""=C143&amp;"")*(tbl_Finance[Xero Invoice No]&lt;&gt;"")),tbl_Finance[Xero Invoice No]))=COUNTIFS(tbl_Finance[Job Number],C143&amp;"",tbl_Finance[Xero Invoice No],"&lt;&gt;"),LOOKUP(2,1/((tbl_Finance[Job Number]&amp;""=C143&amp;"")*(tbl_Finance[Xero Invoice No]&lt;&gt;"")),tbl_Finance[Xero Invoice No]),LOOKUP(2,1/((tbl_Finance[Job Number]&amp;""=C143&amp;"")*(tbl_Finance[Xero Invoice No]&lt;&gt;"")),tbl_Finance[Xero Invoice No])&amp;" +more"),"")))</f>
        <v/>
      </c>
      <c r="C143" s="24" t="n"/>
      <c r="D143" s="25">
        <f>IF(C143="","",IF(COUNTIF(lst_Jobs,C143&amp;"")&gt;0,"OK","CHECK"))</f>
        <v/>
      </c>
      <c r="E143" s="25">
        <f>IF(C143="","",IFERROR(INDEX(lst_JobName,MATCH(C143&amp;"",lst_Jobs,0)),""))</f>
        <v/>
      </c>
      <c r="F143" s="25">
        <f>IF(C143="","",IFERROR(INDEX(tbl_Finance[Client],IFERROR(MATCH(C143&amp;"",tbl_Finance[Job Number],0),MATCH(IFERROR(C143+0,C143),tbl_Finance[Job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6" t="n"/>
      <c r="L143" s="27">
        <f>IF(C143="","",IF(K143="",0,MAX(0,K143-H143)))</f>
        <v/>
      </c>
      <c r="M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N143" s="27">
        <f>IF(C143="","",SUMIFS(tbl_Finance[Inc GST],tbl_Finance[Job Number],C143&amp;""))</f>
        <v/>
      </c>
      <c r="O143" s="24" t="n"/>
      <c r="P143" s="25">
        <f>IF(C143="","",IFERROR(INDEX(tbl_Finance[Description],MATCH(C143&amp;"",tbl_Finance[Job Number],0)),""))</f>
        <v/>
      </c>
      <c r="Q143" s="24" t="n"/>
      <c r="R143" s="24" t="n"/>
      <c r="S143" s="22" t="n"/>
      <c r="T143" s="24" t="n"/>
      <c r="U143" s="25">
        <f>IF(T143="","",IF(AND(LEFT(T143,4)&lt;&gt;"http",set_RMSBase=""),"",HYPERLINK(IF(LEFT(T143,4)="http",T143,set_RMSBase&amp;T143),"Open opportunity")))</f>
        <v/>
      </c>
      <c r="V143" s="24" t="n"/>
      <c r="W143" s="25">
        <f>IF(V143="","",HYPERLINK(IF(LEFT(V143,4)="http",V143,set_QwilrBase&amp;V143),"Open quote"))</f>
        <v/>
      </c>
      <c r="X143" s="25">
        <f>IF(C143="","",C143)</f>
        <v/>
      </c>
      <c r="Y143" s="24" t="n"/>
      <c r="Z143" s="26" t="n"/>
      <c r="AA143" s="27">
        <f>IF(C143="","",H143+N(Z143))</f>
        <v/>
      </c>
      <c r="AB143" s="29">
        <f>IFERROR(Z143/AA143,"")</f>
        <v/>
      </c>
      <c r="AC143" s="26" t="n"/>
      <c r="AD143" s="26" t="n"/>
      <c r="AE143" s="26" t="n"/>
      <c r="AF143" s="26" t="n"/>
      <c r="AG143" s="27">
        <f>IF(C143="","",SUMIFS(tbl_Finance[Ex GST],tbl_Finance[Job Number],C143&amp;"",tbl_Finance[Cost Centre],"VIDEO"))</f>
        <v/>
      </c>
      <c r="AH143" s="29">
        <f>IFERROR(AG143/H143,"")</f>
        <v/>
      </c>
      <c r="AI143" s="27">
        <f>IF(C143="","",N(AC143)+N(AD143)+N(AE143)+N(AF143))</f>
        <v/>
      </c>
      <c r="AJ143" s="27">
        <f>IF(C143="","",H143+L143-AI143)</f>
        <v/>
      </c>
      <c r="AK143" s="29">
        <f>IFERROR(AJ143/(H143+L143),"")</f>
        <v/>
      </c>
      <c r="AL143" s="71" t="n"/>
      <c r="AM143" s="71" t="n"/>
      <c r="AN143" s="71" t="n"/>
      <c r="AO143" s="71" t="n"/>
      <c r="AP143" s="71" t="n"/>
      <c r="AQ143" s="24" t="n"/>
    </row>
    <row r="144" ht="15" customHeight="1">
      <c r="A144" s="70">
        <f>IF(C144="","",IFERROR(IF(SUMPRODUCT(MAX((tbl_Finance[Job Number]&amp;""=C144&amp;"")*(tbl_Finance[Xero Invoice No]&lt;&gt;"")*tbl_Finance[Date]))=0,"",SUMPRODUCT(MAX((tbl_Finance[Job Number]&amp;""=C144&amp;"")*(tbl_Finance[Xero Invoice No]&lt;&gt;"")*tbl_Finance[Date]))),""))</f>
        <v/>
      </c>
      <c r="B144" s="25">
        <f>IF(C144="","",IF(COUNTIFS(tbl_Finance[Job Number],C144&amp;"",tbl_Finance[Xero Invoice No],"&lt;&gt;")=0,"",IFERROR(IF(COUNTIFS(tbl_Finance[Job Number],C144&amp;"",tbl_Finance[Xero Invoice No],LOOKUP(2,1/((tbl_Finance[Job Number]&amp;""=C144&amp;"")*(tbl_Finance[Xero Invoice No]&lt;&gt;"")),tbl_Finance[Xero Invoice No]))=COUNTIFS(tbl_Finance[Job Number],C144&amp;"",tbl_Finance[Xero Invoice No],"&lt;&gt;"),LOOKUP(2,1/((tbl_Finance[Job Number]&amp;""=C144&amp;"")*(tbl_Finance[Xero Invoice No]&lt;&gt;"")),tbl_Finance[Xero Invoice No]),LOOKUP(2,1/((tbl_Finance[Job Number]&amp;""=C144&amp;"")*(tbl_Finance[Xero Invoice No]&lt;&gt;"")),tbl_Finance[Xero Invoice No])&amp;" +more"),"")))</f>
        <v/>
      </c>
      <c r="C144" s="24" t="n"/>
      <c r="D144" s="25">
        <f>IF(C144="","",IF(COUNTIF(lst_Jobs,C144&amp;"")&gt;0,"OK","CHECK"))</f>
        <v/>
      </c>
      <c r="E144" s="25">
        <f>IF(C144="","",IFERROR(INDEX(lst_JobName,MATCH(C144&amp;"",lst_Jobs,0)),""))</f>
        <v/>
      </c>
      <c r="F144" s="25">
        <f>IF(C144="","",IFERROR(INDEX(tbl_Finance[Client],IFERROR(MATCH(C144&amp;"",tbl_Finance[Job Number],0),MATCH(IFERROR(C144+0,C144),tbl_Finance[Job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6" t="n"/>
      <c r="L144" s="27">
        <f>IF(C144="","",IF(K144="",0,MAX(0,K144-H144)))</f>
        <v/>
      </c>
      <c r="M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N144" s="27">
        <f>IF(C144="","",SUMIFS(tbl_Finance[Inc GST],tbl_Finance[Job Number],C144&amp;""))</f>
        <v/>
      </c>
      <c r="O144" s="24" t="n"/>
      <c r="P144" s="25">
        <f>IF(C144="","",IFERROR(INDEX(tbl_Finance[Description],MATCH(C144&amp;"",tbl_Finance[Job Number],0)),""))</f>
        <v/>
      </c>
      <c r="Q144" s="24" t="n"/>
      <c r="R144" s="24" t="n"/>
      <c r="S144" s="22" t="n"/>
      <c r="T144" s="24" t="n"/>
      <c r="U144" s="25">
        <f>IF(T144="","",IF(AND(LEFT(T144,4)&lt;&gt;"http",set_RMSBase=""),"",HYPERLINK(IF(LEFT(T144,4)="http",T144,set_RMSBase&amp;T144),"Open opportunity")))</f>
        <v/>
      </c>
      <c r="V144" s="24" t="n"/>
      <c r="W144" s="25">
        <f>IF(V144="","",HYPERLINK(IF(LEFT(V144,4)="http",V144,set_QwilrBase&amp;V144),"Open quote"))</f>
        <v/>
      </c>
      <c r="X144" s="25">
        <f>IF(C144="","",C144)</f>
        <v/>
      </c>
      <c r="Y144" s="24" t="n"/>
      <c r="Z144" s="26" t="n"/>
      <c r="AA144" s="27">
        <f>IF(C144="","",H144+N(Z144))</f>
        <v/>
      </c>
      <c r="AB144" s="29">
        <f>IFERROR(Z144/AA144,"")</f>
        <v/>
      </c>
      <c r="AC144" s="26" t="n"/>
      <c r="AD144" s="26" t="n"/>
      <c r="AE144" s="26" t="n"/>
      <c r="AF144" s="26" t="n"/>
      <c r="AG144" s="27">
        <f>IF(C144="","",SUMIFS(tbl_Finance[Ex GST],tbl_Finance[Job Number],C144&amp;"",tbl_Finance[Cost Centre],"VIDEO"))</f>
        <v/>
      </c>
      <c r="AH144" s="29">
        <f>IFERROR(AG144/H144,"")</f>
        <v/>
      </c>
      <c r="AI144" s="27">
        <f>IF(C144="","",N(AC144)+N(AD144)+N(AE144)+N(AF144))</f>
        <v/>
      </c>
      <c r="AJ144" s="27">
        <f>IF(C144="","",H144+L144-AI144)</f>
        <v/>
      </c>
      <c r="AK144" s="29">
        <f>IFERROR(AJ144/(H144+L144),"")</f>
        <v/>
      </c>
      <c r="AL144" s="71" t="n"/>
      <c r="AM144" s="71" t="n"/>
      <c r="AN144" s="71" t="n"/>
      <c r="AO144" s="71" t="n"/>
      <c r="AP144" s="71" t="n"/>
      <c r="AQ144" s="24" t="n"/>
    </row>
    <row r="145" ht="15" customHeight="1">
      <c r="A145" s="70">
        <f>IF(C145="","",IFERROR(IF(SUMPRODUCT(MAX((tbl_Finance[Job Number]&amp;""=C145&amp;"")*(tbl_Finance[Xero Invoice No]&lt;&gt;"")*tbl_Finance[Date]))=0,"",SUMPRODUCT(MAX((tbl_Finance[Job Number]&amp;""=C145&amp;"")*(tbl_Finance[Xero Invoice No]&lt;&gt;"")*tbl_Finance[Date]))),""))</f>
        <v/>
      </c>
      <c r="B145" s="25">
        <f>IF(C145="","",IF(COUNTIFS(tbl_Finance[Job Number],C145&amp;"",tbl_Finance[Xero Invoice No],"&lt;&gt;")=0,"",IFERROR(IF(COUNTIFS(tbl_Finance[Job Number],C145&amp;"",tbl_Finance[Xero Invoice No],LOOKUP(2,1/((tbl_Finance[Job Number]&amp;""=C145&amp;"")*(tbl_Finance[Xero Invoice No]&lt;&gt;"")),tbl_Finance[Xero Invoice No]))=COUNTIFS(tbl_Finance[Job Number],C145&amp;"",tbl_Finance[Xero Invoice No],"&lt;&gt;"),LOOKUP(2,1/((tbl_Finance[Job Number]&amp;""=C145&amp;"")*(tbl_Finance[Xero Invoice No]&lt;&gt;"")),tbl_Finance[Xero Invoice No]),LOOKUP(2,1/((tbl_Finance[Job Number]&amp;""=C145&amp;"")*(tbl_Finance[Xero Invoice No]&lt;&gt;"")),tbl_Finance[Xero Invoice No])&amp;" +more"),"")))</f>
        <v/>
      </c>
      <c r="C145" s="24" t="n"/>
      <c r="D145" s="25">
        <f>IF(C145="","",IF(COUNTIF(lst_Jobs,C145&amp;"")&gt;0,"OK","CHECK"))</f>
        <v/>
      </c>
      <c r="E145" s="25">
        <f>IF(C145="","",IFERROR(INDEX(lst_JobName,MATCH(C145&amp;"",lst_Jobs,0)),""))</f>
        <v/>
      </c>
      <c r="F145" s="25">
        <f>IF(C145="","",IFERROR(INDEX(tbl_Finance[Client],IFERROR(MATCH(C145&amp;"",tbl_Finance[Job Number],0),MATCH(IFERROR(C145+0,C145),tbl_Finance[Job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6" t="n"/>
      <c r="L145" s="27">
        <f>IF(C145="","",IF(K145="",0,MAX(0,K145-H145)))</f>
        <v/>
      </c>
      <c r="M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N145" s="27">
        <f>IF(C145="","",SUMIFS(tbl_Finance[Inc GST],tbl_Finance[Job Number],C145&amp;""))</f>
        <v/>
      </c>
      <c r="O145" s="24" t="n"/>
      <c r="P145" s="25">
        <f>IF(C145="","",IFERROR(INDEX(tbl_Finance[Description],MATCH(C145&amp;"",tbl_Finance[Job Number],0)),""))</f>
        <v/>
      </c>
      <c r="Q145" s="24" t="n"/>
      <c r="R145" s="24" t="n"/>
      <c r="S145" s="22" t="n"/>
      <c r="T145" s="24" t="n"/>
      <c r="U145" s="25">
        <f>IF(T145="","",IF(AND(LEFT(T145,4)&lt;&gt;"http",set_RMSBase=""),"",HYPERLINK(IF(LEFT(T145,4)="http",T145,set_RMSBase&amp;T145),"Open opportunity")))</f>
        <v/>
      </c>
      <c r="V145" s="24" t="n"/>
      <c r="W145" s="25">
        <f>IF(V145="","",HYPERLINK(IF(LEFT(V145,4)="http",V145,set_QwilrBase&amp;V145),"Open quote"))</f>
        <v/>
      </c>
      <c r="X145" s="25">
        <f>IF(C145="","",C145)</f>
        <v/>
      </c>
      <c r="Y145" s="24" t="n"/>
      <c r="Z145" s="26" t="n"/>
      <c r="AA145" s="27">
        <f>IF(C145="","",H145+N(Z145))</f>
        <v/>
      </c>
      <c r="AB145" s="29">
        <f>IFERROR(Z145/AA145,"")</f>
        <v/>
      </c>
      <c r="AC145" s="26" t="n"/>
      <c r="AD145" s="26" t="n"/>
      <c r="AE145" s="26" t="n"/>
      <c r="AF145" s="26" t="n"/>
      <c r="AG145" s="27">
        <f>IF(C145="","",SUMIFS(tbl_Finance[Ex GST],tbl_Finance[Job Number],C145&amp;"",tbl_Finance[Cost Centre],"VIDEO"))</f>
        <v/>
      </c>
      <c r="AH145" s="29">
        <f>IFERROR(AG145/H145,"")</f>
        <v/>
      </c>
      <c r="AI145" s="27">
        <f>IF(C145="","",N(AC145)+N(AD145)+N(AE145)+N(AF145))</f>
        <v/>
      </c>
      <c r="AJ145" s="27">
        <f>IF(C145="","",H145+L145-AI145)</f>
        <v/>
      </c>
      <c r="AK145" s="29">
        <f>IFERROR(AJ145/(H145+L145),"")</f>
        <v/>
      </c>
      <c r="AL145" s="71" t="n"/>
      <c r="AM145" s="71" t="n"/>
      <c r="AN145" s="71" t="n"/>
      <c r="AO145" s="71" t="n"/>
      <c r="AP145" s="71" t="n"/>
      <c r="AQ145" s="24" t="n"/>
    </row>
    <row r="146" ht="15" customHeight="1">
      <c r="A146" s="70">
        <f>IF(C146="","",IFERROR(IF(SUMPRODUCT(MAX((tbl_Finance[Job Number]&amp;""=C146&amp;"")*(tbl_Finance[Xero Invoice No]&lt;&gt;"")*tbl_Finance[Date]))=0,"",SUMPRODUCT(MAX((tbl_Finance[Job Number]&amp;""=C146&amp;"")*(tbl_Finance[Xero Invoice No]&lt;&gt;"")*tbl_Finance[Date]))),""))</f>
        <v/>
      </c>
      <c r="B146" s="25">
        <f>IF(C146="","",IF(COUNTIFS(tbl_Finance[Job Number],C146&amp;"",tbl_Finance[Xero Invoice No],"&lt;&gt;")=0,"",IFERROR(IF(COUNTIFS(tbl_Finance[Job Number],C146&amp;"",tbl_Finance[Xero Invoice No],LOOKUP(2,1/((tbl_Finance[Job Number]&amp;""=C146&amp;"")*(tbl_Finance[Xero Invoice No]&lt;&gt;"")),tbl_Finance[Xero Invoice No]))=COUNTIFS(tbl_Finance[Job Number],C146&amp;"",tbl_Finance[Xero Invoice No],"&lt;&gt;"),LOOKUP(2,1/((tbl_Finance[Job Number]&amp;""=C146&amp;"")*(tbl_Finance[Xero Invoice No]&lt;&gt;"")),tbl_Finance[Xero Invoice No]),LOOKUP(2,1/((tbl_Finance[Job Number]&amp;""=C146&amp;"")*(tbl_Finance[Xero Invoice No]&lt;&gt;"")),tbl_Finance[Xero Invoice No])&amp;" +more"),"")))</f>
        <v/>
      </c>
      <c r="C146" s="24" t="n"/>
      <c r="D146" s="25">
        <f>IF(C146="","",IF(COUNTIF(lst_Jobs,C146&amp;"")&gt;0,"OK","CHECK"))</f>
        <v/>
      </c>
      <c r="E146" s="25">
        <f>IF(C146="","",IFERROR(INDEX(lst_JobName,MATCH(C146&amp;"",lst_Jobs,0)),""))</f>
        <v/>
      </c>
      <c r="F146" s="25">
        <f>IF(C146="","",IFERROR(INDEX(tbl_Finance[Client],IFERROR(MATCH(C146&amp;"",tbl_Finance[Job Number],0),MATCH(IFERROR(C146+0,C146),tbl_Finance[Job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6" t="n"/>
      <c r="L146" s="27">
        <f>IF(C146="","",IF(K146="",0,MAX(0,K146-H146)))</f>
        <v/>
      </c>
      <c r="M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N146" s="27">
        <f>IF(C146="","",SUMIFS(tbl_Finance[Inc GST],tbl_Finance[Job Number],C146&amp;""))</f>
        <v/>
      </c>
      <c r="O146" s="24" t="n"/>
      <c r="P146" s="25">
        <f>IF(C146="","",IFERROR(INDEX(tbl_Finance[Description],MATCH(C146&amp;"",tbl_Finance[Job Number],0)),""))</f>
        <v/>
      </c>
      <c r="Q146" s="24" t="n"/>
      <c r="R146" s="24" t="n"/>
      <c r="S146" s="22" t="n"/>
      <c r="T146" s="24" t="n"/>
      <c r="U146" s="25">
        <f>IF(T146="","",IF(AND(LEFT(T146,4)&lt;&gt;"http",set_RMSBase=""),"",HYPERLINK(IF(LEFT(T146,4)="http",T146,set_RMSBase&amp;T146),"Open opportunity")))</f>
        <v/>
      </c>
      <c r="V146" s="24" t="n"/>
      <c r="W146" s="25">
        <f>IF(V146="","",HYPERLINK(IF(LEFT(V146,4)="http",V146,set_QwilrBase&amp;V146),"Open quote"))</f>
        <v/>
      </c>
      <c r="X146" s="25">
        <f>IF(C146="","",C146)</f>
        <v/>
      </c>
      <c r="Y146" s="24" t="n"/>
      <c r="Z146" s="26" t="n"/>
      <c r="AA146" s="27">
        <f>IF(C146="","",H146+N(Z146))</f>
        <v/>
      </c>
      <c r="AB146" s="29">
        <f>IFERROR(Z146/AA146,"")</f>
        <v/>
      </c>
      <c r="AC146" s="26" t="n"/>
      <c r="AD146" s="26" t="n"/>
      <c r="AE146" s="26" t="n"/>
      <c r="AF146" s="26" t="n"/>
      <c r="AG146" s="27">
        <f>IF(C146="","",SUMIFS(tbl_Finance[Ex GST],tbl_Finance[Job Number],C146&amp;"",tbl_Finance[Cost Centre],"VIDEO"))</f>
        <v/>
      </c>
      <c r="AH146" s="29">
        <f>IFERROR(AG146/H146,"")</f>
        <v/>
      </c>
      <c r="AI146" s="27">
        <f>IF(C146="","",N(AC146)+N(AD146)+N(AE146)+N(AF146))</f>
        <v/>
      </c>
      <c r="AJ146" s="27">
        <f>IF(C146="","",H146+L146-AI146)</f>
        <v/>
      </c>
      <c r="AK146" s="29">
        <f>IFERROR(AJ146/(H146+L146),"")</f>
        <v/>
      </c>
      <c r="AL146" s="71" t="n"/>
      <c r="AM146" s="71" t="n"/>
      <c r="AN146" s="71" t="n"/>
      <c r="AO146" s="71" t="n"/>
      <c r="AP146" s="71" t="n"/>
      <c r="AQ146" s="24" t="n"/>
    </row>
    <row r="147" ht="15" customHeight="1">
      <c r="A147" s="70">
        <f>IF(C147="","",IFERROR(IF(SUMPRODUCT(MAX((tbl_Finance[Job Number]&amp;""=C147&amp;"")*(tbl_Finance[Xero Invoice No]&lt;&gt;"")*tbl_Finance[Date]))=0,"",SUMPRODUCT(MAX((tbl_Finance[Job Number]&amp;""=C147&amp;"")*(tbl_Finance[Xero Invoice No]&lt;&gt;"")*tbl_Finance[Date]))),""))</f>
        <v/>
      </c>
      <c r="B147" s="25">
        <f>IF(C147="","",IF(COUNTIFS(tbl_Finance[Job Number],C147&amp;"",tbl_Finance[Xero Invoice No],"&lt;&gt;")=0,"",IFERROR(IF(COUNTIFS(tbl_Finance[Job Number],C147&amp;"",tbl_Finance[Xero Invoice No],LOOKUP(2,1/((tbl_Finance[Job Number]&amp;""=C147&amp;"")*(tbl_Finance[Xero Invoice No]&lt;&gt;"")),tbl_Finance[Xero Invoice No]))=COUNTIFS(tbl_Finance[Job Number],C147&amp;"",tbl_Finance[Xero Invoice No],"&lt;&gt;"),LOOKUP(2,1/((tbl_Finance[Job Number]&amp;""=C147&amp;"")*(tbl_Finance[Xero Invoice No]&lt;&gt;"")),tbl_Finance[Xero Invoice No]),LOOKUP(2,1/((tbl_Finance[Job Number]&amp;""=C147&amp;"")*(tbl_Finance[Xero Invoice No]&lt;&gt;"")),tbl_Finance[Xero Invoice No])&amp;" +more"),"")))</f>
        <v/>
      </c>
      <c r="C147" s="24" t="n"/>
      <c r="D147" s="25">
        <f>IF(C147="","",IF(COUNTIF(lst_Jobs,C147&amp;"")&gt;0,"OK","CHECK"))</f>
        <v/>
      </c>
      <c r="E147" s="25">
        <f>IF(C147="","",IFERROR(INDEX(lst_JobName,MATCH(C147&amp;"",lst_Jobs,0)),""))</f>
        <v/>
      </c>
      <c r="F147" s="25">
        <f>IF(C147="","",IFERROR(INDEX(tbl_Finance[Client],IFERROR(MATCH(C147&amp;"",tbl_Finance[Job Number],0),MATCH(IFERROR(C147+0,C147),tbl_Finance[Job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6" t="n"/>
      <c r="L147" s="27">
        <f>IF(C147="","",IF(K147="",0,MAX(0,K147-H147)))</f>
        <v/>
      </c>
      <c r="M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N147" s="27">
        <f>IF(C147="","",SUMIFS(tbl_Finance[Inc GST],tbl_Finance[Job Number],C147&amp;""))</f>
        <v/>
      </c>
      <c r="O147" s="24" t="n"/>
      <c r="P147" s="25">
        <f>IF(C147="","",IFERROR(INDEX(tbl_Finance[Description],MATCH(C147&amp;"",tbl_Finance[Job Number],0)),""))</f>
        <v/>
      </c>
      <c r="Q147" s="24" t="n"/>
      <c r="R147" s="24" t="n"/>
      <c r="S147" s="22" t="n"/>
      <c r="T147" s="24" t="n"/>
      <c r="U147" s="25">
        <f>IF(T147="","",IF(AND(LEFT(T147,4)&lt;&gt;"http",set_RMSBase=""),"",HYPERLINK(IF(LEFT(T147,4)="http",T147,set_RMSBase&amp;T147),"Open opportunity")))</f>
        <v/>
      </c>
      <c r="V147" s="24" t="n"/>
      <c r="W147" s="25">
        <f>IF(V147="","",HYPERLINK(IF(LEFT(V147,4)="http",V147,set_QwilrBase&amp;V147),"Open quote"))</f>
        <v/>
      </c>
      <c r="X147" s="25">
        <f>IF(C147="","",C147)</f>
        <v/>
      </c>
      <c r="Y147" s="24" t="n"/>
      <c r="Z147" s="26" t="n"/>
      <c r="AA147" s="27">
        <f>IF(C147="","",H147+N(Z147))</f>
        <v/>
      </c>
      <c r="AB147" s="29">
        <f>IFERROR(Z147/AA147,"")</f>
        <v/>
      </c>
      <c r="AC147" s="26" t="n"/>
      <c r="AD147" s="26" t="n"/>
      <c r="AE147" s="26" t="n"/>
      <c r="AF147" s="26" t="n"/>
      <c r="AG147" s="27">
        <f>IF(C147="","",SUMIFS(tbl_Finance[Ex GST],tbl_Finance[Job Number],C147&amp;"",tbl_Finance[Cost Centre],"VIDEO"))</f>
        <v/>
      </c>
      <c r="AH147" s="29">
        <f>IFERROR(AG147/H147,"")</f>
        <v/>
      </c>
      <c r="AI147" s="27">
        <f>IF(C147="","",N(AC147)+N(AD147)+N(AE147)+N(AF147))</f>
        <v/>
      </c>
      <c r="AJ147" s="27">
        <f>IF(C147="","",H147+L147-AI147)</f>
        <v/>
      </c>
      <c r="AK147" s="29">
        <f>IFERROR(AJ147/(H147+L147),"")</f>
        <v/>
      </c>
      <c r="AL147" s="71" t="n"/>
      <c r="AM147" s="71" t="n"/>
      <c r="AN147" s="71" t="n"/>
      <c r="AO147" s="71" t="n"/>
      <c r="AP147" s="71" t="n"/>
      <c r="AQ147" s="24" t="n"/>
    </row>
    <row r="148" ht="15" customHeight="1">
      <c r="A148" s="70">
        <f>IF(C148="","",IFERROR(IF(SUMPRODUCT(MAX((tbl_Finance[Job Number]&amp;""=C148&amp;"")*(tbl_Finance[Xero Invoice No]&lt;&gt;"")*tbl_Finance[Date]))=0,"",SUMPRODUCT(MAX((tbl_Finance[Job Number]&amp;""=C148&amp;"")*(tbl_Finance[Xero Invoice No]&lt;&gt;"")*tbl_Finance[Date]))),""))</f>
        <v/>
      </c>
      <c r="B148" s="25">
        <f>IF(C148="","",IF(COUNTIFS(tbl_Finance[Job Number],C148&amp;"",tbl_Finance[Xero Invoice No],"&lt;&gt;")=0,"",IFERROR(IF(COUNTIFS(tbl_Finance[Job Number],C148&amp;"",tbl_Finance[Xero Invoice No],LOOKUP(2,1/((tbl_Finance[Job Number]&amp;""=C148&amp;"")*(tbl_Finance[Xero Invoice No]&lt;&gt;"")),tbl_Finance[Xero Invoice No]))=COUNTIFS(tbl_Finance[Job Number],C148&amp;"",tbl_Finance[Xero Invoice No],"&lt;&gt;"),LOOKUP(2,1/((tbl_Finance[Job Number]&amp;""=C148&amp;"")*(tbl_Finance[Xero Invoice No]&lt;&gt;"")),tbl_Finance[Xero Invoice No]),LOOKUP(2,1/((tbl_Finance[Job Number]&amp;""=C148&amp;"")*(tbl_Finance[Xero Invoice No]&lt;&gt;"")),tbl_Finance[Xero Invoice No])&amp;" +more"),"")))</f>
        <v/>
      </c>
      <c r="C148" s="24" t="n"/>
      <c r="D148" s="25">
        <f>IF(C148="","",IF(COUNTIF(lst_Jobs,C148&amp;"")&gt;0,"OK","CHECK"))</f>
        <v/>
      </c>
      <c r="E148" s="25">
        <f>IF(C148="","",IFERROR(INDEX(lst_JobName,MATCH(C148&amp;"",lst_Jobs,0)),""))</f>
        <v/>
      </c>
      <c r="F148" s="25">
        <f>IF(C148="","",IFERROR(INDEX(tbl_Finance[Client],IFERROR(MATCH(C148&amp;"",tbl_Finance[Job Number],0),MATCH(IFERROR(C148+0,C148),tbl_Finance[Job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6" t="n"/>
      <c r="L148" s="27">
        <f>IF(C148="","",IF(K148="",0,MAX(0,K148-H148)))</f>
        <v/>
      </c>
      <c r="M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N148" s="27">
        <f>IF(C148="","",SUMIFS(tbl_Finance[Inc GST],tbl_Finance[Job Number],C148&amp;""))</f>
        <v/>
      </c>
      <c r="O148" s="24" t="n"/>
      <c r="P148" s="25">
        <f>IF(C148="","",IFERROR(INDEX(tbl_Finance[Description],MATCH(C148&amp;"",tbl_Finance[Job Number],0)),""))</f>
        <v/>
      </c>
      <c r="Q148" s="24" t="n"/>
      <c r="R148" s="24" t="n"/>
      <c r="S148" s="22" t="n"/>
      <c r="T148" s="24" t="n"/>
      <c r="U148" s="25">
        <f>IF(T148="","",IF(AND(LEFT(T148,4)&lt;&gt;"http",set_RMSBase=""),"",HYPERLINK(IF(LEFT(T148,4)="http",T148,set_RMSBase&amp;T148),"Open opportunity")))</f>
        <v/>
      </c>
      <c r="V148" s="24" t="n"/>
      <c r="W148" s="25">
        <f>IF(V148="","",HYPERLINK(IF(LEFT(V148,4)="http",V148,set_QwilrBase&amp;V148),"Open quote"))</f>
        <v/>
      </c>
      <c r="X148" s="25">
        <f>IF(C148="","",C148)</f>
        <v/>
      </c>
      <c r="Y148" s="24" t="n"/>
      <c r="Z148" s="26" t="n"/>
      <c r="AA148" s="27">
        <f>IF(C148="","",H148+N(Z148))</f>
        <v/>
      </c>
      <c r="AB148" s="29">
        <f>IFERROR(Z148/AA148,"")</f>
        <v/>
      </c>
      <c r="AC148" s="26" t="n"/>
      <c r="AD148" s="26" t="n"/>
      <c r="AE148" s="26" t="n"/>
      <c r="AF148" s="26" t="n"/>
      <c r="AG148" s="27">
        <f>IF(C148="","",SUMIFS(tbl_Finance[Ex GST],tbl_Finance[Job Number],C148&amp;"",tbl_Finance[Cost Centre],"VIDEO"))</f>
        <v/>
      </c>
      <c r="AH148" s="29">
        <f>IFERROR(AG148/H148,"")</f>
        <v/>
      </c>
      <c r="AI148" s="27">
        <f>IF(C148="","",N(AC148)+N(AD148)+N(AE148)+N(AF148))</f>
        <v/>
      </c>
      <c r="AJ148" s="27">
        <f>IF(C148="","",H148+L148-AI148)</f>
        <v/>
      </c>
      <c r="AK148" s="29">
        <f>IFERROR(AJ148/(H148+L148),"")</f>
        <v/>
      </c>
      <c r="AL148" s="71" t="n"/>
      <c r="AM148" s="71" t="n"/>
      <c r="AN148" s="71" t="n"/>
      <c r="AO148" s="71" t="n"/>
      <c r="AP148" s="71" t="n"/>
      <c r="AQ148" s="24" t="n"/>
    </row>
    <row r="149" ht="15" customHeight="1">
      <c r="A149" s="70">
        <f>IF(C149="","",IFERROR(IF(SUMPRODUCT(MAX((tbl_Finance[Job Number]&amp;""=C149&amp;"")*(tbl_Finance[Xero Invoice No]&lt;&gt;"")*tbl_Finance[Date]))=0,"",SUMPRODUCT(MAX((tbl_Finance[Job Number]&amp;""=C149&amp;"")*(tbl_Finance[Xero Invoice No]&lt;&gt;"")*tbl_Finance[Date]))),""))</f>
        <v/>
      </c>
      <c r="B149" s="25">
        <f>IF(C149="","",IF(COUNTIFS(tbl_Finance[Job Number],C149&amp;"",tbl_Finance[Xero Invoice No],"&lt;&gt;")=0,"",IFERROR(IF(COUNTIFS(tbl_Finance[Job Number],C149&amp;"",tbl_Finance[Xero Invoice No],LOOKUP(2,1/((tbl_Finance[Job Number]&amp;""=C149&amp;"")*(tbl_Finance[Xero Invoice No]&lt;&gt;"")),tbl_Finance[Xero Invoice No]))=COUNTIFS(tbl_Finance[Job Number],C149&amp;"",tbl_Finance[Xero Invoice No],"&lt;&gt;"),LOOKUP(2,1/((tbl_Finance[Job Number]&amp;""=C149&amp;"")*(tbl_Finance[Xero Invoice No]&lt;&gt;"")),tbl_Finance[Xero Invoice No]),LOOKUP(2,1/((tbl_Finance[Job Number]&amp;""=C149&amp;"")*(tbl_Finance[Xero Invoice No]&lt;&gt;"")),tbl_Finance[Xero Invoice No])&amp;" +more"),"")))</f>
        <v/>
      </c>
      <c r="C149" s="24" t="n"/>
      <c r="D149" s="25">
        <f>IF(C149="","",IF(COUNTIF(lst_Jobs,C149&amp;"")&gt;0,"OK","CHECK"))</f>
        <v/>
      </c>
      <c r="E149" s="25">
        <f>IF(C149="","",IFERROR(INDEX(lst_JobName,MATCH(C149&amp;"",lst_Jobs,0)),""))</f>
        <v/>
      </c>
      <c r="F149" s="25">
        <f>IF(C149="","",IFERROR(INDEX(tbl_Finance[Client],IFERROR(MATCH(C149&amp;"",tbl_Finance[Job Number],0),MATCH(IFERROR(C149+0,C149),tbl_Finance[Job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6" t="n"/>
      <c r="L149" s="27">
        <f>IF(C149="","",IF(K149="",0,MAX(0,K149-H149)))</f>
        <v/>
      </c>
      <c r="M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N149" s="27">
        <f>IF(C149="","",SUMIFS(tbl_Finance[Inc GST],tbl_Finance[Job Number],C149&amp;""))</f>
        <v/>
      </c>
      <c r="O149" s="24" t="n"/>
      <c r="P149" s="25">
        <f>IF(C149="","",IFERROR(INDEX(tbl_Finance[Description],MATCH(C149&amp;"",tbl_Finance[Job Number],0)),""))</f>
        <v/>
      </c>
      <c r="Q149" s="24" t="n"/>
      <c r="R149" s="24" t="n"/>
      <c r="S149" s="22" t="n"/>
      <c r="T149" s="24" t="n"/>
      <c r="U149" s="25">
        <f>IF(T149="","",IF(AND(LEFT(T149,4)&lt;&gt;"http",set_RMSBase=""),"",HYPERLINK(IF(LEFT(T149,4)="http",T149,set_RMSBase&amp;T149),"Open opportunity")))</f>
        <v/>
      </c>
      <c r="V149" s="24" t="n"/>
      <c r="W149" s="25">
        <f>IF(V149="","",HYPERLINK(IF(LEFT(V149,4)="http",V149,set_QwilrBase&amp;V149),"Open quote"))</f>
        <v/>
      </c>
      <c r="X149" s="25">
        <f>IF(C149="","",C149)</f>
        <v/>
      </c>
      <c r="Y149" s="24" t="n"/>
      <c r="Z149" s="26" t="n"/>
      <c r="AA149" s="27">
        <f>IF(C149="","",H149+N(Z149))</f>
        <v/>
      </c>
      <c r="AB149" s="29">
        <f>IFERROR(Z149/AA149,"")</f>
        <v/>
      </c>
      <c r="AC149" s="26" t="n"/>
      <c r="AD149" s="26" t="n"/>
      <c r="AE149" s="26" t="n"/>
      <c r="AF149" s="26" t="n"/>
      <c r="AG149" s="27">
        <f>IF(C149="","",SUMIFS(tbl_Finance[Ex GST],tbl_Finance[Job Number],C149&amp;"",tbl_Finance[Cost Centre],"VIDEO"))</f>
        <v/>
      </c>
      <c r="AH149" s="29">
        <f>IFERROR(AG149/H149,"")</f>
        <v/>
      </c>
      <c r="AI149" s="27">
        <f>IF(C149="","",N(AC149)+N(AD149)+N(AE149)+N(AF149))</f>
        <v/>
      </c>
      <c r="AJ149" s="27">
        <f>IF(C149="","",H149+L149-AI149)</f>
        <v/>
      </c>
      <c r="AK149" s="29">
        <f>IFERROR(AJ149/(H149+L149),"")</f>
        <v/>
      </c>
      <c r="AL149" s="71" t="n"/>
      <c r="AM149" s="71" t="n"/>
      <c r="AN149" s="71" t="n"/>
      <c r="AO149" s="71" t="n"/>
      <c r="AP149" s="71" t="n"/>
      <c r="AQ149" s="24" t="n"/>
    </row>
    <row r="150" ht="15" customHeight="1">
      <c r="A150" s="70">
        <f>IF(C150="","",IFERROR(IF(SUMPRODUCT(MAX((tbl_Finance[Job Number]&amp;""=C150&amp;"")*(tbl_Finance[Xero Invoice No]&lt;&gt;"")*tbl_Finance[Date]))=0,"",SUMPRODUCT(MAX((tbl_Finance[Job Number]&amp;""=C150&amp;"")*(tbl_Finance[Xero Invoice No]&lt;&gt;"")*tbl_Finance[Date]))),""))</f>
        <v/>
      </c>
      <c r="B150" s="25">
        <f>IF(C150="","",IF(COUNTIFS(tbl_Finance[Job Number],C150&amp;"",tbl_Finance[Xero Invoice No],"&lt;&gt;")=0,"",IFERROR(IF(COUNTIFS(tbl_Finance[Job Number],C150&amp;"",tbl_Finance[Xero Invoice No],LOOKUP(2,1/((tbl_Finance[Job Number]&amp;""=C150&amp;"")*(tbl_Finance[Xero Invoice No]&lt;&gt;"")),tbl_Finance[Xero Invoice No]))=COUNTIFS(tbl_Finance[Job Number],C150&amp;"",tbl_Finance[Xero Invoice No],"&lt;&gt;"),LOOKUP(2,1/((tbl_Finance[Job Number]&amp;""=C150&amp;"")*(tbl_Finance[Xero Invoice No]&lt;&gt;"")),tbl_Finance[Xero Invoice No]),LOOKUP(2,1/((tbl_Finance[Job Number]&amp;""=C150&amp;"")*(tbl_Finance[Xero Invoice No]&lt;&gt;"")),tbl_Finance[Xero Invoice No])&amp;" +more"),"")))</f>
        <v/>
      </c>
      <c r="C150" s="24" t="n"/>
      <c r="D150" s="25">
        <f>IF(C150="","",IF(COUNTIF(lst_Jobs,C150&amp;"")&gt;0,"OK","CHECK"))</f>
        <v/>
      </c>
      <c r="E150" s="25">
        <f>IF(C150="","",IFERROR(INDEX(lst_JobName,MATCH(C150&amp;"",lst_Jobs,0)),""))</f>
        <v/>
      </c>
      <c r="F150" s="25">
        <f>IF(C150="","",IFERROR(INDEX(tbl_Finance[Client],IFERROR(MATCH(C150&amp;"",tbl_Finance[Job Number],0),MATCH(IFERROR(C150+0,C150),tbl_Finance[Job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6" t="n"/>
      <c r="L150" s="27">
        <f>IF(C150="","",IF(K150="",0,MAX(0,K150-H150)))</f>
        <v/>
      </c>
      <c r="M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N150" s="27">
        <f>IF(C150="","",SUMIFS(tbl_Finance[Inc GST],tbl_Finance[Job Number],C150&amp;""))</f>
        <v/>
      </c>
      <c r="O150" s="24" t="n"/>
      <c r="P150" s="25">
        <f>IF(C150="","",IFERROR(INDEX(tbl_Finance[Description],MATCH(C150&amp;"",tbl_Finance[Job Number],0)),""))</f>
        <v/>
      </c>
      <c r="Q150" s="24" t="n"/>
      <c r="R150" s="24" t="n"/>
      <c r="S150" s="22" t="n"/>
      <c r="T150" s="24" t="n"/>
      <c r="U150" s="25">
        <f>IF(T150="","",IF(AND(LEFT(T150,4)&lt;&gt;"http",set_RMSBase=""),"",HYPERLINK(IF(LEFT(T150,4)="http",T150,set_RMSBase&amp;T150),"Open opportunity")))</f>
        <v/>
      </c>
      <c r="V150" s="24" t="n"/>
      <c r="W150" s="25">
        <f>IF(V150="","",HYPERLINK(IF(LEFT(V150,4)="http",V150,set_QwilrBase&amp;V150),"Open quote"))</f>
        <v/>
      </c>
      <c r="X150" s="25">
        <f>IF(C150="","",C150)</f>
        <v/>
      </c>
      <c r="Y150" s="24" t="n"/>
      <c r="Z150" s="26" t="n"/>
      <c r="AA150" s="27">
        <f>IF(C150="","",H150+N(Z150))</f>
        <v/>
      </c>
      <c r="AB150" s="29">
        <f>IFERROR(Z150/AA150,"")</f>
        <v/>
      </c>
      <c r="AC150" s="26" t="n"/>
      <c r="AD150" s="26" t="n"/>
      <c r="AE150" s="26" t="n"/>
      <c r="AF150" s="26" t="n"/>
      <c r="AG150" s="27">
        <f>IF(C150="","",SUMIFS(tbl_Finance[Ex GST],tbl_Finance[Job Number],C150&amp;"",tbl_Finance[Cost Centre],"VIDEO"))</f>
        <v/>
      </c>
      <c r="AH150" s="29">
        <f>IFERROR(AG150/H150,"")</f>
        <v/>
      </c>
      <c r="AI150" s="27">
        <f>IF(C150="","",N(AC150)+N(AD150)+N(AE150)+N(AF150))</f>
        <v/>
      </c>
      <c r="AJ150" s="27">
        <f>IF(C150="","",H150+L150-AI150)</f>
        <v/>
      </c>
      <c r="AK150" s="29">
        <f>IFERROR(AJ150/(H150+L150),"")</f>
        <v/>
      </c>
      <c r="AL150" s="71" t="n"/>
      <c r="AM150" s="71" t="n"/>
      <c r="AN150" s="71" t="n"/>
      <c r="AO150" s="71" t="n"/>
      <c r="AP150" s="71" t="n"/>
      <c r="AQ150" s="24" t="n"/>
    </row>
    <row r="151" ht="15" customHeight="1">
      <c r="A151" s="70">
        <f>IF(C151="","",IFERROR(IF(SUMPRODUCT(MAX((tbl_Finance[Job Number]&amp;""=C151&amp;"")*(tbl_Finance[Xero Invoice No]&lt;&gt;"")*tbl_Finance[Date]))=0,"",SUMPRODUCT(MAX((tbl_Finance[Job Number]&amp;""=C151&amp;"")*(tbl_Finance[Xero Invoice No]&lt;&gt;"")*tbl_Finance[Date]))),""))</f>
        <v/>
      </c>
      <c r="B151" s="25">
        <f>IF(C151="","",IF(COUNTIFS(tbl_Finance[Job Number],C151&amp;"",tbl_Finance[Xero Invoice No],"&lt;&gt;")=0,"",IFERROR(IF(COUNTIFS(tbl_Finance[Job Number],C151&amp;"",tbl_Finance[Xero Invoice No],LOOKUP(2,1/((tbl_Finance[Job Number]&amp;""=C151&amp;"")*(tbl_Finance[Xero Invoice No]&lt;&gt;"")),tbl_Finance[Xero Invoice No]))=COUNTIFS(tbl_Finance[Job Number],C151&amp;"",tbl_Finance[Xero Invoice No],"&lt;&gt;"),LOOKUP(2,1/((tbl_Finance[Job Number]&amp;""=C151&amp;"")*(tbl_Finance[Xero Invoice No]&lt;&gt;"")),tbl_Finance[Xero Invoice No]),LOOKUP(2,1/((tbl_Finance[Job Number]&amp;""=C151&amp;"")*(tbl_Finance[Xero Invoice No]&lt;&gt;"")),tbl_Finance[Xero Invoice No])&amp;" +more"),"")))</f>
        <v/>
      </c>
      <c r="C151" s="24" t="n"/>
      <c r="D151" s="25">
        <f>IF(C151="","",IF(COUNTIF(lst_Jobs,C151&amp;"")&gt;0,"OK","CHECK"))</f>
        <v/>
      </c>
      <c r="E151" s="25">
        <f>IF(C151="","",IFERROR(INDEX(lst_JobName,MATCH(C151&amp;"",lst_Jobs,0)),""))</f>
        <v/>
      </c>
      <c r="F151" s="25">
        <f>IF(C151="","",IFERROR(INDEX(tbl_Finance[Client],IFERROR(MATCH(C151&amp;"",tbl_Finance[Job Number],0),MATCH(IFERROR(C151+0,C151),tbl_Finance[Job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6" t="n"/>
      <c r="L151" s="27">
        <f>IF(C151="","",IF(K151="",0,MAX(0,K151-H151)))</f>
        <v/>
      </c>
      <c r="M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N151" s="27">
        <f>IF(C151="","",SUMIFS(tbl_Finance[Inc GST],tbl_Finance[Job Number],C151&amp;""))</f>
        <v/>
      </c>
      <c r="O151" s="24" t="n"/>
      <c r="P151" s="25">
        <f>IF(C151="","",IFERROR(INDEX(tbl_Finance[Description],MATCH(C151&amp;"",tbl_Finance[Job Number],0)),""))</f>
        <v/>
      </c>
      <c r="Q151" s="24" t="n"/>
      <c r="R151" s="24" t="n"/>
      <c r="S151" s="22" t="n"/>
      <c r="T151" s="24" t="n"/>
      <c r="U151" s="25">
        <f>IF(T151="","",IF(AND(LEFT(T151,4)&lt;&gt;"http",set_RMSBase=""),"",HYPERLINK(IF(LEFT(T151,4)="http",T151,set_RMSBase&amp;T151),"Open opportunity")))</f>
        <v/>
      </c>
      <c r="V151" s="24" t="n"/>
      <c r="W151" s="25">
        <f>IF(V151="","",HYPERLINK(IF(LEFT(V151,4)="http",V151,set_QwilrBase&amp;V151),"Open quote"))</f>
        <v/>
      </c>
      <c r="X151" s="25">
        <f>IF(C151="","",C151)</f>
        <v/>
      </c>
      <c r="Y151" s="24" t="n"/>
      <c r="Z151" s="26" t="n"/>
      <c r="AA151" s="27">
        <f>IF(C151="","",H151+N(Z151))</f>
        <v/>
      </c>
      <c r="AB151" s="29">
        <f>IFERROR(Z151/AA151,"")</f>
        <v/>
      </c>
      <c r="AC151" s="26" t="n"/>
      <c r="AD151" s="26" t="n"/>
      <c r="AE151" s="26" t="n"/>
      <c r="AF151" s="26" t="n"/>
      <c r="AG151" s="27">
        <f>IF(C151="","",SUMIFS(tbl_Finance[Ex GST],tbl_Finance[Job Number],C151&amp;"",tbl_Finance[Cost Centre],"VIDEO"))</f>
        <v/>
      </c>
      <c r="AH151" s="29">
        <f>IFERROR(AG151/H151,"")</f>
        <v/>
      </c>
      <c r="AI151" s="27">
        <f>IF(C151="","",N(AC151)+N(AD151)+N(AE151)+N(AF151))</f>
        <v/>
      </c>
      <c r="AJ151" s="27">
        <f>IF(C151="","",H151+L151-AI151)</f>
        <v/>
      </c>
      <c r="AK151" s="29">
        <f>IFERROR(AJ151/(H151+L151),"")</f>
        <v/>
      </c>
      <c r="AL151" s="71" t="n"/>
      <c r="AM151" s="71" t="n"/>
      <c r="AN151" s="71" t="n"/>
      <c r="AO151" s="71" t="n"/>
      <c r="AP151" s="71" t="n"/>
      <c r="AQ151" s="24" t="n"/>
    </row>
    <row r="152" ht="15" customHeight="1">
      <c r="A152" s="70">
        <f>IF(C152="","",IFERROR(IF(SUMPRODUCT(MAX((tbl_Finance[Job Number]&amp;""=C152&amp;"")*(tbl_Finance[Xero Invoice No]&lt;&gt;"")*tbl_Finance[Date]))=0,"",SUMPRODUCT(MAX((tbl_Finance[Job Number]&amp;""=C152&amp;"")*(tbl_Finance[Xero Invoice No]&lt;&gt;"")*tbl_Finance[Date]))),""))</f>
        <v/>
      </c>
      <c r="B152" s="25">
        <f>IF(C152="","",IF(COUNTIFS(tbl_Finance[Job Number],C152&amp;"",tbl_Finance[Xero Invoice No],"&lt;&gt;")=0,"",IFERROR(IF(COUNTIFS(tbl_Finance[Job Number],C152&amp;"",tbl_Finance[Xero Invoice No],LOOKUP(2,1/((tbl_Finance[Job Number]&amp;""=C152&amp;"")*(tbl_Finance[Xero Invoice No]&lt;&gt;"")),tbl_Finance[Xero Invoice No]))=COUNTIFS(tbl_Finance[Job Number],C152&amp;"",tbl_Finance[Xero Invoice No],"&lt;&gt;"),LOOKUP(2,1/((tbl_Finance[Job Number]&amp;""=C152&amp;"")*(tbl_Finance[Xero Invoice No]&lt;&gt;"")),tbl_Finance[Xero Invoice No]),LOOKUP(2,1/((tbl_Finance[Job Number]&amp;""=C152&amp;"")*(tbl_Finance[Xero Invoice No]&lt;&gt;"")),tbl_Finance[Xero Invoice No])&amp;" +more"),"")))</f>
        <v/>
      </c>
      <c r="C152" s="24" t="n"/>
      <c r="D152" s="25">
        <f>IF(C152="","",IF(COUNTIF(lst_Jobs,C152&amp;"")&gt;0,"OK","CHECK"))</f>
        <v/>
      </c>
      <c r="E152" s="25">
        <f>IF(C152="","",IFERROR(INDEX(lst_JobName,MATCH(C152&amp;"",lst_Jobs,0)),""))</f>
        <v/>
      </c>
      <c r="F152" s="25">
        <f>IF(C152="","",IFERROR(INDEX(tbl_Finance[Client],IFERROR(MATCH(C152&amp;"",tbl_Finance[Job Number],0),MATCH(IFERROR(C152+0,C152),tbl_Finance[Job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6" t="n"/>
      <c r="L152" s="27">
        <f>IF(C152="","",IF(K152="",0,MAX(0,K152-H152)))</f>
        <v/>
      </c>
      <c r="M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N152" s="27">
        <f>IF(C152="","",SUMIFS(tbl_Finance[Inc GST],tbl_Finance[Job Number],C152&amp;""))</f>
        <v/>
      </c>
      <c r="O152" s="24" t="n"/>
      <c r="P152" s="25">
        <f>IF(C152="","",IFERROR(INDEX(tbl_Finance[Description],MATCH(C152&amp;"",tbl_Finance[Job Number],0)),""))</f>
        <v/>
      </c>
      <c r="Q152" s="24" t="n"/>
      <c r="R152" s="24" t="n"/>
      <c r="S152" s="22" t="n"/>
      <c r="T152" s="24" t="n"/>
      <c r="U152" s="25">
        <f>IF(T152="","",IF(AND(LEFT(T152,4)&lt;&gt;"http",set_RMSBase=""),"",HYPERLINK(IF(LEFT(T152,4)="http",T152,set_RMSBase&amp;T152),"Open opportunity")))</f>
        <v/>
      </c>
      <c r="V152" s="24" t="n"/>
      <c r="W152" s="25">
        <f>IF(V152="","",HYPERLINK(IF(LEFT(V152,4)="http",V152,set_QwilrBase&amp;V152),"Open quote"))</f>
        <v/>
      </c>
      <c r="X152" s="25">
        <f>IF(C152="","",C152)</f>
        <v/>
      </c>
      <c r="Y152" s="24" t="n"/>
      <c r="Z152" s="26" t="n"/>
      <c r="AA152" s="27">
        <f>IF(C152="","",H152+N(Z152))</f>
        <v/>
      </c>
      <c r="AB152" s="29">
        <f>IFERROR(Z152/AA152,"")</f>
        <v/>
      </c>
      <c r="AC152" s="26" t="n"/>
      <c r="AD152" s="26" t="n"/>
      <c r="AE152" s="26" t="n"/>
      <c r="AF152" s="26" t="n"/>
      <c r="AG152" s="27">
        <f>IF(C152="","",SUMIFS(tbl_Finance[Ex GST],tbl_Finance[Job Number],C152&amp;"",tbl_Finance[Cost Centre],"VIDEO"))</f>
        <v/>
      </c>
      <c r="AH152" s="29">
        <f>IFERROR(AG152/H152,"")</f>
        <v/>
      </c>
      <c r="AI152" s="27">
        <f>IF(C152="","",N(AC152)+N(AD152)+N(AE152)+N(AF152))</f>
        <v/>
      </c>
      <c r="AJ152" s="27">
        <f>IF(C152="","",H152+L152-AI152)</f>
        <v/>
      </c>
      <c r="AK152" s="29">
        <f>IFERROR(AJ152/(H152+L152),"")</f>
        <v/>
      </c>
      <c r="AL152" s="71" t="n"/>
      <c r="AM152" s="71" t="n"/>
      <c r="AN152" s="71" t="n"/>
      <c r="AO152" s="71" t="n"/>
      <c r="AP152" s="71" t="n"/>
      <c r="AQ152" s="24" t="n"/>
    </row>
    <row r="153" ht="15" customHeight="1">
      <c r="A153" s="70">
        <f>IF(C153="","",IFERROR(IF(SUMPRODUCT(MAX((tbl_Finance[Job Number]&amp;""=C153&amp;"")*(tbl_Finance[Xero Invoice No]&lt;&gt;"")*tbl_Finance[Date]))=0,"",SUMPRODUCT(MAX((tbl_Finance[Job Number]&amp;""=C153&amp;"")*(tbl_Finance[Xero Invoice No]&lt;&gt;"")*tbl_Finance[Date]))),""))</f>
        <v/>
      </c>
      <c r="B153" s="25">
        <f>IF(C153="","",IF(COUNTIFS(tbl_Finance[Job Number],C153&amp;"",tbl_Finance[Xero Invoice No],"&lt;&gt;")=0,"",IFERROR(IF(COUNTIFS(tbl_Finance[Job Number],C153&amp;"",tbl_Finance[Xero Invoice No],LOOKUP(2,1/((tbl_Finance[Job Number]&amp;""=C153&amp;"")*(tbl_Finance[Xero Invoice No]&lt;&gt;"")),tbl_Finance[Xero Invoice No]))=COUNTIFS(tbl_Finance[Job Number],C153&amp;"",tbl_Finance[Xero Invoice No],"&lt;&gt;"),LOOKUP(2,1/((tbl_Finance[Job Number]&amp;""=C153&amp;"")*(tbl_Finance[Xero Invoice No]&lt;&gt;"")),tbl_Finance[Xero Invoice No]),LOOKUP(2,1/((tbl_Finance[Job Number]&amp;""=C153&amp;"")*(tbl_Finance[Xero Invoice No]&lt;&gt;"")),tbl_Finance[Xero Invoice No])&amp;" +more"),"")))</f>
        <v/>
      </c>
      <c r="C153" s="24" t="n"/>
      <c r="D153" s="25">
        <f>IF(C153="","",IF(COUNTIF(lst_Jobs,C153&amp;"")&gt;0,"OK","CHECK"))</f>
        <v/>
      </c>
      <c r="E153" s="25">
        <f>IF(C153="","",IFERROR(INDEX(lst_JobName,MATCH(C153&amp;"",lst_Jobs,0)),""))</f>
        <v/>
      </c>
      <c r="F153" s="25">
        <f>IF(C153="","",IFERROR(INDEX(tbl_Finance[Client],IFERROR(MATCH(C153&amp;"",tbl_Finance[Job Number],0),MATCH(IFERROR(C153+0,C153),tbl_Finance[Job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6" t="n"/>
      <c r="L153" s="27">
        <f>IF(C153="","",IF(K153="",0,MAX(0,K153-H153)))</f>
        <v/>
      </c>
      <c r="M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N153" s="27">
        <f>IF(C153="","",SUMIFS(tbl_Finance[Inc GST],tbl_Finance[Job Number],C153&amp;""))</f>
        <v/>
      </c>
      <c r="O153" s="24" t="n"/>
      <c r="P153" s="25">
        <f>IF(C153="","",IFERROR(INDEX(tbl_Finance[Description],MATCH(C153&amp;"",tbl_Finance[Job Number],0)),""))</f>
        <v/>
      </c>
      <c r="Q153" s="24" t="n"/>
      <c r="R153" s="24" t="n"/>
      <c r="S153" s="22" t="n"/>
      <c r="T153" s="24" t="n"/>
      <c r="U153" s="25">
        <f>IF(T153="","",IF(AND(LEFT(T153,4)&lt;&gt;"http",set_RMSBase=""),"",HYPERLINK(IF(LEFT(T153,4)="http",T153,set_RMSBase&amp;T153),"Open opportunity")))</f>
        <v/>
      </c>
      <c r="V153" s="24" t="n"/>
      <c r="W153" s="25">
        <f>IF(V153="","",HYPERLINK(IF(LEFT(V153,4)="http",V153,set_QwilrBase&amp;V153),"Open quote"))</f>
        <v/>
      </c>
      <c r="X153" s="25">
        <f>IF(C153="","",C153)</f>
        <v/>
      </c>
      <c r="Y153" s="24" t="n"/>
      <c r="Z153" s="26" t="n"/>
      <c r="AA153" s="27">
        <f>IF(C153="","",H153+N(Z153))</f>
        <v/>
      </c>
      <c r="AB153" s="29">
        <f>IFERROR(Z153/AA153,"")</f>
        <v/>
      </c>
      <c r="AC153" s="26" t="n"/>
      <c r="AD153" s="26" t="n"/>
      <c r="AE153" s="26" t="n"/>
      <c r="AF153" s="26" t="n"/>
      <c r="AG153" s="27">
        <f>IF(C153="","",SUMIFS(tbl_Finance[Ex GST],tbl_Finance[Job Number],C153&amp;"",tbl_Finance[Cost Centre],"VIDEO"))</f>
        <v/>
      </c>
      <c r="AH153" s="29">
        <f>IFERROR(AG153/H153,"")</f>
        <v/>
      </c>
      <c r="AI153" s="27">
        <f>IF(C153="","",N(AC153)+N(AD153)+N(AE153)+N(AF153))</f>
        <v/>
      </c>
      <c r="AJ153" s="27">
        <f>IF(C153="","",H153+L153-AI153)</f>
        <v/>
      </c>
      <c r="AK153" s="29">
        <f>IFERROR(AJ153/(H153+L153),"")</f>
        <v/>
      </c>
      <c r="AL153" s="71" t="n"/>
      <c r="AM153" s="71" t="n"/>
      <c r="AN153" s="71" t="n"/>
      <c r="AO153" s="71" t="n"/>
      <c r="AP153" s="71" t="n"/>
      <c r="AQ153" s="24" t="n"/>
    </row>
    <row r="154" ht="15" customHeight="1">
      <c r="A154" s="70">
        <f>IF(C154="","",IFERROR(IF(SUMPRODUCT(MAX((tbl_Finance[Job Number]&amp;""=C154&amp;"")*(tbl_Finance[Xero Invoice No]&lt;&gt;"")*tbl_Finance[Date]))=0,"",SUMPRODUCT(MAX((tbl_Finance[Job Number]&amp;""=C154&amp;"")*(tbl_Finance[Xero Invoice No]&lt;&gt;"")*tbl_Finance[Date]))),""))</f>
        <v/>
      </c>
      <c r="B154" s="25">
        <f>IF(C154="","",IF(COUNTIFS(tbl_Finance[Job Number],C154&amp;"",tbl_Finance[Xero Invoice No],"&lt;&gt;")=0,"",IFERROR(IF(COUNTIFS(tbl_Finance[Job Number],C154&amp;"",tbl_Finance[Xero Invoice No],LOOKUP(2,1/((tbl_Finance[Job Number]&amp;""=C154&amp;"")*(tbl_Finance[Xero Invoice No]&lt;&gt;"")),tbl_Finance[Xero Invoice No]))=COUNTIFS(tbl_Finance[Job Number],C154&amp;"",tbl_Finance[Xero Invoice No],"&lt;&gt;"),LOOKUP(2,1/((tbl_Finance[Job Number]&amp;""=C154&amp;"")*(tbl_Finance[Xero Invoice No]&lt;&gt;"")),tbl_Finance[Xero Invoice No]),LOOKUP(2,1/((tbl_Finance[Job Number]&amp;""=C154&amp;"")*(tbl_Finance[Xero Invoice No]&lt;&gt;"")),tbl_Finance[Xero Invoice No])&amp;" +more"),"")))</f>
        <v/>
      </c>
      <c r="C154" s="24" t="n"/>
      <c r="D154" s="25">
        <f>IF(C154="","",IF(COUNTIF(lst_Jobs,C154&amp;"")&gt;0,"OK","CHECK"))</f>
        <v/>
      </c>
      <c r="E154" s="25">
        <f>IF(C154="","",IFERROR(INDEX(lst_JobName,MATCH(C154&amp;"",lst_Jobs,0)),""))</f>
        <v/>
      </c>
      <c r="F154" s="25">
        <f>IF(C154="","",IFERROR(INDEX(tbl_Finance[Client],IFERROR(MATCH(C154&amp;"",tbl_Finance[Job Number],0),MATCH(IFERROR(C154+0,C154),tbl_Finance[Job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6" t="n"/>
      <c r="L154" s="27">
        <f>IF(C154="","",IF(K154="",0,MAX(0,K154-H154)))</f>
        <v/>
      </c>
      <c r="M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N154" s="27">
        <f>IF(C154="","",SUMIFS(tbl_Finance[Inc GST],tbl_Finance[Job Number],C154&amp;""))</f>
        <v/>
      </c>
      <c r="O154" s="24" t="n"/>
      <c r="P154" s="25">
        <f>IF(C154="","",IFERROR(INDEX(tbl_Finance[Description],MATCH(C154&amp;"",tbl_Finance[Job Number],0)),""))</f>
        <v/>
      </c>
      <c r="Q154" s="24" t="n"/>
      <c r="R154" s="24" t="n"/>
      <c r="S154" s="22" t="n"/>
      <c r="T154" s="24" t="n"/>
      <c r="U154" s="25">
        <f>IF(T154="","",IF(AND(LEFT(T154,4)&lt;&gt;"http",set_RMSBase=""),"",HYPERLINK(IF(LEFT(T154,4)="http",T154,set_RMSBase&amp;T154),"Open opportunity")))</f>
        <v/>
      </c>
      <c r="V154" s="24" t="n"/>
      <c r="W154" s="25">
        <f>IF(V154="","",HYPERLINK(IF(LEFT(V154,4)="http",V154,set_QwilrBase&amp;V154),"Open quote"))</f>
        <v/>
      </c>
      <c r="X154" s="25">
        <f>IF(C154="","",C154)</f>
        <v/>
      </c>
      <c r="Y154" s="24" t="n"/>
      <c r="Z154" s="26" t="n"/>
      <c r="AA154" s="27">
        <f>IF(C154="","",H154+N(Z154))</f>
        <v/>
      </c>
      <c r="AB154" s="29">
        <f>IFERROR(Z154/AA154,"")</f>
        <v/>
      </c>
      <c r="AC154" s="26" t="n"/>
      <c r="AD154" s="26" t="n"/>
      <c r="AE154" s="26" t="n"/>
      <c r="AF154" s="26" t="n"/>
      <c r="AG154" s="27">
        <f>IF(C154="","",SUMIFS(tbl_Finance[Ex GST],tbl_Finance[Job Number],C154&amp;"",tbl_Finance[Cost Centre],"VIDEO"))</f>
        <v/>
      </c>
      <c r="AH154" s="29">
        <f>IFERROR(AG154/H154,"")</f>
        <v/>
      </c>
      <c r="AI154" s="27">
        <f>IF(C154="","",N(AC154)+N(AD154)+N(AE154)+N(AF154))</f>
        <v/>
      </c>
      <c r="AJ154" s="27">
        <f>IF(C154="","",H154+L154-AI154)</f>
        <v/>
      </c>
      <c r="AK154" s="29">
        <f>IFERROR(AJ154/(H154+L154),"")</f>
        <v/>
      </c>
      <c r="AL154" s="71" t="n"/>
      <c r="AM154" s="71" t="n"/>
      <c r="AN154" s="71" t="n"/>
      <c r="AO154" s="71" t="n"/>
      <c r="AP154" s="71" t="n"/>
      <c r="AQ154" s="24" t="n"/>
    </row>
    <row r="155" ht="15" customHeight="1">
      <c r="A155" s="70">
        <f>IF(C155="","",IFERROR(IF(SUMPRODUCT(MAX((tbl_Finance[Job Number]&amp;""=C155&amp;"")*(tbl_Finance[Xero Invoice No]&lt;&gt;"")*tbl_Finance[Date]))=0,"",SUMPRODUCT(MAX((tbl_Finance[Job Number]&amp;""=C155&amp;"")*(tbl_Finance[Xero Invoice No]&lt;&gt;"")*tbl_Finance[Date]))),""))</f>
        <v/>
      </c>
      <c r="B155" s="25">
        <f>IF(C155="","",IF(COUNTIFS(tbl_Finance[Job Number],C155&amp;"",tbl_Finance[Xero Invoice No],"&lt;&gt;")=0,"",IFERROR(IF(COUNTIFS(tbl_Finance[Job Number],C155&amp;"",tbl_Finance[Xero Invoice No],LOOKUP(2,1/((tbl_Finance[Job Number]&amp;""=C155&amp;"")*(tbl_Finance[Xero Invoice No]&lt;&gt;"")),tbl_Finance[Xero Invoice No]))=COUNTIFS(tbl_Finance[Job Number],C155&amp;"",tbl_Finance[Xero Invoice No],"&lt;&gt;"),LOOKUP(2,1/((tbl_Finance[Job Number]&amp;""=C155&amp;"")*(tbl_Finance[Xero Invoice No]&lt;&gt;"")),tbl_Finance[Xero Invoice No]),LOOKUP(2,1/((tbl_Finance[Job Number]&amp;""=C155&amp;"")*(tbl_Finance[Xero Invoice No]&lt;&gt;"")),tbl_Finance[Xero Invoice No])&amp;" +more"),"")))</f>
        <v/>
      </c>
      <c r="C155" s="24" t="n"/>
      <c r="D155" s="25">
        <f>IF(C155="","",IF(COUNTIF(lst_Jobs,C155&amp;"")&gt;0,"OK","CHECK"))</f>
        <v/>
      </c>
      <c r="E155" s="25">
        <f>IF(C155="","",IFERROR(INDEX(lst_JobName,MATCH(C155&amp;"",lst_Jobs,0)),""))</f>
        <v/>
      </c>
      <c r="F155" s="25">
        <f>IF(C155="","",IFERROR(INDEX(tbl_Finance[Client],IFERROR(MATCH(C155&amp;"",tbl_Finance[Job Number],0),MATCH(IFERROR(C155+0,C155),tbl_Finance[Job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6" t="n"/>
      <c r="L155" s="27">
        <f>IF(C155="","",IF(K155="",0,MAX(0,K155-H155)))</f>
        <v/>
      </c>
      <c r="M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N155" s="27">
        <f>IF(C155="","",SUMIFS(tbl_Finance[Inc GST],tbl_Finance[Job Number],C155&amp;""))</f>
        <v/>
      </c>
      <c r="O155" s="24" t="n"/>
      <c r="P155" s="25">
        <f>IF(C155="","",IFERROR(INDEX(tbl_Finance[Description],MATCH(C155&amp;"",tbl_Finance[Job Number],0)),""))</f>
        <v/>
      </c>
      <c r="Q155" s="24" t="n"/>
      <c r="R155" s="24" t="n"/>
      <c r="S155" s="22" t="n"/>
      <c r="T155" s="24" t="n"/>
      <c r="U155" s="25">
        <f>IF(T155="","",IF(AND(LEFT(T155,4)&lt;&gt;"http",set_RMSBase=""),"",HYPERLINK(IF(LEFT(T155,4)="http",T155,set_RMSBase&amp;T155),"Open opportunity")))</f>
        <v/>
      </c>
      <c r="V155" s="24" t="n"/>
      <c r="W155" s="25">
        <f>IF(V155="","",HYPERLINK(IF(LEFT(V155,4)="http",V155,set_QwilrBase&amp;V155),"Open quote"))</f>
        <v/>
      </c>
      <c r="X155" s="25">
        <f>IF(C155="","",C155)</f>
        <v/>
      </c>
      <c r="Y155" s="24" t="n"/>
      <c r="Z155" s="26" t="n"/>
      <c r="AA155" s="27">
        <f>IF(C155="","",H155+N(Z155))</f>
        <v/>
      </c>
      <c r="AB155" s="29">
        <f>IFERROR(Z155/AA155,"")</f>
        <v/>
      </c>
      <c r="AC155" s="26" t="n"/>
      <c r="AD155" s="26" t="n"/>
      <c r="AE155" s="26" t="n"/>
      <c r="AF155" s="26" t="n"/>
      <c r="AG155" s="27">
        <f>IF(C155="","",SUMIFS(tbl_Finance[Ex GST],tbl_Finance[Job Number],C155&amp;"",tbl_Finance[Cost Centre],"VIDEO"))</f>
        <v/>
      </c>
      <c r="AH155" s="29">
        <f>IFERROR(AG155/H155,"")</f>
        <v/>
      </c>
      <c r="AI155" s="27">
        <f>IF(C155="","",N(AC155)+N(AD155)+N(AE155)+N(AF155))</f>
        <v/>
      </c>
      <c r="AJ155" s="27">
        <f>IF(C155="","",H155+L155-AI155)</f>
        <v/>
      </c>
      <c r="AK155" s="29">
        <f>IFERROR(AJ155/(H155+L155),"")</f>
        <v/>
      </c>
      <c r="AL155" s="71" t="n"/>
      <c r="AM155" s="71" t="n"/>
      <c r="AN155" s="71" t="n"/>
      <c r="AO155" s="71" t="n"/>
      <c r="AP155" s="71" t="n"/>
      <c r="AQ155" s="24" t="n"/>
    </row>
    <row r="156" ht="15" customHeight="1">
      <c r="A156" s="70">
        <f>IF(C156="","",IFERROR(IF(SUMPRODUCT(MAX((tbl_Finance[Job Number]&amp;""=C156&amp;"")*(tbl_Finance[Xero Invoice No]&lt;&gt;"")*tbl_Finance[Date]))=0,"",SUMPRODUCT(MAX((tbl_Finance[Job Number]&amp;""=C156&amp;"")*(tbl_Finance[Xero Invoice No]&lt;&gt;"")*tbl_Finance[Date]))),""))</f>
        <v/>
      </c>
      <c r="B156" s="25">
        <f>IF(C156="","",IF(COUNTIFS(tbl_Finance[Job Number],C156&amp;"",tbl_Finance[Xero Invoice No],"&lt;&gt;")=0,"",IFERROR(IF(COUNTIFS(tbl_Finance[Job Number],C156&amp;"",tbl_Finance[Xero Invoice No],LOOKUP(2,1/((tbl_Finance[Job Number]&amp;""=C156&amp;"")*(tbl_Finance[Xero Invoice No]&lt;&gt;"")),tbl_Finance[Xero Invoice No]))=COUNTIFS(tbl_Finance[Job Number],C156&amp;"",tbl_Finance[Xero Invoice No],"&lt;&gt;"),LOOKUP(2,1/((tbl_Finance[Job Number]&amp;""=C156&amp;"")*(tbl_Finance[Xero Invoice No]&lt;&gt;"")),tbl_Finance[Xero Invoice No]),LOOKUP(2,1/((tbl_Finance[Job Number]&amp;""=C156&amp;"")*(tbl_Finance[Xero Invoice No]&lt;&gt;"")),tbl_Finance[Xero Invoice No])&amp;" +more"),"")))</f>
        <v/>
      </c>
      <c r="C156" s="24" t="n"/>
      <c r="D156" s="25">
        <f>IF(C156="","",IF(COUNTIF(lst_Jobs,C156&amp;"")&gt;0,"OK","CHECK"))</f>
        <v/>
      </c>
      <c r="E156" s="25">
        <f>IF(C156="","",IFERROR(INDEX(lst_JobName,MATCH(C156&amp;"",lst_Jobs,0)),""))</f>
        <v/>
      </c>
      <c r="F156" s="25">
        <f>IF(C156="","",IFERROR(INDEX(tbl_Finance[Client],IFERROR(MATCH(C156&amp;"",tbl_Finance[Job Number],0),MATCH(IFERROR(C156+0,C156),tbl_Finance[Job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6" t="n"/>
      <c r="L156" s="27">
        <f>IF(C156="","",IF(K156="",0,MAX(0,K156-H156)))</f>
        <v/>
      </c>
      <c r="M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N156" s="27">
        <f>IF(C156="","",SUMIFS(tbl_Finance[Inc GST],tbl_Finance[Job Number],C156&amp;""))</f>
        <v/>
      </c>
      <c r="O156" s="24" t="n"/>
      <c r="P156" s="25">
        <f>IF(C156="","",IFERROR(INDEX(tbl_Finance[Description],MATCH(C156&amp;"",tbl_Finance[Job Number],0)),""))</f>
        <v/>
      </c>
      <c r="Q156" s="24" t="n"/>
      <c r="R156" s="24" t="n"/>
      <c r="S156" s="22" t="n"/>
      <c r="T156" s="24" t="n"/>
      <c r="U156" s="25">
        <f>IF(T156="","",IF(AND(LEFT(T156,4)&lt;&gt;"http",set_RMSBase=""),"",HYPERLINK(IF(LEFT(T156,4)="http",T156,set_RMSBase&amp;T156),"Open opportunity")))</f>
        <v/>
      </c>
      <c r="V156" s="24" t="n"/>
      <c r="W156" s="25">
        <f>IF(V156="","",HYPERLINK(IF(LEFT(V156,4)="http",V156,set_QwilrBase&amp;V156),"Open quote"))</f>
        <v/>
      </c>
      <c r="X156" s="25">
        <f>IF(C156="","",C156)</f>
        <v/>
      </c>
      <c r="Y156" s="24" t="n"/>
      <c r="Z156" s="26" t="n"/>
      <c r="AA156" s="27">
        <f>IF(C156="","",H156+N(Z156))</f>
        <v/>
      </c>
      <c r="AB156" s="29">
        <f>IFERROR(Z156/AA156,"")</f>
        <v/>
      </c>
      <c r="AC156" s="26" t="n"/>
      <c r="AD156" s="26" t="n"/>
      <c r="AE156" s="26" t="n"/>
      <c r="AF156" s="26" t="n"/>
      <c r="AG156" s="27">
        <f>IF(C156="","",SUMIFS(tbl_Finance[Ex GST],tbl_Finance[Job Number],C156&amp;"",tbl_Finance[Cost Centre],"VIDEO"))</f>
        <v/>
      </c>
      <c r="AH156" s="29">
        <f>IFERROR(AG156/H156,"")</f>
        <v/>
      </c>
      <c r="AI156" s="27">
        <f>IF(C156="","",N(AC156)+N(AD156)+N(AE156)+N(AF156))</f>
        <v/>
      </c>
      <c r="AJ156" s="27">
        <f>IF(C156="","",H156+L156-AI156)</f>
        <v/>
      </c>
      <c r="AK156" s="29">
        <f>IFERROR(AJ156/(H156+L156),"")</f>
        <v/>
      </c>
      <c r="AL156" s="71" t="n"/>
      <c r="AM156" s="71" t="n"/>
      <c r="AN156" s="71" t="n"/>
      <c r="AO156" s="71" t="n"/>
      <c r="AP156" s="71" t="n"/>
      <c r="AQ156" s="24" t="n"/>
    </row>
    <row r="157" ht="15" customHeight="1">
      <c r="A157" s="70">
        <f>IF(C157="","",IFERROR(IF(SUMPRODUCT(MAX((tbl_Finance[Job Number]&amp;""=C157&amp;"")*(tbl_Finance[Xero Invoice No]&lt;&gt;"")*tbl_Finance[Date]))=0,"",SUMPRODUCT(MAX((tbl_Finance[Job Number]&amp;""=C157&amp;"")*(tbl_Finance[Xero Invoice No]&lt;&gt;"")*tbl_Finance[Date]))),""))</f>
        <v/>
      </c>
      <c r="B157" s="25">
        <f>IF(C157="","",IF(COUNTIFS(tbl_Finance[Job Number],C157&amp;"",tbl_Finance[Xero Invoice No],"&lt;&gt;")=0,"",IFERROR(IF(COUNTIFS(tbl_Finance[Job Number],C157&amp;"",tbl_Finance[Xero Invoice No],LOOKUP(2,1/((tbl_Finance[Job Number]&amp;""=C157&amp;"")*(tbl_Finance[Xero Invoice No]&lt;&gt;"")),tbl_Finance[Xero Invoice No]))=COUNTIFS(tbl_Finance[Job Number],C157&amp;"",tbl_Finance[Xero Invoice No],"&lt;&gt;"),LOOKUP(2,1/((tbl_Finance[Job Number]&amp;""=C157&amp;"")*(tbl_Finance[Xero Invoice No]&lt;&gt;"")),tbl_Finance[Xero Invoice No]),LOOKUP(2,1/((tbl_Finance[Job Number]&amp;""=C157&amp;"")*(tbl_Finance[Xero Invoice No]&lt;&gt;"")),tbl_Finance[Xero Invoice No])&amp;" +more"),"")))</f>
        <v/>
      </c>
      <c r="C157" s="24" t="n"/>
      <c r="D157" s="25">
        <f>IF(C157="","",IF(COUNTIF(lst_Jobs,C157&amp;"")&gt;0,"OK","CHECK"))</f>
        <v/>
      </c>
      <c r="E157" s="25">
        <f>IF(C157="","",IFERROR(INDEX(lst_JobName,MATCH(C157&amp;"",lst_Jobs,0)),""))</f>
        <v/>
      </c>
      <c r="F157" s="25">
        <f>IF(C157="","",IFERROR(INDEX(tbl_Finance[Client],IFERROR(MATCH(C157&amp;"",tbl_Finance[Job Number],0),MATCH(IFERROR(C157+0,C157),tbl_Finance[Job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6" t="n"/>
      <c r="L157" s="27">
        <f>IF(C157="","",IF(K157="",0,MAX(0,K157-H157)))</f>
        <v/>
      </c>
      <c r="M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N157" s="27">
        <f>IF(C157="","",SUMIFS(tbl_Finance[Inc GST],tbl_Finance[Job Number],C157&amp;""))</f>
        <v/>
      </c>
      <c r="O157" s="24" t="n"/>
      <c r="P157" s="25">
        <f>IF(C157="","",IFERROR(INDEX(tbl_Finance[Description],MATCH(C157&amp;"",tbl_Finance[Job Number],0)),""))</f>
        <v/>
      </c>
      <c r="Q157" s="24" t="n"/>
      <c r="R157" s="24" t="n"/>
      <c r="S157" s="22" t="n"/>
      <c r="T157" s="24" t="n"/>
      <c r="U157" s="25">
        <f>IF(T157="","",IF(AND(LEFT(T157,4)&lt;&gt;"http",set_RMSBase=""),"",HYPERLINK(IF(LEFT(T157,4)="http",T157,set_RMSBase&amp;T157),"Open opportunity")))</f>
        <v/>
      </c>
      <c r="V157" s="24" t="n"/>
      <c r="W157" s="25">
        <f>IF(V157="","",HYPERLINK(IF(LEFT(V157,4)="http",V157,set_QwilrBase&amp;V157),"Open quote"))</f>
        <v/>
      </c>
      <c r="X157" s="25">
        <f>IF(C157="","",C157)</f>
        <v/>
      </c>
      <c r="Y157" s="24" t="n"/>
      <c r="Z157" s="26" t="n"/>
      <c r="AA157" s="27">
        <f>IF(C157="","",H157+N(Z157))</f>
        <v/>
      </c>
      <c r="AB157" s="29">
        <f>IFERROR(Z157/AA157,"")</f>
        <v/>
      </c>
      <c r="AC157" s="26" t="n"/>
      <c r="AD157" s="26" t="n"/>
      <c r="AE157" s="26" t="n"/>
      <c r="AF157" s="26" t="n"/>
      <c r="AG157" s="27">
        <f>IF(C157="","",SUMIFS(tbl_Finance[Ex GST],tbl_Finance[Job Number],C157&amp;"",tbl_Finance[Cost Centre],"VIDEO"))</f>
        <v/>
      </c>
      <c r="AH157" s="29">
        <f>IFERROR(AG157/H157,"")</f>
        <v/>
      </c>
      <c r="AI157" s="27">
        <f>IF(C157="","",N(AC157)+N(AD157)+N(AE157)+N(AF157))</f>
        <v/>
      </c>
      <c r="AJ157" s="27">
        <f>IF(C157="","",H157+L157-AI157)</f>
        <v/>
      </c>
      <c r="AK157" s="29">
        <f>IFERROR(AJ157/(H157+L157),"")</f>
        <v/>
      </c>
      <c r="AL157" s="71" t="n"/>
      <c r="AM157" s="71" t="n"/>
      <c r="AN157" s="71" t="n"/>
      <c r="AO157" s="71" t="n"/>
      <c r="AP157" s="71" t="n"/>
      <c r="AQ157" s="24" t="n"/>
    </row>
    <row r="158" ht="15" customHeight="1">
      <c r="A158" s="70">
        <f>IF(C158="","",IFERROR(IF(SUMPRODUCT(MAX((tbl_Finance[Job Number]&amp;""=C158&amp;"")*(tbl_Finance[Xero Invoice No]&lt;&gt;"")*tbl_Finance[Date]))=0,"",SUMPRODUCT(MAX((tbl_Finance[Job Number]&amp;""=C158&amp;"")*(tbl_Finance[Xero Invoice No]&lt;&gt;"")*tbl_Finance[Date]))),""))</f>
        <v/>
      </c>
      <c r="B158" s="25">
        <f>IF(C158="","",IF(COUNTIFS(tbl_Finance[Job Number],C158&amp;"",tbl_Finance[Xero Invoice No],"&lt;&gt;")=0,"",IFERROR(IF(COUNTIFS(tbl_Finance[Job Number],C158&amp;"",tbl_Finance[Xero Invoice No],LOOKUP(2,1/((tbl_Finance[Job Number]&amp;""=C158&amp;"")*(tbl_Finance[Xero Invoice No]&lt;&gt;"")),tbl_Finance[Xero Invoice No]))=COUNTIFS(tbl_Finance[Job Number],C158&amp;"",tbl_Finance[Xero Invoice No],"&lt;&gt;"),LOOKUP(2,1/((tbl_Finance[Job Number]&amp;""=C158&amp;"")*(tbl_Finance[Xero Invoice No]&lt;&gt;"")),tbl_Finance[Xero Invoice No]),LOOKUP(2,1/((tbl_Finance[Job Number]&amp;""=C158&amp;"")*(tbl_Finance[Xero Invoice No]&lt;&gt;"")),tbl_Finance[Xero Invoice No])&amp;" +more"),"")))</f>
        <v/>
      </c>
      <c r="C158" s="24" t="n"/>
      <c r="D158" s="25">
        <f>IF(C158="","",IF(COUNTIF(lst_Jobs,C158&amp;"")&gt;0,"OK","CHECK"))</f>
        <v/>
      </c>
      <c r="E158" s="25">
        <f>IF(C158="","",IFERROR(INDEX(lst_JobName,MATCH(C158&amp;"",lst_Jobs,0)),""))</f>
        <v/>
      </c>
      <c r="F158" s="25">
        <f>IF(C158="","",IFERROR(INDEX(tbl_Finance[Client],IFERROR(MATCH(C158&amp;"",tbl_Finance[Job Number],0),MATCH(IFERROR(C158+0,C158),tbl_Finance[Job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6" t="n"/>
      <c r="L158" s="27">
        <f>IF(C158="","",IF(K158="",0,MAX(0,K158-H158)))</f>
        <v/>
      </c>
      <c r="M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N158" s="27">
        <f>IF(C158="","",SUMIFS(tbl_Finance[Inc GST],tbl_Finance[Job Number],C158&amp;""))</f>
        <v/>
      </c>
      <c r="O158" s="24" t="n"/>
      <c r="P158" s="25">
        <f>IF(C158="","",IFERROR(INDEX(tbl_Finance[Description],MATCH(C158&amp;"",tbl_Finance[Job Number],0)),""))</f>
        <v/>
      </c>
      <c r="Q158" s="24" t="n"/>
      <c r="R158" s="24" t="n"/>
      <c r="S158" s="22" t="n"/>
      <c r="T158" s="24" t="n"/>
      <c r="U158" s="25">
        <f>IF(T158="","",IF(AND(LEFT(T158,4)&lt;&gt;"http",set_RMSBase=""),"",HYPERLINK(IF(LEFT(T158,4)="http",T158,set_RMSBase&amp;T158),"Open opportunity")))</f>
        <v/>
      </c>
      <c r="V158" s="24" t="n"/>
      <c r="W158" s="25">
        <f>IF(V158="","",HYPERLINK(IF(LEFT(V158,4)="http",V158,set_QwilrBase&amp;V158),"Open quote"))</f>
        <v/>
      </c>
      <c r="X158" s="25">
        <f>IF(C158="","",C158)</f>
        <v/>
      </c>
      <c r="Y158" s="24" t="n"/>
      <c r="Z158" s="26" t="n"/>
      <c r="AA158" s="27">
        <f>IF(C158="","",H158+N(Z158))</f>
        <v/>
      </c>
      <c r="AB158" s="29">
        <f>IFERROR(Z158/AA158,"")</f>
        <v/>
      </c>
      <c r="AC158" s="26" t="n"/>
      <c r="AD158" s="26" t="n"/>
      <c r="AE158" s="26" t="n"/>
      <c r="AF158" s="26" t="n"/>
      <c r="AG158" s="27">
        <f>IF(C158="","",SUMIFS(tbl_Finance[Ex GST],tbl_Finance[Job Number],C158&amp;"",tbl_Finance[Cost Centre],"VIDEO"))</f>
        <v/>
      </c>
      <c r="AH158" s="29">
        <f>IFERROR(AG158/H158,"")</f>
        <v/>
      </c>
      <c r="AI158" s="27">
        <f>IF(C158="","",N(AC158)+N(AD158)+N(AE158)+N(AF158))</f>
        <v/>
      </c>
      <c r="AJ158" s="27">
        <f>IF(C158="","",H158+L158-AI158)</f>
        <v/>
      </c>
      <c r="AK158" s="29">
        <f>IFERROR(AJ158/(H158+L158),"")</f>
        <v/>
      </c>
      <c r="AL158" s="71" t="n"/>
      <c r="AM158" s="71" t="n"/>
      <c r="AN158" s="71" t="n"/>
      <c r="AO158" s="71" t="n"/>
      <c r="AP158" s="71" t="n"/>
      <c r="AQ158" s="24" t="n"/>
    </row>
    <row r="159" ht="15" customHeight="1">
      <c r="A159" s="70">
        <f>IF(C159="","",IFERROR(IF(SUMPRODUCT(MAX((tbl_Finance[Job Number]&amp;""=C159&amp;"")*(tbl_Finance[Xero Invoice No]&lt;&gt;"")*tbl_Finance[Date]))=0,"",SUMPRODUCT(MAX((tbl_Finance[Job Number]&amp;""=C159&amp;"")*(tbl_Finance[Xero Invoice No]&lt;&gt;"")*tbl_Finance[Date]))),""))</f>
        <v/>
      </c>
      <c r="B159" s="25">
        <f>IF(C159="","",IF(COUNTIFS(tbl_Finance[Job Number],C159&amp;"",tbl_Finance[Xero Invoice No],"&lt;&gt;")=0,"",IFERROR(IF(COUNTIFS(tbl_Finance[Job Number],C159&amp;"",tbl_Finance[Xero Invoice No],LOOKUP(2,1/((tbl_Finance[Job Number]&amp;""=C159&amp;"")*(tbl_Finance[Xero Invoice No]&lt;&gt;"")),tbl_Finance[Xero Invoice No]))=COUNTIFS(tbl_Finance[Job Number],C159&amp;"",tbl_Finance[Xero Invoice No],"&lt;&gt;"),LOOKUP(2,1/((tbl_Finance[Job Number]&amp;""=C159&amp;"")*(tbl_Finance[Xero Invoice No]&lt;&gt;"")),tbl_Finance[Xero Invoice No]),LOOKUP(2,1/((tbl_Finance[Job Number]&amp;""=C159&amp;"")*(tbl_Finance[Xero Invoice No]&lt;&gt;"")),tbl_Finance[Xero Invoice No])&amp;" +more"),"")))</f>
        <v/>
      </c>
      <c r="C159" s="24" t="n"/>
      <c r="D159" s="25">
        <f>IF(C159="","",IF(COUNTIF(lst_Jobs,C159&amp;"")&gt;0,"OK","CHECK"))</f>
        <v/>
      </c>
      <c r="E159" s="25">
        <f>IF(C159="","",IFERROR(INDEX(lst_JobName,MATCH(C159&amp;"",lst_Jobs,0)),""))</f>
        <v/>
      </c>
      <c r="F159" s="25">
        <f>IF(C159="","",IFERROR(INDEX(tbl_Finance[Client],IFERROR(MATCH(C159&amp;"",tbl_Finance[Job Number],0),MATCH(IFERROR(C159+0,C159),tbl_Finance[Job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6" t="n"/>
      <c r="L159" s="27">
        <f>IF(C159="","",IF(K159="",0,MAX(0,K159-H159)))</f>
        <v/>
      </c>
      <c r="M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N159" s="27">
        <f>IF(C159="","",SUMIFS(tbl_Finance[Inc GST],tbl_Finance[Job Number],C159&amp;""))</f>
        <v/>
      </c>
      <c r="O159" s="24" t="n"/>
      <c r="P159" s="25">
        <f>IF(C159="","",IFERROR(INDEX(tbl_Finance[Description],MATCH(C159&amp;"",tbl_Finance[Job Number],0)),""))</f>
        <v/>
      </c>
      <c r="Q159" s="24" t="n"/>
      <c r="R159" s="24" t="n"/>
      <c r="S159" s="22" t="n"/>
      <c r="T159" s="24" t="n"/>
      <c r="U159" s="25">
        <f>IF(T159="","",IF(AND(LEFT(T159,4)&lt;&gt;"http",set_RMSBase=""),"",HYPERLINK(IF(LEFT(T159,4)="http",T159,set_RMSBase&amp;T159),"Open opportunity")))</f>
        <v/>
      </c>
      <c r="V159" s="24" t="n"/>
      <c r="W159" s="25">
        <f>IF(V159="","",HYPERLINK(IF(LEFT(V159,4)="http",V159,set_QwilrBase&amp;V159),"Open quote"))</f>
        <v/>
      </c>
      <c r="X159" s="25">
        <f>IF(C159="","",C159)</f>
        <v/>
      </c>
      <c r="Y159" s="24" t="n"/>
      <c r="Z159" s="26" t="n"/>
      <c r="AA159" s="27">
        <f>IF(C159="","",H159+N(Z159))</f>
        <v/>
      </c>
      <c r="AB159" s="29">
        <f>IFERROR(Z159/AA159,"")</f>
        <v/>
      </c>
      <c r="AC159" s="26" t="n"/>
      <c r="AD159" s="26" t="n"/>
      <c r="AE159" s="26" t="n"/>
      <c r="AF159" s="26" t="n"/>
      <c r="AG159" s="27">
        <f>IF(C159="","",SUMIFS(tbl_Finance[Ex GST],tbl_Finance[Job Number],C159&amp;"",tbl_Finance[Cost Centre],"VIDEO"))</f>
        <v/>
      </c>
      <c r="AH159" s="29">
        <f>IFERROR(AG159/H159,"")</f>
        <v/>
      </c>
      <c r="AI159" s="27">
        <f>IF(C159="","",N(AC159)+N(AD159)+N(AE159)+N(AF159))</f>
        <v/>
      </c>
      <c r="AJ159" s="27">
        <f>IF(C159="","",H159+L159-AI159)</f>
        <v/>
      </c>
      <c r="AK159" s="29">
        <f>IFERROR(AJ159/(H159+L159),"")</f>
        <v/>
      </c>
      <c r="AL159" s="71" t="n"/>
      <c r="AM159" s="71" t="n"/>
      <c r="AN159" s="71" t="n"/>
      <c r="AO159" s="71" t="n"/>
      <c r="AP159" s="71" t="n"/>
      <c r="AQ159" s="24" t="n"/>
    </row>
    <row r="160" ht="15" customHeight="1">
      <c r="A160" s="70">
        <f>IF(C160="","",IFERROR(IF(SUMPRODUCT(MAX((tbl_Finance[Job Number]&amp;""=C160&amp;"")*(tbl_Finance[Xero Invoice No]&lt;&gt;"")*tbl_Finance[Date]))=0,"",SUMPRODUCT(MAX((tbl_Finance[Job Number]&amp;""=C160&amp;"")*(tbl_Finance[Xero Invoice No]&lt;&gt;"")*tbl_Finance[Date]))),""))</f>
        <v/>
      </c>
      <c r="B160" s="25">
        <f>IF(C160="","",IF(COUNTIFS(tbl_Finance[Job Number],C160&amp;"",tbl_Finance[Xero Invoice No],"&lt;&gt;")=0,"",IFERROR(IF(COUNTIFS(tbl_Finance[Job Number],C160&amp;"",tbl_Finance[Xero Invoice No],LOOKUP(2,1/((tbl_Finance[Job Number]&amp;""=C160&amp;"")*(tbl_Finance[Xero Invoice No]&lt;&gt;"")),tbl_Finance[Xero Invoice No]))=COUNTIFS(tbl_Finance[Job Number],C160&amp;"",tbl_Finance[Xero Invoice No],"&lt;&gt;"),LOOKUP(2,1/((tbl_Finance[Job Number]&amp;""=C160&amp;"")*(tbl_Finance[Xero Invoice No]&lt;&gt;"")),tbl_Finance[Xero Invoice No]),LOOKUP(2,1/((tbl_Finance[Job Number]&amp;""=C160&amp;"")*(tbl_Finance[Xero Invoice No]&lt;&gt;"")),tbl_Finance[Xero Invoice No])&amp;" +more"),"")))</f>
        <v/>
      </c>
      <c r="C160" s="24" t="n"/>
      <c r="D160" s="25">
        <f>IF(C160="","",IF(COUNTIF(lst_Jobs,C160&amp;"")&gt;0,"OK","CHECK"))</f>
        <v/>
      </c>
      <c r="E160" s="25">
        <f>IF(C160="","",IFERROR(INDEX(lst_JobName,MATCH(C160&amp;"",lst_Jobs,0)),""))</f>
        <v/>
      </c>
      <c r="F160" s="25">
        <f>IF(C160="","",IFERROR(INDEX(tbl_Finance[Client],IFERROR(MATCH(C160&amp;"",tbl_Finance[Job Number],0),MATCH(IFERROR(C160+0,C160),tbl_Finance[Job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6" t="n"/>
      <c r="L160" s="27">
        <f>IF(C160="","",IF(K160="",0,MAX(0,K160-H160)))</f>
        <v/>
      </c>
      <c r="M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N160" s="27">
        <f>IF(C160="","",SUMIFS(tbl_Finance[Inc GST],tbl_Finance[Job Number],C160&amp;""))</f>
        <v/>
      </c>
      <c r="O160" s="24" t="n"/>
      <c r="P160" s="25">
        <f>IF(C160="","",IFERROR(INDEX(tbl_Finance[Description],MATCH(C160&amp;"",tbl_Finance[Job Number],0)),""))</f>
        <v/>
      </c>
      <c r="Q160" s="24" t="n"/>
      <c r="R160" s="24" t="n"/>
      <c r="S160" s="22" t="n"/>
      <c r="T160" s="24" t="n"/>
      <c r="U160" s="25">
        <f>IF(T160="","",IF(AND(LEFT(T160,4)&lt;&gt;"http",set_RMSBase=""),"",HYPERLINK(IF(LEFT(T160,4)="http",T160,set_RMSBase&amp;T160),"Open opportunity")))</f>
        <v/>
      </c>
      <c r="V160" s="24" t="n"/>
      <c r="W160" s="25">
        <f>IF(V160="","",HYPERLINK(IF(LEFT(V160,4)="http",V160,set_QwilrBase&amp;V160),"Open quote"))</f>
        <v/>
      </c>
      <c r="X160" s="25">
        <f>IF(C160="","",C160)</f>
        <v/>
      </c>
      <c r="Y160" s="24" t="n"/>
      <c r="Z160" s="26" t="n"/>
      <c r="AA160" s="27">
        <f>IF(C160="","",H160+N(Z160))</f>
        <v/>
      </c>
      <c r="AB160" s="29">
        <f>IFERROR(Z160/AA160,"")</f>
        <v/>
      </c>
      <c r="AC160" s="26" t="n"/>
      <c r="AD160" s="26" t="n"/>
      <c r="AE160" s="26" t="n"/>
      <c r="AF160" s="26" t="n"/>
      <c r="AG160" s="27">
        <f>IF(C160="","",SUMIFS(tbl_Finance[Ex GST],tbl_Finance[Job Number],C160&amp;"",tbl_Finance[Cost Centre],"VIDEO"))</f>
        <v/>
      </c>
      <c r="AH160" s="29">
        <f>IFERROR(AG160/H160,"")</f>
        <v/>
      </c>
      <c r="AI160" s="27">
        <f>IF(C160="","",N(AC160)+N(AD160)+N(AE160)+N(AF160))</f>
        <v/>
      </c>
      <c r="AJ160" s="27">
        <f>IF(C160="","",H160+L160-AI160)</f>
        <v/>
      </c>
      <c r="AK160" s="29">
        <f>IFERROR(AJ160/(H160+L160),"")</f>
        <v/>
      </c>
      <c r="AL160" s="71" t="n"/>
      <c r="AM160" s="71" t="n"/>
      <c r="AN160" s="71" t="n"/>
      <c r="AO160" s="71" t="n"/>
      <c r="AP160" s="71" t="n"/>
      <c r="AQ160" s="24" t="n"/>
    </row>
    <row r="161" ht="15" customHeight="1">
      <c r="A161" s="70">
        <f>IF(C161="","",IFERROR(IF(SUMPRODUCT(MAX((tbl_Finance[Job Number]&amp;""=C161&amp;"")*(tbl_Finance[Xero Invoice No]&lt;&gt;"")*tbl_Finance[Date]))=0,"",SUMPRODUCT(MAX((tbl_Finance[Job Number]&amp;""=C161&amp;"")*(tbl_Finance[Xero Invoice No]&lt;&gt;"")*tbl_Finance[Date]))),""))</f>
        <v/>
      </c>
      <c r="B161" s="25">
        <f>IF(C161="","",IF(COUNTIFS(tbl_Finance[Job Number],C161&amp;"",tbl_Finance[Xero Invoice No],"&lt;&gt;")=0,"",IFERROR(IF(COUNTIFS(tbl_Finance[Job Number],C161&amp;"",tbl_Finance[Xero Invoice No],LOOKUP(2,1/((tbl_Finance[Job Number]&amp;""=C161&amp;"")*(tbl_Finance[Xero Invoice No]&lt;&gt;"")),tbl_Finance[Xero Invoice No]))=COUNTIFS(tbl_Finance[Job Number],C161&amp;"",tbl_Finance[Xero Invoice No],"&lt;&gt;"),LOOKUP(2,1/((tbl_Finance[Job Number]&amp;""=C161&amp;"")*(tbl_Finance[Xero Invoice No]&lt;&gt;"")),tbl_Finance[Xero Invoice No]),LOOKUP(2,1/((tbl_Finance[Job Number]&amp;""=C161&amp;"")*(tbl_Finance[Xero Invoice No]&lt;&gt;"")),tbl_Finance[Xero Invoice No])&amp;" +more"),"")))</f>
        <v/>
      </c>
      <c r="C161" s="24" t="n"/>
      <c r="D161" s="25">
        <f>IF(C161="","",IF(COUNTIF(lst_Jobs,C161&amp;"")&gt;0,"OK","CHECK"))</f>
        <v/>
      </c>
      <c r="E161" s="25">
        <f>IF(C161="","",IFERROR(INDEX(lst_JobName,MATCH(C161&amp;"",lst_Jobs,0)),""))</f>
        <v/>
      </c>
      <c r="F161" s="25">
        <f>IF(C161="","",IFERROR(INDEX(tbl_Finance[Client],IFERROR(MATCH(C161&amp;"",tbl_Finance[Job Number],0),MATCH(IFERROR(C161+0,C161),tbl_Finance[Job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6" t="n"/>
      <c r="L161" s="27">
        <f>IF(C161="","",IF(K161="",0,MAX(0,K161-H161)))</f>
        <v/>
      </c>
      <c r="M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N161" s="27">
        <f>IF(C161="","",SUMIFS(tbl_Finance[Inc GST],tbl_Finance[Job Number],C161&amp;""))</f>
        <v/>
      </c>
      <c r="O161" s="24" t="n"/>
      <c r="P161" s="25">
        <f>IF(C161="","",IFERROR(INDEX(tbl_Finance[Description],MATCH(C161&amp;"",tbl_Finance[Job Number],0)),""))</f>
        <v/>
      </c>
      <c r="Q161" s="24" t="n"/>
      <c r="R161" s="24" t="n"/>
      <c r="S161" s="22" t="n"/>
      <c r="T161" s="24" t="n"/>
      <c r="U161" s="25">
        <f>IF(T161="","",IF(AND(LEFT(T161,4)&lt;&gt;"http",set_RMSBase=""),"",HYPERLINK(IF(LEFT(T161,4)="http",T161,set_RMSBase&amp;T161),"Open opportunity")))</f>
        <v/>
      </c>
      <c r="V161" s="24" t="n"/>
      <c r="W161" s="25">
        <f>IF(V161="","",HYPERLINK(IF(LEFT(V161,4)="http",V161,set_QwilrBase&amp;V161),"Open quote"))</f>
        <v/>
      </c>
      <c r="X161" s="25">
        <f>IF(C161="","",C161)</f>
        <v/>
      </c>
      <c r="Y161" s="24" t="n"/>
      <c r="Z161" s="26" t="n"/>
      <c r="AA161" s="27">
        <f>IF(C161="","",H161+N(Z161))</f>
        <v/>
      </c>
      <c r="AB161" s="29">
        <f>IFERROR(Z161/AA161,"")</f>
        <v/>
      </c>
      <c r="AC161" s="26" t="n"/>
      <c r="AD161" s="26" t="n"/>
      <c r="AE161" s="26" t="n"/>
      <c r="AF161" s="26" t="n"/>
      <c r="AG161" s="27">
        <f>IF(C161="","",SUMIFS(tbl_Finance[Ex GST],tbl_Finance[Job Number],C161&amp;"",tbl_Finance[Cost Centre],"VIDEO"))</f>
        <v/>
      </c>
      <c r="AH161" s="29">
        <f>IFERROR(AG161/H161,"")</f>
        <v/>
      </c>
      <c r="AI161" s="27">
        <f>IF(C161="","",N(AC161)+N(AD161)+N(AE161)+N(AF161))</f>
        <v/>
      </c>
      <c r="AJ161" s="27">
        <f>IF(C161="","",H161+L161-AI161)</f>
        <v/>
      </c>
      <c r="AK161" s="29">
        <f>IFERROR(AJ161/(H161+L161),"")</f>
        <v/>
      </c>
      <c r="AL161" s="71" t="n"/>
      <c r="AM161" s="71" t="n"/>
      <c r="AN161" s="71" t="n"/>
      <c r="AO161" s="71" t="n"/>
      <c r="AP161" s="71" t="n"/>
      <c r="AQ161" s="24" t="n"/>
    </row>
    <row r="162" ht="15" customHeight="1">
      <c r="A162" s="70">
        <f>IF(C162="","",IFERROR(IF(SUMPRODUCT(MAX((tbl_Finance[Job Number]&amp;""=C162&amp;"")*(tbl_Finance[Xero Invoice No]&lt;&gt;"")*tbl_Finance[Date]))=0,"",SUMPRODUCT(MAX((tbl_Finance[Job Number]&amp;""=C162&amp;"")*(tbl_Finance[Xero Invoice No]&lt;&gt;"")*tbl_Finance[Date]))),""))</f>
        <v/>
      </c>
      <c r="B162" s="25">
        <f>IF(C162="","",IF(COUNTIFS(tbl_Finance[Job Number],C162&amp;"",tbl_Finance[Xero Invoice No],"&lt;&gt;")=0,"",IFERROR(IF(COUNTIFS(tbl_Finance[Job Number],C162&amp;"",tbl_Finance[Xero Invoice No],LOOKUP(2,1/((tbl_Finance[Job Number]&amp;""=C162&amp;"")*(tbl_Finance[Xero Invoice No]&lt;&gt;"")),tbl_Finance[Xero Invoice No]))=COUNTIFS(tbl_Finance[Job Number],C162&amp;"",tbl_Finance[Xero Invoice No],"&lt;&gt;"),LOOKUP(2,1/((tbl_Finance[Job Number]&amp;""=C162&amp;"")*(tbl_Finance[Xero Invoice No]&lt;&gt;"")),tbl_Finance[Xero Invoice No]),LOOKUP(2,1/((tbl_Finance[Job Number]&amp;""=C162&amp;"")*(tbl_Finance[Xero Invoice No]&lt;&gt;"")),tbl_Finance[Xero Invoice No])&amp;" +more"),"")))</f>
        <v/>
      </c>
      <c r="C162" s="24" t="n"/>
      <c r="D162" s="25">
        <f>IF(C162="","",IF(COUNTIF(lst_Jobs,C162&amp;"")&gt;0,"OK","CHECK"))</f>
        <v/>
      </c>
      <c r="E162" s="25">
        <f>IF(C162="","",IFERROR(INDEX(lst_JobName,MATCH(C162&amp;"",lst_Jobs,0)),""))</f>
        <v/>
      </c>
      <c r="F162" s="25">
        <f>IF(C162="","",IFERROR(INDEX(tbl_Finance[Client],IFERROR(MATCH(C162&amp;"",tbl_Finance[Job Number],0),MATCH(IFERROR(C162+0,C162),tbl_Finance[Job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6" t="n"/>
      <c r="L162" s="27">
        <f>IF(C162="","",IF(K162="",0,MAX(0,K162-H162)))</f>
        <v/>
      </c>
      <c r="M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N162" s="27">
        <f>IF(C162="","",SUMIFS(tbl_Finance[Inc GST],tbl_Finance[Job Number],C162&amp;""))</f>
        <v/>
      </c>
      <c r="O162" s="24" t="n"/>
      <c r="P162" s="25">
        <f>IF(C162="","",IFERROR(INDEX(tbl_Finance[Description],MATCH(C162&amp;"",tbl_Finance[Job Number],0)),""))</f>
        <v/>
      </c>
      <c r="Q162" s="24" t="n"/>
      <c r="R162" s="24" t="n"/>
      <c r="S162" s="22" t="n"/>
      <c r="T162" s="24" t="n"/>
      <c r="U162" s="25">
        <f>IF(T162="","",IF(AND(LEFT(T162,4)&lt;&gt;"http",set_RMSBase=""),"",HYPERLINK(IF(LEFT(T162,4)="http",T162,set_RMSBase&amp;T162),"Open opportunity")))</f>
        <v/>
      </c>
      <c r="V162" s="24" t="n"/>
      <c r="W162" s="25">
        <f>IF(V162="","",HYPERLINK(IF(LEFT(V162,4)="http",V162,set_QwilrBase&amp;V162),"Open quote"))</f>
        <v/>
      </c>
      <c r="X162" s="25">
        <f>IF(C162="","",C162)</f>
        <v/>
      </c>
      <c r="Y162" s="24" t="n"/>
      <c r="Z162" s="26" t="n"/>
      <c r="AA162" s="27">
        <f>IF(C162="","",H162+N(Z162))</f>
        <v/>
      </c>
      <c r="AB162" s="29">
        <f>IFERROR(Z162/AA162,"")</f>
        <v/>
      </c>
      <c r="AC162" s="26" t="n"/>
      <c r="AD162" s="26" t="n"/>
      <c r="AE162" s="26" t="n"/>
      <c r="AF162" s="26" t="n"/>
      <c r="AG162" s="27">
        <f>IF(C162="","",SUMIFS(tbl_Finance[Ex GST],tbl_Finance[Job Number],C162&amp;"",tbl_Finance[Cost Centre],"VIDEO"))</f>
        <v/>
      </c>
      <c r="AH162" s="29">
        <f>IFERROR(AG162/H162,"")</f>
        <v/>
      </c>
      <c r="AI162" s="27">
        <f>IF(C162="","",N(AC162)+N(AD162)+N(AE162)+N(AF162))</f>
        <v/>
      </c>
      <c r="AJ162" s="27">
        <f>IF(C162="","",H162+L162-AI162)</f>
        <v/>
      </c>
      <c r="AK162" s="29">
        <f>IFERROR(AJ162/(H162+L162),"")</f>
        <v/>
      </c>
      <c r="AL162" s="71" t="n"/>
      <c r="AM162" s="71" t="n"/>
      <c r="AN162" s="71" t="n"/>
      <c r="AO162" s="71" t="n"/>
      <c r="AP162" s="71" t="n"/>
      <c r="AQ162" s="24" t="n"/>
    </row>
    <row r="163" ht="15" customHeight="1">
      <c r="A163" s="70">
        <f>IF(C163="","",IFERROR(IF(SUMPRODUCT(MAX((tbl_Finance[Job Number]&amp;""=C163&amp;"")*(tbl_Finance[Xero Invoice No]&lt;&gt;"")*tbl_Finance[Date]))=0,"",SUMPRODUCT(MAX((tbl_Finance[Job Number]&amp;""=C163&amp;"")*(tbl_Finance[Xero Invoice No]&lt;&gt;"")*tbl_Finance[Date]))),""))</f>
        <v/>
      </c>
      <c r="B163" s="25">
        <f>IF(C163="","",IF(COUNTIFS(tbl_Finance[Job Number],C163&amp;"",tbl_Finance[Xero Invoice No],"&lt;&gt;")=0,"",IFERROR(IF(COUNTIFS(tbl_Finance[Job Number],C163&amp;"",tbl_Finance[Xero Invoice No],LOOKUP(2,1/((tbl_Finance[Job Number]&amp;""=C163&amp;"")*(tbl_Finance[Xero Invoice No]&lt;&gt;"")),tbl_Finance[Xero Invoice No]))=COUNTIFS(tbl_Finance[Job Number],C163&amp;"",tbl_Finance[Xero Invoice No],"&lt;&gt;"),LOOKUP(2,1/((tbl_Finance[Job Number]&amp;""=C163&amp;"")*(tbl_Finance[Xero Invoice No]&lt;&gt;"")),tbl_Finance[Xero Invoice No]),LOOKUP(2,1/((tbl_Finance[Job Number]&amp;""=C163&amp;"")*(tbl_Finance[Xero Invoice No]&lt;&gt;"")),tbl_Finance[Xero Invoice No])&amp;" +more"),"")))</f>
        <v/>
      </c>
      <c r="C163" s="24" t="n"/>
      <c r="D163" s="25">
        <f>IF(C163="","",IF(COUNTIF(lst_Jobs,C163&amp;"")&gt;0,"OK","CHECK"))</f>
        <v/>
      </c>
      <c r="E163" s="25">
        <f>IF(C163="","",IFERROR(INDEX(lst_JobName,MATCH(C163&amp;"",lst_Jobs,0)),""))</f>
        <v/>
      </c>
      <c r="F163" s="25">
        <f>IF(C163="","",IFERROR(INDEX(tbl_Finance[Client],IFERROR(MATCH(C163&amp;"",tbl_Finance[Job Number],0),MATCH(IFERROR(C163+0,C163),tbl_Finance[Job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6" t="n"/>
      <c r="L163" s="27">
        <f>IF(C163="","",IF(K163="",0,MAX(0,K163-H163)))</f>
        <v/>
      </c>
      <c r="M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N163" s="27">
        <f>IF(C163="","",SUMIFS(tbl_Finance[Inc GST],tbl_Finance[Job Number],C163&amp;""))</f>
        <v/>
      </c>
      <c r="O163" s="24" t="n"/>
      <c r="P163" s="25">
        <f>IF(C163="","",IFERROR(INDEX(tbl_Finance[Description],MATCH(C163&amp;"",tbl_Finance[Job Number],0)),""))</f>
        <v/>
      </c>
      <c r="Q163" s="24" t="n"/>
      <c r="R163" s="24" t="n"/>
      <c r="S163" s="22" t="n"/>
      <c r="T163" s="24" t="n"/>
      <c r="U163" s="25">
        <f>IF(T163="","",IF(AND(LEFT(T163,4)&lt;&gt;"http",set_RMSBase=""),"",HYPERLINK(IF(LEFT(T163,4)="http",T163,set_RMSBase&amp;T163),"Open opportunity")))</f>
        <v/>
      </c>
      <c r="V163" s="24" t="n"/>
      <c r="W163" s="25">
        <f>IF(V163="","",HYPERLINK(IF(LEFT(V163,4)="http",V163,set_QwilrBase&amp;V163),"Open quote"))</f>
        <v/>
      </c>
      <c r="X163" s="25">
        <f>IF(C163="","",C163)</f>
        <v/>
      </c>
      <c r="Y163" s="24" t="n"/>
      <c r="Z163" s="26" t="n"/>
      <c r="AA163" s="27">
        <f>IF(C163="","",H163+N(Z163))</f>
        <v/>
      </c>
      <c r="AB163" s="29">
        <f>IFERROR(Z163/AA163,"")</f>
        <v/>
      </c>
      <c r="AC163" s="26" t="n"/>
      <c r="AD163" s="26" t="n"/>
      <c r="AE163" s="26" t="n"/>
      <c r="AF163" s="26" t="n"/>
      <c r="AG163" s="27">
        <f>IF(C163="","",SUMIFS(tbl_Finance[Ex GST],tbl_Finance[Job Number],C163&amp;"",tbl_Finance[Cost Centre],"VIDEO"))</f>
        <v/>
      </c>
      <c r="AH163" s="29">
        <f>IFERROR(AG163/H163,"")</f>
        <v/>
      </c>
      <c r="AI163" s="27">
        <f>IF(C163="","",N(AC163)+N(AD163)+N(AE163)+N(AF163))</f>
        <v/>
      </c>
      <c r="AJ163" s="27">
        <f>IF(C163="","",H163+L163-AI163)</f>
        <v/>
      </c>
      <c r="AK163" s="29">
        <f>IFERROR(AJ163/(H163+L163),"")</f>
        <v/>
      </c>
      <c r="AL163" s="71" t="n"/>
      <c r="AM163" s="71" t="n"/>
      <c r="AN163" s="71" t="n"/>
      <c r="AO163" s="71" t="n"/>
      <c r="AP163" s="71" t="n"/>
      <c r="AQ163" s="24" t="n"/>
    </row>
    <row r="164" ht="15" customHeight="1">
      <c r="A164" s="70">
        <f>IF(C164="","",IFERROR(IF(SUMPRODUCT(MAX((tbl_Finance[Job Number]&amp;""=C164&amp;"")*(tbl_Finance[Xero Invoice No]&lt;&gt;"")*tbl_Finance[Date]))=0,"",SUMPRODUCT(MAX((tbl_Finance[Job Number]&amp;""=C164&amp;"")*(tbl_Finance[Xero Invoice No]&lt;&gt;"")*tbl_Finance[Date]))),""))</f>
        <v/>
      </c>
      <c r="B164" s="25">
        <f>IF(C164="","",IF(COUNTIFS(tbl_Finance[Job Number],C164&amp;"",tbl_Finance[Xero Invoice No],"&lt;&gt;")=0,"",IFERROR(IF(COUNTIFS(tbl_Finance[Job Number],C164&amp;"",tbl_Finance[Xero Invoice No],LOOKUP(2,1/((tbl_Finance[Job Number]&amp;""=C164&amp;"")*(tbl_Finance[Xero Invoice No]&lt;&gt;"")),tbl_Finance[Xero Invoice No]))=COUNTIFS(tbl_Finance[Job Number],C164&amp;"",tbl_Finance[Xero Invoice No],"&lt;&gt;"),LOOKUP(2,1/((tbl_Finance[Job Number]&amp;""=C164&amp;"")*(tbl_Finance[Xero Invoice No]&lt;&gt;"")),tbl_Finance[Xero Invoice No]),LOOKUP(2,1/((tbl_Finance[Job Number]&amp;""=C164&amp;"")*(tbl_Finance[Xero Invoice No]&lt;&gt;"")),tbl_Finance[Xero Invoice No])&amp;" +more"),"")))</f>
        <v/>
      </c>
      <c r="C164" s="24" t="n"/>
      <c r="D164" s="25">
        <f>IF(C164="","",IF(COUNTIF(lst_Jobs,C164&amp;"")&gt;0,"OK","CHECK"))</f>
        <v/>
      </c>
      <c r="E164" s="25">
        <f>IF(C164="","",IFERROR(INDEX(lst_JobName,MATCH(C164&amp;"",lst_Jobs,0)),""))</f>
        <v/>
      </c>
      <c r="F164" s="25">
        <f>IF(C164="","",IFERROR(INDEX(tbl_Finance[Client],IFERROR(MATCH(C164&amp;"",tbl_Finance[Job Number],0),MATCH(IFERROR(C164+0,C164),tbl_Finance[Job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6" t="n"/>
      <c r="L164" s="27">
        <f>IF(C164="","",IF(K164="",0,MAX(0,K164-H164)))</f>
        <v/>
      </c>
      <c r="M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N164" s="27">
        <f>IF(C164="","",SUMIFS(tbl_Finance[Inc GST],tbl_Finance[Job Number],C164&amp;""))</f>
        <v/>
      </c>
      <c r="O164" s="24" t="n"/>
      <c r="P164" s="25">
        <f>IF(C164="","",IFERROR(INDEX(tbl_Finance[Description],MATCH(C164&amp;"",tbl_Finance[Job Number],0)),""))</f>
        <v/>
      </c>
      <c r="Q164" s="24" t="n"/>
      <c r="R164" s="24" t="n"/>
      <c r="S164" s="22" t="n"/>
      <c r="T164" s="24" t="n"/>
      <c r="U164" s="25">
        <f>IF(T164="","",IF(AND(LEFT(T164,4)&lt;&gt;"http",set_RMSBase=""),"",HYPERLINK(IF(LEFT(T164,4)="http",T164,set_RMSBase&amp;T164),"Open opportunity")))</f>
        <v/>
      </c>
      <c r="V164" s="24" t="n"/>
      <c r="W164" s="25">
        <f>IF(V164="","",HYPERLINK(IF(LEFT(V164,4)="http",V164,set_QwilrBase&amp;V164),"Open quote"))</f>
        <v/>
      </c>
      <c r="X164" s="25">
        <f>IF(C164="","",C164)</f>
        <v/>
      </c>
      <c r="Y164" s="24" t="n"/>
      <c r="Z164" s="26" t="n"/>
      <c r="AA164" s="27">
        <f>IF(C164="","",H164+N(Z164))</f>
        <v/>
      </c>
      <c r="AB164" s="29">
        <f>IFERROR(Z164/AA164,"")</f>
        <v/>
      </c>
      <c r="AC164" s="26" t="n"/>
      <c r="AD164" s="26" t="n"/>
      <c r="AE164" s="26" t="n"/>
      <c r="AF164" s="26" t="n"/>
      <c r="AG164" s="27">
        <f>IF(C164="","",SUMIFS(tbl_Finance[Ex GST],tbl_Finance[Job Number],C164&amp;"",tbl_Finance[Cost Centre],"VIDEO"))</f>
        <v/>
      </c>
      <c r="AH164" s="29">
        <f>IFERROR(AG164/H164,"")</f>
        <v/>
      </c>
      <c r="AI164" s="27">
        <f>IF(C164="","",N(AC164)+N(AD164)+N(AE164)+N(AF164))</f>
        <v/>
      </c>
      <c r="AJ164" s="27">
        <f>IF(C164="","",H164+L164-AI164)</f>
        <v/>
      </c>
      <c r="AK164" s="29">
        <f>IFERROR(AJ164/(H164+L164),"")</f>
        <v/>
      </c>
      <c r="AL164" s="71" t="n"/>
      <c r="AM164" s="71" t="n"/>
      <c r="AN164" s="71" t="n"/>
      <c r="AO164" s="71" t="n"/>
      <c r="AP164" s="71" t="n"/>
      <c r="AQ164" s="24" t="n"/>
    </row>
    <row r="165" ht="15" customHeight="1">
      <c r="A165" s="70">
        <f>IF(C165="","",IFERROR(IF(SUMPRODUCT(MAX((tbl_Finance[Job Number]&amp;""=C165&amp;"")*(tbl_Finance[Xero Invoice No]&lt;&gt;"")*tbl_Finance[Date]))=0,"",SUMPRODUCT(MAX((tbl_Finance[Job Number]&amp;""=C165&amp;"")*(tbl_Finance[Xero Invoice No]&lt;&gt;"")*tbl_Finance[Date]))),""))</f>
        <v/>
      </c>
      <c r="B165" s="25">
        <f>IF(C165="","",IF(COUNTIFS(tbl_Finance[Job Number],C165&amp;"",tbl_Finance[Xero Invoice No],"&lt;&gt;")=0,"",IFERROR(IF(COUNTIFS(tbl_Finance[Job Number],C165&amp;"",tbl_Finance[Xero Invoice No],LOOKUP(2,1/((tbl_Finance[Job Number]&amp;""=C165&amp;"")*(tbl_Finance[Xero Invoice No]&lt;&gt;"")),tbl_Finance[Xero Invoice No]))=COUNTIFS(tbl_Finance[Job Number],C165&amp;"",tbl_Finance[Xero Invoice No],"&lt;&gt;"),LOOKUP(2,1/((tbl_Finance[Job Number]&amp;""=C165&amp;"")*(tbl_Finance[Xero Invoice No]&lt;&gt;"")),tbl_Finance[Xero Invoice No]),LOOKUP(2,1/((tbl_Finance[Job Number]&amp;""=C165&amp;"")*(tbl_Finance[Xero Invoice No]&lt;&gt;"")),tbl_Finance[Xero Invoice No])&amp;" +more"),"")))</f>
        <v/>
      </c>
      <c r="C165" s="24" t="n"/>
      <c r="D165" s="25">
        <f>IF(C165="","",IF(COUNTIF(lst_Jobs,C165&amp;"")&gt;0,"OK","CHECK"))</f>
        <v/>
      </c>
      <c r="E165" s="25">
        <f>IF(C165="","",IFERROR(INDEX(lst_JobName,MATCH(C165&amp;"",lst_Jobs,0)),""))</f>
        <v/>
      </c>
      <c r="F165" s="25">
        <f>IF(C165="","",IFERROR(INDEX(tbl_Finance[Client],IFERROR(MATCH(C165&amp;"",tbl_Finance[Job Number],0),MATCH(IFERROR(C165+0,C165),tbl_Finance[Job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6" t="n"/>
      <c r="L165" s="27">
        <f>IF(C165="","",IF(K165="",0,MAX(0,K165-H165)))</f>
        <v/>
      </c>
      <c r="M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N165" s="27">
        <f>IF(C165="","",SUMIFS(tbl_Finance[Inc GST],tbl_Finance[Job Number],C165&amp;""))</f>
        <v/>
      </c>
      <c r="O165" s="24" t="n"/>
      <c r="P165" s="25">
        <f>IF(C165="","",IFERROR(INDEX(tbl_Finance[Description],MATCH(C165&amp;"",tbl_Finance[Job Number],0)),""))</f>
        <v/>
      </c>
      <c r="Q165" s="24" t="n"/>
      <c r="R165" s="24" t="n"/>
      <c r="S165" s="22" t="n"/>
      <c r="T165" s="24" t="n"/>
      <c r="U165" s="25">
        <f>IF(T165="","",IF(AND(LEFT(T165,4)&lt;&gt;"http",set_RMSBase=""),"",HYPERLINK(IF(LEFT(T165,4)="http",T165,set_RMSBase&amp;T165),"Open opportunity")))</f>
        <v/>
      </c>
      <c r="V165" s="24" t="n"/>
      <c r="W165" s="25">
        <f>IF(V165="","",HYPERLINK(IF(LEFT(V165,4)="http",V165,set_QwilrBase&amp;V165),"Open quote"))</f>
        <v/>
      </c>
      <c r="X165" s="25">
        <f>IF(C165="","",C165)</f>
        <v/>
      </c>
      <c r="Y165" s="24" t="n"/>
      <c r="Z165" s="26" t="n"/>
      <c r="AA165" s="27">
        <f>IF(C165="","",H165+N(Z165))</f>
        <v/>
      </c>
      <c r="AB165" s="29">
        <f>IFERROR(Z165/AA165,"")</f>
        <v/>
      </c>
      <c r="AC165" s="26" t="n"/>
      <c r="AD165" s="26" t="n"/>
      <c r="AE165" s="26" t="n"/>
      <c r="AF165" s="26" t="n"/>
      <c r="AG165" s="27">
        <f>IF(C165="","",SUMIFS(tbl_Finance[Ex GST],tbl_Finance[Job Number],C165&amp;"",tbl_Finance[Cost Centre],"VIDEO"))</f>
        <v/>
      </c>
      <c r="AH165" s="29">
        <f>IFERROR(AG165/H165,"")</f>
        <v/>
      </c>
      <c r="AI165" s="27">
        <f>IF(C165="","",N(AC165)+N(AD165)+N(AE165)+N(AF165))</f>
        <v/>
      </c>
      <c r="AJ165" s="27">
        <f>IF(C165="","",H165+L165-AI165)</f>
        <v/>
      </c>
      <c r="AK165" s="29">
        <f>IFERROR(AJ165/(H165+L165),"")</f>
        <v/>
      </c>
      <c r="AL165" s="71" t="n"/>
      <c r="AM165" s="71" t="n"/>
      <c r="AN165" s="71" t="n"/>
      <c r="AO165" s="71" t="n"/>
      <c r="AP165" s="71" t="n"/>
      <c r="AQ165" s="24" t="n"/>
    </row>
    <row r="166" ht="15" customHeight="1">
      <c r="A166" s="70">
        <f>IF(C166="","",IFERROR(IF(SUMPRODUCT(MAX((tbl_Finance[Job Number]&amp;""=C166&amp;"")*(tbl_Finance[Xero Invoice No]&lt;&gt;"")*tbl_Finance[Date]))=0,"",SUMPRODUCT(MAX((tbl_Finance[Job Number]&amp;""=C166&amp;"")*(tbl_Finance[Xero Invoice No]&lt;&gt;"")*tbl_Finance[Date]))),""))</f>
        <v/>
      </c>
      <c r="B166" s="25">
        <f>IF(C166="","",IF(COUNTIFS(tbl_Finance[Job Number],C166&amp;"",tbl_Finance[Xero Invoice No],"&lt;&gt;")=0,"",IFERROR(IF(COUNTIFS(tbl_Finance[Job Number],C166&amp;"",tbl_Finance[Xero Invoice No],LOOKUP(2,1/((tbl_Finance[Job Number]&amp;""=C166&amp;"")*(tbl_Finance[Xero Invoice No]&lt;&gt;"")),tbl_Finance[Xero Invoice No]))=COUNTIFS(tbl_Finance[Job Number],C166&amp;"",tbl_Finance[Xero Invoice No],"&lt;&gt;"),LOOKUP(2,1/((tbl_Finance[Job Number]&amp;""=C166&amp;"")*(tbl_Finance[Xero Invoice No]&lt;&gt;"")),tbl_Finance[Xero Invoice No]),LOOKUP(2,1/((tbl_Finance[Job Number]&amp;""=C166&amp;"")*(tbl_Finance[Xero Invoice No]&lt;&gt;"")),tbl_Finance[Xero Invoice No])&amp;" +more"),"")))</f>
        <v/>
      </c>
      <c r="C166" s="24" t="n"/>
      <c r="D166" s="25">
        <f>IF(C166="","",IF(COUNTIF(lst_Jobs,C166&amp;"")&gt;0,"OK","CHECK"))</f>
        <v/>
      </c>
      <c r="E166" s="25">
        <f>IF(C166="","",IFERROR(INDEX(lst_JobName,MATCH(C166&amp;"",lst_Jobs,0)),""))</f>
        <v/>
      </c>
      <c r="F166" s="25">
        <f>IF(C166="","",IFERROR(INDEX(tbl_Finance[Client],IFERROR(MATCH(C166&amp;"",tbl_Finance[Job Number],0),MATCH(IFERROR(C166+0,C166),tbl_Finance[Job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6" t="n"/>
      <c r="L166" s="27">
        <f>IF(C166="","",IF(K166="",0,MAX(0,K166-H166)))</f>
        <v/>
      </c>
      <c r="M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N166" s="27">
        <f>IF(C166="","",SUMIFS(tbl_Finance[Inc GST],tbl_Finance[Job Number],C166&amp;""))</f>
        <v/>
      </c>
      <c r="O166" s="24" t="n"/>
      <c r="P166" s="25">
        <f>IF(C166="","",IFERROR(INDEX(tbl_Finance[Description],MATCH(C166&amp;"",tbl_Finance[Job Number],0)),""))</f>
        <v/>
      </c>
      <c r="Q166" s="24" t="n"/>
      <c r="R166" s="24" t="n"/>
      <c r="S166" s="22" t="n"/>
      <c r="T166" s="24" t="n"/>
      <c r="U166" s="25">
        <f>IF(T166="","",IF(AND(LEFT(T166,4)&lt;&gt;"http",set_RMSBase=""),"",HYPERLINK(IF(LEFT(T166,4)="http",T166,set_RMSBase&amp;T166),"Open opportunity")))</f>
        <v/>
      </c>
      <c r="V166" s="24" t="n"/>
      <c r="W166" s="25">
        <f>IF(V166="","",HYPERLINK(IF(LEFT(V166,4)="http",V166,set_QwilrBase&amp;V166),"Open quote"))</f>
        <v/>
      </c>
      <c r="X166" s="25">
        <f>IF(C166="","",C166)</f>
        <v/>
      </c>
      <c r="Y166" s="24" t="n"/>
      <c r="Z166" s="26" t="n"/>
      <c r="AA166" s="27">
        <f>IF(C166="","",H166+N(Z166))</f>
        <v/>
      </c>
      <c r="AB166" s="29">
        <f>IFERROR(Z166/AA166,"")</f>
        <v/>
      </c>
      <c r="AC166" s="26" t="n"/>
      <c r="AD166" s="26" t="n"/>
      <c r="AE166" s="26" t="n"/>
      <c r="AF166" s="26" t="n"/>
      <c r="AG166" s="27">
        <f>IF(C166="","",SUMIFS(tbl_Finance[Ex GST],tbl_Finance[Job Number],C166&amp;"",tbl_Finance[Cost Centre],"VIDEO"))</f>
        <v/>
      </c>
      <c r="AH166" s="29">
        <f>IFERROR(AG166/H166,"")</f>
        <v/>
      </c>
      <c r="AI166" s="27">
        <f>IF(C166="","",N(AC166)+N(AD166)+N(AE166)+N(AF166))</f>
        <v/>
      </c>
      <c r="AJ166" s="27">
        <f>IF(C166="","",H166+L166-AI166)</f>
        <v/>
      </c>
      <c r="AK166" s="29">
        <f>IFERROR(AJ166/(H166+L166),"")</f>
        <v/>
      </c>
      <c r="AL166" s="71" t="n"/>
      <c r="AM166" s="71" t="n"/>
      <c r="AN166" s="71" t="n"/>
      <c r="AO166" s="71" t="n"/>
      <c r="AP166" s="71" t="n"/>
      <c r="AQ166" s="24" t="n"/>
    </row>
    <row r="167" ht="15" customHeight="1">
      <c r="A167" s="70">
        <f>IF(C167="","",IFERROR(IF(SUMPRODUCT(MAX((tbl_Finance[Job Number]&amp;""=C167&amp;"")*(tbl_Finance[Xero Invoice No]&lt;&gt;"")*tbl_Finance[Date]))=0,"",SUMPRODUCT(MAX((tbl_Finance[Job Number]&amp;""=C167&amp;"")*(tbl_Finance[Xero Invoice No]&lt;&gt;"")*tbl_Finance[Date]))),""))</f>
        <v/>
      </c>
      <c r="B167" s="25">
        <f>IF(C167="","",IF(COUNTIFS(tbl_Finance[Job Number],C167&amp;"",tbl_Finance[Xero Invoice No],"&lt;&gt;")=0,"",IFERROR(IF(COUNTIFS(tbl_Finance[Job Number],C167&amp;"",tbl_Finance[Xero Invoice No],LOOKUP(2,1/((tbl_Finance[Job Number]&amp;""=C167&amp;"")*(tbl_Finance[Xero Invoice No]&lt;&gt;"")),tbl_Finance[Xero Invoice No]))=COUNTIFS(tbl_Finance[Job Number],C167&amp;"",tbl_Finance[Xero Invoice No],"&lt;&gt;"),LOOKUP(2,1/((tbl_Finance[Job Number]&amp;""=C167&amp;"")*(tbl_Finance[Xero Invoice No]&lt;&gt;"")),tbl_Finance[Xero Invoice No]),LOOKUP(2,1/((tbl_Finance[Job Number]&amp;""=C167&amp;"")*(tbl_Finance[Xero Invoice No]&lt;&gt;"")),tbl_Finance[Xero Invoice No])&amp;" +more"),"")))</f>
        <v/>
      </c>
      <c r="C167" s="24" t="n"/>
      <c r="D167" s="25">
        <f>IF(C167="","",IF(COUNTIF(lst_Jobs,C167&amp;"")&gt;0,"OK","CHECK"))</f>
        <v/>
      </c>
      <c r="E167" s="25">
        <f>IF(C167="","",IFERROR(INDEX(lst_JobName,MATCH(C167&amp;"",lst_Jobs,0)),""))</f>
        <v/>
      </c>
      <c r="F167" s="25">
        <f>IF(C167="","",IFERROR(INDEX(tbl_Finance[Client],IFERROR(MATCH(C167&amp;"",tbl_Finance[Job Number],0),MATCH(IFERROR(C167+0,C167),tbl_Finance[Job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6" t="n"/>
      <c r="L167" s="27">
        <f>IF(C167="","",IF(K167="",0,MAX(0,K167-H167)))</f>
        <v/>
      </c>
      <c r="M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N167" s="27">
        <f>IF(C167="","",SUMIFS(tbl_Finance[Inc GST],tbl_Finance[Job Number],C167&amp;""))</f>
        <v/>
      </c>
      <c r="O167" s="24" t="n"/>
      <c r="P167" s="25">
        <f>IF(C167="","",IFERROR(INDEX(tbl_Finance[Description],MATCH(C167&amp;"",tbl_Finance[Job Number],0)),""))</f>
        <v/>
      </c>
      <c r="Q167" s="24" t="n"/>
      <c r="R167" s="24" t="n"/>
      <c r="S167" s="22" t="n"/>
      <c r="T167" s="24" t="n"/>
      <c r="U167" s="25">
        <f>IF(T167="","",IF(AND(LEFT(T167,4)&lt;&gt;"http",set_RMSBase=""),"",HYPERLINK(IF(LEFT(T167,4)="http",T167,set_RMSBase&amp;T167),"Open opportunity")))</f>
        <v/>
      </c>
      <c r="V167" s="24" t="n"/>
      <c r="W167" s="25">
        <f>IF(V167="","",HYPERLINK(IF(LEFT(V167,4)="http",V167,set_QwilrBase&amp;V167),"Open quote"))</f>
        <v/>
      </c>
      <c r="X167" s="25">
        <f>IF(C167="","",C167)</f>
        <v/>
      </c>
      <c r="Y167" s="24" t="n"/>
      <c r="Z167" s="26" t="n"/>
      <c r="AA167" s="27">
        <f>IF(C167="","",H167+N(Z167))</f>
        <v/>
      </c>
      <c r="AB167" s="29">
        <f>IFERROR(Z167/AA167,"")</f>
        <v/>
      </c>
      <c r="AC167" s="26" t="n"/>
      <c r="AD167" s="26" t="n"/>
      <c r="AE167" s="26" t="n"/>
      <c r="AF167" s="26" t="n"/>
      <c r="AG167" s="27">
        <f>IF(C167="","",SUMIFS(tbl_Finance[Ex GST],tbl_Finance[Job Number],C167&amp;"",tbl_Finance[Cost Centre],"VIDEO"))</f>
        <v/>
      </c>
      <c r="AH167" s="29">
        <f>IFERROR(AG167/H167,"")</f>
        <v/>
      </c>
      <c r="AI167" s="27">
        <f>IF(C167="","",N(AC167)+N(AD167)+N(AE167)+N(AF167))</f>
        <v/>
      </c>
      <c r="AJ167" s="27">
        <f>IF(C167="","",H167+L167-AI167)</f>
        <v/>
      </c>
      <c r="AK167" s="29">
        <f>IFERROR(AJ167/(H167+L167),"")</f>
        <v/>
      </c>
      <c r="AL167" s="71" t="n"/>
      <c r="AM167" s="71" t="n"/>
      <c r="AN167" s="71" t="n"/>
      <c r="AO167" s="71" t="n"/>
      <c r="AP167" s="71" t="n"/>
      <c r="AQ167" s="24" t="n"/>
    </row>
    <row r="168" ht="15" customHeight="1">
      <c r="A168" s="70">
        <f>IF(C168="","",IFERROR(IF(SUMPRODUCT(MAX((tbl_Finance[Job Number]&amp;""=C168&amp;"")*(tbl_Finance[Xero Invoice No]&lt;&gt;"")*tbl_Finance[Date]))=0,"",SUMPRODUCT(MAX((tbl_Finance[Job Number]&amp;""=C168&amp;"")*(tbl_Finance[Xero Invoice No]&lt;&gt;"")*tbl_Finance[Date]))),""))</f>
        <v/>
      </c>
      <c r="B168" s="25">
        <f>IF(C168="","",IF(COUNTIFS(tbl_Finance[Job Number],C168&amp;"",tbl_Finance[Xero Invoice No],"&lt;&gt;")=0,"",IFERROR(IF(COUNTIFS(tbl_Finance[Job Number],C168&amp;"",tbl_Finance[Xero Invoice No],LOOKUP(2,1/((tbl_Finance[Job Number]&amp;""=C168&amp;"")*(tbl_Finance[Xero Invoice No]&lt;&gt;"")),tbl_Finance[Xero Invoice No]))=COUNTIFS(tbl_Finance[Job Number],C168&amp;"",tbl_Finance[Xero Invoice No],"&lt;&gt;"),LOOKUP(2,1/((tbl_Finance[Job Number]&amp;""=C168&amp;"")*(tbl_Finance[Xero Invoice No]&lt;&gt;"")),tbl_Finance[Xero Invoice No]),LOOKUP(2,1/((tbl_Finance[Job Number]&amp;""=C168&amp;"")*(tbl_Finance[Xero Invoice No]&lt;&gt;"")),tbl_Finance[Xero Invoice No])&amp;" +more"),"")))</f>
        <v/>
      </c>
      <c r="C168" s="24" t="n"/>
      <c r="D168" s="25">
        <f>IF(C168="","",IF(COUNTIF(lst_Jobs,C168&amp;"")&gt;0,"OK","CHECK"))</f>
        <v/>
      </c>
      <c r="E168" s="25">
        <f>IF(C168="","",IFERROR(INDEX(lst_JobName,MATCH(C168&amp;"",lst_Jobs,0)),""))</f>
        <v/>
      </c>
      <c r="F168" s="25">
        <f>IF(C168="","",IFERROR(INDEX(tbl_Finance[Client],IFERROR(MATCH(C168&amp;"",tbl_Finance[Job Number],0),MATCH(IFERROR(C168+0,C168),tbl_Finance[Job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6" t="n"/>
      <c r="L168" s="27">
        <f>IF(C168="","",IF(K168="",0,MAX(0,K168-H168)))</f>
        <v/>
      </c>
      <c r="M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N168" s="27">
        <f>IF(C168="","",SUMIFS(tbl_Finance[Inc GST],tbl_Finance[Job Number],C168&amp;""))</f>
        <v/>
      </c>
      <c r="O168" s="24" t="n"/>
      <c r="P168" s="25">
        <f>IF(C168="","",IFERROR(INDEX(tbl_Finance[Description],MATCH(C168&amp;"",tbl_Finance[Job Number],0)),""))</f>
        <v/>
      </c>
      <c r="Q168" s="24" t="n"/>
      <c r="R168" s="24" t="n"/>
      <c r="S168" s="22" t="n"/>
      <c r="T168" s="24" t="n"/>
      <c r="U168" s="25">
        <f>IF(T168="","",IF(AND(LEFT(T168,4)&lt;&gt;"http",set_RMSBase=""),"",HYPERLINK(IF(LEFT(T168,4)="http",T168,set_RMSBase&amp;T168),"Open opportunity")))</f>
        <v/>
      </c>
      <c r="V168" s="24" t="n"/>
      <c r="W168" s="25">
        <f>IF(V168="","",HYPERLINK(IF(LEFT(V168,4)="http",V168,set_QwilrBase&amp;V168),"Open quote"))</f>
        <v/>
      </c>
      <c r="X168" s="25">
        <f>IF(C168="","",C168)</f>
        <v/>
      </c>
      <c r="Y168" s="24" t="n"/>
      <c r="Z168" s="26" t="n"/>
      <c r="AA168" s="27">
        <f>IF(C168="","",H168+N(Z168))</f>
        <v/>
      </c>
      <c r="AB168" s="29">
        <f>IFERROR(Z168/AA168,"")</f>
        <v/>
      </c>
      <c r="AC168" s="26" t="n"/>
      <c r="AD168" s="26" t="n"/>
      <c r="AE168" s="26" t="n"/>
      <c r="AF168" s="26" t="n"/>
      <c r="AG168" s="27">
        <f>IF(C168="","",SUMIFS(tbl_Finance[Ex GST],tbl_Finance[Job Number],C168&amp;"",tbl_Finance[Cost Centre],"VIDEO"))</f>
        <v/>
      </c>
      <c r="AH168" s="29">
        <f>IFERROR(AG168/H168,"")</f>
        <v/>
      </c>
      <c r="AI168" s="27">
        <f>IF(C168="","",N(AC168)+N(AD168)+N(AE168)+N(AF168))</f>
        <v/>
      </c>
      <c r="AJ168" s="27">
        <f>IF(C168="","",H168+L168-AI168)</f>
        <v/>
      </c>
      <c r="AK168" s="29">
        <f>IFERROR(AJ168/(H168+L168),"")</f>
        <v/>
      </c>
      <c r="AL168" s="71" t="n"/>
      <c r="AM168" s="71" t="n"/>
      <c r="AN168" s="71" t="n"/>
      <c r="AO168" s="71" t="n"/>
      <c r="AP168" s="71" t="n"/>
      <c r="AQ168" s="24" t="n"/>
    </row>
    <row r="169" ht="15" customHeight="1">
      <c r="A169" s="70">
        <f>IF(C169="","",IFERROR(IF(SUMPRODUCT(MAX((tbl_Finance[Job Number]&amp;""=C169&amp;"")*(tbl_Finance[Xero Invoice No]&lt;&gt;"")*tbl_Finance[Date]))=0,"",SUMPRODUCT(MAX((tbl_Finance[Job Number]&amp;""=C169&amp;"")*(tbl_Finance[Xero Invoice No]&lt;&gt;"")*tbl_Finance[Date]))),""))</f>
        <v/>
      </c>
      <c r="B169" s="25">
        <f>IF(C169="","",IF(COUNTIFS(tbl_Finance[Job Number],C169&amp;"",tbl_Finance[Xero Invoice No],"&lt;&gt;")=0,"",IFERROR(IF(COUNTIFS(tbl_Finance[Job Number],C169&amp;"",tbl_Finance[Xero Invoice No],LOOKUP(2,1/((tbl_Finance[Job Number]&amp;""=C169&amp;"")*(tbl_Finance[Xero Invoice No]&lt;&gt;"")),tbl_Finance[Xero Invoice No]))=COUNTIFS(tbl_Finance[Job Number],C169&amp;"",tbl_Finance[Xero Invoice No],"&lt;&gt;"),LOOKUP(2,1/((tbl_Finance[Job Number]&amp;""=C169&amp;"")*(tbl_Finance[Xero Invoice No]&lt;&gt;"")),tbl_Finance[Xero Invoice No]),LOOKUP(2,1/((tbl_Finance[Job Number]&amp;""=C169&amp;"")*(tbl_Finance[Xero Invoice No]&lt;&gt;"")),tbl_Finance[Xero Invoice No])&amp;" +more"),"")))</f>
        <v/>
      </c>
      <c r="C169" s="24" t="n"/>
      <c r="D169" s="25">
        <f>IF(C169="","",IF(COUNTIF(lst_Jobs,C169&amp;"")&gt;0,"OK","CHECK"))</f>
        <v/>
      </c>
      <c r="E169" s="25">
        <f>IF(C169="","",IFERROR(INDEX(lst_JobName,MATCH(C169&amp;"",lst_Jobs,0)),""))</f>
        <v/>
      </c>
      <c r="F169" s="25">
        <f>IF(C169="","",IFERROR(INDEX(tbl_Finance[Client],IFERROR(MATCH(C169&amp;"",tbl_Finance[Job Number],0),MATCH(IFERROR(C169+0,C169),tbl_Finance[Job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6" t="n"/>
      <c r="L169" s="27">
        <f>IF(C169="","",IF(K169="",0,MAX(0,K169-H169)))</f>
        <v/>
      </c>
      <c r="M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N169" s="27">
        <f>IF(C169="","",SUMIFS(tbl_Finance[Inc GST],tbl_Finance[Job Number],C169&amp;""))</f>
        <v/>
      </c>
      <c r="O169" s="24" t="n"/>
      <c r="P169" s="25">
        <f>IF(C169="","",IFERROR(INDEX(tbl_Finance[Description],MATCH(C169&amp;"",tbl_Finance[Job Number],0)),""))</f>
        <v/>
      </c>
      <c r="Q169" s="24" t="n"/>
      <c r="R169" s="24" t="n"/>
      <c r="S169" s="22" t="n"/>
      <c r="T169" s="24" t="n"/>
      <c r="U169" s="25">
        <f>IF(T169="","",IF(AND(LEFT(T169,4)&lt;&gt;"http",set_RMSBase=""),"",HYPERLINK(IF(LEFT(T169,4)="http",T169,set_RMSBase&amp;T169),"Open opportunity")))</f>
        <v/>
      </c>
      <c r="V169" s="24" t="n"/>
      <c r="W169" s="25">
        <f>IF(V169="","",HYPERLINK(IF(LEFT(V169,4)="http",V169,set_QwilrBase&amp;V169),"Open quote"))</f>
        <v/>
      </c>
      <c r="X169" s="25">
        <f>IF(C169="","",C169)</f>
        <v/>
      </c>
      <c r="Y169" s="24" t="n"/>
      <c r="Z169" s="26" t="n"/>
      <c r="AA169" s="27">
        <f>IF(C169="","",H169+N(Z169))</f>
        <v/>
      </c>
      <c r="AB169" s="29">
        <f>IFERROR(Z169/AA169,"")</f>
        <v/>
      </c>
      <c r="AC169" s="26" t="n"/>
      <c r="AD169" s="26" t="n"/>
      <c r="AE169" s="26" t="n"/>
      <c r="AF169" s="26" t="n"/>
      <c r="AG169" s="27">
        <f>IF(C169="","",SUMIFS(tbl_Finance[Ex GST],tbl_Finance[Job Number],C169&amp;"",tbl_Finance[Cost Centre],"VIDEO"))</f>
        <v/>
      </c>
      <c r="AH169" s="29">
        <f>IFERROR(AG169/H169,"")</f>
        <v/>
      </c>
      <c r="AI169" s="27">
        <f>IF(C169="","",N(AC169)+N(AD169)+N(AE169)+N(AF169))</f>
        <v/>
      </c>
      <c r="AJ169" s="27">
        <f>IF(C169="","",H169+L169-AI169)</f>
        <v/>
      </c>
      <c r="AK169" s="29">
        <f>IFERROR(AJ169/(H169+L169),"")</f>
        <v/>
      </c>
      <c r="AL169" s="71" t="n"/>
      <c r="AM169" s="71" t="n"/>
      <c r="AN169" s="71" t="n"/>
      <c r="AO169" s="71" t="n"/>
      <c r="AP169" s="71" t="n"/>
      <c r="AQ169" s="24" t="n"/>
    </row>
    <row r="170" ht="15" customHeight="1">
      <c r="A170" s="70">
        <f>IF(C170="","",IFERROR(IF(SUMPRODUCT(MAX((tbl_Finance[Job Number]&amp;""=C170&amp;"")*(tbl_Finance[Xero Invoice No]&lt;&gt;"")*tbl_Finance[Date]))=0,"",SUMPRODUCT(MAX((tbl_Finance[Job Number]&amp;""=C170&amp;"")*(tbl_Finance[Xero Invoice No]&lt;&gt;"")*tbl_Finance[Date]))),""))</f>
        <v/>
      </c>
      <c r="B170" s="25">
        <f>IF(C170="","",IF(COUNTIFS(tbl_Finance[Job Number],C170&amp;"",tbl_Finance[Xero Invoice No],"&lt;&gt;")=0,"",IFERROR(IF(COUNTIFS(tbl_Finance[Job Number],C170&amp;"",tbl_Finance[Xero Invoice No],LOOKUP(2,1/((tbl_Finance[Job Number]&amp;""=C170&amp;"")*(tbl_Finance[Xero Invoice No]&lt;&gt;"")),tbl_Finance[Xero Invoice No]))=COUNTIFS(tbl_Finance[Job Number],C170&amp;"",tbl_Finance[Xero Invoice No],"&lt;&gt;"),LOOKUP(2,1/((tbl_Finance[Job Number]&amp;""=C170&amp;"")*(tbl_Finance[Xero Invoice No]&lt;&gt;"")),tbl_Finance[Xero Invoice No]),LOOKUP(2,1/((tbl_Finance[Job Number]&amp;""=C170&amp;"")*(tbl_Finance[Xero Invoice No]&lt;&gt;"")),tbl_Finance[Xero Invoice No])&amp;" +more"),"")))</f>
        <v/>
      </c>
      <c r="C170" s="24" t="n"/>
      <c r="D170" s="25">
        <f>IF(C170="","",IF(COUNTIF(lst_Jobs,C170&amp;"")&gt;0,"OK","CHECK"))</f>
        <v/>
      </c>
      <c r="E170" s="25">
        <f>IF(C170="","",IFERROR(INDEX(lst_JobName,MATCH(C170&amp;"",lst_Jobs,0)),""))</f>
        <v/>
      </c>
      <c r="F170" s="25">
        <f>IF(C170="","",IFERROR(INDEX(tbl_Finance[Client],IFERROR(MATCH(C170&amp;"",tbl_Finance[Job Number],0),MATCH(IFERROR(C170+0,C170),tbl_Finance[Job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6" t="n"/>
      <c r="L170" s="27">
        <f>IF(C170="","",IF(K170="",0,MAX(0,K170-H170)))</f>
        <v/>
      </c>
      <c r="M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N170" s="27">
        <f>IF(C170="","",SUMIFS(tbl_Finance[Inc GST],tbl_Finance[Job Number],C170&amp;""))</f>
        <v/>
      </c>
      <c r="O170" s="24" t="n"/>
      <c r="P170" s="25">
        <f>IF(C170="","",IFERROR(INDEX(tbl_Finance[Description],MATCH(C170&amp;"",tbl_Finance[Job Number],0)),""))</f>
        <v/>
      </c>
      <c r="Q170" s="24" t="n"/>
      <c r="R170" s="24" t="n"/>
      <c r="S170" s="22" t="n"/>
      <c r="T170" s="24" t="n"/>
      <c r="U170" s="25">
        <f>IF(T170="","",IF(AND(LEFT(T170,4)&lt;&gt;"http",set_RMSBase=""),"",HYPERLINK(IF(LEFT(T170,4)="http",T170,set_RMSBase&amp;T170),"Open opportunity")))</f>
        <v/>
      </c>
      <c r="V170" s="24" t="n"/>
      <c r="W170" s="25">
        <f>IF(V170="","",HYPERLINK(IF(LEFT(V170,4)="http",V170,set_QwilrBase&amp;V170),"Open quote"))</f>
        <v/>
      </c>
      <c r="X170" s="25">
        <f>IF(C170="","",C170)</f>
        <v/>
      </c>
      <c r="Y170" s="24" t="n"/>
      <c r="Z170" s="26" t="n"/>
      <c r="AA170" s="27">
        <f>IF(C170="","",H170+N(Z170))</f>
        <v/>
      </c>
      <c r="AB170" s="29">
        <f>IFERROR(Z170/AA170,"")</f>
        <v/>
      </c>
      <c r="AC170" s="26" t="n"/>
      <c r="AD170" s="26" t="n"/>
      <c r="AE170" s="26" t="n"/>
      <c r="AF170" s="26" t="n"/>
      <c r="AG170" s="27">
        <f>IF(C170="","",SUMIFS(tbl_Finance[Ex GST],tbl_Finance[Job Number],C170&amp;"",tbl_Finance[Cost Centre],"VIDEO"))</f>
        <v/>
      </c>
      <c r="AH170" s="29">
        <f>IFERROR(AG170/H170,"")</f>
        <v/>
      </c>
      <c r="AI170" s="27">
        <f>IF(C170="","",N(AC170)+N(AD170)+N(AE170)+N(AF170))</f>
        <v/>
      </c>
      <c r="AJ170" s="27">
        <f>IF(C170="","",H170+L170-AI170)</f>
        <v/>
      </c>
      <c r="AK170" s="29">
        <f>IFERROR(AJ170/(H170+L170),"")</f>
        <v/>
      </c>
      <c r="AL170" s="71" t="n"/>
      <c r="AM170" s="71" t="n"/>
      <c r="AN170" s="71" t="n"/>
      <c r="AO170" s="71" t="n"/>
      <c r="AP170" s="71" t="n"/>
      <c r="AQ170" s="24" t="n"/>
    </row>
    <row r="171" ht="15" customHeight="1">
      <c r="A171" s="70">
        <f>IF(C171="","",IFERROR(IF(SUMPRODUCT(MAX((tbl_Finance[Job Number]&amp;""=C171&amp;"")*(tbl_Finance[Xero Invoice No]&lt;&gt;"")*tbl_Finance[Date]))=0,"",SUMPRODUCT(MAX((tbl_Finance[Job Number]&amp;""=C171&amp;"")*(tbl_Finance[Xero Invoice No]&lt;&gt;"")*tbl_Finance[Date]))),""))</f>
        <v/>
      </c>
      <c r="B171" s="25">
        <f>IF(C171="","",IF(COUNTIFS(tbl_Finance[Job Number],C171&amp;"",tbl_Finance[Xero Invoice No],"&lt;&gt;")=0,"",IFERROR(IF(COUNTIFS(tbl_Finance[Job Number],C171&amp;"",tbl_Finance[Xero Invoice No],LOOKUP(2,1/((tbl_Finance[Job Number]&amp;""=C171&amp;"")*(tbl_Finance[Xero Invoice No]&lt;&gt;"")),tbl_Finance[Xero Invoice No]))=COUNTIFS(tbl_Finance[Job Number],C171&amp;"",tbl_Finance[Xero Invoice No],"&lt;&gt;"),LOOKUP(2,1/((tbl_Finance[Job Number]&amp;""=C171&amp;"")*(tbl_Finance[Xero Invoice No]&lt;&gt;"")),tbl_Finance[Xero Invoice No]),LOOKUP(2,1/((tbl_Finance[Job Number]&amp;""=C171&amp;"")*(tbl_Finance[Xero Invoice No]&lt;&gt;"")),tbl_Finance[Xero Invoice No])&amp;" +more"),"")))</f>
        <v/>
      </c>
      <c r="C171" s="24" t="n"/>
      <c r="D171" s="25">
        <f>IF(C171="","",IF(COUNTIF(lst_Jobs,C171&amp;"")&gt;0,"OK","CHECK"))</f>
        <v/>
      </c>
      <c r="E171" s="25">
        <f>IF(C171="","",IFERROR(INDEX(lst_JobName,MATCH(C171&amp;"",lst_Jobs,0)),""))</f>
        <v/>
      </c>
      <c r="F171" s="25">
        <f>IF(C171="","",IFERROR(INDEX(tbl_Finance[Client],IFERROR(MATCH(C171&amp;"",tbl_Finance[Job Number],0),MATCH(IFERROR(C171+0,C171),tbl_Finance[Job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6" t="n"/>
      <c r="L171" s="27">
        <f>IF(C171="","",IF(K171="",0,MAX(0,K171-H171)))</f>
        <v/>
      </c>
      <c r="M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N171" s="27">
        <f>IF(C171="","",SUMIFS(tbl_Finance[Inc GST],tbl_Finance[Job Number],C171&amp;""))</f>
        <v/>
      </c>
      <c r="O171" s="24" t="n"/>
      <c r="P171" s="25">
        <f>IF(C171="","",IFERROR(INDEX(tbl_Finance[Description],MATCH(C171&amp;"",tbl_Finance[Job Number],0)),""))</f>
        <v/>
      </c>
      <c r="Q171" s="24" t="n"/>
      <c r="R171" s="24" t="n"/>
      <c r="S171" s="22" t="n"/>
      <c r="T171" s="24" t="n"/>
      <c r="U171" s="25">
        <f>IF(T171="","",IF(AND(LEFT(T171,4)&lt;&gt;"http",set_RMSBase=""),"",HYPERLINK(IF(LEFT(T171,4)="http",T171,set_RMSBase&amp;T171),"Open opportunity")))</f>
        <v/>
      </c>
      <c r="V171" s="24" t="n"/>
      <c r="W171" s="25">
        <f>IF(V171="","",HYPERLINK(IF(LEFT(V171,4)="http",V171,set_QwilrBase&amp;V171),"Open quote"))</f>
        <v/>
      </c>
      <c r="X171" s="25">
        <f>IF(C171="","",C171)</f>
        <v/>
      </c>
      <c r="Y171" s="24" t="n"/>
      <c r="Z171" s="26" t="n"/>
      <c r="AA171" s="27">
        <f>IF(C171="","",H171+N(Z171))</f>
        <v/>
      </c>
      <c r="AB171" s="29">
        <f>IFERROR(Z171/AA171,"")</f>
        <v/>
      </c>
      <c r="AC171" s="26" t="n"/>
      <c r="AD171" s="26" t="n"/>
      <c r="AE171" s="26" t="n"/>
      <c r="AF171" s="26" t="n"/>
      <c r="AG171" s="27">
        <f>IF(C171="","",SUMIFS(tbl_Finance[Ex GST],tbl_Finance[Job Number],C171&amp;"",tbl_Finance[Cost Centre],"VIDEO"))</f>
        <v/>
      </c>
      <c r="AH171" s="29">
        <f>IFERROR(AG171/H171,"")</f>
        <v/>
      </c>
      <c r="AI171" s="27">
        <f>IF(C171="","",N(AC171)+N(AD171)+N(AE171)+N(AF171))</f>
        <v/>
      </c>
      <c r="AJ171" s="27">
        <f>IF(C171="","",H171+L171-AI171)</f>
        <v/>
      </c>
      <c r="AK171" s="29">
        <f>IFERROR(AJ171/(H171+L171),"")</f>
        <v/>
      </c>
      <c r="AL171" s="71" t="n"/>
      <c r="AM171" s="71" t="n"/>
      <c r="AN171" s="71" t="n"/>
      <c r="AO171" s="71" t="n"/>
      <c r="AP171" s="71" t="n"/>
      <c r="AQ171" s="24" t="n"/>
    </row>
    <row r="172" ht="15" customHeight="1">
      <c r="A172" s="70">
        <f>IF(C172="","",IFERROR(IF(SUMPRODUCT(MAX((tbl_Finance[Job Number]&amp;""=C172&amp;"")*(tbl_Finance[Xero Invoice No]&lt;&gt;"")*tbl_Finance[Date]))=0,"",SUMPRODUCT(MAX((tbl_Finance[Job Number]&amp;""=C172&amp;"")*(tbl_Finance[Xero Invoice No]&lt;&gt;"")*tbl_Finance[Date]))),""))</f>
        <v/>
      </c>
      <c r="B172" s="25">
        <f>IF(C172="","",IF(COUNTIFS(tbl_Finance[Job Number],C172&amp;"",tbl_Finance[Xero Invoice No],"&lt;&gt;")=0,"",IFERROR(IF(COUNTIFS(tbl_Finance[Job Number],C172&amp;"",tbl_Finance[Xero Invoice No],LOOKUP(2,1/((tbl_Finance[Job Number]&amp;""=C172&amp;"")*(tbl_Finance[Xero Invoice No]&lt;&gt;"")),tbl_Finance[Xero Invoice No]))=COUNTIFS(tbl_Finance[Job Number],C172&amp;"",tbl_Finance[Xero Invoice No],"&lt;&gt;"),LOOKUP(2,1/((tbl_Finance[Job Number]&amp;""=C172&amp;"")*(tbl_Finance[Xero Invoice No]&lt;&gt;"")),tbl_Finance[Xero Invoice No]),LOOKUP(2,1/((tbl_Finance[Job Number]&amp;""=C172&amp;"")*(tbl_Finance[Xero Invoice No]&lt;&gt;"")),tbl_Finance[Xero Invoice No])&amp;" +more"),"")))</f>
        <v/>
      </c>
      <c r="C172" s="24" t="n"/>
      <c r="D172" s="25">
        <f>IF(C172="","",IF(COUNTIF(lst_Jobs,C172&amp;"")&gt;0,"OK","CHECK"))</f>
        <v/>
      </c>
      <c r="E172" s="25">
        <f>IF(C172="","",IFERROR(INDEX(lst_JobName,MATCH(C172&amp;"",lst_Jobs,0)),""))</f>
        <v/>
      </c>
      <c r="F172" s="25">
        <f>IF(C172="","",IFERROR(INDEX(tbl_Finance[Client],IFERROR(MATCH(C172&amp;"",tbl_Finance[Job Number],0),MATCH(IFERROR(C172+0,C172),tbl_Finance[Job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6" t="n"/>
      <c r="L172" s="27">
        <f>IF(C172="","",IF(K172="",0,MAX(0,K172-H172)))</f>
        <v/>
      </c>
      <c r="M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N172" s="27">
        <f>IF(C172="","",SUMIFS(tbl_Finance[Inc GST],tbl_Finance[Job Number],C172&amp;""))</f>
        <v/>
      </c>
      <c r="O172" s="24" t="n"/>
      <c r="P172" s="25">
        <f>IF(C172="","",IFERROR(INDEX(tbl_Finance[Description],MATCH(C172&amp;"",tbl_Finance[Job Number],0)),""))</f>
        <v/>
      </c>
      <c r="Q172" s="24" t="n"/>
      <c r="R172" s="24" t="n"/>
      <c r="S172" s="22" t="n"/>
      <c r="T172" s="24" t="n"/>
      <c r="U172" s="25">
        <f>IF(T172="","",IF(AND(LEFT(T172,4)&lt;&gt;"http",set_RMSBase=""),"",HYPERLINK(IF(LEFT(T172,4)="http",T172,set_RMSBase&amp;T172),"Open opportunity")))</f>
        <v/>
      </c>
      <c r="V172" s="24" t="n"/>
      <c r="W172" s="25">
        <f>IF(V172="","",HYPERLINK(IF(LEFT(V172,4)="http",V172,set_QwilrBase&amp;V172),"Open quote"))</f>
        <v/>
      </c>
      <c r="X172" s="25">
        <f>IF(C172="","",C172)</f>
        <v/>
      </c>
      <c r="Y172" s="24" t="n"/>
      <c r="Z172" s="26" t="n"/>
      <c r="AA172" s="27">
        <f>IF(C172="","",H172+N(Z172))</f>
        <v/>
      </c>
      <c r="AB172" s="29">
        <f>IFERROR(Z172/AA172,"")</f>
        <v/>
      </c>
      <c r="AC172" s="26" t="n"/>
      <c r="AD172" s="26" t="n"/>
      <c r="AE172" s="26" t="n"/>
      <c r="AF172" s="26" t="n"/>
      <c r="AG172" s="27">
        <f>IF(C172="","",SUMIFS(tbl_Finance[Ex GST],tbl_Finance[Job Number],C172&amp;"",tbl_Finance[Cost Centre],"VIDEO"))</f>
        <v/>
      </c>
      <c r="AH172" s="29">
        <f>IFERROR(AG172/H172,"")</f>
        <v/>
      </c>
      <c r="AI172" s="27">
        <f>IF(C172="","",N(AC172)+N(AD172)+N(AE172)+N(AF172))</f>
        <v/>
      </c>
      <c r="AJ172" s="27">
        <f>IF(C172="","",H172+L172-AI172)</f>
        <v/>
      </c>
      <c r="AK172" s="29">
        <f>IFERROR(AJ172/(H172+L172),"")</f>
        <v/>
      </c>
      <c r="AL172" s="71" t="n"/>
      <c r="AM172" s="71" t="n"/>
      <c r="AN172" s="71" t="n"/>
      <c r="AO172" s="71" t="n"/>
      <c r="AP172" s="71" t="n"/>
      <c r="AQ172" s="24" t="n"/>
    </row>
    <row r="173" ht="15" customHeight="1">
      <c r="A173" s="70">
        <f>IF(C173="","",IFERROR(IF(SUMPRODUCT(MAX((tbl_Finance[Job Number]&amp;""=C173&amp;"")*(tbl_Finance[Xero Invoice No]&lt;&gt;"")*tbl_Finance[Date]))=0,"",SUMPRODUCT(MAX((tbl_Finance[Job Number]&amp;""=C173&amp;"")*(tbl_Finance[Xero Invoice No]&lt;&gt;"")*tbl_Finance[Date]))),""))</f>
        <v/>
      </c>
      <c r="B173" s="25">
        <f>IF(C173="","",IF(COUNTIFS(tbl_Finance[Job Number],C173&amp;"",tbl_Finance[Xero Invoice No],"&lt;&gt;")=0,"",IFERROR(IF(COUNTIFS(tbl_Finance[Job Number],C173&amp;"",tbl_Finance[Xero Invoice No],LOOKUP(2,1/((tbl_Finance[Job Number]&amp;""=C173&amp;"")*(tbl_Finance[Xero Invoice No]&lt;&gt;"")),tbl_Finance[Xero Invoice No]))=COUNTIFS(tbl_Finance[Job Number],C173&amp;"",tbl_Finance[Xero Invoice No],"&lt;&gt;"),LOOKUP(2,1/((tbl_Finance[Job Number]&amp;""=C173&amp;"")*(tbl_Finance[Xero Invoice No]&lt;&gt;"")),tbl_Finance[Xero Invoice No]),LOOKUP(2,1/((tbl_Finance[Job Number]&amp;""=C173&amp;"")*(tbl_Finance[Xero Invoice No]&lt;&gt;"")),tbl_Finance[Xero Invoice No])&amp;" +more"),"")))</f>
        <v/>
      </c>
      <c r="C173" s="24" t="n"/>
      <c r="D173" s="25">
        <f>IF(C173="","",IF(COUNTIF(lst_Jobs,C173&amp;"")&gt;0,"OK","CHECK"))</f>
        <v/>
      </c>
      <c r="E173" s="25">
        <f>IF(C173="","",IFERROR(INDEX(lst_JobName,MATCH(C173&amp;"",lst_Jobs,0)),""))</f>
        <v/>
      </c>
      <c r="F173" s="25">
        <f>IF(C173="","",IFERROR(INDEX(tbl_Finance[Client],IFERROR(MATCH(C173&amp;"",tbl_Finance[Job Number],0),MATCH(IFERROR(C173+0,C173),tbl_Finance[Job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6" t="n"/>
      <c r="L173" s="27">
        <f>IF(C173="","",IF(K173="",0,MAX(0,K173-H173)))</f>
        <v/>
      </c>
      <c r="M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N173" s="27">
        <f>IF(C173="","",SUMIFS(tbl_Finance[Inc GST],tbl_Finance[Job Number],C173&amp;""))</f>
        <v/>
      </c>
      <c r="O173" s="24" t="n"/>
      <c r="P173" s="25">
        <f>IF(C173="","",IFERROR(INDEX(tbl_Finance[Description],MATCH(C173&amp;"",tbl_Finance[Job Number],0)),""))</f>
        <v/>
      </c>
      <c r="Q173" s="24" t="n"/>
      <c r="R173" s="24" t="n"/>
      <c r="S173" s="22" t="n"/>
      <c r="T173" s="24" t="n"/>
      <c r="U173" s="25">
        <f>IF(T173="","",IF(AND(LEFT(T173,4)&lt;&gt;"http",set_RMSBase=""),"",HYPERLINK(IF(LEFT(T173,4)="http",T173,set_RMSBase&amp;T173),"Open opportunity")))</f>
        <v/>
      </c>
      <c r="V173" s="24" t="n"/>
      <c r="W173" s="25">
        <f>IF(V173="","",HYPERLINK(IF(LEFT(V173,4)="http",V173,set_QwilrBase&amp;V173),"Open quote"))</f>
        <v/>
      </c>
      <c r="X173" s="25">
        <f>IF(C173="","",C173)</f>
        <v/>
      </c>
      <c r="Y173" s="24" t="n"/>
      <c r="Z173" s="26" t="n"/>
      <c r="AA173" s="27">
        <f>IF(C173="","",H173+N(Z173))</f>
        <v/>
      </c>
      <c r="AB173" s="29">
        <f>IFERROR(Z173/AA173,"")</f>
        <v/>
      </c>
      <c r="AC173" s="26" t="n"/>
      <c r="AD173" s="26" t="n"/>
      <c r="AE173" s="26" t="n"/>
      <c r="AF173" s="26" t="n"/>
      <c r="AG173" s="27">
        <f>IF(C173="","",SUMIFS(tbl_Finance[Ex GST],tbl_Finance[Job Number],C173&amp;"",tbl_Finance[Cost Centre],"VIDEO"))</f>
        <v/>
      </c>
      <c r="AH173" s="29">
        <f>IFERROR(AG173/H173,"")</f>
        <v/>
      </c>
      <c r="AI173" s="27">
        <f>IF(C173="","",N(AC173)+N(AD173)+N(AE173)+N(AF173))</f>
        <v/>
      </c>
      <c r="AJ173" s="27">
        <f>IF(C173="","",H173+L173-AI173)</f>
        <v/>
      </c>
      <c r="AK173" s="29">
        <f>IFERROR(AJ173/(H173+L173),"")</f>
        <v/>
      </c>
      <c r="AL173" s="71" t="n"/>
      <c r="AM173" s="71" t="n"/>
      <c r="AN173" s="71" t="n"/>
      <c r="AO173" s="71" t="n"/>
      <c r="AP173" s="71" t="n"/>
      <c r="AQ173" s="24" t="n"/>
    </row>
    <row r="174" ht="15" customHeight="1">
      <c r="A174" s="70">
        <f>IF(C174="","",IFERROR(IF(SUMPRODUCT(MAX((tbl_Finance[Job Number]&amp;""=C174&amp;"")*(tbl_Finance[Xero Invoice No]&lt;&gt;"")*tbl_Finance[Date]))=0,"",SUMPRODUCT(MAX((tbl_Finance[Job Number]&amp;""=C174&amp;"")*(tbl_Finance[Xero Invoice No]&lt;&gt;"")*tbl_Finance[Date]))),""))</f>
        <v/>
      </c>
      <c r="B174" s="25">
        <f>IF(C174="","",IF(COUNTIFS(tbl_Finance[Job Number],C174&amp;"",tbl_Finance[Xero Invoice No],"&lt;&gt;")=0,"",IFERROR(IF(COUNTIFS(tbl_Finance[Job Number],C174&amp;"",tbl_Finance[Xero Invoice No],LOOKUP(2,1/((tbl_Finance[Job Number]&amp;""=C174&amp;"")*(tbl_Finance[Xero Invoice No]&lt;&gt;"")),tbl_Finance[Xero Invoice No]))=COUNTIFS(tbl_Finance[Job Number],C174&amp;"",tbl_Finance[Xero Invoice No],"&lt;&gt;"),LOOKUP(2,1/((tbl_Finance[Job Number]&amp;""=C174&amp;"")*(tbl_Finance[Xero Invoice No]&lt;&gt;"")),tbl_Finance[Xero Invoice No]),LOOKUP(2,1/((tbl_Finance[Job Number]&amp;""=C174&amp;"")*(tbl_Finance[Xero Invoice No]&lt;&gt;"")),tbl_Finance[Xero Invoice No])&amp;" +more"),"")))</f>
        <v/>
      </c>
      <c r="C174" s="24" t="n"/>
      <c r="D174" s="25">
        <f>IF(C174="","",IF(COUNTIF(lst_Jobs,C174&amp;"")&gt;0,"OK","CHECK"))</f>
        <v/>
      </c>
      <c r="E174" s="25">
        <f>IF(C174="","",IFERROR(INDEX(lst_JobName,MATCH(C174&amp;"",lst_Jobs,0)),""))</f>
        <v/>
      </c>
      <c r="F174" s="25">
        <f>IF(C174="","",IFERROR(INDEX(tbl_Finance[Client],IFERROR(MATCH(C174&amp;"",tbl_Finance[Job Number],0),MATCH(IFERROR(C174+0,C174),tbl_Finance[Job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6" t="n"/>
      <c r="L174" s="27">
        <f>IF(C174="","",IF(K174="",0,MAX(0,K174-H174)))</f>
        <v/>
      </c>
      <c r="M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N174" s="27">
        <f>IF(C174="","",SUMIFS(tbl_Finance[Inc GST],tbl_Finance[Job Number],C174&amp;""))</f>
        <v/>
      </c>
      <c r="O174" s="24" t="n"/>
      <c r="P174" s="25">
        <f>IF(C174="","",IFERROR(INDEX(tbl_Finance[Description],MATCH(C174&amp;"",tbl_Finance[Job Number],0)),""))</f>
        <v/>
      </c>
      <c r="Q174" s="24" t="n"/>
      <c r="R174" s="24" t="n"/>
      <c r="S174" s="22" t="n"/>
      <c r="T174" s="24" t="n"/>
      <c r="U174" s="25">
        <f>IF(T174="","",IF(AND(LEFT(T174,4)&lt;&gt;"http",set_RMSBase=""),"",HYPERLINK(IF(LEFT(T174,4)="http",T174,set_RMSBase&amp;T174),"Open opportunity")))</f>
        <v/>
      </c>
      <c r="V174" s="24" t="n"/>
      <c r="W174" s="25">
        <f>IF(V174="","",HYPERLINK(IF(LEFT(V174,4)="http",V174,set_QwilrBase&amp;V174),"Open quote"))</f>
        <v/>
      </c>
      <c r="X174" s="25">
        <f>IF(C174="","",C174)</f>
        <v/>
      </c>
      <c r="Y174" s="24" t="n"/>
      <c r="Z174" s="26" t="n"/>
      <c r="AA174" s="27">
        <f>IF(C174="","",H174+N(Z174))</f>
        <v/>
      </c>
      <c r="AB174" s="29">
        <f>IFERROR(Z174/AA174,"")</f>
        <v/>
      </c>
      <c r="AC174" s="26" t="n"/>
      <c r="AD174" s="26" t="n"/>
      <c r="AE174" s="26" t="n"/>
      <c r="AF174" s="26" t="n"/>
      <c r="AG174" s="27">
        <f>IF(C174="","",SUMIFS(tbl_Finance[Ex GST],tbl_Finance[Job Number],C174&amp;"",tbl_Finance[Cost Centre],"VIDEO"))</f>
        <v/>
      </c>
      <c r="AH174" s="29">
        <f>IFERROR(AG174/H174,"")</f>
        <v/>
      </c>
      <c r="AI174" s="27">
        <f>IF(C174="","",N(AC174)+N(AD174)+N(AE174)+N(AF174))</f>
        <v/>
      </c>
      <c r="AJ174" s="27">
        <f>IF(C174="","",H174+L174-AI174)</f>
        <v/>
      </c>
      <c r="AK174" s="29">
        <f>IFERROR(AJ174/(H174+L174),"")</f>
        <v/>
      </c>
      <c r="AL174" s="71" t="n"/>
      <c r="AM174" s="71" t="n"/>
      <c r="AN174" s="71" t="n"/>
      <c r="AO174" s="71" t="n"/>
      <c r="AP174" s="71" t="n"/>
      <c r="AQ174" s="24" t="n"/>
    </row>
    <row r="175" ht="15" customHeight="1">
      <c r="A175" s="70">
        <f>IF(C175="","",IFERROR(IF(SUMPRODUCT(MAX((tbl_Finance[Job Number]&amp;""=C175&amp;"")*(tbl_Finance[Xero Invoice No]&lt;&gt;"")*tbl_Finance[Date]))=0,"",SUMPRODUCT(MAX((tbl_Finance[Job Number]&amp;""=C175&amp;"")*(tbl_Finance[Xero Invoice No]&lt;&gt;"")*tbl_Finance[Date]))),""))</f>
        <v/>
      </c>
      <c r="B175" s="25">
        <f>IF(C175="","",IF(COUNTIFS(tbl_Finance[Job Number],C175&amp;"",tbl_Finance[Xero Invoice No],"&lt;&gt;")=0,"",IFERROR(IF(COUNTIFS(tbl_Finance[Job Number],C175&amp;"",tbl_Finance[Xero Invoice No],LOOKUP(2,1/((tbl_Finance[Job Number]&amp;""=C175&amp;"")*(tbl_Finance[Xero Invoice No]&lt;&gt;"")),tbl_Finance[Xero Invoice No]))=COUNTIFS(tbl_Finance[Job Number],C175&amp;"",tbl_Finance[Xero Invoice No],"&lt;&gt;"),LOOKUP(2,1/((tbl_Finance[Job Number]&amp;""=C175&amp;"")*(tbl_Finance[Xero Invoice No]&lt;&gt;"")),tbl_Finance[Xero Invoice No]),LOOKUP(2,1/((tbl_Finance[Job Number]&amp;""=C175&amp;"")*(tbl_Finance[Xero Invoice No]&lt;&gt;"")),tbl_Finance[Xero Invoice No])&amp;" +more"),"")))</f>
        <v/>
      </c>
      <c r="C175" s="24" t="n"/>
      <c r="D175" s="25">
        <f>IF(C175="","",IF(COUNTIF(lst_Jobs,C175&amp;"")&gt;0,"OK","CHECK"))</f>
        <v/>
      </c>
      <c r="E175" s="25">
        <f>IF(C175="","",IFERROR(INDEX(lst_JobName,MATCH(C175&amp;"",lst_Jobs,0)),""))</f>
        <v/>
      </c>
      <c r="F175" s="25">
        <f>IF(C175="","",IFERROR(INDEX(tbl_Finance[Client],IFERROR(MATCH(C175&amp;"",tbl_Finance[Job Number],0),MATCH(IFERROR(C175+0,C175),tbl_Finance[Job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6" t="n"/>
      <c r="L175" s="27">
        <f>IF(C175="","",IF(K175="",0,MAX(0,K175-H175)))</f>
        <v/>
      </c>
      <c r="M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N175" s="27">
        <f>IF(C175="","",SUMIFS(tbl_Finance[Inc GST],tbl_Finance[Job Number],C175&amp;""))</f>
        <v/>
      </c>
      <c r="O175" s="24" t="n"/>
      <c r="P175" s="25">
        <f>IF(C175="","",IFERROR(INDEX(tbl_Finance[Description],MATCH(C175&amp;"",tbl_Finance[Job Number],0)),""))</f>
        <v/>
      </c>
      <c r="Q175" s="24" t="n"/>
      <c r="R175" s="24" t="n"/>
      <c r="S175" s="22" t="n"/>
      <c r="T175" s="24" t="n"/>
      <c r="U175" s="25">
        <f>IF(T175="","",IF(AND(LEFT(T175,4)&lt;&gt;"http",set_RMSBase=""),"",HYPERLINK(IF(LEFT(T175,4)="http",T175,set_RMSBase&amp;T175),"Open opportunity")))</f>
        <v/>
      </c>
      <c r="V175" s="24" t="n"/>
      <c r="W175" s="25">
        <f>IF(V175="","",HYPERLINK(IF(LEFT(V175,4)="http",V175,set_QwilrBase&amp;V175),"Open quote"))</f>
        <v/>
      </c>
      <c r="X175" s="25">
        <f>IF(C175="","",C175)</f>
        <v/>
      </c>
      <c r="Y175" s="24" t="n"/>
      <c r="Z175" s="26" t="n"/>
      <c r="AA175" s="27">
        <f>IF(C175="","",H175+N(Z175))</f>
        <v/>
      </c>
      <c r="AB175" s="29">
        <f>IFERROR(Z175/AA175,"")</f>
        <v/>
      </c>
      <c r="AC175" s="26" t="n"/>
      <c r="AD175" s="26" t="n"/>
      <c r="AE175" s="26" t="n"/>
      <c r="AF175" s="26" t="n"/>
      <c r="AG175" s="27">
        <f>IF(C175="","",SUMIFS(tbl_Finance[Ex GST],tbl_Finance[Job Number],C175&amp;"",tbl_Finance[Cost Centre],"VIDEO"))</f>
        <v/>
      </c>
      <c r="AH175" s="29">
        <f>IFERROR(AG175/H175,"")</f>
        <v/>
      </c>
      <c r="AI175" s="27">
        <f>IF(C175="","",N(AC175)+N(AD175)+N(AE175)+N(AF175))</f>
        <v/>
      </c>
      <c r="AJ175" s="27">
        <f>IF(C175="","",H175+L175-AI175)</f>
        <v/>
      </c>
      <c r="AK175" s="29">
        <f>IFERROR(AJ175/(H175+L175),"")</f>
        <v/>
      </c>
      <c r="AL175" s="71" t="n"/>
      <c r="AM175" s="71" t="n"/>
      <c r="AN175" s="71" t="n"/>
      <c r="AO175" s="71" t="n"/>
      <c r="AP175" s="71" t="n"/>
      <c r="AQ175" s="24" t="n"/>
    </row>
    <row r="176" ht="15" customHeight="1">
      <c r="A176" s="70">
        <f>IF(C176="","",IFERROR(IF(SUMPRODUCT(MAX((tbl_Finance[Job Number]&amp;""=C176&amp;"")*(tbl_Finance[Xero Invoice No]&lt;&gt;"")*tbl_Finance[Date]))=0,"",SUMPRODUCT(MAX((tbl_Finance[Job Number]&amp;""=C176&amp;"")*(tbl_Finance[Xero Invoice No]&lt;&gt;"")*tbl_Finance[Date]))),""))</f>
        <v/>
      </c>
      <c r="B176" s="25">
        <f>IF(C176="","",IF(COUNTIFS(tbl_Finance[Job Number],C176&amp;"",tbl_Finance[Xero Invoice No],"&lt;&gt;")=0,"",IFERROR(IF(COUNTIFS(tbl_Finance[Job Number],C176&amp;"",tbl_Finance[Xero Invoice No],LOOKUP(2,1/((tbl_Finance[Job Number]&amp;""=C176&amp;"")*(tbl_Finance[Xero Invoice No]&lt;&gt;"")),tbl_Finance[Xero Invoice No]))=COUNTIFS(tbl_Finance[Job Number],C176&amp;"",tbl_Finance[Xero Invoice No],"&lt;&gt;"),LOOKUP(2,1/((tbl_Finance[Job Number]&amp;""=C176&amp;"")*(tbl_Finance[Xero Invoice No]&lt;&gt;"")),tbl_Finance[Xero Invoice No]),LOOKUP(2,1/((tbl_Finance[Job Number]&amp;""=C176&amp;"")*(tbl_Finance[Xero Invoice No]&lt;&gt;"")),tbl_Finance[Xero Invoice No])&amp;" +more"),"")))</f>
        <v/>
      </c>
      <c r="C176" s="24" t="n"/>
      <c r="D176" s="25">
        <f>IF(C176="","",IF(COUNTIF(lst_Jobs,C176&amp;"")&gt;0,"OK","CHECK"))</f>
        <v/>
      </c>
      <c r="E176" s="25">
        <f>IF(C176="","",IFERROR(INDEX(lst_JobName,MATCH(C176&amp;"",lst_Jobs,0)),""))</f>
        <v/>
      </c>
      <c r="F176" s="25">
        <f>IF(C176="","",IFERROR(INDEX(tbl_Finance[Client],IFERROR(MATCH(C176&amp;"",tbl_Finance[Job Number],0),MATCH(IFERROR(C176+0,C176),tbl_Finance[Job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6" t="n"/>
      <c r="L176" s="27">
        <f>IF(C176="","",IF(K176="",0,MAX(0,K176-H176)))</f>
        <v/>
      </c>
      <c r="M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N176" s="27">
        <f>IF(C176="","",SUMIFS(tbl_Finance[Inc GST],tbl_Finance[Job Number],C176&amp;""))</f>
        <v/>
      </c>
      <c r="O176" s="24" t="n"/>
      <c r="P176" s="25">
        <f>IF(C176="","",IFERROR(INDEX(tbl_Finance[Description],MATCH(C176&amp;"",tbl_Finance[Job Number],0)),""))</f>
        <v/>
      </c>
      <c r="Q176" s="24" t="n"/>
      <c r="R176" s="24" t="n"/>
      <c r="S176" s="22" t="n"/>
      <c r="T176" s="24" t="n"/>
      <c r="U176" s="25">
        <f>IF(T176="","",IF(AND(LEFT(T176,4)&lt;&gt;"http",set_RMSBase=""),"",HYPERLINK(IF(LEFT(T176,4)="http",T176,set_RMSBase&amp;T176),"Open opportunity")))</f>
        <v/>
      </c>
      <c r="V176" s="24" t="n"/>
      <c r="W176" s="25">
        <f>IF(V176="","",HYPERLINK(IF(LEFT(V176,4)="http",V176,set_QwilrBase&amp;V176),"Open quote"))</f>
        <v/>
      </c>
      <c r="X176" s="25">
        <f>IF(C176="","",C176)</f>
        <v/>
      </c>
      <c r="Y176" s="24" t="n"/>
      <c r="Z176" s="26" t="n"/>
      <c r="AA176" s="27">
        <f>IF(C176="","",H176+N(Z176))</f>
        <v/>
      </c>
      <c r="AB176" s="29">
        <f>IFERROR(Z176/AA176,"")</f>
        <v/>
      </c>
      <c r="AC176" s="26" t="n"/>
      <c r="AD176" s="26" t="n"/>
      <c r="AE176" s="26" t="n"/>
      <c r="AF176" s="26" t="n"/>
      <c r="AG176" s="27">
        <f>IF(C176="","",SUMIFS(tbl_Finance[Ex GST],tbl_Finance[Job Number],C176&amp;"",tbl_Finance[Cost Centre],"VIDEO"))</f>
        <v/>
      </c>
      <c r="AH176" s="29">
        <f>IFERROR(AG176/H176,"")</f>
        <v/>
      </c>
      <c r="AI176" s="27">
        <f>IF(C176="","",N(AC176)+N(AD176)+N(AE176)+N(AF176))</f>
        <v/>
      </c>
      <c r="AJ176" s="27">
        <f>IF(C176="","",H176+L176-AI176)</f>
        <v/>
      </c>
      <c r="AK176" s="29">
        <f>IFERROR(AJ176/(H176+L176),"")</f>
        <v/>
      </c>
      <c r="AL176" s="71" t="n"/>
      <c r="AM176" s="71" t="n"/>
      <c r="AN176" s="71" t="n"/>
      <c r="AO176" s="71" t="n"/>
      <c r="AP176" s="71" t="n"/>
      <c r="AQ176" s="24" t="n"/>
    </row>
    <row r="177" ht="15" customHeight="1">
      <c r="A177" s="70">
        <f>IF(C177="","",IFERROR(IF(SUMPRODUCT(MAX((tbl_Finance[Job Number]&amp;""=C177&amp;"")*(tbl_Finance[Xero Invoice No]&lt;&gt;"")*tbl_Finance[Date]))=0,"",SUMPRODUCT(MAX((tbl_Finance[Job Number]&amp;""=C177&amp;"")*(tbl_Finance[Xero Invoice No]&lt;&gt;"")*tbl_Finance[Date]))),""))</f>
        <v/>
      </c>
      <c r="B177" s="25">
        <f>IF(C177="","",IF(COUNTIFS(tbl_Finance[Job Number],C177&amp;"",tbl_Finance[Xero Invoice No],"&lt;&gt;")=0,"",IFERROR(IF(COUNTIFS(tbl_Finance[Job Number],C177&amp;"",tbl_Finance[Xero Invoice No],LOOKUP(2,1/((tbl_Finance[Job Number]&amp;""=C177&amp;"")*(tbl_Finance[Xero Invoice No]&lt;&gt;"")),tbl_Finance[Xero Invoice No]))=COUNTIFS(tbl_Finance[Job Number],C177&amp;"",tbl_Finance[Xero Invoice No],"&lt;&gt;"),LOOKUP(2,1/((tbl_Finance[Job Number]&amp;""=C177&amp;"")*(tbl_Finance[Xero Invoice No]&lt;&gt;"")),tbl_Finance[Xero Invoice No]),LOOKUP(2,1/((tbl_Finance[Job Number]&amp;""=C177&amp;"")*(tbl_Finance[Xero Invoice No]&lt;&gt;"")),tbl_Finance[Xero Invoice No])&amp;" +more"),"")))</f>
        <v/>
      </c>
      <c r="C177" s="24" t="n"/>
      <c r="D177" s="25">
        <f>IF(C177="","",IF(COUNTIF(lst_Jobs,C177&amp;"")&gt;0,"OK","CHECK"))</f>
        <v/>
      </c>
      <c r="E177" s="25">
        <f>IF(C177="","",IFERROR(INDEX(lst_JobName,MATCH(C177&amp;"",lst_Jobs,0)),""))</f>
        <v/>
      </c>
      <c r="F177" s="25">
        <f>IF(C177="","",IFERROR(INDEX(tbl_Finance[Client],IFERROR(MATCH(C177&amp;"",tbl_Finance[Job Number],0),MATCH(IFERROR(C177+0,C177),tbl_Finance[Job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6" t="n"/>
      <c r="L177" s="27">
        <f>IF(C177="","",IF(K177="",0,MAX(0,K177-H177)))</f>
        <v/>
      </c>
      <c r="M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N177" s="27">
        <f>IF(C177="","",SUMIFS(tbl_Finance[Inc GST],tbl_Finance[Job Number],C177&amp;""))</f>
        <v/>
      </c>
      <c r="O177" s="24" t="n"/>
      <c r="P177" s="25">
        <f>IF(C177="","",IFERROR(INDEX(tbl_Finance[Description],MATCH(C177&amp;"",tbl_Finance[Job Number],0)),""))</f>
        <v/>
      </c>
      <c r="Q177" s="24" t="n"/>
      <c r="R177" s="24" t="n"/>
      <c r="S177" s="22" t="n"/>
      <c r="T177" s="24" t="n"/>
      <c r="U177" s="25">
        <f>IF(T177="","",IF(AND(LEFT(T177,4)&lt;&gt;"http",set_RMSBase=""),"",HYPERLINK(IF(LEFT(T177,4)="http",T177,set_RMSBase&amp;T177),"Open opportunity")))</f>
        <v/>
      </c>
      <c r="V177" s="24" t="n"/>
      <c r="W177" s="25">
        <f>IF(V177="","",HYPERLINK(IF(LEFT(V177,4)="http",V177,set_QwilrBase&amp;V177),"Open quote"))</f>
        <v/>
      </c>
      <c r="X177" s="25">
        <f>IF(C177="","",C177)</f>
        <v/>
      </c>
      <c r="Y177" s="24" t="n"/>
      <c r="Z177" s="26" t="n"/>
      <c r="AA177" s="27">
        <f>IF(C177="","",H177+N(Z177))</f>
        <v/>
      </c>
      <c r="AB177" s="29">
        <f>IFERROR(Z177/AA177,"")</f>
        <v/>
      </c>
      <c r="AC177" s="26" t="n"/>
      <c r="AD177" s="26" t="n"/>
      <c r="AE177" s="26" t="n"/>
      <c r="AF177" s="26" t="n"/>
      <c r="AG177" s="27">
        <f>IF(C177="","",SUMIFS(tbl_Finance[Ex GST],tbl_Finance[Job Number],C177&amp;"",tbl_Finance[Cost Centre],"VIDEO"))</f>
        <v/>
      </c>
      <c r="AH177" s="29">
        <f>IFERROR(AG177/H177,"")</f>
        <v/>
      </c>
      <c r="AI177" s="27">
        <f>IF(C177="","",N(AC177)+N(AD177)+N(AE177)+N(AF177))</f>
        <v/>
      </c>
      <c r="AJ177" s="27">
        <f>IF(C177="","",H177+L177-AI177)</f>
        <v/>
      </c>
      <c r="AK177" s="29">
        <f>IFERROR(AJ177/(H177+L177),"")</f>
        <v/>
      </c>
      <c r="AL177" s="71" t="n"/>
      <c r="AM177" s="71" t="n"/>
      <c r="AN177" s="71" t="n"/>
      <c r="AO177" s="71" t="n"/>
      <c r="AP177" s="71" t="n"/>
      <c r="AQ177" s="24" t="n"/>
    </row>
    <row r="178" ht="15" customHeight="1">
      <c r="A178" s="70">
        <f>IF(C178="","",IFERROR(IF(SUMPRODUCT(MAX((tbl_Finance[Job Number]&amp;""=C178&amp;"")*(tbl_Finance[Xero Invoice No]&lt;&gt;"")*tbl_Finance[Date]))=0,"",SUMPRODUCT(MAX((tbl_Finance[Job Number]&amp;""=C178&amp;"")*(tbl_Finance[Xero Invoice No]&lt;&gt;"")*tbl_Finance[Date]))),""))</f>
        <v/>
      </c>
      <c r="B178" s="25">
        <f>IF(C178="","",IF(COUNTIFS(tbl_Finance[Job Number],C178&amp;"",tbl_Finance[Xero Invoice No],"&lt;&gt;")=0,"",IFERROR(IF(COUNTIFS(tbl_Finance[Job Number],C178&amp;"",tbl_Finance[Xero Invoice No],LOOKUP(2,1/((tbl_Finance[Job Number]&amp;""=C178&amp;"")*(tbl_Finance[Xero Invoice No]&lt;&gt;"")),tbl_Finance[Xero Invoice No]))=COUNTIFS(tbl_Finance[Job Number],C178&amp;"",tbl_Finance[Xero Invoice No],"&lt;&gt;"),LOOKUP(2,1/((tbl_Finance[Job Number]&amp;""=C178&amp;"")*(tbl_Finance[Xero Invoice No]&lt;&gt;"")),tbl_Finance[Xero Invoice No]),LOOKUP(2,1/((tbl_Finance[Job Number]&amp;""=C178&amp;"")*(tbl_Finance[Xero Invoice No]&lt;&gt;"")),tbl_Finance[Xero Invoice No])&amp;" +more"),"")))</f>
        <v/>
      </c>
      <c r="C178" s="24" t="n"/>
      <c r="D178" s="25">
        <f>IF(C178="","",IF(COUNTIF(lst_Jobs,C178&amp;"")&gt;0,"OK","CHECK"))</f>
        <v/>
      </c>
      <c r="E178" s="25">
        <f>IF(C178="","",IFERROR(INDEX(lst_JobName,MATCH(C178&amp;"",lst_Jobs,0)),""))</f>
        <v/>
      </c>
      <c r="F178" s="25">
        <f>IF(C178="","",IFERROR(INDEX(tbl_Finance[Client],IFERROR(MATCH(C178&amp;"",tbl_Finance[Job Number],0),MATCH(IFERROR(C178+0,C178),tbl_Finance[Job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6" t="n"/>
      <c r="L178" s="27">
        <f>IF(C178="","",IF(K178="",0,MAX(0,K178-H178)))</f>
        <v/>
      </c>
      <c r="M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N178" s="27">
        <f>IF(C178="","",SUMIFS(tbl_Finance[Inc GST],tbl_Finance[Job Number],C178&amp;""))</f>
        <v/>
      </c>
      <c r="O178" s="24" t="n"/>
      <c r="P178" s="25">
        <f>IF(C178="","",IFERROR(INDEX(tbl_Finance[Description],MATCH(C178&amp;"",tbl_Finance[Job Number],0)),""))</f>
        <v/>
      </c>
      <c r="Q178" s="24" t="n"/>
      <c r="R178" s="24" t="n"/>
      <c r="S178" s="22" t="n"/>
      <c r="T178" s="24" t="n"/>
      <c r="U178" s="25">
        <f>IF(T178="","",IF(AND(LEFT(T178,4)&lt;&gt;"http",set_RMSBase=""),"",HYPERLINK(IF(LEFT(T178,4)="http",T178,set_RMSBase&amp;T178),"Open opportunity")))</f>
        <v/>
      </c>
      <c r="V178" s="24" t="n"/>
      <c r="W178" s="25">
        <f>IF(V178="","",HYPERLINK(IF(LEFT(V178,4)="http",V178,set_QwilrBase&amp;V178),"Open quote"))</f>
        <v/>
      </c>
      <c r="X178" s="25">
        <f>IF(C178="","",C178)</f>
        <v/>
      </c>
      <c r="Y178" s="24" t="n"/>
      <c r="Z178" s="26" t="n"/>
      <c r="AA178" s="27">
        <f>IF(C178="","",H178+N(Z178))</f>
        <v/>
      </c>
      <c r="AB178" s="29">
        <f>IFERROR(Z178/AA178,"")</f>
        <v/>
      </c>
      <c r="AC178" s="26" t="n"/>
      <c r="AD178" s="26" t="n"/>
      <c r="AE178" s="26" t="n"/>
      <c r="AF178" s="26" t="n"/>
      <c r="AG178" s="27">
        <f>IF(C178="","",SUMIFS(tbl_Finance[Ex GST],tbl_Finance[Job Number],C178&amp;"",tbl_Finance[Cost Centre],"VIDEO"))</f>
        <v/>
      </c>
      <c r="AH178" s="29">
        <f>IFERROR(AG178/H178,"")</f>
        <v/>
      </c>
      <c r="AI178" s="27">
        <f>IF(C178="","",N(AC178)+N(AD178)+N(AE178)+N(AF178))</f>
        <v/>
      </c>
      <c r="AJ178" s="27">
        <f>IF(C178="","",H178+L178-AI178)</f>
        <v/>
      </c>
      <c r="AK178" s="29">
        <f>IFERROR(AJ178/(H178+L178),"")</f>
        <v/>
      </c>
      <c r="AL178" s="71" t="n"/>
      <c r="AM178" s="71" t="n"/>
      <c r="AN178" s="71" t="n"/>
      <c r="AO178" s="71" t="n"/>
      <c r="AP178" s="71" t="n"/>
      <c r="AQ178" s="24" t="n"/>
    </row>
    <row r="179" ht="15" customHeight="1">
      <c r="A179" s="70">
        <f>IF(C179="","",IFERROR(IF(SUMPRODUCT(MAX((tbl_Finance[Job Number]&amp;""=C179&amp;"")*(tbl_Finance[Xero Invoice No]&lt;&gt;"")*tbl_Finance[Date]))=0,"",SUMPRODUCT(MAX((tbl_Finance[Job Number]&amp;""=C179&amp;"")*(tbl_Finance[Xero Invoice No]&lt;&gt;"")*tbl_Finance[Date]))),""))</f>
        <v/>
      </c>
      <c r="B179" s="25">
        <f>IF(C179="","",IF(COUNTIFS(tbl_Finance[Job Number],C179&amp;"",tbl_Finance[Xero Invoice No],"&lt;&gt;")=0,"",IFERROR(IF(COUNTIFS(tbl_Finance[Job Number],C179&amp;"",tbl_Finance[Xero Invoice No],LOOKUP(2,1/((tbl_Finance[Job Number]&amp;""=C179&amp;"")*(tbl_Finance[Xero Invoice No]&lt;&gt;"")),tbl_Finance[Xero Invoice No]))=COUNTIFS(tbl_Finance[Job Number],C179&amp;"",tbl_Finance[Xero Invoice No],"&lt;&gt;"),LOOKUP(2,1/((tbl_Finance[Job Number]&amp;""=C179&amp;"")*(tbl_Finance[Xero Invoice No]&lt;&gt;"")),tbl_Finance[Xero Invoice No]),LOOKUP(2,1/((tbl_Finance[Job Number]&amp;""=C179&amp;"")*(tbl_Finance[Xero Invoice No]&lt;&gt;"")),tbl_Finance[Xero Invoice No])&amp;" +more"),"")))</f>
        <v/>
      </c>
      <c r="C179" s="24" t="n"/>
      <c r="D179" s="25">
        <f>IF(C179="","",IF(COUNTIF(lst_Jobs,C179&amp;"")&gt;0,"OK","CHECK"))</f>
        <v/>
      </c>
      <c r="E179" s="25">
        <f>IF(C179="","",IFERROR(INDEX(lst_JobName,MATCH(C179&amp;"",lst_Jobs,0)),""))</f>
        <v/>
      </c>
      <c r="F179" s="25">
        <f>IF(C179="","",IFERROR(INDEX(tbl_Finance[Client],IFERROR(MATCH(C179&amp;"",tbl_Finance[Job Number],0),MATCH(IFERROR(C179+0,C179),tbl_Finance[Job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6" t="n"/>
      <c r="L179" s="27">
        <f>IF(C179="","",IF(K179="",0,MAX(0,K179-H179)))</f>
        <v/>
      </c>
      <c r="M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N179" s="27">
        <f>IF(C179="","",SUMIFS(tbl_Finance[Inc GST],tbl_Finance[Job Number],C179&amp;""))</f>
        <v/>
      </c>
      <c r="O179" s="24" t="n"/>
      <c r="P179" s="25">
        <f>IF(C179="","",IFERROR(INDEX(tbl_Finance[Description],MATCH(C179&amp;"",tbl_Finance[Job Number],0)),""))</f>
        <v/>
      </c>
      <c r="Q179" s="24" t="n"/>
      <c r="R179" s="24" t="n"/>
      <c r="S179" s="22" t="n"/>
      <c r="T179" s="24" t="n"/>
      <c r="U179" s="25">
        <f>IF(T179="","",IF(AND(LEFT(T179,4)&lt;&gt;"http",set_RMSBase=""),"",HYPERLINK(IF(LEFT(T179,4)="http",T179,set_RMSBase&amp;T179),"Open opportunity")))</f>
        <v/>
      </c>
      <c r="V179" s="24" t="n"/>
      <c r="W179" s="25">
        <f>IF(V179="","",HYPERLINK(IF(LEFT(V179,4)="http",V179,set_QwilrBase&amp;V179),"Open quote"))</f>
        <v/>
      </c>
      <c r="X179" s="25">
        <f>IF(C179="","",C179)</f>
        <v/>
      </c>
      <c r="Y179" s="24" t="n"/>
      <c r="Z179" s="26" t="n"/>
      <c r="AA179" s="27">
        <f>IF(C179="","",H179+N(Z179))</f>
        <v/>
      </c>
      <c r="AB179" s="29">
        <f>IFERROR(Z179/AA179,"")</f>
        <v/>
      </c>
      <c r="AC179" s="26" t="n"/>
      <c r="AD179" s="26" t="n"/>
      <c r="AE179" s="26" t="n"/>
      <c r="AF179" s="26" t="n"/>
      <c r="AG179" s="27">
        <f>IF(C179="","",SUMIFS(tbl_Finance[Ex GST],tbl_Finance[Job Number],C179&amp;"",tbl_Finance[Cost Centre],"VIDEO"))</f>
        <v/>
      </c>
      <c r="AH179" s="29">
        <f>IFERROR(AG179/H179,"")</f>
        <v/>
      </c>
      <c r="AI179" s="27">
        <f>IF(C179="","",N(AC179)+N(AD179)+N(AE179)+N(AF179))</f>
        <v/>
      </c>
      <c r="AJ179" s="27">
        <f>IF(C179="","",H179+L179-AI179)</f>
        <v/>
      </c>
      <c r="AK179" s="29">
        <f>IFERROR(AJ179/(H179+L179),"")</f>
        <v/>
      </c>
      <c r="AL179" s="71" t="n"/>
      <c r="AM179" s="71" t="n"/>
      <c r="AN179" s="71" t="n"/>
      <c r="AO179" s="71" t="n"/>
      <c r="AP179" s="71" t="n"/>
      <c r="AQ179" s="24" t="n"/>
    </row>
    <row r="180" ht="15" customHeight="1">
      <c r="A180" s="70">
        <f>IF(C180="","",IFERROR(IF(SUMPRODUCT(MAX((tbl_Finance[Job Number]&amp;""=C180&amp;"")*(tbl_Finance[Xero Invoice No]&lt;&gt;"")*tbl_Finance[Date]))=0,"",SUMPRODUCT(MAX((tbl_Finance[Job Number]&amp;""=C180&amp;"")*(tbl_Finance[Xero Invoice No]&lt;&gt;"")*tbl_Finance[Date]))),""))</f>
        <v/>
      </c>
      <c r="B180" s="25">
        <f>IF(C180="","",IF(COUNTIFS(tbl_Finance[Job Number],C180&amp;"",tbl_Finance[Xero Invoice No],"&lt;&gt;")=0,"",IFERROR(IF(COUNTIFS(tbl_Finance[Job Number],C180&amp;"",tbl_Finance[Xero Invoice No],LOOKUP(2,1/((tbl_Finance[Job Number]&amp;""=C180&amp;"")*(tbl_Finance[Xero Invoice No]&lt;&gt;"")),tbl_Finance[Xero Invoice No]))=COUNTIFS(tbl_Finance[Job Number],C180&amp;"",tbl_Finance[Xero Invoice No],"&lt;&gt;"),LOOKUP(2,1/((tbl_Finance[Job Number]&amp;""=C180&amp;"")*(tbl_Finance[Xero Invoice No]&lt;&gt;"")),tbl_Finance[Xero Invoice No]),LOOKUP(2,1/((tbl_Finance[Job Number]&amp;""=C180&amp;"")*(tbl_Finance[Xero Invoice No]&lt;&gt;"")),tbl_Finance[Xero Invoice No])&amp;" +more"),"")))</f>
        <v/>
      </c>
      <c r="C180" s="24" t="n"/>
      <c r="D180" s="25">
        <f>IF(C180="","",IF(COUNTIF(lst_Jobs,C180&amp;"")&gt;0,"OK","CHECK"))</f>
        <v/>
      </c>
      <c r="E180" s="25">
        <f>IF(C180="","",IFERROR(INDEX(lst_JobName,MATCH(C180&amp;"",lst_Jobs,0)),""))</f>
        <v/>
      </c>
      <c r="F180" s="25">
        <f>IF(C180="","",IFERROR(INDEX(tbl_Finance[Client],IFERROR(MATCH(C180&amp;"",tbl_Finance[Job Number],0),MATCH(IFERROR(C180+0,C180),tbl_Finance[Job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6" t="n"/>
      <c r="L180" s="27">
        <f>IF(C180="","",IF(K180="",0,MAX(0,K180-H180)))</f>
        <v/>
      </c>
      <c r="M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N180" s="27">
        <f>IF(C180="","",SUMIFS(tbl_Finance[Inc GST],tbl_Finance[Job Number],C180&amp;""))</f>
        <v/>
      </c>
      <c r="O180" s="24" t="n"/>
      <c r="P180" s="25">
        <f>IF(C180="","",IFERROR(INDEX(tbl_Finance[Description],MATCH(C180&amp;"",tbl_Finance[Job Number],0)),""))</f>
        <v/>
      </c>
      <c r="Q180" s="24" t="n"/>
      <c r="R180" s="24" t="n"/>
      <c r="S180" s="22" t="n"/>
      <c r="T180" s="24" t="n"/>
      <c r="U180" s="25">
        <f>IF(T180="","",IF(AND(LEFT(T180,4)&lt;&gt;"http",set_RMSBase=""),"",HYPERLINK(IF(LEFT(T180,4)="http",T180,set_RMSBase&amp;T180),"Open opportunity")))</f>
        <v/>
      </c>
      <c r="V180" s="24" t="n"/>
      <c r="W180" s="25">
        <f>IF(V180="","",HYPERLINK(IF(LEFT(V180,4)="http",V180,set_QwilrBase&amp;V180),"Open quote"))</f>
        <v/>
      </c>
      <c r="X180" s="25">
        <f>IF(C180="","",C180)</f>
        <v/>
      </c>
      <c r="Y180" s="24" t="n"/>
      <c r="Z180" s="26" t="n"/>
      <c r="AA180" s="27">
        <f>IF(C180="","",H180+N(Z180))</f>
        <v/>
      </c>
      <c r="AB180" s="29">
        <f>IFERROR(Z180/AA180,"")</f>
        <v/>
      </c>
      <c r="AC180" s="26" t="n"/>
      <c r="AD180" s="26" t="n"/>
      <c r="AE180" s="26" t="n"/>
      <c r="AF180" s="26" t="n"/>
      <c r="AG180" s="27">
        <f>IF(C180="","",SUMIFS(tbl_Finance[Ex GST],tbl_Finance[Job Number],C180&amp;"",tbl_Finance[Cost Centre],"VIDEO"))</f>
        <v/>
      </c>
      <c r="AH180" s="29">
        <f>IFERROR(AG180/H180,"")</f>
        <v/>
      </c>
      <c r="AI180" s="27">
        <f>IF(C180="","",N(AC180)+N(AD180)+N(AE180)+N(AF180))</f>
        <v/>
      </c>
      <c r="AJ180" s="27">
        <f>IF(C180="","",H180+L180-AI180)</f>
        <v/>
      </c>
      <c r="AK180" s="29">
        <f>IFERROR(AJ180/(H180+L180),"")</f>
        <v/>
      </c>
      <c r="AL180" s="71" t="n"/>
      <c r="AM180" s="71" t="n"/>
      <c r="AN180" s="71" t="n"/>
      <c r="AO180" s="71" t="n"/>
      <c r="AP180" s="71" t="n"/>
      <c r="AQ180" s="24" t="n"/>
    </row>
    <row r="181" ht="15" customHeight="1">
      <c r="A181" s="70">
        <f>IF(C181="","",IFERROR(IF(SUMPRODUCT(MAX((tbl_Finance[Job Number]&amp;""=C181&amp;"")*(tbl_Finance[Xero Invoice No]&lt;&gt;"")*tbl_Finance[Date]))=0,"",SUMPRODUCT(MAX((tbl_Finance[Job Number]&amp;""=C181&amp;"")*(tbl_Finance[Xero Invoice No]&lt;&gt;"")*tbl_Finance[Date]))),""))</f>
        <v/>
      </c>
      <c r="B181" s="25">
        <f>IF(C181="","",IF(COUNTIFS(tbl_Finance[Job Number],C181&amp;"",tbl_Finance[Xero Invoice No],"&lt;&gt;")=0,"",IFERROR(IF(COUNTIFS(tbl_Finance[Job Number],C181&amp;"",tbl_Finance[Xero Invoice No],LOOKUP(2,1/((tbl_Finance[Job Number]&amp;""=C181&amp;"")*(tbl_Finance[Xero Invoice No]&lt;&gt;"")),tbl_Finance[Xero Invoice No]))=COUNTIFS(tbl_Finance[Job Number],C181&amp;"",tbl_Finance[Xero Invoice No],"&lt;&gt;"),LOOKUP(2,1/((tbl_Finance[Job Number]&amp;""=C181&amp;"")*(tbl_Finance[Xero Invoice No]&lt;&gt;"")),tbl_Finance[Xero Invoice No]),LOOKUP(2,1/((tbl_Finance[Job Number]&amp;""=C181&amp;"")*(tbl_Finance[Xero Invoice No]&lt;&gt;"")),tbl_Finance[Xero Invoice No])&amp;" +more"),"")))</f>
        <v/>
      </c>
      <c r="C181" s="24" t="n"/>
      <c r="D181" s="25">
        <f>IF(C181="","",IF(COUNTIF(lst_Jobs,C181&amp;"")&gt;0,"OK","CHECK"))</f>
        <v/>
      </c>
      <c r="E181" s="25">
        <f>IF(C181="","",IFERROR(INDEX(lst_JobName,MATCH(C181&amp;"",lst_Jobs,0)),""))</f>
        <v/>
      </c>
      <c r="F181" s="25">
        <f>IF(C181="","",IFERROR(INDEX(tbl_Finance[Client],IFERROR(MATCH(C181&amp;"",tbl_Finance[Job Number],0),MATCH(IFERROR(C181+0,C181),tbl_Finance[Job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6" t="n"/>
      <c r="L181" s="27">
        <f>IF(C181="","",IF(K181="",0,MAX(0,K181-H181)))</f>
        <v/>
      </c>
      <c r="M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N181" s="27">
        <f>IF(C181="","",SUMIFS(tbl_Finance[Inc GST],tbl_Finance[Job Number],C181&amp;""))</f>
        <v/>
      </c>
      <c r="O181" s="24" t="n"/>
      <c r="P181" s="25">
        <f>IF(C181="","",IFERROR(INDEX(tbl_Finance[Description],MATCH(C181&amp;"",tbl_Finance[Job Number],0)),""))</f>
        <v/>
      </c>
      <c r="Q181" s="24" t="n"/>
      <c r="R181" s="24" t="n"/>
      <c r="S181" s="22" t="n"/>
      <c r="T181" s="24" t="n"/>
      <c r="U181" s="25">
        <f>IF(T181="","",IF(AND(LEFT(T181,4)&lt;&gt;"http",set_RMSBase=""),"",HYPERLINK(IF(LEFT(T181,4)="http",T181,set_RMSBase&amp;T181),"Open opportunity")))</f>
        <v/>
      </c>
      <c r="V181" s="24" t="n"/>
      <c r="W181" s="25">
        <f>IF(V181="","",HYPERLINK(IF(LEFT(V181,4)="http",V181,set_QwilrBase&amp;V181),"Open quote"))</f>
        <v/>
      </c>
      <c r="X181" s="25">
        <f>IF(C181="","",C181)</f>
        <v/>
      </c>
      <c r="Y181" s="24" t="n"/>
      <c r="Z181" s="26" t="n"/>
      <c r="AA181" s="27">
        <f>IF(C181="","",H181+N(Z181))</f>
        <v/>
      </c>
      <c r="AB181" s="29">
        <f>IFERROR(Z181/AA181,"")</f>
        <v/>
      </c>
      <c r="AC181" s="26" t="n"/>
      <c r="AD181" s="26" t="n"/>
      <c r="AE181" s="26" t="n"/>
      <c r="AF181" s="26" t="n"/>
      <c r="AG181" s="27">
        <f>IF(C181="","",SUMIFS(tbl_Finance[Ex GST],tbl_Finance[Job Number],C181&amp;"",tbl_Finance[Cost Centre],"VIDEO"))</f>
        <v/>
      </c>
      <c r="AH181" s="29">
        <f>IFERROR(AG181/H181,"")</f>
        <v/>
      </c>
      <c r="AI181" s="27">
        <f>IF(C181="","",N(AC181)+N(AD181)+N(AE181)+N(AF181))</f>
        <v/>
      </c>
      <c r="AJ181" s="27">
        <f>IF(C181="","",H181+L181-AI181)</f>
        <v/>
      </c>
      <c r="AK181" s="29">
        <f>IFERROR(AJ181/(H181+L181),"")</f>
        <v/>
      </c>
      <c r="AL181" s="71" t="n"/>
      <c r="AM181" s="71" t="n"/>
      <c r="AN181" s="71" t="n"/>
      <c r="AO181" s="71" t="n"/>
      <c r="AP181" s="71" t="n"/>
      <c r="AQ181" s="24" t="n"/>
    </row>
    <row r="182" ht="15" customHeight="1">
      <c r="A182" s="70">
        <f>IF(C182="","",IFERROR(IF(SUMPRODUCT(MAX((tbl_Finance[Job Number]&amp;""=C182&amp;"")*(tbl_Finance[Xero Invoice No]&lt;&gt;"")*tbl_Finance[Date]))=0,"",SUMPRODUCT(MAX((tbl_Finance[Job Number]&amp;""=C182&amp;"")*(tbl_Finance[Xero Invoice No]&lt;&gt;"")*tbl_Finance[Date]))),""))</f>
        <v/>
      </c>
      <c r="B182" s="25">
        <f>IF(C182="","",IF(COUNTIFS(tbl_Finance[Job Number],C182&amp;"",tbl_Finance[Xero Invoice No],"&lt;&gt;")=0,"",IFERROR(IF(COUNTIFS(tbl_Finance[Job Number],C182&amp;"",tbl_Finance[Xero Invoice No],LOOKUP(2,1/((tbl_Finance[Job Number]&amp;""=C182&amp;"")*(tbl_Finance[Xero Invoice No]&lt;&gt;"")),tbl_Finance[Xero Invoice No]))=COUNTIFS(tbl_Finance[Job Number],C182&amp;"",tbl_Finance[Xero Invoice No],"&lt;&gt;"),LOOKUP(2,1/((tbl_Finance[Job Number]&amp;""=C182&amp;"")*(tbl_Finance[Xero Invoice No]&lt;&gt;"")),tbl_Finance[Xero Invoice No]),LOOKUP(2,1/((tbl_Finance[Job Number]&amp;""=C182&amp;"")*(tbl_Finance[Xero Invoice No]&lt;&gt;"")),tbl_Finance[Xero Invoice No])&amp;" +more"),"")))</f>
        <v/>
      </c>
      <c r="C182" s="24" t="n"/>
      <c r="D182" s="25">
        <f>IF(C182="","",IF(COUNTIF(lst_Jobs,C182&amp;"")&gt;0,"OK","CHECK"))</f>
        <v/>
      </c>
      <c r="E182" s="25">
        <f>IF(C182="","",IFERROR(INDEX(lst_JobName,MATCH(C182&amp;"",lst_Jobs,0)),""))</f>
        <v/>
      </c>
      <c r="F182" s="25">
        <f>IF(C182="","",IFERROR(INDEX(tbl_Finance[Client],IFERROR(MATCH(C182&amp;"",tbl_Finance[Job Number],0),MATCH(IFERROR(C182+0,C182),tbl_Finance[Job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6" t="n"/>
      <c r="L182" s="27">
        <f>IF(C182="","",IF(K182="",0,MAX(0,K182-H182)))</f>
        <v/>
      </c>
      <c r="M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N182" s="27">
        <f>IF(C182="","",SUMIFS(tbl_Finance[Inc GST],tbl_Finance[Job Number],C182&amp;""))</f>
        <v/>
      </c>
      <c r="O182" s="24" t="n"/>
      <c r="P182" s="25">
        <f>IF(C182="","",IFERROR(INDEX(tbl_Finance[Description],MATCH(C182&amp;"",tbl_Finance[Job Number],0)),""))</f>
        <v/>
      </c>
      <c r="Q182" s="24" t="n"/>
      <c r="R182" s="24" t="n"/>
      <c r="S182" s="22" t="n"/>
      <c r="T182" s="24" t="n"/>
      <c r="U182" s="25">
        <f>IF(T182="","",IF(AND(LEFT(T182,4)&lt;&gt;"http",set_RMSBase=""),"",HYPERLINK(IF(LEFT(T182,4)="http",T182,set_RMSBase&amp;T182),"Open opportunity")))</f>
        <v/>
      </c>
      <c r="V182" s="24" t="n"/>
      <c r="W182" s="25">
        <f>IF(V182="","",HYPERLINK(IF(LEFT(V182,4)="http",V182,set_QwilrBase&amp;V182),"Open quote"))</f>
        <v/>
      </c>
      <c r="X182" s="25">
        <f>IF(C182="","",C182)</f>
        <v/>
      </c>
      <c r="Y182" s="24" t="n"/>
      <c r="Z182" s="26" t="n"/>
      <c r="AA182" s="27">
        <f>IF(C182="","",H182+N(Z182))</f>
        <v/>
      </c>
      <c r="AB182" s="29">
        <f>IFERROR(Z182/AA182,"")</f>
        <v/>
      </c>
      <c r="AC182" s="26" t="n"/>
      <c r="AD182" s="26" t="n"/>
      <c r="AE182" s="26" t="n"/>
      <c r="AF182" s="26" t="n"/>
      <c r="AG182" s="27">
        <f>IF(C182="","",SUMIFS(tbl_Finance[Ex GST],tbl_Finance[Job Number],C182&amp;"",tbl_Finance[Cost Centre],"VIDEO"))</f>
        <v/>
      </c>
      <c r="AH182" s="29">
        <f>IFERROR(AG182/H182,"")</f>
        <v/>
      </c>
      <c r="AI182" s="27">
        <f>IF(C182="","",N(AC182)+N(AD182)+N(AE182)+N(AF182))</f>
        <v/>
      </c>
      <c r="AJ182" s="27">
        <f>IF(C182="","",H182+L182-AI182)</f>
        <v/>
      </c>
      <c r="AK182" s="29">
        <f>IFERROR(AJ182/(H182+L182),"")</f>
        <v/>
      </c>
      <c r="AL182" s="71" t="n"/>
      <c r="AM182" s="71" t="n"/>
      <c r="AN182" s="71" t="n"/>
      <c r="AO182" s="71" t="n"/>
      <c r="AP182" s="71" t="n"/>
      <c r="AQ182" s="24" t="n"/>
    </row>
    <row r="183" ht="15" customHeight="1">
      <c r="A183" s="70">
        <f>IF(C183="","",IFERROR(IF(SUMPRODUCT(MAX((tbl_Finance[Job Number]&amp;""=C183&amp;"")*(tbl_Finance[Xero Invoice No]&lt;&gt;"")*tbl_Finance[Date]))=0,"",SUMPRODUCT(MAX((tbl_Finance[Job Number]&amp;""=C183&amp;"")*(tbl_Finance[Xero Invoice No]&lt;&gt;"")*tbl_Finance[Date]))),""))</f>
        <v/>
      </c>
      <c r="B183" s="25">
        <f>IF(C183="","",IF(COUNTIFS(tbl_Finance[Job Number],C183&amp;"",tbl_Finance[Xero Invoice No],"&lt;&gt;")=0,"",IFERROR(IF(COUNTIFS(tbl_Finance[Job Number],C183&amp;"",tbl_Finance[Xero Invoice No],LOOKUP(2,1/((tbl_Finance[Job Number]&amp;""=C183&amp;"")*(tbl_Finance[Xero Invoice No]&lt;&gt;"")),tbl_Finance[Xero Invoice No]))=COUNTIFS(tbl_Finance[Job Number],C183&amp;"",tbl_Finance[Xero Invoice No],"&lt;&gt;"),LOOKUP(2,1/((tbl_Finance[Job Number]&amp;""=C183&amp;"")*(tbl_Finance[Xero Invoice No]&lt;&gt;"")),tbl_Finance[Xero Invoice No]),LOOKUP(2,1/((tbl_Finance[Job Number]&amp;""=C183&amp;"")*(tbl_Finance[Xero Invoice No]&lt;&gt;"")),tbl_Finance[Xero Invoice No])&amp;" +more"),"")))</f>
        <v/>
      </c>
      <c r="C183" s="24" t="n"/>
      <c r="D183" s="25">
        <f>IF(C183="","",IF(COUNTIF(lst_Jobs,C183&amp;"")&gt;0,"OK","CHECK"))</f>
        <v/>
      </c>
      <c r="E183" s="25">
        <f>IF(C183="","",IFERROR(INDEX(lst_JobName,MATCH(C183&amp;"",lst_Jobs,0)),""))</f>
        <v/>
      </c>
      <c r="F183" s="25">
        <f>IF(C183="","",IFERROR(INDEX(tbl_Finance[Client],IFERROR(MATCH(C183&amp;"",tbl_Finance[Job Number],0),MATCH(IFERROR(C183+0,C183),tbl_Finance[Job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6" t="n"/>
      <c r="L183" s="27">
        <f>IF(C183="","",IF(K183="",0,MAX(0,K183-H183)))</f>
        <v/>
      </c>
      <c r="M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N183" s="27">
        <f>IF(C183="","",SUMIFS(tbl_Finance[Inc GST],tbl_Finance[Job Number],C183&amp;""))</f>
        <v/>
      </c>
      <c r="O183" s="24" t="n"/>
      <c r="P183" s="25">
        <f>IF(C183="","",IFERROR(INDEX(tbl_Finance[Description],MATCH(C183&amp;"",tbl_Finance[Job Number],0)),""))</f>
        <v/>
      </c>
      <c r="Q183" s="24" t="n"/>
      <c r="R183" s="24" t="n"/>
      <c r="S183" s="22" t="n"/>
      <c r="T183" s="24" t="n"/>
      <c r="U183" s="25">
        <f>IF(T183="","",IF(AND(LEFT(T183,4)&lt;&gt;"http",set_RMSBase=""),"",HYPERLINK(IF(LEFT(T183,4)="http",T183,set_RMSBase&amp;T183),"Open opportunity")))</f>
        <v/>
      </c>
      <c r="V183" s="24" t="n"/>
      <c r="W183" s="25">
        <f>IF(V183="","",HYPERLINK(IF(LEFT(V183,4)="http",V183,set_QwilrBase&amp;V183),"Open quote"))</f>
        <v/>
      </c>
      <c r="X183" s="25">
        <f>IF(C183="","",C183)</f>
        <v/>
      </c>
      <c r="Y183" s="24" t="n"/>
      <c r="Z183" s="26" t="n"/>
      <c r="AA183" s="27">
        <f>IF(C183="","",H183+N(Z183))</f>
        <v/>
      </c>
      <c r="AB183" s="29">
        <f>IFERROR(Z183/AA183,"")</f>
        <v/>
      </c>
      <c r="AC183" s="26" t="n"/>
      <c r="AD183" s="26" t="n"/>
      <c r="AE183" s="26" t="n"/>
      <c r="AF183" s="26" t="n"/>
      <c r="AG183" s="27">
        <f>IF(C183="","",SUMIFS(tbl_Finance[Ex GST],tbl_Finance[Job Number],C183&amp;"",tbl_Finance[Cost Centre],"VIDEO"))</f>
        <v/>
      </c>
      <c r="AH183" s="29">
        <f>IFERROR(AG183/H183,"")</f>
        <v/>
      </c>
      <c r="AI183" s="27">
        <f>IF(C183="","",N(AC183)+N(AD183)+N(AE183)+N(AF183))</f>
        <v/>
      </c>
      <c r="AJ183" s="27">
        <f>IF(C183="","",H183+L183-AI183)</f>
        <v/>
      </c>
      <c r="AK183" s="29">
        <f>IFERROR(AJ183/(H183+L183),"")</f>
        <v/>
      </c>
      <c r="AL183" s="71" t="n"/>
      <c r="AM183" s="71" t="n"/>
      <c r="AN183" s="71" t="n"/>
      <c r="AO183" s="71" t="n"/>
      <c r="AP183" s="71" t="n"/>
      <c r="AQ183" s="24" t="n"/>
    </row>
    <row r="184" ht="15" customHeight="1">
      <c r="A184" s="70">
        <f>IF(C184="","",IFERROR(IF(SUMPRODUCT(MAX((tbl_Finance[Job Number]&amp;""=C184&amp;"")*(tbl_Finance[Xero Invoice No]&lt;&gt;"")*tbl_Finance[Date]))=0,"",SUMPRODUCT(MAX((tbl_Finance[Job Number]&amp;""=C184&amp;"")*(tbl_Finance[Xero Invoice No]&lt;&gt;"")*tbl_Finance[Date]))),""))</f>
        <v/>
      </c>
      <c r="B184" s="25">
        <f>IF(C184="","",IF(COUNTIFS(tbl_Finance[Job Number],C184&amp;"",tbl_Finance[Xero Invoice No],"&lt;&gt;")=0,"",IFERROR(IF(COUNTIFS(tbl_Finance[Job Number],C184&amp;"",tbl_Finance[Xero Invoice No],LOOKUP(2,1/((tbl_Finance[Job Number]&amp;""=C184&amp;"")*(tbl_Finance[Xero Invoice No]&lt;&gt;"")),tbl_Finance[Xero Invoice No]))=COUNTIFS(tbl_Finance[Job Number],C184&amp;"",tbl_Finance[Xero Invoice No],"&lt;&gt;"),LOOKUP(2,1/((tbl_Finance[Job Number]&amp;""=C184&amp;"")*(tbl_Finance[Xero Invoice No]&lt;&gt;"")),tbl_Finance[Xero Invoice No]),LOOKUP(2,1/((tbl_Finance[Job Number]&amp;""=C184&amp;"")*(tbl_Finance[Xero Invoice No]&lt;&gt;"")),tbl_Finance[Xero Invoice No])&amp;" +more"),"")))</f>
        <v/>
      </c>
      <c r="C184" s="24" t="n"/>
      <c r="D184" s="25">
        <f>IF(C184="","",IF(COUNTIF(lst_Jobs,C184&amp;"")&gt;0,"OK","CHECK"))</f>
        <v/>
      </c>
      <c r="E184" s="25">
        <f>IF(C184="","",IFERROR(INDEX(lst_JobName,MATCH(C184&amp;"",lst_Jobs,0)),""))</f>
        <v/>
      </c>
      <c r="F184" s="25">
        <f>IF(C184="","",IFERROR(INDEX(tbl_Finance[Client],IFERROR(MATCH(C184&amp;"",tbl_Finance[Job Number],0),MATCH(IFERROR(C184+0,C184),tbl_Finance[Job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6" t="n"/>
      <c r="L184" s="27">
        <f>IF(C184="","",IF(K184="",0,MAX(0,K184-H184)))</f>
        <v/>
      </c>
      <c r="M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N184" s="27">
        <f>IF(C184="","",SUMIFS(tbl_Finance[Inc GST],tbl_Finance[Job Number],C184&amp;""))</f>
        <v/>
      </c>
      <c r="O184" s="24" t="n"/>
      <c r="P184" s="25">
        <f>IF(C184="","",IFERROR(INDEX(tbl_Finance[Description],MATCH(C184&amp;"",tbl_Finance[Job Number],0)),""))</f>
        <v/>
      </c>
      <c r="Q184" s="24" t="n"/>
      <c r="R184" s="24" t="n"/>
      <c r="S184" s="22" t="n"/>
      <c r="T184" s="24" t="n"/>
      <c r="U184" s="25">
        <f>IF(T184="","",IF(AND(LEFT(T184,4)&lt;&gt;"http",set_RMSBase=""),"",HYPERLINK(IF(LEFT(T184,4)="http",T184,set_RMSBase&amp;T184),"Open opportunity")))</f>
        <v/>
      </c>
      <c r="V184" s="24" t="n"/>
      <c r="W184" s="25">
        <f>IF(V184="","",HYPERLINK(IF(LEFT(V184,4)="http",V184,set_QwilrBase&amp;V184),"Open quote"))</f>
        <v/>
      </c>
      <c r="X184" s="25">
        <f>IF(C184="","",C184)</f>
        <v/>
      </c>
      <c r="Y184" s="24" t="n"/>
      <c r="Z184" s="26" t="n"/>
      <c r="AA184" s="27">
        <f>IF(C184="","",H184+N(Z184))</f>
        <v/>
      </c>
      <c r="AB184" s="29">
        <f>IFERROR(Z184/AA184,"")</f>
        <v/>
      </c>
      <c r="AC184" s="26" t="n"/>
      <c r="AD184" s="26" t="n"/>
      <c r="AE184" s="26" t="n"/>
      <c r="AF184" s="26" t="n"/>
      <c r="AG184" s="27">
        <f>IF(C184="","",SUMIFS(tbl_Finance[Ex GST],tbl_Finance[Job Number],C184&amp;"",tbl_Finance[Cost Centre],"VIDEO"))</f>
        <v/>
      </c>
      <c r="AH184" s="29">
        <f>IFERROR(AG184/H184,"")</f>
        <v/>
      </c>
      <c r="AI184" s="27">
        <f>IF(C184="","",N(AC184)+N(AD184)+N(AE184)+N(AF184))</f>
        <v/>
      </c>
      <c r="AJ184" s="27">
        <f>IF(C184="","",H184+L184-AI184)</f>
        <v/>
      </c>
      <c r="AK184" s="29">
        <f>IFERROR(AJ184/(H184+L184),"")</f>
        <v/>
      </c>
      <c r="AL184" s="71" t="n"/>
      <c r="AM184" s="71" t="n"/>
      <c r="AN184" s="71" t="n"/>
      <c r="AO184" s="71" t="n"/>
      <c r="AP184" s="71" t="n"/>
      <c r="AQ184" s="24" t="n"/>
    </row>
    <row r="185" ht="15" customHeight="1">
      <c r="A185" s="70">
        <f>IF(C185="","",IFERROR(IF(SUMPRODUCT(MAX((tbl_Finance[Job Number]&amp;""=C185&amp;"")*(tbl_Finance[Xero Invoice No]&lt;&gt;"")*tbl_Finance[Date]))=0,"",SUMPRODUCT(MAX((tbl_Finance[Job Number]&amp;""=C185&amp;"")*(tbl_Finance[Xero Invoice No]&lt;&gt;"")*tbl_Finance[Date]))),""))</f>
        <v/>
      </c>
      <c r="B185" s="25">
        <f>IF(C185="","",IF(COUNTIFS(tbl_Finance[Job Number],C185&amp;"",tbl_Finance[Xero Invoice No],"&lt;&gt;")=0,"",IFERROR(IF(COUNTIFS(tbl_Finance[Job Number],C185&amp;"",tbl_Finance[Xero Invoice No],LOOKUP(2,1/((tbl_Finance[Job Number]&amp;""=C185&amp;"")*(tbl_Finance[Xero Invoice No]&lt;&gt;"")),tbl_Finance[Xero Invoice No]))=COUNTIFS(tbl_Finance[Job Number],C185&amp;"",tbl_Finance[Xero Invoice No],"&lt;&gt;"),LOOKUP(2,1/((tbl_Finance[Job Number]&amp;""=C185&amp;"")*(tbl_Finance[Xero Invoice No]&lt;&gt;"")),tbl_Finance[Xero Invoice No]),LOOKUP(2,1/((tbl_Finance[Job Number]&amp;""=C185&amp;"")*(tbl_Finance[Xero Invoice No]&lt;&gt;"")),tbl_Finance[Xero Invoice No])&amp;" +more"),"")))</f>
        <v/>
      </c>
      <c r="C185" s="24" t="n"/>
      <c r="D185" s="25">
        <f>IF(C185="","",IF(COUNTIF(lst_Jobs,C185&amp;"")&gt;0,"OK","CHECK"))</f>
        <v/>
      </c>
      <c r="E185" s="25">
        <f>IF(C185="","",IFERROR(INDEX(lst_JobName,MATCH(C185&amp;"",lst_Jobs,0)),""))</f>
        <v/>
      </c>
      <c r="F185" s="25">
        <f>IF(C185="","",IFERROR(INDEX(tbl_Finance[Client],IFERROR(MATCH(C185&amp;"",tbl_Finance[Job Number],0),MATCH(IFERROR(C185+0,C185),tbl_Finance[Job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6" t="n"/>
      <c r="L185" s="27">
        <f>IF(C185="","",IF(K185="",0,MAX(0,K185-H185)))</f>
        <v/>
      </c>
      <c r="M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N185" s="27">
        <f>IF(C185="","",SUMIFS(tbl_Finance[Inc GST],tbl_Finance[Job Number],C185&amp;""))</f>
        <v/>
      </c>
      <c r="O185" s="24" t="n"/>
      <c r="P185" s="25">
        <f>IF(C185="","",IFERROR(INDEX(tbl_Finance[Description],MATCH(C185&amp;"",tbl_Finance[Job Number],0)),""))</f>
        <v/>
      </c>
      <c r="Q185" s="24" t="n"/>
      <c r="R185" s="24" t="n"/>
      <c r="S185" s="22" t="n"/>
      <c r="T185" s="24" t="n"/>
      <c r="U185" s="25">
        <f>IF(T185="","",IF(AND(LEFT(T185,4)&lt;&gt;"http",set_RMSBase=""),"",HYPERLINK(IF(LEFT(T185,4)="http",T185,set_RMSBase&amp;T185),"Open opportunity")))</f>
        <v/>
      </c>
      <c r="V185" s="24" t="n"/>
      <c r="W185" s="25">
        <f>IF(V185="","",HYPERLINK(IF(LEFT(V185,4)="http",V185,set_QwilrBase&amp;V185),"Open quote"))</f>
        <v/>
      </c>
      <c r="X185" s="25">
        <f>IF(C185="","",C185)</f>
        <v/>
      </c>
      <c r="Y185" s="24" t="n"/>
      <c r="Z185" s="26" t="n"/>
      <c r="AA185" s="27">
        <f>IF(C185="","",H185+N(Z185))</f>
        <v/>
      </c>
      <c r="AB185" s="29">
        <f>IFERROR(Z185/AA185,"")</f>
        <v/>
      </c>
      <c r="AC185" s="26" t="n"/>
      <c r="AD185" s="26" t="n"/>
      <c r="AE185" s="26" t="n"/>
      <c r="AF185" s="26" t="n"/>
      <c r="AG185" s="27">
        <f>IF(C185="","",SUMIFS(tbl_Finance[Ex GST],tbl_Finance[Job Number],C185&amp;"",tbl_Finance[Cost Centre],"VIDEO"))</f>
        <v/>
      </c>
      <c r="AH185" s="29">
        <f>IFERROR(AG185/H185,"")</f>
        <v/>
      </c>
      <c r="AI185" s="27">
        <f>IF(C185="","",N(AC185)+N(AD185)+N(AE185)+N(AF185))</f>
        <v/>
      </c>
      <c r="AJ185" s="27">
        <f>IF(C185="","",H185+L185-AI185)</f>
        <v/>
      </c>
      <c r="AK185" s="29">
        <f>IFERROR(AJ185/(H185+L185),"")</f>
        <v/>
      </c>
      <c r="AL185" s="71" t="n"/>
      <c r="AM185" s="71" t="n"/>
      <c r="AN185" s="71" t="n"/>
      <c r="AO185" s="71" t="n"/>
      <c r="AP185" s="71" t="n"/>
      <c r="AQ185" s="24" t="n"/>
    </row>
    <row r="186" ht="15" customHeight="1">
      <c r="A186" s="70">
        <f>IF(C186="","",IFERROR(IF(SUMPRODUCT(MAX((tbl_Finance[Job Number]&amp;""=C186&amp;"")*(tbl_Finance[Xero Invoice No]&lt;&gt;"")*tbl_Finance[Date]))=0,"",SUMPRODUCT(MAX((tbl_Finance[Job Number]&amp;""=C186&amp;"")*(tbl_Finance[Xero Invoice No]&lt;&gt;"")*tbl_Finance[Date]))),""))</f>
        <v/>
      </c>
      <c r="B186" s="25">
        <f>IF(C186="","",IF(COUNTIFS(tbl_Finance[Job Number],C186&amp;"",tbl_Finance[Xero Invoice No],"&lt;&gt;")=0,"",IFERROR(IF(COUNTIFS(tbl_Finance[Job Number],C186&amp;"",tbl_Finance[Xero Invoice No],LOOKUP(2,1/((tbl_Finance[Job Number]&amp;""=C186&amp;"")*(tbl_Finance[Xero Invoice No]&lt;&gt;"")),tbl_Finance[Xero Invoice No]))=COUNTIFS(tbl_Finance[Job Number],C186&amp;"",tbl_Finance[Xero Invoice No],"&lt;&gt;"),LOOKUP(2,1/((tbl_Finance[Job Number]&amp;""=C186&amp;"")*(tbl_Finance[Xero Invoice No]&lt;&gt;"")),tbl_Finance[Xero Invoice No]),LOOKUP(2,1/((tbl_Finance[Job Number]&amp;""=C186&amp;"")*(tbl_Finance[Xero Invoice No]&lt;&gt;"")),tbl_Finance[Xero Invoice No])&amp;" +more"),"")))</f>
        <v/>
      </c>
      <c r="C186" s="24" t="n"/>
      <c r="D186" s="25">
        <f>IF(C186="","",IF(COUNTIF(lst_Jobs,C186&amp;"")&gt;0,"OK","CHECK"))</f>
        <v/>
      </c>
      <c r="E186" s="25">
        <f>IF(C186="","",IFERROR(INDEX(lst_JobName,MATCH(C186&amp;"",lst_Jobs,0)),""))</f>
        <v/>
      </c>
      <c r="F186" s="25">
        <f>IF(C186="","",IFERROR(INDEX(tbl_Finance[Client],IFERROR(MATCH(C186&amp;"",tbl_Finance[Job Number],0),MATCH(IFERROR(C186+0,C186),tbl_Finance[Job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6" t="n"/>
      <c r="L186" s="27">
        <f>IF(C186="","",IF(K186="",0,MAX(0,K186-H186)))</f>
        <v/>
      </c>
      <c r="M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N186" s="27">
        <f>IF(C186="","",SUMIFS(tbl_Finance[Inc GST],tbl_Finance[Job Number],C186&amp;""))</f>
        <v/>
      </c>
      <c r="O186" s="24" t="n"/>
      <c r="P186" s="25">
        <f>IF(C186="","",IFERROR(INDEX(tbl_Finance[Description],MATCH(C186&amp;"",tbl_Finance[Job Number],0)),""))</f>
        <v/>
      </c>
      <c r="Q186" s="24" t="n"/>
      <c r="R186" s="24" t="n"/>
      <c r="S186" s="22" t="n"/>
      <c r="T186" s="24" t="n"/>
      <c r="U186" s="25">
        <f>IF(T186="","",IF(AND(LEFT(T186,4)&lt;&gt;"http",set_RMSBase=""),"",HYPERLINK(IF(LEFT(T186,4)="http",T186,set_RMSBase&amp;T186),"Open opportunity")))</f>
        <v/>
      </c>
      <c r="V186" s="24" t="n"/>
      <c r="W186" s="25">
        <f>IF(V186="","",HYPERLINK(IF(LEFT(V186,4)="http",V186,set_QwilrBase&amp;V186),"Open quote"))</f>
        <v/>
      </c>
      <c r="X186" s="25">
        <f>IF(C186="","",C186)</f>
        <v/>
      </c>
      <c r="Y186" s="24" t="n"/>
      <c r="Z186" s="26" t="n"/>
      <c r="AA186" s="27">
        <f>IF(C186="","",H186+N(Z186))</f>
        <v/>
      </c>
      <c r="AB186" s="29">
        <f>IFERROR(Z186/AA186,"")</f>
        <v/>
      </c>
      <c r="AC186" s="26" t="n"/>
      <c r="AD186" s="26" t="n"/>
      <c r="AE186" s="26" t="n"/>
      <c r="AF186" s="26" t="n"/>
      <c r="AG186" s="27">
        <f>IF(C186="","",SUMIFS(tbl_Finance[Ex GST],tbl_Finance[Job Number],C186&amp;"",tbl_Finance[Cost Centre],"VIDEO"))</f>
        <v/>
      </c>
      <c r="AH186" s="29">
        <f>IFERROR(AG186/H186,"")</f>
        <v/>
      </c>
      <c r="AI186" s="27">
        <f>IF(C186="","",N(AC186)+N(AD186)+N(AE186)+N(AF186))</f>
        <v/>
      </c>
      <c r="AJ186" s="27">
        <f>IF(C186="","",H186+L186-AI186)</f>
        <v/>
      </c>
      <c r="AK186" s="29">
        <f>IFERROR(AJ186/(H186+L186),"")</f>
        <v/>
      </c>
      <c r="AL186" s="71" t="n"/>
      <c r="AM186" s="71" t="n"/>
      <c r="AN186" s="71" t="n"/>
      <c r="AO186" s="71" t="n"/>
      <c r="AP186" s="71" t="n"/>
      <c r="AQ186" s="24" t="n"/>
    </row>
    <row r="187" ht="15" customHeight="1">
      <c r="A187" s="70">
        <f>IF(C187="","",IFERROR(IF(SUMPRODUCT(MAX((tbl_Finance[Job Number]&amp;""=C187&amp;"")*(tbl_Finance[Xero Invoice No]&lt;&gt;"")*tbl_Finance[Date]))=0,"",SUMPRODUCT(MAX((tbl_Finance[Job Number]&amp;""=C187&amp;"")*(tbl_Finance[Xero Invoice No]&lt;&gt;"")*tbl_Finance[Date]))),""))</f>
        <v/>
      </c>
      <c r="B187" s="25">
        <f>IF(C187="","",IF(COUNTIFS(tbl_Finance[Job Number],C187&amp;"",tbl_Finance[Xero Invoice No],"&lt;&gt;")=0,"",IFERROR(IF(COUNTIFS(tbl_Finance[Job Number],C187&amp;"",tbl_Finance[Xero Invoice No],LOOKUP(2,1/((tbl_Finance[Job Number]&amp;""=C187&amp;"")*(tbl_Finance[Xero Invoice No]&lt;&gt;"")),tbl_Finance[Xero Invoice No]))=COUNTIFS(tbl_Finance[Job Number],C187&amp;"",tbl_Finance[Xero Invoice No],"&lt;&gt;"),LOOKUP(2,1/((tbl_Finance[Job Number]&amp;""=C187&amp;"")*(tbl_Finance[Xero Invoice No]&lt;&gt;"")),tbl_Finance[Xero Invoice No]),LOOKUP(2,1/((tbl_Finance[Job Number]&amp;""=C187&amp;"")*(tbl_Finance[Xero Invoice No]&lt;&gt;"")),tbl_Finance[Xero Invoice No])&amp;" +more"),"")))</f>
        <v/>
      </c>
      <c r="C187" s="24" t="n"/>
      <c r="D187" s="25">
        <f>IF(C187="","",IF(COUNTIF(lst_Jobs,C187&amp;"")&gt;0,"OK","CHECK"))</f>
        <v/>
      </c>
      <c r="E187" s="25">
        <f>IF(C187="","",IFERROR(INDEX(lst_JobName,MATCH(C187&amp;"",lst_Jobs,0)),""))</f>
        <v/>
      </c>
      <c r="F187" s="25">
        <f>IF(C187="","",IFERROR(INDEX(tbl_Finance[Client],IFERROR(MATCH(C187&amp;"",tbl_Finance[Job Number],0),MATCH(IFERROR(C187+0,C187),tbl_Finance[Job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6" t="n"/>
      <c r="L187" s="27">
        <f>IF(C187="","",IF(K187="",0,MAX(0,K187-H187)))</f>
        <v/>
      </c>
      <c r="M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N187" s="27">
        <f>IF(C187="","",SUMIFS(tbl_Finance[Inc GST],tbl_Finance[Job Number],C187&amp;""))</f>
        <v/>
      </c>
      <c r="O187" s="24" t="n"/>
      <c r="P187" s="25">
        <f>IF(C187="","",IFERROR(INDEX(tbl_Finance[Description],MATCH(C187&amp;"",tbl_Finance[Job Number],0)),""))</f>
        <v/>
      </c>
      <c r="Q187" s="24" t="n"/>
      <c r="R187" s="24" t="n"/>
      <c r="S187" s="22" t="n"/>
      <c r="T187" s="24" t="n"/>
      <c r="U187" s="25">
        <f>IF(T187="","",IF(AND(LEFT(T187,4)&lt;&gt;"http",set_RMSBase=""),"",HYPERLINK(IF(LEFT(T187,4)="http",T187,set_RMSBase&amp;T187),"Open opportunity")))</f>
        <v/>
      </c>
      <c r="V187" s="24" t="n"/>
      <c r="W187" s="25">
        <f>IF(V187="","",HYPERLINK(IF(LEFT(V187,4)="http",V187,set_QwilrBase&amp;V187),"Open quote"))</f>
        <v/>
      </c>
      <c r="X187" s="25">
        <f>IF(C187="","",C187)</f>
        <v/>
      </c>
      <c r="Y187" s="24" t="n"/>
      <c r="Z187" s="26" t="n"/>
      <c r="AA187" s="27">
        <f>IF(C187="","",H187+N(Z187))</f>
        <v/>
      </c>
      <c r="AB187" s="29">
        <f>IFERROR(Z187/AA187,"")</f>
        <v/>
      </c>
      <c r="AC187" s="26" t="n"/>
      <c r="AD187" s="26" t="n"/>
      <c r="AE187" s="26" t="n"/>
      <c r="AF187" s="26" t="n"/>
      <c r="AG187" s="27">
        <f>IF(C187="","",SUMIFS(tbl_Finance[Ex GST],tbl_Finance[Job Number],C187&amp;"",tbl_Finance[Cost Centre],"VIDEO"))</f>
        <v/>
      </c>
      <c r="AH187" s="29">
        <f>IFERROR(AG187/H187,"")</f>
        <v/>
      </c>
      <c r="AI187" s="27">
        <f>IF(C187="","",N(AC187)+N(AD187)+N(AE187)+N(AF187))</f>
        <v/>
      </c>
      <c r="AJ187" s="27">
        <f>IF(C187="","",H187+L187-AI187)</f>
        <v/>
      </c>
      <c r="AK187" s="29">
        <f>IFERROR(AJ187/(H187+L187),"")</f>
        <v/>
      </c>
      <c r="AL187" s="71" t="n"/>
      <c r="AM187" s="71" t="n"/>
      <c r="AN187" s="71" t="n"/>
      <c r="AO187" s="71" t="n"/>
      <c r="AP187" s="71" t="n"/>
      <c r="AQ187" s="24" t="n"/>
    </row>
    <row r="188" ht="15" customHeight="1">
      <c r="A188" s="70">
        <f>IF(C188="","",IFERROR(IF(SUMPRODUCT(MAX((tbl_Finance[Job Number]&amp;""=C188&amp;"")*(tbl_Finance[Xero Invoice No]&lt;&gt;"")*tbl_Finance[Date]))=0,"",SUMPRODUCT(MAX((tbl_Finance[Job Number]&amp;""=C188&amp;"")*(tbl_Finance[Xero Invoice No]&lt;&gt;"")*tbl_Finance[Date]))),""))</f>
        <v/>
      </c>
      <c r="B188" s="25">
        <f>IF(C188="","",IF(COUNTIFS(tbl_Finance[Job Number],C188&amp;"",tbl_Finance[Xero Invoice No],"&lt;&gt;")=0,"",IFERROR(IF(COUNTIFS(tbl_Finance[Job Number],C188&amp;"",tbl_Finance[Xero Invoice No],LOOKUP(2,1/((tbl_Finance[Job Number]&amp;""=C188&amp;"")*(tbl_Finance[Xero Invoice No]&lt;&gt;"")),tbl_Finance[Xero Invoice No]))=COUNTIFS(tbl_Finance[Job Number],C188&amp;"",tbl_Finance[Xero Invoice No],"&lt;&gt;"),LOOKUP(2,1/((tbl_Finance[Job Number]&amp;""=C188&amp;"")*(tbl_Finance[Xero Invoice No]&lt;&gt;"")),tbl_Finance[Xero Invoice No]),LOOKUP(2,1/((tbl_Finance[Job Number]&amp;""=C188&amp;"")*(tbl_Finance[Xero Invoice No]&lt;&gt;"")),tbl_Finance[Xero Invoice No])&amp;" +more"),"")))</f>
        <v/>
      </c>
      <c r="C188" s="24" t="n"/>
      <c r="D188" s="25">
        <f>IF(C188="","",IF(COUNTIF(lst_Jobs,C188&amp;"")&gt;0,"OK","CHECK"))</f>
        <v/>
      </c>
      <c r="E188" s="25">
        <f>IF(C188="","",IFERROR(INDEX(lst_JobName,MATCH(C188&amp;"",lst_Jobs,0)),""))</f>
        <v/>
      </c>
      <c r="F188" s="25">
        <f>IF(C188="","",IFERROR(INDEX(tbl_Finance[Client],IFERROR(MATCH(C188&amp;"",tbl_Finance[Job Number],0),MATCH(IFERROR(C188+0,C188),tbl_Finance[Job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6" t="n"/>
      <c r="L188" s="27">
        <f>IF(C188="","",IF(K188="",0,MAX(0,K188-H188)))</f>
        <v/>
      </c>
      <c r="M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N188" s="27">
        <f>IF(C188="","",SUMIFS(tbl_Finance[Inc GST],tbl_Finance[Job Number],C188&amp;""))</f>
        <v/>
      </c>
      <c r="O188" s="24" t="n"/>
      <c r="P188" s="25">
        <f>IF(C188="","",IFERROR(INDEX(tbl_Finance[Description],MATCH(C188&amp;"",tbl_Finance[Job Number],0)),""))</f>
        <v/>
      </c>
      <c r="Q188" s="24" t="n"/>
      <c r="R188" s="24" t="n"/>
      <c r="S188" s="22" t="n"/>
      <c r="T188" s="24" t="n"/>
      <c r="U188" s="25">
        <f>IF(T188="","",IF(AND(LEFT(T188,4)&lt;&gt;"http",set_RMSBase=""),"",HYPERLINK(IF(LEFT(T188,4)="http",T188,set_RMSBase&amp;T188),"Open opportunity")))</f>
        <v/>
      </c>
      <c r="V188" s="24" t="n"/>
      <c r="W188" s="25">
        <f>IF(V188="","",HYPERLINK(IF(LEFT(V188,4)="http",V188,set_QwilrBase&amp;V188),"Open quote"))</f>
        <v/>
      </c>
      <c r="X188" s="25">
        <f>IF(C188="","",C188)</f>
        <v/>
      </c>
      <c r="Y188" s="24" t="n"/>
      <c r="Z188" s="26" t="n"/>
      <c r="AA188" s="27">
        <f>IF(C188="","",H188+N(Z188))</f>
        <v/>
      </c>
      <c r="AB188" s="29">
        <f>IFERROR(Z188/AA188,"")</f>
        <v/>
      </c>
      <c r="AC188" s="26" t="n"/>
      <c r="AD188" s="26" t="n"/>
      <c r="AE188" s="26" t="n"/>
      <c r="AF188" s="26" t="n"/>
      <c r="AG188" s="27">
        <f>IF(C188="","",SUMIFS(tbl_Finance[Ex GST],tbl_Finance[Job Number],C188&amp;"",tbl_Finance[Cost Centre],"VIDEO"))</f>
        <v/>
      </c>
      <c r="AH188" s="29">
        <f>IFERROR(AG188/H188,"")</f>
        <v/>
      </c>
      <c r="AI188" s="27">
        <f>IF(C188="","",N(AC188)+N(AD188)+N(AE188)+N(AF188))</f>
        <v/>
      </c>
      <c r="AJ188" s="27">
        <f>IF(C188="","",H188+L188-AI188)</f>
        <v/>
      </c>
      <c r="AK188" s="29">
        <f>IFERROR(AJ188/(H188+L188),"")</f>
        <v/>
      </c>
      <c r="AL188" s="71" t="n"/>
      <c r="AM188" s="71" t="n"/>
      <c r="AN188" s="71" t="n"/>
      <c r="AO188" s="71" t="n"/>
      <c r="AP188" s="71" t="n"/>
      <c r="AQ188" s="24" t="n"/>
    </row>
    <row r="189" ht="15" customHeight="1">
      <c r="A189" s="70">
        <f>IF(C189="","",IFERROR(IF(SUMPRODUCT(MAX((tbl_Finance[Job Number]&amp;""=C189&amp;"")*(tbl_Finance[Xero Invoice No]&lt;&gt;"")*tbl_Finance[Date]))=0,"",SUMPRODUCT(MAX((tbl_Finance[Job Number]&amp;""=C189&amp;"")*(tbl_Finance[Xero Invoice No]&lt;&gt;"")*tbl_Finance[Date]))),""))</f>
        <v/>
      </c>
      <c r="B189" s="25">
        <f>IF(C189="","",IF(COUNTIFS(tbl_Finance[Job Number],C189&amp;"",tbl_Finance[Xero Invoice No],"&lt;&gt;")=0,"",IFERROR(IF(COUNTIFS(tbl_Finance[Job Number],C189&amp;"",tbl_Finance[Xero Invoice No],LOOKUP(2,1/((tbl_Finance[Job Number]&amp;""=C189&amp;"")*(tbl_Finance[Xero Invoice No]&lt;&gt;"")),tbl_Finance[Xero Invoice No]))=COUNTIFS(tbl_Finance[Job Number],C189&amp;"",tbl_Finance[Xero Invoice No],"&lt;&gt;"),LOOKUP(2,1/((tbl_Finance[Job Number]&amp;""=C189&amp;"")*(tbl_Finance[Xero Invoice No]&lt;&gt;"")),tbl_Finance[Xero Invoice No]),LOOKUP(2,1/((tbl_Finance[Job Number]&amp;""=C189&amp;"")*(tbl_Finance[Xero Invoice No]&lt;&gt;"")),tbl_Finance[Xero Invoice No])&amp;" +more"),"")))</f>
        <v/>
      </c>
      <c r="C189" s="24" t="n"/>
      <c r="D189" s="25">
        <f>IF(C189="","",IF(COUNTIF(lst_Jobs,C189&amp;"")&gt;0,"OK","CHECK"))</f>
        <v/>
      </c>
      <c r="E189" s="25">
        <f>IF(C189="","",IFERROR(INDEX(lst_JobName,MATCH(C189&amp;"",lst_Jobs,0)),""))</f>
        <v/>
      </c>
      <c r="F189" s="25">
        <f>IF(C189="","",IFERROR(INDEX(tbl_Finance[Client],IFERROR(MATCH(C189&amp;"",tbl_Finance[Job Number],0),MATCH(IFERROR(C189+0,C189),tbl_Finance[Job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6" t="n"/>
      <c r="L189" s="27">
        <f>IF(C189="","",IF(K189="",0,MAX(0,K189-H189)))</f>
        <v/>
      </c>
      <c r="M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N189" s="27">
        <f>IF(C189="","",SUMIFS(tbl_Finance[Inc GST],tbl_Finance[Job Number],C189&amp;""))</f>
        <v/>
      </c>
      <c r="O189" s="24" t="n"/>
      <c r="P189" s="25">
        <f>IF(C189="","",IFERROR(INDEX(tbl_Finance[Description],MATCH(C189&amp;"",tbl_Finance[Job Number],0)),""))</f>
        <v/>
      </c>
      <c r="Q189" s="24" t="n"/>
      <c r="R189" s="24" t="n"/>
      <c r="S189" s="22" t="n"/>
      <c r="T189" s="24" t="n"/>
      <c r="U189" s="25">
        <f>IF(T189="","",IF(AND(LEFT(T189,4)&lt;&gt;"http",set_RMSBase=""),"",HYPERLINK(IF(LEFT(T189,4)="http",T189,set_RMSBase&amp;T189),"Open opportunity")))</f>
        <v/>
      </c>
      <c r="V189" s="24" t="n"/>
      <c r="W189" s="25">
        <f>IF(V189="","",HYPERLINK(IF(LEFT(V189,4)="http",V189,set_QwilrBase&amp;V189),"Open quote"))</f>
        <v/>
      </c>
      <c r="X189" s="25">
        <f>IF(C189="","",C189)</f>
        <v/>
      </c>
      <c r="Y189" s="24" t="n"/>
      <c r="Z189" s="26" t="n"/>
      <c r="AA189" s="27">
        <f>IF(C189="","",H189+N(Z189))</f>
        <v/>
      </c>
      <c r="AB189" s="29">
        <f>IFERROR(Z189/AA189,"")</f>
        <v/>
      </c>
      <c r="AC189" s="26" t="n"/>
      <c r="AD189" s="26" t="n"/>
      <c r="AE189" s="26" t="n"/>
      <c r="AF189" s="26" t="n"/>
      <c r="AG189" s="27">
        <f>IF(C189="","",SUMIFS(tbl_Finance[Ex GST],tbl_Finance[Job Number],C189&amp;"",tbl_Finance[Cost Centre],"VIDEO"))</f>
        <v/>
      </c>
      <c r="AH189" s="29">
        <f>IFERROR(AG189/H189,"")</f>
        <v/>
      </c>
      <c r="AI189" s="27">
        <f>IF(C189="","",N(AC189)+N(AD189)+N(AE189)+N(AF189))</f>
        <v/>
      </c>
      <c r="AJ189" s="27">
        <f>IF(C189="","",H189+L189-AI189)</f>
        <v/>
      </c>
      <c r="AK189" s="29">
        <f>IFERROR(AJ189/(H189+L189),"")</f>
        <v/>
      </c>
      <c r="AL189" s="71" t="n"/>
      <c r="AM189" s="71" t="n"/>
      <c r="AN189" s="71" t="n"/>
      <c r="AO189" s="71" t="n"/>
      <c r="AP189" s="71" t="n"/>
      <c r="AQ189" s="24" t="n"/>
    </row>
    <row r="190" ht="15" customHeight="1">
      <c r="A190" s="70">
        <f>IF(C190="","",IFERROR(IF(SUMPRODUCT(MAX((tbl_Finance[Job Number]&amp;""=C190&amp;"")*(tbl_Finance[Xero Invoice No]&lt;&gt;"")*tbl_Finance[Date]))=0,"",SUMPRODUCT(MAX((tbl_Finance[Job Number]&amp;""=C190&amp;"")*(tbl_Finance[Xero Invoice No]&lt;&gt;"")*tbl_Finance[Date]))),""))</f>
        <v/>
      </c>
      <c r="B190" s="25">
        <f>IF(C190="","",IF(COUNTIFS(tbl_Finance[Job Number],C190&amp;"",tbl_Finance[Xero Invoice No],"&lt;&gt;")=0,"",IFERROR(IF(COUNTIFS(tbl_Finance[Job Number],C190&amp;"",tbl_Finance[Xero Invoice No],LOOKUP(2,1/((tbl_Finance[Job Number]&amp;""=C190&amp;"")*(tbl_Finance[Xero Invoice No]&lt;&gt;"")),tbl_Finance[Xero Invoice No]))=COUNTIFS(tbl_Finance[Job Number],C190&amp;"",tbl_Finance[Xero Invoice No],"&lt;&gt;"),LOOKUP(2,1/((tbl_Finance[Job Number]&amp;""=C190&amp;"")*(tbl_Finance[Xero Invoice No]&lt;&gt;"")),tbl_Finance[Xero Invoice No]),LOOKUP(2,1/((tbl_Finance[Job Number]&amp;""=C190&amp;"")*(tbl_Finance[Xero Invoice No]&lt;&gt;"")),tbl_Finance[Xero Invoice No])&amp;" +more"),"")))</f>
        <v/>
      </c>
      <c r="C190" s="24" t="n"/>
      <c r="D190" s="25">
        <f>IF(C190="","",IF(COUNTIF(lst_Jobs,C190&amp;"")&gt;0,"OK","CHECK"))</f>
        <v/>
      </c>
      <c r="E190" s="25">
        <f>IF(C190="","",IFERROR(INDEX(lst_JobName,MATCH(C190&amp;"",lst_Jobs,0)),""))</f>
        <v/>
      </c>
      <c r="F190" s="25">
        <f>IF(C190="","",IFERROR(INDEX(tbl_Finance[Client],IFERROR(MATCH(C190&amp;"",tbl_Finance[Job Number],0),MATCH(IFERROR(C190+0,C190),tbl_Finance[Job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6" t="n"/>
      <c r="L190" s="27">
        <f>IF(C190="","",IF(K190="",0,MAX(0,K190-H190)))</f>
        <v/>
      </c>
      <c r="M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N190" s="27">
        <f>IF(C190="","",SUMIFS(tbl_Finance[Inc GST],tbl_Finance[Job Number],C190&amp;""))</f>
        <v/>
      </c>
      <c r="O190" s="24" t="n"/>
      <c r="P190" s="25">
        <f>IF(C190="","",IFERROR(INDEX(tbl_Finance[Description],MATCH(C190&amp;"",tbl_Finance[Job Number],0)),""))</f>
        <v/>
      </c>
      <c r="Q190" s="24" t="n"/>
      <c r="R190" s="24" t="n"/>
      <c r="S190" s="22" t="n"/>
      <c r="T190" s="24" t="n"/>
      <c r="U190" s="25">
        <f>IF(T190="","",IF(AND(LEFT(T190,4)&lt;&gt;"http",set_RMSBase=""),"",HYPERLINK(IF(LEFT(T190,4)="http",T190,set_RMSBase&amp;T190),"Open opportunity")))</f>
        <v/>
      </c>
      <c r="V190" s="24" t="n"/>
      <c r="W190" s="25">
        <f>IF(V190="","",HYPERLINK(IF(LEFT(V190,4)="http",V190,set_QwilrBase&amp;V190),"Open quote"))</f>
        <v/>
      </c>
      <c r="X190" s="25">
        <f>IF(C190="","",C190)</f>
        <v/>
      </c>
      <c r="Y190" s="24" t="n"/>
      <c r="Z190" s="26" t="n"/>
      <c r="AA190" s="27">
        <f>IF(C190="","",H190+N(Z190))</f>
        <v/>
      </c>
      <c r="AB190" s="29">
        <f>IFERROR(Z190/AA190,"")</f>
        <v/>
      </c>
      <c r="AC190" s="26" t="n"/>
      <c r="AD190" s="26" t="n"/>
      <c r="AE190" s="26" t="n"/>
      <c r="AF190" s="26" t="n"/>
      <c r="AG190" s="27">
        <f>IF(C190="","",SUMIFS(tbl_Finance[Ex GST],tbl_Finance[Job Number],C190&amp;"",tbl_Finance[Cost Centre],"VIDEO"))</f>
        <v/>
      </c>
      <c r="AH190" s="29">
        <f>IFERROR(AG190/H190,"")</f>
        <v/>
      </c>
      <c r="AI190" s="27">
        <f>IF(C190="","",N(AC190)+N(AD190)+N(AE190)+N(AF190))</f>
        <v/>
      </c>
      <c r="AJ190" s="27">
        <f>IF(C190="","",H190+L190-AI190)</f>
        <v/>
      </c>
      <c r="AK190" s="29">
        <f>IFERROR(AJ190/(H190+L190),"")</f>
        <v/>
      </c>
      <c r="AL190" s="71" t="n"/>
      <c r="AM190" s="71" t="n"/>
      <c r="AN190" s="71" t="n"/>
      <c r="AO190" s="71" t="n"/>
      <c r="AP190" s="71" t="n"/>
      <c r="AQ190" s="24" t="n"/>
    </row>
    <row r="191" ht="15" customHeight="1">
      <c r="A191" s="70">
        <f>IF(C191="","",IFERROR(IF(SUMPRODUCT(MAX((tbl_Finance[Job Number]&amp;""=C191&amp;"")*(tbl_Finance[Xero Invoice No]&lt;&gt;"")*tbl_Finance[Date]))=0,"",SUMPRODUCT(MAX((tbl_Finance[Job Number]&amp;""=C191&amp;"")*(tbl_Finance[Xero Invoice No]&lt;&gt;"")*tbl_Finance[Date]))),""))</f>
        <v/>
      </c>
      <c r="B191" s="25">
        <f>IF(C191="","",IF(COUNTIFS(tbl_Finance[Job Number],C191&amp;"",tbl_Finance[Xero Invoice No],"&lt;&gt;")=0,"",IFERROR(IF(COUNTIFS(tbl_Finance[Job Number],C191&amp;"",tbl_Finance[Xero Invoice No],LOOKUP(2,1/((tbl_Finance[Job Number]&amp;""=C191&amp;"")*(tbl_Finance[Xero Invoice No]&lt;&gt;"")),tbl_Finance[Xero Invoice No]))=COUNTIFS(tbl_Finance[Job Number],C191&amp;"",tbl_Finance[Xero Invoice No],"&lt;&gt;"),LOOKUP(2,1/((tbl_Finance[Job Number]&amp;""=C191&amp;"")*(tbl_Finance[Xero Invoice No]&lt;&gt;"")),tbl_Finance[Xero Invoice No]),LOOKUP(2,1/((tbl_Finance[Job Number]&amp;""=C191&amp;"")*(tbl_Finance[Xero Invoice No]&lt;&gt;"")),tbl_Finance[Xero Invoice No])&amp;" +more"),"")))</f>
        <v/>
      </c>
      <c r="C191" s="24" t="n"/>
      <c r="D191" s="25">
        <f>IF(C191="","",IF(COUNTIF(lst_Jobs,C191&amp;"")&gt;0,"OK","CHECK"))</f>
        <v/>
      </c>
      <c r="E191" s="25">
        <f>IF(C191="","",IFERROR(INDEX(lst_JobName,MATCH(C191&amp;"",lst_Jobs,0)),""))</f>
        <v/>
      </c>
      <c r="F191" s="25">
        <f>IF(C191="","",IFERROR(INDEX(tbl_Finance[Client],IFERROR(MATCH(C191&amp;"",tbl_Finance[Job Number],0),MATCH(IFERROR(C191+0,C191),tbl_Finance[Job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6" t="n"/>
      <c r="L191" s="27">
        <f>IF(C191="","",IF(K191="",0,MAX(0,K191-H191)))</f>
        <v/>
      </c>
      <c r="M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N191" s="27">
        <f>IF(C191="","",SUMIFS(tbl_Finance[Inc GST],tbl_Finance[Job Number],C191&amp;""))</f>
        <v/>
      </c>
      <c r="O191" s="24" t="n"/>
      <c r="P191" s="25">
        <f>IF(C191="","",IFERROR(INDEX(tbl_Finance[Description],MATCH(C191&amp;"",tbl_Finance[Job Number],0)),""))</f>
        <v/>
      </c>
      <c r="Q191" s="24" t="n"/>
      <c r="R191" s="24" t="n"/>
      <c r="S191" s="22" t="n"/>
      <c r="T191" s="24" t="n"/>
      <c r="U191" s="25">
        <f>IF(T191="","",IF(AND(LEFT(T191,4)&lt;&gt;"http",set_RMSBase=""),"",HYPERLINK(IF(LEFT(T191,4)="http",T191,set_RMSBase&amp;T191),"Open opportunity")))</f>
        <v/>
      </c>
      <c r="V191" s="24" t="n"/>
      <c r="W191" s="25">
        <f>IF(V191="","",HYPERLINK(IF(LEFT(V191,4)="http",V191,set_QwilrBase&amp;V191),"Open quote"))</f>
        <v/>
      </c>
      <c r="X191" s="25">
        <f>IF(C191="","",C191)</f>
        <v/>
      </c>
      <c r="Y191" s="24" t="n"/>
      <c r="Z191" s="26" t="n"/>
      <c r="AA191" s="27">
        <f>IF(C191="","",H191+N(Z191))</f>
        <v/>
      </c>
      <c r="AB191" s="29">
        <f>IFERROR(Z191/AA191,"")</f>
        <v/>
      </c>
      <c r="AC191" s="26" t="n"/>
      <c r="AD191" s="26" t="n"/>
      <c r="AE191" s="26" t="n"/>
      <c r="AF191" s="26" t="n"/>
      <c r="AG191" s="27">
        <f>IF(C191="","",SUMIFS(tbl_Finance[Ex GST],tbl_Finance[Job Number],C191&amp;"",tbl_Finance[Cost Centre],"VIDEO"))</f>
        <v/>
      </c>
      <c r="AH191" s="29">
        <f>IFERROR(AG191/H191,"")</f>
        <v/>
      </c>
      <c r="AI191" s="27">
        <f>IF(C191="","",N(AC191)+N(AD191)+N(AE191)+N(AF191))</f>
        <v/>
      </c>
      <c r="AJ191" s="27">
        <f>IF(C191="","",H191+L191-AI191)</f>
        <v/>
      </c>
      <c r="AK191" s="29">
        <f>IFERROR(AJ191/(H191+L191),"")</f>
        <v/>
      </c>
      <c r="AL191" s="71" t="n"/>
      <c r="AM191" s="71" t="n"/>
      <c r="AN191" s="71" t="n"/>
      <c r="AO191" s="71" t="n"/>
      <c r="AP191" s="71" t="n"/>
      <c r="AQ191" s="24" t="n"/>
    </row>
    <row r="192" ht="15" customHeight="1">
      <c r="A192" s="70">
        <f>IF(C192="","",IFERROR(IF(SUMPRODUCT(MAX((tbl_Finance[Job Number]&amp;""=C192&amp;"")*(tbl_Finance[Xero Invoice No]&lt;&gt;"")*tbl_Finance[Date]))=0,"",SUMPRODUCT(MAX((tbl_Finance[Job Number]&amp;""=C192&amp;"")*(tbl_Finance[Xero Invoice No]&lt;&gt;"")*tbl_Finance[Date]))),""))</f>
        <v/>
      </c>
      <c r="B192" s="25">
        <f>IF(C192="","",IF(COUNTIFS(tbl_Finance[Job Number],C192&amp;"",tbl_Finance[Xero Invoice No],"&lt;&gt;")=0,"",IFERROR(IF(COUNTIFS(tbl_Finance[Job Number],C192&amp;"",tbl_Finance[Xero Invoice No],LOOKUP(2,1/((tbl_Finance[Job Number]&amp;""=C192&amp;"")*(tbl_Finance[Xero Invoice No]&lt;&gt;"")),tbl_Finance[Xero Invoice No]))=COUNTIFS(tbl_Finance[Job Number],C192&amp;"",tbl_Finance[Xero Invoice No],"&lt;&gt;"),LOOKUP(2,1/((tbl_Finance[Job Number]&amp;""=C192&amp;"")*(tbl_Finance[Xero Invoice No]&lt;&gt;"")),tbl_Finance[Xero Invoice No]),LOOKUP(2,1/((tbl_Finance[Job Number]&amp;""=C192&amp;"")*(tbl_Finance[Xero Invoice No]&lt;&gt;"")),tbl_Finance[Xero Invoice No])&amp;" +more"),"")))</f>
        <v/>
      </c>
      <c r="C192" s="24" t="n"/>
      <c r="D192" s="25">
        <f>IF(C192="","",IF(COUNTIF(lst_Jobs,C192&amp;"")&gt;0,"OK","CHECK"))</f>
        <v/>
      </c>
      <c r="E192" s="25">
        <f>IF(C192="","",IFERROR(INDEX(lst_JobName,MATCH(C192&amp;"",lst_Jobs,0)),""))</f>
        <v/>
      </c>
      <c r="F192" s="25">
        <f>IF(C192="","",IFERROR(INDEX(tbl_Finance[Client],IFERROR(MATCH(C192&amp;"",tbl_Finance[Job Number],0),MATCH(IFERROR(C192+0,C192),tbl_Finance[Job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6" t="n"/>
      <c r="L192" s="27">
        <f>IF(C192="","",IF(K192="",0,MAX(0,K192-H192)))</f>
        <v/>
      </c>
      <c r="M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N192" s="27">
        <f>IF(C192="","",SUMIFS(tbl_Finance[Inc GST],tbl_Finance[Job Number],C192&amp;""))</f>
        <v/>
      </c>
      <c r="O192" s="24" t="n"/>
      <c r="P192" s="25">
        <f>IF(C192="","",IFERROR(INDEX(tbl_Finance[Description],MATCH(C192&amp;"",tbl_Finance[Job Number],0)),""))</f>
        <v/>
      </c>
      <c r="Q192" s="24" t="n"/>
      <c r="R192" s="24" t="n"/>
      <c r="S192" s="22" t="n"/>
      <c r="T192" s="24" t="n"/>
      <c r="U192" s="25">
        <f>IF(T192="","",IF(AND(LEFT(T192,4)&lt;&gt;"http",set_RMSBase=""),"",HYPERLINK(IF(LEFT(T192,4)="http",T192,set_RMSBase&amp;T192),"Open opportunity")))</f>
        <v/>
      </c>
      <c r="V192" s="24" t="n"/>
      <c r="W192" s="25">
        <f>IF(V192="","",HYPERLINK(IF(LEFT(V192,4)="http",V192,set_QwilrBase&amp;V192),"Open quote"))</f>
        <v/>
      </c>
      <c r="X192" s="25">
        <f>IF(C192="","",C192)</f>
        <v/>
      </c>
      <c r="Y192" s="24" t="n"/>
      <c r="Z192" s="26" t="n"/>
      <c r="AA192" s="27">
        <f>IF(C192="","",H192+N(Z192))</f>
        <v/>
      </c>
      <c r="AB192" s="29">
        <f>IFERROR(Z192/AA192,"")</f>
        <v/>
      </c>
      <c r="AC192" s="26" t="n"/>
      <c r="AD192" s="26" t="n"/>
      <c r="AE192" s="26" t="n"/>
      <c r="AF192" s="26" t="n"/>
      <c r="AG192" s="27">
        <f>IF(C192="","",SUMIFS(tbl_Finance[Ex GST],tbl_Finance[Job Number],C192&amp;"",tbl_Finance[Cost Centre],"VIDEO"))</f>
        <v/>
      </c>
      <c r="AH192" s="29">
        <f>IFERROR(AG192/H192,"")</f>
        <v/>
      </c>
      <c r="AI192" s="27">
        <f>IF(C192="","",N(AC192)+N(AD192)+N(AE192)+N(AF192))</f>
        <v/>
      </c>
      <c r="AJ192" s="27">
        <f>IF(C192="","",H192+L192-AI192)</f>
        <v/>
      </c>
      <c r="AK192" s="29">
        <f>IFERROR(AJ192/(H192+L192),"")</f>
        <v/>
      </c>
      <c r="AL192" s="71" t="n"/>
      <c r="AM192" s="71" t="n"/>
      <c r="AN192" s="71" t="n"/>
      <c r="AO192" s="71" t="n"/>
      <c r="AP192" s="71" t="n"/>
      <c r="AQ192" s="24" t="n"/>
    </row>
    <row r="193" ht="15" customHeight="1">
      <c r="A193" s="70">
        <f>IF(C193="","",IFERROR(IF(SUMPRODUCT(MAX((tbl_Finance[Job Number]&amp;""=C193&amp;"")*(tbl_Finance[Xero Invoice No]&lt;&gt;"")*tbl_Finance[Date]))=0,"",SUMPRODUCT(MAX((tbl_Finance[Job Number]&amp;""=C193&amp;"")*(tbl_Finance[Xero Invoice No]&lt;&gt;"")*tbl_Finance[Date]))),""))</f>
        <v/>
      </c>
      <c r="B193" s="25">
        <f>IF(C193="","",IF(COUNTIFS(tbl_Finance[Job Number],C193&amp;"",tbl_Finance[Xero Invoice No],"&lt;&gt;")=0,"",IFERROR(IF(COUNTIFS(tbl_Finance[Job Number],C193&amp;"",tbl_Finance[Xero Invoice No],LOOKUP(2,1/((tbl_Finance[Job Number]&amp;""=C193&amp;"")*(tbl_Finance[Xero Invoice No]&lt;&gt;"")),tbl_Finance[Xero Invoice No]))=COUNTIFS(tbl_Finance[Job Number],C193&amp;"",tbl_Finance[Xero Invoice No],"&lt;&gt;"),LOOKUP(2,1/((tbl_Finance[Job Number]&amp;""=C193&amp;"")*(tbl_Finance[Xero Invoice No]&lt;&gt;"")),tbl_Finance[Xero Invoice No]),LOOKUP(2,1/((tbl_Finance[Job Number]&amp;""=C193&amp;"")*(tbl_Finance[Xero Invoice No]&lt;&gt;"")),tbl_Finance[Xero Invoice No])&amp;" +more"),"")))</f>
        <v/>
      </c>
      <c r="C193" s="24" t="n"/>
      <c r="D193" s="25">
        <f>IF(C193="","",IF(COUNTIF(lst_Jobs,C193&amp;"")&gt;0,"OK","CHECK"))</f>
        <v/>
      </c>
      <c r="E193" s="25">
        <f>IF(C193="","",IFERROR(INDEX(lst_JobName,MATCH(C193&amp;"",lst_Jobs,0)),""))</f>
        <v/>
      </c>
      <c r="F193" s="25">
        <f>IF(C193="","",IFERROR(INDEX(tbl_Finance[Client],IFERROR(MATCH(C193&amp;"",tbl_Finance[Job Number],0),MATCH(IFERROR(C193+0,C193),tbl_Finance[Job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6" t="n"/>
      <c r="L193" s="27">
        <f>IF(C193="","",IF(K193="",0,MAX(0,K193-H193)))</f>
        <v/>
      </c>
      <c r="M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N193" s="27">
        <f>IF(C193="","",SUMIFS(tbl_Finance[Inc GST],tbl_Finance[Job Number],C193&amp;""))</f>
        <v/>
      </c>
      <c r="O193" s="24" t="n"/>
      <c r="P193" s="25">
        <f>IF(C193="","",IFERROR(INDEX(tbl_Finance[Description],MATCH(C193&amp;"",tbl_Finance[Job Number],0)),""))</f>
        <v/>
      </c>
      <c r="Q193" s="24" t="n"/>
      <c r="R193" s="24" t="n"/>
      <c r="S193" s="22" t="n"/>
      <c r="T193" s="24" t="n"/>
      <c r="U193" s="25">
        <f>IF(T193="","",IF(AND(LEFT(T193,4)&lt;&gt;"http",set_RMSBase=""),"",HYPERLINK(IF(LEFT(T193,4)="http",T193,set_RMSBase&amp;T193),"Open opportunity")))</f>
        <v/>
      </c>
      <c r="V193" s="24" t="n"/>
      <c r="W193" s="25">
        <f>IF(V193="","",HYPERLINK(IF(LEFT(V193,4)="http",V193,set_QwilrBase&amp;V193),"Open quote"))</f>
        <v/>
      </c>
      <c r="X193" s="25">
        <f>IF(C193="","",C193)</f>
        <v/>
      </c>
      <c r="Y193" s="24" t="n"/>
      <c r="Z193" s="26" t="n"/>
      <c r="AA193" s="27">
        <f>IF(C193="","",H193+N(Z193))</f>
        <v/>
      </c>
      <c r="AB193" s="29">
        <f>IFERROR(Z193/AA193,"")</f>
        <v/>
      </c>
      <c r="AC193" s="26" t="n"/>
      <c r="AD193" s="26" t="n"/>
      <c r="AE193" s="26" t="n"/>
      <c r="AF193" s="26" t="n"/>
      <c r="AG193" s="27">
        <f>IF(C193="","",SUMIFS(tbl_Finance[Ex GST],tbl_Finance[Job Number],C193&amp;"",tbl_Finance[Cost Centre],"VIDEO"))</f>
        <v/>
      </c>
      <c r="AH193" s="29">
        <f>IFERROR(AG193/H193,"")</f>
        <v/>
      </c>
      <c r="AI193" s="27">
        <f>IF(C193="","",N(AC193)+N(AD193)+N(AE193)+N(AF193))</f>
        <v/>
      </c>
      <c r="AJ193" s="27">
        <f>IF(C193="","",H193+L193-AI193)</f>
        <v/>
      </c>
      <c r="AK193" s="29">
        <f>IFERROR(AJ193/(H193+L193),"")</f>
        <v/>
      </c>
      <c r="AL193" s="71" t="n"/>
      <c r="AM193" s="71" t="n"/>
      <c r="AN193" s="71" t="n"/>
      <c r="AO193" s="71" t="n"/>
      <c r="AP193" s="71" t="n"/>
      <c r="AQ193" s="24" t="n"/>
    </row>
    <row r="194" ht="15" customHeight="1">
      <c r="A194" s="70">
        <f>IF(C194="","",IFERROR(IF(SUMPRODUCT(MAX((tbl_Finance[Job Number]&amp;""=C194&amp;"")*(tbl_Finance[Xero Invoice No]&lt;&gt;"")*tbl_Finance[Date]))=0,"",SUMPRODUCT(MAX((tbl_Finance[Job Number]&amp;""=C194&amp;"")*(tbl_Finance[Xero Invoice No]&lt;&gt;"")*tbl_Finance[Date]))),""))</f>
        <v/>
      </c>
      <c r="B194" s="25">
        <f>IF(C194="","",IF(COUNTIFS(tbl_Finance[Job Number],C194&amp;"",tbl_Finance[Xero Invoice No],"&lt;&gt;")=0,"",IFERROR(IF(COUNTIFS(tbl_Finance[Job Number],C194&amp;"",tbl_Finance[Xero Invoice No],LOOKUP(2,1/((tbl_Finance[Job Number]&amp;""=C194&amp;"")*(tbl_Finance[Xero Invoice No]&lt;&gt;"")),tbl_Finance[Xero Invoice No]))=COUNTIFS(tbl_Finance[Job Number],C194&amp;"",tbl_Finance[Xero Invoice No],"&lt;&gt;"),LOOKUP(2,1/((tbl_Finance[Job Number]&amp;""=C194&amp;"")*(tbl_Finance[Xero Invoice No]&lt;&gt;"")),tbl_Finance[Xero Invoice No]),LOOKUP(2,1/((tbl_Finance[Job Number]&amp;""=C194&amp;"")*(tbl_Finance[Xero Invoice No]&lt;&gt;"")),tbl_Finance[Xero Invoice No])&amp;" +more"),"")))</f>
        <v/>
      </c>
      <c r="C194" s="24" t="n"/>
      <c r="D194" s="25">
        <f>IF(C194="","",IF(COUNTIF(lst_Jobs,C194&amp;"")&gt;0,"OK","CHECK"))</f>
        <v/>
      </c>
      <c r="E194" s="25">
        <f>IF(C194="","",IFERROR(INDEX(lst_JobName,MATCH(C194&amp;"",lst_Jobs,0)),""))</f>
        <v/>
      </c>
      <c r="F194" s="25">
        <f>IF(C194="","",IFERROR(INDEX(tbl_Finance[Client],IFERROR(MATCH(C194&amp;"",tbl_Finance[Job Number],0),MATCH(IFERROR(C194+0,C194),tbl_Finance[Job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6" t="n"/>
      <c r="L194" s="27">
        <f>IF(C194="","",IF(K194="",0,MAX(0,K194-H194)))</f>
        <v/>
      </c>
      <c r="M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N194" s="27">
        <f>IF(C194="","",SUMIFS(tbl_Finance[Inc GST],tbl_Finance[Job Number],C194&amp;""))</f>
        <v/>
      </c>
      <c r="O194" s="24" t="n"/>
      <c r="P194" s="25">
        <f>IF(C194="","",IFERROR(INDEX(tbl_Finance[Description],MATCH(C194&amp;"",tbl_Finance[Job Number],0)),""))</f>
        <v/>
      </c>
      <c r="Q194" s="24" t="n"/>
      <c r="R194" s="24" t="n"/>
      <c r="S194" s="22" t="n"/>
      <c r="T194" s="24" t="n"/>
      <c r="U194" s="25">
        <f>IF(T194="","",IF(AND(LEFT(T194,4)&lt;&gt;"http",set_RMSBase=""),"",HYPERLINK(IF(LEFT(T194,4)="http",T194,set_RMSBase&amp;T194),"Open opportunity")))</f>
        <v/>
      </c>
      <c r="V194" s="24" t="n"/>
      <c r="W194" s="25">
        <f>IF(V194="","",HYPERLINK(IF(LEFT(V194,4)="http",V194,set_QwilrBase&amp;V194),"Open quote"))</f>
        <v/>
      </c>
      <c r="X194" s="25">
        <f>IF(C194="","",C194)</f>
        <v/>
      </c>
      <c r="Y194" s="24" t="n"/>
      <c r="Z194" s="26" t="n"/>
      <c r="AA194" s="27">
        <f>IF(C194="","",H194+N(Z194))</f>
        <v/>
      </c>
      <c r="AB194" s="29">
        <f>IFERROR(Z194/AA194,"")</f>
        <v/>
      </c>
      <c r="AC194" s="26" t="n"/>
      <c r="AD194" s="26" t="n"/>
      <c r="AE194" s="26" t="n"/>
      <c r="AF194" s="26" t="n"/>
      <c r="AG194" s="27">
        <f>IF(C194="","",SUMIFS(tbl_Finance[Ex GST],tbl_Finance[Job Number],C194&amp;"",tbl_Finance[Cost Centre],"VIDEO"))</f>
        <v/>
      </c>
      <c r="AH194" s="29">
        <f>IFERROR(AG194/H194,"")</f>
        <v/>
      </c>
      <c r="AI194" s="27">
        <f>IF(C194="","",N(AC194)+N(AD194)+N(AE194)+N(AF194))</f>
        <v/>
      </c>
      <c r="AJ194" s="27">
        <f>IF(C194="","",H194+L194-AI194)</f>
        <v/>
      </c>
      <c r="AK194" s="29">
        <f>IFERROR(AJ194/(H194+L194),"")</f>
        <v/>
      </c>
      <c r="AL194" s="71" t="n"/>
      <c r="AM194" s="71" t="n"/>
      <c r="AN194" s="71" t="n"/>
      <c r="AO194" s="71" t="n"/>
      <c r="AP194" s="71" t="n"/>
      <c r="AQ194" s="24" t="n"/>
    </row>
    <row r="195" ht="15" customHeight="1">
      <c r="A195" s="70">
        <f>IF(C195="","",IFERROR(IF(SUMPRODUCT(MAX((tbl_Finance[Job Number]&amp;""=C195&amp;"")*(tbl_Finance[Xero Invoice No]&lt;&gt;"")*tbl_Finance[Date]))=0,"",SUMPRODUCT(MAX((tbl_Finance[Job Number]&amp;""=C195&amp;"")*(tbl_Finance[Xero Invoice No]&lt;&gt;"")*tbl_Finance[Date]))),""))</f>
        <v/>
      </c>
      <c r="B195" s="25">
        <f>IF(C195="","",IF(COUNTIFS(tbl_Finance[Job Number],C195&amp;"",tbl_Finance[Xero Invoice No],"&lt;&gt;")=0,"",IFERROR(IF(COUNTIFS(tbl_Finance[Job Number],C195&amp;"",tbl_Finance[Xero Invoice No],LOOKUP(2,1/((tbl_Finance[Job Number]&amp;""=C195&amp;"")*(tbl_Finance[Xero Invoice No]&lt;&gt;"")),tbl_Finance[Xero Invoice No]))=COUNTIFS(tbl_Finance[Job Number],C195&amp;"",tbl_Finance[Xero Invoice No],"&lt;&gt;"),LOOKUP(2,1/((tbl_Finance[Job Number]&amp;""=C195&amp;"")*(tbl_Finance[Xero Invoice No]&lt;&gt;"")),tbl_Finance[Xero Invoice No]),LOOKUP(2,1/((tbl_Finance[Job Number]&amp;""=C195&amp;"")*(tbl_Finance[Xero Invoice No]&lt;&gt;"")),tbl_Finance[Xero Invoice No])&amp;" +more"),"")))</f>
        <v/>
      </c>
      <c r="C195" s="24" t="n"/>
      <c r="D195" s="25">
        <f>IF(C195="","",IF(COUNTIF(lst_Jobs,C195&amp;"")&gt;0,"OK","CHECK"))</f>
        <v/>
      </c>
      <c r="E195" s="25">
        <f>IF(C195="","",IFERROR(INDEX(lst_JobName,MATCH(C195&amp;"",lst_Jobs,0)),""))</f>
        <v/>
      </c>
      <c r="F195" s="25">
        <f>IF(C195="","",IFERROR(INDEX(tbl_Finance[Client],IFERROR(MATCH(C195&amp;"",tbl_Finance[Job Number],0),MATCH(IFERROR(C195+0,C195),tbl_Finance[Job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6" t="n"/>
      <c r="L195" s="27">
        <f>IF(C195="","",IF(K195="",0,MAX(0,K195-H195)))</f>
        <v/>
      </c>
      <c r="M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N195" s="27">
        <f>IF(C195="","",SUMIFS(tbl_Finance[Inc GST],tbl_Finance[Job Number],C195&amp;""))</f>
        <v/>
      </c>
      <c r="O195" s="24" t="n"/>
      <c r="P195" s="25">
        <f>IF(C195="","",IFERROR(INDEX(tbl_Finance[Description],MATCH(C195&amp;"",tbl_Finance[Job Number],0)),""))</f>
        <v/>
      </c>
      <c r="Q195" s="24" t="n"/>
      <c r="R195" s="24" t="n"/>
      <c r="S195" s="22" t="n"/>
      <c r="T195" s="24" t="n"/>
      <c r="U195" s="25">
        <f>IF(T195="","",IF(AND(LEFT(T195,4)&lt;&gt;"http",set_RMSBase=""),"",HYPERLINK(IF(LEFT(T195,4)="http",T195,set_RMSBase&amp;T195),"Open opportunity")))</f>
        <v/>
      </c>
      <c r="V195" s="24" t="n"/>
      <c r="W195" s="25">
        <f>IF(V195="","",HYPERLINK(IF(LEFT(V195,4)="http",V195,set_QwilrBase&amp;V195),"Open quote"))</f>
        <v/>
      </c>
      <c r="X195" s="25">
        <f>IF(C195="","",C195)</f>
        <v/>
      </c>
      <c r="Y195" s="24" t="n"/>
      <c r="Z195" s="26" t="n"/>
      <c r="AA195" s="27">
        <f>IF(C195="","",H195+N(Z195))</f>
        <v/>
      </c>
      <c r="AB195" s="29">
        <f>IFERROR(Z195/AA195,"")</f>
        <v/>
      </c>
      <c r="AC195" s="26" t="n"/>
      <c r="AD195" s="26" t="n"/>
      <c r="AE195" s="26" t="n"/>
      <c r="AF195" s="26" t="n"/>
      <c r="AG195" s="27">
        <f>IF(C195="","",SUMIFS(tbl_Finance[Ex GST],tbl_Finance[Job Number],C195&amp;"",tbl_Finance[Cost Centre],"VIDEO"))</f>
        <v/>
      </c>
      <c r="AH195" s="29">
        <f>IFERROR(AG195/H195,"")</f>
        <v/>
      </c>
      <c r="AI195" s="27">
        <f>IF(C195="","",N(AC195)+N(AD195)+N(AE195)+N(AF195))</f>
        <v/>
      </c>
      <c r="AJ195" s="27">
        <f>IF(C195="","",H195+L195-AI195)</f>
        <v/>
      </c>
      <c r="AK195" s="29">
        <f>IFERROR(AJ195/(H195+L195),"")</f>
        <v/>
      </c>
      <c r="AL195" s="71" t="n"/>
      <c r="AM195" s="71" t="n"/>
      <c r="AN195" s="71" t="n"/>
      <c r="AO195" s="71" t="n"/>
      <c r="AP195" s="71" t="n"/>
      <c r="AQ195" s="24" t="n"/>
    </row>
    <row r="196" ht="15" customHeight="1">
      <c r="A196" s="70">
        <f>IF(C196="","",IFERROR(IF(SUMPRODUCT(MAX((tbl_Finance[Job Number]&amp;""=C196&amp;"")*(tbl_Finance[Xero Invoice No]&lt;&gt;"")*tbl_Finance[Date]))=0,"",SUMPRODUCT(MAX((tbl_Finance[Job Number]&amp;""=C196&amp;"")*(tbl_Finance[Xero Invoice No]&lt;&gt;"")*tbl_Finance[Date]))),""))</f>
        <v/>
      </c>
      <c r="B196" s="25">
        <f>IF(C196="","",IF(COUNTIFS(tbl_Finance[Job Number],C196&amp;"",tbl_Finance[Xero Invoice No],"&lt;&gt;")=0,"",IFERROR(IF(COUNTIFS(tbl_Finance[Job Number],C196&amp;"",tbl_Finance[Xero Invoice No],LOOKUP(2,1/((tbl_Finance[Job Number]&amp;""=C196&amp;"")*(tbl_Finance[Xero Invoice No]&lt;&gt;"")),tbl_Finance[Xero Invoice No]))=COUNTIFS(tbl_Finance[Job Number],C196&amp;"",tbl_Finance[Xero Invoice No],"&lt;&gt;"),LOOKUP(2,1/((tbl_Finance[Job Number]&amp;""=C196&amp;"")*(tbl_Finance[Xero Invoice No]&lt;&gt;"")),tbl_Finance[Xero Invoice No]),LOOKUP(2,1/((tbl_Finance[Job Number]&amp;""=C196&amp;"")*(tbl_Finance[Xero Invoice No]&lt;&gt;"")),tbl_Finance[Xero Invoice No])&amp;" +more"),"")))</f>
        <v/>
      </c>
      <c r="C196" s="24" t="n"/>
      <c r="D196" s="25">
        <f>IF(C196="","",IF(COUNTIF(lst_Jobs,C196&amp;"")&gt;0,"OK","CHECK"))</f>
        <v/>
      </c>
      <c r="E196" s="25">
        <f>IF(C196="","",IFERROR(INDEX(lst_JobName,MATCH(C196&amp;"",lst_Jobs,0)),""))</f>
        <v/>
      </c>
      <c r="F196" s="25">
        <f>IF(C196="","",IFERROR(INDEX(tbl_Finance[Client],IFERROR(MATCH(C196&amp;"",tbl_Finance[Job Number],0),MATCH(IFERROR(C196+0,C196),tbl_Finance[Job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6" t="n"/>
      <c r="L196" s="27">
        <f>IF(C196="","",IF(K196="",0,MAX(0,K196-H196)))</f>
        <v/>
      </c>
      <c r="M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N196" s="27">
        <f>IF(C196="","",SUMIFS(tbl_Finance[Inc GST],tbl_Finance[Job Number],C196&amp;""))</f>
        <v/>
      </c>
      <c r="O196" s="24" t="n"/>
      <c r="P196" s="25">
        <f>IF(C196="","",IFERROR(INDEX(tbl_Finance[Description],MATCH(C196&amp;"",tbl_Finance[Job Number],0)),""))</f>
        <v/>
      </c>
      <c r="Q196" s="24" t="n"/>
      <c r="R196" s="24" t="n"/>
      <c r="S196" s="22" t="n"/>
      <c r="T196" s="24" t="n"/>
      <c r="U196" s="25">
        <f>IF(T196="","",IF(AND(LEFT(T196,4)&lt;&gt;"http",set_RMSBase=""),"",HYPERLINK(IF(LEFT(T196,4)="http",T196,set_RMSBase&amp;T196),"Open opportunity")))</f>
        <v/>
      </c>
      <c r="V196" s="24" t="n"/>
      <c r="W196" s="25">
        <f>IF(V196="","",HYPERLINK(IF(LEFT(V196,4)="http",V196,set_QwilrBase&amp;V196),"Open quote"))</f>
        <v/>
      </c>
      <c r="X196" s="25">
        <f>IF(C196="","",C196)</f>
        <v/>
      </c>
      <c r="Y196" s="24" t="n"/>
      <c r="Z196" s="26" t="n"/>
      <c r="AA196" s="27">
        <f>IF(C196="","",H196+N(Z196))</f>
        <v/>
      </c>
      <c r="AB196" s="29">
        <f>IFERROR(Z196/AA196,"")</f>
        <v/>
      </c>
      <c r="AC196" s="26" t="n"/>
      <c r="AD196" s="26" t="n"/>
      <c r="AE196" s="26" t="n"/>
      <c r="AF196" s="26" t="n"/>
      <c r="AG196" s="27">
        <f>IF(C196="","",SUMIFS(tbl_Finance[Ex GST],tbl_Finance[Job Number],C196&amp;"",tbl_Finance[Cost Centre],"VIDEO"))</f>
        <v/>
      </c>
      <c r="AH196" s="29">
        <f>IFERROR(AG196/H196,"")</f>
        <v/>
      </c>
      <c r="AI196" s="27">
        <f>IF(C196="","",N(AC196)+N(AD196)+N(AE196)+N(AF196))</f>
        <v/>
      </c>
      <c r="AJ196" s="27">
        <f>IF(C196="","",H196+L196-AI196)</f>
        <v/>
      </c>
      <c r="AK196" s="29">
        <f>IFERROR(AJ196/(H196+L196),"")</f>
        <v/>
      </c>
      <c r="AL196" s="71" t="n"/>
      <c r="AM196" s="71" t="n"/>
      <c r="AN196" s="71" t="n"/>
      <c r="AO196" s="71" t="n"/>
      <c r="AP196" s="71" t="n"/>
      <c r="AQ196" s="24" t="n"/>
    </row>
    <row r="197" ht="15" customHeight="1">
      <c r="A197" s="70">
        <f>IF(C197="","",IFERROR(IF(SUMPRODUCT(MAX((tbl_Finance[Job Number]&amp;""=C197&amp;"")*(tbl_Finance[Xero Invoice No]&lt;&gt;"")*tbl_Finance[Date]))=0,"",SUMPRODUCT(MAX((tbl_Finance[Job Number]&amp;""=C197&amp;"")*(tbl_Finance[Xero Invoice No]&lt;&gt;"")*tbl_Finance[Date]))),""))</f>
        <v/>
      </c>
      <c r="B197" s="25">
        <f>IF(C197="","",IF(COUNTIFS(tbl_Finance[Job Number],C197&amp;"",tbl_Finance[Xero Invoice No],"&lt;&gt;")=0,"",IFERROR(IF(COUNTIFS(tbl_Finance[Job Number],C197&amp;"",tbl_Finance[Xero Invoice No],LOOKUP(2,1/((tbl_Finance[Job Number]&amp;""=C197&amp;"")*(tbl_Finance[Xero Invoice No]&lt;&gt;"")),tbl_Finance[Xero Invoice No]))=COUNTIFS(tbl_Finance[Job Number],C197&amp;"",tbl_Finance[Xero Invoice No],"&lt;&gt;"),LOOKUP(2,1/((tbl_Finance[Job Number]&amp;""=C197&amp;"")*(tbl_Finance[Xero Invoice No]&lt;&gt;"")),tbl_Finance[Xero Invoice No]),LOOKUP(2,1/((tbl_Finance[Job Number]&amp;""=C197&amp;"")*(tbl_Finance[Xero Invoice No]&lt;&gt;"")),tbl_Finance[Xero Invoice No])&amp;" +more"),"")))</f>
        <v/>
      </c>
      <c r="C197" s="24" t="n"/>
      <c r="D197" s="25">
        <f>IF(C197="","",IF(COUNTIF(lst_Jobs,C197&amp;"")&gt;0,"OK","CHECK"))</f>
        <v/>
      </c>
      <c r="E197" s="25">
        <f>IF(C197="","",IFERROR(INDEX(lst_JobName,MATCH(C197&amp;"",lst_Jobs,0)),""))</f>
        <v/>
      </c>
      <c r="F197" s="25">
        <f>IF(C197="","",IFERROR(INDEX(tbl_Finance[Client],IFERROR(MATCH(C197&amp;"",tbl_Finance[Job Number],0),MATCH(IFERROR(C197+0,C197),tbl_Finance[Job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6" t="n"/>
      <c r="L197" s="27">
        <f>IF(C197="","",IF(K197="",0,MAX(0,K197-H197)))</f>
        <v/>
      </c>
      <c r="M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N197" s="27">
        <f>IF(C197="","",SUMIFS(tbl_Finance[Inc GST],tbl_Finance[Job Number],C197&amp;""))</f>
        <v/>
      </c>
      <c r="O197" s="24" t="n"/>
      <c r="P197" s="25">
        <f>IF(C197="","",IFERROR(INDEX(tbl_Finance[Description],MATCH(C197&amp;"",tbl_Finance[Job Number],0)),""))</f>
        <v/>
      </c>
      <c r="Q197" s="24" t="n"/>
      <c r="R197" s="24" t="n"/>
      <c r="S197" s="22" t="n"/>
      <c r="T197" s="24" t="n"/>
      <c r="U197" s="25">
        <f>IF(T197="","",IF(AND(LEFT(T197,4)&lt;&gt;"http",set_RMSBase=""),"",HYPERLINK(IF(LEFT(T197,4)="http",T197,set_RMSBase&amp;T197),"Open opportunity")))</f>
        <v/>
      </c>
      <c r="V197" s="24" t="n"/>
      <c r="W197" s="25">
        <f>IF(V197="","",HYPERLINK(IF(LEFT(V197,4)="http",V197,set_QwilrBase&amp;V197),"Open quote"))</f>
        <v/>
      </c>
      <c r="X197" s="25">
        <f>IF(C197="","",C197)</f>
        <v/>
      </c>
      <c r="Y197" s="24" t="n"/>
      <c r="Z197" s="26" t="n"/>
      <c r="AA197" s="27">
        <f>IF(C197="","",H197+N(Z197))</f>
        <v/>
      </c>
      <c r="AB197" s="29">
        <f>IFERROR(Z197/AA197,"")</f>
        <v/>
      </c>
      <c r="AC197" s="26" t="n"/>
      <c r="AD197" s="26" t="n"/>
      <c r="AE197" s="26" t="n"/>
      <c r="AF197" s="26" t="n"/>
      <c r="AG197" s="27">
        <f>IF(C197="","",SUMIFS(tbl_Finance[Ex GST],tbl_Finance[Job Number],C197&amp;"",tbl_Finance[Cost Centre],"VIDEO"))</f>
        <v/>
      </c>
      <c r="AH197" s="29">
        <f>IFERROR(AG197/H197,"")</f>
        <v/>
      </c>
      <c r="AI197" s="27">
        <f>IF(C197="","",N(AC197)+N(AD197)+N(AE197)+N(AF197))</f>
        <v/>
      </c>
      <c r="AJ197" s="27">
        <f>IF(C197="","",H197+L197-AI197)</f>
        <v/>
      </c>
      <c r="AK197" s="29">
        <f>IFERROR(AJ197/(H197+L197),"")</f>
        <v/>
      </c>
      <c r="AL197" s="71" t="n"/>
      <c r="AM197" s="71" t="n"/>
      <c r="AN197" s="71" t="n"/>
      <c r="AO197" s="71" t="n"/>
      <c r="AP197" s="71" t="n"/>
      <c r="AQ197" s="24" t="n"/>
    </row>
    <row r="198" ht="15" customHeight="1">
      <c r="A198" s="70">
        <f>IF(C198="","",IFERROR(IF(SUMPRODUCT(MAX((tbl_Finance[Job Number]&amp;""=C198&amp;"")*(tbl_Finance[Xero Invoice No]&lt;&gt;"")*tbl_Finance[Date]))=0,"",SUMPRODUCT(MAX((tbl_Finance[Job Number]&amp;""=C198&amp;"")*(tbl_Finance[Xero Invoice No]&lt;&gt;"")*tbl_Finance[Date]))),""))</f>
        <v/>
      </c>
      <c r="B198" s="25">
        <f>IF(C198="","",IF(COUNTIFS(tbl_Finance[Job Number],C198&amp;"",tbl_Finance[Xero Invoice No],"&lt;&gt;")=0,"",IFERROR(IF(COUNTIFS(tbl_Finance[Job Number],C198&amp;"",tbl_Finance[Xero Invoice No],LOOKUP(2,1/((tbl_Finance[Job Number]&amp;""=C198&amp;"")*(tbl_Finance[Xero Invoice No]&lt;&gt;"")),tbl_Finance[Xero Invoice No]))=COUNTIFS(tbl_Finance[Job Number],C198&amp;"",tbl_Finance[Xero Invoice No],"&lt;&gt;"),LOOKUP(2,1/((tbl_Finance[Job Number]&amp;""=C198&amp;"")*(tbl_Finance[Xero Invoice No]&lt;&gt;"")),tbl_Finance[Xero Invoice No]),LOOKUP(2,1/((tbl_Finance[Job Number]&amp;""=C198&amp;"")*(tbl_Finance[Xero Invoice No]&lt;&gt;"")),tbl_Finance[Xero Invoice No])&amp;" +more"),"")))</f>
        <v/>
      </c>
      <c r="C198" s="24" t="n"/>
      <c r="D198" s="25">
        <f>IF(C198="","",IF(COUNTIF(lst_Jobs,C198&amp;"")&gt;0,"OK","CHECK"))</f>
        <v/>
      </c>
      <c r="E198" s="25">
        <f>IF(C198="","",IFERROR(INDEX(lst_JobName,MATCH(C198&amp;"",lst_Jobs,0)),""))</f>
        <v/>
      </c>
      <c r="F198" s="25">
        <f>IF(C198="","",IFERROR(INDEX(tbl_Finance[Client],IFERROR(MATCH(C198&amp;"",tbl_Finance[Job Number],0),MATCH(IFERROR(C198+0,C198),tbl_Finance[Job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6" t="n"/>
      <c r="L198" s="27">
        <f>IF(C198="","",IF(K198="",0,MAX(0,K198-H198)))</f>
        <v/>
      </c>
      <c r="M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N198" s="27">
        <f>IF(C198="","",SUMIFS(tbl_Finance[Inc GST],tbl_Finance[Job Number],C198&amp;""))</f>
        <v/>
      </c>
      <c r="O198" s="24" t="n"/>
      <c r="P198" s="25">
        <f>IF(C198="","",IFERROR(INDEX(tbl_Finance[Description],MATCH(C198&amp;"",tbl_Finance[Job Number],0)),""))</f>
        <v/>
      </c>
      <c r="Q198" s="24" t="n"/>
      <c r="R198" s="24" t="n"/>
      <c r="S198" s="22" t="n"/>
      <c r="T198" s="24" t="n"/>
      <c r="U198" s="25">
        <f>IF(T198="","",IF(AND(LEFT(T198,4)&lt;&gt;"http",set_RMSBase=""),"",HYPERLINK(IF(LEFT(T198,4)="http",T198,set_RMSBase&amp;T198),"Open opportunity")))</f>
        <v/>
      </c>
      <c r="V198" s="24" t="n"/>
      <c r="W198" s="25">
        <f>IF(V198="","",HYPERLINK(IF(LEFT(V198,4)="http",V198,set_QwilrBase&amp;V198),"Open quote"))</f>
        <v/>
      </c>
      <c r="X198" s="25">
        <f>IF(C198="","",C198)</f>
        <v/>
      </c>
      <c r="Y198" s="24" t="n"/>
      <c r="Z198" s="26" t="n"/>
      <c r="AA198" s="27">
        <f>IF(C198="","",H198+N(Z198))</f>
        <v/>
      </c>
      <c r="AB198" s="29">
        <f>IFERROR(Z198/AA198,"")</f>
        <v/>
      </c>
      <c r="AC198" s="26" t="n"/>
      <c r="AD198" s="26" t="n"/>
      <c r="AE198" s="26" t="n"/>
      <c r="AF198" s="26" t="n"/>
      <c r="AG198" s="27">
        <f>IF(C198="","",SUMIFS(tbl_Finance[Ex GST],tbl_Finance[Job Number],C198&amp;"",tbl_Finance[Cost Centre],"VIDEO"))</f>
        <v/>
      </c>
      <c r="AH198" s="29">
        <f>IFERROR(AG198/H198,"")</f>
        <v/>
      </c>
      <c r="AI198" s="27">
        <f>IF(C198="","",N(AC198)+N(AD198)+N(AE198)+N(AF198))</f>
        <v/>
      </c>
      <c r="AJ198" s="27">
        <f>IF(C198="","",H198+L198-AI198)</f>
        <v/>
      </c>
      <c r="AK198" s="29">
        <f>IFERROR(AJ198/(H198+L198),"")</f>
        <v/>
      </c>
      <c r="AL198" s="71" t="n"/>
      <c r="AM198" s="71" t="n"/>
      <c r="AN198" s="71" t="n"/>
      <c r="AO198" s="71" t="n"/>
      <c r="AP198" s="71" t="n"/>
      <c r="AQ198" s="24" t="n"/>
    </row>
    <row r="199" ht="15" customHeight="1">
      <c r="A199" s="70">
        <f>IF(C199="","",IFERROR(IF(SUMPRODUCT(MAX((tbl_Finance[Job Number]&amp;""=C199&amp;"")*(tbl_Finance[Xero Invoice No]&lt;&gt;"")*tbl_Finance[Date]))=0,"",SUMPRODUCT(MAX((tbl_Finance[Job Number]&amp;""=C199&amp;"")*(tbl_Finance[Xero Invoice No]&lt;&gt;"")*tbl_Finance[Date]))),""))</f>
        <v/>
      </c>
      <c r="B199" s="25">
        <f>IF(C199="","",IF(COUNTIFS(tbl_Finance[Job Number],C199&amp;"",tbl_Finance[Xero Invoice No],"&lt;&gt;")=0,"",IFERROR(IF(COUNTIFS(tbl_Finance[Job Number],C199&amp;"",tbl_Finance[Xero Invoice No],LOOKUP(2,1/((tbl_Finance[Job Number]&amp;""=C199&amp;"")*(tbl_Finance[Xero Invoice No]&lt;&gt;"")),tbl_Finance[Xero Invoice No]))=COUNTIFS(tbl_Finance[Job Number],C199&amp;"",tbl_Finance[Xero Invoice No],"&lt;&gt;"),LOOKUP(2,1/((tbl_Finance[Job Number]&amp;""=C199&amp;"")*(tbl_Finance[Xero Invoice No]&lt;&gt;"")),tbl_Finance[Xero Invoice No]),LOOKUP(2,1/((tbl_Finance[Job Number]&amp;""=C199&amp;"")*(tbl_Finance[Xero Invoice No]&lt;&gt;"")),tbl_Finance[Xero Invoice No])&amp;" +more"),"")))</f>
        <v/>
      </c>
      <c r="C199" s="24" t="n"/>
      <c r="D199" s="25">
        <f>IF(C199="","",IF(COUNTIF(lst_Jobs,C199&amp;"")&gt;0,"OK","CHECK"))</f>
        <v/>
      </c>
      <c r="E199" s="25">
        <f>IF(C199="","",IFERROR(INDEX(lst_JobName,MATCH(C199&amp;"",lst_Jobs,0)),""))</f>
        <v/>
      </c>
      <c r="F199" s="25">
        <f>IF(C199="","",IFERROR(INDEX(tbl_Finance[Client],IFERROR(MATCH(C199&amp;"",tbl_Finance[Job Number],0),MATCH(IFERROR(C199+0,C199),tbl_Finance[Job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6" t="n"/>
      <c r="L199" s="27">
        <f>IF(C199="","",IF(K199="",0,MAX(0,K199-H199)))</f>
        <v/>
      </c>
      <c r="M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N199" s="27">
        <f>IF(C199="","",SUMIFS(tbl_Finance[Inc GST],tbl_Finance[Job Number],C199&amp;""))</f>
        <v/>
      </c>
      <c r="O199" s="24" t="n"/>
      <c r="P199" s="25">
        <f>IF(C199="","",IFERROR(INDEX(tbl_Finance[Description],MATCH(C199&amp;"",tbl_Finance[Job Number],0)),""))</f>
        <v/>
      </c>
      <c r="Q199" s="24" t="n"/>
      <c r="R199" s="24" t="n"/>
      <c r="S199" s="22" t="n"/>
      <c r="T199" s="24" t="n"/>
      <c r="U199" s="25">
        <f>IF(T199="","",IF(AND(LEFT(T199,4)&lt;&gt;"http",set_RMSBase=""),"",HYPERLINK(IF(LEFT(T199,4)="http",T199,set_RMSBase&amp;T199),"Open opportunity")))</f>
        <v/>
      </c>
      <c r="V199" s="24" t="n"/>
      <c r="W199" s="25">
        <f>IF(V199="","",HYPERLINK(IF(LEFT(V199,4)="http",V199,set_QwilrBase&amp;V199),"Open quote"))</f>
        <v/>
      </c>
      <c r="X199" s="25">
        <f>IF(C199="","",C199)</f>
        <v/>
      </c>
      <c r="Y199" s="24" t="n"/>
      <c r="Z199" s="26" t="n"/>
      <c r="AA199" s="27">
        <f>IF(C199="","",H199+N(Z199))</f>
        <v/>
      </c>
      <c r="AB199" s="29">
        <f>IFERROR(Z199/AA199,"")</f>
        <v/>
      </c>
      <c r="AC199" s="26" t="n"/>
      <c r="AD199" s="26" t="n"/>
      <c r="AE199" s="26" t="n"/>
      <c r="AF199" s="26" t="n"/>
      <c r="AG199" s="27">
        <f>IF(C199="","",SUMIFS(tbl_Finance[Ex GST],tbl_Finance[Job Number],C199&amp;"",tbl_Finance[Cost Centre],"VIDEO"))</f>
        <v/>
      </c>
      <c r="AH199" s="29">
        <f>IFERROR(AG199/H199,"")</f>
        <v/>
      </c>
      <c r="AI199" s="27">
        <f>IF(C199="","",N(AC199)+N(AD199)+N(AE199)+N(AF199))</f>
        <v/>
      </c>
      <c r="AJ199" s="27">
        <f>IF(C199="","",H199+L199-AI199)</f>
        <v/>
      </c>
      <c r="AK199" s="29">
        <f>IFERROR(AJ199/(H199+L199),"")</f>
        <v/>
      </c>
      <c r="AL199" s="71" t="n"/>
      <c r="AM199" s="71" t="n"/>
      <c r="AN199" s="71" t="n"/>
      <c r="AO199" s="71" t="n"/>
      <c r="AP199" s="71" t="n"/>
      <c r="AQ199" s="24" t="n"/>
    </row>
    <row r="200" ht="15" customHeight="1">
      <c r="A200" s="70">
        <f>IF(C200="","",IFERROR(IF(SUMPRODUCT(MAX((tbl_Finance[Job Number]&amp;""=C200&amp;"")*(tbl_Finance[Xero Invoice No]&lt;&gt;"")*tbl_Finance[Date]))=0,"",SUMPRODUCT(MAX((tbl_Finance[Job Number]&amp;""=C200&amp;"")*(tbl_Finance[Xero Invoice No]&lt;&gt;"")*tbl_Finance[Date]))),""))</f>
        <v/>
      </c>
      <c r="B200" s="25">
        <f>IF(C200="","",IF(COUNTIFS(tbl_Finance[Job Number],C200&amp;"",tbl_Finance[Xero Invoice No],"&lt;&gt;")=0,"",IFERROR(IF(COUNTIFS(tbl_Finance[Job Number],C200&amp;"",tbl_Finance[Xero Invoice No],LOOKUP(2,1/((tbl_Finance[Job Number]&amp;""=C200&amp;"")*(tbl_Finance[Xero Invoice No]&lt;&gt;"")),tbl_Finance[Xero Invoice No]))=COUNTIFS(tbl_Finance[Job Number],C200&amp;"",tbl_Finance[Xero Invoice No],"&lt;&gt;"),LOOKUP(2,1/((tbl_Finance[Job Number]&amp;""=C200&amp;"")*(tbl_Finance[Xero Invoice No]&lt;&gt;"")),tbl_Finance[Xero Invoice No]),LOOKUP(2,1/((tbl_Finance[Job Number]&amp;""=C200&amp;"")*(tbl_Finance[Xero Invoice No]&lt;&gt;"")),tbl_Finance[Xero Invoice No])&amp;" +more"),"")))</f>
        <v/>
      </c>
      <c r="C200" s="24" t="n"/>
      <c r="D200" s="25">
        <f>IF(C200="","",IF(COUNTIF(lst_Jobs,C200&amp;"")&gt;0,"OK","CHECK"))</f>
        <v/>
      </c>
      <c r="E200" s="25">
        <f>IF(C200="","",IFERROR(INDEX(lst_JobName,MATCH(C200&amp;"",lst_Jobs,0)),""))</f>
        <v/>
      </c>
      <c r="F200" s="25">
        <f>IF(C200="","",IFERROR(INDEX(tbl_Finance[Client],IFERROR(MATCH(C200&amp;"",tbl_Finance[Job Number],0),MATCH(IFERROR(C200+0,C200),tbl_Finance[Job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6" t="n"/>
      <c r="L200" s="27">
        <f>IF(C200="","",IF(K200="",0,MAX(0,K200-H200)))</f>
        <v/>
      </c>
      <c r="M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N200" s="27">
        <f>IF(C200="","",SUMIFS(tbl_Finance[Inc GST],tbl_Finance[Job Number],C200&amp;""))</f>
        <v/>
      </c>
      <c r="O200" s="24" t="n"/>
      <c r="P200" s="25">
        <f>IF(C200="","",IFERROR(INDEX(tbl_Finance[Description],MATCH(C200&amp;"",tbl_Finance[Job Number],0)),""))</f>
        <v/>
      </c>
      <c r="Q200" s="24" t="n"/>
      <c r="R200" s="24" t="n"/>
      <c r="S200" s="22" t="n"/>
      <c r="T200" s="24" t="n"/>
      <c r="U200" s="25">
        <f>IF(T200="","",IF(AND(LEFT(T200,4)&lt;&gt;"http",set_RMSBase=""),"",HYPERLINK(IF(LEFT(T200,4)="http",T200,set_RMSBase&amp;T200),"Open opportunity")))</f>
        <v/>
      </c>
      <c r="V200" s="24" t="n"/>
      <c r="W200" s="25">
        <f>IF(V200="","",HYPERLINK(IF(LEFT(V200,4)="http",V200,set_QwilrBase&amp;V200),"Open quote"))</f>
        <v/>
      </c>
      <c r="X200" s="25">
        <f>IF(C200="","",C200)</f>
        <v/>
      </c>
      <c r="Y200" s="24" t="n"/>
      <c r="Z200" s="26" t="n"/>
      <c r="AA200" s="27">
        <f>IF(C200="","",H200+N(Z200))</f>
        <v/>
      </c>
      <c r="AB200" s="29">
        <f>IFERROR(Z200/AA200,"")</f>
        <v/>
      </c>
      <c r="AC200" s="26" t="n"/>
      <c r="AD200" s="26" t="n"/>
      <c r="AE200" s="26" t="n"/>
      <c r="AF200" s="26" t="n"/>
      <c r="AG200" s="27">
        <f>IF(C200="","",SUMIFS(tbl_Finance[Ex GST],tbl_Finance[Job Number],C200&amp;"",tbl_Finance[Cost Centre],"VIDEO"))</f>
        <v/>
      </c>
      <c r="AH200" s="29">
        <f>IFERROR(AG200/H200,"")</f>
        <v/>
      </c>
      <c r="AI200" s="27">
        <f>IF(C200="","",N(AC200)+N(AD200)+N(AE200)+N(AF200))</f>
        <v/>
      </c>
      <c r="AJ200" s="27">
        <f>IF(C200="","",H200+L200-AI200)</f>
        <v/>
      </c>
      <c r="AK200" s="29">
        <f>IFERROR(AJ200/(H200+L200),"")</f>
        <v/>
      </c>
      <c r="AL200" s="71" t="n"/>
      <c r="AM200" s="71" t="n"/>
      <c r="AN200" s="71" t="n"/>
      <c r="AO200" s="71" t="n"/>
      <c r="AP200" s="71" t="n"/>
      <c r="AQ200" s="24" t="n"/>
    </row>
    <row r="201" ht="15" customHeight="1">
      <c r="A201" s="70">
        <f>IF(C201="","",IFERROR(IF(SUMPRODUCT(MAX((tbl_Finance[Job Number]&amp;""=C201&amp;"")*(tbl_Finance[Xero Invoice No]&lt;&gt;"")*tbl_Finance[Date]))=0,"",SUMPRODUCT(MAX((tbl_Finance[Job Number]&amp;""=C201&amp;"")*(tbl_Finance[Xero Invoice No]&lt;&gt;"")*tbl_Finance[Date]))),""))</f>
        <v/>
      </c>
      <c r="B201" s="25">
        <f>IF(C201="","",IF(COUNTIFS(tbl_Finance[Job Number],C201&amp;"",tbl_Finance[Xero Invoice No],"&lt;&gt;")=0,"",IFERROR(IF(COUNTIFS(tbl_Finance[Job Number],C201&amp;"",tbl_Finance[Xero Invoice No],LOOKUP(2,1/((tbl_Finance[Job Number]&amp;""=C201&amp;"")*(tbl_Finance[Xero Invoice No]&lt;&gt;"")),tbl_Finance[Xero Invoice No]))=COUNTIFS(tbl_Finance[Job Number],C201&amp;"",tbl_Finance[Xero Invoice No],"&lt;&gt;"),LOOKUP(2,1/((tbl_Finance[Job Number]&amp;""=C201&amp;"")*(tbl_Finance[Xero Invoice No]&lt;&gt;"")),tbl_Finance[Xero Invoice No]),LOOKUP(2,1/((tbl_Finance[Job Number]&amp;""=C201&amp;"")*(tbl_Finance[Xero Invoice No]&lt;&gt;"")),tbl_Finance[Xero Invoice No])&amp;" +more"),"")))</f>
        <v/>
      </c>
      <c r="C201" s="24" t="n"/>
      <c r="D201" s="25">
        <f>IF(C201="","",IF(COUNTIF(lst_Jobs,C201&amp;"")&gt;0,"OK","CHECK"))</f>
        <v/>
      </c>
      <c r="E201" s="25">
        <f>IF(C201="","",IFERROR(INDEX(lst_JobName,MATCH(C201&amp;"",lst_Jobs,0)),""))</f>
        <v/>
      </c>
      <c r="F201" s="25">
        <f>IF(C201="","",IFERROR(INDEX(tbl_Finance[Client],IFERROR(MATCH(C201&amp;"",tbl_Finance[Job Number],0),MATCH(IFERROR(C201+0,C201),tbl_Finance[Job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6" t="n"/>
      <c r="L201" s="27">
        <f>IF(C201="","",IF(K201="",0,MAX(0,K201-H201)))</f>
        <v/>
      </c>
      <c r="M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N201" s="27">
        <f>IF(C201="","",SUMIFS(tbl_Finance[Inc GST],tbl_Finance[Job Number],C201&amp;""))</f>
        <v/>
      </c>
      <c r="O201" s="24" t="n"/>
      <c r="P201" s="25">
        <f>IF(C201="","",IFERROR(INDEX(tbl_Finance[Description],MATCH(C201&amp;"",tbl_Finance[Job Number],0)),""))</f>
        <v/>
      </c>
      <c r="Q201" s="24" t="n"/>
      <c r="R201" s="24" t="n"/>
      <c r="S201" s="22" t="n"/>
      <c r="T201" s="24" t="n"/>
      <c r="U201" s="25">
        <f>IF(T201="","",IF(AND(LEFT(T201,4)&lt;&gt;"http",set_RMSBase=""),"",HYPERLINK(IF(LEFT(T201,4)="http",T201,set_RMSBase&amp;T201),"Open opportunity")))</f>
        <v/>
      </c>
      <c r="V201" s="24" t="n"/>
      <c r="W201" s="25">
        <f>IF(V201="","",HYPERLINK(IF(LEFT(V201,4)="http",V201,set_QwilrBase&amp;V201),"Open quote"))</f>
        <v/>
      </c>
      <c r="X201" s="25">
        <f>IF(C201="","",C201)</f>
        <v/>
      </c>
      <c r="Y201" s="24" t="n"/>
      <c r="Z201" s="26" t="n"/>
      <c r="AA201" s="27">
        <f>IF(C201="","",H201+N(Z201))</f>
        <v/>
      </c>
      <c r="AB201" s="29">
        <f>IFERROR(Z201/AA201,"")</f>
        <v/>
      </c>
      <c r="AC201" s="26" t="n"/>
      <c r="AD201" s="26" t="n"/>
      <c r="AE201" s="26" t="n"/>
      <c r="AF201" s="26" t="n"/>
      <c r="AG201" s="27">
        <f>IF(C201="","",SUMIFS(tbl_Finance[Ex GST],tbl_Finance[Job Number],C201&amp;"",tbl_Finance[Cost Centre],"VIDEO"))</f>
        <v/>
      </c>
      <c r="AH201" s="29">
        <f>IFERROR(AG201/H201,"")</f>
        <v/>
      </c>
      <c r="AI201" s="27">
        <f>IF(C201="","",N(AC201)+N(AD201)+N(AE201)+N(AF201))</f>
        <v/>
      </c>
      <c r="AJ201" s="27">
        <f>IF(C201="","",H201+L201-AI201)</f>
        <v/>
      </c>
      <c r="AK201" s="29">
        <f>IFERROR(AJ201/(H201+L201),"")</f>
        <v/>
      </c>
      <c r="AL201" s="71" t="n"/>
      <c r="AM201" s="71" t="n"/>
      <c r="AN201" s="71" t="n"/>
      <c r="AO201" s="71" t="n"/>
      <c r="AP201" s="71" t="n"/>
      <c r="AQ201" s="24" t="n"/>
    </row>
    <row r="202" ht="15" customHeight="1">
      <c r="A202" s="70">
        <f>IF(C202="","",IFERROR(IF(SUMPRODUCT(MAX((tbl_Finance[Job Number]&amp;""=C202&amp;"")*(tbl_Finance[Xero Invoice No]&lt;&gt;"")*tbl_Finance[Date]))=0,"",SUMPRODUCT(MAX((tbl_Finance[Job Number]&amp;""=C202&amp;"")*(tbl_Finance[Xero Invoice No]&lt;&gt;"")*tbl_Finance[Date]))),""))</f>
        <v/>
      </c>
      <c r="B202" s="25">
        <f>IF(C202="","",IF(COUNTIFS(tbl_Finance[Job Number],C202&amp;"",tbl_Finance[Xero Invoice No],"&lt;&gt;")=0,"",IFERROR(IF(COUNTIFS(tbl_Finance[Job Number],C202&amp;"",tbl_Finance[Xero Invoice No],LOOKUP(2,1/((tbl_Finance[Job Number]&amp;""=C202&amp;"")*(tbl_Finance[Xero Invoice No]&lt;&gt;"")),tbl_Finance[Xero Invoice No]))=COUNTIFS(tbl_Finance[Job Number],C202&amp;"",tbl_Finance[Xero Invoice No],"&lt;&gt;"),LOOKUP(2,1/((tbl_Finance[Job Number]&amp;""=C202&amp;"")*(tbl_Finance[Xero Invoice No]&lt;&gt;"")),tbl_Finance[Xero Invoice No]),LOOKUP(2,1/((tbl_Finance[Job Number]&amp;""=C202&amp;"")*(tbl_Finance[Xero Invoice No]&lt;&gt;"")),tbl_Finance[Xero Invoice No])&amp;" +more"),"")))</f>
        <v/>
      </c>
      <c r="C202" s="24" t="n"/>
      <c r="D202" s="25">
        <f>IF(C202="","",IF(COUNTIF(lst_Jobs,C202&amp;"")&gt;0,"OK","CHECK"))</f>
        <v/>
      </c>
      <c r="E202" s="25">
        <f>IF(C202="","",IFERROR(INDEX(lst_JobName,MATCH(C202&amp;"",lst_Jobs,0)),""))</f>
        <v/>
      </c>
      <c r="F202" s="25">
        <f>IF(C202="","",IFERROR(INDEX(tbl_Finance[Client],IFERROR(MATCH(C202&amp;"",tbl_Finance[Job Number],0),MATCH(IFERROR(C202+0,C202),tbl_Finance[Job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6" t="n"/>
      <c r="L202" s="27">
        <f>IF(C202="","",IF(K202="",0,MAX(0,K202-H202)))</f>
        <v/>
      </c>
      <c r="M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N202" s="27">
        <f>IF(C202="","",SUMIFS(tbl_Finance[Inc GST],tbl_Finance[Job Number],C202&amp;""))</f>
        <v/>
      </c>
      <c r="O202" s="24" t="n"/>
      <c r="P202" s="25">
        <f>IF(C202="","",IFERROR(INDEX(tbl_Finance[Description],MATCH(C202&amp;"",tbl_Finance[Job Number],0)),""))</f>
        <v/>
      </c>
      <c r="Q202" s="24" t="n"/>
      <c r="R202" s="24" t="n"/>
      <c r="S202" s="22" t="n"/>
      <c r="T202" s="24" t="n"/>
      <c r="U202" s="25">
        <f>IF(T202="","",IF(AND(LEFT(T202,4)&lt;&gt;"http",set_RMSBase=""),"",HYPERLINK(IF(LEFT(T202,4)="http",T202,set_RMSBase&amp;T202),"Open opportunity")))</f>
        <v/>
      </c>
      <c r="V202" s="24" t="n"/>
      <c r="W202" s="25">
        <f>IF(V202="","",HYPERLINK(IF(LEFT(V202,4)="http",V202,set_QwilrBase&amp;V202),"Open quote"))</f>
        <v/>
      </c>
      <c r="X202" s="25">
        <f>IF(C202="","",C202)</f>
        <v/>
      </c>
      <c r="Y202" s="24" t="n"/>
      <c r="Z202" s="26" t="n"/>
      <c r="AA202" s="27">
        <f>IF(C202="","",H202+N(Z202))</f>
        <v/>
      </c>
      <c r="AB202" s="29">
        <f>IFERROR(Z202/AA202,"")</f>
        <v/>
      </c>
      <c r="AC202" s="26" t="n"/>
      <c r="AD202" s="26" t="n"/>
      <c r="AE202" s="26" t="n"/>
      <c r="AF202" s="26" t="n"/>
      <c r="AG202" s="27">
        <f>IF(C202="","",SUMIFS(tbl_Finance[Ex GST],tbl_Finance[Job Number],C202&amp;"",tbl_Finance[Cost Centre],"VIDEO"))</f>
        <v/>
      </c>
      <c r="AH202" s="29">
        <f>IFERROR(AG202/H202,"")</f>
        <v/>
      </c>
      <c r="AI202" s="27">
        <f>IF(C202="","",N(AC202)+N(AD202)+N(AE202)+N(AF202))</f>
        <v/>
      </c>
      <c r="AJ202" s="27">
        <f>IF(C202="","",H202+L202-AI202)</f>
        <v/>
      </c>
      <c r="AK202" s="29">
        <f>IFERROR(AJ202/(H202+L202),"")</f>
        <v/>
      </c>
      <c r="AL202" s="71" t="n"/>
      <c r="AM202" s="71" t="n"/>
      <c r="AN202" s="71" t="n"/>
      <c r="AO202" s="71" t="n"/>
      <c r="AP202" s="71" t="n"/>
      <c r="AQ202" s="24" t="n"/>
    </row>
    <row r="203" ht="15" customHeight="1">
      <c r="A203" s="70">
        <f>IF(C203="","",IFERROR(IF(SUMPRODUCT(MAX((tbl_Finance[Job Number]&amp;""=C203&amp;"")*(tbl_Finance[Xero Invoice No]&lt;&gt;"")*tbl_Finance[Date]))=0,"",SUMPRODUCT(MAX((tbl_Finance[Job Number]&amp;""=C203&amp;"")*(tbl_Finance[Xero Invoice No]&lt;&gt;"")*tbl_Finance[Date]))),""))</f>
        <v/>
      </c>
      <c r="B203" s="25">
        <f>IF(C203="","",IF(COUNTIFS(tbl_Finance[Job Number],C203&amp;"",tbl_Finance[Xero Invoice No],"&lt;&gt;")=0,"",IFERROR(IF(COUNTIFS(tbl_Finance[Job Number],C203&amp;"",tbl_Finance[Xero Invoice No],LOOKUP(2,1/((tbl_Finance[Job Number]&amp;""=C203&amp;"")*(tbl_Finance[Xero Invoice No]&lt;&gt;"")),tbl_Finance[Xero Invoice No]))=COUNTIFS(tbl_Finance[Job Number],C203&amp;"",tbl_Finance[Xero Invoice No],"&lt;&gt;"),LOOKUP(2,1/((tbl_Finance[Job Number]&amp;""=C203&amp;"")*(tbl_Finance[Xero Invoice No]&lt;&gt;"")),tbl_Finance[Xero Invoice No]),LOOKUP(2,1/((tbl_Finance[Job Number]&amp;""=C203&amp;"")*(tbl_Finance[Xero Invoice No]&lt;&gt;"")),tbl_Finance[Xero Invoice No])&amp;" +more"),"")))</f>
        <v/>
      </c>
      <c r="C203" s="24" t="n"/>
      <c r="D203" s="25">
        <f>IF(C203="","",IF(COUNTIF(lst_Jobs,C203&amp;"")&gt;0,"OK","CHECK"))</f>
        <v/>
      </c>
      <c r="E203" s="25">
        <f>IF(C203="","",IFERROR(INDEX(lst_JobName,MATCH(C203&amp;"",lst_Jobs,0)),""))</f>
        <v/>
      </c>
      <c r="F203" s="25">
        <f>IF(C203="","",IFERROR(INDEX(tbl_Finance[Client],IFERROR(MATCH(C203&amp;"",tbl_Finance[Job Number],0),MATCH(IFERROR(C203+0,C203),tbl_Finance[Job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6" t="n"/>
      <c r="L203" s="27">
        <f>IF(C203="","",IF(K203="",0,MAX(0,K203-H203)))</f>
        <v/>
      </c>
      <c r="M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N203" s="27">
        <f>IF(C203="","",SUMIFS(tbl_Finance[Inc GST],tbl_Finance[Job Number],C203&amp;""))</f>
        <v/>
      </c>
      <c r="O203" s="24" t="n"/>
      <c r="P203" s="25">
        <f>IF(C203="","",IFERROR(INDEX(tbl_Finance[Description],MATCH(C203&amp;"",tbl_Finance[Job Number],0)),""))</f>
        <v/>
      </c>
      <c r="Q203" s="24" t="n"/>
      <c r="R203" s="24" t="n"/>
      <c r="S203" s="22" t="n"/>
      <c r="T203" s="24" t="n"/>
      <c r="U203" s="25">
        <f>IF(T203="","",IF(AND(LEFT(T203,4)&lt;&gt;"http",set_RMSBase=""),"",HYPERLINK(IF(LEFT(T203,4)="http",T203,set_RMSBase&amp;T203),"Open opportunity")))</f>
        <v/>
      </c>
      <c r="V203" s="24" t="n"/>
      <c r="W203" s="25">
        <f>IF(V203="","",HYPERLINK(IF(LEFT(V203,4)="http",V203,set_QwilrBase&amp;V203),"Open quote"))</f>
        <v/>
      </c>
      <c r="X203" s="25">
        <f>IF(C203="","",C203)</f>
        <v/>
      </c>
      <c r="Y203" s="24" t="n"/>
      <c r="Z203" s="26" t="n"/>
      <c r="AA203" s="27">
        <f>IF(C203="","",H203+N(Z203))</f>
        <v/>
      </c>
      <c r="AB203" s="29">
        <f>IFERROR(Z203/AA203,"")</f>
        <v/>
      </c>
      <c r="AC203" s="26" t="n"/>
      <c r="AD203" s="26" t="n"/>
      <c r="AE203" s="26" t="n"/>
      <c r="AF203" s="26" t="n"/>
      <c r="AG203" s="27">
        <f>IF(C203="","",SUMIFS(tbl_Finance[Ex GST],tbl_Finance[Job Number],C203&amp;"",tbl_Finance[Cost Centre],"VIDEO"))</f>
        <v/>
      </c>
      <c r="AH203" s="29">
        <f>IFERROR(AG203/H203,"")</f>
        <v/>
      </c>
      <c r="AI203" s="27">
        <f>IF(C203="","",N(AC203)+N(AD203)+N(AE203)+N(AF203))</f>
        <v/>
      </c>
      <c r="AJ203" s="27">
        <f>IF(C203="","",H203+L203-AI203)</f>
        <v/>
      </c>
      <c r="AK203" s="29">
        <f>IFERROR(AJ203/(H203+L203),"")</f>
        <v/>
      </c>
      <c r="AL203" s="71" t="n"/>
      <c r="AM203" s="71" t="n"/>
      <c r="AN203" s="71" t="n"/>
      <c r="AO203" s="71" t="n"/>
      <c r="AP203" s="71" t="n"/>
      <c r="AQ203" s="24" t="n"/>
    </row>
    <row r="204" ht="15" customHeight="1">
      <c r="A204" s="70">
        <f>IF(C204="","",IFERROR(IF(SUMPRODUCT(MAX((tbl_Finance[Job Number]&amp;""=C204&amp;"")*(tbl_Finance[Xero Invoice No]&lt;&gt;"")*tbl_Finance[Date]))=0,"",SUMPRODUCT(MAX((tbl_Finance[Job Number]&amp;""=C204&amp;"")*(tbl_Finance[Xero Invoice No]&lt;&gt;"")*tbl_Finance[Date]))),""))</f>
        <v/>
      </c>
      <c r="B204" s="25">
        <f>IF(C204="","",IF(COUNTIFS(tbl_Finance[Job Number],C204&amp;"",tbl_Finance[Xero Invoice No],"&lt;&gt;")=0,"",IFERROR(IF(COUNTIFS(tbl_Finance[Job Number],C204&amp;"",tbl_Finance[Xero Invoice No],LOOKUP(2,1/((tbl_Finance[Job Number]&amp;""=C204&amp;"")*(tbl_Finance[Xero Invoice No]&lt;&gt;"")),tbl_Finance[Xero Invoice No]))=COUNTIFS(tbl_Finance[Job Number],C204&amp;"",tbl_Finance[Xero Invoice No],"&lt;&gt;"),LOOKUP(2,1/((tbl_Finance[Job Number]&amp;""=C204&amp;"")*(tbl_Finance[Xero Invoice No]&lt;&gt;"")),tbl_Finance[Xero Invoice No]),LOOKUP(2,1/((tbl_Finance[Job Number]&amp;""=C204&amp;"")*(tbl_Finance[Xero Invoice No]&lt;&gt;"")),tbl_Finance[Xero Invoice No])&amp;" +more"),"")))</f>
        <v/>
      </c>
      <c r="C204" s="24" t="n"/>
      <c r="D204" s="25">
        <f>IF(C204="","",IF(COUNTIF(lst_Jobs,C204&amp;"")&gt;0,"OK","CHECK"))</f>
        <v/>
      </c>
      <c r="E204" s="25">
        <f>IF(C204="","",IFERROR(INDEX(lst_JobName,MATCH(C204&amp;"",lst_Jobs,0)),""))</f>
        <v/>
      </c>
      <c r="F204" s="25">
        <f>IF(C204="","",IFERROR(INDEX(tbl_Finance[Client],IFERROR(MATCH(C204&amp;"",tbl_Finance[Job Number],0),MATCH(IFERROR(C204+0,C204),tbl_Finance[Job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6" t="n"/>
      <c r="L204" s="27">
        <f>IF(C204="","",IF(K204="",0,MAX(0,K204-H204)))</f>
        <v/>
      </c>
      <c r="M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N204" s="27">
        <f>IF(C204="","",SUMIFS(tbl_Finance[Inc GST],tbl_Finance[Job Number],C204&amp;""))</f>
        <v/>
      </c>
      <c r="O204" s="24" t="n"/>
      <c r="P204" s="25">
        <f>IF(C204="","",IFERROR(INDEX(tbl_Finance[Description],MATCH(C204&amp;"",tbl_Finance[Job Number],0)),""))</f>
        <v/>
      </c>
      <c r="Q204" s="24" t="n"/>
      <c r="R204" s="24" t="n"/>
      <c r="S204" s="22" t="n"/>
      <c r="T204" s="24" t="n"/>
      <c r="U204" s="25">
        <f>IF(T204="","",IF(AND(LEFT(T204,4)&lt;&gt;"http",set_RMSBase=""),"",HYPERLINK(IF(LEFT(T204,4)="http",T204,set_RMSBase&amp;T204),"Open opportunity")))</f>
        <v/>
      </c>
      <c r="V204" s="24" t="n"/>
      <c r="W204" s="25">
        <f>IF(V204="","",HYPERLINK(IF(LEFT(V204,4)="http",V204,set_QwilrBase&amp;V204),"Open quote"))</f>
        <v/>
      </c>
      <c r="X204" s="25">
        <f>IF(C204="","",C204)</f>
        <v/>
      </c>
      <c r="Y204" s="24" t="n"/>
      <c r="Z204" s="26" t="n"/>
      <c r="AA204" s="27">
        <f>IF(C204="","",H204+N(Z204))</f>
        <v/>
      </c>
      <c r="AB204" s="29">
        <f>IFERROR(Z204/AA204,"")</f>
        <v/>
      </c>
      <c r="AC204" s="26" t="n"/>
      <c r="AD204" s="26" t="n"/>
      <c r="AE204" s="26" t="n"/>
      <c r="AF204" s="26" t="n"/>
      <c r="AG204" s="27">
        <f>IF(C204="","",SUMIFS(tbl_Finance[Ex GST],tbl_Finance[Job Number],C204&amp;"",tbl_Finance[Cost Centre],"VIDEO"))</f>
        <v/>
      </c>
      <c r="AH204" s="29">
        <f>IFERROR(AG204/H204,"")</f>
        <v/>
      </c>
      <c r="AI204" s="27">
        <f>IF(C204="","",N(AC204)+N(AD204)+N(AE204)+N(AF204))</f>
        <v/>
      </c>
      <c r="AJ204" s="27">
        <f>IF(C204="","",H204+L204-AI204)</f>
        <v/>
      </c>
      <c r="AK204" s="29">
        <f>IFERROR(AJ204/(H204+L204),"")</f>
        <v/>
      </c>
      <c r="AL204" s="71" t="n"/>
      <c r="AM204" s="71" t="n"/>
      <c r="AN204" s="71" t="n"/>
      <c r="AO204" s="71" t="n"/>
      <c r="AP204" s="71" t="n"/>
      <c r="AQ204" s="24" t="n"/>
    </row>
    <row r="205" ht="15" customHeight="1">
      <c r="A205" s="70">
        <f>IF(C205="","",IFERROR(IF(SUMPRODUCT(MAX((tbl_Finance[Job Number]&amp;""=C205&amp;"")*(tbl_Finance[Xero Invoice No]&lt;&gt;"")*tbl_Finance[Date]))=0,"",SUMPRODUCT(MAX((tbl_Finance[Job Number]&amp;""=C205&amp;"")*(tbl_Finance[Xero Invoice No]&lt;&gt;"")*tbl_Finance[Date]))),""))</f>
        <v/>
      </c>
      <c r="B205" s="25">
        <f>IF(C205="","",IF(COUNTIFS(tbl_Finance[Job Number],C205&amp;"",tbl_Finance[Xero Invoice No],"&lt;&gt;")=0,"",IFERROR(IF(COUNTIFS(tbl_Finance[Job Number],C205&amp;"",tbl_Finance[Xero Invoice No],LOOKUP(2,1/((tbl_Finance[Job Number]&amp;""=C205&amp;"")*(tbl_Finance[Xero Invoice No]&lt;&gt;"")),tbl_Finance[Xero Invoice No]))=COUNTIFS(tbl_Finance[Job Number],C205&amp;"",tbl_Finance[Xero Invoice No],"&lt;&gt;"),LOOKUP(2,1/((tbl_Finance[Job Number]&amp;""=C205&amp;"")*(tbl_Finance[Xero Invoice No]&lt;&gt;"")),tbl_Finance[Xero Invoice No]),LOOKUP(2,1/((tbl_Finance[Job Number]&amp;""=C205&amp;"")*(tbl_Finance[Xero Invoice No]&lt;&gt;"")),tbl_Finance[Xero Invoice No])&amp;" +more"),"")))</f>
        <v/>
      </c>
      <c r="C205" s="24" t="n"/>
      <c r="D205" s="25">
        <f>IF(C205="","",IF(COUNTIF(lst_Jobs,C205&amp;"")&gt;0,"OK","CHECK"))</f>
        <v/>
      </c>
      <c r="E205" s="25">
        <f>IF(C205="","",IFERROR(INDEX(lst_JobName,MATCH(C205&amp;"",lst_Jobs,0)),""))</f>
        <v/>
      </c>
      <c r="F205" s="25">
        <f>IF(C205="","",IFERROR(INDEX(tbl_Finance[Client],IFERROR(MATCH(C205&amp;"",tbl_Finance[Job Number],0),MATCH(IFERROR(C205+0,C205),tbl_Finance[Job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6" t="n"/>
      <c r="L205" s="27">
        <f>IF(C205="","",IF(K205="",0,MAX(0,K205-H205)))</f>
        <v/>
      </c>
      <c r="M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N205" s="27">
        <f>IF(C205="","",SUMIFS(tbl_Finance[Inc GST],tbl_Finance[Job Number],C205&amp;""))</f>
        <v/>
      </c>
      <c r="O205" s="24" t="n"/>
      <c r="P205" s="25">
        <f>IF(C205="","",IFERROR(INDEX(tbl_Finance[Description],MATCH(C205&amp;"",tbl_Finance[Job Number],0)),""))</f>
        <v/>
      </c>
      <c r="Q205" s="24" t="n"/>
      <c r="R205" s="24" t="n"/>
      <c r="S205" s="22" t="n"/>
      <c r="T205" s="24" t="n"/>
      <c r="U205" s="25">
        <f>IF(T205="","",IF(AND(LEFT(T205,4)&lt;&gt;"http",set_RMSBase=""),"",HYPERLINK(IF(LEFT(T205,4)="http",T205,set_RMSBase&amp;T205),"Open opportunity")))</f>
        <v/>
      </c>
      <c r="V205" s="24" t="n"/>
      <c r="W205" s="25">
        <f>IF(V205="","",HYPERLINK(IF(LEFT(V205,4)="http",V205,set_QwilrBase&amp;V205),"Open quote"))</f>
        <v/>
      </c>
      <c r="X205" s="25">
        <f>IF(C205="","",C205)</f>
        <v/>
      </c>
      <c r="Y205" s="24" t="n"/>
      <c r="Z205" s="26" t="n"/>
      <c r="AA205" s="27">
        <f>IF(C205="","",H205+N(Z205))</f>
        <v/>
      </c>
      <c r="AB205" s="29">
        <f>IFERROR(Z205/AA205,"")</f>
        <v/>
      </c>
      <c r="AC205" s="26" t="n"/>
      <c r="AD205" s="26" t="n"/>
      <c r="AE205" s="26" t="n"/>
      <c r="AF205" s="26" t="n"/>
      <c r="AG205" s="27">
        <f>IF(C205="","",SUMIFS(tbl_Finance[Ex GST],tbl_Finance[Job Number],C205&amp;"",tbl_Finance[Cost Centre],"VIDEO"))</f>
        <v/>
      </c>
      <c r="AH205" s="29">
        <f>IFERROR(AG205/H205,"")</f>
        <v/>
      </c>
      <c r="AI205" s="27">
        <f>IF(C205="","",N(AC205)+N(AD205)+N(AE205)+N(AF205))</f>
        <v/>
      </c>
      <c r="AJ205" s="27">
        <f>IF(C205="","",H205+L205-AI205)</f>
        <v/>
      </c>
      <c r="AK205" s="29">
        <f>IFERROR(AJ205/(H205+L205),"")</f>
        <v/>
      </c>
      <c r="AL205" s="71" t="n"/>
      <c r="AM205" s="71" t="n"/>
      <c r="AN205" s="71" t="n"/>
      <c r="AO205" s="71" t="n"/>
      <c r="AP205" s="71" t="n"/>
      <c r="AQ205" s="24" t="n"/>
    </row>
    <row r="206" ht="15" customHeight="1">
      <c r="A206" s="70">
        <f>IF(C206="","",IFERROR(IF(SUMPRODUCT(MAX((tbl_Finance[Job Number]&amp;""=C206&amp;"")*(tbl_Finance[Xero Invoice No]&lt;&gt;"")*tbl_Finance[Date]))=0,"",SUMPRODUCT(MAX((tbl_Finance[Job Number]&amp;""=C206&amp;"")*(tbl_Finance[Xero Invoice No]&lt;&gt;"")*tbl_Finance[Date]))),""))</f>
        <v/>
      </c>
      <c r="B206" s="25">
        <f>IF(C206="","",IF(COUNTIFS(tbl_Finance[Job Number],C206&amp;"",tbl_Finance[Xero Invoice No],"&lt;&gt;")=0,"",IFERROR(IF(COUNTIFS(tbl_Finance[Job Number],C206&amp;"",tbl_Finance[Xero Invoice No],LOOKUP(2,1/((tbl_Finance[Job Number]&amp;""=C206&amp;"")*(tbl_Finance[Xero Invoice No]&lt;&gt;"")),tbl_Finance[Xero Invoice No]))=COUNTIFS(tbl_Finance[Job Number],C206&amp;"",tbl_Finance[Xero Invoice No],"&lt;&gt;"),LOOKUP(2,1/((tbl_Finance[Job Number]&amp;""=C206&amp;"")*(tbl_Finance[Xero Invoice No]&lt;&gt;"")),tbl_Finance[Xero Invoice No]),LOOKUP(2,1/((tbl_Finance[Job Number]&amp;""=C206&amp;"")*(tbl_Finance[Xero Invoice No]&lt;&gt;"")),tbl_Finance[Xero Invoice No])&amp;" +more"),"")))</f>
        <v/>
      </c>
      <c r="C206" s="24" t="n"/>
      <c r="D206" s="25">
        <f>IF(C206="","",IF(COUNTIF(lst_Jobs,C206&amp;"")&gt;0,"OK","CHECK"))</f>
        <v/>
      </c>
      <c r="E206" s="25">
        <f>IF(C206="","",IFERROR(INDEX(lst_JobName,MATCH(C206&amp;"",lst_Jobs,0)),""))</f>
        <v/>
      </c>
      <c r="F206" s="25">
        <f>IF(C206="","",IFERROR(INDEX(tbl_Finance[Client],IFERROR(MATCH(C206&amp;"",tbl_Finance[Job Number],0),MATCH(IFERROR(C206+0,C206),tbl_Finance[Job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6" t="n"/>
      <c r="L206" s="27">
        <f>IF(C206="","",IF(K206="",0,MAX(0,K206-H206)))</f>
        <v/>
      </c>
      <c r="M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N206" s="27">
        <f>IF(C206="","",SUMIFS(tbl_Finance[Inc GST],tbl_Finance[Job Number],C206&amp;""))</f>
        <v/>
      </c>
      <c r="O206" s="24" t="n"/>
      <c r="P206" s="25">
        <f>IF(C206="","",IFERROR(INDEX(tbl_Finance[Description],MATCH(C206&amp;"",tbl_Finance[Job Number],0)),""))</f>
        <v/>
      </c>
      <c r="Q206" s="24" t="n"/>
      <c r="R206" s="24" t="n"/>
      <c r="S206" s="22" t="n"/>
      <c r="T206" s="24" t="n"/>
      <c r="U206" s="25">
        <f>IF(T206="","",IF(AND(LEFT(T206,4)&lt;&gt;"http",set_RMSBase=""),"",HYPERLINK(IF(LEFT(T206,4)="http",T206,set_RMSBase&amp;T206),"Open opportunity")))</f>
        <v/>
      </c>
      <c r="V206" s="24" t="n"/>
      <c r="W206" s="25">
        <f>IF(V206="","",HYPERLINK(IF(LEFT(V206,4)="http",V206,set_QwilrBase&amp;V206),"Open quote"))</f>
        <v/>
      </c>
      <c r="X206" s="25">
        <f>IF(C206="","",C206)</f>
        <v/>
      </c>
      <c r="Y206" s="24" t="n"/>
      <c r="Z206" s="26" t="n"/>
      <c r="AA206" s="27">
        <f>IF(C206="","",H206+N(Z206))</f>
        <v/>
      </c>
      <c r="AB206" s="29">
        <f>IFERROR(Z206/AA206,"")</f>
        <v/>
      </c>
      <c r="AC206" s="26" t="n"/>
      <c r="AD206" s="26" t="n"/>
      <c r="AE206" s="26" t="n"/>
      <c r="AF206" s="26" t="n"/>
      <c r="AG206" s="27">
        <f>IF(C206="","",SUMIFS(tbl_Finance[Ex GST],tbl_Finance[Job Number],C206&amp;"",tbl_Finance[Cost Centre],"VIDEO"))</f>
        <v/>
      </c>
      <c r="AH206" s="29">
        <f>IFERROR(AG206/H206,"")</f>
        <v/>
      </c>
      <c r="AI206" s="27">
        <f>IF(C206="","",N(AC206)+N(AD206)+N(AE206)+N(AF206))</f>
        <v/>
      </c>
      <c r="AJ206" s="27">
        <f>IF(C206="","",H206+L206-AI206)</f>
        <v/>
      </c>
      <c r="AK206" s="29">
        <f>IFERROR(AJ206/(H206+L206),"")</f>
        <v/>
      </c>
      <c r="AL206" s="71" t="n"/>
      <c r="AM206" s="71" t="n"/>
      <c r="AN206" s="71" t="n"/>
      <c r="AO206" s="71" t="n"/>
      <c r="AP206" s="71" t="n"/>
      <c r="AQ206" s="24" t="n"/>
    </row>
    <row r="207" ht="15" customHeight="1">
      <c r="A207" s="70">
        <f>IF(C207="","",IFERROR(IF(SUMPRODUCT(MAX((tbl_Finance[Job Number]&amp;""=C207&amp;"")*(tbl_Finance[Xero Invoice No]&lt;&gt;"")*tbl_Finance[Date]))=0,"",SUMPRODUCT(MAX((tbl_Finance[Job Number]&amp;""=C207&amp;"")*(tbl_Finance[Xero Invoice No]&lt;&gt;"")*tbl_Finance[Date]))),""))</f>
        <v/>
      </c>
      <c r="B207" s="25">
        <f>IF(C207="","",IF(COUNTIFS(tbl_Finance[Job Number],C207&amp;"",tbl_Finance[Xero Invoice No],"&lt;&gt;")=0,"",IFERROR(IF(COUNTIFS(tbl_Finance[Job Number],C207&amp;"",tbl_Finance[Xero Invoice No],LOOKUP(2,1/((tbl_Finance[Job Number]&amp;""=C207&amp;"")*(tbl_Finance[Xero Invoice No]&lt;&gt;"")),tbl_Finance[Xero Invoice No]))=COUNTIFS(tbl_Finance[Job Number],C207&amp;"",tbl_Finance[Xero Invoice No],"&lt;&gt;"),LOOKUP(2,1/((tbl_Finance[Job Number]&amp;""=C207&amp;"")*(tbl_Finance[Xero Invoice No]&lt;&gt;"")),tbl_Finance[Xero Invoice No]),LOOKUP(2,1/((tbl_Finance[Job Number]&amp;""=C207&amp;"")*(tbl_Finance[Xero Invoice No]&lt;&gt;"")),tbl_Finance[Xero Invoice No])&amp;" +more"),"")))</f>
        <v/>
      </c>
      <c r="C207" s="24" t="n"/>
      <c r="D207" s="25">
        <f>IF(C207="","",IF(COUNTIF(lst_Jobs,C207&amp;"")&gt;0,"OK","CHECK"))</f>
        <v/>
      </c>
      <c r="E207" s="25">
        <f>IF(C207="","",IFERROR(INDEX(lst_JobName,MATCH(C207&amp;"",lst_Jobs,0)),""))</f>
        <v/>
      </c>
      <c r="F207" s="25">
        <f>IF(C207="","",IFERROR(INDEX(tbl_Finance[Client],IFERROR(MATCH(C207&amp;"",tbl_Finance[Job Number],0),MATCH(IFERROR(C207+0,C207),tbl_Finance[Job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6" t="n"/>
      <c r="L207" s="27">
        <f>IF(C207="","",IF(K207="",0,MAX(0,K207-H207)))</f>
        <v/>
      </c>
      <c r="M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N207" s="27">
        <f>IF(C207="","",SUMIFS(tbl_Finance[Inc GST],tbl_Finance[Job Number],C207&amp;""))</f>
        <v/>
      </c>
      <c r="O207" s="24" t="n"/>
      <c r="P207" s="25">
        <f>IF(C207="","",IFERROR(INDEX(tbl_Finance[Description],MATCH(C207&amp;"",tbl_Finance[Job Number],0)),""))</f>
        <v/>
      </c>
      <c r="Q207" s="24" t="n"/>
      <c r="R207" s="24" t="n"/>
      <c r="S207" s="22" t="n"/>
      <c r="T207" s="24" t="n"/>
      <c r="U207" s="25">
        <f>IF(T207="","",IF(AND(LEFT(T207,4)&lt;&gt;"http",set_RMSBase=""),"",HYPERLINK(IF(LEFT(T207,4)="http",T207,set_RMSBase&amp;T207),"Open opportunity")))</f>
        <v/>
      </c>
      <c r="V207" s="24" t="n"/>
      <c r="W207" s="25">
        <f>IF(V207="","",HYPERLINK(IF(LEFT(V207,4)="http",V207,set_QwilrBase&amp;V207),"Open quote"))</f>
        <v/>
      </c>
      <c r="X207" s="25">
        <f>IF(C207="","",C207)</f>
        <v/>
      </c>
      <c r="Y207" s="24" t="n"/>
      <c r="Z207" s="26" t="n"/>
      <c r="AA207" s="27">
        <f>IF(C207="","",H207+N(Z207))</f>
        <v/>
      </c>
      <c r="AB207" s="29">
        <f>IFERROR(Z207/AA207,"")</f>
        <v/>
      </c>
      <c r="AC207" s="26" t="n"/>
      <c r="AD207" s="26" t="n"/>
      <c r="AE207" s="26" t="n"/>
      <c r="AF207" s="26" t="n"/>
      <c r="AG207" s="27">
        <f>IF(C207="","",SUMIFS(tbl_Finance[Ex GST],tbl_Finance[Job Number],C207&amp;"",tbl_Finance[Cost Centre],"VIDEO"))</f>
        <v/>
      </c>
      <c r="AH207" s="29">
        <f>IFERROR(AG207/H207,"")</f>
        <v/>
      </c>
      <c r="AI207" s="27">
        <f>IF(C207="","",N(AC207)+N(AD207)+N(AE207)+N(AF207))</f>
        <v/>
      </c>
      <c r="AJ207" s="27">
        <f>IF(C207="","",H207+L207-AI207)</f>
        <v/>
      </c>
      <c r="AK207" s="29">
        <f>IFERROR(AJ207/(H207+L207),"")</f>
        <v/>
      </c>
      <c r="AL207" s="71" t="n"/>
      <c r="AM207" s="71" t="n"/>
      <c r="AN207" s="71" t="n"/>
      <c r="AO207" s="71" t="n"/>
      <c r="AP207" s="71" t="n"/>
      <c r="AQ207" s="24" t="n"/>
    </row>
    <row r="208" ht="15" customHeight="1">
      <c r="A208" s="70">
        <f>IF(C208="","",IFERROR(IF(SUMPRODUCT(MAX((tbl_Finance[Job Number]&amp;""=C208&amp;"")*(tbl_Finance[Xero Invoice No]&lt;&gt;"")*tbl_Finance[Date]))=0,"",SUMPRODUCT(MAX((tbl_Finance[Job Number]&amp;""=C208&amp;"")*(tbl_Finance[Xero Invoice No]&lt;&gt;"")*tbl_Finance[Date]))),""))</f>
        <v/>
      </c>
      <c r="B208" s="25">
        <f>IF(C208="","",IF(COUNTIFS(tbl_Finance[Job Number],C208&amp;"",tbl_Finance[Xero Invoice No],"&lt;&gt;")=0,"",IFERROR(IF(COUNTIFS(tbl_Finance[Job Number],C208&amp;"",tbl_Finance[Xero Invoice No],LOOKUP(2,1/((tbl_Finance[Job Number]&amp;""=C208&amp;"")*(tbl_Finance[Xero Invoice No]&lt;&gt;"")),tbl_Finance[Xero Invoice No]))=COUNTIFS(tbl_Finance[Job Number],C208&amp;"",tbl_Finance[Xero Invoice No],"&lt;&gt;"),LOOKUP(2,1/((tbl_Finance[Job Number]&amp;""=C208&amp;"")*(tbl_Finance[Xero Invoice No]&lt;&gt;"")),tbl_Finance[Xero Invoice No]),LOOKUP(2,1/((tbl_Finance[Job Number]&amp;""=C208&amp;"")*(tbl_Finance[Xero Invoice No]&lt;&gt;"")),tbl_Finance[Xero Invoice No])&amp;" +more"),"")))</f>
        <v/>
      </c>
      <c r="C208" s="24" t="n"/>
      <c r="D208" s="25">
        <f>IF(C208="","",IF(COUNTIF(lst_Jobs,C208&amp;"")&gt;0,"OK","CHECK"))</f>
        <v/>
      </c>
      <c r="E208" s="25">
        <f>IF(C208="","",IFERROR(INDEX(lst_JobName,MATCH(C208&amp;"",lst_Jobs,0)),""))</f>
        <v/>
      </c>
      <c r="F208" s="25">
        <f>IF(C208="","",IFERROR(INDEX(tbl_Finance[Client],IFERROR(MATCH(C208&amp;"",tbl_Finance[Job Number],0),MATCH(IFERROR(C208+0,C208),tbl_Finance[Job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6" t="n"/>
      <c r="L208" s="27">
        <f>IF(C208="","",IF(K208="",0,MAX(0,K208-H208)))</f>
        <v/>
      </c>
      <c r="M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N208" s="27">
        <f>IF(C208="","",SUMIFS(tbl_Finance[Inc GST],tbl_Finance[Job Number],C208&amp;""))</f>
        <v/>
      </c>
      <c r="O208" s="24" t="n"/>
      <c r="P208" s="25">
        <f>IF(C208="","",IFERROR(INDEX(tbl_Finance[Description],MATCH(C208&amp;"",tbl_Finance[Job Number],0)),""))</f>
        <v/>
      </c>
      <c r="Q208" s="24" t="n"/>
      <c r="R208" s="24" t="n"/>
      <c r="S208" s="22" t="n"/>
      <c r="T208" s="24" t="n"/>
      <c r="U208" s="25">
        <f>IF(T208="","",IF(AND(LEFT(T208,4)&lt;&gt;"http",set_RMSBase=""),"",HYPERLINK(IF(LEFT(T208,4)="http",T208,set_RMSBase&amp;T208),"Open opportunity")))</f>
        <v/>
      </c>
      <c r="V208" s="24" t="n"/>
      <c r="W208" s="25">
        <f>IF(V208="","",HYPERLINK(IF(LEFT(V208,4)="http",V208,set_QwilrBase&amp;V208),"Open quote"))</f>
        <v/>
      </c>
      <c r="X208" s="25">
        <f>IF(C208="","",C208)</f>
        <v/>
      </c>
      <c r="Y208" s="24" t="n"/>
      <c r="Z208" s="26" t="n"/>
      <c r="AA208" s="27">
        <f>IF(C208="","",H208+N(Z208))</f>
        <v/>
      </c>
      <c r="AB208" s="29">
        <f>IFERROR(Z208/AA208,"")</f>
        <v/>
      </c>
      <c r="AC208" s="26" t="n"/>
      <c r="AD208" s="26" t="n"/>
      <c r="AE208" s="26" t="n"/>
      <c r="AF208" s="26" t="n"/>
      <c r="AG208" s="27">
        <f>IF(C208="","",SUMIFS(tbl_Finance[Ex GST],tbl_Finance[Job Number],C208&amp;"",tbl_Finance[Cost Centre],"VIDEO"))</f>
        <v/>
      </c>
      <c r="AH208" s="29">
        <f>IFERROR(AG208/H208,"")</f>
        <v/>
      </c>
      <c r="AI208" s="27">
        <f>IF(C208="","",N(AC208)+N(AD208)+N(AE208)+N(AF208))</f>
        <v/>
      </c>
      <c r="AJ208" s="27">
        <f>IF(C208="","",H208+L208-AI208)</f>
        <v/>
      </c>
      <c r="AK208" s="29">
        <f>IFERROR(AJ208/(H208+L208),"")</f>
        <v/>
      </c>
      <c r="AL208" s="71" t="n"/>
      <c r="AM208" s="71" t="n"/>
      <c r="AN208" s="71" t="n"/>
      <c r="AO208" s="71" t="n"/>
      <c r="AP208" s="71" t="n"/>
      <c r="AQ208" s="24" t="n"/>
    </row>
    <row r="209" ht="15" customHeight="1">
      <c r="A209" s="70">
        <f>IF(C209="","",IFERROR(IF(SUMPRODUCT(MAX((tbl_Finance[Job Number]&amp;""=C209&amp;"")*(tbl_Finance[Xero Invoice No]&lt;&gt;"")*tbl_Finance[Date]))=0,"",SUMPRODUCT(MAX((tbl_Finance[Job Number]&amp;""=C209&amp;"")*(tbl_Finance[Xero Invoice No]&lt;&gt;"")*tbl_Finance[Date]))),""))</f>
        <v/>
      </c>
      <c r="B209" s="25">
        <f>IF(C209="","",IF(COUNTIFS(tbl_Finance[Job Number],C209&amp;"",tbl_Finance[Xero Invoice No],"&lt;&gt;")=0,"",IFERROR(IF(COUNTIFS(tbl_Finance[Job Number],C209&amp;"",tbl_Finance[Xero Invoice No],LOOKUP(2,1/((tbl_Finance[Job Number]&amp;""=C209&amp;"")*(tbl_Finance[Xero Invoice No]&lt;&gt;"")),tbl_Finance[Xero Invoice No]))=COUNTIFS(tbl_Finance[Job Number],C209&amp;"",tbl_Finance[Xero Invoice No],"&lt;&gt;"),LOOKUP(2,1/((tbl_Finance[Job Number]&amp;""=C209&amp;"")*(tbl_Finance[Xero Invoice No]&lt;&gt;"")),tbl_Finance[Xero Invoice No]),LOOKUP(2,1/((tbl_Finance[Job Number]&amp;""=C209&amp;"")*(tbl_Finance[Xero Invoice No]&lt;&gt;"")),tbl_Finance[Xero Invoice No])&amp;" +more"),"")))</f>
        <v/>
      </c>
      <c r="C209" s="24" t="n"/>
      <c r="D209" s="25">
        <f>IF(C209="","",IF(COUNTIF(lst_Jobs,C209&amp;"")&gt;0,"OK","CHECK"))</f>
        <v/>
      </c>
      <c r="E209" s="25">
        <f>IF(C209="","",IFERROR(INDEX(lst_JobName,MATCH(C209&amp;"",lst_Jobs,0)),""))</f>
        <v/>
      </c>
      <c r="F209" s="25">
        <f>IF(C209="","",IFERROR(INDEX(tbl_Finance[Client],IFERROR(MATCH(C209&amp;"",tbl_Finance[Job Number],0),MATCH(IFERROR(C209+0,C209),tbl_Finance[Job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6" t="n"/>
      <c r="L209" s="27">
        <f>IF(C209="","",IF(K209="",0,MAX(0,K209-H209)))</f>
        <v/>
      </c>
      <c r="M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N209" s="27">
        <f>IF(C209="","",SUMIFS(tbl_Finance[Inc GST],tbl_Finance[Job Number],C209&amp;""))</f>
        <v/>
      </c>
      <c r="O209" s="24" t="n"/>
      <c r="P209" s="25">
        <f>IF(C209="","",IFERROR(INDEX(tbl_Finance[Description],MATCH(C209&amp;"",tbl_Finance[Job Number],0)),""))</f>
        <v/>
      </c>
      <c r="Q209" s="24" t="n"/>
      <c r="R209" s="24" t="n"/>
      <c r="S209" s="22" t="n"/>
      <c r="T209" s="24" t="n"/>
      <c r="U209" s="25">
        <f>IF(T209="","",IF(AND(LEFT(T209,4)&lt;&gt;"http",set_RMSBase=""),"",HYPERLINK(IF(LEFT(T209,4)="http",T209,set_RMSBase&amp;T209),"Open opportunity")))</f>
        <v/>
      </c>
      <c r="V209" s="24" t="n"/>
      <c r="W209" s="25">
        <f>IF(V209="","",HYPERLINK(IF(LEFT(V209,4)="http",V209,set_QwilrBase&amp;V209),"Open quote"))</f>
        <v/>
      </c>
      <c r="X209" s="25">
        <f>IF(C209="","",C209)</f>
        <v/>
      </c>
      <c r="Y209" s="24" t="n"/>
      <c r="Z209" s="26" t="n"/>
      <c r="AA209" s="27">
        <f>IF(C209="","",H209+N(Z209))</f>
        <v/>
      </c>
      <c r="AB209" s="29">
        <f>IFERROR(Z209/AA209,"")</f>
        <v/>
      </c>
      <c r="AC209" s="26" t="n"/>
      <c r="AD209" s="26" t="n"/>
      <c r="AE209" s="26" t="n"/>
      <c r="AF209" s="26" t="n"/>
      <c r="AG209" s="27">
        <f>IF(C209="","",SUMIFS(tbl_Finance[Ex GST],tbl_Finance[Job Number],C209&amp;"",tbl_Finance[Cost Centre],"VIDEO"))</f>
        <v/>
      </c>
      <c r="AH209" s="29">
        <f>IFERROR(AG209/H209,"")</f>
        <v/>
      </c>
      <c r="AI209" s="27">
        <f>IF(C209="","",N(AC209)+N(AD209)+N(AE209)+N(AF209))</f>
        <v/>
      </c>
      <c r="AJ209" s="27">
        <f>IF(C209="","",H209+L209-AI209)</f>
        <v/>
      </c>
      <c r="AK209" s="29">
        <f>IFERROR(AJ209/(H209+L209),"")</f>
        <v/>
      </c>
      <c r="AL209" s="71" t="n"/>
      <c r="AM209" s="71" t="n"/>
      <c r="AN209" s="71" t="n"/>
      <c r="AO209" s="71" t="n"/>
      <c r="AP209" s="71" t="n"/>
      <c r="AQ209" s="24" t="n"/>
    </row>
    <row r="210" ht="15" customHeight="1">
      <c r="A210" s="70">
        <f>IF(C210="","",IFERROR(IF(SUMPRODUCT(MAX((tbl_Finance[Job Number]&amp;""=C210&amp;"")*(tbl_Finance[Xero Invoice No]&lt;&gt;"")*tbl_Finance[Date]))=0,"",SUMPRODUCT(MAX((tbl_Finance[Job Number]&amp;""=C210&amp;"")*(tbl_Finance[Xero Invoice No]&lt;&gt;"")*tbl_Finance[Date]))),""))</f>
        <v/>
      </c>
      <c r="B210" s="25">
        <f>IF(C210="","",IF(COUNTIFS(tbl_Finance[Job Number],C210&amp;"",tbl_Finance[Xero Invoice No],"&lt;&gt;")=0,"",IFERROR(IF(COUNTIFS(tbl_Finance[Job Number],C210&amp;"",tbl_Finance[Xero Invoice No],LOOKUP(2,1/((tbl_Finance[Job Number]&amp;""=C210&amp;"")*(tbl_Finance[Xero Invoice No]&lt;&gt;"")),tbl_Finance[Xero Invoice No]))=COUNTIFS(tbl_Finance[Job Number],C210&amp;"",tbl_Finance[Xero Invoice No],"&lt;&gt;"),LOOKUP(2,1/((tbl_Finance[Job Number]&amp;""=C210&amp;"")*(tbl_Finance[Xero Invoice No]&lt;&gt;"")),tbl_Finance[Xero Invoice No]),LOOKUP(2,1/((tbl_Finance[Job Number]&amp;""=C210&amp;"")*(tbl_Finance[Xero Invoice No]&lt;&gt;"")),tbl_Finance[Xero Invoice No])&amp;" +more"),"")))</f>
        <v/>
      </c>
      <c r="C210" s="24" t="n"/>
      <c r="D210" s="25">
        <f>IF(C210="","",IF(COUNTIF(lst_Jobs,C210&amp;"")&gt;0,"OK","CHECK"))</f>
        <v/>
      </c>
      <c r="E210" s="25">
        <f>IF(C210="","",IFERROR(INDEX(lst_JobName,MATCH(C210&amp;"",lst_Jobs,0)),""))</f>
        <v/>
      </c>
      <c r="F210" s="25">
        <f>IF(C210="","",IFERROR(INDEX(tbl_Finance[Client],IFERROR(MATCH(C210&amp;"",tbl_Finance[Job Number],0),MATCH(IFERROR(C210+0,C210),tbl_Finance[Job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6" t="n"/>
      <c r="L210" s="27">
        <f>IF(C210="","",IF(K210="",0,MAX(0,K210-H210)))</f>
        <v/>
      </c>
      <c r="M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N210" s="27">
        <f>IF(C210="","",SUMIFS(tbl_Finance[Inc GST],tbl_Finance[Job Number],C210&amp;""))</f>
        <v/>
      </c>
      <c r="O210" s="24" t="n"/>
      <c r="P210" s="25">
        <f>IF(C210="","",IFERROR(INDEX(tbl_Finance[Description],MATCH(C210&amp;"",tbl_Finance[Job Number],0)),""))</f>
        <v/>
      </c>
      <c r="Q210" s="24" t="n"/>
      <c r="R210" s="24" t="n"/>
      <c r="S210" s="22" t="n"/>
      <c r="T210" s="24" t="n"/>
      <c r="U210" s="25">
        <f>IF(T210="","",IF(AND(LEFT(T210,4)&lt;&gt;"http",set_RMSBase=""),"",HYPERLINK(IF(LEFT(T210,4)="http",T210,set_RMSBase&amp;T210),"Open opportunity")))</f>
        <v/>
      </c>
      <c r="V210" s="24" t="n"/>
      <c r="W210" s="25">
        <f>IF(V210="","",HYPERLINK(IF(LEFT(V210,4)="http",V210,set_QwilrBase&amp;V210),"Open quote"))</f>
        <v/>
      </c>
      <c r="X210" s="25">
        <f>IF(C210="","",C210)</f>
        <v/>
      </c>
      <c r="Y210" s="24" t="n"/>
      <c r="Z210" s="26" t="n"/>
      <c r="AA210" s="27">
        <f>IF(C210="","",H210+N(Z210))</f>
        <v/>
      </c>
      <c r="AB210" s="29">
        <f>IFERROR(Z210/AA210,"")</f>
        <v/>
      </c>
      <c r="AC210" s="26" t="n"/>
      <c r="AD210" s="26" t="n"/>
      <c r="AE210" s="26" t="n"/>
      <c r="AF210" s="26" t="n"/>
      <c r="AG210" s="27">
        <f>IF(C210="","",SUMIFS(tbl_Finance[Ex GST],tbl_Finance[Job Number],C210&amp;"",tbl_Finance[Cost Centre],"VIDEO"))</f>
        <v/>
      </c>
      <c r="AH210" s="29">
        <f>IFERROR(AG210/H210,"")</f>
        <v/>
      </c>
      <c r="AI210" s="27">
        <f>IF(C210="","",N(AC210)+N(AD210)+N(AE210)+N(AF210))</f>
        <v/>
      </c>
      <c r="AJ210" s="27">
        <f>IF(C210="","",H210+L210-AI210)</f>
        <v/>
      </c>
      <c r="AK210" s="29">
        <f>IFERROR(AJ210/(H210+L210),"")</f>
        <v/>
      </c>
      <c r="AL210" s="71" t="n"/>
      <c r="AM210" s="71" t="n"/>
      <c r="AN210" s="71" t="n"/>
      <c r="AO210" s="71" t="n"/>
      <c r="AP210" s="71" t="n"/>
      <c r="AQ210" s="24" t="n"/>
    </row>
    <row r="211" ht="15" customHeight="1">
      <c r="A211" s="70">
        <f>IF(C211="","",IFERROR(IF(SUMPRODUCT(MAX((tbl_Finance[Job Number]&amp;""=C211&amp;"")*(tbl_Finance[Xero Invoice No]&lt;&gt;"")*tbl_Finance[Date]))=0,"",SUMPRODUCT(MAX((tbl_Finance[Job Number]&amp;""=C211&amp;"")*(tbl_Finance[Xero Invoice No]&lt;&gt;"")*tbl_Finance[Date]))),""))</f>
        <v/>
      </c>
      <c r="B211" s="25">
        <f>IF(C211="","",IF(COUNTIFS(tbl_Finance[Job Number],C211&amp;"",tbl_Finance[Xero Invoice No],"&lt;&gt;")=0,"",IFERROR(IF(COUNTIFS(tbl_Finance[Job Number],C211&amp;"",tbl_Finance[Xero Invoice No],LOOKUP(2,1/((tbl_Finance[Job Number]&amp;""=C211&amp;"")*(tbl_Finance[Xero Invoice No]&lt;&gt;"")),tbl_Finance[Xero Invoice No]))=COUNTIFS(tbl_Finance[Job Number],C211&amp;"",tbl_Finance[Xero Invoice No],"&lt;&gt;"),LOOKUP(2,1/((tbl_Finance[Job Number]&amp;""=C211&amp;"")*(tbl_Finance[Xero Invoice No]&lt;&gt;"")),tbl_Finance[Xero Invoice No]),LOOKUP(2,1/((tbl_Finance[Job Number]&amp;""=C211&amp;"")*(tbl_Finance[Xero Invoice No]&lt;&gt;"")),tbl_Finance[Xero Invoice No])&amp;" +more"),"")))</f>
        <v/>
      </c>
      <c r="C211" s="24" t="n"/>
      <c r="D211" s="25">
        <f>IF(C211="","",IF(COUNTIF(lst_Jobs,C211&amp;"")&gt;0,"OK","CHECK"))</f>
        <v/>
      </c>
      <c r="E211" s="25">
        <f>IF(C211="","",IFERROR(INDEX(lst_JobName,MATCH(C211&amp;"",lst_Jobs,0)),""))</f>
        <v/>
      </c>
      <c r="F211" s="25">
        <f>IF(C211="","",IFERROR(INDEX(tbl_Finance[Client],IFERROR(MATCH(C211&amp;"",tbl_Finance[Job Number],0),MATCH(IFERROR(C211+0,C211),tbl_Finance[Job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6" t="n"/>
      <c r="L211" s="27">
        <f>IF(C211="","",IF(K211="",0,MAX(0,K211-H211)))</f>
        <v/>
      </c>
      <c r="M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N211" s="27">
        <f>IF(C211="","",SUMIFS(tbl_Finance[Inc GST],tbl_Finance[Job Number],C211&amp;""))</f>
        <v/>
      </c>
      <c r="O211" s="24" t="n"/>
      <c r="P211" s="25">
        <f>IF(C211="","",IFERROR(INDEX(tbl_Finance[Description],MATCH(C211&amp;"",tbl_Finance[Job Number],0)),""))</f>
        <v/>
      </c>
      <c r="Q211" s="24" t="n"/>
      <c r="R211" s="24" t="n"/>
      <c r="S211" s="22" t="n"/>
      <c r="T211" s="24" t="n"/>
      <c r="U211" s="25">
        <f>IF(T211="","",IF(AND(LEFT(T211,4)&lt;&gt;"http",set_RMSBase=""),"",HYPERLINK(IF(LEFT(T211,4)="http",T211,set_RMSBase&amp;T211),"Open opportunity")))</f>
        <v/>
      </c>
      <c r="V211" s="24" t="n"/>
      <c r="W211" s="25">
        <f>IF(V211="","",HYPERLINK(IF(LEFT(V211,4)="http",V211,set_QwilrBase&amp;V211),"Open quote"))</f>
        <v/>
      </c>
      <c r="X211" s="25">
        <f>IF(C211="","",C211)</f>
        <v/>
      </c>
      <c r="Y211" s="24" t="n"/>
      <c r="Z211" s="26" t="n"/>
      <c r="AA211" s="27">
        <f>IF(C211="","",H211+N(Z211))</f>
        <v/>
      </c>
      <c r="AB211" s="29">
        <f>IFERROR(Z211/AA211,"")</f>
        <v/>
      </c>
      <c r="AC211" s="26" t="n"/>
      <c r="AD211" s="26" t="n"/>
      <c r="AE211" s="26" t="n"/>
      <c r="AF211" s="26" t="n"/>
      <c r="AG211" s="27">
        <f>IF(C211="","",SUMIFS(tbl_Finance[Ex GST],tbl_Finance[Job Number],C211&amp;"",tbl_Finance[Cost Centre],"VIDEO"))</f>
        <v/>
      </c>
      <c r="AH211" s="29">
        <f>IFERROR(AG211/H211,"")</f>
        <v/>
      </c>
      <c r="AI211" s="27">
        <f>IF(C211="","",N(AC211)+N(AD211)+N(AE211)+N(AF211))</f>
        <v/>
      </c>
      <c r="AJ211" s="27">
        <f>IF(C211="","",H211+L211-AI211)</f>
        <v/>
      </c>
      <c r="AK211" s="29">
        <f>IFERROR(AJ211/(H211+L211),"")</f>
        <v/>
      </c>
      <c r="AL211" s="71" t="n"/>
      <c r="AM211" s="71" t="n"/>
      <c r="AN211" s="71" t="n"/>
      <c r="AO211" s="71" t="n"/>
      <c r="AP211" s="71" t="n"/>
      <c r="AQ211" s="24" t="n"/>
    </row>
    <row r="212" ht="15" customHeight="1">
      <c r="A212" s="70">
        <f>IF(C212="","",IFERROR(IF(SUMPRODUCT(MAX((tbl_Finance[Job Number]&amp;""=C212&amp;"")*(tbl_Finance[Xero Invoice No]&lt;&gt;"")*tbl_Finance[Date]))=0,"",SUMPRODUCT(MAX((tbl_Finance[Job Number]&amp;""=C212&amp;"")*(tbl_Finance[Xero Invoice No]&lt;&gt;"")*tbl_Finance[Date]))),""))</f>
        <v/>
      </c>
      <c r="B212" s="25">
        <f>IF(C212="","",IF(COUNTIFS(tbl_Finance[Job Number],C212&amp;"",tbl_Finance[Xero Invoice No],"&lt;&gt;")=0,"",IFERROR(IF(COUNTIFS(tbl_Finance[Job Number],C212&amp;"",tbl_Finance[Xero Invoice No],LOOKUP(2,1/((tbl_Finance[Job Number]&amp;""=C212&amp;"")*(tbl_Finance[Xero Invoice No]&lt;&gt;"")),tbl_Finance[Xero Invoice No]))=COUNTIFS(tbl_Finance[Job Number],C212&amp;"",tbl_Finance[Xero Invoice No],"&lt;&gt;"),LOOKUP(2,1/((tbl_Finance[Job Number]&amp;""=C212&amp;"")*(tbl_Finance[Xero Invoice No]&lt;&gt;"")),tbl_Finance[Xero Invoice No]),LOOKUP(2,1/((tbl_Finance[Job Number]&amp;""=C212&amp;"")*(tbl_Finance[Xero Invoice No]&lt;&gt;"")),tbl_Finance[Xero Invoice No])&amp;" +more"),"")))</f>
        <v/>
      </c>
      <c r="C212" s="24" t="n"/>
      <c r="D212" s="25">
        <f>IF(C212="","",IF(COUNTIF(lst_Jobs,C212&amp;"")&gt;0,"OK","CHECK"))</f>
        <v/>
      </c>
      <c r="E212" s="25">
        <f>IF(C212="","",IFERROR(INDEX(lst_JobName,MATCH(C212&amp;"",lst_Jobs,0)),""))</f>
        <v/>
      </c>
      <c r="F212" s="25">
        <f>IF(C212="","",IFERROR(INDEX(tbl_Finance[Client],IFERROR(MATCH(C212&amp;"",tbl_Finance[Job Number],0),MATCH(IFERROR(C212+0,C212),tbl_Finance[Job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6" t="n"/>
      <c r="L212" s="27">
        <f>IF(C212="","",IF(K212="",0,MAX(0,K212-H212)))</f>
        <v/>
      </c>
      <c r="M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N212" s="27">
        <f>IF(C212="","",SUMIFS(tbl_Finance[Inc GST],tbl_Finance[Job Number],C212&amp;""))</f>
        <v/>
      </c>
      <c r="O212" s="24" t="n"/>
      <c r="P212" s="25">
        <f>IF(C212="","",IFERROR(INDEX(tbl_Finance[Description],MATCH(C212&amp;"",tbl_Finance[Job Number],0)),""))</f>
        <v/>
      </c>
      <c r="Q212" s="24" t="n"/>
      <c r="R212" s="24" t="n"/>
      <c r="S212" s="22" t="n"/>
      <c r="T212" s="24" t="n"/>
      <c r="U212" s="25">
        <f>IF(T212="","",IF(AND(LEFT(T212,4)&lt;&gt;"http",set_RMSBase=""),"",HYPERLINK(IF(LEFT(T212,4)="http",T212,set_RMSBase&amp;T212),"Open opportunity")))</f>
        <v/>
      </c>
      <c r="V212" s="24" t="n"/>
      <c r="W212" s="25">
        <f>IF(V212="","",HYPERLINK(IF(LEFT(V212,4)="http",V212,set_QwilrBase&amp;V212),"Open quote"))</f>
        <v/>
      </c>
      <c r="X212" s="25">
        <f>IF(C212="","",C212)</f>
        <v/>
      </c>
      <c r="Y212" s="24" t="n"/>
      <c r="Z212" s="26" t="n"/>
      <c r="AA212" s="27">
        <f>IF(C212="","",H212+N(Z212))</f>
        <v/>
      </c>
      <c r="AB212" s="29">
        <f>IFERROR(Z212/AA212,"")</f>
        <v/>
      </c>
      <c r="AC212" s="26" t="n"/>
      <c r="AD212" s="26" t="n"/>
      <c r="AE212" s="26" t="n"/>
      <c r="AF212" s="26" t="n"/>
      <c r="AG212" s="27">
        <f>IF(C212="","",SUMIFS(tbl_Finance[Ex GST],tbl_Finance[Job Number],C212&amp;"",tbl_Finance[Cost Centre],"VIDEO"))</f>
        <v/>
      </c>
      <c r="AH212" s="29">
        <f>IFERROR(AG212/H212,"")</f>
        <v/>
      </c>
      <c r="AI212" s="27">
        <f>IF(C212="","",N(AC212)+N(AD212)+N(AE212)+N(AF212))</f>
        <v/>
      </c>
      <c r="AJ212" s="27">
        <f>IF(C212="","",H212+L212-AI212)</f>
        <v/>
      </c>
      <c r="AK212" s="29">
        <f>IFERROR(AJ212/(H212+L212),"")</f>
        <v/>
      </c>
      <c r="AL212" s="71" t="n"/>
      <c r="AM212" s="71" t="n"/>
      <c r="AN212" s="71" t="n"/>
      <c r="AO212" s="71" t="n"/>
      <c r="AP212" s="71" t="n"/>
      <c r="AQ212" s="24" t="n"/>
    </row>
    <row r="213" ht="15" customHeight="1">
      <c r="A213" s="70">
        <f>IF(C213="","",IFERROR(IF(SUMPRODUCT(MAX((tbl_Finance[Job Number]&amp;""=C213&amp;"")*(tbl_Finance[Xero Invoice No]&lt;&gt;"")*tbl_Finance[Date]))=0,"",SUMPRODUCT(MAX((tbl_Finance[Job Number]&amp;""=C213&amp;"")*(tbl_Finance[Xero Invoice No]&lt;&gt;"")*tbl_Finance[Date]))),""))</f>
        <v/>
      </c>
      <c r="B213" s="25">
        <f>IF(C213="","",IF(COUNTIFS(tbl_Finance[Job Number],C213&amp;"",tbl_Finance[Xero Invoice No],"&lt;&gt;")=0,"",IFERROR(IF(COUNTIFS(tbl_Finance[Job Number],C213&amp;"",tbl_Finance[Xero Invoice No],LOOKUP(2,1/((tbl_Finance[Job Number]&amp;""=C213&amp;"")*(tbl_Finance[Xero Invoice No]&lt;&gt;"")),tbl_Finance[Xero Invoice No]))=COUNTIFS(tbl_Finance[Job Number],C213&amp;"",tbl_Finance[Xero Invoice No],"&lt;&gt;"),LOOKUP(2,1/((tbl_Finance[Job Number]&amp;""=C213&amp;"")*(tbl_Finance[Xero Invoice No]&lt;&gt;"")),tbl_Finance[Xero Invoice No]),LOOKUP(2,1/((tbl_Finance[Job Number]&amp;""=C213&amp;"")*(tbl_Finance[Xero Invoice No]&lt;&gt;"")),tbl_Finance[Xero Invoice No])&amp;" +more"),"")))</f>
        <v/>
      </c>
      <c r="C213" s="24" t="n"/>
      <c r="D213" s="25">
        <f>IF(C213="","",IF(COUNTIF(lst_Jobs,C213&amp;"")&gt;0,"OK","CHECK"))</f>
        <v/>
      </c>
      <c r="E213" s="25">
        <f>IF(C213="","",IFERROR(INDEX(lst_JobName,MATCH(C213&amp;"",lst_Jobs,0)),""))</f>
        <v/>
      </c>
      <c r="F213" s="25">
        <f>IF(C213="","",IFERROR(INDEX(tbl_Finance[Client],IFERROR(MATCH(C213&amp;"",tbl_Finance[Job Number],0),MATCH(IFERROR(C213+0,C213),tbl_Finance[Job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6" t="n"/>
      <c r="L213" s="27">
        <f>IF(C213="","",IF(K213="",0,MAX(0,K213-H213)))</f>
        <v/>
      </c>
      <c r="M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N213" s="27">
        <f>IF(C213="","",SUMIFS(tbl_Finance[Inc GST],tbl_Finance[Job Number],C213&amp;""))</f>
        <v/>
      </c>
      <c r="O213" s="24" t="n"/>
      <c r="P213" s="25">
        <f>IF(C213="","",IFERROR(INDEX(tbl_Finance[Description],MATCH(C213&amp;"",tbl_Finance[Job Number],0)),""))</f>
        <v/>
      </c>
      <c r="Q213" s="24" t="n"/>
      <c r="R213" s="24" t="n"/>
      <c r="S213" s="22" t="n"/>
      <c r="T213" s="24" t="n"/>
      <c r="U213" s="25">
        <f>IF(T213="","",IF(AND(LEFT(T213,4)&lt;&gt;"http",set_RMSBase=""),"",HYPERLINK(IF(LEFT(T213,4)="http",T213,set_RMSBase&amp;T213),"Open opportunity")))</f>
        <v/>
      </c>
      <c r="V213" s="24" t="n"/>
      <c r="W213" s="25">
        <f>IF(V213="","",HYPERLINK(IF(LEFT(V213,4)="http",V213,set_QwilrBase&amp;V213),"Open quote"))</f>
        <v/>
      </c>
      <c r="X213" s="25">
        <f>IF(C213="","",C213)</f>
        <v/>
      </c>
      <c r="Y213" s="24" t="n"/>
      <c r="Z213" s="26" t="n"/>
      <c r="AA213" s="27">
        <f>IF(C213="","",H213+N(Z213))</f>
        <v/>
      </c>
      <c r="AB213" s="29">
        <f>IFERROR(Z213/AA213,"")</f>
        <v/>
      </c>
      <c r="AC213" s="26" t="n"/>
      <c r="AD213" s="26" t="n"/>
      <c r="AE213" s="26" t="n"/>
      <c r="AF213" s="26" t="n"/>
      <c r="AG213" s="27">
        <f>IF(C213="","",SUMIFS(tbl_Finance[Ex GST],tbl_Finance[Job Number],C213&amp;"",tbl_Finance[Cost Centre],"VIDEO"))</f>
        <v/>
      </c>
      <c r="AH213" s="29">
        <f>IFERROR(AG213/H213,"")</f>
        <v/>
      </c>
      <c r="AI213" s="27">
        <f>IF(C213="","",N(AC213)+N(AD213)+N(AE213)+N(AF213))</f>
        <v/>
      </c>
      <c r="AJ213" s="27">
        <f>IF(C213="","",H213+L213-AI213)</f>
        <v/>
      </c>
      <c r="AK213" s="29">
        <f>IFERROR(AJ213/(H213+L213),"")</f>
        <v/>
      </c>
      <c r="AL213" s="71" t="n"/>
      <c r="AM213" s="71" t="n"/>
      <c r="AN213" s="71" t="n"/>
      <c r="AO213" s="71" t="n"/>
      <c r="AP213" s="71" t="n"/>
      <c r="AQ213" s="24" t="n"/>
    </row>
    <row r="214" ht="15" customHeight="1">
      <c r="A214" s="70">
        <f>IF(C214="","",IFERROR(IF(SUMPRODUCT(MAX((tbl_Finance[Job Number]&amp;""=C214&amp;"")*(tbl_Finance[Xero Invoice No]&lt;&gt;"")*tbl_Finance[Date]))=0,"",SUMPRODUCT(MAX((tbl_Finance[Job Number]&amp;""=C214&amp;"")*(tbl_Finance[Xero Invoice No]&lt;&gt;"")*tbl_Finance[Date]))),""))</f>
        <v/>
      </c>
      <c r="B214" s="25">
        <f>IF(C214="","",IF(COUNTIFS(tbl_Finance[Job Number],C214&amp;"",tbl_Finance[Xero Invoice No],"&lt;&gt;")=0,"",IFERROR(IF(COUNTIFS(tbl_Finance[Job Number],C214&amp;"",tbl_Finance[Xero Invoice No],LOOKUP(2,1/((tbl_Finance[Job Number]&amp;""=C214&amp;"")*(tbl_Finance[Xero Invoice No]&lt;&gt;"")),tbl_Finance[Xero Invoice No]))=COUNTIFS(tbl_Finance[Job Number],C214&amp;"",tbl_Finance[Xero Invoice No],"&lt;&gt;"),LOOKUP(2,1/((tbl_Finance[Job Number]&amp;""=C214&amp;"")*(tbl_Finance[Xero Invoice No]&lt;&gt;"")),tbl_Finance[Xero Invoice No]),LOOKUP(2,1/((tbl_Finance[Job Number]&amp;""=C214&amp;"")*(tbl_Finance[Xero Invoice No]&lt;&gt;"")),tbl_Finance[Xero Invoice No])&amp;" +more"),"")))</f>
        <v/>
      </c>
      <c r="C214" s="24" t="n"/>
      <c r="D214" s="25">
        <f>IF(C214="","",IF(COUNTIF(lst_Jobs,C214&amp;"")&gt;0,"OK","CHECK"))</f>
        <v/>
      </c>
      <c r="E214" s="25">
        <f>IF(C214="","",IFERROR(INDEX(lst_JobName,MATCH(C214&amp;"",lst_Jobs,0)),""))</f>
        <v/>
      </c>
      <c r="F214" s="25">
        <f>IF(C214="","",IFERROR(INDEX(tbl_Finance[Client],IFERROR(MATCH(C214&amp;"",tbl_Finance[Job Number],0),MATCH(IFERROR(C214+0,C214),tbl_Finance[Job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6" t="n"/>
      <c r="L214" s="27">
        <f>IF(C214="","",IF(K214="",0,MAX(0,K214-H214)))</f>
        <v/>
      </c>
      <c r="M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N214" s="27">
        <f>IF(C214="","",SUMIFS(tbl_Finance[Inc GST],tbl_Finance[Job Number],C214&amp;""))</f>
        <v/>
      </c>
      <c r="O214" s="24" t="n"/>
      <c r="P214" s="25">
        <f>IF(C214="","",IFERROR(INDEX(tbl_Finance[Description],MATCH(C214&amp;"",tbl_Finance[Job Number],0)),""))</f>
        <v/>
      </c>
      <c r="Q214" s="24" t="n"/>
      <c r="R214" s="24" t="n"/>
      <c r="S214" s="22" t="n"/>
      <c r="T214" s="24" t="n"/>
      <c r="U214" s="25">
        <f>IF(T214="","",IF(AND(LEFT(T214,4)&lt;&gt;"http",set_RMSBase=""),"",HYPERLINK(IF(LEFT(T214,4)="http",T214,set_RMSBase&amp;T214),"Open opportunity")))</f>
        <v/>
      </c>
      <c r="V214" s="24" t="n"/>
      <c r="W214" s="25">
        <f>IF(V214="","",HYPERLINK(IF(LEFT(V214,4)="http",V214,set_QwilrBase&amp;V214),"Open quote"))</f>
        <v/>
      </c>
      <c r="X214" s="25">
        <f>IF(C214="","",C214)</f>
        <v/>
      </c>
      <c r="Y214" s="24" t="n"/>
      <c r="Z214" s="26" t="n"/>
      <c r="AA214" s="27">
        <f>IF(C214="","",H214+N(Z214))</f>
        <v/>
      </c>
      <c r="AB214" s="29">
        <f>IFERROR(Z214/AA214,"")</f>
        <v/>
      </c>
      <c r="AC214" s="26" t="n"/>
      <c r="AD214" s="26" t="n"/>
      <c r="AE214" s="26" t="n"/>
      <c r="AF214" s="26" t="n"/>
      <c r="AG214" s="27">
        <f>IF(C214="","",SUMIFS(tbl_Finance[Ex GST],tbl_Finance[Job Number],C214&amp;"",tbl_Finance[Cost Centre],"VIDEO"))</f>
        <v/>
      </c>
      <c r="AH214" s="29">
        <f>IFERROR(AG214/H214,"")</f>
        <v/>
      </c>
      <c r="AI214" s="27">
        <f>IF(C214="","",N(AC214)+N(AD214)+N(AE214)+N(AF214))</f>
        <v/>
      </c>
      <c r="AJ214" s="27">
        <f>IF(C214="","",H214+L214-AI214)</f>
        <v/>
      </c>
      <c r="AK214" s="29">
        <f>IFERROR(AJ214/(H214+L214),"")</f>
        <v/>
      </c>
      <c r="AL214" s="71" t="n"/>
      <c r="AM214" s="71" t="n"/>
      <c r="AN214" s="71" t="n"/>
      <c r="AO214" s="71" t="n"/>
      <c r="AP214" s="71" t="n"/>
      <c r="AQ214" s="24" t="n"/>
    </row>
    <row r="215" ht="15" customHeight="1">
      <c r="A215" s="70">
        <f>IF(C215="","",IFERROR(IF(SUMPRODUCT(MAX((tbl_Finance[Job Number]&amp;""=C215&amp;"")*(tbl_Finance[Xero Invoice No]&lt;&gt;"")*tbl_Finance[Date]))=0,"",SUMPRODUCT(MAX((tbl_Finance[Job Number]&amp;""=C215&amp;"")*(tbl_Finance[Xero Invoice No]&lt;&gt;"")*tbl_Finance[Date]))),""))</f>
        <v/>
      </c>
      <c r="B215" s="25">
        <f>IF(C215="","",IF(COUNTIFS(tbl_Finance[Job Number],C215&amp;"",tbl_Finance[Xero Invoice No],"&lt;&gt;")=0,"",IFERROR(IF(COUNTIFS(tbl_Finance[Job Number],C215&amp;"",tbl_Finance[Xero Invoice No],LOOKUP(2,1/((tbl_Finance[Job Number]&amp;""=C215&amp;"")*(tbl_Finance[Xero Invoice No]&lt;&gt;"")),tbl_Finance[Xero Invoice No]))=COUNTIFS(tbl_Finance[Job Number],C215&amp;"",tbl_Finance[Xero Invoice No],"&lt;&gt;"),LOOKUP(2,1/((tbl_Finance[Job Number]&amp;""=C215&amp;"")*(tbl_Finance[Xero Invoice No]&lt;&gt;"")),tbl_Finance[Xero Invoice No]),LOOKUP(2,1/((tbl_Finance[Job Number]&amp;""=C215&amp;"")*(tbl_Finance[Xero Invoice No]&lt;&gt;"")),tbl_Finance[Xero Invoice No])&amp;" +more"),"")))</f>
        <v/>
      </c>
      <c r="C215" s="24" t="n"/>
      <c r="D215" s="25">
        <f>IF(C215="","",IF(COUNTIF(lst_Jobs,C215&amp;"")&gt;0,"OK","CHECK"))</f>
        <v/>
      </c>
      <c r="E215" s="25">
        <f>IF(C215="","",IFERROR(INDEX(lst_JobName,MATCH(C215&amp;"",lst_Jobs,0)),""))</f>
        <v/>
      </c>
      <c r="F215" s="25">
        <f>IF(C215="","",IFERROR(INDEX(tbl_Finance[Client],IFERROR(MATCH(C215&amp;"",tbl_Finance[Job Number],0),MATCH(IFERROR(C215+0,C215),tbl_Finance[Job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6" t="n"/>
      <c r="L215" s="27">
        <f>IF(C215="","",IF(K215="",0,MAX(0,K215-H215)))</f>
        <v/>
      </c>
      <c r="M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N215" s="27">
        <f>IF(C215="","",SUMIFS(tbl_Finance[Inc GST],tbl_Finance[Job Number],C215&amp;""))</f>
        <v/>
      </c>
      <c r="O215" s="24" t="n"/>
      <c r="P215" s="25">
        <f>IF(C215="","",IFERROR(INDEX(tbl_Finance[Description],MATCH(C215&amp;"",tbl_Finance[Job Number],0)),""))</f>
        <v/>
      </c>
      <c r="Q215" s="24" t="n"/>
      <c r="R215" s="24" t="n"/>
      <c r="S215" s="22" t="n"/>
      <c r="T215" s="24" t="n"/>
      <c r="U215" s="25">
        <f>IF(T215="","",IF(AND(LEFT(T215,4)&lt;&gt;"http",set_RMSBase=""),"",HYPERLINK(IF(LEFT(T215,4)="http",T215,set_RMSBase&amp;T215),"Open opportunity")))</f>
        <v/>
      </c>
      <c r="V215" s="24" t="n"/>
      <c r="W215" s="25">
        <f>IF(V215="","",HYPERLINK(IF(LEFT(V215,4)="http",V215,set_QwilrBase&amp;V215),"Open quote"))</f>
        <v/>
      </c>
      <c r="X215" s="25">
        <f>IF(C215="","",C215)</f>
        <v/>
      </c>
      <c r="Y215" s="24" t="n"/>
      <c r="Z215" s="26" t="n"/>
      <c r="AA215" s="27">
        <f>IF(C215="","",H215+N(Z215))</f>
        <v/>
      </c>
      <c r="AB215" s="29">
        <f>IFERROR(Z215/AA215,"")</f>
        <v/>
      </c>
      <c r="AC215" s="26" t="n"/>
      <c r="AD215" s="26" t="n"/>
      <c r="AE215" s="26" t="n"/>
      <c r="AF215" s="26" t="n"/>
      <c r="AG215" s="27">
        <f>IF(C215="","",SUMIFS(tbl_Finance[Ex GST],tbl_Finance[Job Number],C215&amp;"",tbl_Finance[Cost Centre],"VIDEO"))</f>
        <v/>
      </c>
      <c r="AH215" s="29">
        <f>IFERROR(AG215/H215,"")</f>
        <v/>
      </c>
      <c r="AI215" s="27">
        <f>IF(C215="","",N(AC215)+N(AD215)+N(AE215)+N(AF215))</f>
        <v/>
      </c>
      <c r="AJ215" s="27">
        <f>IF(C215="","",H215+L215-AI215)</f>
        <v/>
      </c>
      <c r="AK215" s="29">
        <f>IFERROR(AJ215/(H215+L215),"")</f>
        <v/>
      </c>
      <c r="AL215" s="71" t="n"/>
      <c r="AM215" s="71" t="n"/>
      <c r="AN215" s="71" t="n"/>
      <c r="AO215" s="71" t="n"/>
      <c r="AP215" s="71" t="n"/>
      <c r="AQ215" s="24" t="n"/>
    </row>
    <row r="216" ht="15" customHeight="1">
      <c r="A216" s="70">
        <f>IF(C216="","",IFERROR(IF(SUMPRODUCT(MAX((tbl_Finance[Job Number]&amp;""=C216&amp;"")*(tbl_Finance[Xero Invoice No]&lt;&gt;"")*tbl_Finance[Date]))=0,"",SUMPRODUCT(MAX((tbl_Finance[Job Number]&amp;""=C216&amp;"")*(tbl_Finance[Xero Invoice No]&lt;&gt;"")*tbl_Finance[Date]))),""))</f>
        <v/>
      </c>
      <c r="B216" s="25">
        <f>IF(C216="","",IF(COUNTIFS(tbl_Finance[Job Number],C216&amp;"",tbl_Finance[Xero Invoice No],"&lt;&gt;")=0,"",IFERROR(IF(COUNTIFS(tbl_Finance[Job Number],C216&amp;"",tbl_Finance[Xero Invoice No],LOOKUP(2,1/((tbl_Finance[Job Number]&amp;""=C216&amp;"")*(tbl_Finance[Xero Invoice No]&lt;&gt;"")),tbl_Finance[Xero Invoice No]))=COUNTIFS(tbl_Finance[Job Number],C216&amp;"",tbl_Finance[Xero Invoice No],"&lt;&gt;"),LOOKUP(2,1/((tbl_Finance[Job Number]&amp;""=C216&amp;"")*(tbl_Finance[Xero Invoice No]&lt;&gt;"")),tbl_Finance[Xero Invoice No]),LOOKUP(2,1/((tbl_Finance[Job Number]&amp;""=C216&amp;"")*(tbl_Finance[Xero Invoice No]&lt;&gt;"")),tbl_Finance[Xero Invoice No])&amp;" +more"),"")))</f>
        <v/>
      </c>
      <c r="C216" s="24" t="n"/>
      <c r="D216" s="25">
        <f>IF(C216="","",IF(COUNTIF(lst_Jobs,C216&amp;"")&gt;0,"OK","CHECK"))</f>
        <v/>
      </c>
      <c r="E216" s="25">
        <f>IF(C216="","",IFERROR(INDEX(lst_JobName,MATCH(C216&amp;"",lst_Jobs,0)),""))</f>
        <v/>
      </c>
      <c r="F216" s="25">
        <f>IF(C216="","",IFERROR(INDEX(tbl_Finance[Client],IFERROR(MATCH(C216&amp;"",tbl_Finance[Job Number],0),MATCH(IFERROR(C216+0,C216),tbl_Finance[Job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6" t="n"/>
      <c r="L216" s="27">
        <f>IF(C216="","",IF(K216="",0,MAX(0,K216-H216)))</f>
        <v/>
      </c>
      <c r="M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N216" s="27">
        <f>IF(C216="","",SUMIFS(tbl_Finance[Inc GST],tbl_Finance[Job Number],C216&amp;""))</f>
        <v/>
      </c>
      <c r="O216" s="24" t="n"/>
      <c r="P216" s="25">
        <f>IF(C216="","",IFERROR(INDEX(tbl_Finance[Description],MATCH(C216&amp;"",tbl_Finance[Job Number],0)),""))</f>
        <v/>
      </c>
      <c r="Q216" s="24" t="n"/>
      <c r="R216" s="24" t="n"/>
      <c r="S216" s="22" t="n"/>
      <c r="T216" s="24" t="n"/>
      <c r="U216" s="25">
        <f>IF(T216="","",IF(AND(LEFT(T216,4)&lt;&gt;"http",set_RMSBase=""),"",HYPERLINK(IF(LEFT(T216,4)="http",T216,set_RMSBase&amp;T216),"Open opportunity")))</f>
        <v/>
      </c>
      <c r="V216" s="24" t="n"/>
      <c r="W216" s="25">
        <f>IF(V216="","",HYPERLINK(IF(LEFT(V216,4)="http",V216,set_QwilrBase&amp;V216),"Open quote"))</f>
        <v/>
      </c>
      <c r="X216" s="25">
        <f>IF(C216="","",C216)</f>
        <v/>
      </c>
      <c r="Y216" s="24" t="n"/>
      <c r="Z216" s="26" t="n"/>
      <c r="AA216" s="27">
        <f>IF(C216="","",H216+N(Z216))</f>
        <v/>
      </c>
      <c r="AB216" s="29">
        <f>IFERROR(Z216/AA216,"")</f>
        <v/>
      </c>
      <c r="AC216" s="26" t="n"/>
      <c r="AD216" s="26" t="n"/>
      <c r="AE216" s="26" t="n"/>
      <c r="AF216" s="26" t="n"/>
      <c r="AG216" s="27">
        <f>IF(C216="","",SUMIFS(tbl_Finance[Ex GST],tbl_Finance[Job Number],C216&amp;"",tbl_Finance[Cost Centre],"VIDEO"))</f>
        <v/>
      </c>
      <c r="AH216" s="29">
        <f>IFERROR(AG216/H216,"")</f>
        <v/>
      </c>
      <c r="AI216" s="27">
        <f>IF(C216="","",N(AC216)+N(AD216)+N(AE216)+N(AF216))</f>
        <v/>
      </c>
      <c r="AJ216" s="27">
        <f>IF(C216="","",H216+L216-AI216)</f>
        <v/>
      </c>
      <c r="AK216" s="29">
        <f>IFERROR(AJ216/(H216+L216),"")</f>
        <v/>
      </c>
      <c r="AL216" s="71" t="n"/>
      <c r="AM216" s="71" t="n"/>
      <c r="AN216" s="71" t="n"/>
      <c r="AO216" s="71" t="n"/>
      <c r="AP216" s="71" t="n"/>
      <c r="AQ216" s="24" t="n"/>
    </row>
    <row r="217" ht="15" customHeight="1">
      <c r="A217" s="70">
        <f>IF(C217="","",IFERROR(IF(SUMPRODUCT(MAX((tbl_Finance[Job Number]&amp;""=C217&amp;"")*(tbl_Finance[Xero Invoice No]&lt;&gt;"")*tbl_Finance[Date]))=0,"",SUMPRODUCT(MAX((tbl_Finance[Job Number]&amp;""=C217&amp;"")*(tbl_Finance[Xero Invoice No]&lt;&gt;"")*tbl_Finance[Date]))),""))</f>
        <v/>
      </c>
      <c r="B217" s="25">
        <f>IF(C217="","",IF(COUNTIFS(tbl_Finance[Job Number],C217&amp;"",tbl_Finance[Xero Invoice No],"&lt;&gt;")=0,"",IFERROR(IF(COUNTIFS(tbl_Finance[Job Number],C217&amp;"",tbl_Finance[Xero Invoice No],LOOKUP(2,1/((tbl_Finance[Job Number]&amp;""=C217&amp;"")*(tbl_Finance[Xero Invoice No]&lt;&gt;"")),tbl_Finance[Xero Invoice No]))=COUNTIFS(tbl_Finance[Job Number],C217&amp;"",tbl_Finance[Xero Invoice No],"&lt;&gt;"),LOOKUP(2,1/((tbl_Finance[Job Number]&amp;""=C217&amp;"")*(tbl_Finance[Xero Invoice No]&lt;&gt;"")),tbl_Finance[Xero Invoice No]),LOOKUP(2,1/((tbl_Finance[Job Number]&amp;""=C217&amp;"")*(tbl_Finance[Xero Invoice No]&lt;&gt;"")),tbl_Finance[Xero Invoice No])&amp;" +more"),"")))</f>
        <v/>
      </c>
      <c r="C217" s="24" t="n"/>
      <c r="D217" s="25">
        <f>IF(C217="","",IF(COUNTIF(lst_Jobs,C217&amp;"")&gt;0,"OK","CHECK"))</f>
        <v/>
      </c>
      <c r="E217" s="25">
        <f>IF(C217="","",IFERROR(INDEX(lst_JobName,MATCH(C217&amp;"",lst_Jobs,0)),""))</f>
        <v/>
      </c>
      <c r="F217" s="25">
        <f>IF(C217="","",IFERROR(INDEX(tbl_Finance[Client],IFERROR(MATCH(C217&amp;"",tbl_Finance[Job Number],0),MATCH(IFERROR(C217+0,C217),tbl_Finance[Job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6" t="n"/>
      <c r="L217" s="27">
        <f>IF(C217="","",IF(K217="",0,MAX(0,K217-H217)))</f>
        <v/>
      </c>
      <c r="M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N217" s="27">
        <f>IF(C217="","",SUMIFS(tbl_Finance[Inc GST],tbl_Finance[Job Number],C217&amp;""))</f>
        <v/>
      </c>
      <c r="O217" s="24" t="n"/>
      <c r="P217" s="25">
        <f>IF(C217="","",IFERROR(INDEX(tbl_Finance[Description],MATCH(C217&amp;"",tbl_Finance[Job Number],0)),""))</f>
        <v/>
      </c>
      <c r="Q217" s="24" t="n"/>
      <c r="R217" s="24" t="n"/>
      <c r="S217" s="22" t="n"/>
      <c r="T217" s="24" t="n"/>
      <c r="U217" s="25">
        <f>IF(T217="","",IF(AND(LEFT(T217,4)&lt;&gt;"http",set_RMSBase=""),"",HYPERLINK(IF(LEFT(T217,4)="http",T217,set_RMSBase&amp;T217),"Open opportunity")))</f>
        <v/>
      </c>
      <c r="V217" s="24" t="n"/>
      <c r="W217" s="25">
        <f>IF(V217="","",HYPERLINK(IF(LEFT(V217,4)="http",V217,set_QwilrBase&amp;V217),"Open quote"))</f>
        <v/>
      </c>
      <c r="X217" s="25">
        <f>IF(C217="","",C217)</f>
        <v/>
      </c>
      <c r="Y217" s="24" t="n"/>
      <c r="Z217" s="26" t="n"/>
      <c r="AA217" s="27">
        <f>IF(C217="","",H217+N(Z217))</f>
        <v/>
      </c>
      <c r="AB217" s="29">
        <f>IFERROR(Z217/AA217,"")</f>
        <v/>
      </c>
      <c r="AC217" s="26" t="n"/>
      <c r="AD217" s="26" t="n"/>
      <c r="AE217" s="26" t="n"/>
      <c r="AF217" s="26" t="n"/>
      <c r="AG217" s="27">
        <f>IF(C217="","",SUMIFS(tbl_Finance[Ex GST],tbl_Finance[Job Number],C217&amp;"",tbl_Finance[Cost Centre],"VIDEO"))</f>
        <v/>
      </c>
      <c r="AH217" s="29">
        <f>IFERROR(AG217/H217,"")</f>
        <v/>
      </c>
      <c r="AI217" s="27">
        <f>IF(C217="","",N(AC217)+N(AD217)+N(AE217)+N(AF217))</f>
        <v/>
      </c>
      <c r="AJ217" s="27">
        <f>IF(C217="","",H217+L217-AI217)</f>
        <v/>
      </c>
      <c r="AK217" s="29">
        <f>IFERROR(AJ217/(H217+L217),"")</f>
        <v/>
      </c>
      <c r="AL217" s="71" t="n"/>
      <c r="AM217" s="71" t="n"/>
      <c r="AN217" s="71" t="n"/>
      <c r="AO217" s="71" t="n"/>
      <c r="AP217" s="71" t="n"/>
      <c r="AQ217" s="24" t="n"/>
    </row>
    <row r="218" ht="15" customHeight="1">
      <c r="A218" s="70">
        <f>IF(C218="","",IFERROR(IF(SUMPRODUCT(MAX((tbl_Finance[Job Number]&amp;""=C218&amp;"")*(tbl_Finance[Xero Invoice No]&lt;&gt;"")*tbl_Finance[Date]))=0,"",SUMPRODUCT(MAX((tbl_Finance[Job Number]&amp;""=C218&amp;"")*(tbl_Finance[Xero Invoice No]&lt;&gt;"")*tbl_Finance[Date]))),""))</f>
        <v/>
      </c>
      <c r="B218" s="25">
        <f>IF(C218="","",IF(COUNTIFS(tbl_Finance[Job Number],C218&amp;"",tbl_Finance[Xero Invoice No],"&lt;&gt;")=0,"",IFERROR(IF(COUNTIFS(tbl_Finance[Job Number],C218&amp;"",tbl_Finance[Xero Invoice No],LOOKUP(2,1/((tbl_Finance[Job Number]&amp;""=C218&amp;"")*(tbl_Finance[Xero Invoice No]&lt;&gt;"")),tbl_Finance[Xero Invoice No]))=COUNTIFS(tbl_Finance[Job Number],C218&amp;"",tbl_Finance[Xero Invoice No],"&lt;&gt;"),LOOKUP(2,1/((tbl_Finance[Job Number]&amp;""=C218&amp;"")*(tbl_Finance[Xero Invoice No]&lt;&gt;"")),tbl_Finance[Xero Invoice No]),LOOKUP(2,1/((tbl_Finance[Job Number]&amp;""=C218&amp;"")*(tbl_Finance[Xero Invoice No]&lt;&gt;"")),tbl_Finance[Xero Invoice No])&amp;" +more"),"")))</f>
        <v/>
      </c>
      <c r="C218" s="24" t="n"/>
      <c r="D218" s="25">
        <f>IF(C218="","",IF(COUNTIF(lst_Jobs,C218&amp;"")&gt;0,"OK","CHECK"))</f>
        <v/>
      </c>
      <c r="E218" s="25">
        <f>IF(C218="","",IFERROR(INDEX(lst_JobName,MATCH(C218&amp;"",lst_Jobs,0)),""))</f>
        <v/>
      </c>
      <c r="F218" s="25">
        <f>IF(C218="","",IFERROR(INDEX(tbl_Finance[Client],IFERROR(MATCH(C218&amp;"",tbl_Finance[Job Number],0),MATCH(IFERROR(C218+0,C218),tbl_Finance[Job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6" t="n"/>
      <c r="L218" s="27">
        <f>IF(C218="","",IF(K218="",0,MAX(0,K218-H218)))</f>
        <v/>
      </c>
      <c r="M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N218" s="27">
        <f>IF(C218="","",SUMIFS(tbl_Finance[Inc GST],tbl_Finance[Job Number],C218&amp;""))</f>
        <v/>
      </c>
      <c r="O218" s="24" t="n"/>
      <c r="P218" s="25">
        <f>IF(C218="","",IFERROR(INDEX(tbl_Finance[Description],MATCH(C218&amp;"",tbl_Finance[Job Number],0)),""))</f>
        <v/>
      </c>
      <c r="Q218" s="24" t="n"/>
      <c r="R218" s="24" t="n"/>
      <c r="S218" s="22" t="n"/>
      <c r="T218" s="24" t="n"/>
      <c r="U218" s="25">
        <f>IF(T218="","",IF(AND(LEFT(T218,4)&lt;&gt;"http",set_RMSBase=""),"",HYPERLINK(IF(LEFT(T218,4)="http",T218,set_RMSBase&amp;T218),"Open opportunity")))</f>
        <v/>
      </c>
      <c r="V218" s="24" t="n"/>
      <c r="W218" s="25">
        <f>IF(V218="","",HYPERLINK(IF(LEFT(V218,4)="http",V218,set_QwilrBase&amp;V218),"Open quote"))</f>
        <v/>
      </c>
      <c r="X218" s="25">
        <f>IF(C218="","",C218)</f>
        <v/>
      </c>
      <c r="Y218" s="24" t="n"/>
      <c r="Z218" s="26" t="n"/>
      <c r="AA218" s="27">
        <f>IF(C218="","",H218+N(Z218))</f>
        <v/>
      </c>
      <c r="AB218" s="29">
        <f>IFERROR(Z218/AA218,"")</f>
        <v/>
      </c>
      <c r="AC218" s="26" t="n"/>
      <c r="AD218" s="26" t="n"/>
      <c r="AE218" s="26" t="n"/>
      <c r="AF218" s="26" t="n"/>
      <c r="AG218" s="27">
        <f>IF(C218="","",SUMIFS(tbl_Finance[Ex GST],tbl_Finance[Job Number],C218&amp;"",tbl_Finance[Cost Centre],"VIDEO"))</f>
        <v/>
      </c>
      <c r="AH218" s="29">
        <f>IFERROR(AG218/H218,"")</f>
        <v/>
      </c>
      <c r="AI218" s="27">
        <f>IF(C218="","",N(AC218)+N(AD218)+N(AE218)+N(AF218))</f>
        <v/>
      </c>
      <c r="AJ218" s="27">
        <f>IF(C218="","",H218+L218-AI218)</f>
        <v/>
      </c>
      <c r="AK218" s="29">
        <f>IFERROR(AJ218/(H218+L218),"")</f>
        <v/>
      </c>
      <c r="AL218" s="71" t="n"/>
      <c r="AM218" s="71" t="n"/>
      <c r="AN218" s="71" t="n"/>
      <c r="AO218" s="71" t="n"/>
      <c r="AP218" s="71" t="n"/>
      <c r="AQ218" s="24" t="n"/>
    </row>
    <row r="219" ht="15" customHeight="1">
      <c r="A219" s="70">
        <f>IF(C219="","",IFERROR(IF(SUMPRODUCT(MAX((tbl_Finance[Job Number]&amp;""=C219&amp;"")*(tbl_Finance[Xero Invoice No]&lt;&gt;"")*tbl_Finance[Date]))=0,"",SUMPRODUCT(MAX((tbl_Finance[Job Number]&amp;""=C219&amp;"")*(tbl_Finance[Xero Invoice No]&lt;&gt;"")*tbl_Finance[Date]))),""))</f>
        <v/>
      </c>
      <c r="B219" s="25">
        <f>IF(C219="","",IF(COUNTIFS(tbl_Finance[Job Number],C219&amp;"",tbl_Finance[Xero Invoice No],"&lt;&gt;")=0,"",IFERROR(IF(COUNTIFS(tbl_Finance[Job Number],C219&amp;"",tbl_Finance[Xero Invoice No],LOOKUP(2,1/((tbl_Finance[Job Number]&amp;""=C219&amp;"")*(tbl_Finance[Xero Invoice No]&lt;&gt;"")),tbl_Finance[Xero Invoice No]))=COUNTIFS(tbl_Finance[Job Number],C219&amp;"",tbl_Finance[Xero Invoice No],"&lt;&gt;"),LOOKUP(2,1/((tbl_Finance[Job Number]&amp;""=C219&amp;"")*(tbl_Finance[Xero Invoice No]&lt;&gt;"")),tbl_Finance[Xero Invoice No]),LOOKUP(2,1/((tbl_Finance[Job Number]&amp;""=C219&amp;"")*(tbl_Finance[Xero Invoice No]&lt;&gt;"")),tbl_Finance[Xero Invoice No])&amp;" +more"),"")))</f>
        <v/>
      </c>
      <c r="C219" s="24" t="n"/>
      <c r="D219" s="25">
        <f>IF(C219="","",IF(COUNTIF(lst_Jobs,C219&amp;"")&gt;0,"OK","CHECK"))</f>
        <v/>
      </c>
      <c r="E219" s="25">
        <f>IF(C219="","",IFERROR(INDEX(lst_JobName,MATCH(C219&amp;"",lst_Jobs,0)),""))</f>
        <v/>
      </c>
      <c r="F219" s="25">
        <f>IF(C219="","",IFERROR(INDEX(tbl_Finance[Client],IFERROR(MATCH(C219&amp;"",tbl_Finance[Job Number],0),MATCH(IFERROR(C219+0,C219),tbl_Finance[Job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6" t="n"/>
      <c r="L219" s="27">
        <f>IF(C219="","",IF(K219="",0,MAX(0,K219-H219)))</f>
        <v/>
      </c>
      <c r="M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N219" s="27">
        <f>IF(C219="","",SUMIFS(tbl_Finance[Inc GST],tbl_Finance[Job Number],C219&amp;""))</f>
        <v/>
      </c>
      <c r="O219" s="24" t="n"/>
      <c r="P219" s="25">
        <f>IF(C219="","",IFERROR(INDEX(tbl_Finance[Description],MATCH(C219&amp;"",tbl_Finance[Job Number],0)),""))</f>
        <v/>
      </c>
      <c r="Q219" s="24" t="n"/>
      <c r="R219" s="24" t="n"/>
      <c r="S219" s="22" t="n"/>
      <c r="T219" s="24" t="n"/>
      <c r="U219" s="25">
        <f>IF(T219="","",IF(AND(LEFT(T219,4)&lt;&gt;"http",set_RMSBase=""),"",HYPERLINK(IF(LEFT(T219,4)="http",T219,set_RMSBase&amp;T219),"Open opportunity")))</f>
        <v/>
      </c>
      <c r="V219" s="24" t="n"/>
      <c r="W219" s="25">
        <f>IF(V219="","",HYPERLINK(IF(LEFT(V219,4)="http",V219,set_QwilrBase&amp;V219),"Open quote"))</f>
        <v/>
      </c>
      <c r="X219" s="25">
        <f>IF(C219="","",C219)</f>
        <v/>
      </c>
      <c r="Y219" s="24" t="n"/>
      <c r="Z219" s="26" t="n"/>
      <c r="AA219" s="27">
        <f>IF(C219="","",H219+N(Z219))</f>
        <v/>
      </c>
      <c r="AB219" s="29">
        <f>IFERROR(Z219/AA219,"")</f>
        <v/>
      </c>
      <c r="AC219" s="26" t="n"/>
      <c r="AD219" s="26" t="n"/>
      <c r="AE219" s="26" t="n"/>
      <c r="AF219" s="26" t="n"/>
      <c r="AG219" s="27">
        <f>IF(C219="","",SUMIFS(tbl_Finance[Ex GST],tbl_Finance[Job Number],C219&amp;"",tbl_Finance[Cost Centre],"VIDEO"))</f>
        <v/>
      </c>
      <c r="AH219" s="29">
        <f>IFERROR(AG219/H219,"")</f>
        <v/>
      </c>
      <c r="AI219" s="27">
        <f>IF(C219="","",N(AC219)+N(AD219)+N(AE219)+N(AF219))</f>
        <v/>
      </c>
      <c r="AJ219" s="27">
        <f>IF(C219="","",H219+L219-AI219)</f>
        <v/>
      </c>
      <c r="AK219" s="29">
        <f>IFERROR(AJ219/(H219+L219),"")</f>
        <v/>
      </c>
      <c r="AL219" s="71" t="n"/>
      <c r="AM219" s="71" t="n"/>
      <c r="AN219" s="71" t="n"/>
      <c r="AO219" s="71" t="n"/>
      <c r="AP219" s="71" t="n"/>
      <c r="AQ219" s="24" t="n"/>
    </row>
    <row r="220" ht="15" customHeight="1">
      <c r="A220" s="70">
        <f>IF(C220="","",IFERROR(IF(SUMPRODUCT(MAX((tbl_Finance[Job Number]&amp;""=C220&amp;"")*(tbl_Finance[Xero Invoice No]&lt;&gt;"")*tbl_Finance[Date]))=0,"",SUMPRODUCT(MAX((tbl_Finance[Job Number]&amp;""=C220&amp;"")*(tbl_Finance[Xero Invoice No]&lt;&gt;"")*tbl_Finance[Date]))),""))</f>
        <v/>
      </c>
      <c r="B220" s="25">
        <f>IF(C220="","",IF(COUNTIFS(tbl_Finance[Job Number],C220&amp;"",tbl_Finance[Xero Invoice No],"&lt;&gt;")=0,"",IFERROR(IF(COUNTIFS(tbl_Finance[Job Number],C220&amp;"",tbl_Finance[Xero Invoice No],LOOKUP(2,1/((tbl_Finance[Job Number]&amp;""=C220&amp;"")*(tbl_Finance[Xero Invoice No]&lt;&gt;"")),tbl_Finance[Xero Invoice No]))=COUNTIFS(tbl_Finance[Job Number],C220&amp;"",tbl_Finance[Xero Invoice No],"&lt;&gt;"),LOOKUP(2,1/((tbl_Finance[Job Number]&amp;""=C220&amp;"")*(tbl_Finance[Xero Invoice No]&lt;&gt;"")),tbl_Finance[Xero Invoice No]),LOOKUP(2,1/((tbl_Finance[Job Number]&amp;""=C220&amp;"")*(tbl_Finance[Xero Invoice No]&lt;&gt;"")),tbl_Finance[Xero Invoice No])&amp;" +more"),"")))</f>
        <v/>
      </c>
      <c r="C220" s="24" t="n"/>
      <c r="D220" s="25">
        <f>IF(C220="","",IF(COUNTIF(lst_Jobs,C220&amp;"")&gt;0,"OK","CHECK"))</f>
        <v/>
      </c>
      <c r="E220" s="25">
        <f>IF(C220="","",IFERROR(INDEX(lst_JobName,MATCH(C220&amp;"",lst_Jobs,0)),""))</f>
        <v/>
      </c>
      <c r="F220" s="25">
        <f>IF(C220="","",IFERROR(INDEX(tbl_Finance[Client],IFERROR(MATCH(C220&amp;"",tbl_Finance[Job Number],0),MATCH(IFERROR(C220+0,C220),tbl_Finance[Job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6" t="n"/>
      <c r="L220" s="27">
        <f>IF(C220="","",IF(K220="",0,MAX(0,K220-H220)))</f>
        <v/>
      </c>
      <c r="M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N220" s="27">
        <f>IF(C220="","",SUMIFS(tbl_Finance[Inc GST],tbl_Finance[Job Number],C220&amp;""))</f>
        <v/>
      </c>
      <c r="O220" s="24" t="n"/>
      <c r="P220" s="25">
        <f>IF(C220="","",IFERROR(INDEX(tbl_Finance[Description],MATCH(C220&amp;"",tbl_Finance[Job Number],0)),""))</f>
        <v/>
      </c>
      <c r="Q220" s="24" t="n"/>
      <c r="R220" s="24" t="n"/>
      <c r="S220" s="22" t="n"/>
      <c r="T220" s="24" t="n"/>
      <c r="U220" s="25">
        <f>IF(T220="","",IF(AND(LEFT(T220,4)&lt;&gt;"http",set_RMSBase=""),"",HYPERLINK(IF(LEFT(T220,4)="http",T220,set_RMSBase&amp;T220),"Open opportunity")))</f>
        <v/>
      </c>
      <c r="V220" s="24" t="n"/>
      <c r="W220" s="25">
        <f>IF(V220="","",HYPERLINK(IF(LEFT(V220,4)="http",V220,set_QwilrBase&amp;V220),"Open quote"))</f>
        <v/>
      </c>
      <c r="X220" s="25">
        <f>IF(C220="","",C220)</f>
        <v/>
      </c>
      <c r="Y220" s="24" t="n"/>
      <c r="Z220" s="26" t="n"/>
      <c r="AA220" s="27">
        <f>IF(C220="","",H220+N(Z220))</f>
        <v/>
      </c>
      <c r="AB220" s="29">
        <f>IFERROR(Z220/AA220,"")</f>
        <v/>
      </c>
      <c r="AC220" s="26" t="n"/>
      <c r="AD220" s="26" t="n"/>
      <c r="AE220" s="26" t="n"/>
      <c r="AF220" s="26" t="n"/>
      <c r="AG220" s="27">
        <f>IF(C220="","",SUMIFS(tbl_Finance[Ex GST],tbl_Finance[Job Number],C220&amp;"",tbl_Finance[Cost Centre],"VIDEO"))</f>
        <v/>
      </c>
      <c r="AH220" s="29">
        <f>IFERROR(AG220/H220,"")</f>
        <v/>
      </c>
      <c r="AI220" s="27">
        <f>IF(C220="","",N(AC220)+N(AD220)+N(AE220)+N(AF220))</f>
        <v/>
      </c>
      <c r="AJ220" s="27">
        <f>IF(C220="","",H220+L220-AI220)</f>
        <v/>
      </c>
      <c r="AK220" s="29">
        <f>IFERROR(AJ220/(H220+L220),"")</f>
        <v/>
      </c>
      <c r="AL220" s="71" t="n"/>
      <c r="AM220" s="71" t="n"/>
      <c r="AN220" s="71" t="n"/>
      <c r="AO220" s="71" t="n"/>
      <c r="AP220" s="71" t="n"/>
      <c r="AQ220" s="24" t="n"/>
    </row>
    <row r="221" ht="15" customHeight="1">
      <c r="A221" s="70">
        <f>IF(C221="","",IFERROR(IF(SUMPRODUCT(MAX((tbl_Finance[Job Number]&amp;""=C221&amp;"")*(tbl_Finance[Xero Invoice No]&lt;&gt;"")*tbl_Finance[Date]))=0,"",SUMPRODUCT(MAX((tbl_Finance[Job Number]&amp;""=C221&amp;"")*(tbl_Finance[Xero Invoice No]&lt;&gt;"")*tbl_Finance[Date]))),""))</f>
        <v/>
      </c>
      <c r="B221" s="25">
        <f>IF(C221="","",IF(COUNTIFS(tbl_Finance[Job Number],C221&amp;"",tbl_Finance[Xero Invoice No],"&lt;&gt;")=0,"",IFERROR(IF(COUNTIFS(tbl_Finance[Job Number],C221&amp;"",tbl_Finance[Xero Invoice No],LOOKUP(2,1/((tbl_Finance[Job Number]&amp;""=C221&amp;"")*(tbl_Finance[Xero Invoice No]&lt;&gt;"")),tbl_Finance[Xero Invoice No]))=COUNTIFS(tbl_Finance[Job Number],C221&amp;"",tbl_Finance[Xero Invoice No],"&lt;&gt;"),LOOKUP(2,1/((tbl_Finance[Job Number]&amp;""=C221&amp;"")*(tbl_Finance[Xero Invoice No]&lt;&gt;"")),tbl_Finance[Xero Invoice No]),LOOKUP(2,1/((tbl_Finance[Job Number]&amp;""=C221&amp;"")*(tbl_Finance[Xero Invoice No]&lt;&gt;"")),tbl_Finance[Xero Invoice No])&amp;" +more"),"")))</f>
        <v/>
      </c>
      <c r="C221" s="24" t="n"/>
      <c r="D221" s="25">
        <f>IF(C221="","",IF(COUNTIF(lst_Jobs,C221&amp;"")&gt;0,"OK","CHECK"))</f>
        <v/>
      </c>
      <c r="E221" s="25">
        <f>IF(C221="","",IFERROR(INDEX(lst_JobName,MATCH(C221&amp;"",lst_Jobs,0)),""))</f>
        <v/>
      </c>
      <c r="F221" s="25">
        <f>IF(C221="","",IFERROR(INDEX(tbl_Finance[Client],IFERROR(MATCH(C221&amp;"",tbl_Finance[Job Number],0),MATCH(IFERROR(C221+0,C221),tbl_Finance[Job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6" t="n"/>
      <c r="L221" s="27">
        <f>IF(C221="","",IF(K221="",0,MAX(0,K221-H221)))</f>
        <v/>
      </c>
      <c r="M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N221" s="27">
        <f>IF(C221="","",SUMIFS(tbl_Finance[Inc GST],tbl_Finance[Job Number],C221&amp;""))</f>
        <v/>
      </c>
      <c r="O221" s="24" t="n"/>
      <c r="P221" s="25">
        <f>IF(C221="","",IFERROR(INDEX(tbl_Finance[Description],MATCH(C221&amp;"",tbl_Finance[Job Number],0)),""))</f>
        <v/>
      </c>
      <c r="Q221" s="24" t="n"/>
      <c r="R221" s="24" t="n"/>
      <c r="S221" s="22" t="n"/>
      <c r="T221" s="24" t="n"/>
      <c r="U221" s="25">
        <f>IF(T221="","",IF(AND(LEFT(T221,4)&lt;&gt;"http",set_RMSBase=""),"",HYPERLINK(IF(LEFT(T221,4)="http",T221,set_RMSBase&amp;T221),"Open opportunity")))</f>
        <v/>
      </c>
      <c r="V221" s="24" t="n"/>
      <c r="W221" s="25">
        <f>IF(V221="","",HYPERLINK(IF(LEFT(V221,4)="http",V221,set_QwilrBase&amp;V221),"Open quote"))</f>
        <v/>
      </c>
      <c r="X221" s="25">
        <f>IF(C221="","",C221)</f>
        <v/>
      </c>
      <c r="Y221" s="24" t="n"/>
      <c r="Z221" s="26" t="n"/>
      <c r="AA221" s="27">
        <f>IF(C221="","",H221+N(Z221))</f>
        <v/>
      </c>
      <c r="AB221" s="29">
        <f>IFERROR(Z221/AA221,"")</f>
        <v/>
      </c>
      <c r="AC221" s="26" t="n"/>
      <c r="AD221" s="26" t="n"/>
      <c r="AE221" s="26" t="n"/>
      <c r="AF221" s="26" t="n"/>
      <c r="AG221" s="27">
        <f>IF(C221="","",SUMIFS(tbl_Finance[Ex GST],tbl_Finance[Job Number],C221&amp;"",tbl_Finance[Cost Centre],"VIDEO"))</f>
        <v/>
      </c>
      <c r="AH221" s="29">
        <f>IFERROR(AG221/H221,"")</f>
        <v/>
      </c>
      <c r="AI221" s="27">
        <f>IF(C221="","",N(AC221)+N(AD221)+N(AE221)+N(AF221))</f>
        <v/>
      </c>
      <c r="AJ221" s="27">
        <f>IF(C221="","",H221+L221-AI221)</f>
        <v/>
      </c>
      <c r="AK221" s="29">
        <f>IFERROR(AJ221/(H221+L221),"")</f>
        <v/>
      </c>
      <c r="AL221" s="71" t="n"/>
      <c r="AM221" s="71" t="n"/>
      <c r="AN221" s="71" t="n"/>
      <c r="AO221" s="71" t="n"/>
      <c r="AP221" s="71" t="n"/>
      <c r="AQ221" s="24" t="n"/>
    </row>
    <row r="222" ht="15" customHeight="1">
      <c r="A222" s="70">
        <f>IF(C222="","",IFERROR(IF(SUMPRODUCT(MAX((tbl_Finance[Job Number]&amp;""=C222&amp;"")*(tbl_Finance[Xero Invoice No]&lt;&gt;"")*tbl_Finance[Date]))=0,"",SUMPRODUCT(MAX((tbl_Finance[Job Number]&amp;""=C222&amp;"")*(tbl_Finance[Xero Invoice No]&lt;&gt;"")*tbl_Finance[Date]))),""))</f>
        <v/>
      </c>
      <c r="B222" s="25">
        <f>IF(C222="","",IF(COUNTIFS(tbl_Finance[Job Number],C222&amp;"",tbl_Finance[Xero Invoice No],"&lt;&gt;")=0,"",IFERROR(IF(COUNTIFS(tbl_Finance[Job Number],C222&amp;"",tbl_Finance[Xero Invoice No],LOOKUP(2,1/((tbl_Finance[Job Number]&amp;""=C222&amp;"")*(tbl_Finance[Xero Invoice No]&lt;&gt;"")),tbl_Finance[Xero Invoice No]))=COUNTIFS(tbl_Finance[Job Number],C222&amp;"",tbl_Finance[Xero Invoice No],"&lt;&gt;"),LOOKUP(2,1/((tbl_Finance[Job Number]&amp;""=C222&amp;"")*(tbl_Finance[Xero Invoice No]&lt;&gt;"")),tbl_Finance[Xero Invoice No]),LOOKUP(2,1/((tbl_Finance[Job Number]&amp;""=C222&amp;"")*(tbl_Finance[Xero Invoice No]&lt;&gt;"")),tbl_Finance[Xero Invoice No])&amp;" +more"),"")))</f>
        <v/>
      </c>
      <c r="C222" s="24" t="n"/>
      <c r="D222" s="25">
        <f>IF(C222="","",IF(COUNTIF(lst_Jobs,C222&amp;"")&gt;0,"OK","CHECK"))</f>
        <v/>
      </c>
      <c r="E222" s="25">
        <f>IF(C222="","",IFERROR(INDEX(lst_JobName,MATCH(C222&amp;"",lst_Jobs,0)),""))</f>
        <v/>
      </c>
      <c r="F222" s="25">
        <f>IF(C222="","",IFERROR(INDEX(tbl_Finance[Client],IFERROR(MATCH(C222&amp;"",tbl_Finance[Job Number],0),MATCH(IFERROR(C222+0,C222),tbl_Finance[Job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6" t="n"/>
      <c r="L222" s="27">
        <f>IF(C222="","",IF(K222="",0,MAX(0,K222-H222)))</f>
        <v/>
      </c>
      <c r="M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N222" s="27">
        <f>IF(C222="","",SUMIFS(tbl_Finance[Inc GST],tbl_Finance[Job Number],C222&amp;""))</f>
        <v/>
      </c>
      <c r="O222" s="24" t="n"/>
      <c r="P222" s="25">
        <f>IF(C222="","",IFERROR(INDEX(tbl_Finance[Description],MATCH(C222&amp;"",tbl_Finance[Job Number],0)),""))</f>
        <v/>
      </c>
      <c r="Q222" s="24" t="n"/>
      <c r="R222" s="24" t="n"/>
      <c r="S222" s="22" t="n"/>
      <c r="T222" s="24" t="n"/>
      <c r="U222" s="25">
        <f>IF(T222="","",IF(AND(LEFT(T222,4)&lt;&gt;"http",set_RMSBase=""),"",HYPERLINK(IF(LEFT(T222,4)="http",T222,set_RMSBase&amp;T222),"Open opportunity")))</f>
        <v/>
      </c>
      <c r="V222" s="24" t="n"/>
      <c r="W222" s="25">
        <f>IF(V222="","",HYPERLINK(IF(LEFT(V222,4)="http",V222,set_QwilrBase&amp;V222),"Open quote"))</f>
        <v/>
      </c>
      <c r="X222" s="25">
        <f>IF(C222="","",C222)</f>
        <v/>
      </c>
      <c r="Y222" s="24" t="n"/>
      <c r="Z222" s="26" t="n"/>
      <c r="AA222" s="27">
        <f>IF(C222="","",H222+N(Z222))</f>
        <v/>
      </c>
      <c r="AB222" s="29">
        <f>IFERROR(Z222/AA222,"")</f>
        <v/>
      </c>
      <c r="AC222" s="26" t="n"/>
      <c r="AD222" s="26" t="n"/>
      <c r="AE222" s="26" t="n"/>
      <c r="AF222" s="26" t="n"/>
      <c r="AG222" s="27">
        <f>IF(C222="","",SUMIFS(tbl_Finance[Ex GST],tbl_Finance[Job Number],C222&amp;"",tbl_Finance[Cost Centre],"VIDEO"))</f>
        <v/>
      </c>
      <c r="AH222" s="29">
        <f>IFERROR(AG222/H222,"")</f>
        <v/>
      </c>
      <c r="AI222" s="27">
        <f>IF(C222="","",N(AC222)+N(AD222)+N(AE222)+N(AF222))</f>
        <v/>
      </c>
      <c r="AJ222" s="27">
        <f>IF(C222="","",H222+L222-AI222)</f>
        <v/>
      </c>
      <c r="AK222" s="29">
        <f>IFERROR(AJ222/(H222+L222),"")</f>
        <v/>
      </c>
      <c r="AL222" s="71" t="n"/>
      <c r="AM222" s="71" t="n"/>
      <c r="AN222" s="71" t="n"/>
      <c r="AO222" s="71" t="n"/>
      <c r="AP222" s="71" t="n"/>
      <c r="AQ222" s="24" t="n"/>
    </row>
    <row r="223" ht="15" customHeight="1">
      <c r="A223" s="70">
        <f>IF(C223="","",IFERROR(IF(SUMPRODUCT(MAX((tbl_Finance[Job Number]&amp;""=C223&amp;"")*(tbl_Finance[Xero Invoice No]&lt;&gt;"")*tbl_Finance[Date]))=0,"",SUMPRODUCT(MAX((tbl_Finance[Job Number]&amp;""=C223&amp;"")*(tbl_Finance[Xero Invoice No]&lt;&gt;"")*tbl_Finance[Date]))),""))</f>
        <v/>
      </c>
      <c r="B223" s="25">
        <f>IF(C223="","",IF(COUNTIFS(tbl_Finance[Job Number],C223&amp;"",tbl_Finance[Xero Invoice No],"&lt;&gt;")=0,"",IFERROR(IF(COUNTIFS(tbl_Finance[Job Number],C223&amp;"",tbl_Finance[Xero Invoice No],LOOKUP(2,1/((tbl_Finance[Job Number]&amp;""=C223&amp;"")*(tbl_Finance[Xero Invoice No]&lt;&gt;"")),tbl_Finance[Xero Invoice No]))=COUNTIFS(tbl_Finance[Job Number],C223&amp;"",tbl_Finance[Xero Invoice No],"&lt;&gt;"),LOOKUP(2,1/((tbl_Finance[Job Number]&amp;""=C223&amp;"")*(tbl_Finance[Xero Invoice No]&lt;&gt;"")),tbl_Finance[Xero Invoice No]),LOOKUP(2,1/((tbl_Finance[Job Number]&amp;""=C223&amp;"")*(tbl_Finance[Xero Invoice No]&lt;&gt;"")),tbl_Finance[Xero Invoice No])&amp;" +more"),"")))</f>
        <v/>
      </c>
      <c r="C223" s="24" t="n"/>
      <c r="D223" s="25">
        <f>IF(C223="","",IF(COUNTIF(lst_Jobs,C223&amp;"")&gt;0,"OK","CHECK"))</f>
        <v/>
      </c>
      <c r="E223" s="25">
        <f>IF(C223="","",IFERROR(INDEX(lst_JobName,MATCH(C223&amp;"",lst_Jobs,0)),""))</f>
        <v/>
      </c>
      <c r="F223" s="25">
        <f>IF(C223="","",IFERROR(INDEX(tbl_Finance[Client],IFERROR(MATCH(C223&amp;"",tbl_Finance[Job Number],0),MATCH(IFERROR(C223+0,C223),tbl_Finance[Job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6" t="n"/>
      <c r="L223" s="27">
        <f>IF(C223="","",IF(K223="",0,MAX(0,K223-H223)))</f>
        <v/>
      </c>
      <c r="M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N223" s="27">
        <f>IF(C223="","",SUMIFS(tbl_Finance[Inc GST],tbl_Finance[Job Number],C223&amp;""))</f>
        <v/>
      </c>
      <c r="O223" s="24" t="n"/>
      <c r="P223" s="25">
        <f>IF(C223="","",IFERROR(INDEX(tbl_Finance[Description],MATCH(C223&amp;"",tbl_Finance[Job Number],0)),""))</f>
        <v/>
      </c>
      <c r="Q223" s="24" t="n"/>
      <c r="R223" s="24" t="n"/>
      <c r="S223" s="22" t="n"/>
      <c r="T223" s="24" t="n"/>
      <c r="U223" s="25">
        <f>IF(T223="","",IF(AND(LEFT(T223,4)&lt;&gt;"http",set_RMSBase=""),"",HYPERLINK(IF(LEFT(T223,4)="http",T223,set_RMSBase&amp;T223),"Open opportunity")))</f>
        <v/>
      </c>
      <c r="V223" s="24" t="n"/>
      <c r="W223" s="25">
        <f>IF(V223="","",HYPERLINK(IF(LEFT(V223,4)="http",V223,set_QwilrBase&amp;V223),"Open quote"))</f>
        <v/>
      </c>
      <c r="X223" s="25">
        <f>IF(C223="","",C223)</f>
        <v/>
      </c>
      <c r="Y223" s="24" t="n"/>
      <c r="Z223" s="26" t="n"/>
      <c r="AA223" s="27">
        <f>IF(C223="","",H223+N(Z223))</f>
        <v/>
      </c>
      <c r="AB223" s="29">
        <f>IFERROR(Z223/AA223,"")</f>
        <v/>
      </c>
      <c r="AC223" s="26" t="n"/>
      <c r="AD223" s="26" t="n"/>
      <c r="AE223" s="26" t="n"/>
      <c r="AF223" s="26" t="n"/>
      <c r="AG223" s="27">
        <f>IF(C223="","",SUMIFS(tbl_Finance[Ex GST],tbl_Finance[Job Number],C223&amp;"",tbl_Finance[Cost Centre],"VIDEO"))</f>
        <v/>
      </c>
      <c r="AH223" s="29">
        <f>IFERROR(AG223/H223,"")</f>
        <v/>
      </c>
      <c r="AI223" s="27">
        <f>IF(C223="","",N(AC223)+N(AD223)+N(AE223)+N(AF223))</f>
        <v/>
      </c>
      <c r="AJ223" s="27">
        <f>IF(C223="","",H223+L223-AI223)</f>
        <v/>
      </c>
      <c r="AK223" s="29">
        <f>IFERROR(AJ223/(H223+L223),"")</f>
        <v/>
      </c>
      <c r="AL223" s="71" t="n"/>
      <c r="AM223" s="71" t="n"/>
      <c r="AN223" s="71" t="n"/>
      <c r="AO223" s="71" t="n"/>
      <c r="AP223" s="71" t="n"/>
      <c r="AQ223" s="24" t="n"/>
    </row>
    <row r="224" ht="15" customHeight="1">
      <c r="A224" s="70">
        <f>IF(C224="","",IFERROR(IF(SUMPRODUCT(MAX((tbl_Finance[Job Number]&amp;""=C224&amp;"")*(tbl_Finance[Xero Invoice No]&lt;&gt;"")*tbl_Finance[Date]))=0,"",SUMPRODUCT(MAX((tbl_Finance[Job Number]&amp;""=C224&amp;"")*(tbl_Finance[Xero Invoice No]&lt;&gt;"")*tbl_Finance[Date]))),""))</f>
        <v/>
      </c>
      <c r="B224" s="25">
        <f>IF(C224="","",IF(COUNTIFS(tbl_Finance[Job Number],C224&amp;"",tbl_Finance[Xero Invoice No],"&lt;&gt;")=0,"",IFERROR(IF(COUNTIFS(tbl_Finance[Job Number],C224&amp;"",tbl_Finance[Xero Invoice No],LOOKUP(2,1/((tbl_Finance[Job Number]&amp;""=C224&amp;"")*(tbl_Finance[Xero Invoice No]&lt;&gt;"")),tbl_Finance[Xero Invoice No]))=COUNTIFS(tbl_Finance[Job Number],C224&amp;"",tbl_Finance[Xero Invoice No],"&lt;&gt;"),LOOKUP(2,1/((tbl_Finance[Job Number]&amp;""=C224&amp;"")*(tbl_Finance[Xero Invoice No]&lt;&gt;"")),tbl_Finance[Xero Invoice No]),LOOKUP(2,1/((tbl_Finance[Job Number]&amp;""=C224&amp;"")*(tbl_Finance[Xero Invoice No]&lt;&gt;"")),tbl_Finance[Xero Invoice No])&amp;" +more"),"")))</f>
        <v/>
      </c>
      <c r="C224" s="24" t="n"/>
      <c r="D224" s="25">
        <f>IF(C224="","",IF(COUNTIF(lst_Jobs,C224&amp;"")&gt;0,"OK","CHECK"))</f>
        <v/>
      </c>
      <c r="E224" s="25">
        <f>IF(C224="","",IFERROR(INDEX(lst_JobName,MATCH(C224&amp;"",lst_Jobs,0)),""))</f>
        <v/>
      </c>
      <c r="F224" s="25">
        <f>IF(C224="","",IFERROR(INDEX(tbl_Finance[Client],IFERROR(MATCH(C224&amp;"",tbl_Finance[Job Number],0),MATCH(IFERROR(C224+0,C224),tbl_Finance[Job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6" t="n"/>
      <c r="L224" s="27">
        <f>IF(C224="","",IF(K224="",0,MAX(0,K224-H224)))</f>
        <v/>
      </c>
      <c r="M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N224" s="27">
        <f>IF(C224="","",SUMIFS(tbl_Finance[Inc GST],tbl_Finance[Job Number],C224&amp;""))</f>
        <v/>
      </c>
      <c r="O224" s="24" t="n"/>
      <c r="P224" s="25">
        <f>IF(C224="","",IFERROR(INDEX(tbl_Finance[Description],MATCH(C224&amp;"",tbl_Finance[Job Number],0)),""))</f>
        <v/>
      </c>
      <c r="Q224" s="24" t="n"/>
      <c r="R224" s="24" t="n"/>
      <c r="S224" s="22" t="n"/>
      <c r="T224" s="24" t="n"/>
      <c r="U224" s="25">
        <f>IF(T224="","",IF(AND(LEFT(T224,4)&lt;&gt;"http",set_RMSBase=""),"",HYPERLINK(IF(LEFT(T224,4)="http",T224,set_RMSBase&amp;T224),"Open opportunity")))</f>
        <v/>
      </c>
      <c r="V224" s="24" t="n"/>
      <c r="W224" s="25">
        <f>IF(V224="","",HYPERLINK(IF(LEFT(V224,4)="http",V224,set_QwilrBase&amp;V224),"Open quote"))</f>
        <v/>
      </c>
      <c r="X224" s="25">
        <f>IF(C224="","",C224)</f>
        <v/>
      </c>
      <c r="Y224" s="24" t="n"/>
      <c r="Z224" s="26" t="n"/>
      <c r="AA224" s="27">
        <f>IF(C224="","",H224+N(Z224))</f>
        <v/>
      </c>
      <c r="AB224" s="29">
        <f>IFERROR(Z224/AA224,"")</f>
        <v/>
      </c>
      <c r="AC224" s="26" t="n"/>
      <c r="AD224" s="26" t="n"/>
      <c r="AE224" s="26" t="n"/>
      <c r="AF224" s="26" t="n"/>
      <c r="AG224" s="27">
        <f>IF(C224="","",SUMIFS(tbl_Finance[Ex GST],tbl_Finance[Job Number],C224&amp;"",tbl_Finance[Cost Centre],"VIDEO"))</f>
        <v/>
      </c>
      <c r="AH224" s="29">
        <f>IFERROR(AG224/H224,"")</f>
        <v/>
      </c>
      <c r="AI224" s="27">
        <f>IF(C224="","",N(AC224)+N(AD224)+N(AE224)+N(AF224))</f>
        <v/>
      </c>
      <c r="AJ224" s="27">
        <f>IF(C224="","",H224+L224-AI224)</f>
        <v/>
      </c>
      <c r="AK224" s="29">
        <f>IFERROR(AJ224/(H224+L224),"")</f>
        <v/>
      </c>
      <c r="AL224" s="71" t="n"/>
      <c r="AM224" s="71" t="n"/>
      <c r="AN224" s="71" t="n"/>
      <c r="AO224" s="71" t="n"/>
      <c r="AP224" s="71" t="n"/>
      <c r="AQ224" s="24" t="n"/>
    </row>
    <row r="225" ht="15" customHeight="1">
      <c r="A225" s="70">
        <f>IF(C225="","",IFERROR(IF(SUMPRODUCT(MAX((tbl_Finance[Job Number]&amp;""=C225&amp;"")*(tbl_Finance[Xero Invoice No]&lt;&gt;"")*tbl_Finance[Date]))=0,"",SUMPRODUCT(MAX((tbl_Finance[Job Number]&amp;""=C225&amp;"")*(tbl_Finance[Xero Invoice No]&lt;&gt;"")*tbl_Finance[Date]))),""))</f>
        <v/>
      </c>
      <c r="B225" s="25">
        <f>IF(C225="","",IF(COUNTIFS(tbl_Finance[Job Number],C225&amp;"",tbl_Finance[Xero Invoice No],"&lt;&gt;")=0,"",IFERROR(IF(COUNTIFS(tbl_Finance[Job Number],C225&amp;"",tbl_Finance[Xero Invoice No],LOOKUP(2,1/((tbl_Finance[Job Number]&amp;""=C225&amp;"")*(tbl_Finance[Xero Invoice No]&lt;&gt;"")),tbl_Finance[Xero Invoice No]))=COUNTIFS(tbl_Finance[Job Number],C225&amp;"",tbl_Finance[Xero Invoice No],"&lt;&gt;"),LOOKUP(2,1/((tbl_Finance[Job Number]&amp;""=C225&amp;"")*(tbl_Finance[Xero Invoice No]&lt;&gt;"")),tbl_Finance[Xero Invoice No]),LOOKUP(2,1/((tbl_Finance[Job Number]&amp;""=C225&amp;"")*(tbl_Finance[Xero Invoice No]&lt;&gt;"")),tbl_Finance[Xero Invoice No])&amp;" +more"),"")))</f>
        <v/>
      </c>
      <c r="C225" s="24" t="n"/>
      <c r="D225" s="25">
        <f>IF(C225="","",IF(COUNTIF(lst_Jobs,C225&amp;"")&gt;0,"OK","CHECK"))</f>
        <v/>
      </c>
      <c r="E225" s="25">
        <f>IF(C225="","",IFERROR(INDEX(lst_JobName,MATCH(C225&amp;"",lst_Jobs,0)),""))</f>
        <v/>
      </c>
      <c r="F225" s="25">
        <f>IF(C225="","",IFERROR(INDEX(tbl_Finance[Client],IFERROR(MATCH(C225&amp;"",tbl_Finance[Job Number],0),MATCH(IFERROR(C225+0,C225),tbl_Finance[Job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6" t="n"/>
      <c r="L225" s="27">
        <f>IF(C225="","",IF(K225="",0,MAX(0,K225-H225)))</f>
        <v/>
      </c>
      <c r="M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N225" s="27">
        <f>IF(C225="","",SUMIFS(tbl_Finance[Inc GST],tbl_Finance[Job Number],C225&amp;""))</f>
        <v/>
      </c>
      <c r="O225" s="24" t="n"/>
      <c r="P225" s="25">
        <f>IF(C225="","",IFERROR(INDEX(tbl_Finance[Description],MATCH(C225&amp;"",tbl_Finance[Job Number],0)),""))</f>
        <v/>
      </c>
      <c r="Q225" s="24" t="n"/>
      <c r="R225" s="24" t="n"/>
      <c r="S225" s="22" t="n"/>
      <c r="T225" s="24" t="n"/>
      <c r="U225" s="25">
        <f>IF(T225="","",IF(AND(LEFT(T225,4)&lt;&gt;"http",set_RMSBase=""),"",HYPERLINK(IF(LEFT(T225,4)="http",T225,set_RMSBase&amp;T225),"Open opportunity")))</f>
        <v/>
      </c>
      <c r="V225" s="24" t="n"/>
      <c r="W225" s="25">
        <f>IF(V225="","",HYPERLINK(IF(LEFT(V225,4)="http",V225,set_QwilrBase&amp;V225),"Open quote"))</f>
        <v/>
      </c>
      <c r="X225" s="25">
        <f>IF(C225="","",C225)</f>
        <v/>
      </c>
      <c r="Y225" s="24" t="n"/>
      <c r="Z225" s="26" t="n"/>
      <c r="AA225" s="27">
        <f>IF(C225="","",H225+N(Z225))</f>
        <v/>
      </c>
      <c r="AB225" s="29">
        <f>IFERROR(Z225/AA225,"")</f>
        <v/>
      </c>
      <c r="AC225" s="26" t="n"/>
      <c r="AD225" s="26" t="n"/>
      <c r="AE225" s="26" t="n"/>
      <c r="AF225" s="26" t="n"/>
      <c r="AG225" s="27">
        <f>IF(C225="","",SUMIFS(tbl_Finance[Ex GST],tbl_Finance[Job Number],C225&amp;"",tbl_Finance[Cost Centre],"VIDEO"))</f>
        <v/>
      </c>
      <c r="AH225" s="29">
        <f>IFERROR(AG225/H225,"")</f>
        <v/>
      </c>
      <c r="AI225" s="27">
        <f>IF(C225="","",N(AC225)+N(AD225)+N(AE225)+N(AF225))</f>
        <v/>
      </c>
      <c r="AJ225" s="27">
        <f>IF(C225="","",H225+L225-AI225)</f>
        <v/>
      </c>
      <c r="AK225" s="29">
        <f>IFERROR(AJ225/(H225+L225),"")</f>
        <v/>
      </c>
      <c r="AL225" s="71" t="n"/>
      <c r="AM225" s="71" t="n"/>
      <c r="AN225" s="71" t="n"/>
      <c r="AO225" s="71" t="n"/>
      <c r="AP225" s="71" t="n"/>
      <c r="AQ225" s="24" t="n"/>
    </row>
    <row r="226" ht="15" customHeight="1">
      <c r="A226" s="70">
        <f>IF(C226="","",IFERROR(IF(SUMPRODUCT(MAX((tbl_Finance[Job Number]&amp;""=C226&amp;"")*(tbl_Finance[Xero Invoice No]&lt;&gt;"")*tbl_Finance[Date]))=0,"",SUMPRODUCT(MAX((tbl_Finance[Job Number]&amp;""=C226&amp;"")*(tbl_Finance[Xero Invoice No]&lt;&gt;"")*tbl_Finance[Date]))),""))</f>
        <v/>
      </c>
      <c r="B226" s="25">
        <f>IF(C226="","",IF(COUNTIFS(tbl_Finance[Job Number],C226&amp;"",tbl_Finance[Xero Invoice No],"&lt;&gt;")=0,"",IFERROR(IF(COUNTIFS(tbl_Finance[Job Number],C226&amp;"",tbl_Finance[Xero Invoice No],LOOKUP(2,1/((tbl_Finance[Job Number]&amp;""=C226&amp;"")*(tbl_Finance[Xero Invoice No]&lt;&gt;"")),tbl_Finance[Xero Invoice No]))=COUNTIFS(tbl_Finance[Job Number],C226&amp;"",tbl_Finance[Xero Invoice No],"&lt;&gt;"),LOOKUP(2,1/((tbl_Finance[Job Number]&amp;""=C226&amp;"")*(tbl_Finance[Xero Invoice No]&lt;&gt;"")),tbl_Finance[Xero Invoice No]),LOOKUP(2,1/((tbl_Finance[Job Number]&amp;""=C226&amp;"")*(tbl_Finance[Xero Invoice No]&lt;&gt;"")),tbl_Finance[Xero Invoice No])&amp;" +more"),"")))</f>
        <v/>
      </c>
      <c r="C226" s="24" t="n"/>
      <c r="D226" s="25">
        <f>IF(C226="","",IF(COUNTIF(lst_Jobs,C226&amp;"")&gt;0,"OK","CHECK"))</f>
        <v/>
      </c>
      <c r="E226" s="25">
        <f>IF(C226="","",IFERROR(INDEX(lst_JobName,MATCH(C226&amp;"",lst_Jobs,0)),""))</f>
        <v/>
      </c>
      <c r="F226" s="25">
        <f>IF(C226="","",IFERROR(INDEX(tbl_Finance[Client],IFERROR(MATCH(C226&amp;"",tbl_Finance[Job Number],0),MATCH(IFERROR(C226+0,C226),tbl_Finance[Job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6" t="n"/>
      <c r="L226" s="27">
        <f>IF(C226="","",IF(K226="",0,MAX(0,K226-H226)))</f>
        <v/>
      </c>
      <c r="M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N226" s="27">
        <f>IF(C226="","",SUMIFS(tbl_Finance[Inc GST],tbl_Finance[Job Number],C226&amp;""))</f>
        <v/>
      </c>
      <c r="O226" s="24" t="n"/>
      <c r="P226" s="25">
        <f>IF(C226="","",IFERROR(INDEX(tbl_Finance[Description],MATCH(C226&amp;"",tbl_Finance[Job Number],0)),""))</f>
        <v/>
      </c>
      <c r="Q226" s="24" t="n"/>
      <c r="R226" s="24" t="n"/>
      <c r="S226" s="22" t="n"/>
      <c r="T226" s="24" t="n"/>
      <c r="U226" s="25">
        <f>IF(T226="","",IF(AND(LEFT(T226,4)&lt;&gt;"http",set_RMSBase=""),"",HYPERLINK(IF(LEFT(T226,4)="http",T226,set_RMSBase&amp;T226),"Open opportunity")))</f>
        <v/>
      </c>
      <c r="V226" s="24" t="n"/>
      <c r="W226" s="25">
        <f>IF(V226="","",HYPERLINK(IF(LEFT(V226,4)="http",V226,set_QwilrBase&amp;V226),"Open quote"))</f>
        <v/>
      </c>
      <c r="X226" s="25">
        <f>IF(C226="","",C226)</f>
        <v/>
      </c>
      <c r="Y226" s="24" t="n"/>
      <c r="Z226" s="26" t="n"/>
      <c r="AA226" s="27">
        <f>IF(C226="","",H226+N(Z226))</f>
        <v/>
      </c>
      <c r="AB226" s="29">
        <f>IFERROR(Z226/AA226,"")</f>
        <v/>
      </c>
      <c r="AC226" s="26" t="n"/>
      <c r="AD226" s="26" t="n"/>
      <c r="AE226" s="26" t="n"/>
      <c r="AF226" s="26" t="n"/>
      <c r="AG226" s="27">
        <f>IF(C226="","",SUMIFS(tbl_Finance[Ex GST],tbl_Finance[Job Number],C226&amp;"",tbl_Finance[Cost Centre],"VIDEO"))</f>
        <v/>
      </c>
      <c r="AH226" s="29">
        <f>IFERROR(AG226/H226,"")</f>
        <v/>
      </c>
      <c r="AI226" s="27">
        <f>IF(C226="","",N(AC226)+N(AD226)+N(AE226)+N(AF226))</f>
        <v/>
      </c>
      <c r="AJ226" s="27">
        <f>IF(C226="","",H226+L226-AI226)</f>
        <v/>
      </c>
      <c r="AK226" s="29">
        <f>IFERROR(AJ226/(H226+L226),"")</f>
        <v/>
      </c>
      <c r="AL226" s="71" t="n"/>
      <c r="AM226" s="71" t="n"/>
      <c r="AN226" s="71" t="n"/>
      <c r="AO226" s="71" t="n"/>
      <c r="AP226" s="71" t="n"/>
      <c r="AQ226" s="24" t="n"/>
    </row>
    <row r="227" ht="15" customHeight="1">
      <c r="A227" s="70">
        <f>IF(C227="","",IFERROR(IF(SUMPRODUCT(MAX((tbl_Finance[Job Number]&amp;""=C227&amp;"")*(tbl_Finance[Xero Invoice No]&lt;&gt;"")*tbl_Finance[Date]))=0,"",SUMPRODUCT(MAX((tbl_Finance[Job Number]&amp;""=C227&amp;"")*(tbl_Finance[Xero Invoice No]&lt;&gt;"")*tbl_Finance[Date]))),""))</f>
        <v/>
      </c>
      <c r="B227" s="25">
        <f>IF(C227="","",IF(COUNTIFS(tbl_Finance[Job Number],C227&amp;"",tbl_Finance[Xero Invoice No],"&lt;&gt;")=0,"",IFERROR(IF(COUNTIFS(tbl_Finance[Job Number],C227&amp;"",tbl_Finance[Xero Invoice No],LOOKUP(2,1/((tbl_Finance[Job Number]&amp;""=C227&amp;"")*(tbl_Finance[Xero Invoice No]&lt;&gt;"")),tbl_Finance[Xero Invoice No]))=COUNTIFS(tbl_Finance[Job Number],C227&amp;"",tbl_Finance[Xero Invoice No],"&lt;&gt;"),LOOKUP(2,1/((tbl_Finance[Job Number]&amp;""=C227&amp;"")*(tbl_Finance[Xero Invoice No]&lt;&gt;"")),tbl_Finance[Xero Invoice No]),LOOKUP(2,1/((tbl_Finance[Job Number]&amp;""=C227&amp;"")*(tbl_Finance[Xero Invoice No]&lt;&gt;"")),tbl_Finance[Xero Invoice No])&amp;" +more"),"")))</f>
        <v/>
      </c>
      <c r="C227" s="24" t="n"/>
      <c r="D227" s="25">
        <f>IF(C227="","",IF(COUNTIF(lst_Jobs,C227&amp;"")&gt;0,"OK","CHECK"))</f>
        <v/>
      </c>
      <c r="E227" s="25">
        <f>IF(C227="","",IFERROR(INDEX(lst_JobName,MATCH(C227&amp;"",lst_Jobs,0)),""))</f>
        <v/>
      </c>
      <c r="F227" s="25">
        <f>IF(C227="","",IFERROR(INDEX(tbl_Finance[Client],IFERROR(MATCH(C227&amp;"",tbl_Finance[Job Number],0),MATCH(IFERROR(C227+0,C227),tbl_Finance[Job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6" t="n"/>
      <c r="L227" s="27">
        <f>IF(C227="","",IF(K227="",0,MAX(0,K227-H227)))</f>
        <v/>
      </c>
      <c r="M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N227" s="27">
        <f>IF(C227="","",SUMIFS(tbl_Finance[Inc GST],tbl_Finance[Job Number],C227&amp;""))</f>
        <v/>
      </c>
      <c r="O227" s="24" t="n"/>
      <c r="P227" s="25">
        <f>IF(C227="","",IFERROR(INDEX(tbl_Finance[Description],MATCH(C227&amp;"",tbl_Finance[Job Number],0)),""))</f>
        <v/>
      </c>
      <c r="Q227" s="24" t="n"/>
      <c r="R227" s="24" t="n"/>
      <c r="S227" s="22" t="n"/>
      <c r="T227" s="24" t="n"/>
      <c r="U227" s="25">
        <f>IF(T227="","",IF(AND(LEFT(T227,4)&lt;&gt;"http",set_RMSBase=""),"",HYPERLINK(IF(LEFT(T227,4)="http",T227,set_RMSBase&amp;T227),"Open opportunity")))</f>
        <v/>
      </c>
      <c r="V227" s="24" t="n"/>
      <c r="W227" s="25">
        <f>IF(V227="","",HYPERLINK(IF(LEFT(V227,4)="http",V227,set_QwilrBase&amp;V227),"Open quote"))</f>
        <v/>
      </c>
      <c r="X227" s="25">
        <f>IF(C227="","",C227)</f>
        <v/>
      </c>
      <c r="Y227" s="24" t="n"/>
      <c r="Z227" s="26" t="n"/>
      <c r="AA227" s="27">
        <f>IF(C227="","",H227+N(Z227))</f>
        <v/>
      </c>
      <c r="AB227" s="29">
        <f>IFERROR(Z227/AA227,"")</f>
        <v/>
      </c>
      <c r="AC227" s="26" t="n"/>
      <c r="AD227" s="26" t="n"/>
      <c r="AE227" s="26" t="n"/>
      <c r="AF227" s="26" t="n"/>
      <c r="AG227" s="27">
        <f>IF(C227="","",SUMIFS(tbl_Finance[Ex GST],tbl_Finance[Job Number],C227&amp;"",tbl_Finance[Cost Centre],"VIDEO"))</f>
        <v/>
      </c>
      <c r="AH227" s="29">
        <f>IFERROR(AG227/H227,"")</f>
        <v/>
      </c>
      <c r="AI227" s="27">
        <f>IF(C227="","",N(AC227)+N(AD227)+N(AE227)+N(AF227))</f>
        <v/>
      </c>
      <c r="AJ227" s="27">
        <f>IF(C227="","",H227+L227-AI227)</f>
        <v/>
      </c>
      <c r="AK227" s="29">
        <f>IFERROR(AJ227/(H227+L227),"")</f>
        <v/>
      </c>
      <c r="AL227" s="71" t="n"/>
      <c r="AM227" s="71" t="n"/>
      <c r="AN227" s="71" t="n"/>
      <c r="AO227" s="71" t="n"/>
      <c r="AP227" s="71" t="n"/>
      <c r="AQ227" s="24" t="n"/>
    </row>
    <row r="228" ht="15" customHeight="1">
      <c r="A228" s="70">
        <f>IF(C228="","",IFERROR(IF(SUMPRODUCT(MAX((tbl_Finance[Job Number]&amp;""=C228&amp;"")*(tbl_Finance[Xero Invoice No]&lt;&gt;"")*tbl_Finance[Date]))=0,"",SUMPRODUCT(MAX((tbl_Finance[Job Number]&amp;""=C228&amp;"")*(tbl_Finance[Xero Invoice No]&lt;&gt;"")*tbl_Finance[Date]))),""))</f>
        <v/>
      </c>
      <c r="B228" s="25">
        <f>IF(C228="","",IF(COUNTIFS(tbl_Finance[Job Number],C228&amp;"",tbl_Finance[Xero Invoice No],"&lt;&gt;")=0,"",IFERROR(IF(COUNTIFS(tbl_Finance[Job Number],C228&amp;"",tbl_Finance[Xero Invoice No],LOOKUP(2,1/((tbl_Finance[Job Number]&amp;""=C228&amp;"")*(tbl_Finance[Xero Invoice No]&lt;&gt;"")),tbl_Finance[Xero Invoice No]))=COUNTIFS(tbl_Finance[Job Number],C228&amp;"",tbl_Finance[Xero Invoice No],"&lt;&gt;"),LOOKUP(2,1/((tbl_Finance[Job Number]&amp;""=C228&amp;"")*(tbl_Finance[Xero Invoice No]&lt;&gt;"")),tbl_Finance[Xero Invoice No]),LOOKUP(2,1/((tbl_Finance[Job Number]&amp;""=C228&amp;"")*(tbl_Finance[Xero Invoice No]&lt;&gt;"")),tbl_Finance[Xero Invoice No])&amp;" +more"),"")))</f>
        <v/>
      </c>
      <c r="C228" s="24" t="n"/>
      <c r="D228" s="25">
        <f>IF(C228="","",IF(COUNTIF(lst_Jobs,C228&amp;"")&gt;0,"OK","CHECK"))</f>
        <v/>
      </c>
      <c r="E228" s="25">
        <f>IF(C228="","",IFERROR(INDEX(lst_JobName,MATCH(C228&amp;"",lst_Jobs,0)),""))</f>
        <v/>
      </c>
      <c r="F228" s="25">
        <f>IF(C228="","",IFERROR(INDEX(tbl_Finance[Client],IFERROR(MATCH(C228&amp;"",tbl_Finance[Job Number],0),MATCH(IFERROR(C228+0,C228),tbl_Finance[Job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6" t="n"/>
      <c r="L228" s="27">
        <f>IF(C228="","",IF(K228="",0,MAX(0,K228-H228)))</f>
        <v/>
      </c>
      <c r="M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N228" s="27">
        <f>IF(C228="","",SUMIFS(tbl_Finance[Inc GST],tbl_Finance[Job Number],C228&amp;""))</f>
        <v/>
      </c>
      <c r="O228" s="24" t="n"/>
      <c r="P228" s="25">
        <f>IF(C228="","",IFERROR(INDEX(tbl_Finance[Description],MATCH(C228&amp;"",tbl_Finance[Job Number],0)),""))</f>
        <v/>
      </c>
      <c r="Q228" s="24" t="n"/>
      <c r="R228" s="24" t="n"/>
      <c r="S228" s="22" t="n"/>
      <c r="T228" s="24" t="n"/>
      <c r="U228" s="25">
        <f>IF(T228="","",IF(AND(LEFT(T228,4)&lt;&gt;"http",set_RMSBase=""),"",HYPERLINK(IF(LEFT(T228,4)="http",T228,set_RMSBase&amp;T228),"Open opportunity")))</f>
        <v/>
      </c>
      <c r="V228" s="24" t="n"/>
      <c r="W228" s="25">
        <f>IF(V228="","",HYPERLINK(IF(LEFT(V228,4)="http",V228,set_QwilrBase&amp;V228),"Open quote"))</f>
        <v/>
      </c>
      <c r="X228" s="25">
        <f>IF(C228="","",C228)</f>
        <v/>
      </c>
      <c r="Y228" s="24" t="n"/>
      <c r="Z228" s="26" t="n"/>
      <c r="AA228" s="27">
        <f>IF(C228="","",H228+N(Z228))</f>
        <v/>
      </c>
      <c r="AB228" s="29">
        <f>IFERROR(Z228/AA228,"")</f>
        <v/>
      </c>
      <c r="AC228" s="26" t="n"/>
      <c r="AD228" s="26" t="n"/>
      <c r="AE228" s="26" t="n"/>
      <c r="AF228" s="26" t="n"/>
      <c r="AG228" s="27">
        <f>IF(C228="","",SUMIFS(tbl_Finance[Ex GST],tbl_Finance[Job Number],C228&amp;"",tbl_Finance[Cost Centre],"VIDEO"))</f>
        <v/>
      </c>
      <c r="AH228" s="29">
        <f>IFERROR(AG228/H228,"")</f>
        <v/>
      </c>
      <c r="AI228" s="27">
        <f>IF(C228="","",N(AC228)+N(AD228)+N(AE228)+N(AF228))</f>
        <v/>
      </c>
      <c r="AJ228" s="27">
        <f>IF(C228="","",H228+L228-AI228)</f>
        <v/>
      </c>
      <c r="AK228" s="29">
        <f>IFERROR(AJ228/(H228+L228),"")</f>
        <v/>
      </c>
      <c r="AL228" s="71" t="n"/>
      <c r="AM228" s="71" t="n"/>
      <c r="AN228" s="71" t="n"/>
      <c r="AO228" s="71" t="n"/>
      <c r="AP228" s="71" t="n"/>
      <c r="AQ228" s="24" t="n"/>
    </row>
    <row r="229" ht="15" customHeight="1">
      <c r="A229" s="70">
        <f>IF(C229="","",IFERROR(IF(SUMPRODUCT(MAX((tbl_Finance[Job Number]&amp;""=C229&amp;"")*(tbl_Finance[Xero Invoice No]&lt;&gt;"")*tbl_Finance[Date]))=0,"",SUMPRODUCT(MAX((tbl_Finance[Job Number]&amp;""=C229&amp;"")*(tbl_Finance[Xero Invoice No]&lt;&gt;"")*tbl_Finance[Date]))),""))</f>
        <v/>
      </c>
      <c r="B229" s="25">
        <f>IF(C229="","",IF(COUNTIFS(tbl_Finance[Job Number],C229&amp;"",tbl_Finance[Xero Invoice No],"&lt;&gt;")=0,"",IFERROR(IF(COUNTIFS(tbl_Finance[Job Number],C229&amp;"",tbl_Finance[Xero Invoice No],LOOKUP(2,1/((tbl_Finance[Job Number]&amp;""=C229&amp;"")*(tbl_Finance[Xero Invoice No]&lt;&gt;"")),tbl_Finance[Xero Invoice No]))=COUNTIFS(tbl_Finance[Job Number],C229&amp;"",tbl_Finance[Xero Invoice No],"&lt;&gt;"),LOOKUP(2,1/((tbl_Finance[Job Number]&amp;""=C229&amp;"")*(tbl_Finance[Xero Invoice No]&lt;&gt;"")),tbl_Finance[Xero Invoice No]),LOOKUP(2,1/((tbl_Finance[Job Number]&amp;""=C229&amp;"")*(tbl_Finance[Xero Invoice No]&lt;&gt;"")),tbl_Finance[Xero Invoice No])&amp;" +more"),"")))</f>
        <v/>
      </c>
      <c r="C229" s="24" t="n"/>
      <c r="D229" s="25">
        <f>IF(C229="","",IF(COUNTIF(lst_Jobs,C229&amp;"")&gt;0,"OK","CHECK"))</f>
        <v/>
      </c>
      <c r="E229" s="25">
        <f>IF(C229="","",IFERROR(INDEX(lst_JobName,MATCH(C229&amp;"",lst_Jobs,0)),""))</f>
        <v/>
      </c>
      <c r="F229" s="25">
        <f>IF(C229="","",IFERROR(INDEX(tbl_Finance[Client],IFERROR(MATCH(C229&amp;"",tbl_Finance[Job Number],0),MATCH(IFERROR(C229+0,C229),tbl_Finance[Job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6" t="n"/>
      <c r="L229" s="27">
        <f>IF(C229="","",IF(K229="",0,MAX(0,K229-H229)))</f>
        <v/>
      </c>
      <c r="M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N229" s="27">
        <f>IF(C229="","",SUMIFS(tbl_Finance[Inc GST],tbl_Finance[Job Number],C229&amp;""))</f>
        <v/>
      </c>
      <c r="O229" s="24" t="n"/>
      <c r="P229" s="25">
        <f>IF(C229="","",IFERROR(INDEX(tbl_Finance[Description],MATCH(C229&amp;"",tbl_Finance[Job Number],0)),""))</f>
        <v/>
      </c>
      <c r="Q229" s="24" t="n"/>
      <c r="R229" s="24" t="n"/>
      <c r="S229" s="22" t="n"/>
      <c r="T229" s="24" t="n"/>
      <c r="U229" s="25">
        <f>IF(T229="","",IF(AND(LEFT(T229,4)&lt;&gt;"http",set_RMSBase=""),"",HYPERLINK(IF(LEFT(T229,4)="http",T229,set_RMSBase&amp;T229),"Open opportunity")))</f>
        <v/>
      </c>
      <c r="V229" s="24" t="n"/>
      <c r="W229" s="25">
        <f>IF(V229="","",HYPERLINK(IF(LEFT(V229,4)="http",V229,set_QwilrBase&amp;V229),"Open quote"))</f>
        <v/>
      </c>
      <c r="X229" s="25">
        <f>IF(C229="","",C229)</f>
        <v/>
      </c>
      <c r="Y229" s="24" t="n"/>
      <c r="Z229" s="26" t="n"/>
      <c r="AA229" s="27">
        <f>IF(C229="","",H229+N(Z229))</f>
        <v/>
      </c>
      <c r="AB229" s="29">
        <f>IFERROR(Z229/AA229,"")</f>
        <v/>
      </c>
      <c r="AC229" s="26" t="n"/>
      <c r="AD229" s="26" t="n"/>
      <c r="AE229" s="26" t="n"/>
      <c r="AF229" s="26" t="n"/>
      <c r="AG229" s="27">
        <f>IF(C229="","",SUMIFS(tbl_Finance[Ex GST],tbl_Finance[Job Number],C229&amp;"",tbl_Finance[Cost Centre],"VIDEO"))</f>
        <v/>
      </c>
      <c r="AH229" s="29">
        <f>IFERROR(AG229/H229,"")</f>
        <v/>
      </c>
      <c r="AI229" s="27">
        <f>IF(C229="","",N(AC229)+N(AD229)+N(AE229)+N(AF229))</f>
        <v/>
      </c>
      <c r="AJ229" s="27">
        <f>IF(C229="","",H229+L229-AI229)</f>
        <v/>
      </c>
      <c r="AK229" s="29">
        <f>IFERROR(AJ229/(H229+L229),"")</f>
        <v/>
      </c>
      <c r="AL229" s="71" t="n"/>
      <c r="AM229" s="71" t="n"/>
      <c r="AN229" s="71" t="n"/>
      <c r="AO229" s="71" t="n"/>
      <c r="AP229" s="71" t="n"/>
      <c r="AQ229" s="24" t="n"/>
    </row>
    <row r="230" ht="15" customHeight="1">
      <c r="A230" s="70">
        <f>IF(C230="","",IFERROR(IF(SUMPRODUCT(MAX((tbl_Finance[Job Number]&amp;""=C230&amp;"")*(tbl_Finance[Xero Invoice No]&lt;&gt;"")*tbl_Finance[Date]))=0,"",SUMPRODUCT(MAX((tbl_Finance[Job Number]&amp;""=C230&amp;"")*(tbl_Finance[Xero Invoice No]&lt;&gt;"")*tbl_Finance[Date]))),""))</f>
        <v/>
      </c>
      <c r="B230" s="25">
        <f>IF(C230="","",IF(COUNTIFS(tbl_Finance[Job Number],C230&amp;"",tbl_Finance[Xero Invoice No],"&lt;&gt;")=0,"",IFERROR(IF(COUNTIFS(tbl_Finance[Job Number],C230&amp;"",tbl_Finance[Xero Invoice No],LOOKUP(2,1/((tbl_Finance[Job Number]&amp;""=C230&amp;"")*(tbl_Finance[Xero Invoice No]&lt;&gt;"")),tbl_Finance[Xero Invoice No]))=COUNTIFS(tbl_Finance[Job Number],C230&amp;"",tbl_Finance[Xero Invoice No],"&lt;&gt;"),LOOKUP(2,1/((tbl_Finance[Job Number]&amp;""=C230&amp;"")*(tbl_Finance[Xero Invoice No]&lt;&gt;"")),tbl_Finance[Xero Invoice No]),LOOKUP(2,1/((tbl_Finance[Job Number]&amp;""=C230&amp;"")*(tbl_Finance[Xero Invoice No]&lt;&gt;"")),tbl_Finance[Xero Invoice No])&amp;" +more"),"")))</f>
        <v/>
      </c>
      <c r="C230" s="24" t="n"/>
      <c r="D230" s="25">
        <f>IF(C230="","",IF(COUNTIF(lst_Jobs,C230&amp;"")&gt;0,"OK","CHECK"))</f>
        <v/>
      </c>
      <c r="E230" s="25">
        <f>IF(C230="","",IFERROR(INDEX(lst_JobName,MATCH(C230&amp;"",lst_Jobs,0)),""))</f>
        <v/>
      </c>
      <c r="F230" s="25">
        <f>IF(C230="","",IFERROR(INDEX(tbl_Finance[Client],IFERROR(MATCH(C230&amp;"",tbl_Finance[Job Number],0),MATCH(IFERROR(C230+0,C230),tbl_Finance[Job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6" t="n"/>
      <c r="L230" s="27">
        <f>IF(C230="","",IF(K230="",0,MAX(0,K230-H230)))</f>
        <v/>
      </c>
      <c r="M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N230" s="27">
        <f>IF(C230="","",SUMIFS(tbl_Finance[Inc GST],tbl_Finance[Job Number],C230&amp;""))</f>
        <v/>
      </c>
      <c r="O230" s="24" t="n"/>
      <c r="P230" s="25">
        <f>IF(C230="","",IFERROR(INDEX(tbl_Finance[Description],MATCH(C230&amp;"",tbl_Finance[Job Number],0)),""))</f>
        <v/>
      </c>
      <c r="Q230" s="24" t="n"/>
      <c r="R230" s="24" t="n"/>
      <c r="S230" s="22" t="n"/>
      <c r="T230" s="24" t="n"/>
      <c r="U230" s="25">
        <f>IF(T230="","",IF(AND(LEFT(T230,4)&lt;&gt;"http",set_RMSBase=""),"",HYPERLINK(IF(LEFT(T230,4)="http",T230,set_RMSBase&amp;T230),"Open opportunity")))</f>
        <v/>
      </c>
      <c r="V230" s="24" t="n"/>
      <c r="W230" s="25">
        <f>IF(V230="","",HYPERLINK(IF(LEFT(V230,4)="http",V230,set_QwilrBase&amp;V230),"Open quote"))</f>
        <v/>
      </c>
      <c r="X230" s="25">
        <f>IF(C230="","",C230)</f>
        <v/>
      </c>
      <c r="Y230" s="24" t="n"/>
      <c r="Z230" s="26" t="n"/>
      <c r="AA230" s="27">
        <f>IF(C230="","",H230+N(Z230))</f>
        <v/>
      </c>
      <c r="AB230" s="29">
        <f>IFERROR(Z230/AA230,"")</f>
        <v/>
      </c>
      <c r="AC230" s="26" t="n"/>
      <c r="AD230" s="26" t="n"/>
      <c r="AE230" s="26" t="n"/>
      <c r="AF230" s="26" t="n"/>
      <c r="AG230" s="27">
        <f>IF(C230="","",SUMIFS(tbl_Finance[Ex GST],tbl_Finance[Job Number],C230&amp;"",tbl_Finance[Cost Centre],"VIDEO"))</f>
        <v/>
      </c>
      <c r="AH230" s="29">
        <f>IFERROR(AG230/H230,"")</f>
        <v/>
      </c>
      <c r="AI230" s="27">
        <f>IF(C230="","",N(AC230)+N(AD230)+N(AE230)+N(AF230))</f>
        <v/>
      </c>
      <c r="AJ230" s="27">
        <f>IF(C230="","",H230+L230-AI230)</f>
        <v/>
      </c>
      <c r="AK230" s="29">
        <f>IFERROR(AJ230/(H230+L230),"")</f>
        <v/>
      </c>
      <c r="AL230" s="71" t="n"/>
      <c r="AM230" s="71" t="n"/>
      <c r="AN230" s="71" t="n"/>
      <c r="AO230" s="71" t="n"/>
      <c r="AP230" s="71" t="n"/>
      <c r="AQ230" s="24" t="n"/>
    </row>
    <row r="231" ht="15" customHeight="1">
      <c r="A231" s="70">
        <f>IF(C231="","",IFERROR(IF(SUMPRODUCT(MAX((tbl_Finance[Job Number]&amp;""=C231&amp;"")*(tbl_Finance[Xero Invoice No]&lt;&gt;"")*tbl_Finance[Date]))=0,"",SUMPRODUCT(MAX((tbl_Finance[Job Number]&amp;""=C231&amp;"")*(tbl_Finance[Xero Invoice No]&lt;&gt;"")*tbl_Finance[Date]))),""))</f>
        <v/>
      </c>
      <c r="B231" s="25">
        <f>IF(C231="","",IF(COUNTIFS(tbl_Finance[Job Number],C231&amp;"",tbl_Finance[Xero Invoice No],"&lt;&gt;")=0,"",IFERROR(IF(COUNTIFS(tbl_Finance[Job Number],C231&amp;"",tbl_Finance[Xero Invoice No],LOOKUP(2,1/((tbl_Finance[Job Number]&amp;""=C231&amp;"")*(tbl_Finance[Xero Invoice No]&lt;&gt;"")),tbl_Finance[Xero Invoice No]))=COUNTIFS(tbl_Finance[Job Number],C231&amp;"",tbl_Finance[Xero Invoice No],"&lt;&gt;"),LOOKUP(2,1/((tbl_Finance[Job Number]&amp;""=C231&amp;"")*(tbl_Finance[Xero Invoice No]&lt;&gt;"")),tbl_Finance[Xero Invoice No]),LOOKUP(2,1/((tbl_Finance[Job Number]&amp;""=C231&amp;"")*(tbl_Finance[Xero Invoice No]&lt;&gt;"")),tbl_Finance[Xero Invoice No])&amp;" +more"),"")))</f>
        <v/>
      </c>
      <c r="C231" s="24" t="n"/>
      <c r="D231" s="25">
        <f>IF(C231="","",IF(COUNTIF(lst_Jobs,C231&amp;"")&gt;0,"OK","CHECK"))</f>
        <v/>
      </c>
      <c r="E231" s="25">
        <f>IF(C231="","",IFERROR(INDEX(lst_JobName,MATCH(C231&amp;"",lst_Jobs,0)),""))</f>
        <v/>
      </c>
      <c r="F231" s="25">
        <f>IF(C231="","",IFERROR(INDEX(tbl_Finance[Client],IFERROR(MATCH(C231&amp;"",tbl_Finance[Job Number],0),MATCH(IFERROR(C231+0,C231),tbl_Finance[Job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6" t="n"/>
      <c r="L231" s="27">
        <f>IF(C231="","",IF(K231="",0,MAX(0,K231-H231)))</f>
        <v/>
      </c>
      <c r="M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N231" s="27">
        <f>IF(C231="","",SUMIFS(tbl_Finance[Inc GST],tbl_Finance[Job Number],C231&amp;""))</f>
        <v/>
      </c>
      <c r="O231" s="24" t="n"/>
      <c r="P231" s="25">
        <f>IF(C231="","",IFERROR(INDEX(tbl_Finance[Description],MATCH(C231&amp;"",tbl_Finance[Job Number],0)),""))</f>
        <v/>
      </c>
      <c r="Q231" s="24" t="n"/>
      <c r="R231" s="24" t="n"/>
      <c r="S231" s="22" t="n"/>
      <c r="T231" s="24" t="n"/>
      <c r="U231" s="25">
        <f>IF(T231="","",IF(AND(LEFT(T231,4)&lt;&gt;"http",set_RMSBase=""),"",HYPERLINK(IF(LEFT(T231,4)="http",T231,set_RMSBase&amp;T231),"Open opportunity")))</f>
        <v/>
      </c>
      <c r="V231" s="24" t="n"/>
      <c r="W231" s="25">
        <f>IF(V231="","",HYPERLINK(IF(LEFT(V231,4)="http",V231,set_QwilrBase&amp;V231),"Open quote"))</f>
        <v/>
      </c>
      <c r="X231" s="25">
        <f>IF(C231="","",C231)</f>
        <v/>
      </c>
      <c r="Y231" s="24" t="n"/>
      <c r="Z231" s="26" t="n"/>
      <c r="AA231" s="27">
        <f>IF(C231="","",H231+N(Z231))</f>
        <v/>
      </c>
      <c r="AB231" s="29">
        <f>IFERROR(Z231/AA231,"")</f>
        <v/>
      </c>
      <c r="AC231" s="26" t="n"/>
      <c r="AD231" s="26" t="n"/>
      <c r="AE231" s="26" t="n"/>
      <c r="AF231" s="26" t="n"/>
      <c r="AG231" s="27">
        <f>IF(C231="","",SUMIFS(tbl_Finance[Ex GST],tbl_Finance[Job Number],C231&amp;"",tbl_Finance[Cost Centre],"VIDEO"))</f>
        <v/>
      </c>
      <c r="AH231" s="29">
        <f>IFERROR(AG231/H231,"")</f>
        <v/>
      </c>
      <c r="AI231" s="27">
        <f>IF(C231="","",N(AC231)+N(AD231)+N(AE231)+N(AF231))</f>
        <v/>
      </c>
      <c r="AJ231" s="27">
        <f>IF(C231="","",H231+L231-AI231)</f>
        <v/>
      </c>
      <c r="AK231" s="29">
        <f>IFERROR(AJ231/(H231+L231),"")</f>
        <v/>
      </c>
      <c r="AL231" s="71" t="n"/>
      <c r="AM231" s="71" t="n"/>
      <c r="AN231" s="71" t="n"/>
      <c r="AO231" s="71" t="n"/>
      <c r="AP231" s="71" t="n"/>
      <c r="AQ231" s="24" t="n"/>
    </row>
    <row r="232" ht="15" customHeight="1">
      <c r="A232" s="70">
        <f>IF(C232="","",IFERROR(IF(SUMPRODUCT(MAX((tbl_Finance[Job Number]&amp;""=C232&amp;"")*(tbl_Finance[Xero Invoice No]&lt;&gt;"")*tbl_Finance[Date]))=0,"",SUMPRODUCT(MAX((tbl_Finance[Job Number]&amp;""=C232&amp;"")*(tbl_Finance[Xero Invoice No]&lt;&gt;"")*tbl_Finance[Date]))),""))</f>
        <v/>
      </c>
      <c r="B232" s="25">
        <f>IF(C232="","",IF(COUNTIFS(tbl_Finance[Job Number],C232&amp;"",tbl_Finance[Xero Invoice No],"&lt;&gt;")=0,"",IFERROR(IF(COUNTIFS(tbl_Finance[Job Number],C232&amp;"",tbl_Finance[Xero Invoice No],LOOKUP(2,1/((tbl_Finance[Job Number]&amp;""=C232&amp;"")*(tbl_Finance[Xero Invoice No]&lt;&gt;"")),tbl_Finance[Xero Invoice No]))=COUNTIFS(tbl_Finance[Job Number],C232&amp;"",tbl_Finance[Xero Invoice No],"&lt;&gt;"),LOOKUP(2,1/((tbl_Finance[Job Number]&amp;""=C232&amp;"")*(tbl_Finance[Xero Invoice No]&lt;&gt;"")),tbl_Finance[Xero Invoice No]),LOOKUP(2,1/((tbl_Finance[Job Number]&amp;""=C232&amp;"")*(tbl_Finance[Xero Invoice No]&lt;&gt;"")),tbl_Finance[Xero Invoice No])&amp;" +more"),"")))</f>
        <v/>
      </c>
      <c r="C232" s="24" t="n"/>
      <c r="D232" s="25">
        <f>IF(C232="","",IF(COUNTIF(lst_Jobs,C232&amp;"")&gt;0,"OK","CHECK"))</f>
        <v/>
      </c>
      <c r="E232" s="25">
        <f>IF(C232="","",IFERROR(INDEX(lst_JobName,MATCH(C232&amp;"",lst_Jobs,0)),""))</f>
        <v/>
      </c>
      <c r="F232" s="25">
        <f>IF(C232="","",IFERROR(INDEX(tbl_Finance[Client],IFERROR(MATCH(C232&amp;"",tbl_Finance[Job Number],0),MATCH(IFERROR(C232+0,C232),tbl_Finance[Job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6" t="n"/>
      <c r="L232" s="27">
        <f>IF(C232="","",IF(K232="",0,MAX(0,K232-H232)))</f>
        <v/>
      </c>
      <c r="M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N232" s="27">
        <f>IF(C232="","",SUMIFS(tbl_Finance[Inc GST],tbl_Finance[Job Number],C232&amp;""))</f>
        <v/>
      </c>
      <c r="O232" s="24" t="n"/>
      <c r="P232" s="25">
        <f>IF(C232="","",IFERROR(INDEX(tbl_Finance[Description],MATCH(C232&amp;"",tbl_Finance[Job Number],0)),""))</f>
        <v/>
      </c>
      <c r="Q232" s="24" t="n"/>
      <c r="R232" s="24" t="n"/>
      <c r="S232" s="22" t="n"/>
      <c r="T232" s="24" t="n"/>
      <c r="U232" s="25">
        <f>IF(T232="","",IF(AND(LEFT(T232,4)&lt;&gt;"http",set_RMSBase=""),"",HYPERLINK(IF(LEFT(T232,4)="http",T232,set_RMSBase&amp;T232),"Open opportunity")))</f>
        <v/>
      </c>
      <c r="V232" s="24" t="n"/>
      <c r="W232" s="25">
        <f>IF(V232="","",HYPERLINK(IF(LEFT(V232,4)="http",V232,set_QwilrBase&amp;V232),"Open quote"))</f>
        <v/>
      </c>
      <c r="X232" s="25">
        <f>IF(C232="","",C232)</f>
        <v/>
      </c>
      <c r="Y232" s="24" t="n"/>
      <c r="Z232" s="26" t="n"/>
      <c r="AA232" s="27">
        <f>IF(C232="","",H232+N(Z232))</f>
        <v/>
      </c>
      <c r="AB232" s="29">
        <f>IFERROR(Z232/AA232,"")</f>
        <v/>
      </c>
      <c r="AC232" s="26" t="n"/>
      <c r="AD232" s="26" t="n"/>
      <c r="AE232" s="26" t="n"/>
      <c r="AF232" s="26" t="n"/>
      <c r="AG232" s="27">
        <f>IF(C232="","",SUMIFS(tbl_Finance[Ex GST],tbl_Finance[Job Number],C232&amp;"",tbl_Finance[Cost Centre],"VIDEO"))</f>
        <v/>
      </c>
      <c r="AH232" s="29">
        <f>IFERROR(AG232/H232,"")</f>
        <v/>
      </c>
      <c r="AI232" s="27">
        <f>IF(C232="","",N(AC232)+N(AD232)+N(AE232)+N(AF232))</f>
        <v/>
      </c>
      <c r="AJ232" s="27">
        <f>IF(C232="","",H232+L232-AI232)</f>
        <v/>
      </c>
      <c r="AK232" s="29">
        <f>IFERROR(AJ232/(H232+L232),"")</f>
        <v/>
      </c>
      <c r="AL232" s="71" t="n"/>
      <c r="AM232" s="71" t="n"/>
      <c r="AN232" s="71" t="n"/>
      <c r="AO232" s="71" t="n"/>
      <c r="AP232" s="71" t="n"/>
      <c r="AQ232" s="24" t="n"/>
    </row>
    <row r="233" ht="15" customHeight="1">
      <c r="A233" s="70">
        <f>IF(C233="","",IFERROR(IF(SUMPRODUCT(MAX((tbl_Finance[Job Number]&amp;""=C233&amp;"")*(tbl_Finance[Xero Invoice No]&lt;&gt;"")*tbl_Finance[Date]))=0,"",SUMPRODUCT(MAX((tbl_Finance[Job Number]&amp;""=C233&amp;"")*(tbl_Finance[Xero Invoice No]&lt;&gt;"")*tbl_Finance[Date]))),""))</f>
        <v/>
      </c>
      <c r="B233" s="25">
        <f>IF(C233="","",IF(COUNTIFS(tbl_Finance[Job Number],C233&amp;"",tbl_Finance[Xero Invoice No],"&lt;&gt;")=0,"",IFERROR(IF(COUNTIFS(tbl_Finance[Job Number],C233&amp;"",tbl_Finance[Xero Invoice No],LOOKUP(2,1/((tbl_Finance[Job Number]&amp;""=C233&amp;"")*(tbl_Finance[Xero Invoice No]&lt;&gt;"")),tbl_Finance[Xero Invoice No]))=COUNTIFS(tbl_Finance[Job Number],C233&amp;"",tbl_Finance[Xero Invoice No],"&lt;&gt;"),LOOKUP(2,1/((tbl_Finance[Job Number]&amp;""=C233&amp;"")*(tbl_Finance[Xero Invoice No]&lt;&gt;"")),tbl_Finance[Xero Invoice No]),LOOKUP(2,1/((tbl_Finance[Job Number]&amp;""=C233&amp;"")*(tbl_Finance[Xero Invoice No]&lt;&gt;"")),tbl_Finance[Xero Invoice No])&amp;" +more"),"")))</f>
        <v/>
      </c>
      <c r="C233" s="24" t="n"/>
      <c r="D233" s="25">
        <f>IF(C233="","",IF(COUNTIF(lst_Jobs,C233&amp;"")&gt;0,"OK","CHECK"))</f>
        <v/>
      </c>
      <c r="E233" s="25">
        <f>IF(C233="","",IFERROR(INDEX(lst_JobName,MATCH(C233&amp;"",lst_Jobs,0)),""))</f>
        <v/>
      </c>
      <c r="F233" s="25">
        <f>IF(C233="","",IFERROR(INDEX(tbl_Finance[Client],IFERROR(MATCH(C233&amp;"",tbl_Finance[Job Number],0),MATCH(IFERROR(C233+0,C233),tbl_Finance[Job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6" t="n"/>
      <c r="L233" s="27">
        <f>IF(C233="","",IF(K233="",0,MAX(0,K233-H233)))</f>
        <v/>
      </c>
      <c r="M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N233" s="27">
        <f>IF(C233="","",SUMIFS(tbl_Finance[Inc GST],tbl_Finance[Job Number],C233&amp;""))</f>
        <v/>
      </c>
      <c r="O233" s="24" t="n"/>
      <c r="P233" s="25">
        <f>IF(C233="","",IFERROR(INDEX(tbl_Finance[Description],MATCH(C233&amp;"",tbl_Finance[Job Number],0)),""))</f>
        <v/>
      </c>
      <c r="Q233" s="24" t="n"/>
      <c r="R233" s="24" t="n"/>
      <c r="S233" s="22" t="n"/>
      <c r="T233" s="24" t="n"/>
      <c r="U233" s="25">
        <f>IF(T233="","",IF(AND(LEFT(T233,4)&lt;&gt;"http",set_RMSBase=""),"",HYPERLINK(IF(LEFT(T233,4)="http",T233,set_RMSBase&amp;T233),"Open opportunity")))</f>
        <v/>
      </c>
      <c r="V233" s="24" t="n"/>
      <c r="W233" s="25">
        <f>IF(V233="","",HYPERLINK(IF(LEFT(V233,4)="http",V233,set_QwilrBase&amp;V233),"Open quote"))</f>
        <v/>
      </c>
      <c r="X233" s="25">
        <f>IF(C233="","",C233)</f>
        <v/>
      </c>
      <c r="Y233" s="24" t="n"/>
      <c r="Z233" s="26" t="n"/>
      <c r="AA233" s="27">
        <f>IF(C233="","",H233+N(Z233))</f>
        <v/>
      </c>
      <c r="AB233" s="29">
        <f>IFERROR(Z233/AA233,"")</f>
        <v/>
      </c>
      <c r="AC233" s="26" t="n"/>
      <c r="AD233" s="26" t="n"/>
      <c r="AE233" s="26" t="n"/>
      <c r="AF233" s="26" t="n"/>
      <c r="AG233" s="27">
        <f>IF(C233="","",SUMIFS(tbl_Finance[Ex GST],tbl_Finance[Job Number],C233&amp;"",tbl_Finance[Cost Centre],"VIDEO"))</f>
        <v/>
      </c>
      <c r="AH233" s="29">
        <f>IFERROR(AG233/H233,"")</f>
        <v/>
      </c>
      <c r="AI233" s="27">
        <f>IF(C233="","",N(AC233)+N(AD233)+N(AE233)+N(AF233))</f>
        <v/>
      </c>
      <c r="AJ233" s="27">
        <f>IF(C233="","",H233+L233-AI233)</f>
        <v/>
      </c>
      <c r="AK233" s="29">
        <f>IFERROR(AJ233/(H233+L233),"")</f>
        <v/>
      </c>
      <c r="AL233" s="71" t="n"/>
      <c r="AM233" s="71" t="n"/>
      <c r="AN233" s="71" t="n"/>
      <c r="AO233" s="71" t="n"/>
      <c r="AP233" s="71" t="n"/>
      <c r="AQ233" s="24" t="n"/>
    </row>
    <row r="234" ht="15" customHeight="1">
      <c r="A234" s="70">
        <f>IF(C234="","",IFERROR(IF(SUMPRODUCT(MAX((tbl_Finance[Job Number]&amp;""=C234&amp;"")*(tbl_Finance[Xero Invoice No]&lt;&gt;"")*tbl_Finance[Date]))=0,"",SUMPRODUCT(MAX((tbl_Finance[Job Number]&amp;""=C234&amp;"")*(tbl_Finance[Xero Invoice No]&lt;&gt;"")*tbl_Finance[Date]))),""))</f>
        <v/>
      </c>
      <c r="B234" s="25">
        <f>IF(C234="","",IF(COUNTIFS(tbl_Finance[Job Number],C234&amp;"",tbl_Finance[Xero Invoice No],"&lt;&gt;")=0,"",IFERROR(IF(COUNTIFS(tbl_Finance[Job Number],C234&amp;"",tbl_Finance[Xero Invoice No],LOOKUP(2,1/((tbl_Finance[Job Number]&amp;""=C234&amp;"")*(tbl_Finance[Xero Invoice No]&lt;&gt;"")),tbl_Finance[Xero Invoice No]))=COUNTIFS(tbl_Finance[Job Number],C234&amp;"",tbl_Finance[Xero Invoice No],"&lt;&gt;"),LOOKUP(2,1/((tbl_Finance[Job Number]&amp;""=C234&amp;"")*(tbl_Finance[Xero Invoice No]&lt;&gt;"")),tbl_Finance[Xero Invoice No]),LOOKUP(2,1/((tbl_Finance[Job Number]&amp;""=C234&amp;"")*(tbl_Finance[Xero Invoice No]&lt;&gt;"")),tbl_Finance[Xero Invoice No])&amp;" +more"),"")))</f>
        <v/>
      </c>
      <c r="C234" s="24" t="n"/>
      <c r="D234" s="25">
        <f>IF(C234="","",IF(COUNTIF(lst_Jobs,C234&amp;"")&gt;0,"OK","CHECK"))</f>
        <v/>
      </c>
      <c r="E234" s="25">
        <f>IF(C234="","",IFERROR(INDEX(lst_JobName,MATCH(C234&amp;"",lst_Jobs,0)),""))</f>
        <v/>
      </c>
      <c r="F234" s="25">
        <f>IF(C234="","",IFERROR(INDEX(tbl_Finance[Client],IFERROR(MATCH(C234&amp;"",tbl_Finance[Job Number],0),MATCH(IFERROR(C234+0,C234),tbl_Finance[Job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6" t="n"/>
      <c r="L234" s="27">
        <f>IF(C234="","",IF(K234="",0,MAX(0,K234-H234)))</f>
        <v/>
      </c>
      <c r="M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N234" s="27">
        <f>IF(C234="","",SUMIFS(tbl_Finance[Inc GST],tbl_Finance[Job Number],C234&amp;""))</f>
        <v/>
      </c>
      <c r="O234" s="24" t="n"/>
      <c r="P234" s="25">
        <f>IF(C234="","",IFERROR(INDEX(tbl_Finance[Description],MATCH(C234&amp;"",tbl_Finance[Job Number],0)),""))</f>
        <v/>
      </c>
      <c r="Q234" s="24" t="n"/>
      <c r="R234" s="24" t="n"/>
      <c r="S234" s="22" t="n"/>
      <c r="T234" s="24" t="n"/>
      <c r="U234" s="25">
        <f>IF(T234="","",IF(AND(LEFT(T234,4)&lt;&gt;"http",set_RMSBase=""),"",HYPERLINK(IF(LEFT(T234,4)="http",T234,set_RMSBase&amp;T234),"Open opportunity")))</f>
        <v/>
      </c>
      <c r="V234" s="24" t="n"/>
      <c r="W234" s="25">
        <f>IF(V234="","",HYPERLINK(IF(LEFT(V234,4)="http",V234,set_QwilrBase&amp;V234),"Open quote"))</f>
        <v/>
      </c>
      <c r="X234" s="25">
        <f>IF(C234="","",C234)</f>
        <v/>
      </c>
      <c r="Y234" s="24" t="n"/>
      <c r="Z234" s="26" t="n"/>
      <c r="AA234" s="27">
        <f>IF(C234="","",H234+N(Z234))</f>
        <v/>
      </c>
      <c r="AB234" s="29">
        <f>IFERROR(Z234/AA234,"")</f>
        <v/>
      </c>
      <c r="AC234" s="26" t="n"/>
      <c r="AD234" s="26" t="n"/>
      <c r="AE234" s="26" t="n"/>
      <c r="AF234" s="26" t="n"/>
      <c r="AG234" s="27">
        <f>IF(C234="","",SUMIFS(tbl_Finance[Ex GST],tbl_Finance[Job Number],C234&amp;"",tbl_Finance[Cost Centre],"VIDEO"))</f>
        <v/>
      </c>
      <c r="AH234" s="29">
        <f>IFERROR(AG234/H234,"")</f>
        <v/>
      </c>
      <c r="AI234" s="27">
        <f>IF(C234="","",N(AC234)+N(AD234)+N(AE234)+N(AF234))</f>
        <v/>
      </c>
      <c r="AJ234" s="27">
        <f>IF(C234="","",H234+L234-AI234)</f>
        <v/>
      </c>
      <c r="AK234" s="29">
        <f>IFERROR(AJ234/(H234+L234),"")</f>
        <v/>
      </c>
      <c r="AL234" s="71" t="n"/>
      <c r="AM234" s="71" t="n"/>
      <c r="AN234" s="71" t="n"/>
      <c r="AO234" s="71" t="n"/>
      <c r="AP234" s="71" t="n"/>
      <c r="AQ234" s="24" t="n"/>
    </row>
    <row r="235" ht="15" customHeight="1">
      <c r="A235" s="70">
        <f>IF(C235="","",IFERROR(IF(SUMPRODUCT(MAX((tbl_Finance[Job Number]&amp;""=C235&amp;"")*(tbl_Finance[Xero Invoice No]&lt;&gt;"")*tbl_Finance[Date]))=0,"",SUMPRODUCT(MAX((tbl_Finance[Job Number]&amp;""=C235&amp;"")*(tbl_Finance[Xero Invoice No]&lt;&gt;"")*tbl_Finance[Date]))),""))</f>
        <v/>
      </c>
      <c r="B235" s="25">
        <f>IF(C235="","",IF(COUNTIFS(tbl_Finance[Job Number],C235&amp;"",tbl_Finance[Xero Invoice No],"&lt;&gt;")=0,"",IFERROR(IF(COUNTIFS(tbl_Finance[Job Number],C235&amp;"",tbl_Finance[Xero Invoice No],LOOKUP(2,1/((tbl_Finance[Job Number]&amp;""=C235&amp;"")*(tbl_Finance[Xero Invoice No]&lt;&gt;"")),tbl_Finance[Xero Invoice No]))=COUNTIFS(tbl_Finance[Job Number],C235&amp;"",tbl_Finance[Xero Invoice No],"&lt;&gt;"),LOOKUP(2,1/((tbl_Finance[Job Number]&amp;""=C235&amp;"")*(tbl_Finance[Xero Invoice No]&lt;&gt;"")),tbl_Finance[Xero Invoice No]),LOOKUP(2,1/((tbl_Finance[Job Number]&amp;""=C235&amp;"")*(tbl_Finance[Xero Invoice No]&lt;&gt;"")),tbl_Finance[Xero Invoice No])&amp;" +more"),"")))</f>
        <v/>
      </c>
      <c r="C235" s="24" t="n"/>
      <c r="D235" s="25">
        <f>IF(C235="","",IF(COUNTIF(lst_Jobs,C235&amp;"")&gt;0,"OK","CHECK"))</f>
        <v/>
      </c>
      <c r="E235" s="25">
        <f>IF(C235="","",IFERROR(INDEX(lst_JobName,MATCH(C235&amp;"",lst_Jobs,0)),""))</f>
        <v/>
      </c>
      <c r="F235" s="25">
        <f>IF(C235="","",IFERROR(INDEX(tbl_Finance[Client],IFERROR(MATCH(C235&amp;"",tbl_Finance[Job Number],0),MATCH(IFERROR(C235+0,C235),tbl_Finance[Job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6" t="n"/>
      <c r="L235" s="27">
        <f>IF(C235="","",IF(K235="",0,MAX(0,K235-H235)))</f>
        <v/>
      </c>
      <c r="M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N235" s="27">
        <f>IF(C235="","",SUMIFS(tbl_Finance[Inc GST],tbl_Finance[Job Number],C235&amp;""))</f>
        <v/>
      </c>
      <c r="O235" s="24" t="n"/>
      <c r="P235" s="25">
        <f>IF(C235="","",IFERROR(INDEX(tbl_Finance[Description],MATCH(C235&amp;"",tbl_Finance[Job Number],0)),""))</f>
        <v/>
      </c>
      <c r="Q235" s="24" t="n"/>
      <c r="R235" s="24" t="n"/>
      <c r="S235" s="22" t="n"/>
      <c r="T235" s="24" t="n"/>
      <c r="U235" s="25">
        <f>IF(T235="","",IF(AND(LEFT(T235,4)&lt;&gt;"http",set_RMSBase=""),"",HYPERLINK(IF(LEFT(T235,4)="http",T235,set_RMSBase&amp;T235),"Open opportunity")))</f>
        <v/>
      </c>
      <c r="V235" s="24" t="n"/>
      <c r="W235" s="25">
        <f>IF(V235="","",HYPERLINK(IF(LEFT(V235,4)="http",V235,set_QwilrBase&amp;V235),"Open quote"))</f>
        <v/>
      </c>
      <c r="X235" s="25">
        <f>IF(C235="","",C235)</f>
        <v/>
      </c>
      <c r="Y235" s="24" t="n"/>
      <c r="Z235" s="26" t="n"/>
      <c r="AA235" s="27">
        <f>IF(C235="","",H235+N(Z235))</f>
        <v/>
      </c>
      <c r="AB235" s="29">
        <f>IFERROR(Z235/AA235,"")</f>
        <v/>
      </c>
      <c r="AC235" s="26" t="n"/>
      <c r="AD235" s="26" t="n"/>
      <c r="AE235" s="26" t="n"/>
      <c r="AF235" s="26" t="n"/>
      <c r="AG235" s="27">
        <f>IF(C235="","",SUMIFS(tbl_Finance[Ex GST],tbl_Finance[Job Number],C235&amp;"",tbl_Finance[Cost Centre],"VIDEO"))</f>
        <v/>
      </c>
      <c r="AH235" s="29">
        <f>IFERROR(AG235/H235,"")</f>
        <v/>
      </c>
      <c r="AI235" s="27">
        <f>IF(C235="","",N(AC235)+N(AD235)+N(AE235)+N(AF235))</f>
        <v/>
      </c>
      <c r="AJ235" s="27">
        <f>IF(C235="","",H235+L235-AI235)</f>
        <v/>
      </c>
      <c r="AK235" s="29">
        <f>IFERROR(AJ235/(H235+L235),"")</f>
        <v/>
      </c>
      <c r="AL235" s="71" t="n"/>
      <c r="AM235" s="71" t="n"/>
      <c r="AN235" s="71" t="n"/>
      <c r="AO235" s="71" t="n"/>
      <c r="AP235" s="71" t="n"/>
      <c r="AQ235" s="24" t="n"/>
    </row>
    <row r="236" ht="15" customHeight="1">
      <c r="A236" s="70">
        <f>IF(C236="","",IFERROR(IF(SUMPRODUCT(MAX((tbl_Finance[Job Number]&amp;""=C236&amp;"")*(tbl_Finance[Xero Invoice No]&lt;&gt;"")*tbl_Finance[Date]))=0,"",SUMPRODUCT(MAX((tbl_Finance[Job Number]&amp;""=C236&amp;"")*(tbl_Finance[Xero Invoice No]&lt;&gt;"")*tbl_Finance[Date]))),""))</f>
        <v/>
      </c>
      <c r="B236" s="25">
        <f>IF(C236="","",IF(COUNTIFS(tbl_Finance[Job Number],C236&amp;"",tbl_Finance[Xero Invoice No],"&lt;&gt;")=0,"",IFERROR(IF(COUNTIFS(tbl_Finance[Job Number],C236&amp;"",tbl_Finance[Xero Invoice No],LOOKUP(2,1/((tbl_Finance[Job Number]&amp;""=C236&amp;"")*(tbl_Finance[Xero Invoice No]&lt;&gt;"")),tbl_Finance[Xero Invoice No]))=COUNTIFS(tbl_Finance[Job Number],C236&amp;"",tbl_Finance[Xero Invoice No],"&lt;&gt;"),LOOKUP(2,1/((tbl_Finance[Job Number]&amp;""=C236&amp;"")*(tbl_Finance[Xero Invoice No]&lt;&gt;"")),tbl_Finance[Xero Invoice No]),LOOKUP(2,1/((tbl_Finance[Job Number]&amp;""=C236&amp;"")*(tbl_Finance[Xero Invoice No]&lt;&gt;"")),tbl_Finance[Xero Invoice No])&amp;" +more"),"")))</f>
        <v/>
      </c>
      <c r="C236" s="24" t="n"/>
      <c r="D236" s="25">
        <f>IF(C236="","",IF(COUNTIF(lst_Jobs,C236&amp;"")&gt;0,"OK","CHECK"))</f>
        <v/>
      </c>
      <c r="E236" s="25">
        <f>IF(C236="","",IFERROR(INDEX(lst_JobName,MATCH(C236&amp;"",lst_Jobs,0)),""))</f>
        <v/>
      </c>
      <c r="F236" s="25">
        <f>IF(C236="","",IFERROR(INDEX(tbl_Finance[Client],IFERROR(MATCH(C236&amp;"",tbl_Finance[Job Number],0),MATCH(IFERROR(C236+0,C236),tbl_Finance[Job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6" t="n"/>
      <c r="L236" s="27">
        <f>IF(C236="","",IF(K236="",0,MAX(0,K236-H236)))</f>
        <v/>
      </c>
      <c r="M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N236" s="27">
        <f>IF(C236="","",SUMIFS(tbl_Finance[Inc GST],tbl_Finance[Job Number],C236&amp;""))</f>
        <v/>
      </c>
      <c r="O236" s="24" t="n"/>
      <c r="P236" s="25">
        <f>IF(C236="","",IFERROR(INDEX(tbl_Finance[Description],MATCH(C236&amp;"",tbl_Finance[Job Number],0)),""))</f>
        <v/>
      </c>
      <c r="Q236" s="24" t="n"/>
      <c r="R236" s="24" t="n"/>
      <c r="S236" s="22" t="n"/>
      <c r="T236" s="24" t="n"/>
      <c r="U236" s="25">
        <f>IF(T236="","",IF(AND(LEFT(T236,4)&lt;&gt;"http",set_RMSBase=""),"",HYPERLINK(IF(LEFT(T236,4)="http",T236,set_RMSBase&amp;T236),"Open opportunity")))</f>
        <v/>
      </c>
      <c r="V236" s="24" t="n"/>
      <c r="W236" s="25">
        <f>IF(V236="","",HYPERLINK(IF(LEFT(V236,4)="http",V236,set_QwilrBase&amp;V236),"Open quote"))</f>
        <v/>
      </c>
      <c r="X236" s="25">
        <f>IF(C236="","",C236)</f>
        <v/>
      </c>
      <c r="Y236" s="24" t="n"/>
      <c r="Z236" s="26" t="n"/>
      <c r="AA236" s="27">
        <f>IF(C236="","",H236+N(Z236))</f>
        <v/>
      </c>
      <c r="AB236" s="29">
        <f>IFERROR(Z236/AA236,"")</f>
        <v/>
      </c>
      <c r="AC236" s="26" t="n"/>
      <c r="AD236" s="26" t="n"/>
      <c r="AE236" s="26" t="n"/>
      <c r="AF236" s="26" t="n"/>
      <c r="AG236" s="27">
        <f>IF(C236="","",SUMIFS(tbl_Finance[Ex GST],tbl_Finance[Job Number],C236&amp;"",tbl_Finance[Cost Centre],"VIDEO"))</f>
        <v/>
      </c>
      <c r="AH236" s="29">
        <f>IFERROR(AG236/H236,"")</f>
        <v/>
      </c>
      <c r="AI236" s="27">
        <f>IF(C236="","",N(AC236)+N(AD236)+N(AE236)+N(AF236))</f>
        <v/>
      </c>
      <c r="AJ236" s="27">
        <f>IF(C236="","",H236+L236-AI236)</f>
        <v/>
      </c>
      <c r="AK236" s="29">
        <f>IFERROR(AJ236/(H236+L236),"")</f>
        <v/>
      </c>
      <c r="AL236" s="71" t="n"/>
      <c r="AM236" s="71" t="n"/>
      <c r="AN236" s="71" t="n"/>
      <c r="AO236" s="71" t="n"/>
      <c r="AP236" s="71" t="n"/>
      <c r="AQ236" s="24" t="n"/>
    </row>
    <row r="237" ht="15" customHeight="1">
      <c r="A237" s="70">
        <f>IF(C237="","",IFERROR(IF(SUMPRODUCT(MAX((tbl_Finance[Job Number]&amp;""=C237&amp;"")*(tbl_Finance[Xero Invoice No]&lt;&gt;"")*tbl_Finance[Date]))=0,"",SUMPRODUCT(MAX((tbl_Finance[Job Number]&amp;""=C237&amp;"")*(tbl_Finance[Xero Invoice No]&lt;&gt;"")*tbl_Finance[Date]))),""))</f>
        <v/>
      </c>
      <c r="B237" s="25">
        <f>IF(C237="","",IF(COUNTIFS(tbl_Finance[Job Number],C237&amp;"",tbl_Finance[Xero Invoice No],"&lt;&gt;")=0,"",IFERROR(IF(COUNTIFS(tbl_Finance[Job Number],C237&amp;"",tbl_Finance[Xero Invoice No],LOOKUP(2,1/((tbl_Finance[Job Number]&amp;""=C237&amp;"")*(tbl_Finance[Xero Invoice No]&lt;&gt;"")),tbl_Finance[Xero Invoice No]))=COUNTIFS(tbl_Finance[Job Number],C237&amp;"",tbl_Finance[Xero Invoice No],"&lt;&gt;"),LOOKUP(2,1/((tbl_Finance[Job Number]&amp;""=C237&amp;"")*(tbl_Finance[Xero Invoice No]&lt;&gt;"")),tbl_Finance[Xero Invoice No]),LOOKUP(2,1/((tbl_Finance[Job Number]&amp;""=C237&amp;"")*(tbl_Finance[Xero Invoice No]&lt;&gt;"")),tbl_Finance[Xero Invoice No])&amp;" +more"),"")))</f>
        <v/>
      </c>
      <c r="C237" s="24" t="n"/>
      <c r="D237" s="25">
        <f>IF(C237="","",IF(COUNTIF(lst_Jobs,C237&amp;"")&gt;0,"OK","CHECK"))</f>
        <v/>
      </c>
      <c r="E237" s="25">
        <f>IF(C237="","",IFERROR(INDEX(lst_JobName,MATCH(C237&amp;"",lst_Jobs,0)),""))</f>
        <v/>
      </c>
      <c r="F237" s="25">
        <f>IF(C237="","",IFERROR(INDEX(tbl_Finance[Client],IFERROR(MATCH(C237&amp;"",tbl_Finance[Job Number],0),MATCH(IFERROR(C237+0,C237),tbl_Finance[Job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6" t="n"/>
      <c r="L237" s="27">
        <f>IF(C237="","",IF(K237="",0,MAX(0,K237-H237)))</f>
        <v/>
      </c>
      <c r="M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N237" s="27">
        <f>IF(C237="","",SUMIFS(tbl_Finance[Inc GST],tbl_Finance[Job Number],C237&amp;""))</f>
        <v/>
      </c>
      <c r="O237" s="24" t="n"/>
      <c r="P237" s="25">
        <f>IF(C237="","",IFERROR(INDEX(tbl_Finance[Description],MATCH(C237&amp;"",tbl_Finance[Job Number],0)),""))</f>
        <v/>
      </c>
      <c r="Q237" s="24" t="n"/>
      <c r="R237" s="24" t="n"/>
      <c r="S237" s="22" t="n"/>
      <c r="T237" s="24" t="n"/>
      <c r="U237" s="25">
        <f>IF(T237="","",IF(AND(LEFT(T237,4)&lt;&gt;"http",set_RMSBase=""),"",HYPERLINK(IF(LEFT(T237,4)="http",T237,set_RMSBase&amp;T237),"Open opportunity")))</f>
        <v/>
      </c>
      <c r="V237" s="24" t="n"/>
      <c r="W237" s="25">
        <f>IF(V237="","",HYPERLINK(IF(LEFT(V237,4)="http",V237,set_QwilrBase&amp;V237),"Open quote"))</f>
        <v/>
      </c>
      <c r="X237" s="25">
        <f>IF(C237="","",C237)</f>
        <v/>
      </c>
      <c r="Y237" s="24" t="n"/>
      <c r="Z237" s="26" t="n"/>
      <c r="AA237" s="27">
        <f>IF(C237="","",H237+N(Z237))</f>
        <v/>
      </c>
      <c r="AB237" s="29">
        <f>IFERROR(Z237/AA237,"")</f>
        <v/>
      </c>
      <c r="AC237" s="26" t="n"/>
      <c r="AD237" s="26" t="n"/>
      <c r="AE237" s="26" t="n"/>
      <c r="AF237" s="26" t="n"/>
      <c r="AG237" s="27">
        <f>IF(C237="","",SUMIFS(tbl_Finance[Ex GST],tbl_Finance[Job Number],C237&amp;"",tbl_Finance[Cost Centre],"VIDEO"))</f>
        <v/>
      </c>
      <c r="AH237" s="29">
        <f>IFERROR(AG237/H237,"")</f>
        <v/>
      </c>
      <c r="AI237" s="27">
        <f>IF(C237="","",N(AC237)+N(AD237)+N(AE237)+N(AF237))</f>
        <v/>
      </c>
      <c r="AJ237" s="27">
        <f>IF(C237="","",H237+L237-AI237)</f>
        <v/>
      </c>
      <c r="AK237" s="29">
        <f>IFERROR(AJ237/(H237+L237),"")</f>
        <v/>
      </c>
      <c r="AL237" s="71" t="n"/>
      <c r="AM237" s="71" t="n"/>
      <c r="AN237" s="71" t="n"/>
      <c r="AO237" s="71" t="n"/>
      <c r="AP237" s="71" t="n"/>
      <c r="AQ237" s="24" t="n"/>
    </row>
    <row r="238" ht="15" customHeight="1">
      <c r="A238" s="70">
        <f>IF(C238="","",IFERROR(IF(SUMPRODUCT(MAX((tbl_Finance[Job Number]&amp;""=C238&amp;"")*(tbl_Finance[Xero Invoice No]&lt;&gt;"")*tbl_Finance[Date]))=0,"",SUMPRODUCT(MAX((tbl_Finance[Job Number]&amp;""=C238&amp;"")*(tbl_Finance[Xero Invoice No]&lt;&gt;"")*tbl_Finance[Date]))),""))</f>
        <v/>
      </c>
      <c r="B238" s="25">
        <f>IF(C238="","",IF(COUNTIFS(tbl_Finance[Job Number],C238&amp;"",tbl_Finance[Xero Invoice No],"&lt;&gt;")=0,"",IFERROR(IF(COUNTIFS(tbl_Finance[Job Number],C238&amp;"",tbl_Finance[Xero Invoice No],LOOKUP(2,1/((tbl_Finance[Job Number]&amp;""=C238&amp;"")*(tbl_Finance[Xero Invoice No]&lt;&gt;"")),tbl_Finance[Xero Invoice No]))=COUNTIFS(tbl_Finance[Job Number],C238&amp;"",tbl_Finance[Xero Invoice No],"&lt;&gt;"),LOOKUP(2,1/((tbl_Finance[Job Number]&amp;""=C238&amp;"")*(tbl_Finance[Xero Invoice No]&lt;&gt;"")),tbl_Finance[Xero Invoice No]),LOOKUP(2,1/((tbl_Finance[Job Number]&amp;""=C238&amp;"")*(tbl_Finance[Xero Invoice No]&lt;&gt;"")),tbl_Finance[Xero Invoice No])&amp;" +more"),"")))</f>
        <v/>
      </c>
      <c r="C238" s="24" t="n"/>
      <c r="D238" s="25">
        <f>IF(C238="","",IF(COUNTIF(lst_Jobs,C238&amp;"")&gt;0,"OK","CHECK"))</f>
        <v/>
      </c>
      <c r="E238" s="25">
        <f>IF(C238="","",IFERROR(INDEX(lst_JobName,MATCH(C238&amp;"",lst_Jobs,0)),""))</f>
        <v/>
      </c>
      <c r="F238" s="25">
        <f>IF(C238="","",IFERROR(INDEX(tbl_Finance[Client],IFERROR(MATCH(C238&amp;"",tbl_Finance[Job Number],0),MATCH(IFERROR(C238+0,C238),tbl_Finance[Job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6" t="n"/>
      <c r="L238" s="27">
        <f>IF(C238="","",IF(K238="",0,MAX(0,K238-H238)))</f>
        <v/>
      </c>
      <c r="M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N238" s="27">
        <f>IF(C238="","",SUMIFS(tbl_Finance[Inc GST],tbl_Finance[Job Number],C238&amp;""))</f>
        <v/>
      </c>
      <c r="O238" s="24" t="n"/>
      <c r="P238" s="25">
        <f>IF(C238="","",IFERROR(INDEX(tbl_Finance[Description],MATCH(C238&amp;"",tbl_Finance[Job Number],0)),""))</f>
        <v/>
      </c>
      <c r="Q238" s="24" t="n"/>
      <c r="R238" s="24" t="n"/>
      <c r="S238" s="22" t="n"/>
      <c r="T238" s="24" t="n"/>
      <c r="U238" s="25">
        <f>IF(T238="","",IF(AND(LEFT(T238,4)&lt;&gt;"http",set_RMSBase=""),"",HYPERLINK(IF(LEFT(T238,4)="http",T238,set_RMSBase&amp;T238),"Open opportunity")))</f>
        <v/>
      </c>
      <c r="V238" s="24" t="n"/>
      <c r="W238" s="25">
        <f>IF(V238="","",HYPERLINK(IF(LEFT(V238,4)="http",V238,set_QwilrBase&amp;V238),"Open quote"))</f>
        <v/>
      </c>
      <c r="X238" s="25">
        <f>IF(C238="","",C238)</f>
        <v/>
      </c>
      <c r="Y238" s="24" t="n"/>
      <c r="Z238" s="26" t="n"/>
      <c r="AA238" s="27">
        <f>IF(C238="","",H238+N(Z238))</f>
        <v/>
      </c>
      <c r="AB238" s="29">
        <f>IFERROR(Z238/AA238,"")</f>
        <v/>
      </c>
      <c r="AC238" s="26" t="n"/>
      <c r="AD238" s="26" t="n"/>
      <c r="AE238" s="26" t="n"/>
      <c r="AF238" s="26" t="n"/>
      <c r="AG238" s="27">
        <f>IF(C238="","",SUMIFS(tbl_Finance[Ex GST],tbl_Finance[Job Number],C238&amp;"",tbl_Finance[Cost Centre],"VIDEO"))</f>
        <v/>
      </c>
      <c r="AH238" s="29">
        <f>IFERROR(AG238/H238,"")</f>
        <v/>
      </c>
      <c r="AI238" s="27">
        <f>IF(C238="","",N(AC238)+N(AD238)+N(AE238)+N(AF238))</f>
        <v/>
      </c>
      <c r="AJ238" s="27">
        <f>IF(C238="","",H238+L238-AI238)</f>
        <v/>
      </c>
      <c r="AK238" s="29">
        <f>IFERROR(AJ238/(H238+L238),"")</f>
        <v/>
      </c>
      <c r="AL238" s="71" t="n"/>
      <c r="AM238" s="71" t="n"/>
      <c r="AN238" s="71" t="n"/>
      <c r="AO238" s="71" t="n"/>
      <c r="AP238" s="71" t="n"/>
      <c r="AQ238" s="24" t="n"/>
    </row>
    <row r="239" ht="15" customHeight="1">
      <c r="A239" s="70">
        <f>IF(C239="","",IFERROR(IF(SUMPRODUCT(MAX((tbl_Finance[Job Number]&amp;""=C239&amp;"")*(tbl_Finance[Xero Invoice No]&lt;&gt;"")*tbl_Finance[Date]))=0,"",SUMPRODUCT(MAX((tbl_Finance[Job Number]&amp;""=C239&amp;"")*(tbl_Finance[Xero Invoice No]&lt;&gt;"")*tbl_Finance[Date]))),""))</f>
        <v/>
      </c>
      <c r="B239" s="25">
        <f>IF(C239="","",IF(COUNTIFS(tbl_Finance[Job Number],C239&amp;"",tbl_Finance[Xero Invoice No],"&lt;&gt;")=0,"",IFERROR(IF(COUNTIFS(tbl_Finance[Job Number],C239&amp;"",tbl_Finance[Xero Invoice No],LOOKUP(2,1/((tbl_Finance[Job Number]&amp;""=C239&amp;"")*(tbl_Finance[Xero Invoice No]&lt;&gt;"")),tbl_Finance[Xero Invoice No]))=COUNTIFS(tbl_Finance[Job Number],C239&amp;"",tbl_Finance[Xero Invoice No],"&lt;&gt;"),LOOKUP(2,1/((tbl_Finance[Job Number]&amp;""=C239&amp;"")*(tbl_Finance[Xero Invoice No]&lt;&gt;"")),tbl_Finance[Xero Invoice No]),LOOKUP(2,1/((tbl_Finance[Job Number]&amp;""=C239&amp;"")*(tbl_Finance[Xero Invoice No]&lt;&gt;"")),tbl_Finance[Xero Invoice No])&amp;" +more"),"")))</f>
        <v/>
      </c>
      <c r="C239" s="24" t="n"/>
      <c r="D239" s="25">
        <f>IF(C239="","",IF(COUNTIF(lst_Jobs,C239&amp;"")&gt;0,"OK","CHECK"))</f>
        <v/>
      </c>
      <c r="E239" s="25">
        <f>IF(C239="","",IFERROR(INDEX(lst_JobName,MATCH(C239&amp;"",lst_Jobs,0)),""))</f>
        <v/>
      </c>
      <c r="F239" s="25">
        <f>IF(C239="","",IFERROR(INDEX(tbl_Finance[Client],IFERROR(MATCH(C239&amp;"",tbl_Finance[Job Number],0),MATCH(IFERROR(C239+0,C239),tbl_Finance[Job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6" t="n"/>
      <c r="L239" s="27">
        <f>IF(C239="","",IF(K239="",0,MAX(0,K239-H239)))</f>
        <v/>
      </c>
      <c r="M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N239" s="27">
        <f>IF(C239="","",SUMIFS(tbl_Finance[Inc GST],tbl_Finance[Job Number],C239&amp;""))</f>
        <v/>
      </c>
      <c r="O239" s="24" t="n"/>
      <c r="P239" s="25">
        <f>IF(C239="","",IFERROR(INDEX(tbl_Finance[Description],MATCH(C239&amp;"",tbl_Finance[Job Number],0)),""))</f>
        <v/>
      </c>
      <c r="Q239" s="24" t="n"/>
      <c r="R239" s="24" t="n"/>
      <c r="S239" s="22" t="n"/>
      <c r="T239" s="24" t="n"/>
      <c r="U239" s="25">
        <f>IF(T239="","",IF(AND(LEFT(T239,4)&lt;&gt;"http",set_RMSBase=""),"",HYPERLINK(IF(LEFT(T239,4)="http",T239,set_RMSBase&amp;T239),"Open opportunity")))</f>
        <v/>
      </c>
      <c r="V239" s="24" t="n"/>
      <c r="W239" s="25">
        <f>IF(V239="","",HYPERLINK(IF(LEFT(V239,4)="http",V239,set_QwilrBase&amp;V239),"Open quote"))</f>
        <v/>
      </c>
      <c r="X239" s="25">
        <f>IF(C239="","",C239)</f>
        <v/>
      </c>
      <c r="Y239" s="24" t="n"/>
      <c r="Z239" s="26" t="n"/>
      <c r="AA239" s="27">
        <f>IF(C239="","",H239+N(Z239))</f>
        <v/>
      </c>
      <c r="AB239" s="29">
        <f>IFERROR(Z239/AA239,"")</f>
        <v/>
      </c>
      <c r="AC239" s="26" t="n"/>
      <c r="AD239" s="26" t="n"/>
      <c r="AE239" s="26" t="n"/>
      <c r="AF239" s="26" t="n"/>
      <c r="AG239" s="27">
        <f>IF(C239="","",SUMIFS(tbl_Finance[Ex GST],tbl_Finance[Job Number],C239&amp;"",tbl_Finance[Cost Centre],"VIDEO"))</f>
        <v/>
      </c>
      <c r="AH239" s="29">
        <f>IFERROR(AG239/H239,"")</f>
        <v/>
      </c>
      <c r="AI239" s="27">
        <f>IF(C239="","",N(AC239)+N(AD239)+N(AE239)+N(AF239))</f>
        <v/>
      </c>
      <c r="AJ239" s="27">
        <f>IF(C239="","",H239+L239-AI239)</f>
        <v/>
      </c>
      <c r="AK239" s="29">
        <f>IFERROR(AJ239/(H239+L239),"")</f>
        <v/>
      </c>
      <c r="AL239" s="71" t="n"/>
      <c r="AM239" s="71" t="n"/>
      <c r="AN239" s="71" t="n"/>
      <c r="AO239" s="71" t="n"/>
      <c r="AP239" s="71" t="n"/>
      <c r="AQ239" s="24" t="n"/>
    </row>
    <row r="240" ht="15" customHeight="1">
      <c r="A240" s="70">
        <f>IF(C240="","",IFERROR(IF(SUMPRODUCT(MAX((tbl_Finance[Job Number]&amp;""=C240&amp;"")*(tbl_Finance[Xero Invoice No]&lt;&gt;"")*tbl_Finance[Date]))=0,"",SUMPRODUCT(MAX((tbl_Finance[Job Number]&amp;""=C240&amp;"")*(tbl_Finance[Xero Invoice No]&lt;&gt;"")*tbl_Finance[Date]))),""))</f>
        <v/>
      </c>
      <c r="B240" s="25">
        <f>IF(C240="","",IF(COUNTIFS(tbl_Finance[Job Number],C240&amp;"",tbl_Finance[Xero Invoice No],"&lt;&gt;")=0,"",IFERROR(IF(COUNTIFS(tbl_Finance[Job Number],C240&amp;"",tbl_Finance[Xero Invoice No],LOOKUP(2,1/((tbl_Finance[Job Number]&amp;""=C240&amp;"")*(tbl_Finance[Xero Invoice No]&lt;&gt;"")),tbl_Finance[Xero Invoice No]))=COUNTIFS(tbl_Finance[Job Number],C240&amp;"",tbl_Finance[Xero Invoice No],"&lt;&gt;"),LOOKUP(2,1/((tbl_Finance[Job Number]&amp;""=C240&amp;"")*(tbl_Finance[Xero Invoice No]&lt;&gt;"")),tbl_Finance[Xero Invoice No]),LOOKUP(2,1/((tbl_Finance[Job Number]&amp;""=C240&amp;"")*(tbl_Finance[Xero Invoice No]&lt;&gt;"")),tbl_Finance[Xero Invoice No])&amp;" +more"),"")))</f>
        <v/>
      </c>
      <c r="C240" s="24" t="n"/>
      <c r="D240" s="25">
        <f>IF(C240="","",IF(COUNTIF(lst_Jobs,C240&amp;"")&gt;0,"OK","CHECK"))</f>
        <v/>
      </c>
      <c r="E240" s="25">
        <f>IF(C240="","",IFERROR(INDEX(lst_JobName,MATCH(C240&amp;"",lst_Jobs,0)),""))</f>
        <v/>
      </c>
      <c r="F240" s="25">
        <f>IF(C240="","",IFERROR(INDEX(tbl_Finance[Client],IFERROR(MATCH(C240&amp;"",tbl_Finance[Job Number],0),MATCH(IFERROR(C240+0,C240),tbl_Finance[Job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6" t="n"/>
      <c r="L240" s="27">
        <f>IF(C240="","",IF(K240="",0,MAX(0,K240-H240)))</f>
        <v/>
      </c>
      <c r="M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N240" s="27">
        <f>IF(C240="","",SUMIFS(tbl_Finance[Inc GST],tbl_Finance[Job Number],C240&amp;""))</f>
        <v/>
      </c>
      <c r="O240" s="24" t="n"/>
      <c r="P240" s="25">
        <f>IF(C240="","",IFERROR(INDEX(tbl_Finance[Description],MATCH(C240&amp;"",tbl_Finance[Job Number],0)),""))</f>
        <v/>
      </c>
      <c r="Q240" s="24" t="n"/>
      <c r="R240" s="24" t="n"/>
      <c r="S240" s="22" t="n"/>
      <c r="T240" s="24" t="n"/>
      <c r="U240" s="25">
        <f>IF(T240="","",IF(AND(LEFT(T240,4)&lt;&gt;"http",set_RMSBase=""),"",HYPERLINK(IF(LEFT(T240,4)="http",T240,set_RMSBase&amp;T240),"Open opportunity")))</f>
        <v/>
      </c>
      <c r="V240" s="24" t="n"/>
      <c r="W240" s="25">
        <f>IF(V240="","",HYPERLINK(IF(LEFT(V240,4)="http",V240,set_QwilrBase&amp;V240),"Open quote"))</f>
        <v/>
      </c>
      <c r="X240" s="25">
        <f>IF(C240="","",C240)</f>
        <v/>
      </c>
      <c r="Y240" s="24" t="n"/>
      <c r="Z240" s="26" t="n"/>
      <c r="AA240" s="27">
        <f>IF(C240="","",H240+N(Z240))</f>
        <v/>
      </c>
      <c r="AB240" s="29">
        <f>IFERROR(Z240/AA240,"")</f>
        <v/>
      </c>
      <c r="AC240" s="26" t="n"/>
      <c r="AD240" s="26" t="n"/>
      <c r="AE240" s="26" t="n"/>
      <c r="AF240" s="26" t="n"/>
      <c r="AG240" s="27">
        <f>IF(C240="","",SUMIFS(tbl_Finance[Ex GST],tbl_Finance[Job Number],C240&amp;"",tbl_Finance[Cost Centre],"VIDEO"))</f>
        <v/>
      </c>
      <c r="AH240" s="29">
        <f>IFERROR(AG240/H240,"")</f>
        <v/>
      </c>
      <c r="AI240" s="27">
        <f>IF(C240="","",N(AC240)+N(AD240)+N(AE240)+N(AF240))</f>
        <v/>
      </c>
      <c r="AJ240" s="27">
        <f>IF(C240="","",H240+L240-AI240)</f>
        <v/>
      </c>
      <c r="AK240" s="29">
        <f>IFERROR(AJ240/(H240+L240),"")</f>
        <v/>
      </c>
      <c r="AL240" s="71" t="n"/>
      <c r="AM240" s="71" t="n"/>
      <c r="AN240" s="71" t="n"/>
      <c r="AO240" s="71" t="n"/>
      <c r="AP240" s="71" t="n"/>
      <c r="AQ240" s="24" t="n"/>
    </row>
    <row r="241" ht="15" customHeight="1">
      <c r="A241" s="70">
        <f>IF(C241="","",IFERROR(IF(SUMPRODUCT(MAX((tbl_Finance[Job Number]&amp;""=C241&amp;"")*(tbl_Finance[Xero Invoice No]&lt;&gt;"")*tbl_Finance[Date]))=0,"",SUMPRODUCT(MAX((tbl_Finance[Job Number]&amp;""=C241&amp;"")*(tbl_Finance[Xero Invoice No]&lt;&gt;"")*tbl_Finance[Date]))),""))</f>
        <v/>
      </c>
      <c r="B241" s="25">
        <f>IF(C241="","",IF(COUNTIFS(tbl_Finance[Job Number],C241&amp;"",tbl_Finance[Xero Invoice No],"&lt;&gt;")=0,"",IFERROR(IF(COUNTIFS(tbl_Finance[Job Number],C241&amp;"",tbl_Finance[Xero Invoice No],LOOKUP(2,1/((tbl_Finance[Job Number]&amp;""=C241&amp;"")*(tbl_Finance[Xero Invoice No]&lt;&gt;"")),tbl_Finance[Xero Invoice No]))=COUNTIFS(tbl_Finance[Job Number],C241&amp;"",tbl_Finance[Xero Invoice No],"&lt;&gt;"),LOOKUP(2,1/((tbl_Finance[Job Number]&amp;""=C241&amp;"")*(tbl_Finance[Xero Invoice No]&lt;&gt;"")),tbl_Finance[Xero Invoice No]),LOOKUP(2,1/((tbl_Finance[Job Number]&amp;""=C241&amp;"")*(tbl_Finance[Xero Invoice No]&lt;&gt;"")),tbl_Finance[Xero Invoice No])&amp;" +more"),"")))</f>
        <v/>
      </c>
      <c r="C241" s="24" t="n"/>
      <c r="D241" s="25">
        <f>IF(C241="","",IF(COUNTIF(lst_Jobs,C241&amp;"")&gt;0,"OK","CHECK"))</f>
        <v/>
      </c>
      <c r="E241" s="25">
        <f>IF(C241="","",IFERROR(INDEX(lst_JobName,MATCH(C241&amp;"",lst_Jobs,0)),""))</f>
        <v/>
      </c>
      <c r="F241" s="25">
        <f>IF(C241="","",IFERROR(INDEX(tbl_Finance[Client],IFERROR(MATCH(C241&amp;"",tbl_Finance[Job Number],0),MATCH(IFERROR(C241+0,C241),tbl_Finance[Job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6" t="n"/>
      <c r="L241" s="27">
        <f>IF(C241="","",IF(K241="",0,MAX(0,K241-H241)))</f>
        <v/>
      </c>
      <c r="M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N241" s="27">
        <f>IF(C241="","",SUMIFS(tbl_Finance[Inc GST],tbl_Finance[Job Number],C241&amp;""))</f>
        <v/>
      </c>
      <c r="O241" s="24" t="n"/>
      <c r="P241" s="25">
        <f>IF(C241="","",IFERROR(INDEX(tbl_Finance[Description],MATCH(C241&amp;"",tbl_Finance[Job Number],0)),""))</f>
        <v/>
      </c>
      <c r="Q241" s="24" t="n"/>
      <c r="R241" s="24" t="n"/>
      <c r="S241" s="22" t="n"/>
      <c r="T241" s="24" t="n"/>
      <c r="U241" s="25">
        <f>IF(T241="","",IF(AND(LEFT(T241,4)&lt;&gt;"http",set_RMSBase=""),"",HYPERLINK(IF(LEFT(T241,4)="http",T241,set_RMSBase&amp;T241),"Open opportunity")))</f>
        <v/>
      </c>
      <c r="V241" s="24" t="n"/>
      <c r="W241" s="25">
        <f>IF(V241="","",HYPERLINK(IF(LEFT(V241,4)="http",V241,set_QwilrBase&amp;V241),"Open quote"))</f>
        <v/>
      </c>
      <c r="X241" s="25">
        <f>IF(C241="","",C241)</f>
        <v/>
      </c>
      <c r="Y241" s="24" t="n"/>
      <c r="Z241" s="26" t="n"/>
      <c r="AA241" s="27">
        <f>IF(C241="","",H241+N(Z241))</f>
        <v/>
      </c>
      <c r="AB241" s="29">
        <f>IFERROR(Z241/AA241,"")</f>
        <v/>
      </c>
      <c r="AC241" s="26" t="n"/>
      <c r="AD241" s="26" t="n"/>
      <c r="AE241" s="26" t="n"/>
      <c r="AF241" s="26" t="n"/>
      <c r="AG241" s="27">
        <f>IF(C241="","",SUMIFS(tbl_Finance[Ex GST],tbl_Finance[Job Number],C241&amp;"",tbl_Finance[Cost Centre],"VIDEO"))</f>
        <v/>
      </c>
      <c r="AH241" s="29">
        <f>IFERROR(AG241/H241,"")</f>
        <v/>
      </c>
      <c r="AI241" s="27">
        <f>IF(C241="","",N(AC241)+N(AD241)+N(AE241)+N(AF241))</f>
        <v/>
      </c>
      <c r="AJ241" s="27">
        <f>IF(C241="","",H241+L241-AI241)</f>
        <v/>
      </c>
      <c r="AK241" s="29">
        <f>IFERROR(AJ241/(H241+L241),"")</f>
        <v/>
      </c>
      <c r="AL241" s="71" t="n"/>
      <c r="AM241" s="71" t="n"/>
      <c r="AN241" s="71" t="n"/>
      <c r="AO241" s="71" t="n"/>
      <c r="AP241" s="71" t="n"/>
      <c r="AQ241" s="24" t="n"/>
    </row>
    <row r="242" ht="15" customHeight="1">
      <c r="A242" s="70">
        <f>IF(C242="","",IFERROR(IF(SUMPRODUCT(MAX((tbl_Finance[Job Number]&amp;""=C242&amp;"")*(tbl_Finance[Xero Invoice No]&lt;&gt;"")*tbl_Finance[Date]))=0,"",SUMPRODUCT(MAX((tbl_Finance[Job Number]&amp;""=C242&amp;"")*(tbl_Finance[Xero Invoice No]&lt;&gt;"")*tbl_Finance[Date]))),""))</f>
        <v/>
      </c>
      <c r="B242" s="25">
        <f>IF(C242="","",IF(COUNTIFS(tbl_Finance[Job Number],C242&amp;"",tbl_Finance[Xero Invoice No],"&lt;&gt;")=0,"",IFERROR(IF(COUNTIFS(tbl_Finance[Job Number],C242&amp;"",tbl_Finance[Xero Invoice No],LOOKUP(2,1/((tbl_Finance[Job Number]&amp;""=C242&amp;"")*(tbl_Finance[Xero Invoice No]&lt;&gt;"")),tbl_Finance[Xero Invoice No]))=COUNTIFS(tbl_Finance[Job Number],C242&amp;"",tbl_Finance[Xero Invoice No],"&lt;&gt;"),LOOKUP(2,1/((tbl_Finance[Job Number]&amp;""=C242&amp;"")*(tbl_Finance[Xero Invoice No]&lt;&gt;"")),tbl_Finance[Xero Invoice No]),LOOKUP(2,1/((tbl_Finance[Job Number]&amp;""=C242&amp;"")*(tbl_Finance[Xero Invoice No]&lt;&gt;"")),tbl_Finance[Xero Invoice No])&amp;" +more"),"")))</f>
        <v/>
      </c>
      <c r="C242" s="24" t="n"/>
      <c r="D242" s="25">
        <f>IF(C242="","",IF(COUNTIF(lst_Jobs,C242&amp;"")&gt;0,"OK","CHECK"))</f>
        <v/>
      </c>
      <c r="E242" s="25">
        <f>IF(C242="","",IFERROR(INDEX(lst_JobName,MATCH(C242&amp;"",lst_Jobs,0)),""))</f>
        <v/>
      </c>
      <c r="F242" s="25">
        <f>IF(C242="","",IFERROR(INDEX(tbl_Finance[Client],IFERROR(MATCH(C242&amp;"",tbl_Finance[Job Number],0),MATCH(IFERROR(C242+0,C242),tbl_Finance[Job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6" t="n"/>
      <c r="L242" s="27">
        <f>IF(C242="","",IF(K242="",0,MAX(0,K242-H242)))</f>
        <v/>
      </c>
      <c r="M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N242" s="27">
        <f>IF(C242="","",SUMIFS(tbl_Finance[Inc GST],tbl_Finance[Job Number],C242&amp;""))</f>
        <v/>
      </c>
      <c r="O242" s="24" t="n"/>
      <c r="P242" s="25">
        <f>IF(C242="","",IFERROR(INDEX(tbl_Finance[Description],MATCH(C242&amp;"",tbl_Finance[Job Number],0)),""))</f>
        <v/>
      </c>
      <c r="Q242" s="24" t="n"/>
      <c r="R242" s="24" t="n"/>
      <c r="S242" s="22" t="n"/>
      <c r="T242" s="24" t="n"/>
      <c r="U242" s="25">
        <f>IF(T242="","",IF(AND(LEFT(T242,4)&lt;&gt;"http",set_RMSBase=""),"",HYPERLINK(IF(LEFT(T242,4)="http",T242,set_RMSBase&amp;T242),"Open opportunity")))</f>
        <v/>
      </c>
      <c r="V242" s="24" t="n"/>
      <c r="W242" s="25">
        <f>IF(V242="","",HYPERLINK(IF(LEFT(V242,4)="http",V242,set_QwilrBase&amp;V242),"Open quote"))</f>
        <v/>
      </c>
      <c r="X242" s="25">
        <f>IF(C242="","",C242)</f>
        <v/>
      </c>
      <c r="Y242" s="24" t="n"/>
      <c r="Z242" s="26" t="n"/>
      <c r="AA242" s="27">
        <f>IF(C242="","",H242+N(Z242))</f>
        <v/>
      </c>
      <c r="AB242" s="29">
        <f>IFERROR(Z242/AA242,"")</f>
        <v/>
      </c>
      <c r="AC242" s="26" t="n"/>
      <c r="AD242" s="26" t="n"/>
      <c r="AE242" s="26" t="n"/>
      <c r="AF242" s="26" t="n"/>
      <c r="AG242" s="27">
        <f>IF(C242="","",SUMIFS(tbl_Finance[Ex GST],tbl_Finance[Job Number],C242&amp;"",tbl_Finance[Cost Centre],"VIDEO"))</f>
        <v/>
      </c>
      <c r="AH242" s="29">
        <f>IFERROR(AG242/H242,"")</f>
        <v/>
      </c>
      <c r="AI242" s="27">
        <f>IF(C242="","",N(AC242)+N(AD242)+N(AE242)+N(AF242))</f>
        <v/>
      </c>
      <c r="AJ242" s="27">
        <f>IF(C242="","",H242+L242-AI242)</f>
        <v/>
      </c>
      <c r="AK242" s="29">
        <f>IFERROR(AJ242/(H242+L242),"")</f>
        <v/>
      </c>
      <c r="AL242" s="71" t="n"/>
      <c r="AM242" s="71" t="n"/>
      <c r="AN242" s="71" t="n"/>
      <c r="AO242" s="71" t="n"/>
      <c r="AP242" s="71" t="n"/>
      <c r="AQ242" s="24" t="n"/>
    </row>
    <row r="243" ht="15" customHeight="1">
      <c r="A243" s="70">
        <f>IF(C243="","",IFERROR(IF(SUMPRODUCT(MAX((tbl_Finance[Job Number]&amp;""=C243&amp;"")*(tbl_Finance[Xero Invoice No]&lt;&gt;"")*tbl_Finance[Date]))=0,"",SUMPRODUCT(MAX((tbl_Finance[Job Number]&amp;""=C243&amp;"")*(tbl_Finance[Xero Invoice No]&lt;&gt;"")*tbl_Finance[Date]))),""))</f>
        <v/>
      </c>
      <c r="B243" s="25">
        <f>IF(C243="","",IF(COUNTIFS(tbl_Finance[Job Number],C243&amp;"",tbl_Finance[Xero Invoice No],"&lt;&gt;")=0,"",IFERROR(IF(COUNTIFS(tbl_Finance[Job Number],C243&amp;"",tbl_Finance[Xero Invoice No],LOOKUP(2,1/((tbl_Finance[Job Number]&amp;""=C243&amp;"")*(tbl_Finance[Xero Invoice No]&lt;&gt;"")),tbl_Finance[Xero Invoice No]))=COUNTIFS(tbl_Finance[Job Number],C243&amp;"",tbl_Finance[Xero Invoice No],"&lt;&gt;"),LOOKUP(2,1/((tbl_Finance[Job Number]&amp;""=C243&amp;"")*(tbl_Finance[Xero Invoice No]&lt;&gt;"")),tbl_Finance[Xero Invoice No]),LOOKUP(2,1/((tbl_Finance[Job Number]&amp;""=C243&amp;"")*(tbl_Finance[Xero Invoice No]&lt;&gt;"")),tbl_Finance[Xero Invoice No])&amp;" +more"),"")))</f>
        <v/>
      </c>
      <c r="C243" s="24" t="n"/>
      <c r="D243" s="25">
        <f>IF(C243="","",IF(COUNTIF(lst_Jobs,C243&amp;"")&gt;0,"OK","CHECK"))</f>
        <v/>
      </c>
      <c r="E243" s="25">
        <f>IF(C243="","",IFERROR(INDEX(lst_JobName,MATCH(C243&amp;"",lst_Jobs,0)),""))</f>
        <v/>
      </c>
      <c r="F243" s="25">
        <f>IF(C243="","",IFERROR(INDEX(tbl_Finance[Client],IFERROR(MATCH(C243&amp;"",tbl_Finance[Job Number],0),MATCH(IFERROR(C243+0,C243),tbl_Finance[Job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6" t="n"/>
      <c r="L243" s="27">
        <f>IF(C243="","",IF(K243="",0,MAX(0,K243-H243)))</f>
        <v/>
      </c>
      <c r="M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N243" s="27">
        <f>IF(C243="","",SUMIFS(tbl_Finance[Inc GST],tbl_Finance[Job Number],C243&amp;""))</f>
        <v/>
      </c>
      <c r="O243" s="24" t="n"/>
      <c r="P243" s="25">
        <f>IF(C243="","",IFERROR(INDEX(tbl_Finance[Description],MATCH(C243&amp;"",tbl_Finance[Job Number],0)),""))</f>
        <v/>
      </c>
      <c r="Q243" s="24" t="n"/>
      <c r="R243" s="24" t="n"/>
      <c r="S243" s="22" t="n"/>
      <c r="T243" s="24" t="n"/>
      <c r="U243" s="25">
        <f>IF(T243="","",IF(AND(LEFT(T243,4)&lt;&gt;"http",set_RMSBase=""),"",HYPERLINK(IF(LEFT(T243,4)="http",T243,set_RMSBase&amp;T243),"Open opportunity")))</f>
        <v/>
      </c>
      <c r="V243" s="24" t="n"/>
      <c r="W243" s="25">
        <f>IF(V243="","",HYPERLINK(IF(LEFT(V243,4)="http",V243,set_QwilrBase&amp;V243),"Open quote"))</f>
        <v/>
      </c>
      <c r="X243" s="25">
        <f>IF(C243="","",C243)</f>
        <v/>
      </c>
      <c r="Y243" s="24" t="n"/>
      <c r="Z243" s="26" t="n"/>
      <c r="AA243" s="27">
        <f>IF(C243="","",H243+N(Z243))</f>
        <v/>
      </c>
      <c r="AB243" s="29">
        <f>IFERROR(Z243/AA243,"")</f>
        <v/>
      </c>
      <c r="AC243" s="26" t="n"/>
      <c r="AD243" s="26" t="n"/>
      <c r="AE243" s="26" t="n"/>
      <c r="AF243" s="26" t="n"/>
      <c r="AG243" s="27">
        <f>IF(C243="","",SUMIFS(tbl_Finance[Ex GST],tbl_Finance[Job Number],C243&amp;"",tbl_Finance[Cost Centre],"VIDEO"))</f>
        <v/>
      </c>
      <c r="AH243" s="29">
        <f>IFERROR(AG243/H243,"")</f>
        <v/>
      </c>
      <c r="AI243" s="27">
        <f>IF(C243="","",N(AC243)+N(AD243)+N(AE243)+N(AF243))</f>
        <v/>
      </c>
      <c r="AJ243" s="27">
        <f>IF(C243="","",H243+L243-AI243)</f>
        <v/>
      </c>
      <c r="AK243" s="29">
        <f>IFERROR(AJ243/(H243+L243),"")</f>
        <v/>
      </c>
      <c r="AL243" s="71" t="n"/>
      <c r="AM243" s="71" t="n"/>
      <c r="AN243" s="71" t="n"/>
      <c r="AO243" s="71" t="n"/>
      <c r="AP243" s="71" t="n"/>
      <c r="AQ243" s="24" t="n"/>
    </row>
    <row r="244" ht="15" customHeight="1">
      <c r="A244" s="70">
        <f>IF(C244="","",IFERROR(IF(SUMPRODUCT(MAX((tbl_Finance[Job Number]&amp;""=C244&amp;"")*(tbl_Finance[Xero Invoice No]&lt;&gt;"")*tbl_Finance[Date]))=0,"",SUMPRODUCT(MAX((tbl_Finance[Job Number]&amp;""=C244&amp;"")*(tbl_Finance[Xero Invoice No]&lt;&gt;"")*tbl_Finance[Date]))),""))</f>
        <v/>
      </c>
      <c r="B244" s="25">
        <f>IF(C244="","",IF(COUNTIFS(tbl_Finance[Job Number],C244&amp;"",tbl_Finance[Xero Invoice No],"&lt;&gt;")=0,"",IFERROR(IF(COUNTIFS(tbl_Finance[Job Number],C244&amp;"",tbl_Finance[Xero Invoice No],LOOKUP(2,1/((tbl_Finance[Job Number]&amp;""=C244&amp;"")*(tbl_Finance[Xero Invoice No]&lt;&gt;"")),tbl_Finance[Xero Invoice No]))=COUNTIFS(tbl_Finance[Job Number],C244&amp;"",tbl_Finance[Xero Invoice No],"&lt;&gt;"),LOOKUP(2,1/((tbl_Finance[Job Number]&amp;""=C244&amp;"")*(tbl_Finance[Xero Invoice No]&lt;&gt;"")),tbl_Finance[Xero Invoice No]),LOOKUP(2,1/((tbl_Finance[Job Number]&amp;""=C244&amp;"")*(tbl_Finance[Xero Invoice No]&lt;&gt;"")),tbl_Finance[Xero Invoice No])&amp;" +more"),"")))</f>
        <v/>
      </c>
      <c r="C244" s="24" t="n"/>
      <c r="D244" s="25">
        <f>IF(C244="","",IF(COUNTIF(lst_Jobs,C244&amp;"")&gt;0,"OK","CHECK"))</f>
        <v/>
      </c>
      <c r="E244" s="25">
        <f>IF(C244="","",IFERROR(INDEX(lst_JobName,MATCH(C244&amp;"",lst_Jobs,0)),""))</f>
        <v/>
      </c>
      <c r="F244" s="25">
        <f>IF(C244="","",IFERROR(INDEX(tbl_Finance[Client],IFERROR(MATCH(C244&amp;"",tbl_Finance[Job Number],0),MATCH(IFERROR(C244+0,C244),tbl_Finance[Job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6" t="n"/>
      <c r="L244" s="27">
        <f>IF(C244="","",IF(K244="",0,MAX(0,K244-H244)))</f>
        <v/>
      </c>
      <c r="M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N244" s="27">
        <f>IF(C244="","",SUMIFS(tbl_Finance[Inc GST],tbl_Finance[Job Number],C244&amp;""))</f>
        <v/>
      </c>
      <c r="O244" s="24" t="n"/>
      <c r="P244" s="25">
        <f>IF(C244="","",IFERROR(INDEX(tbl_Finance[Description],MATCH(C244&amp;"",tbl_Finance[Job Number],0)),""))</f>
        <v/>
      </c>
      <c r="Q244" s="24" t="n"/>
      <c r="R244" s="24" t="n"/>
      <c r="S244" s="22" t="n"/>
      <c r="T244" s="24" t="n"/>
      <c r="U244" s="25">
        <f>IF(T244="","",IF(AND(LEFT(T244,4)&lt;&gt;"http",set_RMSBase=""),"",HYPERLINK(IF(LEFT(T244,4)="http",T244,set_RMSBase&amp;T244),"Open opportunity")))</f>
        <v/>
      </c>
      <c r="V244" s="24" t="n"/>
      <c r="W244" s="25">
        <f>IF(V244="","",HYPERLINK(IF(LEFT(V244,4)="http",V244,set_QwilrBase&amp;V244),"Open quote"))</f>
        <v/>
      </c>
      <c r="X244" s="25">
        <f>IF(C244="","",C244)</f>
        <v/>
      </c>
      <c r="Y244" s="24" t="n"/>
      <c r="Z244" s="26" t="n"/>
      <c r="AA244" s="27">
        <f>IF(C244="","",H244+N(Z244))</f>
        <v/>
      </c>
      <c r="AB244" s="29">
        <f>IFERROR(Z244/AA244,"")</f>
        <v/>
      </c>
      <c r="AC244" s="26" t="n"/>
      <c r="AD244" s="26" t="n"/>
      <c r="AE244" s="26" t="n"/>
      <c r="AF244" s="26" t="n"/>
      <c r="AG244" s="27">
        <f>IF(C244="","",SUMIFS(tbl_Finance[Ex GST],tbl_Finance[Job Number],C244&amp;"",tbl_Finance[Cost Centre],"VIDEO"))</f>
        <v/>
      </c>
      <c r="AH244" s="29">
        <f>IFERROR(AG244/H244,"")</f>
        <v/>
      </c>
      <c r="AI244" s="27">
        <f>IF(C244="","",N(AC244)+N(AD244)+N(AE244)+N(AF244))</f>
        <v/>
      </c>
      <c r="AJ244" s="27">
        <f>IF(C244="","",H244+L244-AI244)</f>
        <v/>
      </c>
      <c r="AK244" s="29">
        <f>IFERROR(AJ244/(H244+L244),"")</f>
        <v/>
      </c>
      <c r="AL244" s="71" t="n"/>
      <c r="AM244" s="71" t="n"/>
      <c r="AN244" s="71" t="n"/>
      <c r="AO244" s="71" t="n"/>
      <c r="AP244" s="71" t="n"/>
      <c r="AQ244" s="24" t="n"/>
    </row>
    <row r="245" ht="15" customHeight="1">
      <c r="A245" s="70">
        <f>IF(C245="","",IFERROR(IF(SUMPRODUCT(MAX((tbl_Finance[Job Number]&amp;""=C245&amp;"")*(tbl_Finance[Xero Invoice No]&lt;&gt;"")*tbl_Finance[Date]))=0,"",SUMPRODUCT(MAX((tbl_Finance[Job Number]&amp;""=C245&amp;"")*(tbl_Finance[Xero Invoice No]&lt;&gt;"")*tbl_Finance[Date]))),""))</f>
        <v/>
      </c>
      <c r="B245" s="25">
        <f>IF(C245="","",IF(COUNTIFS(tbl_Finance[Job Number],C245&amp;"",tbl_Finance[Xero Invoice No],"&lt;&gt;")=0,"",IFERROR(IF(COUNTIFS(tbl_Finance[Job Number],C245&amp;"",tbl_Finance[Xero Invoice No],LOOKUP(2,1/((tbl_Finance[Job Number]&amp;""=C245&amp;"")*(tbl_Finance[Xero Invoice No]&lt;&gt;"")),tbl_Finance[Xero Invoice No]))=COUNTIFS(tbl_Finance[Job Number],C245&amp;"",tbl_Finance[Xero Invoice No],"&lt;&gt;"),LOOKUP(2,1/((tbl_Finance[Job Number]&amp;""=C245&amp;"")*(tbl_Finance[Xero Invoice No]&lt;&gt;"")),tbl_Finance[Xero Invoice No]),LOOKUP(2,1/((tbl_Finance[Job Number]&amp;""=C245&amp;"")*(tbl_Finance[Xero Invoice No]&lt;&gt;"")),tbl_Finance[Xero Invoice No])&amp;" +more"),"")))</f>
        <v/>
      </c>
      <c r="C245" s="24" t="n"/>
      <c r="D245" s="25">
        <f>IF(C245="","",IF(COUNTIF(lst_Jobs,C245&amp;"")&gt;0,"OK","CHECK"))</f>
        <v/>
      </c>
      <c r="E245" s="25">
        <f>IF(C245="","",IFERROR(INDEX(lst_JobName,MATCH(C245&amp;"",lst_Jobs,0)),""))</f>
        <v/>
      </c>
      <c r="F245" s="25">
        <f>IF(C245="","",IFERROR(INDEX(tbl_Finance[Client],IFERROR(MATCH(C245&amp;"",tbl_Finance[Job Number],0),MATCH(IFERROR(C245+0,C245),tbl_Finance[Job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6" t="n"/>
      <c r="L245" s="27">
        <f>IF(C245="","",IF(K245="",0,MAX(0,K245-H245)))</f>
        <v/>
      </c>
      <c r="M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N245" s="27">
        <f>IF(C245="","",SUMIFS(tbl_Finance[Inc GST],tbl_Finance[Job Number],C245&amp;""))</f>
        <v/>
      </c>
      <c r="O245" s="24" t="n"/>
      <c r="P245" s="25">
        <f>IF(C245="","",IFERROR(INDEX(tbl_Finance[Description],MATCH(C245&amp;"",tbl_Finance[Job Number],0)),""))</f>
        <v/>
      </c>
      <c r="Q245" s="24" t="n"/>
      <c r="R245" s="24" t="n"/>
      <c r="S245" s="22" t="n"/>
      <c r="T245" s="24" t="n"/>
      <c r="U245" s="25">
        <f>IF(T245="","",IF(AND(LEFT(T245,4)&lt;&gt;"http",set_RMSBase=""),"",HYPERLINK(IF(LEFT(T245,4)="http",T245,set_RMSBase&amp;T245),"Open opportunity")))</f>
        <v/>
      </c>
      <c r="V245" s="24" t="n"/>
      <c r="W245" s="25">
        <f>IF(V245="","",HYPERLINK(IF(LEFT(V245,4)="http",V245,set_QwilrBase&amp;V245),"Open quote"))</f>
        <v/>
      </c>
      <c r="X245" s="25">
        <f>IF(C245="","",C245)</f>
        <v/>
      </c>
      <c r="Y245" s="24" t="n"/>
      <c r="Z245" s="26" t="n"/>
      <c r="AA245" s="27">
        <f>IF(C245="","",H245+N(Z245))</f>
        <v/>
      </c>
      <c r="AB245" s="29">
        <f>IFERROR(Z245/AA245,"")</f>
        <v/>
      </c>
      <c r="AC245" s="26" t="n"/>
      <c r="AD245" s="26" t="n"/>
      <c r="AE245" s="26" t="n"/>
      <c r="AF245" s="26" t="n"/>
      <c r="AG245" s="27">
        <f>IF(C245="","",SUMIFS(tbl_Finance[Ex GST],tbl_Finance[Job Number],C245&amp;"",tbl_Finance[Cost Centre],"VIDEO"))</f>
        <v/>
      </c>
      <c r="AH245" s="29">
        <f>IFERROR(AG245/H245,"")</f>
        <v/>
      </c>
      <c r="AI245" s="27">
        <f>IF(C245="","",N(AC245)+N(AD245)+N(AE245)+N(AF245))</f>
        <v/>
      </c>
      <c r="AJ245" s="27">
        <f>IF(C245="","",H245+L245-AI245)</f>
        <v/>
      </c>
      <c r="AK245" s="29">
        <f>IFERROR(AJ245/(H245+L245),"")</f>
        <v/>
      </c>
      <c r="AL245" s="71" t="n"/>
      <c r="AM245" s="71" t="n"/>
      <c r="AN245" s="71" t="n"/>
      <c r="AO245" s="71" t="n"/>
      <c r="AP245" s="71" t="n"/>
      <c r="AQ245" s="24" t="n"/>
    </row>
    <row r="246" ht="15" customHeight="1">
      <c r="A246" s="70">
        <f>IF(C246="","",IFERROR(IF(SUMPRODUCT(MAX((tbl_Finance[Job Number]&amp;""=C246&amp;"")*(tbl_Finance[Xero Invoice No]&lt;&gt;"")*tbl_Finance[Date]))=0,"",SUMPRODUCT(MAX((tbl_Finance[Job Number]&amp;""=C246&amp;"")*(tbl_Finance[Xero Invoice No]&lt;&gt;"")*tbl_Finance[Date]))),""))</f>
        <v/>
      </c>
      <c r="B246" s="25">
        <f>IF(C246="","",IF(COUNTIFS(tbl_Finance[Job Number],C246&amp;"",tbl_Finance[Xero Invoice No],"&lt;&gt;")=0,"",IFERROR(IF(COUNTIFS(tbl_Finance[Job Number],C246&amp;"",tbl_Finance[Xero Invoice No],LOOKUP(2,1/((tbl_Finance[Job Number]&amp;""=C246&amp;"")*(tbl_Finance[Xero Invoice No]&lt;&gt;"")),tbl_Finance[Xero Invoice No]))=COUNTIFS(tbl_Finance[Job Number],C246&amp;"",tbl_Finance[Xero Invoice No],"&lt;&gt;"),LOOKUP(2,1/((tbl_Finance[Job Number]&amp;""=C246&amp;"")*(tbl_Finance[Xero Invoice No]&lt;&gt;"")),tbl_Finance[Xero Invoice No]),LOOKUP(2,1/((tbl_Finance[Job Number]&amp;""=C246&amp;"")*(tbl_Finance[Xero Invoice No]&lt;&gt;"")),tbl_Finance[Xero Invoice No])&amp;" +more"),"")))</f>
        <v/>
      </c>
      <c r="C246" s="24" t="n"/>
      <c r="D246" s="25">
        <f>IF(C246="","",IF(COUNTIF(lst_Jobs,C246&amp;"")&gt;0,"OK","CHECK"))</f>
        <v/>
      </c>
      <c r="E246" s="25">
        <f>IF(C246="","",IFERROR(INDEX(lst_JobName,MATCH(C246&amp;"",lst_Jobs,0)),""))</f>
        <v/>
      </c>
      <c r="F246" s="25">
        <f>IF(C246="","",IFERROR(INDEX(tbl_Finance[Client],IFERROR(MATCH(C246&amp;"",tbl_Finance[Job Number],0),MATCH(IFERROR(C246+0,C246),tbl_Finance[Job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6" t="n"/>
      <c r="L246" s="27">
        <f>IF(C246="","",IF(K246="",0,MAX(0,K246-H246)))</f>
        <v/>
      </c>
      <c r="M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N246" s="27">
        <f>IF(C246="","",SUMIFS(tbl_Finance[Inc GST],tbl_Finance[Job Number],C246&amp;""))</f>
        <v/>
      </c>
      <c r="O246" s="24" t="n"/>
      <c r="P246" s="25">
        <f>IF(C246="","",IFERROR(INDEX(tbl_Finance[Description],MATCH(C246&amp;"",tbl_Finance[Job Number],0)),""))</f>
        <v/>
      </c>
      <c r="Q246" s="24" t="n"/>
      <c r="R246" s="24" t="n"/>
      <c r="S246" s="22" t="n"/>
      <c r="T246" s="24" t="n"/>
      <c r="U246" s="25">
        <f>IF(T246="","",IF(AND(LEFT(T246,4)&lt;&gt;"http",set_RMSBase=""),"",HYPERLINK(IF(LEFT(T246,4)="http",T246,set_RMSBase&amp;T246),"Open opportunity")))</f>
        <v/>
      </c>
      <c r="V246" s="24" t="n"/>
      <c r="W246" s="25">
        <f>IF(V246="","",HYPERLINK(IF(LEFT(V246,4)="http",V246,set_QwilrBase&amp;V246),"Open quote"))</f>
        <v/>
      </c>
      <c r="X246" s="25">
        <f>IF(C246="","",C246)</f>
        <v/>
      </c>
      <c r="Y246" s="24" t="n"/>
      <c r="Z246" s="26" t="n"/>
      <c r="AA246" s="27">
        <f>IF(C246="","",H246+N(Z246))</f>
        <v/>
      </c>
      <c r="AB246" s="29">
        <f>IFERROR(Z246/AA246,"")</f>
        <v/>
      </c>
      <c r="AC246" s="26" t="n"/>
      <c r="AD246" s="26" t="n"/>
      <c r="AE246" s="26" t="n"/>
      <c r="AF246" s="26" t="n"/>
      <c r="AG246" s="27">
        <f>IF(C246="","",SUMIFS(tbl_Finance[Ex GST],tbl_Finance[Job Number],C246&amp;"",tbl_Finance[Cost Centre],"VIDEO"))</f>
        <v/>
      </c>
      <c r="AH246" s="29">
        <f>IFERROR(AG246/H246,"")</f>
        <v/>
      </c>
      <c r="AI246" s="27">
        <f>IF(C246="","",N(AC246)+N(AD246)+N(AE246)+N(AF246))</f>
        <v/>
      </c>
      <c r="AJ246" s="27">
        <f>IF(C246="","",H246+L246-AI246)</f>
        <v/>
      </c>
      <c r="AK246" s="29">
        <f>IFERROR(AJ246/(H246+L246),"")</f>
        <v/>
      </c>
      <c r="AL246" s="71" t="n"/>
      <c r="AM246" s="71" t="n"/>
      <c r="AN246" s="71" t="n"/>
      <c r="AO246" s="71" t="n"/>
      <c r="AP246" s="71" t="n"/>
      <c r="AQ246" s="24" t="n"/>
    </row>
    <row r="247" ht="15" customHeight="1">
      <c r="A247" s="70">
        <f>IF(C247="","",IFERROR(IF(SUMPRODUCT(MAX((tbl_Finance[Job Number]&amp;""=C247&amp;"")*(tbl_Finance[Xero Invoice No]&lt;&gt;"")*tbl_Finance[Date]))=0,"",SUMPRODUCT(MAX((tbl_Finance[Job Number]&amp;""=C247&amp;"")*(tbl_Finance[Xero Invoice No]&lt;&gt;"")*tbl_Finance[Date]))),""))</f>
        <v/>
      </c>
      <c r="B247" s="25">
        <f>IF(C247="","",IF(COUNTIFS(tbl_Finance[Job Number],C247&amp;"",tbl_Finance[Xero Invoice No],"&lt;&gt;")=0,"",IFERROR(IF(COUNTIFS(tbl_Finance[Job Number],C247&amp;"",tbl_Finance[Xero Invoice No],LOOKUP(2,1/((tbl_Finance[Job Number]&amp;""=C247&amp;"")*(tbl_Finance[Xero Invoice No]&lt;&gt;"")),tbl_Finance[Xero Invoice No]))=COUNTIFS(tbl_Finance[Job Number],C247&amp;"",tbl_Finance[Xero Invoice No],"&lt;&gt;"),LOOKUP(2,1/((tbl_Finance[Job Number]&amp;""=C247&amp;"")*(tbl_Finance[Xero Invoice No]&lt;&gt;"")),tbl_Finance[Xero Invoice No]),LOOKUP(2,1/((tbl_Finance[Job Number]&amp;""=C247&amp;"")*(tbl_Finance[Xero Invoice No]&lt;&gt;"")),tbl_Finance[Xero Invoice No])&amp;" +more"),"")))</f>
        <v/>
      </c>
      <c r="C247" s="24" t="n"/>
      <c r="D247" s="25">
        <f>IF(C247="","",IF(COUNTIF(lst_Jobs,C247&amp;"")&gt;0,"OK","CHECK"))</f>
        <v/>
      </c>
      <c r="E247" s="25">
        <f>IF(C247="","",IFERROR(INDEX(lst_JobName,MATCH(C247&amp;"",lst_Jobs,0)),""))</f>
        <v/>
      </c>
      <c r="F247" s="25">
        <f>IF(C247="","",IFERROR(INDEX(tbl_Finance[Client],IFERROR(MATCH(C247&amp;"",tbl_Finance[Job Number],0),MATCH(IFERROR(C247+0,C247),tbl_Finance[Job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6" t="n"/>
      <c r="L247" s="27">
        <f>IF(C247="","",IF(K247="",0,MAX(0,K247-H247)))</f>
        <v/>
      </c>
      <c r="M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N247" s="27">
        <f>IF(C247="","",SUMIFS(tbl_Finance[Inc GST],tbl_Finance[Job Number],C247&amp;""))</f>
        <v/>
      </c>
      <c r="O247" s="24" t="n"/>
      <c r="P247" s="25">
        <f>IF(C247="","",IFERROR(INDEX(tbl_Finance[Description],MATCH(C247&amp;"",tbl_Finance[Job Number],0)),""))</f>
        <v/>
      </c>
      <c r="Q247" s="24" t="n"/>
      <c r="R247" s="24" t="n"/>
      <c r="S247" s="22" t="n"/>
      <c r="T247" s="24" t="n"/>
      <c r="U247" s="25">
        <f>IF(T247="","",IF(AND(LEFT(T247,4)&lt;&gt;"http",set_RMSBase=""),"",HYPERLINK(IF(LEFT(T247,4)="http",T247,set_RMSBase&amp;T247),"Open opportunity")))</f>
        <v/>
      </c>
      <c r="V247" s="24" t="n"/>
      <c r="W247" s="25">
        <f>IF(V247="","",HYPERLINK(IF(LEFT(V247,4)="http",V247,set_QwilrBase&amp;V247),"Open quote"))</f>
        <v/>
      </c>
      <c r="X247" s="25">
        <f>IF(C247="","",C247)</f>
        <v/>
      </c>
      <c r="Y247" s="24" t="n"/>
      <c r="Z247" s="26" t="n"/>
      <c r="AA247" s="27">
        <f>IF(C247="","",H247+N(Z247))</f>
        <v/>
      </c>
      <c r="AB247" s="29">
        <f>IFERROR(Z247/AA247,"")</f>
        <v/>
      </c>
      <c r="AC247" s="26" t="n"/>
      <c r="AD247" s="26" t="n"/>
      <c r="AE247" s="26" t="n"/>
      <c r="AF247" s="26" t="n"/>
      <c r="AG247" s="27">
        <f>IF(C247="","",SUMIFS(tbl_Finance[Ex GST],tbl_Finance[Job Number],C247&amp;"",tbl_Finance[Cost Centre],"VIDEO"))</f>
        <v/>
      </c>
      <c r="AH247" s="29">
        <f>IFERROR(AG247/H247,"")</f>
        <v/>
      </c>
      <c r="AI247" s="27">
        <f>IF(C247="","",N(AC247)+N(AD247)+N(AE247)+N(AF247))</f>
        <v/>
      </c>
      <c r="AJ247" s="27">
        <f>IF(C247="","",H247+L247-AI247)</f>
        <v/>
      </c>
      <c r="AK247" s="29">
        <f>IFERROR(AJ247/(H247+L247),"")</f>
        <v/>
      </c>
      <c r="AL247" s="71" t="n"/>
      <c r="AM247" s="71" t="n"/>
      <c r="AN247" s="71" t="n"/>
      <c r="AO247" s="71" t="n"/>
      <c r="AP247" s="71" t="n"/>
      <c r="AQ247" s="24" t="n"/>
    </row>
    <row r="248" ht="15" customHeight="1">
      <c r="A248" s="70">
        <f>IF(C248="","",IFERROR(IF(SUMPRODUCT(MAX((tbl_Finance[Job Number]&amp;""=C248&amp;"")*(tbl_Finance[Xero Invoice No]&lt;&gt;"")*tbl_Finance[Date]))=0,"",SUMPRODUCT(MAX((tbl_Finance[Job Number]&amp;""=C248&amp;"")*(tbl_Finance[Xero Invoice No]&lt;&gt;"")*tbl_Finance[Date]))),""))</f>
        <v/>
      </c>
      <c r="B248" s="25">
        <f>IF(C248="","",IF(COUNTIFS(tbl_Finance[Job Number],C248&amp;"",tbl_Finance[Xero Invoice No],"&lt;&gt;")=0,"",IFERROR(IF(COUNTIFS(tbl_Finance[Job Number],C248&amp;"",tbl_Finance[Xero Invoice No],LOOKUP(2,1/((tbl_Finance[Job Number]&amp;""=C248&amp;"")*(tbl_Finance[Xero Invoice No]&lt;&gt;"")),tbl_Finance[Xero Invoice No]))=COUNTIFS(tbl_Finance[Job Number],C248&amp;"",tbl_Finance[Xero Invoice No],"&lt;&gt;"),LOOKUP(2,1/((tbl_Finance[Job Number]&amp;""=C248&amp;"")*(tbl_Finance[Xero Invoice No]&lt;&gt;"")),tbl_Finance[Xero Invoice No]),LOOKUP(2,1/((tbl_Finance[Job Number]&amp;""=C248&amp;"")*(tbl_Finance[Xero Invoice No]&lt;&gt;"")),tbl_Finance[Xero Invoice No])&amp;" +more"),"")))</f>
        <v/>
      </c>
      <c r="C248" s="24" t="n"/>
      <c r="D248" s="25">
        <f>IF(C248="","",IF(COUNTIF(lst_Jobs,C248&amp;"")&gt;0,"OK","CHECK"))</f>
        <v/>
      </c>
      <c r="E248" s="25">
        <f>IF(C248="","",IFERROR(INDEX(lst_JobName,MATCH(C248&amp;"",lst_Jobs,0)),""))</f>
        <v/>
      </c>
      <c r="F248" s="25">
        <f>IF(C248="","",IFERROR(INDEX(tbl_Finance[Client],IFERROR(MATCH(C248&amp;"",tbl_Finance[Job Number],0),MATCH(IFERROR(C248+0,C248),tbl_Finance[Job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6" t="n"/>
      <c r="L248" s="27">
        <f>IF(C248="","",IF(K248="",0,MAX(0,K248-H248)))</f>
        <v/>
      </c>
      <c r="M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N248" s="27">
        <f>IF(C248="","",SUMIFS(tbl_Finance[Inc GST],tbl_Finance[Job Number],C248&amp;""))</f>
        <v/>
      </c>
      <c r="O248" s="24" t="n"/>
      <c r="P248" s="25">
        <f>IF(C248="","",IFERROR(INDEX(tbl_Finance[Description],MATCH(C248&amp;"",tbl_Finance[Job Number],0)),""))</f>
        <v/>
      </c>
      <c r="Q248" s="24" t="n"/>
      <c r="R248" s="24" t="n"/>
      <c r="S248" s="22" t="n"/>
      <c r="T248" s="24" t="n"/>
      <c r="U248" s="25">
        <f>IF(T248="","",IF(AND(LEFT(T248,4)&lt;&gt;"http",set_RMSBase=""),"",HYPERLINK(IF(LEFT(T248,4)="http",T248,set_RMSBase&amp;T248),"Open opportunity")))</f>
        <v/>
      </c>
      <c r="V248" s="24" t="n"/>
      <c r="W248" s="25">
        <f>IF(V248="","",HYPERLINK(IF(LEFT(V248,4)="http",V248,set_QwilrBase&amp;V248),"Open quote"))</f>
        <v/>
      </c>
      <c r="X248" s="25">
        <f>IF(C248="","",C248)</f>
        <v/>
      </c>
      <c r="Y248" s="24" t="n"/>
      <c r="Z248" s="26" t="n"/>
      <c r="AA248" s="27">
        <f>IF(C248="","",H248+N(Z248))</f>
        <v/>
      </c>
      <c r="AB248" s="29">
        <f>IFERROR(Z248/AA248,"")</f>
        <v/>
      </c>
      <c r="AC248" s="26" t="n"/>
      <c r="AD248" s="26" t="n"/>
      <c r="AE248" s="26" t="n"/>
      <c r="AF248" s="26" t="n"/>
      <c r="AG248" s="27">
        <f>IF(C248="","",SUMIFS(tbl_Finance[Ex GST],tbl_Finance[Job Number],C248&amp;"",tbl_Finance[Cost Centre],"VIDEO"))</f>
        <v/>
      </c>
      <c r="AH248" s="29">
        <f>IFERROR(AG248/H248,"")</f>
        <v/>
      </c>
      <c r="AI248" s="27">
        <f>IF(C248="","",N(AC248)+N(AD248)+N(AE248)+N(AF248))</f>
        <v/>
      </c>
      <c r="AJ248" s="27">
        <f>IF(C248="","",H248+L248-AI248)</f>
        <v/>
      </c>
      <c r="AK248" s="29">
        <f>IFERROR(AJ248/(H248+L248),"")</f>
        <v/>
      </c>
      <c r="AL248" s="71" t="n"/>
      <c r="AM248" s="71" t="n"/>
      <c r="AN248" s="71" t="n"/>
      <c r="AO248" s="71" t="n"/>
      <c r="AP248" s="71" t="n"/>
      <c r="AQ248" s="24" t="n"/>
    </row>
    <row r="249" ht="15" customHeight="1">
      <c r="A249" s="70">
        <f>IF(C249="","",IFERROR(IF(SUMPRODUCT(MAX((tbl_Finance[Job Number]&amp;""=C249&amp;"")*(tbl_Finance[Xero Invoice No]&lt;&gt;"")*tbl_Finance[Date]))=0,"",SUMPRODUCT(MAX((tbl_Finance[Job Number]&amp;""=C249&amp;"")*(tbl_Finance[Xero Invoice No]&lt;&gt;"")*tbl_Finance[Date]))),""))</f>
        <v/>
      </c>
      <c r="B249" s="25">
        <f>IF(C249="","",IF(COUNTIFS(tbl_Finance[Job Number],C249&amp;"",tbl_Finance[Xero Invoice No],"&lt;&gt;")=0,"",IFERROR(IF(COUNTIFS(tbl_Finance[Job Number],C249&amp;"",tbl_Finance[Xero Invoice No],LOOKUP(2,1/((tbl_Finance[Job Number]&amp;""=C249&amp;"")*(tbl_Finance[Xero Invoice No]&lt;&gt;"")),tbl_Finance[Xero Invoice No]))=COUNTIFS(tbl_Finance[Job Number],C249&amp;"",tbl_Finance[Xero Invoice No],"&lt;&gt;"),LOOKUP(2,1/((tbl_Finance[Job Number]&amp;""=C249&amp;"")*(tbl_Finance[Xero Invoice No]&lt;&gt;"")),tbl_Finance[Xero Invoice No]),LOOKUP(2,1/((tbl_Finance[Job Number]&amp;""=C249&amp;"")*(tbl_Finance[Xero Invoice No]&lt;&gt;"")),tbl_Finance[Xero Invoice No])&amp;" +more"),"")))</f>
        <v/>
      </c>
      <c r="C249" s="24" t="n"/>
      <c r="D249" s="25">
        <f>IF(C249="","",IF(COUNTIF(lst_Jobs,C249&amp;"")&gt;0,"OK","CHECK"))</f>
        <v/>
      </c>
      <c r="E249" s="25">
        <f>IF(C249="","",IFERROR(INDEX(lst_JobName,MATCH(C249&amp;"",lst_Jobs,0)),""))</f>
        <v/>
      </c>
      <c r="F249" s="25">
        <f>IF(C249="","",IFERROR(INDEX(tbl_Finance[Client],IFERROR(MATCH(C249&amp;"",tbl_Finance[Job Number],0),MATCH(IFERROR(C249+0,C249),tbl_Finance[Job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6" t="n"/>
      <c r="L249" s="27">
        <f>IF(C249="","",IF(K249="",0,MAX(0,K249-H249)))</f>
        <v/>
      </c>
      <c r="M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N249" s="27">
        <f>IF(C249="","",SUMIFS(tbl_Finance[Inc GST],tbl_Finance[Job Number],C249&amp;""))</f>
        <v/>
      </c>
      <c r="O249" s="24" t="n"/>
      <c r="P249" s="25">
        <f>IF(C249="","",IFERROR(INDEX(tbl_Finance[Description],MATCH(C249&amp;"",tbl_Finance[Job Number],0)),""))</f>
        <v/>
      </c>
      <c r="Q249" s="24" t="n"/>
      <c r="R249" s="24" t="n"/>
      <c r="S249" s="22" t="n"/>
      <c r="T249" s="24" t="n"/>
      <c r="U249" s="25">
        <f>IF(T249="","",IF(AND(LEFT(T249,4)&lt;&gt;"http",set_RMSBase=""),"",HYPERLINK(IF(LEFT(T249,4)="http",T249,set_RMSBase&amp;T249),"Open opportunity")))</f>
        <v/>
      </c>
      <c r="V249" s="24" t="n"/>
      <c r="W249" s="25">
        <f>IF(V249="","",HYPERLINK(IF(LEFT(V249,4)="http",V249,set_QwilrBase&amp;V249),"Open quote"))</f>
        <v/>
      </c>
      <c r="X249" s="25">
        <f>IF(C249="","",C249)</f>
        <v/>
      </c>
      <c r="Y249" s="24" t="n"/>
      <c r="Z249" s="26" t="n"/>
      <c r="AA249" s="27">
        <f>IF(C249="","",H249+N(Z249))</f>
        <v/>
      </c>
      <c r="AB249" s="29">
        <f>IFERROR(Z249/AA249,"")</f>
        <v/>
      </c>
      <c r="AC249" s="26" t="n"/>
      <c r="AD249" s="26" t="n"/>
      <c r="AE249" s="26" t="n"/>
      <c r="AF249" s="26" t="n"/>
      <c r="AG249" s="27">
        <f>IF(C249="","",SUMIFS(tbl_Finance[Ex GST],tbl_Finance[Job Number],C249&amp;"",tbl_Finance[Cost Centre],"VIDEO"))</f>
        <v/>
      </c>
      <c r="AH249" s="29">
        <f>IFERROR(AG249/H249,"")</f>
        <v/>
      </c>
      <c r="AI249" s="27">
        <f>IF(C249="","",N(AC249)+N(AD249)+N(AE249)+N(AF249))</f>
        <v/>
      </c>
      <c r="AJ249" s="27">
        <f>IF(C249="","",H249+L249-AI249)</f>
        <v/>
      </c>
      <c r="AK249" s="29">
        <f>IFERROR(AJ249/(H249+L249),"")</f>
        <v/>
      </c>
      <c r="AL249" s="71" t="n"/>
      <c r="AM249" s="71" t="n"/>
      <c r="AN249" s="71" t="n"/>
      <c r="AO249" s="71" t="n"/>
      <c r="AP249" s="71" t="n"/>
      <c r="AQ249" s="24" t="n"/>
    </row>
    <row r="250" ht="15" customHeight="1">
      <c r="A250" s="70">
        <f>IF(C250="","",IFERROR(IF(SUMPRODUCT(MAX((tbl_Finance[Job Number]&amp;""=C250&amp;"")*(tbl_Finance[Xero Invoice No]&lt;&gt;"")*tbl_Finance[Date]))=0,"",SUMPRODUCT(MAX((tbl_Finance[Job Number]&amp;""=C250&amp;"")*(tbl_Finance[Xero Invoice No]&lt;&gt;"")*tbl_Finance[Date]))),""))</f>
        <v/>
      </c>
      <c r="B250" s="25">
        <f>IF(C250="","",IF(COUNTIFS(tbl_Finance[Job Number],C250&amp;"",tbl_Finance[Xero Invoice No],"&lt;&gt;")=0,"",IFERROR(IF(COUNTIFS(tbl_Finance[Job Number],C250&amp;"",tbl_Finance[Xero Invoice No],LOOKUP(2,1/((tbl_Finance[Job Number]&amp;""=C250&amp;"")*(tbl_Finance[Xero Invoice No]&lt;&gt;"")),tbl_Finance[Xero Invoice No]))=COUNTIFS(tbl_Finance[Job Number],C250&amp;"",tbl_Finance[Xero Invoice No],"&lt;&gt;"),LOOKUP(2,1/((tbl_Finance[Job Number]&amp;""=C250&amp;"")*(tbl_Finance[Xero Invoice No]&lt;&gt;"")),tbl_Finance[Xero Invoice No]),LOOKUP(2,1/((tbl_Finance[Job Number]&amp;""=C250&amp;"")*(tbl_Finance[Xero Invoice No]&lt;&gt;"")),tbl_Finance[Xero Invoice No])&amp;" +more"),"")))</f>
        <v/>
      </c>
      <c r="C250" s="24" t="n"/>
      <c r="D250" s="25">
        <f>IF(C250="","",IF(COUNTIF(lst_Jobs,C250&amp;"")&gt;0,"OK","CHECK"))</f>
        <v/>
      </c>
      <c r="E250" s="25">
        <f>IF(C250="","",IFERROR(INDEX(lst_JobName,MATCH(C250&amp;"",lst_Jobs,0)),""))</f>
        <v/>
      </c>
      <c r="F250" s="25">
        <f>IF(C250="","",IFERROR(INDEX(tbl_Finance[Client],IFERROR(MATCH(C250&amp;"",tbl_Finance[Job Number],0),MATCH(IFERROR(C250+0,C250),tbl_Finance[Job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6" t="n"/>
      <c r="L250" s="27">
        <f>IF(C250="","",IF(K250="",0,MAX(0,K250-H250)))</f>
        <v/>
      </c>
      <c r="M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N250" s="27">
        <f>IF(C250="","",SUMIFS(tbl_Finance[Inc GST],tbl_Finance[Job Number],C250&amp;""))</f>
        <v/>
      </c>
      <c r="O250" s="24" t="n"/>
      <c r="P250" s="25">
        <f>IF(C250="","",IFERROR(INDEX(tbl_Finance[Description],MATCH(C250&amp;"",tbl_Finance[Job Number],0)),""))</f>
        <v/>
      </c>
      <c r="Q250" s="24" t="n"/>
      <c r="R250" s="24" t="n"/>
      <c r="S250" s="22" t="n"/>
      <c r="T250" s="24" t="n"/>
      <c r="U250" s="25">
        <f>IF(T250="","",IF(AND(LEFT(T250,4)&lt;&gt;"http",set_RMSBase=""),"",HYPERLINK(IF(LEFT(T250,4)="http",T250,set_RMSBase&amp;T250),"Open opportunity")))</f>
        <v/>
      </c>
      <c r="V250" s="24" t="n"/>
      <c r="W250" s="25">
        <f>IF(V250="","",HYPERLINK(IF(LEFT(V250,4)="http",V250,set_QwilrBase&amp;V250),"Open quote"))</f>
        <v/>
      </c>
      <c r="X250" s="25">
        <f>IF(C250="","",C250)</f>
        <v/>
      </c>
      <c r="Y250" s="24" t="n"/>
      <c r="Z250" s="26" t="n"/>
      <c r="AA250" s="27">
        <f>IF(C250="","",H250+N(Z250))</f>
        <v/>
      </c>
      <c r="AB250" s="29">
        <f>IFERROR(Z250/AA250,"")</f>
        <v/>
      </c>
      <c r="AC250" s="26" t="n"/>
      <c r="AD250" s="26" t="n"/>
      <c r="AE250" s="26" t="n"/>
      <c r="AF250" s="26" t="n"/>
      <c r="AG250" s="27">
        <f>IF(C250="","",SUMIFS(tbl_Finance[Ex GST],tbl_Finance[Job Number],C250&amp;"",tbl_Finance[Cost Centre],"VIDEO"))</f>
        <v/>
      </c>
      <c r="AH250" s="29">
        <f>IFERROR(AG250/H250,"")</f>
        <v/>
      </c>
      <c r="AI250" s="27">
        <f>IF(C250="","",N(AC250)+N(AD250)+N(AE250)+N(AF250))</f>
        <v/>
      </c>
      <c r="AJ250" s="27">
        <f>IF(C250="","",H250+L250-AI250)</f>
        <v/>
      </c>
      <c r="AK250" s="29">
        <f>IFERROR(AJ250/(H250+L250),"")</f>
        <v/>
      </c>
      <c r="AL250" s="71" t="n"/>
      <c r="AM250" s="71" t="n"/>
      <c r="AN250" s="71" t="n"/>
      <c r="AO250" s="71" t="n"/>
      <c r="AP250" s="71" t="n"/>
      <c r="AQ250" s="24" t="n"/>
    </row>
    <row r="251" ht="15" customHeight="1">
      <c r="A251" s="70">
        <f>IF(C251="","",IFERROR(IF(SUMPRODUCT(MAX((tbl_Finance[Job Number]&amp;""=C251&amp;"")*(tbl_Finance[Xero Invoice No]&lt;&gt;"")*tbl_Finance[Date]))=0,"",SUMPRODUCT(MAX((tbl_Finance[Job Number]&amp;""=C251&amp;"")*(tbl_Finance[Xero Invoice No]&lt;&gt;"")*tbl_Finance[Date]))),""))</f>
        <v/>
      </c>
      <c r="B251" s="25">
        <f>IF(C251="","",IF(COUNTIFS(tbl_Finance[Job Number],C251&amp;"",tbl_Finance[Xero Invoice No],"&lt;&gt;")=0,"",IFERROR(IF(COUNTIFS(tbl_Finance[Job Number],C251&amp;"",tbl_Finance[Xero Invoice No],LOOKUP(2,1/((tbl_Finance[Job Number]&amp;""=C251&amp;"")*(tbl_Finance[Xero Invoice No]&lt;&gt;"")),tbl_Finance[Xero Invoice No]))=COUNTIFS(tbl_Finance[Job Number],C251&amp;"",tbl_Finance[Xero Invoice No],"&lt;&gt;"),LOOKUP(2,1/((tbl_Finance[Job Number]&amp;""=C251&amp;"")*(tbl_Finance[Xero Invoice No]&lt;&gt;"")),tbl_Finance[Xero Invoice No]),LOOKUP(2,1/((tbl_Finance[Job Number]&amp;""=C251&amp;"")*(tbl_Finance[Xero Invoice No]&lt;&gt;"")),tbl_Finance[Xero Invoice No])&amp;" +more"),"")))</f>
        <v/>
      </c>
      <c r="C251" s="24" t="n"/>
      <c r="D251" s="25">
        <f>IF(C251="","",IF(COUNTIF(lst_Jobs,C251&amp;"")&gt;0,"OK","CHECK"))</f>
        <v/>
      </c>
      <c r="E251" s="25">
        <f>IF(C251="","",IFERROR(INDEX(lst_JobName,MATCH(C251&amp;"",lst_Jobs,0)),""))</f>
        <v/>
      </c>
      <c r="F251" s="25">
        <f>IF(C251="","",IFERROR(INDEX(tbl_Finance[Client],IFERROR(MATCH(C251&amp;"",tbl_Finance[Job Number],0),MATCH(IFERROR(C251+0,C251),tbl_Finance[Job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6" t="n"/>
      <c r="L251" s="27">
        <f>IF(C251="","",IF(K251="",0,MAX(0,K251-H251)))</f>
        <v/>
      </c>
      <c r="M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N251" s="27">
        <f>IF(C251="","",SUMIFS(tbl_Finance[Inc GST],tbl_Finance[Job Number],C251&amp;""))</f>
        <v/>
      </c>
      <c r="O251" s="24" t="n"/>
      <c r="P251" s="25">
        <f>IF(C251="","",IFERROR(INDEX(tbl_Finance[Description],MATCH(C251&amp;"",tbl_Finance[Job Number],0)),""))</f>
        <v/>
      </c>
      <c r="Q251" s="24" t="n"/>
      <c r="R251" s="24" t="n"/>
      <c r="S251" s="22" t="n"/>
      <c r="T251" s="24" t="n"/>
      <c r="U251" s="25">
        <f>IF(T251="","",IF(AND(LEFT(T251,4)&lt;&gt;"http",set_RMSBase=""),"",HYPERLINK(IF(LEFT(T251,4)="http",T251,set_RMSBase&amp;T251),"Open opportunity")))</f>
        <v/>
      </c>
      <c r="V251" s="24" t="n"/>
      <c r="W251" s="25">
        <f>IF(V251="","",HYPERLINK(IF(LEFT(V251,4)="http",V251,set_QwilrBase&amp;V251),"Open quote"))</f>
        <v/>
      </c>
      <c r="X251" s="25">
        <f>IF(C251="","",C251)</f>
        <v/>
      </c>
      <c r="Y251" s="24" t="n"/>
      <c r="Z251" s="26" t="n"/>
      <c r="AA251" s="27">
        <f>IF(C251="","",H251+N(Z251))</f>
        <v/>
      </c>
      <c r="AB251" s="29">
        <f>IFERROR(Z251/AA251,"")</f>
        <v/>
      </c>
      <c r="AC251" s="26" t="n"/>
      <c r="AD251" s="26" t="n"/>
      <c r="AE251" s="26" t="n"/>
      <c r="AF251" s="26" t="n"/>
      <c r="AG251" s="27">
        <f>IF(C251="","",SUMIFS(tbl_Finance[Ex GST],tbl_Finance[Job Number],C251&amp;"",tbl_Finance[Cost Centre],"VIDEO"))</f>
        <v/>
      </c>
      <c r="AH251" s="29">
        <f>IFERROR(AG251/H251,"")</f>
        <v/>
      </c>
      <c r="AI251" s="27">
        <f>IF(C251="","",N(AC251)+N(AD251)+N(AE251)+N(AF251))</f>
        <v/>
      </c>
      <c r="AJ251" s="27">
        <f>IF(C251="","",H251+L251-AI251)</f>
        <v/>
      </c>
      <c r="AK251" s="29">
        <f>IFERROR(AJ251/(H251+L251),"")</f>
        <v/>
      </c>
      <c r="AL251" s="71" t="n"/>
      <c r="AM251" s="71" t="n"/>
      <c r="AN251" s="71" t="n"/>
      <c r="AO251" s="71" t="n"/>
      <c r="AP251" s="71" t="n"/>
      <c r="AQ251" s="24" t="n"/>
    </row>
    <row r="252" ht="15" customHeight="1">
      <c r="A252" s="70">
        <f>IF(C252="","",IFERROR(IF(SUMPRODUCT(MAX((tbl_Finance[Job Number]&amp;""=C252&amp;"")*(tbl_Finance[Xero Invoice No]&lt;&gt;"")*tbl_Finance[Date]))=0,"",SUMPRODUCT(MAX((tbl_Finance[Job Number]&amp;""=C252&amp;"")*(tbl_Finance[Xero Invoice No]&lt;&gt;"")*tbl_Finance[Date]))),""))</f>
        <v/>
      </c>
      <c r="B252" s="25">
        <f>IF(C252="","",IF(COUNTIFS(tbl_Finance[Job Number],C252&amp;"",tbl_Finance[Xero Invoice No],"&lt;&gt;")=0,"",IFERROR(IF(COUNTIFS(tbl_Finance[Job Number],C252&amp;"",tbl_Finance[Xero Invoice No],LOOKUP(2,1/((tbl_Finance[Job Number]&amp;""=C252&amp;"")*(tbl_Finance[Xero Invoice No]&lt;&gt;"")),tbl_Finance[Xero Invoice No]))=COUNTIFS(tbl_Finance[Job Number],C252&amp;"",tbl_Finance[Xero Invoice No],"&lt;&gt;"),LOOKUP(2,1/((tbl_Finance[Job Number]&amp;""=C252&amp;"")*(tbl_Finance[Xero Invoice No]&lt;&gt;"")),tbl_Finance[Xero Invoice No]),LOOKUP(2,1/((tbl_Finance[Job Number]&amp;""=C252&amp;"")*(tbl_Finance[Xero Invoice No]&lt;&gt;"")),tbl_Finance[Xero Invoice No])&amp;" +more"),"")))</f>
        <v/>
      </c>
      <c r="C252" s="24" t="n"/>
      <c r="D252" s="25">
        <f>IF(C252="","",IF(COUNTIF(lst_Jobs,C252&amp;"")&gt;0,"OK","CHECK"))</f>
        <v/>
      </c>
      <c r="E252" s="25">
        <f>IF(C252="","",IFERROR(INDEX(lst_JobName,MATCH(C252&amp;"",lst_Jobs,0)),""))</f>
        <v/>
      </c>
      <c r="F252" s="25">
        <f>IF(C252="","",IFERROR(INDEX(tbl_Finance[Client],IFERROR(MATCH(C252&amp;"",tbl_Finance[Job Number],0),MATCH(IFERROR(C252+0,C252),tbl_Finance[Job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6" t="n"/>
      <c r="L252" s="27">
        <f>IF(C252="","",IF(K252="",0,MAX(0,K252-H252)))</f>
        <v/>
      </c>
      <c r="M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N252" s="27">
        <f>IF(C252="","",SUMIFS(tbl_Finance[Inc GST],tbl_Finance[Job Number],C252&amp;""))</f>
        <v/>
      </c>
      <c r="O252" s="24" t="n"/>
      <c r="P252" s="25">
        <f>IF(C252="","",IFERROR(INDEX(tbl_Finance[Description],MATCH(C252&amp;"",tbl_Finance[Job Number],0)),""))</f>
        <v/>
      </c>
      <c r="Q252" s="24" t="n"/>
      <c r="R252" s="24" t="n"/>
      <c r="S252" s="22" t="n"/>
      <c r="T252" s="24" t="n"/>
      <c r="U252" s="25">
        <f>IF(T252="","",IF(AND(LEFT(T252,4)&lt;&gt;"http",set_RMSBase=""),"",HYPERLINK(IF(LEFT(T252,4)="http",T252,set_RMSBase&amp;T252),"Open opportunity")))</f>
        <v/>
      </c>
      <c r="V252" s="24" t="n"/>
      <c r="W252" s="25">
        <f>IF(V252="","",HYPERLINK(IF(LEFT(V252,4)="http",V252,set_QwilrBase&amp;V252),"Open quote"))</f>
        <v/>
      </c>
      <c r="X252" s="25">
        <f>IF(C252="","",C252)</f>
        <v/>
      </c>
      <c r="Y252" s="24" t="n"/>
      <c r="Z252" s="26" t="n"/>
      <c r="AA252" s="27">
        <f>IF(C252="","",H252+N(Z252))</f>
        <v/>
      </c>
      <c r="AB252" s="29">
        <f>IFERROR(Z252/AA252,"")</f>
        <v/>
      </c>
      <c r="AC252" s="26" t="n"/>
      <c r="AD252" s="26" t="n"/>
      <c r="AE252" s="26" t="n"/>
      <c r="AF252" s="26" t="n"/>
      <c r="AG252" s="27">
        <f>IF(C252="","",SUMIFS(tbl_Finance[Ex GST],tbl_Finance[Job Number],C252&amp;"",tbl_Finance[Cost Centre],"VIDEO"))</f>
        <v/>
      </c>
      <c r="AH252" s="29">
        <f>IFERROR(AG252/H252,"")</f>
        <v/>
      </c>
      <c r="AI252" s="27">
        <f>IF(C252="","",N(AC252)+N(AD252)+N(AE252)+N(AF252))</f>
        <v/>
      </c>
      <c r="AJ252" s="27">
        <f>IF(C252="","",H252+L252-AI252)</f>
        <v/>
      </c>
      <c r="AK252" s="29">
        <f>IFERROR(AJ252/(H252+L252),"")</f>
        <v/>
      </c>
      <c r="AL252" s="71" t="n"/>
      <c r="AM252" s="71" t="n"/>
      <c r="AN252" s="71" t="n"/>
      <c r="AO252" s="71" t="n"/>
      <c r="AP252" s="71" t="n"/>
      <c r="AQ252" s="24" t="n"/>
    </row>
    <row r="253" ht="15" customHeight="1">
      <c r="A253" s="70">
        <f>IF(C253="","",IFERROR(IF(SUMPRODUCT(MAX((tbl_Finance[Job Number]&amp;""=C253&amp;"")*(tbl_Finance[Xero Invoice No]&lt;&gt;"")*tbl_Finance[Date]))=0,"",SUMPRODUCT(MAX((tbl_Finance[Job Number]&amp;""=C253&amp;"")*(tbl_Finance[Xero Invoice No]&lt;&gt;"")*tbl_Finance[Date]))),""))</f>
        <v/>
      </c>
      <c r="B253" s="25">
        <f>IF(C253="","",IF(COUNTIFS(tbl_Finance[Job Number],C253&amp;"",tbl_Finance[Xero Invoice No],"&lt;&gt;")=0,"",IFERROR(IF(COUNTIFS(tbl_Finance[Job Number],C253&amp;"",tbl_Finance[Xero Invoice No],LOOKUP(2,1/((tbl_Finance[Job Number]&amp;""=C253&amp;"")*(tbl_Finance[Xero Invoice No]&lt;&gt;"")),tbl_Finance[Xero Invoice No]))=COUNTIFS(tbl_Finance[Job Number],C253&amp;"",tbl_Finance[Xero Invoice No],"&lt;&gt;"),LOOKUP(2,1/((tbl_Finance[Job Number]&amp;""=C253&amp;"")*(tbl_Finance[Xero Invoice No]&lt;&gt;"")),tbl_Finance[Xero Invoice No]),LOOKUP(2,1/((tbl_Finance[Job Number]&amp;""=C253&amp;"")*(tbl_Finance[Xero Invoice No]&lt;&gt;"")),tbl_Finance[Xero Invoice No])&amp;" +more"),"")))</f>
        <v/>
      </c>
      <c r="C253" s="24" t="n"/>
      <c r="D253" s="25">
        <f>IF(C253="","",IF(COUNTIF(lst_Jobs,C253&amp;"")&gt;0,"OK","CHECK"))</f>
        <v/>
      </c>
      <c r="E253" s="25">
        <f>IF(C253="","",IFERROR(INDEX(lst_JobName,MATCH(C253&amp;"",lst_Jobs,0)),""))</f>
        <v/>
      </c>
      <c r="F253" s="25">
        <f>IF(C253="","",IFERROR(INDEX(tbl_Finance[Client],IFERROR(MATCH(C253&amp;"",tbl_Finance[Job Number],0),MATCH(IFERROR(C253+0,C253),tbl_Finance[Job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6" t="n"/>
      <c r="L253" s="27">
        <f>IF(C253="","",IF(K253="",0,MAX(0,K253-H253)))</f>
        <v/>
      </c>
      <c r="M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N253" s="27">
        <f>IF(C253="","",SUMIFS(tbl_Finance[Inc GST],tbl_Finance[Job Number],C253&amp;""))</f>
        <v/>
      </c>
      <c r="O253" s="24" t="n"/>
      <c r="P253" s="25">
        <f>IF(C253="","",IFERROR(INDEX(tbl_Finance[Description],MATCH(C253&amp;"",tbl_Finance[Job Number],0)),""))</f>
        <v/>
      </c>
      <c r="Q253" s="24" t="n"/>
      <c r="R253" s="24" t="n"/>
      <c r="S253" s="22" t="n"/>
      <c r="T253" s="24" t="n"/>
      <c r="U253" s="25">
        <f>IF(T253="","",IF(AND(LEFT(T253,4)&lt;&gt;"http",set_RMSBase=""),"",HYPERLINK(IF(LEFT(T253,4)="http",T253,set_RMSBase&amp;T253),"Open opportunity")))</f>
        <v/>
      </c>
      <c r="V253" s="24" t="n"/>
      <c r="W253" s="25">
        <f>IF(V253="","",HYPERLINK(IF(LEFT(V253,4)="http",V253,set_QwilrBase&amp;V253),"Open quote"))</f>
        <v/>
      </c>
      <c r="X253" s="25">
        <f>IF(C253="","",C253)</f>
        <v/>
      </c>
      <c r="Y253" s="24" t="n"/>
      <c r="Z253" s="26" t="n"/>
      <c r="AA253" s="27">
        <f>IF(C253="","",H253+N(Z253))</f>
        <v/>
      </c>
      <c r="AB253" s="29">
        <f>IFERROR(Z253/AA253,"")</f>
        <v/>
      </c>
      <c r="AC253" s="26" t="n"/>
      <c r="AD253" s="26" t="n"/>
      <c r="AE253" s="26" t="n"/>
      <c r="AF253" s="26" t="n"/>
      <c r="AG253" s="27">
        <f>IF(C253="","",SUMIFS(tbl_Finance[Ex GST],tbl_Finance[Job Number],C253&amp;"",tbl_Finance[Cost Centre],"VIDEO"))</f>
        <v/>
      </c>
      <c r="AH253" s="29">
        <f>IFERROR(AG253/H253,"")</f>
        <v/>
      </c>
      <c r="AI253" s="27">
        <f>IF(C253="","",N(AC253)+N(AD253)+N(AE253)+N(AF253))</f>
        <v/>
      </c>
      <c r="AJ253" s="27">
        <f>IF(C253="","",H253+L253-AI253)</f>
        <v/>
      </c>
      <c r="AK253" s="29">
        <f>IFERROR(AJ253/(H253+L253),"")</f>
        <v/>
      </c>
      <c r="AL253" s="71" t="n"/>
      <c r="AM253" s="71" t="n"/>
      <c r="AN253" s="71" t="n"/>
      <c r="AO253" s="71" t="n"/>
      <c r="AP253" s="71" t="n"/>
      <c r="AQ253" s="24" t="n"/>
    </row>
    <row r="254" ht="15" customHeight="1">
      <c r="A254" s="70">
        <f>IF(C254="","",IFERROR(IF(SUMPRODUCT(MAX((tbl_Finance[Job Number]&amp;""=C254&amp;"")*(tbl_Finance[Xero Invoice No]&lt;&gt;"")*tbl_Finance[Date]))=0,"",SUMPRODUCT(MAX((tbl_Finance[Job Number]&amp;""=C254&amp;"")*(tbl_Finance[Xero Invoice No]&lt;&gt;"")*tbl_Finance[Date]))),""))</f>
        <v/>
      </c>
      <c r="B254" s="25">
        <f>IF(C254="","",IF(COUNTIFS(tbl_Finance[Job Number],C254&amp;"",tbl_Finance[Xero Invoice No],"&lt;&gt;")=0,"",IFERROR(IF(COUNTIFS(tbl_Finance[Job Number],C254&amp;"",tbl_Finance[Xero Invoice No],LOOKUP(2,1/((tbl_Finance[Job Number]&amp;""=C254&amp;"")*(tbl_Finance[Xero Invoice No]&lt;&gt;"")),tbl_Finance[Xero Invoice No]))=COUNTIFS(tbl_Finance[Job Number],C254&amp;"",tbl_Finance[Xero Invoice No],"&lt;&gt;"),LOOKUP(2,1/((tbl_Finance[Job Number]&amp;""=C254&amp;"")*(tbl_Finance[Xero Invoice No]&lt;&gt;"")),tbl_Finance[Xero Invoice No]),LOOKUP(2,1/((tbl_Finance[Job Number]&amp;""=C254&amp;"")*(tbl_Finance[Xero Invoice No]&lt;&gt;"")),tbl_Finance[Xero Invoice No])&amp;" +more"),"")))</f>
        <v/>
      </c>
      <c r="C254" s="24" t="n"/>
      <c r="D254" s="25">
        <f>IF(C254="","",IF(COUNTIF(lst_Jobs,C254&amp;"")&gt;0,"OK","CHECK"))</f>
        <v/>
      </c>
      <c r="E254" s="25">
        <f>IF(C254="","",IFERROR(INDEX(lst_JobName,MATCH(C254&amp;"",lst_Jobs,0)),""))</f>
        <v/>
      </c>
      <c r="F254" s="25">
        <f>IF(C254="","",IFERROR(INDEX(tbl_Finance[Client],IFERROR(MATCH(C254&amp;"",tbl_Finance[Job Number],0),MATCH(IFERROR(C254+0,C254),tbl_Finance[Job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6" t="n"/>
      <c r="L254" s="27">
        <f>IF(C254="","",IF(K254="",0,MAX(0,K254-H254)))</f>
        <v/>
      </c>
      <c r="M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N254" s="27">
        <f>IF(C254="","",SUMIFS(tbl_Finance[Inc GST],tbl_Finance[Job Number],C254&amp;""))</f>
        <v/>
      </c>
      <c r="O254" s="24" t="n"/>
      <c r="P254" s="25">
        <f>IF(C254="","",IFERROR(INDEX(tbl_Finance[Description],MATCH(C254&amp;"",tbl_Finance[Job Number],0)),""))</f>
        <v/>
      </c>
      <c r="Q254" s="24" t="n"/>
      <c r="R254" s="24" t="n"/>
      <c r="S254" s="22" t="n"/>
      <c r="T254" s="24" t="n"/>
      <c r="U254" s="25">
        <f>IF(T254="","",IF(AND(LEFT(T254,4)&lt;&gt;"http",set_RMSBase=""),"",HYPERLINK(IF(LEFT(T254,4)="http",T254,set_RMSBase&amp;T254),"Open opportunity")))</f>
        <v/>
      </c>
      <c r="V254" s="24" t="n"/>
      <c r="W254" s="25">
        <f>IF(V254="","",HYPERLINK(IF(LEFT(V254,4)="http",V254,set_QwilrBase&amp;V254),"Open quote"))</f>
        <v/>
      </c>
      <c r="X254" s="25">
        <f>IF(C254="","",C254)</f>
        <v/>
      </c>
      <c r="Y254" s="24" t="n"/>
      <c r="Z254" s="26" t="n"/>
      <c r="AA254" s="27">
        <f>IF(C254="","",H254+N(Z254))</f>
        <v/>
      </c>
      <c r="AB254" s="29">
        <f>IFERROR(Z254/AA254,"")</f>
        <v/>
      </c>
      <c r="AC254" s="26" t="n"/>
      <c r="AD254" s="26" t="n"/>
      <c r="AE254" s="26" t="n"/>
      <c r="AF254" s="26" t="n"/>
      <c r="AG254" s="27">
        <f>IF(C254="","",SUMIFS(tbl_Finance[Ex GST],tbl_Finance[Job Number],C254&amp;"",tbl_Finance[Cost Centre],"VIDEO"))</f>
        <v/>
      </c>
      <c r="AH254" s="29">
        <f>IFERROR(AG254/H254,"")</f>
        <v/>
      </c>
      <c r="AI254" s="27">
        <f>IF(C254="","",N(AC254)+N(AD254)+N(AE254)+N(AF254))</f>
        <v/>
      </c>
      <c r="AJ254" s="27">
        <f>IF(C254="","",H254+L254-AI254)</f>
        <v/>
      </c>
      <c r="AK254" s="29">
        <f>IFERROR(AJ254/(H254+L254),"")</f>
        <v/>
      </c>
      <c r="AL254" s="71" t="n"/>
      <c r="AM254" s="71" t="n"/>
      <c r="AN254" s="71" t="n"/>
      <c r="AO254" s="71" t="n"/>
      <c r="AP254" s="71" t="n"/>
      <c r="AQ254" s="24" t="n"/>
    </row>
    <row r="255" ht="15" customHeight="1">
      <c r="A255" s="70">
        <f>IF(C255="","",IFERROR(IF(SUMPRODUCT(MAX((tbl_Finance[Job Number]&amp;""=C255&amp;"")*(tbl_Finance[Xero Invoice No]&lt;&gt;"")*tbl_Finance[Date]))=0,"",SUMPRODUCT(MAX((tbl_Finance[Job Number]&amp;""=C255&amp;"")*(tbl_Finance[Xero Invoice No]&lt;&gt;"")*tbl_Finance[Date]))),""))</f>
        <v/>
      </c>
      <c r="B255" s="25">
        <f>IF(C255="","",IF(COUNTIFS(tbl_Finance[Job Number],C255&amp;"",tbl_Finance[Xero Invoice No],"&lt;&gt;")=0,"",IFERROR(IF(COUNTIFS(tbl_Finance[Job Number],C255&amp;"",tbl_Finance[Xero Invoice No],LOOKUP(2,1/((tbl_Finance[Job Number]&amp;""=C255&amp;"")*(tbl_Finance[Xero Invoice No]&lt;&gt;"")),tbl_Finance[Xero Invoice No]))=COUNTIFS(tbl_Finance[Job Number],C255&amp;"",tbl_Finance[Xero Invoice No],"&lt;&gt;"),LOOKUP(2,1/((tbl_Finance[Job Number]&amp;""=C255&amp;"")*(tbl_Finance[Xero Invoice No]&lt;&gt;"")),tbl_Finance[Xero Invoice No]),LOOKUP(2,1/((tbl_Finance[Job Number]&amp;""=C255&amp;"")*(tbl_Finance[Xero Invoice No]&lt;&gt;"")),tbl_Finance[Xero Invoice No])&amp;" +more"),"")))</f>
        <v/>
      </c>
      <c r="C255" s="24" t="n"/>
      <c r="D255" s="25">
        <f>IF(C255="","",IF(COUNTIF(lst_Jobs,C255&amp;"")&gt;0,"OK","CHECK"))</f>
        <v/>
      </c>
      <c r="E255" s="25">
        <f>IF(C255="","",IFERROR(INDEX(lst_JobName,MATCH(C255&amp;"",lst_Jobs,0)),""))</f>
        <v/>
      </c>
      <c r="F255" s="25">
        <f>IF(C255="","",IFERROR(INDEX(tbl_Finance[Client],IFERROR(MATCH(C255&amp;"",tbl_Finance[Job Number],0),MATCH(IFERROR(C255+0,C255),tbl_Finance[Job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6" t="n"/>
      <c r="L255" s="27">
        <f>IF(C255="","",IF(K255="",0,MAX(0,K255-H255)))</f>
        <v/>
      </c>
      <c r="M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N255" s="27">
        <f>IF(C255="","",SUMIFS(tbl_Finance[Inc GST],tbl_Finance[Job Number],C255&amp;""))</f>
        <v/>
      </c>
      <c r="O255" s="24" t="n"/>
      <c r="P255" s="25">
        <f>IF(C255="","",IFERROR(INDEX(tbl_Finance[Description],MATCH(C255&amp;"",tbl_Finance[Job Number],0)),""))</f>
        <v/>
      </c>
      <c r="Q255" s="24" t="n"/>
      <c r="R255" s="24" t="n"/>
      <c r="S255" s="22" t="n"/>
      <c r="T255" s="24" t="n"/>
      <c r="U255" s="25">
        <f>IF(T255="","",IF(AND(LEFT(T255,4)&lt;&gt;"http",set_RMSBase=""),"",HYPERLINK(IF(LEFT(T255,4)="http",T255,set_RMSBase&amp;T255),"Open opportunity")))</f>
        <v/>
      </c>
      <c r="V255" s="24" t="n"/>
      <c r="W255" s="25">
        <f>IF(V255="","",HYPERLINK(IF(LEFT(V255,4)="http",V255,set_QwilrBase&amp;V255),"Open quote"))</f>
        <v/>
      </c>
      <c r="X255" s="25">
        <f>IF(C255="","",C255)</f>
        <v/>
      </c>
      <c r="Y255" s="24" t="n"/>
      <c r="Z255" s="26" t="n"/>
      <c r="AA255" s="27">
        <f>IF(C255="","",H255+N(Z255))</f>
        <v/>
      </c>
      <c r="AB255" s="29">
        <f>IFERROR(Z255/AA255,"")</f>
        <v/>
      </c>
      <c r="AC255" s="26" t="n"/>
      <c r="AD255" s="26" t="n"/>
      <c r="AE255" s="26" t="n"/>
      <c r="AF255" s="26" t="n"/>
      <c r="AG255" s="27">
        <f>IF(C255="","",SUMIFS(tbl_Finance[Ex GST],tbl_Finance[Job Number],C255&amp;"",tbl_Finance[Cost Centre],"VIDEO"))</f>
        <v/>
      </c>
      <c r="AH255" s="29">
        <f>IFERROR(AG255/H255,"")</f>
        <v/>
      </c>
      <c r="AI255" s="27">
        <f>IF(C255="","",N(AC255)+N(AD255)+N(AE255)+N(AF255))</f>
        <v/>
      </c>
      <c r="AJ255" s="27">
        <f>IF(C255="","",H255+L255-AI255)</f>
        <v/>
      </c>
      <c r="AK255" s="29">
        <f>IFERROR(AJ255/(H255+L255),"")</f>
        <v/>
      </c>
      <c r="AL255" s="71" t="n"/>
      <c r="AM255" s="71" t="n"/>
      <c r="AN255" s="71" t="n"/>
      <c r="AO255" s="71" t="n"/>
      <c r="AP255" s="71" t="n"/>
      <c r="AQ255" s="24" t="n"/>
    </row>
    <row r="256" ht="15" customHeight="1">
      <c r="A256" s="70">
        <f>IF(C256="","",IFERROR(IF(SUMPRODUCT(MAX((tbl_Finance[Job Number]&amp;""=C256&amp;"")*(tbl_Finance[Xero Invoice No]&lt;&gt;"")*tbl_Finance[Date]))=0,"",SUMPRODUCT(MAX((tbl_Finance[Job Number]&amp;""=C256&amp;"")*(tbl_Finance[Xero Invoice No]&lt;&gt;"")*tbl_Finance[Date]))),""))</f>
        <v/>
      </c>
      <c r="B256" s="25">
        <f>IF(C256="","",IF(COUNTIFS(tbl_Finance[Job Number],C256&amp;"",tbl_Finance[Xero Invoice No],"&lt;&gt;")=0,"",IFERROR(IF(COUNTIFS(tbl_Finance[Job Number],C256&amp;"",tbl_Finance[Xero Invoice No],LOOKUP(2,1/((tbl_Finance[Job Number]&amp;""=C256&amp;"")*(tbl_Finance[Xero Invoice No]&lt;&gt;"")),tbl_Finance[Xero Invoice No]))=COUNTIFS(tbl_Finance[Job Number],C256&amp;"",tbl_Finance[Xero Invoice No],"&lt;&gt;"),LOOKUP(2,1/((tbl_Finance[Job Number]&amp;""=C256&amp;"")*(tbl_Finance[Xero Invoice No]&lt;&gt;"")),tbl_Finance[Xero Invoice No]),LOOKUP(2,1/((tbl_Finance[Job Number]&amp;""=C256&amp;"")*(tbl_Finance[Xero Invoice No]&lt;&gt;"")),tbl_Finance[Xero Invoice No])&amp;" +more"),"")))</f>
        <v/>
      </c>
      <c r="C256" s="24" t="n"/>
      <c r="D256" s="25">
        <f>IF(C256="","",IF(COUNTIF(lst_Jobs,C256&amp;"")&gt;0,"OK","CHECK"))</f>
        <v/>
      </c>
      <c r="E256" s="25">
        <f>IF(C256="","",IFERROR(INDEX(lst_JobName,MATCH(C256&amp;"",lst_Jobs,0)),""))</f>
        <v/>
      </c>
      <c r="F256" s="25">
        <f>IF(C256="","",IFERROR(INDEX(tbl_Finance[Client],IFERROR(MATCH(C256&amp;"",tbl_Finance[Job Number],0),MATCH(IFERROR(C256+0,C256),tbl_Finance[Job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6" t="n"/>
      <c r="L256" s="27">
        <f>IF(C256="","",IF(K256="",0,MAX(0,K256-H256)))</f>
        <v/>
      </c>
      <c r="M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N256" s="27">
        <f>IF(C256="","",SUMIFS(tbl_Finance[Inc GST],tbl_Finance[Job Number],C256&amp;""))</f>
        <v/>
      </c>
      <c r="O256" s="24" t="n"/>
      <c r="P256" s="25">
        <f>IF(C256="","",IFERROR(INDEX(tbl_Finance[Description],MATCH(C256&amp;"",tbl_Finance[Job Number],0)),""))</f>
        <v/>
      </c>
      <c r="Q256" s="24" t="n"/>
      <c r="R256" s="24" t="n"/>
      <c r="S256" s="22" t="n"/>
      <c r="T256" s="24" t="n"/>
      <c r="U256" s="25">
        <f>IF(T256="","",IF(AND(LEFT(T256,4)&lt;&gt;"http",set_RMSBase=""),"",HYPERLINK(IF(LEFT(T256,4)="http",T256,set_RMSBase&amp;T256),"Open opportunity")))</f>
        <v/>
      </c>
      <c r="V256" s="24" t="n"/>
      <c r="W256" s="25">
        <f>IF(V256="","",HYPERLINK(IF(LEFT(V256,4)="http",V256,set_QwilrBase&amp;V256),"Open quote"))</f>
        <v/>
      </c>
      <c r="X256" s="25">
        <f>IF(C256="","",C256)</f>
        <v/>
      </c>
      <c r="Y256" s="24" t="n"/>
      <c r="Z256" s="26" t="n"/>
      <c r="AA256" s="27">
        <f>IF(C256="","",H256+N(Z256))</f>
        <v/>
      </c>
      <c r="AB256" s="29">
        <f>IFERROR(Z256/AA256,"")</f>
        <v/>
      </c>
      <c r="AC256" s="26" t="n"/>
      <c r="AD256" s="26" t="n"/>
      <c r="AE256" s="26" t="n"/>
      <c r="AF256" s="26" t="n"/>
      <c r="AG256" s="27">
        <f>IF(C256="","",SUMIFS(tbl_Finance[Ex GST],tbl_Finance[Job Number],C256&amp;"",tbl_Finance[Cost Centre],"VIDEO"))</f>
        <v/>
      </c>
      <c r="AH256" s="29">
        <f>IFERROR(AG256/H256,"")</f>
        <v/>
      </c>
      <c r="AI256" s="27">
        <f>IF(C256="","",N(AC256)+N(AD256)+N(AE256)+N(AF256))</f>
        <v/>
      </c>
      <c r="AJ256" s="27">
        <f>IF(C256="","",H256+L256-AI256)</f>
        <v/>
      </c>
      <c r="AK256" s="29">
        <f>IFERROR(AJ256/(H256+L256),"")</f>
        <v/>
      </c>
      <c r="AL256" s="71" t="n"/>
      <c r="AM256" s="71" t="n"/>
      <c r="AN256" s="71" t="n"/>
      <c r="AO256" s="71" t="n"/>
      <c r="AP256" s="71" t="n"/>
      <c r="AQ256" s="24" t="n"/>
    </row>
    <row r="257" ht="15" customHeight="1">
      <c r="A257" s="70">
        <f>IF(C257="","",IFERROR(IF(SUMPRODUCT(MAX((tbl_Finance[Job Number]&amp;""=C257&amp;"")*(tbl_Finance[Xero Invoice No]&lt;&gt;"")*tbl_Finance[Date]))=0,"",SUMPRODUCT(MAX((tbl_Finance[Job Number]&amp;""=C257&amp;"")*(tbl_Finance[Xero Invoice No]&lt;&gt;"")*tbl_Finance[Date]))),""))</f>
        <v/>
      </c>
      <c r="B257" s="25">
        <f>IF(C257="","",IF(COUNTIFS(tbl_Finance[Job Number],C257&amp;"",tbl_Finance[Xero Invoice No],"&lt;&gt;")=0,"",IFERROR(IF(COUNTIFS(tbl_Finance[Job Number],C257&amp;"",tbl_Finance[Xero Invoice No],LOOKUP(2,1/((tbl_Finance[Job Number]&amp;""=C257&amp;"")*(tbl_Finance[Xero Invoice No]&lt;&gt;"")),tbl_Finance[Xero Invoice No]))=COUNTIFS(tbl_Finance[Job Number],C257&amp;"",tbl_Finance[Xero Invoice No],"&lt;&gt;"),LOOKUP(2,1/((tbl_Finance[Job Number]&amp;""=C257&amp;"")*(tbl_Finance[Xero Invoice No]&lt;&gt;"")),tbl_Finance[Xero Invoice No]),LOOKUP(2,1/((tbl_Finance[Job Number]&amp;""=C257&amp;"")*(tbl_Finance[Xero Invoice No]&lt;&gt;"")),tbl_Finance[Xero Invoice No])&amp;" +more"),"")))</f>
        <v/>
      </c>
      <c r="C257" s="24" t="n"/>
      <c r="D257" s="25">
        <f>IF(C257="","",IF(COUNTIF(lst_Jobs,C257&amp;"")&gt;0,"OK","CHECK"))</f>
        <v/>
      </c>
      <c r="E257" s="25">
        <f>IF(C257="","",IFERROR(INDEX(lst_JobName,MATCH(C257&amp;"",lst_Jobs,0)),""))</f>
        <v/>
      </c>
      <c r="F257" s="25">
        <f>IF(C257="","",IFERROR(INDEX(tbl_Finance[Client],IFERROR(MATCH(C257&amp;"",tbl_Finance[Job Number],0),MATCH(IFERROR(C257+0,C257),tbl_Finance[Job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6" t="n"/>
      <c r="L257" s="27">
        <f>IF(C257="","",IF(K257="",0,MAX(0,K257-H257)))</f>
        <v/>
      </c>
      <c r="M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N257" s="27">
        <f>IF(C257="","",SUMIFS(tbl_Finance[Inc GST],tbl_Finance[Job Number],C257&amp;""))</f>
        <v/>
      </c>
      <c r="O257" s="24" t="n"/>
      <c r="P257" s="25">
        <f>IF(C257="","",IFERROR(INDEX(tbl_Finance[Description],MATCH(C257&amp;"",tbl_Finance[Job Number],0)),""))</f>
        <v/>
      </c>
      <c r="Q257" s="24" t="n"/>
      <c r="R257" s="24" t="n"/>
      <c r="S257" s="22" t="n"/>
      <c r="T257" s="24" t="n"/>
      <c r="U257" s="25">
        <f>IF(T257="","",IF(AND(LEFT(T257,4)&lt;&gt;"http",set_RMSBase=""),"",HYPERLINK(IF(LEFT(T257,4)="http",T257,set_RMSBase&amp;T257),"Open opportunity")))</f>
        <v/>
      </c>
      <c r="V257" s="24" t="n"/>
      <c r="W257" s="25">
        <f>IF(V257="","",HYPERLINK(IF(LEFT(V257,4)="http",V257,set_QwilrBase&amp;V257),"Open quote"))</f>
        <v/>
      </c>
      <c r="X257" s="25">
        <f>IF(C257="","",C257)</f>
        <v/>
      </c>
      <c r="Y257" s="24" t="n"/>
      <c r="Z257" s="26" t="n"/>
      <c r="AA257" s="27">
        <f>IF(C257="","",H257+N(Z257))</f>
        <v/>
      </c>
      <c r="AB257" s="29">
        <f>IFERROR(Z257/AA257,"")</f>
        <v/>
      </c>
      <c r="AC257" s="26" t="n"/>
      <c r="AD257" s="26" t="n"/>
      <c r="AE257" s="26" t="n"/>
      <c r="AF257" s="26" t="n"/>
      <c r="AG257" s="27">
        <f>IF(C257="","",SUMIFS(tbl_Finance[Ex GST],tbl_Finance[Job Number],C257&amp;"",tbl_Finance[Cost Centre],"VIDEO"))</f>
        <v/>
      </c>
      <c r="AH257" s="29">
        <f>IFERROR(AG257/H257,"")</f>
        <v/>
      </c>
      <c r="AI257" s="27">
        <f>IF(C257="","",N(AC257)+N(AD257)+N(AE257)+N(AF257))</f>
        <v/>
      </c>
      <c r="AJ257" s="27">
        <f>IF(C257="","",H257+L257-AI257)</f>
        <v/>
      </c>
      <c r="AK257" s="29">
        <f>IFERROR(AJ257/(H257+L257),"")</f>
        <v/>
      </c>
      <c r="AL257" s="71" t="n"/>
      <c r="AM257" s="71" t="n"/>
      <c r="AN257" s="71" t="n"/>
      <c r="AO257" s="71" t="n"/>
      <c r="AP257" s="71" t="n"/>
      <c r="AQ257" s="24" t="n"/>
    </row>
    <row r="258" ht="15" customHeight="1">
      <c r="A258" s="70">
        <f>IF(C258="","",IFERROR(IF(SUMPRODUCT(MAX((tbl_Finance[Job Number]&amp;""=C258&amp;"")*(tbl_Finance[Xero Invoice No]&lt;&gt;"")*tbl_Finance[Date]))=0,"",SUMPRODUCT(MAX((tbl_Finance[Job Number]&amp;""=C258&amp;"")*(tbl_Finance[Xero Invoice No]&lt;&gt;"")*tbl_Finance[Date]))),""))</f>
        <v/>
      </c>
      <c r="B258" s="25">
        <f>IF(C258="","",IF(COUNTIFS(tbl_Finance[Job Number],C258&amp;"",tbl_Finance[Xero Invoice No],"&lt;&gt;")=0,"",IFERROR(IF(COUNTIFS(tbl_Finance[Job Number],C258&amp;"",tbl_Finance[Xero Invoice No],LOOKUP(2,1/((tbl_Finance[Job Number]&amp;""=C258&amp;"")*(tbl_Finance[Xero Invoice No]&lt;&gt;"")),tbl_Finance[Xero Invoice No]))=COUNTIFS(tbl_Finance[Job Number],C258&amp;"",tbl_Finance[Xero Invoice No],"&lt;&gt;"),LOOKUP(2,1/((tbl_Finance[Job Number]&amp;""=C258&amp;"")*(tbl_Finance[Xero Invoice No]&lt;&gt;"")),tbl_Finance[Xero Invoice No]),LOOKUP(2,1/((tbl_Finance[Job Number]&amp;""=C258&amp;"")*(tbl_Finance[Xero Invoice No]&lt;&gt;"")),tbl_Finance[Xero Invoice No])&amp;" +more"),"")))</f>
        <v/>
      </c>
      <c r="C258" s="24" t="n"/>
      <c r="D258" s="25">
        <f>IF(C258="","",IF(COUNTIF(lst_Jobs,C258&amp;"")&gt;0,"OK","CHECK"))</f>
        <v/>
      </c>
      <c r="E258" s="25">
        <f>IF(C258="","",IFERROR(INDEX(lst_JobName,MATCH(C258&amp;"",lst_Jobs,0)),""))</f>
        <v/>
      </c>
      <c r="F258" s="25">
        <f>IF(C258="","",IFERROR(INDEX(tbl_Finance[Client],IFERROR(MATCH(C258&amp;"",tbl_Finance[Job Number],0),MATCH(IFERROR(C258+0,C258),tbl_Finance[Job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6" t="n"/>
      <c r="L258" s="27">
        <f>IF(C258="","",IF(K258="",0,MAX(0,K258-H258)))</f>
        <v/>
      </c>
      <c r="M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N258" s="27">
        <f>IF(C258="","",SUMIFS(tbl_Finance[Inc GST],tbl_Finance[Job Number],C258&amp;""))</f>
        <v/>
      </c>
      <c r="O258" s="24" t="n"/>
      <c r="P258" s="25">
        <f>IF(C258="","",IFERROR(INDEX(tbl_Finance[Description],MATCH(C258&amp;"",tbl_Finance[Job Number],0)),""))</f>
        <v/>
      </c>
      <c r="Q258" s="24" t="n"/>
      <c r="R258" s="24" t="n"/>
      <c r="S258" s="22" t="n"/>
      <c r="T258" s="24" t="n"/>
      <c r="U258" s="25">
        <f>IF(T258="","",IF(AND(LEFT(T258,4)&lt;&gt;"http",set_RMSBase=""),"",HYPERLINK(IF(LEFT(T258,4)="http",T258,set_RMSBase&amp;T258),"Open opportunity")))</f>
        <v/>
      </c>
      <c r="V258" s="24" t="n"/>
      <c r="W258" s="25">
        <f>IF(V258="","",HYPERLINK(IF(LEFT(V258,4)="http",V258,set_QwilrBase&amp;V258),"Open quote"))</f>
        <v/>
      </c>
      <c r="X258" s="25">
        <f>IF(C258="","",C258)</f>
        <v/>
      </c>
      <c r="Y258" s="24" t="n"/>
      <c r="Z258" s="26" t="n"/>
      <c r="AA258" s="27">
        <f>IF(C258="","",H258+N(Z258))</f>
        <v/>
      </c>
      <c r="AB258" s="29">
        <f>IFERROR(Z258/AA258,"")</f>
        <v/>
      </c>
      <c r="AC258" s="26" t="n"/>
      <c r="AD258" s="26" t="n"/>
      <c r="AE258" s="26" t="n"/>
      <c r="AF258" s="26" t="n"/>
      <c r="AG258" s="27">
        <f>IF(C258="","",SUMIFS(tbl_Finance[Ex GST],tbl_Finance[Job Number],C258&amp;"",tbl_Finance[Cost Centre],"VIDEO"))</f>
        <v/>
      </c>
      <c r="AH258" s="29">
        <f>IFERROR(AG258/H258,"")</f>
        <v/>
      </c>
      <c r="AI258" s="27">
        <f>IF(C258="","",N(AC258)+N(AD258)+N(AE258)+N(AF258))</f>
        <v/>
      </c>
      <c r="AJ258" s="27">
        <f>IF(C258="","",H258+L258-AI258)</f>
        <v/>
      </c>
      <c r="AK258" s="29">
        <f>IFERROR(AJ258/(H258+L258),"")</f>
        <v/>
      </c>
      <c r="AL258" s="71" t="n"/>
      <c r="AM258" s="71" t="n"/>
      <c r="AN258" s="71" t="n"/>
      <c r="AO258" s="71" t="n"/>
      <c r="AP258" s="71" t="n"/>
      <c r="AQ258" s="24" t="n"/>
    </row>
    <row r="259" ht="15" customHeight="1">
      <c r="A259" s="70">
        <f>IF(C259="","",IFERROR(IF(SUMPRODUCT(MAX((tbl_Finance[Job Number]&amp;""=C259&amp;"")*(tbl_Finance[Xero Invoice No]&lt;&gt;"")*tbl_Finance[Date]))=0,"",SUMPRODUCT(MAX((tbl_Finance[Job Number]&amp;""=C259&amp;"")*(tbl_Finance[Xero Invoice No]&lt;&gt;"")*tbl_Finance[Date]))),""))</f>
        <v/>
      </c>
      <c r="B259" s="25">
        <f>IF(C259="","",IF(COUNTIFS(tbl_Finance[Job Number],C259&amp;"",tbl_Finance[Xero Invoice No],"&lt;&gt;")=0,"",IFERROR(IF(COUNTIFS(tbl_Finance[Job Number],C259&amp;"",tbl_Finance[Xero Invoice No],LOOKUP(2,1/((tbl_Finance[Job Number]&amp;""=C259&amp;"")*(tbl_Finance[Xero Invoice No]&lt;&gt;"")),tbl_Finance[Xero Invoice No]))=COUNTIFS(tbl_Finance[Job Number],C259&amp;"",tbl_Finance[Xero Invoice No],"&lt;&gt;"),LOOKUP(2,1/((tbl_Finance[Job Number]&amp;""=C259&amp;"")*(tbl_Finance[Xero Invoice No]&lt;&gt;"")),tbl_Finance[Xero Invoice No]),LOOKUP(2,1/((tbl_Finance[Job Number]&amp;""=C259&amp;"")*(tbl_Finance[Xero Invoice No]&lt;&gt;"")),tbl_Finance[Xero Invoice No])&amp;" +more"),"")))</f>
        <v/>
      </c>
      <c r="C259" s="24" t="n"/>
      <c r="D259" s="25">
        <f>IF(C259="","",IF(COUNTIF(lst_Jobs,C259&amp;"")&gt;0,"OK","CHECK"))</f>
        <v/>
      </c>
      <c r="E259" s="25">
        <f>IF(C259="","",IFERROR(INDEX(lst_JobName,MATCH(C259&amp;"",lst_Jobs,0)),""))</f>
        <v/>
      </c>
      <c r="F259" s="25">
        <f>IF(C259="","",IFERROR(INDEX(tbl_Finance[Client],IFERROR(MATCH(C259&amp;"",tbl_Finance[Job Number],0),MATCH(IFERROR(C259+0,C259),tbl_Finance[Job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6" t="n"/>
      <c r="L259" s="27">
        <f>IF(C259="","",IF(K259="",0,MAX(0,K259-H259)))</f>
        <v/>
      </c>
      <c r="M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N259" s="27">
        <f>IF(C259="","",SUMIFS(tbl_Finance[Inc GST],tbl_Finance[Job Number],C259&amp;""))</f>
        <v/>
      </c>
      <c r="O259" s="24" t="n"/>
      <c r="P259" s="25">
        <f>IF(C259="","",IFERROR(INDEX(tbl_Finance[Description],MATCH(C259&amp;"",tbl_Finance[Job Number],0)),""))</f>
        <v/>
      </c>
      <c r="Q259" s="24" t="n"/>
      <c r="R259" s="24" t="n"/>
      <c r="S259" s="22" t="n"/>
      <c r="T259" s="24" t="n"/>
      <c r="U259" s="25">
        <f>IF(T259="","",IF(AND(LEFT(T259,4)&lt;&gt;"http",set_RMSBase=""),"",HYPERLINK(IF(LEFT(T259,4)="http",T259,set_RMSBase&amp;T259),"Open opportunity")))</f>
        <v/>
      </c>
      <c r="V259" s="24" t="n"/>
      <c r="W259" s="25">
        <f>IF(V259="","",HYPERLINK(IF(LEFT(V259,4)="http",V259,set_QwilrBase&amp;V259),"Open quote"))</f>
        <v/>
      </c>
      <c r="X259" s="25">
        <f>IF(C259="","",C259)</f>
        <v/>
      </c>
      <c r="Y259" s="24" t="n"/>
      <c r="Z259" s="26" t="n"/>
      <c r="AA259" s="27">
        <f>IF(C259="","",H259+N(Z259))</f>
        <v/>
      </c>
      <c r="AB259" s="29">
        <f>IFERROR(Z259/AA259,"")</f>
        <v/>
      </c>
      <c r="AC259" s="26" t="n"/>
      <c r="AD259" s="26" t="n"/>
      <c r="AE259" s="26" t="n"/>
      <c r="AF259" s="26" t="n"/>
      <c r="AG259" s="27">
        <f>IF(C259="","",SUMIFS(tbl_Finance[Ex GST],tbl_Finance[Job Number],C259&amp;"",tbl_Finance[Cost Centre],"VIDEO"))</f>
        <v/>
      </c>
      <c r="AH259" s="29">
        <f>IFERROR(AG259/H259,"")</f>
        <v/>
      </c>
      <c r="AI259" s="27">
        <f>IF(C259="","",N(AC259)+N(AD259)+N(AE259)+N(AF259))</f>
        <v/>
      </c>
      <c r="AJ259" s="27">
        <f>IF(C259="","",H259+L259-AI259)</f>
        <v/>
      </c>
      <c r="AK259" s="29">
        <f>IFERROR(AJ259/(H259+L259),"")</f>
        <v/>
      </c>
      <c r="AL259" s="71" t="n"/>
      <c r="AM259" s="71" t="n"/>
      <c r="AN259" s="71" t="n"/>
      <c r="AO259" s="71" t="n"/>
      <c r="AP259" s="71" t="n"/>
      <c r="AQ259" s="24" t="n"/>
    </row>
    <row r="260" ht="15" customHeight="1">
      <c r="A260" s="70">
        <f>IF(C260="","",IFERROR(IF(SUMPRODUCT(MAX((tbl_Finance[Job Number]&amp;""=C260&amp;"")*(tbl_Finance[Xero Invoice No]&lt;&gt;"")*tbl_Finance[Date]))=0,"",SUMPRODUCT(MAX((tbl_Finance[Job Number]&amp;""=C260&amp;"")*(tbl_Finance[Xero Invoice No]&lt;&gt;"")*tbl_Finance[Date]))),""))</f>
        <v/>
      </c>
      <c r="B260" s="25">
        <f>IF(C260="","",IF(COUNTIFS(tbl_Finance[Job Number],C260&amp;"",tbl_Finance[Xero Invoice No],"&lt;&gt;")=0,"",IFERROR(IF(COUNTIFS(tbl_Finance[Job Number],C260&amp;"",tbl_Finance[Xero Invoice No],LOOKUP(2,1/((tbl_Finance[Job Number]&amp;""=C260&amp;"")*(tbl_Finance[Xero Invoice No]&lt;&gt;"")),tbl_Finance[Xero Invoice No]))=COUNTIFS(tbl_Finance[Job Number],C260&amp;"",tbl_Finance[Xero Invoice No],"&lt;&gt;"),LOOKUP(2,1/((tbl_Finance[Job Number]&amp;""=C260&amp;"")*(tbl_Finance[Xero Invoice No]&lt;&gt;"")),tbl_Finance[Xero Invoice No]),LOOKUP(2,1/((tbl_Finance[Job Number]&amp;""=C260&amp;"")*(tbl_Finance[Xero Invoice No]&lt;&gt;"")),tbl_Finance[Xero Invoice No])&amp;" +more"),"")))</f>
        <v/>
      </c>
      <c r="C260" s="24" t="n"/>
      <c r="D260" s="25">
        <f>IF(C260="","",IF(COUNTIF(lst_Jobs,C260&amp;"")&gt;0,"OK","CHECK"))</f>
        <v/>
      </c>
      <c r="E260" s="25">
        <f>IF(C260="","",IFERROR(INDEX(lst_JobName,MATCH(C260&amp;"",lst_Jobs,0)),""))</f>
        <v/>
      </c>
      <c r="F260" s="25">
        <f>IF(C260="","",IFERROR(INDEX(tbl_Finance[Client],IFERROR(MATCH(C260&amp;"",tbl_Finance[Job Number],0),MATCH(IFERROR(C260+0,C260),tbl_Finance[Job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6" t="n"/>
      <c r="L260" s="27">
        <f>IF(C260="","",IF(K260="",0,MAX(0,K260-H260)))</f>
        <v/>
      </c>
      <c r="M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N260" s="27">
        <f>IF(C260="","",SUMIFS(tbl_Finance[Inc GST],tbl_Finance[Job Number],C260&amp;""))</f>
        <v/>
      </c>
      <c r="O260" s="24" t="n"/>
      <c r="P260" s="25">
        <f>IF(C260="","",IFERROR(INDEX(tbl_Finance[Description],MATCH(C260&amp;"",tbl_Finance[Job Number],0)),""))</f>
        <v/>
      </c>
      <c r="Q260" s="24" t="n"/>
      <c r="R260" s="24" t="n"/>
      <c r="S260" s="22" t="n"/>
      <c r="T260" s="24" t="n"/>
      <c r="U260" s="25">
        <f>IF(T260="","",IF(AND(LEFT(T260,4)&lt;&gt;"http",set_RMSBase=""),"",HYPERLINK(IF(LEFT(T260,4)="http",T260,set_RMSBase&amp;T260),"Open opportunity")))</f>
        <v/>
      </c>
      <c r="V260" s="24" t="n"/>
      <c r="W260" s="25">
        <f>IF(V260="","",HYPERLINK(IF(LEFT(V260,4)="http",V260,set_QwilrBase&amp;V260),"Open quote"))</f>
        <v/>
      </c>
      <c r="X260" s="25">
        <f>IF(C260="","",C260)</f>
        <v/>
      </c>
      <c r="Y260" s="24" t="n"/>
      <c r="Z260" s="26" t="n"/>
      <c r="AA260" s="27">
        <f>IF(C260="","",H260+N(Z260))</f>
        <v/>
      </c>
      <c r="AB260" s="29">
        <f>IFERROR(Z260/AA260,"")</f>
        <v/>
      </c>
      <c r="AC260" s="26" t="n"/>
      <c r="AD260" s="26" t="n"/>
      <c r="AE260" s="26" t="n"/>
      <c r="AF260" s="26" t="n"/>
      <c r="AG260" s="27">
        <f>IF(C260="","",SUMIFS(tbl_Finance[Ex GST],tbl_Finance[Job Number],C260&amp;"",tbl_Finance[Cost Centre],"VIDEO"))</f>
        <v/>
      </c>
      <c r="AH260" s="29">
        <f>IFERROR(AG260/H260,"")</f>
        <v/>
      </c>
      <c r="AI260" s="27">
        <f>IF(C260="","",N(AC260)+N(AD260)+N(AE260)+N(AF260))</f>
        <v/>
      </c>
      <c r="AJ260" s="27">
        <f>IF(C260="","",H260+L260-AI260)</f>
        <v/>
      </c>
      <c r="AK260" s="29">
        <f>IFERROR(AJ260/(H260+L260),"")</f>
        <v/>
      </c>
      <c r="AL260" s="71" t="n"/>
      <c r="AM260" s="71" t="n"/>
      <c r="AN260" s="71" t="n"/>
      <c r="AO260" s="71" t="n"/>
      <c r="AP260" s="71" t="n"/>
      <c r="AQ260" s="24" t="n"/>
    </row>
    <row r="261" ht="15" customHeight="1">
      <c r="A261" s="70">
        <f>IF(C261="","",IFERROR(IF(SUMPRODUCT(MAX((tbl_Finance[Job Number]&amp;""=C261&amp;"")*(tbl_Finance[Xero Invoice No]&lt;&gt;"")*tbl_Finance[Date]))=0,"",SUMPRODUCT(MAX((tbl_Finance[Job Number]&amp;""=C261&amp;"")*(tbl_Finance[Xero Invoice No]&lt;&gt;"")*tbl_Finance[Date]))),""))</f>
        <v/>
      </c>
      <c r="B261" s="25">
        <f>IF(C261="","",IF(COUNTIFS(tbl_Finance[Job Number],C261&amp;"",tbl_Finance[Xero Invoice No],"&lt;&gt;")=0,"",IFERROR(IF(COUNTIFS(tbl_Finance[Job Number],C261&amp;"",tbl_Finance[Xero Invoice No],LOOKUP(2,1/((tbl_Finance[Job Number]&amp;""=C261&amp;"")*(tbl_Finance[Xero Invoice No]&lt;&gt;"")),tbl_Finance[Xero Invoice No]))=COUNTIFS(tbl_Finance[Job Number],C261&amp;"",tbl_Finance[Xero Invoice No],"&lt;&gt;"),LOOKUP(2,1/((tbl_Finance[Job Number]&amp;""=C261&amp;"")*(tbl_Finance[Xero Invoice No]&lt;&gt;"")),tbl_Finance[Xero Invoice No]),LOOKUP(2,1/((tbl_Finance[Job Number]&amp;""=C261&amp;"")*(tbl_Finance[Xero Invoice No]&lt;&gt;"")),tbl_Finance[Xero Invoice No])&amp;" +more"),"")))</f>
        <v/>
      </c>
      <c r="C261" s="24" t="n"/>
      <c r="D261" s="25">
        <f>IF(C261="","",IF(COUNTIF(lst_Jobs,C261&amp;"")&gt;0,"OK","CHECK"))</f>
        <v/>
      </c>
      <c r="E261" s="25">
        <f>IF(C261="","",IFERROR(INDEX(lst_JobName,MATCH(C261&amp;"",lst_Jobs,0)),""))</f>
        <v/>
      </c>
      <c r="F261" s="25">
        <f>IF(C261="","",IFERROR(INDEX(tbl_Finance[Client],IFERROR(MATCH(C261&amp;"",tbl_Finance[Job Number],0),MATCH(IFERROR(C261+0,C261),tbl_Finance[Job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6" t="n"/>
      <c r="L261" s="27">
        <f>IF(C261="","",IF(K261="",0,MAX(0,K261-H261)))</f>
        <v/>
      </c>
      <c r="M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N261" s="27">
        <f>IF(C261="","",SUMIFS(tbl_Finance[Inc GST],tbl_Finance[Job Number],C261&amp;""))</f>
        <v/>
      </c>
      <c r="O261" s="24" t="n"/>
      <c r="P261" s="25">
        <f>IF(C261="","",IFERROR(INDEX(tbl_Finance[Description],MATCH(C261&amp;"",tbl_Finance[Job Number],0)),""))</f>
        <v/>
      </c>
      <c r="Q261" s="24" t="n"/>
      <c r="R261" s="24" t="n"/>
      <c r="S261" s="22" t="n"/>
      <c r="T261" s="24" t="n"/>
      <c r="U261" s="25">
        <f>IF(T261="","",IF(AND(LEFT(T261,4)&lt;&gt;"http",set_RMSBase=""),"",HYPERLINK(IF(LEFT(T261,4)="http",T261,set_RMSBase&amp;T261),"Open opportunity")))</f>
        <v/>
      </c>
      <c r="V261" s="24" t="n"/>
      <c r="W261" s="25">
        <f>IF(V261="","",HYPERLINK(IF(LEFT(V261,4)="http",V261,set_QwilrBase&amp;V261),"Open quote"))</f>
        <v/>
      </c>
      <c r="X261" s="25">
        <f>IF(C261="","",C261)</f>
        <v/>
      </c>
      <c r="Y261" s="24" t="n"/>
      <c r="Z261" s="26" t="n"/>
      <c r="AA261" s="27">
        <f>IF(C261="","",H261+N(Z261))</f>
        <v/>
      </c>
      <c r="AB261" s="29">
        <f>IFERROR(Z261/AA261,"")</f>
        <v/>
      </c>
      <c r="AC261" s="26" t="n"/>
      <c r="AD261" s="26" t="n"/>
      <c r="AE261" s="26" t="n"/>
      <c r="AF261" s="26" t="n"/>
      <c r="AG261" s="27">
        <f>IF(C261="","",SUMIFS(tbl_Finance[Ex GST],tbl_Finance[Job Number],C261&amp;"",tbl_Finance[Cost Centre],"VIDEO"))</f>
        <v/>
      </c>
      <c r="AH261" s="29">
        <f>IFERROR(AG261/H261,"")</f>
        <v/>
      </c>
      <c r="AI261" s="27">
        <f>IF(C261="","",N(AC261)+N(AD261)+N(AE261)+N(AF261))</f>
        <v/>
      </c>
      <c r="AJ261" s="27">
        <f>IF(C261="","",H261+L261-AI261)</f>
        <v/>
      </c>
      <c r="AK261" s="29">
        <f>IFERROR(AJ261/(H261+L261),"")</f>
        <v/>
      </c>
      <c r="AL261" s="71" t="n"/>
      <c r="AM261" s="71" t="n"/>
      <c r="AN261" s="71" t="n"/>
      <c r="AO261" s="71" t="n"/>
      <c r="AP261" s="71" t="n"/>
      <c r="AQ261" s="24" t="n"/>
    </row>
    <row r="262" ht="15" customHeight="1">
      <c r="A262" s="70">
        <f>IF(C262="","",IFERROR(IF(SUMPRODUCT(MAX((tbl_Finance[Job Number]&amp;""=C262&amp;"")*(tbl_Finance[Xero Invoice No]&lt;&gt;"")*tbl_Finance[Date]))=0,"",SUMPRODUCT(MAX((tbl_Finance[Job Number]&amp;""=C262&amp;"")*(tbl_Finance[Xero Invoice No]&lt;&gt;"")*tbl_Finance[Date]))),""))</f>
        <v/>
      </c>
      <c r="B262" s="25">
        <f>IF(C262="","",IF(COUNTIFS(tbl_Finance[Job Number],C262&amp;"",tbl_Finance[Xero Invoice No],"&lt;&gt;")=0,"",IFERROR(IF(COUNTIFS(tbl_Finance[Job Number],C262&amp;"",tbl_Finance[Xero Invoice No],LOOKUP(2,1/((tbl_Finance[Job Number]&amp;""=C262&amp;"")*(tbl_Finance[Xero Invoice No]&lt;&gt;"")),tbl_Finance[Xero Invoice No]))=COUNTIFS(tbl_Finance[Job Number],C262&amp;"",tbl_Finance[Xero Invoice No],"&lt;&gt;"),LOOKUP(2,1/((tbl_Finance[Job Number]&amp;""=C262&amp;"")*(tbl_Finance[Xero Invoice No]&lt;&gt;"")),tbl_Finance[Xero Invoice No]),LOOKUP(2,1/((tbl_Finance[Job Number]&amp;""=C262&amp;"")*(tbl_Finance[Xero Invoice No]&lt;&gt;"")),tbl_Finance[Xero Invoice No])&amp;" +more"),"")))</f>
        <v/>
      </c>
      <c r="C262" s="24" t="n"/>
      <c r="D262" s="25">
        <f>IF(C262="","",IF(COUNTIF(lst_Jobs,C262&amp;"")&gt;0,"OK","CHECK"))</f>
        <v/>
      </c>
      <c r="E262" s="25">
        <f>IF(C262="","",IFERROR(INDEX(lst_JobName,MATCH(C262&amp;"",lst_Jobs,0)),""))</f>
        <v/>
      </c>
      <c r="F262" s="25">
        <f>IF(C262="","",IFERROR(INDEX(tbl_Finance[Client],IFERROR(MATCH(C262&amp;"",tbl_Finance[Job Number],0),MATCH(IFERROR(C262+0,C262),tbl_Finance[Job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6" t="n"/>
      <c r="L262" s="27">
        <f>IF(C262="","",IF(K262="",0,MAX(0,K262-H262)))</f>
        <v/>
      </c>
      <c r="M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N262" s="27">
        <f>IF(C262="","",SUMIFS(tbl_Finance[Inc GST],tbl_Finance[Job Number],C262&amp;""))</f>
        <v/>
      </c>
      <c r="O262" s="24" t="n"/>
      <c r="P262" s="25">
        <f>IF(C262="","",IFERROR(INDEX(tbl_Finance[Description],MATCH(C262&amp;"",tbl_Finance[Job Number],0)),""))</f>
        <v/>
      </c>
      <c r="Q262" s="24" t="n"/>
      <c r="R262" s="24" t="n"/>
      <c r="S262" s="22" t="n"/>
      <c r="T262" s="24" t="n"/>
      <c r="U262" s="25">
        <f>IF(T262="","",IF(AND(LEFT(T262,4)&lt;&gt;"http",set_RMSBase=""),"",HYPERLINK(IF(LEFT(T262,4)="http",T262,set_RMSBase&amp;T262),"Open opportunity")))</f>
        <v/>
      </c>
      <c r="V262" s="24" t="n"/>
      <c r="W262" s="25">
        <f>IF(V262="","",HYPERLINK(IF(LEFT(V262,4)="http",V262,set_QwilrBase&amp;V262),"Open quote"))</f>
        <v/>
      </c>
      <c r="X262" s="25">
        <f>IF(C262="","",C262)</f>
        <v/>
      </c>
      <c r="Y262" s="24" t="n"/>
      <c r="Z262" s="26" t="n"/>
      <c r="AA262" s="27">
        <f>IF(C262="","",H262+N(Z262))</f>
        <v/>
      </c>
      <c r="AB262" s="29">
        <f>IFERROR(Z262/AA262,"")</f>
        <v/>
      </c>
      <c r="AC262" s="26" t="n"/>
      <c r="AD262" s="26" t="n"/>
      <c r="AE262" s="26" t="n"/>
      <c r="AF262" s="26" t="n"/>
      <c r="AG262" s="27">
        <f>IF(C262="","",SUMIFS(tbl_Finance[Ex GST],tbl_Finance[Job Number],C262&amp;"",tbl_Finance[Cost Centre],"VIDEO"))</f>
        <v/>
      </c>
      <c r="AH262" s="29">
        <f>IFERROR(AG262/H262,"")</f>
        <v/>
      </c>
      <c r="AI262" s="27">
        <f>IF(C262="","",N(AC262)+N(AD262)+N(AE262)+N(AF262))</f>
        <v/>
      </c>
      <c r="AJ262" s="27">
        <f>IF(C262="","",H262+L262-AI262)</f>
        <v/>
      </c>
      <c r="AK262" s="29">
        <f>IFERROR(AJ262/(H262+L262),"")</f>
        <v/>
      </c>
      <c r="AL262" s="71" t="n"/>
      <c r="AM262" s="71" t="n"/>
      <c r="AN262" s="71" t="n"/>
      <c r="AO262" s="71" t="n"/>
      <c r="AP262" s="71" t="n"/>
      <c r="AQ262" s="24" t="n"/>
    </row>
    <row r="263" ht="15" customHeight="1">
      <c r="A263" s="70">
        <f>IF(C263="","",IFERROR(IF(SUMPRODUCT(MAX((tbl_Finance[Job Number]&amp;""=C263&amp;"")*(tbl_Finance[Xero Invoice No]&lt;&gt;"")*tbl_Finance[Date]))=0,"",SUMPRODUCT(MAX((tbl_Finance[Job Number]&amp;""=C263&amp;"")*(tbl_Finance[Xero Invoice No]&lt;&gt;"")*tbl_Finance[Date]))),""))</f>
        <v/>
      </c>
      <c r="B263" s="25">
        <f>IF(C263="","",IF(COUNTIFS(tbl_Finance[Job Number],C263&amp;"",tbl_Finance[Xero Invoice No],"&lt;&gt;")=0,"",IFERROR(IF(COUNTIFS(tbl_Finance[Job Number],C263&amp;"",tbl_Finance[Xero Invoice No],LOOKUP(2,1/((tbl_Finance[Job Number]&amp;""=C263&amp;"")*(tbl_Finance[Xero Invoice No]&lt;&gt;"")),tbl_Finance[Xero Invoice No]))=COUNTIFS(tbl_Finance[Job Number],C263&amp;"",tbl_Finance[Xero Invoice No],"&lt;&gt;"),LOOKUP(2,1/((tbl_Finance[Job Number]&amp;""=C263&amp;"")*(tbl_Finance[Xero Invoice No]&lt;&gt;"")),tbl_Finance[Xero Invoice No]),LOOKUP(2,1/((tbl_Finance[Job Number]&amp;""=C263&amp;"")*(tbl_Finance[Xero Invoice No]&lt;&gt;"")),tbl_Finance[Xero Invoice No])&amp;" +more"),"")))</f>
        <v/>
      </c>
      <c r="C263" s="24" t="n"/>
      <c r="D263" s="25">
        <f>IF(C263="","",IF(COUNTIF(lst_Jobs,C263&amp;"")&gt;0,"OK","CHECK"))</f>
        <v/>
      </c>
      <c r="E263" s="25">
        <f>IF(C263="","",IFERROR(INDEX(lst_JobName,MATCH(C263&amp;"",lst_Jobs,0)),""))</f>
        <v/>
      </c>
      <c r="F263" s="25">
        <f>IF(C263="","",IFERROR(INDEX(tbl_Finance[Client],IFERROR(MATCH(C263&amp;"",tbl_Finance[Job Number],0),MATCH(IFERROR(C263+0,C263),tbl_Finance[Job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6" t="n"/>
      <c r="L263" s="27">
        <f>IF(C263="","",IF(K263="",0,MAX(0,K263-H263)))</f>
        <v/>
      </c>
      <c r="M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N263" s="27">
        <f>IF(C263="","",SUMIFS(tbl_Finance[Inc GST],tbl_Finance[Job Number],C263&amp;""))</f>
        <v/>
      </c>
      <c r="O263" s="24" t="n"/>
      <c r="P263" s="25">
        <f>IF(C263="","",IFERROR(INDEX(tbl_Finance[Description],MATCH(C263&amp;"",tbl_Finance[Job Number],0)),""))</f>
        <v/>
      </c>
      <c r="Q263" s="24" t="n"/>
      <c r="R263" s="24" t="n"/>
      <c r="S263" s="22" t="n"/>
      <c r="T263" s="24" t="n"/>
      <c r="U263" s="25">
        <f>IF(T263="","",IF(AND(LEFT(T263,4)&lt;&gt;"http",set_RMSBase=""),"",HYPERLINK(IF(LEFT(T263,4)="http",T263,set_RMSBase&amp;T263),"Open opportunity")))</f>
        <v/>
      </c>
      <c r="V263" s="24" t="n"/>
      <c r="W263" s="25">
        <f>IF(V263="","",HYPERLINK(IF(LEFT(V263,4)="http",V263,set_QwilrBase&amp;V263),"Open quote"))</f>
        <v/>
      </c>
      <c r="X263" s="25">
        <f>IF(C263="","",C263)</f>
        <v/>
      </c>
      <c r="Y263" s="24" t="n"/>
      <c r="Z263" s="26" t="n"/>
      <c r="AA263" s="27">
        <f>IF(C263="","",H263+N(Z263))</f>
        <v/>
      </c>
      <c r="AB263" s="29">
        <f>IFERROR(Z263/AA263,"")</f>
        <v/>
      </c>
      <c r="AC263" s="26" t="n"/>
      <c r="AD263" s="26" t="n"/>
      <c r="AE263" s="26" t="n"/>
      <c r="AF263" s="26" t="n"/>
      <c r="AG263" s="27">
        <f>IF(C263="","",SUMIFS(tbl_Finance[Ex GST],tbl_Finance[Job Number],C263&amp;"",tbl_Finance[Cost Centre],"VIDEO"))</f>
        <v/>
      </c>
      <c r="AH263" s="29">
        <f>IFERROR(AG263/H263,"")</f>
        <v/>
      </c>
      <c r="AI263" s="27">
        <f>IF(C263="","",N(AC263)+N(AD263)+N(AE263)+N(AF263))</f>
        <v/>
      </c>
      <c r="AJ263" s="27">
        <f>IF(C263="","",H263+L263-AI263)</f>
        <v/>
      </c>
      <c r="AK263" s="29">
        <f>IFERROR(AJ263/(H263+L263),"")</f>
        <v/>
      </c>
      <c r="AL263" s="71" t="n"/>
      <c r="AM263" s="71" t="n"/>
      <c r="AN263" s="71" t="n"/>
      <c r="AO263" s="71" t="n"/>
      <c r="AP263" s="71" t="n"/>
      <c r="AQ263" s="24" t="n"/>
    </row>
    <row r="264" ht="15" customHeight="1">
      <c r="A264" s="70">
        <f>IF(C264="","",IFERROR(IF(SUMPRODUCT(MAX((tbl_Finance[Job Number]&amp;""=C264&amp;"")*(tbl_Finance[Xero Invoice No]&lt;&gt;"")*tbl_Finance[Date]))=0,"",SUMPRODUCT(MAX((tbl_Finance[Job Number]&amp;""=C264&amp;"")*(tbl_Finance[Xero Invoice No]&lt;&gt;"")*tbl_Finance[Date]))),""))</f>
        <v/>
      </c>
      <c r="B264" s="25">
        <f>IF(C264="","",IF(COUNTIFS(tbl_Finance[Job Number],C264&amp;"",tbl_Finance[Xero Invoice No],"&lt;&gt;")=0,"",IFERROR(IF(COUNTIFS(tbl_Finance[Job Number],C264&amp;"",tbl_Finance[Xero Invoice No],LOOKUP(2,1/((tbl_Finance[Job Number]&amp;""=C264&amp;"")*(tbl_Finance[Xero Invoice No]&lt;&gt;"")),tbl_Finance[Xero Invoice No]))=COUNTIFS(tbl_Finance[Job Number],C264&amp;"",tbl_Finance[Xero Invoice No],"&lt;&gt;"),LOOKUP(2,1/((tbl_Finance[Job Number]&amp;""=C264&amp;"")*(tbl_Finance[Xero Invoice No]&lt;&gt;"")),tbl_Finance[Xero Invoice No]),LOOKUP(2,1/((tbl_Finance[Job Number]&amp;""=C264&amp;"")*(tbl_Finance[Xero Invoice No]&lt;&gt;"")),tbl_Finance[Xero Invoice No])&amp;" +more"),"")))</f>
        <v/>
      </c>
      <c r="C264" s="24" t="n"/>
      <c r="D264" s="25">
        <f>IF(C264="","",IF(COUNTIF(lst_Jobs,C264&amp;"")&gt;0,"OK","CHECK"))</f>
        <v/>
      </c>
      <c r="E264" s="25">
        <f>IF(C264="","",IFERROR(INDEX(lst_JobName,MATCH(C264&amp;"",lst_Jobs,0)),""))</f>
        <v/>
      </c>
      <c r="F264" s="25">
        <f>IF(C264="","",IFERROR(INDEX(tbl_Finance[Client],IFERROR(MATCH(C264&amp;"",tbl_Finance[Job Number],0),MATCH(IFERROR(C264+0,C264),tbl_Finance[Job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6" t="n"/>
      <c r="L264" s="27">
        <f>IF(C264="","",IF(K264="",0,MAX(0,K264-H264)))</f>
        <v/>
      </c>
      <c r="M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N264" s="27">
        <f>IF(C264="","",SUMIFS(tbl_Finance[Inc GST],tbl_Finance[Job Number],C264&amp;""))</f>
        <v/>
      </c>
      <c r="O264" s="24" t="n"/>
      <c r="P264" s="25">
        <f>IF(C264="","",IFERROR(INDEX(tbl_Finance[Description],MATCH(C264&amp;"",tbl_Finance[Job Number],0)),""))</f>
        <v/>
      </c>
      <c r="Q264" s="24" t="n"/>
      <c r="R264" s="24" t="n"/>
      <c r="S264" s="22" t="n"/>
      <c r="T264" s="24" t="n"/>
      <c r="U264" s="25">
        <f>IF(T264="","",IF(AND(LEFT(T264,4)&lt;&gt;"http",set_RMSBase=""),"",HYPERLINK(IF(LEFT(T264,4)="http",T264,set_RMSBase&amp;T264),"Open opportunity")))</f>
        <v/>
      </c>
      <c r="V264" s="24" t="n"/>
      <c r="W264" s="25">
        <f>IF(V264="","",HYPERLINK(IF(LEFT(V264,4)="http",V264,set_QwilrBase&amp;V264),"Open quote"))</f>
        <v/>
      </c>
      <c r="X264" s="25">
        <f>IF(C264="","",C264)</f>
        <v/>
      </c>
      <c r="Y264" s="24" t="n"/>
      <c r="Z264" s="26" t="n"/>
      <c r="AA264" s="27">
        <f>IF(C264="","",H264+N(Z264))</f>
        <v/>
      </c>
      <c r="AB264" s="29">
        <f>IFERROR(Z264/AA264,"")</f>
        <v/>
      </c>
      <c r="AC264" s="26" t="n"/>
      <c r="AD264" s="26" t="n"/>
      <c r="AE264" s="26" t="n"/>
      <c r="AF264" s="26" t="n"/>
      <c r="AG264" s="27">
        <f>IF(C264="","",SUMIFS(tbl_Finance[Ex GST],tbl_Finance[Job Number],C264&amp;"",tbl_Finance[Cost Centre],"VIDEO"))</f>
        <v/>
      </c>
      <c r="AH264" s="29">
        <f>IFERROR(AG264/H264,"")</f>
        <v/>
      </c>
      <c r="AI264" s="27">
        <f>IF(C264="","",N(AC264)+N(AD264)+N(AE264)+N(AF264))</f>
        <v/>
      </c>
      <c r="AJ264" s="27">
        <f>IF(C264="","",H264+L264-AI264)</f>
        <v/>
      </c>
      <c r="AK264" s="29">
        <f>IFERROR(AJ264/(H264+L264),"")</f>
        <v/>
      </c>
      <c r="AL264" s="71" t="n"/>
      <c r="AM264" s="71" t="n"/>
      <c r="AN264" s="71" t="n"/>
      <c r="AO264" s="71" t="n"/>
      <c r="AP264" s="71" t="n"/>
      <c r="AQ264" s="24" t="n"/>
    </row>
    <row r="265" ht="15" customHeight="1">
      <c r="A265" s="70">
        <f>IF(C265="","",IFERROR(IF(SUMPRODUCT(MAX((tbl_Finance[Job Number]&amp;""=C265&amp;"")*(tbl_Finance[Xero Invoice No]&lt;&gt;"")*tbl_Finance[Date]))=0,"",SUMPRODUCT(MAX((tbl_Finance[Job Number]&amp;""=C265&amp;"")*(tbl_Finance[Xero Invoice No]&lt;&gt;"")*tbl_Finance[Date]))),""))</f>
        <v/>
      </c>
      <c r="B265" s="25">
        <f>IF(C265="","",IF(COUNTIFS(tbl_Finance[Job Number],C265&amp;"",tbl_Finance[Xero Invoice No],"&lt;&gt;")=0,"",IFERROR(IF(COUNTIFS(tbl_Finance[Job Number],C265&amp;"",tbl_Finance[Xero Invoice No],LOOKUP(2,1/((tbl_Finance[Job Number]&amp;""=C265&amp;"")*(tbl_Finance[Xero Invoice No]&lt;&gt;"")),tbl_Finance[Xero Invoice No]))=COUNTIFS(tbl_Finance[Job Number],C265&amp;"",tbl_Finance[Xero Invoice No],"&lt;&gt;"),LOOKUP(2,1/((tbl_Finance[Job Number]&amp;""=C265&amp;"")*(tbl_Finance[Xero Invoice No]&lt;&gt;"")),tbl_Finance[Xero Invoice No]),LOOKUP(2,1/((tbl_Finance[Job Number]&amp;""=C265&amp;"")*(tbl_Finance[Xero Invoice No]&lt;&gt;"")),tbl_Finance[Xero Invoice No])&amp;" +more"),"")))</f>
        <v/>
      </c>
      <c r="C265" s="24" t="n"/>
      <c r="D265" s="25">
        <f>IF(C265="","",IF(COUNTIF(lst_Jobs,C265&amp;"")&gt;0,"OK","CHECK"))</f>
        <v/>
      </c>
      <c r="E265" s="25">
        <f>IF(C265="","",IFERROR(INDEX(lst_JobName,MATCH(C265&amp;"",lst_Jobs,0)),""))</f>
        <v/>
      </c>
      <c r="F265" s="25">
        <f>IF(C265="","",IFERROR(INDEX(tbl_Finance[Client],IFERROR(MATCH(C265&amp;"",tbl_Finance[Job Number],0),MATCH(IFERROR(C265+0,C265),tbl_Finance[Job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6" t="n"/>
      <c r="L265" s="27">
        <f>IF(C265="","",IF(K265="",0,MAX(0,K265-H265)))</f>
        <v/>
      </c>
      <c r="M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N265" s="27">
        <f>IF(C265="","",SUMIFS(tbl_Finance[Inc GST],tbl_Finance[Job Number],C265&amp;""))</f>
        <v/>
      </c>
      <c r="O265" s="24" t="n"/>
      <c r="P265" s="25">
        <f>IF(C265="","",IFERROR(INDEX(tbl_Finance[Description],MATCH(C265&amp;"",tbl_Finance[Job Number],0)),""))</f>
        <v/>
      </c>
      <c r="Q265" s="24" t="n"/>
      <c r="R265" s="24" t="n"/>
      <c r="S265" s="22" t="n"/>
      <c r="T265" s="24" t="n"/>
      <c r="U265" s="25">
        <f>IF(T265="","",IF(AND(LEFT(T265,4)&lt;&gt;"http",set_RMSBase=""),"",HYPERLINK(IF(LEFT(T265,4)="http",T265,set_RMSBase&amp;T265),"Open opportunity")))</f>
        <v/>
      </c>
      <c r="V265" s="24" t="n"/>
      <c r="W265" s="25">
        <f>IF(V265="","",HYPERLINK(IF(LEFT(V265,4)="http",V265,set_QwilrBase&amp;V265),"Open quote"))</f>
        <v/>
      </c>
      <c r="X265" s="25">
        <f>IF(C265="","",C265)</f>
        <v/>
      </c>
      <c r="Y265" s="24" t="n"/>
      <c r="Z265" s="26" t="n"/>
      <c r="AA265" s="27">
        <f>IF(C265="","",H265+N(Z265))</f>
        <v/>
      </c>
      <c r="AB265" s="29">
        <f>IFERROR(Z265/AA265,"")</f>
        <v/>
      </c>
      <c r="AC265" s="26" t="n"/>
      <c r="AD265" s="26" t="n"/>
      <c r="AE265" s="26" t="n"/>
      <c r="AF265" s="26" t="n"/>
      <c r="AG265" s="27">
        <f>IF(C265="","",SUMIFS(tbl_Finance[Ex GST],tbl_Finance[Job Number],C265&amp;"",tbl_Finance[Cost Centre],"VIDEO"))</f>
        <v/>
      </c>
      <c r="AH265" s="29">
        <f>IFERROR(AG265/H265,"")</f>
        <v/>
      </c>
      <c r="AI265" s="27">
        <f>IF(C265="","",N(AC265)+N(AD265)+N(AE265)+N(AF265))</f>
        <v/>
      </c>
      <c r="AJ265" s="27">
        <f>IF(C265="","",H265+L265-AI265)</f>
        <v/>
      </c>
      <c r="AK265" s="29">
        <f>IFERROR(AJ265/(H265+L265),"")</f>
        <v/>
      </c>
      <c r="AL265" s="71" t="n"/>
      <c r="AM265" s="71" t="n"/>
      <c r="AN265" s="71" t="n"/>
      <c r="AO265" s="71" t="n"/>
      <c r="AP265" s="71" t="n"/>
      <c r="AQ265" s="24" t="n"/>
    </row>
    <row r="266" ht="15" customHeight="1">
      <c r="A266" s="70">
        <f>IF(C266="","",IFERROR(IF(SUMPRODUCT(MAX((tbl_Finance[Job Number]&amp;""=C266&amp;"")*(tbl_Finance[Xero Invoice No]&lt;&gt;"")*tbl_Finance[Date]))=0,"",SUMPRODUCT(MAX((tbl_Finance[Job Number]&amp;""=C266&amp;"")*(tbl_Finance[Xero Invoice No]&lt;&gt;"")*tbl_Finance[Date]))),""))</f>
        <v/>
      </c>
      <c r="B266" s="25">
        <f>IF(C266="","",IF(COUNTIFS(tbl_Finance[Job Number],C266&amp;"",tbl_Finance[Xero Invoice No],"&lt;&gt;")=0,"",IFERROR(IF(COUNTIFS(tbl_Finance[Job Number],C266&amp;"",tbl_Finance[Xero Invoice No],LOOKUP(2,1/((tbl_Finance[Job Number]&amp;""=C266&amp;"")*(tbl_Finance[Xero Invoice No]&lt;&gt;"")),tbl_Finance[Xero Invoice No]))=COUNTIFS(tbl_Finance[Job Number],C266&amp;"",tbl_Finance[Xero Invoice No],"&lt;&gt;"),LOOKUP(2,1/((tbl_Finance[Job Number]&amp;""=C266&amp;"")*(tbl_Finance[Xero Invoice No]&lt;&gt;"")),tbl_Finance[Xero Invoice No]),LOOKUP(2,1/((tbl_Finance[Job Number]&amp;""=C266&amp;"")*(tbl_Finance[Xero Invoice No]&lt;&gt;"")),tbl_Finance[Xero Invoice No])&amp;" +more"),"")))</f>
        <v/>
      </c>
      <c r="C266" s="24" t="n"/>
      <c r="D266" s="25">
        <f>IF(C266="","",IF(COUNTIF(lst_Jobs,C266&amp;"")&gt;0,"OK","CHECK"))</f>
        <v/>
      </c>
      <c r="E266" s="25">
        <f>IF(C266="","",IFERROR(INDEX(lst_JobName,MATCH(C266&amp;"",lst_Jobs,0)),""))</f>
        <v/>
      </c>
      <c r="F266" s="25">
        <f>IF(C266="","",IFERROR(INDEX(tbl_Finance[Client],IFERROR(MATCH(C266&amp;"",tbl_Finance[Job Number],0),MATCH(IFERROR(C266+0,C266),tbl_Finance[Job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6" t="n"/>
      <c r="L266" s="27">
        <f>IF(C266="","",IF(K266="",0,MAX(0,K266-H266)))</f>
        <v/>
      </c>
      <c r="M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N266" s="27">
        <f>IF(C266="","",SUMIFS(tbl_Finance[Inc GST],tbl_Finance[Job Number],C266&amp;""))</f>
        <v/>
      </c>
      <c r="O266" s="24" t="n"/>
      <c r="P266" s="25">
        <f>IF(C266="","",IFERROR(INDEX(tbl_Finance[Description],MATCH(C266&amp;"",tbl_Finance[Job Number],0)),""))</f>
        <v/>
      </c>
      <c r="Q266" s="24" t="n"/>
      <c r="R266" s="24" t="n"/>
      <c r="S266" s="22" t="n"/>
      <c r="T266" s="24" t="n"/>
      <c r="U266" s="25">
        <f>IF(T266="","",IF(AND(LEFT(T266,4)&lt;&gt;"http",set_RMSBase=""),"",HYPERLINK(IF(LEFT(T266,4)="http",T266,set_RMSBase&amp;T266),"Open opportunity")))</f>
        <v/>
      </c>
      <c r="V266" s="24" t="n"/>
      <c r="W266" s="25">
        <f>IF(V266="","",HYPERLINK(IF(LEFT(V266,4)="http",V266,set_QwilrBase&amp;V266),"Open quote"))</f>
        <v/>
      </c>
      <c r="X266" s="25">
        <f>IF(C266="","",C266)</f>
        <v/>
      </c>
      <c r="Y266" s="24" t="n"/>
      <c r="Z266" s="26" t="n"/>
      <c r="AA266" s="27">
        <f>IF(C266="","",H266+N(Z266))</f>
        <v/>
      </c>
      <c r="AB266" s="29">
        <f>IFERROR(Z266/AA266,"")</f>
        <v/>
      </c>
      <c r="AC266" s="26" t="n"/>
      <c r="AD266" s="26" t="n"/>
      <c r="AE266" s="26" t="n"/>
      <c r="AF266" s="26" t="n"/>
      <c r="AG266" s="27">
        <f>IF(C266="","",SUMIFS(tbl_Finance[Ex GST],tbl_Finance[Job Number],C266&amp;"",tbl_Finance[Cost Centre],"VIDEO"))</f>
        <v/>
      </c>
      <c r="AH266" s="29">
        <f>IFERROR(AG266/H266,"")</f>
        <v/>
      </c>
      <c r="AI266" s="27">
        <f>IF(C266="","",N(AC266)+N(AD266)+N(AE266)+N(AF266))</f>
        <v/>
      </c>
      <c r="AJ266" s="27">
        <f>IF(C266="","",H266+L266-AI266)</f>
        <v/>
      </c>
      <c r="AK266" s="29">
        <f>IFERROR(AJ266/(H266+L266),"")</f>
        <v/>
      </c>
      <c r="AL266" s="71" t="n"/>
      <c r="AM266" s="71" t="n"/>
      <c r="AN266" s="71" t="n"/>
      <c r="AO266" s="71" t="n"/>
      <c r="AP266" s="71" t="n"/>
      <c r="AQ266" s="24" t="n"/>
    </row>
    <row r="267" ht="15" customHeight="1">
      <c r="A267" s="70">
        <f>IF(C267="","",IFERROR(IF(SUMPRODUCT(MAX((tbl_Finance[Job Number]&amp;""=C267&amp;"")*(tbl_Finance[Xero Invoice No]&lt;&gt;"")*tbl_Finance[Date]))=0,"",SUMPRODUCT(MAX((tbl_Finance[Job Number]&amp;""=C267&amp;"")*(tbl_Finance[Xero Invoice No]&lt;&gt;"")*tbl_Finance[Date]))),""))</f>
        <v/>
      </c>
      <c r="B267" s="25">
        <f>IF(C267="","",IF(COUNTIFS(tbl_Finance[Job Number],C267&amp;"",tbl_Finance[Xero Invoice No],"&lt;&gt;")=0,"",IFERROR(IF(COUNTIFS(tbl_Finance[Job Number],C267&amp;"",tbl_Finance[Xero Invoice No],LOOKUP(2,1/((tbl_Finance[Job Number]&amp;""=C267&amp;"")*(tbl_Finance[Xero Invoice No]&lt;&gt;"")),tbl_Finance[Xero Invoice No]))=COUNTIFS(tbl_Finance[Job Number],C267&amp;"",tbl_Finance[Xero Invoice No],"&lt;&gt;"),LOOKUP(2,1/((tbl_Finance[Job Number]&amp;""=C267&amp;"")*(tbl_Finance[Xero Invoice No]&lt;&gt;"")),tbl_Finance[Xero Invoice No]),LOOKUP(2,1/((tbl_Finance[Job Number]&amp;""=C267&amp;"")*(tbl_Finance[Xero Invoice No]&lt;&gt;"")),tbl_Finance[Xero Invoice No])&amp;" +more"),"")))</f>
        <v/>
      </c>
      <c r="C267" s="24" t="n"/>
      <c r="D267" s="25">
        <f>IF(C267="","",IF(COUNTIF(lst_Jobs,C267&amp;"")&gt;0,"OK","CHECK"))</f>
        <v/>
      </c>
      <c r="E267" s="25">
        <f>IF(C267="","",IFERROR(INDEX(lst_JobName,MATCH(C267&amp;"",lst_Jobs,0)),""))</f>
        <v/>
      </c>
      <c r="F267" s="25">
        <f>IF(C267="","",IFERROR(INDEX(tbl_Finance[Client],IFERROR(MATCH(C267&amp;"",tbl_Finance[Job Number],0),MATCH(IFERROR(C267+0,C267),tbl_Finance[Job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6" t="n"/>
      <c r="L267" s="27">
        <f>IF(C267="","",IF(K267="",0,MAX(0,K267-H267)))</f>
        <v/>
      </c>
      <c r="M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N267" s="27">
        <f>IF(C267="","",SUMIFS(tbl_Finance[Inc GST],tbl_Finance[Job Number],C267&amp;""))</f>
        <v/>
      </c>
      <c r="O267" s="24" t="n"/>
      <c r="P267" s="25">
        <f>IF(C267="","",IFERROR(INDEX(tbl_Finance[Description],MATCH(C267&amp;"",tbl_Finance[Job Number],0)),""))</f>
        <v/>
      </c>
      <c r="Q267" s="24" t="n"/>
      <c r="R267" s="24" t="n"/>
      <c r="S267" s="22" t="n"/>
      <c r="T267" s="24" t="n"/>
      <c r="U267" s="25">
        <f>IF(T267="","",IF(AND(LEFT(T267,4)&lt;&gt;"http",set_RMSBase=""),"",HYPERLINK(IF(LEFT(T267,4)="http",T267,set_RMSBase&amp;T267),"Open opportunity")))</f>
        <v/>
      </c>
      <c r="V267" s="24" t="n"/>
      <c r="W267" s="25">
        <f>IF(V267="","",HYPERLINK(IF(LEFT(V267,4)="http",V267,set_QwilrBase&amp;V267),"Open quote"))</f>
        <v/>
      </c>
      <c r="X267" s="25">
        <f>IF(C267="","",C267)</f>
        <v/>
      </c>
      <c r="Y267" s="24" t="n"/>
      <c r="Z267" s="26" t="n"/>
      <c r="AA267" s="27">
        <f>IF(C267="","",H267+N(Z267))</f>
        <v/>
      </c>
      <c r="AB267" s="29">
        <f>IFERROR(Z267/AA267,"")</f>
        <v/>
      </c>
      <c r="AC267" s="26" t="n"/>
      <c r="AD267" s="26" t="n"/>
      <c r="AE267" s="26" t="n"/>
      <c r="AF267" s="26" t="n"/>
      <c r="AG267" s="27">
        <f>IF(C267="","",SUMIFS(tbl_Finance[Ex GST],tbl_Finance[Job Number],C267&amp;"",tbl_Finance[Cost Centre],"VIDEO"))</f>
        <v/>
      </c>
      <c r="AH267" s="29">
        <f>IFERROR(AG267/H267,"")</f>
        <v/>
      </c>
      <c r="AI267" s="27">
        <f>IF(C267="","",N(AC267)+N(AD267)+N(AE267)+N(AF267))</f>
        <v/>
      </c>
      <c r="AJ267" s="27">
        <f>IF(C267="","",H267+L267-AI267)</f>
        <v/>
      </c>
      <c r="AK267" s="29">
        <f>IFERROR(AJ267/(H267+L267),"")</f>
        <v/>
      </c>
      <c r="AL267" s="71" t="n"/>
      <c r="AM267" s="71" t="n"/>
      <c r="AN267" s="71" t="n"/>
      <c r="AO267" s="71" t="n"/>
      <c r="AP267" s="71" t="n"/>
      <c r="AQ267" s="24" t="n"/>
    </row>
    <row r="268" ht="15" customHeight="1">
      <c r="A268" s="70">
        <f>IF(C268="","",IFERROR(IF(SUMPRODUCT(MAX((tbl_Finance[Job Number]&amp;""=C268&amp;"")*(tbl_Finance[Xero Invoice No]&lt;&gt;"")*tbl_Finance[Date]))=0,"",SUMPRODUCT(MAX((tbl_Finance[Job Number]&amp;""=C268&amp;"")*(tbl_Finance[Xero Invoice No]&lt;&gt;"")*tbl_Finance[Date]))),""))</f>
        <v/>
      </c>
      <c r="B268" s="25">
        <f>IF(C268="","",IF(COUNTIFS(tbl_Finance[Job Number],C268&amp;"",tbl_Finance[Xero Invoice No],"&lt;&gt;")=0,"",IFERROR(IF(COUNTIFS(tbl_Finance[Job Number],C268&amp;"",tbl_Finance[Xero Invoice No],LOOKUP(2,1/((tbl_Finance[Job Number]&amp;""=C268&amp;"")*(tbl_Finance[Xero Invoice No]&lt;&gt;"")),tbl_Finance[Xero Invoice No]))=COUNTIFS(tbl_Finance[Job Number],C268&amp;"",tbl_Finance[Xero Invoice No],"&lt;&gt;"),LOOKUP(2,1/((tbl_Finance[Job Number]&amp;""=C268&amp;"")*(tbl_Finance[Xero Invoice No]&lt;&gt;"")),tbl_Finance[Xero Invoice No]),LOOKUP(2,1/((tbl_Finance[Job Number]&amp;""=C268&amp;"")*(tbl_Finance[Xero Invoice No]&lt;&gt;"")),tbl_Finance[Xero Invoice No])&amp;" +more"),"")))</f>
        <v/>
      </c>
      <c r="C268" s="24" t="n"/>
      <c r="D268" s="25">
        <f>IF(C268="","",IF(COUNTIF(lst_Jobs,C268&amp;"")&gt;0,"OK","CHECK"))</f>
        <v/>
      </c>
      <c r="E268" s="25">
        <f>IF(C268="","",IFERROR(INDEX(lst_JobName,MATCH(C268&amp;"",lst_Jobs,0)),""))</f>
        <v/>
      </c>
      <c r="F268" s="25">
        <f>IF(C268="","",IFERROR(INDEX(tbl_Finance[Client],IFERROR(MATCH(C268&amp;"",tbl_Finance[Job Number],0),MATCH(IFERROR(C268+0,C268),tbl_Finance[Job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6" t="n"/>
      <c r="L268" s="27">
        <f>IF(C268="","",IF(K268="",0,MAX(0,K268-H268)))</f>
        <v/>
      </c>
      <c r="M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N268" s="27">
        <f>IF(C268="","",SUMIFS(tbl_Finance[Inc GST],tbl_Finance[Job Number],C268&amp;""))</f>
        <v/>
      </c>
      <c r="O268" s="24" t="n"/>
      <c r="P268" s="25">
        <f>IF(C268="","",IFERROR(INDEX(tbl_Finance[Description],MATCH(C268&amp;"",tbl_Finance[Job Number],0)),""))</f>
        <v/>
      </c>
      <c r="Q268" s="24" t="n"/>
      <c r="R268" s="24" t="n"/>
      <c r="S268" s="22" t="n"/>
      <c r="T268" s="24" t="n"/>
      <c r="U268" s="25">
        <f>IF(T268="","",IF(AND(LEFT(T268,4)&lt;&gt;"http",set_RMSBase=""),"",HYPERLINK(IF(LEFT(T268,4)="http",T268,set_RMSBase&amp;T268),"Open opportunity")))</f>
        <v/>
      </c>
      <c r="V268" s="24" t="n"/>
      <c r="W268" s="25">
        <f>IF(V268="","",HYPERLINK(IF(LEFT(V268,4)="http",V268,set_QwilrBase&amp;V268),"Open quote"))</f>
        <v/>
      </c>
      <c r="X268" s="25">
        <f>IF(C268="","",C268)</f>
        <v/>
      </c>
      <c r="Y268" s="24" t="n"/>
      <c r="Z268" s="26" t="n"/>
      <c r="AA268" s="27">
        <f>IF(C268="","",H268+N(Z268))</f>
        <v/>
      </c>
      <c r="AB268" s="29">
        <f>IFERROR(Z268/AA268,"")</f>
        <v/>
      </c>
      <c r="AC268" s="26" t="n"/>
      <c r="AD268" s="26" t="n"/>
      <c r="AE268" s="26" t="n"/>
      <c r="AF268" s="26" t="n"/>
      <c r="AG268" s="27">
        <f>IF(C268="","",SUMIFS(tbl_Finance[Ex GST],tbl_Finance[Job Number],C268&amp;"",tbl_Finance[Cost Centre],"VIDEO"))</f>
        <v/>
      </c>
      <c r="AH268" s="29">
        <f>IFERROR(AG268/H268,"")</f>
        <v/>
      </c>
      <c r="AI268" s="27">
        <f>IF(C268="","",N(AC268)+N(AD268)+N(AE268)+N(AF268))</f>
        <v/>
      </c>
      <c r="AJ268" s="27">
        <f>IF(C268="","",H268+L268-AI268)</f>
        <v/>
      </c>
      <c r="AK268" s="29">
        <f>IFERROR(AJ268/(H268+L268),"")</f>
        <v/>
      </c>
      <c r="AL268" s="71" t="n"/>
      <c r="AM268" s="71" t="n"/>
      <c r="AN268" s="71" t="n"/>
      <c r="AO268" s="71" t="n"/>
      <c r="AP268" s="71" t="n"/>
      <c r="AQ268" s="24" t="n"/>
    </row>
    <row r="269" ht="15" customHeight="1">
      <c r="A269" s="70">
        <f>IF(C269="","",IFERROR(IF(SUMPRODUCT(MAX((tbl_Finance[Job Number]&amp;""=C269&amp;"")*(tbl_Finance[Xero Invoice No]&lt;&gt;"")*tbl_Finance[Date]))=0,"",SUMPRODUCT(MAX((tbl_Finance[Job Number]&amp;""=C269&amp;"")*(tbl_Finance[Xero Invoice No]&lt;&gt;"")*tbl_Finance[Date]))),""))</f>
        <v/>
      </c>
      <c r="B269" s="25">
        <f>IF(C269="","",IF(COUNTIFS(tbl_Finance[Job Number],C269&amp;"",tbl_Finance[Xero Invoice No],"&lt;&gt;")=0,"",IFERROR(IF(COUNTIFS(tbl_Finance[Job Number],C269&amp;"",tbl_Finance[Xero Invoice No],LOOKUP(2,1/((tbl_Finance[Job Number]&amp;""=C269&amp;"")*(tbl_Finance[Xero Invoice No]&lt;&gt;"")),tbl_Finance[Xero Invoice No]))=COUNTIFS(tbl_Finance[Job Number],C269&amp;"",tbl_Finance[Xero Invoice No],"&lt;&gt;"),LOOKUP(2,1/((tbl_Finance[Job Number]&amp;""=C269&amp;"")*(tbl_Finance[Xero Invoice No]&lt;&gt;"")),tbl_Finance[Xero Invoice No]),LOOKUP(2,1/((tbl_Finance[Job Number]&amp;""=C269&amp;"")*(tbl_Finance[Xero Invoice No]&lt;&gt;"")),tbl_Finance[Xero Invoice No])&amp;" +more"),"")))</f>
        <v/>
      </c>
      <c r="C269" s="24" t="n"/>
      <c r="D269" s="25">
        <f>IF(C269="","",IF(COUNTIF(lst_Jobs,C269&amp;"")&gt;0,"OK","CHECK"))</f>
        <v/>
      </c>
      <c r="E269" s="25">
        <f>IF(C269="","",IFERROR(INDEX(lst_JobName,MATCH(C269&amp;"",lst_Jobs,0)),""))</f>
        <v/>
      </c>
      <c r="F269" s="25">
        <f>IF(C269="","",IFERROR(INDEX(tbl_Finance[Client],IFERROR(MATCH(C269&amp;"",tbl_Finance[Job Number],0),MATCH(IFERROR(C269+0,C269),tbl_Finance[Job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6" t="n"/>
      <c r="L269" s="27">
        <f>IF(C269="","",IF(K269="",0,MAX(0,K269-H269)))</f>
        <v/>
      </c>
      <c r="M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N269" s="27">
        <f>IF(C269="","",SUMIFS(tbl_Finance[Inc GST],tbl_Finance[Job Number],C269&amp;""))</f>
        <v/>
      </c>
      <c r="O269" s="24" t="n"/>
      <c r="P269" s="25">
        <f>IF(C269="","",IFERROR(INDEX(tbl_Finance[Description],MATCH(C269&amp;"",tbl_Finance[Job Number],0)),""))</f>
        <v/>
      </c>
      <c r="Q269" s="24" t="n"/>
      <c r="R269" s="24" t="n"/>
      <c r="S269" s="22" t="n"/>
      <c r="T269" s="24" t="n"/>
      <c r="U269" s="25">
        <f>IF(T269="","",IF(AND(LEFT(T269,4)&lt;&gt;"http",set_RMSBase=""),"",HYPERLINK(IF(LEFT(T269,4)="http",T269,set_RMSBase&amp;T269),"Open opportunity")))</f>
        <v/>
      </c>
      <c r="V269" s="24" t="n"/>
      <c r="W269" s="25">
        <f>IF(V269="","",HYPERLINK(IF(LEFT(V269,4)="http",V269,set_QwilrBase&amp;V269),"Open quote"))</f>
        <v/>
      </c>
      <c r="X269" s="25">
        <f>IF(C269="","",C269)</f>
        <v/>
      </c>
      <c r="Y269" s="24" t="n"/>
      <c r="Z269" s="26" t="n"/>
      <c r="AA269" s="27">
        <f>IF(C269="","",H269+N(Z269))</f>
        <v/>
      </c>
      <c r="AB269" s="29">
        <f>IFERROR(Z269/AA269,"")</f>
        <v/>
      </c>
      <c r="AC269" s="26" t="n"/>
      <c r="AD269" s="26" t="n"/>
      <c r="AE269" s="26" t="n"/>
      <c r="AF269" s="26" t="n"/>
      <c r="AG269" s="27">
        <f>IF(C269="","",SUMIFS(tbl_Finance[Ex GST],tbl_Finance[Job Number],C269&amp;"",tbl_Finance[Cost Centre],"VIDEO"))</f>
        <v/>
      </c>
      <c r="AH269" s="29">
        <f>IFERROR(AG269/H269,"")</f>
        <v/>
      </c>
      <c r="AI269" s="27">
        <f>IF(C269="","",N(AC269)+N(AD269)+N(AE269)+N(AF269))</f>
        <v/>
      </c>
      <c r="AJ269" s="27">
        <f>IF(C269="","",H269+L269-AI269)</f>
        <v/>
      </c>
      <c r="AK269" s="29">
        <f>IFERROR(AJ269/(H269+L269),"")</f>
        <v/>
      </c>
      <c r="AL269" s="71" t="n"/>
      <c r="AM269" s="71" t="n"/>
      <c r="AN269" s="71" t="n"/>
      <c r="AO269" s="71" t="n"/>
      <c r="AP269" s="71" t="n"/>
      <c r="AQ269" s="24" t="n"/>
    </row>
    <row r="270" ht="15" customHeight="1">
      <c r="A270" s="70">
        <f>IF(C270="","",IFERROR(IF(SUMPRODUCT(MAX((tbl_Finance[Job Number]&amp;""=C270&amp;"")*(tbl_Finance[Xero Invoice No]&lt;&gt;"")*tbl_Finance[Date]))=0,"",SUMPRODUCT(MAX((tbl_Finance[Job Number]&amp;""=C270&amp;"")*(tbl_Finance[Xero Invoice No]&lt;&gt;"")*tbl_Finance[Date]))),""))</f>
        <v/>
      </c>
      <c r="B270" s="25">
        <f>IF(C270="","",IF(COUNTIFS(tbl_Finance[Job Number],C270&amp;"",tbl_Finance[Xero Invoice No],"&lt;&gt;")=0,"",IFERROR(IF(COUNTIFS(tbl_Finance[Job Number],C270&amp;"",tbl_Finance[Xero Invoice No],LOOKUP(2,1/((tbl_Finance[Job Number]&amp;""=C270&amp;"")*(tbl_Finance[Xero Invoice No]&lt;&gt;"")),tbl_Finance[Xero Invoice No]))=COUNTIFS(tbl_Finance[Job Number],C270&amp;"",tbl_Finance[Xero Invoice No],"&lt;&gt;"),LOOKUP(2,1/((tbl_Finance[Job Number]&amp;""=C270&amp;"")*(tbl_Finance[Xero Invoice No]&lt;&gt;"")),tbl_Finance[Xero Invoice No]),LOOKUP(2,1/((tbl_Finance[Job Number]&amp;""=C270&amp;"")*(tbl_Finance[Xero Invoice No]&lt;&gt;"")),tbl_Finance[Xero Invoice No])&amp;" +more"),"")))</f>
        <v/>
      </c>
      <c r="C270" s="24" t="n"/>
      <c r="D270" s="25">
        <f>IF(C270="","",IF(COUNTIF(lst_Jobs,C270&amp;"")&gt;0,"OK","CHECK"))</f>
        <v/>
      </c>
      <c r="E270" s="25">
        <f>IF(C270="","",IFERROR(INDEX(lst_JobName,MATCH(C270&amp;"",lst_Jobs,0)),""))</f>
        <v/>
      </c>
      <c r="F270" s="25">
        <f>IF(C270="","",IFERROR(INDEX(tbl_Finance[Client],IFERROR(MATCH(C270&amp;"",tbl_Finance[Job Number],0),MATCH(IFERROR(C270+0,C270),tbl_Finance[Job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6" t="n"/>
      <c r="L270" s="27">
        <f>IF(C270="","",IF(K270="",0,MAX(0,K270-H270)))</f>
        <v/>
      </c>
      <c r="M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N270" s="27">
        <f>IF(C270="","",SUMIFS(tbl_Finance[Inc GST],tbl_Finance[Job Number],C270&amp;""))</f>
        <v/>
      </c>
      <c r="O270" s="24" t="n"/>
      <c r="P270" s="25">
        <f>IF(C270="","",IFERROR(INDEX(tbl_Finance[Description],MATCH(C270&amp;"",tbl_Finance[Job Number],0)),""))</f>
        <v/>
      </c>
      <c r="Q270" s="24" t="n"/>
      <c r="R270" s="24" t="n"/>
      <c r="S270" s="22" t="n"/>
      <c r="T270" s="24" t="n"/>
      <c r="U270" s="25">
        <f>IF(T270="","",IF(AND(LEFT(T270,4)&lt;&gt;"http",set_RMSBase=""),"",HYPERLINK(IF(LEFT(T270,4)="http",T270,set_RMSBase&amp;T270),"Open opportunity")))</f>
        <v/>
      </c>
      <c r="V270" s="24" t="n"/>
      <c r="W270" s="25">
        <f>IF(V270="","",HYPERLINK(IF(LEFT(V270,4)="http",V270,set_QwilrBase&amp;V270),"Open quote"))</f>
        <v/>
      </c>
      <c r="X270" s="25">
        <f>IF(C270="","",C270)</f>
        <v/>
      </c>
      <c r="Y270" s="24" t="n"/>
      <c r="Z270" s="26" t="n"/>
      <c r="AA270" s="27">
        <f>IF(C270="","",H270+N(Z270))</f>
        <v/>
      </c>
      <c r="AB270" s="29">
        <f>IFERROR(Z270/AA270,"")</f>
        <v/>
      </c>
      <c r="AC270" s="26" t="n"/>
      <c r="AD270" s="26" t="n"/>
      <c r="AE270" s="26" t="n"/>
      <c r="AF270" s="26" t="n"/>
      <c r="AG270" s="27">
        <f>IF(C270="","",SUMIFS(tbl_Finance[Ex GST],tbl_Finance[Job Number],C270&amp;"",tbl_Finance[Cost Centre],"VIDEO"))</f>
        <v/>
      </c>
      <c r="AH270" s="29">
        <f>IFERROR(AG270/H270,"")</f>
        <v/>
      </c>
      <c r="AI270" s="27">
        <f>IF(C270="","",N(AC270)+N(AD270)+N(AE270)+N(AF270))</f>
        <v/>
      </c>
      <c r="AJ270" s="27">
        <f>IF(C270="","",H270+L270-AI270)</f>
        <v/>
      </c>
      <c r="AK270" s="29">
        <f>IFERROR(AJ270/(H270+L270),"")</f>
        <v/>
      </c>
      <c r="AL270" s="71" t="n"/>
      <c r="AM270" s="71" t="n"/>
      <c r="AN270" s="71" t="n"/>
      <c r="AO270" s="71" t="n"/>
      <c r="AP270" s="71" t="n"/>
      <c r="AQ270" s="24" t="n"/>
    </row>
    <row r="271" ht="15" customHeight="1">
      <c r="A271" s="70">
        <f>IF(C271="","",IFERROR(IF(SUMPRODUCT(MAX((tbl_Finance[Job Number]&amp;""=C271&amp;"")*(tbl_Finance[Xero Invoice No]&lt;&gt;"")*tbl_Finance[Date]))=0,"",SUMPRODUCT(MAX((tbl_Finance[Job Number]&amp;""=C271&amp;"")*(tbl_Finance[Xero Invoice No]&lt;&gt;"")*tbl_Finance[Date]))),""))</f>
        <v/>
      </c>
      <c r="B271" s="25">
        <f>IF(C271="","",IF(COUNTIFS(tbl_Finance[Job Number],C271&amp;"",tbl_Finance[Xero Invoice No],"&lt;&gt;")=0,"",IFERROR(IF(COUNTIFS(tbl_Finance[Job Number],C271&amp;"",tbl_Finance[Xero Invoice No],LOOKUP(2,1/((tbl_Finance[Job Number]&amp;""=C271&amp;"")*(tbl_Finance[Xero Invoice No]&lt;&gt;"")),tbl_Finance[Xero Invoice No]))=COUNTIFS(tbl_Finance[Job Number],C271&amp;"",tbl_Finance[Xero Invoice No],"&lt;&gt;"),LOOKUP(2,1/((tbl_Finance[Job Number]&amp;""=C271&amp;"")*(tbl_Finance[Xero Invoice No]&lt;&gt;"")),tbl_Finance[Xero Invoice No]),LOOKUP(2,1/((tbl_Finance[Job Number]&amp;""=C271&amp;"")*(tbl_Finance[Xero Invoice No]&lt;&gt;"")),tbl_Finance[Xero Invoice No])&amp;" +more"),"")))</f>
        <v/>
      </c>
      <c r="C271" s="24" t="n"/>
      <c r="D271" s="25">
        <f>IF(C271="","",IF(COUNTIF(lst_Jobs,C271&amp;"")&gt;0,"OK","CHECK"))</f>
        <v/>
      </c>
      <c r="E271" s="25">
        <f>IF(C271="","",IFERROR(INDEX(lst_JobName,MATCH(C271&amp;"",lst_Jobs,0)),""))</f>
        <v/>
      </c>
      <c r="F271" s="25">
        <f>IF(C271="","",IFERROR(INDEX(tbl_Finance[Client],IFERROR(MATCH(C271&amp;"",tbl_Finance[Job Number],0),MATCH(IFERROR(C271+0,C271),tbl_Finance[Job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6" t="n"/>
      <c r="L271" s="27">
        <f>IF(C271="","",IF(K271="",0,MAX(0,K271-H271)))</f>
        <v/>
      </c>
      <c r="M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N271" s="27">
        <f>IF(C271="","",SUMIFS(tbl_Finance[Inc GST],tbl_Finance[Job Number],C271&amp;""))</f>
        <v/>
      </c>
      <c r="O271" s="24" t="n"/>
      <c r="P271" s="25">
        <f>IF(C271="","",IFERROR(INDEX(tbl_Finance[Description],MATCH(C271&amp;"",tbl_Finance[Job Number],0)),""))</f>
        <v/>
      </c>
      <c r="Q271" s="24" t="n"/>
      <c r="R271" s="24" t="n"/>
      <c r="S271" s="22" t="n"/>
      <c r="T271" s="24" t="n"/>
      <c r="U271" s="25">
        <f>IF(T271="","",IF(AND(LEFT(T271,4)&lt;&gt;"http",set_RMSBase=""),"",HYPERLINK(IF(LEFT(T271,4)="http",T271,set_RMSBase&amp;T271),"Open opportunity")))</f>
        <v/>
      </c>
      <c r="V271" s="24" t="n"/>
      <c r="W271" s="25">
        <f>IF(V271="","",HYPERLINK(IF(LEFT(V271,4)="http",V271,set_QwilrBase&amp;V271),"Open quote"))</f>
        <v/>
      </c>
      <c r="X271" s="25">
        <f>IF(C271="","",C271)</f>
        <v/>
      </c>
      <c r="Y271" s="24" t="n"/>
      <c r="Z271" s="26" t="n"/>
      <c r="AA271" s="27">
        <f>IF(C271="","",H271+N(Z271))</f>
        <v/>
      </c>
      <c r="AB271" s="29">
        <f>IFERROR(Z271/AA271,"")</f>
        <v/>
      </c>
      <c r="AC271" s="26" t="n"/>
      <c r="AD271" s="26" t="n"/>
      <c r="AE271" s="26" t="n"/>
      <c r="AF271" s="26" t="n"/>
      <c r="AG271" s="27">
        <f>IF(C271="","",SUMIFS(tbl_Finance[Ex GST],tbl_Finance[Job Number],C271&amp;"",tbl_Finance[Cost Centre],"VIDEO"))</f>
        <v/>
      </c>
      <c r="AH271" s="29">
        <f>IFERROR(AG271/H271,"")</f>
        <v/>
      </c>
      <c r="AI271" s="27">
        <f>IF(C271="","",N(AC271)+N(AD271)+N(AE271)+N(AF271))</f>
        <v/>
      </c>
      <c r="AJ271" s="27">
        <f>IF(C271="","",H271+L271-AI271)</f>
        <v/>
      </c>
      <c r="AK271" s="29">
        <f>IFERROR(AJ271/(H271+L271),"")</f>
        <v/>
      </c>
      <c r="AL271" s="71" t="n"/>
      <c r="AM271" s="71" t="n"/>
      <c r="AN271" s="71" t="n"/>
      <c r="AO271" s="71" t="n"/>
      <c r="AP271" s="71" t="n"/>
      <c r="AQ271" s="24" t="n"/>
    </row>
    <row r="272" ht="15" customHeight="1">
      <c r="A272" s="70">
        <f>IF(C272="","",IFERROR(IF(SUMPRODUCT(MAX((tbl_Finance[Job Number]&amp;""=C272&amp;"")*(tbl_Finance[Xero Invoice No]&lt;&gt;"")*tbl_Finance[Date]))=0,"",SUMPRODUCT(MAX((tbl_Finance[Job Number]&amp;""=C272&amp;"")*(tbl_Finance[Xero Invoice No]&lt;&gt;"")*tbl_Finance[Date]))),""))</f>
        <v/>
      </c>
      <c r="B272" s="25">
        <f>IF(C272="","",IF(COUNTIFS(tbl_Finance[Job Number],C272&amp;"",tbl_Finance[Xero Invoice No],"&lt;&gt;")=0,"",IFERROR(IF(COUNTIFS(tbl_Finance[Job Number],C272&amp;"",tbl_Finance[Xero Invoice No],LOOKUP(2,1/((tbl_Finance[Job Number]&amp;""=C272&amp;"")*(tbl_Finance[Xero Invoice No]&lt;&gt;"")),tbl_Finance[Xero Invoice No]))=COUNTIFS(tbl_Finance[Job Number],C272&amp;"",tbl_Finance[Xero Invoice No],"&lt;&gt;"),LOOKUP(2,1/((tbl_Finance[Job Number]&amp;""=C272&amp;"")*(tbl_Finance[Xero Invoice No]&lt;&gt;"")),tbl_Finance[Xero Invoice No]),LOOKUP(2,1/((tbl_Finance[Job Number]&amp;""=C272&amp;"")*(tbl_Finance[Xero Invoice No]&lt;&gt;"")),tbl_Finance[Xero Invoice No])&amp;" +more"),"")))</f>
        <v/>
      </c>
      <c r="C272" s="24" t="n"/>
      <c r="D272" s="25">
        <f>IF(C272="","",IF(COUNTIF(lst_Jobs,C272&amp;"")&gt;0,"OK","CHECK"))</f>
        <v/>
      </c>
      <c r="E272" s="25">
        <f>IF(C272="","",IFERROR(INDEX(lst_JobName,MATCH(C272&amp;"",lst_Jobs,0)),""))</f>
        <v/>
      </c>
      <c r="F272" s="25">
        <f>IF(C272="","",IFERROR(INDEX(tbl_Finance[Client],IFERROR(MATCH(C272&amp;"",tbl_Finance[Job Number],0),MATCH(IFERROR(C272+0,C272),tbl_Finance[Job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6" t="n"/>
      <c r="L272" s="27">
        <f>IF(C272="","",IF(K272="",0,MAX(0,K272-H272)))</f>
        <v/>
      </c>
      <c r="M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N272" s="27">
        <f>IF(C272="","",SUMIFS(tbl_Finance[Inc GST],tbl_Finance[Job Number],C272&amp;""))</f>
        <v/>
      </c>
      <c r="O272" s="24" t="n"/>
      <c r="P272" s="25">
        <f>IF(C272="","",IFERROR(INDEX(tbl_Finance[Description],MATCH(C272&amp;"",tbl_Finance[Job Number],0)),""))</f>
        <v/>
      </c>
      <c r="Q272" s="24" t="n"/>
      <c r="R272" s="24" t="n"/>
      <c r="S272" s="22" t="n"/>
      <c r="T272" s="24" t="n"/>
      <c r="U272" s="25">
        <f>IF(T272="","",IF(AND(LEFT(T272,4)&lt;&gt;"http",set_RMSBase=""),"",HYPERLINK(IF(LEFT(T272,4)="http",T272,set_RMSBase&amp;T272),"Open opportunity")))</f>
        <v/>
      </c>
      <c r="V272" s="24" t="n"/>
      <c r="W272" s="25">
        <f>IF(V272="","",HYPERLINK(IF(LEFT(V272,4)="http",V272,set_QwilrBase&amp;V272),"Open quote"))</f>
        <v/>
      </c>
      <c r="X272" s="25">
        <f>IF(C272="","",C272)</f>
        <v/>
      </c>
      <c r="Y272" s="24" t="n"/>
      <c r="Z272" s="26" t="n"/>
      <c r="AA272" s="27">
        <f>IF(C272="","",H272+N(Z272))</f>
        <v/>
      </c>
      <c r="AB272" s="29">
        <f>IFERROR(Z272/AA272,"")</f>
        <v/>
      </c>
      <c r="AC272" s="26" t="n"/>
      <c r="AD272" s="26" t="n"/>
      <c r="AE272" s="26" t="n"/>
      <c r="AF272" s="26" t="n"/>
      <c r="AG272" s="27">
        <f>IF(C272="","",SUMIFS(tbl_Finance[Ex GST],tbl_Finance[Job Number],C272&amp;"",tbl_Finance[Cost Centre],"VIDEO"))</f>
        <v/>
      </c>
      <c r="AH272" s="29">
        <f>IFERROR(AG272/H272,"")</f>
        <v/>
      </c>
      <c r="AI272" s="27">
        <f>IF(C272="","",N(AC272)+N(AD272)+N(AE272)+N(AF272))</f>
        <v/>
      </c>
      <c r="AJ272" s="27">
        <f>IF(C272="","",H272+L272-AI272)</f>
        <v/>
      </c>
      <c r="AK272" s="29">
        <f>IFERROR(AJ272/(H272+L272),"")</f>
        <v/>
      </c>
      <c r="AL272" s="71" t="n"/>
      <c r="AM272" s="71" t="n"/>
      <c r="AN272" s="71" t="n"/>
      <c r="AO272" s="71" t="n"/>
      <c r="AP272" s="71" t="n"/>
      <c r="AQ272" s="24" t="n"/>
    </row>
    <row r="273" ht="15" customHeight="1">
      <c r="A273" s="70">
        <f>IF(C273="","",IFERROR(IF(SUMPRODUCT(MAX((tbl_Finance[Job Number]&amp;""=C273&amp;"")*(tbl_Finance[Xero Invoice No]&lt;&gt;"")*tbl_Finance[Date]))=0,"",SUMPRODUCT(MAX((tbl_Finance[Job Number]&amp;""=C273&amp;"")*(tbl_Finance[Xero Invoice No]&lt;&gt;"")*tbl_Finance[Date]))),""))</f>
        <v/>
      </c>
      <c r="B273" s="25">
        <f>IF(C273="","",IF(COUNTIFS(tbl_Finance[Job Number],C273&amp;"",tbl_Finance[Xero Invoice No],"&lt;&gt;")=0,"",IFERROR(IF(COUNTIFS(tbl_Finance[Job Number],C273&amp;"",tbl_Finance[Xero Invoice No],LOOKUP(2,1/((tbl_Finance[Job Number]&amp;""=C273&amp;"")*(tbl_Finance[Xero Invoice No]&lt;&gt;"")),tbl_Finance[Xero Invoice No]))=COUNTIFS(tbl_Finance[Job Number],C273&amp;"",tbl_Finance[Xero Invoice No],"&lt;&gt;"),LOOKUP(2,1/((tbl_Finance[Job Number]&amp;""=C273&amp;"")*(tbl_Finance[Xero Invoice No]&lt;&gt;"")),tbl_Finance[Xero Invoice No]),LOOKUP(2,1/((tbl_Finance[Job Number]&amp;""=C273&amp;"")*(tbl_Finance[Xero Invoice No]&lt;&gt;"")),tbl_Finance[Xero Invoice No])&amp;" +more"),"")))</f>
        <v/>
      </c>
      <c r="C273" s="24" t="n"/>
      <c r="D273" s="25">
        <f>IF(C273="","",IF(COUNTIF(lst_Jobs,C273&amp;"")&gt;0,"OK","CHECK"))</f>
        <v/>
      </c>
      <c r="E273" s="25">
        <f>IF(C273="","",IFERROR(INDEX(lst_JobName,MATCH(C273&amp;"",lst_Jobs,0)),""))</f>
        <v/>
      </c>
      <c r="F273" s="25">
        <f>IF(C273="","",IFERROR(INDEX(tbl_Finance[Client],IFERROR(MATCH(C273&amp;"",tbl_Finance[Job Number],0),MATCH(IFERROR(C273+0,C273),tbl_Finance[Job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6" t="n"/>
      <c r="L273" s="27">
        <f>IF(C273="","",IF(K273="",0,MAX(0,K273-H273)))</f>
        <v/>
      </c>
      <c r="M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N273" s="27">
        <f>IF(C273="","",SUMIFS(tbl_Finance[Inc GST],tbl_Finance[Job Number],C273&amp;""))</f>
        <v/>
      </c>
      <c r="O273" s="24" t="n"/>
      <c r="P273" s="25">
        <f>IF(C273="","",IFERROR(INDEX(tbl_Finance[Description],MATCH(C273&amp;"",tbl_Finance[Job Number],0)),""))</f>
        <v/>
      </c>
      <c r="Q273" s="24" t="n"/>
      <c r="R273" s="24" t="n"/>
      <c r="S273" s="22" t="n"/>
      <c r="T273" s="24" t="n"/>
      <c r="U273" s="25">
        <f>IF(T273="","",IF(AND(LEFT(T273,4)&lt;&gt;"http",set_RMSBase=""),"",HYPERLINK(IF(LEFT(T273,4)="http",T273,set_RMSBase&amp;T273),"Open opportunity")))</f>
        <v/>
      </c>
      <c r="V273" s="24" t="n"/>
      <c r="W273" s="25">
        <f>IF(V273="","",HYPERLINK(IF(LEFT(V273,4)="http",V273,set_QwilrBase&amp;V273),"Open quote"))</f>
        <v/>
      </c>
      <c r="X273" s="25">
        <f>IF(C273="","",C273)</f>
        <v/>
      </c>
      <c r="Y273" s="24" t="n"/>
      <c r="Z273" s="26" t="n"/>
      <c r="AA273" s="27">
        <f>IF(C273="","",H273+N(Z273))</f>
        <v/>
      </c>
      <c r="AB273" s="29">
        <f>IFERROR(Z273/AA273,"")</f>
        <v/>
      </c>
      <c r="AC273" s="26" t="n"/>
      <c r="AD273" s="26" t="n"/>
      <c r="AE273" s="26" t="n"/>
      <c r="AF273" s="26" t="n"/>
      <c r="AG273" s="27">
        <f>IF(C273="","",SUMIFS(tbl_Finance[Ex GST],tbl_Finance[Job Number],C273&amp;"",tbl_Finance[Cost Centre],"VIDEO"))</f>
        <v/>
      </c>
      <c r="AH273" s="29">
        <f>IFERROR(AG273/H273,"")</f>
        <v/>
      </c>
      <c r="AI273" s="27">
        <f>IF(C273="","",N(AC273)+N(AD273)+N(AE273)+N(AF273))</f>
        <v/>
      </c>
      <c r="AJ273" s="27">
        <f>IF(C273="","",H273+L273-AI273)</f>
        <v/>
      </c>
      <c r="AK273" s="29">
        <f>IFERROR(AJ273/(H273+L273),"")</f>
        <v/>
      </c>
      <c r="AL273" s="71" t="n"/>
      <c r="AM273" s="71" t="n"/>
      <c r="AN273" s="71" t="n"/>
      <c r="AO273" s="71" t="n"/>
      <c r="AP273" s="71" t="n"/>
      <c r="AQ273" s="24" t="n"/>
    </row>
    <row r="274" ht="15" customHeight="1">
      <c r="A274" s="70">
        <f>IF(C274="","",IFERROR(IF(SUMPRODUCT(MAX((tbl_Finance[Job Number]&amp;""=C274&amp;"")*(tbl_Finance[Xero Invoice No]&lt;&gt;"")*tbl_Finance[Date]))=0,"",SUMPRODUCT(MAX((tbl_Finance[Job Number]&amp;""=C274&amp;"")*(tbl_Finance[Xero Invoice No]&lt;&gt;"")*tbl_Finance[Date]))),""))</f>
        <v/>
      </c>
      <c r="B274" s="25">
        <f>IF(C274="","",IF(COUNTIFS(tbl_Finance[Job Number],C274&amp;"",tbl_Finance[Xero Invoice No],"&lt;&gt;")=0,"",IFERROR(IF(COUNTIFS(tbl_Finance[Job Number],C274&amp;"",tbl_Finance[Xero Invoice No],LOOKUP(2,1/((tbl_Finance[Job Number]&amp;""=C274&amp;"")*(tbl_Finance[Xero Invoice No]&lt;&gt;"")),tbl_Finance[Xero Invoice No]))=COUNTIFS(tbl_Finance[Job Number],C274&amp;"",tbl_Finance[Xero Invoice No],"&lt;&gt;"),LOOKUP(2,1/((tbl_Finance[Job Number]&amp;""=C274&amp;"")*(tbl_Finance[Xero Invoice No]&lt;&gt;"")),tbl_Finance[Xero Invoice No]),LOOKUP(2,1/((tbl_Finance[Job Number]&amp;""=C274&amp;"")*(tbl_Finance[Xero Invoice No]&lt;&gt;"")),tbl_Finance[Xero Invoice No])&amp;" +more"),"")))</f>
        <v/>
      </c>
      <c r="C274" s="24" t="n"/>
      <c r="D274" s="25">
        <f>IF(C274="","",IF(COUNTIF(lst_Jobs,C274&amp;"")&gt;0,"OK","CHECK"))</f>
        <v/>
      </c>
      <c r="E274" s="25">
        <f>IF(C274="","",IFERROR(INDEX(lst_JobName,MATCH(C274&amp;"",lst_Jobs,0)),""))</f>
        <v/>
      </c>
      <c r="F274" s="25">
        <f>IF(C274="","",IFERROR(INDEX(tbl_Finance[Client],IFERROR(MATCH(C274&amp;"",tbl_Finance[Job Number],0),MATCH(IFERROR(C274+0,C274),tbl_Finance[Job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6" t="n"/>
      <c r="L274" s="27">
        <f>IF(C274="","",IF(K274="",0,MAX(0,K274-H274)))</f>
        <v/>
      </c>
      <c r="M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N274" s="27">
        <f>IF(C274="","",SUMIFS(tbl_Finance[Inc GST],tbl_Finance[Job Number],C274&amp;""))</f>
        <v/>
      </c>
      <c r="O274" s="24" t="n"/>
      <c r="P274" s="25">
        <f>IF(C274="","",IFERROR(INDEX(tbl_Finance[Description],MATCH(C274&amp;"",tbl_Finance[Job Number],0)),""))</f>
        <v/>
      </c>
      <c r="Q274" s="24" t="n"/>
      <c r="R274" s="24" t="n"/>
      <c r="S274" s="22" t="n"/>
      <c r="T274" s="24" t="n"/>
      <c r="U274" s="25">
        <f>IF(T274="","",IF(AND(LEFT(T274,4)&lt;&gt;"http",set_RMSBase=""),"",HYPERLINK(IF(LEFT(T274,4)="http",T274,set_RMSBase&amp;T274),"Open opportunity")))</f>
        <v/>
      </c>
      <c r="V274" s="24" t="n"/>
      <c r="W274" s="25">
        <f>IF(V274="","",HYPERLINK(IF(LEFT(V274,4)="http",V274,set_QwilrBase&amp;V274),"Open quote"))</f>
        <v/>
      </c>
      <c r="X274" s="25">
        <f>IF(C274="","",C274)</f>
        <v/>
      </c>
      <c r="Y274" s="24" t="n"/>
      <c r="Z274" s="26" t="n"/>
      <c r="AA274" s="27">
        <f>IF(C274="","",H274+N(Z274))</f>
        <v/>
      </c>
      <c r="AB274" s="29">
        <f>IFERROR(Z274/AA274,"")</f>
        <v/>
      </c>
      <c r="AC274" s="26" t="n"/>
      <c r="AD274" s="26" t="n"/>
      <c r="AE274" s="26" t="n"/>
      <c r="AF274" s="26" t="n"/>
      <c r="AG274" s="27">
        <f>IF(C274="","",SUMIFS(tbl_Finance[Ex GST],tbl_Finance[Job Number],C274&amp;"",tbl_Finance[Cost Centre],"VIDEO"))</f>
        <v/>
      </c>
      <c r="AH274" s="29">
        <f>IFERROR(AG274/H274,"")</f>
        <v/>
      </c>
      <c r="AI274" s="27">
        <f>IF(C274="","",N(AC274)+N(AD274)+N(AE274)+N(AF274))</f>
        <v/>
      </c>
      <c r="AJ274" s="27">
        <f>IF(C274="","",H274+L274-AI274)</f>
        <v/>
      </c>
      <c r="AK274" s="29">
        <f>IFERROR(AJ274/(H274+L274),"")</f>
        <v/>
      </c>
      <c r="AL274" s="71" t="n"/>
      <c r="AM274" s="71" t="n"/>
      <c r="AN274" s="71" t="n"/>
      <c r="AO274" s="71" t="n"/>
      <c r="AP274" s="71" t="n"/>
      <c r="AQ274" s="24" t="n"/>
    </row>
    <row r="275" ht="15" customHeight="1">
      <c r="A275" s="70">
        <f>IF(C275="","",IFERROR(IF(SUMPRODUCT(MAX((tbl_Finance[Job Number]&amp;""=C275&amp;"")*(tbl_Finance[Xero Invoice No]&lt;&gt;"")*tbl_Finance[Date]))=0,"",SUMPRODUCT(MAX((tbl_Finance[Job Number]&amp;""=C275&amp;"")*(tbl_Finance[Xero Invoice No]&lt;&gt;"")*tbl_Finance[Date]))),""))</f>
        <v/>
      </c>
      <c r="B275" s="25">
        <f>IF(C275="","",IF(COUNTIFS(tbl_Finance[Job Number],C275&amp;"",tbl_Finance[Xero Invoice No],"&lt;&gt;")=0,"",IFERROR(IF(COUNTIFS(tbl_Finance[Job Number],C275&amp;"",tbl_Finance[Xero Invoice No],LOOKUP(2,1/((tbl_Finance[Job Number]&amp;""=C275&amp;"")*(tbl_Finance[Xero Invoice No]&lt;&gt;"")),tbl_Finance[Xero Invoice No]))=COUNTIFS(tbl_Finance[Job Number],C275&amp;"",tbl_Finance[Xero Invoice No],"&lt;&gt;"),LOOKUP(2,1/((tbl_Finance[Job Number]&amp;""=C275&amp;"")*(tbl_Finance[Xero Invoice No]&lt;&gt;"")),tbl_Finance[Xero Invoice No]),LOOKUP(2,1/((tbl_Finance[Job Number]&amp;""=C275&amp;"")*(tbl_Finance[Xero Invoice No]&lt;&gt;"")),tbl_Finance[Xero Invoice No])&amp;" +more"),"")))</f>
        <v/>
      </c>
      <c r="C275" s="24" t="n"/>
      <c r="D275" s="25">
        <f>IF(C275="","",IF(COUNTIF(lst_Jobs,C275&amp;"")&gt;0,"OK","CHECK"))</f>
        <v/>
      </c>
      <c r="E275" s="25">
        <f>IF(C275="","",IFERROR(INDEX(lst_JobName,MATCH(C275&amp;"",lst_Jobs,0)),""))</f>
        <v/>
      </c>
      <c r="F275" s="25">
        <f>IF(C275="","",IFERROR(INDEX(tbl_Finance[Client],IFERROR(MATCH(C275&amp;"",tbl_Finance[Job Number],0),MATCH(IFERROR(C275+0,C275),tbl_Finance[Job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6" t="n"/>
      <c r="L275" s="27">
        <f>IF(C275="","",IF(K275="",0,MAX(0,K275-H275)))</f>
        <v/>
      </c>
      <c r="M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N275" s="27">
        <f>IF(C275="","",SUMIFS(tbl_Finance[Inc GST],tbl_Finance[Job Number],C275&amp;""))</f>
        <v/>
      </c>
      <c r="O275" s="24" t="n"/>
      <c r="P275" s="25">
        <f>IF(C275="","",IFERROR(INDEX(tbl_Finance[Description],MATCH(C275&amp;"",tbl_Finance[Job Number],0)),""))</f>
        <v/>
      </c>
      <c r="Q275" s="24" t="n"/>
      <c r="R275" s="24" t="n"/>
      <c r="S275" s="22" t="n"/>
      <c r="T275" s="24" t="n"/>
      <c r="U275" s="25">
        <f>IF(T275="","",IF(AND(LEFT(T275,4)&lt;&gt;"http",set_RMSBase=""),"",HYPERLINK(IF(LEFT(T275,4)="http",T275,set_RMSBase&amp;T275),"Open opportunity")))</f>
        <v/>
      </c>
      <c r="V275" s="24" t="n"/>
      <c r="W275" s="25">
        <f>IF(V275="","",HYPERLINK(IF(LEFT(V275,4)="http",V275,set_QwilrBase&amp;V275),"Open quote"))</f>
        <v/>
      </c>
      <c r="X275" s="25">
        <f>IF(C275="","",C275)</f>
        <v/>
      </c>
      <c r="Y275" s="24" t="n"/>
      <c r="Z275" s="26" t="n"/>
      <c r="AA275" s="27">
        <f>IF(C275="","",H275+N(Z275))</f>
        <v/>
      </c>
      <c r="AB275" s="29">
        <f>IFERROR(Z275/AA275,"")</f>
        <v/>
      </c>
      <c r="AC275" s="26" t="n"/>
      <c r="AD275" s="26" t="n"/>
      <c r="AE275" s="26" t="n"/>
      <c r="AF275" s="26" t="n"/>
      <c r="AG275" s="27">
        <f>IF(C275="","",SUMIFS(tbl_Finance[Ex GST],tbl_Finance[Job Number],C275&amp;"",tbl_Finance[Cost Centre],"VIDEO"))</f>
        <v/>
      </c>
      <c r="AH275" s="29">
        <f>IFERROR(AG275/H275,"")</f>
        <v/>
      </c>
      <c r="AI275" s="27">
        <f>IF(C275="","",N(AC275)+N(AD275)+N(AE275)+N(AF275))</f>
        <v/>
      </c>
      <c r="AJ275" s="27">
        <f>IF(C275="","",H275+L275-AI275)</f>
        <v/>
      </c>
      <c r="AK275" s="29">
        <f>IFERROR(AJ275/(H275+L275),"")</f>
        <v/>
      </c>
      <c r="AL275" s="71" t="n"/>
      <c r="AM275" s="71" t="n"/>
      <c r="AN275" s="71" t="n"/>
      <c r="AO275" s="71" t="n"/>
      <c r="AP275" s="71" t="n"/>
      <c r="AQ275" s="24" t="n"/>
    </row>
    <row r="276" ht="15" customHeight="1">
      <c r="A276" s="70">
        <f>IF(C276="","",IFERROR(IF(SUMPRODUCT(MAX((tbl_Finance[Job Number]&amp;""=C276&amp;"")*(tbl_Finance[Xero Invoice No]&lt;&gt;"")*tbl_Finance[Date]))=0,"",SUMPRODUCT(MAX((tbl_Finance[Job Number]&amp;""=C276&amp;"")*(tbl_Finance[Xero Invoice No]&lt;&gt;"")*tbl_Finance[Date]))),""))</f>
        <v/>
      </c>
      <c r="B276" s="25">
        <f>IF(C276="","",IF(COUNTIFS(tbl_Finance[Job Number],C276&amp;"",tbl_Finance[Xero Invoice No],"&lt;&gt;")=0,"",IFERROR(IF(COUNTIFS(tbl_Finance[Job Number],C276&amp;"",tbl_Finance[Xero Invoice No],LOOKUP(2,1/((tbl_Finance[Job Number]&amp;""=C276&amp;"")*(tbl_Finance[Xero Invoice No]&lt;&gt;"")),tbl_Finance[Xero Invoice No]))=COUNTIFS(tbl_Finance[Job Number],C276&amp;"",tbl_Finance[Xero Invoice No],"&lt;&gt;"),LOOKUP(2,1/((tbl_Finance[Job Number]&amp;""=C276&amp;"")*(tbl_Finance[Xero Invoice No]&lt;&gt;"")),tbl_Finance[Xero Invoice No]),LOOKUP(2,1/((tbl_Finance[Job Number]&amp;""=C276&amp;"")*(tbl_Finance[Xero Invoice No]&lt;&gt;"")),tbl_Finance[Xero Invoice No])&amp;" +more"),"")))</f>
        <v/>
      </c>
      <c r="C276" s="24" t="n"/>
      <c r="D276" s="25">
        <f>IF(C276="","",IF(COUNTIF(lst_Jobs,C276&amp;"")&gt;0,"OK","CHECK"))</f>
        <v/>
      </c>
      <c r="E276" s="25">
        <f>IF(C276="","",IFERROR(INDEX(lst_JobName,MATCH(C276&amp;"",lst_Jobs,0)),""))</f>
        <v/>
      </c>
      <c r="F276" s="25">
        <f>IF(C276="","",IFERROR(INDEX(tbl_Finance[Client],IFERROR(MATCH(C276&amp;"",tbl_Finance[Job Number],0),MATCH(IFERROR(C276+0,C276),tbl_Finance[Job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6" t="n"/>
      <c r="L276" s="27">
        <f>IF(C276="","",IF(K276="",0,MAX(0,K276-H276)))</f>
        <v/>
      </c>
      <c r="M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N276" s="27">
        <f>IF(C276="","",SUMIFS(tbl_Finance[Inc GST],tbl_Finance[Job Number],C276&amp;""))</f>
        <v/>
      </c>
      <c r="O276" s="24" t="n"/>
      <c r="P276" s="25">
        <f>IF(C276="","",IFERROR(INDEX(tbl_Finance[Description],MATCH(C276&amp;"",tbl_Finance[Job Number],0)),""))</f>
        <v/>
      </c>
      <c r="Q276" s="24" t="n"/>
      <c r="R276" s="24" t="n"/>
      <c r="S276" s="22" t="n"/>
      <c r="T276" s="24" t="n"/>
      <c r="U276" s="25">
        <f>IF(T276="","",IF(AND(LEFT(T276,4)&lt;&gt;"http",set_RMSBase=""),"",HYPERLINK(IF(LEFT(T276,4)="http",T276,set_RMSBase&amp;T276),"Open opportunity")))</f>
        <v/>
      </c>
      <c r="V276" s="24" t="n"/>
      <c r="W276" s="25">
        <f>IF(V276="","",HYPERLINK(IF(LEFT(V276,4)="http",V276,set_QwilrBase&amp;V276),"Open quote"))</f>
        <v/>
      </c>
      <c r="X276" s="25">
        <f>IF(C276="","",C276)</f>
        <v/>
      </c>
      <c r="Y276" s="24" t="n"/>
      <c r="Z276" s="26" t="n"/>
      <c r="AA276" s="27">
        <f>IF(C276="","",H276+N(Z276))</f>
        <v/>
      </c>
      <c r="AB276" s="29">
        <f>IFERROR(Z276/AA276,"")</f>
        <v/>
      </c>
      <c r="AC276" s="26" t="n"/>
      <c r="AD276" s="26" t="n"/>
      <c r="AE276" s="26" t="n"/>
      <c r="AF276" s="26" t="n"/>
      <c r="AG276" s="27">
        <f>IF(C276="","",SUMIFS(tbl_Finance[Ex GST],tbl_Finance[Job Number],C276&amp;"",tbl_Finance[Cost Centre],"VIDEO"))</f>
        <v/>
      </c>
      <c r="AH276" s="29">
        <f>IFERROR(AG276/H276,"")</f>
        <v/>
      </c>
      <c r="AI276" s="27">
        <f>IF(C276="","",N(AC276)+N(AD276)+N(AE276)+N(AF276))</f>
        <v/>
      </c>
      <c r="AJ276" s="27">
        <f>IF(C276="","",H276+L276-AI276)</f>
        <v/>
      </c>
      <c r="AK276" s="29">
        <f>IFERROR(AJ276/(H276+L276),"")</f>
        <v/>
      </c>
      <c r="AL276" s="71" t="n"/>
      <c r="AM276" s="71" t="n"/>
      <c r="AN276" s="71" t="n"/>
      <c r="AO276" s="71" t="n"/>
      <c r="AP276" s="71" t="n"/>
      <c r="AQ276" s="24" t="n"/>
    </row>
    <row r="277" ht="15" customHeight="1">
      <c r="A277" s="70">
        <f>IF(C277="","",IFERROR(IF(SUMPRODUCT(MAX((tbl_Finance[Job Number]&amp;""=C277&amp;"")*(tbl_Finance[Xero Invoice No]&lt;&gt;"")*tbl_Finance[Date]))=0,"",SUMPRODUCT(MAX((tbl_Finance[Job Number]&amp;""=C277&amp;"")*(tbl_Finance[Xero Invoice No]&lt;&gt;"")*tbl_Finance[Date]))),""))</f>
        <v/>
      </c>
      <c r="B277" s="25">
        <f>IF(C277="","",IF(COUNTIFS(tbl_Finance[Job Number],C277&amp;"",tbl_Finance[Xero Invoice No],"&lt;&gt;")=0,"",IFERROR(IF(COUNTIFS(tbl_Finance[Job Number],C277&amp;"",tbl_Finance[Xero Invoice No],LOOKUP(2,1/((tbl_Finance[Job Number]&amp;""=C277&amp;"")*(tbl_Finance[Xero Invoice No]&lt;&gt;"")),tbl_Finance[Xero Invoice No]))=COUNTIFS(tbl_Finance[Job Number],C277&amp;"",tbl_Finance[Xero Invoice No],"&lt;&gt;"),LOOKUP(2,1/((tbl_Finance[Job Number]&amp;""=C277&amp;"")*(tbl_Finance[Xero Invoice No]&lt;&gt;"")),tbl_Finance[Xero Invoice No]),LOOKUP(2,1/((tbl_Finance[Job Number]&amp;""=C277&amp;"")*(tbl_Finance[Xero Invoice No]&lt;&gt;"")),tbl_Finance[Xero Invoice No])&amp;" +more"),"")))</f>
        <v/>
      </c>
      <c r="C277" s="24" t="n"/>
      <c r="D277" s="25">
        <f>IF(C277="","",IF(COUNTIF(lst_Jobs,C277&amp;"")&gt;0,"OK","CHECK"))</f>
        <v/>
      </c>
      <c r="E277" s="25">
        <f>IF(C277="","",IFERROR(INDEX(lst_JobName,MATCH(C277&amp;"",lst_Jobs,0)),""))</f>
        <v/>
      </c>
      <c r="F277" s="25">
        <f>IF(C277="","",IFERROR(INDEX(tbl_Finance[Client],IFERROR(MATCH(C277&amp;"",tbl_Finance[Job Number],0),MATCH(IFERROR(C277+0,C277),tbl_Finance[Job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6" t="n"/>
      <c r="L277" s="27">
        <f>IF(C277="","",IF(K277="",0,MAX(0,K277-H277)))</f>
        <v/>
      </c>
      <c r="M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N277" s="27">
        <f>IF(C277="","",SUMIFS(tbl_Finance[Inc GST],tbl_Finance[Job Number],C277&amp;""))</f>
        <v/>
      </c>
      <c r="O277" s="24" t="n"/>
      <c r="P277" s="25">
        <f>IF(C277="","",IFERROR(INDEX(tbl_Finance[Description],MATCH(C277&amp;"",tbl_Finance[Job Number],0)),""))</f>
        <v/>
      </c>
      <c r="Q277" s="24" t="n"/>
      <c r="R277" s="24" t="n"/>
      <c r="S277" s="22" t="n"/>
      <c r="T277" s="24" t="n"/>
      <c r="U277" s="25">
        <f>IF(T277="","",IF(AND(LEFT(T277,4)&lt;&gt;"http",set_RMSBase=""),"",HYPERLINK(IF(LEFT(T277,4)="http",T277,set_RMSBase&amp;T277),"Open opportunity")))</f>
        <v/>
      </c>
      <c r="V277" s="24" t="n"/>
      <c r="W277" s="25">
        <f>IF(V277="","",HYPERLINK(IF(LEFT(V277,4)="http",V277,set_QwilrBase&amp;V277),"Open quote"))</f>
        <v/>
      </c>
      <c r="X277" s="25">
        <f>IF(C277="","",C277)</f>
        <v/>
      </c>
      <c r="Y277" s="24" t="n"/>
      <c r="Z277" s="26" t="n"/>
      <c r="AA277" s="27">
        <f>IF(C277="","",H277+N(Z277))</f>
        <v/>
      </c>
      <c r="AB277" s="29">
        <f>IFERROR(Z277/AA277,"")</f>
        <v/>
      </c>
      <c r="AC277" s="26" t="n"/>
      <c r="AD277" s="26" t="n"/>
      <c r="AE277" s="26" t="n"/>
      <c r="AF277" s="26" t="n"/>
      <c r="AG277" s="27">
        <f>IF(C277="","",SUMIFS(tbl_Finance[Ex GST],tbl_Finance[Job Number],C277&amp;"",tbl_Finance[Cost Centre],"VIDEO"))</f>
        <v/>
      </c>
      <c r="AH277" s="29">
        <f>IFERROR(AG277/H277,"")</f>
        <v/>
      </c>
      <c r="AI277" s="27">
        <f>IF(C277="","",N(AC277)+N(AD277)+N(AE277)+N(AF277))</f>
        <v/>
      </c>
      <c r="AJ277" s="27">
        <f>IF(C277="","",H277+L277-AI277)</f>
        <v/>
      </c>
      <c r="AK277" s="29">
        <f>IFERROR(AJ277/(H277+L277),"")</f>
        <v/>
      </c>
      <c r="AL277" s="71" t="n"/>
      <c r="AM277" s="71" t="n"/>
      <c r="AN277" s="71" t="n"/>
      <c r="AO277" s="71" t="n"/>
      <c r="AP277" s="71" t="n"/>
      <c r="AQ277" s="24" t="n"/>
    </row>
    <row r="278" ht="15" customHeight="1">
      <c r="A278" s="70">
        <f>IF(C278="","",IFERROR(IF(SUMPRODUCT(MAX((tbl_Finance[Job Number]&amp;""=C278&amp;"")*(tbl_Finance[Xero Invoice No]&lt;&gt;"")*tbl_Finance[Date]))=0,"",SUMPRODUCT(MAX((tbl_Finance[Job Number]&amp;""=C278&amp;"")*(tbl_Finance[Xero Invoice No]&lt;&gt;"")*tbl_Finance[Date]))),""))</f>
        <v/>
      </c>
      <c r="B278" s="25">
        <f>IF(C278="","",IF(COUNTIFS(tbl_Finance[Job Number],C278&amp;"",tbl_Finance[Xero Invoice No],"&lt;&gt;")=0,"",IFERROR(IF(COUNTIFS(tbl_Finance[Job Number],C278&amp;"",tbl_Finance[Xero Invoice No],LOOKUP(2,1/((tbl_Finance[Job Number]&amp;""=C278&amp;"")*(tbl_Finance[Xero Invoice No]&lt;&gt;"")),tbl_Finance[Xero Invoice No]))=COUNTIFS(tbl_Finance[Job Number],C278&amp;"",tbl_Finance[Xero Invoice No],"&lt;&gt;"),LOOKUP(2,1/((tbl_Finance[Job Number]&amp;""=C278&amp;"")*(tbl_Finance[Xero Invoice No]&lt;&gt;"")),tbl_Finance[Xero Invoice No]),LOOKUP(2,1/((tbl_Finance[Job Number]&amp;""=C278&amp;"")*(tbl_Finance[Xero Invoice No]&lt;&gt;"")),tbl_Finance[Xero Invoice No])&amp;" +more"),"")))</f>
        <v/>
      </c>
      <c r="C278" s="24" t="n"/>
      <c r="D278" s="25">
        <f>IF(C278="","",IF(COUNTIF(lst_Jobs,C278&amp;"")&gt;0,"OK","CHECK"))</f>
        <v/>
      </c>
      <c r="E278" s="25">
        <f>IF(C278="","",IFERROR(INDEX(lst_JobName,MATCH(C278&amp;"",lst_Jobs,0)),""))</f>
        <v/>
      </c>
      <c r="F278" s="25">
        <f>IF(C278="","",IFERROR(INDEX(tbl_Finance[Client],IFERROR(MATCH(C278&amp;"",tbl_Finance[Job Number],0),MATCH(IFERROR(C278+0,C278),tbl_Finance[Job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6" t="n"/>
      <c r="L278" s="27">
        <f>IF(C278="","",IF(K278="",0,MAX(0,K278-H278)))</f>
        <v/>
      </c>
      <c r="M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N278" s="27">
        <f>IF(C278="","",SUMIFS(tbl_Finance[Inc GST],tbl_Finance[Job Number],C278&amp;""))</f>
        <v/>
      </c>
      <c r="O278" s="24" t="n"/>
      <c r="P278" s="25">
        <f>IF(C278="","",IFERROR(INDEX(tbl_Finance[Description],MATCH(C278&amp;"",tbl_Finance[Job Number],0)),""))</f>
        <v/>
      </c>
      <c r="Q278" s="24" t="n"/>
      <c r="R278" s="24" t="n"/>
      <c r="S278" s="22" t="n"/>
      <c r="T278" s="24" t="n"/>
      <c r="U278" s="25">
        <f>IF(T278="","",IF(AND(LEFT(T278,4)&lt;&gt;"http",set_RMSBase=""),"",HYPERLINK(IF(LEFT(T278,4)="http",T278,set_RMSBase&amp;T278),"Open opportunity")))</f>
        <v/>
      </c>
      <c r="V278" s="24" t="n"/>
      <c r="W278" s="25">
        <f>IF(V278="","",HYPERLINK(IF(LEFT(V278,4)="http",V278,set_QwilrBase&amp;V278),"Open quote"))</f>
        <v/>
      </c>
      <c r="X278" s="25">
        <f>IF(C278="","",C278)</f>
        <v/>
      </c>
      <c r="Y278" s="24" t="n"/>
      <c r="Z278" s="26" t="n"/>
      <c r="AA278" s="27">
        <f>IF(C278="","",H278+N(Z278))</f>
        <v/>
      </c>
      <c r="AB278" s="29">
        <f>IFERROR(Z278/AA278,"")</f>
        <v/>
      </c>
      <c r="AC278" s="26" t="n"/>
      <c r="AD278" s="26" t="n"/>
      <c r="AE278" s="26" t="n"/>
      <c r="AF278" s="26" t="n"/>
      <c r="AG278" s="27">
        <f>IF(C278="","",SUMIFS(tbl_Finance[Ex GST],tbl_Finance[Job Number],C278&amp;"",tbl_Finance[Cost Centre],"VIDEO"))</f>
        <v/>
      </c>
      <c r="AH278" s="29">
        <f>IFERROR(AG278/H278,"")</f>
        <v/>
      </c>
      <c r="AI278" s="27">
        <f>IF(C278="","",N(AC278)+N(AD278)+N(AE278)+N(AF278))</f>
        <v/>
      </c>
      <c r="AJ278" s="27">
        <f>IF(C278="","",H278+L278-AI278)</f>
        <v/>
      </c>
      <c r="AK278" s="29">
        <f>IFERROR(AJ278/(H278+L278),"")</f>
        <v/>
      </c>
      <c r="AL278" s="71" t="n"/>
      <c r="AM278" s="71" t="n"/>
      <c r="AN278" s="71" t="n"/>
      <c r="AO278" s="71" t="n"/>
      <c r="AP278" s="71" t="n"/>
      <c r="AQ278" s="24" t="n"/>
    </row>
    <row r="279" ht="15" customHeight="1">
      <c r="A279" s="70">
        <f>IF(C279="","",IFERROR(IF(SUMPRODUCT(MAX((tbl_Finance[Job Number]&amp;""=C279&amp;"")*(tbl_Finance[Xero Invoice No]&lt;&gt;"")*tbl_Finance[Date]))=0,"",SUMPRODUCT(MAX((tbl_Finance[Job Number]&amp;""=C279&amp;"")*(tbl_Finance[Xero Invoice No]&lt;&gt;"")*tbl_Finance[Date]))),""))</f>
        <v/>
      </c>
      <c r="B279" s="25">
        <f>IF(C279="","",IF(COUNTIFS(tbl_Finance[Job Number],C279&amp;"",tbl_Finance[Xero Invoice No],"&lt;&gt;")=0,"",IFERROR(IF(COUNTIFS(tbl_Finance[Job Number],C279&amp;"",tbl_Finance[Xero Invoice No],LOOKUP(2,1/((tbl_Finance[Job Number]&amp;""=C279&amp;"")*(tbl_Finance[Xero Invoice No]&lt;&gt;"")),tbl_Finance[Xero Invoice No]))=COUNTIFS(tbl_Finance[Job Number],C279&amp;"",tbl_Finance[Xero Invoice No],"&lt;&gt;"),LOOKUP(2,1/((tbl_Finance[Job Number]&amp;""=C279&amp;"")*(tbl_Finance[Xero Invoice No]&lt;&gt;"")),tbl_Finance[Xero Invoice No]),LOOKUP(2,1/((tbl_Finance[Job Number]&amp;""=C279&amp;"")*(tbl_Finance[Xero Invoice No]&lt;&gt;"")),tbl_Finance[Xero Invoice No])&amp;" +more"),"")))</f>
        <v/>
      </c>
      <c r="C279" s="24" t="n"/>
      <c r="D279" s="25">
        <f>IF(C279="","",IF(COUNTIF(lst_Jobs,C279&amp;"")&gt;0,"OK","CHECK"))</f>
        <v/>
      </c>
      <c r="E279" s="25">
        <f>IF(C279="","",IFERROR(INDEX(lst_JobName,MATCH(C279&amp;"",lst_Jobs,0)),""))</f>
        <v/>
      </c>
      <c r="F279" s="25">
        <f>IF(C279="","",IFERROR(INDEX(tbl_Finance[Client],IFERROR(MATCH(C279&amp;"",tbl_Finance[Job Number],0),MATCH(IFERROR(C279+0,C279),tbl_Finance[Job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6" t="n"/>
      <c r="L279" s="27">
        <f>IF(C279="","",IF(K279="",0,MAX(0,K279-H279)))</f>
        <v/>
      </c>
      <c r="M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N279" s="27">
        <f>IF(C279="","",SUMIFS(tbl_Finance[Inc GST],tbl_Finance[Job Number],C279&amp;""))</f>
        <v/>
      </c>
      <c r="O279" s="24" t="n"/>
      <c r="P279" s="25">
        <f>IF(C279="","",IFERROR(INDEX(tbl_Finance[Description],MATCH(C279&amp;"",tbl_Finance[Job Number],0)),""))</f>
        <v/>
      </c>
      <c r="Q279" s="24" t="n"/>
      <c r="R279" s="24" t="n"/>
      <c r="S279" s="22" t="n"/>
      <c r="T279" s="24" t="n"/>
      <c r="U279" s="25">
        <f>IF(T279="","",IF(AND(LEFT(T279,4)&lt;&gt;"http",set_RMSBase=""),"",HYPERLINK(IF(LEFT(T279,4)="http",T279,set_RMSBase&amp;T279),"Open opportunity")))</f>
        <v/>
      </c>
      <c r="V279" s="24" t="n"/>
      <c r="W279" s="25">
        <f>IF(V279="","",HYPERLINK(IF(LEFT(V279,4)="http",V279,set_QwilrBase&amp;V279),"Open quote"))</f>
        <v/>
      </c>
      <c r="X279" s="25">
        <f>IF(C279="","",C279)</f>
        <v/>
      </c>
      <c r="Y279" s="24" t="n"/>
      <c r="Z279" s="26" t="n"/>
      <c r="AA279" s="27">
        <f>IF(C279="","",H279+N(Z279))</f>
        <v/>
      </c>
      <c r="AB279" s="29">
        <f>IFERROR(Z279/AA279,"")</f>
        <v/>
      </c>
      <c r="AC279" s="26" t="n"/>
      <c r="AD279" s="26" t="n"/>
      <c r="AE279" s="26" t="n"/>
      <c r="AF279" s="26" t="n"/>
      <c r="AG279" s="27">
        <f>IF(C279="","",SUMIFS(tbl_Finance[Ex GST],tbl_Finance[Job Number],C279&amp;"",tbl_Finance[Cost Centre],"VIDEO"))</f>
        <v/>
      </c>
      <c r="AH279" s="29">
        <f>IFERROR(AG279/H279,"")</f>
        <v/>
      </c>
      <c r="AI279" s="27">
        <f>IF(C279="","",N(AC279)+N(AD279)+N(AE279)+N(AF279))</f>
        <v/>
      </c>
      <c r="AJ279" s="27">
        <f>IF(C279="","",H279+L279-AI279)</f>
        <v/>
      </c>
      <c r="AK279" s="29">
        <f>IFERROR(AJ279/(H279+L279),"")</f>
        <v/>
      </c>
      <c r="AL279" s="71" t="n"/>
      <c r="AM279" s="71" t="n"/>
      <c r="AN279" s="71" t="n"/>
      <c r="AO279" s="71" t="n"/>
      <c r="AP279" s="71" t="n"/>
      <c r="AQ279" s="24" t="n"/>
    </row>
    <row r="280" ht="15" customHeight="1">
      <c r="A280" s="70">
        <f>IF(C280="","",IFERROR(IF(SUMPRODUCT(MAX((tbl_Finance[Job Number]&amp;""=C280&amp;"")*(tbl_Finance[Xero Invoice No]&lt;&gt;"")*tbl_Finance[Date]))=0,"",SUMPRODUCT(MAX((tbl_Finance[Job Number]&amp;""=C280&amp;"")*(tbl_Finance[Xero Invoice No]&lt;&gt;"")*tbl_Finance[Date]))),""))</f>
        <v/>
      </c>
      <c r="B280" s="25">
        <f>IF(C280="","",IF(COUNTIFS(tbl_Finance[Job Number],C280&amp;"",tbl_Finance[Xero Invoice No],"&lt;&gt;")=0,"",IFERROR(IF(COUNTIFS(tbl_Finance[Job Number],C280&amp;"",tbl_Finance[Xero Invoice No],LOOKUP(2,1/((tbl_Finance[Job Number]&amp;""=C280&amp;"")*(tbl_Finance[Xero Invoice No]&lt;&gt;"")),tbl_Finance[Xero Invoice No]))=COUNTIFS(tbl_Finance[Job Number],C280&amp;"",tbl_Finance[Xero Invoice No],"&lt;&gt;"),LOOKUP(2,1/((tbl_Finance[Job Number]&amp;""=C280&amp;"")*(tbl_Finance[Xero Invoice No]&lt;&gt;"")),tbl_Finance[Xero Invoice No]),LOOKUP(2,1/((tbl_Finance[Job Number]&amp;""=C280&amp;"")*(tbl_Finance[Xero Invoice No]&lt;&gt;"")),tbl_Finance[Xero Invoice No])&amp;" +more"),"")))</f>
        <v/>
      </c>
      <c r="C280" s="24" t="n"/>
      <c r="D280" s="25">
        <f>IF(C280="","",IF(COUNTIF(lst_Jobs,C280&amp;"")&gt;0,"OK","CHECK"))</f>
        <v/>
      </c>
      <c r="E280" s="25">
        <f>IF(C280="","",IFERROR(INDEX(lst_JobName,MATCH(C280&amp;"",lst_Jobs,0)),""))</f>
        <v/>
      </c>
      <c r="F280" s="25">
        <f>IF(C280="","",IFERROR(INDEX(tbl_Finance[Client],IFERROR(MATCH(C280&amp;"",tbl_Finance[Job Number],0),MATCH(IFERROR(C280+0,C280),tbl_Finance[Job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6" t="n"/>
      <c r="L280" s="27">
        <f>IF(C280="","",IF(K280="",0,MAX(0,K280-H280)))</f>
        <v/>
      </c>
      <c r="M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N280" s="27">
        <f>IF(C280="","",SUMIFS(tbl_Finance[Inc GST],tbl_Finance[Job Number],C280&amp;""))</f>
        <v/>
      </c>
      <c r="O280" s="24" t="n"/>
      <c r="P280" s="25">
        <f>IF(C280="","",IFERROR(INDEX(tbl_Finance[Description],MATCH(C280&amp;"",tbl_Finance[Job Number],0)),""))</f>
        <v/>
      </c>
      <c r="Q280" s="24" t="n"/>
      <c r="R280" s="24" t="n"/>
      <c r="S280" s="22" t="n"/>
      <c r="T280" s="24" t="n"/>
      <c r="U280" s="25">
        <f>IF(T280="","",IF(AND(LEFT(T280,4)&lt;&gt;"http",set_RMSBase=""),"",HYPERLINK(IF(LEFT(T280,4)="http",T280,set_RMSBase&amp;T280),"Open opportunity")))</f>
        <v/>
      </c>
      <c r="V280" s="24" t="n"/>
      <c r="W280" s="25">
        <f>IF(V280="","",HYPERLINK(IF(LEFT(V280,4)="http",V280,set_QwilrBase&amp;V280),"Open quote"))</f>
        <v/>
      </c>
      <c r="X280" s="25">
        <f>IF(C280="","",C280)</f>
        <v/>
      </c>
      <c r="Y280" s="24" t="n"/>
      <c r="Z280" s="26" t="n"/>
      <c r="AA280" s="27">
        <f>IF(C280="","",H280+N(Z280))</f>
        <v/>
      </c>
      <c r="AB280" s="29">
        <f>IFERROR(Z280/AA280,"")</f>
        <v/>
      </c>
      <c r="AC280" s="26" t="n"/>
      <c r="AD280" s="26" t="n"/>
      <c r="AE280" s="26" t="n"/>
      <c r="AF280" s="26" t="n"/>
      <c r="AG280" s="27">
        <f>IF(C280="","",SUMIFS(tbl_Finance[Ex GST],tbl_Finance[Job Number],C280&amp;"",tbl_Finance[Cost Centre],"VIDEO"))</f>
        <v/>
      </c>
      <c r="AH280" s="29">
        <f>IFERROR(AG280/H280,"")</f>
        <v/>
      </c>
      <c r="AI280" s="27">
        <f>IF(C280="","",N(AC280)+N(AD280)+N(AE280)+N(AF280))</f>
        <v/>
      </c>
      <c r="AJ280" s="27">
        <f>IF(C280="","",H280+L280-AI280)</f>
        <v/>
      </c>
      <c r="AK280" s="29">
        <f>IFERROR(AJ280/(H280+L280),"")</f>
        <v/>
      </c>
      <c r="AL280" s="71" t="n"/>
      <c r="AM280" s="71" t="n"/>
      <c r="AN280" s="71" t="n"/>
      <c r="AO280" s="71" t="n"/>
      <c r="AP280" s="71" t="n"/>
      <c r="AQ280" s="24" t="n"/>
    </row>
    <row r="281" ht="15" customHeight="1">
      <c r="A281" s="70">
        <f>IF(C281="","",IFERROR(IF(SUMPRODUCT(MAX((tbl_Finance[Job Number]&amp;""=C281&amp;"")*(tbl_Finance[Xero Invoice No]&lt;&gt;"")*tbl_Finance[Date]))=0,"",SUMPRODUCT(MAX((tbl_Finance[Job Number]&amp;""=C281&amp;"")*(tbl_Finance[Xero Invoice No]&lt;&gt;"")*tbl_Finance[Date]))),""))</f>
        <v/>
      </c>
      <c r="B281" s="25">
        <f>IF(C281="","",IF(COUNTIFS(tbl_Finance[Job Number],C281&amp;"",tbl_Finance[Xero Invoice No],"&lt;&gt;")=0,"",IFERROR(IF(COUNTIFS(tbl_Finance[Job Number],C281&amp;"",tbl_Finance[Xero Invoice No],LOOKUP(2,1/((tbl_Finance[Job Number]&amp;""=C281&amp;"")*(tbl_Finance[Xero Invoice No]&lt;&gt;"")),tbl_Finance[Xero Invoice No]))=COUNTIFS(tbl_Finance[Job Number],C281&amp;"",tbl_Finance[Xero Invoice No],"&lt;&gt;"),LOOKUP(2,1/((tbl_Finance[Job Number]&amp;""=C281&amp;"")*(tbl_Finance[Xero Invoice No]&lt;&gt;"")),tbl_Finance[Xero Invoice No]),LOOKUP(2,1/((tbl_Finance[Job Number]&amp;""=C281&amp;"")*(tbl_Finance[Xero Invoice No]&lt;&gt;"")),tbl_Finance[Xero Invoice No])&amp;" +more"),"")))</f>
        <v/>
      </c>
      <c r="C281" s="24" t="n"/>
      <c r="D281" s="25">
        <f>IF(C281="","",IF(COUNTIF(lst_Jobs,C281&amp;"")&gt;0,"OK","CHECK"))</f>
        <v/>
      </c>
      <c r="E281" s="25">
        <f>IF(C281="","",IFERROR(INDEX(lst_JobName,MATCH(C281&amp;"",lst_Jobs,0)),""))</f>
        <v/>
      </c>
      <c r="F281" s="25">
        <f>IF(C281="","",IFERROR(INDEX(tbl_Finance[Client],IFERROR(MATCH(C281&amp;"",tbl_Finance[Job Number],0),MATCH(IFERROR(C281+0,C281),tbl_Finance[Job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6" t="n"/>
      <c r="L281" s="27">
        <f>IF(C281="","",IF(K281="",0,MAX(0,K281-H281)))</f>
        <v/>
      </c>
      <c r="M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N281" s="27">
        <f>IF(C281="","",SUMIFS(tbl_Finance[Inc GST],tbl_Finance[Job Number],C281&amp;""))</f>
        <v/>
      </c>
      <c r="O281" s="24" t="n"/>
      <c r="P281" s="25">
        <f>IF(C281="","",IFERROR(INDEX(tbl_Finance[Description],MATCH(C281&amp;"",tbl_Finance[Job Number],0)),""))</f>
        <v/>
      </c>
      <c r="Q281" s="24" t="n"/>
      <c r="R281" s="24" t="n"/>
      <c r="S281" s="22" t="n"/>
      <c r="T281" s="24" t="n"/>
      <c r="U281" s="25">
        <f>IF(T281="","",IF(AND(LEFT(T281,4)&lt;&gt;"http",set_RMSBase=""),"",HYPERLINK(IF(LEFT(T281,4)="http",T281,set_RMSBase&amp;T281),"Open opportunity")))</f>
        <v/>
      </c>
      <c r="V281" s="24" t="n"/>
      <c r="W281" s="25">
        <f>IF(V281="","",HYPERLINK(IF(LEFT(V281,4)="http",V281,set_QwilrBase&amp;V281),"Open quote"))</f>
        <v/>
      </c>
      <c r="X281" s="25">
        <f>IF(C281="","",C281)</f>
        <v/>
      </c>
      <c r="Y281" s="24" t="n"/>
      <c r="Z281" s="26" t="n"/>
      <c r="AA281" s="27">
        <f>IF(C281="","",H281+N(Z281))</f>
        <v/>
      </c>
      <c r="AB281" s="29">
        <f>IFERROR(Z281/AA281,"")</f>
        <v/>
      </c>
      <c r="AC281" s="26" t="n"/>
      <c r="AD281" s="26" t="n"/>
      <c r="AE281" s="26" t="n"/>
      <c r="AF281" s="26" t="n"/>
      <c r="AG281" s="27">
        <f>IF(C281="","",SUMIFS(tbl_Finance[Ex GST],tbl_Finance[Job Number],C281&amp;"",tbl_Finance[Cost Centre],"VIDEO"))</f>
        <v/>
      </c>
      <c r="AH281" s="29">
        <f>IFERROR(AG281/H281,"")</f>
        <v/>
      </c>
      <c r="AI281" s="27">
        <f>IF(C281="","",N(AC281)+N(AD281)+N(AE281)+N(AF281))</f>
        <v/>
      </c>
      <c r="AJ281" s="27">
        <f>IF(C281="","",H281+L281-AI281)</f>
        <v/>
      </c>
      <c r="AK281" s="29">
        <f>IFERROR(AJ281/(H281+L281),"")</f>
        <v/>
      </c>
      <c r="AL281" s="71" t="n"/>
      <c r="AM281" s="71" t="n"/>
      <c r="AN281" s="71" t="n"/>
      <c r="AO281" s="71" t="n"/>
      <c r="AP281" s="71" t="n"/>
      <c r="AQ281" s="24" t="n"/>
    </row>
    <row r="282" ht="15" customHeight="1">
      <c r="A282" s="70">
        <f>IF(C282="","",IFERROR(IF(SUMPRODUCT(MAX((tbl_Finance[Job Number]&amp;""=C282&amp;"")*(tbl_Finance[Xero Invoice No]&lt;&gt;"")*tbl_Finance[Date]))=0,"",SUMPRODUCT(MAX((tbl_Finance[Job Number]&amp;""=C282&amp;"")*(tbl_Finance[Xero Invoice No]&lt;&gt;"")*tbl_Finance[Date]))),""))</f>
        <v/>
      </c>
      <c r="B282" s="25">
        <f>IF(C282="","",IF(COUNTIFS(tbl_Finance[Job Number],C282&amp;"",tbl_Finance[Xero Invoice No],"&lt;&gt;")=0,"",IFERROR(IF(COUNTIFS(tbl_Finance[Job Number],C282&amp;"",tbl_Finance[Xero Invoice No],LOOKUP(2,1/((tbl_Finance[Job Number]&amp;""=C282&amp;"")*(tbl_Finance[Xero Invoice No]&lt;&gt;"")),tbl_Finance[Xero Invoice No]))=COUNTIFS(tbl_Finance[Job Number],C282&amp;"",tbl_Finance[Xero Invoice No],"&lt;&gt;"),LOOKUP(2,1/((tbl_Finance[Job Number]&amp;""=C282&amp;"")*(tbl_Finance[Xero Invoice No]&lt;&gt;"")),tbl_Finance[Xero Invoice No]),LOOKUP(2,1/((tbl_Finance[Job Number]&amp;""=C282&amp;"")*(tbl_Finance[Xero Invoice No]&lt;&gt;"")),tbl_Finance[Xero Invoice No])&amp;" +more"),"")))</f>
        <v/>
      </c>
      <c r="C282" s="24" t="n"/>
      <c r="D282" s="25">
        <f>IF(C282="","",IF(COUNTIF(lst_Jobs,C282&amp;"")&gt;0,"OK","CHECK"))</f>
        <v/>
      </c>
      <c r="E282" s="25">
        <f>IF(C282="","",IFERROR(INDEX(lst_JobName,MATCH(C282&amp;"",lst_Jobs,0)),""))</f>
        <v/>
      </c>
      <c r="F282" s="25">
        <f>IF(C282="","",IFERROR(INDEX(tbl_Finance[Client],IFERROR(MATCH(C282&amp;"",tbl_Finance[Job Number],0),MATCH(IFERROR(C282+0,C282),tbl_Finance[Job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6" t="n"/>
      <c r="L282" s="27">
        <f>IF(C282="","",IF(K282="",0,MAX(0,K282-H282)))</f>
        <v/>
      </c>
      <c r="M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N282" s="27">
        <f>IF(C282="","",SUMIFS(tbl_Finance[Inc GST],tbl_Finance[Job Number],C282&amp;""))</f>
        <v/>
      </c>
      <c r="O282" s="24" t="n"/>
      <c r="P282" s="25">
        <f>IF(C282="","",IFERROR(INDEX(tbl_Finance[Description],MATCH(C282&amp;"",tbl_Finance[Job Number],0)),""))</f>
        <v/>
      </c>
      <c r="Q282" s="24" t="n"/>
      <c r="R282" s="24" t="n"/>
      <c r="S282" s="22" t="n"/>
      <c r="T282" s="24" t="n"/>
      <c r="U282" s="25">
        <f>IF(T282="","",IF(AND(LEFT(T282,4)&lt;&gt;"http",set_RMSBase=""),"",HYPERLINK(IF(LEFT(T282,4)="http",T282,set_RMSBase&amp;T282),"Open opportunity")))</f>
        <v/>
      </c>
      <c r="V282" s="24" t="n"/>
      <c r="W282" s="25">
        <f>IF(V282="","",HYPERLINK(IF(LEFT(V282,4)="http",V282,set_QwilrBase&amp;V282),"Open quote"))</f>
        <v/>
      </c>
      <c r="X282" s="25">
        <f>IF(C282="","",C282)</f>
        <v/>
      </c>
      <c r="Y282" s="24" t="n"/>
      <c r="Z282" s="26" t="n"/>
      <c r="AA282" s="27">
        <f>IF(C282="","",H282+N(Z282))</f>
        <v/>
      </c>
      <c r="AB282" s="29">
        <f>IFERROR(Z282/AA282,"")</f>
        <v/>
      </c>
      <c r="AC282" s="26" t="n"/>
      <c r="AD282" s="26" t="n"/>
      <c r="AE282" s="26" t="n"/>
      <c r="AF282" s="26" t="n"/>
      <c r="AG282" s="27">
        <f>IF(C282="","",SUMIFS(tbl_Finance[Ex GST],tbl_Finance[Job Number],C282&amp;"",tbl_Finance[Cost Centre],"VIDEO"))</f>
        <v/>
      </c>
      <c r="AH282" s="29">
        <f>IFERROR(AG282/H282,"")</f>
        <v/>
      </c>
      <c r="AI282" s="27">
        <f>IF(C282="","",N(AC282)+N(AD282)+N(AE282)+N(AF282))</f>
        <v/>
      </c>
      <c r="AJ282" s="27">
        <f>IF(C282="","",H282+L282-AI282)</f>
        <v/>
      </c>
      <c r="AK282" s="29">
        <f>IFERROR(AJ282/(H282+L282),"")</f>
        <v/>
      </c>
      <c r="AL282" s="71" t="n"/>
      <c r="AM282" s="71" t="n"/>
      <c r="AN282" s="71" t="n"/>
      <c r="AO282" s="71" t="n"/>
      <c r="AP282" s="71" t="n"/>
      <c r="AQ282" s="24" t="n"/>
    </row>
    <row r="283" ht="15" customHeight="1">
      <c r="A283" s="70">
        <f>IF(C283="","",IFERROR(IF(SUMPRODUCT(MAX((tbl_Finance[Job Number]&amp;""=C283&amp;"")*(tbl_Finance[Xero Invoice No]&lt;&gt;"")*tbl_Finance[Date]))=0,"",SUMPRODUCT(MAX((tbl_Finance[Job Number]&amp;""=C283&amp;"")*(tbl_Finance[Xero Invoice No]&lt;&gt;"")*tbl_Finance[Date]))),""))</f>
        <v/>
      </c>
      <c r="B283" s="25">
        <f>IF(C283="","",IF(COUNTIFS(tbl_Finance[Job Number],C283&amp;"",tbl_Finance[Xero Invoice No],"&lt;&gt;")=0,"",IFERROR(IF(COUNTIFS(tbl_Finance[Job Number],C283&amp;"",tbl_Finance[Xero Invoice No],LOOKUP(2,1/((tbl_Finance[Job Number]&amp;""=C283&amp;"")*(tbl_Finance[Xero Invoice No]&lt;&gt;"")),tbl_Finance[Xero Invoice No]))=COUNTIFS(tbl_Finance[Job Number],C283&amp;"",tbl_Finance[Xero Invoice No],"&lt;&gt;"),LOOKUP(2,1/((tbl_Finance[Job Number]&amp;""=C283&amp;"")*(tbl_Finance[Xero Invoice No]&lt;&gt;"")),tbl_Finance[Xero Invoice No]),LOOKUP(2,1/((tbl_Finance[Job Number]&amp;""=C283&amp;"")*(tbl_Finance[Xero Invoice No]&lt;&gt;"")),tbl_Finance[Xero Invoice No])&amp;" +more"),"")))</f>
        <v/>
      </c>
      <c r="C283" s="24" t="n"/>
      <c r="D283" s="25">
        <f>IF(C283="","",IF(COUNTIF(lst_Jobs,C283&amp;"")&gt;0,"OK","CHECK"))</f>
        <v/>
      </c>
      <c r="E283" s="25">
        <f>IF(C283="","",IFERROR(INDEX(lst_JobName,MATCH(C283&amp;"",lst_Jobs,0)),""))</f>
        <v/>
      </c>
      <c r="F283" s="25">
        <f>IF(C283="","",IFERROR(INDEX(tbl_Finance[Client],IFERROR(MATCH(C283&amp;"",tbl_Finance[Job Number],0),MATCH(IFERROR(C283+0,C283),tbl_Finance[Job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6" t="n"/>
      <c r="L283" s="27">
        <f>IF(C283="","",IF(K283="",0,MAX(0,K283-H283)))</f>
        <v/>
      </c>
      <c r="M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N283" s="27">
        <f>IF(C283="","",SUMIFS(tbl_Finance[Inc GST],tbl_Finance[Job Number],C283&amp;""))</f>
        <v/>
      </c>
      <c r="O283" s="24" t="n"/>
      <c r="P283" s="25">
        <f>IF(C283="","",IFERROR(INDEX(tbl_Finance[Description],MATCH(C283&amp;"",tbl_Finance[Job Number],0)),""))</f>
        <v/>
      </c>
      <c r="Q283" s="24" t="n"/>
      <c r="R283" s="24" t="n"/>
      <c r="S283" s="22" t="n"/>
      <c r="T283" s="24" t="n"/>
      <c r="U283" s="25">
        <f>IF(T283="","",IF(AND(LEFT(T283,4)&lt;&gt;"http",set_RMSBase=""),"",HYPERLINK(IF(LEFT(T283,4)="http",T283,set_RMSBase&amp;T283),"Open opportunity")))</f>
        <v/>
      </c>
      <c r="V283" s="24" t="n"/>
      <c r="W283" s="25">
        <f>IF(V283="","",HYPERLINK(IF(LEFT(V283,4)="http",V283,set_QwilrBase&amp;V283),"Open quote"))</f>
        <v/>
      </c>
      <c r="X283" s="25">
        <f>IF(C283="","",C283)</f>
        <v/>
      </c>
      <c r="Y283" s="24" t="n"/>
      <c r="Z283" s="26" t="n"/>
      <c r="AA283" s="27">
        <f>IF(C283="","",H283+N(Z283))</f>
        <v/>
      </c>
      <c r="AB283" s="29">
        <f>IFERROR(Z283/AA283,"")</f>
        <v/>
      </c>
      <c r="AC283" s="26" t="n"/>
      <c r="AD283" s="26" t="n"/>
      <c r="AE283" s="26" t="n"/>
      <c r="AF283" s="26" t="n"/>
      <c r="AG283" s="27">
        <f>IF(C283="","",SUMIFS(tbl_Finance[Ex GST],tbl_Finance[Job Number],C283&amp;"",tbl_Finance[Cost Centre],"VIDEO"))</f>
        <v/>
      </c>
      <c r="AH283" s="29">
        <f>IFERROR(AG283/H283,"")</f>
        <v/>
      </c>
      <c r="AI283" s="27">
        <f>IF(C283="","",N(AC283)+N(AD283)+N(AE283)+N(AF283))</f>
        <v/>
      </c>
      <c r="AJ283" s="27">
        <f>IF(C283="","",H283+L283-AI283)</f>
        <v/>
      </c>
      <c r="AK283" s="29">
        <f>IFERROR(AJ283/(H283+L283),"")</f>
        <v/>
      </c>
      <c r="AL283" s="71" t="n"/>
      <c r="AM283" s="71" t="n"/>
      <c r="AN283" s="71" t="n"/>
      <c r="AO283" s="71" t="n"/>
      <c r="AP283" s="71" t="n"/>
      <c r="AQ283" s="24" t="n"/>
    </row>
    <row r="284" ht="15" customHeight="1">
      <c r="A284" s="70">
        <f>IF(C284="","",IFERROR(IF(SUMPRODUCT(MAX((tbl_Finance[Job Number]&amp;""=C284&amp;"")*(tbl_Finance[Xero Invoice No]&lt;&gt;"")*tbl_Finance[Date]))=0,"",SUMPRODUCT(MAX((tbl_Finance[Job Number]&amp;""=C284&amp;"")*(tbl_Finance[Xero Invoice No]&lt;&gt;"")*tbl_Finance[Date]))),""))</f>
        <v/>
      </c>
      <c r="B284" s="25">
        <f>IF(C284="","",IF(COUNTIFS(tbl_Finance[Job Number],C284&amp;"",tbl_Finance[Xero Invoice No],"&lt;&gt;")=0,"",IFERROR(IF(COUNTIFS(tbl_Finance[Job Number],C284&amp;"",tbl_Finance[Xero Invoice No],LOOKUP(2,1/((tbl_Finance[Job Number]&amp;""=C284&amp;"")*(tbl_Finance[Xero Invoice No]&lt;&gt;"")),tbl_Finance[Xero Invoice No]))=COUNTIFS(tbl_Finance[Job Number],C284&amp;"",tbl_Finance[Xero Invoice No],"&lt;&gt;"),LOOKUP(2,1/((tbl_Finance[Job Number]&amp;""=C284&amp;"")*(tbl_Finance[Xero Invoice No]&lt;&gt;"")),tbl_Finance[Xero Invoice No]),LOOKUP(2,1/((tbl_Finance[Job Number]&amp;""=C284&amp;"")*(tbl_Finance[Xero Invoice No]&lt;&gt;"")),tbl_Finance[Xero Invoice No])&amp;" +more"),"")))</f>
        <v/>
      </c>
      <c r="C284" s="24" t="n"/>
      <c r="D284" s="25">
        <f>IF(C284="","",IF(COUNTIF(lst_Jobs,C284&amp;"")&gt;0,"OK","CHECK"))</f>
        <v/>
      </c>
      <c r="E284" s="25">
        <f>IF(C284="","",IFERROR(INDEX(lst_JobName,MATCH(C284&amp;"",lst_Jobs,0)),""))</f>
        <v/>
      </c>
      <c r="F284" s="25">
        <f>IF(C284="","",IFERROR(INDEX(tbl_Finance[Client],IFERROR(MATCH(C284&amp;"",tbl_Finance[Job Number],0),MATCH(IFERROR(C284+0,C284),tbl_Finance[Job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6" t="n"/>
      <c r="L284" s="27">
        <f>IF(C284="","",IF(K284="",0,MAX(0,K284-H284)))</f>
        <v/>
      </c>
      <c r="M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N284" s="27">
        <f>IF(C284="","",SUMIFS(tbl_Finance[Inc GST],tbl_Finance[Job Number],C284&amp;""))</f>
        <v/>
      </c>
      <c r="O284" s="24" t="n"/>
      <c r="P284" s="25">
        <f>IF(C284="","",IFERROR(INDEX(tbl_Finance[Description],MATCH(C284&amp;"",tbl_Finance[Job Number],0)),""))</f>
        <v/>
      </c>
      <c r="Q284" s="24" t="n"/>
      <c r="R284" s="24" t="n"/>
      <c r="S284" s="22" t="n"/>
      <c r="T284" s="24" t="n"/>
      <c r="U284" s="25">
        <f>IF(T284="","",IF(AND(LEFT(T284,4)&lt;&gt;"http",set_RMSBase=""),"",HYPERLINK(IF(LEFT(T284,4)="http",T284,set_RMSBase&amp;T284),"Open opportunity")))</f>
        <v/>
      </c>
      <c r="V284" s="24" t="n"/>
      <c r="W284" s="25">
        <f>IF(V284="","",HYPERLINK(IF(LEFT(V284,4)="http",V284,set_QwilrBase&amp;V284),"Open quote"))</f>
        <v/>
      </c>
      <c r="X284" s="25">
        <f>IF(C284="","",C284)</f>
        <v/>
      </c>
      <c r="Y284" s="24" t="n"/>
      <c r="Z284" s="26" t="n"/>
      <c r="AA284" s="27">
        <f>IF(C284="","",H284+N(Z284))</f>
        <v/>
      </c>
      <c r="AB284" s="29">
        <f>IFERROR(Z284/AA284,"")</f>
        <v/>
      </c>
      <c r="AC284" s="26" t="n"/>
      <c r="AD284" s="26" t="n"/>
      <c r="AE284" s="26" t="n"/>
      <c r="AF284" s="26" t="n"/>
      <c r="AG284" s="27">
        <f>IF(C284="","",SUMIFS(tbl_Finance[Ex GST],tbl_Finance[Job Number],C284&amp;"",tbl_Finance[Cost Centre],"VIDEO"))</f>
        <v/>
      </c>
      <c r="AH284" s="29">
        <f>IFERROR(AG284/H284,"")</f>
        <v/>
      </c>
      <c r="AI284" s="27">
        <f>IF(C284="","",N(AC284)+N(AD284)+N(AE284)+N(AF284))</f>
        <v/>
      </c>
      <c r="AJ284" s="27">
        <f>IF(C284="","",H284+L284-AI284)</f>
        <v/>
      </c>
      <c r="AK284" s="29">
        <f>IFERROR(AJ284/(H284+L284),"")</f>
        <v/>
      </c>
      <c r="AL284" s="71" t="n"/>
      <c r="AM284" s="71" t="n"/>
      <c r="AN284" s="71" t="n"/>
      <c r="AO284" s="71" t="n"/>
      <c r="AP284" s="71" t="n"/>
      <c r="AQ284" s="24" t="n"/>
    </row>
    <row r="285" ht="15" customHeight="1">
      <c r="A285" s="70">
        <f>IF(C285="","",IFERROR(IF(SUMPRODUCT(MAX((tbl_Finance[Job Number]&amp;""=C285&amp;"")*(tbl_Finance[Xero Invoice No]&lt;&gt;"")*tbl_Finance[Date]))=0,"",SUMPRODUCT(MAX((tbl_Finance[Job Number]&amp;""=C285&amp;"")*(tbl_Finance[Xero Invoice No]&lt;&gt;"")*tbl_Finance[Date]))),""))</f>
        <v/>
      </c>
      <c r="B285" s="25">
        <f>IF(C285="","",IF(COUNTIFS(tbl_Finance[Job Number],C285&amp;"",tbl_Finance[Xero Invoice No],"&lt;&gt;")=0,"",IFERROR(IF(COUNTIFS(tbl_Finance[Job Number],C285&amp;"",tbl_Finance[Xero Invoice No],LOOKUP(2,1/((tbl_Finance[Job Number]&amp;""=C285&amp;"")*(tbl_Finance[Xero Invoice No]&lt;&gt;"")),tbl_Finance[Xero Invoice No]))=COUNTIFS(tbl_Finance[Job Number],C285&amp;"",tbl_Finance[Xero Invoice No],"&lt;&gt;"),LOOKUP(2,1/((tbl_Finance[Job Number]&amp;""=C285&amp;"")*(tbl_Finance[Xero Invoice No]&lt;&gt;"")),tbl_Finance[Xero Invoice No]),LOOKUP(2,1/((tbl_Finance[Job Number]&amp;""=C285&amp;"")*(tbl_Finance[Xero Invoice No]&lt;&gt;"")),tbl_Finance[Xero Invoice No])&amp;" +more"),"")))</f>
        <v/>
      </c>
      <c r="C285" s="24" t="n"/>
      <c r="D285" s="25">
        <f>IF(C285="","",IF(COUNTIF(lst_Jobs,C285&amp;"")&gt;0,"OK","CHECK"))</f>
        <v/>
      </c>
      <c r="E285" s="25">
        <f>IF(C285="","",IFERROR(INDEX(lst_JobName,MATCH(C285&amp;"",lst_Jobs,0)),""))</f>
        <v/>
      </c>
      <c r="F285" s="25">
        <f>IF(C285="","",IFERROR(INDEX(tbl_Finance[Client],IFERROR(MATCH(C285&amp;"",tbl_Finance[Job Number],0),MATCH(IFERROR(C285+0,C285),tbl_Finance[Job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6" t="n"/>
      <c r="L285" s="27">
        <f>IF(C285="","",IF(K285="",0,MAX(0,K285-H285)))</f>
        <v/>
      </c>
      <c r="M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N285" s="27">
        <f>IF(C285="","",SUMIFS(tbl_Finance[Inc GST],tbl_Finance[Job Number],C285&amp;""))</f>
        <v/>
      </c>
      <c r="O285" s="24" t="n"/>
      <c r="P285" s="25">
        <f>IF(C285="","",IFERROR(INDEX(tbl_Finance[Description],MATCH(C285&amp;"",tbl_Finance[Job Number],0)),""))</f>
        <v/>
      </c>
      <c r="Q285" s="24" t="n"/>
      <c r="R285" s="24" t="n"/>
      <c r="S285" s="22" t="n"/>
      <c r="T285" s="24" t="n"/>
      <c r="U285" s="25">
        <f>IF(T285="","",IF(AND(LEFT(T285,4)&lt;&gt;"http",set_RMSBase=""),"",HYPERLINK(IF(LEFT(T285,4)="http",T285,set_RMSBase&amp;T285),"Open opportunity")))</f>
        <v/>
      </c>
      <c r="V285" s="24" t="n"/>
      <c r="W285" s="25">
        <f>IF(V285="","",HYPERLINK(IF(LEFT(V285,4)="http",V285,set_QwilrBase&amp;V285),"Open quote"))</f>
        <v/>
      </c>
      <c r="X285" s="25">
        <f>IF(C285="","",C285)</f>
        <v/>
      </c>
      <c r="Y285" s="24" t="n"/>
      <c r="Z285" s="26" t="n"/>
      <c r="AA285" s="27">
        <f>IF(C285="","",H285+N(Z285))</f>
        <v/>
      </c>
      <c r="AB285" s="29">
        <f>IFERROR(Z285/AA285,"")</f>
        <v/>
      </c>
      <c r="AC285" s="26" t="n"/>
      <c r="AD285" s="26" t="n"/>
      <c r="AE285" s="26" t="n"/>
      <c r="AF285" s="26" t="n"/>
      <c r="AG285" s="27">
        <f>IF(C285="","",SUMIFS(tbl_Finance[Ex GST],tbl_Finance[Job Number],C285&amp;"",tbl_Finance[Cost Centre],"VIDEO"))</f>
        <v/>
      </c>
      <c r="AH285" s="29">
        <f>IFERROR(AG285/H285,"")</f>
        <v/>
      </c>
      <c r="AI285" s="27">
        <f>IF(C285="","",N(AC285)+N(AD285)+N(AE285)+N(AF285))</f>
        <v/>
      </c>
      <c r="AJ285" s="27">
        <f>IF(C285="","",H285+L285-AI285)</f>
        <v/>
      </c>
      <c r="AK285" s="29">
        <f>IFERROR(AJ285/(H285+L285),"")</f>
        <v/>
      </c>
      <c r="AL285" s="71" t="n"/>
      <c r="AM285" s="71" t="n"/>
      <c r="AN285" s="71" t="n"/>
      <c r="AO285" s="71" t="n"/>
      <c r="AP285" s="71" t="n"/>
      <c r="AQ285" s="24" t="n"/>
    </row>
    <row r="286" ht="15" customHeight="1">
      <c r="A286" s="70">
        <f>IF(C286="","",IFERROR(IF(SUMPRODUCT(MAX((tbl_Finance[Job Number]&amp;""=C286&amp;"")*(tbl_Finance[Xero Invoice No]&lt;&gt;"")*tbl_Finance[Date]))=0,"",SUMPRODUCT(MAX((tbl_Finance[Job Number]&amp;""=C286&amp;"")*(tbl_Finance[Xero Invoice No]&lt;&gt;"")*tbl_Finance[Date]))),""))</f>
        <v/>
      </c>
      <c r="B286" s="25">
        <f>IF(C286="","",IF(COUNTIFS(tbl_Finance[Job Number],C286&amp;"",tbl_Finance[Xero Invoice No],"&lt;&gt;")=0,"",IFERROR(IF(COUNTIFS(tbl_Finance[Job Number],C286&amp;"",tbl_Finance[Xero Invoice No],LOOKUP(2,1/((tbl_Finance[Job Number]&amp;""=C286&amp;"")*(tbl_Finance[Xero Invoice No]&lt;&gt;"")),tbl_Finance[Xero Invoice No]))=COUNTIFS(tbl_Finance[Job Number],C286&amp;"",tbl_Finance[Xero Invoice No],"&lt;&gt;"),LOOKUP(2,1/((tbl_Finance[Job Number]&amp;""=C286&amp;"")*(tbl_Finance[Xero Invoice No]&lt;&gt;"")),tbl_Finance[Xero Invoice No]),LOOKUP(2,1/((tbl_Finance[Job Number]&amp;""=C286&amp;"")*(tbl_Finance[Xero Invoice No]&lt;&gt;"")),tbl_Finance[Xero Invoice No])&amp;" +more"),"")))</f>
        <v/>
      </c>
      <c r="C286" s="24" t="n"/>
      <c r="D286" s="25">
        <f>IF(C286="","",IF(COUNTIF(lst_Jobs,C286&amp;"")&gt;0,"OK","CHECK"))</f>
        <v/>
      </c>
      <c r="E286" s="25">
        <f>IF(C286="","",IFERROR(INDEX(lst_JobName,MATCH(C286&amp;"",lst_Jobs,0)),""))</f>
        <v/>
      </c>
      <c r="F286" s="25">
        <f>IF(C286="","",IFERROR(INDEX(tbl_Finance[Client],IFERROR(MATCH(C286&amp;"",tbl_Finance[Job Number],0),MATCH(IFERROR(C286+0,C286),tbl_Finance[Job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6" t="n"/>
      <c r="L286" s="27">
        <f>IF(C286="","",IF(K286="",0,MAX(0,K286-H286)))</f>
        <v/>
      </c>
      <c r="M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N286" s="27">
        <f>IF(C286="","",SUMIFS(tbl_Finance[Inc GST],tbl_Finance[Job Number],C286&amp;""))</f>
        <v/>
      </c>
      <c r="O286" s="24" t="n"/>
      <c r="P286" s="25">
        <f>IF(C286="","",IFERROR(INDEX(tbl_Finance[Description],MATCH(C286&amp;"",tbl_Finance[Job Number],0)),""))</f>
        <v/>
      </c>
      <c r="Q286" s="24" t="n"/>
      <c r="R286" s="24" t="n"/>
      <c r="S286" s="22" t="n"/>
      <c r="T286" s="24" t="n"/>
      <c r="U286" s="25">
        <f>IF(T286="","",IF(AND(LEFT(T286,4)&lt;&gt;"http",set_RMSBase=""),"",HYPERLINK(IF(LEFT(T286,4)="http",T286,set_RMSBase&amp;T286),"Open opportunity")))</f>
        <v/>
      </c>
      <c r="V286" s="24" t="n"/>
      <c r="W286" s="25">
        <f>IF(V286="","",HYPERLINK(IF(LEFT(V286,4)="http",V286,set_QwilrBase&amp;V286),"Open quote"))</f>
        <v/>
      </c>
      <c r="X286" s="25">
        <f>IF(C286="","",C286)</f>
        <v/>
      </c>
      <c r="Y286" s="24" t="n"/>
      <c r="Z286" s="26" t="n"/>
      <c r="AA286" s="27">
        <f>IF(C286="","",H286+N(Z286))</f>
        <v/>
      </c>
      <c r="AB286" s="29">
        <f>IFERROR(Z286/AA286,"")</f>
        <v/>
      </c>
      <c r="AC286" s="26" t="n"/>
      <c r="AD286" s="26" t="n"/>
      <c r="AE286" s="26" t="n"/>
      <c r="AF286" s="26" t="n"/>
      <c r="AG286" s="27">
        <f>IF(C286="","",SUMIFS(tbl_Finance[Ex GST],tbl_Finance[Job Number],C286&amp;"",tbl_Finance[Cost Centre],"VIDEO"))</f>
        <v/>
      </c>
      <c r="AH286" s="29">
        <f>IFERROR(AG286/H286,"")</f>
        <v/>
      </c>
      <c r="AI286" s="27">
        <f>IF(C286="","",N(AC286)+N(AD286)+N(AE286)+N(AF286))</f>
        <v/>
      </c>
      <c r="AJ286" s="27">
        <f>IF(C286="","",H286+L286-AI286)</f>
        <v/>
      </c>
      <c r="AK286" s="29">
        <f>IFERROR(AJ286/(H286+L286),"")</f>
        <v/>
      </c>
      <c r="AL286" s="71" t="n"/>
      <c r="AM286" s="71" t="n"/>
      <c r="AN286" s="71" t="n"/>
      <c r="AO286" s="71" t="n"/>
      <c r="AP286" s="71" t="n"/>
      <c r="AQ286" s="24" t="n"/>
    </row>
    <row r="287" ht="15" customHeight="1">
      <c r="A287" s="70">
        <f>IF(C287="","",IFERROR(IF(SUMPRODUCT(MAX((tbl_Finance[Job Number]&amp;""=C287&amp;"")*(tbl_Finance[Xero Invoice No]&lt;&gt;"")*tbl_Finance[Date]))=0,"",SUMPRODUCT(MAX((tbl_Finance[Job Number]&amp;""=C287&amp;"")*(tbl_Finance[Xero Invoice No]&lt;&gt;"")*tbl_Finance[Date]))),""))</f>
        <v/>
      </c>
      <c r="B287" s="25">
        <f>IF(C287="","",IF(COUNTIFS(tbl_Finance[Job Number],C287&amp;"",tbl_Finance[Xero Invoice No],"&lt;&gt;")=0,"",IFERROR(IF(COUNTIFS(tbl_Finance[Job Number],C287&amp;"",tbl_Finance[Xero Invoice No],LOOKUP(2,1/((tbl_Finance[Job Number]&amp;""=C287&amp;"")*(tbl_Finance[Xero Invoice No]&lt;&gt;"")),tbl_Finance[Xero Invoice No]))=COUNTIFS(tbl_Finance[Job Number],C287&amp;"",tbl_Finance[Xero Invoice No],"&lt;&gt;"),LOOKUP(2,1/((tbl_Finance[Job Number]&amp;""=C287&amp;"")*(tbl_Finance[Xero Invoice No]&lt;&gt;"")),tbl_Finance[Xero Invoice No]),LOOKUP(2,1/((tbl_Finance[Job Number]&amp;""=C287&amp;"")*(tbl_Finance[Xero Invoice No]&lt;&gt;"")),tbl_Finance[Xero Invoice No])&amp;" +more"),"")))</f>
        <v/>
      </c>
      <c r="C287" s="24" t="n"/>
      <c r="D287" s="25">
        <f>IF(C287="","",IF(COUNTIF(lst_Jobs,C287&amp;"")&gt;0,"OK","CHECK"))</f>
        <v/>
      </c>
      <c r="E287" s="25">
        <f>IF(C287="","",IFERROR(INDEX(lst_JobName,MATCH(C287&amp;"",lst_Jobs,0)),""))</f>
        <v/>
      </c>
      <c r="F287" s="25">
        <f>IF(C287="","",IFERROR(INDEX(tbl_Finance[Client],IFERROR(MATCH(C287&amp;"",tbl_Finance[Job Number],0),MATCH(IFERROR(C287+0,C287),tbl_Finance[Job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6" t="n"/>
      <c r="L287" s="27">
        <f>IF(C287="","",IF(K287="",0,MAX(0,K287-H287)))</f>
        <v/>
      </c>
      <c r="M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N287" s="27">
        <f>IF(C287="","",SUMIFS(tbl_Finance[Inc GST],tbl_Finance[Job Number],C287&amp;""))</f>
        <v/>
      </c>
      <c r="O287" s="24" t="n"/>
      <c r="P287" s="25">
        <f>IF(C287="","",IFERROR(INDEX(tbl_Finance[Description],MATCH(C287&amp;"",tbl_Finance[Job Number],0)),""))</f>
        <v/>
      </c>
      <c r="Q287" s="24" t="n"/>
      <c r="R287" s="24" t="n"/>
      <c r="S287" s="22" t="n"/>
      <c r="T287" s="24" t="n"/>
      <c r="U287" s="25">
        <f>IF(T287="","",IF(AND(LEFT(T287,4)&lt;&gt;"http",set_RMSBase=""),"",HYPERLINK(IF(LEFT(T287,4)="http",T287,set_RMSBase&amp;T287),"Open opportunity")))</f>
        <v/>
      </c>
      <c r="V287" s="24" t="n"/>
      <c r="W287" s="25">
        <f>IF(V287="","",HYPERLINK(IF(LEFT(V287,4)="http",V287,set_QwilrBase&amp;V287),"Open quote"))</f>
        <v/>
      </c>
      <c r="X287" s="25">
        <f>IF(C287="","",C287)</f>
        <v/>
      </c>
      <c r="Y287" s="24" t="n"/>
      <c r="Z287" s="26" t="n"/>
      <c r="AA287" s="27">
        <f>IF(C287="","",H287+N(Z287))</f>
        <v/>
      </c>
      <c r="AB287" s="29">
        <f>IFERROR(Z287/AA287,"")</f>
        <v/>
      </c>
      <c r="AC287" s="26" t="n"/>
      <c r="AD287" s="26" t="n"/>
      <c r="AE287" s="26" t="n"/>
      <c r="AF287" s="26" t="n"/>
      <c r="AG287" s="27">
        <f>IF(C287="","",SUMIFS(tbl_Finance[Ex GST],tbl_Finance[Job Number],C287&amp;"",tbl_Finance[Cost Centre],"VIDEO"))</f>
        <v/>
      </c>
      <c r="AH287" s="29">
        <f>IFERROR(AG287/H287,"")</f>
        <v/>
      </c>
      <c r="AI287" s="27">
        <f>IF(C287="","",N(AC287)+N(AD287)+N(AE287)+N(AF287))</f>
        <v/>
      </c>
      <c r="AJ287" s="27">
        <f>IF(C287="","",H287+L287-AI287)</f>
        <v/>
      </c>
      <c r="AK287" s="29">
        <f>IFERROR(AJ287/(H287+L287),"")</f>
        <v/>
      </c>
      <c r="AL287" s="71" t="n"/>
      <c r="AM287" s="71" t="n"/>
      <c r="AN287" s="71" t="n"/>
      <c r="AO287" s="71" t="n"/>
      <c r="AP287" s="71" t="n"/>
      <c r="AQ287" s="24" t="n"/>
    </row>
    <row r="288" ht="15" customHeight="1">
      <c r="A288" s="70">
        <f>IF(C288="","",IFERROR(IF(SUMPRODUCT(MAX((tbl_Finance[Job Number]&amp;""=C288&amp;"")*(tbl_Finance[Xero Invoice No]&lt;&gt;"")*tbl_Finance[Date]))=0,"",SUMPRODUCT(MAX((tbl_Finance[Job Number]&amp;""=C288&amp;"")*(tbl_Finance[Xero Invoice No]&lt;&gt;"")*tbl_Finance[Date]))),""))</f>
        <v/>
      </c>
      <c r="B288" s="25">
        <f>IF(C288="","",IF(COUNTIFS(tbl_Finance[Job Number],C288&amp;"",tbl_Finance[Xero Invoice No],"&lt;&gt;")=0,"",IFERROR(IF(COUNTIFS(tbl_Finance[Job Number],C288&amp;"",tbl_Finance[Xero Invoice No],LOOKUP(2,1/((tbl_Finance[Job Number]&amp;""=C288&amp;"")*(tbl_Finance[Xero Invoice No]&lt;&gt;"")),tbl_Finance[Xero Invoice No]))=COUNTIFS(tbl_Finance[Job Number],C288&amp;"",tbl_Finance[Xero Invoice No],"&lt;&gt;"),LOOKUP(2,1/((tbl_Finance[Job Number]&amp;""=C288&amp;"")*(tbl_Finance[Xero Invoice No]&lt;&gt;"")),tbl_Finance[Xero Invoice No]),LOOKUP(2,1/((tbl_Finance[Job Number]&amp;""=C288&amp;"")*(tbl_Finance[Xero Invoice No]&lt;&gt;"")),tbl_Finance[Xero Invoice No])&amp;" +more"),"")))</f>
        <v/>
      </c>
      <c r="C288" s="24" t="n"/>
      <c r="D288" s="25">
        <f>IF(C288="","",IF(COUNTIF(lst_Jobs,C288&amp;"")&gt;0,"OK","CHECK"))</f>
        <v/>
      </c>
      <c r="E288" s="25">
        <f>IF(C288="","",IFERROR(INDEX(lst_JobName,MATCH(C288&amp;"",lst_Jobs,0)),""))</f>
        <v/>
      </c>
      <c r="F288" s="25">
        <f>IF(C288="","",IFERROR(INDEX(tbl_Finance[Client],IFERROR(MATCH(C288&amp;"",tbl_Finance[Job Number],0),MATCH(IFERROR(C288+0,C288),tbl_Finance[Job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6" t="n"/>
      <c r="L288" s="27">
        <f>IF(C288="","",IF(K288="",0,MAX(0,K288-H288)))</f>
        <v/>
      </c>
      <c r="M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N288" s="27">
        <f>IF(C288="","",SUMIFS(tbl_Finance[Inc GST],tbl_Finance[Job Number],C288&amp;""))</f>
        <v/>
      </c>
      <c r="O288" s="24" t="n"/>
      <c r="P288" s="25">
        <f>IF(C288="","",IFERROR(INDEX(tbl_Finance[Description],MATCH(C288&amp;"",tbl_Finance[Job Number],0)),""))</f>
        <v/>
      </c>
      <c r="Q288" s="24" t="n"/>
      <c r="R288" s="24" t="n"/>
      <c r="S288" s="22" t="n"/>
      <c r="T288" s="24" t="n"/>
      <c r="U288" s="25">
        <f>IF(T288="","",IF(AND(LEFT(T288,4)&lt;&gt;"http",set_RMSBase=""),"",HYPERLINK(IF(LEFT(T288,4)="http",T288,set_RMSBase&amp;T288),"Open opportunity")))</f>
        <v/>
      </c>
      <c r="V288" s="24" t="n"/>
      <c r="W288" s="25">
        <f>IF(V288="","",HYPERLINK(IF(LEFT(V288,4)="http",V288,set_QwilrBase&amp;V288),"Open quote"))</f>
        <v/>
      </c>
      <c r="X288" s="25">
        <f>IF(C288="","",C288)</f>
        <v/>
      </c>
      <c r="Y288" s="24" t="n"/>
      <c r="Z288" s="26" t="n"/>
      <c r="AA288" s="27">
        <f>IF(C288="","",H288+N(Z288))</f>
        <v/>
      </c>
      <c r="AB288" s="29">
        <f>IFERROR(Z288/AA288,"")</f>
        <v/>
      </c>
      <c r="AC288" s="26" t="n"/>
      <c r="AD288" s="26" t="n"/>
      <c r="AE288" s="26" t="n"/>
      <c r="AF288" s="26" t="n"/>
      <c r="AG288" s="27">
        <f>IF(C288="","",SUMIFS(tbl_Finance[Ex GST],tbl_Finance[Job Number],C288&amp;"",tbl_Finance[Cost Centre],"VIDEO"))</f>
        <v/>
      </c>
      <c r="AH288" s="29">
        <f>IFERROR(AG288/H288,"")</f>
        <v/>
      </c>
      <c r="AI288" s="27">
        <f>IF(C288="","",N(AC288)+N(AD288)+N(AE288)+N(AF288))</f>
        <v/>
      </c>
      <c r="AJ288" s="27">
        <f>IF(C288="","",H288+L288-AI288)</f>
        <v/>
      </c>
      <c r="AK288" s="29">
        <f>IFERROR(AJ288/(H288+L288),"")</f>
        <v/>
      </c>
      <c r="AL288" s="71" t="n"/>
      <c r="AM288" s="71" t="n"/>
      <c r="AN288" s="71" t="n"/>
      <c r="AO288" s="71" t="n"/>
      <c r="AP288" s="71" t="n"/>
      <c r="AQ288" s="24" t="n"/>
    </row>
    <row r="289" ht="15" customHeight="1">
      <c r="A289" s="70">
        <f>IF(C289="","",IFERROR(IF(SUMPRODUCT(MAX((tbl_Finance[Job Number]&amp;""=C289&amp;"")*(tbl_Finance[Xero Invoice No]&lt;&gt;"")*tbl_Finance[Date]))=0,"",SUMPRODUCT(MAX((tbl_Finance[Job Number]&amp;""=C289&amp;"")*(tbl_Finance[Xero Invoice No]&lt;&gt;"")*tbl_Finance[Date]))),""))</f>
        <v/>
      </c>
      <c r="B289" s="25">
        <f>IF(C289="","",IF(COUNTIFS(tbl_Finance[Job Number],C289&amp;"",tbl_Finance[Xero Invoice No],"&lt;&gt;")=0,"",IFERROR(IF(COUNTIFS(tbl_Finance[Job Number],C289&amp;"",tbl_Finance[Xero Invoice No],LOOKUP(2,1/((tbl_Finance[Job Number]&amp;""=C289&amp;"")*(tbl_Finance[Xero Invoice No]&lt;&gt;"")),tbl_Finance[Xero Invoice No]))=COUNTIFS(tbl_Finance[Job Number],C289&amp;"",tbl_Finance[Xero Invoice No],"&lt;&gt;"),LOOKUP(2,1/((tbl_Finance[Job Number]&amp;""=C289&amp;"")*(tbl_Finance[Xero Invoice No]&lt;&gt;"")),tbl_Finance[Xero Invoice No]),LOOKUP(2,1/((tbl_Finance[Job Number]&amp;""=C289&amp;"")*(tbl_Finance[Xero Invoice No]&lt;&gt;"")),tbl_Finance[Xero Invoice No])&amp;" +more"),"")))</f>
        <v/>
      </c>
      <c r="C289" s="24" t="n"/>
      <c r="D289" s="25">
        <f>IF(C289="","",IF(COUNTIF(lst_Jobs,C289&amp;"")&gt;0,"OK","CHECK"))</f>
        <v/>
      </c>
      <c r="E289" s="25">
        <f>IF(C289="","",IFERROR(INDEX(lst_JobName,MATCH(C289&amp;"",lst_Jobs,0)),""))</f>
        <v/>
      </c>
      <c r="F289" s="25">
        <f>IF(C289="","",IFERROR(INDEX(tbl_Finance[Client],IFERROR(MATCH(C289&amp;"",tbl_Finance[Job Number],0),MATCH(IFERROR(C289+0,C289),tbl_Finance[Job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6" t="n"/>
      <c r="L289" s="27">
        <f>IF(C289="","",IF(K289="",0,MAX(0,K289-H289)))</f>
        <v/>
      </c>
      <c r="M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N289" s="27">
        <f>IF(C289="","",SUMIFS(tbl_Finance[Inc GST],tbl_Finance[Job Number],C289&amp;""))</f>
        <v/>
      </c>
      <c r="O289" s="24" t="n"/>
      <c r="P289" s="25">
        <f>IF(C289="","",IFERROR(INDEX(tbl_Finance[Description],MATCH(C289&amp;"",tbl_Finance[Job Number],0)),""))</f>
        <v/>
      </c>
      <c r="Q289" s="24" t="n"/>
      <c r="R289" s="24" t="n"/>
      <c r="S289" s="22" t="n"/>
      <c r="T289" s="24" t="n"/>
      <c r="U289" s="25">
        <f>IF(T289="","",IF(AND(LEFT(T289,4)&lt;&gt;"http",set_RMSBase=""),"",HYPERLINK(IF(LEFT(T289,4)="http",T289,set_RMSBase&amp;T289),"Open opportunity")))</f>
        <v/>
      </c>
      <c r="V289" s="24" t="n"/>
      <c r="W289" s="25">
        <f>IF(V289="","",HYPERLINK(IF(LEFT(V289,4)="http",V289,set_QwilrBase&amp;V289),"Open quote"))</f>
        <v/>
      </c>
      <c r="X289" s="25">
        <f>IF(C289="","",C289)</f>
        <v/>
      </c>
      <c r="Y289" s="24" t="n"/>
      <c r="Z289" s="26" t="n"/>
      <c r="AA289" s="27">
        <f>IF(C289="","",H289+N(Z289))</f>
        <v/>
      </c>
      <c r="AB289" s="29">
        <f>IFERROR(Z289/AA289,"")</f>
        <v/>
      </c>
      <c r="AC289" s="26" t="n"/>
      <c r="AD289" s="26" t="n"/>
      <c r="AE289" s="26" t="n"/>
      <c r="AF289" s="26" t="n"/>
      <c r="AG289" s="27">
        <f>IF(C289="","",SUMIFS(tbl_Finance[Ex GST],tbl_Finance[Job Number],C289&amp;"",tbl_Finance[Cost Centre],"VIDEO"))</f>
        <v/>
      </c>
      <c r="AH289" s="29">
        <f>IFERROR(AG289/H289,"")</f>
        <v/>
      </c>
      <c r="AI289" s="27">
        <f>IF(C289="","",N(AC289)+N(AD289)+N(AE289)+N(AF289))</f>
        <v/>
      </c>
      <c r="AJ289" s="27">
        <f>IF(C289="","",H289+L289-AI289)</f>
        <v/>
      </c>
      <c r="AK289" s="29">
        <f>IFERROR(AJ289/(H289+L289),"")</f>
        <v/>
      </c>
      <c r="AL289" s="71" t="n"/>
      <c r="AM289" s="71" t="n"/>
      <c r="AN289" s="71" t="n"/>
      <c r="AO289" s="71" t="n"/>
      <c r="AP289" s="71" t="n"/>
      <c r="AQ289" s="24" t="n"/>
    </row>
    <row r="290" ht="15" customHeight="1">
      <c r="A290" s="70">
        <f>IF(C290="","",IFERROR(IF(SUMPRODUCT(MAX((tbl_Finance[Job Number]&amp;""=C290&amp;"")*(tbl_Finance[Xero Invoice No]&lt;&gt;"")*tbl_Finance[Date]))=0,"",SUMPRODUCT(MAX((tbl_Finance[Job Number]&amp;""=C290&amp;"")*(tbl_Finance[Xero Invoice No]&lt;&gt;"")*tbl_Finance[Date]))),""))</f>
        <v/>
      </c>
      <c r="B290" s="25">
        <f>IF(C290="","",IF(COUNTIFS(tbl_Finance[Job Number],C290&amp;"",tbl_Finance[Xero Invoice No],"&lt;&gt;")=0,"",IFERROR(IF(COUNTIFS(tbl_Finance[Job Number],C290&amp;"",tbl_Finance[Xero Invoice No],LOOKUP(2,1/((tbl_Finance[Job Number]&amp;""=C290&amp;"")*(tbl_Finance[Xero Invoice No]&lt;&gt;"")),tbl_Finance[Xero Invoice No]))=COUNTIFS(tbl_Finance[Job Number],C290&amp;"",tbl_Finance[Xero Invoice No],"&lt;&gt;"),LOOKUP(2,1/((tbl_Finance[Job Number]&amp;""=C290&amp;"")*(tbl_Finance[Xero Invoice No]&lt;&gt;"")),tbl_Finance[Xero Invoice No]),LOOKUP(2,1/((tbl_Finance[Job Number]&amp;""=C290&amp;"")*(tbl_Finance[Xero Invoice No]&lt;&gt;"")),tbl_Finance[Xero Invoice No])&amp;" +more"),"")))</f>
        <v/>
      </c>
      <c r="C290" s="24" t="n"/>
      <c r="D290" s="25">
        <f>IF(C290="","",IF(COUNTIF(lst_Jobs,C290&amp;"")&gt;0,"OK","CHECK"))</f>
        <v/>
      </c>
      <c r="E290" s="25">
        <f>IF(C290="","",IFERROR(INDEX(lst_JobName,MATCH(C290&amp;"",lst_Jobs,0)),""))</f>
        <v/>
      </c>
      <c r="F290" s="25">
        <f>IF(C290="","",IFERROR(INDEX(tbl_Finance[Client],IFERROR(MATCH(C290&amp;"",tbl_Finance[Job Number],0),MATCH(IFERROR(C290+0,C290),tbl_Finance[Job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6" t="n"/>
      <c r="L290" s="27">
        <f>IF(C290="","",IF(K290="",0,MAX(0,K290-H290)))</f>
        <v/>
      </c>
      <c r="M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N290" s="27">
        <f>IF(C290="","",SUMIFS(tbl_Finance[Inc GST],tbl_Finance[Job Number],C290&amp;""))</f>
        <v/>
      </c>
      <c r="O290" s="24" t="n"/>
      <c r="P290" s="25">
        <f>IF(C290="","",IFERROR(INDEX(tbl_Finance[Description],MATCH(C290&amp;"",tbl_Finance[Job Number],0)),""))</f>
        <v/>
      </c>
      <c r="Q290" s="24" t="n"/>
      <c r="R290" s="24" t="n"/>
      <c r="S290" s="22" t="n"/>
      <c r="T290" s="24" t="n"/>
      <c r="U290" s="25">
        <f>IF(T290="","",IF(AND(LEFT(T290,4)&lt;&gt;"http",set_RMSBase=""),"",HYPERLINK(IF(LEFT(T290,4)="http",T290,set_RMSBase&amp;T290),"Open opportunity")))</f>
        <v/>
      </c>
      <c r="V290" s="24" t="n"/>
      <c r="W290" s="25">
        <f>IF(V290="","",HYPERLINK(IF(LEFT(V290,4)="http",V290,set_QwilrBase&amp;V290),"Open quote"))</f>
        <v/>
      </c>
      <c r="X290" s="25">
        <f>IF(C290="","",C290)</f>
        <v/>
      </c>
      <c r="Y290" s="24" t="n"/>
      <c r="Z290" s="26" t="n"/>
      <c r="AA290" s="27">
        <f>IF(C290="","",H290+N(Z290))</f>
        <v/>
      </c>
      <c r="AB290" s="29">
        <f>IFERROR(Z290/AA290,"")</f>
        <v/>
      </c>
      <c r="AC290" s="26" t="n"/>
      <c r="AD290" s="26" t="n"/>
      <c r="AE290" s="26" t="n"/>
      <c r="AF290" s="26" t="n"/>
      <c r="AG290" s="27">
        <f>IF(C290="","",SUMIFS(tbl_Finance[Ex GST],tbl_Finance[Job Number],C290&amp;"",tbl_Finance[Cost Centre],"VIDEO"))</f>
        <v/>
      </c>
      <c r="AH290" s="29">
        <f>IFERROR(AG290/H290,"")</f>
        <v/>
      </c>
      <c r="AI290" s="27">
        <f>IF(C290="","",N(AC290)+N(AD290)+N(AE290)+N(AF290))</f>
        <v/>
      </c>
      <c r="AJ290" s="27">
        <f>IF(C290="","",H290+L290-AI290)</f>
        <v/>
      </c>
      <c r="AK290" s="29">
        <f>IFERROR(AJ290/(H290+L290),"")</f>
        <v/>
      </c>
      <c r="AL290" s="71" t="n"/>
      <c r="AM290" s="71" t="n"/>
      <c r="AN290" s="71" t="n"/>
      <c r="AO290" s="71" t="n"/>
      <c r="AP290" s="71" t="n"/>
      <c r="AQ290" s="24" t="n"/>
    </row>
    <row r="291" ht="15" customHeight="1">
      <c r="A291" s="70">
        <f>IF(C291="","",IFERROR(IF(SUMPRODUCT(MAX((tbl_Finance[Job Number]&amp;""=C291&amp;"")*(tbl_Finance[Xero Invoice No]&lt;&gt;"")*tbl_Finance[Date]))=0,"",SUMPRODUCT(MAX((tbl_Finance[Job Number]&amp;""=C291&amp;"")*(tbl_Finance[Xero Invoice No]&lt;&gt;"")*tbl_Finance[Date]))),""))</f>
        <v/>
      </c>
      <c r="B291" s="25">
        <f>IF(C291="","",IF(COUNTIFS(tbl_Finance[Job Number],C291&amp;"",tbl_Finance[Xero Invoice No],"&lt;&gt;")=0,"",IFERROR(IF(COUNTIFS(tbl_Finance[Job Number],C291&amp;"",tbl_Finance[Xero Invoice No],LOOKUP(2,1/((tbl_Finance[Job Number]&amp;""=C291&amp;"")*(tbl_Finance[Xero Invoice No]&lt;&gt;"")),tbl_Finance[Xero Invoice No]))=COUNTIFS(tbl_Finance[Job Number],C291&amp;"",tbl_Finance[Xero Invoice No],"&lt;&gt;"),LOOKUP(2,1/((tbl_Finance[Job Number]&amp;""=C291&amp;"")*(tbl_Finance[Xero Invoice No]&lt;&gt;"")),tbl_Finance[Xero Invoice No]),LOOKUP(2,1/((tbl_Finance[Job Number]&amp;""=C291&amp;"")*(tbl_Finance[Xero Invoice No]&lt;&gt;"")),tbl_Finance[Xero Invoice No])&amp;" +more"),"")))</f>
        <v/>
      </c>
      <c r="C291" s="24" t="n"/>
      <c r="D291" s="25">
        <f>IF(C291="","",IF(COUNTIF(lst_Jobs,C291&amp;"")&gt;0,"OK","CHECK"))</f>
        <v/>
      </c>
      <c r="E291" s="25">
        <f>IF(C291="","",IFERROR(INDEX(lst_JobName,MATCH(C291&amp;"",lst_Jobs,0)),""))</f>
        <v/>
      </c>
      <c r="F291" s="25">
        <f>IF(C291="","",IFERROR(INDEX(tbl_Finance[Client],IFERROR(MATCH(C291&amp;"",tbl_Finance[Job Number],0),MATCH(IFERROR(C291+0,C291),tbl_Finance[Job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6" t="n"/>
      <c r="L291" s="27">
        <f>IF(C291="","",IF(K291="",0,MAX(0,K291-H291)))</f>
        <v/>
      </c>
      <c r="M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N291" s="27">
        <f>IF(C291="","",SUMIFS(tbl_Finance[Inc GST],tbl_Finance[Job Number],C291&amp;""))</f>
        <v/>
      </c>
      <c r="O291" s="24" t="n"/>
      <c r="P291" s="25">
        <f>IF(C291="","",IFERROR(INDEX(tbl_Finance[Description],MATCH(C291&amp;"",tbl_Finance[Job Number],0)),""))</f>
        <v/>
      </c>
      <c r="Q291" s="24" t="n"/>
      <c r="R291" s="24" t="n"/>
      <c r="S291" s="22" t="n"/>
      <c r="T291" s="24" t="n"/>
      <c r="U291" s="25">
        <f>IF(T291="","",IF(AND(LEFT(T291,4)&lt;&gt;"http",set_RMSBase=""),"",HYPERLINK(IF(LEFT(T291,4)="http",T291,set_RMSBase&amp;T291),"Open opportunity")))</f>
        <v/>
      </c>
      <c r="V291" s="24" t="n"/>
      <c r="W291" s="25">
        <f>IF(V291="","",HYPERLINK(IF(LEFT(V291,4)="http",V291,set_QwilrBase&amp;V291),"Open quote"))</f>
        <v/>
      </c>
      <c r="X291" s="25">
        <f>IF(C291="","",C291)</f>
        <v/>
      </c>
      <c r="Y291" s="24" t="n"/>
      <c r="Z291" s="26" t="n"/>
      <c r="AA291" s="27">
        <f>IF(C291="","",H291+N(Z291))</f>
        <v/>
      </c>
      <c r="AB291" s="29">
        <f>IFERROR(Z291/AA291,"")</f>
        <v/>
      </c>
      <c r="AC291" s="26" t="n"/>
      <c r="AD291" s="26" t="n"/>
      <c r="AE291" s="26" t="n"/>
      <c r="AF291" s="26" t="n"/>
      <c r="AG291" s="27">
        <f>IF(C291="","",SUMIFS(tbl_Finance[Ex GST],tbl_Finance[Job Number],C291&amp;"",tbl_Finance[Cost Centre],"VIDEO"))</f>
        <v/>
      </c>
      <c r="AH291" s="29">
        <f>IFERROR(AG291/H291,"")</f>
        <v/>
      </c>
      <c r="AI291" s="27">
        <f>IF(C291="","",N(AC291)+N(AD291)+N(AE291)+N(AF291))</f>
        <v/>
      </c>
      <c r="AJ291" s="27">
        <f>IF(C291="","",H291+L291-AI291)</f>
        <v/>
      </c>
      <c r="AK291" s="29">
        <f>IFERROR(AJ291/(H291+L291),"")</f>
        <v/>
      </c>
      <c r="AL291" s="71" t="n"/>
      <c r="AM291" s="71" t="n"/>
      <c r="AN291" s="71" t="n"/>
      <c r="AO291" s="71" t="n"/>
      <c r="AP291" s="71" t="n"/>
      <c r="AQ291" s="24" t="n"/>
    </row>
    <row r="292" ht="15" customHeight="1">
      <c r="A292" s="70">
        <f>IF(C292="","",IFERROR(IF(SUMPRODUCT(MAX((tbl_Finance[Job Number]&amp;""=C292&amp;"")*(tbl_Finance[Xero Invoice No]&lt;&gt;"")*tbl_Finance[Date]))=0,"",SUMPRODUCT(MAX((tbl_Finance[Job Number]&amp;""=C292&amp;"")*(tbl_Finance[Xero Invoice No]&lt;&gt;"")*tbl_Finance[Date]))),""))</f>
        <v/>
      </c>
      <c r="B292" s="25">
        <f>IF(C292="","",IF(COUNTIFS(tbl_Finance[Job Number],C292&amp;"",tbl_Finance[Xero Invoice No],"&lt;&gt;")=0,"",IFERROR(IF(COUNTIFS(tbl_Finance[Job Number],C292&amp;"",tbl_Finance[Xero Invoice No],LOOKUP(2,1/((tbl_Finance[Job Number]&amp;""=C292&amp;"")*(tbl_Finance[Xero Invoice No]&lt;&gt;"")),tbl_Finance[Xero Invoice No]))=COUNTIFS(tbl_Finance[Job Number],C292&amp;"",tbl_Finance[Xero Invoice No],"&lt;&gt;"),LOOKUP(2,1/((tbl_Finance[Job Number]&amp;""=C292&amp;"")*(tbl_Finance[Xero Invoice No]&lt;&gt;"")),tbl_Finance[Xero Invoice No]),LOOKUP(2,1/((tbl_Finance[Job Number]&amp;""=C292&amp;"")*(tbl_Finance[Xero Invoice No]&lt;&gt;"")),tbl_Finance[Xero Invoice No])&amp;" +more"),"")))</f>
        <v/>
      </c>
      <c r="C292" s="24" t="n"/>
      <c r="D292" s="25">
        <f>IF(C292="","",IF(COUNTIF(lst_Jobs,C292&amp;"")&gt;0,"OK","CHECK"))</f>
        <v/>
      </c>
      <c r="E292" s="25">
        <f>IF(C292="","",IFERROR(INDEX(lst_JobName,MATCH(C292&amp;"",lst_Jobs,0)),""))</f>
        <v/>
      </c>
      <c r="F292" s="25">
        <f>IF(C292="","",IFERROR(INDEX(tbl_Finance[Client],IFERROR(MATCH(C292&amp;"",tbl_Finance[Job Number],0),MATCH(IFERROR(C292+0,C292),tbl_Finance[Job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6" t="n"/>
      <c r="L292" s="27">
        <f>IF(C292="","",IF(K292="",0,MAX(0,K292-H292)))</f>
        <v/>
      </c>
      <c r="M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N292" s="27">
        <f>IF(C292="","",SUMIFS(tbl_Finance[Inc GST],tbl_Finance[Job Number],C292&amp;""))</f>
        <v/>
      </c>
      <c r="O292" s="24" t="n"/>
      <c r="P292" s="25">
        <f>IF(C292="","",IFERROR(INDEX(tbl_Finance[Description],MATCH(C292&amp;"",tbl_Finance[Job Number],0)),""))</f>
        <v/>
      </c>
      <c r="Q292" s="24" t="n"/>
      <c r="R292" s="24" t="n"/>
      <c r="S292" s="22" t="n"/>
      <c r="T292" s="24" t="n"/>
      <c r="U292" s="25">
        <f>IF(T292="","",IF(AND(LEFT(T292,4)&lt;&gt;"http",set_RMSBase=""),"",HYPERLINK(IF(LEFT(T292,4)="http",T292,set_RMSBase&amp;T292),"Open opportunity")))</f>
        <v/>
      </c>
      <c r="V292" s="24" t="n"/>
      <c r="W292" s="25">
        <f>IF(V292="","",HYPERLINK(IF(LEFT(V292,4)="http",V292,set_QwilrBase&amp;V292),"Open quote"))</f>
        <v/>
      </c>
      <c r="X292" s="25">
        <f>IF(C292="","",C292)</f>
        <v/>
      </c>
      <c r="Y292" s="24" t="n"/>
      <c r="Z292" s="26" t="n"/>
      <c r="AA292" s="27">
        <f>IF(C292="","",H292+N(Z292))</f>
        <v/>
      </c>
      <c r="AB292" s="29">
        <f>IFERROR(Z292/AA292,"")</f>
        <v/>
      </c>
      <c r="AC292" s="26" t="n"/>
      <c r="AD292" s="26" t="n"/>
      <c r="AE292" s="26" t="n"/>
      <c r="AF292" s="26" t="n"/>
      <c r="AG292" s="27">
        <f>IF(C292="","",SUMIFS(tbl_Finance[Ex GST],tbl_Finance[Job Number],C292&amp;"",tbl_Finance[Cost Centre],"VIDEO"))</f>
        <v/>
      </c>
      <c r="AH292" s="29">
        <f>IFERROR(AG292/H292,"")</f>
        <v/>
      </c>
      <c r="AI292" s="27">
        <f>IF(C292="","",N(AC292)+N(AD292)+N(AE292)+N(AF292))</f>
        <v/>
      </c>
      <c r="AJ292" s="27">
        <f>IF(C292="","",H292+L292-AI292)</f>
        <v/>
      </c>
      <c r="AK292" s="29">
        <f>IFERROR(AJ292/(H292+L292),"")</f>
        <v/>
      </c>
      <c r="AL292" s="71" t="n"/>
      <c r="AM292" s="71" t="n"/>
      <c r="AN292" s="71" t="n"/>
      <c r="AO292" s="71" t="n"/>
      <c r="AP292" s="71" t="n"/>
      <c r="AQ292" s="24" t="n"/>
    </row>
    <row r="293" ht="15" customHeight="1">
      <c r="A293" s="70">
        <f>IF(C293="","",IFERROR(IF(SUMPRODUCT(MAX((tbl_Finance[Job Number]&amp;""=C293&amp;"")*(tbl_Finance[Xero Invoice No]&lt;&gt;"")*tbl_Finance[Date]))=0,"",SUMPRODUCT(MAX((tbl_Finance[Job Number]&amp;""=C293&amp;"")*(tbl_Finance[Xero Invoice No]&lt;&gt;"")*tbl_Finance[Date]))),""))</f>
        <v/>
      </c>
      <c r="B293" s="25">
        <f>IF(C293="","",IF(COUNTIFS(tbl_Finance[Job Number],C293&amp;"",tbl_Finance[Xero Invoice No],"&lt;&gt;")=0,"",IFERROR(IF(COUNTIFS(tbl_Finance[Job Number],C293&amp;"",tbl_Finance[Xero Invoice No],LOOKUP(2,1/((tbl_Finance[Job Number]&amp;""=C293&amp;"")*(tbl_Finance[Xero Invoice No]&lt;&gt;"")),tbl_Finance[Xero Invoice No]))=COUNTIFS(tbl_Finance[Job Number],C293&amp;"",tbl_Finance[Xero Invoice No],"&lt;&gt;"),LOOKUP(2,1/((tbl_Finance[Job Number]&amp;""=C293&amp;"")*(tbl_Finance[Xero Invoice No]&lt;&gt;"")),tbl_Finance[Xero Invoice No]),LOOKUP(2,1/((tbl_Finance[Job Number]&amp;""=C293&amp;"")*(tbl_Finance[Xero Invoice No]&lt;&gt;"")),tbl_Finance[Xero Invoice No])&amp;" +more"),"")))</f>
        <v/>
      </c>
      <c r="C293" s="24" t="n"/>
      <c r="D293" s="25">
        <f>IF(C293="","",IF(COUNTIF(lst_Jobs,C293&amp;"")&gt;0,"OK","CHECK"))</f>
        <v/>
      </c>
      <c r="E293" s="25">
        <f>IF(C293="","",IFERROR(INDEX(lst_JobName,MATCH(C293&amp;"",lst_Jobs,0)),""))</f>
        <v/>
      </c>
      <c r="F293" s="25">
        <f>IF(C293="","",IFERROR(INDEX(tbl_Finance[Client],IFERROR(MATCH(C293&amp;"",tbl_Finance[Job Number],0),MATCH(IFERROR(C293+0,C293),tbl_Finance[Job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6" t="n"/>
      <c r="L293" s="27">
        <f>IF(C293="","",IF(K293="",0,MAX(0,K293-H293)))</f>
        <v/>
      </c>
      <c r="M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N293" s="27">
        <f>IF(C293="","",SUMIFS(tbl_Finance[Inc GST],tbl_Finance[Job Number],C293&amp;""))</f>
        <v/>
      </c>
      <c r="O293" s="24" t="n"/>
      <c r="P293" s="25">
        <f>IF(C293="","",IFERROR(INDEX(tbl_Finance[Description],MATCH(C293&amp;"",tbl_Finance[Job Number],0)),""))</f>
        <v/>
      </c>
      <c r="Q293" s="24" t="n"/>
      <c r="R293" s="24" t="n"/>
      <c r="S293" s="22" t="n"/>
      <c r="T293" s="24" t="n"/>
      <c r="U293" s="25">
        <f>IF(T293="","",IF(AND(LEFT(T293,4)&lt;&gt;"http",set_RMSBase=""),"",HYPERLINK(IF(LEFT(T293,4)="http",T293,set_RMSBase&amp;T293),"Open opportunity")))</f>
        <v/>
      </c>
      <c r="V293" s="24" t="n"/>
      <c r="W293" s="25">
        <f>IF(V293="","",HYPERLINK(IF(LEFT(V293,4)="http",V293,set_QwilrBase&amp;V293),"Open quote"))</f>
        <v/>
      </c>
      <c r="X293" s="25">
        <f>IF(C293="","",C293)</f>
        <v/>
      </c>
      <c r="Y293" s="24" t="n"/>
      <c r="Z293" s="26" t="n"/>
      <c r="AA293" s="27">
        <f>IF(C293="","",H293+N(Z293))</f>
        <v/>
      </c>
      <c r="AB293" s="29">
        <f>IFERROR(Z293/AA293,"")</f>
        <v/>
      </c>
      <c r="AC293" s="26" t="n"/>
      <c r="AD293" s="26" t="n"/>
      <c r="AE293" s="26" t="n"/>
      <c r="AF293" s="26" t="n"/>
      <c r="AG293" s="27">
        <f>IF(C293="","",SUMIFS(tbl_Finance[Ex GST],tbl_Finance[Job Number],C293&amp;"",tbl_Finance[Cost Centre],"VIDEO"))</f>
        <v/>
      </c>
      <c r="AH293" s="29">
        <f>IFERROR(AG293/H293,"")</f>
        <v/>
      </c>
      <c r="AI293" s="27">
        <f>IF(C293="","",N(AC293)+N(AD293)+N(AE293)+N(AF293))</f>
        <v/>
      </c>
      <c r="AJ293" s="27">
        <f>IF(C293="","",H293+L293-AI293)</f>
        <v/>
      </c>
      <c r="AK293" s="29">
        <f>IFERROR(AJ293/(H293+L293),"")</f>
        <v/>
      </c>
      <c r="AL293" s="71" t="n"/>
      <c r="AM293" s="71" t="n"/>
      <c r="AN293" s="71" t="n"/>
      <c r="AO293" s="71" t="n"/>
      <c r="AP293" s="71" t="n"/>
      <c r="AQ293" s="24" t="n"/>
    </row>
    <row r="294" ht="15" customHeight="1">
      <c r="A294" s="70">
        <f>IF(C294="","",IFERROR(IF(SUMPRODUCT(MAX((tbl_Finance[Job Number]&amp;""=C294&amp;"")*(tbl_Finance[Xero Invoice No]&lt;&gt;"")*tbl_Finance[Date]))=0,"",SUMPRODUCT(MAX((tbl_Finance[Job Number]&amp;""=C294&amp;"")*(tbl_Finance[Xero Invoice No]&lt;&gt;"")*tbl_Finance[Date]))),""))</f>
        <v/>
      </c>
      <c r="B294" s="25">
        <f>IF(C294="","",IF(COUNTIFS(tbl_Finance[Job Number],C294&amp;"",tbl_Finance[Xero Invoice No],"&lt;&gt;")=0,"",IFERROR(IF(COUNTIFS(tbl_Finance[Job Number],C294&amp;"",tbl_Finance[Xero Invoice No],LOOKUP(2,1/((tbl_Finance[Job Number]&amp;""=C294&amp;"")*(tbl_Finance[Xero Invoice No]&lt;&gt;"")),tbl_Finance[Xero Invoice No]))=COUNTIFS(tbl_Finance[Job Number],C294&amp;"",tbl_Finance[Xero Invoice No],"&lt;&gt;"),LOOKUP(2,1/((tbl_Finance[Job Number]&amp;""=C294&amp;"")*(tbl_Finance[Xero Invoice No]&lt;&gt;"")),tbl_Finance[Xero Invoice No]),LOOKUP(2,1/((tbl_Finance[Job Number]&amp;""=C294&amp;"")*(tbl_Finance[Xero Invoice No]&lt;&gt;"")),tbl_Finance[Xero Invoice No])&amp;" +more"),"")))</f>
        <v/>
      </c>
      <c r="C294" s="24" t="n"/>
      <c r="D294" s="25">
        <f>IF(C294="","",IF(COUNTIF(lst_Jobs,C294&amp;"")&gt;0,"OK","CHECK"))</f>
        <v/>
      </c>
      <c r="E294" s="25">
        <f>IF(C294="","",IFERROR(INDEX(lst_JobName,MATCH(C294&amp;"",lst_Jobs,0)),""))</f>
        <v/>
      </c>
      <c r="F294" s="25">
        <f>IF(C294="","",IFERROR(INDEX(tbl_Finance[Client],IFERROR(MATCH(C294&amp;"",tbl_Finance[Job Number],0),MATCH(IFERROR(C294+0,C294),tbl_Finance[Job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6" t="n"/>
      <c r="L294" s="27">
        <f>IF(C294="","",IF(K294="",0,MAX(0,K294-H294)))</f>
        <v/>
      </c>
      <c r="M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N294" s="27">
        <f>IF(C294="","",SUMIFS(tbl_Finance[Inc GST],tbl_Finance[Job Number],C294&amp;""))</f>
        <v/>
      </c>
      <c r="O294" s="24" t="n"/>
      <c r="P294" s="25">
        <f>IF(C294="","",IFERROR(INDEX(tbl_Finance[Description],MATCH(C294&amp;"",tbl_Finance[Job Number],0)),""))</f>
        <v/>
      </c>
      <c r="Q294" s="24" t="n"/>
      <c r="R294" s="24" t="n"/>
      <c r="S294" s="22" t="n"/>
      <c r="T294" s="24" t="n"/>
      <c r="U294" s="25">
        <f>IF(T294="","",IF(AND(LEFT(T294,4)&lt;&gt;"http",set_RMSBase=""),"",HYPERLINK(IF(LEFT(T294,4)="http",T294,set_RMSBase&amp;T294),"Open opportunity")))</f>
        <v/>
      </c>
      <c r="V294" s="24" t="n"/>
      <c r="W294" s="25">
        <f>IF(V294="","",HYPERLINK(IF(LEFT(V294,4)="http",V294,set_QwilrBase&amp;V294),"Open quote"))</f>
        <v/>
      </c>
      <c r="X294" s="25">
        <f>IF(C294="","",C294)</f>
        <v/>
      </c>
      <c r="Y294" s="24" t="n"/>
      <c r="Z294" s="26" t="n"/>
      <c r="AA294" s="27">
        <f>IF(C294="","",H294+N(Z294))</f>
        <v/>
      </c>
      <c r="AB294" s="29">
        <f>IFERROR(Z294/AA294,"")</f>
        <v/>
      </c>
      <c r="AC294" s="26" t="n"/>
      <c r="AD294" s="26" t="n"/>
      <c r="AE294" s="26" t="n"/>
      <c r="AF294" s="26" t="n"/>
      <c r="AG294" s="27">
        <f>IF(C294="","",SUMIFS(tbl_Finance[Ex GST],tbl_Finance[Job Number],C294&amp;"",tbl_Finance[Cost Centre],"VIDEO"))</f>
        <v/>
      </c>
      <c r="AH294" s="29">
        <f>IFERROR(AG294/H294,"")</f>
        <v/>
      </c>
      <c r="AI294" s="27">
        <f>IF(C294="","",N(AC294)+N(AD294)+N(AE294)+N(AF294))</f>
        <v/>
      </c>
      <c r="AJ294" s="27">
        <f>IF(C294="","",H294+L294-AI294)</f>
        <v/>
      </c>
      <c r="AK294" s="29">
        <f>IFERROR(AJ294/(H294+L294),"")</f>
        <v/>
      </c>
      <c r="AL294" s="71" t="n"/>
      <c r="AM294" s="71" t="n"/>
      <c r="AN294" s="71" t="n"/>
      <c r="AO294" s="71" t="n"/>
      <c r="AP294" s="71" t="n"/>
      <c r="AQ294" s="24" t="n"/>
    </row>
    <row r="295" ht="15" customHeight="1">
      <c r="A295" s="70">
        <f>IF(C295="","",IFERROR(IF(SUMPRODUCT(MAX((tbl_Finance[Job Number]&amp;""=C295&amp;"")*(tbl_Finance[Xero Invoice No]&lt;&gt;"")*tbl_Finance[Date]))=0,"",SUMPRODUCT(MAX((tbl_Finance[Job Number]&amp;""=C295&amp;"")*(tbl_Finance[Xero Invoice No]&lt;&gt;"")*tbl_Finance[Date]))),""))</f>
        <v/>
      </c>
      <c r="B295" s="25">
        <f>IF(C295="","",IF(COUNTIFS(tbl_Finance[Job Number],C295&amp;"",tbl_Finance[Xero Invoice No],"&lt;&gt;")=0,"",IFERROR(IF(COUNTIFS(tbl_Finance[Job Number],C295&amp;"",tbl_Finance[Xero Invoice No],LOOKUP(2,1/((tbl_Finance[Job Number]&amp;""=C295&amp;"")*(tbl_Finance[Xero Invoice No]&lt;&gt;"")),tbl_Finance[Xero Invoice No]))=COUNTIFS(tbl_Finance[Job Number],C295&amp;"",tbl_Finance[Xero Invoice No],"&lt;&gt;"),LOOKUP(2,1/((tbl_Finance[Job Number]&amp;""=C295&amp;"")*(tbl_Finance[Xero Invoice No]&lt;&gt;"")),tbl_Finance[Xero Invoice No]),LOOKUP(2,1/((tbl_Finance[Job Number]&amp;""=C295&amp;"")*(tbl_Finance[Xero Invoice No]&lt;&gt;"")),tbl_Finance[Xero Invoice No])&amp;" +more"),"")))</f>
        <v/>
      </c>
      <c r="C295" s="24" t="n"/>
      <c r="D295" s="25">
        <f>IF(C295="","",IF(COUNTIF(lst_Jobs,C295&amp;"")&gt;0,"OK","CHECK"))</f>
        <v/>
      </c>
      <c r="E295" s="25">
        <f>IF(C295="","",IFERROR(INDEX(lst_JobName,MATCH(C295&amp;"",lst_Jobs,0)),""))</f>
        <v/>
      </c>
      <c r="F295" s="25">
        <f>IF(C295="","",IFERROR(INDEX(tbl_Finance[Client],IFERROR(MATCH(C295&amp;"",tbl_Finance[Job Number],0),MATCH(IFERROR(C295+0,C295),tbl_Finance[Job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6" t="n"/>
      <c r="L295" s="27">
        <f>IF(C295="","",IF(K295="",0,MAX(0,K295-H295)))</f>
        <v/>
      </c>
      <c r="M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N295" s="27">
        <f>IF(C295="","",SUMIFS(tbl_Finance[Inc GST],tbl_Finance[Job Number],C295&amp;""))</f>
        <v/>
      </c>
      <c r="O295" s="24" t="n"/>
      <c r="P295" s="25">
        <f>IF(C295="","",IFERROR(INDEX(tbl_Finance[Description],MATCH(C295&amp;"",tbl_Finance[Job Number],0)),""))</f>
        <v/>
      </c>
      <c r="Q295" s="24" t="n"/>
      <c r="R295" s="24" t="n"/>
      <c r="S295" s="22" t="n"/>
      <c r="T295" s="24" t="n"/>
      <c r="U295" s="25">
        <f>IF(T295="","",IF(AND(LEFT(T295,4)&lt;&gt;"http",set_RMSBase=""),"",HYPERLINK(IF(LEFT(T295,4)="http",T295,set_RMSBase&amp;T295),"Open opportunity")))</f>
        <v/>
      </c>
      <c r="V295" s="24" t="n"/>
      <c r="W295" s="25">
        <f>IF(V295="","",HYPERLINK(IF(LEFT(V295,4)="http",V295,set_QwilrBase&amp;V295),"Open quote"))</f>
        <v/>
      </c>
      <c r="X295" s="25">
        <f>IF(C295="","",C295)</f>
        <v/>
      </c>
      <c r="Y295" s="24" t="n"/>
      <c r="Z295" s="26" t="n"/>
      <c r="AA295" s="27">
        <f>IF(C295="","",H295+N(Z295))</f>
        <v/>
      </c>
      <c r="AB295" s="29">
        <f>IFERROR(Z295/AA295,"")</f>
        <v/>
      </c>
      <c r="AC295" s="26" t="n"/>
      <c r="AD295" s="26" t="n"/>
      <c r="AE295" s="26" t="n"/>
      <c r="AF295" s="26" t="n"/>
      <c r="AG295" s="27">
        <f>IF(C295="","",SUMIFS(tbl_Finance[Ex GST],tbl_Finance[Job Number],C295&amp;"",tbl_Finance[Cost Centre],"VIDEO"))</f>
        <v/>
      </c>
      <c r="AH295" s="29">
        <f>IFERROR(AG295/H295,"")</f>
        <v/>
      </c>
      <c r="AI295" s="27">
        <f>IF(C295="","",N(AC295)+N(AD295)+N(AE295)+N(AF295))</f>
        <v/>
      </c>
      <c r="AJ295" s="27">
        <f>IF(C295="","",H295+L295-AI295)</f>
        <v/>
      </c>
      <c r="AK295" s="29">
        <f>IFERROR(AJ295/(H295+L295),"")</f>
        <v/>
      </c>
      <c r="AL295" s="71" t="n"/>
      <c r="AM295" s="71" t="n"/>
      <c r="AN295" s="71" t="n"/>
      <c r="AO295" s="71" t="n"/>
      <c r="AP295" s="71" t="n"/>
      <c r="AQ295" s="24" t="n"/>
    </row>
    <row r="296" ht="15" customHeight="1">
      <c r="A296" s="70">
        <f>IF(C296="","",IFERROR(IF(SUMPRODUCT(MAX((tbl_Finance[Job Number]&amp;""=C296&amp;"")*(tbl_Finance[Xero Invoice No]&lt;&gt;"")*tbl_Finance[Date]))=0,"",SUMPRODUCT(MAX((tbl_Finance[Job Number]&amp;""=C296&amp;"")*(tbl_Finance[Xero Invoice No]&lt;&gt;"")*tbl_Finance[Date]))),""))</f>
        <v/>
      </c>
      <c r="B296" s="25">
        <f>IF(C296="","",IF(COUNTIFS(tbl_Finance[Job Number],C296&amp;"",tbl_Finance[Xero Invoice No],"&lt;&gt;")=0,"",IFERROR(IF(COUNTIFS(tbl_Finance[Job Number],C296&amp;"",tbl_Finance[Xero Invoice No],LOOKUP(2,1/((tbl_Finance[Job Number]&amp;""=C296&amp;"")*(tbl_Finance[Xero Invoice No]&lt;&gt;"")),tbl_Finance[Xero Invoice No]))=COUNTIFS(tbl_Finance[Job Number],C296&amp;"",tbl_Finance[Xero Invoice No],"&lt;&gt;"),LOOKUP(2,1/((tbl_Finance[Job Number]&amp;""=C296&amp;"")*(tbl_Finance[Xero Invoice No]&lt;&gt;"")),tbl_Finance[Xero Invoice No]),LOOKUP(2,1/((tbl_Finance[Job Number]&amp;""=C296&amp;"")*(tbl_Finance[Xero Invoice No]&lt;&gt;"")),tbl_Finance[Xero Invoice No])&amp;" +more"),"")))</f>
        <v/>
      </c>
      <c r="C296" s="24" t="n"/>
      <c r="D296" s="25">
        <f>IF(C296="","",IF(COUNTIF(lst_Jobs,C296&amp;"")&gt;0,"OK","CHECK"))</f>
        <v/>
      </c>
      <c r="E296" s="25">
        <f>IF(C296="","",IFERROR(INDEX(lst_JobName,MATCH(C296&amp;"",lst_Jobs,0)),""))</f>
        <v/>
      </c>
      <c r="F296" s="25">
        <f>IF(C296="","",IFERROR(INDEX(tbl_Finance[Client],IFERROR(MATCH(C296&amp;"",tbl_Finance[Job Number],0),MATCH(IFERROR(C296+0,C296),tbl_Finance[Job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6" t="n"/>
      <c r="L296" s="27">
        <f>IF(C296="","",IF(K296="",0,MAX(0,K296-H296)))</f>
        <v/>
      </c>
      <c r="M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N296" s="27">
        <f>IF(C296="","",SUMIFS(tbl_Finance[Inc GST],tbl_Finance[Job Number],C296&amp;""))</f>
        <v/>
      </c>
      <c r="O296" s="24" t="n"/>
      <c r="P296" s="25">
        <f>IF(C296="","",IFERROR(INDEX(tbl_Finance[Description],MATCH(C296&amp;"",tbl_Finance[Job Number],0)),""))</f>
        <v/>
      </c>
      <c r="Q296" s="24" t="n"/>
      <c r="R296" s="24" t="n"/>
      <c r="S296" s="22" t="n"/>
      <c r="T296" s="24" t="n"/>
      <c r="U296" s="25">
        <f>IF(T296="","",IF(AND(LEFT(T296,4)&lt;&gt;"http",set_RMSBase=""),"",HYPERLINK(IF(LEFT(T296,4)="http",T296,set_RMSBase&amp;T296),"Open opportunity")))</f>
        <v/>
      </c>
      <c r="V296" s="24" t="n"/>
      <c r="W296" s="25">
        <f>IF(V296="","",HYPERLINK(IF(LEFT(V296,4)="http",V296,set_QwilrBase&amp;V296),"Open quote"))</f>
        <v/>
      </c>
      <c r="X296" s="25">
        <f>IF(C296="","",C296)</f>
        <v/>
      </c>
      <c r="Y296" s="24" t="n"/>
      <c r="Z296" s="26" t="n"/>
      <c r="AA296" s="27">
        <f>IF(C296="","",H296+N(Z296))</f>
        <v/>
      </c>
      <c r="AB296" s="29">
        <f>IFERROR(Z296/AA296,"")</f>
        <v/>
      </c>
      <c r="AC296" s="26" t="n"/>
      <c r="AD296" s="26" t="n"/>
      <c r="AE296" s="26" t="n"/>
      <c r="AF296" s="26" t="n"/>
      <c r="AG296" s="27">
        <f>IF(C296="","",SUMIFS(tbl_Finance[Ex GST],tbl_Finance[Job Number],C296&amp;"",tbl_Finance[Cost Centre],"VIDEO"))</f>
        <v/>
      </c>
      <c r="AH296" s="29">
        <f>IFERROR(AG296/H296,"")</f>
        <v/>
      </c>
      <c r="AI296" s="27">
        <f>IF(C296="","",N(AC296)+N(AD296)+N(AE296)+N(AF296))</f>
        <v/>
      </c>
      <c r="AJ296" s="27">
        <f>IF(C296="","",H296+L296-AI296)</f>
        <v/>
      </c>
      <c r="AK296" s="29">
        <f>IFERROR(AJ296/(H296+L296),"")</f>
        <v/>
      </c>
      <c r="AL296" s="71" t="n"/>
      <c r="AM296" s="71" t="n"/>
      <c r="AN296" s="71" t="n"/>
      <c r="AO296" s="71" t="n"/>
      <c r="AP296" s="71" t="n"/>
      <c r="AQ296" s="24" t="n"/>
    </row>
    <row r="297" ht="15" customHeight="1">
      <c r="A297" s="70">
        <f>IF(C297="","",IFERROR(IF(SUMPRODUCT(MAX((tbl_Finance[Job Number]&amp;""=C297&amp;"")*(tbl_Finance[Xero Invoice No]&lt;&gt;"")*tbl_Finance[Date]))=0,"",SUMPRODUCT(MAX((tbl_Finance[Job Number]&amp;""=C297&amp;"")*(tbl_Finance[Xero Invoice No]&lt;&gt;"")*tbl_Finance[Date]))),""))</f>
        <v/>
      </c>
      <c r="B297" s="25">
        <f>IF(C297="","",IF(COUNTIFS(tbl_Finance[Job Number],C297&amp;"",tbl_Finance[Xero Invoice No],"&lt;&gt;")=0,"",IFERROR(IF(COUNTIFS(tbl_Finance[Job Number],C297&amp;"",tbl_Finance[Xero Invoice No],LOOKUP(2,1/((tbl_Finance[Job Number]&amp;""=C297&amp;"")*(tbl_Finance[Xero Invoice No]&lt;&gt;"")),tbl_Finance[Xero Invoice No]))=COUNTIFS(tbl_Finance[Job Number],C297&amp;"",tbl_Finance[Xero Invoice No],"&lt;&gt;"),LOOKUP(2,1/((tbl_Finance[Job Number]&amp;""=C297&amp;"")*(tbl_Finance[Xero Invoice No]&lt;&gt;"")),tbl_Finance[Xero Invoice No]),LOOKUP(2,1/((tbl_Finance[Job Number]&amp;""=C297&amp;"")*(tbl_Finance[Xero Invoice No]&lt;&gt;"")),tbl_Finance[Xero Invoice No])&amp;" +more"),"")))</f>
        <v/>
      </c>
      <c r="C297" s="24" t="n"/>
      <c r="D297" s="25">
        <f>IF(C297="","",IF(COUNTIF(lst_Jobs,C297&amp;"")&gt;0,"OK","CHECK"))</f>
        <v/>
      </c>
      <c r="E297" s="25">
        <f>IF(C297="","",IFERROR(INDEX(lst_JobName,MATCH(C297&amp;"",lst_Jobs,0)),""))</f>
        <v/>
      </c>
      <c r="F297" s="25">
        <f>IF(C297="","",IFERROR(INDEX(tbl_Finance[Client],IFERROR(MATCH(C297&amp;"",tbl_Finance[Job Number],0),MATCH(IFERROR(C297+0,C297),tbl_Finance[Job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6" t="n"/>
      <c r="L297" s="27">
        <f>IF(C297="","",IF(K297="",0,MAX(0,K297-H297)))</f>
        <v/>
      </c>
      <c r="M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N297" s="27">
        <f>IF(C297="","",SUMIFS(tbl_Finance[Inc GST],tbl_Finance[Job Number],C297&amp;""))</f>
        <v/>
      </c>
      <c r="O297" s="24" t="n"/>
      <c r="P297" s="25">
        <f>IF(C297="","",IFERROR(INDEX(tbl_Finance[Description],MATCH(C297&amp;"",tbl_Finance[Job Number],0)),""))</f>
        <v/>
      </c>
      <c r="Q297" s="24" t="n"/>
      <c r="R297" s="24" t="n"/>
      <c r="S297" s="22" t="n"/>
      <c r="T297" s="24" t="n"/>
      <c r="U297" s="25">
        <f>IF(T297="","",IF(AND(LEFT(T297,4)&lt;&gt;"http",set_RMSBase=""),"",HYPERLINK(IF(LEFT(T297,4)="http",T297,set_RMSBase&amp;T297),"Open opportunity")))</f>
        <v/>
      </c>
      <c r="V297" s="24" t="n"/>
      <c r="W297" s="25">
        <f>IF(V297="","",HYPERLINK(IF(LEFT(V297,4)="http",V297,set_QwilrBase&amp;V297),"Open quote"))</f>
        <v/>
      </c>
      <c r="X297" s="25">
        <f>IF(C297="","",C297)</f>
        <v/>
      </c>
      <c r="Y297" s="24" t="n"/>
      <c r="Z297" s="26" t="n"/>
      <c r="AA297" s="27">
        <f>IF(C297="","",H297+N(Z297))</f>
        <v/>
      </c>
      <c r="AB297" s="29">
        <f>IFERROR(Z297/AA297,"")</f>
        <v/>
      </c>
      <c r="AC297" s="26" t="n"/>
      <c r="AD297" s="26" t="n"/>
      <c r="AE297" s="26" t="n"/>
      <c r="AF297" s="26" t="n"/>
      <c r="AG297" s="27">
        <f>IF(C297="","",SUMIFS(tbl_Finance[Ex GST],tbl_Finance[Job Number],C297&amp;"",tbl_Finance[Cost Centre],"VIDEO"))</f>
        <v/>
      </c>
      <c r="AH297" s="29">
        <f>IFERROR(AG297/H297,"")</f>
        <v/>
      </c>
      <c r="AI297" s="27">
        <f>IF(C297="","",N(AC297)+N(AD297)+N(AE297)+N(AF297))</f>
        <v/>
      </c>
      <c r="AJ297" s="27">
        <f>IF(C297="","",H297+L297-AI297)</f>
        <v/>
      </c>
      <c r="AK297" s="29">
        <f>IFERROR(AJ297/(H297+L297),"")</f>
        <v/>
      </c>
      <c r="AL297" s="71" t="n"/>
      <c r="AM297" s="71" t="n"/>
      <c r="AN297" s="71" t="n"/>
      <c r="AO297" s="71" t="n"/>
      <c r="AP297" s="71" t="n"/>
      <c r="AQ297" s="24" t="n"/>
    </row>
    <row r="298" ht="15" customHeight="1">
      <c r="A298" s="70">
        <f>IF(C298="","",IFERROR(IF(SUMPRODUCT(MAX((tbl_Finance[Job Number]&amp;""=C298&amp;"")*(tbl_Finance[Xero Invoice No]&lt;&gt;"")*tbl_Finance[Date]))=0,"",SUMPRODUCT(MAX((tbl_Finance[Job Number]&amp;""=C298&amp;"")*(tbl_Finance[Xero Invoice No]&lt;&gt;"")*tbl_Finance[Date]))),""))</f>
        <v/>
      </c>
      <c r="B298" s="25">
        <f>IF(C298="","",IF(COUNTIFS(tbl_Finance[Job Number],C298&amp;"",tbl_Finance[Xero Invoice No],"&lt;&gt;")=0,"",IFERROR(IF(COUNTIFS(tbl_Finance[Job Number],C298&amp;"",tbl_Finance[Xero Invoice No],LOOKUP(2,1/((tbl_Finance[Job Number]&amp;""=C298&amp;"")*(tbl_Finance[Xero Invoice No]&lt;&gt;"")),tbl_Finance[Xero Invoice No]))=COUNTIFS(tbl_Finance[Job Number],C298&amp;"",tbl_Finance[Xero Invoice No],"&lt;&gt;"),LOOKUP(2,1/((tbl_Finance[Job Number]&amp;""=C298&amp;"")*(tbl_Finance[Xero Invoice No]&lt;&gt;"")),tbl_Finance[Xero Invoice No]),LOOKUP(2,1/((tbl_Finance[Job Number]&amp;""=C298&amp;"")*(tbl_Finance[Xero Invoice No]&lt;&gt;"")),tbl_Finance[Xero Invoice No])&amp;" +more"),"")))</f>
        <v/>
      </c>
      <c r="C298" s="24" t="n"/>
      <c r="D298" s="25">
        <f>IF(C298="","",IF(COUNTIF(lst_Jobs,C298&amp;"")&gt;0,"OK","CHECK"))</f>
        <v/>
      </c>
      <c r="E298" s="25">
        <f>IF(C298="","",IFERROR(INDEX(lst_JobName,MATCH(C298&amp;"",lst_Jobs,0)),""))</f>
        <v/>
      </c>
      <c r="F298" s="25">
        <f>IF(C298="","",IFERROR(INDEX(tbl_Finance[Client],IFERROR(MATCH(C298&amp;"",tbl_Finance[Job Number],0),MATCH(IFERROR(C298+0,C298),tbl_Finance[Job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6" t="n"/>
      <c r="L298" s="27">
        <f>IF(C298="","",IF(K298="",0,MAX(0,K298-H298)))</f>
        <v/>
      </c>
      <c r="M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N298" s="27">
        <f>IF(C298="","",SUMIFS(tbl_Finance[Inc GST],tbl_Finance[Job Number],C298&amp;""))</f>
        <v/>
      </c>
      <c r="O298" s="24" t="n"/>
      <c r="P298" s="25">
        <f>IF(C298="","",IFERROR(INDEX(tbl_Finance[Description],MATCH(C298&amp;"",tbl_Finance[Job Number],0)),""))</f>
        <v/>
      </c>
      <c r="Q298" s="24" t="n"/>
      <c r="R298" s="24" t="n"/>
      <c r="S298" s="22" t="n"/>
      <c r="T298" s="24" t="n"/>
      <c r="U298" s="25">
        <f>IF(T298="","",IF(AND(LEFT(T298,4)&lt;&gt;"http",set_RMSBase=""),"",HYPERLINK(IF(LEFT(T298,4)="http",T298,set_RMSBase&amp;T298),"Open opportunity")))</f>
        <v/>
      </c>
      <c r="V298" s="24" t="n"/>
      <c r="W298" s="25">
        <f>IF(V298="","",HYPERLINK(IF(LEFT(V298,4)="http",V298,set_QwilrBase&amp;V298),"Open quote"))</f>
        <v/>
      </c>
      <c r="X298" s="25">
        <f>IF(C298="","",C298)</f>
        <v/>
      </c>
      <c r="Y298" s="24" t="n"/>
      <c r="Z298" s="26" t="n"/>
      <c r="AA298" s="27">
        <f>IF(C298="","",H298+N(Z298))</f>
        <v/>
      </c>
      <c r="AB298" s="29">
        <f>IFERROR(Z298/AA298,"")</f>
        <v/>
      </c>
      <c r="AC298" s="26" t="n"/>
      <c r="AD298" s="26" t="n"/>
      <c r="AE298" s="26" t="n"/>
      <c r="AF298" s="26" t="n"/>
      <c r="AG298" s="27">
        <f>IF(C298="","",SUMIFS(tbl_Finance[Ex GST],tbl_Finance[Job Number],C298&amp;"",tbl_Finance[Cost Centre],"VIDEO"))</f>
        <v/>
      </c>
      <c r="AH298" s="29">
        <f>IFERROR(AG298/H298,"")</f>
        <v/>
      </c>
      <c r="AI298" s="27">
        <f>IF(C298="","",N(AC298)+N(AD298)+N(AE298)+N(AF298))</f>
        <v/>
      </c>
      <c r="AJ298" s="27">
        <f>IF(C298="","",H298+L298-AI298)</f>
        <v/>
      </c>
      <c r="AK298" s="29">
        <f>IFERROR(AJ298/(H298+L298),"")</f>
        <v/>
      </c>
      <c r="AL298" s="71" t="n"/>
      <c r="AM298" s="71" t="n"/>
      <c r="AN298" s="71" t="n"/>
      <c r="AO298" s="71" t="n"/>
      <c r="AP298" s="71" t="n"/>
      <c r="AQ298" s="24" t="n"/>
    </row>
    <row r="299" ht="15" customHeight="1">
      <c r="A299" s="70">
        <f>IF(C299="","",IFERROR(IF(SUMPRODUCT(MAX((tbl_Finance[Job Number]&amp;""=C299&amp;"")*(tbl_Finance[Xero Invoice No]&lt;&gt;"")*tbl_Finance[Date]))=0,"",SUMPRODUCT(MAX((tbl_Finance[Job Number]&amp;""=C299&amp;"")*(tbl_Finance[Xero Invoice No]&lt;&gt;"")*tbl_Finance[Date]))),""))</f>
        <v/>
      </c>
      <c r="B299" s="25">
        <f>IF(C299="","",IF(COUNTIFS(tbl_Finance[Job Number],C299&amp;"",tbl_Finance[Xero Invoice No],"&lt;&gt;")=0,"",IFERROR(IF(COUNTIFS(tbl_Finance[Job Number],C299&amp;"",tbl_Finance[Xero Invoice No],LOOKUP(2,1/((tbl_Finance[Job Number]&amp;""=C299&amp;"")*(tbl_Finance[Xero Invoice No]&lt;&gt;"")),tbl_Finance[Xero Invoice No]))=COUNTIFS(tbl_Finance[Job Number],C299&amp;"",tbl_Finance[Xero Invoice No],"&lt;&gt;"),LOOKUP(2,1/((tbl_Finance[Job Number]&amp;""=C299&amp;"")*(tbl_Finance[Xero Invoice No]&lt;&gt;"")),tbl_Finance[Xero Invoice No]),LOOKUP(2,1/((tbl_Finance[Job Number]&amp;""=C299&amp;"")*(tbl_Finance[Xero Invoice No]&lt;&gt;"")),tbl_Finance[Xero Invoice No])&amp;" +more"),"")))</f>
        <v/>
      </c>
      <c r="C299" s="24" t="n"/>
      <c r="D299" s="25">
        <f>IF(C299="","",IF(COUNTIF(lst_Jobs,C299&amp;"")&gt;0,"OK","CHECK"))</f>
        <v/>
      </c>
      <c r="E299" s="25">
        <f>IF(C299="","",IFERROR(INDEX(lst_JobName,MATCH(C299&amp;"",lst_Jobs,0)),""))</f>
        <v/>
      </c>
      <c r="F299" s="25">
        <f>IF(C299="","",IFERROR(INDEX(tbl_Finance[Client],IFERROR(MATCH(C299&amp;"",tbl_Finance[Job Number],0),MATCH(IFERROR(C299+0,C299),tbl_Finance[Job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6" t="n"/>
      <c r="L299" s="27">
        <f>IF(C299="","",IF(K299="",0,MAX(0,K299-H299)))</f>
        <v/>
      </c>
      <c r="M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N299" s="27">
        <f>IF(C299="","",SUMIFS(tbl_Finance[Inc GST],tbl_Finance[Job Number],C299&amp;""))</f>
        <v/>
      </c>
      <c r="O299" s="24" t="n"/>
      <c r="P299" s="25">
        <f>IF(C299="","",IFERROR(INDEX(tbl_Finance[Description],MATCH(C299&amp;"",tbl_Finance[Job Number],0)),""))</f>
        <v/>
      </c>
      <c r="Q299" s="24" t="n"/>
      <c r="R299" s="24" t="n"/>
      <c r="S299" s="22" t="n"/>
      <c r="T299" s="24" t="n"/>
      <c r="U299" s="25">
        <f>IF(T299="","",IF(AND(LEFT(T299,4)&lt;&gt;"http",set_RMSBase=""),"",HYPERLINK(IF(LEFT(T299,4)="http",T299,set_RMSBase&amp;T299),"Open opportunity")))</f>
        <v/>
      </c>
      <c r="V299" s="24" t="n"/>
      <c r="W299" s="25">
        <f>IF(V299="","",HYPERLINK(IF(LEFT(V299,4)="http",V299,set_QwilrBase&amp;V299),"Open quote"))</f>
        <v/>
      </c>
      <c r="X299" s="25">
        <f>IF(C299="","",C299)</f>
        <v/>
      </c>
      <c r="Y299" s="24" t="n"/>
      <c r="Z299" s="26" t="n"/>
      <c r="AA299" s="27">
        <f>IF(C299="","",H299+N(Z299))</f>
        <v/>
      </c>
      <c r="AB299" s="29">
        <f>IFERROR(Z299/AA299,"")</f>
        <v/>
      </c>
      <c r="AC299" s="26" t="n"/>
      <c r="AD299" s="26" t="n"/>
      <c r="AE299" s="26" t="n"/>
      <c r="AF299" s="26" t="n"/>
      <c r="AG299" s="27">
        <f>IF(C299="","",SUMIFS(tbl_Finance[Ex GST],tbl_Finance[Job Number],C299&amp;"",tbl_Finance[Cost Centre],"VIDEO"))</f>
        <v/>
      </c>
      <c r="AH299" s="29">
        <f>IFERROR(AG299/H299,"")</f>
        <v/>
      </c>
      <c r="AI299" s="27">
        <f>IF(C299="","",N(AC299)+N(AD299)+N(AE299)+N(AF299))</f>
        <v/>
      </c>
      <c r="AJ299" s="27">
        <f>IF(C299="","",H299+L299-AI299)</f>
        <v/>
      </c>
      <c r="AK299" s="29">
        <f>IFERROR(AJ299/(H299+L299),"")</f>
        <v/>
      </c>
      <c r="AL299" s="71" t="n"/>
      <c r="AM299" s="71" t="n"/>
      <c r="AN299" s="71" t="n"/>
      <c r="AO299" s="71" t="n"/>
      <c r="AP299" s="71" t="n"/>
      <c r="AQ299" s="24" t="n"/>
    </row>
    <row r="300" ht="15" customHeight="1">
      <c r="A300" s="70">
        <f>IF(C300="","",IFERROR(IF(SUMPRODUCT(MAX((tbl_Finance[Job Number]&amp;""=C300&amp;"")*(tbl_Finance[Xero Invoice No]&lt;&gt;"")*tbl_Finance[Date]))=0,"",SUMPRODUCT(MAX((tbl_Finance[Job Number]&amp;""=C300&amp;"")*(tbl_Finance[Xero Invoice No]&lt;&gt;"")*tbl_Finance[Date]))),""))</f>
        <v/>
      </c>
      <c r="B300" s="25">
        <f>IF(C300="","",IF(COUNTIFS(tbl_Finance[Job Number],C300&amp;"",tbl_Finance[Xero Invoice No],"&lt;&gt;")=0,"",IFERROR(IF(COUNTIFS(tbl_Finance[Job Number],C300&amp;"",tbl_Finance[Xero Invoice No],LOOKUP(2,1/((tbl_Finance[Job Number]&amp;""=C300&amp;"")*(tbl_Finance[Xero Invoice No]&lt;&gt;"")),tbl_Finance[Xero Invoice No]))=COUNTIFS(tbl_Finance[Job Number],C300&amp;"",tbl_Finance[Xero Invoice No],"&lt;&gt;"),LOOKUP(2,1/((tbl_Finance[Job Number]&amp;""=C300&amp;"")*(tbl_Finance[Xero Invoice No]&lt;&gt;"")),tbl_Finance[Xero Invoice No]),LOOKUP(2,1/((tbl_Finance[Job Number]&amp;""=C300&amp;"")*(tbl_Finance[Xero Invoice No]&lt;&gt;"")),tbl_Finance[Xero Invoice No])&amp;" +more"),"")))</f>
        <v/>
      </c>
      <c r="C300" s="24" t="n"/>
      <c r="D300" s="25">
        <f>IF(C300="","",IF(COUNTIF(lst_Jobs,C300&amp;"")&gt;0,"OK","CHECK"))</f>
        <v/>
      </c>
      <c r="E300" s="25">
        <f>IF(C300="","",IFERROR(INDEX(lst_JobName,MATCH(C300&amp;"",lst_Jobs,0)),""))</f>
        <v/>
      </c>
      <c r="F300" s="25">
        <f>IF(C300="","",IFERROR(INDEX(tbl_Finance[Client],IFERROR(MATCH(C300&amp;"",tbl_Finance[Job Number],0),MATCH(IFERROR(C300+0,C300),tbl_Finance[Job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6" t="n"/>
      <c r="L300" s="27">
        <f>IF(C300="","",IF(K300="",0,MAX(0,K300-H300)))</f>
        <v/>
      </c>
      <c r="M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N300" s="27">
        <f>IF(C300="","",SUMIFS(tbl_Finance[Inc GST],tbl_Finance[Job Number],C300&amp;""))</f>
        <v/>
      </c>
      <c r="O300" s="24" t="n"/>
      <c r="P300" s="25">
        <f>IF(C300="","",IFERROR(INDEX(tbl_Finance[Description],MATCH(C300&amp;"",tbl_Finance[Job Number],0)),""))</f>
        <v/>
      </c>
      <c r="Q300" s="24" t="n"/>
      <c r="R300" s="24" t="n"/>
      <c r="S300" s="22" t="n"/>
      <c r="T300" s="24" t="n"/>
      <c r="U300" s="25">
        <f>IF(T300="","",IF(AND(LEFT(T300,4)&lt;&gt;"http",set_RMSBase=""),"",HYPERLINK(IF(LEFT(T300,4)="http",T300,set_RMSBase&amp;T300),"Open opportunity")))</f>
        <v/>
      </c>
      <c r="V300" s="24" t="n"/>
      <c r="W300" s="25">
        <f>IF(V300="","",HYPERLINK(IF(LEFT(V300,4)="http",V300,set_QwilrBase&amp;V300),"Open quote"))</f>
        <v/>
      </c>
      <c r="X300" s="25">
        <f>IF(C300="","",C300)</f>
        <v/>
      </c>
      <c r="Y300" s="24" t="n"/>
      <c r="Z300" s="26" t="n"/>
      <c r="AA300" s="27">
        <f>IF(C300="","",H300+N(Z300))</f>
        <v/>
      </c>
      <c r="AB300" s="29">
        <f>IFERROR(Z300/AA300,"")</f>
        <v/>
      </c>
      <c r="AC300" s="26" t="n"/>
      <c r="AD300" s="26" t="n"/>
      <c r="AE300" s="26" t="n"/>
      <c r="AF300" s="26" t="n"/>
      <c r="AG300" s="27">
        <f>IF(C300="","",SUMIFS(tbl_Finance[Ex GST],tbl_Finance[Job Number],C300&amp;"",tbl_Finance[Cost Centre],"VIDEO"))</f>
        <v/>
      </c>
      <c r="AH300" s="29">
        <f>IFERROR(AG300/H300,"")</f>
        <v/>
      </c>
      <c r="AI300" s="27">
        <f>IF(C300="","",N(AC300)+N(AD300)+N(AE300)+N(AF300))</f>
        <v/>
      </c>
      <c r="AJ300" s="27">
        <f>IF(C300="","",H300+L300-AI300)</f>
        <v/>
      </c>
      <c r="AK300" s="29">
        <f>IFERROR(AJ300/(H300+L300),"")</f>
        <v/>
      </c>
      <c r="AL300" s="71" t="n"/>
      <c r="AM300" s="71" t="n"/>
      <c r="AN300" s="71" t="n"/>
      <c r="AO300" s="71" t="n"/>
      <c r="AP300" s="71" t="n"/>
      <c r="AQ300" s="24" t="n"/>
    </row>
    <row r="301" ht="15" customHeight="1">
      <c r="A301" s="70">
        <f>IF(C301="","",IFERROR(IF(SUMPRODUCT(MAX((tbl_Finance[Job Number]&amp;""=C301&amp;"")*(tbl_Finance[Xero Invoice No]&lt;&gt;"")*tbl_Finance[Date]))=0,"",SUMPRODUCT(MAX((tbl_Finance[Job Number]&amp;""=C301&amp;"")*(tbl_Finance[Xero Invoice No]&lt;&gt;"")*tbl_Finance[Date]))),""))</f>
        <v/>
      </c>
      <c r="B301" s="25">
        <f>IF(C301="","",IF(COUNTIFS(tbl_Finance[Job Number],C301&amp;"",tbl_Finance[Xero Invoice No],"&lt;&gt;")=0,"",IFERROR(IF(COUNTIFS(tbl_Finance[Job Number],C301&amp;"",tbl_Finance[Xero Invoice No],LOOKUP(2,1/((tbl_Finance[Job Number]&amp;""=C301&amp;"")*(tbl_Finance[Xero Invoice No]&lt;&gt;"")),tbl_Finance[Xero Invoice No]))=COUNTIFS(tbl_Finance[Job Number],C301&amp;"",tbl_Finance[Xero Invoice No],"&lt;&gt;"),LOOKUP(2,1/((tbl_Finance[Job Number]&amp;""=C301&amp;"")*(tbl_Finance[Xero Invoice No]&lt;&gt;"")),tbl_Finance[Xero Invoice No]),LOOKUP(2,1/((tbl_Finance[Job Number]&amp;""=C301&amp;"")*(tbl_Finance[Xero Invoice No]&lt;&gt;"")),tbl_Finance[Xero Invoice No])&amp;" +more"),"")))</f>
        <v/>
      </c>
      <c r="C301" s="24" t="n"/>
      <c r="D301" s="25">
        <f>IF(C301="","",IF(COUNTIF(lst_Jobs,C301&amp;"")&gt;0,"OK","CHECK"))</f>
        <v/>
      </c>
      <c r="E301" s="25">
        <f>IF(C301="","",IFERROR(INDEX(lst_JobName,MATCH(C301&amp;"",lst_Jobs,0)),""))</f>
        <v/>
      </c>
      <c r="F301" s="25">
        <f>IF(C301="","",IFERROR(INDEX(tbl_Finance[Client],IFERROR(MATCH(C301&amp;"",tbl_Finance[Job Number],0),MATCH(IFERROR(C301+0,C301),tbl_Finance[Job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6" t="n"/>
      <c r="L301" s="27">
        <f>IF(C301="","",IF(K301="",0,MAX(0,K301-H301)))</f>
        <v/>
      </c>
      <c r="M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N301" s="27">
        <f>IF(C301="","",SUMIFS(tbl_Finance[Inc GST],tbl_Finance[Job Number],C301&amp;""))</f>
        <v/>
      </c>
      <c r="O301" s="24" t="n"/>
      <c r="P301" s="25">
        <f>IF(C301="","",IFERROR(INDEX(tbl_Finance[Description],MATCH(C301&amp;"",tbl_Finance[Job Number],0)),""))</f>
        <v/>
      </c>
      <c r="Q301" s="24" t="n"/>
      <c r="R301" s="24" t="n"/>
      <c r="S301" s="22" t="n"/>
      <c r="T301" s="24" t="n"/>
      <c r="U301" s="25">
        <f>IF(T301="","",IF(AND(LEFT(T301,4)&lt;&gt;"http",set_RMSBase=""),"",HYPERLINK(IF(LEFT(T301,4)="http",T301,set_RMSBase&amp;T301),"Open opportunity")))</f>
        <v/>
      </c>
      <c r="V301" s="24" t="n"/>
      <c r="W301" s="25">
        <f>IF(V301="","",HYPERLINK(IF(LEFT(V301,4)="http",V301,set_QwilrBase&amp;V301),"Open quote"))</f>
        <v/>
      </c>
      <c r="X301" s="25">
        <f>IF(C301="","",C301)</f>
        <v/>
      </c>
      <c r="Y301" s="24" t="n"/>
      <c r="Z301" s="26" t="n"/>
      <c r="AA301" s="27">
        <f>IF(C301="","",H301+N(Z301))</f>
        <v/>
      </c>
      <c r="AB301" s="29">
        <f>IFERROR(Z301/AA301,"")</f>
        <v/>
      </c>
      <c r="AC301" s="26" t="n"/>
      <c r="AD301" s="26" t="n"/>
      <c r="AE301" s="26" t="n"/>
      <c r="AF301" s="26" t="n"/>
      <c r="AG301" s="27">
        <f>IF(C301="","",SUMIFS(tbl_Finance[Ex GST],tbl_Finance[Job Number],C301&amp;"",tbl_Finance[Cost Centre],"VIDEO"))</f>
        <v/>
      </c>
      <c r="AH301" s="29">
        <f>IFERROR(AG301/H301,"")</f>
        <v/>
      </c>
      <c r="AI301" s="27">
        <f>IF(C301="","",N(AC301)+N(AD301)+N(AE301)+N(AF301))</f>
        <v/>
      </c>
      <c r="AJ301" s="27">
        <f>IF(C301="","",H301+L301-AI301)</f>
        <v/>
      </c>
      <c r="AK301" s="29">
        <f>IFERROR(AJ301/(H301+L301),"")</f>
        <v/>
      </c>
      <c r="AL301" s="71" t="n"/>
      <c r="AM301" s="71" t="n"/>
      <c r="AN301" s="71" t="n"/>
      <c r="AO301" s="71" t="n"/>
      <c r="AP301" s="71" t="n"/>
      <c r="AQ301" s="24" t="n"/>
    </row>
    <row r="302" ht="15" customHeight="1">
      <c r="A302" s="70">
        <f>IF(C302="","",IFERROR(IF(SUMPRODUCT(MAX((tbl_Finance[Job Number]&amp;""=C302&amp;"")*(tbl_Finance[Xero Invoice No]&lt;&gt;"")*tbl_Finance[Date]))=0,"",SUMPRODUCT(MAX((tbl_Finance[Job Number]&amp;""=C302&amp;"")*(tbl_Finance[Xero Invoice No]&lt;&gt;"")*tbl_Finance[Date]))),""))</f>
        <v/>
      </c>
      <c r="B302" s="25">
        <f>IF(C302="","",IF(COUNTIFS(tbl_Finance[Job Number],C302&amp;"",tbl_Finance[Xero Invoice No],"&lt;&gt;")=0,"",IFERROR(IF(COUNTIFS(tbl_Finance[Job Number],C302&amp;"",tbl_Finance[Xero Invoice No],LOOKUP(2,1/((tbl_Finance[Job Number]&amp;""=C302&amp;"")*(tbl_Finance[Xero Invoice No]&lt;&gt;"")),tbl_Finance[Xero Invoice No]))=COUNTIFS(tbl_Finance[Job Number],C302&amp;"",tbl_Finance[Xero Invoice No],"&lt;&gt;"),LOOKUP(2,1/((tbl_Finance[Job Number]&amp;""=C302&amp;"")*(tbl_Finance[Xero Invoice No]&lt;&gt;"")),tbl_Finance[Xero Invoice No]),LOOKUP(2,1/((tbl_Finance[Job Number]&amp;""=C302&amp;"")*(tbl_Finance[Xero Invoice No]&lt;&gt;"")),tbl_Finance[Xero Invoice No])&amp;" +more"),"")))</f>
        <v/>
      </c>
      <c r="C302" s="24" t="n"/>
      <c r="D302" s="25">
        <f>IF(C302="","",IF(COUNTIF(lst_Jobs,C302&amp;"")&gt;0,"OK","CHECK"))</f>
        <v/>
      </c>
      <c r="E302" s="25">
        <f>IF(C302="","",IFERROR(INDEX(lst_JobName,MATCH(C302&amp;"",lst_Jobs,0)),""))</f>
        <v/>
      </c>
      <c r="F302" s="25">
        <f>IF(C302="","",IFERROR(INDEX(tbl_Finance[Client],IFERROR(MATCH(C302&amp;"",tbl_Finance[Job Number],0),MATCH(IFERROR(C302+0,C302),tbl_Finance[Job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6" t="n"/>
      <c r="L302" s="27">
        <f>IF(C302="","",IF(K302="",0,MAX(0,K302-H302)))</f>
        <v/>
      </c>
      <c r="M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N302" s="27">
        <f>IF(C302="","",SUMIFS(tbl_Finance[Inc GST],tbl_Finance[Job Number],C302&amp;""))</f>
        <v/>
      </c>
      <c r="O302" s="24" t="n"/>
      <c r="P302" s="25">
        <f>IF(C302="","",IFERROR(INDEX(tbl_Finance[Description],MATCH(C302&amp;"",tbl_Finance[Job Number],0)),""))</f>
        <v/>
      </c>
      <c r="Q302" s="24" t="n"/>
      <c r="R302" s="24" t="n"/>
      <c r="S302" s="22" t="n"/>
      <c r="T302" s="24" t="n"/>
      <c r="U302" s="25">
        <f>IF(T302="","",IF(AND(LEFT(T302,4)&lt;&gt;"http",set_RMSBase=""),"",HYPERLINK(IF(LEFT(T302,4)="http",T302,set_RMSBase&amp;T302),"Open opportunity")))</f>
        <v/>
      </c>
      <c r="V302" s="24" t="n"/>
      <c r="W302" s="25">
        <f>IF(V302="","",HYPERLINK(IF(LEFT(V302,4)="http",V302,set_QwilrBase&amp;V302),"Open quote"))</f>
        <v/>
      </c>
      <c r="X302" s="25">
        <f>IF(C302="","",C302)</f>
        <v/>
      </c>
      <c r="Y302" s="24" t="n"/>
      <c r="Z302" s="26" t="n"/>
      <c r="AA302" s="27">
        <f>IF(C302="","",H302+N(Z302))</f>
        <v/>
      </c>
      <c r="AB302" s="29">
        <f>IFERROR(Z302/AA302,"")</f>
        <v/>
      </c>
      <c r="AC302" s="26" t="n"/>
      <c r="AD302" s="26" t="n"/>
      <c r="AE302" s="26" t="n"/>
      <c r="AF302" s="26" t="n"/>
      <c r="AG302" s="27">
        <f>IF(C302="","",SUMIFS(tbl_Finance[Ex GST],tbl_Finance[Job Number],C302&amp;"",tbl_Finance[Cost Centre],"VIDEO"))</f>
        <v/>
      </c>
      <c r="AH302" s="29">
        <f>IFERROR(AG302/H302,"")</f>
        <v/>
      </c>
      <c r="AI302" s="27">
        <f>IF(C302="","",N(AC302)+N(AD302)+N(AE302)+N(AF302))</f>
        <v/>
      </c>
      <c r="AJ302" s="27">
        <f>IF(C302="","",H302+L302-AI302)</f>
        <v/>
      </c>
      <c r="AK302" s="29">
        <f>IFERROR(AJ302/(H302+L302),"")</f>
        <v/>
      </c>
      <c r="AL302" s="71" t="n"/>
      <c r="AM302" s="71" t="n"/>
      <c r="AN302" s="71" t="n"/>
      <c r="AO302" s="71" t="n"/>
      <c r="AP302" s="71" t="n"/>
      <c r="AQ302" s="24" t="n"/>
    </row>
    <row r="303" ht="15" customHeight="1">
      <c r="A303" s="70">
        <f>IF(C303="","",IFERROR(IF(SUMPRODUCT(MAX((tbl_Finance[Job Number]&amp;""=C303&amp;"")*(tbl_Finance[Xero Invoice No]&lt;&gt;"")*tbl_Finance[Date]))=0,"",SUMPRODUCT(MAX((tbl_Finance[Job Number]&amp;""=C303&amp;"")*(tbl_Finance[Xero Invoice No]&lt;&gt;"")*tbl_Finance[Date]))),""))</f>
        <v/>
      </c>
      <c r="B303" s="25">
        <f>IF(C303="","",IF(COUNTIFS(tbl_Finance[Job Number],C303&amp;"",tbl_Finance[Xero Invoice No],"&lt;&gt;")=0,"",IFERROR(IF(COUNTIFS(tbl_Finance[Job Number],C303&amp;"",tbl_Finance[Xero Invoice No],LOOKUP(2,1/((tbl_Finance[Job Number]&amp;""=C303&amp;"")*(tbl_Finance[Xero Invoice No]&lt;&gt;"")),tbl_Finance[Xero Invoice No]))=COUNTIFS(tbl_Finance[Job Number],C303&amp;"",tbl_Finance[Xero Invoice No],"&lt;&gt;"),LOOKUP(2,1/((tbl_Finance[Job Number]&amp;""=C303&amp;"")*(tbl_Finance[Xero Invoice No]&lt;&gt;"")),tbl_Finance[Xero Invoice No]),LOOKUP(2,1/((tbl_Finance[Job Number]&amp;""=C303&amp;"")*(tbl_Finance[Xero Invoice No]&lt;&gt;"")),tbl_Finance[Xero Invoice No])&amp;" +more"),"")))</f>
        <v/>
      </c>
      <c r="C303" s="24" t="n"/>
      <c r="D303" s="25">
        <f>IF(C303="","",IF(COUNTIF(lst_Jobs,C303&amp;"")&gt;0,"OK","CHECK"))</f>
        <v/>
      </c>
      <c r="E303" s="25">
        <f>IF(C303="","",IFERROR(INDEX(lst_JobName,MATCH(C303&amp;"",lst_Jobs,0)),""))</f>
        <v/>
      </c>
      <c r="F303" s="25">
        <f>IF(C303="","",IFERROR(INDEX(tbl_Finance[Client],IFERROR(MATCH(C303&amp;"",tbl_Finance[Job Number],0),MATCH(IFERROR(C303+0,C303),tbl_Finance[Job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6" t="n"/>
      <c r="L303" s="27">
        <f>IF(C303="","",IF(K303="",0,MAX(0,K303-H303)))</f>
        <v/>
      </c>
      <c r="M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N303" s="27">
        <f>IF(C303="","",SUMIFS(tbl_Finance[Inc GST],tbl_Finance[Job Number],C303&amp;""))</f>
        <v/>
      </c>
      <c r="O303" s="24" t="n"/>
      <c r="P303" s="25">
        <f>IF(C303="","",IFERROR(INDEX(tbl_Finance[Description],MATCH(C303&amp;"",tbl_Finance[Job Number],0)),""))</f>
        <v/>
      </c>
      <c r="Q303" s="24" t="n"/>
      <c r="R303" s="24" t="n"/>
      <c r="S303" s="22" t="n"/>
      <c r="T303" s="24" t="n"/>
      <c r="U303" s="25">
        <f>IF(T303="","",IF(AND(LEFT(T303,4)&lt;&gt;"http",set_RMSBase=""),"",HYPERLINK(IF(LEFT(T303,4)="http",T303,set_RMSBase&amp;T303),"Open opportunity")))</f>
        <v/>
      </c>
      <c r="V303" s="24" t="n"/>
      <c r="W303" s="25">
        <f>IF(V303="","",HYPERLINK(IF(LEFT(V303,4)="http",V303,set_QwilrBase&amp;V303),"Open quote"))</f>
        <v/>
      </c>
      <c r="X303" s="25">
        <f>IF(C303="","",C303)</f>
        <v/>
      </c>
      <c r="Y303" s="24" t="n"/>
      <c r="Z303" s="26" t="n"/>
      <c r="AA303" s="27">
        <f>IF(C303="","",H303+N(Z303))</f>
        <v/>
      </c>
      <c r="AB303" s="29">
        <f>IFERROR(Z303/AA303,"")</f>
        <v/>
      </c>
      <c r="AC303" s="26" t="n"/>
      <c r="AD303" s="26" t="n"/>
      <c r="AE303" s="26" t="n"/>
      <c r="AF303" s="26" t="n"/>
      <c r="AG303" s="27">
        <f>IF(C303="","",SUMIFS(tbl_Finance[Ex GST],tbl_Finance[Job Number],C303&amp;"",tbl_Finance[Cost Centre],"VIDEO"))</f>
        <v/>
      </c>
      <c r="AH303" s="29">
        <f>IFERROR(AG303/H303,"")</f>
        <v/>
      </c>
      <c r="AI303" s="27">
        <f>IF(C303="","",N(AC303)+N(AD303)+N(AE303)+N(AF303))</f>
        <v/>
      </c>
      <c r="AJ303" s="27">
        <f>IF(C303="","",H303+L303-AI303)</f>
        <v/>
      </c>
      <c r="AK303" s="29">
        <f>IFERROR(AJ303/(H303+L303),"")</f>
        <v/>
      </c>
      <c r="AL303" s="71" t="n"/>
      <c r="AM303" s="71" t="n"/>
      <c r="AN303" s="71" t="n"/>
      <c r="AO303" s="71" t="n"/>
      <c r="AP303" s="71" t="n"/>
      <c r="AQ303" s="24" t="n"/>
    </row>
    <row r="304" ht="15" customHeight="1">
      <c r="A304" s="70">
        <f>IF(C304="","",IFERROR(IF(SUMPRODUCT(MAX((tbl_Finance[Job Number]&amp;""=C304&amp;"")*(tbl_Finance[Xero Invoice No]&lt;&gt;"")*tbl_Finance[Date]))=0,"",SUMPRODUCT(MAX((tbl_Finance[Job Number]&amp;""=C304&amp;"")*(tbl_Finance[Xero Invoice No]&lt;&gt;"")*tbl_Finance[Date]))),""))</f>
        <v/>
      </c>
      <c r="B304" s="25">
        <f>IF(C304="","",IF(COUNTIFS(tbl_Finance[Job Number],C304&amp;"",tbl_Finance[Xero Invoice No],"&lt;&gt;")=0,"",IFERROR(IF(COUNTIFS(tbl_Finance[Job Number],C304&amp;"",tbl_Finance[Xero Invoice No],LOOKUP(2,1/((tbl_Finance[Job Number]&amp;""=C304&amp;"")*(tbl_Finance[Xero Invoice No]&lt;&gt;"")),tbl_Finance[Xero Invoice No]))=COUNTIFS(tbl_Finance[Job Number],C304&amp;"",tbl_Finance[Xero Invoice No],"&lt;&gt;"),LOOKUP(2,1/((tbl_Finance[Job Number]&amp;""=C304&amp;"")*(tbl_Finance[Xero Invoice No]&lt;&gt;"")),tbl_Finance[Xero Invoice No]),LOOKUP(2,1/((tbl_Finance[Job Number]&amp;""=C304&amp;"")*(tbl_Finance[Xero Invoice No]&lt;&gt;"")),tbl_Finance[Xero Invoice No])&amp;" +more"),"")))</f>
        <v/>
      </c>
      <c r="C304" s="24" t="n"/>
      <c r="D304" s="25">
        <f>IF(C304="","",IF(COUNTIF(lst_Jobs,C304&amp;"")&gt;0,"OK","CHECK"))</f>
        <v/>
      </c>
      <c r="E304" s="25">
        <f>IF(C304="","",IFERROR(INDEX(lst_JobName,MATCH(C304&amp;"",lst_Jobs,0)),""))</f>
        <v/>
      </c>
      <c r="F304" s="25">
        <f>IF(C304="","",IFERROR(INDEX(tbl_Finance[Client],IFERROR(MATCH(C304&amp;"",tbl_Finance[Job Number],0),MATCH(IFERROR(C304+0,C304),tbl_Finance[Job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6" t="n"/>
      <c r="L304" s="27">
        <f>IF(C304="","",IF(K304="",0,MAX(0,K304-H304)))</f>
        <v/>
      </c>
      <c r="M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N304" s="27">
        <f>IF(C304="","",SUMIFS(tbl_Finance[Inc GST],tbl_Finance[Job Number],C304&amp;""))</f>
        <v/>
      </c>
      <c r="O304" s="24" t="n"/>
      <c r="P304" s="25">
        <f>IF(C304="","",IFERROR(INDEX(tbl_Finance[Description],MATCH(C304&amp;"",tbl_Finance[Job Number],0)),""))</f>
        <v/>
      </c>
      <c r="Q304" s="24" t="n"/>
      <c r="R304" s="24" t="n"/>
      <c r="S304" s="22" t="n"/>
      <c r="T304" s="24" t="n"/>
      <c r="U304" s="25">
        <f>IF(T304="","",IF(AND(LEFT(T304,4)&lt;&gt;"http",set_RMSBase=""),"",HYPERLINK(IF(LEFT(T304,4)="http",T304,set_RMSBase&amp;T304),"Open opportunity")))</f>
        <v/>
      </c>
      <c r="V304" s="24" t="n"/>
      <c r="W304" s="25">
        <f>IF(V304="","",HYPERLINK(IF(LEFT(V304,4)="http",V304,set_QwilrBase&amp;V304),"Open quote"))</f>
        <v/>
      </c>
      <c r="X304" s="25">
        <f>IF(C304="","",C304)</f>
        <v/>
      </c>
      <c r="Y304" s="24" t="n"/>
      <c r="Z304" s="26" t="n"/>
      <c r="AA304" s="27">
        <f>IF(C304="","",H304+N(Z304))</f>
        <v/>
      </c>
      <c r="AB304" s="29">
        <f>IFERROR(Z304/AA304,"")</f>
        <v/>
      </c>
      <c r="AC304" s="26" t="n"/>
      <c r="AD304" s="26" t="n"/>
      <c r="AE304" s="26" t="n"/>
      <c r="AF304" s="26" t="n"/>
      <c r="AG304" s="27">
        <f>IF(C304="","",SUMIFS(tbl_Finance[Ex GST],tbl_Finance[Job Number],C304&amp;"",tbl_Finance[Cost Centre],"VIDEO"))</f>
        <v/>
      </c>
      <c r="AH304" s="29">
        <f>IFERROR(AG304/H304,"")</f>
        <v/>
      </c>
      <c r="AI304" s="27">
        <f>IF(C304="","",N(AC304)+N(AD304)+N(AE304)+N(AF304))</f>
        <v/>
      </c>
      <c r="AJ304" s="27">
        <f>IF(C304="","",H304+L304-AI304)</f>
        <v/>
      </c>
      <c r="AK304" s="29">
        <f>IFERROR(AJ304/(H304+L304),"")</f>
        <v/>
      </c>
      <c r="AL304" s="71" t="n"/>
      <c r="AM304" s="71" t="n"/>
      <c r="AN304" s="71" t="n"/>
      <c r="AO304" s="71" t="n"/>
      <c r="AP304" s="71" t="n"/>
      <c r="AQ304" s="24" t="n"/>
    </row>
    <row r="305" ht="15" customHeight="1">
      <c r="A305" s="70">
        <f>IF(C305="","",IFERROR(IF(SUMPRODUCT(MAX((tbl_Finance[Job Number]&amp;""=C305&amp;"")*(tbl_Finance[Xero Invoice No]&lt;&gt;"")*tbl_Finance[Date]))=0,"",SUMPRODUCT(MAX((tbl_Finance[Job Number]&amp;""=C305&amp;"")*(tbl_Finance[Xero Invoice No]&lt;&gt;"")*tbl_Finance[Date]))),""))</f>
        <v/>
      </c>
      <c r="B305" s="25">
        <f>IF(C305="","",IF(COUNTIFS(tbl_Finance[Job Number],C305&amp;"",tbl_Finance[Xero Invoice No],"&lt;&gt;")=0,"",IFERROR(IF(COUNTIFS(tbl_Finance[Job Number],C305&amp;"",tbl_Finance[Xero Invoice No],LOOKUP(2,1/((tbl_Finance[Job Number]&amp;""=C305&amp;"")*(tbl_Finance[Xero Invoice No]&lt;&gt;"")),tbl_Finance[Xero Invoice No]))=COUNTIFS(tbl_Finance[Job Number],C305&amp;"",tbl_Finance[Xero Invoice No],"&lt;&gt;"),LOOKUP(2,1/((tbl_Finance[Job Number]&amp;""=C305&amp;"")*(tbl_Finance[Xero Invoice No]&lt;&gt;"")),tbl_Finance[Xero Invoice No]),LOOKUP(2,1/((tbl_Finance[Job Number]&amp;""=C305&amp;"")*(tbl_Finance[Xero Invoice No]&lt;&gt;"")),tbl_Finance[Xero Invoice No])&amp;" +more"),"")))</f>
        <v/>
      </c>
      <c r="C305" s="24" t="n"/>
      <c r="D305" s="25">
        <f>IF(C305="","",IF(COUNTIF(lst_Jobs,C305&amp;"")&gt;0,"OK","CHECK"))</f>
        <v/>
      </c>
      <c r="E305" s="25">
        <f>IF(C305="","",IFERROR(INDEX(lst_JobName,MATCH(C305&amp;"",lst_Jobs,0)),""))</f>
        <v/>
      </c>
      <c r="F305" s="25">
        <f>IF(C305="","",IFERROR(INDEX(tbl_Finance[Client],IFERROR(MATCH(C305&amp;"",tbl_Finance[Job Number],0),MATCH(IFERROR(C305+0,C305),tbl_Finance[Job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6" t="n"/>
      <c r="L305" s="27">
        <f>IF(C305="","",IF(K305="",0,MAX(0,K305-H305)))</f>
        <v/>
      </c>
      <c r="M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N305" s="27">
        <f>IF(C305="","",SUMIFS(tbl_Finance[Inc GST],tbl_Finance[Job Number],C305&amp;""))</f>
        <v/>
      </c>
      <c r="O305" s="24" t="n"/>
      <c r="P305" s="25">
        <f>IF(C305="","",IFERROR(INDEX(tbl_Finance[Description],MATCH(C305&amp;"",tbl_Finance[Job Number],0)),""))</f>
        <v/>
      </c>
      <c r="Q305" s="24" t="n"/>
      <c r="R305" s="24" t="n"/>
      <c r="S305" s="22" t="n"/>
      <c r="T305" s="24" t="n"/>
      <c r="U305" s="25">
        <f>IF(T305="","",IF(AND(LEFT(T305,4)&lt;&gt;"http",set_RMSBase=""),"",HYPERLINK(IF(LEFT(T305,4)="http",T305,set_RMSBase&amp;T305),"Open opportunity")))</f>
        <v/>
      </c>
      <c r="V305" s="24" t="n"/>
      <c r="W305" s="25">
        <f>IF(V305="","",HYPERLINK(IF(LEFT(V305,4)="http",V305,set_QwilrBase&amp;V305),"Open quote"))</f>
        <v/>
      </c>
      <c r="X305" s="25">
        <f>IF(C305="","",C305)</f>
        <v/>
      </c>
      <c r="Y305" s="24" t="n"/>
      <c r="Z305" s="26" t="n"/>
      <c r="AA305" s="27">
        <f>IF(C305="","",H305+N(Z305))</f>
        <v/>
      </c>
      <c r="AB305" s="29">
        <f>IFERROR(Z305/AA305,"")</f>
        <v/>
      </c>
      <c r="AC305" s="26" t="n"/>
      <c r="AD305" s="26" t="n"/>
      <c r="AE305" s="26" t="n"/>
      <c r="AF305" s="26" t="n"/>
      <c r="AG305" s="27">
        <f>IF(C305="","",SUMIFS(tbl_Finance[Ex GST],tbl_Finance[Job Number],C305&amp;"",tbl_Finance[Cost Centre],"VIDEO"))</f>
        <v/>
      </c>
      <c r="AH305" s="29">
        <f>IFERROR(AG305/H305,"")</f>
        <v/>
      </c>
      <c r="AI305" s="27">
        <f>IF(C305="","",N(AC305)+N(AD305)+N(AE305)+N(AF305))</f>
        <v/>
      </c>
      <c r="AJ305" s="27">
        <f>IF(C305="","",H305+L305-AI305)</f>
        <v/>
      </c>
      <c r="AK305" s="29">
        <f>IFERROR(AJ305/(H305+L305),"")</f>
        <v/>
      </c>
      <c r="AL305" s="71" t="n"/>
      <c r="AM305" s="71" t="n"/>
      <c r="AN305" s="71" t="n"/>
      <c r="AO305" s="71" t="n"/>
      <c r="AP305" s="71" t="n"/>
      <c r="AQ305" s="24" t="n"/>
    </row>
    <row r="306" ht="15" customHeight="1">
      <c r="A306" s="70">
        <f>IF(C306="","",IFERROR(IF(SUMPRODUCT(MAX((tbl_Finance[Job Number]&amp;""=C306&amp;"")*(tbl_Finance[Xero Invoice No]&lt;&gt;"")*tbl_Finance[Date]))=0,"",SUMPRODUCT(MAX((tbl_Finance[Job Number]&amp;""=C306&amp;"")*(tbl_Finance[Xero Invoice No]&lt;&gt;"")*tbl_Finance[Date]))),""))</f>
        <v/>
      </c>
      <c r="B306" s="25">
        <f>IF(C306="","",IF(COUNTIFS(tbl_Finance[Job Number],C306&amp;"",tbl_Finance[Xero Invoice No],"&lt;&gt;")=0,"",IFERROR(IF(COUNTIFS(tbl_Finance[Job Number],C306&amp;"",tbl_Finance[Xero Invoice No],LOOKUP(2,1/((tbl_Finance[Job Number]&amp;""=C306&amp;"")*(tbl_Finance[Xero Invoice No]&lt;&gt;"")),tbl_Finance[Xero Invoice No]))=COUNTIFS(tbl_Finance[Job Number],C306&amp;"",tbl_Finance[Xero Invoice No],"&lt;&gt;"),LOOKUP(2,1/((tbl_Finance[Job Number]&amp;""=C306&amp;"")*(tbl_Finance[Xero Invoice No]&lt;&gt;"")),tbl_Finance[Xero Invoice No]),LOOKUP(2,1/((tbl_Finance[Job Number]&amp;""=C306&amp;"")*(tbl_Finance[Xero Invoice No]&lt;&gt;"")),tbl_Finance[Xero Invoice No])&amp;" +more"),"")))</f>
        <v/>
      </c>
      <c r="C306" s="24" t="n"/>
      <c r="D306" s="25">
        <f>IF(C306="","",IF(COUNTIF(lst_Jobs,C306&amp;"")&gt;0,"OK","CHECK"))</f>
        <v/>
      </c>
      <c r="E306" s="25">
        <f>IF(C306="","",IFERROR(INDEX(lst_JobName,MATCH(C306&amp;"",lst_Jobs,0)),""))</f>
        <v/>
      </c>
      <c r="F306" s="25">
        <f>IF(C306="","",IFERROR(INDEX(tbl_Finance[Client],IFERROR(MATCH(C306&amp;"",tbl_Finance[Job Number],0),MATCH(IFERROR(C306+0,C306),tbl_Finance[Job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6" t="n"/>
      <c r="L306" s="27">
        <f>IF(C306="","",IF(K306="",0,MAX(0,K306-H306)))</f>
        <v/>
      </c>
      <c r="M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N306" s="27">
        <f>IF(C306="","",SUMIFS(tbl_Finance[Inc GST],tbl_Finance[Job Number],C306&amp;""))</f>
        <v/>
      </c>
      <c r="O306" s="24" t="n"/>
      <c r="P306" s="25">
        <f>IF(C306="","",IFERROR(INDEX(tbl_Finance[Description],MATCH(C306&amp;"",tbl_Finance[Job Number],0)),""))</f>
        <v/>
      </c>
      <c r="Q306" s="24" t="n"/>
      <c r="R306" s="24" t="n"/>
      <c r="S306" s="22" t="n"/>
      <c r="T306" s="24" t="n"/>
      <c r="U306" s="25">
        <f>IF(T306="","",IF(AND(LEFT(T306,4)&lt;&gt;"http",set_RMSBase=""),"",HYPERLINK(IF(LEFT(T306,4)="http",T306,set_RMSBase&amp;T306),"Open opportunity")))</f>
        <v/>
      </c>
      <c r="V306" s="24" t="n"/>
      <c r="W306" s="25">
        <f>IF(V306="","",HYPERLINK(IF(LEFT(V306,4)="http",V306,set_QwilrBase&amp;V306),"Open quote"))</f>
        <v/>
      </c>
      <c r="X306" s="25">
        <f>IF(C306="","",C306)</f>
        <v/>
      </c>
      <c r="Y306" s="24" t="n"/>
      <c r="Z306" s="26" t="n"/>
      <c r="AA306" s="27">
        <f>IF(C306="","",H306+N(Z306))</f>
        <v/>
      </c>
      <c r="AB306" s="29">
        <f>IFERROR(Z306/AA306,"")</f>
        <v/>
      </c>
      <c r="AC306" s="26" t="n"/>
      <c r="AD306" s="26" t="n"/>
      <c r="AE306" s="26" t="n"/>
      <c r="AF306" s="26" t="n"/>
      <c r="AG306" s="27">
        <f>IF(C306="","",SUMIFS(tbl_Finance[Ex GST],tbl_Finance[Job Number],C306&amp;"",tbl_Finance[Cost Centre],"VIDEO"))</f>
        <v/>
      </c>
      <c r="AH306" s="29">
        <f>IFERROR(AG306/H306,"")</f>
        <v/>
      </c>
      <c r="AI306" s="27">
        <f>IF(C306="","",N(AC306)+N(AD306)+N(AE306)+N(AF306))</f>
        <v/>
      </c>
      <c r="AJ306" s="27">
        <f>IF(C306="","",H306+L306-AI306)</f>
        <v/>
      </c>
      <c r="AK306" s="29">
        <f>IFERROR(AJ306/(H306+L306),"")</f>
        <v/>
      </c>
      <c r="AL306" s="71" t="n"/>
      <c r="AM306" s="71" t="n"/>
      <c r="AN306" s="71" t="n"/>
      <c r="AO306" s="71" t="n"/>
      <c r="AP306" s="71" t="n"/>
      <c r="AQ306" s="24" t="n"/>
    </row>
    <row r="307" ht="15" customHeight="1">
      <c r="A307" s="70">
        <f>IF(C307="","",IFERROR(IF(SUMPRODUCT(MAX((tbl_Finance[Job Number]&amp;""=C307&amp;"")*(tbl_Finance[Xero Invoice No]&lt;&gt;"")*tbl_Finance[Date]))=0,"",SUMPRODUCT(MAX((tbl_Finance[Job Number]&amp;""=C307&amp;"")*(tbl_Finance[Xero Invoice No]&lt;&gt;"")*tbl_Finance[Date]))),""))</f>
        <v/>
      </c>
      <c r="B307" s="25">
        <f>IF(C307="","",IF(COUNTIFS(tbl_Finance[Job Number],C307&amp;"",tbl_Finance[Xero Invoice No],"&lt;&gt;")=0,"",IFERROR(IF(COUNTIFS(tbl_Finance[Job Number],C307&amp;"",tbl_Finance[Xero Invoice No],LOOKUP(2,1/((tbl_Finance[Job Number]&amp;""=C307&amp;"")*(tbl_Finance[Xero Invoice No]&lt;&gt;"")),tbl_Finance[Xero Invoice No]))=COUNTIFS(tbl_Finance[Job Number],C307&amp;"",tbl_Finance[Xero Invoice No],"&lt;&gt;"),LOOKUP(2,1/((tbl_Finance[Job Number]&amp;""=C307&amp;"")*(tbl_Finance[Xero Invoice No]&lt;&gt;"")),tbl_Finance[Xero Invoice No]),LOOKUP(2,1/((tbl_Finance[Job Number]&amp;""=C307&amp;"")*(tbl_Finance[Xero Invoice No]&lt;&gt;"")),tbl_Finance[Xero Invoice No])&amp;" +more"),"")))</f>
        <v/>
      </c>
      <c r="C307" s="24" t="n"/>
      <c r="D307" s="25">
        <f>IF(C307="","",IF(COUNTIF(lst_Jobs,C307&amp;"")&gt;0,"OK","CHECK"))</f>
        <v/>
      </c>
      <c r="E307" s="25">
        <f>IF(C307="","",IFERROR(INDEX(lst_JobName,MATCH(C307&amp;"",lst_Jobs,0)),""))</f>
        <v/>
      </c>
      <c r="F307" s="25">
        <f>IF(C307="","",IFERROR(INDEX(tbl_Finance[Client],IFERROR(MATCH(C307&amp;"",tbl_Finance[Job Number],0),MATCH(IFERROR(C307+0,C307),tbl_Finance[Job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6" t="n"/>
      <c r="L307" s="27">
        <f>IF(C307="","",IF(K307="",0,MAX(0,K307-H307)))</f>
        <v/>
      </c>
      <c r="M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N307" s="27">
        <f>IF(C307="","",SUMIFS(tbl_Finance[Inc GST],tbl_Finance[Job Number],C307&amp;""))</f>
        <v/>
      </c>
      <c r="O307" s="24" t="n"/>
      <c r="P307" s="25">
        <f>IF(C307="","",IFERROR(INDEX(tbl_Finance[Description],MATCH(C307&amp;"",tbl_Finance[Job Number],0)),""))</f>
        <v/>
      </c>
      <c r="Q307" s="24" t="n"/>
      <c r="R307" s="24" t="n"/>
      <c r="S307" s="22" t="n"/>
      <c r="T307" s="24" t="n"/>
      <c r="U307" s="25">
        <f>IF(T307="","",IF(AND(LEFT(T307,4)&lt;&gt;"http",set_RMSBase=""),"",HYPERLINK(IF(LEFT(T307,4)="http",T307,set_RMSBase&amp;T307),"Open opportunity")))</f>
        <v/>
      </c>
      <c r="V307" s="24" t="n"/>
      <c r="W307" s="25">
        <f>IF(V307="","",HYPERLINK(IF(LEFT(V307,4)="http",V307,set_QwilrBase&amp;V307),"Open quote"))</f>
        <v/>
      </c>
      <c r="X307" s="25">
        <f>IF(C307="","",C307)</f>
        <v/>
      </c>
      <c r="Y307" s="24" t="n"/>
      <c r="Z307" s="26" t="n"/>
      <c r="AA307" s="27">
        <f>IF(C307="","",H307+N(Z307))</f>
        <v/>
      </c>
      <c r="AB307" s="29">
        <f>IFERROR(Z307/AA307,"")</f>
        <v/>
      </c>
      <c r="AC307" s="26" t="n"/>
      <c r="AD307" s="26" t="n"/>
      <c r="AE307" s="26" t="n"/>
      <c r="AF307" s="26" t="n"/>
      <c r="AG307" s="27">
        <f>IF(C307="","",SUMIFS(tbl_Finance[Ex GST],tbl_Finance[Job Number],C307&amp;"",tbl_Finance[Cost Centre],"VIDEO"))</f>
        <v/>
      </c>
      <c r="AH307" s="29">
        <f>IFERROR(AG307/H307,"")</f>
        <v/>
      </c>
      <c r="AI307" s="27">
        <f>IF(C307="","",N(AC307)+N(AD307)+N(AE307)+N(AF307))</f>
        <v/>
      </c>
      <c r="AJ307" s="27">
        <f>IF(C307="","",H307+L307-AI307)</f>
        <v/>
      </c>
      <c r="AK307" s="29">
        <f>IFERROR(AJ307/(H307+L307),"")</f>
        <v/>
      </c>
      <c r="AL307" s="71" t="n"/>
      <c r="AM307" s="71" t="n"/>
      <c r="AN307" s="71" t="n"/>
      <c r="AO307" s="71" t="n"/>
      <c r="AP307" s="71" t="n"/>
      <c r="AQ307" s="24" t="n"/>
    </row>
    <row r="308" ht="15" customHeight="1">
      <c r="A308" s="70">
        <f>IF(C308="","",IFERROR(IF(SUMPRODUCT(MAX((tbl_Finance[Job Number]&amp;""=C308&amp;"")*(tbl_Finance[Xero Invoice No]&lt;&gt;"")*tbl_Finance[Date]))=0,"",SUMPRODUCT(MAX((tbl_Finance[Job Number]&amp;""=C308&amp;"")*(tbl_Finance[Xero Invoice No]&lt;&gt;"")*tbl_Finance[Date]))),""))</f>
        <v/>
      </c>
      <c r="B308" s="25">
        <f>IF(C308="","",IF(COUNTIFS(tbl_Finance[Job Number],C308&amp;"",tbl_Finance[Xero Invoice No],"&lt;&gt;")=0,"",IFERROR(IF(COUNTIFS(tbl_Finance[Job Number],C308&amp;"",tbl_Finance[Xero Invoice No],LOOKUP(2,1/((tbl_Finance[Job Number]&amp;""=C308&amp;"")*(tbl_Finance[Xero Invoice No]&lt;&gt;"")),tbl_Finance[Xero Invoice No]))=COUNTIFS(tbl_Finance[Job Number],C308&amp;"",tbl_Finance[Xero Invoice No],"&lt;&gt;"),LOOKUP(2,1/((tbl_Finance[Job Number]&amp;""=C308&amp;"")*(tbl_Finance[Xero Invoice No]&lt;&gt;"")),tbl_Finance[Xero Invoice No]),LOOKUP(2,1/((tbl_Finance[Job Number]&amp;""=C308&amp;"")*(tbl_Finance[Xero Invoice No]&lt;&gt;"")),tbl_Finance[Xero Invoice No])&amp;" +more"),"")))</f>
        <v/>
      </c>
      <c r="C308" s="24" t="n"/>
      <c r="D308" s="25">
        <f>IF(C308="","",IF(COUNTIF(lst_Jobs,C308&amp;"")&gt;0,"OK","CHECK"))</f>
        <v/>
      </c>
      <c r="E308" s="25">
        <f>IF(C308="","",IFERROR(INDEX(lst_JobName,MATCH(C308&amp;"",lst_Jobs,0)),""))</f>
        <v/>
      </c>
      <c r="F308" s="25">
        <f>IF(C308="","",IFERROR(INDEX(tbl_Finance[Client],IFERROR(MATCH(C308&amp;"",tbl_Finance[Job Number],0),MATCH(IFERROR(C308+0,C308),tbl_Finance[Job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6" t="n"/>
      <c r="L308" s="27">
        <f>IF(C308="","",IF(K308="",0,MAX(0,K308-H308)))</f>
        <v/>
      </c>
      <c r="M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N308" s="27">
        <f>IF(C308="","",SUMIFS(tbl_Finance[Inc GST],tbl_Finance[Job Number],C308&amp;""))</f>
        <v/>
      </c>
      <c r="O308" s="24" t="n"/>
      <c r="P308" s="25">
        <f>IF(C308="","",IFERROR(INDEX(tbl_Finance[Description],MATCH(C308&amp;"",tbl_Finance[Job Number],0)),""))</f>
        <v/>
      </c>
      <c r="Q308" s="24" t="n"/>
      <c r="R308" s="24" t="n"/>
      <c r="S308" s="22" t="n"/>
      <c r="T308" s="24" t="n"/>
      <c r="U308" s="25">
        <f>IF(T308="","",IF(AND(LEFT(T308,4)&lt;&gt;"http",set_RMSBase=""),"",HYPERLINK(IF(LEFT(T308,4)="http",T308,set_RMSBase&amp;T308),"Open opportunity")))</f>
        <v/>
      </c>
      <c r="V308" s="24" t="n"/>
      <c r="W308" s="25">
        <f>IF(V308="","",HYPERLINK(IF(LEFT(V308,4)="http",V308,set_QwilrBase&amp;V308),"Open quote"))</f>
        <v/>
      </c>
      <c r="X308" s="25">
        <f>IF(C308="","",C308)</f>
        <v/>
      </c>
      <c r="Y308" s="24" t="n"/>
      <c r="Z308" s="26" t="n"/>
      <c r="AA308" s="27">
        <f>IF(C308="","",H308+N(Z308))</f>
        <v/>
      </c>
      <c r="AB308" s="29">
        <f>IFERROR(Z308/AA308,"")</f>
        <v/>
      </c>
      <c r="AC308" s="26" t="n"/>
      <c r="AD308" s="26" t="n"/>
      <c r="AE308" s="26" t="n"/>
      <c r="AF308" s="26" t="n"/>
      <c r="AG308" s="27">
        <f>IF(C308="","",SUMIFS(tbl_Finance[Ex GST],tbl_Finance[Job Number],C308&amp;"",tbl_Finance[Cost Centre],"VIDEO"))</f>
        <v/>
      </c>
      <c r="AH308" s="29">
        <f>IFERROR(AG308/H308,"")</f>
        <v/>
      </c>
      <c r="AI308" s="27">
        <f>IF(C308="","",N(AC308)+N(AD308)+N(AE308)+N(AF308))</f>
        <v/>
      </c>
      <c r="AJ308" s="27">
        <f>IF(C308="","",H308+L308-AI308)</f>
        <v/>
      </c>
      <c r="AK308" s="29">
        <f>IFERROR(AJ308/(H308+L308),"")</f>
        <v/>
      </c>
      <c r="AL308" s="71" t="n"/>
      <c r="AM308" s="71" t="n"/>
      <c r="AN308" s="71" t="n"/>
      <c r="AO308" s="71" t="n"/>
      <c r="AP308" s="71" t="n"/>
      <c r="AQ308" s="24" t="n"/>
    </row>
    <row r="309" ht="15" customHeight="1">
      <c r="A309" s="70">
        <f>IF(C309="","",IFERROR(IF(SUMPRODUCT(MAX((tbl_Finance[Job Number]&amp;""=C309&amp;"")*(tbl_Finance[Xero Invoice No]&lt;&gt;"")*tbl_Finance[Date]))=0,"",SUMPRODUCT(MAX((tbl_Finance[Job Number]&amp;""=C309&amp;"")*(tbl_Finance[Xero Invoice No]&lt;&gt;"")*tbl_Finance[Date]))),""))</f>
        <v/>
      </c>
      <c r="B309" s="25">
        <f>IF(C309="","",IF(COUNTIFS(tbl_Finance[Job Number],C309&amp;"",tbl_Finance[Xero Invoice No],"&lt;&gt;")=0,"",IFERROR(IF(COUNTIFS(tbl_Finance[Job Number],C309&amp;"",tbl_Finance[Xero Invoice No],LOOKUP(2,1/((tbl_Finance[Job Number]&amp;""=C309&amp;"")*(tbl_Finance[Xero Invoice No]&lt;&gt;"")),tbl_Finance[Xero Invoice No]))=COUNTIFS(tbl_Finance[Job Number],C309&amp;"",tbl_Finance[Xero Invoice No],"&lt;&gt;"),LOOKUP(2,1/((tbl_Finance[Job Number]&amp;""=C309&amp;"")*(tbl_Finance[Xero Invoice No]&lt;&gt;"")),tbl_Finance[Xero Invoice No]),LOOKUP(2,1/((tbl_Finance[Job Number]&amp;""=C309&amp;"")*(tbl_Finance[Xero Invoice No]&lt;&gt;"")),tbl_Finance[Xero Invoice No])&amp;" +more"),"")))</f>
        <v/>
      </c>
      <c r="C309" s="24" t="n"/>
      <c r="D309" s="25">
        <f>IF(C309="","",IF(COUNTIF(lst_Jobs,C309&amp;"")&gt;0,"OK","CHECK"))</f>
        <v/>
      </c>
      <c r="E309" s="25">
        <f>IF(C309="","",IFERROR(INDEX(lst_JobName,MATCH(C309&amp;"",lst_Jobs,0)),""))</f>
        <v/>
      </c>
      <c r="F309" s="25">
        <f>IF(C309="","",IFERROR(INDEX(tbl_Finance[Client],IFERROR(MATCH(C309&amp;"",tbl_Finance[Job Number],0),MATCH(IFERROR(C309+0,C309),tbl_Finance[Job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6" t="n"/>
      <c r="L309" s="27">
        <f>IF(C309="","",IF(K309="",0,MAX(0,K309-H309)))</f>
        <v/>
      </c>
      <c r="M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N309" s="27">
        <f>IF(C309="","",SUMIFS(tbl_Finance[Inc GST],tbl_Finance[Job Number],C309&amp;""))</f>
        <v/>
      </c>
      <c r="O309" s="24" t="n"/>
      <c r="P309" s="25">
        <f>IF(C309="","",IFERROR(INDEX(tbl_Finance[Description],MATCH(C309&amp;"",tbl_Finance[Job Number],0)),""))</f>
        <v/>
      </c>
      <c r="Q309" s="24" t="n"/>
      <c r="R309" s="24" t="n"/>
      <c r="S309" s="22" t="n"/>
      <c r="T309" s="24" t="n"/>
      <c r="U309" s="25">
        <f>IF(T309="","",IF(AND(LEFT(T309,4)&lt;&gt;"http",set_RMSBase=""),"",HYPERLINK(IF(LEFT(T309,4)="http",T309,set_RMSBase&amp;T309),"Open opportunity")))</f>
        <v/>
      </c>
      <c r="V309" s="24" t="n"/>
      <c r="W309" s="25">
        <f>IF(V309="","",HYPERLINK(IF(LEFT(V309,4)="http",V309,set_QwilrBase&amp;V309),"Open quote"))</f>
        <v/>
      </c>
      <c r="X309" s="25">
        <f>IF(C309="","",C309)</f>
        <v/>
      </c>
      <c r="Y309" s="24" t="n"/>
      <c r="Z309" s="26" t="n"/>
      <c r="AA309" s="27">
        <f>IF(C309="","",H309+N(Z309))</f>
        <v/>
      </c>
      <c r="AB309" s="29">
        <f>IFERROR(Z309/AA309,"")</f>
        <v/>
      </c>
      <c r="AC309" s="26" t="n"/>
      <c r="AD309" s="26" t="n"/>
      <c r="AE309" s="26" t="n"/>
      <c r="AF309" s="26" t="n"/>
      <c r="AG309" s="27">
        <f>IF(C309="","",SUMIFS(tbl_Finance[Ex GST],tbl_Finance[Job Number],C309&amp;"",tbl_Finance[Cost Centre],"VIDEO"))</f>
        <v/>
      </c>
      <c r="AH309" s="29">
        <f>IFERROR(AG309/H309,"")</f>
        <v/>
      </c>
      <c r="AI309" s="27">
        <f>IF(C309="","",N(AC309)+N(AD309)+N(AE309)+N(AF309))</f>
        <v/>
      </c>
      <c r="AJ309" s="27">
        <f>IF(C309="","",H309+L309-AI309)</f>
        <v/>
      </c>
      <c r="AK309" s="29">
        <f>IFERROR(AJ309/(H309+L309),"")</f>
        <v/>
      </c>
      <c r="AL309" s="71" t="n"/>
      <c r="AM309" s="71" t="n"/>
      <c r="AN309" s="71" t="n"/>
      <c r="AO309" s="71" t="n"/>
      <c r="AP309" s="71" t="n"/>
      <c r="AQ309" s="24" t="n"/>
    </row>
    <row r="310" ht="15" customHeight="1">
      <c r="A310" s="70">
        <f>IF(C310="","",IFERROR(IF(SUMPRODUCT(MAX((tbl_Finance[Job Number]&amp;""=C310&amp;"")*(tbl_Finance[Xero Invoice No]&lt;&gt;"")*tbl_Finance[Date]))=0,"",SUMPRODUCT(MAX((tbl_Finance[Job Number]&amp;""=C310&amp;"")*(tbl_Finance[Xero Invoice No]&lt;&gt;"")*tbl_Finance[Date]))),""))</f>
        <v/>
      </c>
      <c r="B310" s="25">
        <f>IF(C310="","",IF(COUNTIFS(tbl_Finance[Job Number],C310&amp;"",tbl_Finance[Xero Invoice No],"&lt;&gt;")=0,"",IFERROR(IF(COUNTIFS(tbl_Finance[Job Number],C310&amp;"",tbl_Finance[Xero Invoice No],LOOKUP(2,1/((tbl_Finance[Job Number]&amp;""=C310&amp;"")*(tbl_Finance[Xero Invoice No]&lt;&gt;"")),tbl_Finance[Xero Invoice No]))=COUNTIFS(tbl_Finance[Job Number],C310&amp;"",tbl_Finance[Xero Invoice No],"&lt;&gt;"),LOOKUP(2,1/((tbl_Finance[Job Number]&amp;""=C310&amp;"")*(tbl_Finance[Xero Invoice No]&lt;&gt;"")),tbl_Finance[Xero Invoice No]),LOOKUP(2,1/((tbl_Finance[Job Number]&amp;""=C310&amp;"")*(tbl_Finance[Xero Invoice No]&lt;&gt;"")),tbl_Finance[Xero Invoice No])&amp;" +more"),"")))</f>
        <v/>
      </c>
      <c r="C310" s="24" t="n"/>
      <c r="D310" s="25">
        <f>IF(C310="","",IF(COUNTIF(lst_Jobs,C310&amp;"")&gt;0,"OK","CHECK"))</f>
        <v/>
      </c>
      <c r="E310" s="25">
        <f>IF(C310="","",IFERROR(INDEX(lst_JobName,MATCH(C310&amp;"",lst_Jobs,0)),""))</f>
        <v/>
      </c>
      <c r="F310" s="25">
        <f>IF(C310="","",IFERROR(INDEX(tbl_Finance[Client],IFERROR(MATCH(C310&amp;"",tbl_Finance[Job Number],0),MATCH(IFERROR(C310+0,C310),tbl_Finance[Job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6" t="n"/>
      <c r="L310" s="27">
        <f>IF(C310="","",IF(K310="",0,MAX(0,K310-H310)))</f>
        <v/>
      </c>
      <c r="M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N310" s="27">
        <f>IF(C310="","",SUMIFS(tbl_Finance[Inc GST],tbl_Finance[Job Number],C310&amp;""))</f>
        <v/>
      </c>
      <c r="O310" s="24" t="n"/>
      <c r="P310" s="25">
        <f>IF(C310="","",IFERROR(INDEX(tbl_Finance[Description],MATCH(C310&amp;"",tbl_Finance[Job Number],0)),""))</f>
        <v/>
      </c>
      <c r="Q310" s="24" t="n"/>
      <c r="R310" s="24" t="n"/>
      <c r="S310" s="22" t="n"/>
      <c r="T310" s="24" t="n"/>
      <c r="U310" s="25">
        <f>IF(T310="","",IF(AND(LEFT(T310,4)&lt;&gt;"http",set_RMSBase=""),"",HYPERLINK(IF(LEFT(T310,4)="http",T310,set_RMSBase&amp;T310),"Open opportunity")))</f>
        <v/>
      </c>
      <c r="V310" s="24" t="n"/>
      <c r="W310" s="25">
        <f>IF(V310="","",HYPERLINK(IF(LEFT(V310,4)="http",V310,set_QwilrBase&amp;V310),"Open quote"))</f>
        <v/>
      </c>
      <c r="X310" s="25">
        <f>IF(C310="","",C310)</f>
        <v/>
      </c>
      <c r="Y310" s="24" t="n"/>
      <c r="Z310" s="26" t="n"/>
      <c r="AA310" s="27">
        <f>IF(C310="","",H310+N(Z310))</f>
        <v/>
      </c>
      <c r="AB310" s="29">
        <f>IFERROR(Z310/AA310,"")</f>
        <v/>
      </c>
      <c r="AC310" s="26" t="n"/>
      <c r="AD310" s="26" t="n"/>
      <c r="AE310" s="26" t="n"/>
      <c r="AF310" s="26" t="n"/>
      <c r="AG310" s="27">
        <f>IF(C310="","",SUMIFS(tbl_Finance[Ex GST],tbl_Finance[Job Number],C310&amp;"",tbl_Finance[Cost Centre],"VIDEO"))</f>
        <v/>
      </c>
      <c r="AH310" s="29">
        <f>IFERROR(AG310/H310,"")</f>
        <v/>
      </c>
      <c r="AI310" s="27">
        <f>IF(C310="","",N(AC310)+N(AD310)+N(AE310)+N(AF310))</f>
        <v/>
      </c>
      <c r="AJ310" s="27">
        <f>IF(C310="","",H310+L310-AI310)</f>
        <v/>
      </c>
      <c r="AK310" s="29">
        <f>IFERROR(AJ310/(H310+L310),"")</f>
        <v/>
      </c>
      <c r="AL310" s="71" t="n"/>
      <c r="AM310" s="71" t="n"/>
      <c r="AN310" s="71" t="n"/>
      <c r="AO310" s="71" t="n"/>
      <c r="AP310" s="71" t="n"/>
      <c r="AQ310" s="24" t="n"/>
    </row>
    <row r="311" ht="15" customHeight="1">
      <c r="A311" s="70">
        <f>IF(C311="","",IFERROR(IF(SUMPRODUCT(MAX((tbl_Finance[Job Number]&amp;""=C311&amp;"")*(tbl_Finance[Xero Invoice No]&lt;&gt;"")*tbl_Finance[Date]))=0,"",SUMPRODUCT(MAX((tbl_Finance[Job Number]&amp;""=C311&amp;"")*(tbl_Finance[Xero Invoice No]&lt;&gt;"")*tbl_Finance[Date]))),""))</f>
        <v/>
      </c>
      <c r="B311" s="25">
        <f>IF(C311="","",IF(COUNTIFS(tbl_Finance[Job Number],C311&amp;"",tbl_Finance[Xero Invoice No],"&lt;&gt;")=0,"",IFERROR(IF(COUNTIFS(tbl_Finance[Job Number],C311&amp;"",tbl_Finance[Xero Invoice No],LOOKUP(2,1/((tbl_Finance[Job Number]&amp;""=C311&amp;"")*(tbl_Finance[Xero Invoice No]&lt;&gt;"")),tbl_Finance[Xero Invoice No]))=COUNTIFS(tbl_Finance[Job Number],C311&amp;"",tbl_Finance[Xero Invoice No],"&lt;&gt;"),LOOKUP(2,1/((tbl_Finance[Job Number]&amp;""=C311&amp;"")*(tbl_Finance[Xero Invoice No]&lt;&gt;"")),tbl_Finance[Xero Invoice No]),LOOKUP(2,1/((tbl_Finance[Job Number]&amp;""=C311&amp;"")*(tbl_Finance[Xero Invoice No]&lt;&gt;"")),tbl_Finance[Xero Invoice No])&amp;" +more"),"")))</f>
        <v/>
      </c>
      <c r="C311" s="24" t="n"/>
      <c r="D311" s="25">
        <f>IF(C311="","",IF(COUNTIF(lst_Jobs,C311&amp;"")&gt;0,"OK","CHECK"))</f>
        <v/>
      </c>
      <c r="E311" s="25">
        <f>IF(C311="","",IFERROR(INDEX(lst_JobName,MATCH(C311&amp;"",lst_Jobs,0)),""))</f>
        <v/>
      </c>
      <c r="F311" s="25">
        <f>IF(C311="","",IFERROR(INDEX(tbl_Finance[Client],IFERROR(MATCH(C311&amp;"",tbl_Finance[Job Number],0),MATCH(IFERROR(C311+0,C311),tbl_Finance[Job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6" t="n"/>
      <c r="L311" s="27">
        <f>IF(C311="","",IF(K311="",0,MAX(0,K311-H311)))</f>
        <v/>
      </c>
      <c r="M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N311" s="27">
        <f>IF(C311="","",SUMIFS(tbl_Finance[Inc GST],tbl_Finance[Job Number],C311&amp;""))</f>
        <v/>
      </c>
      <c r="O311" s="24" t="n"/>
      <c r="P311" s="25">
        <f>IF(C311="","",IFERROR(INDEX(tbl_Finance[Description],MATCH(C311&amp;"",tbl_Finance[Job Number],0)),""))</f>
        <v/>
      </c>
      <c r="Q311" s="24" t="n"/>
      <c r="R311" s="24" t="n"/>
      <c r="S311" s="22" t="n"/>
      <c r="T311" s="24" t="n"/>
      <c r="U311" s="25">
        <f>IF(T311="","",IF(AND(LEFT(T311,4)&lt;&gt;"http",set_RMSBase=""),"",HYPERLINK(IF(LEFT(T311,4)="http",T311,set_RMSBase&amp;T311),"Open opportunity")))</f>
        <v/>
      </c>
      <c r="V311" s="24" t="n"/>
      <c r="W311" s="25">
        <f>IF(V311="","",HYPERLINK(IF(LEFT(V311,4)="http",V311,set_QwilrBase&amp;V311),"Open quote"))</f>
        <v/>
      </c>
      <c r="X311" s="25">
        <f>IF(C311="","",C311)</f>
        <v/>
      </c>
      <c r="Y311" s="24" t="n"/>
      <c r="Z311" s="26" t="n"/>
      <c r="AA311" s="27">
        <f>IF(C311="","",H311+N(Z311))</f>
        <v/>
      </c>
      <c r="AB311" s="29">
        <f>IFERROR(Z311/AA311,"")</f>
        <v/>
      </c>
      <c r="AC311" s="26" t="n"/>
      <c r="AD311" s="26" t="n"/>
      <c r="AE311" s="26" t="n"/>
      <c r="AF311" s="26" t="n"/>
      <c r="AG311" s="27">
        <f>IF(C311="","",SUMIFS(tbl_Finance[Ex GST],tbl_Finance[Job Number],C311&amp;"",tbl_Finance[Cost Centre],"VIDEO"))</f>
        <v/>
      </c>
      <c r="AH311" s="29">
        <f>IFERROR(AG311/H311,"")</f>
        <v/>
      </c>
      <c r="AI311" s="27">
        <f>IF(C311="","",N(AC311)+N(AD311)+N(AE311)+N(AF311))</f>
        <v/>
      </c>
      <c r="AJ311" s="27">
        <f>IF(C311="","",H311+L311-AI311)</f>
        <v/>
      </c>
      <c r="AK311" s="29">
        <f>IFERROR(AJ311/(H311+L311),"")</f>
        <v/>
      </c>
      <c r="AL311" s="71" t="n"/>
      <c r="AM311" s="71" t="n"/>
      <c r="AN311" s="71" t="n"/>
      <c r="AO311" s="71" t="n"/>
      <c r="AP311" s="71" t="n"/>
      <c r="AQ311" s="24" t="n"/>
    </row>
    <row r="312" ht="15" customHeight="1">
      <c r="A312" s="70">
        <f>IF(C312="","",IFERROR(IF(SUMPRODUCT(MAX((tbl_Finance[Job Number]&amp;""=C312&amp;"")*(tbl_Finance[Xero Invoice No]&lt;&gt;"")*tbl_Finance[Date]))=0,"",SUMPRODUCT(MAX((tbl_Finance[Job Number]&amp;""=C312&amp;"")*(tbl_Finance[Xero Invoice No]&lt;&gt;"")*tbl_Finance[Date]))),""))</f>
        <v/>
      </c>
      <c r="B312" s="25">
        <f>IF(C312="","",IF(COUNTIFS(tbl_Finance[Job Number],C312&amp;"",tbl_Finance[Xero Invoice No],"&lt;&gt;")=0,"",IFERROR(IF(COUNTIFS(tbl_Finance[Job Number],C312&amp;"",tbl_Finance[Xero Invoice No],LOOKUP(2,1/((tbl_Finance[Job Number]&amp;""=C312&amp;"")*(tbl_Finance[Xero Invoice No]&lt;&gt;"")),tbl_Finance[Xero Invoice No]))=COUNTIFS(tbl_Finance[Job Number],C312&amp;"",tbl_Finance[Xero Invoice No],"&lt;&gt;"),LOOKUP(2,1/((tbl_Finance[Job Number]&amp;""=C312&amp;"")*(tbl_Finance[Xero Invoice No]&lt;&gt;"")),tbl_Finance[Xero Invoice No]),LOOKUP(2,1/((tbl_Finance[Job Number]&amp;""=C312&amp;"")*(tbl_Finance[Xero Invoice No]&lt;&gt;"")),tbl_Finance[Xero Invoice No])&amp;" +more"),"")))</f>
        <v/>
      </c>
      <c r="C312" s="24" t="n"/>
      <c r="D312" s="25">
        <f>IF(C312="","",IF(COUNTIF(lst_Jobs,C312&amp;"")&gt;0,"OK","CHECK"))</f>
        <v/>
      </c>
      <c r="E312" s="25">
        <f>IF(C312="","",IFERROR(INDEX(lst_JobName,MATCH(C312&amp;"",lst_Jobs,0)),""))</f>
        <v/>
      </c>
      <c r="F312" s="25">
        <f>IF(C312="","",IFERROR(INDEX(tbl_Finance[Client],IFERROR(MATCH(C312&amp;"",tbl_Finance[Job Number],0),MATCH(IFERROR(C312+0,C312),tbl_Finance[Job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6" t="n"/>
      <c r="L312" s="27">
        <f>IF(C312="","",IF(K312="",0,MAX(0,K312-H312)))</f>
        <v/>
      </c>
      <c r="M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N312" s="27">
        <f>IF(C312="","",SUMIFS(tbl_Finance[Inc GST],tbl_Finance[Job Number],C312&amp;""))</f>
        <v/>
      </c>
      <c r="O312" s="24" t="n"/>
      <c r="P312" s="25">
        <f>IF(C312="","",IFERROR(INDEX(tbl_Finance[Description],MATCH(C312&amp;"",tbl_Finance[Job Number],0)),""))</f>
        <v/>
      </c>
      <c r="Q312" s="24" t="n"/>
      <c r="R312" s="24" t="n"/>
      <c r="S312" s="22" t="n"/>
      <c r="T312" s="24" t="n"/>
      <c r="U312" s="25">
        <f>IF(T312="","",IF(AND(LEFT(T312,4)&lt;&gt;"http",set_RMSBase=""),"",HYPERLINK(IF(LEFT(T312,4)="http",T312,set_RMSBase&amp;T312),"Open opportunity")))</f>
        <v/>
      </c>
      <c r="V312" s="24" t="n"/>
      <c r="W312" s="25">
        <f>IF(V312="","",HYPERLINK(IF(LEFT(V312,4)="http",V312,set_QwilrBase&amp;V312),"Open quote"))</f>
        <v/>
      </c>
      <c r="X312" s="25">
        <f>IF(C312="","",C312)</f>
        <v/>
      </c>
      <c r="Y312" s="24" t="n"/>
      <c r="Z312" s="26" t="n"/>
      <c r="AA312" s="27">
        <f>IF(C312="","",H312+N(Z312))</f>
        <v/>
      </c>
      <c r="AB312" s="29">
        <f>IFERROR(Z312/AA312,"")</f>
        <v/>
      </c>
      <c r="AC312" s="26" t="n"/>
      <c r="AD312" s="26" t="n"/>
      <c r="AE312" s="26" t="n"/>
      <c r="AF312" s="26" t="n"/>
      <c r="AG312" s="27">
        <f>IF(C312="","",SUMIFS(tbl_Finance[Ex GST],tbl_Finance[Job Number],C312&amp;"",tbl_Finance[Cost Centre],"VIDEO"))</f>
        <v/>
      </c>
      <c r="AH312" s="29">
        <f>IFERROR(AG312/H312,"")</f>
        <v/>
      </c>
      <c r="AI312" s="27">
        <f>IF(C312="","",N(AC312)+N(AD312)+N(AE312)+N(AF312))</f>
        <v/>
      </c>
      <c r="AJ312" s="27">
        <f>IF(C312="","",H312+L312-AI312)</f>
        <v/>
      </c>
      <c r="AK312" s="29">
        <f>IFERROR(AJ312/(H312+L312),"")</f>
        <v/>
      </c>
      <c r="AL312" s="71" t="n"/>
      <c r="AM312" s="71" t="n"/>
      <c r="AN312" s="71" t="n"/>
      <c r="AO312" s="71" t="n"/>
      <c r="AP312" s="71" t="n"/>
      <c r="AQ312" s="24" t="n"/>
    </row>
    <row r="313" ht="15" customHeight="1">
      <c r="A313" s="70">
        <f>IF(C313="","",IFERROR(IF(SUMPRODUCT(MAX((tbl_Finance[Job Number]&amp;""=C313&amp;"")*(tbl_Finance[Xero Invoice No]&lt;&gt;"")*tbl_Finance[Date]))=0,"",SUMPRODUCT(MAX((tbl_Finance[Job Number]&amp;""=C313&amp;"")*(tbl_Finance[Xero Invoice No]&lt;&gt;"")*tbl_Finance[Date]))),""))</f>
        <v/>
      </c>
      <c r="B313" s="25">
        <f>IF(C313="","",IF(COUNTIFS(tbl_Finance[Job Number],C313&amp;"",tbl_Finance[Xero Invoice No],"&lt;&gt;")=0,"",IFERROR(IF(COUNTIFS(tbl_Finance[Job Number],C313&amp;"",tbl_Finance[Xero Invoice No],LOOKUP(2,1/((tbl_Finance[Job Number]&amp;""=C313&amp;"")*(tbl_Finance[Xero Invoice No]&lt;&gt;"")),tbl_Finance[Xero Invoice No]))=COUNTIFS(tbl_Finance[Job Number],C313&amp;"",tbl_Finance[Xero Invoice No],"&lt;&gt;"),LOOKUP(2,1/((tbl_Finance[Job Number]&amp;""=C313&amp;"")*(tbl_Finance[Xero Invoice No]&lt;&gt;"")),tbl_Finance[Xero Invoice No]),LOOKUP(2,1/((tbl_Finance[Job Number]&amp;""=C313&amp;"")*(tbl_Finance[Xero Invoice No]&lt;&gt;"")),tbl_Finance[Xero Invoice No])&amp;" +more"),"")))</f>
        <v/>
      </c>
      <c r="C313" s="24" t="n"/>
      <c r="D313" s="25">
        <f>IF(C313="","",IF(COUNTIF(lst_Jobs,C313&amp;"")&gt;0,"OK","CHECK"))</f>
        <v/>
      </c>
      <c r="E313" s="25">
        <f>IF(C313="","",IFERROR(INDEX(lst_JobName,MATCH(C313&amp;"",lst_Jobs,0)),""))</f>
        <v/>
      </c>
      <c r="F313" s="25">
        <f>IF(C313="","",IFERROR(INDEX(tbl_Finance[Client],IFERROR(MATCH(C313&amp;"",tbl_Finance[Job Number],0),MATCH(IFERROR(C313+0,C313),tbl_Finance[Job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6" t="n"/>
      <c r="L313" s="27">
        <f>IF(C313="","",IF(K313="",0,MAX(0,K313-H313)))</f>
        <v/>
      </c>
      <c r="M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N313" s="27">
        <f>IF(C313="","",SUMIFS(tbl_Finance[Inc GST],tbl_Finance[Job Number],C313&amp;""))</f>
        <v/>
      </c>
      <c r="O313" s="24" t="n"/>
      <c r="P313" s="25">
        <f>IF(C313="","",IFERROR(INDEX(tbl_Finance[Description],MATCH(C313&amp;"",tbl_Finance[Job Number],0)),""))</f>
        <v/>
      </c>
      <c r="Q313" s="24" t="n"/>
      <c r="R313" s="24" t="n"/>
      <c r="S313" s="22" t="n"/>
      <c r="T313" s="24" t="n"/>
      <c r="U313" s="25">
        <f>IF(T313="","",IF(AND(LEFT(T313,4)&lt;&gt;"http",set_RMSBase=""),"",HYPERLINK(IF(LEFT(T313,4)="http",T313,set_RMSBase&amp;T313),"Open opportunity")))</f>
        <v/>
      </c>
      <c r="V313" s="24" t="n"/>
      <c r="W313" s="25">
        <f>IF(V313="","",HYPERLINK(IF(LEFT(V313,4)="http",V313,set_QwilrBase&amp;V313),"Open quote"))</f>
        <v/>
      </c>
      <c r="X313" s="25">
        <f>IF(C313="","",C313)</f>
        <v/>
      </c>
      <c r="Y313" s="24" t="n"/>
      <c r="Z313" s="26" t="n"/>
      <c r="AA313" s="27">
        <f>IF(C313="","",H313+N(Z313))</f>
        <v/>
      </c>
      <c r="AB313" s="29">
        <f>IFERROR(Z313/AA313,"")</f>
        <v/>
      </c>
      <c r="AC313" s="26" t="n"/>
      <c r="AD313" s="26" t="n"/>
      <c r="AE313" s="26" t="n"/>
      <c r="AF313" s="26" t="n"/>
      <c r="AG313" s="27">
        <f>IF(C313="","",SUMIFS(tbl_Finance[Ex GST],tbl_Finance[Job Number],C313&amp;"",tbl_Finance[Cost Centre],"VIDEO"))</f>
        <v/>
      </c>
      <c r="AH313" s="29">
        <f>IFERROR(AG313/H313,"")</f>
        <v/>
      </c>
      <c r="AI313" s="27">
        <f>IF(C313="","",N(AC313)+N(AD313)+N(AE313)+N(AF313))</f>
        <v/>
      </c>
      <c r="AJ313" s="27">
        <f>IF(C313="","",H313+L313-AI313)</f>
        <v/>
      </c>
      <c r="AK313" s="29">
        <f>IFERROR(AJ313/(H313+L313),"")</f>
        <v/>
      </c>
      <c r="AL313" s="71" t="n"/>
      <c r="AM313" s="71" t="n"/>
      <c r="AN313" s="71" t="n"/>
      <c r="AO313" s="71" t="n"/>
      <c r="AP313" s="71" t="n"/>
      <c r="AQ313" s="24" t="n"/>
    </row>
    <row r="314" ht="15" customHeight="1">
      <c r="A314" s="70">
        <f>IF(C314="","",IFERROR(IF(SUMPRODUCT(MAX((tbl_Finance[Job Number]&amp;""=C314&amp;"")*(tbl_Finance[Xero Invoice No]&lt;&gt;"")*tbl_Finance[Date]))=0,"",SUMPRODUCT(MAX((tbl_Finance[Job Number]&amp;""=C314&amp;"")*(tbl_Finance[Xero Invoice No]&lt;&gt;"")*tbl_Finance[Date]))),""))</f>
        <v/>
      </c>
      <c r="B314" s="25">
        <f>IF(C314="","",IF(COUNTIFS(tbl_Finance[Job Number],C314&amp;"",tbl_Finance[Xero Invoice No],"&lt;&gt;")=0,"",IFERROR(IF(COUNTIFS(tbl_Finance[Job Number],C314&amp;"",tbl_Finance[Xero Invoice No],LOOKUP(2,1/((tbl_Finance[Job Number]&amp;""=C314&amp;"")*(tbl_Finance[Xero Invoice No]&lt;&gt;"")),tbl_Finance[Xero Invoice No]))=COUNTIFS(tbl_Finance[Job Number],C314&amp;"",tbl_Finance[Xero Invoice No],"&lt;&gt;"),LOOKUP(2,1/((tbl_Finance[Job Number]&amp;""=C314&amp;"")*(tbl_Finance[Xero Invoice No]&lt;&gt;"")),tbl_Finance[Xero Invoice No]),LOOKUP(2,1/((tbl_Finance[Job Number]&amp;""=C314&amp;"")*(tbl_Finance[Xero Invoice No]&lt;&gt;"")),tbl_Finance[Xero Invoice No])&amp;" +more"),"")))</f>
        <v/>
      </c>
      <c r="C314" s="24" t="n"/>
      <c r="D314" s="25">
        <f>IF(C314="","",IF(COUNTIF(lst_Jobs,C314&amp;"")&gt;0,"OK","CHECK"))</f>
        <v/>
      </c>
      <c r="E314" s="25">
        <f>IF(C314="","",IFERROR(INDEX(lst_JobName,MATCH(C314&amp;"",lst_Jobs,0)),""))</f>
        <v/>
      </c>
      <c r="F314" s="25">
        <f>IF(C314="","",IFERROR(INDEX(tbl_Finance[Client],IFERROR(MATCH(C314&amp;"",tbl_Finance[Job Number],0),MATCH(IFERROR(C314+0,C314),tbl_Finance[Job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6" t="n"/>
      <c r="L314" s="27">
        <f>IF(C314="","",IF(K314="",0,MAX(0,K314-H314)))</f>
        <v/>
      </c>
      <c r="M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N314" s="27">
        <f>IF(C314="","",SUMIFS(tbl_Finance[Inc GST],tbl_Finance[Job Number],C314&amp;""))</f>
        <v/>
      </c>
      <c r="O314" s="24" t="n"/>
      <c r="P314" s="25">
        <f>IF(C314="","",IFERROR(INDEX(tbl_Finance[Description],MATCH(C314&amp;"",tbl_Finance[Job Number],0)),""))</f>
        <v/>
      </c>
      <c r="Q314" s="24" t="n"/>
      <c r="R314" s="24" t="n"/>
      <c r="S314" s="22" t="n"/>
      <c r="T314" s="24" t="n"/>
      <c r="U314" s="25">
        <f>IF(T314="","",IF(AND(LEFT(T314,4)&lt;&gt;"http",set_RMSBase=""),"",HYPERLINK(IF(LEFT(T314,4)="http",T314,set_RMSBase&amp;T314),"Open opportunity")))</f>
        <v/>
      </c>
      <c r="V314" s="24" t="n"/>
      <c r="W314" s="25">
        <f>IF(V314="","",HYPERLINK(IF(LEFT(V314,4)="http",V314,set_QwilrBase&amp;V314),"Open quote"))</f>
        <v/>
      </c>
      <c r="X314" s="25">
        <f>IF(C314="","",C314)</f>
        <v/>
      </c>
      <c r="Y314" s="24" t="n"/>
      <c r="Z314" s="26" t="n"/>
      <c r="AA314" s="27">
        <f>IF(C314="","",H314+N(Z314))</f>
        <v/>
      </c>
      <c r="AB314" s="29">
        <f>IFERROR(Z314/AA314,"")</f>
        <v/>
      </c>
      <c r="AC314" s="26" t="n"/>
      <c r="AD314" s="26" t="n"/>
      <c r="AE314" s="26" t="n"/>
      <c r="AF314" s="26" t="n"/>
      <c r="AG314" s="27">
        <f>IF(C314="","",SUMIFS(tbl_Finance[Ex GST],tbl_Finance[Job Number],C314&amp;"",tbl_Finance[Cost Centre],"VIDEO"))</f>
        <v/>
      </c>
      <c r="AH314" s="29">
        <f>IFERROR(AG314/H314,"")</f>
        <v/>
      </c>
      <c r="AI314" s="27">
        <f>IF(C314="","",N(AC314)+N(AD314)+N(AE314)+N(AF314))</f>
        <v/>
      </c>
      <c r="AJ314" s="27">
        <f>IF(C314="","",H314+L314-AI314)</f>
        <v/>
      </c>
      <c r="AK314" s="29">
        <f>IFERROR(AJ314/(H314+L314),"")</f>
        <v/>
      </c>
      <c r="AL314" s="71" t="n"/>
      <c r="AM314" s="71" t="n"/>
      <c r="AN314" s="71" t="n"/>
      <c r="AO314" s="71" t="n"/>
      <c r="AP314" s="71" t="n"/>
      <c r="AQ314" s="24" t="n"/>
    </row>
    <row r="315" ht="15" customHeight="1">
      <c r="A315" s="70">
        <f>IF(C315="","",IFERROR(IF(SUMPRODUCT(MAX((tbl_Finance[Job Number]&amp;""=C315&amp;"")*(tbl_Finance[Xero Invoice No]&lt;&gt;"")*tbl_Finance[Date]))=0,"",SUMPRODUCT(MAX((tbl_Finance[Job Number]&amp;""=C315&amp;"")*(tbl_Finance[Xero Invoice No]&lt;&gt;"")*tbl_Finance[Date]))),""))</f>
        <v/>
      </c>
      <c r="B315" s="25">
        <f>IF(C315="","",IF(COUNTIFS(tbl_Finance[Job Number],C315&amp;"",tbl_Finance[Xero Invoice No],"&lt;&gt;")=0,"",IFERROR(IF(COUNTIFS(tbl_Finance[Job Number],C315&amp;"",tbl_Finance[Xero Invoice No],LOOKUP(2,1/((tbl_Finance[Job Number]&amp;""=C315&amp;"")*(tbl_Finance[Xero Invoice No]&lt;&gt;"")),tbl_Finance[Xero Invoice No]))=COUNTIFS(tbl_Finance[Job Number],C315&amp;"",tbl_Finance[Xero Invoice No],"&lt;&gt;"),LOOKUP(2,1/((tbl_Finance[Job Number]&amp;""=C315&amp;"")*(tbl_Finance[Xero Invoice No]&lt;&gt;"")),tbl_Finance[Xero Invoice No]),LOOKUP(2,1/((tbl_Finance[Job Number]&amp;""=C315&amp;"")*(tbl_Finance[Xero Invoice No]&lt;&gt;"")),tbl_Finance[Xero Invoice No])&amp;" +more"),"")))</f>
        <v/>
      </c>
      <c r="C315" s="24" t="n"/>
      <c r="D315" s="25">
        <f>IF(C315="","",IF(COUNTIF(lst_Jobs,C315&amp;"")&gt;0,"OK","CHECK"))</f>
        <v/>
      </c>
      <c r="E315" s="25">
        <f>IF(C315="","",IFERROR(INDEX(lst_JobName,MATCH(C315&amp;"",lst_Jobs,0)),""))</f>
        <v/>
      </c>
      <c r="F315" s="25">
        <f>IF(C315="","",IFERROR(INDEX(tbl_Finance[Client],IFERROR(MATCH(C315&amp;"",tbl_Finance[Job Number],0),MATCH(IFERROR(C315+0,C315),tbl_Finance[Job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6" t="n"/>
      <c r="L315" s="27">
        <f>IF(C315="","",IF(K315="",0,MAX(0,K315-H315)))</f>
        <v/>
      </c>
      <c r="M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N315" s="27">
        <f>IF(C315="","",SUMIFS(tbl_Finance[Inc GST],tbl_Finance[Job Number],C315&amp;""))</f>
        <v/>
      </c>
      <c r="O315" s="24" t="n"/>
      <c r="P315" s="25">
        <f>IF(C315="","",IFERROR(INDEX(tbl_Finance[Description],MATCH(C315&amp;"",tbl_Finance[Job Number],0)),""))</f>
        <v/>
      </c>
      <c r="Q315" s="24" t="n"/>
      <c r="R315" s="24" t="n"/>
      <c r="S315" s="22" t="n"/>
      <c r="T315" s="24" t="n"/>
      <c r="U315" s="25">
        <f>IF(T315="","",IF(AND(LEFT(T315,4)&lt;&gt;"http",set_RMSBase=""),"",HYPERLINK(IF(LEFT(T315,4)="http",T315,set_RMSBase&amp;T315),"Open opportunity")))</f>
        <v/>
      </c>
      <c r="V315" s="24" t="n"/>
      <c r="W315" s="25">
        <f>IF(V315="","",HYPERLINK(IF(LEFT(V315,4)="http",V315,set_QwilrBase&amp;V315),"Open quote"))</f>
        <v/>
      </c>
      <c r="X315" s="25">
        <f>IF(C315="","",C315)</f>
        <v/>
      </c>
      <c r="Y315" s="24" t="n"/>
      <c r="Z315" s="26" t="n"/>
      <c r="AA315" s="27">
        <f>IF(C315="","",H315+N(Z315))</f>
        <v/>
      </c>
      <c r="AB315" s="29">
        <f>IFERROR(Z315/AA315,"")</f>
        <v/>
      </c>
      <c r="AC315" s="26" t="n"/>
      <c r="AD315" s="26" t="n"/>
      <c r="AE315" s="26" t="n"/>
      <c r="AF315" s="26" t="n"/>
      <c r="AG315" s="27">
        <f>IF(C315="","",SUMIFS(tbl_Finance[Ex GST],tbl_Finance[Job Number],C315&amp;"",tbl_Finance[Cost Centre],"VIDEO"))</f>
        <v/>
      </c>
      <c r="AH315" s="29">
        <f>IFERROR(AG315/H315,"")</f>
        <v/>
      </c>
      <c r="AI315" s="27">
        <f>IF(C315="","",N(AC315)+N(AD315)+N(AE315)+N(AF315))</f>
        <v/>
      </c>
      <c r="AJ315" s="27">
        <f>IF(C315="","",H315+L315-AI315)</f>
        <v/>
      </c>
      <c r="AK315" s="29">
        <f>IFERROR(AJ315/(H315+L315),"")</f>
        <v/>
      </c>
      <c r="AL315" s="71" t="n"/>
      <c r="AM315" s="71" t="n"/>
      <c r="AN315" s="71" t="n"/>
      <c r="AO315" s="71" t="n"/>
      <c r="AP315" s="71" t="n"/>
      <c r="AQ315" s="24" t="n"/>
    </row>
    <row r="316" ht="15" customHeight="1">
      <c r="A316" s="70">
        <f>IF(C316="","",IFERROR(IF(SUMPRODUCT(MAX((tbl_Finance[Job Number]&amp;""=C316&amp;"")*(tbl_Finance[Xero Invoice No]&lt;&gt;"")*tbl_Finance[Date]))=0,"",SUMPRODUCT(MAX((tbl_Finance[Job Number]&amp;""=C316&amp;"")*(tbl_Finance[Xero Invoice No]&lt;&gt;"")*tbl_Finance[Date]))),""))</f>
        <v/>
      </c>
      <c r="B316" s="25">
        <f>IF(C316="","",IF(COUNTIFS(tbl_Finance[Job Number],C316&amp;"",tbl_Finance[Xero Invoice No],"&lt;&gt;")=0,"",IFERROR(IF(COUNTIFS(tbl_Finance[Job Number],C316&amp;"",tbl_Finance[Xero Invoice No],LOOKUP(2,1/((tbl_Finance[Job Number]&amp;""=C316&amp;"")*(tbl_Finance[Xero Invoice No]&lt;&gt;"")),tbl_Finance[Xero Invoice No]))=COUNTIFS(tbl_Finance[Job Number],C316&amp;"",tbl_Finance[Xero Invoice No],"&lt;&gt;"),LOOKUP(2,1/((tbl_Finance[Job Number]&amp;""=C316&amp;"")*(tbl_Finance[Xero Invoice No]&lt;&gt;"")),tbl_Finance[Xero Invoice No]),LOOKUP(2,1/((tbl_Finance[Job Number]&amp;""=C316&amp;"")*(tbl_Finance[Xero Invoice No]&lt;&gt;"")),tbl_Finance[Xero Invoice No])&amp;" +more"),"")))</f>
        <v/>
      </c>
      <c r="C316" s="24" t="n"/>
      <c r="D316" s="25">
        <f>IF(C316="","",IF(COUNTIF(lst_Jobs,C316&amp;"")&gt;0,"OK","CHECK"))</f>
        <v/>
      </c>
      <c r="E316" s="25">
        <f>IF(C316="","",IFERROR(INDEX(lst_JobName,MATCH(C316&amp;"",lst_Jobs,0)),""))</f>
        <v/>
      </c>
      <c r="F316" s="25">
        <f>IF(C316="","",IFERROR(INDEX(tbl_Finance[Client],IFERROR(MATCH(C316&amp;"",tbl_Finance[Job Number],0),MATCH(IFERROR(C316+0,C316),tbl_Finance[Job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6" t="n"/>
      <c r="L316" s="27">
        <f>IF(C316="","",IF(K316="",0,MAX(0,K316-H316)))</f>
        <v/>
      </c>
      <c r="M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N316" s="27">
        <f>IF(C316="","",SUMIFS(tbl_Finance[Inc GST],tbl_Finance[Job Number],C316&amp;""))</f>
        <v/>
      </c>
      <c r="O316" s="24" t="n"/>
      <c r="P316" s="25">
        <f>IF(C316="","",IFERROR(INDEX(tbl_Finance[Description],MATCH(C316&amp;"",tbl_Finance[Job Number],0)),""))</f>
        <v/>
      </c>
      <c r="Q316" s="24" t="n"/>
      <c r="R316" s="24" t="n"/>
      <c r="S316" s="22" t="n"/>
      <c r="T316" s="24" t="n"/>
      <c r="U316" s="25">
        <f>IF(T316="","",IF(AND(LEFT(T316,4)&lt;&gt;"http",set_RMSBase=""),"",HYPERLINK(IF(LEFT(T316,4)="http",T316,set_RMSBase&amp;T316),"Open opportunity")))</f>
        <v/>
      </c>
      <c r="V316" s="24" t="n"/>
      <c r="W316" s="25">
        <f>IF(V316="","",HYPERLINK(IF(LEFT(V316,4)="http",V316,set_QwilrBase&amp;V316),"Open quote"))</f>
        <v/>
      </c>
      <c r="X316" s="25">
        <f>IF(C316="","",C316)</f>
        <v/>
      </c>
      <c r="Y316" s="24" t="n"/>
      <c r="Z316" s="26" t="n"/>
      <c r="AA316" s="27">
        <f>IF(C316="","",H316+N(Z316))</f>
        <v/>
      </c>
      <c r="AB316" s="29">
        <f>IFERROR(Z316/AA316,"")</f>
        <v/>
      </c>
      <c r="AC316" s="26" t="n"/>
      <c r="AD316" s="26" t="n"/>
      <c r="AE316" s="26" t="n"/>
      <c r="AF316" s="26" t="n"/>
      <c r="AG316" s="27">
        <f>IF(C316="","",SUMIFS(tbl_Finance[Ex GST],tbl_Finance[Job Number],C316&amp;"",tbl_Finance[Cost Centre],"VIDEO"))</f>
        <v/>
      </c>
      <c r="AH316" s="29">
        <f>IFERROR(AG316/H316,"")</f>
        <v/>
      </c>
      <c r="AI316" s="27">
        <f>IF(C316="","",N(AC316)+N(AD316)+N(AE316)+N(AF316))</f>
        <v/>
      </c>
      <c r="AJ316" s="27">
        <f>IF(C316="","",H316+L316-AI316)</f>
        <v/>
      </c>
      <c r="AK316" s="29">
        <f>IFERROR(AJ316/(H316+L316),"")</f>
        <v/>
      </c>
      <c r="AL316" s="71" t="n"/>
      <c r="AM316" s="71" t="n"/>
      <c r="AN316" s="71" t="n"/>
      <c r="AO316" s="71" t="n"/>
      <c r="AP316" s="71" t="n"/>
      <c r="AQ316" s="24" t="n"/>
    </row>
    <row r="317" ht="15" customHeight="1">
      <c r="A317" s="70">
        <f>IF(C317="","",IFERROR(IF(SUMPRODUCT(MAX((tbl_Finance[Job Number]&amp;""=C317&amp;"")*(tbl_Finance[Xero Invoice No]&lt;&gt;"")*tbl_Finance[Date]))=0,"",SUMPRODUCT(MAX((tbl_Finance[Job Number]&amp;""=C317&amp;"")*(tbl_Finance[Xero Invoice No]&lt;&gt;"")*tbl_Finance[Date]))),""))</f>
        <v/>
      </c>
      <c r="B317" s="25">
        <f>IF(C317="","",IF(COUNTIFS(tbl_Finance[Job Number],C317&amp;"",tbl_Finance[Xero Invoice No],"&lt;&gt;")=0,"",IFERROR(IF(COUNTIFS(tbl_Finance[Job Number],C317&amp;"",tbl_Finance[Xero Invoice No],LOOKUP(2,1/((tbl_Finance[Job Number]&amp;""=C317&amp;"")*(tbl_Finance[Xero Invoice No]&lt;&gt;"")),tbl_Finance[Xero Invoice No]))=COUNTIFS(tbl_Finance[Job Number],C317&amp;"",tbl_Finance[Xero Invoice No],"&lt;&gt;"),LOOKUP(2,1/((tbl_Finance[Job Number]&amp;""=C317&amp;"")*(tbl_Finance[Xero Invoice No]&lt;&gt;"")),tbl_Finance[Xero Invoice No]),LOOKUP(2,1/((tbl_Finance[Job Number]&amp;""=C317&amp;"")*(tbl_Finance[Xero Invoice No]&lt;&gt;"")),tbl_Finance[Xero Invoice No])&amp;" +more"),"")))</f>
        <v/>
      </c>
      <c r="C317" s="24" t="n"/>
      <c r="D317" s="25">
        <f>IF(C317="","",IF(COUNTIF(lst_Jobs,C317&amp;"")&gt;0,"OK","CHECK"))</f>
        <v/>
      </c>
      <c r="E317" s="25">
        <f>IF(C317="","",IFERROR(INDEX(lst_JobName,MATCH(C317&amp;"",lst_Jobs,0)),""))</f>
        <v/>
      </c>
      <c r="F317" s="25">
        <f>IF(C317="","",IFERROR(INDEX(tbl_Finance[Client],IFERROR(MATCH(C317&amp;"",tbl_Finance[Job Number],0),MATCH(IFERROR(C317+0,C317),tbl_Finance[Job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6" t="n"/>
      <c r="L317" s="27">
        <f>IF(C317="","",IF(K317="",0,MAX(0,K317-H317)))</f>
        <v/>
      </c>
      <c r="M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N317" s="27">
        <f>IF(C317="","",SUMIFS(tbl_Finance[Inc GST],tbl_Finance[Job Number],C317&amp;""))</f>
        <v/>
      </c>
      <c r="O317" s="24" t="n"/>
      <c r="P317" s="25">
        <f>IF(C317="","",IFERROR(INDEX(tbl_Finance[Description],MATCH(C317&amp;"",tbl_Finance[Job Number],0)),""))</f>
        <v/>
      </c>
      <c r="Q317" s="24" t="n"/>
      <c r="R317" s="24" t="n"/>
      <c r="S317" s="22" t="n"/>
      <c r="T317" s="24" t="n"/>
      <c r="U317" s="25">
        <f>IF(T317="","",IF(AND(LEFT(T317,4)&lt;&gt;"http",set_RMSBase=""),"",HYPERLINK(IF(LEFT(T317,4)="http",T317,set_RMSBase&amp;T317),"Open opportunity")))</f>
        <v/>
      </c>
      <c r="V317" s="24" t="n"/>
      <c r="W317" s="25">
        <f>IF(V317="","",HYPERLINK(IF(LEFT(V317,4)="http",V317,set_QwilrBase&amp;V317),"Open quote"))</f>
        <v/>
      </c>
      <c r="X317" s="25">
        <f>IF(C317="","",C317)</f>
        <v/>
      </c>
      <c r="Y317" s="24" t="n"/>
      <c r="Z317" s="26" t="n"/>
      <c r="AA317" s="27">
        <f>IF(C317="","",H317+N(Z317))</f>
        <v/>
      </c>
      <c r="AB317" s="29">
        <f>IFERROR(Z317/AA317,"")</f>
        <v/>
      </c>
      <c r="AC317" s="26" t="n"/>
      <c r="AD317" s="26" t="n"/>
      <c r="AE317" s="26" t="n"/>
      <c r="AF317" s="26" t="n"/>
      <c r="AG317" s="27">
        <f>IF(C317="","",SUMIFS(tbl_Finance[Ex GST],tbl_Finance[Job Number],C317&amp;"",tbl_Finance[Cost Centre],"VIDEO"))</f>
        <v/>
      </c>
      <c r="AH317" s="29">
        <f>IFERROR(AG317/H317,"")</f>
        <v/>
      </c>
      <c r="AI317" s="27">
        <f>IF(C317="","",N(AC317)+N(AD317)+N(AE317)+N(AF317))</f>
        <v/>
      </c>
      <c r="AJ317" s="27">
        <f>IF(C317="","",H317+L317-AI317)</f>
        <v/>
      </c>
      <c r="AK317" s="29">
        <f>IFERROR(AJ317/(H317+L317),"")</f>
        <v/>
      </c>
      <c r="AL317" s="71" t="n"/>
      <c r="AM317" s="71" t="n"/>
      <c r="AN317" s="71" t="n"/>
      <c r="AO317" s="71" t="n"/>
      <c r="AP317" s="71" t="n"/>
      <c r="AQ317" s="24" t="n"/>
    </row>
    <row r="318" ht="15" customHeight="1">
      <c r="A318" s="70">
        <f>IF(C318="","",IFERROR(IF(SUMPRODUCT(MAX((tbl_Finance[Job Number]&amp;""=C318&amp;"")*(tbl_Finance[Xero Invoice No]&lt;&gt;"")*tbl_Finance[Date]))=0,"",SUMPRODUCT(MAX((tbl_Finance[Job Number]&amp;""=C318&amp;"")*(tbl_Finance[Xero Invoice No]&lt;&gt;"")*tbl_Finance[Date]))),""))</f>
        <v/>
      </c>
      <c r="B318" s="25">
        <f>IF(C318="","",IF(COUNTIFS(tbl_Finance[Job Number],C318&amp;"",tbl_Finance[Xero Invoice No],"&lt;&gt;")=0,"",IFERROR(IF(COUNTIFS(tbl_Finance[Job Number],C318&amp;"",tbl_Finance[Xero Invoice No],LOOKUP(2,1/((tbl_Finance[Job Number]&amp;""=C318&amp;"")*(tbl_Finance[Xero Invoice No]&lt;&gt;"")),tbl_Finance[Xero Invoice No]))=COUNTIFS(tbl_Finance[Job Number],C318&amp;"",tbl_Finance[Xero Invoice No],"&lt;&gt;"),LOOKUP(2,1/((tbl_Finance[Job Number]&amp;""=C318&amp;"")*(tbl_Finance[Xero Invoice No]&lt;&gt;"")),tbl_Finance[Xero Invoice No]),LOOKUP(2,1/((tbl_Finance[Job Number]&amp;""=C318&amp;"")*(tbl_Finance[Xero Invoice No]&lt;&gt;"")),tbl_Finance[Xero Invoice No])&amp;" +more"),"")))</f>
        <v/>
      </c>
      <c r="C318" s="24" t="n"/>
      <c r="D318" s="25">
        <f>IF(C318="","",IF(COUNTIF(lst_Jobs,C318&amp;"")&gt;0,"OK","CHECK"))</f>
        <v/>
      </c>
      <c r="E318" s="25">
        <f>IF(C318="","",IFERROR(INDEX(lst_JobName,MATCH(C318&amp;"",lst_Jobs,0)),""))</f>
        <v/>
      </c>
      <c r="F318" s="25">
        <f>IF(C318="","",IFERROR(INDEX(tbl_Finance[Client],IFERROR(MATCH(C318&amp;"",tbl_Finance[Job Number],0),MATCH(IFERROR(C318+0,C318),tbl_Finance[Job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6" t="n"/>
      <c r="L318" s="27">
        <f>IF(C318="","",IF(K318="",0,MAX(0,K318-H318)))</f>
        <v/>
      </c>
      <c r="M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N318" s="27">
        <f>IF(C318="","",SUMIFS(tbl_Finance[Inc GST],tbl_Finance[Job Number],C318&amp;""))</f>
        <v/>
      </c>
      <c r="O318" s="24" t="n"/>
      <c r="P318" s="25">
        <f>IF(C318="","",IFERROR(INDEX(tbl_Finance[Description],MATCH(C318&amp;"",tbl_Finance[Job Number],0)),""))</f>
        <v/>
      </c>
      <c r="Q318" s="24" t="n"/>
      <c r="R318" s="24" t="n"/>
      <c r="S318" s="22" t="n"/>
      <c r="T318" s="24" t="n"/>
      <c r="U318" s="25">
        <f>IF(T318="","",IF(AND(LEFT(T318,4)&lt;&gt;"http",set_RMSBase=""),"",HYPERLINK(IF(LEFT(T318,4)="http",T318,set_RMSBase&amp;T318),"Open opportunity")))</f>
        <v/>
      </c>
      <c r="V318" s="24" t="n"/>
      <c r="W318" s="25">
        <f>IF(V318="","",HYPERLINK(IF(LEFT(V318,4)="http",V318,set_QwilrBase&amp;V318),"Open quote"))</f>
        <v/>
      </c>
      <c r="X318" s="25">
        <f>IF(C318="","",C318)</f>
        <v/>
      </c>
      <c r="Y318" s="24" t="n"/>
      <c r="Z318" s="26" t="n"/>
      <c r="AA318" s="27">
        <f>IF(C318="","",H318+N(Z318))</f>
        <v/>
      </c>
      <c r="AB318" s="29">
        <f>IFERROR(Z318/AA318,"")</f>
        <v/>
      </c>
      <c r="AC318" s="26" t="n"/>
      <c r="AD318" s="26" t="n"/>
      <c r="AE318" s="26" t="n"/>
      <c r="AF318" s="26" t="n"/>
      <c r="AG318" s="27">
        <f>IF(C318="","",SUMIFS(tbl_Finance[Ex GST],tbl_Finance[Job Number],C318&amp;"",tbl_Finance[Cost Centre],"VIDEO"))</f>
        <v/>
      </c>
      <c r="AH318" s="29">
        <f>IFERROR(AG318/H318,"")</f>
        <v/>
      </c>
      <c r="AI318" s="27">
        <f>IF(C318="","",N(AC318)+N(AD318)+N(AE318)+N(AF318))</f>
        <v/>
      </c>
      <c r="AJ318" s="27">
        <f>IF(C318="","",H318+L318-AI318)</f>
        <v/>
      </c>
      <c r="AK318" s="29">
        <f>IFERROR(AJ318/(H318+L318),"")</f>
        <v/>
      </c>
      <c r="AL318" s="71" t="n"/>
      <c r="AM318" s="71" t="n"/>
      <c r="AN318" s="71" t="n"/>
      <c r="AO318" s="71" t="n"/>
      <c r="AP318" s="71" t="n"/>
      <c r="AQ318" s="24" t="n"/>
    </row>
    <row r="319" ht="15" customHeight="1">
      <c r="A319" s="70">
        <f>IF(C319="","",IFERROR(IF(SUMPRODUCT(MAX((tbl_Finance[Job Number]&amp;""=C319&amp;"")*(tbl_Finance[Xero Invoice No]&lt;&gt;"")*tbl_Finance[Date]))=0,"",SUMPRODUCT(MAX((tbl_Finance[Job Number]&amp;""=C319&amp;"")*(tbl_Finance[Xero Invoice No]&lt;&gt;"")*tbl_Finance[Date]))),""))</f>
        <v/>
      </c>
      <c r="B319" s="25">
        <f>IF(C319="","",IF(COUNTIFS(tbl_Finance[Job Number],C319&amp;"",tbl_Finance[Xero Invoice No],"&lt;&gt;")=0,"",IFERROR(IF(COUNTIFS(tbl_Finance[Job Number],C319&amp;"",tbl_Finance[Xero Invoice No],LOOKUP(2,1/((tbl_Finance[Job Number]&amp;""=C319&amp;"")*(tbl_Finance[Xero Invoice No]&lt;&gt;"")),tbl_Finance[Xero Invoice No]))=COUNTIFS(tbl_Finance[Job Number],C319&amp;"",tbl_Finance[Xero Invoice No],"&lt;&gt;"),LOOKUP(2,1/((tbl_Finance[Job Number]&amp;""=C319&amp;"")*(tbl_Finance[Xero Invoice No]&lt;&gt;"")),tbl_Finance[Xero Invoice No]),LOOKUP(2,1/((tbl_Finance[Job Number]&amp;""=C319&amp;"")*(tbl_Finance[Xero Invoice No]&lt;&gt;"")),tbl_Finance[Xero Invoice No])&amp;" +more"),"")))</f>
        <v/>
      </c>
      <c r="C319" s="24" t="n"/>
      <c r="D319" s="25">
        <f>IF(C319="","",IF(COUNTIF(lst_Jobs,C319&amp;"")&gt;0,"OK","CHECK"))</f>
        <v/>
      </c>
      <c r="E319" s="25">
        <f>IF(C319="","",IFERROR(INDEX(lst_JobName,MATCH(C319&amp;"",lst_Jobs,0)),""))</f>
        <v/>
      </c>
      <c r="F319" s="25">
        <f>IF(C319="","",IFERROR(INDEX(tbl_Finance[Client],IFERROR(MATCH(C319&amp;"",tbl_Finance[Job Number],0),MATCH(IFERROR(C319+0,C319),tbl_Finance[Job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6" t="n"/>
      <c r="L319" s="27">
        <f>IF(C319="","",IF(K319="",0,MAX(0,K319-H319)))</f>
        <v/>
      </c>
      <c r="M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N319" s="27">
        <f>IF(C319="","",SUMIFS(tbl_Finance[Inc GST],tbl_Finance[Job Number],C319&amp;""))</f>
        <v/>
      </c>
      <c r="O319" s="24" t="n"/>
      <c r="P319" s="25">
        <f>IF(C319="","",IFERROR(INDEX(tbl_Finance[Description],MATCH(C319&amp;"",tbl_Finance[Job Number],0)),""))</f>
        <v/>
      </c>
      <c r="Q319" s="24" t="n"/>
      <c r="R319" s="24" t="n"/>
      <c r="S319" s="22" t="n"/>
      <c r="T319" s="24" t="n"/>
      <c r="U319" s="25">
        <f>IF(T319="","",IF(AND(LEFT(T319,4)&lt;&gt;"http",set_RMSBase=""),"",HYPERLINK(IF(LEFT(T319,4)="http",T319,set_RMSBase&amp;T319),"Open opportunity")))</f>
        <v/>
      </c>
      <c r="V319" s="24" t="n"/>
      <c r="W319" s="25">
        <f>IF(V319="","",HYPERLINK(IF(LEFT(V319,4)="http",V319,set_QwilrBase&amp;V319),"Open quote"))</f>
        <v/>
      </c>
      <c r="X319" s="25">
        <f>IF(C319="","",C319)</f>
        <v/>
      </c>
      <c r="Y319" s="24" t="n"/>
      <c r="Z319" s="26" t="n"/>
      <c r="AA319" s="27">
        <f>IF(C319="","",H319+N(Z319))</f>
        <v/>
      </c>
      <c r="AB319" s="29">
        <f>IFERROR(Z319/AA319,"")</f>
        <v/>
      </c>
      <c r="AC319" s="26" t="n"/>
      <c r="AD319" s="26" t="n"/>
      <c r="AE319" s="26" t="n"/>
      <c r="AF319" s="26" t="n"/>
      <c r="AG319" s="27">
        <f>IF(C319="","",SUMIFS(tbl_Finance[Ex GST],tbl_Finance[Job Number],C319&amp;"",tbl_Finance[Cost Centre],"VIDEO"))</f>
        <v/>
      </c>
      <c r="AH319" s="29">
        <f>IFERROR(AG319/H319,"")</f>
        <v/>
      </c>
      <c r="AI319" s="27">
        <f>IF(C319="","",N(AC319)+N(AD319)+N(AE319)+N(AF319))</f>
        <v/>
      </c>
      <c r="AJ319" s="27">
        <f>IF(C319="","",H319+L319-AI319)</f>
        <v/>
      </c>
      <c r="AK319" s="29">
        <f>IFERROR(AJ319/(H319+L319),"")</f>
        <v/>
      </c>
      <c r="AL319" s="71" t="n"/>
      <c r="AM319" s="71" t="n"/>
      <c r="AN319" s="71" t="n"/>
      <c r="AO319" s="71" t="n"/>
      <c r="AP319" s="71" t="n"/>
      <c r="AQ319" s="24" t="n"/>
    </row>
    <row r="320" ht="15" customHeight="1">
      <c r="A320" s="70">
        <f>IF(C320="","",IFERROR(IF(SUMPRODUCT(MAX((tbl_Finance[Job Number]&amp;""=C320&amp;"")*(tbl_Finance[Xero Invoice No]&lt;&gt;"")*tbl_Finance[Date]))=0,"",SUMPRODUCT(MAX((tbl_Finance[Job Number]&amp;""=C320&amp;"")*(tbl_Finance[Xero Invoice No]&lt;&gt;"")*tbl_Finance[Date]))),""))</f>
        <v/>
      </c>
      <c r="B320" s="25">
        <f>IF(C320="","",IF(COUNTIFS(tbl_Finance[Job Number],C320&amp;"",tbl_Finance[Xero Invoice No],"&lt;&gt;")=0,"",IFERROR(IF(COUNTIFS(tbl_Finance[Job Number],C320&amp;"",tbl_Finance[Xero Invoice No],LOOKUP(2,1/((tbl_Finance[Job Number]&amp;""=C320&amp;"")*(tbl_Finance[Xero Invoice No]&lt;&gt;"")),tbl_Finance[Xero Invoice No]))=COUNTIFS(tbl_Finance[Job Number],C320&amp;"",tbl_Finance[Xero Invoice No],"&lt;&gt;"),LOOKUP(2,1/((tbl_Finance[Job Number]&amp;""=C320&amp;"")*(tbl_Finance[Xero Invoice No]&lt;&gt;"")),tbl_Finance[Xero Invoice No]),LOOKUP(2,1/((tbl_Finance[Job Number]&amp;""=C320&amp;"")*(tbl_Finance[Xero Invoice No]&lt;&gt;"")),tbl_Finance[Xero Invoice No])&amp;" +more"),"")))</f>
        <v/>
      </c>
      <c r="C320" s="24" t="n"/>
      <c r="D320" s="25">
        <f>IF(C320="","",IF(COUNTIF(lst_Jobs,C320&amp;"")&gt;0,"OK","CHECK"))</f>
        <v/>
      </c>
      <c r="E320" s="25">
        <f>IF(C320="","",IFERROR(INDEX(lst_JobName,MATCH(C320&amp;"",lst_Jobs,0)),""))</f>
        <v/>
      </c>
      <c r="F320" s="25">
        <f>IF(C320="","",IFERROR(INDEX(tbl_Finance[Client],IFERROR(MATCH(C320&amp;"",tbl_Finance[Job Number],0),MATCH(IFERROR(C320+0,C320),tbl_Finance[Job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6" t="n"/>
      <c r="L320" s="27">
        <f>IF(C320="","",IF(K320="",0,MAX(0,K320-H320)))</f>
        <v/>
      </c>
      <c r="M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N320" s="27">
        <f>IF(C320="","",SUMIFS(tbl_Finance[Inc GST],tbl_Finance[Job Number],C320&amp;""))</f>
        <v/>
      </c>
      <c r="O320" s="24" t="n"/>
      <c r="P320" s="25">
        <f>IF(C320="","",IFERROR(INDEX(tbl_Finance[Description],MATCH(C320&amp;"",tbl_Finance[Job Number],0)),""))</f>
        <v/>
      </c>
      <c r="Q320" s="24" t="n"/>
      <c r="R320" s="24" t="n"/>
      <c r="S320" s="22" t="n"/>
      <c r="T320" s="24" t="n"/>
      <c r="U320" s="25">
        <f>IF(T320="","",IF(AND(LEFT(T320,4)&lt;&gt;"http",set_RMSBase=""),"",HYPERLINK(IF(LEFT(T320,4)="http",T320,set_RMSBase&amp;T320),"Open opportunity")))</f>
        <v/>
      </c>
      <c r="V320" s="24" t="n"/>
      <c r="W320" s="25">
        <f>IF(V320="","",HYPERLINK(IF(LEFT(V320,4)="http",V320,set_QwilrBase&amp;V320),"Open quote"))</f>
        <v/>
      </c>
      <c r="X320" s="25">
        <f>IF(C320="","",C320)</f>
        <v/>
      </c>
      <c r="Y320" s="24" t="n"/>
      <c r="Z320" s="26" t="n"/>
      <c r="AA320" s="27">
        <f>IF(C320="","",H320+N(Z320))</f>
        <v/>
      </c>
      <c r="AB320" s="29">
        <f>IFERROR(Z320/AA320,"")</f>
        <v/>
      </c>
      <c r="AC320" s="26" t="n"/>
      <c r="AD320" s="26" t="n"/>
      <c r="AE320" s="26" t="n"/>
      <c r="AF320" s="26" t="n"/>
      <c r="AG320" s="27">
        <f>IF(C320="","",SUMIFS(tbl_Finance[Ex GST],tbl_Finance[Job Number],C320&amp;"",tbl_Finance[Cost Centre],"VIDEO"))</f>
        <v/>
      </c>
      <c r="AH320" s="29">
        <f>IFERROR(AG320/H320,"")</f>
        <v/>
      </c>
      <c r="AI320" s="27">
        <f>IF(C320="","",N(AC320)+N(AD320)+N(AE320)+N(AF320))</f>
        <v/>
      </c>
      <c r="AJ320" s="27">
        <f>IF(C320="","",H320+L320-AI320)</f>
        <v/>
      </c>
      <c r="AK320" s="29">
        <f>IFERROR(AJ320/(H320+L320),"")</f>
        <v/>
      </c>
      <c r="AL320" s="71" t="n"/>
      <c r="AM320" s="71" t="n"/>
      <c r="AN320" s="71" t="n"/>
      <c r="AO320" s="71" t="n"/>
      <c r="AP320" s="71" t="n"/>
      <c r="AQ320" s="24" t="n"/>
    </row>
    <row r="321" ht="15" customHeight="1">
      <c r="A321" s="70">
        <f>IF(C321="","",IFERROR(IF(SUMPRODUCT(MAX((tbl_Finance[Job Number]&amp;""=C321&amp;"")*(tbl_Finance[Xero Invoice No]&lt;&gt;"")*tbl_Finance[Date]))=0,"",SUMPRODUCT(MAX((tbl_Finance[Job Number]&amp;""=C321&amp;"")*(tbl_Finance[Xero Invoice No]&lt;&gt;"")*tbl_Finance[Date]))),""))</f>
        <v/>
      </c>
      <c r="B321" s="25">
        <f>IF(C321="","",IF(COUNTIFS(tbl_Finance[Job Number],C321&amp;"",tbl_Finance[Xero Invoice No],"&lt;&gt;")=0,"",IFERROR(IF(COUNTIFS(tbl_Finance[Job Number],C321&amp;"",tbl_Finance[Xero Invoice No],LOOKUP(2,1/((tbl_Finance[Job Number]&amp;""=C321&amp;"")*(tbl_Finance[Xero Invoice No]&lt;&gt;"")),tbl_Finance[Xero Invoice No]))=COUNTIFS(tbl_Finance[Job Number],C321&amp;"",tbl_Finance[Xero Invoice No],"&lt;&gt;"),LOOKUP(2,1/((tbl_Finance[Job Number]&amp;""=C321&amp;"")*(tbl_Finance[Xero Invoice No]&lt;&gt;"")),tbl_Finance[Xero Invoice No]),LOOKUP(2,1/((tbl_Finance[Job Number]&amp;""=C321&amp;"")*(tbl_Finance[Xero Invoice No]&lt;&gt;"")),tbl_Finance[Xero Invoice No])&amp;" +more"),"")))</f>
        <v/>
      </c>
      <c r="C321" s="24" t="n"/>
      <c r="D321" s="25">
        <f>IF(C321="","",IF(COUNTIF(lst_Jobs,C321&amp;"")&gt;0,"OK","CHECK"))</f>
        <v/>
      </c>
      <c r="E321" s="25">
        <f>IF(C321="","",IFERROR(INDEX(lst_JobName,MATCH(C321&amp;"",lst_Jobs,0)),""))</f>
        <v/>
      </c>
      <c r="F321" s="25">
        <f>IF(C321="","",IFERROR(INDEX(tbl_Finance[Client],IFERROR(MATCH(C321&amp;"",tbl_Finance[Job Number],0),MATCH(IFERROR(C321+0,C321),tbl_Finance[Job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6" t="n"/>
      <c r="L321" s="27">
        <f>IF(C321="","",IF(K321="",0,MAX(0,K321-H321)))</f>
        <v/>
      </c>
      <c r="M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N321" s="27">
        <f>IF(C321="","",SUMIFS(tbl_Finance[Inc GST],tbl_Finance[Job Number],C321&amp;""))</f>
        <v/>
      </c>
      <c r="O321" s="24" t="n"/>
      <c r="P321" s="25">
        <f>IF(C321="","",IFERROR(INDEX(tbl_Finance[Description],MATCH(C321&amp;"",tbl_Finance[Job Number],0)),""))</f>
        <v/>
      </c>
      <c r="Q321" s="24" t="n"/>
      <c r="R321" s="24" t="n"/>
      <c r="S321" s="22" t="n"/>
      <c r="T321" s="24" t="n"/>
      <c r="U321" s="25">
        <f>IF(T321="","",IF(AND(LEFT(T321,4)&lt;&gt;"http",set_RMSBase=""),"",HYPERLINK(IF(LEFT(T321,4)="http",T321,set_RMSBase&amp;T321),"Open opportunity")))</f>
        <v/>
      </c>
      <c r="V321" s="24" t="n"/>
      <c r="W321" s="25">
        <f>IF(V321="","",HYPERLINK(IF(LEFT(V321,4)="http",V321,set_QwilrBase&amp;V321),"Open quote"))</f>
        <v/>
      </c>
      <c r="X321" s="25">
        <f>IF(C321="","",C321)</f>
        <v/>
      </c>
      <c r="Y321" s="24" t="n"/>
      <c r="Z321" s="26" t="n"/>
      <c r="AA321" s="27">
        <f>IF(C321="","",H321+N(Z321))</f>
        <v/>
      </c>
      <c r="AB321" s="29">
        <f>IFERROR(Z321/AA321,"")</f>
        <v/>
      </c>
      <c r="AC321" s="26" t="n"/>
      <c r="AD321" s="26" t="n"/>
      <c r="AE321" s="26" t="n"/>
      <c r="AF321" s="26" t="n"/>
      <c r="AG321" s="27">
        <f>IF(C321="","",SUMIFS(tbl_Finance[Ex GST],tbl_Finance[Job Number],C321&amp;"",tbl_Finance[Cost Centre],"VIDEO"))</f>
        <v/>
      </c>
      <c r="AH321" s="29">
        <f>IFERROR(AG321/H321,"")</f>
        <v/>
      </c>
      <c r="AI321" s="27">
        <f>IF(C321="","",N(AC321)+N(AD321)+N(AE321)+N(AF321))</f>
        <v/>
      </c>
      <c r="AJ321" s="27">
        <f>IF(C321="","",H321+L321-AI321)</f>
        <v/>
      </c>
      <c r="AK321" s="29">
        <f>IFERROR(AJ321/(H321+L321),"")</f>
        <v/>
      </c>
      <c r="AL321" s="71" t="n"/>
      <c r="AM321" s="71" t="n"/>
      <c r="AN321" s="71" t="n"/>
      <c r="AO321" s="71" t="n"/>
      <c r="AP321" s="71" t="n"/>
      <c r="AQ321" s="24" t="n"/>
    </row>
    <row r="322" ht="15" customHeight="1">
      <c r="A322" s="70">
        <f>IF(C322="","",IFERROR(IF(SUMPRODUCT(MAX((tbl_Finance[Job Number]&amp;""=C322&amp;"")*(tbl_Finance[Xero Invoice No]&lt;&gt;"")*tbl_Finance[Date]))=0,"",SUMPRODUCT(MAX((tbl_Finance[Job Number]&amp;""=C322&amp;"")*(tbl_Finance[Xero Invoice No]&lt;&gt;"")*tbl_Finance[Date]))),""))</f>
        <v/>
      </c>
      <c r="B322" s="25">
        <f>IF(C322="","",IF(COUNTIFS(tbl_Finance[Job Number],C322&amp;"",tbl_Finance[Xero Invoice No],"&lt;&gt;")=0,"",IFERROR(IF(COUNTIFS(tbl_Finance[Job Number],C322&amp;"",tbl_Finance[Xero Invoice No],LOOKUP(2,1/((tbl_Finance[Job Number]&amp;""=C322&amp;"")*(tbl_Finance[Xero Invoice No]&lt;&gt;"")),tbl_Finance[Xero Invoice No]))=COUNTIFS(tbl_Finance[Job Number],C322&amp;"",tbl_Finance[Xero Invoice No],"&lt;&gt;"),LOOKUP(2,1/((tbl_Finance[Job Number]&amp;""=C322&amp;"")*(tbl_Finance[Xero Invoice No]&lt;&gt;"")),tbl_Finance[Xero Invoice No]),LOOKUP(2,1/((tbl_Finance[Job Number]&amp;""=C322&amp;"")*(tbl_Finance[Xero Invoice No]&lt;&gt;"")),tbl_Finance[Xero Invoice No])&amp;" +more"),"")))</f>
        <v/>
      </c>
      <c r="C322" s="24" t="n"/>
      <c r="D322" s="25">
        <f>IF(C322="","",IF(COUNTIF(lst_Jobs,C322&amp;"")&gt;0,"OK","CHECK"))</f>
        <v/>
      </c>
      <c r="E322" s="25">
        <f>IF(C322="","",IFERROR(INDEX(lst_JobName,MATCH(C322&amp;"",lst_Jobs,0)),""))</f>
        <v/>
      </c>
      <c r="F322" s="25">
        <f>IF(C322="","",IFERROR(INDEX(tbl_Finance[Client],IFERROR(MATCH(C322&amp;"",tbl_Finance[Job Number],0),MATCH(IFERROR(C322+0,C322),tbl_Finance[Job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6" t="n"/>
      <c r="L322" s="27">
        <f>IF(C322="","",IF(K322="",0,MAX(0,K322-H322)))</f>
        <v/>
      </c>
      <c r="M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N322" s="27">
        <f>IF(C322="","",SUMIFS(tbl_Finance[Inc GST],tbl_Finance[Job Number],C322&amp;""))</f>
        <v/>
      </c>
      <c r="O322" s="24" t="n"/>
      <c r="P322" s="25">
        <f>IF(C322="","",IFERROR(INDEX(tbl_Finance[Description],MATCH(C322&amp;"",tbl_Finance[Job Number],0)),""))</f>
        <v/>
      </c>
      <c r="Q322" s="24" t="n"/>
      <c r="R322" s="24" t="n"/>
      <c r="S322" s="22" t="n"/>
      <c r="T322" s="24" t="n"/>
      <c r="U322" s="25">
        <f>IF(T322="","",IF(AND(LEFT(T322,4)&lt;&gt;"http",set_RMSBase=""),"",HYPERLINK(IF(LEFT(T322,4)="http",T322,set_RMSBase&amp;T322),"Open opportunity")))</f>
        <v/>
      </c>
      <c r="V322" s="24" t="n"/>
      <c r="W322" s="25">
        <f>IF(V322="","",HYPERLINK(IF(LEFT(V322,4)="http",V322,set_QwilrBase&amp;V322),"Open quote"))</f>
        <v/>
      </c>
      <c r="X322" s="25">
        <f>IF(C322="","",C322)</f>
        <v/>
      </c>
      <c r="Y322" s="24" t="n"/>
      <c r="Z322" s="26" t="n"/>
      <c r="AA322" s="27">
        <f>IF(C322="","",H322+N(Z322))</f>
        <v/>
      </c>
      <c r="AB322" s="29">
        <f>IFERROR(Z322/AA322,"")</f>
        <v/>
      </c>
      <c r="AC322" s="26" t="n"/>
      <c r="AD322" s="26" t="n"/>
      <c r="AE322" s="26" t="n"/>
      <c r="AF322" s="26" t="n"/>
      <c r="AG322" s="27">
        <f>IF(C322="","",SUMIFS(tbl_Finance[Ex GST],tbl_Finance[Job Number],C322&amp;"",tbl_Finance[Cost Centre],"VIDEO"))</f>
        <v/>
      </c>
      <c r="AH322" s="29">
        <f>IFERROR(AG322/H322,"")</f>
        <v/>
      </c>
      <c r="AI322" s="27">
        <f>IF(C322="","",N(AC322)+N(AD322)+N(AE322)+N(AF322))</f>
        <v/>
      </c>
      <c r="AJ322" s="27">
        <f>IF(C322="","",H322+L322-AI322)</f>
        <v/>
      </c>
      <c r="AK322" s="29">
        <f>IFERROR(AJ322/(H322+L322),"")</f>
        <v/>
      </c>
      <c r="AL322" s="71" t="n"/>
      <c r="AM322" s="71" t="n"/>
      <c r="AN322" s="71" t="n"/>
      <c r="AO322" s="71" t="n"/>
      <c r="AP322" s="71" t="n"/>
      <c r="AQ322" s="24" t="n"/>
    </row>
    <row r="323" ht="15" customHeight="1">
      <c r="A323" s="70">
        <f>IF(C323="","",IFERROR(IF(SUMPRODUCT(MAX((tbl_Finance[Job Number]&amp;""=C323&amp;"")*(tbl_Finance[Xero Invoice No]&lt;&gt;"")*tbl_Finance[Date]))=0,"",SUMPRODUCT(MAX((tbl_Finance[Job Number]&amp;""=C323&amp;"")*(tbl_Finance[Xero Invoice No]&lt;&gt;"")*tbl_Finance[Date]))),""))</f>
        <v/>
      </c>
      <c r="B323" s="25">
        <f>IF(C323="","",IF(COUNTIFS(tbl_Finance[Job Number],C323&amp;"",tbl_Finance[Xero Invoice No],"&lt;&gt;")=0,"",IFERROR(IF(COUNTIFS(tbl_Finance[Job Number],C323&amp;"",tbl_Finance[Xero Invoice No],LOOKUP(2,1/((tbl_Finance[Job Number]&amp;""=C323&amp;"")*(tbl_Finance[Xero Invoice No]&lt;&gt;"")),tbl_Finance[Xero Invoice No]))=COUNTIFS(tbl_Finance[Job Number],C323&amp;"",tbl_Finance[Xero Invoice No],"&lt;&gt;"),LOOKUP(2,1/((tbl_Finance[Job Number]&amp;""=C323&amp;"")*(tbl_Finance[Xero Invoice No]&lt;&gt;"")),tbl_Finance[Xero Invoice No]),LOOKUP(2,1/((tbl_Finance[Job Number]&amp;""=C323&amp;"")*(tbl_Finance[Xero Invoice No]&lt;&gt;"")),tbl_Finance[Xero Invoice No])&amp;" +more"),"")))</f>
        <v/>
      </c>
      <c r="C323" s="24" t="n"/>
      <c r="D323" s="25">
        <f>IF(C323="","",IF(COUNTIF(lst_Jobs,C323&amp;"")&gt;0,"OK","CHECK"))</f>
        <v/>
      </c>
      <c r="E323" s="25">
        <f>IF(C323="","",IFERROR(INDEX(lst_JobName,MATCH(C323&amp;"",lst_Jobs,0)),""))</f>
        <v/>
      </c>
      <c r="F323" s="25">
        <f>IF(C323="","",IFERROR(INDEX(tbl_Finance[Client],IFERROR(MATCH(C323&amp;"",tbl_Finance[Job Number],0),MATCH(IFERROR(C323+0,C323),tbl_Finance[Job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6" t="n"/>
      <c r="L323" s="27">
        <f>IF(C323="","",IF(K323="",0,MAX(0,K323-H323)))</f>
        <v/>
      </c>
      <c r="M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N323" s="27">
        <f>IF(C323="","",SUMIFS(tbl_Finance[Inc GST],tbl_Finance[Job Number],C323&amp;""))</f>
        <v/>
      </c>
      <c r="O323" s="24" t="n"/>
      <c r="P323" s="25">
        <f>IF(C323="","",IFERROR(INDEX(tbl_Finance[Description],MATCH(C323&amp;"",tbl_Finance[Job Number],0)),""))</f>
        <v/>
      </c>
      <c r="Q323" s="24" t="n"/>
      <c r="R323" s="24" t="n"/>
      <c r="S323" s="22" t="n"/>
      <c r="T323" s="24" t="n"/>
      <c r="U323" s="25">
        <f>IF(T323="","",IF(AND(LEFT(T323,4)&lt;&gt;"http",set_RMSBase=""),"",HYPERLINK(IF(LEFT(T323,4)="http",T323,set_RMSBase&amp;T323),"Open opportunity")))</f>
        <v/>
      </c>
      <c r="V323" s="24" t="n"/>
      <c r="W323" s="25">
        <f>IF(V323="","",HYPERLINK(IF(LEFT(V323,4)="http",V323,set_QwilrBase&amp;V323),"Open quote"))</f>
        <v/>
      </c>
      <c r="X323" s="25">
        <f>IF(C323="","",C323)</f>
        <v/>
      </c>
      <c r="Y323" s="24" t="n"/>
      <c r="Z323" s="26" t="n"/>
      <c r="AA323" s="27">
        <f>IF(C323="","",H323+N(Z323))</f>
        <v/>
      </c>
      <c r="AB323" s="29">
        <f>IFERROR(Z323/AA323,"")</f>
        <v/>
      </c>
      <c r="AC323" s="26" t="n"/>
      <c r="AD323" s="26" t="n"/>
      <c r="AE323" s="26" t="n"/>
      <c r="AF323" s="26" t="n"/>
      <c r="AG323" s="27">
        <f>IF(C323="","",SUMIFS(tbl_Finance[Ex GST],tbl_Finance[Job Number],C323&amp;"",tbl_Finance[Cost Centre],"VIDEO"))</f>
        <v/>
      </c>
      <c r="AH323" s="29">
        <f>IFERROR(AG323/H323,"")</f>
        <v/>
      </c>
      <c r="AI323" s="27">
        <f>IF(C323="","",N(AC323)+N(AD323)+N(AE323)+N(AF323))</f>
        <v/>
      </c>
      <c r="AJ323" s="27">
        <f>IF(C323="","",H323+L323-AI323)</f>
        <v/>
      </c>
      <c r="AK323" s="29">
        <f>IFERROR(AJ323/(H323+L323),"")</f>
        <v/>
      </c>
      <c r="AL323" s="71" t="n"/>
      <c r="AM323" s="71" t="n"/>
      <c r="AN323" s="71" t="n"/>
      <c r="AO323" s="71" t="n"/>
      <c r="AP323" s="71" t="n"/>
      <c r="AQ323" s="24" t="n"/>
    </row>
    <row r="324" ht="15" customHeight="1">
      <c r="A324" s="70">
        <f>IF(C324="","",IFERROR(IF(SUMPRODUCT(MAX((tbl_Finance[Job Number]&amp;""=C324&amp;"")*(tbl_Finance[Xero Invoice No]&lt;&gt;"")*tbl_Finance[Date]))=0,"",SUMPRODUCT(MAX((tbl_Finance[Job Number]&amp;""=C324&amp;"")*(tbl_Finance[Xero Invoice No]&lt;&gt;"")*tbl_Finance[Date]))),""))</f>
        <v/>
      </c>
      <c r="B324" s="25">
        <f>IF(C324="","",IF(COUNTIFS(tbl_Finance[Job Number],C324&amp;"",tbl_Finance[Xero Invoice No],"&lt;&gt;")=0,"",IFERROR(IF(COUNTIFS(tbl_Finance[Job Number],C324&amp;"",tbl_Finance[Xero Invoice No],LOOKUP(2,1/((tbl_Finance[Job Number]&amp;""=C324&amp;"")*(tbl_Finance[Xero Invoice No]&lt;&gt;"")),tbl_Finance[Xero Invoice No]))=COUNTIFS(tbl_Finance[Job Number],C324&amp;"",tbl_Finance[Xero Invoice No],"&lt;&gt;"),LOOKUP(2,1/((tbl_Finance[Job Number]&amp;""=C324&amp;"")*(tbl_Finance[Xero Invoice No]&lt;&gt;"")),tbl_Finance[Xero Invoice No]),LOOKUP(2,1/((tbl_Finance[Job Number]&amp;""=C324&amp;"")*(tbl_Finance[Xero Invoice No]&lt;&gt;"")),tbl_Finance[Xero Invoice No])&amp;" +more"),"")))</f>
        <v/>
      </c>
      <c r="C324" s="24" t="n"/>
      <c r="D324" s="25">
        <f>IF(C324="","",IF(COUNTIF(lst_Jobs,C324&amp;"")&gt;0,"OK","CHECK"))</f>
        <v/>
      </c>
      <c r="E324" s="25">
        <f>IF(C324="","",IFERROR(INDEX(lst_JobName,MATCH(C324&amp;"",lst_Jobs,0)),""))</f>
        <v/>
      </c>
      <c r="F324" s="25">
        <f>IF(C324="","",IFERROR(INDEX(tbl_Finance[Client],IFERROR(MATCH(C324&amp;"",tbl_Finance[Job Number],0),MATCH(IFERROR(C324+0,C324),tbl_Finance[Job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6" t="n"/>
      <c r="L324" s="27">
        <f>IF(C324="","",IF(K324="",0,MAX(0,K324-H324)))</f>
        <v/>
      </c>
      <c r="M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N324" s="27">
        <f>IF(C324="","",SUMIFS(tbl_Finance[Inc GST],tbl_Finance[Job Number],C324&amp;""))</f>
        <v/>
      </c>
      <c r="O324" s="24" t="n"/>
      <c r="P324" s="25">
        <f>IF(C324="","",IFERROR(INDEX(tbl_Finance[Description],MATCH(C324&amp;"",tbl_Finance[Job Number],0)),""))</f>
        <v/>
      </c>
      <c r="Q324" s="24" t="n"/>
      <c r="R324" s="24" t="n"/>
      <c r="S324" s="22" t="n"/>
      <c r="T324" s="24" t="n"/>
      <c r="U324" s="25">
        <f>IF(T324="","",IF(AND(LEFT(T324,4)&lt;&gt;"http",set_RMSBase=""),"",HYPERLINK(IF(LEFT(T324,4)="http",T324,set_RMSBase&amp;T324),"Open opportunity")))</f>
        <v/>
      </c>
      <c r="V324" s="24" t="n"/>
      <c r="W324" s="25">
        <f>IF(V324="","",HYPERLINK(IF(LEFT(V324,4)="http",V324,set_QwilrBase&amp;V324),"Open quote"))</f>
        <v/>
      </c>
      <c r="X324" s="25">
        <f>IF(C324="","",C324)</f>
        <v/>
      </c>
      <c r="Y324" s="24" t="n"/>
      <c r="Z324" s="26" t="n"/>
      <c r="AA324" s="27">
        <f>IF(C324="","",H324+N(Z324))</f>
        <v/>
      </c>
      <c r="AB324" s="29">
        <f>IFERROR(Z324/AA324,"")</f>
        <v/>
      </c>
      <c r="AC324" s="26" t="n"/>
      <c r="AD324" s="26" t="n"/>
      <c r="AE324" s="26" t="n"/>
      <c r="AF324" s="26" t="n"/>
      <c r="AG324" s="27">
        <f>IF(C324="","",SUMIFS(tbl_Finance[Ex GST],tbl_Finance[Job Number],C324&amp;"",tbl_Finance[Cost Centre],"VIDEO"))</f>
        <v/>
      </c>
      <c r="AH324" s="29">
        <f>IFERROR(AG324/H324,"")</f>
        <v/>
      </c>
      <c r="AI324" s="27">
        <f>IF(C324="","",N(AC324)+N(AD324)+N(AE324)+N(AF324))</f>
        <v/>
      </c>
      <c r="AJ324" s="27">
        <f>IF(C324="","",H324+L324-AI324)</f>
        <v/>
      </c>
      <c r="AK324" s="29">
        <f>IFERROR(AJ324/(H324+L324),"")</f>
        <v/>
      </c>
      <c r="AL324" s="71" t="n"/>
      <c r="AM324" s="71" t="n"/>
      <c r="AN324" s="71" t="n"/>
      <c r="AO324" s="71" t="n"/>
      <c r="AP324" s="71" t="n"/>
      <c r="AQ324" s="24" t="n"/>
    </row>
    <row r="325" ht="15" customHeight="1">
      <c r="A325" s="70">
        <f>IF(C325="","",IFERROR(IF(SUMPRODUCT(MAX((tbl_Finance[Job Number]&amp;""=C325&amp;"")*(tbl_Finance[Xero Invoice No]&lt;&gt;"")*tbl_Finance[Date]))=0,"",SUMPRODUCT(MAX((tbl_Finance[Job Number]&amp;""=C325&amp;"")*(tbl_Finance[Xero Invoice No]&lt;&gt;"")*tbl_Finance[Date]))),""))</f>
        <v/>
      </c>
      <c r="B325" s="25">
        <f>IF(C325="","",IF(COUNTIFS(tbl_Finance[Job Number],C325&amp;"",tbl_Finance[Xero Invoice No],"&lt;&gt;")=0,"",IFERROR(IF(COUNTIFS(tbl_Finance[Job Number],C325&amp;"",tbl_Finance[Xero Invoice No],LOOKUP(2,1/((tbl_Finance[Job Number]&amp;""=C325&amp;"")*(tbl_Finance[Xero Invoice No]&lt;&gt;"")),tbl_Finance[Xero Invoice No]))=COUNTIFS(tbl_Finance[Job Number],C325&amp;"",tbl_Finance[Xero Invoice No],"&lt;&gt;"),LOOKUP(2,1/((tbl_Finance[Job Number]&amp;""=C325&amp;"")*(tbl_Finance[Xero Invoice No]&lt;&gt;"")),tbl_Finance[Xero Invoice No]),LOOKUP(2,1/((tbl_Finance[Job Number]&amp;""=C325&amp;"")*(tbl_Finance[Xero Invoice No]&lt;&gt;"")),tbl_Finance[Xero Invoice No])&amp;" +more"),"")))</f>
        <v/>
      </c>
      <c r="C325" s="24" t="n"/>
      <c r="D325" s="25">
        <f>IF(C325="","",IF(COUNTIF(lst_Jobs,C325&amp;"")&gt;0,"OK","CHECK"))</f>
        <v/>
      </c>
      <c r="E325" s="25">
        <f>IF(C325="","",IFERROR(INDEX(lst_JobName,MATCH(C325&amp;"",lst_Jobs,0)),""))</f>
        <v/>
      </c>
      <c r="F325" s="25">
        <f>IF(C325="","",IFERROR(INDEX(tbl_Finance[Client],IFERROR(MATCH(C325&amp;"",tbl_Finance[Job Number],0),MATCH(IFERROR(C325+0,C325),tbl_Finance[Job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6" t="n"/>
      <c r="L325" s="27">
        <f>IF(C325="","",IF(K325="",0,MAX(0,K325-H325)))</f>
        <v/>
      </c>
      <c r="M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N325" s="27">
        <f>IF(C325="","",SUMIFS(tbl_Finance[Inc GST],tbl_Finance[Job Number],C325&amp;""))</f>
        <v/>
      </c>
      <c r="O325" s="24" t="n"/>
      <c r="P325" s="25">
        <f>IF(C325="","",IFERROR(INDEX(tbl_Finance[Description],MATCH(C325&amp;"",tbl_Finance[Job Number],0)),""))</f>
        <v/>
      </c>
      <c r="Q325" s="24" t="n"/>
      <c r="R325" s="24" t="n"/>
      <c r="S325" s="22" t="n"/>
      <c r="T325" s="24" t="n"/>
      <c r="U325" s="25">
        <f>IF(T325="","",IF(AND(LEFT(T325,4)&lt;&gt;"http",set_RMSBase=""),"",HYPERLINK(IF(LEFT(T325,4)="http",T325,set_RMSBase&amp;T325),"Open opportunity")))</f>
        <v/>
      </c>
      <c r="V325" s="24" t="n"/>
      <c r="W325" s="25">
        <f>IF(V325="","",HYPERLINK(IF(LEFT(V325,4)="http",V325,set_QwilrBase&amp;V325),"Open quote"))</f>
        <v/>
      </c>
      <c r="X325" s="25">
        <f>IF(C325="","",C325)</f>
        <v/>
      </c>
      <c r="Y325" s="24" t="n"/>
      <c r="Z325" s="26" t="n"/>
      <c r="AA325" s="27">
        <f>IF(C325="","",H325+N(Z325))</f>
        <v/>
      </c>
      <c r="AB325" s="29">
        <f>IFERROR(Z325/AA325,"")</f>
        <v/>
      </c>
      <c r="AC325" s="26" t="n"/>
      <c r="AD325" s="26" t="n"/>
      <c r="AE325" s="26" t="n"/>
      <c r="AF325" s="26" t="n"/>
      <c r="AG325" s="27">
        <f>IF(C325="","",SUMIFS(tbl_Finance[Ex GST],tbl_Finance[Job Number],C325&amp;"",tbl_Finance[Cost Centre],"VIDEO"))</f>
        <v/>
      </c>
      <c r="AH325" s="29">
        <f>IFERROR(AG325/H325,"")</f>
        <v/>
      </c>
      <c r="AI325" s="27">
        <f>IF(C325="","",N(AC325)+N(AD325)+N(AE325)+N(AF325))</f>
        <v/>
      </c>
      <c r="AJ325" s="27">
        <f>IF(C325="","",H325+L325-AI325)</f>
        <v/>
      </c>
      <c r="AK325" s="29">
        <f>IFERROR(AJ325/(H325+L325),"")</f>
        <v/>
      </c>
      <c r="AL325" s="71" t="n"/>
      <c r="AM325" s="71" t="n"/>
      <c r="AN325" s="71" t="n"/>
      <c r="AO325" s="71" t="n"/>
      <c r="AP325" s="71" t="n"/>
      <c r="AQ325" s="24" t="n"/>
    </row>
    <row r="326" ht="15" customHeight="1">
      <c r="A326" s="70">
        <f>IF(C326="","",IFERROR(IF(SUMPRODUCT(MAX((tbl_Finance[Job Number]&amp;""=C326&amp;"")*(tbl_Finance[Xero Invoice No]&lt;&gt;"")*tbl_Finance[Date]))=0,"",SUMPRODUCT(MAX((tbl_Finance[Job Number]&amp;""=C326&amp;"")*(tbl_Finance[Xero Invoice No]&lt;&gt;"")*tbl_Finance[Date]))),""))</f>
        <v/>
      </c>
      <c r="B326" s="25">
        <f>IF(C326="","",IF(COUNTIFS(tbl_Finance[Job Number],C326&amp;"",tbl_Finance[Xero Invoice No],"&lt;&gt;")=0,"",IFERROR(IF(COUNTIFS(tbl_Finance[Job Number],C326&amp;"",tbl_Finance[Xero Invoice No],LOOKUP(2,1/((tbl_Finance[Job Number]&amp;""=C326&amp;"")*(tbl_Finance[Xero Invoice No]&lt;&gt;"")),tbl_Finance[Xero Invoice No]))=COUNTIFS(tbl_Finance[Job Number],C326&amp;"",tbl_Finance[Xero Invoice No],"&lt;&gt;"),LOOKUP(2,1/((tbl_Finance[Job Number]&amp;""=C326&amp;"")*(tbl_Finance[Xero Invoice No]&lt;&gt;"")),tbl_Finance[Xero Invoice No]),LOOKUP(2,1/((tbl_Finance[Job Number]&amp;""=C326&amp;"")*(tbl_Finance[Xero Invoice No]&lt;&gt;"")),tbl_Finance[Xero Invoice No])&amp;" +more"),"")))</f>
        <v/>
      </c>
      <c r="C326" s="24" t="n"/>
      <c r="D326" s="25">
        <f>IF(C326="","",IF(COUNTIF(lst_Jobs,C326&amp;"")&gt;0,"OK","CHECK"))</f>
        <v/>
      </c>
      <c r="E326" s="25">
        <f>IF(C326="","",IFERROR(INDEX(lst_JobName,MATCH(C326&amp;"",lst_Jobs,0)),""))</f>
        <v/>
      </c>
      <c r="F326" s="25">
        <f>IF(C326="","",IFERROR(INDEX(tbl_Finance[Client],IFERROR(MATCH(C326&amp;"",tbl_Finance[Job Number],0),MATCH(IFERROR(C326+0,C326),tbl_Finance[Job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6" t="n"/>
      <c r="L326" s="27">
        <f>IF(C326="","",IF(K326="",0,MAX(0,K326-H326)))</f>
        <v/>
      </c>
      <c r="M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N326" s="27">
        <f>IF(C326="","",SUMIFS(tbl_Finance[Inc GST],tbl_Finance[Job Number],C326&amp;""))</f>
        <v/>
      </c>
      <c r="O326" s="24" t="n"/>
      <c r="P326" s="25">
        <f>IF(C326="","",IFERROR(INDEX(tbl_Finance[Description],MATCH(C326&amp;"",tbl_Finance[Job Number],0)),""))</f>
        <v/>
      </c>
      <c r="Q326" s="24" t="n"/>
      <c r="R326" s="24" t="n"/>
      <c r="S326" s="22" t="n"/>
      <c r="T326" s="24" t="n"/>
      <c r="U326" s="25">
        <f>IF(T326="","",IF(AND(LEFT(T326,4)&lt;&gt;"http",set_RMSBase=""),"",HYPERLINK(IF(LEFT(T326,4)="http",T326,set_RMSBase&amp;T326),"Open opportunity")))</f>
        <v/>
      </c>
      <c r="V326" s="24" t="n"/>
      <c r="W326" s="25">
        <f>IF(V326="","",HYPERLINK(IF(LEFT(V326,4)="http",V326,set_QwilrBase&amp;V326),"Open quote"))</f>
        <v/>
      </c>
      <c r="X326" s="25">
        <f>IF(C326="","",C326)</f>
        <v/>
      </c>
      <c r="Y326" s="24" t="n"/>
      <c r="Z326" s="26" t="n"/>
      <c r="AA326" s="27">
        <f>IF(C326="","",H326+N(Z326))</f>
        <v/>
      </c>
      <c r="AB326" s="29">
        <f>IFERROR(Z326/AA326,"")</f>
        <v/>
      </c>
      <c r="AC326" s="26" t="n"/>
      <c r="AD326" s="26" t="n"/>
      <c r="AE326" s="26" t="n"/>
      <c r="AF326" s="26" t="n"/>
      <c r="AG326" s="27">
        <f>IF(C326="","",SUMIFS(tbl_Finance[Ex GST],tbl_Finance[Job Number],C326&amp;"",tbl_Finance[Cost Centre],"VIDEO"))</f>
        <v/>
      </c>
      <c r="AH326" s="29">
        <f>IFERROR(AG326/H326,"")</f>
        <v/>
      </c>
      <c r="AI326" s="27">
        <f>IF(C326="","",N(AC326)+N(AD326)+N(AE326)+N(AF326))</f>
        <v/>
      </c>
      <c r="AJ326" s="27">
        <f>IF(C326="","",H326+L326-AI326)</f>
        <v/>
      </c>
      <c r="AK326" s="29">
        <f>IFERROR(AJ326/(H326+L326),"")</f>
        <v/>
      </c>
      <c r="AL326" s="71" t="n"/>
      <c r="AM326" s="71" t="n"/>
      <c r="AN326" s="71" t="n"/>
      <c r="AO326" s="71" t="n"/>
      <c r="AP326" s="71" t="n"/>
      <c r="AQ326" s="24" t="n"/>
    </row>
    <row r="327" ht="15" customHeight="1">
      <c r="A327" s="70">
        <f>IF(C327="","",IFERROR(IF(SUMPRODUCT(MAX((tbl_Finance[Job Number]&amp;""=C327&amp;"")*(tbl_Finance[Xero Invoice No]&lt;&gt;"")*tbl_Finance[Date]))=0,"",SUMPRODUCT(MAX((tbl_Finance[Job Number]&amp;""=C327&amp;"")*(tbl_Finance[Xero Invoice No]&lt;&gt;"")*tbl_Finance[Date]))),""))</f>
        <v/>
      </c>
      <c r="B327" s="25">
        <f>IF(C327="","",IF(COUNTIFS(tbl_Finance[Job Number],C327&amp;"",tbl_Finance[Xero Invoice No],"&lt;&gt;")=0,"",IFERROR(IF(COUNTIFS(tbl_Finance[Job Number],C327&amp;"",tbl_Finance[Xero Invoice No],LOOKUP(2,1/((tbl_Finance[Job Number]&amp;""=C327&amp;"")*(tbl_Finance[Xero Invoice No]&lt;&gt;"")),tbl_Finance[Xero Invoice No]))=COUNTIFS(tbl_Finance[Job Number],C327&amp;"",tbl_Finance[Xero Invoice No],"&lt;&gt;"),LOOKUP(2,1/((tbl_Finance[Job Number]&amp;""=C327&amp;"")*(tbl_Finance[Xero Invoice No]&lt;&gt;"")),tbl_Finance[Xero Invoice No]),LOOKUP(2,1/((tbl_Finance[Job Number]&amp;""=C327&amp;"")*(tbl_Finance[Xero Invoice No]&lt;&gt;"")),tbl_Finance[Xero Invoice No])&amp;" +more"),"")))</f>
        <v/>
      </c>
      <c r="C327" s="24" t="n"/>
      <c r="D327" s="25">
        <f>IF(C327="","",IF(COUNTIF(lst_Jobs,C327&amp;"")&gt;0,"OK","CHECK"))</f>
        <v/>
      </c>
      <c r="E327" s="25">
        <f>IF(C327="","",IFERROR(INDEX(lst_JobName,MATCH(C327&amp;"",lst_Jobs,0)),""))</f>
        <v/>
      </c>
      <c r="F327" s="25">
        <f>IF(C327="","",IFERROR(INDEX(tbl_Finance[Client],IFERROR(MATCH(C327&amp;"",tbl_Finance[Job Number],0),MATCH(IFERROR(C327+0,C327),tbl_Finance[Job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6" t="n"/>
      <c r="L327" s="27">
        <f>IF(C327="","",IF(K327="",0,MAX(0,K327-H327)))</f>
        <v/>
      </c>
      <c r="M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N327" s="27">
        <f>IF(C327="","",SUMIFS(tbl_Finance[Inc GST],tbl_Finance[Job Number],C327&amp;""))</f>
        <v/>
      </c>
      <c r="O327" s="24" t="n"/>
      <c r="P327" s="25">
        <f>IF(C327="","",IFERROR(INDEX(tbl_Finance[Description],MATCH(C327&amp;"",tbl_Finance[Job Number],0)),""))</f>
        <v/>
      </c>
      <c r="Q327" s="24" t="n"/>
      <c r="R327" s="24" t="n"/>
      <c r="S327" s="22" t="n"/>
      <c r="T327" s="24" t="n"/>
      <c r="U327" s="25">
        <f>IF(T327="","",IF(AND(LEFT(T327,4)&lt;&gt;"http",set_RMSBase=""),"",HYPERLINK(IF(LEFT(T327,4)="http",T327,set_RMSBase&amp;T327),"Open opportunity")))</f>
        <v/>
      </c>
      <c r="V327" s="24" t="n"/>
      <c r="W327" s="25">
        <f>IF(V327="","",HYPERLINK(IF(LEFT(V327,4)="http",V327,set_QwilrBase&amp;V327),"Open quote"))</f>
        <v/>
      </c>
      <c r="X327" s="25">
        <f>IF(C327="","",C327)</f>
        <v/>
      </c>
      <c r="Y327" s="24" t="n"/>
      <c r="Z327" s="26" t="n"/>
      <c r="AA327" s="27">
        <f>IF(C327="","",H327+N(Z327))</f>
        <v/>
      </c>
      <c r="AB327" s="29">
        <f>IFERROR(Z327/AA327,"")</f>
        <v/>
      </c>
      <c r="AC327" s="26" t="n"/>
      <c r="AD327" s="26" t="n"/>
      <c r="AE327" s="26" t="n"/>
      <c r="AF327" s="26" t="n"/>
      <c r="AG327" s="27">
        <f>IF(C327="","",SUMIFS(tbl_Finance[Ex GST],tbl_Finance[Job Number],C327&amp;"",tbl_Finance[Cost Centre],"VIDEO"))</f>
        <v/>
      </c>
      <c r="AH327" s="29">
        <f>IFERROR(AG327/H327,"")</f>
        <v/>
      </c>
      <c r="AI327" s="27">
        <f>IF(C327="","",N(AC327)+N(AD327)+N(AE327)+N(AF327))</f>
        <v/>
      </c>
      <c r="AJ327" s="27">
        <f>IF(C327="","",H327+L327-AI327)</f>
        <v/>
      </c>
      <c r="AK327" s="29">
        <f>IFERROR(AJ327/(H327+L327),"")</f>
        <v/>
      </c>
      <c r="AL327" s="71" t="n"/>
      <c r="AM327" s="71" t="n"/>
      <c r="AN327" s="71" t="n"/>
      <c r="AO327" s="71" t="n"/>
      <c r="AP327" s="71" t="n"/>
      <c r="AQ327" s="24" t="n"/>
    </row>
    <row r="328" ht="15" customHeight="1">
      <c r="A328" s="70">
        <f>IF(C328="","",IFERROR(IF(SUMPRODUCT(MAX((tbl_Finance[Job Number]&amp;""=C328&amp;"")*(tbl_Finance[Xero Invoice No]&lt;&gt;"")*tbl_Finance[Date]))=0,"",SUMPRODUCT(MAX((tbl_Finance[Job Number]&amp;""=C328&amp;"")*(tbl_Finance[Xero Invoice No]&lt;&gt;"")*tbl_Finance[Date]))),""))</f>
        <v/>
      </c>
      <c r="B328" s="25">
        <f>IF(C328="","",IF(COUNTIFS(tbl_Finance[Job Number],C328&amp;"",tbl_Finance[Xero Invoice No],"&lt;&gt;")=0,"",IFERROR(IF(COUNTIFS(tbl_Finance[Job Number],C328&amp;"",tbl_Finance[Xero Invoice No],LOOKUP(2,1/((tbl_Finance[Job Number]&amp;""=C328&amp;"")*(tbl_Finance[Xero Invoice No]&lt;&gt;"")),tbl_Finance[Xero Invoice No]))=COUNTIFS(tbl_Finance[Job Number],C328&amp;"",tbl_Finance[Xero Invoice No],"&lt;&gt;"),LOOKUP(2,1/((tbl_Finance[Job Number]&amp;""=C328&amp;"")*(tbl_Finance[Xero Invoice No]&lt;&gt;"")),tbl_Finance[Xero Invoice No]),LOOKUP(2,1/((tbl_Finance[Job Number]&amp;""=C328&amp;"")*(tbl_Finance[Xero Invoice No]&lt;&gt;"")),tbl_Finance[Xero Invoice No])&amp;" +more"),"")))</f>
        <v/>
      </c>
      <c r="C328" s="24" t="n"/>
      <c r="D328" s="25">
        <f>IF(C328="","",IF(COUNTIF(lst_Jobs,C328&amp;"")&gt;0,"OK","CHECK"))</f>
        <v/>
      </c>
      <c r="E328" s="25">
        <f>IF(C328="","",IFERROR(INDEX(lst_JobName,MATCH(C328&amp;"",lst_Jobs,0)),""))</f>
        <v/>
      </c>
      <c r="F328" s="25">
        <f>IF(C328="","",IFERROR(INDEX(tbl_Finance[Client],IFERROR(MATCH(C328&amp;"",tbl_Finance[Job Number],0),MATCH(IFERROR(C328+0,C328),tbl_Finance[Job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6" t="n"/>
      <c r="L328" s="27">
        <f>IF(C328="","",IF(K328="",0,MAX(0,K328-H328)))</f>
        <v/>
      </c>
      <c r="M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N328" s="27">
        <f>IF(C328="","",SUMIFS(tbl_Finance[Inc GST],tbl_Finance[Job Number],C328&amp;""))</f>
        <v/>
      </c>
      <c r="O328" s="24" t="n"/>
      <c r="P328" s="25">
        <f>IF(C328="","",IFERROR(INDEX(tbl_Finance[Description],MATCH(C328&amp;"",tbl_Finance[Job Number],0)),""))</f>
        <v/>
      </c>
      <c r="Q328" s="24" t="n"/>
      <c r="R328" s="24" t="n"/>
      <c r="S328" s="22" t="n"/>
      <c r="T328" s="24" t="n"/>
      <c r="U328" s="25">
        <f>IF(T328="","",IF(AND(LEFT(T328,4)&lt;&gt;"http",set_RMSBase=""),"",HYPERLINK(IF(LEFT(T328,4)="http",T328,set_RMSBase&amp;T328),"Open opportunity")))</f>
        <v/>
      </c>
      <c r="V328" s="24" t="n"/>
      <c r="W328" s="25">
        <f>IF(V328="","",HYPERLINK(IF(LEFT(V328,4)="http",V328,set_QwilrBase&amp;V328),"Open quote"))</f>
        <v/>
      </c>
      <c r="X328" s="25">
        <f>IF(C328="","",C328)</f>
        <v/>
      </c>
      <c r="Y328" s="24" t="n"/>
      <c r="Z328" s="26" t="n"/>
      <c r="AA328" s="27">
        <f>IF(C328="","",H328+N(Z328))</f>
        <v/>
      </c>
      <c r="AB328" s="29">
        <f>IFERROR(Z328/AA328,"")</f>
        <v/>
      </c>
      <c r="AC328" s="26" t="n"/>
      <c r="AD328" s="26" t="n"/>
      <c r="AE328" s="26" t="n"/>
      <c r="AF328" s="26" t="n"/>
      <c r="AG328" s="27">
        <f>IF(C328="","",SUMIFS(tbl_Finance[Ex GST],tbl_Finance[Job Number],C328&amp;"",tbl_Finance[Cost Centre],"VIDEO"))</f>
        <v/>
      </c>
      <c r="AH328" s="29">
        <f>IFERROR(AG328/H328,"")</f>
        <v/>
      </c>
      <c r="AI328" s="27">
        <f>IF(C328="","",N(AC328)+N(AD328)+N(AE328)+N(AF328))</f>
        <v/>
      </c>
      <c r="AJ328" s="27">
        <f>IF(C328="","",H328+L328-AI328)</f>
        <v/>
      </c>
      <c r="AK328" s="29">
        <f>IFERROR(AJ328/(H328+L328),"")</f>
        <v/>
      </c>
      <c r="AL328" s="71" t="n"/>
      <c r="AM328" s="71" t="n"/>
      <c r="AN328" s="71" t="n"/>
      <c r="AO328" s="71" t="n"/>
      <c r="AP328" s="71" t="n"/>
      <c r="AQ328" s="24" t="n"/>
    </row>
    <row r="329" ht="15" customHeight="1">
      <c r="A329" s="70">
        <f>IF(C329="","",IFERROR(IF(SUMPRODUCT(MAX((tbl_Finance[Job Number]&amp;""=C329&amp;"")*(tbl_Finance[Xero Invoice No]&lt;&gt;"")*tbl_Finance[Date]))=0,"",SUMPRODUCT(MAX((tbl_Finance[Job Number]&amp;""=C329&amp;"")*(tbl_Finance[Xero Invoice No]&lt;&gt;"")*tbl_Finance[Date]))),""))</f>
        <v/>
      </c>
      <c r="B329" s="25">
        <f>IF(C329="","",IF(COUNTIFS(tbl_Finance[Job Number],C329&amp;"",tbl_Finance[Xero Invoice No],"&lt;&gt;")=0,"",IFERROR(IF(COUNTIFS(tbl_Finance[Job Number],C329&amp;"",tbl_Finance[Xero Invoice No],LOOKUP(2,1/((tbl_Finance[Job Number]&amp;""=C329&amp;"")*(tbl_Finance[Xero Invoice No]&lt;&gt;"")),tbl_Finance[Xero Invoice No]))=COUNTIFS(tbl_Finance[Job Number],C329&amp;"",tbl_Finance[Xero Invoice No],"&lt;&gt;"),LOOKUP(2,1/((tbl_Finance[Job Number]&amp;""=C329&amp;"")*(tbl_Finance[Xero Invoice No]&lt;&gt;"")),tbl_Finance[Xero Invoice No]),LOOKUP(2,1/((tbl_Finance[Job Number]&amp;""=C329&amp;"")*(tbl_Finance[Xero Invoice No]&lt;&gt;"")),tbl_Finance[Xero Invoice No])&amp;" +more"),"")))</f>
        <v/>
      </c>
      <c r="C329" s="24" t="n"/>
      <c r="D329" s="25">
        <f>IF(C329="","",IF(COUNTIF(lst_Jobs,C329&amp;"")&gt;0,"OK","CHECK"))</f>
        <v/>
      </c>
      <c r="E329" s="25">
        <f>IF(C329="","",IFERROR(INDEX(lst_JobName,MATCH(C329&amp;"",lst_Jobs,0)),""))</f>
        <v/>
      </c>
      <c r="F329" s="25">
        <f>IF(C329="","",IFERROR(INDEX(tbl_Finance[Client],IFERROR(MATCH(C329&amp;"",tbl_Finance[Job Number],0),MATCH(IFERROR(C329+0,C329),tbl_Finance[Job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6" t="n"/>
      <c r="L329" s="27">
        <f>IF(C329="","",IF(K329="",0,MAX(0,K329-H329)))</f>
        <v/>
      </c>
      <c r="M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N329" s="27">
        <f>IF(C329="","",SUMIFS(tbl_Finance[Inc GST],tbl_Finance[Job Number],C329&amp;""))</f>
        <v/>
      </c>
      <c r="O329" s="24" t="n"/>
      <c r="P329" s="25">
        <f>IF(C329="","",IFERROR(INDEX(tbl_Finance[Description],MATCH(C329&amp;"",tbl_Finance[Job Number],0)),""))</f>
        <v/>
      </c>
      <c r="Q329" s="24" t="n"/>
      <c r="R329" s="24" t="n"/>
      <c r="S329" s="22" t="n"/>
      <c r="T329" s="24" t="n"/>
      <c r="U329" s="25">
        <f>IF(T329="","",IF(AND(LEFT(T329,4)&lt;&gt;"http",set_RMSBase=""),"",HYPERLINK(IF(LEFT(T329,4)="http",T329,set_RMSBase&amp;T329),"Open opportunity")))</f>
        <v/>
      </c>
      <c r="V329" s="24" t="n"/>
      <c r="W329" s="25">
        <f>IF(V329="","",HYPERLINK(IF(LEFT(V329,4)="http",V329,set_QwilrBase&amp;V329),"Open quote"))</f>
        <v/>
      </c>
      <c r="X329" s="25">
        <f>IF(C329="","",C329)</f>
        <v/>
      </c>
      <c r="Y329" s="24" t="n"/>
      <c r="Z329" s="26" t="n"/>
      <c r="AA329" s="27">
        <f>IF(C329="","",H329+N(Z329))</f>
        <v/>
      </c>
      <c r="AB329" s="29">
        <f>IFERROR(Z329/AA329,"")</f>
        <v/>
      </c>
      <c r="AC329" s="26" t="n"/>
      <c r="AD329" s="26" t="n"/>
      <c r="AE329" s="26" t="n"/>
      <c r="AF329" s="26" t="n"/>
      <c r="AG329" s="27">
        <f>IF(C329="","",SUMIFS(tbl_Finance[Ex GST],tbl_Finance[Job Number],C329&amp;"",tbl_Finance[Cost Centre],"VIDEO"))</f>
        <v/>
      </c>
      <c r="AH329" s="29">
        <f>IFERROR(AG329/H329,"")</f>
        <v/>
      </c>
      <c r="AI329" s="27">
        <f>IF(C329="","",N(AC329)+N(AD329)+N(AE329)+N(AF329))</f>
        <v/>
      </c>
      <c r="AJ329" s="27">
        <f>IF(C329="","",H329+L329-AI329)</f>
        <v/>
      </c>
      <c r="AK329" s="29">
        <f>IFERROR(AJ329/(H329+L329),"")</f>
        <v/>
      </c>
      <c r="AL329" s="71" t="n"/>
      <c r="AM329" s="71" t="n"/>
      <c r="AN329" s="71" t="n"/>
      <c r="AO329" s="71" t="n"/>
      <c r="AP329" s="71" t="n"/>
      <c r="AQ329" s="24" t="n"/>
    </row>
    <row r="330" ht="15" customHeight="1">
      <c r="A330" s="70">
        <f>IF(C330="","",IFERROR(IF(SUMPRODUCT(MAX((tbl_Finance[Job Number]&amp;""=C330&amp;"")*(tbl_Finance[Xero Invoice No]&lt;&gt;"")*tbl_Finance[Date]))=0,"",SUMPRODUCT(MAX((tbl_Finance[Job Number]&amp;""=C330&amp;"")*(tbl_Finance[Xero Invoice No]&lt;&gt;"")*tbl_Finance[Date]))),""))</f>
        <v/>
      </c>
      <c r="B330" s="25">
        <f>IF(C330="","",IF(COUNTIFS(tbl_Finance[Job Number],C330&amp;"",tbl_Finance[Xero Invoice No],"&lt;&gt;")=0,"",IFERROR(IF(COUNTIFS(tbl_Finance[Job Number],C330&amp;"",tbl_Finance[Xero Invoice No],LOOKUP(2,1/((tbl_Finance[Job Number]&amp;""=C330&amp;"")*(tbl_Finance[Xero Invoice No]&lt;&gt;"")),tbl_Finance[Xero Invoice No]))=COUNTIFS(tbl_Finance[Job Number],C330&amp;"",tbl_Finance[Xero Invoice No],"&lt;&gt;"),LOOKUP(2,1/((tbl_Finance[Job Number]&amp;""=C330&amp;"")*(tbl_Finance[Xero Invoice No]&lt;&gt;"")),tbl_Finance[Xero Invoice No]),LOOKUP(2,1/((tbl_Finance[Job Number]&amp;""=C330&amp;"")*(tbl_Finance[Xero Invoice No]&lt;&gt;"")),tbl_Finance[Xero Invoice No])&amp;" +more"),"")))</f>
        <v/>
      </c>
      <c r="C330" s="24" t="n"/>
      <c r="D330" s="25">
        <f>IF(C330="","",IF(COUNTIF(lst_Jobs,C330&amp;"")&gt;0,"OK","CHECK"))</f>
        <v/>
      </c>
      <c r="E330" s="25">
        <f>IF(C330="","",IFERROR(INDEX(lst_JobName,MATCH(C330&amp;"",lst_Jobs,0)),""))</f>
        <v/>
      </c>
      <c r="F330" s="25">
        <f>IF(C330="","",IFERROR(INDEX(tbl_Finance[Client],IFERROR(MATCH(C330&amp;"",tbl_Finance[Job Number],0),MATCH(IFERROR(C330+0,C330),tbl_Finance[Job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6" t="n"/>
      <c r="L330" s="27">
        <f>IF(C330="","",IF(K330="",0,MAX(0,K330-H330)))</f>
        <v/>
      </c>
      <c r="M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N330" s="27">
        <f>IF(C330="","",SUMIFS(tbl_Finance[Inc GST],tbl_Finance[Job Number],C330&amp;""))</f>
        <v/>
      </c>
      <c r="O330" s="24" t="n"/>
      <c r="P330" s="25">
        <f>IF(C330="","",IFERROR(INDEX(tbl_Finance[Description],MATCH(C330&amp;"",tbl_Finance[Job Number],0)),""))</f>
        <v/>
      </c>
      <c r="Q330" s="24" t="n"/>
      <c r="R330" s="24" t="n"/>
      <c r="S330" s="22" t="n"/>
      <c r="T330" s="24" t="n"/>
      <c r="U330" s="25">
        <f>IF(T330="","",IF(AND(LEFT(T330,4)&lt;&gt;"http",set_RMSBase=""),"",HYPERLINK(IF(LEFT(T330,4)="http",T330,set_RMSBase&amp;T330),"Open opportunity")))</f>
        <v/>
      </c>
      <c r="V330" s="24" t="n"/>
      <c r="W330" s="25">
        <f>IF(V330="","",HYPERLINK(IF(LEFT(V330,4)="http",V330,set_QwilrBase&amp;V330),"Open quote"))</f>
        <v/>
      </c>
      <c r="X330" s="25">
        <f>IF(C330="","",C330)</f>
        <v/>
      </c>
      <c r="Y330" s="24" t="n"/>
      <c r="Z330" s="26" t="n"/>
      <c r="AA330" s="27">
        <f>IF(C330="","",H330+N(Z330))</f>
        <v/>
      </c>
      <c r="AB330" s="29">
        <f>IFERROR(Z330/AA330,"")</f>
        <v/>
      </c>
      <c r="AC330" s="26" t="n"/>
      <c r="AD330" s="26" t="n"/>
      <c r="AE330" s="26" t="n"/>
      <c r="AF330" s="26" t="n"/>
      <c r="AG330" s="27">
        <f>IF(C330="","",SUMIFS(tbl_Finance[Ex GST],tbl_Finance[Job Number],C330&amp;"",tbl_Finance[Cost Centre],"VIDEO"))</f>
        <v/>
      </c>
      <c r="AH330" s="29">
        <f>IFERROR(AG330/H330,"")</f>
        <v/>
      </c>
      <c r="AI330" s="27">
        <f>IF(C330="","",N(AC330)+N(AD330)+N(AE330)+N(AF330))</f>
        <v/>
      </c>
      <c r="AJ330" s="27">
        <f>IF(C330="","",H330+L330-AI330)</f>
        <v/>
      </c>
      <c r="AK330" s="29">
        <f>IFERROR(AJ330/(H330+L330),"")</f>
        <v/>
      </c>
      <c r="AL330" s="71" t="n"/>
      <c r="AM330" s="71" t="n"/>
      <c r="AN330" s="71" t="n"/>
      <c r="AO330" s="71" t="n"/>
      <c r="AP330" s="71" t="n"/>
      <c r="AQ330" s="24" t="n"/>
    </row>
    <row r="331" ht="15" customHeight="1">
      <c r="A331" s="70">
        <f>IF(C331="","",IFERROR(IF(SUMPRODUCT(MAX((tbl_Finance[Job Number]&amp;""=C331&amp;"")*(tbl_Finance[Xero Invoice No]&lt;&gt;"")*tbl_Finance[Date]))=0,"",SUMPRODUCT(MAX((tbl_Finance[Job Number]&amp;""=C331&amp;"")*(tbl_Finance[Xero Invoice No]&lt;&gt;"")*tbl_Finance[Date]))),""))</f>
        <v/>
      </c>
      <c r="B331" s="25">
        <f>IF(C331="","",IF(COUNTIFS(tbl_Finance[Job Number],C331&amp;"",tbl_Finance[Xero Invoice No],"&lt;&gt;")=0,"",IFERROR(IF(COUNTIFS(tbl_Finance[Job Number],C331&amp;"",tbl_Finance[Xero Invoice No],LOOKUP(2,1/((tbl_Finance[Job Number]&amp;""=C331&amp;"")*(tbl_Finance[Xero Invoice No]&lt;&gt;"")),tbl_Finance[Xero Invoice No]))=COUNTIFS(tbl_Finance[Job Number],C331&amp;"",tbl_Finance[Xero Invoice No],"&lt;&gt;"),LOOKUP(2,1/((tbl_Finance[Job Number]&amp;""=C331&amp;"")*(tbl_Finance[Xero Invoice No]&lt;&gt;"")),tbl_Finance[Xero Invoice No]),LOOKUP(2,1/((tbl_Finance[Job Number]&amp;""=C331&amp;"")*(tbl_Finance[Xero Invoice No]&lt;&gt;"")),tbl_Finance[Xero Invoice No])&amp;" +more"),"")))</f>
        <v/>
      </c>
      <c r="C331" s="24" t="n"/>
      <c r="D331" s="25">
        <f>IF(C331="","",IF(COUNTIF(lst_Jobs,C331&amp;"")&gt;0,"OK","CHECK"))</f>
        <v/>
      </c>
      <c r="E331" s="25">
        <f>IF(C331="","",IFERROR(INDEX(lst_JobName,MATCH(C331&amp;"",lst_Jobs,0)),""))</f>
        <v/>
      </c>
      <c r="F331" s="25">
        <f>IF(C331="","",IFERROR(INDEX(tbl_Finance[Client],IFERROR(MATCH(C331&amp;"",tbl_Finance[Job Number],0),MATCH(IFERROR(C331+0,C331),tbl_Finance[Job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6" t="n"/>
      <c r="L331" s="27">
        <f>IF(C331="","",IF(K331="",0,MAX(0,K331-H331)))</f>
        <v/>
      </c>
      <c r="M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N331" s="27">
        <f>IF(C331="","",SUMIFS(tbl_Finance[Inc GST],tbl_Finance[Job Number],C331&amp;""))</f>
        <v/>
      </c>
      <c r="O331" s="24" t="n"/>
      <c r="P331" s="25">
        <f>IF(C331="","",IFERROR(INDEX(tbl_Finance[Description],MATCH(C331&amp;"",tbl_Finance[Job Number],0)),""))</f>
        <v/>
      </c>
      <c r="Q331" s="24" t="n"/>
      <c r="R331" s="24" t="n"/>
      <c r="S331" s="22" t="n"/>
      <c r="T331" s="24" t="n"/>
      <c r="U331" s="25">
        <f>IF(T331="","",IF(AND(LEFT(T331,4)&lt;&gt;"http",set_RMSBase=""),"",HYPERLINK(IF(LEFT(T331,4)="http",T331,set_RMSBase&amp;T331),"Open opportunity")))</f>
        <v/>
      </c>
      <c r="V331" s="24" t="n"/>
      <c r="W331" s="25">
        <f>IF(V331="","",HYPERLINK(IF(LEFT(V331,4)="http",V331,set_QwilrBase&amp;V331),"Open quote"))</f>
        <v/>
      </c>
      <c r="X331" s="25">
        <f>IF(C331="","",C331)</f>
        <v/>
      </c>
      <c r="Y331" s="24" t="n"/>
      <c r="Z331" s="26" t="n"/>
      <c r="AA331" s="27">
        <f>IF(C331="","",H331+N(Z331))</f>
        <v/>
      </c>
      <c r="AB331" s="29">
        <f>IFERROR(Z331/AA331,"")</f>
        <v/>
      </c>
      <c r="AC331" s="26" t="n"/>
      <c r="AD331" s="26" t="n"/>
      <c r="AE331" s="26" t="n"/>
      <c r="AF331" s="26" t="n"/>
      <c r="AG331" s="27">
        <f>IF(C331="","",SUMIFS(tbl_Finance[Ex GST],tbl_Finance[Job Number],C331&amp;"",tbl_Finance[Cost Centre],"VIDEO"))</f>
        <v/>
      </c>
      <c r="AH331" s="29">
        <f>IFERROR(AG331/H331,"")</f>
        <v/>
      </c>
      <c r="AI331" s="27">
        <f>IF(C331="","",N(AC331)+N(AD331)+N(AE331)+N(AF331))</f>
        <v/>
      </c>
      <c r="AJ331" s="27">
        <f>IF(C331="","",H331+L331-AI331)</f>
        <v/>
      </c>
      <c r="AK331" s="29">
        <f>IFERROR(AJ331/(H331+L331),"")</f>
        <v/>
      </c>
      <c r="AL331" s="71" t="n"/>
      <c r="AM331" s="71" t="n"/>
      <c r="AN331" s="71" t="n"/>
      <c r="AO331" s="71" t="n"/>
      <c r="AP331" s="71" t="n"/>
      <c r="AQ331" s="24" t="n"/>
    </row>
    <row r="332" ht="15" customHeight="1">
      <c r="A332" s="70">
        <f>IF(C332="","",IFERROR(IF(SUMPRODUCT(MAX((tbl_Finance[Job Number]&amp;""=C332&amp;"")*(tbl_Finance[Xero Invoice No]&lt;&gt;"")*tbl_Finance[Date]))=0,"",SUMPRODUCT(MAX((tbl_Finance[Job Number]&amp;""=C332&amp;"")*(tbl_Finance[Xero Invoice No]&lt;&gt;"")*tbl_Finance[Date]))),""))</f>
        <v/>
      </c>
      <c r="B332" s="25">
        <f>IF(C332="","",IF(COUNTIFS(tbl_Finance[Job Number],C332&amp;"",tbl_Finance[Xero Invoice No],"&lt;&gt;")=0,"",IFERROR(IF(COUNTIFS(tbl_Finance[Job Number],C332&amp;"",tbl_Finance[Xero Invoice No],LOOKUP(2,1/((tbl_Finance[Job Number]&amp;""=C332&amp;"")*(tbl_Finance[Xero Invoice No]&lt;&gt;"")),tbl_Finance[Xero Invoice No]))=COUNTIFS(tbl_Finance[Job Number],C332&amp;"",tbl_Finance[Xero Invoice No],"&lt;&gt;"),LOOKUP(2,1/((tbl_Finance[Job Number]&amp;""=C332&amp;"")*(tbl_Finance[Xero Invoice No]&lt;&gt;"")),tbl_Finance[Xero Invoice No]),LOOKUP(2,1/((tbl_Finance[Job Number]&amp;""=C332&amp;"")*(tbl_Finance[Xero Invoice No]&lt;&gt;"")),tbl_Finance[Xero Invoice No])&amp;" +more"),"")))</f>
        <v/>
      </c>
      <c r="C332" s="24" t="n"/>
      <c r="D332" s="25">
        <f>IF(C332="","",IF(COUNTIF(lst_Jobs,C332&amp;"")&gt;0,"OK","CHECK"))</f>
        <v/>
      </c>
      <c r="E332" s="25">
        <f>IF(C332="","",IFERROR(INDEX(lst_JobName,MATCH(C332&amp;"",lst_Jobs,0)),""))</f>
        <v/>
      </c>
      <c r="F332" s="25">
        <f>IF(C332="","",IFERROR(INDEX(tbl_Finance[Client],IFERROR(MATCH(C332&amp;"",tbl_Finance[Job Number],0),MATCH(IFERROR(C332+0,C332),tbl_Finance[Job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6" t="n"/>
      <c r="L332" s="27">
        <f>IF(C332="","",IF(K332="",0,MAX(0,K332-H332)))</f>
        <v/>
      </c>
      <c r="M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N332" s="27">
        <f>IF(C332="","",SUMIFS(tbl_Finance[Inc GST],tbl_Finance[Job Number],C332&amp;""))</f>
        <v/>
      </c>
      <c r="O332" s="24" t="n"/>
      <c r="P332" s="25">
        <f>IF(C332="","",IFERROR(INDEX(tbl_Finance[Description],MATCH(C332&amp;"",tbl_Finance[Job Number],0)),""))</f>
        <v/>
      </c>
      <c r="Q332" s="24" t="n"/>
      <c r="R332" s="24" t="n"/>
      <c r="S332" s="22" t="n"/>
      <c r="T332" s="24" t="n"/>
      <c r="U332" s="25">
        <f>IF(T332="","",IF(AND(LEFT(T332,4)&lt;&gt;"http",set_RMSBase=""),"",HYPERLINK(IF(LEFT(T332,4)="http",T332,set_RMSBase&amp;T332),"Open opportunity")))</f>
        <v/>
      </c>
      <c r="V332" s="24" t="n"/>
      <c r="W332" s="25">
        <f>IF(V332="","",HYPERLINK(IF(LEFT(V332,4)="http",V332,set_QwilrBase&amp;V332),"Open quote"))</f>
        <v/>
      </c>
      <c r="X332" s="25">
        <f>IF(C332="","",C332)</f>
        <v/>
      </c>
      <c r="Y332" s="24" t="n"/>
      <c r="Z332" s="26" t="n"/>
      <c r="AA332" s="27">
        <f>IF(C332="","",H332+N(Z332))</f>
        <v/>
      </c>
      <c r="AB332" s="29">
        <f>IFERROR(Z332/AA332,"")</f>
        <v/>
      </c>
      <c r="AC332" s="26" t="n"/>
      <c r="AD332" s="26" t="n"/>
      <c r="AE332" s="26" t="n"/>
      <c r="AF332" s="26" t="n"/>
      <c r="AG332" s="27">
        <f>IF(C332="","",SUMIFS(tbl_Finance[Ex GST],tbl_Finance[Job Number],C332&amp;"",tbl_Finance[Cost Centre],"VIDEO"))</f>
        <v/>
      </c>
      <c r="AH332" s="29">
        <f>IFERROR(AG332/H332,"")</f>
        <v/>
      </c>
      <c r="AI332" s="27">
        <f>IF(C332="","",N(AC332)+N(AD332)+N(AE332)+N(AF332))</f>
        <v/>
      </c>
      <c r="AJ332" s="27">
        <f>IF(C332="","",H332+L332-AI332)</f>
        <v/>
      </c>
      <c r="AK332" s="29">
        <f>IFERROR(AJ332/(H332+L332),"")</f>
        <v/>
      </c>
      <c r="AL332" s="71" t="n"/>
      <c r="AM332" s="71" t="n"/>
      <c r="AN332" s="71" t="n"/>
      <c r="AO332" s="71" t="n"/>
      <c r="AP332" s="71" t="n"/>
      <c r="AQ332" s="24" t="n"/>
    </row>
    <row r="333" ht="15" customHeight="1">
      <c r="A333" s="70">
        <f>IF(C333="","",IFERROR(IF(SUMPRODUCT(MAX((tbl_Finance[Job Number]&amp;""=C333&amp;"")*(tbl_Finance[Xero Invoice No]&lt;&gt;"")*tbl_Finance[Date]))=0,"",SUMPRODUCT(MAX((tbl_Finance[Job Number]&amp;""=C333&amp;"")*(tbl_Finance[Xero Invoice No]&lt;&gt;"")*tbl_Finance[Date]))),""))</f>
        <v/>
      </c>
      <c r="B333" s="25">
        <f>IF(C333="","",IF(COUNTIFS(tbl_Finance[Job Number],C333&amp;"",tbl_Finance[Xero Invoice No],"&lt;&gt;")=0,"",IFERROR(IF(COUNTIFS(tbl_Finance[Job Number],C333&amp;"",tbl_Finance[Xero Invoice No],LOOKUP(2,1/((tbl_Finance[Job Number]&amp;""=C333&amp;"")*(tbl_Finance[Xero Invoice No]&lt;&gt;"")),tbl_Finance[Xero Invoice No]))=COUNTIFS(tbl_Finance[Job Number],C333&amp;"",tbl_Finance[Xero Invoice No],"&lt;&gt;"),LOOKUP(2,1/((tbl_Finance[Job Number]&amp;""=C333&amp;"")*(tbl_Finance[Xero Invoice No]&lt;&gt;"")),tbl_Finance[Xero Invoice No]),LOOKUP(2,1/((tbl_Finance[Job Number]&amp;""=C333&amp;"")*(tbl_Finance[Xero Invoice No]&lt;&gt;"")),tbl_Finance[Xero Invoice No])&amp;" +more"),"")))</f>
        <v/>
      </c>
      <c r="C333" s="24" t="n"/>
      <c r="D333" s="25">
        <f>IF(C333="","",IF(COUNTIF(lst_Jobs,C333&amp;"")&gt;0,"OK","CHECK"))</f>
        <v/>
      </c>
      <c r="E333" s="25">
        <f>IF(C333="","",IFERROR(INDEX(lst_JobName,MATCH(C333&amp;"",lst_Jobs,0)),""))</f>
        <v/>
      </c>
      <c r="F333" s="25">
        <f>IF(C333="","",IFERROR(INDEX(tbl_Finance[Client],IFERROR(MATCH(C333&amp;"",tbl_Finance[Job Number],0),MATCH(IFERROR(C333+0,C333),tbl_Finance[Job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6" t="n"/>
      <c r="L333" s="27">
        <f>IF(C333="","",IF(K333="",0,MAX(0,K333-H333)))</f>
        <v/>
      </c>
      <c r="M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N333" s="27">
        <f>IF(C333="","",SUMIFS(tbl_Finance[Inc GST],tbl_Finance[Job Number],C333&amp;""))</f>
        <v/>
      </c>
      <c r="O333" s="24" t="n"/>
      <c r="P333" s="25">
        <f>IF(C333="","",IFERROR(INDEX(tbl_Finance[Description],MATCH(C333&amp;"",tbl_Finance[Job Number],0)),""))</f>
        <v/>
      </c>
      <c r="Q333" s="24" t="n"/>
      <c r="R333" s="24" t="n"/>
      <c r="S333" s="22" t="n"/>
      <c r="T333" s="24" t="n"/>
      <c r="U333" s="25">
        <f>IF(T333="","",IF(AND(LEFT(T333,4)&lt;&gt;"http",set_RMSBase=""),"",HYPERLINK(IF(LEFT(T333,4)="http",T333,set_RMSBase&amp;T333),"Open opportunity")))</f>
        <v/>
      </c>
      <c r="V333" s="24" t="n"/>
      <c r="W333" s="25">
        <f>IF(V333="","",HYPERLINK(IF(LEFT(V333,4)="http",V333,set_QwilrBase&amp;V333),"Open quote"))</f>
        <v/>
      </c>
      <c r="X333" s="25">
        <f>IF(C333="","",C333)</f>
        <v/>
      </c>
      <c r="Y333" s="24" t="n"/>
      <c r="Z333" s="26" t="n"/>
      <c r="AA333" s="27">
        <f>IF(C333="","",H333+N(Z333))</f>
        <v/>
      </c>
      <c r="AB333" s="29">
        <f>IFERROR(Z333/AA333,"")</f>
        <v/>
      </c>
      <c r="AC333" s="26" t="n"/>
      <c r="AD333" s="26" t="n"/>
      <c r="AE333" s="26" t="n"/>
      <c r="AF333" s="26" t="n"/>
      <c r="AG333" s="27">
        <f>IF(C333="","",SUMIFS(tbl_Finance[Ex GST],tbl_Finance[Job Number],C333&amp;"",tbl_Finance[Cost Centre],"VIDEO"))</f>
        <v/>
      </c>
      <c r="AH333" s="29">
        <f>IFERROR(AG333/H333,"")</f>
        <v/>
      </c>
      <c r="AI333" s="27">
        <f>IF(C333="","",N(AC333)+N(AD333)+N(AE333)+N(AF333))</f>
        <v/>
      </c>
      <c r="AJ333" s="27">
        <f>IF(C333="","",H333+L333-AI333)</f>
        <v/>
      </c>
      <c r="AK333" s="29">
        <f>IFERROR(AJ333/(H333+L333),"")</f>
        <v/>
      </c>
      <c r="AL333" s="71" t="n"/>
      <c r="AM333" s="71" t="n"/>
      <c r="AN333" s="71" t="n"/>
      <c r="AO333" s="71" t="n"/>
      <c r="AP333" s="71" t="n"/>
      <c r="AQ333" s="24" t="n"/>
    </row>
    <row r="334" ht="15" customHeight="1">
      <c r="A334" s="70">
        <f>IF(C334="","",IFERROR(IF(SUMPRODUCT(MAX((tbl_Finance[Job Number]&amp;""=C334&amp;"")*(tbl_Finance[Xero Invoice No]&lt;&gt;"")*tbl_Finance[Date]))=0,"",SUMPRODUCT(MAX((tbl_Finance[Job Number]&amp;""=C334&amp;"")*(tbl_Finance[Xero Invoice No]&lt;&gt;"")*tbl_Finance[Date]))),""))</f>
        <v/>
      </c>
      <c r="B334" s="25">
        <f>IF(C334="","",IF(COUNTIFS(tbl_Finance[Job Number],C334&amp;"",tbl_Finance[Xero Invoice No],"&lt;&gt;")=0,"",IFERROR(IF(COUNTIFS(tbl_Finance[Job Number],C334&amp;"",tbl_Finance[Xero Invoice No],LOOKUP(2,1/((tbl_Finance[Job Number]&amp;""=C334&amp;"")*(tbl_Finance[Xero Invoice No]&lt;&gt;"")),tbl_Finance[Xero Invoice No]))=COUNTIFS(tbl_Finance[Job Number],C334&amp;"",tbl_Finance[Xero Invoice No],"&lt;&gt;"),LOOKUP(2,1/((tbl_Finance[Job Number]&amp;""=C334&amp;"")*(tbl_Finance[Xero Invoice No]&lt;&gt;"")),tbl_Finance[Xero Invoice No]),LOOKUP(2,1/((tbl_Finance[Job Number]&amp;""=C334&amp;"")*(tbl_Finance[Xero Invoice No]&lt;&gt;"")),tbl_Finance[Xero Invoice No])&amp;" +more"),"")))</f>
        <v/>
      </c>
      <c r="C334" s="24" t="n"/>
      <c r="D334" s="25">
        <f>IF(C334="","",IF(COUNTIF(lst_Jobs,C334&amp;"")&gt;0,"OK","CHECK"))</f>
        <v/>
      </c>
      <c r="E334" s="25">
        <f>IF(C334="","",IFERROR(INDEX(lst_JobName,MATCH(C334&amp;"",lst_Jobs,0)),""))</f>
        <v/>
      </c>
      <c r="F334" s="25">
        <f>IF(C334="","",IFERROR(INDEX(tbl_Finance[Client],IFERROR(MATCH(C334&amp;"",tbl_Finance[Job Number],0),MATCH(IFERROR(C334+0,C334),tbl_Finance[Job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6" t="n"/>
      <c r="L334" s="27">
        <f>IF(C334="","",IF(K334="",0,MAX(0,K334-H334)))</f>
        <v/>
      </c>
      <c r="M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N334" s="27">
        <f>IF(C334="","",SUMIFS(tbl_Finance[Inc GST],tbl_Finance[Job Number],C334&amp;""))</f>
        <v/>
      </c>
      <c r="O334" s="24" t="n"/>
      <c r="P334" s="25">
        <f>IF(C334="","",IFERROR(INDEX(tbl_Finance[Description],MATCH(C334&amp;"",tbl_Finance[Job Number],0)),""))</f>
        <v/>
      </c>
      <c r="Q334" s="24" t="n"/>
      <c r="R334" s="24" t="n"/>
      <c r="S334" s="22" t="n"/>
      <c r="T334" s="24" t="n"/>
      <c r="U334" s="25">
        <f>IF(T334="","",IF(AND(LEFT(T334,4)&lt;&gt;"http",set_RMSBase=""),"",HYPERLINK(IF(LEFT(T334,4)="http",T334,set_RMSBase&amp;T334),"Open opportunity")))</f>
        <v/>
      </c>
      <c r="V334" s="24" t="n"/>
      <c r="W334" s="25">
        <f>IF(V334="","",HYPERLINK(IF(LEFT(V334,4)="http",V334,set_QwilrBase&amp;V334),"Open quote"))</f>
        <v/>
      </c>
      <c r="X334" s="25">
        <f>IF(C334="","",C334)</f>
        <v/>
      </c>
      <c r="Y334" s="24" t="n"/>
      <c r="Z334" s="26" t="n"/>
      <c r="AA334" s="27">
        <f>IF(C334="","",H334+N(Z334))</f>
        <v/>
      </c>
      <c r="AB334" s="29">
        <f>IFERROR(Z334/AA334,"")</f>
        <v/>
      </c>
      <c r="AC334" s="26" t="n"/>
      <c r="AD334" s="26" t="n"/>
      <c r="AE334" s="26" t="n"/>
      <c r="AF334" s="26" t="n"/>
      <c r="AG334" s="27">
        <f>IF(C334="","",SUMIFS(tbl_Finance[Ex GST],tbl_Finance[Job Number],C334&amp;"",tbl_Finance[Cost Centre],"VIDEO"))</f>
        <v/>
      </c>
      <c r="AH334" s="29">
        <f>IFERROR(AG334/H334,"")</f>
        <v/>
      </c>
      <c r="AI334" s="27">
        <f>IF(C334="","",N(AC334)+N(AD334)+N(AE334)+N(AF334))</f>
        <v/>
      </c>
      <c r="AJ334" s="27">
        <f>IF(C334="","",H334+L334-AI334)</f>
        <v/>
      </c>
      <c r="AK334" s="29">
        <f>IFERROR(AJ334/(H334+L334),"")</f>
        <v/>
      </c>
      <c r="AL334" s="71" t="n"/>
      <c r="AM334" s="71" t="n"/>
      <c r="AN334" s="71" t="n"/>
      <c r="AO334" s="71" t="n"/>
      <c r="AP334" s="71" t="n"/>
      <c r="AQ334" s="24" t="n"/>
    </row>
    <row r="335" ht="15" customHeight="1">
      <c r="A335" s="70">
        <f>IF(C335="","",IFERROR(IF(SUMPRODUCT(MAX((tbl_Finance[Job Number]&amp;""=C335&amp;"")*(tbl_Finance[Xero Invoice No]&lt;&gt;"")*tbl_Finance[Date]))=0,"",SUMPRODUCT(MAX((tbl_Finance[Job Number]&amp;""=C335&amp;"")*(tbl_Finance[Xero Invoice No]&lt;&gt;"")*tbl_Finance[Date]))),""))</f>
        <v/>
      </c>
      <c r="B335" s="25">
        <f>IF(C335="","",IF(COUNTIFS(tbl_Finance[Job Number],C335&amp;"",tbl_Finance[Xero Invoice No],"&lt;&gt;")=0,"",IFERROR(IF(COUNTIFS(tbl_Finance[Job Number],C335&amp;"",tbl_Finance[Xero Invoice No],LOOKUP(2,1/((tbl_Finance[Job Number]&amp;""=C335&amp;"")*(tbl_Finance[Xero Invoice No]&lt;&gt;"")),tbl_Finance[Xero Invoice No]))=COUNTIFS(tbl_Finance[Job Number],C335&amp;"",tbl_Finance[Xero Invoice No],"&lt;&gt;"),LOOKUP(2,1/((tbl_Finance[Job Number]&amp;""=C335&amp;"")*(tbl_Finance[Xero Invoice No]&lt;&gt;"")),tbl_Finance[Xero Invoice No]),LOOKUP(2,1/((tbl_Finance[Job Number]&amp;""=C335&amp;"")*(tbl_Finance[Xero Invoice No]&lt;&gt;"")),tbl_Finance[Xero Invoice No])&amp;" +more"),"")))</f>
        <v/>
      </c>
      <c r="C335" s="24" t="n"/>
      <c r="D335" s="25">
        <f>IF(C335="","",IF(COUNTIF(lst_Jobs,C335&amp;"")&gt;0,"OK","CHECK"))</f>
        <v/>
      </c>
      <c r="E335" s="25">
        <f>IF(C335="","",IFERROR(INDEX(lst_JobName,MATCH(C335&amp;"",lst_Jobs,0)),""))</f>
        <v/>
      </c>
      <c r="F335" s="25">
        <f>IF(C335="","",IFERROR(INDEX(tbl_Finance[Client],IFERROR(MATCH(C335&amp;"",tbl_Finance[Job Number],0),MATCH(IFERROR(C335+0,C335),tbl_Finance[Job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6" t="n"/>
      <c r="L335" s="27">
        <f>IF(C335="","",IF(K335="",0,MAX(0,K335-H335)))</f>
        <v/>
      </c>
      <c r="M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N335" s="27">
        <f>IF(C335="","",SUMIFS(tbl_Finance[Inc GST],tbl_Finance[Job Number],C335&amp;""))</f>
        <v/>
      </c>
      <c r="O335" s="24" t="n"/>
      <c r="P335" s="25">
        <f>IF(C335="","",IFERROR(INDEX(tbl_Finance[Description],MATCH(C335&amp;"",tbl_Finance[Job Number],0)),""))</f>
        <v/>
      </c>
      <c r="Q335" s="24" t="n"/>
      <c r="R335" s="24" t="n"/>
      <c r="S335" s="22" t="n"/>
      <c r="T335" s="24" t="n"/>
      <c r="U335" s="25">
        <f>IF(T335="","",IF(AND(LEFT(T335,4)&lt;&gt;"http",set_RMSBase=""),"",HYPERLINK(IF(LEFT(T335,4)="http",T335,set_RMSBase&amp;T335),"Open opportunity")))</f>
        <v/>
      </c>
      <c r="V335" s="24" t="n"/>
      <c r="W335" s="25">
        <f>IF(V335="","",HYPERLINK(IF(LEFT(V335,4)="http",V335,set_QwilrBase&amp;V335),"Open quote"))</f>
        <v/>
      </c>
      <c r="X335" s="25">
        <f>IF(C335="","",C335)</f>
        <v/>
      </c>
      <c r="Y335" s="24" t="n"/>
      <c r="Z335" s="26" t="n"/>
      <c r="AA335" s="27">
        <f>IF(C335="","",H335+N(Z335))</f>
        <v/>
      </c>
      <c r="AB335" s="29">
        <f>IFERROR(Z335/AA335,"")</f>
        <v/>
      </c>
      <c r="AC335" s="26" t="n"/>
      <c r="AD335" s="26" t="n"/>
      <c r="AE335" s="26" t="n"/>
      <c r="AF335" s="26" t="n"/>
      <c r="AG335" s="27">
        <f>IF(C335="","",SUMIFS(tbl_Finance[Ex GST],tbl_Finance[Job Number],C335&amp;"",tbl_Finance[Cost Centre],"VIDEO"))</f>
        <v/>
      </c>
      <c r="AH335" s="29">
        <f>IFERROR(AG335/H335,"")</f>
        <v/>
      </c>
      <c r="AI335" s="27">
        <f>IF(C335="","",N(AC335)+N(AD335)+N(AE335)+N(AF335))</f>
        <v/>
      </c>
      <c r="AJ335" s="27">
        <f>IF(C335="","",H335+L335-AI335)</f>
        <v/>
      </c>
      <c r="AK335" s="29">
        <f>IFERROR(AJ335/(H335+L335),"")</f>
        <v/>
      </c>
      <c r="AL335" s="71" t="n"/>
      <c r="AM335" s="71" t="n"/>
      <c r="AN335" s="71" t="n"/>
      <c r="AO335" s="71" t="n"/>
      <c r="AP335" s="71" t="n"/>
      <c r="AQ335" s="24" t="n"/>
    </row>
    <row r="336" ht="15" customHeight="1">
      <c r="A336" s="70">
        <f>IF(C336="","",IFERROR(IF(SUMPRODUCT(MAX((tbl_Finance[Job Number]&amp;""=C336&amp;"")*(tbl_Finance[Xero Invoice No]&lt;&gt;"")*tbl_Finance[Date]))=0,"",SUMPRODUCT(MAX((tbl_Finance[Job Number]&amp;""=C336&amp;"")*(tbl_Finance[Xero Invoice No]&lt;&gt;"")*tbl_Finance[Date]))),""))</f>
        <v/>
      </c>
      <c r="B336" s="25">
        <f>IF(C336="","",IF(COUNTIFS(tbl_Finance[Job Number],C336&amp;"",tbl_Finance[Xero Invoice No],"&lt;&gt;")=0,"",IFERROR(IF(COUNTIFS(tbl_Finance[Job Number],C336&amp;"",tbl_Finance[Xero Invoice No],LOOKUP(2,1/((tbl_Finance[Job Number]&amp;""=C336&amp;"")*(tbl_Finance[Xero Invoice No]&lt;&gt;"")),tbl_Finance[Xero Invoice No]))=COUNTIFS(tbl_Finance[Job Number],C336&amp;"",tbl_Finance[Xero Invoice No],"&lt;&gt;"),LOOKUP(2,1/((tbl_Finance[Job Number]&amp;""=C336&amp;"")*(tbl_Finance[Xero Invoice No]&lt;&gt;"")),tbl_Finance[Xero Invoice No]),LOOKUP(2,1/((tbl_Finance[Job Number]&amp;""=C336&amp;"")*(tbl_Finance[Xero Invoice No]&lt;&gt;"")),tbl_Finance[Xero Invoice No])&amp;" +more"),"")))</f>
        <v/>
      </c>
      <c r="C336" s="24" t="n"/>
      <c r="D336" s="25">
        <f>IF(C336="","",IF(COUNTIF(lst_Jobs,C336&amp;"")&gt;0,"OK","CHECK"))</f>
        <v/>
      </c>
      <c r="E336" s="25">
        <f>IF(C336="","",IFERROR(INDEX(lst_JobName,MATCH(C336&amp;"",lst_Jobs,0)),""))</f>
        <v/>
      </c>
      <c r="F336" s="25">
        <f>IF(C336="","",IFERROR(INDEX(tbl_Finance[Client],IFERROR(MATCH(C336&amp;"",tbl_Finance[Job Number],0),MATCH(IFERROR(C336+0,C336),tbl_Finance[Job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6" t="n"/>
      <c r="L336" s="27">
        <f>IF(C336="","",IF(K336="",0,MAX(0,K336-H336)))</f>
        <v/>
      </c>
      <c r="M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N336" s="27">
        <f>IF(C336="","",SUMIFS(tbl_Finance[Inc GST],tbl_Finance[Job Number],C336&amp;""))</f>
        <v/>
      </c>
      <c r="O336" s="24" t="n"/>
      <c r="P336" s="25">
        <f>IF(C336="","",IFERROR(INDEX(tbl_Finance[Description],MATCH(C336&amp;"",tbl_Finance[Job Number],0)),""))</f>
        <v/>
      </c>
      <c r="Q336" s="24" t="n"/>
      <c r="R336" s="24" t="n"/>
      <c r="S336" s="22" t="n"/>
      <c r="T336" s="24" t="n"/>
      <c r="U336" s="25">
        <f>IF(T336="","",IF(AND(LEFT(T336,4)&lt;&gt;"http",set_RMSBase=""),"",HYPERLINK(IF(LEFT(T336,4)="http",T336,set_RMSBase&amp;T336),"Open opportunity")))</f>
        <v/>
      </c>
      <c r="V336" s="24" t="n"/>
      <c r="W336" s="25">
        <f>IF(V336="","",HYPERLINK(IF(LEFT(V336,4)="http",V336,set_QwilrBase&amp;V336),"Open quote"))</f>
        <v/>
      </c>
      <c r="X336" s="25">
        <f>IF(C336="","",C336)</f>
        <v/>
      </c>
      <c r="Y336" s="24" t="n"/>
      <c r="Z336" s="26" t="n"/>
      <c r="AA336" s="27">
        <f>IF(C336="","",H336+N(Z336))</f>
        <v/>
      </c>
      <c r="AB336" s="29">
        <f>IFERROR(Z336/AA336,"")</f>
        <v/>
      </c>
      <c r="AC336" s="26" t="n"/>
      <c r="AD336" s="26" t="n"/>
      <c r="AE336" s="26" t="n"/>
      <c r="AF336" s="26" t="n"/>
      <c r="AG336" s="27">
        <f>IF(C336="","",SUMIFS(tbl_Finance[Ex GST],tbl_Finance[Job Number],C336&amp;"",tbl_Finance[Cost Centre],"VIDEO"))</f>
        <v/>
      </c>
      <c r="AH336" s="29">
        <f>IFERROR(AG336/H336,"")</f>
        <v/>
      </c>
      <c r="AI336" s="27">
        <f>IF(C336="","",N(AC336)+N(AD336)+N(AE336)+N(AF336))</f>
        <v/>
      </c>
      <c r="AJ336" s="27">
        <f>IF(C336="","",H336+L336-AI336)</f>
        <v/>
      </c>
      <c r="AK336" s="29">
        <f>IFERROR(AJ336/(H336+L336),"")</f>
        <v/>
      </c>
      <c r="AL336" s="71" t="n"/>
      <c r="AM336" s="71" t="n"/>
      <c r="AN336" s="71" t="n"/>
      <c r="AO336" s="71" t="n"/>
      <c r="AP336" s="71" t="n"/>
      <c r="AQ336" s="24" t="n"/>
    </row>
    <row r="337" ht="15" customHeight="1">
      <c r="A337" s="70">
        <f>IF(C337="","",IFERROR(IF(SUMPRODUCT(MAX((tbl_Finance[Job Number]&amp;""=C337&amp;"")*(tbl_Finance[Xero Invoice No]&lt;&gt;"")*tbl_Finance[Date]))=0,"",SUMPRODUCT(MAX((tbl_Finance[Job Number]&amp;""=C337&amp;"")*(tbl_Finance[Xero Invoice No]&lt;&gt;"")*tbl_Finance[Date]))),""))</f>
        <v/>
      </c>
      <c r="B337" s="25">
        <f>IF(C337="","",IF(COUNTIFS(tbl_Finance[Job Number],C337&amp;"",tbl_Finance[Xero Invoice No],"&lt;&gt;")=0,"",IFERROR(IF(COUNTIFS(tbl_Finance[Job Number],C337&amp;"",tbl_Finance[Xero Invoice No],LOOKUP(2,1/((tbl_Finance[Job Number]&amp;""=C337&amp;"")*(tbl_Finance[Xero Invoice No]&lt;&gt;"")),tbl_Finance[Xero Invoice No]))=COUNTIFS(tbl_Finance[Job Number],C337&amp;"",tbl_Finance[Xero Invoice No],"&lt;&gt;"),LOOKUP(2,1/((tbl_Finance[Job Number]&amp;""=C337&amp;"")*(tbl_Finance[Xero Invoice No]&lt;&gt;"")),tbl_Finance[Xero Invoice No]),LOOKUP(2,1/((tbl_Finance[Job Number]&amp;""=C337&amp;"")*(tbl_Finance[Xero Invoice No]&lt;&gt;"")),tbl_Finance[Xero Invoice No])&amp;" +more"),"")))</f>
        <v/>
      </c>
      <c r="C337" s="24" t="n"/>
      <c r="D337" s="25">
        <f>IF(C337="","",IF(COUNTIF(lst_Jobs,C337&amp;"")&gt;0,"OK","CHECK"))</f>
        <v/>
      </c>
      <c r="E337" s="25">
        <f>IF(C337="","",IFERROR(INDEX(lst_JobName,MATCH(C337&amp;"",lst_Jobs,0)),""))</f>
        <v/>
      </c>
      <c r="F337" s="25">
        <f>IF(C337="","",IFERROR(INDEX(tbl_Finance[Client],IFERROR(MATCH(C337&amp;"",tbl_Finance[Job Number],0),MATCH(IFERROR(C337+0,C337),tbl_Finance[Job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6" t="n"/>
      <c r="L337" s="27">
        <f>IF(C337="","",IF(K337="",0,MAX(0,K337-H337)))</f>
        <v/>
      </c>
      <c r="M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N337" s="27">
        <f>IF(C337="","",SUMIFS(tbl_Finance[Inc GST],tbl_Finance[Job Number],C337&amp;""))</f>
        <v/>
      </c>
      <c r="O337" s="24" t="n"/>
      <c r="P337" s="25">
        <f>IF(C337="","",IFERROR(INDEX(tbl_Finance[Description],MATCH(C337&amp;"",tbl_Finance[Job Number],0)),""))</f>
        <v/>
      </c>
      <c r="Q337" s="24" t="n"/>
      <c r="R337" s="24" t="n"/>
      <c r="S337" s="22" t="n"/>
      <c r="T337" s="24" t="n"/>
      <c r="U337" s="25">
        <f>IF(T337="","",IF(AND(LEFT(T337,4)&lt;&gt;"http",set_RMSBase=""),"",HYPERLINK(IF(LEFT(T337,4)="http",T337,set_RMSBase&amp;T337),"Open opportunity")))</f>
        <v/>
      </c>
      <c r="V337" s="24" t="n"/>
      <c r="W337" s="25">
        <f>IF(V337="","",HYPERLINK(IF(LEFT(V337,4)="http",V337,set_QwilrBase&amp;V337),"Open quote"))</f>
        <v/>
      </c>
      <c r="X337" s="25">
        <f>IF(C337="","",C337)</f>
        <v/>
      </c>
      <c r="Y337" s="24" t="n"/>
      <c r="Z337" s="26" t="n"/>
      <c r="AA337" s="27">
        <f>IF(C337="","",H337+N(Z337))</f>
        <v/>
      </c>
      <c r="AB337" s="29">
        <f>IFERROR(Z337/AA337,"")</f>
        <v/>
      </c>
      <c r="AC337" s="26" t="n"/>
      <c r="AD337" s="26" t="n"/>
      <c r="AE337" s="26" t="n"/>
      <c r="AF337" s="26" t="n"/>
      <c r="AG337" s="27">
        <f>IF(C337="","",SUMIFS(tbl_Finance[Ex GST],tbl_Finance[Job Number],C337&amp;"",tbl_Finance[Cost Centre],"VIDEO"))</f>
        <v/>
      </c>
      <c r="AH337" s="29">
        <f>IFERROR(AG337/H337,"")</f>
        <v/>
      </c>
      <c r="AI337" s="27">
        <f>IF(C337="","",N(AC337)+N(AD337)+N(AE337)+N(AF337))</f>
        <v/>
      </c>
      <c r="AJ337" s="27">
        <f>IF(C337="","",H337+L337-AI337)</f>
        <v/>
      </c>
      <c r="AK337" s="29">
        <f>IFERROR(AJ337/(H337+L337),"")</f>
        <v/>
      </c>
      <c r="AL337" s="71" t="n"/>
      <c r="AM337" s="71" t="n"/>
      <c r="AN337" s="71" t="n"/>
      <c r="AO337" s="71" t="n"/>
      <c r="AP337" s="71" t="n"/>
      <c r="AQ337" s="24" t="n"/>
    </row>
    <row r="338" ht="15" customHeight="1">
      <c r="A338" s="70">
        <f>IF(C338="","",IFERROR(IF(SUMPRODUCT(MAX((tbl_Finance[Job Number]&amp;""=C338&amp;"")*(tbl_Finance[Xero Invoice No]&lt;&gt;"")*tbl_Finance[Date]))=0,"",SUMPRODUCT(MAX((tbl_Finance[Job Number]&amp;""=C338&amp;"")*(tbl_Finance[Xero Invoice No]&lt;&gt;"")*tbl_Finance[Date]))),""))</f>
        <v/>
      </c>
      <c r="B338" s="25">
        <f>IF(C338="","",IF(COUNTIFS(tbl_Finance[Job Number],C338&amp;"",tbl_Finance[Xero Invoice No],"&lt;&gt;")=0,"",IFERROR(IF(COUNTIFS(tbl_Finance[Job Number],C338&amp;"",tbl_Finance[Xero Invoice No],LOOKUP(2,1/((tbl_Finance[Job Number]&amp;""=C338&amp;"")*(tbl_Finance[Xero Invoice No]&lt;&gt;"")),tbl_Finance[Xero Invoice No]))=COUNTIFS(tbl_Finance[Job Number],C338&amp;"",tbl_Finance[Xero Invoice No],"&lt;&gt;"),LOOKUP(2,1/((tbl_Finance[Job Number]&amp;""=C338&amp;"")*(tbl_Finance[Xero Invoice No]&lt;&gt;"")),tbl_Finance[Xero Invoice No]),LOOKUP(2,1/((tbl_Finance[Job Number]&amp;""=C338&amp;"")*(tbl_Finance[Xero Invoice No]&lt;&gt;"")),tbl_Finance[Xero Invoice No])&amp;" +more"),"")))</f>
        <v/>
      </c>
      <c r="C338" s="24" t="n"/>
      <c r="D338" s="25">
        <f>IF(C338="","",IF(COUNTIF(lst_Jobs,C338&amp;"")&gt;0,"OK","CHECK"))</f>
        <v/>
      </c>
      <c r="E338" s="25">
        <f>IF(C338="","",IFERROR(INDEX(lst_JobName,MATCH(C338&amp;"",lst_Jobs,0)),""))</f>
        <v/>
      </c>
      <c r="F338" s="25">
        <f>IF(C338="","",IFERROR(INDEX(tbl_Finance[Client],IFERROR(MATCH(C338&amp;"",tbl_Finance[Job Number],0),MATCH(IFERROR(C338+0,C338),tbl_Finance[Job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6" t="n"/>
      <c r="L338" s="27">
        <f>IF(C338="","",IF(K338="",0,MAX(0,K338-H338)))</f>
        <v/>
      </c>
      <c r="M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N338" s="27">
        <f>IF(C338="","",SUMIFS(tbl_Finance[Inc GST],tbl_Finance[Job Number],C338&amp;""))</f>
        <v/>
      </c>
      <c r="O338" s="24" t="n"/>
      <c r="P338" s="25">
        <f>IF(C338="","",IFERROR(INDEX(tbl_Finance[Description],MATCH(C338&amp;"",tbl_Finance[Job Number],0)),""))</f>
        <v/>
      </c>
      <c r="Q338" s="24" t="n"/>
      <c r="R338" s="24" t="n"/>
      <c r="S338" s="22" t="n"/>
      <c r="T338" s="24" t="n"/>
      <c r="U338" s="25">
        <f>IF(T338="","",IF(AND(LEFT(T338,4)&lt;&gt;"http",set_RMSBase=""),"",HYPERLINK(IF(LEFT(T338,4)="http",T338,set_RMSBase&amp;T338),"Open opportunity")))</f>
        <v/>
      </c>
      <c r="V338" s="24" t="n"/>
      <c r="W338" s="25">
        <f>IF(V338="","",HYPERLINK(IF(LEFT(V338,4)="http",V338,set_QwilrBase&amp;V338),"Open quote"))</f>
        <v/>
      </c>
      <c r="X338" s="25">
        <f>IF(C338="","",C338)</f>
        <v/>
      </c>
      <c r="Y338" s="24" t="n"/>
      <c r="Z338" s="26" t="n"/>
      <c r="AA338" s="27">
        <f>IF(C338="","",H338+N(Z338))</f>
        <v/>
      </c>
      <c r="AB338" s="29">
        <f>IFERROR(Z338/AA338,"")</f>
        <v/>
      </c>
      <c r="AC338" s="26" t="n"/>
      <c r="AD338" s="26" t="n"/>
      <c r="AE338" s="26" t="n"/>
      <c r="AF338" s="26" t="n"/>
      <c r="AG338" s="27">
        <f>IF(C338="","",SUMIFS(tbl_Finance[Ex GST],tbl_Finance[Job Number],C338&amp;"",tbl_Finance[Cost Centre],"VIDEO"))</f>
        <v/>
      </c>
      <c r="AH338" s="29">
        <f>IFERROR(AG338/H338,"")</f>
        <v/>
      </c>
      <c r="AI338" s="27">
        <f>IF(C338="","",N(AC338)+N(AD338)+N(AE338)+N(AF338))</f>
        <v/>
      </c>
      <c r="AJ338" s="27">
        <f>IF(C338="","",H338+L338-AI338)</f>
        <v/>
      </c>
      <c r="AK338" s="29">
        <f>IFERROR(AJ338/(H338+L338),"")</f>
        <v/>
      </c>
      <c r="AL338" s="71" t="n"/>
      <c r="AM338" s="71" t="n"/>
      <c r="AN338" s="71" t="n"/>
      <c r="AO338" s="71" t="n"/>
      <c r="AP338" s="71" t="n"/>
      <c r="AQ338" s="24" t="n"/>
    </row>
    <row r="339" ht="15" customHeight="1">
      <c r="A339" s="70">
        <f>IF(C339="","",IFERROR(IF(SUMPRODUCT(MAX((tbl_Finance[Job Number]&amp;""=C339&amp;"")*(tbl_Finance[Xero Invoice No]&lt;&gt;"")*tbl_Finance[Date]))=0,"",SUMPRODUCT(MAX((tbl_Finance[Job Number]&amp;""=C339&amp;"")*(tbl_Finance[Xero Invoice No]&lt;&gt;"")*tbl_Finance[Date]))),""))</f>
        <v/>
      </c>
      <c r="B339" s="25">
        <f>IF(C339="","",IF(COUNTIFS(tbl_Finance[Job Number],C339&amp;"",tbl_Finance[Xero Invoice No],"&lt;&gt;")=0,"",IFERROR(IF(COUNTIFS(tbl_Finance[Job Number],C339&amp;"",tbl_Finance[Xero Invoice No],LOOKUP(2,1/((tbl_Finance[Job Number]&amp;""=C339&amp;"")*(tbl_Finance[Xero Invoice No]&lt;&gt;"")),tbl_Finance[Xero Invoice No]))=COUNTIFS(tbl_Finance[Job Number],C339&amp;"",tbl_Finance[Xero Invoice No],"&lt;&gt;"),LOOKUP(2,1/((tbl_Finance[Job Number]&amp;""=C339&amp;"")*(tbl_Finance[Xero Invoice No]&lt;&gt;"")),tbl_Finance[Xero Invoice No]),LOOKUP(2,1/((tbl_Finance[Job Number]&amp;""=C339&amp;"")*(tbl_Finance[Xero Invoice No]&lt;&gt;"")),tbl_Finance[Xero Invoice No])&amp;" +more"),"")))</f>
        <v/>
      </c>
      <c r="C339" s="24" t="n"/>
      <c r="D339" s="25">
        <f>IF(C339="","",IF(COUNTIF(lst_Jobs,C339&amp;"")&gt;0,"OK","CHECK"))</f>
        <v/>
      </c>
      <c r="E339" s="25">
        <f>IF(C339="","",IFERROR(INDEX(lst_JobName,MATCH(C339&amp;"",lst_Jobs,0)),""))</f>
        <v/>
      </c>
      <c r="F339" s="25">
        <f>IF(C339="","",IFERROR(INDEX(tbl_Finance[Client],IFERROR(MATCH(C339&amp;"",tbl_Finance[Job Number],0),MATCH(IFERROR(C339+0,C339),tbl_Finance[Job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6" t="n"/>
      <c r="L339" s="27">
        <f>IF(C339="","",IF(K339="",0,MAX(0,K339-H339)))</f>
        <v/>
      </c>
      <c r="M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N339" s="27">
        <f>IF(C339="","",SUMIFS(tbl_Finance[Inc GST],tbl_Finance[Job Number],C339&amp;""))</f>
        <v/>
      </c>
      <c r="O339" s="24" t="n"/>
      <c r="P339" s="25">
        <f>IF(C339="","",IFERROR(INDEX(tbl_Finance[Description],MATCH(C339&amp;"",tbl_Finance[Job Number],0)),""))</f>
        <v/>
      </c>
      <c r="Q339" s="24" t="n"/>
      <c r="R339" s="24" t="n"/>
      <c r="S339" s="22" t="n"/>
      <c r="T339" s="24" t="n"/>
      <c r="U339" s="25">
        <f>IF(T339="","",IF(AND(LEFT(T339,4)&lt;&gt;"http",set_RMSBase=""),"",HYPERLINK(IF(LEFT(T339,4)="http",T339,set_RMSBase&amp;T339),"Open opportunity")))</f>
        <v/>
      </c>
      <c r="V339" s="24" t="n"/>
      <c r="W339" s="25">
        <f>IF(V339="","",HYPERLINK(IF(LEFT(V339,4)="http",V339,set_QwilrBase&amp;V339),"Open quote"))</f>
        <v/>
      </c>
      <c r="X339" s="25">
        <f>IF(C339="","",C339)</f>
        <v/>
      </c>
      <c r="Y339" s="24" t="n"/>
      <c r="Z339" s="26" t="n"/>
      <c r="AA339" s="27">
        <f>IF(C339="","",H339+N(Z339))</f>
        <v/>
      </c>
      <c r="AB339" s="29">
        <f>IFERROR(Z339/AA339,"")</f>
        <v/>
      </c>
      <c r="AC339" s="26" t="n"/>
      <c r="AD339" s="26" t="n"/>
      <c r="AE339" s="26" t="n"/>
      <c r="AF339" s="26" t="n"/>
      <c r="AG339" s="27">
        <f>IF(C339="","",SUMIFS(tbl_Finance[Ex GST],tbl_Finance[Job Number],C339&amp;"",tbl_Finance[Cost Centre],"VIDEO"))</f>
        <v/>
      </c>
      <c r="AH339" s="29">
        <f>IFERROR(AG339/H339,"")</f>
        <v/>
      </c>
      <c r="AI339" s="27">
        <f>IF(C339="","",N(AC339)+N(AD339)+N(AE339)+N(AF339))</f>
        <v/>
      </c>
      <c r="AJ339" s="27">
        <f>IF(C339="","",H339+L339-AI339)</f>
        <v/>
      </c>
      <c r="AK339" s="29">
        <f>IFERROR(AJ339/(H339+L339),"")</f>
        <v/>
      </c>
      <c r="AL339" s="71" t="n"/>
      <c r="AM339" s="71" t="n"/>
      <c r="AN339" s="71" t="n"/>
      <c r="AO339" s="71" t="n"/>
      <c r="AP339" s="71" t="n"/>
      <c r="AQ339" s="24" t="n"/>
    </row>
    <row r="340" ht="15" customHeight="1">
      <c r="A340" s="70">
        <f>IF(C340="","",IFERROR(IF(SUMPRODUCT(MAX((tbl_Finance[Job Number]&amp;""=C340&amp;"")*(tbl_Finance[Xero Invoice No]&lt;&gt;"")*tbl_Finance[Date]))=0,"",SUMPRODUCT(MAX((tbl_Finance[Job Number]&amp;""=C340&amp;"")*(tbl_Finance[Xero Invoice No]&lt;&gt;"")*tbl_Finance[Date]))),""))</f>
        <v/>
      </c>
      <c r="B340" s="25">
        <f>IF(C340="","",IF(COUNTIFS(tbl_Finance[Job Number],C340&amp;"",tbl_Finance[Xero Invoice No],"&lt;&gt;")=0,"",IFERROR(IF(COUNTIFS(tbl_Finance[Job Number],C340&amp;"",tbl_Finance[Xero Invoice No],LOOKUP(2,1/((tbl_Finance[Job Number]&amp;""=C340&amp;"")*(tbl_Finance[Xero Invoice No]&lt;&gt;"")),tbl_Finance[Xero Invoice No]))=COUNTIFS(tbl_Finance[Job Number],C340&amp;"",tbl_Finance[Xero Invoice No],"&lt;&gt;"),LOOKUP(2,1/((tbl_Finance[Job Number]&amp;""=C340&amp;"")*(tbl_Finance[Xero Invoice No]&lt;&gt;"")),tbl_Finance[Xero Invoice No]),LOOKUP(2,1/((tbl_Finance[Job Number]&amp;""=C340&amp;"")*(tbl_Finance[Xero Invoice No]&lt;&gt;"")),tbl_Finance[Xero Invoice No])&amp;" +more"),"")))</f>
        <v/>
      </c>
      <c r="C340" s="24" t="n"/>
      <c r="D340" s="25">
        <f>IF(C340="","",IF(COUNTIF(lst_Jobs,C340&amp;"")&gt;0,"OK","CHECK"))</f>
        <v/>
      </c>
      <c r="E340" s="25">
        <f>IF(C340="","",IFERROR(INDEX(lst_JobName,MATCH(C340&amp;"",lst_Jobs,0)),""))</f>
        <v/>
      </c>
      <c r="F340" s="25">
        <f>IF(C340="","",IFERROR(INDEX(tbl_Finance[Client],IFERROR(MATCH(C340&amp;"",tbl_Finance[Job Number],0),MATCH(IFERROR(C340+0,C340),tbl_Finance[Job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6" t="n"/>
      <c r="L340" s="27">
        <f>IF(C340="","",IF(K340="",0,MAX(0,K340-H340)))</f>
        <v/>
      </c>
      <c r="M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N340" s="27">
        <f>IF(C340="","",SUMIFS(tbl_Finance[Inc GST],tbl_Finance[Job Number],C340&amp;""))</f>
        <v/>
      </c>
      <c r="O340" s="24" t="n"/>
      <c r="P340" s="25">
        <f>IF(C340="","",IFERROR(INDEX(tbl_Finance[Description],MATCH(C340&amp;"",tbl_Finance[Job Number],0)),""))</f>
        <v/>
      </c>
      <c r="Q340" s="24" t="n"/>
      <c r="R340" s="24" t="n"/>
      <c r="S340" s="22" t="n"/>
      <c r="T340" s="24" t="n"/>
      <c r="U340" s="25">
        <f>IF(T340="","",IF(AND(LEFT(T340,4)&lt;&gt;"http",set_RMSBase=""),"",HYPERLINK(IF(LEFT(T340,4)="http",T340,set_RMSBase&amp;T340),"Open opportunity")))</f>
        <v/>
      </c>
      <c r="V340" s="24" t="n"/>
      <c r="W340" s="25">
        <f>IF(V340="","",HYPERLINK(IF(LEFT(V340,4)="http",V340,set_QwilrBase&amp;V340),"Open quote"))</f>
        <v/>
      </c>
      <c r="X340" s="25">
        <f>IF(C340="","",C340)</f>
        <v/>
      </c>
      <c r="Y340" s="24" t="n"/>
      <c r="Z340" s="26" t="n"/>
      <c r="AA340" s="27">
        <f>IF(C340="","",H340+N(Z340))</f>
        <v/>
      </c>
      <c r="AB340" s="29">
        <f>IFERROR(Z340/AA340,"")</f>
        <v/>
      </c>
      <c r="AC340" s="26" t="n"/>
      <c r="AD340" s="26" t="n"/>
      <c r="AE340" s="26" t="n"/>
      <c r="AF340" s="26" t="n"/>
      <c r="AG340" s="27">
        <f>IF(C340="","",SUMIFS(tbl_Finance[Ex GST],tbl_Finance[Job Number],C340&amp;"",tbl_Finance[Cost Centre],"VIDEO"))</f>
        <v/>
      </c>
      <c r="AH340" s="29">
        <f>IFERROR(AG340/H340,"")</f>
        <v/>
      </c>
      <c r="AI340" s="27">
        <f>IF(C340="","",N(AC340)+N(AD340)+N(AE340)+N(AF340))</f>
        <v/>
      </c>
      <c r="AJ340" s="27">
        <f>IF(C340="","",H340+L340-AI340)</f>
        <v/>
      </c>
      <c r="AK340" s="29">
        <f>IFERROR(AJ340/(H340+L340),"")</f>
        <v/>
      </c>
      <c r="AL340" s="71" t="n"/>
      <c r="AM340" s="71" t="n"/>
      <c r="AN340" s="71" t="n"/>
      <c r="AO340" s="71" t="n"/>
      <c r="AP340" s="71" t="n"/>
      <c r="AQ340" s="24" t="n"/>
    </row>
    <row r="341" ht="15" customHeight="1">
      <c r="A341" s="70">
        <f>IF(C341="","",IFERROR(IF(SUMPRODUCT(MAX((tbl_Finance[Job Number]&amp;""=C341&amp;"")*(tbl_Finance[Xero Invoice No]&lt;&gt;"")*tbl_Finance[Date]))=0,"",SUMPRODUCT(MAX((tbl_Finance[Job Number]&amp;""=C341&amp;"")*(tbl_Finance[Xero Invoice No]&lt;&gt;"")*tbl_Finance[Date]))),""))</f>
        <v/>
      </c>
      <c r="B341" s="25">
        <f>IF(C341="","",IF(COUNTIFS(tbl_Finance[Job Number],C341&amp;"",tbl_Finance[Xero Invoice No],"&lt;&gt;")=0,"",IFERROR(IF(COUNTIFS(tbl_Finance[Job Number],C341&amp;"",tbl_Finance[Xero Invoice No],LOOKUP(2,1/((tbl_Finance[Job Number]&amp;""=C341&amp;"")*(tbl_Finance[Xero Invoice No]&lt;&gt;"")),tbl_Finance[Xero Invoice No]))=COUNTIFS(tbl_Finance[Job Number],C341&amp;"",tbl_Finance[Xero Invoice No],"&lt;&gt;"),LOOKUP(2,1/((tbl_Finance[Job Number]&amp;""=C341&amp;"")*(tbl_Finance[Xero Invoice No]&lt;&gt;"")),tbl_Finance[Xero Invoice No]),LOOKUP(2,1/((tbl_Finance[Job Number]&amp;""=C341&amp;"")*(tbl_Finance[Xero Invoice No]&lt;&gt;"")),tbl_Finance[Xero Invoice No])&amp;" +more"),"")))</f>
        <v/>
      </c>
      <c r="C341" s="24" t="n"/>
      <c r="D341" s="25">
        <f>IF(C341="","",IF(COUNTIF(lst_Jobs,C341&amp;"")&gt;0,"OK","CHECK"))</f>
        <v/>
      </c>
      <c r="E341" s="25">
        <f>IF(C341="","",IFERROR(INDEX(lst_JobName,MATCH(C341&amp;"",lst_Jobs,0)),""))</f>
        <v/>
      </c>
      <c r="F341" s="25">
        <f>IF(C341="","",IFERROR(INDEX(tbl_Finance[Client],IFERROR(MATCH(C341&amp;"",tbl_Finance[Job Number],0),MATCH(IFERROR(C341+0,C341),tbl_Finance[Job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6" t="n"/>
      <c r="L341" s="27">
        <f>IF(C341="","",IF(K341="",0,MAX(0,K341-H341)))</f>
        <v/>
      </c>
      <c r="M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N341" s="27">
        <f>IF(C341="","",SUMIFS(tbl_Finance[Inc GST],tbl_Finance[Job Number],C341&amp;""))</f>
        <v/>
      </c>
      <c r="O341" s="24" t="n"/>
      <c r="P341" s="25">
        <f>IF(C341="","",IFERROR(INDEX(tbl_Finance[Description],MATCH(C341&amp;"",tbl_Finance[Job Number],0)),""))</f>
        <v/>
      </c>
      <c r="Q341" s="24" t="n"/>
      <c r="R341" s="24" t="n"/>
      <c r="S341" s="22" t="n"/>
      <c r="T341" s="24" t="n"/>
      <c r="U341" s="25">
        <f>IF(T341="","",IF(AND(LEFT(T341,4)&lt;&gt;"http",set_RMSBase=""),"",HYPERLINK(IF(LEFT(T341,4)="http",T341,set_RMSBase&amp;T341),"Open opportunity")))</f>
        <v/>
      </c>
      <c r="V341" s="24" t="n"/>
      <c r="W341" s="25">
        <f>IF(V341="","",HYPERLINK(IF(LEFT(V341,4)="http",V341,set_QwilrBase&amp;V341),"Open quote"))</f>
        <v/>
      </c>
      <c r="X341" s="25">
        <f>IF(C341="","",C341)</f>
        <v/>
      </c>
      <c r="Y341" s="24" t="n"/>
      <c r="Z341" s="26" t="n"/>
      <c r="AA341" s="27">
        <f>IF(C341="","",H341+N(Z341))</f>
        <v/>
      </c>
      <c r="AB341" s="29">
        <f>IFERROR(Z341/AA341,"")</f>
        <v/>
      </c>
      <c r="AC341" s="26" t="n"/>
      <c r="AD341" s="26" t="n"/>
      <c r="AE341" s="26" t="n"/>
      <c r="AF341" s="26" t="n"/>
      <c r="AG341" s="27">
        <f>IF(C341="","",SUMIFS(tbl_Finance[Ex GST],tbl_Finance[Job Number],C341&amp;"",tbl_Finance[Cost Centre],"VIDEO"))</f>
        <v/>
      </c>
      <c r="AH341" s="29">
        <f>IFERROR(AG341/H341,"")</f>
        <v/>
      </c>
      <c r="AI341" s="27">
        <f>IF(C341="","",N(AC341)+N(AD341)+N(AE341)+N(AF341))</f>
        <v/>
      </c>
      <c r="AJ341" s="27">
        <f>IF(C341="","",H341+L341-AI341)</f>
        <v/>
      </c>
      <c r="AK341" s="29">
        <f>IFERROR(AJ341/(H341+L341),"")</f>
        <v/>
      </c>
      <c r="AL341" s="71" t="n"/>
      <c r="AM341" s="71" t="n"/>
      <c r="AN341" s="71" t="n"/>
      <c r="AO341" s="71" t="n"/>
      <c r="AP341" s="71" t="n"/>
      <c r="AQ341" s="24" t="n"/>
    </row>
    <row r="342" ht="15" customHeight="1">
      <c r="A342" s="70">
        <f>IF(C342="","",IFERROR(IF(SUMPRODUCT(MAX((tbl_Finance[Job Number]&amp;""=C342&amp;"")*(tbl_Finance[Xero Invoice No]&lt;&gt;"")*tbl_Finance[Date]))=0,"",SUMPRODUCT(MAX((tbl_Finance[Job Number]&amp;""=C342&amp;"")*(tbl_Finance[Xero Invoice No]&lt;&gt;"")*tbl_Finance[Date]))),""))</f>
        <v/>
      </c>
      <c r="B342" s="25">
        <f>IF(C342="","",IF(COUNTIFS(tbl_Finance[Job Number],C342&amp;"",tbl_Finance[Xero Invoice No],"&lt;&gt;")=0,"",IFERROR(IF(COUNTIFS(tbl_Finance[Job Number],C342&amp;"",tbl_Finance[Xero Invoice No],LOOKUP(2,1/((tbl_Finance[Job Number]&amp;""=C342&amp;"")*(tbl_Finance[Xero Invoice No]&lt;&gt;"")),tbl_Finance[Xero Invoice No]))=COUNTIFS(tbl_Finance[Job Number],C342&amp;"",tbl_Finance[Xero Invoice No],"&lt;&gt;"),LOOKUP(2,1/((tbl_Finance[Job Number]&amp;""=C342&amp;"")*(tbl_Finance[Xero Invoice No]&lt;&gt;"")),tbl_Finance[Xero Invoice No]),LOOKUP(2,1/((tbl_Finance[Job Number]&amp;""=C342&amp;"")*(tbl_Finance[Xero Invoice No]&lt;&gt;"")),tbl_Finance[Xero Invoice No])&amp;" +more"),"")))</f>
        <v/>
      </c>
      <c r="C342" s="24" t="n"/>
      <c r="D342" s="25">
        <f>IF(C342="","",IF(COUNTIF(lst_Jobs,C342&amp;"")&gt;0,"OK","CHECK"))</f>
        <v/>
      </c>
      <c r="E342" s="25">
        <f>IF(C342="","",IFERROR(INDEX(lst_JobName,MATCH(C342&amp;"",lst_Jobs,0)),""))</f>
        <v/>
      </c>
      <c r="F342" s="25">
        <f>IF(C342="","",IFERROR(INDEX(tbl_Finance[Client],IFERROR(MATCH(C342&amp;"",tbl_Finance[Job Number],0),MATCH(IFERROR(C342+0,C342),tbl_Finance[Job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6" t="n"/>
      <c r="L342" s="27">
        <f>IF(C342="","",IF(K342="",0,MAX(0,K342-H342)))</f>
        <v/>
      </c>
      <c r="M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N342" s="27">
        <f>IF(C342="","",SUMIFS(tbl_Finance[Inc GST],tbl_Finance[Job Number],C342&amp;""))</f>
        <v/>
      </c>
      <c r="O342" s="24" t="n"/>
      <c r="P342" s="25">
        <f>IF(C342="","",IFERROR(INDEX(tbl_Finance[Description],MATCH(C342&amp;"",tbl_Finance[Job Number],0)),""))</f>
        <v/>
      </c>
      <c r="Q342" s="24" t="n"/>
      <c r="R342" s="24" t="n"/>
      <c r="S342" s="22" t="n"/>
      <c r="T342" s="24" t="n"/>
      <c r="U342" s="25">
        <f>IF(T342="","",IF(AND(LEFT(T342,4)&lt;&gt;"http",set_RMSBase=""),"",HYPERLINK(IF(LEFT(T342,4)="http",T342,set_RMSBase&amp;T342),"Open opportunity")))</f>
        <v/>
      </c>
      <c r="V342" s="24" t="n"/>
      <c r="W342" s="25">
        <f>IF(V342="","",HYPERLINK(IF(LEFT(V342,4)="http",V342,set_QwilrBase&amp;V342),"Open quote"))</f>
        <v/>
      </c>
      <c r="X342" s="25">
        <f>IF(C342="","",C342)</f>
        <v/>
      </c>
      <c r="Y342" s="24" t="n"/>
      <c r="Z342" s="26" t="n"/>
      <c r="AA342" s="27">
        <f>IF(C342="","",H342+N(Z342))</f>
        <v/>
      </c>
      <c r="AB342" s="29">
        <f>IFERROR(Z342/AA342,"")</f>
        <v/>
      </c>
      <c r="AC342" s="26" t="n"/>
      <c r="AD342" s="26" t="n"/>
      <c r="AE342" s="26" t="n"/>
      <c r="AF342" s="26" t="n"/>
      <c r="AG342" s="27">
        <f>IF(C342="","",SUMIFS(tbl_Finance[Ex GST],tbl_Finance[Job Number],C342&amp;"",tbl_Finance[Cost Centre],"VIDEO"))</f>
        <v/>
      </c>
      <c r="AH342" s="29">
        <f>IFERROR(AG342/H342,"")</f>
        <v/>
      </c>
      <c r="AI342" s="27">
        <f>IF(C342="","",N(AC342)+N(AD342)+N(AE342)+N(AF342))</f>
        <v/>
      </c>
      <c r="AJ342" s="27">
        <f>IF(C342="","",H342+L342-AI342)</f>
        <v/>
      </c>
      <c r="AK342" s="29">
        <f>IFERROR(AJ342/(H342+L342),"")</f>
        <v/>
      </c>
      <c r="AL342" s="71" t="n"/>
      <c r="AM342" s="71" t="n"/>
      <c r="AN342" s="71" t="n"/>
      <c r="AO342" s="71" t="n"/>
      <c r="AP342" s="71" t="n"/>
      <c r="AQ342" s="24" t="n"/>
    </row>
    <row r="343" ht="15" customHeight="1">
      <c r="A343" s="70">
        <f>IF(C343="","",IFERROR(IF(SUMPRODUCT(MAX((tbl_Finance[Job Number]&amp;""=C343&amp;"")*(tbl_Finance[Xero Invoice No]&lt;&gt;"")*tbl_Finance[Date]))=0,"",SUMPRODUCT(MAX((tbl_Finance[Job Number]&amp;""=C343&amp;"")*(tbl_Finance[Xero Invoice No]&lt;&gt;"")*tbl_Finance[Date]))),""))</f>
        <v/>
      </c>
      <c r="B343" s="25">
        <f>IF(C343="","",IF(COUNTIFS(tbl_Finance[Job Number],C343&amp;"",tbl_Finance[Xero Invoice No],"&lt;&gt;")=0,"",IFERROR(IF(COUNTIFS(tbl_Finance[Job Number],C343&amp;"",tbl_Finance[Xero Invoice No],LOOKUP(2,1/((tbl_Finance[Job Number]&amp;""=C343&amp;"")*(tbl_Finance[Xero Invoice No]&lt;&gt;"")),tbl_Finance[Xero Invoice No]))=COUNTIFS(tbl_Finance[Job Number],C343&amp;"",tbl_Finance[Xero Invoice No],"&lt;&gt;"),LOOKUP(2,1/((tbl_Finance[Job Number]&amp;""=C343&amp;"")*(tbl_Finance[Xero Invoice No]&lt;&gt;"")),tbl_Finance[Xero Invoice No]),LOOKUP(2,1/((tbl_Finance[Job Number]&amp;""=C343&amp;"")*(tbl_Finance[Xero Invoice No]&lt;&gt;"")),tbl_Finance[Xero Invoice No])&amp;" +more"),"")))</f>
        <v/>
      </c>
      <c r="C343" s="24" t="n"/>
      <c r="D343" s="25">
        <f>IF(C343="","",IF(COUNTIF(lst_Jobs,C343&amp;"")&gt;0,"OK","CHECK"))</f>
        <v/>
      </c>
      <c r="E343" s="25">
        <f>IF(C343="","",IFERROR(INDEX(lst_JobName,MATCH(C343&amp;"",lst_Jobs,0)),""))</f>
        <v/>
      </c>
      <c r="F343" s="25">
        <f>IF(C343="","",IFERROR(INDEX(tbl_Finance[Client],IFERROR(MATCH(C343&amp;"",tbl_Finance[Job Number],0),MATCH(IFERROR(C343+0,C343),tbl_Finance[Job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6" t="n"/>
      <c r="L343" s="27">
        <f>IF(C343="","",IF(K343="",0,MAX(0,K343-H343)))</f>
        <v/>
      </c>
      <c r="M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N343" s="27">
        <f>IF(C343="","",SUMIFS(tbl_Finance[Inc GST],tbl_Finance[Job Number],C343&amp;""))</f>
        <v/>
      </c>
      <c r="O343" s="24" t="n"/>
      <c r="P343" s="25">
        <f>IF(C343="","",IFERROR(INDEX(tbl_Finance[Description],MATCH(C343&amp;"",tbl_Finance[Job Number],0)),""))</f>
        <v/>
      </c>
      <c r="Q343" s="24" t="n"/>
      <c r="R343" s="24" t="n"/>
      <c r="S343" s="22" t="n"/>
      <c r="T343" s="24" t="n"/>
      <c r="U343" s="25">
        <f>IF(T343="","",IF(AND(LEFT(T343,4)&lt;&gt;"http",set_RMSBase=""),"",HYPERLINK(IF(LEFT(T343,4)="http",T343,set_RMSBase&amp;T343),"Open opportunity")))</f>
        <v/>
      </c>
      <c r="V343" s="24" t="n"/>
      <c r="W343" s="25">
        <f>IF(V343="","",HYPERLINK(IF(LEFT(V343,4)="http",V343,set_QwilrBase&amp;V343),"Open quote"))</f>
        <v/>
      </c>
      <c r="X343" s="25">
        <f>IF(C343="","",C343)</f>
        <v/>
      </c>
      <c r="Y343" s="24" t="n"/>
      <c r="Z343" s="26" t="n"/>
      <c r="AA343" s="27">
        <f>IF(C343="","",H343+N(Z343))</f>
        <v/>
      </c>
      <c r="AB343" s="29">
        <f>IFERROR(Z343/AA343,"")</f>
        <v/>
      </c>
      <c r="AC343" s="26" t="n"/>
      <c r="AD343" s="26" t="n"/>
      <c r="AE343" s="26" t="n"/>
      <c r="AF343" s="26" t="n"/>
      <c r="AG343" s="27">
        <f>IF(C343="","",SUMIFS(tbl_Finance[Ex GST],tbl_Finance[Job Number],C343&amp;"",tbl_Finance[Cost Centre],"VIDEO"))</f>
        <v/>
      </c>
      <c r="AH343" s="29">
        <f>IFERROR(AG343/H343,"")</f>
        <v/>
      </c>
      <c r="AI343" s="27">
        <f>IF(C343="","",N(AC343)+N(AD343)+N(AE343)+N(AF343))</f>
        <v/>
      </c>
      <c r="AJ343" s="27">
        <f>IF(C343="","",H343+L343-AI343)</f>
        <v/>
      </c>
      <c r="AK343" s="29">
        <f>IFERROR(AJ343/(H343+L343),"")</f>
        <v/>
      </c>
      <c r="AL343" s="71" t="n"/>
      <c r="AM343" s="71" t="n"/>
      <c r="AN343" s="71" t="n"/>
      <c r="AO343" s="71" t="n"/>
      <c r="AP343" s="71" t="n"/>
      <c r="AQ343" s="24" t="n"/>
    </row>
    <row r="344" ht="15" customHeight="1">
      <c r="A344" s="70">
        <f>IF(C344="","",IFERROR(IF(SUMPRODUCT(MAX((tbl_Finance[Job Number]&amp;""=C344&amp;"")*(tbl_Finance[Xero Invoice No]&lt;&gt;"")*tbl_Finance[Date]))=0,"",SUMPRODUCT(MAX((tbl_Finance[Job Number]&amp;""=C344&amp;"")*(tbl_Finance[Xero Invoice No]&lt;&gt;"")*tbl_Finance[Date]))),""))</f>
        <v/>
      </c>
      <c r="B344" s="25">
        <f>IF(C344="","",IF(COUNTIFS(tbl_Finance[Job Number],C344&amp;"",tbl_Finance[Xero Invoice No],"&lt;&gt;")=0,"",IFERROR(IF(COUNTIFS(tbl_Finance[Job Number],C344&amp;"",tbl_Finance[Xero Invoice No],LOOKUP(2,1/((tbl_Finance[Job Number]&amp;""=C344&amp;"")*(tbl_Finance[Xero Invoice No]&lt;&gt;"")),tbl_Finance[Xero Invoice No]))=COUNTIFS(tbl_Finance[Job Number],C344&amp;"",tbl_Finance[Xero Invoice No],"&lt;&gt;"),LOOKUP(2,1/((tbl_Finance[Job Number]&amp;""=C344&amp;"")*(tbl_Finance[Xero Invoice No]&lt;&gt;"")),tbl_Finance[Xero Invoice No]),LOOKUP(2,1/((tbl_Finance[Job Number]&amp;""=C344&amp;"")*(tbl_Finance[Xero Invoice No]&lt;&gt;"")),tbl_Finance[Xero Invoice No])&amp;" +more"),"")))</f>
        <v/>
      </c>
      <c r="C344" s="24" t="n"/>
      <c r="D344" s="25">
        <f>IF(C344="","",IF(COUNTIF(lst_Jobs,C344&amp;"")&gt;0,"OK","CHECK"))</f>
        <v/>
      </c>
      <c r="E344" s="25">
        <f>IF(C344="","",IFERROR(INDEX(lst_JobName,MATCH(C344&amp;"",lst_Jobs,0)),""))</f>
        <v/>
      </c>
      <c r="F344" s="25">
        <f>IF(C344="","",IFERROR(INDEX(tbl_Finance[Client],IFERROR(MATCH(C344&amp;"",tbl_Finance[Job Number],0),MATCH(IFERROR(C344+0,C344),tbl_Finance[Job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6" t="n"/>
      <c r="L344" s="27">
        <f>IF(C344="","",IF(K344="",0,MAX(0,K344-H344)))</f>
        <v/>
      </c>
      <c r="M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N344" s="27">
        <f>IF(C344="","",SUMIFS(tbl_Finance[Inc GST],tbl_Finance[Job Number],C344&amp;""))</f>
        <v/>
      </c>
      <c r="O344" s="24" t="n"/>
      <c r="P344" s="25">
        <f>IF(C344="","",IFERROR(INDEX(tbl_Finance[Description],MATCH(C344&amp;"",tbl_Finance[Job Number],0)),""))</f>
        <v/>
      </c>
      <c r="Q344" s="24" t="n"/>
      <c r="R344" s="24" t="n"/>
      <c r="S344" s="22" t="n"/>
      <c r="T344" s="24" t="n"/>
      <c r="U344" s="25">
        <f>IF(T344="","",IF(AND(LEFT(T344,4)&lt;&gt;"http",set_RMSBase=""),"",HYPERLINK(IF(LEFT(T344,4)="http",T344,set_RMSBase&amp;T344),"Open opportunity")))</f>
        <v/>
      </c>
      <c r="V344" s="24" t="n"/>
      <c r="W344" s="25">
        <f>IF(V344="","",HYPERLINK(IF(LEFT(V344,4)="http",V344,set_QwilrBase&amp;V344),"Open quote"))</f>
        <v/>
      </c>
      <c r="X344" s="25">
        <f>IF(C344="","",C344)</f>
        <v/>
      </c>
      <c r="Y344" s="24" t="n"/>
      <c r="Z344" s="26" t="n"/>
      <c r="AA344" s="27">
        <f>IF(C344="","",H344+N(Z344))</f>
        <v/>
      </c>
      <c r="AB344" s="29">
        <f>IFERROR(Z344/AA344,"")</f>
        <v/>
      </c>
      <c r="AC344" s="26" t="n"/>
      <c r="AD344" s="26" t="n"/>
      <c r="AE344" s="26" t="n"/>
      <c r="AF344" s="26" t="n"/>
      <c r="AG344" s="27">
        <f>IF(C344="","",SUMIFS(tbl_Finance[Ex GST],tbl_Finance[Job Number],C344&amp;"",tbl_Finance[Cost Centre],"VIDEO"))</f>
        <v/>
      </c>
      <c r="AH344" s="29">
        <f>IFERROR(AG344/H344,"")</f>
        <v/>
      </c>
      <c r="AI344" s="27">
        <f>IF(C344="","",N(AC344)+N(AD344)+N(AE344)+N(AF344))</f>
        <v/>
      </c>
      <c r="AJ344" s="27">
        <f>IF(C344="","",H344+L344-AI344)</f>
        <v/>
      </c>
      <c r="AK344" s="29">
        <f>IFERROR(AJ344/(H344+L344),"")</f>
        <v/>
      </c>
      <c r="AL344" s="71" t="n"/>
      <c r="AM344" s="71" t="n"/>
      <c r="AN344" s="71" t="n"/>
      <c r="AO344" s="71" t="n"/>
      <c r="AP344" s="71" t="n"/>
      <c r="AQ344" s="24" t="n"/>
    </row>
    <row r="345" ht="15" customHeight="1">
      <c r="A345" s="70">
        <f>IF(C345="","",IFERROR(IF(SUMPRODUCT(MAX((tbl_Finance[Job Number]&amp;""=C345&amp;"")*(tbl_Finance[Xero Invoice No]&lt;&gt;"")*tbl_Finance[Date]))=0,"",SUMPRODUCT(MAX((tbl_Finance[Job Number]&amp;""=C345&amp;"")*(tbl_Finance[Xero Invoice No]&lt;&gt;"")*tbl_Finance[Date]))),""))</f>
        <v/>
      </c>
      <c r="B345" s="25">
        <f>IF(C345="","",IF(COUNTIFS(tbl_Finance[Job Number],C345&amp;"",tbl_Finance[Xero Invoice No],"&lt;&gt;")=0,"",IFERROR(IF(COUNTIFS(tbl_Finance[Job Number],C345&amp;"",tbl_Finance[Xero Invoice No],LOOKUP(2,1/((tbl_Finance[Job Number]&amp;""=C345&amp;"")*(tbl_Finance[Xero Invoice No]&lt;&gt;"")),tbl_Finance[Xero Invoice No]))=COUNTIFS(tbl_Finance[Job Number],C345&amp;"",tbl_Finance[Xero Invoice No],"&lt;&gt;"),LOOKUP(2,1/((tbl_Finance[Job Number]&amp;""=C345&amp;"")*(tbl_Finance[Xero Invoice No]&lt;&gt;"")),tbl_Finance[Xero Invoice No]),LOOKUP(2,1/((tbl_Finance[Job Number]&amp;""=C345&amp;"")*(tbl_Finance[Xero Invoice No]&lt;&gt;"")),tbl_Finance[Xero Invoice No])&amp;" +more"),"")))</f>
        <v/>
      </c>
      <c r="C345" s="24" t="n"/>
      <c r="D345" s="25">
        <f>IF(C345="","",IF(COUNTIF(lst_Jobs,C345&amp;"")&gt;0,"OK","CHECK"))</f>
        <v/>
      </c>
      <c r="E345" s="25">
        <f>IF(C345="","",IFERROR(INDEX(lst_JobName,MATCH(C345&amp;"",lst_Jobs,0)),""))</f>
        <v/>
      </c>
      <c r="F345" s="25">
        <f>IF(C345="","",IFERROR(INDEX(tbl_Finance[Client],IFERROR(MATCH(C345&amp;"",tbl_Finance[Job Number],0),MATCH(IFERROR(C345+0,C345),tbl_Finance[Job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6" t="n"/>
      <c r="L345" s="27">
        <f>IF(C345="","",IF(K345="",0,MAX(0,K345-H345)))</f>
        <v/>
      </c>
      <c r="M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N345" s="27">
        <f>IF(C345="","",SUMIFS(tbl_Finance[Inc GST],tbl_Finance[Job Number],C345&amp;""))</f>
        <v/>
      </c>
      <c r="O345" s="24" t="n"/>
      <c r="P345" s="25">
        <f>IF(C345="","",IFERROR(INDEX(tbl_Finance[Description],MATCH(C345&amp;"",tbl_Finance[Job Number],0)),""))</f>
        <v/>
      </c>
      <c r="Q345" s="24" t="n"/>
      <c r="R345" s="24" t="n"/>
      <c r="S345" s="22" t="n"/>
      <c r="T345" s="24" t="n"/>
      <c r="U345" s="25">
        <f>IF(T345="","",IF(AND(LEFT(T345,4)&lt;&gt;"http",set_RMSBase=""),"",HYPERLINK(IF(LEFT(T345,4)="http",T345,set_RMSBase&amp;T345),"Open opportunity")))</f>
        <v/>
      </c>
      <c r="V345" s="24" t="n"/>
      <c r="W345" s="25">
        <f>IF(V345="","",HYPERLINK(IF(LEFT(V345,4)="http",V345,set_QwilrBase&amp;V345),"Open quote"))</f>
        <v/>
      </c>
      <c r="X345" s="25">
        <f>IF(C345="","",C345)</f>
        <v/>
      </c>
      <c r="Y345" s="24" t="n"/>
      <c r="Z345" s="26" t="n"/>
      <c r="AA345" s="27">
        <f>IF(C345="","",H345+N(Z345))</f>
        <v/>
      </c>
      <c r="AB345" s="29">
        <f>IFERROR(Z345/AA345,"")</f>
        <v/>
      </c>
      <c r="AC345" s="26" t="n"/>
      <c r="AD345" s="26" t="n"/>
      <c r="AE345" s="26" t="n"/>
      <c r="AF345" s="26" t="n"/>
      <c r="AG345" s="27">
        <f>IF(C345="","",SUMIFS(tbl_Finance[Ex GST],tbl_Finance[Job Number],C345&amp;"",tbl_Finance[Cost Centre],"VIDEO"))</f>
        <v/>
      </c>
      <c r="AH345" s="29">
        <f>IFERROR(AG345/H345,"")</f>
        <v/>
      </c>
      <c r="AI345" s="27">
        <f>IF(C345="","",N(AC345)+N(AD345)+N(AE345)+N(AF345))</f>
        <v/>
      </c>
      <c r="AJ345" s="27">
        <f>IF(C345="","",H345+L345-AI345)</f>
        <v/>
      </c>
      <c r="AK345" s="29">
        <f>IFERROR(AJ345/(H345+L345),"")</f>
        <v/>
      </c>
      <c r="AL345" s="71" t="n"/>
      <c r="AM345" s="71" t="n"/>
      <c r="AN345" s="71" t="n"/>
      <c r="AO345" s="71" t="n"/>
      <c r="AP345" s="71" t="n"/>
      <c r="AQ345" s="24" t="n"/>
    </row>
    <row r="346" ht="15" customHeight="1">
      <c r="A346" s="70">
        <f>IF(C346="","",IFERROR(IF(SUMPRODUCT(MAX((tbl_Finance[Job Number]&amp;""=C346&amp;"")*(tbl_Finance[Xero Invoice No]&lt;&gt;"")*tbl_Finance[Date]))=0,"",SUMPRODUCT(MAX((tbl_Finance[Job Number]&amp;""=C346&amp;"")*(tbl_Finance[Xero Invoice No]&lt;&gt;"")*tbl_Finance[Date]))),""))</f>
        <v/>
      </c>
      <c r="B346" s="25">
        <f>IF(C346="","",IF(COUNTIFS(tbl_Finance[Job Number],C346&amp;"",tbl_Finance[Xero Invoice No],"&lt;&gt;")=0,"",IFERROR(IF(COUNTIFS(tbl_Finance[Job Number],C346&amp;"",tbl_Finance[Xero Invoice No],LOOKUP(2,1/((tbl_Finance[Job Number]&amp;""=C346&amp;"")*(tbl_Finance[Xero Invoice No]&lt;&gt;"")),tbl_Finance[Xero Invoice No]))=COUNTIFS(tbl_Finance[Job Number],C346&amp;"",tbl_Finance[Xero Invoice No],"&lt;&gt;"),LOOKUP(2,1/((tbl_Finance[Job Number]&amp;""=C346&amp;"")*(tbl_Finance[Xero Invoice No]&lt;&gt;"")),tbl_Finance[Xero Invoice No]),LOOKUP(2,1/((tbl_Finance[Job Number]&amp;""=C346&amp;"")*(tbl_Finance[Xero Invoice No]&lt;&gt;"")),tbl_Finance[Xero Invoice No])&amp;" +more"),"")))</f>
        <v/>
      </c>
      <c r="C346" s="24" t="n"/>
      <c r="D346" s="25">
        <f>IF(C346="","",IF(COUNTIF(lst_Jobs,C346&amp;"")&gt;0,"OK","CHECK"))</f>
        <v/>
      </c>
      <c r="E346" s="25">
        <f>IF(C346="","",IFERROR(INDEX(lst_JobName,MATCH(C346&amp;"",lst_Jobs,0)),""))</f>
        <v/>
      </c>
      <c r="F346" s="25">
        <f>IF(C346="","",IFERROR(INDEX(tbl_Finance[Client],IFERROR(MATCH(C346&amp;"",tbl_Finance[Job Number],0),MATCH(IFERROR(C346+0,C346),tbl_Finance[Job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6" t="n"/>
      <c r="L346" s="27">
        <f>IF(C346="","",IF(K346="",0,MAX(0,K346-H346)))</f>
        <v/>
      </c>
      <c r="M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N346" s="27">
        <f>IF(C346="","",SUMIFS(tbl_Finance[Inc GST],tbl_Finance[Job Number],C346&amp;""))</f>
        <v/>
      </c>
      <c r="O346" s="24" t="n"/>
      <c r="P346" s="25">
        <f>IF(C346="","",IFERROR(INDEX(tbl_Finance[Description],MATCH(C346&amp;"",tbl_Finance[Job Number],0)),""))</f>
        <v/>
      </c>
      <c r="Q346" s="24" t="n"/>
      <c r="R346" s="24" t="n"/>
      <c r="S346" s="22" t="n"/>
      <c r="T346" s="24" t="n"/>
      <c r="U346" s="25">
        <f>IF(T346="","",IF(AND(LEFT(T346,4)&lt;&gt;"http",set_RMSBase=""),"",HYPERLINK(IF(LEFT(T346,4)="http",T346,set_RMSBase&amp;T346),"Open opportunity")))</f>
        <v/>
      </c>
      <c r="V346" s="24" t="n"/>
      <c r="W346" s="25">
        <f>IF(V346="","",HYPERLINK(IF(LEFT(V346,4)="http",V346,set_QwilrBase&amp;V346),"Open quote"))</f>
        <v/>
      </c>
      <c r="X346" s="25">
        <f>IF(C346="","",C346)</f>
        <v/>
      </c>
      <c r="Y346" s="24" t="n"/>
      <c r="Z346" s="26" t="n"/>
      <c r="AA346" s="27">
        <f>IF(C346="","",H346+N(Z346))</f>
        <v/>
      </c>
      <c r="AB346" s="29">
        <f>IFERROR(Z346/AA346,"")</f>
        <v/>
      </c>
      <c r="AC346" s="26" t="n"/>
      <c r="AD346" s="26" t="n"/>
      <c r="AE346" s="26" t="n"/>
      <c r="AF346" s="26" t="n"/>
      <c r="AG346" s="27">
        <f>IF(C346="","",SUMIFS(tbl_Finance[Ex GST],tbl_Finance[Job Number],C346&amp;"",tbl_Finance[Cost Centre],"VIDEO"))</f>
        <v/>
      </c>
      <c r="AH346" s="29">
        <f>IFERROR(AG346/H346,"")</f>
        <v/>
      </c>
      <c r="AI346" s="27">
        <f>IF(C346="","",N(AC346)+N(AD346)+N(AE346)+N(AF346))</f>
        <v/>
      </c>
      <c r="AJ346" s="27">
        <f>IF(C346="","",H346+L346-AI346)</f>
        <v/>
      </c>
      <c r="AK346" s="29">
        <f>IFERROR(AJ346/(H346+L346),"")</f>
        <v/>
      </c>
      <c r="AL346" s="71" t="n"/>
      <c r="AM346" s="71" t="n"/>
      <c r="AN346" s="71" t="n"/>
      <c r="AO346" s="71" t="n"/>
      <c r="AP346" s="71" t="n"/>
      <c r="AQ346" s="24" t="n"/>
    </row>
    <row r="347" ht="15" customHeight="1">
      <c r="A347" s="70">
        <f>IF(C347="","",IFERROR(IF(SUMPRODUCT(MAX((tbl_Finance[Job Number]&amp;""=C347&amp;"")*(tbl_Finance[Xero Invoice No]&lt;&gt;"")*tbl_Finance[Date]))=0,"",SUMPRODUCT(MAX((tbl_Finance[Job Number]&amp;""=C347&amp;"")*(tbl_Finance[Xero Invoice No]&lt;&gt;"")*tbl_Finance[Date]))),""))</f>
        <v/>
      </c>
      <c r="B347" s="25">
        <f>IF(C347="","",IF(COUNTIFS(tbl_Finance[Job Number],C347&amp;"",tbl_Finance[Xero Invoice No],"&lt;&gt;")=0,"",IFERROR(IF(COUNTIFS(tbl_Finance[Job Number],C347&amp;"",tbl_Finance[Xero Invoice No],LOOKUP(2,1/((tbl_Finance[Job Number]&amp;""=C347&amp;"")*(tbl_Finance[Xero Invoice No]&lt;&gt;"")),tbl_Finance[Xero Invoice No]))=COUNTIFS(tbl_Finance[Job Number],C347&amp;"",tbl_Finance[Xero Invoice No],"&lt;&gt;"),LOOKUP(2,1/((tbl_Finance[Job Number]&amp;""=C347&amp;"")*(tbl_Finance[Xero Invoice No]&lt;&gt;"")),tbl_Finance[Xero Invoice No]),LOOKUP(2,1/((tbl_Finance[Job Number]&amp;""=C347&amp;"")*(tbl_Finance[Xero Invoice No]&lt;&gt;"")),tbl_Finance[Xero Invoice No])&amp;" +more"),"")))</f>
        <v/>
      </c>
      <c r="C347" s="24" t="n"/>
      <c r="D347" s="25">
        <f>IF(C347="","",IF(COUNTIF(lst_Jobs,C347&amp;"")&gt;0,"OK","CHECK"))</f>
        <v/>
      </c>
      <c r="E347" s="25">
        <f>IF(C347="","",IFERROR(INDEX(lst_JobName,MATCH(C347&amp;"",lst_Jobs,0)),""))</f>
        <v/>
      </c>
      <c r="F347" s="25">
        <f>IF(C347="","",IFERROR(INDEX(tbl_Finance[Client],IFERROR(MATCH(C347&amp;"",tbl_Finance[Job Number],0),MATCH(IFERROR(C347+0,C347),tbl_Finance[Job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6" t="n"/>
      <c r="L347" s="27">
        <f>IF(C347="","",IF(K347="",0,MAX(0,K347-H347)))</f>
        <v/>
      </c>
      <c r="M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N347" s="27">
        <f>IF(C347="","",SUMIFS(tbl_Finance[Inc GST],tbl_Finance[Job Number],C347&amp;""))</f>
        <v/>
      </c>
      <c r="O347" s="24" t="n"/>
      <c r="P347" s="25">
        <f>IF(C347="","",IFERROR(INDEX(tbl_Finance[Description],MATCH(C347&amp;"",tbl_Finance[Job Number],0)),""))</f>
        <v/>
      </c>
      <c r="Q347" s="24" t="n"/>
      <c r="R347" s="24" t="n"/>
      <c r="S347" s="22" t="n"/>
      <c r="T347" s="24" t="n"/>
      <c r="U347" s="25">
        <f>IF(T347="","",IF(AND(LEFT(T347,4)&lt;&gt;"http",set_RMSBase=""),"",HYPERLINK(IF(LEFT(T347,4)="http",T347,set_RMSBase&amp;T347),"Open opportunity")))</f>
        <v/>
      </c>
      <c r="V347" s="24" t="n"/>
      <c r="W347" s="25">
        <f>IF(V347="","",HYPERLINK(IF(LEFT(V347,4)="http",V347,set_QwilrBase&amp;V347),"Open quote"))</f>
        <v/>
      </c>
      <c r="X347" s="25">
        <f>IF(C347="","",C347)</f>
        <v/>
      </c>
      <c r="Y347" s="24" t="n"/>
      <c r="Z347" s="26" t="n"/>
      <c r="AA347" s="27">
        <f>IF(C347="","",H347+N(Z347))</f>
        <v/>
      </c>
      <c r="AB347" s="29">
        <f>IFERROR(Z347/AA347,"")</f>
        <v/>
      </c>
      <c r="AC347" s="26" t="n"/>
      <c r="AD347" s="26" t="n"/>
      <c r="AE347" s="26" t="n"/>
      <c r="AF347" s="26" t="n"/>
      <c r="AG347" s="27">
        <f>IF(C347="","",SUMIFS(tbl_Finance[Ex GST],tbl_Finance[Job Number],C347&amp;"",tbl_Finance[Cost Centre],"VIDEO"))</f>
        <v/>
      </c>
      <c r="AH347" s="29">
        <f>IFERROR(AG347/H347,"")</f>
        <v/>
      </c>
      <c r="AI347" s="27">
        <f>IF(C347="","",N(AC347)+N(AD347)+N(AE347)+N(AF347))</f>
        <v/>
      </c>
      <c r="AJ347" s="27">
        <f>IF(C347="","",H347+L347-AI347)</f>
        <v/>
      </c>
      <c r="AK347" s="29">
        <f>IFERROR(AJ347/(H347+L347),"")</f>
        <v/>
      </c>
      <c r="AL347" s="71" t="n"/>
      <c r="AM347" s="71" t="n"/>
      <c r="AN347" s="71" t="n"/>
      <c r="AO347" s="71" t="n"/>
      <c r="AP347" s="71" t="n"/>
      <c r="AQ347" s="24" t="n"/>
    </row>
    <row r="348" ht="15" customHeight="1">
      <c r="A348" s="70">
        <f>IF(C348="","",IFERROR(IF(SUMPRODUCT(MAX((tbl_Finance[Job Number]&amp;""=C348&amp;"")*(tbl_Finance[Xero Invoice No]&lt;&gt;"")*tbl_Finance[Date]))=0,"",SUMPRODUCT(MAX((tbl_Finance[Job Number]&amp;""=C348&amp;"")*(tbl_Finance[Xero Invoice No]&lt;&gt;"")*tbl_Finance[Date]))),""))</f>
        <v/>
      </c>
      <c r="B348" s="25">
        <f>IF(C348="","",IF(COUNTIFS(tbl_Finance[Job Number],C348&amp;"",tbl_Finance[Xero Invoice No],"&lt;&gt;")=0,"",IFERROR(IF(COUNTIFS(tbl_Finance[Job Number],C348&amp;"",tbl_Finance[Xero Invoice No],LOOKUP(2,1/((tbl_Finance[Job Number]&amp;""=C348&amp;"")*(tbl_Finance[Xero Invoice No]&lt;&gt;"")),tbl_Finance[Xero Invoice No]))=COUNTIFS(tbl_Finance[Job Number],C348&amp;"",tbl_Finance[Xero Invoice No],"&lt;&gt;"),LOOKUP(2,1/((tbl_Finance[Job Number]&amp;""=C348&amp;"")*(tbl_Finance[Xero Invoice No]&lt;&gt;"")),tbl_Finance[Xero Invoice No]),LOOKUP(2,1/((tbl_Finance[Job Number]&amp;""=C348&amp;"")*(tbl_Finance[Xero Invoice No]&lt;&gt;"")),tbl_Finance[Xero Invoice No])&amp;" +more"),"")))</f>
        <v/>
      </c>
      <c r="C348" s="24" t="n"/>
      <c r="D348" s="25">
        <f>IF(C348="","",IF(COUNTIF(lst_Jobs,C348&amp;"")&gt;0,"OK","CHECK"))</f>
        <v/>
      </c>
      <c r="E348" s="25">
        <f>IF(C348="","",IFERROR(INDEX(lst_JobName,MATCH(C348&amp;"",lst_Jobs,0)),""))</f>
        <v/>
      </c>
      <c r="F348" s="25">
        <f>IF(C348="","",IFERROR(INDEX(tbl_Finance[Client],IFERROR(MATCH(C348&amp;"",tbl_Finance[Job Number],0),MATCH(IFERROR(C348+0,C348),tbl_Finance[Job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6" t="n"/>
      <c r="L348" s="27">
        <f>IF(C348="","",IF(K348="",0,MAX(0,K348-H348)))</f>
        <v/>
      </c>
      <c r="M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N348" s="27">
        <f>IF(C348="","",SUMIFS(tbl_Finance[Inc GST],tbl_Finance[Job Number],C348&amp;""))</f>
        <v/>
      </c>
      <c r="O348" s="24" t="n"/>
      <c r="P348" s="25">
        <f>IF(C348="","",IFERROR(INDEX(tbl_Finance[Description],MATCH(C348&amp;"",tbl_Finance[Job Number],0)),""))</f>
        <v/>
      </c>
      <c r="Q348" s="24" t="n"/>
      <c r="R348" s="24" t="n"/>
      <c r="S348" s="22" t="n"/>
      <c r="T348" s="24" t="n"/>
      <c r="U348" s="25">
        <f>IF(T348="","",IF(AND(LEFT(T348,4)&lt;&gt;"http",set_RMSBase=""),"",HYPERLINK(IF(LEFT(T348,4)="http",T348,set_RMSBase&amp;T348),"Open opportunity")))</f>
        <v/>
      </c>
      <c r="V348" s="24" t="n"/>
      <c r="W348" s="25">
        <f>IF(V348="","",HYPERLINK(IF(LEFT(V348,4)="http",V348,set_QwilrBase&amp;V348),"Open quote"))</f>
        <v/>
      </c>
      <c r="X348" s="25">
        <f>IF(C348="","",C348)</f>
        <v/>
      </c>
      <c r="Y348" s="24" t="n"/>
      <c r="Z348" s="26" t="n"/>
      <c r="AA348" s="27">
        <f>IF(C348="","",H348+N(Z348))</f>
        <v/>
      </c>
      <c r="AB348" s="29">
        <f>IFERROR(Z348/AA348,"")</f>
        <v/>
      </c>
      <c r="AC348" s="26" t="n"/>
      <c r="AD348" s="26" t="n"/>
      <c r="AE348" s="26" t="n"/>
      <c r="AF348" s="26" t="n"/>
      <c r="AG348" s="27">
        <f>IF(C348="","",SUMIFS(tbl_Finance[Ex GST],tbl_Finance[Job Number],C348&amp;"",tbl_Finance[Cost Centre],"VIDEO"))</f>
        <v/>
      </c>
      <c r="AH348" s="29">
        <f>IFERROR(AG348/H348,"")</f>
        <v/>
      </c>
      <c r="AI348" s="27">
        <f>IF(C348="","",N(AC348)+N(AD348)+N(AE348)+N(AF348))</f>
        <v/>
      </c>
      <c r="AJ348" s="27">
        <f>IF(C348="","",H348+L348-AI348)</f>
        <v/>
      </c>
      <c r="AK348" s="29">
        <f>IFERROR(AJ348/(H348+L348),"")</f>
        <v/>
      </c>
      <c r="AL348" s="71" t="n"/>
      <c r="AM348" s="71" t="n"/>
      <c r="AN348" s="71" t="n"/>
      <c r="AO348" s="71" t="n"/>
      <c r="AP348" s="71" t="n"/>
      <c r="AQ348" s="24" t="n"/>
    </row>
    <row r="349" ht="15" customHeight="1">
      <c r="A349" s="70">
        <f>IF(C349="","",IFERROR(IF(SUMPRODUCT(MAX((tbl_Finance[Job Number]&amp;""=C349&amp;"")*(tbl_Finance[Xero Invoice No]&lt;&gt;"")*tbl_Finance[Date]))=0,"",SUMPRODUCT(MAX((tbl_Finance[Job Number]&amp;""=C349&amp;"")*(tbl_Finance[Xero Invoice No]&lt;&gt;"")*tbl_Finance[Date]))),""))</f>
        <v/>
      </c>
      <c r="B349" s="25">
        <f>IF(C349="","",IF(COUNTIFS(tbl_Finance[Job Number],C349&amp;"",tbl_Finance[Xero Invoice No],"&lt;&gt;")=0,"",IFERROR(IF(COUNTIFS(tbl_Finance[Job Number],C349&amp;"",tbl_Finance[Xero Invoice No],LOOKUP(2,1/((tbl_Finance[Job Number]&amp;""=C349&amp;"")*(tbl_Finance[Xero Invoice No]&lt;&gt;"")),tbl_Finance[Xero Invoice No]))=COUNTIFS(tbl_Finance[Job Number],C349&amp;"",tbl_Finance[Xero Invoice No],"&lt;&gt;"),LOOKUP(2,1/((tbl_Finance[Job Number]&amp;""=C349&amp;"")*(tbl_Finance[Xero Invoice No]&lt;&gt;"")),tbl_Finance[Xero Invoice No]),LOOKUP(2,1/((tbl_Finance[Job Number]&amp;""=C349&amp;"")*(tbl_Finance[Xero Invoice No]&lt;&gt;"")),tbl_Finance[Xero Invoice No])&amp;" +more"),"")))</f>
        <v/>
      </c>
      <c r="C349" s="24" t="n"/>
      <c r="D349" s="25">
        <f>IF(C349="","",IF(COUNTIF(lst_Jobs,C349&amp;"")&gt;0,"OK","CHECK"))</f>
        <v/>
      </c>
      <c r="E349" s="25">
        <f>IF(C349="","",IFERROR(INDEX(lst_JobName,MATCH(C349&amp;"",lst_Jobs,0)),""))</f>
        <v/>
      </c>
      <c r="F349" s="25">
        <f>IF(C349="","",IFERROR(INDEX(tbl_Finance[Client],IFERROR(MATCH(C349&amp;"",tbl_Finance[Job Number],0),MATCH(IFERROR(C349+0,C349),tbl_Finance[Job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6" t="n"/>
      <c r="L349" s="27">
        <f>IF(C349="","",IF(K349="",0,MAX(0,K349-H349)))</f>
        <v/>
      </c>
      <c r="M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N349" s="27">
        <f>IF(C349="","",SUMIFS(tbl_Finance[Inc GST],tbl_Finance[Job Number],C349&amp;""))</f>
        <v/>
      </c>
      <c r="O349" s="24" t="n"/>
      <c r="P349" s="25">
        <f>IF(C349="","",IFERROR(INDEX(tbl_Finance[Description],MATCH(C349&amp;"",tbl_Finance[Job Number],0)),""))</f>
        <v/>
      </c>
      <c r="Q349" s="24" t="n"/>
      <c r="R349" s="24" t="n"/>
      <c r="S349" s="22" t="n"/>
      <c r="T349" s="24" t="n"/>
      <c r="U349" s="25">
        <f>IF(T349="","",IF(AND(LEFT(T349,4)&lt;&gt;"http",set_RMSBase=""),"",HYPERLINK(IF(LEFT(T349,4)="http",T349,set_RMSBase&amp;T349),"Open opportunity")))</f>
        <v/>
      </c>
      <c r="V349" s="24" t="n"/>
      <c r="W349" s="25">
        <f>IF(V349="","",HYPERLINK(IF(LEFT(V349,4)="http",V349,set_QwilrBase&amp;V349),"Open quote"))</f>
        <v/>
      </c>
      <c r="X349" s="25">
        <f>IF(C349="","",C349)</f>
        <v/>
      </c>
      <c r="Y349" s="24" t="n"/>
      <c r="Z349" s="26" t="n"/>
      <c r="AA349" s="27">
        <f>IF(C349="","",H349+N(Z349))</f>
        <v/>
      </c>
      <c r="AB349" s="29">
        <f>IFERROR(Z349/AA349,"")</f>
        <v/>
      </c>
      <c r="AC349" s="26" t="n"/>
      <c r="AD349" s="26" t="n"/>
      <c r="AE349" s="26" t="n"/>
      <c r="AF349" s="26" t="n"/>
      <c r="AG349" s="27">
        <f>IF(C349="","",SUMIFS(tbl_Finance[Ex GST],tbl_Finance[Job Number],C349&amp;"",tbl_Finance[Cost Centre],"VIDEO"))</f>
        <v/>
      </c>
      <c r="AH349" s="29">
        <f>IFERROR(AG349/H349,"")</f>
        <v/>
      </c>
      <c r="AI349" s="27">
        <f>IF(C349="","",N(AC349)+N(AD349)+N(AE349)+N(AF349))</f>
        <v/>
      </c>
      <c r="AJ349" s="27">
        <f>IF(C349="","",H349+L349-AI349)</f>
        <v/>
      </c>
      <c r="AK349" s="29">
        <f>IFERROR(AJ349/(H349+L349),"")</f>
        <v/>
      </c>
      <c r="AL349" s="71" t="n"/>
      <c r="AM349" s="71" t="n"/>
      <c r="AN349" s="71" t="n"/>
      <c r="AO349" s="71" t="n"/>
      <c r="AP349" s="71" t="n"/>
      <c r="AQ349" s="24" t="n"/>
    </row>
    <row r="350" ht="15" customHeight="1">
      <c r="A350" s="70">
        <f>IF(C350="","",IFERROR(IF(SUMPRODUCT(MAX((tbl_Finance[Job Number]&amp;""=C350&amp;"")*(tbl_Finance[Xero Invoice No]&lt;&gt;"")*tbl_Finance[Date]))=0,"",SUMPRODUCT(MAX((tbl_Finance[Job Number]&amp;""=C350&amp;"")*(tbl_Finance[Xero Invoice No]&lt;&gt;"")*tbl_Finance[Date]))),""))</f>
        <v/>
      </c>
      <c r="B350" s="25">
        <f>IF(C350="","",IF(COUNTIFS(tbl_Finance[Job Number],C350&amp;"",tbl_Finance[Xero Invoice No],"&lt;&gt;")=0,"",IFERROR(IF(COUNTIFS(tbl_Finance[Job Number],C350&amp;"",tbl_Finance[Xero Invoice No],LOOKUP(2,1/((tbl_Finance[Job Number]&amp;""=C350&amp;"")*(tbl_Finance[Xero Invoice No]&lt;&gt;"")),tbl_Finance[Xero Invoice No]))=COUNTIFS(tbl_Finance[Job Number],C350&amp;"",tbl_Finance[Xero Invoice No],"&lt;&gt;"),LOOKUP(2,1/((tbl_Finance[Job Number]&amp;""=C350&amp;"")*(tbl_Finance[Xero Invoice No]&lt;&gt;"")),tbl_Finance[Xero Invoice No]),LOOKUP(2,1/((tbl_Finance[Job Number]&amp;""=C350&amp;"")*(tbl_Finance[Xero Invoice No]&lt;&gt;"")),tbl_Finance[Xero Invoice No])&amp;" +more"),"")))</f>
        <v/>
      </c>
      <c r="C350" s="24" t="n"/>
      <c r="D350" s="25">
        <f>IF(C350="","",IF(COUNTIF(lst_Jobs,C350&amp;"")&gt;0,"OK","CHECK"))</f>
        <v/>
      </c>
      <c r="E350" s="25">
        <f>IF(C350="","",IFERROR(INDEX(lst_JobName,MATCH(C350&amp;"",lst_Jobs,0)),""))</f>
        <v/>
      </c>
      <c r="F350" s="25">
        <f>IF(C350="","",IFERROR(INDEX(tbl_Finance[Client],IFERROR(MATCH(C350&amp;"",tbl_Finance[Job Number],0),MATCH(IFERROR(C350+0,C350),tbl_Finance[Job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6" t="n"/>
      <c r="L350" s="27">
        <f>IF(C350="","",IF(K350="",0,MAX(0,K350-H350)))</f>
        <v/>
      </c>
      <c r="M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N350" s="27">
        <f>IF(C350="","",SUMIFS(tbl_Finance[Inc GST],tbl_Finance[Job Number],C350&amp;""))</f>
        <v/>
      </c>
      <c r="O350" s="24" t="n"/>
      <c r="P350" s="25">
        <f>IF(C350="","",IFERROR(INDEX(tbl_Finance[Description],MATCH(C350&amp;"",tbl_Finance[Job Number],0)),""))</f>
        <v/>
      </c>
      <c r="Q350" s="24" t="n"/>
      <c r="R350" s="24" t="n"/>
      <c r="S350" s="22" t="n"/>
      <c r="T350" s="24" t="n"/>
      <c r="U350" s="25">
        <f>IF(T350="","",IF(AND(LEFT(T350,4)&lt;&gt;"http",set_RMSBase=""),"",HYPERLINK(IF(LEFT(T350,4)="http",T350,set_RMSBase&amp;T350),"Open opportunity")))</f>
        <v/>
      </c>
      <c r="V350" s="24" t="n"/>
      <c r="W350" s="25">
        <f>IF(V350="","",HYPERLINK(IF(LEFT(V350,4)="http",V350,set_QwilrBase&amp;V350),"Open quote"))</f>
        <v/>
      </c>
      <c r="X350" s="25">
        <f>IF(C350="","",C350)</f>
        <v/>
      </c>
      <c r="Y350" s="24" t="n"/>
      <c r="Z350" s="26" t="n"/>
      <c r="AA350" s="27">
        <f>IF(C350="","",H350+N(Z350))</f>
        <v/>
      </c>
      <c r="AB350" s="29">
        <f>IFERROR(Z350/AA350,"")</f>
        <v/>
      </c>
      <c r="AC350" s="26" t="n"/>
      <c r="AD350" s="26" t="n"/>
      <c r="AE350" s="26" t="n"/>
      <c r="AF350" s="26" t="n"/>
      <c r="AG350" s="27">
        <f>IF(C350="","",SUMIFS(tbl_Finance[Ex GST],tbl_Finance[Job Number],C350&amp;"",tbl_Finance[Cost Centre],"VIDEO"))</f>
        <v/>
      </c>
      <c r="AH350" s="29">
        <f>IFERROR(AG350/H350,"")</f>
        <v/>
      </c>
      <c r="AI350" s="27">
        <f>IF(C350="","",N(AC350)+N(AD350)+N(AE350)+N(AF350))</f>
        <v/>
      </c>
      <c r="AJ350" s="27">
        <f>IF(C350="","",H350+L350-AI350)</f>
        <v/>
      </c>
      <c r="AK350" s="29">
        <f>IFERROR(AJ350/(H350+L350),"")</f>
        <v/>
      </c>
      <c r="AL350" s="71" t="n"/>
      <c r="AM350" s="71" t="n"/>
      <c r="AN350" s="71" t="n"/>
      <c r="AO350" s="71" t="n"/>
      <c r="AP350" s="71" t="n"/>
      <c r="AQ350" s="24" t="n"/>
    </row>
    <row r="351" ht="15" customHeight="1">
      <c r="A351" s="70">
        <f>IF(C351="","",IFERROR(IF(SUMPRODUCT(MAX((tbl_Finance[Job Number]&amp;""=C351&amp;"")*(tbl_Finance[Xero Invoice No]&lt;&gt;"")*tbl_Finance[Date]))=0,"",SUMPRODUCT(MAX((tbl_Finance[Job Number]&amp;""=C351&amp;"")*(tbl_Finance[Xero Invoice No]&lt;&gt;"")*tbl_Finance[Date]))),""))</f>
        <v/>
      </c>
      <c r="B351" s="25">
        <f>IF(C351="","",IF(COUNTIFS(tbl_Finance[Job Number],C351&amp;"",tbl_Finance[Xero Invoice No],"&lt;&gt;")=0,"",IFERROR(IF(COUNTIFS(tbl_Finance[Job Number],C351&amp;"",tbl_Finance[Xero Invoice No],LOOKUP(2,1/((tbl_Finance[Job Number]&amp;""=C351&amp;"")*(tbl_Finance[Xero Invoice No]&lt;&gt;"")),tbl_Finance[Xero Invoice No]))=COUNTIFS(tbl_Finance[Job Number],C351&amp;"",tbl_Finance[Xero Invoice No],"&lt;&gt;"),LOOKUP(2,1/((tbl_Finance[Job Number]&amp;""=C351&amp;"")*(tbl_Finance[Xero Invoice No]&lt;&gt;"")),tbl_Finance[Xero Invoice No]),LOOKUP(2,1/((tbl_Finance[Job Number]&amp;""=C351&amp;"")*(tbl_Finance[Xero Invoice No]&lt;&gt;"")),tbl_Finance[Xero Invoice No])&amp;" +more"),"")))</f>
        <v/>
      </c>
      <c r="C351" s="24" t="n"/>
      <c r="D351" s="25">
        <f>IF(C351="","",IF(COUNTIF(lst_Jobs,C351&amp;"")&gt;0,"OK","CHECK"))</f>
        <v/>
      </c>
      <c r="E351" s="25">
        <f>IF(C351="","",IFERROR(INDEX(lst_JobName,MATCH(C351&amp;"",lst_Jobs,0)),""))</f>
        <v/>
      </c>
      <c r="F351" s="25">
        <f>IF(C351="","",IFERROR(INDEX(tbl_Finance[Client],IFERROR(MATCH(C351&amp;"",tbl_Finance[Job Number],0),MATCH(IFERROR(C351+0,C351),tbl_Finance[Job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6" t="n"/>
      <c r="L351" s="27">
        <f>IF(C351="","",IF(K351="",0,MAX(0,K351-H351)))</f>
        <v/>
      </c>
      <c r="M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N351" s="27">
        <f>IF(C351="","",SUMIFS(tbl_Finance[Inc GST],tbl_Finance[Job Number],C351&amp;""))</f>
        <v/>
      </c>
      <c r="O351" s="24" t="n"/>
      <c r="P351" s="25">
        <f>IF(C351="","",IFERROR(INDEX(tbl_Finance[Description],MATCH(C351&amp;"",tbl_Finance[Job Number],0)),""))</f>
        <v/>
      </c>
      <c r="Q351" s="24" t="n"/>
      <c r="R351" s="24" t="n"/>
      <c r="S351" s="22" t="n"/>
      <c r="T351" s="24" t="n"/>
      <c r="U351" s="25">
        <f>IF(T351="","",IF(AND(LEFT(T351,4)&lt;&gt;"http",set_RMSBase=""),"",HYPERLINK(IF(LEFT(T351,4)="http",T351,set_RMSBase&amp;T351),"Open opportunity")))</f>
        <v/>
      </c>
      <c r="V351" s="24" t="n"/>
      <c r="W351" s="25">
        <f>IF(V351="","",HYPERLINK(IF(LEFT(V351,4)="http",V351,set_QwilrBase&amp;V351),"Open quote"))</f>
        <v/>
      </c>
      <c r="X351" s="25">
        <f>IF(C351="","",C351)</f>
        <v/>
      </c>
      <c r="Y351" s="24" t="n"/>
      <c r="Z351" s="26" t="n"/>
      <c r="AA351" s="27">
        <f>IF(C351="","",H351+N(Z351))</f>
        <v/>
      </c>
      <c r="AB351" s="29">
        <f>IFERROR(Z351/AA351,"")</f>
        <v/>
      </c>
      <c r="AC351" s="26" t="n"/>
      <c r="AD351" s="26" t="n"/>
      <c r="AE351" s="26" t="n"/>
      <c r="AF351" s="26" t="n"/>
      <c r="AG351" s="27">
        <f>IF(C351="","",SUMIFS(tbl_Finance[Ex GST],tbl_Finance[Job Number],C351&amp;"",tbl_Finance[Cost Centre],"VIDEO"))</f>
        <v/>
      </c>
      <c r="AH351" s="29">
        <f>IFERROR(AG351/H351,"")</f>
        <v/>
      </c>
      <c r="AI351" s="27">
        <f>IF(C351="","",N(AC351)+N(AD351)+N(AE351)+N(AF351))</f>
        <v/>
      </c>
      <c r="AJ351" s="27">
        <f>IF(C351="","",H351+L351-AI351)</f>
        <v/>
      </c>
      <c r="AK351" s="29">
        <f>IFERROR(AJ351/(H351+L351),"")</f>
        <v/>
      </c>
      <c r="AL351" s="71" t="n"/>
      <c r="AM351" s="71" t="n"/>
      <c r="AN351" s="71" t="n"/>
      <c r="AO351" s="71" t="n"/>
      <c r="AP351" s="71" t="n"/>
      <c r="AQ351" s="24" t="n"/>
    </row>
    <row r="352" ht="15" customHeight="1">
      <c r="A352" s="70">
        <f>IF(C352="","",IFERROR(IF(SUMPRODUCT(MAX((tbl_Finance[Job Number]&amp;""=C352&amp;"")*(tbl_Finance[Xero Invoice No]&lt;&gt;"")*tbl_Finance[Date]))=0,"",SUMPRODUCT(MAX((tbl_Finance[Job Number]&amp;""=C352&amp;"")*(tbl_Finance[Xero Invoice No]&lt;&gt;"")*tbl_Finance[Date]))),""))</f>
        <v/>
      </c>
      <c r="B352" s="25">
        <f>IF(C352="","",IF(COUNTIFS(tbl_Finance[Job Number],C352&amp;"",tbl_Finance[Xero Invoice No],"&lt;&gt;")=0,"",IFERROR(IF(COUNTIFS(tbl_Finance[Job Number],C352&amp;"",tbl_Finance[Xero Invoice No],LOOKUP(2,1/((tbl_Finance[Job Number]&amp;""=C352&amp;"")*(tbl_Finance[Xero Invoice No]&lt;&gt;"")),tbl_Finance[Xero Invoice No]))=COUNTIFS(tbl_Finance[Job Number],C352&amp;"",tbl_Finance[Xero Invoice No],"&lt;&gt;"),LOOKUP(2,1/((tbl_Finance[Job Number]&amp;""=C352&amp;"")*(tbl_Finance[Xero Invoice No]&lt;&gt;"")),tbl_Finance[Xero Invoice No]),LOOKUP(2,1/((tbl_Finance[Job Number]&amp;""=C352&amp;"")*(tbl_Finance[Xero Invoice No]&lt;&gt;"")),tbl_Finance[Xero Invoice No])&amp;" +more"),"")))</f>
        <v/>
      </c>
      <c r="C352" s="24" t="n"/>
      <c r="D352" s="25">
        <f>IF(C352="","",IF(COUNTIF(lst_Jobs,C352&amp;"")&gt;0,"OK","CHECK"))</f>
        <v/>
      </c>
      <c r="E352" s="25">
        <f>IF(C352="","",IFERROR(INDEX(lst_JobName,MATCH(C352&amp;"",lst_Jobs,0)),""))</f>
        <v/>
      </c>
      <c r="F352" s="25">
        <f>IF(C352="","",IFERROR(INDEX(tbl_Finance[Client],IFERROR(MATCH(C352&amp;"",tbl_Finance[Job Number],0),MATCH(IFERROR(C352+0,C352),tbl_Finance[Job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6" t="n"/>
      <c r="L352" s="27">
        <f>IF(C352="","",IF(K352="",0,MAX(0,K352-H352)))</f>
        <v/>
      </c>
      <c r="M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N352" s="27">
        <f>IF(C352="","",SUMIFS(tbl_Finance[Inc GST],tbl_Finance[Job Number],C352&amp;""))</f>
        <v/>
      </c>
      <c r="O352" s="24" t="n"/>
      <c r="P352" s="25">
        <f>IF(C352="","",IFERROR(INDEX(tbl_Finance[Description],MATCH(C352&amp;"",tbl_Finance[Job Number],0)),""))</f>
        <v/>
      </c>
      <c r="Q352" s="24" t="n"/>
      <c r="R352" s="24" t="n"/>
      <c r="S352" s="22" t="n"/>
      <c r="T352" s="24" t="n"/>
      <c r="U352" s="25">
        <f>IF(T352="","",IF(AND(LEFT(T352,4)&lt;&gt;"http",set_RMSBase=""),"",HYPERLINK(IF(LEFT(T352,4)="http",T352,set_RMSBase&amp;T352),"Open opportunity")))</f>
        <v/>
      </c>
      <c r="V352" s="24" t="n"/>
      <c r="W352" s="25">
        <f>IF(V352="","",HYPERLINK(IF(LEFT(V352,4)="http",V352,set_QwilrBase&amp;V352),"Open quote"))</f>
        <v/>
      </c>
      <c r="X352" s="25">
        <f>IF(C352="","",C352)</f>
        <v/>
      </c>
      <c r="Y352" s="24" t="n"/>
      <c r="Z352" s="26" t="n"/>
      <c r="AA352" s="27">
        <f>IF(C352="","",H352+N(Z352))</f>
        <v/>
      </c>
      <c r="AB352" s="29">
        <f>IFERROR(Z352/AA352,"")</f>
        <v/>
      </c>
      <c r="AC352" s="26" t="n"/>
      <c r="AD352" s="26" t="n"/>
      <c r="AE352" s="26" t="n"/>
      <c r="AF352" s="26" t="n"/>
      <c r="AG352" s="27">
        <f>IF(C352="","",SUMIFS(tbl_Finance[Ex GST],tbl_Finance[Job Number],C352&amp;"",tbl_Finance[Cost Centre],"VIDEO"))</f>
        <v/>
      </c>
      <c r="AH352" s="29">
        <f>IFERROR(AG352/H352,"")</f>
        <v/>
      </c>
      <c r="AI352" s="27">
        <f>IF(C352="","",N(AC352)+N(AD352)+N(AE352)+N(AF352))</f>
        <v/>
      </c>
      <c r="AJ352" s="27">
        <f>IF(C352="","",H352+L352-AI352)</f>
        <v/>
      </c>
      <c r="AK352" s="29">
        <f>IFERROR(AJ352/(H352+L352),"")</f>
        <v/>
      </c>
      <c r="AL352" s="71" t="n"/>
      <c r="AM352" s="71" t="n"/>
      <c r="AN352" s="71" t="n"/>
      <c r="AO352" s="71" t="n"/>
      <c r="AP352" s="71" t="n"/>
      <c r="AQ352" s="24" t="n"/>
    </row>
    <row r="353" ht="15" customHeight="1">
      <c r="A353" s="70">
        <f>IF(C353="","",IFERROR(IF(SUMPRODUCT(MAX((tbl_Finance[Job Number]&amp;""=C353&amp;"")*(tbl_Finance[Xero Invoice No]&lt;&gt;"")*tbl_Finance[Date]))=0,"",SUMPRODUCT(MAX((tbl_Finance[Job Number]&amp;""=C353&amp;"")*(tbl_Finance[Xero Invoice No]&lt;&gt;"")*tbl_Finance[Date]))),""))</f>
        <v/>
      </c>
      <c r="B353" s="25">
        <f>IF(C353="","",IF(COUNTIFS(tbl_Finance[Job Number],C353&amp;"",tbl_Finance[Xero Invoice No],"&lt;&gt;")=0,"",IFERROR(IF(COUNTIFS(tbl_Finance[Job Number],C353&amp;"",tbl_Finance[Xero Invoice No],LOOKUP(2,1/((tbl_Finance[Job Number]&amp;""=C353&amp;"")*(tbl_Finance[Xero Invoice No]&lt;&gt;"")),tbl_Finance[Xero Invoice No]))=COUNTIFS(tbl_Finance[Job Number],C353&amp;"",tbl_Finance[Xero Invoice No],"&lt;&gt;"),LOOKUP(2,1/((tbl_Finance[Job Number]&amp;""=C353&amp;"")*(tbl_Finance[Xero Invoice No]&lt;&gt;"")),tbl_Finance[Xero Invoice No]),LOOKUP(2,1/((tbl_Finance[Job Number]&amp;""=C353&amp;"")*(tbl_Finance[Xero Invoice No]&lt;&gt;"")),tbl_Finance[Xero Invoice No])&amp;" +more"),"")))</f>
        <v/>
      </c>
      <c r="C353" s="24" t="n"/>
      <c r="D353" s="25">
        <f>IF(C353="","",IF(COUNTIF(lst_Jobs,C353&amp;"")&gt;0,"OK","CHECK"))</f>
        <v/>
      </c>
      <c r="E353" s="25">
        <f>IF(C353="","",IFERROR(INDEX(lst_JobName,MATCH(C353&amp;"",lst_Jobs,0)),""))</f>
        <v/>
      </c>
      <c r="F353" s="25">
        <f>IF(C353="","",IFERROR(INDEX(tbl_Finance[Client],IFERROR(MATCH(C353&amp;"",tbl_Finance[Job Number],0),MATCH(IFERROR(C353+0,C353),tbl_Finance[Job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6" t="n"/>
      <c r="L353" s="27">
        <f>IF(C353="","",IF(K353="",0,MAX(0,K353-H353)))</f>
        <v/>
      </c>
      <c r="M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N353" s="27">
        <f>IF(C353="","",SUMIFS(tbl_Finance[Inc GST],tbl_Finance[Job Number],C353&amp;""))</f>
        <v/>
      </c>
      <c r="O353" s="24" t="n"/>
      <c r="P353" s="25">
        <f>IF(C353="","",IFERROR(INDEX(tbl_Finance[Description],MATCH(C353&amp;"",tbl_Finance[Job Number],0)),""))</f>
        <v/>
      </c>
      <c r="Q353" s="24" t="n"/>
      <c r="R353" s="24" t="n"/>
      <c r="S353" s="22" t="n"/>
      <c r="T353" s="24" t="n"/>
      <c r="U353" s="25">
        <f>IF(T353="","",IF(AND(LEFT(T353,4)&lt;&gt;"http",set_RMSBase=""),"",HYPERLINK(IF(LEFT(T353,4)="http",T353,set_RMSBase&amp;T353),"Open opportunity")))</f>
        <v/>
      </c>
      <c r="V353" s="24" t="n"/>
      <c r="W353" s="25">
        <f>IF(V353="","",HYPERLINK(IF(LEFT(V353,4)="http",V353,set_QwilrBase&amp;V353),"Open quote"))</f>
        <v/>
      </c>
      <c r="X353" s="25">
        <f>IF(C353="","",C353)</f>
        <v/>
      </c>
      <c r="Y353" s="24" t="n"/>
      <c r="Z353" s="26" t="n"/>
      <c r="AA353" s="27">
        <f>IF(C353="","",H353+N(Z353))</f>
        <v/>
      </c>
      <c r="AB353" s="29">
        <f>IFERROR(Z353/AA353,"")</f>
        <v/>
      </c>
      <c r="AC353" s="26" t="n"/>
      <c r="AD353" s="26" t="n"/>
      <c r="AE353" s="26" t="n"/>
      <c r="AF353" s="26" t="n"/>
      <c r="AG353" s="27">
        <f>IF(C353="","",SUMIFS(tbl_Finance[Ex GST],tbl_Finance[Job Number],C353&amp;"",tbl_Finance[Cost Centre],"VIDEO"))</f>
        <v/>
      </c>
      <c r="AH353" s="29">
        <f>IFERROR(AG353/H353,"")</f>
        <v/>
      </c>
      <c r="AI353" s="27">
        <f>IF(C353="","",N(AC353)+N(AD353)+N(AE353)+N(AF353))</f>
        <v/>
      </c>
      <c r="AJ353" s="27">
        <f>IF(C353="","",H353+L353-AI353)</f>
        <v/>
      </c>
      <c r="AK353" s="29">
        <f>IFERROR(AJ353/(H353+L353),"")</f>
        <v/>
      </c>
      <c r="AL353" s="71" t="n"/>
      <c r="AM353" s="71" t="n"/>
      <c r="AN353" s="71" t="n"/>
      <c r="AO353" s="71" t="n"/>
      <c r="AP353" s="71" t="n"/>
      <c r="AQ353" s="24" t="n"/>
    </row>
    <row r="354" ht="15" customHeight="1">
      <c r="A354" s="70">
        <f>IF(C354="","",IFERROR(IF(SUMPRODUCT(MAX((tbl_Finance[Job Number]&amp;""=C354&amp;"")*(tbl_Finance[Xero Invoice No]&lt;&gt;"")*tbl_Finance[Date]))=0,"",SUMPRODUCT(MAX((tbl_Finance[Job Number]&amp;""=C354&amp;"")*(tbl_Finance[Xero Invoice No]&lt;&gt;"")*tbl_Finance[Date]))),""))</f>
        <v/>
      </c>
      <c r="B354" s="25">
        <f>IF(C354="","",IF(COUNTIFS(tbl_Finance[Job Number],C354&amp;"",tbl_Finance[Xero Invoice No],"&lt;&gt;")=0,"",IFERROR(IF(COUNTIFS(tbl_Finance[Job Number],C354&amp;"",tbl_Finance[Xero Invoice No],LOOKUP(2,1/((tbl_Finance[Job Number]&amp;""=C354&amp;"")*(tbl_Finance[Xero Invoice No]&lt;&gt;"")),tbl_Finance[Xero Invoice No]))=COUNTIFS(tbl_Finance[Job Number],C354&amp;"",tbl_Finance[Xero Invoice No],"&lt;&gt;"),LOOKUP(2,1/((tbl_Finance[Job Number]&amp;""=C354&amp;"")*(tbl_Finance[Xero Invoice No]&lt;&gt;"")),tbl_Finance[Xero Invoice No]),LOOKUP(2,1/((tbl_Finance[Job Number]&amp;""=C354&amp;"")*(tbl_Finance[Xero Invoice No]&lt;&gt;"")),tbl_Finance[Xero Invoice No])&amp;" +more"),"")))</f>
        <v/>
      </c>
      <c r="C354" s="24" t="n"/>
      <c r="D354" s="25">
        <f>IF(C354="","",IF(COUNTIF(lst_Jobs,C354&amp;"")&gt;0,"OK","CHECK"))</f>
        <v/>
      </c>
      <c r="E354" s="25">
        <f>IF(C354="","",IFERROR(INDEX(lst_JobName,MATCH(C354&amp;"",lst_Jobs,0)),""))</f>
        <v/>
      </c>
      <c r="F354" s="25">
        <f>IF(C354="","",IFERROR(INDEX(tbl_Finance[Client],IFERROR(MATCH(C354&amp;"",tbl_Finance[Job Number],0),MATCH(IFERROR(C354+0,C354),tbl_Finance[Job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6" t="n"/>
      <c r="L354" s="27">
        <f>IF(C354="","",IF(K354="",0,MAX(0,K354-H354)))</f>
        <v/>
      </c>
      <c r="M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N354" s="27">
        <f>IF(C354="","",SUMIFS(tbl_Finance[Inc GST],tbl_Finance[Job Number],C354&amp;""))</f>
        <v/>
      </c>
      <c r="O354" s="24" t="n"/>
      <c r="P354" s="25">
        <f>IF(C354="","",IFERROR(INDEX(tbl_Finance[Description],MATCH(C354&amp;"",tbl_Finance[Job Number],0)),""))</f>
        <v/>
      </c>
      <c r="Q354" s="24" t="n"/>
      <c r="R354" s="24" t="n"/>
      <c r="S354" s="22" t="n"/>
      <c r="T354" s="24" t="n"/>
      <c r="U354" s="25">
        <f>IF(T354="","",IF(AND(LEFT(T354,4)&lt;&gt;"http",set_RMSBase=""),"",HYPERLINK(IF(LEFT(T354,4)="http",T354,set_RMSBase&amp;T354),"Open opportunity")))</f>
        <v/>
      </c>
      <c r="V354" s="24" t="n"/>
      <c r="W354" s="25">
        <f>IF(V354="","",HYPERLINK(IF(LEFT(V354,4)="http",V354,set_QwilrBase&amp;V354),"Open quote"))</f>
        <v/>
      </c>
      <c r="X354" s="25">
        <f>IF(C354="","",C354)</f>
        <v/>
      </c>
      <c r="Y354" s="24" t="n"/>
      <c r="Z354" s="26" t="n"/>
      <c r="AA354" s="27">
        <f>IF(C354="","",H354+N(Z354))</f>
        <v/>
      </c>
      <c r="AB354" s="29">
        <f>IFERROR(Z354/AA354,"")</f>
        <v/>
      </c>
      <c r="AC354" s="26" t="n"/>
      <c r="AD354" s="26" t="n"/>
      <c r="AE354" s="26" t="n"/>
      <c r="AF354" s="26" t="n"/>
      <c r="AG354" s="27">
        <f>IF(C354="","",SUMIFS(tbl_Finance[Ex GST],tbl_Finance[Job Number],C354&amp;"",tbl_Finance[Cost Centre],"VIDEO"))</f>
        <v/>
      </c>
      <c r="AH354" s="29">
        <f>IFERROR(AG354/H354,"")</f>
        <v/>
      </c>
      <c r="AI354" s="27">
        <f>IF(C354="","",N(AC354)+N(AD354)+N(AE354)+N(AF354))</f>
        <v/>
      </c>
      <c r="AJ354" s="27">
        <f>IF(C354="","",H354+L354-AI354)</f>
        <v/>
      </c>
      <c r="AK354" s="29">
        <f>IFERROR(AJ354/(H354+L354),"")</f>
        <v/>
      </c>
      <c r="AL354" s="71" t="n"/>
      <c r="AM354" s="71" t="n"/>
      <c r="AN354" s="71" t="n"/>
      <c r="AO354" s="71" t="n"/>
      <c r="AP354" s="71" t="n"/>
      <c r="AQ354" s="24" t="n"/>
    </row>
    <row r="355" ht="15" customHeight="1">
      <c r="A355" s="70">
        <f>IF(C355="","",IFERROR(IF(SUMPRODUCT(MAX((tbl_Finance[Job Number]&amp;""=C355&amp;"")*(tbl_Finance[Xero Invoice No]&lt;&gt;"")*tbl_Finance[Date]))=0,"",SUMPRODUCT(MAX((tbl_Finance[Job Number]&amp;""=C355&amp;"")*(tbl_Finance[Xero Invoice No]&lt;&gt;"")*tbl_Finance[Date]))),""))</f>
        <v/>
      </c>
      <c r="B355" s="25">
        <f>IF(C355="","",IF(COUNTIFS(tbl_Finance[Job Number],C355&amp;"",tbl_Finance[Xero Invoice No],"&lt;&gt;")=0,"",IFERROR(IF(COUNTIFS(tbl_Finance[Job Number],C355&amp;"",tbl_Finance[Xero Invoice No],LOOKUP(2,1/((tbl_Finance[Job Number]&amp;""=C355&amp;"")*(tbl_Finance[Xero Invoice No]&lt;&gt;"")),tbl_Finance[Xero Invoice No]))=COUNTIFS(tbl_Finance[Job Number],C355&amp;"",tbl_Finance[Xero Invoice No],"&lt;&gt;"),LOOKUP(2,1/((tbl_Finance[Job Number]&amp;""=C355&amp;"")*(tbl_Finance[Xero Invoice No]&lt;&gt;"")),tbl_Finance[Xero Invoice No]),LOOKUP(2,1/((tbl_Finance[Job Number]&amp;""=C355&amp;"")*(tbl_Finance[Xero Invoice No]&lt;&gt;"")),tbl_Finance[Xero Invoice No])&amp;" +more"),"")))</f>
        <v/>
      </c>
      <c r="C355" s="24" t="n"/>
      <c r="D355" s="25">
        <f>IF(C355="","",IF(COUNTIF(lst_Jobs,C355&amp;"")&gt;0,"OK","CHECK"))</f>
        <v/>
      </c>
      <c r="E355" s="25">
        <f>IF(C355="","",IFERROR(INDEX(lst_JobName,MATCH(C355&amp;"",lst_Jobs,0)),""))</f>
        <v/>
      </c>
      <c r="F355" s="25">
        <f>IF(C355="","",IFERROR(INDEX(tbl_Finance[Client],IFERROR(MATCH(C355&amp;"",tbl_Finance[Job Number],0),MATCH(IFERROR(C355+0,C355),tbl_Finance[Job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6" t="n"/>
      <c r="L355" s="27">
        <f>IF(C355="","",IF(K355="",0,MAX(0,K355-H355)))</f>
        <v/>
      </c>
      <c r="M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N355" s="27">
        <f>IF(C355="","",SUMIFS(tbl_Finance[Inc GST],tbl_Finance[Job Number],C355&amp;""))</f>
        <v/>
      </c>
      <c r="O355" s="24" t="n"/>
      <c r="P355" s="25">
        <f>IF(C355="","",IFERROR(INDEX(tbl_Finance[Description],MATCH(C355&amp;"",tbl_Finance[Job Number],0)),""))</f>
        <v/>
      </c>
      <c r="Q355" s="24" t="n"/>
      <c r="R355" s="24" t="n"/>
      <c r="S355" s="22" t="n"/>
      <c r="T355" s="24" t="n"/>
      <c r="U355" s="25">
        <f>IF(T355="","",IF(AND(LEFT(T355,4)&lt;&gt;"http",set_RMSBase=""),"",HYPERLINK(IF(LEFT(T355,4)="http",T355,set_RMSBase&amp;T355),"Open opportunity")))</f>
        <v/>
      </c>
      <c r="V355" s="24" t="n"/>
      <c r="W355" s="25">
        <f>IF(V355="","",HYPERLINK(IF(LEFT(V355,4)="http",V355,set_QwilrBase&amp;V355),"Open quote"))</f>
        <v/>
      </c>
      <c r="X355" s="25">
        <f>IF(C355="","",C355)</f>
        <v/>
      </c>
      <c r="Y355" s="24" t="n"/>
      <c r="Z355" s="26" t="n"/>
      <c r="AA355" s="27">
        <f>IF(C355="","",H355+N(Z355))</f>
        <v/>
      </c>
      <c r="AB355" s="29">
        <f>IFERROR(Z355/AA355,"")</f>
        <v/>
      </c>
      <c r="AC355" s="26" t="n"/>
      <c r="AD355" s="26" t="n"/>
      <c r="AE355" s="26" t="n"/>
      <c r="AF355" s="26" t="n"/>
      <c r="AG355" s="27">
        <f>IF(C355="","",SUMIFS(tbl_Finance[Ex GST],tbl_Finance[Job Number],C355&amp;"",tbl_Finance[Cost Centre],"VIDEO"))</f>
        <v/>
      </c>
      <c r="AH355" s="29">
        <f>IFERROR(AG355/H355,"")</f>
        <v/>
      </c>
      <c r="AI355" s="27">
        <f>IF(C355="","",N(AC355)+N(AD355)+N(AE355)+N(AF355))</f>
        <v/>
      </c>
      <c r="AJ355" s="27">
        <f>IF(C355="","",H355+L355-AI355)</f>
        <v/>
      </c>
      <c r="AK355" s="29">
        <f>IFERROR(AJ355/(H355+L355),"")</f>
        <v/>
      </c>
      <c r="AL355" s="71" t="n"/>
      <c r="AM355" s="71" t="n"/>
      <c r="AN355" s="71" t="n"/>
      <c r="AO355" s="71" t="n"/>
      <c r="AP355" s="71" t="n"/>
      <c r="AQ355" s="24" t="n"/>
    </row>
    <row r="356" ht="15" customHeight="1">
      <c r="A356" s="70">
        <f>IF(C356="","",IFERROR(IF(SUMPRODUCT(MAX((tbl_Finance[Job Number]&amp;""=C356&amp;"")*(tbl_Finance[Xero Invoice No]&lt;&gt;"")*tbl_Finance[Date]))=0,"",SUMPRODUCT(MAX((tbl_Finance[Job Number]&amp;""=C356&amp;"")*(tbl_Finance[Xero Invoice No]&lt;&gt;"")*tbl_Finance[Date]))),""))</f>
        <v/>
      </c>
      <c r="B356" s="25">
        <f>IF(C356="","",IF(COUNTIFS(tbl_Finance[Job Number],C356&amp;"",tbl_Finance[Xero Invoice No],"&lt;&gt;")=0,"",IFERROR(IF(COUNTIFS(tbl_Finance[Job Number],C356&amp;"",tbl_Finance[Xero Invoice No],LOOKUP(2,1/((tbl_Finance[Job Number]&amp;""=C356&amp;"")*(tbl_Finance[Xero Invoice No]&lt;&gt;"")),tbl_Finance[Xero Invoice No]))=COUNTIFS(tbl_Finance[Job Number],C356&amp;"",tbl_Finance[Xero Invoice No],"&lt;&gt;"),LOOKUP(2,1/((tbl_Finance[Job Number]&amp;""=C356&amp;"")*(tbl_Finance[Xero Invoice No]&lt;&gt;"")),tbl_Finance[Xero Invoice No]),LOOKUP(2,1/((tbl_Finance[Job Number]&amp;""=C356&amp;"")*(tbl_Finance[Xero Invoice No]&lt;&gt;"")),tbl_Finance[Xero Invoice No])&amp;" +more"),"")))</f>
        <v/>
      </c>
      <c r="C356" s="24" t="n"/>
      <c r="D356" s="25">
        <f>IF(C356="","",IF(COUNTIF(lst_Jobs,C356&amp;"")&gt;0,"OK","CHECK"))</f>
        <v/>
      </c>
      <c r="E356" s="25">
        <f>IF(C356="","",IFERROR(INDEX(lst_JobName,MATCH(C356&amp;"",lst_Jobs,0)),""))</f>
        <v/>
      </c>
      <c r="F356" s="25">
        <f>IF(C356="","",IFERROR(INDEX(tbl_Finance[Client],IFERROR(MATCH(C356&amp;"",tbl_Finance[Job Number],0),MATCH(IFERROR(C356+0,C356),tbl_Finance[Job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6" t="n"/>
      <c r="L356" s="27">
        <f>IF(C356="","",IF(K356="",0,MAX(0,K356-H356)))</f>
        <v/>
      </c>
      <c r="M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N356" s="27">
        <f>IF(C356="","",SUMIFS(tbl_Finance[Inc GST],tbl_Finance[Job Number],C356&amp;""))</f>
        <v/>
      </c>
      <c r="O356" s="24" t="n"/>
      <c r="P356" s="25">
        <f>IF(C356="","",IFERROR(INDEX(tbl_Finance[Description],MATCH(C356&amp;"",tbl_Finance[Job Number],0)),""))</f>
        <v/>
      </c>
      <c r="Q356" s="24" t="n"/>
      <c r="R356" s="24" t="n"/>
      <c r="S356" s="22" t="n"/>
      <c r="T356" s="24" t="n"/>
      <c r="U356" s="25">
        <f>IF(T356="","",IF(AND(LEFT(T356,4)&lt;&gt;"http",set_RMSBase=""),"",HYPERLINK(IF(LEFT(T356,4)="http",T356,set_RMSBase&amp;T356),"Open opportunity")))</f>
        <v/>
      </c>
      <c r="V356" s="24" t="n"/>
      <c r="W356" s="25">
        <f>IF(V356="","",HYPERLINK(IF(LEFT(V356,4)="http",V356,set_QwilrBase&amp;V356),"Open quote"))</f>
        <v/>
      </c>
      <c r="X356" s="25">
        <f>IF(C356="","",C356)</f>
        <v/>
      </c>
      <c r="Y356" s="24" t="n"/>
      <c r="Z356" s="26" t="n"/>
      <c r="AA356" s="27">
        <f>IF(C356="","",H356+N(Z356))</f>
        <v/>
      </c>
      <c r="AB356" s="29">
        <f>IFERROR(Z356/AA356,"")</f>
        <v/>
      </c>
      <c r="AC356" s="26" t="n"/>
      <c r="AD356" s="26" t="n"/>
      <c r="AE356" s="26" t="n"/>
      <c r="AF356" s="26" t="n"/>
      <c r="AG356" s="27">
        <f>IF(C356="","",SUMIFS(tbl_Finance[Ex GST],tbl_Finance[Job Number],C356&amp;"",tbl_Finance[Cost Centre],"VIDEO"))</f>
        <v/>
      </c>
      <c r="AH356" s="29">
        <f>IFERROR(AG356/H356,"")</f>
        <v/>
      </c>
      <c r="AI356" s="27">
        <f>IF(C356="","",N(AC356)+N(AD356)+N(AE356)+N(AF356))</f>
        <v/>
      </c>
      <c r="AJ356" s="27">
        <f>IF(C356="","",H356+L356-AI356)</f>
        <v/>
      </c>
      <c r="AK356" s="29">
        <f>IFERROR(AJ356/(H356+L356),"")</f>
        <v/>
      </c>
      <c r="AL356" s="71" t="n"/>
      <c r="AM356" s="71" t="n"/>
      <c r="AN356" s="71" t="n"/>
      <c r="AO356" s="71" t="n"/>
      <c r="AP356" s="71" t="n"/>
      <c r="AQ356" s="24" t="n"/>
    </row>
    <row r="357" ht="15" customHeight="1">
      <c r="A357" s="70">
        <f>IF(C357="","",IFERROR(IF(SUMPRODUCT(MAX((tbl_Finance[Job Number]&amp;""=C357&amp;"")*(tbl_Finance[Xero Invoice No]&lt;&gt;"")*tbl_Finance[Date]))=0,"",SUMPRODUCT(MAX((tbl_Finance[Job Number]&amp;""=C357&amp;"")*(tbl_Finance[Xero Invoice No]&lt;&gt;"")*tbl_Finance[Date]))),""))</f>
        <v/>
      </c>
      <c r="B357" s="25">
        <f>IF(C357="","",IF(COUNTIFS(tbl_Finance[Job Number],C357&amp;"",tbl_Finance[Xero Invoice No],"&lt;&gt;")=0,"",IFERROR(IF(COUNTIFS(tbl_Finance[Job Number],C357&amp;"",tbl_Finance[Xero Invoice No],LOOKUP(2,1/((tbl_Finance[Job Number]&amp;""=C357&amp;"")*(tbl_Finance[Xero Invoice No]&lt;&gt;"")),tbl_Finance[Xero Invoice No]))=COUNTIFS(tbl_Finance[Job Number],C357&amp;"",tbl_Finance[Xero Invoice No],"&lt;&gt;"),LOOKUP(2,1/((tbl_Finance[Job Number]&amp;""=C357&amp;"")*(tbl_Finance[Xero Invoice No]&lt;&gt;"")),tbl_Finance[Xero Invoice No]),LOOKUP(2,1/((tbl_Finance[Job Number]&amp;""=C357&amp;"")*(tbl_Finance[Xero Invoice No]&lt;&gt;"")),tbl_Finance[Xero Invoice No])&amp;" +more"),"")))</f>
        <v/>
      </c>
      <c r="C357" s="24" t="n"/>
      <c r="D357" s="25">
        <f>IF(C357="","",IF(COUNTIF(lst_Jobs,C357&amp;"")&gt;0,"OK","CHECK"))</f>
        <v/>
      </c>
      <c r="E357" s="25">
        <f>IF(C357="","",IFERROR(INDEX(lst_JobName,MATCH(C357&amp;"",lst_Jobs,0)),""))</f>
        <v/>
      </c>
      <c r="F357" s="25">
        <f>IF(C357="","",IFERROR(INDEX(tbl_Finance[Client],IFERROR(MATCH(C357&amp;"",tbl_Finance[Job Number],0),MATCH(IFERROR(C357+0,C357),tbl_Finance[Job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6" t="n"/>
      <c r="L357" s="27">
        <f>IF(C357="","",IF(K357="",0,MAX(0,K357-H357)))</f>
        <v/>
      </c>
      <c r="M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N357" s="27">
        <f>IF(C357="","",SUMIFS(tbl_Finance[Inc GST],tbl_Finance[Job Number],C357&amp;""))</f>
        <v/>
      </c>
      <c r="O357" s="24" t="n"/>
      <c r="P357" s="25">
        <f>IF(C357="","",IFERROR(INDEX(tbl_Finance[Description],MATCH(C357&amp;"",tbl_Finance[Job Number],0)),""))</f>
        <v/>
      </c>
      <c r="Q357" s="24" t="n"/>
      <c r="R357" s="24" t="n"/>
      <c r="S357" s="22" t="n"/>
      <c r="T357" s="24" t="n"/>
      <c r="U357" s="25">
        <f>IF(T357="","",IF(AND(LEFT(T357,4)&lt;&gt;"http",set_RMSBase=""),"",HYPERLINK(IF(LEFT(T357,4)="http",T357,set_RMSBase&amp;T357),"Open opportunity")))</f>
        <v/>
      </c>
      <c r="V357" s="24" t="n"/>
      <c r="W357" s="25">
        <f>IF(V357="","",HYPERLINK(IF(LEFT(V357,4)="http",V357,set_QwilrBase&amp;V357),"Open quote"))</f>
        <v/>
      </c>
      <c r="X357" s="25">
        <f>IF(C357="","",C357)</f>
        <v/>
      </c>
      <c r="Y357" s="24" t="n"/>
      <c r="Z357" s="26" t="n"/>
      <c r="AA357" s="27">
        <f>IF(C357="","",H357+N(Z357))</f>
        <v/>
      </c>
      <c r="AB357" s="29">
        <f>IFERROR(Z357/AA357,"")</f>
        <v/>
      </c>
      <c r="AC357" s="26" t="n"/>
      <c r="AD357" s="26" t="n"/>
      <c r="AE357" s="26" t="n"/>
      <c r="AF357" s="26" t="n"/>
      <c r="AG357" s="27">
        <f>IF(C357="","",SUMIFS(tbl_Finance[Ex GST],tbl_Finance[Job Number],C357&amp;"",tbl_Finance[Cost Centre],"VIDEO"))</f>
        <v/>
      </c>
      <c r="AH357" s="29">
        <f>IFERROR(AG357/H357,"")</f>
        <v/>
      </c>
      <c r="AI357" s="27">
        <f>IF(C357="","",N(AC357)+N(AD357)+N(AE357)+N(AF357))</f>
        <v/>
      </c>
      <c r="AJ357" s="27">
        <f>IF(C357="","",H357+L357-AI357)</f>
        <v/>
      </c>
      <c r="AK357" s="29">
        <f>IFERROR(AJ357/(H357+L357),"")</f>
        <v/>
      </c>
      <c r="AL357" s="71" t="n"/>
      <c r="AM357" s="71" t="n"/>
      <c r="AN357" s="71" t="n"/>
      <c r="AO357" s="71" t="n"/>
      <c r="AP357" s="71" t="n"/>
      <c r="AQ357" s="24" t="n"/>
    </row>
    <row r="358" ht="15" customHeight="1">
      <c r="A358" s="70">
        <f>IF(C358="","",IFERROR(IF(SUMPRODUCT(MAX((tbl_Finance[Job Number]&amp;""=C358&amp;"")*(tbl_Finance[Xero Invoice No]&lt;&gt;"")*tbl_Finance[Date]))=0,"",SUMPRODUCT(MAX((tbl_Finance[Job Number]&amp;""=C358&amp;"")*(tbl_Finance[Xero Invoice No]&lt;&gt;"")*tbl_Finance[Date]))),""))</f>
        <v/>
      </c>
      <c r="B358" s="25">
        <f>IF(C358="","",IF(COUNTIFS(tbl_Finance[Job Number],C358&amp;"",tbl_Finance[Xero Invoice No],"&lt;&gt;")=0,"",IFERROR(IF(COUNTIFS(tbl_Finance[Job Number],C358&amp;"",tbl_Finance[Xero Invoice No],LOOKUP(2,1/((tbl_Finance[Job Number]&amp;""=C358&amp;"")*(tbl_Finance[Xero Invoice No]&lt;&gt;"")),tbl_Finance[Xero Invoice No]))=COUNTIFS(tbl_Finance[Job Number],C358&amp;"",tbl_Finance[Xero Invoice No],"&lt;&gt;"),LOOKUP(2,1/((tbl_Finance[Job Number]&amp;""=C358&amp;"")*(tbl_Finance[Xero Invoice No]&lt;&gt;"")),tbl_Finance[Xero Invoice No]),LOOKUP(2,1/((tbl_Finance[Job Number]&amp;""=C358&amp;"")*(tbl_Finance[Xero Invoice No]&lt;&gt;"")),tbl_Finance[Xero Invoice No])&amp;" +more"),"")))</f>
        <v/>
      </c>
      <c r="C358" s="24" t="n"/>
      <c r="D358" s="25">
        <f>IF(C358="","",IF(COUNTIF(lst_Jobs,C358&amp;"")&gt;0,"OK","CHECK"))</f>
        <v/>
      </c>
      <c r="E358" s="25">
        <f>IF(C358="","",IFERROR(INDEX(lst_JobName,MATCH(C358&amp;"",lst_Jobs,0)),""))</f>
        <v/>
      </c>
      <c r="F358" s="25">
        <f>IF(C358="","",IFERROR(INDEX(tbl_Finance[Client],IFERROR(MATCH(C358&amp;"",tbl_Finance[Job Number],0),MATCH(IFERROR(C358+0,C358),tbl_Finance[Job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6" t="n"/>
      <c r="L358" s="27">
        <f>IF(C358="","",IF(K358="",0,MAX(0,K358-H358)))</f>
        <v/>
      </c>
      <c r="M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N358" s="27">
        <f>IF(C358="","",SUMIFS(tbl_Finance[Inc GST],tbl_Finance[Job Number],C358&amp;""))</f>
        <v/>
      </c>
      <c r="O358" s="24" t="n"/>
      <c r="P358" s="25">
        <f>IF(C358="","",IFERROR(INDEX(tbl_Finance[Description],MATCH(C358&amp;"",tbl_Finance[Job Number],0)),""))</f>
        <v/>
      </c>
      <c r="Q358" s="24" t="n"/>
      <c r="R358" s="24" t="n"/>
      <c r="S358" s="22" t="n"/>
      <c r="T358" s="24" t="n"/>
      <c r="U358" s="25">
        <f>IF(T358="","",IF(AND(LEFT(T358,4)&lt;&gt;"http",set_RMSBase=""),"",HYPERLINK(IF(LEFT(T358,4)="http",T358,set_RMSBase&amp;T358),"Open opportunity")))</f>
        <v/>
      </c>
      <c r="V358" s="24" t="n"/>
      <c r="W358" s="25">
        <f>IF(V358="","",HYPERLINK(IF(LEFT(V358,4)="http",V358,set_QwilrBase&amp;V358),"Open quote"))</f>
        <v/>
      </c>
      <c r="X358" s="25">
        <f>IF(C358="","",C358)</f>
        <v/>
      </c>
      <c r="Y358" s="24" t="n"/>
      <c r="Z358" s="26" t="n"/>
      <c r="AA358" s="27">
        <f>IF(C358="","",H358+N(Z358))</f>
        <v/>
      </c>
      <c r="AB358" s="29">
        <f>IFERROR(Z358/AA358,"")</f>
        <v/>
      </c>
      <c r="AC358" s="26" t="n"/>
      <c r="AD358" s="26" t="n"/>
      <c r="AE358" s="26" t="n"/>
      <c r="AF358" s="26" t="n"/>
      <c r="AG358" s="27">
        <f>IF(C358="","",SUMIFS(tbl_Finance[Ex GST],tbl_Finance[Job Number],C358&amp;"",tbl_Finance[Cost Centre],"VIDEO"))</f>
        <v/>
      </c>
      <c r="AH358" s="29">
        <f>IFERROR(AG358/H358,"")</f>
        <v/>
      </c>
      <c r="AI358" s="27">
        <f>IF(C358="","",N(AC358)+N(AD358)+N(AE358)+N(AF358))</f>
        <v/>
      </c>
      <c r="AJ358" s="27">
        <f>IF(C358="","",H358+L358-AI358)</f>
        <v/>
      </c>
      <c r="AK358" s="29">
        <f>IFERROR(AJ358/(H358+L358),"")</f>
        <v/>
      </c>
      <c r="AL358" s="71" t="n"/>
      <c r="AM358" s="71" t="n"/>
      <c r="AN358" s="71" t="n"/>
      <c r="AO358" s="71" t="n"/>
      <c r="AP358" s="71" t="n"/>
      <c r="AQ358" s="24" t="n"/>
    </row>
    <row r="359" ht="15" customHeight="1">
      <c r="A359" s="70">
        <f>IF(C359="","",IFERROR(IF(SUMPRODUCT(MAX((tbl_Finance[Job Number]&amp;""=C359&amp;"")*(tbl_Finance[Xero Invoice No]&lt;&gt;"")*tbl_Finance[Date]))=0,"",SUMPRODUCT(MAX((tbl_Finance[Job Number]&amp;""=C359&amp;"")*(tbl_Finance[Xero Invoice No]&lt;&gt;"")*tbl_Finance[Date]))),""))</f>
        <v/>
      </c>
      <c r="B359" s="25">
        <f>IF(C359="","",IF(COUNTIFS(tbl_Finance[Job Number],C359&amp;"",tbl_Finance[Xero Invoice No],"&lt;&gt;")=0,"",IFERROR(IF(COUNTIFS(tbl_Finance[Job Number],C359&amp;"",tbl_Finance[Xero Invoice No],LOOKUP(2,1/((tbl_Finance[Job Number]&amp;""=C359&amp;"")*(tbl_Finance[Xero Invoice No]&lt;&gt;"")),tbl_Finance[Xero Invoice No]))=COUNTIFS(tbl_Finance[Job Number],C359&amp;"",tbl_Finance[Xero Invoice No],"&lt;&gt;"),LOOKUP(2,1/((tbl_Finance[Job Number]&amp;""=C359&amp;"")*(tbl_Finance[Xero Invoice No]&lt;&gt;"")),tbl_Finance[Xero Invoice No]),LOOKUP(2,1/((tbl_Finance[Job Number]&amp;""=C359&amp;"")*(tbl_Finance[Xero Invoice No]&lt;&gt;"")),tbl_Finance[Xero Invoice No])&amp;" +more"),"")))</f>
        <v/>
      </c>
      <c r="C359" s="24" t="n"/>
      <c r="D359" s="25">
        <f>IF(C359="","",IF(COUNTIF(lst_Jobs,C359&amp;"")&gt;0,"OK","CHECK"))</f>
        <v/>
      </c>
      <c r="E359" s="25">
        <f>IF(C359="","",IFERROR(INDEX(lst_JobName,MATCH(C359&amp;"",lst_Jobs,0)),""))</f>
        <v/>
      </c>
      <c r="F359" s="25">
        <f>IF(C359="","",IFERROR(INDEX(tbl_Finance[Client],IFERROR(MATCH(C359&amp;"",tbl_Finance[Job Number],0),MATCH(IFERROR(C359+0,C359),tbl_Finance[Job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6" t="n"/>
      <c r="L359" s="27">
        <f>IF(C359="","",IF(K359="",0,MAX(0,K359-H359)))</f>
        <v/>
      </c>
      <c r="M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N359" s="27">
        <f>IF(C359="","",SUMIFS(tbl_Finance[Inc GST],tbl_Finance[Job Number],C359&amp;""))</f>
        <v/>
      </c>
      <c r="O359" s="24" t="n"/>
      <c r="P359" s="25">
        <f>IF(C359="","",IFERROR(INDEX(tbl_Finance[Description],MATCH(C359&amp;"",tbl_Finance[Job Number],0)),""))</f>
        <v/>
      </c>
      <c r="Q359" s="24" t="n"/>
      <c r="R359" s="24" t="n"/>
      <c r="S359" s="22" t="n"/>
      <c r="T359" s="24" t="n"/>
      <c r="U359" s="25">
        <f>IF(T359="","",IF(AND(LEFT(T359,4)&lt;&gt;"http",set_RMSBase=""),"",HYPERLINK(IF(LEFT(T359,4)="http",T359,set_RMSBase&amp;T359),"Open opportunity")))</f>
        <v/>
      </c>
      <c r="V359" s="24" t="n"/>
      <c r="W359" s="25">
        <f>IF(V359="","",HYPERLINK(IF(LEFT(V359,4)="http",V359,set_QwilrBase&amp;V359),"Open quote"))</f>
        <v/>
      </c>
      <c r="X359" s="25">
        <f>IF(C359="","",C359)</f>
        <v/>
      </c>
      <c r="Y359" s="24" t="n"/>
      <c r="Z359" s="26" t="n"/>
      <c r="AA359" s="27">
        <f>IF(C359="","",H359+N(Z359))</f>
        <v/>
      </c>
      <c r="AB359" s="29">
        <f>IFERROR(Z359/AA359,"")</f>
        <v/>
      </c>
      <c r="AC359" s="26" t="n"/>
      <c r="AD359" s="26" t="n"/>
      <c r="AE359" s="26" t="n"/>
      <c r="AF359" s="26" t="n"/>
      <c r="AG359" s="27">
        <f>IF(C359="","",SUMIFS(tbl_Finance[Ex GST],tbl_Finance[Job Number],C359&amp;"",tbl_Finance[Cost Centre],"VIDEO"))</f>
        <v/>
      </c>
      <c r="AH359" s="29">
        <f>IFERROR(AG359/H359,"")</f>
        <v/>
      </c>
      <c r="AI359" s="27">
        <f>IF(C359="","",N(AC359)+N(AD359)+N(AE359)+N(AF359))</f>
        <v/>
      </c>
      <c r="AJ359" s="27">
        <f>IF(C359="","",H359+L359-AI359)</f>
        <v/>
      </c>
      <c r="AK359" s="29">
        <f>IFERROR(AJ359/(H359+L359),"")</f>
        <v/>
      </c>
      <c r="AL359" s="71" t="n"/>
      <c r="AM359" s="71" t="n"/>
      <c r="AN359" s="71" t="n"/>
      <c r="AO359" s="71" t="n"/>
      <c r="AP359" s="71" t="n"/>
      <c r="AQ359" s="24" t="n"/>
    </row>
    <row r="360" ht="15" customHeight="1">
      <c r="A360" s="70">
        <f>IF(C360="","",IFERROR(IF(SUMPRODUCT(MAX((tbl_Finance[Job Number]&amp;""=C360&amp;"")*(tbl_Finance[Xero Invoice No]&lt;&gt;"")*tbl_Finance[Date]))=0,"",SUMPRODUCT(MAX((tbl_Finance[Job Number]&amp;""=C360&amp;"")*(tbl_Finance[Xero Invoice No]&lt;&gt;"")*tbl_Finance[Date]))),""))</f>
        <v/>
      </c>
      <c r="B360" s="25">
        <f>IF(C360="","",IF(COUNTIFS(tbl_Finance[Job Number],C360&amp;"",tbl_Finance[Xero Invoice No],"&lt;&gt;")=0,"",IFERROR(IF(COUNTIFS(tbl_Finance[Job Number],C360&amp;"",tbl_Finance[Xero Invoice No],LOOKUP(2,1/((tbl_Finance[Job Number]&amp;""=C360&amp;"")*(tbl_Finance[Xero Invoice No]&lt;&gt;"")),tbl_Finance[Xero Invoice No]))=COUNTIFS(tbl_Finance[Job Number],C360&amp;"",tbl_Finance[Xero Invoice No],"&lt;&gt;"),LOOKUP(2,1/((tbl_Finance[Job Number]&amp;""=C360&amp;"")*(tbl_Finance[Xero Invoice No]&lt;&gt;"")),tbl_Finance[Xero Invoice No]),LOOKUP(2,1/((tbl_Finance[Job Number]&amp;""=C360&amp;"")*(tbl_Finance[Xero Invoice No]&lt;&gt;"")),tbl_Finance[Xero Invoice No])&amp;" +more"),"")))</f>
        <v/>
      </c>
      <c r="C360" s="24" t="n"/>
      <c r="D360" s="25">
        <f>IF(C360="","",IF(COUNTIF(lst_Jobs,C360&amp;"")&gt;0,"OK","CHECK"))</f>
        <v/>
      </c>
      <c r="E360" s="25">
        <f>IF(C360="","",IFERROR(INDEX(lst_JobName,MATCH(C360&amp;"",lst_Jobs,0)),""))</f>
        <v/>
      </c>
      <c r="F360" s="25">
        <f>IF(C360="","",IFERROR(INDEX(tbl_Finance[Client],IFERROR(MATCH(C360&amp;"",tbl_Finance[Job Number],0),MATCH(IFERROR(C360+0,C360),tbl_Finance[Job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6" t="n"/>
      <c r="L360" s="27">
        <f>IF(C360="","",IF(K360="",0,MAX(0,K360-H360)))</f>
        <v/>
      </c>
      <c r="M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N360" s="27">
        <f>IF(C360="","",SUMIFS(tbl_Finance[Inc GST],tbl_Finance[Job Number],C360&amp;""))</f>
        <v/>
      </c>
      <c r="O360" s="24" t="n"/>
      <c r="P360" s="25">
        <f>IF(C360="","",IFERROR(INDEX(tbl_Finance[Description],MATCH(C360&amp;"",tbl_Finance[Job Number],0)),""))</f>
        <v/>
      </c>
      <c r="Q360" s="24" t="n"/>
      <c r="R360" s="24" t="n"/>
      <c r="S360" s="22" t="n"/>
      <c r="T360" s="24" t="n"/>
      <c r="U360" s="25">
        <f>IF(T360="","",IF(AND(LEFT(T360,4)&lt;&gt;"http",set_RMSBase=""),"",HYPERLINK(IF(LEFT(T360,4)="http",T360,set_RMSBase&amp;T360),"Open opportunity")))</f>
        <v/>
      </c>
      <c r="V360" s="24" t="n"/>
      <c r="W360" s="25">
        <f>IF(V360="","",HYPERLINK(IF(LEFT(V360,4)="http",V360,set_QwilrBase&amp;V360),"Open quote"))</f>
        <v/>
      </c>
      <c r="X360" s="25">
        <f>IF(C360="","",C360)</f>
        <v/>
      </c>
      <c r="Y360" s="24" t="n"/>
      <c r="Z360" s="26" t="n"/>
      <c r="AA360" s="27">
        <f>IF(C360="","",H360+N(Z360))</f>
        <v/>
      </c>
      <c r="AB360" s="29">
        <f>IFERROR(Z360/AA360,"")</f>
        <v/>
      </c>
      <c r="AC360" s="26" t="n"/>
      <c r="AD360" s="26" t="n"/>
      <c r="AE360" s="26" t="n"/>
      <c r="AF360" s="26" t="n"/>
      <c r="AG360" s="27">
        <f>IF(C360="","",SUMIFS(tbl_Finance[Ex GST],tbl_Finance[Job Number],C360&amp;"",tbl_Finance[Cost Centre],"VIDEO"))</f>
        <v/>
      </c>
      <c r="AH360" s="29">
        <f>IFERROR(AG360/H360,"")</f>
        <v/>
      </c>
      <c r="AI360" s="27">
        <f>IF(C360="","",N(AC360)+N(AD360)+N(AE360)+N(AF360))</f>
        <v/>
      </c>
      <c r="AJ360" s="27">
        <f>IF(C360="","",H360+L360-AI360)</f>
        <v/>
      </c>
      <c r="AK360" s="29">
        <f>IFERROR(AJ360/(H360+L360),"")</f>
        <v/>
      </c>
      <c r="AL360" s="71" t="n"/>
      <c r="AM360" s="71" t="n"/>
      <c r="AN360" s="71" t="n"/>
      <c r="AO360" s="71" t="n"/>
      <c r="AP360" s="71" t="n"/>
      <c r="AQ360" s="24" t="n"/>
    </row>
    <row r="361" ht="15" customHeight="1">
      <c r="A361" s="70">
        <f>IF(C361="","",IFERROR(IF(SUMPRODUCT(MAX((tbl_Finance[Job Number]&amp;""=C361&amp;"")*(tbl_Finance[Xero Invoice No]&lt;&gt;"")*tbl_Finance[Date]))=0,"",SUMPRODUCT(MAX((tbl_Finance[Job Number]&amp;""=C361&amp;"")*(tbl_Finance[Xero Invoice No]&lt;&gt;"")*tbl_Finance[Date]))),""))</f>
        <v/>
      </c>
      <c r="B361" s="25">
        <f>IF(C361="","",IF(COUNTIFS(tbl_Finance[Job Number],C361&amp;"",tbl_Finance[Xero Invoice No],"&lt;&gt;")=0,"",IFERROR(IF(COUNTIFS(tbl_Finance[Job Number],C361&amp;"",tbl_Finance[Xero Invoice No],LOOKUP(2,1/((tbl_Finance[Job Number]&amp;""=C361&amp;"")*(tbl_Finance[Xero Invoice No]&lt;&gt;"")),tbl_Finance[Xero Invoice No]))=COUNTIFS(tbl_Finance[Job Number],C361&amp;"",tbl_Finance[Xero Invoice No],"&lt;&gt;"),LOOKUP(2,1/((tbl_Finance[Job Number]&amp;""=C361&amp;"")*(tbl_Finance[Xero Invoice No]&lt;&gt;"")),tbl_Finance[Xero Invoice No]),LOOKUP(2,1/((tbl_Finance[Job Number]&amp;""=C361&amp;"")*(tbl_Finance[Xero Invoice No]&lt;&gt;"")),tbl_Finance[Xero Invoice No])&amp;" +more"),"")))</f>
        <v/>
      </c>
      <c r="C361" s="24" t="n"/>
      <c r="D361" s="25">
        <f>IF(C361="","",IF(COUNTIF(lst_Jobs,C361&amp;"")&gt;0,"OK","CHECK"))</f>
        <v/>
      </c>
      <c r="E361" s="25">
        <f>IF(C361="","",IFERROR(INDEX(lst_JobName,MATCH(C361&amp;"",lst_Jobs,0)),""))</f>
        <v/>
      </c>
      <c r="F361" s="25">
        <f>IF(C361="","",IFERROR(INDEX(tbl_Finance[Client],IFERROR(MATCH(C361&amp;"",tbl_Finance[Job Number],0),MATCH(IFERROR(C361+0,C361),tbl_Finance[Job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6" t="n"/>
      <c r="L361" s="27">
        <f>IF(C361="","",IF(K361="",0,MAX(0,K361-H361)))</f>
        <v/>
      </c>
      <c r="M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N361" s="27">
        <f>IF(C361="","",SUMIFS(tbl_Finance[Inc GST],tbl_Finance[Job Number],C361&amp;""))</f>
        <v/>
      </c>
      <c r="O361" s="24" t="n"/>
      <c r="P361" s="25">
        <f>IF(C361="","",IFERROR(INDEX(tbl_Finance[Description],MATCH(C361&amp;"",tbl_Finance[Job Number],0)),""))</f>
        <v/>
      </c>
      <c r="Q361" s="24" t="n"/>
      <c r="R361" s="24" t="n"/>
      <c r="S361" s="22" t="n"/>
      <c r="T361" s="24" t="n"/>
      <c r="U361" s="25">
        <f>IF(T361="","",IF(AND(LEFT(T361,4)&lt;&gt;"http",set_RMSBase=""),"",HYPERLINK(IF(LEFT(T361,4)="http",T361,set_RMSBase&amp;T361),"Open opportunity")))</f>
        <v/>
      </c>
      <c r="V361" s="24" t="n"/>
      <c r="W361" s="25">
        <f>IF(V361="","",HYPERLINK(IF(LEFT(V361,4)="http",V361,set_QwilrBase&amp;V361),"Open quote"))</f>
        <v/>
      </c>
      <c r="X361" s="25">
        <f>IF(C361="","",C361)</f>
        <v/>
      </c>
      <c r="Y361" s="24" t="n"/>
      <c r="Z361" s="26" t="n"/>
      <c r="AA361" s="27">
        <f>IF(C361="","",H361+N(Z361))</f>
        <v/>
      </c>
      <c r="AB361" s="29">
        <f>IFERROR(Z361/AA361,"")</f>
        <v/>
      </c>
      <c r="AC361" s="26" t="n"/>
      <c r="AD361" s="26" t="n"/>
      <c r="AE361" s="26" t="n"/>
      <c r="AF361" s="26" t="n"/>
      <c r="AG361" s="27">
        <f>IF(C361="","",SUMIFS(tbl_Finance[Ex GST],tbl_Finance[Job Number],C361&amp;"",tbl_Finance[Cost Centre],"VIDEO"))</f>
        <v/>
      </c>
      <c r="AH361" s="29">
        <f>IFERROR(AG361/H361,"")</f>
        <v/>
      </c>
      <c r="AI361" s="27">
        <f>IF(C361="","",N(AC361)+N(AD361)+N(AE361)+N(AF361))</f>
        <v/>
      </c>
      <c r="AJ361" s="27">
        <f>IF(C361="","",H361+L361-AI361)</f>
        <v/>
      </c>
      <c r="AK361" s="29">
        <f>IFERROR(AJ361/(H361+L361),"")</f>
        <v/>
      </c>
      <c r="AL361" s="71" t="n"/>
      <c r="AM361" s="71" t="n"/>
      <c r="AN361" s="71" t="n"/>
      <c r="AO361" s="71" t="n"/>
      <c r="AP361" s="71" t="n"/>
      <c r="AQ361" s="24" t="n"/>
    </row>
    <row r="362" ht="15" customHeight="1">
      <c r="A362" s="70">
        <f>IF(C362="","",IFERROR(IF(SUMPRODUCT(MAX((tbl_Finance[Job Number]&amp;""=C362&amp;"")*(tbl_Finance[Xero Invoice No]&lt;&gt;"")*tbl_Finance[Date]))=0,"",SUMPRODUCT(MAX((tbl_Finance[Job Number]&amp;""=C362&amp;"")*(tbl_Finance[Xero Invoice No]&lt;&gt;"")*tbl_Finance[Date]))),""))</f>
        <v/>
      </c>
      <c r="B362" s="25">
        <f>IF(C362="","",IF(COUNTIFS(tbl_Finance[Job Number],C362&amp;"",tbl_Finance[Xero Invoice No],"&lt;&gt;")=0,"",IFERROR(IF(COUNTIFS(tbl_Finance[Job Number],C362&amp;"",tbl_Finance[Xero Invoice No],LOOKUP(2,1/((tbl_Finance[Job Number]&amp;""=C362&amp;"")*(tbl_Finance[Xero Invoice No]&lt;&gt;"")),tbl_Finance[Xero Invoice No]))=COUNTIFS(tbl_Finance[Job Number],C362&amp;"",tbl_Finance[Xero Invoice No],"&lt;&gt;"),LOOKUP(2,1/((tbl_Finance[Job Number]&amp;""=C362&amp;"")*(tbl_Finance[Xero Invoice No]&lt;&gt;"")),tbl_Finance[Xero Invoice No]),LOOKUP(2,1/((tbl_Finance[Job Number]&amp;""=C362&amp;"")*(tbl_Finance[Xero Invoice No]&lt;&gt;"")),tbl_Finance[Xero Invoice No])&amp;" +more"),"")))</f>
        <v/>
      </c>
      <c r="C362" s="24" t="n"/>
      <c r="D362" s="25">
        <f>IF(C362="","",IF(COUNTIF(lst_Jobs,C362&amp;"")&gt;0,"OK","CHECK"))</f>
        <v/>
      </c>
      <c r="E362" s="25">
        <f>IF(C362="","",IFERROR(INDEX(lst_JobName,MATCH(C362&amp;"",lst_Jobs,0)),""))</f>
        <v/>
      </c>
      <c r="F362" s="25">
        <f>IF(C362="","",IFERROR(INDEX(tbl_Finance[Client],IFERROR(MATCH(C362&amp;"",tbl_Finance[Job Number],0),MATCH(IFERROR(C362+0,C362),tbl_Finance[Job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6" t="n"/>
      <c r="L362" s="27">
        <f>IF(C362="","",IF(K362="",0,MAX(0,K362-H362)))</f>
        <v/>
      </c>
      <c r="M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N362" s="27">
        <f>IF(C362="","",SUMIFS(tbl_Finance[Inc GST],tbl_Finance[Job Number],C362&amp;""))</f>
        <v/>
      </c>
      <c r="O362" s="24" t="n"/>
      <c r="P362" s="25">
        <f>IF(C362="","",IFERROR(INDEX(tbl_Finance[Description],MATCH(C362&amp;"",tbl_Finance[Job Number],0)),""))</f>
        <v/>
      </c>
      <c r="Q362" s="24" t="n"/>
      <c r="R362" s="24" t="n"/>
      <c r="S362" s="22" t="n"/>
      <c r="T362" s="24" t="n"/>
      <c r="U362" s="25">
        <f>IF(T362="","",IF(AND(LEFT(T362,4)&lt;&gt;"http",set_RMSBase=""),"",HYPERLINK(IF(LEFT(T362,4)="http",T362,set_RMSBase&amp;T362),"Open opportunity")))</f>
        <v/>
      </c>
      <c r="V362" s="24" t="n"/>
      <c r="W362" s="25">
        <f>IF(V362="","",HYPERLINK(IF(LEFT(V362,4)="http",V362,set_QwilrBase&amp;V362),"Open quote"))</f>
        <v/>
      </c>
      <c r="X362" s="25">
        <f>IF(C362="","",C362)</f>
        <v/>
      </c>
      <c r="Y362" s="24" t="n"/>
      <c r="Z362" s="26" t="n"/>
      <c r="AA362" s="27">
        <f>IF(C362="","",H362+N(Z362))</f>
        <v/>
      </c>
      <c r="AB362" s="29">
        <f>IFERROR(Z362/AA362,"")</f>
        <v/>
      </c>
      <c r="AC362" s="26" t="n"/>
      <c r="AD362" s="26" t="n"/>
      <c r="AE362" s="26" t="n"/>
      <c r="AF362" s="26" t="n"/>
      <c r="AG362" s="27">
        <f>IF(C362="","",SUMIFS(tbl_Finance[Ex GST],tbl_Finance[Job Number],C362&amp;"",tbl_Finance[Cost Centre],"VIDEO"))</f>
        <v/>
      </c>
      <c r="AH362" s="29">
        <f>IFERROR(AG362/H362,"")</f>
        <v/>
      </c>
      <c r="AI362" s="27">
        <f>IF(C362="","",N(AC362)+N(AD362)+N(AE362)+N(AF362))</f>
        <v/>
      </c>
      <c r="AJ362" s="27">
        <f>IF(C362="","",H362+L362-AI362)</f>
        <v/>
      </c>
      <c r="AK362" s="29">
        <f>IFERROR(AJ362/(H362+L362),"")</f>
        <v/>
      </c>
      <c r="AL362" s="71" t="n"/>
      <c r="AM362" s="71" t="n"/>
      <c r="AN362" s="71" t="n"/>
      <c r="AO362" s="71" t="n"/>
      <c r="AP362" s="71" t="n"/>
      <c r="AQ362" s="24" t="n"/>
    </row>
    <row r="363" ht="15" customHeight="1">
      <c r="A363" s="70">
        <f>IF(C363="","",IFERROR(IF(SUMPRODUCT(MAX((tbl_Finance[Job Number]&amp;""=C363&amp;"")*(tbl_Finance[Xero Invoice No]&lt;&gt;"")*tbl_Finance[Date]))=0,"",SUMPRODUCT(MAX((tbl_Finance[Job Number]&amp;""=C363&amp;"")*(tbl_Finance[Xero Invoice No]&lt;&gt;"")*tbl_Finance[Date]))),""))</f>
        <v/>
      </c>
      <c r="B363" s="25">
        <f>IF(C363="","",IF(COUNTIFS(tbl_Finance[Job Number],C363&amp;"",tbl_Finance[Xero Invoice No],"&lt;&gt;")=0,"",IFERROR(IF(COUNTIFS(tbl_Finance[Job Number],C363&amp;"",tbl_Finance[Xero Invoice No],LOOKUP(2,1/((tbl_Finance[Job Number]&amp;""=C363&amp;"")*(tbl_Finance[Xero Invoice No]&lt;&gt;"")),tbl_Finance[Xero Invoice No]))=COUNTIFS(tbl_Finance[Job Number],C363&amp;"",tbl_Finance[Xero Invoice No],"&lt;&gt;"),LOOKUP(2,1/((tbl_Finance[Job Number]&amp;""=C363&amp;"")*(tbl_Finance[Xero Invoice No]&lt;&gt;"")),tbl_Finance[Xero Invoice No]),LOOKUP(2,1/((tbl_Finance[Job Number]&amp;""=C363&amp;"")*(tbl_Finance[Xero Invoice No]&lt;&gt;"")),tbl_Finance[Xero Invoice No])&amp;" +more"),"")))</f>
        <v/>
      </c>
      <c r="C363" s="24" t="n"/>
      <c r="D363" s="25">
        <f>IF(C363="","",IF(COUNTIF(lst_Jobs,C363&amp;"")&gt;0,"OK","CHECK"))</f>
        <v/>
      </c>
      <c r="E363" s="25">
        <f>IF(C363="","",IFERROR(INDEX(lst_JobName,MATCH(C363&amp;"",lst_Jobs,0)),""))</f>
        <v/>
      </c>
      <c r="F363" s="25">
        <f>IF(C363="","",IFERROR(INDEX(tbl_Finance[Client],IFERROR(MATCH(C363&amp;"",tbl_Finance[Job Number],0),MATCH(IFERROR(C363+0,C363),tbl_Finance[Job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6" t="n"/>
      <c r="L363" s="27">
        <f>IF(C363="","",IF(K363="",0,MAX(0,K363-H363)))</f>
        <v/>
      </c>
      <c r="M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N363" s="27">
        <f>IF(C363="","",SUMIFS(tbl_Finance[Inc GST],tbl_Finance[Job Number],C363&amp;""))</f>
        <v/>
      </c>
      <c r="O363" s="24" t="n"/>
      <c r="P363" s="25">
        <f>IF(C363="","",IFERROR(INDEX(tbl_Finance[Description],MATCH(C363&amp;"",tbl_Finance[Job Number],0)),""))</f>
        <v/>
      </c>
      <c r="Q363" s="24" t="n"/>
      <c r="R363" s="24" t="n"/>
      <c r="S363" s="22" t="n"/>
      <c r="T363" s="24" t="n"/>
      <c r="U363" s="25">
        <f>IF(T363="","",IF(AND(LEFT(T363,4)&lt;&gt;"http",set_RMSBase=""),"",HYPERLINK(IF(LEFT(T363,4)="http",T363,set_RMSBase&amp;T363),"Open opportunity")))</f>
        <v/>
      </c>
      <c r="V363" s="24" t="n"/>
      <c r="W363" s="25">
        <f>IF(V363="","",HYPERLINK(IF(LEFT(V363,4)="http",V363,set_QwilrBase&amp;V363),"Open quote"))</f>
        <v/>
      </c>
      <c r="X363" s="25">
        <f>IF(C363="","",C363)</f>
        <v/>
      </c>
      <c r="Y363" s="24" t="n"/>
      <c r="Z363" s="26" t="n"/>
      <c r="AA363" s="27">
        <f>IF(C363="","",H363+N(Z363))</f>
        <v/>
      </c>
      <c r="AB363" s="29">
        <f>IFERROR(Z363/AA363,"")</f>
        <v/>
      </c>
      <c r="AC363" s="26" t="n"/>
      <c r="AD363" s="26" t="n"/>
      <c r="AE363" s="26" t="n"/>
      <c r="AF363" s="26" t="n"/>
      <c r="AG363" s="27">
        <f>IF(C363="","",SUMIFS(tbl_Finance[Ex GST],tbl_Finance[Job Number],C363&amp;"",tbl_Finance[Cost Centre],"VIDEO"))</f>
        <v/>
      </c>
      <c r="AH363" s="29">
        <f>IFERROR(AG363/H363,"")</f>
        <v/>
      </c>
      <c r="AI363" s="27">
        <f>IF(C363="","",N(AC363)+N(AD363)+N(AE363)+N(AF363))</f>
        <v/>
      </c>
      <c r="AJ363" s="27">
        <f>IF(C363="","",H363+L363-AI363)</f>
        <v/>
      </c>
      <c r="AK363" s="29">
        <f>IFERROR(AJ363/(H363+L363),"")</f>
        <v/>
      </c>
      <c r="AL363" s="71" t="n"/>
      <c r="AM363" s="71" t="n"/>
      <c r="AN363" s="71" t="n"/>
      <c r="AO363" s="71" t="n"/>
      <c r="AP363" s="71" t="n"/>
      <c r="AQ363" s="24" t="n"/>
    </row>
    <row r="364" ht="15" customHeight="1">
      <c r="A364" s="70">
        <f>IF(C364="","",IFERROR(IF(SUMPRODUCT(MAX((tbl_Finance[Job Number]&amp;""=C364&amp;"")*(tbl_Finance[Xero Invoice No]&lt;&gt;"")*tbl_Finance[Date]))=0,"",SUMPRODUCT(MAX((tbl_Finance[Job Number]&amp;""=C364&amp;"")*(tbl_Finance[Xero Invoice No]&lt;&gt;"")*tbl_Finance[Date]))),""))</f>
        <v/>
      </c>
      <c r="B364" s="25">
        <f>IF(C364="","",IF(COUNTIFS(tbl_Finance[Job Number],C364&amp;"",tbl_Finance[Xero Invoice No],"&lt;&gt;")=0,"",IFERROR(IF(COUNTIFS(tbl_Finance[Job Number],C364&amp;"",tbl_Finance[Xero Invoice No],LOOKUP(2,1/((tbl_Finance[Job Number]&amp;""=C364&amp;"")*(tbl_Finance[Xero Invoice No]&lt;&gt;"")),tbl_Finance[Xero Invoice No]))=COUNTIFS(tbl_Finance[Job Number],C364&amp;"",tbl_Finance[Xero Invoice No],"&lt;&gt;"),LOOKUP(2,1/((tbl_Finance[Job Number]&amp;""=C364&amp;"")*(tbl_Finance[Xero Invoice No]&lt;&gt;"")),tbl_Finance[Xero Invoice No]),LOOKUP(2,1/((tbl_Finance[Job Number]&amp;""=C364&amp;"")*(tbl_Finance[Xero Invoice No]&lt;&gt;"")),tbl_Finance[Xero Invoice No])&amp;" +more"),"")))</f>
        <v/>
      </c>
      <c r="C364" s="24" t="n"/>
      <c r="D364" s="25">
        <f>IF(C364="","",IF(COUNTIF(lst_Jobs,C364&amp;"")&gt;0,"OK","CHECK"))</f>
        <v/>
      </c>
      <c r="E364" s="25">
        <f>IF(C364="","",IFERROR(INDEX(lst_JobName,MATCH(C364&amp;"",lst_Jobs,0)),""))</f>
        <v/>
      </c>
      <c r="F364" s="25">
        <f>IF(C364="","",IFERROR(INDEX(tbl_Finance[Client],IFERROR(MATCH(C364&amp;"",tbl_Finance[Job Number],0),MATCH(IFERROR(C364+0,C364),tbl_Finance[Job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6" t="n"/>
      <c r="L364" s="27">
        <f>IF(C364="","",IF(K364="",0,MAX(0,K364-H364)))</f>
        <v/>
      </c>
      <c r="M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N364" s="27">
        <f>IF(C364="","",SUMIFS(tbl_Finance[Inc GST],tbl_Finance[Job Number],C364&amp;""))</f>
        <v/>
      </c>
      <c r="O364" s="24" t="n"/>
      <c r="P364" s="25">
        <f>IF(C364="","",IFERROR(INDEX(tbl_Finance[Description],MATCH(C364&amp;"",tbl_Finance[Job Number],0)),""))</f>
        <v/>
      </c>
      <c r="Q364" s="24" t="n"/>
      <c r="R364" s="24" t="n"/>
      <c r="S364" s="22" t="n"/>
      <c r="T364" s="24" t="n"/>
      <c r="U364" s="25">
        <f>IF(T364="","",IF(AND(LEFT(T364,4)&lt;&gt;"http",set_RMSBase=""),"",HYPERLINK(IF(LEFT(T364,4)="http",T364,set_RMSBase&amp;T364),"Open opportunity")))</f>
        <v/>
      </c>
      <c r="V364" s="24" t="n"/>
      <c r="W364" s="25">
        <f>IF(V364="","",HYPERLINK(IF(LEFT(V364,4)="http",V364,set_QwilrBase&amp;V364),"Open quote"))</f>
        <v/>
      </c>
      <c r="X364" s="25">
        <f>IF(C364="","",C364)</f>
        <v/>
      </c>
      <c r="Y364" s="24" t="n"/>
      <c r="Z364" s="26" t="n"/>
      <c r="AA364" s="27">
        <f>IF(C364="","",H364+N(Z364))</f>
        <v/>
      </c>
      <c r="AB364" s="29">
        <f>IFERROR(Z364/AA364,"")</f>
        <v/>
      </c>
      <c r="AC364" s="26" t="n"/>
      <c r="AD364" s="26" t="n"/>
      <c r="AE364" s="26" t="n"/>
      <c r="AF364" s="26" t="n"/>
      <c r="AG364" s="27">
        <f>IF(C364="","",SUMIFS(tbl_Finance[Ex GST],tbl_Finance[Job Number],C364&amp;"",tbl_Finance[Cost Centre],"VIDEO"))</f>
        <v/>
      </c>
      <c r="AH364" s="29">
        <f>IFERROR(AG364/H364,"")</f>
        <v/>
      </c>
      <c r="AI364" s="27">
        <f>IF(C364="","",N(AC364)+N(AD364)+N(AE364)+N(AF364))</f>
        <v/>
      </c>
      <c r="AJ364" s="27">
        <f>IF(C364="","",H364+L364-AI364)</f>
        <v/>
      </c>
      <c r="AK364" s="29">
        <f>IFERROR(AJ364/(H364+L364),"")</f>
        <v/>
      </c>
      <c r="AL364" s="71" t="n"/>
      <c r="AM364" s="71" t="n"/>
      <c r="AN364" s="71" t="n"/>
      <c r="AO364" s="71" t="n"/>
      <c r="AP364" s="71" t="n"/>
      <c r="AQ364" s="24" t="n"/>
    </row>
    <row r="365" ht="15" customHeight="1">
      <c r="A365" s="70">
        <f>IF(C365="","",IFERROR(IF(SUMPRODUCT(MAX((tbl_Finance[Job Number]&amp;""=C365&amp;"")*(tbl_Finance[Xero Invoice No]&lt;&gt;"")*tbl_Finance[Date]))=0,"",SUMPRODUCT(MAX((tbl_Finance[Job Number]&amp;""=C365&amp;"")*(tbl_Finance[Xero Invoice No]&lt;&gt;"")*tbl_Finance[Date]))),""))</f>
        <v/>
      </c>
      <c r="B365" s="25">
        <f>IF(C365="","",IF(COUNTIFS(tbl_Finance[Job Number],C365&amp;"",tbl_Finance[Xero Invoice No],"&lt;&gt;")=0,"",IFERROR(IF(COUNTIFS(tbl_Finance[Job Number],C365&amp;"",tbl_Finance[Xero Invoice No],LOOKUP(2,1/((tbl_Finance[Job Number]&amp;""=C365&amp;"")*(tbl_Finance[Xero Invoice No]&lt;&gt;"")),tbl_Finance[Xero Invoice No]))=COUNTIFS(tbl_Finance[Job Number],C365&amp;"",tbl_Finance[Xero Invoice No],"&lt;&gt;"),LOOKUP(2,1/((tbl_Finance[Job Number]&amp;""=C365&amp;"")*(tbl_Finance[Xero Invoice No]&lt;&gt;"")),tbl_Finance[Xero Invoice No]),LOOKUP(2,1/((tbl_Finance[Job Number]&amp;""=C365&amp;"")*(tbl_Finance[Xero Invoice No]&lt;&gt;"")),tbl_Finance[Xero Invoice No])&amp;" +more"),"")))</f>
        <v/>
      </c>
      <c r="C365" s="24" t="n"/>
      <c r="D365" s="25">
        <f>IF(C365="","",IF(COUNTIF(lst_Jobs,C365&amp;"")&gt;0,"OK","CHECK"))</f>
        <v/>
      </c>
      <c r="E365" s="25">
        <f>IF(C365="","",IFERROR(INDEX(lst_JobName,MATCH(C365&amp;"",lst_Jobs,0)),""))</f>
        <v/>
      </c>
      <c r="F365" s="25">
        <f>IF(C365="","",IFERROR(INDEX(tbl_Finance[Client],IFERROR(MATCH(C365&amp;"",tbl_Finance[Job Number],0),MATCH(IFERROR(C365+0,C365),tbl_Finance[Job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6" t="n"/>
      <c r="L365" s="27">
        <f>IF(C365="","",IF(K365="",0,MAX(0,K365-H365)))</f>
        <v/>
      </c>
      <c r="M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N365" s="27">
        <f>IF(C365="","",SUMIFS(tbl_Finance[Inc GST],tbl_Finance[Job Number],C365&amp;""))</f>
        <v/>
      </c>
      <c r="O365" s="24" t="n"/>
      <c r="P365" s="25">
        <f>IF(C365="","",IFERROR(INDEX(tbl_Finance[Description],MATCH(C365&amp;"",tbl_Finance[Job Number],0)),""))</f>
        <v/>
      </c>
      <c r="Q365" s="24" t="n"/>
      <c r="R365" s="24" t="n"/>
      <c r="S365" s="22" t="n"/>
      <c r="T365" s="24" t="n"/>
      <c r="U365" s="25">
        <f>IF(T365="","",IF(AND(LEFT(T365,4)&lt;&gt;"http",set_RMSBase=""),"",HYPERLINK(IF(LEFT(T365,4)="http",T365,set_RMSBase&amp;T365),"Open opportunity")))</f>
        <v/>
      </c>
      <c r="V365" s="24" t="n"/>
      <c r="W365" s="25">
        <f>IF(V365="","",HYPERLINK(IF(LEFT(V365,4)="http",V365,set_QwilrBase&amp;V365),"Open quote"))</f>
        <v/>
      </c>
      <c r="X365" s="25">
        <f>IF(C365="","",C365)</f>
        <v/>
      </c>
      <c r="Y365" s="24" t="n"/>
      <c r="Z365" s="26" t="n"/>
      <c r="AA365" s="27">
        <f>IF(C365="","",H365+N(Z365))</f>
        <v/>
      </c>
      <c r="AB365" s="29">
        <f>IFERROR(Z365/AA365,"")</f>
        <v/>
      </c>
      <c r="AC365" s="26" t="n"/>
      <c r="AD365" s="26" t="n"/>
      <c r="AE365" s="26" t="n"/>
      <c r="AF365" s="26" t="n"/>
      <c r="AG365" s="27">
        <f>IF(C365="","",SUMIFS(tbl_Finance[Ex GST],tbl_Finance[Job Number],C365&amp;"",tbl_Finance[Cost Centre],"VIDEO"))</f>
        <v/>
      </c>
      <c r="AH365" s="29">
        <f>IFERROR(AG365/H365,"")</f>
        <v/>
      </c>
      <c r="AI365" s="27">
        <f>IF(C365="","",N(AC365)+N(AD365)+N(AE365)+N(AF365))</f>
        <v/>
      </c>
      <c r="AJ365" s="27">
        <f>IF(C365="","",H365+L365-AI365)</f>
        <v/>
      </c>
      <c r="AK365" s="29">
        <f>IFERROR(AJ365/(H365+L365),"")</f>
        <v/>
      </c>
      <c r="AL365" s="71" t="n"/>
      <c r="AM365" s="71" t="n"/>
      <c r="AN365" s="71" t="n"/>
      <c r="AO365" s="71" t="n"/>
      <c r="AP365" s="71" t="n"/>
      <c r="AQ365" s="24" t="n"/>
    </row>
    <row r="366" ht="15" customHeight="1">
      <c r="A366" s="70">
        <f>IF(C366="","",IFERROR(IF(SUMPRODUCT(MAX((tbl_Finance[Job Number]&amp;""=C366&amp;"")*(tbl_Finance[Xero Invoice No]&lt;&gt;"")*tbl_Finance[Date]))=0,"",SUMPRODUCT(MAX((tbl_Finance[Job Number]&amp;""=C366&amp;"")*(tbl_Finance[Xero Invoice No]&lt;&gt;"")*tbl_Finance[Date]))),""))</f>
        <v/>
      </c>
      <c r="B366" s="25">
        <f>IF(C366="","",IF(COUNTIFS(tbl_Finance[Job Number],C366&amp;"",tbl_Finance[Xero Invoice No],"&lt;&gt;")=0,"",IFERROR(IF(COUNTIFS(tbl_Finance[Job Number],C366&amp;"",tbl_Finance[Xero Invoice No],LOOKUP(2,1/((tbl_Finance[Job Number]&amp;""=C366&amp;"")*(tbl_Finance[Xero Invoice No]&lt;&gt;"")),tbl_Finance[Xero Invoice No]))=COUNTIFS(tbl_Finance[Job Number],C366&amp;"",tbl_Finance[Xero Invoice No],"&lt;&gt;"),LOOKUP(2,1/((tbl_Finance[Job Number]&amp;""=C366&amp;"")*(tbl_Finance[Xero Invoice No]&lt;&gt;"")),tbl_Finance[Xero Invoice No]),LOOKUP(2,1/((tbl_Finance[Job Number]&amp;""=C366&amp;"")*(tbl_Finance[Xero Invoice No]&lt;&gt;"")),tbl_Finance[Xero Invoice No])&amp;" +more"),"")))</f>
        <v/>
      </c>
      <c r="C366" s="24" t="n"/>
      <c r="D366" s="25">
        <f>IF(C366="","",IF(COUNTIF(lst_Jobs,C366&amp;"")&gt;0,"OK","CHECK"))</f>
        <v/>
      </c>
      <c r="E366" s="25">
        <f>IF(C366="","",IFERROR(INDEX(lst_JobName,MATCH(C366&amp;"",lst_Jobs,0)),""))</f>
        <v/>
      </c>
      <c r="F366" s="25">
        <f>IF(C366="","",IFERROR(INDEX(tbl_Finance[Client],IFERROR(MATCH(C366&amp;"",tbl_Finance[Job Number],0),MATCH(IFERROR(C366+0,C366),tbl_Finance[Job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6" t="n"/>
      <c r="L366" s="27">
        <f>IF(C366="","",IF(K366="",0,MAX(0,K366-H366)))</f>
        <v/>
      </c>
      <c r="M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N366" s="27">
        <f>IF(C366="","",SUMIFS(tbl_Finance[Inc GST],tbl_Finance[Job Number],C366&amp;""))</f>
        <v/>
      </c>
      <c r="O366" s="24" t="n"/>
      <c r="P366" s="25">
        <f>IF(C366="","",IFERROR(INDEX(tbl_Finance[Description],MATCH(C366&amp;"",tbl_Finance[Job Number],0)),""))</f>
        <v/>
      </c>
      <c r="Q366" s="24" t="n"/>
      <c r="R366" s="24" t="n"/>
      <c r="S366" s="22" t="n"/>
      <c r="T366" s="24" t="n"/>
      <c r="U366" s="25">
        <f>IF(T366="","",IF(AND(LEFT(T366,4)&lt;&gt;"http",set_RMSBase=""),"",HYPERLINK(IF(LEFT(T366,4)="http",T366,set_RMSBase&amp;T366),"Open opportunity")))</f>
        <v/>
      </c>
      <c r="V366" s="24" t="n"/>
      <c r="W366" s="25">
        <f>IF(V366="","",HYPERLINK(IF(LEFT(V366,4)="http",V366,set_QwilrBase&amp;V366),"Open quote"))</f>
        <v/>
      </c>
      <c r="X366" s="25">
        <f>IF(C366="","",C366)</f>
        <v/>
      </c>
      <c r="Y366" s="24" t="n"/>
      <c r="Z366" s="26" t="n"/>
      <c r="AA366" s="27">
        <f>IF(C366="","",H366+N(Z366))</f>
        <v/>
      </c>
      <c r="AB366" s="29">
        <f>IFERROR(Z366/AA366,"")</f>
        <v/>
      </c>
      <c r="AC366" s="26" t="n"/>
      <c r="AD366" s="26" t="n"/>
      <c r="AE366" s="26" t="n"/>
      <c r="AF366" s="26" t="n"/>
      <c r="AG366" s="27">
        <f>IF(C366="","",SUMIFS(tbl_Finance[Ex GST],tbl_Finance[Job Number],C366&amp;"",tbl_Finance[Cost Centre],"VIDEO"))</f>
        <v/>
      </c>
      <c r="AH366" s="29">
        <f>IFERROR(AG366/H366,"")</f>
        <v/>
      </c>
      <c r="AI366" s="27">
        <f>IF(C366="","",N(AC366)+N(AD366)+N(AE366)+N(AF366))</f>
        <v/>
      </c>
      <c r="AJ366" s="27">
        <f>IF(C366="","",H366+L366-AI366)</f>
        <v/>
      </c>
      <c r="AK366" s="29">
        <f>IFERROR(AJ366/(H366+L366),"")</f>
        <v/>
      </c>
      <c r="AL366" s="71" t="n"/>
      <c r="AM366" s="71" t="n"/>
      <c r="AN366" s="71" t="n"/>
      <c r="AO366" s="71" t="n"/>
      <c r="AP366" s="71" t="n"/>
      <c r="AQ366" s="24" t="n"/>
    </row>
    <row r="367" ht="15" customHeight="1">
      <c r="A367" s="70">
        <f>IF(C367="","",IFERROR(IF(SUMPRODUCT(MAX((tbl_Finance[Job Number]&amp;""=C367&amp;"")*(tbl_Finance[Xero Invoice No]&lt;&gt;"")*tbl_Finance[Date]))=0,"",SUMPRODUCT(MAX((tbl_Finance[Job Number]&amp;""=C367&amp;"")*(tbl_Finance[Xero Invoice No]&lt;&gt;"")*tbl_Finance[Date]))),""))</f>
        <v/>
      </c>
      <c r="B367" s="25">
        <f>IF(C367="","",IF(COUNTIFS(tbl_Finance[Job Number],C367&amp;"",tbl_Finance[Xero Invoice No],"&lt;&gt;")=0,"",IFERROR(IF(COUNTIFS(tbl_Finance[Job Number],C367&amp;"",tbl_Finance[Xero Invoice No],LOOKUP(2,1/((tbl_Finance[Job Number]&amp;""=C367&amp;"")*(tbl_Finance[Xero Invoice No]&lt;&gt;"")),tbl_Finance[Xero Invoice No]))=COUNTIFS(tbl_Finance[Job Number],C367&amp;"",tbl_Finance[Xero Invoice No],"&lt;&gt;"),LOOKUP(2,1/((tbl_Finance[Job Number]&amp;""=C367&amp;"")*(tbl_Finance[Xero Invoice No]&lt;&gt;"")),tbl_Finance[Xero Invoice No]),LOOKUP(2,1/((tbl_Finance[Job Number]&amp;""=C367&amp;"")*(tbl_Finance[Xero Invoice No]&lt;&gt;"")),tbl_Finance[Xero Invoice No])&amp;" +more"),"")))</f>
        <v/>
      </c>
      <c r="C367" s="24" t="n"/>
      <c r="D367" s="25">
        <f>IF(C367="","",IF(COUNTIF(lst_Jobs,C367&amp;"")&gt;0,"OK","CHECK"))</f>
        <v/>
      </c>
      <c r="E367" s="25">
        <f>IF(C367="","",IFERROR(INDEX(lst_JobName,MATCH(C367&amp;"",lst_Jobs,0)),""))</f>
        <v/>
      </c>
      <c r="F367" s="25">
        <f>IF(C367="","",IFERROR(INDEX(tbl_Finance[Client],IFERROR(MATCH(C367&amp;"",tbl_Finance[Job Number],0),MATCH(IFERROR(C367+0,C367),tbl_Finance[Job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6" t="n"/>
      <c r="L367" s="27">
        <f>IF(C367="","",IF(K367="",0,MAX(0,K367-H367)))</f>
        <v/>
      </c>
      <c r="M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N367" s="27">
        <f>IF(C367="","",SUMIFS(tbl_Finance[Inc GST],tbl_Finance[Job Number],C367&amp;""))</f>
        <v/>
      </c>
      <c r="O367" s="24" t="n"/>
      <c r="P367" s="25">
        <f>IF(C367="","",IFERROR(INDEX(tbl_Finance[Description],MATCH(C367&amp;"",tbl_Finance[Job Number],0)),""))</f>
        <v/>
      </c>
      <c r="Q367" s="24" t="n"/>
      <c r="R367" s="24" t="n"/>
      <c r="S367" s="22" t="n"/>
      <c r="T367" s="24" t="n"/>
      <c r="U367" s="25">
        <f>IF(T367="","",IF(AND(LEFT(T367,4)&lt;&gt;"http",set_RMSBase=""),"",HYPERLINK(IF(LEFT(T367,4)="http",T367,set_RMSBase&amp;T367),"Open opportunity")))</f>
        <v/>
      </c>
      <c r="V367" s="24" t="n"/>
      <c r="W367" s="25">
        <f>IF(V367="","",HYPERLINK(IF(LEFT(V367,4)="http",V367,set_QwilrBase&amp;V367),"Open quote"))</f>
        <v/>
      </c>
      <c r="X367" s="25">
        <f>IF(C367="","",C367)</f>
        <v/>
      </c>
      <c r="Y367" s="24" t="n"/>
      <c r="Z367" s="26" t="n"/>
      <c r="AA367" s="27">
        <f>IF(C367="","",H367+N(Z367))</f>
        <v/>
      </c>
      <c r="AB367" s="29">
        <f>IFERROR(Z367/AA367,"")</f>
        <v/>
      </c>
      <c r="AC367" s="26" t="n"/>
      <c r="AD367" s="26" t="n"/>
      <c r="AE367" s="26" t="n"/>
      <c r="AF367" s="26" t="n"/>
      <c r="AG367" s="27">
        <f>IF(C367="","",SUMIFS(tbl_Finance[Ex GST],tbl_Finance[Job Number],C367&amp;"",tbl_Finance[Cost Centre],"VIDEO"))</f>
        <v/>
      </c>
      <c r="AH367" s="29">
        <f>IFERROR(AG367/H367,"")</f>
        <v/>
      </c>
      <c r="AI367" s="27">
        <f>IF(C367="","",N(AC367)+N(AD367)+N(AE367)+N(AF367))</f>
        <v/>
      </c>
      <c r="AJ367" s="27">
        <f>IF(C367="","",H367+L367-AI367)</f>
        <v/>
      </c>
      <c r="AK367" s="29">
        <f>IFERROR(AJ367/(H367+L367),"")</f>
        <v/>
      </c>
      <c r="AL367" s="71" t="n"/>
      <c r="AM367" s="71" t="n"/>
      <c r="AN367" s="71" t="n"/>
      <c r="AO367" s="71" t="n"/>
      <c r="AP367" s="71" t="n"/>
      <c r="AQ367" s="24" t="n"/>
    </row>
    <row r="368" ht="15" customHeight="1">
      <c r="A368" s="70">
        <f>IF(C368="","",IFERROR(IF(SUMPRODUCT(MAX((tbl_Finance[Job Number]&amp;""=C368&amp;"")*(tbl_Finance[Xero Invoice No]&lt;&gt;"")*tbl_Finance[Date]))=0,"",SUMPRODUCT(MAX((tbl_Finance[Job Number]&amp;""=C368&amp;"")*(tbl_Finance[Xero Invoice No]&lt;&gt;"")*tbl_Finance[Date]))),""))</f>
        <v/>
      </c>
      <c r="B368" s="25">
        <f>IF(C368="","",IF(COUNTIFS(tbl_Finance[Job Number],C368&amp;"",tbl_Finance[Xero Invoice No],"&lt;&gt;")=0,"",IFERROR(IF(COUNTIFS(tbl_Finance[Job Number],C368&amp;"",tbl_Finance[Xero Invoice No],LOOKUP(2,1/((tbl_Finance[Job Number]&amp;""=C368&amp;"")*(tbl_Finance[Xero Invoice No]&lt;&gt;"")),tbl_Finance[Xero Invoice No]))=COUNTIFS(tbl_Finance[Job Number],C368&amp;"",tbl_Finance[Xero Invoice No],"&lt;&gt;"),LOOKUP(2,1/((tbl_Finance[Job Number]&amp;""=C368&amp;"")*(tbl_Finance[Xero Invoice No]&lt;&gt;"")),tbl_Finance[Xero Invoice No]),LOOKUP(2,1/((tbl_Finance[Job Number]&amp;""=C368&amp;"")*(tbl_Finance[Xero Invoice No]&lt;&gt;"")),tbl_Finance[Xero Invoice No])&amp;" +more"),"")))</f>
        <v/>
      </c>
      <c r="C368" s="24" t="n"/>
      <c r="D368" s="25">
        <f>IF(C368="","",IF(COUNTIF(lst_Jobs,C368&amp;"")&gt;0,"OK","CHECK"))</f>
        <v/>
      </c>
      <c r="E368" s="25">
        <f>IF(C368="","",IFERROR(INDEX(lst_JobName,MATCH(C368&amp;"",lst_Jobs,0)),""))</f>
        <v/>
      </c>
      <c r="F368" s="25">
        <f>IF(C368="","",IFERROR(INDEX(tbl_Finance[Client],IFERROR(MATCH(C368&amp;"",tbl_Finance[Job Number],0),MATCH(IFERROR(C368+0,C368),tbl_Finance[Job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6" t="n"/>
      <c r="L368" s="27">
        <f>IF(C368="","",IF(K368="",0,MAX(0,K368-H368)))</f>
        <v/>
      </c>
      <c r="M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N368" s="27">
        <f>IF(C368="","",SUMIFS(tbl_Finance[Inc GST],tbl_Finance[Job Number],C368&amp;""))</f>
        <v/>
      </c>
      <c r="O368" s="24" t="n"/>
      <c r="P368" s="25">
        <f>IF(C368="","",IFERROR(INDEX(tbl_Finance[Description],MATCH(C368&amp;"",tbl_Finance[Job Number],0)),""))</f>
        <v/>
      </c>
      <c r="Q368" s="24" t="n"/>
      <c r="R368" s="24" t="n"/>
      <c r="S368" s="22" t="n"/>
      <c r="T368" s="24" t="n"/>
      <c r="U368" s="25">
        <f>IF(T368="","",IF(AND(LEFT(T368,4)&lt;&gt;"http",set_RMSBase=""),"",HYPERLINK(IF(LEFT(T368,4)="http",T368,set_RMSBase&amp;T368),"Open opportunity")))</f>
        <v/>
      </c>
      <c r="V368" s="24" t="n"/>
      <c r="W368" s="25">
        <f>IF(V368="","",HYPERLINK(IF(LEFT(V368,4)="http",V368,set_QwilrBase&amp;V368),"Open quote"))</f>
        <v/>
      </c>
      <c r="X368" s="25">
        <f>IF(C368="","",C368)</f>
        <v/>
      </c>
      <c r="Y368" s="24" t="n"/>
      <c r="Z368" s="26" t="n"/>
      <c r="AA368" s="27">
        <f>IF(C368="","",H368+N(Z368))</f>
        <v/>
      </c>
      <c r="AB368" s="29">
        <f>IFERROR(Z368/AA368,"")</f>
        <v/>
      </c>
      <c r="AC368" s="26" t="n"/>
      <c r="AD368" s="26" t="n"/>
      <c r="AE368" s="26" t="n"/>
      <c r="AF368" s="26" t="n"/>
      <c r="AG368" s="27">
        <f>IF(C368="","",SUMIFS(tbl_Finance[Ex GST],tbl_Finance[Job Number],C368&amp;"",tbl_Finance[Cost Centre],"VIDEO"))</f>
        <v/>
      </c>
      <c r="AH368" s="29">
        <f>IFERROR(AG368/H368,"")</f>
        <v/>
      </c>
      <c r="AI368" s="27">
        <f>IF(C368="","",N(AC368)+N(AD368)+N(AE368)+N(AF368))</f>
        <v/>
      </c>
      <c r="AJ368" s="27">
        <f>IF(C368="","",H368+L368-AI368)</f>
        <v/>
      </c>
      <c r="AK368" s="29">
        <f>IFERROR(AJ368/(H368+L368),"")</f>
        <v/>
      </c>
      <c r="AL368" s="71" t="n"/>
      <c r="AM368" s="71" t="n"/>
      <c r="AN368" s="71" t="n"/>
      <c r="AO368" s="71" t="n"/>
      <c r="AP368" s="71" t="n"/>
      <c r="AQ368" s="24" t="n"/>
    </row>
    <row r="369" ht="15" customHeight="1">
      <c r="A369" s="70">
        <f>IF(C369="","",IFERROR(IF(SUMPRODUCT(MAX((tbl_Finance[Job Number]&amp;""=C369&amp;"")*(tbl_Finance[Xero Invoice No]&lt;&gt;"")*tbl_Finance[Date]))=0,"",SUMPRODUCT(MAX((tbl_Finance[Job Number]&amp;""=C369&amp;"")*(tbl_Finance[Xero Invoice No]&lt;&gt;"")*tbl_Finance[Date]))),""))</f>
        <v/>
      </c>
      <c r="B369" s="25">
        <f>IF(C369="","",IF(COUNTIFS(tbl_Finance[Job Number],C369&amp;"",tbl_Finance[Xero Invoice No],"&lt;&gt;")=0,"",IFERROR(IF(COUNTIFS(tbl_Finance[Job Number],C369&amp;"",tbl_Finance[Xero Invoice No],LOOKUP(2,1/((tbl_Finance[Job Number]&amp;""=C369&amp;"")*(tbl_Finance[Xero Invoice No]&lt;&gt;"")),tbl_Finance[Xero Invoice No]))=COUNTIFS(tbl_Finance[Job Number],C369&amp;"",tbl_Finance[Xero Invoice No],"&lt;&gt;"),LOOKUP(2,1/((tbl_Finance[Job Number]&amp;""=C369&amp;"")*(tbl_Finance[Xero Invoice No]&lt;&gt;"")),tbl_Finance[Xero Invoice No]),LOOKUP(2,1/((tbl_Finance[Job Number]&amp;""=C369&amp;"")*(tbl_Finance[Xero Invoice No]&lt;&gt;"")),tbl_Finance[Xero Invoice No])&amp;" +more"),"")))</f>
        <v/>
      </c>
      <c r="C369" s="24" t="n"/>
      <c r="D369" s="25">
        <f>IF(C369="","",IF(COUNTIF(lst_Jobs,C369&amp;"")&gt;0,"OK","CHECK"))</f>
        <v/>
      </c>
      <c r="E369" s="25">
        <f>IF(C369="","",IFERROR(INDEX(lst_JobName,MATCH(C369&amp;"",lst_Jobs,0)),""))</f>
        <v/>
      </c>
      <c r="F369" s="25">
        <f>IF(C369="","",IFERROR(INDEX(tbl_Finance[Client],IFERROR(MATCH(C369&amp;"",tbl_Finance[Job Number],0),MATCH(IFERROR(C369+0,C369),tbl_Finance[Job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6" t="n"/>
      <c r="L369" s="27">
        <f>IF(C369="","",IF(K369="",0,MAX(0,K369-H369)))</f>
        <v/>
      </c>
      <c r="M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N369" s="27">
        <f>IF(C369="","",SUMIFS(tbl_Finance[Inc GST],tbl_Finance[Job Number],C369&amp;""))</f>
        <v/>
      </c>
      <c r="O369" s="24" t="n"/>
      <c r="P369" s="25">
        <f>IF(C369="","",IFERROR(INDEX(tbl_Finance[Description],MATCH(C369&amp;"",tbl_Finance[Job Number],0)),""))</f>
        <v/>
      </c>
      <c r="Q369" s="24" t="n"/>
      <c r="R369" s="24" t="n"/>
      <c r="S369" s="22" t="n"/>
      <c r="T369" s="24" t="n"/>
      <c r="U369" s="25">
        <f>IF(T369="","",IF(AND(LEFT(T369,4)&lt;&gt;"http",set_RMSBase=""),"",HYPERLINK(IF(LEFT(T369,4)="http",T369,set_RMSBase&amp;T369),"Open opportunity")))</f>
        <v/>
      </c>
      <c r="V369" s="24" t="n"/>
      <c r="W369" s="25">
        <f>IF(V369="","",HYPERLINK(IF(LEFT(V369,4)="http",V369,set_QwilrBase&amp;V369),"Open quote"))</f>
        <v/>
      </c>
      <c r="X369" s="25">
        <f>IF(C369="","",C369)</f>
        <v/>
      </c>
      <c r="Y369" s="24" t="n"/>
      <c r="Z369" s="26" t="n"/>
      <c r="AA369" s="27">
        <f>IF(C369="","",H369+N(Z369))</f>
        <v/>
      </c>
      <c r="AB369" s="29">
        <f>IFERROR(Z369/AA369,"")</f>
        <v/>
      </c>
      <c r="AC369" s="26" t="n"/>
      <c r="AD369" s="26" t="n"/>
      <c r="AE369" s="26" t="n"/>
      <c r="AF369" s="26" t="n"/>
      <c r="AG369" s="27">
        <f>IF(C369="","",SUMIFS(tbl_Finance[Ex GST],tbl_Finance[Job Number],C369&amp;"",tbl_Finance[Cost Centre],"VIDEO"))</f>
        <v/>
      </c>
      <c r="AH369" s="29">
        <f>IFERROR(AG369/H369,"")</f>
        <v/>
      </c>
      <c r="AI369" s="27">
        <f>IF(C369="","",N(AC369)+N(AD369)+N(AE369)+N(AF369))</f>
        <v/>
      </c>
      <c r="AJ369" s="27">
        <f>IF(C369="","",H369+L369-AI369)</f>
        <v/>
      </c>
      <c r="AK369" s="29">
        <f>IFERROR(AJ369/(H369+L369),"")</f>
        <v/>
      </c>
      <c r="AL369" s="71" t="n"/>
      <c r="AM369" s="71" t="n"/>
      <c r="AN369" s="71" t="n"/>
      <c r="AO369" s="71" t="n"/>
      <c r="AP369" s="71" t="n"/>
      <c r="AQ369" s="24" t="n"/>
    </row>
    <row r="370" ht="15" customHeight="1">
      <c r="A370" s="70">
        <f>IF(C370="","",IFERROR(IF(SUMPRODUCT(MAX((tbl_Finance[Job Number]&amp;""=C370&amp;"")*(tbl_Finance[Xero Invoice No]&lt;&gt;"")*tbl_Finance[Date]))=0,"",SUMPRODUCT(MAX((tbl_Finance[Job Number]&amp;""=C370&amp;"")*(tbl_Finance[Xero Invoice No]&lt;&gt;"")*tbl_Finance[Date]))),""))</f>
        <v/>
      </c>
      <c r="B370" s="25">
        <f>IF(C370="","",IF(COUNTIFS(tbl_Finance[Job Number],C370&amp;"",tbl_Finance[Xero Invoice No],"&lt;&gt;")=0,"",IFERROR(IF(COUNTIFS(tbl_Finance[Job Number],C370&amp;"",tbl_Finance[Xero Invoice No],LOOKUP(2,1/((tbl_Finance[Job Number]&amp;""=C370&amp;"")*(tbl_Finance[Xero Invoice No]&lt;&gt;"")),tbl_Finance[Xero Invoice No]))=COUNTIFS(tbl_Finance[Job Number],C370&amp;"",tbl_Finance[Xero Invoice No],"&lt;&gt;"),LOOKUP(2,1/((tbl_Finance[Job Number]&amp;""=C370&amp;"")*(tbl_Finance[Xero Invoice No]&lt;&gt;"")),tbl_Finance[Xero Invoice No]),LOOKUP(2,1/((tbl_Finance[Job Number]&amp;""=C370&amp;"")*(tbl_Finance[Xero Invoice No]&lt;&gt;"")),tbl_Finance[Xero Invoice No])&amp;" +more"),"")))</f>
        <v/>
      </c>
      <c r="C370" s="24" t="n"/>
      <c r="D370" s="25">
        <f>IF(C370="","",IF(COUNTIF(lst_Jobs,C370&amp;"")&gt;0,"OK","CHECK"))</f>
        <v/>
      </c>
      <c r="E370" s="25">
        <f>IF(C370="","",IFERROR(INDEX(lst_JobName,MATCH(C370&amp;"",lst_Jobs,0)),""))</f>
        <v/>
      </c>
      <c r="F370" s="25">
        <f>IF(C370="","",IFERROR(INDEX(tbl_Finance[Client],IFERROR(MATCH(C370&amp;"",tbl_Finance[Job Number],0),MATCH(IFERROR(C370+0,C370),tbl_Finance[Job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6" t="n"/>
      <c r="L370" s="27">
        <f>IF(C370="","",IF(K370="",0,MAX(0,K370-H370)))</f>
        <v/>
      </c>
      <c r="M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N370" s="27">
        <f>IF(C370="","",SUMIFS(tbl_Finance[Inc GST],tbl_Finance[Job Number],C370&amp;""))</f>
        <v/>
      </c>
      <c r="O370" s="24" t="n"/>
      <c r="P370" s="25">
        <f>IF(C370="","",IFERROR(INDEX(tbl_Finance[Description],MATCH(C370&amp;"",tbl_Finance[Job Number],0)),""))</f>
        <v/>
      </c>
      <c r="Q370" s="24" t="n"/>
      <c r="R370" s="24" t="n"/>
      <c r="S370" s="22" t="n"/>
      <c r="T370" s="24" t="n"/>
      <c r="U370" s="25">
        <f>IF(T370="","",IF(AND(LEFT(T370,4)&lt;&gt;"http",set_RMSBase=""),"",HYPERLINK(IF(LEFT(T370,4)="http",T370,set_RMSBase&amp;T370),"Open opportunity")))</f>
        <v/>
      </c>
      <c r="V370" s="24" t="n"/>
      <c r="W370" s="25">
        <f>IF(V370="","",HYPERLINK(IF(LEFT(V370,4)="http",V370,set_QwilrBase&amp;V370),"Open quote"))</f>
        <v/>
      </c>
      <c r="X370" s="25">
        <f>IF(C370="","",C370)</f>
        <v/>
      </c>
      <c r="Y370" s="24" t="n"/>
      <c r="Z370" s="26" t="n"/>
      <c r="AA370" s="27">
        <f>IF(C370="","",H370+N(Z370))</f>
        <v/>
      </c>
      <c r="AB370" s="29">
        <f>IFERROR(Z370/AA370,"")</f>
        <v/>
      </c>
      <c r="AC370" s="26" t="n"/>
      <c r="AD370" s="26" t="n"/>
      <c r="AE370" s="26" t="n"/>
      <c r="AF370" s="26" t="n"/>
      <c r="AG370" s="27">
        <f>IF(C370="","",SUMIFS(tbl_Finance[Ex GST],tbl_Finance[Job Number],C370&amp;"",tbl_Finance[Cost Centre],"VIDEO"))</f>
        <v/>
      </c>
      <c r="AH370" s="29">
        <f>IFERROR(AG370/H370,"")</f>
        <v/>
      </c>
      <c r="AI370" s="27">
        <f>IF(C370="","",N(AC370)+N(AD370)+N(AE370)+N(AF370))</f>
        <v/>
      </c>
      <c r="AJ370" s="27">
        <f>IF(C370="","",H370+L370-AI370)</f>
        <v/>
      </c>
      <c r="AK370" s="29">
        <f>IFERROR(AJ370/(H370+L370),"")</f>
        <v/>
      </c>
      <c r="AL370" s="71" t="n"/>
      <c r="AM370" s="71" t="n"/>
      <c r="AN370" s="71" t="n"/>
      <c r="AO370" s="71" t="n"/>
      <c r="AP370" s="71" t="n"/>
      <c r="AQ370" s="24" t="n"/>
    </row>
    <row r="371" ht="15" customHeight="1">
      <c r="A371" s="70">
        <f>IF(C371="","",IFERROR(IF(SUMPRODUCT(MAX((tbl_Finance[Job Number]&amp;""=C371&amp;"")*(tbl_Finance[Xero Invoice No]&lt;&gt;"")*tbl_Finance[Date]))=0,"",SUMPRODUCT(MAX((tbl_Finance[Job Number]&amp;""=C371&amp;"")*(tbl_Finance[Xero Invoice No]&lt;&gt;"")*tbl_Finance[Date]))),""))</f>
        <v/>
      </c>
      <c r="B371" s="25">
        <f>IF(C371="","",IF(COUNTIFS(tbl_Finance[Job Number],C371&amp;"",tbl_Finance[Xero Invoice No],"&lt;&gt;")=0,"",IFERROR(IF(COUNTIFS(tbl_Finance[Job Number],C371&amp;"",tbl_Finance[Xero Invoice No],LOOKUP(2,1/((tbl_Finance[Job Number]&amp;""=C371&amp;"")*(tbl_Finance[Xero Invoice No]&lt;&gt;"")),tbl_Finance[Xero Invoice No]))=COUNTIFS(tbl_Finance[Job Number],C371&amp;"",tbl_Finance[Xero Invoice No],"&lt;&gt;"),LOOKUP(2,1/((tbl_Finance[Job Number]&amp;""=C371&amp;"")*(tbl_Finance[Xero Invoice No]&lt;&gt;"")),tbl_Finance[Xero Invoice No]),LOOKUP(2,1/((tbl_Finance[Job Number]&amp;""=C371&amp;"")*(tbl_Finance[Xero Invoice No]&lt;&gt;"")),tbl_Finance[Xero Invoice No])&amp;" +more"),"")))</f>
        <v/>
      </c>
      <c r="C371" s="24" t="n"/>
      <c r="D371" s="25">
        <f>IF(C371="","",IF(COUNTIF(lst_Jobs,C371&amp;"")&gt;0,"OK","CHECK"))</f>
        <v/>
      </c>
      <c r="E371" s="25">
        <f>IF(C371="","",IFERROR(INDEX(lst_JobName,MATCH(C371&amp;"",lst_Jobs,0)),""))</f>
        <v/>
      </c>
      <c r="F371" s="25">
        <f>IF(C371="","",IFERROR(INDEX(tbl_Finance[Client],IFERROR(MATCH(C371&amp;"",tbl_Finance[Job Number],0),MATCH(IFERROR(C371+0,C371),tbl_Finance[Job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6" t="n"/>
      <c r="L371" s="27">
        <f>IF(C371="","",IF(K371="",0,MAX(0,K371-H371)))</f>
        <v/>
      </c>
      <c r="M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N371" s="27">
        <f>IF(C371="","",SUMIFS(tbl_Finance[Inc GST],tbl_Finance[Job Number],C371&amp;""))</f>
        <v/>
      </c>
      <c r="O371" s="24" t="n"/>
      <c r="P371" s="25">
        <f>IF(C371="","",IFERROR(INDEX(tbl_Finance[Description],MATCH(C371&amp;"",tbl_Finance[Job Number],0)),""))</f>
        <v/>
      </c>
      <c r="Q371" s="24" t="n"/>
      <c r="R371" s="24" t="n"/>
      <c r="S371" s="22" t="n"/>
      <c r="T371" s="24" t="n"/>
      <c r="U371" s="25">
        <f>IF(T371="","",IF(AND(LEFT(T371,4)&lt;&gt;"http",set_RMSBase=""),"",HYPERLINK(IF(LEFT(T371,4)="http",T371,set_RMSBase&amp;T371),"Open opportunity")))</f>
        <v/>
      </c>
      <c r="V371" s="24" t="n"/>
      <c r="W371" s="25">
        <f>IF(V371="","",HYPERLINK(IF(LEFT(V371,4)="http",V371,set_QwilrBase&amp;V371),"Open quote"))</f>
        <v/>
      </c>
      <c r="X371" s="25">
        <f>IF(C371="","",C371)</f>
        <v/>
      </c>
      <c r="Y371" s="24" t="n"/>
      <c r="Z371" s="26" t="n"/>
      <c r="AA371" s="27">
        <f>IF(C371="","",H371+N(Z371))</f>
        <v/>
      </c>
      <c r="AB371" s="29">
        <f>IFERROR(Z371/AA371,"")</f>
        <v/>
      </c>
      <c r="AC371" s="26" t="n"/>
      <c r="AD371" s="26" t="n"/>
      <c r="AE371" s="26" t="n"/>
      <c r="AF371" s="26" t="n"/>
      <c r="AG371" s="27">
        <f>IF(C371="","",SUMIFS(tbl_Finance[Ex GST],tbl_Finance[Job Number],C371&amp;"",tbl_Finance[Cost Centre],"VIDEO"))</f>
        <v/>
      </c>
      <c r="AH371" s="29">
        <f>IFERROR(AG371/H371,"")</f>
        <v/>
      </c>
      <c r="AI371" s="27">
        <f>IF(C371="","",N(AC371)+N(AD371)+N(AE371)+N(AF371))</f>
        <v/>
      </c>
      <c r="AJ371" s="27">
        <f>IF(C371="","",H371+L371-AI371)</f>
        <v/>
      </c>
      <c r="AK371" s="29">
        <f>IFERROR(AJ371/(H371+L371),"")</f>
        <v/>
      </c>
      <c r="AL371" s="71" t="n"/>
      <c r="AM371" s="71" t="n"/>
      <c r="AN371" s="71" t="n"/>
      <c r="AO371" s="71" t="n"/>
      <c r="AP371" s="71" t="n"/>
      <c r="AQ371" s="24" t="n"/>
    </row>
    <row r="372" ht="15" customHeight="1">
      <c r="A372" s="70">
        <f>IF(C372="","",IFERROR(IF(SUMPRODUCT(MAX((tbl_Finance[Job Number]&amp;""=C372&amp;"")*(tbl_Finance[Xero Invoice No]&lt;&gt;"")*tbl_Finance[Date]))=0,"",SUMPRODUCT(MAX((tbl_Finance[Job Number]&amp;""=C372&amp;"")*(tbl_Finance[Xero Invoice No]&lt;&gt;"")*tbl_Finance[Date]))),""))</f>
        <v/>
      </c>
      <c r="B372" s="25">
        <f>IF(C372="","",IF(COUNTIFS(tbl_Finance[Job Number],C372&amp;"",tbl_Finance[Xero Invoice No],"&lt;&gt;")=0,"",IFERROR(IF(COUNTIFS(tbl_Finance[Job Number],C372&amp;"",tbl_Finance[Xero Invoice No],LOOKUP(2,1/((tbl_Finance[Job Number]&amp;""=C372&amp;"")*(tbl_Finance[Xero Invoice No]&lt;&gt;"")),tbl_Finance[Xero Invoice No]))=COUNTIFS(tbl_Finance[Job Number],C372&amp;"",tbl_Finance[Xero Invoice No],"&lt;&gt;"),LOOKUP(2,1/((tbl_Finance[Job Number]&amp;""=C372&amp;"")*(tbl_Finance[Xero Invoice No]&lt;&gt;"")),tbl_Finance[Xero Invoice No]),LOOKUP(2,1/((tbl_Finance[Job Number]&amp;""=C372&amp;"")*(tbl_Finance[Xero Invoice No]&lt;&gt;"")),tbl_Finance[Xero Invoice No])&amp;" +more"),"")))</f>
        <v/>
      </c>
      <c r="C372" s="24" t="n"/>
      <c r="D372" s="25">
        <f>IF(C372="","",IF(COUNTIF(lst_Jobs,C372&amp;"")&gt;0,"OK","CHECK"))</f>
        <v/>
      </c>
      <c r="E372" s="25">
        <f>IF(C372="","",IFERROR(INDEX(lst_JobName,MATCH(C372&amp;"",lst_Jobs,0)),""))</f>
        <v/>
      </c>
      <c r="F372" s="25">
        <f>IF(C372="","",IFERROR(INDEX(tbl_Finance[Client],IFERROR(MATCH(C372&amp;"",tbl_Finance[Job Number],0),MATCH(IFERROR(C372+0,C372),tbl_Finance[Job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6" t="n"/>
      <c r="L372" s="27">
        <f>IF(C372="","",IF(K372="",0,MAX(0,K372-H372)))</f>
        <v/>
      </c>
      <c r="M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N372" s="27">
        <f>IF(C372="","",SUMIFS(tbl_Finance[Inc GST],tbl_Finance[Job Number],C372&amp;""))</f>
        <v/>
      </c>
      <c r="O372" s="24" t="n"/>
      <c r="P372" s="25">
        <f>IF(C372="","",IFERROR(INDEX(tbl_Finance[Description],MATCH(C372&amp;"",tbl_Finance[Job Number],0)),""))</f>
        <v/>
      </c>
      <c r="Q372" s="24" t="n"/>
      <c r="R372" s="24" t="n"/>
      <c r="S372" s="22" t="n"/>
      <c r="T372" s="24" t="n"/>
      <c r="U372" s="25">
        <f>IF(T372="","",IF(AND(LEFT(T372,4)&lt;&gt;"http",set_RMSBase=""),"",HYPERLINK(IF(LEFT(T372,4)="http",T372,set_RMSBase&amp;T372),"Open opportunity")))</f>
        <v/>
      </c>
      <c r="V372" s="24" t="n"/>
      <c r="W372" s="25">
        <f>IF(V372="","",HYPERLINK(IF(LEFT(V372,4)="http",V372,set_QwilrBase&amp;V372),"Open quote"))</f>
        <v/>
      </c>
      <c r="X372" s="25">
        <f>IF(C372="","",C372)</f>
        <v/>
      </c>
      <c r="Y372" s="24" t="n"/>
      <c r="Z372" s="26" t="n"/>
      <c r="AA372" s="27">
        <f>IF(C372="","",H372+N(Z372))</f>
        <v/>
      </c>
      <c r="AB372" s="29">
        <f>IFERROR(Z372/AA372,"")</f>
        <v/>
      </c>
      <c r="AC372" s="26" t="n"/>
      <c r="AD372" s="26" t="n"/>
      <c r="AE372" s="26" t="n"/>
      <c r="AF372" s="26" t="n"/>
      <c r="AG372" s="27">
        <f>IF(C372="","",SUMIFS(tbl_Finance[Ex GST],tbl_Finance[Job Number],C372&amp;"",tbl_Finance[Cost Centre],"VIDEO"))</f>
        <v/>
      </c>
      <c r="AH372" s="29">
        <f>IFERROR(AG372/H372,"")</f>
        <v/>
      </c>
      <c r="AI372" s="27">
        <f>IF(C372="","",N(AC372)+N(AD372)+N(AE372)+N(AF372))</f>
        <v/>
      </c>
      <c r="AJ372" s="27">
        <f>IF(C372="","",H372+L372-AI372)</f>
        <v/>
      </c>
      <c r="AK372" s="29">
        <f>IFERROR(AJ372/(H372+L372),"")</f>
        <v/>
      </c>
      <c r="AL372" s="71" t="n"/>
      <c r="AM372" s="71" t="n"/>
      <c r="AN372" s="71" t="n"/>
      <c r="AO372" s="71" t="n"/>
      <c r="AP372" s="71" t="n"/>
      <c r="AQ372" s="24" t="n"/>
    </row>
    <row r="373" ht="15" customHeight="1">
      <c r="A373" s="70">
        <f>IF(C373="","",IFERROR(IF(SUMPRODUCT(MAX((tbl_Finance[Job Number]&amp;""=C373&amp;"")*(tbl_Finance[Xero Invoice No]&lt;&gt;"")*tbl_Finance[Date]))=0,"",SUMPRODUCT(MAX((tbl_Finance[Job Number]&amp;""=C373&amp;"")*(tbl_Finance[Xero Invoice No]&lt;&gt;"")*tbl_Finance[Date]))),""))</f>
        <v/>
      </c>
      <c r="B373" s="25">
        <f>IF(C373="","",IF(COUNTIFS(tbl_Finance[Job Number],C373&amp;"",tbl_Finance[Xero Invoice No],"&lt;&gt;")=0,"",IFERROR(IF(COUNTIFS(tbl_Finance[Job Number],C373&amp;"",tbl_Finance[Xero Invoice No],LOOKUP(2,1/((tbl_Finance[Job Number]&amp;""=C373&amp;"")*(tbl_Finance[Xero Invoice No]&lt;&gt;"")),tbl_Finance[Xero Invoice No]))=COUNTIFS(tbl_Finance[Job Number],C373&amp;"",tbl_Finance[Xero Invoice No],"&lt;&gt;"),LOOKUP(2,1/((tbl_Finance[Job Number]&amp;""=C373&amp;"")*(tbl_Finance[Xero Invoice No]&lt;&gt;"")),tbl_Finance[Xero Invoice No]),LOOKUP(2,1/((tbl_Finance[Job Number]&amp;""=C373&amp;"")*(tbl_Finance[Xero Invoice No]&lt;&gt;"")),tbl_Finance[Xero Invoice No])&amp;" +more"),"")))</f>
        <v/>
      </c>
      <c r="C373" s="24" t="n"/>
      <c r="D373" s="25">
        <f>IF(C373="","",IF(COUNTIF(lst_Jobs,C373&amp;"")&gt;0,"OK","CHECK"))</f>
        <v/>
      </c>
      <c r="E373" s="25">
        <f>IF(C373="","",IFERROR(INDEX(lst_JobName,MATCH(C373&amp;"",lst_Jobs,0)),""))</f>
        <v/>
      </c>
      <c r="F373" s="25">
        <f>IF(C373="","",IFERROR(INDEX(tbl_Finance[Client],IFERROR(MATCH(C373&amp;"",tbl_Finance[Job Number],0),MATCH(IFERROR(C373+0,C373),tbl_Finance[Job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6" t="n"/>
      <c r="L373" s="27">
        <f>IF(C373="","",IF(K373="",0,MAX(0,K373-H373)))</f>
        <v/>
      </c>
      <c r="M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N373" s="27">
        <f>IF(C373="","",SUMIFS(tbl_Finance[Inc GST],tbl_Finance[Job Number],C373&amp;""))</f>
        <v/>
      </c>
      <c r="O373" s="24" t="n"/>
      <c r="P373" s="25">
        <f>IF(C373="","",IFERROR(INDEX(tbl_Finance[Description],MATCH(C373&amp;"",tbl_Finance[Job Number],0)),""))</f>
        <v/>
      </c>
      <c r="Q373" s="24" t="n"/>
      <c r="R373" s="24" t="n"/>
      <c r="S373" s="22" t="n"/>
      <c r="T373" s="24" t="n"/>
      <c r="U373" s="25">
        <f>IF(T373="","",IF(AND(LEFT(T373,4)&lt;&gt;"http",set_RMSBase=""),"",HYPERLINK(IF(LEFT(T373,4)="http",T373,set_RMSBase&amp;T373),"Open opportunity")))</f>
        <v/>
      </c>
      <c r="V373" s="24" t="n"/>
      <c r="W373" s="25">
        <f>IF(V373="","",HYPERLINK(IF(LEFT(V373,4)="http",V373,set_QwilrBase&amp;V373),"Open quote"))</f>
        <v/>
      </c>
      <c r="X373" s="25">
        <f>IF(C373="","",C373)</f>
        <v/>
      </c>
      <c r="Y373" s="24" t="n"/>
      <c r="Z373" s="26" t="n"/>
      <c r="AA373" s="27">
        <f>IF(C373="","",H373+N(Z373))</f>
        <v/>
      </c>
      <c r="AB373" s="29">
        <f>IFERROR(Z373/AA373,"")</f>
        <v/>
      </c>
      <c r="AC373" s="26" t="n"/>
      <c r="AD373" s="26" t="n"/>
      <c r="AE373" s="26" t="n"/>
      <c r="AF373" s="26" t="n"/>
      <c r="AG373" s="27">
        <f>IF(C373="","",SUMIFS(tbl_Finance[Ex GST],tbl_Finance[Job Number],C373&amp;"",tbl_Finance[Cost Centre],"VIDEO"))</f>
        <v/>
      </c>
      <c r="AH373" s="29">
        <f>IFERROR(AG373/H373,"")</f>
        <v/>
      </c>
      <c r="AI373" s="27">
        <f>IF(C373="","",N(AC373)+N(AD373)+N(AE373)+N(AF373))</f>
        <v/>
      </c>
      <c r="AJ373" s="27">
        <f>IF(C373="","",H373+L373-AI373)</f>
        <v/>
      </c>
      <c r="AK373" s="29">
        <f>IFERROR(AJ373/(H373+L373),"")</f>
        <v/>
      </c>
      <c r="AL373" s="71" t="n"/>
      <c r="AM373" s="71" t="n"/>
      <c r="AN373" s="71" t="n"/>
      <c r="AO373" s="71" t="n"/>
      <c r="AP373" s="71" t="n"/>
      <c r="AQ373" s="24" t="n"/>
    </row>
    <row r="374" ht="15" customHeight="1">
      <c r="A374" s="70">
        <f>IF(C374="","",IFERROR(IF(SUMPRODUCT(MAX((tbl_Finance[Job Number]&amp;""=C374&amp;"")*(tbl_Finance[Xero Invoice No]&lt;&gt;"")*tbl_Finance[Date]))=0,"",SUMPRODUCT(MAX((tbl_Finance[Job Number]&amp;""=C374&amp;"")*(tbl_Finance[Xero Invoice No]&lt;&gt;"")*tbl_Finance[Date]))),""))</f>
        <v/>
      </c>
      <c r="B374" s="25">
        <f>IF(C374="","",IF(COUNTIFS(tbl_Finance[Job Number],C374&amp;"",tbl_Finance[Xero Invoice No],"&lt;&gt;")=0,"",IFERROR(IF(COUNTIFS(tbl_Finance[Job Number],C374&amp;"",tbl_Finance[Xero Invoice No],LOOKUP(2,1/((tbl_Finance[Job Number]&amp;""=C374&amp;"")*(tbl_Finance[Xero Invoice No]&lt;&gt;"")),tbl_Finance[Xero Invoice No]))=COUNTIFS(tbl_Finance[Job Number],C374&amp;"",tbl_Finance[Xero Invoice No],"&lt;&gt;"),LOOKUP(2,1/((tbl_Finance[Job Number]&amp;""=C374&amp;"")*(tbl_Finance[Xero Invoice No]&lt;&gt;"")),tbl_Finance[Xero Invoice No]),LOOKUP(2,1/((tbl_Finance[Job Number]&amp;""=C374&amp;"")*(tbl_Finance[Xero Invoice No]&lt;&gt;"")),tbl_Finance[Xero Invoice No])&amp;" +more"),"")))</f>
        <v/>
      </c>
      <c r="C374" s="24" t="n"/>
      <c r="D374" s="25">
        <f>IF(C374="","",IF(COUNTIF(lst_Jobs,C374&amp;"")&gt;0,"OK","CHECK"))</f>
        <v/>
      </c>
      <c r="E374" s="25">
        <f>IF(C374="","",IFERROR(INDEX(lst_JobName,MATCH(C374&amp;"",lst_Jobs,0)),""))</f>
        <v/>
      </c>
      <c r="F374" s="25">
        <f>IF(C374="","",IFERROR(INDEX(tbl_Finance[Client],IFERROR(MATCH(C374&amp;"",tbl_Finance[Job Number],0),MATCH(IFERROR(C374+0,C374),tbl_Finance[Job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6" t="n"/>
      <c r="L374" s="27">
        <f>IF(C374="","",IF(K374="",0,MAX(0,K374-H374)))</f>
        <v/>
      </c>
      <c r="M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N374" s="27">
        <f>IF(C374="","",SUMIFS(tbl_Finance[Inc GST],tbl_Finance[Job Number],C374&amp;""))</f>
        <v/>
      </c>
      <c r="O374" s="24" t="n"/>
      <c r="P374" s="25">
        <f>IF(C374="","",IFERROR(INDEX(tbl_Finance[Description],MATCH(C374&amp;"",tbl_Finance[Job Number],0)),""))</f>
        <v/>
      </c>
      <c r="Q374" s="24" t="n"/>
      <c r="R374" s="24" t="n"/>
      <c r="S374" s="22" t="n"/>
      <c r="T374" s="24" t="n"/>
      <c r="U374" s="25">
        <f>IF(T374="","",IF(AND(LEFT(T374,4)&lt;&gt;"http",set_RMSBase=""),"",HYPERLINK(IF(LEFT(T374,4)="http",T374,set_RMSBase&amp;T374),"Open opportunity")))</f>
        <v/>
      </c>
      <c r="V374" s="24" t="n"/>
      <c r="W374" s="25">
        <f>IF(V374="","",HYPERLINK(IF(LEFT(V374,4)="http",V374,set_QwilrBase&amp;V374),"Open quote"))</f>
        <v/>
      </c>
      <c r="X374" s="25">
        <f>IF(C374="","",C374)</f>
        <v/>
      </c>
      <c r="Y374" s="24" t="n"/>
      <c r="Z374" s="26" t="n"/>
      <c r="AA374" s="27">
        <f>IF(C374="","",H374+N(Z374))</f>
        <v/>
      </c>
      <c r="AB374" s="29">
        <f>IFERROR(Z374/AA374,"")</f>
        <v/>
      </c>
      <c r="AC374" s="26" t="n"/>
      <c r="AD374" s="26" t="n"/>
      <c r="AE374" s="26" t="n"/>
      <c r="AF374" s="26" t="n"/>
      <c r="AG374" s="27">
        <f>IF(C374="","",SUMIFS(tbl_Finance[Ex GST],tbl_Finance[Job Number],C374&amp;"",tbl_Finance[Cost Centre],"VIDEO"))</f>
        <v/>
      </c>
      <c r="AH374" s="29">
        <f>IFERROR(AG374/H374,"")</f>
        <v/>
      </c>
      <c r="AI374" s="27">
        <f>IF(C374="","",N(AC374)+N(AD374)+N(AE374)+N(AF374))</f>
        <v/>
      </c>
      <c r="AJ374" s="27">
        <f>IF(C374="","",H374+L374-AI374)</f>
        <v/>
      </c>
      <c r="AK374" s="29">
        <f>IFERROR(AJ374/(H374+L374),"")</f>
        <v/>
      </c>
      <c r="AL374" s="71" t="n"/>
      <c r="AM374" s="71" t="n"/>
      <c r="AN374" s="71" t="n"/>
      <c r="AO374" s="71" t="n"/>
      <c r="AP374" s="71" t="n"/>
      <c r="AQ374" s="24" t="n"/>
    </row>
    <row r="375" ht="15" customHeight="1">
      <c r="A375" s="70">
        <f>IF(C375="","",IFERROR(IF(SUMPRODUCT(MAX((tbl_Finance[Job Number]&amp;""=C375&amp;"")*(tbl_Finance[Xero Invoice No]&lt;&gt;"")*tbl_Finance[Date]))=0,"",SUMPRODUCT(MAX((tbl_Finance[Job Number]&amp;""=C375&amp;"")*(tbl_Finance[Xero Invoice No]&lt;&gt;"")*tbl_Finance[Date]))),""))</f>
        <v/>
      </c>
      <c r="B375" s="25">
        <f>IF(C375="","",IF(COUNTIFS(tbl_Finance[Job Number],C375&amp;"",tbl_Finance[Xero Invoice No],"&lt;&gt;")=0,"",IFERROR(IF(COUNTIFS(tbl_Finance[Job Number],C375&amp;"",tbl_Finance[Xero Invoice No],LOOKUP(2,1/((tbl_Finance[Job Number]&amp;""=C375&amp;"")*(tbl_Finance[Xero Invoice No]&lt;&gt;"")),tbl_Finance[Xero Invoice No]))=COUNTIFS(tbl_Finance[Job Number],C375&amp;"",tbl_Finance[Xero Invoice No],"&lt;&gt;"),LOOKUP(2,1/((tbl_Finance[Job Number]&amp;""=C375&amp;"")*(tbl_Finance[Xero Invoice No]&lt;&gt;"")),tbl_Finance[Xero Invoice No]),LOOKUP(2,1/((tbl_Finance[Job Number]&amp;""=C375&amp;"")*(tbl_Finance[Xero Invoice No]&lt;&gt;"")),tbl_Finance[Xero Invoice No])&amp;" +more"),"")))</f>
        <v/>
      </c>
      <c r="C375" s="24" t="n"/>
      <c r="D375" s="25">
        <f>IF(C375="","",IF(COUNTIF(lst_Jobs,C375&amp;"")&gt;0,"OK","CHECK"))</f>
        <v/>
      </c>
      <c r="E375" s="25">
        <f>IF(C375="","",IFERROR(INDEX(lst_JobName,MATCH(C375&amp;"",lst_Jobs,0)),""))</f>
        <v/>
      </c>
      <c r="F375" s="25">
        <f>IF(C375="","",IFERROR(INDEX(tbl_Finance[Client],IFERROR(MATCH(C375&amp;"",tbl_Finance[Job Number],0),MATCH(IFERROR(C375+0,C375),tbl_Finance[Job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6" t="n"/>
      <c r="L375" s="27">
        <f>IF(C375="","",IF(K375="",0,MAX(0,K375-H375)))</f>
        <v/>
      </c>
      <c r="M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N375" s="27">
        <f>IF(C375="","",SUMIFS(tbl_Finance[Inc GST],tbl_Finance[Job Number],C375&amp;""))</f>
        <v/>
      </c>
      <c r="O375" s="24" t="n"/>
      <c r="P375" s="25">
        <f>IF(C375="","",IFERROR(INDEX(tbl_Finance[Description],MATCH(C375&amp;"",tbl_Finance[Job Number],0)),""))</f>
        <v/>
      </c>
      <c r="Q375" s="24" t="n"/>
      <c r="R375" s="24" t="n"/>
      <c r="S375" s="22" t="n"/>
      <c r="T375" s="24" t="n"/>
      <c r="U375" s="25">
        <f>IF(T375="","",IF(AND(LEFT(T375,4)&lt;&gt;"http",set_RMSBase=""),"",HYPERLINK(IF(LEFT(T375,4)="http",T375,set_RMSBase&amp;T375),"Open opportunity")))</f>
        <v/>
      </c>
      <c r="V375" s="24" t="n"/>
      <c r="W375" s="25">
        <f>IF(V375="","",HYPERLINK(IF(LEFT(V375,4)="http",V375,set_QwilrBase&amp;V375),"Open quote"))</f>
        <v/>
      </c>
      <c r="X375" s="25">
        <f>IF(C375="","",C375)</f>
        <v/>
      </c>
      <c r="Y375" s="24" t="n"/>
      <c r="Z375" s="26" t="n"/>
      <c r="AA375" s="27">
        <f>IF(C375="","",H375+N(Z375))</f>
        <v/>
      </c>
      <c r="AB375" s="29">
        <f>IFERROR(Z375/AA375,"")</f>
        <v/>
      </c>
      <c r="AC375" s="26" t="n"/>
      <c r="AD375" s="26" t="n"/>
      <c r="AE375" s="26" t="n"/>
      <c r="AF375" s="26" t="n"/>
      <c r="AG375" s="27">
        <f>IF(C375="","",SUMIFS(tbl_Finance[Ex GST],tbl_Finance[Job Number],C375&amp;"",tbl_Finance[Cost Centre],"VIDEO"))</f>
        <v/>
      </c>
      <c r="AH375" s="29">
        <f>IFERROR(AG375/H375,"")</f>
        <v/>
      </c>
      <c r="AI375" s="27">
        <f>IF(C375="","",N(AC375)+N(AD375)+N(AE375)+N(AF375))</f>
        <v/>
      </c>
      <c r="AJ375" s="27">
        <f>IF(C375="","",H375+L375-AI375)</f>
        <v/>
      </c>
      <c r="AK375" s="29">
        <f>IFERROR(AJ375/(H375+L375),"")</f>
        <v/>
      </c>
      <c r="AL375" s="71" t="n"/>
      <c r="AM375" s="71" t="n"/>
      <c r="AN375" s="71" t="n"/>
      <c r="AO375" s="71" t="n"/>
      <c r="AP375" s="71" t="n"/>
      <c r="AQ375" s="24" t="n"/>
    </row>
    <row r="376" ht="15" customHeight="1">
      <c r="A376" s="70">
        <f>IF(C376="","",IFERROR(IF(SUMPRODUCT(MAX((tbl_Finance[Job Number]&amp;""=C376&amp;"")*(tbl_Finance[Xero Invoice No]&lt;&gt;"")*tbl_Finance[Date]))=0,"",SUMPRODUCT(MAX((tbl_Finance[Job Number]&amp;""=C376&amp;"")*(tbl_Finance[Xero Invoice No]&lt;&gt;"")*tbl_Finance[Date]))),""))</f>
        <v/>
      </c>
      <c r="B376" s="25">
        <f>IF(C376="","",IF(COUNTIFS(tbl_Finance[Job Number],C376&amp;"",tbl_Finance[Xero Invoice No],"&lt;&gt;")=0,"",IFERROR(IF(COUNTIFS(tbl_Finance[Job Number],C376&amp;"",tbl_Finance[Xero Invoice No],LOOKUP(2,1/((tbl_Finance[Job Number]&amp;""=C376&amp;"")*(tbl_Finance[Xero Invoice No]&lt;&gt;"")),tbl_Finance[Xero Invoice No]))=COUNTIFS(tbl_Finance[Job Number],C376&amp;"",tbl_Finance[Xero Invoice No],"&lt;&gt;"),LOOKUP(2,1/((tbl_Finance[Job Number]&amp;""=C376&amp;"")*(tbl_Finance[Xero Invoice No]&lt;&gt;"")),tbl_Finance[Xero Invoice No]),LOOKUP(2,1/((tbl_Finance[Job Number]&amp;""=C376&amp;"")*(tbl_Finance[Xero Invoice No]&lt;&gt;"")),tbl_Finance[Xero Invoice No])&amp;" +more"),"")))</f>
        <v/>
      </c>
      <c r="C376" s="24" t="n"/>
      <c r="D376" s="25">
        <f>IF(C376="","",IF(COUNTIF(lst_Jobs,C376&amp;"")&gt;0,"OK","CHECK"))</f>
        <v/>
      </c>
      <c r="E376" s="25">
        <f>IF(C376="","",IFERROR(INDEX(lst_JobName,MATCH(C376&amp;"",lst_Jobs,0)),""))</f>
        <v/>
      </c>
      <c r="F376" s="25">
        <f>IF(C376="","",IFERROR(INDEX(tbl_Finance[Client],IFERROR(MATCH(C376&amp;"",tbl_Finance[Job Number],0),MATCH(IFERROR(C376+0,C376),tbl_Finance[Job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6" t="n"/>
      <c r="L376" s="27">
        <f>IF(C376="","",IF(K376="",0,MAX(0,K376-H376)))</f>
        <v/>
      </c>
      <c r="M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N376" s="27">
        <f>IF(C376="","",SUMIFS(tbl_Finance[Inc GST],tbl_Finance[Job Number],C376&amp;""))</f>
        <v/>
      </c>
      <c r="O376" s="24" t="n"/>
      <c r="P376" s="25">
        <f>IF(C376="","",IFERROR(INDEX(tbl_Finance[Description],MATCH(C376&amp;"",tbl_Finance[Job Number],0)),""))</f>
        <v/>
      </c>
      <c r="Q376" s="24" t="n"/>
      <c r="R376" s="24" t="n"/>
      <c r="S376" s="22" t="n"/>
      <c r="T376" s="24" t="n"/>
      <c r="U376" s="25">
        <f>IF(T376="","",IF(AND(LEFT(T376,4)&lt;&gt;"http",set_RMSBase=""),"",HYPERLINK(IF(LEFT(T376,4)="http",T376,set_RMSBase&amp;T376),"Open opportunity")))</f>
        <v/>
      </c>
      <c r="V376" s="24" t="n"/>
      <c r="W376" s="25">
        <f>IF(V376="","",HYPERLINK(IF(LEFT(V376,4)="http",V376,set_QwilrBase&amp;V376),"Open quote"))</f>
        <v/>
      </c>
      <c r="X376" s="25">
        <f>IF(C376="","",C376)</f>
        <v/>
      </c>
      <c r="Y376" s="24" t="n"/>
      <c r="Z376" s="26" t="n"/>
      <c r="AA376" s="27">
        <f>IF(C376="","",H376+N(Z376))</f>
        <v/>
      </c>
      <c r="AB376" s="29">
        <f>IFERROR(Z376/AA376,"")</f>
        <v/>
      </c>
      <c r="AC376" s="26" t="n"/>
      <c r="AD376" s="26" t="n"/>
      <c r="AE376" s="26" t="n"/>
      <c r="AF376" s="26" t="n"/>
      <c r="AG376" s="27">
        <f>IF(C376="","",SUMIFS(tbl_Finance[Ex GST],tbl_Finance[Job Number],C376&amp;"",tbl_Finance[Cost Centre],"VIDEO"))</f>
        <v/>
      </c>
      <c r="AH376" s="29">
        <f>IFERROR(AG376/H376,"")</f>
        <v/>
      </c>
      <c r="AI376" s="27">
        <f>IF(C376="","",N(AC376)+N(AD376)+N(AE376)+N(AF376))</f>
        <v/>
      </c>
      <c r="AJ376" s="27">
        <f>IF(C376="","",H376+L376-AI376)</f>
        <v/>
      </c>
      <c r="AK376" s="29">
        <f>IFERROR(AJ376/(H376+L376),"")</f>
        <v/>
      </c>
      <c r="AL376" s="71" t="n"/>
      <c r="AM376" s="71" t="n"/>
      <c r="AN376" s="71" t="n"/>
      <c r="AO376" s="71" t="n"/>
      <c r="AP376" s="71" t="n"/>
      <c r="AQ376" s="24" t="n"/>
    </row>
    <row r="377" ht="15" customHeight="1">
      <c r="A377" s="70">
        <f>IF(C377="","",IFERROR(IF(SUMPRODUCT(MAX((tbl_Finance[Job Number]&amp;""=C377&amp;"")*(tbl_Finance[Xero Invoice No]&lt;&gt;"")*tbl_Finance[Date]))=0,"",SUMPRODUCT(MAX((tbl_Finance[Job Number]&amp;""=C377&amp;"")*(tbl_Finance[Xero Invoice No]&lt;&gt;"")*tbl_Finance[Date]))),""))</f>
        <v/>
      </c>
      <c r="B377" s="25">
        <f>IF(C377="","",IF(COUNTIFS(tbl_Finance[Job Number],C377&amp;"",tbl_Finance[Xero Invoice No],"&lt;&gt;")=0,"",IFERROR(IF(COUNTIFS(tbl_Finance[Job Number],C377&amp;"",tbl_Finance[Xero Invoice No],LOOKUP(2,1/((tbl_Finance[Job Number]&amp;""=C377&amp;"")*(tbl_Finance[Xero Invoice No]&lt;&gt;"")),tbl_Finance[Xero Invoice No]))=COUNTIFS(tbl_Finance[Job Number],C377&amp;"",tbl_Finance[Xero Invoice No],"&lt;&gt;"),LOOKUP(2,1/((tbl_Finance[Job Number]&amp;""=C377&amp;"")*(tbl_Finance[Xero Invoice No]&lt;&gt;"")),tbl_Finance[Xero Invoice No]),LOOKUP(2,1/((tbl_Finance[Job Number]&amp;""=C377&amp;"")*(tbl_Finance[Xero Invoice No]&lt;&gt;"")),tbl_Finance[Xero Invoice No])&amp;" +more"),"")))</f>
        <v/>
      </c>
      <c r="C377" s="24" t="n"/>
      <c r="D377" s="25">
        <f>IF(C377="","",IF(COUNTIF(lst_Jobs,C377&amp;"")&gt;0,"OK","CHECK"))</f>
        <v/>
      </c>
      <c r="E377" s="25">
        <f>IF(C377="","",IFERROR(INDEX(lst_JobName,MATCH(C377&amp;"",lst_Jobs,0)),""))</f>
        <v/>
      </c>
      <c r="F377" s="25">
        <f>IF(C377="","",IFERROR(INDEX(tbl_Finance[Client],IFERROR(MATCH(C377&amp;"",tbl_Finance[Job Number],0),MATCH(IFERROR(C377+0,C377),tbl_Finance[Job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6" t="n"/>
      <c r="L377" s="27">
        <f>IF(C377="","",IF(K377="",0,MAX(0,K377-H377)))</f>
        <v/>
      </c>
      <c r="M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N377" s="27">
        <f>IF(C377="","",SUMIFS(tbl_Finance[Inc GST],tbl_Finance[Job Number],C377&amp;""))</f>
        <v/>
      </c>
      <c r="O377" s="24" t="n"/>
      <c r="P377" s="25">
        <f>IF(C377="","",IFERROR(INDEX(tbl_Finance[Description],MATCH(C377&amp;"",tbl_Finance[Job Number],0)),""))</f>
        <v/>
      </c>
      <c r="Q377" s="24" t="n"/>
      <c r="R377" s="24" t="n"/>
      <c r="S377" s="22" t="n"/>
      <c r="T377" s="24" t="n"/>
      <c r="U377" s="25">
        <f>IF(T377="","",IF(AND(LEFT(T377,4)&lt;&gt;"http",set_RMSBase=""),"",HYPERLINK(IF(LEFT(T377,4)="http",T377,set_RMSBase&amp;T377),"Open opportunity")))</f>
        <v/>
      </c>
      <c r="V377" s="24" t="n"/>
      <c r="W377" s="25">
        <f>IF(V377="","",HYPERLINK(IF(LEFT(V377,4)="http",V377,set_QwilrBase&amp;V377),"Open quote"))</f>
        <v/>
      </c>
      <c r="X377" s="25">
        <f>IF(C377="","",C377)</f>
        <v/>
      </c>
      <c r="Y377" s="24" t="n"/>
      <c r="Z377" s="26" t="n"/>
      <c r="AA377" s="27">
        <f>IF(C377="","",H377+N(Z377))</f>
        <v/>
      </c>
      <c r="AB377" s="29">
        <f>IFERROR(Z377/AA377,"")</f>
        <v/>
      </c>
      <c r="AC377" s="26" t="n"/>
      <c r="AD377" s="26" t="n"/>
      <c r="AE377" s="26" t="n"/>
      <c r="AF377" s="26" t="n"/>
      <c r="AG377" s="27">
        <f>IF(C377="","",SUMIFS(tbl_Finance[Ex GST],tbl_Finance[Job Number],C377&amp;"",tbl_Finance[Cost Centre],"VIDEO"))</f>
        <v/>
      </c>
      <c r="AH377" s="29">
        <f>IFERROR(AG377/H377,"")</f>
        <v/>
      </c>
      <c r="AI377" s="27">
        <f>IF(C377="","",N(AC377)+N(AD377)+N(AE377)+N(AF377))</f>
        <v/>
      </c>
      <c r="AJ377" s="27">
        <f>IF(C377="","",H377+L377-AI377)</f>
        <v/>
      </c>
      <c r="AK377" s="29">
        <f>IFERROR(AJ377/(H377+L377),"")</f>
        <v/>
      </c>
      <c r="AL377" s="71" t="n"/>
      <c r="AM377" s="71" t="n"/>
      <c r="AN377" s="71" t="n"/>
      <c r="AO377" s="71" t="n"/>
      <c r="AP377" s="71" t="n"/>
      <c r="AQ377" s="24" t="n"/>
    </row>
    <row r="378" ht="15" customHeight="1">
      <c r="A378" s="70">
        <f>IF(C378="","",IFERROR(IF(SUMPRODUCT(MAX((tbl_Finance[Job Number]&amp;""=C378&amp;"")*(tbl_Finance[Xero Invoice No]&lt;&gt;"")*tbl_Finance[Date]))=0,"",SUMPRODUCT(MAX((tbl_Finance[Job Number]&amp;""=C378&amp;"")*(tbl_Finance[Xero Invoice No]&lt;&gt;"")*tbl_Finance[Date]))),""))</f>
        <v/>
      </c>
      <c r="B378" s="25">
        <f>IF(C378="","",IF(COUNTIFS(tbl_Finance[Job Number],C378&amp;"",tbl_Finance[Xero Invoice No],"&lt;&gt;")=0,"",IFERROR(IF(COUNTIFS(tbl_Finance[Job Number],C378&amp;"",tbl_Finance[Xero Invoice No],LOOKUP(2,1/((tbl_Finance[Job Number]&amp;""=C378&amp;"")*(tbl_Finance[Xero Invoice No]&lt;&gt;"")),tbl_Finance[Xero Invoice No]))=COUNTIFS(tbl_Finance[Job Number],C378&amp;"",tbl_Finance[Xero Invoice No],"&lt;&gt;"),LOOKUP(2,1/((tbl_Finance[Job Number]&amp;""=C378&amp;"")*(tbl_Finance[Xero Invoice No]&lt;&gt;"")),tbl_Finance[Xero Invoice No]),LOOKUP(2,1/((tbl_Finance[Job Number]&amp;""=C378&amp;"")*(tbl_Finance[Xero Invoice No]&lt;&gt;"")),tbl_Finance[Xero Invoice No])&amp;" +more"),"")))</f>
        <v/>
      </c>
      <c r="C378" s="24" t="n"/>
      <c r="D378" s="25">
        <f>IF(C378="","",IF(COUNTIF(lst_Jobs,C378&amp;"")&gt;0,"OK","CHECK"))</f>
        <v/>
      </c>
      <c r="E378" s="25">
        <f>IF(C378="","",IFERROR(INDEX(lst_JobName,MATCH(C378&amp;"",lst_Jobs,0)),""))</f>
        <v/>
      </c>
      <c r="F378" s="25">
        <f>IF(C378="","",IFERROR(INDEX(tbl_Finance[Client],IFERROR(MATCH(C378&amp;"",tbl_Finance[Job Number],0),MATCH(IFERROR(C378+0,C378),tbl_Finance[Job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6" t="n"/>
      <c r="L378" s="27">
        <f>IF(C378="","",IF(K378="",0,MAX(0,K378-H378)))</f>
        <v/>
      </c>
      <c r="M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N378" s="27">
        <f>IF(C378="","",SUMIFS(tbl_Finance[Inc GST],tbl_Finance[Job Number],C378&amp;""))</f>
        <v/>
      </c>
      <c r="O378" s="24" t="n"/>
      <c r="P378" s="25">
        <f>IF(C378="","",IFERROR(INDEX(tbl_Finance[Description],MATCH(C378&amp;"",tbl_Finance[Job Number],0)),""))</f>
        <v/>
      </c>
      <c r="Q378" s="24" t="n"/>
      <c r="R378" s="24" t="n"/>
      <c r="S378" s="22" t="n"/>
      <c r="T378" s="24" t="n"/>
      <c r="U378" s="25">
        <f>IF(T378="","",IF(AND(LEFT(T378,4)&lt;&gt;"http",set_RMSBase=""),"",HYPERLINK(IF(LEFT(T378,4)="http",T378,set_RMSBase&amp;T378),"Open opportunity")))</f>
        <v/>
      </c>
      <c r="V378" s="24" t="n"/>
      <c r="W378" s="25">
        <f>IF(V378="","",HYPERLINK(IF(LEFT(V378,4)="http",V378,set_QwilrBase&amp;V378),"Open quote"))</f>
        <v/>
      </c>
      <c r="X378" s="25">
        <f>IF(C378="","",C378)</f>
        <v/>
      </c>
      <c r="Y378" s="24" t="n"/>
      <c r="Z378" s="26" t="n"/>
      <c r="AA378" s="27">
        <f>IF(C378="","",H378+N(Z378))</f>
        <v/>
      </c>
      <c r="AB378" s="29">
        <f>IFERROR(Z378/AA378,"")</f>
        <v/>
      </c>
      <c r="AC378" s="26" t="n"/>
      <c r="AD378" s="26" t="n"/>
      <c r="AE378" s="26" t="n"/>
      <c r="AF378" s="26" t="n"/>
      <c r="AG378" s="27">
        <f>IF(C378="","",SUMIFS(tbl_Finance[Ex GST],tbl_Finance[Job Number],C378&amp;"",tbl_Finance[Cost Centre],"VIDEO"))</f>
        <v/>
      </c>
      <c r="AH378" s="29">
        <f>IFERROR(AG378/H378,"")</f>
        <v/>
      </c>
      <c r="AI378" s="27">
        <f>IF(C378="","",N(AC378)+N(AD378)+N(AE378)+N(AF378))</f>
        <v/>
      </c>
      <c r="AJ378" s="27">
        <f>IF(C378="","",H378+L378-AI378)</f>
        <v/>
      </c>
      <c r="AK378" s="29">
        <f>IFERROR(AJ378/(H378+L378),"")</f>
        <v/>
      </c>
      <c r="AL378" s="71" t="n"/>
      <c r="AM378" s="71" t="n"/>
      <c r="AN378" s="71" t="n"/>
      <c r="AO378" s="71" t="n"/>
      <c r="AP378" s="71" t="n"/>
      <c r="AQ378" s="24" t="n"/>
    </row>
    <row r="379" ht="15" customHeight="1">
      <c r="A379" s="70">
        <f>IF(C379="","",IFERROR(IF(SUMPRODUCT(MAX((tbl_Finance[Job Number]&amp;""=C379&amp;"")*(tbl_Finance[Xero Invoice No]&lt;&gt;"")*tbl_Finance[Date]))=0,"",SUMPRODUCT(MAX((tbl_Finance[Job Number]&amp;""=C379&amp;"")*(tbl_Finance[Xero Invoice No]&lt;&gt;"")*tbl_Finance[Date]))),""))</f>
        <v/>
      </c>
      <c r="B379" s="25">
        <f>IF(C379="","",IF(COUNTIFS(tbl_Finance[Job Number],C379&amp;"",tbl_Finance[Xero Invoice No],"&lt;&gt;")=0,"",IFERROR(IF(COUNTIFS(tbl_Finance[Job Number],C379&amp;"",tbl_Finance[Xero Invoice No],LOOKUP(2,1/((tbl_Finance[Job Number]&amp;""=C379&amp;"")*(tbl_Finance[Xero Invoice No]&lt;&gt;"")),tbl_Finance[Xero Invoice No]))=COUNTIFS(tbl_Finance[Job Number],C379&amp;"",tbl_Finance[Xero Invoice No],"&lt;&gt;"),LOOKUP(2,1/((tbl_Finance[Job Number]&amp;""=C379&amp;"")*(tbl_Finance[Xero Invoice No]&lt;&gt;"")),tbl_Finance[Xero Invoice No]),LOOKUP(2,1/((tbl_Finance[Job Number]&amp;""=C379&amp;"")*(tbl_Finance[Xero Invoice No]&lt;&gt;"")),tbl_Finance[Xero Invoice No])&amp;" +more"),"")))</f>
        <v/>
      </c>
      <c r="C379" s="24" t="n"/>
      <c r="D379" s="25">
        <f>IF(C379="","",IF(COUNTIF(lst_Jobs,C379&amp;"")&gt;0,"OK","CHECK"))</f>
        <v/>
      </c>
      <c r="E379" s="25">
        <f>IF(C379="","",IFERROR(INDEX(lst_JobName,MATCH(C379&amp;"",lst_Jobs,0)),""))</f>
        <v/>
      </c>
      <c r="F379" s="25">
        <f>IF(C379="","",IFERROR(INDEX(tbl_Finance[Client],IFERROR(MATCH(C379&amp;"",tbl_Finance[Job Number],0),MATCH(IFERROR(C379+0,C379),tbl_Finance[Job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6" t="n"/>
      <c r="L379" s="27">
        <f>IF(C379="","",IF(K379="",0,MAX(0,K379-H379)))</f>
        <v/>
      </c>
      <c r="M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N379" s="27">
        <f>IF(C379="","",SUMIFS(tbl_Finance[Inc GST],tbl_Finance[Job Number],C379&amp;""))</f>
        <v/>
      </c>
      <c r="O379" s="24" t="n"/>
      <c r="P379" s="25">
        <f>IF(C379="","",IFERROR(INDEX(tbl_Finance[Description],MATCH(C379&amp;"",tbl_Finance[Job Number],0)),""))</f>
        <v/>
      </c>
      <c r="Q379" s="24" t="n"/>
      <c r="R379" s="24" t="n"/>
      <c r="S379" s="22" t="n"/>
      <c r="T379" s="24" t="n"/>
      <c r="U379" s="25">
        <f>IF(T379="","",IF(AND(LEFT(T379,4)&lt;&gt;"http",set_RMSBase=""),"",HYPERLINK(IF(LEFT(T379,4)="http",T379,set_RMSBase&amp;T379),"Open opportunity")))</f>
        <v/>
      </c>
      <c r="V379" s="24" t="n"/>
      <c r="W379" s="25">
        <f>IF(V379="","",HYPERLINK(IF(LEFT(V379,4)="http",V379,set_QwilrBase&amp;V379),"Open quote"))</f>
        <v/>
      </c>
      <c r="X379" s="25">
        <f>IF(C379="","",C379)</f>
        <v/>
      </c>
      <c r="Y379" s="24" t="n"/>
      <c r="Z379" s="26" t="n"/>
      <c r="AA379" s="27">
        <f>IF(C379="","",H379+N(Z379))</f>
        <v/>
      </c>
      <c r="AB379" s="29">
        <f>IFERROR(Z379/AA379,"")</f>
        <v/>
      </c>
      <c r="AC379" s="26" t="n"/>
      <c r="AD379" s="26" t="n"/>
      <c r="AE379" s="26" t="n"/>
      <c r="AF379" s="26" t="n"/>
      <c r="AG379" s="27">
        <f>IF(C379="","",SUMIFS(tbl_Finance[Ex GST],tbl_Finance[Job Number],C379&amp;"",tbl_Finance[Cost Centre],"VIDEO"))</f>
        <v/>
      </c>
      <c r="AH379" s="29">
        <f>IFERROR(AG379/H379,"")</f>
        <v/>
      </c>
      <c r="AI379" s="27">
        <f>IF(C379="","",N(AC379)+N(AD379)+N(AE379)+N(AF379))</f>
        <v/>
      </c>
      <c r="AJ379" s="27">
        <f>IF(C379="","",H379+L379-AI379)</f>
        <v/>
      </c>
      <c r="AK379" s="29">
        <f>IFERROR(AJ379/(H379+L379),"")</f>
        <v/>
      </c>
      <c r="AL379" s="71" t="n"/>
      <c r="AM379" s="71" t="n"/>
      <c r="AN379" s="71" t="n"/>
      <c r="AO379" s="71" t="n"/>
      <c r="AP379" s="71" t="n"/>
      <c r="AQ379" s="24" t="n"/>
    </row>
    <row r="380" ht="15" customHeight="1">
      <c r="A380" s="70">
        <f>IF(C380="","",IFERROR(IF(SUMPRODUCT(MAX((tbl_Finance[Job Number]&amp;""=C380&amp;"")*(tbl_Finance[Xero Invoice No]&lt;&gt;"")*tbl_Finance[Date]))=0,"",SUMPRODUCT(MAX((tbl_Finance[Job Number]&amp;""=C380&amp;"")*(tbl_Finance[Xero Invoice No]&lt;&gt;"")*tbl_Finance[Date]))),""))</f>
        <v/>
      </c>
      <c r="B380" s="25">
        <f>IF(C380="","",IF(COUNTIFS(tbl_Finance[Job Number],C380&amp;"",tbl_Finance[Xero Invoice No],"&lt;&gt;")=0,"",IFERROR(IF(COUNTIFS(tbl_Finance[Job Number],C380&amp;"",tbl_Finance[Xero Invoice No],LOOKUP(2,1/((tbl_Finance[Job Number]&amp;""=C380&amp;"")*(tbl_Finance[Xero Invoice No]&lt;&gt;"")),tbl_Finance[Xero Invoice No]))=COUNTIFS(tbl_Finance[Job Number],C380&amp;"",tbl_Finance[Xero Invoice No],"&lt;&gt;"),LOOKUP(2,1/((tbl_Finance[Job Number]&amp;""=C380&amp;"")*(tbl_Finance[Xero Invoice No]&lt;&gt;"")),tbl_Finance[Xero Invoice No]),LOOKUP(2,1/((tbl_Finance[Job Number]&amp;""=C380&amp;"")*(tbl_Finance[Xero Invoice No]&lt;&gt;"")),tbl_Finance[Xero Invoice No])&amp;" +more"),"")))</f>
        <v/>
      </c>
      <c r="C380" s="24" t="n"/>
      <c r="D380" s="25">
        <f>IF(C380="","",IF(COUNTIF(lst_Jobs,C380&amp;"")&gt;0,"OK","CHECK"))</f>
        <v/>
      </c>
      <c r="E380" s="25">
        <f>IF(C380="","",IFERROR(INDEX(lst_JobName,MATCH(C380&amp;"",lst_Jobs,0)),""))</f>
        <v/>
      </c>
      <c r="F380" s="25">
        <f>IF(C380="","",IFERROR(INDEX(tbl_Finance[Client],IFERROR(MATCH(C380&amp;"",tbl_Finance[Job Number],0),MATCH(IFERROR(C380+0,C380),tbl_Finance[Job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6" t="n"/>
      <c r="L380" s="27">
        <f>IF(C380="","",IF(K380="",0,MAX(0,K380-H380)))</f>
        <v/>
      </c>
      <c r="M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N380" s="27">
        <f>IF(C380="","",SUMIFS(tbl_Finance[Inc GST],tbl_Finance[Job Number],C380&amp;""))</f>
        <v/>
      </c>
      <c r="O380" s="24" t="n"/>
      <c r="P380" s="25">
        <f>IF(C380="","",IFERROR(INDEX(tbl_Finance[Description],MATCH(C380&amp;"",tbl_Finance[Job Number],0)),""))</f>
        <v/>
      </c>
      <c r="Q380" s="24" t="n"/>
      <c r="R380" s="24" t="n"/>
      <c r="S380" s="22" t="n"/>
      <c r="T380" s="24" t="n"/>
      <c r="U380" s="25">
        <f>IF(T380="","",IF(AND(LEFT(T380,4)&lt;&gt;"http",set_RMSBase=""),"",HYPERLINK(IF(LEFT(T380,4)="http",T380,set_RMSBase&amp;T380),"Open opportunity")))</f>
        <v/>
      </c>
      <c r="V380" s="24" t="n"/>
      <c r="W380" s="25">
        <f>IF(V380="","",HYPERLINK(IF(LEFT(V380,4)="http",V380,set_QwilrBase&amp;V380),"Open quote"))</f>
        <v/>
      </c>
      <c r="X380" s="25">
        <f>IF(C380="","",C380)</f>
        <v/>
      </c>
      <c r="Y380" s="24" t="n"/>
      <c r="Z380" s="26" t="n"/>
      <c r="AA380" s="27">
        <f>IF(C380="","",H380+N(Z380))</f>
        <v/>
      </c>
      <c r="AB380" s="29">
        <f>IFERROR(Z380/AA380,"")</f>
        <v/>
      </c>
      <c r="AC380" s="26" t="n"/>
      <c r="AD380" s="26" t="n"/>
      <c r="AE380" s="26" t="n"/>
      <c r="AF380" s="26" t="n"/>
      <c r="AG380" s="27">
        <f>IF(C380="","",SUMIFS(tbl_Finance[Ex GST],tbl_Finance[Job Number],C380&amp;"",tbl_Finance[Cost Centre],"VIDEO"))</f>
        <v/>
      </c>
      <c r="AH380" s="29">
        <f>IFERROR(AG380/H380,"")</f>
        <v/>
      </c>
      <c r="AI380" s="27">
        <f>IF(C380="","",N(AC380)+N(AD380)+N(AE380)+N(AF380))</f>
        <v/>
      </c>
      <c r="AJ380" s="27">
        <f>IF(C380="","",H380+L380-AI380)</f>
        <v/>
      </c>
      <c r="AK380" s="29">
        <f>IFERROR(AJ380/(H380+L380),"")</f>
        <v/>
      </c>
      <c r="AL380" s="71" t="n"/>
      <c r="AM380" s="71" t="n"/>
      <c r="AN380" s="71" t="n"/>
      <c r="AO380" s="71" t="n"/>
      <c r="AP380" s="71" t="n"/>
      <c r="AQ380" s="24" t="n"/>
    </row>
    <row r="381" ht="15" customHeight="1">
      <c r="A381" s="70">
        <f>IF(C381="","",IFERROR(IF(SUMPRODUCT(MAX((tbl_Finance[Job Number]&amp;""=C381&amp;"")*(tbl_Finance[Xero Invoice No]&lt;&gt;"")*tbl_Finance[Date]))=0,"",SUMPRODUCT(MAX((tbl_Finance[Job Number]&amp;""=C381&amp;"")*(tbl_Finance[Xero Invoice No]&lt;&gt;"")*tbl_Finance[Date]))),""))</f>
        <v/>
      </c>
      <c r="B381" s="25">
        <f>IF(C381="","",IF(COUNTIFS(tbl_Finance[Job Number],C381&amp;"",tbl_Finance[Xero Invoice No],"&lt;&gt;")=0,"",IFERROR(IF(COUNTIFS(tbl_Finance[Job Number],C381&amp;"",tbl_Finance[Xero Invoice No],LOOKUP(2,1/((tbl_Finance[Job Number]&amp;""=C381&amp;"")*(tbl_Finance[Xero Invoice No]&lt;&gt;"")),tbl_Finance[Xero Invoice No]))=COUNTIFS(tbl_Finance[Job Number],C381&amp;"",tbl_Finance[Xero Invoice No],"&lt;&gt;"),LOOKUP(2,1/((tbl_Finance[Job Number]&amp;""=C381&amp;"")*(tbl_Finance[Xero Invoice No]&lt;&gt;"")),tbl_Finance[Xero Invoice No]),LOOKUP(2,1/((tbl_Finance[Job Number]&amp;""=C381&amp;"")*(tbl_Finance[Xero Invoice No]&lt;&gt;"")),tbl_Finance[Xero Invoice No])&amp;" +more"),"")))</f>
        <v/>
      </c>
      <c r="C381" s="24" t="n"/>
      <c r="D381" s="25">
        <f>IF(C381="","",IF(COUNTIF(lst_Jobs,C381&amp;"")&gt;0,"OK","CHECK"))</f>
        <v/>
      </c>
      <c r="E381" s="25">
        <f>IF(C381="","",IFERROR(INDEX(lst_JobName,MATCH(C381&amp;"",lst_Jobs,0)),""))</f>
        <v/>
      </c>
      <c r="F381" s="25">
        <f>IF(C381="","",IFERROR(INDEX(tbl_Finance[Client],IFERROR(MATCH(C381&amp;"",tbl_Finance[Job Number],0),MATCH(IFERROR(C381+0,C381),tbl_Finance[Job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6" t="n"/>
      <c r="L381" s="27">
        <f>IF(C381="","",IF(K381="",0,MAX(0,K381-H381)))</f>
        <v/>
      </c>
      <c r="M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N381" s="27">
        <f>IF(C381="","",SUMIFS(tbl_Finance[Inc GST],tbl_Finance[Job Number],C381&amp;""))</f>
        <v/>
      </c>
      <c r="O381" s="24" t="n"/>
      <c r="P381" s="25">
        <f>IF(C381="","",IFERROR(INDEX(tbl_Finance[Description],MATCH(C381&amp;"",tbl_Finance[Job Number],0)),""))</f>
        <v/>
      </c>
      <c r="Q381" s="24" t="n"/>
      <c r="R381" s="24" t="n"/>
      <c r="S381" s="22" t="n"/>
      <c r="T381" s="24" t="n"/>
      <c r="U381" s="25">
        <f>IF(T381="","",IF(AND(LEFT(T381,4)&lt;&gt;"http",set_RMSBase=""),"",HYPERLINK(IF(LEFT(T381,4)="http",T381,set_RMSBase&amp;T381),"Open opportunity")))</f>
        <v/>
      </c>
      <c r="V381" s="24" t="n"/>
      <c r="W381" s="25">
        <f>IF(V381="","",HYPERLINK(IF(LEFT(V381,4)="http",V381,set_QwilrBase&amp;V381),"Open quote"))</f>
        <v/>
      </c>
      <c r="X381" s="25">
        <f>IF(C381="","",C381)</f>
        <v/>
      </c>
      <c r="Y381" s="24" t="n"/>
      <c r="Z381" s="26" t="n"/>
      <c r="AA381" s="27">
        <f>IF(C381="","",H381+N(Z381))</f>
        <v/>
      </c>
      <c r="AB381" s="29">
        <f>IFERROR(Z381/AA381,"")</f>
        <v/>
      </c>
      <c r="AC381" s="26" t="n"/>
      <c r="AD381" s="26" t="n"/>
      <c r="AE381" s="26" t="n"/>
      <c r="AF381" s="26" t="n"/>
      <c r="AG381" s="27">
        <f>IF(C381="","",SUMIFS(tbl_Finance[Ex GST],tbl_Finance[Job Number],C381&amp;"",tbl_Finance[Cost Centre],"VIDEO"))</f>
        <v/>
      </c>
      <c r="AH381" s="29">
        <f>IFERROR(AG381/H381,"")</f>
        <v/>
      </c>
      <c r="AI381" s="27">
        <f>IF(C381="","",N(AC381)+N(AD381)+N(AE381)+N(AF381))</f>
        <v/>
      </c>
      <c r="AJ381" s="27">
        <f>IF(C381="","",H381+L381-AI381)</f>
        <v/>
      </c>
      <c r="AK381" s="29">
        <f>IFERROR(AJ381/(H381+L381),"")</f>
        <v/>
      </c>
      <c r="AL381" s="71" t="n"/>
      <c r="AM381" s="71" t="n"/>
      <c r="AN381" s="71" t="n"/>
      <c r="AO381" s="71" t="n"/>
      <c r="AP381" s="71" t="n"/>
      <c r="AQ381" s="24" t="n"/>
    </row>
    <row r="382" ht="15" customHeight="1">
      <c r="A382" s="70">
        <f>IF(C382="","",IFERROR(IF(SUMPRODUCT(MAX((tbl_Finance[Job Number]&amp;""=C382&amp;"")*(tbl_Finance[Xero Invoice No]&lt;&gt;"")*tbl_Finance[Date]))=0,"",SUMPRODUCT(MAX((tbl_Finance[Job Number]&amp;""=C382&amp;"")*(tbl_Finance[Xero Invoice No]&lt;&gt;"")*tbl_Finance[Date]))),""))</f>
        <v/>
      </c>
      <c r="B382" s="25">
        <f>IF(C382="","",IF(COUNTIFS(tbl_Finance[Job Number],C382&amp;"",tbl_Finance[Xero Invoice No],"&lt;&gt;")=0,"",IFERROR(IF(COUNTIFS(tbl_Finance[Job Number],C382&amp;"",tbl_Finance[Xero Invoice No],LOOKUP(2,1/((tbl_Finance[Job Number]&amp;""=C382&amp;"")*(tbl_Finance[Xero Invoice No]&lt;&gt;"")),tbl_Finance[Xero Invoice No]))=COUNTIFS(tbl_Finance[Job Number],C382&amp;"",tbl_Finance[Xero Invoice No],"&lt;&gt;"),LOOKUP(2,1/((tbl_Finance[Job Number]&amp;""=C382&amp;"")*(tbl_Finance[Xero Invoice No]&lt;&gt;"")),tbl_Finance[Xero Invoice No]),LOOKUP(2,1/((tbl_Finance[Job Number]&amp;""=C382&amp;"")*(tbl_Finance[Xero Invoice No]&lt;&gt;"")),tbl_Finance[Xero Invoice No])&amp;" +more"),"")))</f>
        <v/>
      </c>
      <c r="C382" s="24" t="n"/>
      <c r="D382" s="25">
        <f>IF(C382="","",IF(COUNTIF(lst_Jobs,C382&amp;"")&gt;0,"OK","CHECK"))</f>
        <v/>
      </c>
      <c r="E382" s="25">
        <f>IF(C382="","",IFERROR(INDEX(lst_JobName,MATCH(C382&amp;"",lst_Jobs,0)),""))</f>
        <v/>
      </c>
      <c r="F382" s="25">
        <f>IF(C382="","",IFERROR(INDEX(tbl_Finance[Client],IFERROR(MATCH(C382&amp;"",tbl_Finance[Job Number],0),MATCH(IFERROR(C382+0,C382),tbl_Finance[Job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6" t="n"/>
      <c r="L382" s="27">
        <f>IF(C382="","",IF(K382="",0,MAX(0,K382-H382)))</f>
        <v/>
      </c>
      <c r="M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N382" s="27">
        <f>IF(C382="","",SUMIFS(tbl_Finance[Inc GST],tbl_Finance[Job Number],C382&amp;""))</f>
        <v/>
      </c>
      <c r="O382" s="24" t="n"/>
      <c r="P382" s="25">
        <f>IF(C382="","",IFERROR(INDEX(tbl_Finance[Description],MATCH(C382&amp;"",tbl_Finance[Job Number],0)),""))</f>
        <v/>
      </c>
      <c r="Q382" s="24" t="n"/>
      <c r="R382" s="24" t="n"/>
      <c r="S382" s="22" t="n"/>
      <c r="T382" s="24" t="n"/>
      <c r="U382" s="25">
        <f>IF(T382="","",IF(AND(LEFT(T382,4)&lt;&gt;"http",set_RMSBase=""),"",HYPERLINK(IF(LEFT(T382,4)="http",T382,set_RMSBase&amp;T382),"Open opportunity")))</f>
        <v/>
      </c>
      <c r="V382" s="24" t="n"/>
      <c r="W382" s="25">
        <f>IF(V382="","",HYPERLINK(IF(LEFT(V382,4)="http",V382,set_QwilrBase&amp;V382),"Open quote"))</f>
        <v/>
      </c>
      <c r="X382" s="25">
        <f>IF(C382="","",C382)</f>
        <v/>
      </c>
      <c r="Y382" s="24" t="n"/>
      <c r="Z382" s="26" t="n"/>
      <c r="AA382" s="27">
        <f>IF(C382="","",H382+N(Z382))</f>
        <v/>
      </c>
      <c r="AB382" s="29">
        <f>IFERROR(Z382/AA382,"")</f>
        <v/>
      </c>
      <c r="AC382" s="26" t="n"/>
      <c r="AD382" s="26" t="n"/>
      <c r="AE382" s="26" t="n"/>
      <c r="AF382" s="26" t="n"/>
      <c r="AG382" s="27">
        <f>IF(C382="","",SUMIFS(tbl_Finance[Ex GST],tbl_Finance[Job Number],C382&amp;"",tbl_Finance[Cost Centre],"VIDEO"))</f>
        <v/>
      </c>
      <c r="AH382" s="29">
        <f>IFERROR(AG382/H382,"")</f>
        <v/>
      </c>
      <c r="AI382" s="27">
        <f>IF(C382="","",N(AC382)+N(AD382)+N(AE382)+N(AF382))</f>
        <v/>
      </c>
      <c r="AJ382" s="27">
        <f>IF(C382="","",H382+L382-AI382)</f>
        <v/>
      </c>
      <c r="AK382" s="29">
        <f>IFERROR(AJ382/(H382+L382),"")</f>
        <v/>
      </c>
      <c r="AL382" s="71" t="n"/>
      <c r="AM382" s="71" t="n"/>
      <c r="AN382" s="71" t="n"/>
      <c r="AO382" s="71" t="n"/>
      <c r="AP382" s="71" t="n"/>
      <c r="AQ382" s="24" t="n"/>
    </row>
    <row r="383" ht="15" customHeight="1">
      <c r="A383" s="70">
        <f>IF(C383="","",IFERROR(IF(SUMPRODUCT(MAX((tbl_Finance[Job Number]&amp;""=C383&amp;"")*(tbl_Finance[Xero Invoice No]&lt;&gt;"")*tbl_Finance[Date]))=0,"",SUMPRODUCT(MAX((tbl_Finance[Job Number]&amp;""=C383&amp;"")*(tbl_Finance[Xero Invoice No]&lt;&gt;"")*tbl_Finance[Date]))),""))</f>
        <v/>
      </c>
      <c r="B383" s="25">
        <f>IF(C383="","",IF(COUNTIFS(tbl_Finance[Job Number],C383&amp;"",tbl_Finance[Xero Invoice No],"&lt;&gt;")=0,"",IFERROR(IF(COUNTIFS(tbl_Finance[Job Number],C383&amp;"",tbl_Finance[Xero Invoice No],LOOKUP(2,1/((tbl_Finance[Job Number]&amp;""=C383&amp;"")*(tbl_Finance[Xero Invoice No]&lt;&gt;"")),tbl_Finance[Xero Invoice No]))=COUNTIFS(tbl_Finance[Job Number],C383&amp;"",tbl_Finance[Xero Invoice No],"&lt;&gt;"),LOOKUP(2,1/((tbl_Finance[Job Number]&amp;""=C383&amp;"")*(tbl_Finance[Xero Invoice No]&lt;&gt;"")),tbl_Finance[Xero Invoice No]),LOOKUP(2,1/((tbl_Finance[Job Number]&amp;""=C383&amp;"")*(tbl_Finance[Xero Invoice No]&lt;&gt;"")),tbl_Finance[Xero Invoice No])&amp;" +more"),"")))</f>
        <v/>
      </c>
      <c r="C383" s="24" t="n"/>
      <c r="D383" s="25">
        <f>IF(C383="","",IF(COUNTIF(lst_Jobs,C383&amp;"")&gt;0,"OK","CHECK"))</f>
        <v/>
      </c>
      <c r="E383" s="25">
        <f>IF(C383="","",IFERROR(INDEX(lst_JobName,MATCH(C383&amp;"",lst_Jobs,0)),""))</f>
        <v/>
      </c>
      <c r="F383" s="25">
        <f>IF(C383="","",IFERROR(INDEX(tbl_Finance[Client],IFERROR(MATCH(C383&amp;"",tbl_Finance[Job Number],0),MATCH(IFERROR(C383+0,C383),tbl_Finance[Job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6" t="n"/>
      <c r="L383" s="27">
        <f>IF(C383="","",IF(K383="",0,MAX(0,K383-H383)))</f>
        <v/>
      </c>
      <c r="M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N383" s="27">
        <f>IF(C383="","",SUMIFS(tbl_Finance[Inc GST],tbl_Finance[Job Number],C383&amp;""))</f>
        <v/>
      </c>
      <c r="O383" s="24" t="n"/>
      <c r="P383" s="25">
        <f>IF(C383="","",IFERROR(INDEX(tbl_Finance[Description],MATCH(C383&amp;"",tbl_Finance[Job Number],0)),""))</f>
        <v/>
      </c>
      <c r="Q383" s="24" t="n"/>
      <c r="R383" s="24" t="n"/>
      <c r="S383" s="22" t="n"/>
      <c r="T383" s="24" t="n"/>
      <c r="U383" s="25">
        <f>IF(T383="","",IF(AND(LEFT(T383,4)&lt;&gt;"http",set_RMSBase=""),"",HYPERLINK(IF(LEFT(T383,4)="http",T383,set_RMSBase&amp;T383),"Open opportunity")))</f>
        <v/>
      </c>
      <c r="V383" s="24" t="n"/>
      <c r="W383" s="25">
        <f>IF(V383="","",HYPERLINK(IF(LEFT(V383,4)="http",V383,set_QwilrBase&amp;V383),"Open quote"))</f>
        <v/>
      </c>
      <c r="X383" s="25">
        <f>IF(C383="","",C383)</f>
        <v/>
      </c>
      <c r="Y383" s="24" t="n"/>
      <c r="Z383" s="26" t="n"/>
      <c r="AA383" s="27">
        <f>IF(C383="","",H383+N(Z383))</f>
        <v/>
      </c>
      <c r="AB383" s="29">
        <f>IFERROR(Z383/AA383,"")</f>
        <v/>
      </c>
      <c r="AC383" s="26" t="n"/>
      <c r="AD383" s="26" t="n"/>
      <c r="AE383" s="26" t="n"/>
      <c r="AF383" s="26" t="n"/>
      <c r="AG383" s="27">
        <f>IF(C383="","",SUMIFS(tbl_Finance[Ex GST],tbl_Finance[Job Number],C383&amp;"",tbl_Finance[Cost Centre],"VIDEO"))</f>
        <v/>
      </c>
      <c r="AH383" s="29">
        <f>IFERROR(AG383/H383,"")</f>
        <v/>
      </c>
      <c r="AI383" s="27">
        <f>IF(C383="","",N(AC383)+N(AD383)+N(AE383)+N(AF383))</f>
        <v/>
      </c>
      <c r="AJ383" s="27">
        <f>IF(C383="","",H383+L383-AI383)</f>
        <v/>
      </c>
      <c r="AK383" s="29">
        <f>IFERROR(AJ383/(H383+L383),"")</f>
        <v/>
      </c>
      <c r="AL383" s="71" t="n"/>
      <c r="AM383" s="71" t="n"/>
      <c r="AN383" s="71" t="n"/>
      <c r="AO383" s="71" t="n"/>
      <c r="AP383" s="71" t="n"/>
      <c r="AQ383" s="24" t="n"/>
    </row>
    <row r="384" ht="15" customHeight="1">
      <c r="A384" s="70">
        <f>IF(C384="","",IFERROR(IF(SUMPRODUCT(MAX((tbl_Finance[Job Number]&amp;""=C384&amp;"")*(tbl_Finance[Xero Invoice No]&lt;&gt;"")*tbl_Finance[Date]))=0,"",SUMPRODUCT(MAX((tbl_Finance[Job Number]&amp;""=C384&amp;"")*(tbl_Finance[Xero Invoice No]&lt;&gt;"")*tbl_Finance[Date]))),""))</f>
        <v/>
      </c>
      <c r="B384" s="25">
        <f>IF(C384="","",IF(COUNTIFS(tbl_Finance[Job Number],C384&amp;"",tbl_Finance[Xero Invoice No],"&lt;&gt;")=0,"",IFERROR(IF(COUNTIFS(tbl_Finance[Job Number],C384&amp;"",tbl_Finance[Xero Invoice No],LOOKUP(2,1/((tbl_Finance[Job Number]&amp;""=C384&amp;"")*(tbl_Finance[Xero Invoice No]&lt;&gt;"")),tbl_Finance[Xero Invoice No]))=COUNTIFS(tbl_Finance[Job Number],C384&amp;"",tbl_Finance[Xero Invoice No],"&lt;&gt;"),LOOKUP(2,1/((tbl_Finance[Job Number]&amp;""=C384&amp;"")*(tbl_Finance[Xero Invoice No]&lt;&gt;"")),tbl_Finance[Xero Invoice No]),LOOKUP(2,1/((tbl_Finance[Job Number]&amp;""=C384&amp;"")*(tbl_Finance[Xero Invoice No]&lt;&gt;"")),tbl_Finance[Xero Invoice No])&amp;" +more"),"")))</f>
        <v/>
      </c>
      <c r="C384" s="24" t="n"/>
      <c r="D384" s="25">
        <f>IF(C384="","",IF(COUNTIF(lst_Jobs,C384&amp;"")&gt;0,"OK","CHECK"))</f>
        <v/>
      </c>
      <c r="E384" s="25">
        <f>IF(C384="","",IFERROR(INDEX(lst_JobName,MATCH(C384&amp;"",lst_Jobs,0)),""))</f>
        <v/>
      </c>
      <c r="F384" s="25">
        <f>IF(C384="","",IFERROR(INDEX(tbl_Finance[Client],IFERROR(MATCH(C384&amp;"",tbl_Finance[Job Number],0),MATCH(IFERROR(C384+0,C384),tbl_Finance[Job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6" t="n"/>
      <c r="L384" s="27">
        <f>IF(C384="","",IF(K384="",0,MAX(0,K384-H384)))</f>
        <v/>
      </c>
      <c r="M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N384" s="27">
        <f>IF(C384="","",SUMIFS(tbl_Finance[Inc GST],tbl_Finance[Job Number],C384&amp;""))</f>
        <v/>
      </c>
      <c r="O384" s="24" t="n"/>
      <c r="P384" s="25">
        <f>IF(C384="","",IFERROR(INDEX(tbl_Finance[Description],MATCH(C384&amp;"",tbl_Finance[Job Number],0)),""))</f>
        <v/>
      </c>
      <c r="Q384" s="24" t="n"/>
      <c r="R384" s="24" t="n"/>
      <c r="S384" s="22" t="n"/>
      <c r="T384" s="24" t="n"/>
      <c r="U384" s="25">
        <f>IF(T384="","",IF(AND(LEFT(T384,4)&lt;&gt;"http",set_RMSBase=""),"",HYPERLINK(IF(LEFT(T384,4)="http",T384,set_RMSBase&amp;T384),"Open opportunity")))</f>
        <v/>
      </c>
      <c r="V384" s="24" t="n"/>
      <c r="W384" s="25">
        <f>IF(V384="","",HYPERLINK(IF(LEFT(V384,4)="http",V384,set_QwilrBase&amp;V384),"Open quote"))</f>
        <v/>
      </c>
      <c r="X384" s="25">
        <f>IF(C384="","",C384)</f>
        <v/>
      </c>
      <c r="Y384" s="24" t="n"/>
      <c r="Z384" s="26" t="n"/>
      <c r="AA384" s="27">
        <f>IF(C384="","",H384+N(Z384))</f>
        <v/>
      </c>
      <c r="AB384" s="29">
        <f>IFERROR(Z384/AA384,"")</f>
        <v/>
      </c>
      <c r="AC384" s="26" t="n"/>
      <c r="AD384" s="26" t="n"/>
      <c r="AE384" s="26" t="n"/>
      <c r="AF384" s="26" t="n"/>
      <c r="AG384" s="27">
        <f>IF(C384="","",SUMIFS(tbl_Finance[Ex GST],tbl_Finance[Job Number],C384&amp;"",tbl_Finance[Cost Centre],"VIDEO"))</f>
        <v/>
      </c>
      <c r="AH384" s="29">
        <f>IFERROR(AG384/H384,"")</f>
        <v/>
      </c>
      <c r="AI384" s="27">
        <f>IF(C384="","",N(AC384)+N(AD384)+N(AE384)+N(AF384))</f>
        <v/>
      </c>
      <c r="AJ384" s="27">
        <f>IF(C384="","",H384+L384-AI384)</f>
        <v/>
      </c>
      <c r="AK384" s="29">
        <f>IFERROR(AJ384/(H384+L384),"")</f>
        <v/>
      </c>
      <c r="AL384" s="71" t="n"/>
      <c r="AM384" s="71" t="n"/>
      <c r="AN384" s="71" t="n"/>
      <c r="AO384" s="71" t="n"/>
      <c r="AP384" s="71" t="n"/>
      <c r="AQ384" s="24" t="n"/>
    </row>
    <row r="385" ht="15" customHeight="1">
      <c r="A385" s="70">
        <f>IF(C385="","",IFERROR(IF(SUMPRODUCT(MAX((tbl_Finance[Job Number]&amp;""=C385&amp;"")*(tbl_Finance[Xero Invoice No]&lt;&gt;"")*tbl_Finance[Date]))=0,"",SUMPRODUCT(MAX((tbl_Finance[Job Number]&amp;""=C385&amp;"")*(tbl_Finance[Xero Invoice No]&lt;&gt;"")*tbl_Finance[Date]))),""))</f>
        <v/>
      </c>
      <c r="B385" s="25">
        <f>IF(C385="","",IF(COUNTIFS(tbl_Finance[Job Number],C385&amp;"",tbl_Finance[Xero Invoice No],"&lt;&gt;")=0,"",IFERROR(IF(COUNTIFS(tbl_Finance[Job Number],C385&amp;"",tbl_Finance[Xero Invoice No],LOOKUP(2,1/((tbl_Finance[Job Number]&amp;""=C385&amp;"")*(tbl_Finance[Xero Invoice No]&lt;&gt;"")),tbl_Finance[Xero Invoice No]))=COUNTIFS(tbl_Finance[Job Number],C385&amp;"",tbl_Finance[Xero Invoice No],"&lt;&gt;"),LOOKUP(2,1/((tbl_Finance[Job Number]&amp;""=C385&amp;"")*(tbl_Finance[Xero Invoice No]&lt;&gt;"")),tbl_Finance[Xero Invoice No]),LOOKUP(2,1/((tbl_Finance[Job Number]&amp;""=C385&amp;"")*(tbl_Finance[Xero Invoice No]&lt;&gt;"")),tbl_Finance[Xero Invoice No])&amp;" +more"),"")))</f>
        <v/>
      </c>
      <c r="C385" s="24" t="n"/>
      <c r="D385" s="25">
        <f>IF(C385="","",IF(COUNTIF(lst_Jobs,C385&amp;"")&gt;0,"OK","CHECK"))</f>
        <v/>
      </c>
      <c r="E385" s="25">
        <f>IF(C385="","",IFERROR(INDEX(lst_JobName,MATCH(C385&amp;"",lst_Jobs,0)),""))</f>
        <v/>
      </c>
      <c r="F385" s="25">
        <f>IF(C385="","",IFERROR(INDEX(tbl_Finance[Client],IFERROR(MATCH(C385&amp;"",tbl_Finance[Job Number],0),MATCH(IFERROR(C385+0,C385),tbl_Finance[Job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6" t="n"/>
      <c r="L385" s="27">
        <f>IF(C385="","",IF(K385="",0,MAX(0,K385-H385)))</f>
        <v/>
      </c>
      <c r="M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N385" s="27">
        <f>IF(C385="","",SUMIFS(tbl_Finance[Inc GST],tbl_Finance[Job Number],C385&amp;""))</f>
        <v/>
      </c>
      <c r="O385" s="24" t="n"/>
      <c r="P385" s="25">
        <f>IF(C385="","",IFERROR(INDEX(tbl_Finance[Description],MATCH(C385&amp;"",tbl_Finance[Job Number],0)),""))</f>
        <v/>
      </c>
      <c r="Q385" s="24" t="n"/>
      <c r="R385" s="24" t="n"/>
      <c r="S385" s="22" t="n"/>
      <c r="T385" s="24" t="n"/>
      <c r="U385" s="25">
        <f>IF(T385="","",IF(AND(LEFT(T385,4)&lt;&gt;"http",set_RMSBase=""),"",HYPERLINK(IF(LEFT(T385,4)="http",T385,set_RMSBase&amp;T385),"Open opportunity")))</f>
        <v/>
      </c>
      <c r="V385" s="24" t="n"/>
      <c r="W385" s="25">
        <f>IF(V385="","",HYPERLINK(IF(LEFT(V385,4)="http",V385,set_QwilrBase&amp;V385),"Open quote"))</f>
        <v/>
      </c>
      <c r="X385" s="25">
        <f>IF(C385="","",C385)</f>
        <v/>
      </c>
      <c r="Y385" s="24" t="n"/>
      <c r="Z385" s="26" t="n"/>
      <c r="AA385" s="27">
        <f>IF(C385="","",H385+N(Z385))</f>
        <v/>
      </c>
      <c r="AB385" s="29">
        <f>IFERROR(Z385/AA385,"")</f>
        <v/>
      </c>
      <c r="AC385" s="26" t="n"/>
      <c r="AD385" s="26" t="n"/>
      <c r="AE385" s="26" t="n"/>
      <c r="AF385" s="26" t="n"/>
      <c r="AG385" s="27">
        <f>IF(C385="","",SUMIFS(tbl_Finance[Ex GST],tbl_Finance[Job Number],C385&amp;"",tbl_Finance[Cost Centre],"VIDEO"))</f>
        <v/>
      </c>
      <c r="AH385" s="29">
        <f>IFERROR(AG385/H385,"")</f>
        <v/>
      </c>
      <c r="AI385" s="27">
        <f>IF(C385="","",N(AC385)+N(AD385)+N(AE385)+N(AF385))</f>
        <v/>
      </c>
      <c r="AJ385" s="27">
        <f>IF(C385="","",H385+L385-AI385)</f>
        <v/>
      </c>
      <c r="AK385" s="29">
        <f>IFERROR(AJ385/(H385+L385),"")</f>
        <v/>
      </c>
      <c r="AL385" s="71" t="n"/>
      <c r="AM385" s="71" t="n"/>
      <c r="AN385" s="71" t="n"/>
      <c r="AO385" s="71" t="n"/>
      <c r="AP385" s="71" t="n"/>
      <c r="AQ385" s="24" t="n"/>
    </row>
    <row r="386" ht="15" customHeight="1">
      <c r="A386" s="70">
        <f>IF(C386="","",IFERROR(IF(SUMPRODUCT(MAX((tbl_Finance[Job Number]&amp;""=C386&amp;"")*(tbl_Finance[Xero Invoice No]&lt;&gt;"")*tbl_Finance[Date]))=0,"",SUMPRODUCT(MAX((tbl_Finance[Job Number]&amp;""=C386&amp;"")*(tbl_Finance[Xero Invoice No]&lt;&gt;"")*tbl_Finance[Date]))),""))</f>
        <v/>
      </c>
      <c r="B386" s="25">
        <f>IF(C386="","",IF(COUNTIFS(tbl_Finance[Job Number],C386&amp;"",tbl_Finance[Xero Invoice No],"&lt;&gt;")=0,"",IFERROR(IF(COUNTIFS(tbl_Finance[Job Number],C386&amp;"",tbl_Finance[Xero Invoice No],LOOKUP(2,1/((tbl_Finance[Job Number]&amp;""=C386&amp;"")*(tbl_Finance[Xero Invoice No]&lt;&gt;"")),tbl_Finance[Xero Invoice No]))=COUNTIFS(tbl_Finance[Job Number],C386&amp;"",tbl_Finance[Xero Invoice No],"&lt;&gt;"),LOOKUP(2,1/((tbl_Finance[Job Number]&amp;""=C386&amp;"")*(tbl_Finance[Xero Invoice No]&lt;&gt;"")),tbl_Finance[Xero Invoice No]),LOOKUP(2,1/((tbl_Finance[Job Number]&amp;""=C386&amp;"")*(tbl_Finance[Xero Invoice No]&lt;&gt;"")),tbl_Finance[Xero Invoice No])&amp;" +more"),"")))</f>
        <v/>
      </c>
      <c r="C386" s="24" t="n"/>
      <c r="D386" s="25">
        <f>IF(C386="","",IF(COUNTIF(lst_Jobs,C386&amp;"")&gt;0,"OK","CHECK"))</f>
        <v/>
      </c>
      <c r="E386" s="25">
        <f>IF(C386="","",IFERROR(INDEX(lst_JobName,MATCH(C386&amp;"",lst_Jobs,0)),""))</f>
        <v/>
      </c>
      <c r="F386" s="25">
        <f>IF(C386="","",IFERROR(INDEX(tbl_Finance[Client],IFERROR(MATCH(C386&amp;"",tbl_Finance[Job Number],0),MATCH(IFERROR(C386+0,C386),tbl_Finance[Job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6" t="n"/>
      <c r="L386" s="27">
        <f>IF(C386="","",IF(K386="",0,MAX(0,K386-H386)))</f>
        <v/>
      </c>
      <c r="M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N386" s="27">
        <f>IF(C386="","",SUMIFS(tbl_Finance[Inc GST],tbl_Finance[Job Number],C386&amp;""))</f>
        <v/>
      </c>
      <c r="O386" s="24" t="n"/>
      <c r="P386" s="25">
        <f>IF(C386="","",IFERROR(INDEX(tbl_Finance[Description],MATCH(C386&amp;"",tbl_Finance[Job Number],0)),""))</f>
        <v/>
      </c>
      <c r="Q386" s="24" t="n"/>
      <c r="R386" s="24" t="n"/>
      <c r="S386" s="22" t="n"/>
      <c r="T386" s="24" t="n"/>
      <c r="U386" s="25">
        <f>IF(T386="","",IF(AND(LEFT(T386,4)&lt;&gt;"http",set_RMSBase=""),"",HYPERLINK(IF(LEFT(T386,4)="http",T386,set_RMSBase&amp;T386),"Open opportunity")))</f>
        <v/>
      </c>
      <c r="V386" s="24" t="n"/>
      <c r="W386" s="25">
        <f>IF(V386="","",HYPERLINK(IF(LEFT(V386,4)="http",V386,set_QwilrBase&amp;V386),"Open quote"))</f>
        <v/>
      </c>
      <c r="X386" s="25">
        <f>IF(C386="","",C386)</f>
        <v/>
      </c>
      <c r="Y386" s="24" t="n"/>
      <c r="Z386" s="26" t="n"/>
      <c r="AA386" s="27">
        <f>IF(C386="","",H386+N(Z386))</f>
        <v/>
      </c>
      <c r="AB386" s="29">
        <f>IFERROR(Z386/AA386,"")</f>
        <v/>
      </c>
      <c r="AC386" s="26" t="n"/>
      <c r="AD386" s="26" t="n"/>
      <c r="AE386" s="26" t="n"/>
      <c r="AF386" s="26" t="n"/>
      <c r="AG386" s="27">
        <f>IF(C386="","",SUMIFS(tbl_Finance[Ex GST],tbl_Finance[Job Number],C386&amp;"",tbl_Finance[Cost Centre],"VIDEO"))</f>
        <v/>
      </c>
      <c r="AH386" s="29">
        <f>IFERROR(AG386/H386,"")</f>
        <v/>
      </c>
      <c r="AI386" s="27">
        <f>IF(C386="","",N(AC386)+N(AD386)+N(AE386)+N(AF386))</f>
        <v/>
      </c>
      <c r="AJ386" s="27">
        <f>IF(C386="","",H386+L386-AI386)</f>
        <v/>
      </c>
      <c r="AK386" s="29">
        <f>IFERROR(AJ386/(H386+L386),"")</f>
        <v/>
      </c>
      <c r="AL386" s="71" t="n"/>
      <c r="AM386" s="71" t="n"/>
      <c r="AN386" s="71" t="n"/>
      <c r="AO386" s="71" t="n"/>
      <c r="AP386" s="71" t="n"/>
      <c r="AQ386" s="24" t="n"/>
    </row>
    <row r="387" ht="15" customHeight="1">
      <c r="A387" s="70">
        <f>IF(C387="","",IFERROR(IF(SUMPRODUCT(MAX((tbl_Finance[Job Number]&amp;""=C387&amp;"")*(tbl_Finance[Xero Invoice No]&lt;&gt;"")*tbl_Finance[Date]))=0,"",SUMPRODUCT(MAX((tbl_Finance[Job Number]&amp;""=C387&amp;"")*(tbl_Finance[Xero Invoice No]&lt;&gt;"")*tbl_Finance[Date]))),""))</f>
        <v/>
      </c>
      <c r="B387" s="25">
        <f>IF(C387="","",IF(COUNTIFS(tbl_Finance[Job Number],C387&amp;"",tbl_Finance[Xero Invoice No],"&lt;&gt;")=0,"",IFERROR(IF(COUNTIFS(tbl_Finance[Job Number],C387&amp;"",tbl_Finance[Xero Invoice No],LOOKUP(2,1/((tbl_Finance[Job Number]&amp;""=C387&amp;"")*(tbl_Finance[Xero Invoice No]&lt;&gt;"")),tbl_Finance[Xero Invoice No]))=COUNTIFS(tbl_Finance[Job Number],C387&amp;"",tbl_Finance[Xero Invoice No],"&lt;&gt;"),LOOKUP(2,1/((tbl_Finance[Job Number]&amp;""=C387&amp;"")*(tbl_Finance[Xero Invoice No]&lt;&gt;"")),tbl_Finance[Xero Invoice No]),LOOKUP(2,1/((tbl_Finance[Job Number]&amp;""=C387&amp;"")*(tbl_Finance[Xero Invoice No]&lt;&gt;"")),tbl_Finance[Xero Invoice No])&amp;" +more"),"")))</f>
        <v/>
      </c>
      <c r="C387" s="24" t="n"/>
      <c r="D387" s="25">
        <f>IF(C387="","",IF(COUNTIF(lst_Jobs,C387&amp;"")&gt;0,"OK","CHECK"))</f>
        <v/>
      </c>
      <c r="E387" s="25">
        <f>IF(C387="","",IFERROR(INDEX(lst_JobName,MATCH(C387&amp;"",lst_Jobs,0)),""))</f>
        <v/>
      </c>
      <c r="F387" s="25">
        <f>IF(C387="","",IFERROR(INDEX(tbl_Finance[Client],IFERROR(MATCH(C387&amp;"",tbl_Finance[Job Number],0),MATCH(IFERROR(C387+0,C387),tbl_Finance[Job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6" t="n"/>
      <c r="L387" s="27">
        <f>IF(C387="","",IF(K387="",0,MAX(0,K387-H387)))</f>
        <v/>
      </c>
      <c r="M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N387" s="27">
        <f>IF(C387="","",SUMIFS(tbl_Finance[Inc GST],tbl_Finance[Job Number],C387&amp;""))</f>
        <v/>
      </c>
      <c r="O387" s="24" t="n"/>
      <c r="P387" s="25">
        <f>IF(C387="","",IFERROR(INDEX(tbl_Finance[Description],MATCH(C387&amp;"",tbl_Finance[Job Number],0)),""))</f>
        <v/>
      </c>
      <c r="Q387" s="24" t="n"/>
      <c r="R387" s="24" t="n"/>
      <c r="S387" s="22" t="n"/>
      <c r="T387" s="24" t="n"/>
      <c r="U387" s="25">
        <f>IF(T387="","",IF(AND(LEFT(T387,4)&lt;&gt;"http",set_RMSBase=""),"",HYPERLINK(IF(LEFT(T387,4)="http",T387,set_RMSBase&amp;T387),"Open opportunity")))</f>
        <v/>
      </c>
      <c r="V387" s="24" t="n"/>
      <c r="W387" s="25">
        <f>IF(V387="","",HYPERLINK(IF(LEFT(V387,4)="http",V387,set_QwilrBase&amp;V387),"Open quote"))</f>
        <v/>
      </c>
      <c r="X387" s="25">
        <f>IF(C387="","",C387)</f>
        <v/>
      </c>
      <c r="Y387" s="24" t="n"/>
      <c r="Z387" s="26" t="n"/>
      <c r="AA387" s="27">
        <f>IF(C387="","",H387+N(Z387))</f>
        <v/>
      </c>
      <c r="AB387" s="29">
        <f>IFERROR(Z387/AA387,"")</f>
        <v/>
      </c>
      <c r="AC387" s="26" t="n"/>
      <c r="AD387" s="26" t="n"/>
      <c r="AE387" s="26" t="n"/>
      <c r="AF387" s="26" t="n"/>
      <c r="AG387" s="27">
        <f>IF(C387="","",SUMIFS(tbl_Finance[Ex GST],tbl_Finance[Job Number],C387&amp;"",tbl_Finance[Cost Centre],"VIDEO"))</f>
        <v/>
      </c>
      <c r="AH387" s="29">
        <f>IFERROR(AG387/H387,"")</f>
        <v/>
      </c>
      <c r="AI387" s="27">
        <f>IF(C387="","",N(AC387)+N(AD387)+N(AE387)+N(AF387))</f>
        <v/>
      </c>
      <c r="AJ387" s="27">
        <f>IF(C387="","",H387+L387-AI387)</f>
        <v/>
      </c>
      <c r="AK387" s="29">
        <f>IFERROR(AJ387/(H387+L387),"")</f>
        <v/>
      </c>
      <c r="AL387" s="71" t="n"/>
      <c r="AM387" s="71" t="n"/>
      <c r="AN387" s="71" t="n"/>
      <c r="AO387" s="71" t="n"/>
      <c r="AP387" s="71" t="n"/>
      <c r="AQ387" s="24" t="n"/>
    </row>
    <row r="388" ht="15" customHeight="1">
      <c r="A388" s="70">
        <f>IF(C388="","",IFERROR(IF(SUMPRODUCT(MAX((tbl_Finance[Job Number]&amp;""=C388&amp;"")*(tbl_Finance[Xero Invoice No]&lt;&gt;"")*tbl_Finance[Date]))=0,"",SUMPRODUCT(MAX((tbl_Finance[Job Number]&amp;""=C388&amp;"")*(tbl_Finance[Xero Invoice No]&lt;&gt;"")*tbl_Finance[Date]))),""))</f>
        <v/>
      </c>
      <c r="B388" s="25">
        <f>IF(C388="","",IF(COUNTIFS(tbl_Finance[Job Number],C388&amp;"",tbl_Finance[Xero Invoice No],"&lt;&gt;")=0,"",IFERROR(IF(COUNTIFS(tbl_Finance[Job Number],C388&amp;"",tbl_Finance[Xero Invoice No],LOOKUP(2,1/((tbl_Finance[Job Number]&amp;""=C388&amp;"")*(tbl_Finance[Xero Invoice No]&lt;&gt;"")),tbl_Finance[Xero Invoice No]))=COUNTIFS(tbl_Finance[Job Number],C388&amp;"",tbl_Finance[Xero Invoice No],"&lt;&gt;"),LOOKUP(2,1/((tbl_Finance[Job Number]&amp;""=C388&amp;"")*(tbl_Finance[Xero Invoice No]&lt;&gt;"")),tbl_Finance[Xero Invoice No]),LOOKUP(2,1/((tbl_Finance[Job Number]&amp;""=C388&amp;"")*(tbl_Finance[Xero Invoice No]&lt;&gt;"")),tbl_Finance[Xero Invoice No])&amp;" +more"),"")))</f>
        <v/>
      </c>
      <c r="C388" s="24" t="n"/>
      <c r="D388" s="25">
        <f>IF(C388="","",IF(COUNTIF(lst_Jobs,C388&amp;"")&gt;0,"OK","CHECK"))</f>
        <v/>
      </c>
      <c r="E388" s="25">
        <f>IF(C388="","",IFERROR(INDEX(lst_JobName,MATCH(C388&amp;"",lst_Jobs,0)),""))</f>
        <v/>
      </c>
      <c r="F388" s="25">
        <f>IF(C388="","",IFERROR(INDEX(tbl_Finance[Client],IFERROR(MATCH(C388&amp;"",tbl_Finance[Job Number],0),MATCH(IFERROR(C388+0,C388),tbl_Finance[Job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6" t="n"/>
      <c r="L388" s="27">
        <f>IF(C388="","",IF(K388="",0,MAX(0,K388-H388)))</f>
        <v/>
      </c>
      <c r="M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N388" s="27">
        <f>IF(C388="","",SUMIFS(tbl_Finance[Inc GST],tbl_Finance[Job Number],C388&amp;""))</f>
        <v/>
      </c>
      <c r="O388" s="24" t="n"/>
      <c r="P388" s="25">
        <f>IF(C388="","",IFERROR(INDEX(tbl_Finance[Description],MATCH(C388&amp;"",tbl_Finance[Job Number],0)),""))</f>
        <v/>
      </c>
      <c r="Q388" s="24" t="n"/>
      <c r="R388" s="24" t="n"/>
      <c r="S388" s="22" t="n"/>
      <c r="T388" s="24" t="n"/>
      <c r="U388" s="25">
        <f>IF(T388="","",IF(AND(LEFT(T388,4)&lt;&gt;"http",set_RMSBase=""),"",HYPERLINK(IF(LEFT(T388,4)="http",T388,set_RMSBase&amp;T388),"Open opportunity")))</f>
        <v/>
      </c>
      <c r="V388" s="24" t="n"/>
      <c r="W388" s="25">
        <f>IF(V388="","",HYPERLINK(IF(LEFT(V388,4)="http",V388,set_QwilrBase&amp;V388),"Open quote"))</f>
        <v/>
      </c>
      <c r="X388" s="25">
        <f>IF(C388="","",C388)</f>
        <v/>
      </c>
      <c r="Y388" s="24" t="n"/>
      <c r="Z388" s="26" t="n"/>
      <c r="AA388" s="27">
        <f>IF(C388="","",H388+N(Z388))</f>
        <v/>
      </c>
      <c r="AB388" s="29">
        <f>IFERROR(Z388/AA388,"")</f>
        <v/>
      </c>
      <c r="AC388" s="26" t="n"/>
      <c r="AD388" s="26" t="n"/>
      <c r="AE388" s="26" t="n"/>
      <c r="AF388" s="26" t="n"/>
      <c r="AG388" s="27">
        <f>IF(C388="","",SUMIFS(tbl_Finance[Ex GST],tbl_Finance[Job Number],C388&amp;"",tbl_Finance[Cost Centre],"VIDEO"))</f>
        <v/>
      </c>
      <c r="AH388" s="29">
        <f>IFERROR(AG388/H388,"")</f>
        <v/>
      </c>
      <c r="AI388" s="27">
        <f>IF(C388="","",N(AC388)+N(AD388)+N(AE388)+N(AF388))</f>
        <v/>
      </c>
      <c r="AJ388" s="27">
        <f>IF(C388="","",H388+L388-AI388)</f>
        <v/>
      </c>
      <c r="AK388" s="29">
        <f>IFERROR(AJ388/(H388+L388),"")</f>
        <v/>
      </c>
      <c r="AL388" s="71" t="n"/>
      <c r="AM388" s="71" t="n"/>
      <c r="AN388" s="71" t="n"/>
      <c r="AO388" s="71" t="n"/>
      <c r="AP388" s="71" t="n"/>
      <c r="AQ388" s="24" t="n"/>
    </row>
    <row r="389" ht="15" customHeight="1">
      <c r="A389" s="70">
        <f>IF(C389="","",IFERROR(IF(SUMPRODUCT(MAX((tbl_Finance[Job Number]&amp;""=C389&amp;"")*(tbl_Finance[Xero Invoice No]&lt;&gt;"")*tbl_Finance[Date]))=0,"",SUMPRODUCT(MAX((tbl_Finance[Job Number]&amp;""=C389&amp;"")*(tbl_Finance[Xero Invoice No]&lt;&gt;"")*tbl_Finance[Date]))),""))</f>
        <v/>
      </c>
      <c r="B389" s="25">
        <f>IF(C389="","",IF(COUNTIFS(tbl_Finance[Job Number],C389&amp;"",tbl_Finance[Xero Invoice No],"&lt;&gt;")=0,"",IFERROR(IF(COUNTIFS(tbl_Finance[Job Number],C389&amp;"",tbl_Finance[Xero Invoice No],LOOKUP(2,1/((tbl_Finance[Job Number]&amp;""=C389&amp;"")*(tbl_Finance[Xero Invoice No]&lt;&gt;"")),tbl_Finance[Xero Invoice No]))=COUNTIFS(tbl_Finance[Job Number],C389&amp;"",tbl_Finance[Xero Invoice No],"&lt;&gt;"),LOOKUP(2,1/((tbl_Finance[Job Number]&amp;""=C389&amp;"")*(tbl_Finance[Xero Invoice No]&lt;&gt;"")),tbl_Finance[Xero Invoice No]),LOOKUP(2,1/((tbl_Finance[Job Number]&amp;""=C389&amp;"")*(tbl_Finance[Xero Invoice No]&lt;&gt;"")),tbl_Finance[Xero Invoice No])&amp;" +more"),"")))</f>
        <v/>
      </c>
      <c r="C389" s="24" t="n"/>
      <c r="D389" s="25">
        <f>IF(C389="","",IF(COUNTIF(lst_Jobs,C389&amp;"")&gt;0,"OK","CHECK"))</f>
        <v/>
      </c>
      <c r="E389" s="25">
        <f>IF(C389="","",IFERROR(INDEX(lst_JobName,MATCH(C389&amp;"",lst_Jobs,0)),""))</f>
        <v/>
      </c>
      <c r="F389" s="25">
        <f>IF(C389="","",IFERROR(INDEX(tbl_Finance[Client],IFERROR(MATCH(C389&amp;"",tbl_Finance[Job Number],0),MATCH(IFERROR(C389+0,C389),tbl_Finance[Job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6" t="n"/>
      <c r="L389" s="27">
        <f>IF(C389="","",IF(K389="",0,MAX(0,K389-H389)))</f>
        <v/>
      </c>
      <c r="M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N389" s="27">
        <f>IF(C389="","",SUMIFS(tbl_Finance[Inc GST],tbl_Finance[Job Number],C389&amp;""))</f>
        <v/>
      </c>
      <c r="O389" s="24" t="n"/>
      <c r="P389" s="25">
        <f>IF(C389="","",IFERROR(INDEX(tbl_Finance[Description],MATCH(C389&amp;"",tbl_Finance[Job Number],0)),""))</f>
        <v/>
      </c>
      <c r="Q389" s="24" t="n"/>
      <c r="R389" s="24" t="n"/>
      <c r="S389" s="22" t="n"/>
      <c r="T389" s="24" t="n"/>
      <c r="U389" s="25">
        <f>IF(T389="","",IF(AND(LEFT(T389,4)&lt;&gt;"http",set_RMSBase=""),"",HYPERLINK(IF(LEFT(T389,4)="http",T389,set_RMSBase&amp;T389),"Open opportunity")))</f>
        <v/>
      </c>
      <c r="V389" s="24" t="n"/>
      <c r="W389" s="25">
        <f>IF(V389="","",HYPERLINK(IF(LEFT(V389,4)="http",V389,set_QwilrBase&amp;V389),"Open quote"))</f>
        <v/>
      </c>
      <c r="X389" s="25">
        <f>IF(C389="","",C389)</f>
        <v/>
      </c>
      <c r="Y389" s="24" t="n"/>
      <c r="Z389" s="26" t="n"/>
      <c r="AA389" s="27">
        <f>IF(C389="","",H389+N(Z389))</f>
        <v/>
      </c>
      <c r="AB389" s="29">
        <f>IFERROR(Z389/AA389,"")</f>
        <v/>
      </c>
      <c r="AC389" s="26" t="n"/>
      <c r="AD389" s="26" t="n"/>
      <c r="AE389" s="26" t="n"/>
      <c r="AF389" s="26" t="n"/>
      <c r="AG389" s="27">
        <f>IF(C389="","",SUMIFS(tbl_Finance[Ex GST],tbl_Finance[Job Number],C389&amp;"",tbl_Finance[Cost Centre],"VIDEO"))</f>
        <v/>
      </c>
      <c r="AH389" s="29">
        <f>IFERROR(AG389/H389,"")</f>
        <v/>
      </c>
      <c r="AI389" s="27">
        <f>IF(C389="","",N(AC389)+N(AD389)+N(AE389)+N(AF389))</f>
        <v/>
      </c>
      <c r="AJ389" s="27">
        <f>IF(C389="","",H389+L389-AI389)</f>
        <v/>
      </c>
      <c r="AK389" s="29">
        <f>IFERROR(AJ389/(H389+L389),"")</f>
        <v/>
      </c>
      <c r="AL389" s="71" t="n"/>
      <c r="AM389" s="71" t="n"/>
      <c r="AN389" s="71" t="n"/>
      <c r="AO389" s="71" t="n"/>
      <c r="AP389" s="71" t="n"/>
      <c r="AQ389" s="24" t="n"/>
    </row>
    <row r="390" ht="15" customHeight="1">
      <c r="A390" s="70">
        <f>IF(C390="","",IFERROR(IF(SUMPRODUCT(MAX((tbl_Finance[Job Number]&amp;""=C390&amp;"")*(tbl_Finance[Xero Invoice No]&lt;&gt;"")*tbl_Finance[Date]))=0,"",SUMPRODUCT(MAX((tbl_Finance[Job Number]&amp;""=C390&amp;"")*(tbl_Finance[Xero Invoice No]&lt;&gt;"")*tbl_Finance[Date]))),""))</f>
        <v/>
      </c>
      <c r="B390" s="25">
        <f>IF(C390="","",IF(COUNTIFS(tbl_Finance[Job Number],C390&amp;"",tbl_Finance[Xero Invoice No],"&lt;&gt;")=0,"",IFERROR(IF(COUNTIFS(tbl_Finance[Job Number],C390&amp;"",tbl_Finance[Xero Invoice No],LOOKUP(2,1/((tbl_Finance[Job Number]&amp;""=C390&amp;"")*(tbl_Finance[Xero Invoice No]&lt;&gt;"")),tbl_Finance[Xero Invoice No]))=COUNTIFS(tbl_Finance[Job Number],C390&amp;"",tbl_Finance[Xero Invoice No],"&lt;&gt;"),LOOKUP(2,1/((tbl_Finance[Job Number]&amp;""=C390&amp;"")*(tbl_Finance[Xero Invoice No]&lt;&gt;"")),tbl_Finance[Xero Invoice No]),LOOKUP(2,1/((tbl_Finance[Job Number]&amp;""=C390&amp;"")*(tbl_Finance[Xero Invoice No]&lt;&gt;"")),tbl_Finance[Xero Invoice No])&amp;" +more"),"")))</f>
        <v/>
      </c>
      <c r="C390" s="24" t="n"/>
      <c r="D390" s="25">
        <f>IF(C390="","",IF(COUNTIF(lst_Jobs,C390&amp;"")&gt;0,"OK","CHECK"))</f>
        <v/>
      </c>
      <c r="E390" s="25">
        <f>IF(C390="","",IFERROR(INDEX(lst_JobName,MATCH(C390&amp;"",lst_Jobs,0)),""))</f>
        <v/>
      </c>
      <c r="F390" s="25">
        <f>IF(C390="","",IFERROR(INDEX(tbl_Finance[Client],IFERROR(MATCH(C390&amp;"",tbl_Finance[Job Number],0),MATCH(IFERROR(C390+0,C390),tbl_Finance[Job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6" t="n"/>
      <c r="L390" s="27">
        <f>IF(C390="","",IF(K390="",0,MAX(0,K390-H390)))</f>
        <v/>
      </c>
      <c r="M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N390" s="27">
        <f>IF(C390="","",SUMIFS(tbl_Finance[Inc GST],tbl_Finance[Job Number],C390&amp;""))</f>
        <v/>
      </c>
      <c r="O390" s="24" t="n"/>
      <c r="P390" s="25">
        <f>IF(C390="","",IFERROR(INDEX(tbl_Finance[Description],MATCH(C390&amp;"",tbl_Finance[Job Number],0)),""))</f>
        <v/>
      </c>
      <c r="Q390" s="24" t="n"/>
      <c r="R390" s="24" t="n"/>
      <c r="S390" s="22" t="n"/>
      <c r="T390" s="24" t="n"/>
      <c r="U390" s="25">
        <f>IF(T390="","",IF(AND(LEFT(T390,4)&lt;&gt;"http",set_RMSBase=""),"",HYPERLINK(IF(LEFT(T390,4)="http",T390,set_RMSBase&amp;T390),"Open opportunity")))</f>
        <v/>
      </c>
      <c r="V390" s="24" t="n"/>
      <c r="W390" s="25">
        <f>IF(V390="","",HYPERLINK(IF(LEFT(V390,4)="http",V390,set_QwilrBase&amp;V390),"Open quote"))</f>
        <v/>
      </c>
      <c r="X390" s="25">
        <f>IF(C390="","",C390)</f>
        <v/>
      </c>
      <c r="Y390" s="24" t="n"/>
      <c r="Z390" s="26" t="n"/>
      <c r="AA390" s="27">
        <f>IF(C390="","",H390+N(Z390))</f>
        <v/>
      </c>
      <c r="AB390" s="29">
        <f>IFERROR(Z390/AA390,"")</f>
        <v/>
      </c>
      <c r="AC390" s="26" t="n"/>
      <c r="AD390" s="26" t="n"/>
      <c r="AE390" s="26" t="n"/>
      <c r="AF390" s="26" t="n"/>
      <c r="AG390" s="27">
        <f>IF(C390="","",SUMIFS(tbl_Finance[Ex GST],tbl_Finance[Job Number],C390&amp;"",tbl_Finance[Cost Centre],"VIDEO"))</f>
        <v/>
      </c>
      <c r="AH390" s="29">
        <f>IFERROR(AG390/H390,"")</f>
        <v/>
      </c>
      <c r="AI390" s="27">
        <f>IF(C390="","",N(AC390)+N(AD390)+N(AE390)+N(AF390))</f>
        <v/>
      </c>
      <c r="AJ390" s="27">
        <f>IF(C390="","",H390+L390-AI390)</f>
        <v/>
      </c>
      <c r="AK390" s="29">
        <f>IFERROR(AJ390/(H390+L390),"")</f>
        <v/>
      </c>
      <c r="AL390" s="71" t="n"/>
      <c r="AM390" s="71" t="n"/>
      <c r="AN390" s="71" t="n"/>
      <c r="AO390" s="71" t="n"/>
      <c r="AP390" s="71" t="n"/>
      <c r="AQ390" s="24" t="n"/>
    </row>
    <row r="391" ht="15" customHeight="1">
      <c r="A391" s="70">
        <f>IF(C391="","",IFERROR(IF(SUMPRODUCT(MAX((tbl_Finance[Job Number]&amp;""=C391&amp;"")*(tbl_Finance[Xero Invoice No]&lt;&gt;"")*tbl_Finance[Date]))=0,"",SUMPRODUCT(MAX((tbl_Finance[Job Number]&amp;""=C391&amp;"")*(tbl_Finance[Xero Invoice No]&lt;&gt;"")*tbl_Finance[Date]))),""))</f>
        <v/>
      </c>
      <c r="B391" s="25">
        <f>IF(C391="","",IF(COUNTIFS(tbl_Finance[Job Number],C391&amp;"",tbl_Finance[Xero Invoice No],"&lt;&gt;")=0,"",IFERROR(IF(COUNTIFS(tbl_Finance[Job Number],C391&amp;"",tbl_Finance[Xero Invoice No],LOOKUP(2,1/((tbl_Finance[Job Number]&amp;""=C391&amp;"")*(tbl_Finance[Xero Invoice No]&lt;&gt;"")),tbl_Finance[Xero Invoice No]))=COUNTIFS(tbl_Finance[Job Number],C391&amp;"",tbl_Finance[Xero Invoice No],"&lt;&gt;"),LOOKUP(2,1/((tbl_Finance[Job Number]&amp;""=C391&amp;"")*(tbl_Finance[Xero Invoice No]&lt;&gt;"")),tbl_Finance[Xero Invoice No]),LOOKUP(2,1/((tbl_Finance[Job Number]&amp;""=C391&amp;"")*(tbl_Finance[Xero Invoice No]&lt;&gt;"")),tbl_Finance[Xero Invoice No])&amp;" +more"),"")))</f>
        <v/>
      </c>
      <c r="C391" s="24" t="n"/>
      <c r="D391" s="25">
        <f>IF(C391="","",IF(COUNTIF(lst_Jobs,C391&amp;"")&gt;0,"OK","CHECK"))</f>
        <v/>
      </c>
      <c r="E391" s="25">
        <f>IF(C391="","",IFERROR(INDEX(lst_JobName,MATCH(C391&amp;"",lst_Jobs,0)),""))</f>
        <v/>
      </c>
      <c r="F391" s="25">
        <f>IF(C391="","",IFERROR(INDEX(tbl_Finance[Client],IFERROR(MATCH(C391&amp;"",tbl_Finance[Job Number],0),MATCH(IFERROR(C391+0,C391),tbl_Finance[Job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6" t="n"/>
      <c r="L391" s="27">
        <f>IF(C391="","",IF(K391="",0,MAX(0,K391-H391)))</f>
        <v/>
      </c>
      <c r="M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N391" s="27">
        <f>IF(C391="","",SUMIFS(tbl_Finance[Inc GST],tbl_Finance[Job Number],C391&amp;""))</f>
        <v/>
      </c>
      <c r="O391" s="24" t="n"/>
      <c r="P391" s="25">
        <f>IF(C391="","",IFERROR(INDEX(tbl_Finance[Description],MATCH(C391&amp;"",tbl_Finance[Job Number],0)),""))</f>
        <v/>
      </c>
      <c r="Q391" s="24" t="n"/>
      <c r="R391" s="24" t="n"/>
      <c r="S391" s="22" t="n"/>
      <c r="T391" s="24" t="n"/>
      <c r="U391" s="25">
        <f>IF(T391="","",IF(AND(LEFT(T391,4)&lt;&gt;"http",set_RMSBase=""),"",HYPERLINK(IF(LEFT(T391,4)="http",T391,set_RMSBase&amp;T391),"Open opportunity")))</f>
        <v/>
      </c>
      <c r="V391" s="24" t="n"/>
      <c r="W391" s="25">
        <f>IF(V391="","",HYPERLINK(IF(LEFT(V391,4)="http",V391,set_QwilrBase&amp;V391),"Open quote"))</f>
        <v/>
      </c>
      <c r="X391" s="25">
        <f>IF(C391="","",C391)</f>
        <v/>
      </c>
      <c r="Y391" s="24" t="n"/>
      <c r="Z391" s="26" t="n"/>
      <c r="AA391" s="27">
        <f>IF(C391="","",H391+N(Z391))</f>
        <v/>
      </c>
      <c r="AB391" s="29">
        <f>IFERROR(Z391/AA391,"")</f>
        <v/>
      </c>
      <c r="AC391" s="26" t="n"/>
      <c r="AD391" s="26" t="n"/>
      <c r="AE391" s="26" t="n"/>
      <c r="AF391" s="26" t="n"/>
      <c r="AG391" s="27">
        <f>IF(C391="","",SUMIFS(tbl_Finance[Ex GST],tbl_Finance[Job Number],C391&amp;"",tbl_Finance[Cost Centre],"VIDEO"))</f>
        <v/>
      </c>
      <c r="AH391" s="29">
        <f>IFERROR(AG391/H391,"")</f>
        <v/>
      </c>
      <c r="AI391" s="27">
        <f>IF(C391="","",N(AC391)+N(AD391)+N(AE391)+N(AF391))</f>
        <v/>
      </c>
      <c r="AJ391" s="27">
        <f>IF(C391="","",H391+L391-AI391)</f>
        <v/>
      </c>
      <c r="AK391" s="29">
        <f>IFERROR(AJ391/(H391+L391),"")</f>
        <v/>
      </c>
      <c r="AL391" s="71" t="n"/>
      <c r="AM391" s="71" t="n"/>
      <c r="AN391" s="71" t="n"/>
      <c r="AO391" s="71" t="n"/>
      <c r="AP391" s="71" t="n"/>
      <c r="AQ391" s="24" t="n"/>
    </row>
    <row r="392" ht="15" customHeight="1">
      <c r="A392" s="70">
        <f>IF(C392="","",IFERROR(IF(SUMPRODUCT(MAX((tbl_Finance[Job Number]&amp;""=C392&amp;"")*(tbl_Finance[Xero Invoice No]&lt;&gt;"")*tbl_Finance[Date]))=0,"",SUMPRODUCT(MAX((tbl_Finance[Job Number]&amp;""=C392&amp;"")*(tbl_Finance[Xero Invoice No]&lt;&gt;"")*tbl_Finance[Date]))),""))</f>
        <v/>
      </c>
      <c r="B392" s="25">
        <f>IF(C392="","",IF(COUNTIFS(tbl_Finance[Job Number],C392&amp;"",tbl_Finance[Xero Invoice No],"&lt;&gt;")=0,"",IFERROR(IF(COUNTIFS(tbl_Finance[Job Number],C392&amp;"",tbl_Finance[Xero Invoice No],LOOKUP(2,1/((tbl_Finance[Job Number]&amp;""=C392&amp;"")*(tbl_Finance[Xero Invoice No]&lt;&gt;"")),tbl_Finance[Xero Invoice No]))=COUNTIFS(tbl_Finance[Job Number],C392&amp;"",tbl_Finance[Xero Invoice No],"&lt;&gt;"),LOOKUP(2,1/((tbl_Finance[Job Number]&amp;""=C392&amp;"")*(tbl_Finance[Xero Invoice No]&lt;&gt;"")),tbl_Finance[Xero Invoice No]),LOOKUP(2,1/((tbl_Finance[Job Number]&amp;""=C392&amp;"")*(tbl_Finance[Xero Invoice No]&lt;&gt;"")),tbl_Finance[Xero Invoice No])&amp;" +more"),"")))</f>
        <v/>
      </c>
      <c r="C392" s="24" t="n"/>
      <c r="D392" s="25">
        <f>IF(C392="","",IF(COUNTIF(lst_Jobs,C392&amp;"")&gt;0,"OK","CHECK"))</f>
        <v/>
      </c>
      <c r="E392" s="25">
        <f>IF(C392="","",IFERROR(INDEX(lst_JobName,MATCH(C392&amp;"",lst_Jobs,0)),""))</f>
        <v/>
      </c>
      <c r="F392" s="25">
        <f>IF(C392="","",IFERROR(INDEX(tbl_Finance[Client],IFERROR(MATCH(C392&amp;"",tbl_Finance[Job Number],0),MATCH(IFERROR(C392+0,C392),tbl_Finance[Job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6" t="n"/>
      <c r="L392" s="27">
        <f>IF(C392="","",IF(K392="",0,MAX(0,K392-H392)))</f>
        <v/>
      </c>
      <c r="M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N392" s="27">
        <f>IF(C392="","",SUMIFS(tbl_Finance[Inc GST],tbl_Finance[Job Number],C392&amp;""))</f>
        <v/>
      </c>
      <c r="O392" s="24" t="n"/>
      <c r="P392" s="25">
        <f>IF(C392="","",IFERROR(INDEX(tbl_Finance[Description],MATCH(C392&amp;"",tbl_Finance[Job Number],0)),""))</f>
        <v/>
      </c>
      <c r="Q392" s="24" t="n"/>
      <c r="R392" s="24" t="n"/>
      <c r="S392" s="22" t="n"/>
      <c r="T392" s="24" t="n"/>
      <c r="U392" s="25">
        <f>IF(T392="","",IF(AND(LEFT(T392,4)&lt;&gt;"http",set_RMSBase=""),"",HYPERLINK(IF(LEFT(T392,4)="http",T392,set_RMSBase&amp;T392),"Open opportunity")))</f>
        <v/>
      </c>
      <c r="V392" s="24" t="n"/>
      <c r="W392" s="25">
        <f>IF(V392="","",HYPERLINK(IF(LEFT(V392,4)="http",V392,set_QwilrBase&amp;V392),"Open quote"))</f>
        <v/>
      </c>
      <c r="X392" s="25">
        <f>IF(C392="","",C392)</f>
        <v/>
      </c>
      <c r="Y392" s="24" t="n"/>
      <c r="Z392" s="26" t="n"/>
      <c r="AA392" s="27">
        <f>IF(C392="","",H392+N(Z392))</f>
        <v/>
      </c>
      <c r="AB392" s="29">
        <f>IFERROR(Z392/AA392,"")</f>
        <v/>
      </c>
      <c r="AC392" s="26" t="n"/>
      <c r="AD392" s="26" t="n"/>
      <c r="AE392" s="26" t="n"/>
      <c r="AF392" s="26" t="n"/>
      <c r="AG392" s="27">
        <f>IF(C392="","",SUMIFS(tbl_Finance[Ex GST],tbl_Finance[Job Number],C392&amp;"",tbl_Finance[Cost Centre],"VIDEO"))</f>
        <v/>
      </c>
      <c r="AH392" s="29">
        <f>IFERROR(AG392/H392,"")</f>
        <v/>
      </c>
      <c r="AI392" s="27">
        <f>IF(C392="","",N(AC392)+N(AD392)+N(AE392)+N(AF392))</f>
        <v/>
      </c>
      <c r="AJ392" s="27">
        <f>IF(C392="","",H392+L392-AI392)</f>
        <v/>
      </c>
      <c r="AK392" s="29">
        <f>IFERROR(AJ392/(H392+L392),"")</f>
        <v/>
      </c>
      <c r="AL392" s="71" t="n"/>
      <c r="AM392" s="71" t="n"/>
      <c r="AN392" s="71" t="n"/>
      <c r="AO392" s="71" t="n"/>
      <c r="AP392" s="71" t="n"/>
      <c r="AQ392" s="24" t="n"/>
    </row>
    <row r="393" ht="15" customHeight="1">
      <c r="A393" s="70">
        <f>IF(C393="","",IFERROR(IF(SUMPRODUCT(MAX((tbl_Finance[Job Number]&amp;""=C393&amp;"")*(tbl_Finance[Xero Invoice No]&lt;&gt;"")*tbl_Finance[Date]))=0,"",SUMPRODUCT(MAX((tbl_Finance[Job Number]&amp;""=C393&amp;"")*(tbl_Finance[Xero Invoice No]&lt;&gt;"")*tbl_Finance[Date]))),""))</f>
        <v/>
      </c>
      <c r="B393" s="25">
        <f>IF(C393="","",IF(COUNTIFS(tbl_Finance[Job Number],C393&amp;"",tbl_Finance[Xero Invoice No],"&lt;&gt;")=0,"",IFERROR(IF(COUNTIFS(tbl_Finance[Job Number],C393&amp;"",tbl_Finance[Xero Invoice No],LOOKUP(2,1/((tbl_Finance[Job Number]&amp;""=C393&amp;"")*(tbl_Finance[Xero Invoice No]&lt;&gt;"")),tbl_Finance[Xero Invoice No]))=COUNTIFS(tbl_Finance[Job Number],C393&amp;"",tbl_Finance[Xero Invoice No],"&lt;&gt;"),LOOKUP(2,1/((tbl_Finance[Job Number]&amp;""=C393&amp;"")*(tbl_Finance[Xero Invoice No]&lt;&gt;"")),tbl_Finance[Xero Invoice No]),LOOKUP(2,1/((tbl_Finance[Job Number]&amp;""=C393&amp;"")*(tbl_Finance[Xero Invoice No]&lt;&gt;"")),tbl_Finance[Xero Invoice No])&amp;" +more"),"")))</f>
        <v/>
      </c>
      <c r="C393" s="24" t="n"/>
      <c r="D393" s="25">
        <f>IF(C393="","",IF(COUNTIF(lst_Jobs,C393&amp;"")&gt;0,"OK","CHECK"))</f>
        <v/>
      </c>
      <c r="E393" s="25">
        <f>IF(C393="","",IFERROR(INDEX(lst_JobName,MATCH(C393&amp;"",lst_Jobs,0)),""))</f>
        <v/>
      </c>
      <c r="F393" s="25">
        <f>IF(C393="","",IFERROR(INDEX(tbl_Finance[Client],IFERROR(MATCH(C393&amp;"",tbl_Finance[Job Number],0),MATCH(IFERROR(C393+0,C393),tbl_Finance[Job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6" t="n"/>
      <c r="L393" s="27">
        <f>IF(C393="","",IF(K393="",0,MAX(0,K393-H393)))</f>
        <v/>
      </c>
      <c r="M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N393" s="27">
        <f>IF(C393="","",SUMIFS(tbl_Finance[Inc GST],tbl_Finance[Job Number],C393&amp;""))</f>
        <v/>
      </c>
      <c r="O393" s="24" t="n"/>
      <c r="P393" s="25">
        <f>IF(C393="","",IFERROR(INDEX(tbl_Finance[Description],MATCH(C393&amp;"",tbl_Finance[Job Number],0)),""))</f>
        <v/>
      </c>
      <c r="Q393" s="24" t="n"/>
      <c r="R393" s="24" t="n"/>
      <c r="S393" s="22" t="n"/>
      <c r="T393" s="24" t="n"/>
      <c r="U393" s="25">
        <f>IF(T393="","",IF(AND(LEFT(T393,4)&lt;&gt;"http",set_RMSBase=""),"",HYPERLINK(IF(LEFT(T393,4)="http",T393,set_RMSBase&amp;T393),"Open opportunity")))</f>
        <v/>
      </c>
      <c r="V393" s="24" t="n"/>
      <c r="W393" s="25">
        <f>IF(V393="","",HYPERLINK(IF(LEFT(V393,4)="http",V393,set_QwilrBase&amp;V393),"Open quote"))</f>
        <v/>
      </c>
      <c r="X393" s="25">
        <f>IF(C393="","",C393)</f>
        <v/>
      </c>
      <c r="Y393" s="24" t="n"/>
      <c r="Z393" s="26" t="n"/>
      <c r="AA393" s="27">
        <f>IF(C393="","",H393+N(Z393))</f>
        <v/>
      </c>
      <c r="AB393" s="29">
        <f>IFERROR(Z393/AA393,"")</f>
        <v/>
      </c>
      <c r="AC393" s="26" t="n"/>
      <c r="AD393" s="26" t="n"/>
      <c r="AE393" s="26" t="n"/>
      <c r="AF393" s="26" t="n"/>
      <c r="AG393" s="27">
        <f>IF(C393="","",SUMIFS(tbl_Finance[Ex GST],tbl_Finance[Job Number],C393&amp;"",tbl_Finance[Cost Centre],"VIDEO"))</f>
        <v/>
      </c>
      <c r="AH393" s="29">
        <f>IFERROR(AG393/H393,"")</f>
        <v/>
      </c>
      <c r="AI393" s="27">
        <f>IF(C393="","",N(AC393)+N(AD393)+N(AE393)+N(AF393))</f>
        <v/>
      </c>
      <c r="AJ393" s="27">
        <f>IF(C393="","",H393+L393-AI393)</f>
        <v/>
      </c>
      <c r="AK393" s="29">
        <f>IFERROR(AJ393/(H393+L393),"")</f>
        <v/>
      </c>
      <c r="AL393" s="71" t="n"/>
      <c r="AM393" s="71" t="n"/>
      <c r="AN393" s="71" t="n"/>
      <c r="AO393" s="71" t="n"/>
      <c r="AP393" s="71" t="n"/>
      <c r="AQ393" s="24" t="n"/>
    </row>
    <row r="394" ht="15" customHeight="1">
      <c r="A394" s="70">
        <f>IF(C394="","",IFERROR(IF(SUMPRODUCT(MAX((tbl_Finance[Job Number]&amp;""=C394&amp;"")*(tbl_Finance[Xero Invoice No]&lt;&gt;"")*tbl_Finance[Date]))=0,"",SUMPRODUCT(MAX((tbl_Finance[Job Number]&amp;""=C394&amp;"")*(tbl_Finance[Xero Invoice No]&lt;&gt;"")*tbl_Finance[Date]))),""))</f>
        <v/>
      </c>
      <c r="B394" s="25">
        <f>IF(C394="","",IF(COUNTIFS(tbl_Finance[Job Number],C394&amp;"",tbl_Finance[Xero Invoice No],"&lt;&gt;")=0,"",IFERROR(IF(COUNTIFS(tbl_Finance[Job Number],C394&amp;"",tbl_Finance[Xero Invoice No],LOOKUP(2,1/((tbl_Finance[Job Number]&amp;""=C394&amp;"")*(tbl_Finance[Xero Invoice No]&lt;&gt;"")),tbl_Finance[Xero Invoice No]))=COUNTIFS(tbl_Finance[Job Number],C394&amp;"",tbl_Finance[Xero Invoice No],"&lt;&gt;"),LOOKUP(2,1/((tbl_Finance[Job Number]&amp;""=C394&amp;"")*(tbl_Finance[Xero Invoice No]&lt;&gt;"")),tbl_Finance[Xero Invoice No]),LOOKUP(2,1/((tbl_Finance[Job Number]&amp;""=C394&amp;"")*(tbl_Finance[Xero Invoice No]&lt;&gt;"")),tbl_Finance[Xero Invoice No])&amp;" +more"),"")))</f>
        <v/>
      </c>
      <c r="C394" s="24" t="n"/>
      <c r="D394" s="25">
        <f>IF(C394="","",IF(COUNTIF(lst_Jobs,C394&amp;"")&gt;0,"OK","CHECK"))</f>
        <v/>
      </c>
      <c r="E394" s="25">
        <f>IF(C394="","",IFERROR(INDEX(lst_JobName,MATCH(C394&amp;"",lst_Jobs,0)),""))</f>
        <v/>
      </c>
      <c r="F394" s="25">
        <f>IF(C394="","",IFERROR(INDEX(tbl_Finance[Client],IFERROR(MATCH(C394&amp;"",tbl_Finance[Job Number],0),MATCH(IFERROR(C394+0,C394),tbl_Finance[Job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6" t="n"/>
      <c r="L394" s="27">
        <f>IF(C394="","",IF(K394="",0,MAX(0,K394-H394)))</f>
        <v/>
      </c>
      <c r="M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N394" s="27">
        <f>IF(C394="","",SUMIFS(tbl_Finance[Inc GST],tbl_Finance[Job Number],C394&amp;""))</f>
        <v/>
      </c>
      <c r="O394" s="24" t="n"/>
      <c r="P394" s="25">
        <f>IF(C394="","",IFERROR(INDEX(tbl_Finance[Description],MATCH(C394&amp;"",tbl_Finance[Job Number],0)),""))</f>
        <v/>
      </c>
      <c r="Q394" s="24" t="n"/>
      <c r="R394" s="24" t="n"/>
      <c r="S394" s="22" t="n"/>
      <c r="T394" s="24" t="n"/>
      <c r="U394" s="25">
        <f>IF(T394="","",IF(AND(LEFT(T394,4)&lt;&gt;"http",set_RMSBase=""),"",HYPERLINK(IF(LEFT(T394,4)="http",T394,set_RMSBase&amp;T394),"Open opportunity")))</f>
        <v/>
      </c>
      <c r="V394" s="24" t="n"/>
      <c r="W394" s="25">
        <f>IF(V394="","",HYPERLINK(IF(LEFT(V394,4)="http",V394,set_QwilrBase&amp;V394),"Open quote"))</f>
        <v/>
      </c>
      <c r="X394" s="25">
        <f>IF(C394="","",C394)</f>
        <v/>
      </c>
      <c r="Y394" s="24" t="n"/>
      <c r="Z394" s="26" t="n"/>
      <c r="AA394" s="27">
        <f>IF(C394="","",H394+N(Z394))</f>
        <v/>
      </c>
      <c r="AB394" s="29">
        <f>IFERROR(Z394/AA394,"")</f>
        <v/>
      </c>
      <c r="AC394" s="26" t="n"/>
      <c r="AD394" s="26" t="n"/>
      <c r="AE394" s="26" t="n"/>
      <c r="AF394" s="26" t="n"/>
      <c r="AG394" s="27">
        <f>IF(C394="","",SUMIFS(tbl_Finance[Ex GST],tbl_Finance[Job Number],C394&amp;"",tbl_Finance[Cost Centre],"VIDEO"))</f>
        <v/>
      </c>
      <c r="AH394" s="29">
        <f>IFERROR(AG394/H394,"")</f>
        <v/>
      </c>
      <c r="AI394" s="27">
        <f>IF(C394="","",N(AC394)+N(AD394)+N(AE394)+N(AF394))</f>
        <v/>
      </c>
      <c r="AJ394" s="27">
        <f>IF(C394="","",H394+L394-AI394)</f>
        <v/>
      </c>
      <c r="AK394" s="29">
        <f>IFERROR(AJ394/(H394+L394),"")</f>
        <v/>
      </c>
      <c r="AL394" s="71" t="n"/>
      <c r="AM394" s="71" t="n"/>
      <c r="AN394" s="71" t="n"/>
      <c r="AO394" s="71" t="n"/>
      <c r="AP394" s="71" t="n"/>
      <c r="AQ394" s="24" t="n"/>
    </row>
    <row r="395" ht="15" customHeight="1">
      <c r="A395" s="70">
        <f>IF(C395="","",IFERROR(IF(SUMPRODUCT(MAX((tbl_Finance[Job Number]&amp;""=C395&amp;"")*(tbl_Finance[Xero Invoice No]&lt;&gt;"")*tbl_Finance[Date]))=0,"",SUMPRODUCT(MAX((tbl_Finance[Job Number]&amp;""=C395&amp;"")*(tbl_Finance[Xero Invoice No]&lt;&gt;"")*tbl_Finance[Date]))),""))</f>
        <v/>
      </c>
      <c r="B395" s="25">
        <f>IF(C395="","",IF(COUNTIFS(tbl_Finance[Job Number],C395&amp;"",tbl_Finance[Xero Invoice No],"&lt;&gt;")=0,"",IFERROR(IF(COUNTIFS(tbl_Finance[Job Number],C395&amp;"",tbl_Finance[Xero Invoice No],LOOKUP(2,1/((tbl_Finance[Job Number]&amp;""=C395&amp;"")*(tbl_Finance[Xero Invoice No]&lt;&gt;"")),tbl_Finance[Xero Invoice No]))=COUNTIFS(tbl_Finance[Job Number],C395&amp;"",tbl_Finance[Xero Invoice No],"&lt;&gt;"),LOOKUP(2,1/((tbl_Finance[Job Number]&amp;""=C395&amp;"")*(tbl_Finance[Xero Invoice No]&lt;&gt;"")),tbl_Finance[Xero Invoice No]),LOOKUP(2,1/((tbl_Finance[Job Number]&amp;""=C395&amp;"")*(tbl_Finance[Xero Invoice No]&lt;&gt;"")),tbl_Finance[Xero Invoice No])&amp;" +more"),"")))</f>
        <v/>
      </c>
      <c r="C395" s="24" t="n"/>
      <c r="D395" s="25">
        <f>IF(C395="","",IF(COUNTIF(lst_Jobs,C395&amp;"")&gt;0,"OK","CHECK"))</f>
        <v/>
      </c>
      <c r="E395" s="25">
        <f>IF(C395="","",IFERROR(INDEX(lst_JobName,MATCH(C395&amp;"",lst_Jobs,0)),""))</f>
        <v/>
      </c>
      <c r="F395" s="25">
        <f>IF(C395="","",IFERROR(INDEX(tbl_Finance[Client],IFERROR(MATCH(C395&amp;"",tbl_Finance[Job Number],0),MATCH(IFERROR(C395+0,C395),tbl_Finance[Job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6" t="n"/>
      <c r="L395" s="27">
        <f>IF(C395="","",IF(K395="",0,MAX(0,K395-H395)))</f>
        <v/>
      </c>
      <c r="M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N395" s="27">
        <f>IF(C395="","",SUMIFS(tbl_Finance[Inc GST],tbl_Finance[Job Number],C395&amp;""))</f>
        <v/>
      </c>
      <c r="O395" s="24" t="n"/>
      <c r="P395" s="25">
        <f>IF(C395="","",IFERROR(INDEX(tbl_Finance[Description],MATCH(C395&amp;"",tbl_Finance[Job Number],0)),""))</f>
        <v/>
      </c>
      <c r="Q395" s="24" t="n"/>
      <c r="R395" s="24" t="n"/>
      <c r="S395" s="22" t="n"/>
      <c r="T395" s="24" t="n"/>
      <c r="U395" s="25">
        <f>IF(T395="","",IF(AND(LEFT(T395,4)&lt;&gt;"http",set_RMSBase=""),"",HYPERLINK(IF(LEFT(T395,4)="http",T395,set_RMSBase&amp;T395),"Open opportunity")))</f>
        <v/>
      </c>
      <c r="V395" s="24" t="n"/>
      <c r="W395" s="25">
        <f>IF(V395="","",HYPERLINK(IF(LEFT(V395,4)="http",V395,set_QwilrBase&amp;V395),"Open quote"))</f>
        <v/>
      </c>
      <c r="X395" s="25">
        <f>IF(C395="","",C395)</f>
        <v/>
      </c>
      <c r="Y395" s="24" t="n"/>
      <c r="Z395" s="26" t="n"/>
      <c r="AA395" s="27">
        <f>IF(C395="","",H395+N(Z395))</f>
        <v/>
      </c>
      <c r="AB395" s="29">
        <f>IFERROR(Z395/AA395,"")</f>
        <v/>
      </c>
      <c r="AC395" s="26" t="n"/>
      <c r="AD395" s="26" t="n"/>
      <c r="AE395" s="26" t="n"/>
      <c r="AF395" s="26" t="n"/>
      <c r="AG395" s="27">
        <f>IF(C395="","",SUMIFS(tbl_Finance[Ex GST],tbl_Finance[Job Number],C395&amp;"",tbl_Finance[Cost Centre],"VIDEO"))</f>
        <v/>
      </c>
      <c r="AH395" s="29">
        <f>IFERROR(AG395/H395,"")</f>
        <v/>
      </c>
      <c r="AI395" s="27">
        <f>IF(C395="","",N(AC395)+N(AD395)+N(AE395)+N(AF395))</f>
        <v/>
      </c>
      <c r="AJ395" s="27">
        <f>IF(C395="","",H395+L395-AI395)</f>
        <v/>
      </c>
      <c r="AK395" s="29">
        <f>IFERROR(AJ395/(H395+L395),"")</f>
        <v/>
      </c>
      <c r="AL395" s="71" t="n"/>
      <c r="AM395" s="71" t="n"/>
      <c r="AN395" s="71" t="n"/>
      <c r="AO395" s="71" t="n"/>
      <c r="AP395" s="71" t="n"/>
      <c r="AQ395" s="24" t="n"/>
    </row>
    <row r="396" ht="15" customHeight="1">
      <c r="A396" s="70">
        <f>IF(C396="","",IFERROR(IF(SUMPRODUCT(MAX((tbl_Finance[Job Number]&amp;""=C396&amp;"")*(tbl_Finance[Xero Invoice No]&lt;&gt;"")*tbl_Finance[Date]))=0,"",SUMPRODUCT(MAX((tbl_Finance[Job Number]&amp;""=C396&amp;"")*(tbl_Finance[Xero Invoice No]&lt;&gt;"")*tbl_Finance[Date]))),""))</f>
        <v/>
      </c>
      <c r="B396" s="25">
        <f>IF(C396="","",IF(COUNTIFS(tbl_Finance[Job Number],C396&amp;"",tbl_Finance[Xero Invoice No],"&lt;&gt;")=0,"",IFERROR(IF(COUNTIFS(tbl_Finance[Job Number],C396&amp;"",tbl_Finance[Xero Invoice No],LOOKUP(2,1/((tbl_Finance[Job Number]&amp;""=C396&amp;"")*(tbl_Finance[Xero Invoice No]&lt;&gt;"")),tbl_Finance[Xero Invoice No]))=COUNTIFS(tbl_Finance[Job Number],C396&amp;"",tbl_Finance[Xero Invoice No],"&lt;&gt;"),LOOKUP(2,1/((tbl_Finance[Job Number]&amp;""=C396&amp;"")*(tbl_Finance[Xero Invoice No]&lt;&gt;"")),tbl_Finance[Xero Invoice No]),LOOKUP(2,1/((tbl_Finance[Job Number]&amp;""=C396&amp;"")*(tbl_Finance[Xero Invoice No]&lt;&gt;"")),tbl_Finance[Xero Invoice No])&amp;" +more"),"")))</f>
        <v/>
      </c>
      <c r="C396" s="24" t="n"/>
      <c r="D396" s="25">
        <f>IF(C396="","",IF(COUNTIF(lst_Jobs,C396&amp;"")&gt;0,"OK","CHECK"))</f>
        <v/>
      </c>
      <c r="E396" s="25">
        <f>IF(C396="","",IFERROR(INDEX(lst_JobName,MATCH(C396&amp;"",lst_Jobs,0)),""))</f>
        <v/>
      </c>
      <c r="F396" s="25">
        <f>IF(C396="","",IFERROR(INDEX(tbl_Finance[Client],IFERROR(MATCH(C396&amp;"",tbl_Finance[Job Number],0),MATCH(IFERROR(C396+0,C396),tbl_Finance[Job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6" t="n"/>
      <c r="L396" s="27">
        <f>IF(C396="","",IF(K396="",0,MAX(0,K396-H396)))</f>
        <v/>
      </c>
      <c r="M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N396" s="27">
        <f>IF(C396="","",SUMIFS(tbl_Finance[Inc GST],tbl_Finance[Job Number],C396&amp;""))</f>
        <v/>
      </c>
      <c r="O396" s="24" t="n"/>
      <c r="P396" s="25">
        <f>IF(C396="","",IFERROR(INDEX(tbl_Finance[Description],MATCH(C396&amp;"",tbl_Finance[Job Number],0)),""))</f>
        <v/>
      </c>
      <c r="Q396" s="24" t="n"/>
      <c r="R396" s="24" t="n"/>
      <c r="S396" s="22" t="n"/>
      <c r="T396" s="24" t="n"/>
      <c r="U396" s="25">
        <f>IF(T396="","",IF(AND(LEFT(T396,4)&lt;&gt;"http",set_RMSBase=""),"",HYPERLINK(IF(LEFT(T396,4)="http",T396,set_RMSBase&amp;T396),"Open opportunity")))</f>
        <v/>
      </c>
      <c r="V396" s="24" t="n"/>
      <c r="W396" s="25">
        <f>IF(V396="","",HYPERLINK(IF(LEFT(V396,4)="http",V396,set_QwilrBase&amp;V396),"Open quote"))</f>
        <v/>
      </c>
      <c r="X396" s="25">
        <f>IF(C396="","",C396)</f>
        <v/>
      </c>
      <c r="Y396" s="24" t="n"/>
      <c r="Z396" s="26" t="n"/>
      <c r="AA396" s="27">
        <f>IF(C396="","",H396+N(Z396))</f>
        <v/>
      </c>
      <c r="AB396" s="29">
        <f>IFERROR(Z396/AA396,"")</f>
        <v/>
      </c>
      <c r="AC396" s="26" t="n"/>
      <c r="AD396" s="26" t="n"/>
      <c r="AE396" s="26" t="n"/>
      <c r="AF396" s="26" t="n"/>
      <c r="AG396" s="27">
        <f>IF(C396="","",SUMIFS(tbl_Finance[Ex GST],tbl_Finance[Job Number],C396&amp;"",tbl_Finance[Cost Centre],"VIDEO"))</f>
        <v/>
      </c>
      <c r="AH396" s="29">
        <f>IFERROR(AG396/H396,"")</f>
        <v/>
      </c>
      <c r="AI396" s="27">
        <f>IF(C396="","",N(AC396)+N(AD396)+N(AE396)+N(AF396))</f>
        <v/>
      </c>
      <c r="AJ396" s="27">
        <f>IF(C396="","",H396+L396-AI396)</f>
        <v/>
      </c>
      <c r="AK396" s="29">
        <f>IFERROR(AJ396/(H396+L396),"")</f>
        <v/>
      </c>
      <c r="AL396" s="71" t="n"/>
      <c r="AM396" s="71" t="n"/>
      <c r="AN396" s="71" t="n"/>
      <c r="AO396" s="71" t="n"/>
      <c r="AP396" s="71" t="n"/>
      <c r="AQ396" s="24" t="n"/>
    </row>
    <row r="397" ht="15" customHeight="1">
      <c r="A397" s="70">
        <f>IF(C397="","",IFERROR(IF(SUMPRODUCT(MAX((tbl_Finance[Job Number]&amp;""=C397&amp;"")*(tbl_Finance[Xero Invoice No]&lt;&gt;"")*tbl_Finance[Date]))=0,"",SUMPRODUCT(MAX((tbl_Finance[Job Number]&amp;""=C397&amp;"")*(tbl_Finance[Xero Invoice No]&lt;&gt;"")*tbl_Finance[Date]))),""))</f>
        <v/>
      </c>
      <c r="B397" s="25">
        <f>IF(C397="","",IF(COUNTIFS(tbl_Finance[Job Number],C397&amp;"",tbl_Finance[Xero Invoice No],"&lt;&gt;")=0,"",IFERROR(IF(COUNTIFS(tbl_Finance[Job Number],C397&amp;"",tbl_Finance[Xero Invoice No],LOOKUP(2,1/((tbl_Finance[Job Number]&amp;""=C397&amp;"")*(tbl_Finance[Xero Invoice No]&lt;&gt;"")),tbl_Finance[Xero Invoice No]))=COUNTIFS(tbl_Finance[Job Number],C397&amp;"",tbl_Finance[Xero Invoice No],"&lt;&gt;"),LOOKUP(2,1/((tbl_Finance[Job Number]&amp;""=C397&amp;"")*(tbl_Finance[Xero Invoice No]&lt;&gt;"")),tbl_Finance[Xero Invoice No]),LOOKUP(2,1/((tbl_Finance[Job Number]&amp;""=C397&amp;"")*(tbl_Finance[Xero Invoice No]&lt;&gt;"")),tbl_Finance[Xero Invoice No])&amp;" +more"),"")))</f>
        <v/>
      </c>
      <c r="C397" s="24" t="n"/>
      <c r="D397" s="25">
        <f>IF(C397="","",IF(COUNTIF(lst_Jobs,C397&amp;"")&gt;0,"OK","CHECK"))</f>
        <v/>
      </c>
      <c r="E397" s="25">
        <f>IF(C397="","",IFERROR(INDEX(lst_JobName,MATCH(C397&amp;"",lst_Jobs,0)),""))</f>
        <v/>
      </c>
      <c r="F397" s="25">
        <f>IF(C397="","",IFERROR(INDEX(tbl_Finance[Client],IFERROR(MATCH(C397&amp;"",tbl_Finance[Job Number],0),MATCH(IFERROR(C397+0,C397),tbl_Finance[Job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6" t="n"/>
      <c r="L397" s="27">
        <f>IF(C397="","",IF(K397="",0,MAX(0,K397-H397)))</f>
        <v/>
      </c>
      <c r="M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N397" s="27">
        <f>IF(C397="","",SUMIFS(tbl_Finance[Inc GST],tbl_Finance[Job Number],C397&amp;""))</f>
        <v/>
      </c>
      <c r="O397" s="24" t="n"/>
      <c r="P397" s="25">
        <f>IF(C397="","",IFERROR(INDEX(tbl_Finance[Description],MATCH(C397&amp;"",tbl_Finance[Job Number],0)),""))</f>
        <v/>
      </c>
      <c r="Q397" s="24" t="n"/>
      <c r="R397" s="24" t="n"/>
      <c r="S397" s="22" t="n"/>
      <c r="T397" s="24" t="n"/>
      <c r="U397" s="25">
        <f>IF(T397="","",IF(AND(LEFT(T397,4)&lt;&gt;"http",set_RMSBase=""),"",HYPERLINK(IF(LEFT(T397,4)="http",T397,set_RMSBase&amp;T397),"Open opportunity")))</f>
        <v/>
      </c>
      <c r="V397" s="24" t="n"/>
      <c r="W397" s="25">
        <f>IF(V397="","",HYPERLINK(IF(LEFT(V397,4)="http",V397,set_QwilrBase&amp;V397),"Open quote"))</f>
        <v/>
      </c>
      <c r="X397" s="25">
        <f>IF(C397="","",C397)</f>
        <v/>
      </c>
      <c r="Y397" s="24" t="n"/>
      <c r="Z397" s="26" t="n"/>
      <c r="AA397" s="27">
        <f>IF(C397="","",H397+N(Z397))</f>
        <v/>
      </c>
      <c r="AB397" s="29">
        <f>IFERROR(Z397/AA397,"")</f>
        <v/>
      </c>
      <c r="AC397" s="26" t="n"/>
      <c r="AD397" s="26" t="n"/>
      <c r="AE397" s="26" t="n"/>
      <c r="AF397" s="26" t="n"/>
      <c r="AG397" s="27">
        <f>IF(C397="","",SUMIFS(tbl_Finance[Ex GST],tbl_Finance[Job Number],C397&amp;"",tbl_Finance[Cost Centre],"VIDEO"))</f>
        <v/>
      </c>
      <c r="AH397" s="29">
        <f>IFERROR(AG397/H397,"")</f>
        <v/>
      </c>
      <c r="AI397" s="27">
        <f>IF(C397="","",N(AC397)+N(AD397)+N(AE397)+N(AF397))</f>
        <v/>
      </c>
      <c r="AJ397" s="27">
        <f>IF(C397="","",H397+L397-AI397)</f>
        <v/>
      </c>
      <c r="AK397" s="29">
        <f>IFERROR(AJ397/(H397+L397),"")</f>
        <v/>
      </c>
      <c r="AL397" s="71" t="n"/>
      <c r="AM397" s="71" t="n"/>
      <c r="AN397" s="71" t="n"/>
      <c r="AO397" s="71" t="n"/>
      <c r="AP397" s="71" t="n"/>
      <c r="AQ397" s="24" t="n"/>
    </row>
    <row r="398" ht="15" customHeight="1">
      <c r="A398" s="70">
        <f>IF(C398="","",IFERROR(IF(SUMPRODUCT(MAX((tbl_Finance[Job Number]&amp;""=C398&amp;"")*(tbl_Finance[Xero Invoice No]&lt;&gt;"")*tbl_Finance[Date]))=0,"",SUMPRODUCT(MAX((tbl_Finance[Job Number]&amp;""=C398&amp;"")*(tbl_Finance[Xero Invoice No]&lt;&gt;"")*tbl_Finance[Date]))),""))</f>
        <v/>
      </c>
      <c r="B398" s="25">
        <f>IF(C398="","",IF(COUNTIFS(tbl_Finance[Job Number],C398&amp;"",tbl_Finance[Xero Invoice No],"&lt;&gt;")=0,"",IFERROR(IF(COUNTIFS(tbl_Finance[Job Number],C398&amp;"",tbl_Finance[Xero Invoice No],LOOKUP(2,1/((tbl_Finance[Job Number]&amp;""=C398&amp;"")*(tbl_Finance[Xero Invoice No]&lt;&gt;"")),tbl_Finance[Xero Invoice No]))=COUNTIFS(tbl_Finance[Job Number],C398&amp;"",tbl_Finance[Xero Invoice No],"&lt;&gt;"),LOOKUP(2,1/((tbl_Finance[Job Number]&amp;""=C398&amp;"")*(tbl_Finance[Xero Invoice No]&lt;&gt;"")),tbl_Finance[Xero Invoice No]),LOOKUP(2,1/((tbl_Finance[Job Number]&amp;""=C398&amp;"")*(tbl_Finance[Xero Invoice No]&lt;&gt;"")),tbl_Finance[Xero Invoice No])&amp;" +more"),"")))</f>
        <v/>
      </c>
      <c r="C398" s="24" t="n"/>
      <c r="D398" s="25">
        <f>IF(C398="","",IF(COUNTIF(lst_Jobs,C398&amp;"")&gt;0,"OK","CHECK"))</f>
        <v/>
      </c>
      <c r="E398" s="25">
        <f>IF(C398="","",IFERROR(INDEX(lst_JobName,MATCH(C398&amp;"",lst_Jobs,0)),""))</f>
        <v/>
      </c>
      <c r="F398" s="25">
        <f>IF(C398="","",IFERROR(INDEX(tbl_Finance[Client],IFERROR(MATCH(C398&amp;"",tbl_Finance[Job Number],0),MATCH(IFERROR(C398+0,C398),tbl_Finance[Job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6" t="n"/>
      <c r="L398" s="27">
        <f>IF(C398="","",IF(K398="",0,MAX(0,K398-H398)))</f>
        <v/>
      </c>
      <c r="M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N398" s="27">
        <f>IF(C398="","",SUMIFS(tbl_Finance[Inc GST],tbl_Finance[Job Number],C398&amp;""))</f>
        <v/>
      </c>
      <c r="O398" s="24" t="n"/>
      <c r="P398" s="25">
        <f>IF(C398="","",IFERROR(INDEX(tbl_Finance[Description],MATCH(C398&amp;"",tbl_Finance[Job Number],0)),""))</f>
        <v/>
      </c>
      <c r="Q398" s="24" t="n"/>
      <c r="R398" s="24" t="n"/>
      <c r="S398" s="22" t="n"/>
      <c r="T398" s="24" t="n"/>
      <c r="U398" s="25">
        <f>IF(T398="","",IF(AND(LEFT(T398,4)&lt;&gt;"http",set_RMSBase=""),"",HYPERLINK(IF(LEFT(T398,4)="http",T398,set_RMSBase&amp;T398),"Open opportunity")))</f>
        <v/>
      </c>
      <c r="V398" s="24" t="n"/>
      <c r="W398" s="25">
        <f>IF(V398="","",HYPERLINK(IF(LEFT(V398,4)="http",V398,set_QwilrBase&amp;V398),"Open quote"))</f>
        <v/>
      </c>
      <c r="X398" s="25">
        <f>IF(C398="","",C398)</f>
        <v/>
      </c>
      <c r="Y398" s="24" t="n"/>
      <c r="Z398" s="26" t="n"/>
      <c r="AA398" s="27">
        <f>IF(C398="","",H398+N(Z398))</f>
        <v/>
      </c>
      <c r="AB398" s="29">
        <f>IFERROR(Z398/AA398,"")</f>
        <v/>
      </c>
      <c r="AC398" s="26" t="n"/>
      <c r="AD398" s="26" t="n"/>
      <c r="AE398" s="26" t="n"/>
      <c r="AF398" s="26" t="n"/>
      <c r="AG398" s="27">
        <f>IF(C398="","",SUMIFS(tbl_Finance[Ex GST],tbl_Finance[Job Number],C398&amp;"",tbl_Finance[Cost Centre],"VIDEO"))</f>
        <v/>
      </c>
      <c r="AH398" s="29">
        <f>IFERROR(AG398/H398,"")</f>
        <v/>
      </c>
      <c r="AI398" s="27">
        <f>IF(C398="","",N(AC398)+N(AD398)+N(AE398)+N(AF398))</f>
        <v/>
      </c>
      <c r="AJ398" s="27">
        <f>IF(C398="","",H398+L398-AI398)</f>
        <v/>
      </c>
      <c r="AK398" s="29">
        <f>IFERROR(AJ398/(H398+L398),"")</f>
        <v/>
      </c>
      <c r="AL398" s="71" t="n"/>
      <c r="AM398" s="71" t="n"/>
      <c r="AN398" s="71" t="n"/>
      <c r="AO398" s="71" t="n"/>
      <c r="AP398" s="71" t="n"/>
      <c r="AQ398" s="24" t="n"/>
    </row>
    <row r="399" ht="15" customHeight="1">
      <c r="A399" s="70">
        <f>IF(C399="","",IFERROR(IF(SUMPRODUCT(MAX((tbl_Finance[Job Number]&amp;""=C399&amp;"")*(tbl_Finance[Xero Invoice No]&lt;&gt;"")*tbl_Finance[Date]))=0,"",SUMPRODUCT(MAX((tbl_Finance[Job Number]&amp;""=C399&amp;"")*(tbl_Finance[Xero Invoice No]&lt;&gt;"")*tbl_Finance[Date]))),""))</f>
        <v/>
      </c>
      <c r="B399" s="25">
        <f>IF(C399="","",IF(COUNTIFS(tbl_Finance[Job Number],C399&amp;"",tbl_Finance[Xero Invoice No],"&lt;&gt;")=0,"",IFERROR(IF(COUNTIFS(tbl_Finance[Job Number],C399&amp;"",tbl_Finance[Xero Invoice No],LOOKUP(2,1/((tbl_Finance[Job Number]&amp;""=C399&amp;"")*(tbl_Finance[Xero Invoice No]&lt;&gt;"")),tbl_Finance[Xero Invoice No]))=COUNTIFS(tbl_Finance[Job Number],C399&amp;"",tbl_Finance[Xero Invoice No],"&lt;&gt;"),LOOKUP(2,1/((tbl_Finance[Job Number]&amp;""=C399&amp;"")*(tbl_Finance[Xero Invoice No]&lt;&gt;"")),tbl_Finance[Xero Invoice No]),LOOKUP(2,1/((tbl_Finance[Job Number]&amp;""=C399&amp;"")*(tbl_Finance[Xero Invoice No]&lt;&gt;"")),tbl_Finance[Xero Invoice No])&amp;" +more"),"")))</f>
        <v/>
      </c>
      <c r="C399" s="24" t="n"/>
      <c r="D399" s="25">
        <f>IF(C399="","",IF(COUNTIF(lst_Jobs,C399&amp;"")&gt;0,"OK","CHECK"))</f>
        <v/>
      </c>
      <c r="E399" s="25">
        <f>IF(C399="","",IFERROR(INDEX(lst_JobName,MATCH(C399&amp;"",lst_Jobs,0)),""))</f>
        <v/>
      </c>
      <c r="F399" s="25">
        <f>IF(C399="","",IFERROR(INDEX(tbl_Finance[Client],IFERROR(MATCH(C399&amp;"",tbl_Finance[Job Number],0),MATCH(IFERROR(C399+0,C399),tbl_Finance[Job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6" t="n"/>
      <c r="L399" s="27">
        <f>IF(C399="","",IF(K399="",0,MAX(0,K399-H399)))</f>
        <v/>
      </c>
      <c r="M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N399" s="27">
        <f>IF(C399="","",SUMIFS(tbl_Finance[Inc GST],tbl_Finance[Job Number],C399&amp;""))</f>
        <v/>
      </c>
      <c r="O399" s="24" t="n"/>
      <c r="P399" s="25">
        <f>IF(C399="","",IFERROR(INDEX(tbl_Finance[Description],MATCH(C399&amp;"",tbl_Finance[Job Number],0)),""))</f>
        <v/>
      </c>
      <c r="Q399" s="24" t="n"/>
      <c r="R399" s="24" t="n"/>
      <c r="S399" s="22" t="n"/>
      <c r="T399" s="24" t="n"/>
      <c r="U399" s="25">
        <f>IF(T399="","",IF(AND(LEFT(T399,4)&lt;&gt;"http",set_RMSBase=""),"",HYPERLINK(IF(LEFT(T399,4)="http",T399,set_RMSBase&amp;T399),"Open opportunity")))</f>
        <v/>
      </c>
      <c r="V399" s="24" t="n"/>
      <c r="W399" s="25">
        <f>IF(V399="","",HYPERLINK(IF(LEFT(V399,4)="http",V399,set_QwilrBase&amp;V399),"Open quote"))</f>
        <v/>
      </c>
      <c r="X399" s="25">
        <f>IF(C399="","",C399)</f>
        <v/>
      </c>
      <c r="Y399" s="24" t="n"/>
      <c r="Z399" s="26" t="n"/>
      <c r="AA399" s="27">
        <f>IF(C399="","",H399+N(Z399))</f>
        <v/>
      </c>
      <c r="AB399" s="29">
        <f>IFERROR(Z399/AA399,"")</f>
        <v/>
      </c>
      <c r="AC399" s="26" t="n"/>
      <c r="AD399" s="26" t="n"/>
      <c r="AE399" s="26" t="n"/>
      <c r="AF399" s="26" t="n"/>
      <c r="AG399" s="27">
        <f>IF(C399="","",SUMIFS(tbl_Finance[Ex GST],tbl_Finance[Job Number],C399&amp;"",tbl_Finance[Cost Centre],"VIDEO"))</f>
        <v/>
      </c>
      <c r="AH399" s="29">
        <f>IFERROR(AG399/H399,"")</f>
        <v/>
      </c>
      <c r="AI399" s="27">
        <f>IF(C399="","",N(AC399)+N(AD399)+N(AE399)+N(AF399))</f>
        <v/>
      </c>
      <c r="AJ399" s="27">
        <f>IF(C399="","",H399+L399-AI399)</f>
        <v/>
      </c>
      <c r="AK399" s="29">
        <f>IFERROR(AJ399/(H399+L399),"")</f>
        <v/>
      </c>
      <c r="AL399" s="71" t="n"/>
      <c r="AM399" s="71" t="n"/>
      <c r="AN399" s="71" t="n"/>
      <c r="AO399" s="71" t="n"/>
      <c r="AP399" s="71" t="n"/>
      <c r="AQ399" s="24" t="n"/>
    </row>
    <row r="400" ht="15" customHeight="1">
      <c r="A400" s="70">
        <f>IF(C400="","",IFERROR(IF(SUMPRODUCT(MAX((tbl_Finance[Job Number]&amp;""=C400&amp;"")*(tbl_Finance[Xero Invoice No]&lt;&gt;"")*tbl_Finance[Date]))=0,"",SUMPRODUCT(MAX((tbl_Finance[Job Number]&amp;""=C400&amp;"")*(tbl_Finance[Xero Invoice No]&lt;&gt;"")*tbl_Finance[Date]))),""))</f>
        <v/>
      </c>
      <c r="B400" s="25">
        <f>IF(C400="","",IF(COUNTIFS(tbl_Finance[Job Number],C400&amp;"",tbl_Finance[Xero Invoice No],"&lt;&gt;")=0,"",IFERROR(IF(COUNTIFS(tbl_Finance[Job Number],C400&amp;"",tbl_Finance[Xero Invoice No],LOOKUP(2,1/((tbl_Finance[Job Number]&amp;""=C400&amp;"")*(tbl_Finance[Xero Invoice No]&lt;&gt;"")),tbl_Finance[Xero Invoice No]))=COUNTIFS(tbl_Finance[Job Number],C400&amp;"",tbl_Finance[Xero Invoice No],"&lt;&gt;"),LOOKUP(2,1/((tbl_Finance[Job Number]&amp;""=C400&amp;"")*(tbl_Finance[Xero Invoice No]&lt;&gt;"")),tbl_Finance[Xero Invoice No]),LOOKUP(2,1/((tbl_Finance[Job Number]&amp;""=C400&amp;"")*(tbl_Finance[Xero Invoice No]&lt;&gt;"")),tbl_Finance[Xero Invoice No])&amp;" +more"),"")))</f>
        <v/>
      </c>
      <c r="C400" s="24" t="n"/>
      <c r="D400" s="25">
        <f>IF(C400="","",IF(COUNTIF(lst_Jobs,C400&amp;"")&gt;0,"OK","CHECK"))</f>
        <v/>
      </c>
      <c r="E400" s="25">
        <f>IF(C400="","",IFERROR(INDEX(lst_JobName,MATCH(C400&amp;"",lst_Jobs,0)),""))</f>
        <v/>
      </c>
      <c r="F400" s="25">
        <f>IF(C400="","",IFERROR(INDEX(tbl_Finance[Client],IFERROR(MATCH(C400&amp;"",tbl_Finance[Job Number],0),MATCH(IFERROR(C400+0,C400),tbl_Finance[Job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6" t="n"/>
      <c r="L400" s="27">
        <f>IF(C400="","",IF(K400="",0,MAX(0,K400-H400)))</f>
        <v/>
      </c>
      <c r="M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N400" s="27">
        <f>IF(C400="","",SUMIFS(tbl_Finance[Inc GST],tbl_Finance[Job Number],C400&amp;""))</f>
        <v/>
      </c>
      <c r="O400" s="24" t="n"/>
      <c r="P400" s="25">
        <f>IF(C400="","",IFERROR(INDEX(tbl_Finance[Description],MATCH(C400&amp;"",tbl_Finance[Job Number],0)),""))</f>
        <v/>
      </c>
      <c r="Q400" s="24" t="n"/>
      <c r="R400" s="24" t="n"/>
      <c r="S400" s="22" t="n"/>
      <c r="T400" s="24" t="n"/>
      <c r="U400" s="25">
        <f>IF(T400="","",IF(AND(LEFT(T400,4)&lt;&gt;"http",set_RMSBase=""),"",HYPERLINK(IF(LEFT(T400,4)="http",T400,set_RMSBase&amp;T400),"Open opportunity")))</f>
        <v/>
      </c>
      <c r="V400" s="24" t="n"/>
      <c r="W400" s="25">
        <f>IF(V400="","",HYPERLINK(IF(LEFT(V400,4)="http",V400,set_QwilrBase&amp;V400),"Open quote"))</f>
        <v/>
      </c>
      <c r="X400" s="25">
        <f>IF(C400="","",C400)</f>
        <v/>
      </c>
      <c r="Y400" s="24" t="n"/>
      <c r="Z400" s="26" t="n"/>
      <c r="AA400" s="27">
        <f>IF(C400="","",H400+N(Z400))</f>
        <v/>
      </c>
      <c r="AB400" s="29">
        <f>IFERROR(Z400/AA400,"")</f>
        <v/>
      </c>
      <c r="AC400" s="26" t="n"/>
      <c r="AD400" s="26" t="n"/>
      <c r="AE400" s="26" t="n"/>
      <c r="AF400" s="26" t="n"/>
      <c r="AG400" s="27">
        <f>IF(C400="","",SUMIFS(tbl_Finance[Ex GST],tbl_Finance[Job Number],C400&amp;"",tbl_Finance[Cost Centre],"VIDEO"))</f>
        <v/>
      </c>
      <c r="AH400" s="29">
        <f>IFERROR(AG400/H400,"")</f>
        <v/>
      </c>
      <c r="AI400" s="27">
        <f>IF(C400="","",N(AC400)+N(AD400)+N(AE400)+N(AF400))</f>
        <v/>
      </c>
      <c r="AJ400" s="27">
        <f>IF(C400="","",H400+L400-AI400)</f>
        <v/>
      </c>
      <c r="AK400" s="29">
        <f>IFERROR(AJ400/(H400+L400),"")</f>
        <v/>
      </c>
      <c r="AL400" s="71" t="n"/>
      <c r="AM400" s="71" t="n"/>
      <c r="AN400" s="71" t="n"/>
      <c r="AO400" s="71" t="n"/>
      <c r="AP400" s="71" t="n"/>
      <c r="AQ400" s="24" t="n"/>
    </row>
    <row r="401" ht="15" customHeight="1">
      <c r="A401" s="70">
        <f>IF(C401="","",IFERROR(IF(SUMPRODUCT(MAX((tbl_Finance[Job Number]&amp;""=C401&amp;"")*(tbl_Finance[Xero Invoice No]&lt;&gt;"")*tbl_Finance[Date]))=0,"",SUMPRODUCT(MAX((tbl_Finance[Job Number]&amp;""=C401&amp;"")*(tbl_Finance[Xero Invoice No]&lt;&gt;"")*tbl_Finance[Date]))),""))</f>
        <v/>
      </c>
      <c r="B401" s="25">
        <f>IF(C401="","",IF(COUNTIFS(tbl_Finance[Job Number],C401&amp;"",tbl_Finance[Xero Invoice No],"&lt;&gt;")=0,"",IFERROR(IF(COUNTIFS(tbl_Finance[Job Number],C401&amp;"",tbl_Finance[Xero Invoice No],LOOKUP(2,1/((tbl_Finance[Job Number]&amp;""=C401&amp;"")*(tbl_Finance[Xero Invoice No]&lt;&gt;"")),tbl_Finance[Xero Invoice No]))=COUNTIFS(tbl_Finance[Job Number],C401&amp;"",tbl_Finance[Xero Invoice No],"&lt;&gt;"),LOOKUP(2,1/((tbl_Finance[Job Number]&amp;""=C401&amp;"")*(tbl_Finance[Xero Invoice No]&lt;&gt;"")),tbl_Finance[Xero Invoice No]),LOOKUP(2,1/((tbl_Finance[Job Number]&amp;""=C401&amp;"")*(tbl_Finance[Xero Invoice No]&lt;&gt;"")),tbl_Finance[Xero Invoice No])&amp;" +more"),"")))</f>
        <v/>
      </c>
      <c r="C401" s="24" t="n"/>
      <c r="D401" s="25">
        <f>IF(C401="","",IF(COUNTIF(lst_Jobs,C401&amp;"")&gt;0,"OK","CHECK"))</f>
        <v/>
      </c>
      <c r="E401" s="25">
        <f>IF(C401="","",IFERROR(INDEX(lst_JobName,MATCH(C401&amp;"",lst_Jobs,0)),""))</f>
        <v/>
      </c>
      <c r="F401" s="25">
        <f>IF(C401="","",IFERROR(INDEX(tbl_Finance[Client],IFERROR(MATCH(C401&amp;"",tbl_Finance[Job Number],0),MATCH(IFERROR(C401+0,C401),tbl_Finance[Job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6" t="n"/>
      <c r="L401" s="27">
        <f>IF(C401="","",IF(K401="",0,MAX(0,K401-H401)))</f>
        <v/>
      </c>
      <c r="M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N401" s="27">
        <f>IF(C401="","",SUMIFS(tbl_Finance[Inc GST],tbl_Finance[Job Number],C401&amp;""))</f>
        <v/>
      </c>
      <c r="O401" s="24" t="n"/>
      <c r="P401" s="25">
        <f>IF(C401="","",IFERROR(INDEX(tbl_Finance[Description],MATCH(C401&amp;"",tbl_Finance[Job Number],0)),""))</f>
        <v/>
      </c>
      <c r="Q401" s="24" t="n"/>
      <c r="R401" s="24" t="n"/>
      <c r="S401" s="22" t="n"/>
      <c r="T401" s="24" t="n"/>
      <c r="U401" s="25">
        <f>IF(T401="","",IF(AND(LEFT(T401,4)&lt;&gt;"http",set_RMSBase=""),"",HYPERLINK(IF(LEFT(T401,4)="http",T401,set_RMSBase&amp;T401),"Open opportunity")))</f>
        <v/>
      </c>
      <c r="V401" s="24" t="n"/>
      <c r="W401" s="25">
        <f>IF(V401="","",HYPERLINK(IF(LEFT(V401,4)="http",V401,set_QwilrBase&amp;V401),"Open quote"))</f>
        <v/>
      </c>
      <c r="X401" s="25">
        <f>IF(C401="","",C401)</f>
        <v/>
      </c>
      <c r="Y401" s="24" t="n"/>
      <c r="Z401" s="26" t="n"/>
      <c r="AA401" s="27">
        <f>IF(C401="","",H401+N(Z401))</f>
        <v/>
      </c>
      <c r="AB401" s="29">
        <f>IFERROR(Z401/AA401,"")</f>
        <v/>
      </c>
      <c r="AC401" s="26" t="n"/>
      <c r="AD401" s="26" t="n"/>
      <c r="AE401" s="26" t="n"/>
      <c r="AF401" s="26" t="n"/>
      <c r="AG401" s="27">
        <f>IF(C401="","",SUMIFS(tbl_Finance[Ex GST],tbl_Finance[Job Number],C401&amp;"",tbl_Finance[Cost Centre],"VIDEO"))</f>
        <v/>
      </c>
      <c r="AH401" s="29">
        <f>IFERROR(AG401/H401,"")</f>
        <v/>
      </c>
      <c r="AI401" s="27">
        <f>IF(C401="","",N(AC401)+N(AD401)+N(AE401)+N(AF401))</f>
        <v/>
      </c>
      <c r="AJ401" s="27">
        <f>IF(C401="","",H401+L401-AI401)</f>
        <v/>
      </c>
      <c r="AK401" s="29">
        <f>IFERROR(AJ401/(H401+L401),"")</f>
        <v/>
      </c>
      <c r="AL401" s="71" t="n"/>
      <c r="AM401" s="71" t="n"/>
      <c r="AN401" s="71" t="n"/>
      <c r="AO401" s="71" t="n"/>
      <c r="AP401" s="71" t="n"/>
      <c r="AQ401" s="24" t="n"/>
    </row>
    <row r="402" ht="15" customHeight="1">
      <c r="A402" s="70">
        <f>IF(C402="","",IFERROR(IF(SUMPRODUCT(MAX((tbl_Finance[Job Number]&amp;""=C402&amp;"")*(tbl_Finance[Xero Invoice No]&lt;&gt;"")*tbl_Finance[Date]))=0,"",SUMPRODUCT(MAX((tbl_Finance[Job Number]&amp;""=C402&amp;"")*(tbl_Finance[Xero Invoice No]&lt;&gt;"")*tbl_Finance[Date]))),""))</f>
        <v/>
      </c>
      <c r="B402" s="25">
        <f>IF(C402="","",IF(COUNTIFS(tbl_Finance[Job Number],C402&amp;"",tbl_Finance[Xero Invoice No],"&lt;&gt;")=0,"",IFERROR(IF(COUNTIFS(tbl_Finance[Job Number],C402&amp;"",tbl_Finance[Xero Invoice No],LOOKUP(2,1/((tbl_Finance[Job Number]&amp;""=C402&amp;"")*(tbl_Finance[Xero Invoice No]&lt;&gt;"")),tbl_Finance[Xero Invoice No]))=COUNTIFS(tbl_Finance[Job Number],C402&amp;"",tbl_Finance[Xero Invoice No],"&lt;&gt;"),LOOKUP(2,1/((tbl_Finance[Job Number]&amp;""=C402&amp;"")*(tbl_Finance[Xero Invoice No]&lt;&gt;"")),tbl_Finance[Xero Invoice No]),LOOKUP(2,1/((tbl_Finance[Job Number]&amp;""=C402&amp;"")*(tbl_Finance[Xero Invoice No]&lt;&gt;"")),tbl_Finance[Xero Invoice No])&amp;" +more"),"")))</f>
        <v/>
      </c>
      <c r="C402" s="24" t="n"/>
      <c r="D402" s="25">
        <f>IF(C402="","",IF(COUNTIF(lst_Jobs,C402&amp;"")&gt;0,"OK","CHECK"))</f>
        <v/>
      </c>
      <c r="E402" s="25">
        <f>IF(C402="","",IFERROR(INDEX(lst_JobName,MATCH(C402&amp;"",lst_Jobs,0)),""))</f>
        <v/>
      </c>
      <c r="F402" s="25">
        <f>IF(C402="","",IFERROR(INDEX(tbl_Finance[Client],IFERROR(MATCH(C402&amp;"",tbl_Finance[Job Number],0),MATCH(IFERROR(C402+0,C402),tbl_Finance[Job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6" t="n"/>
      <c r="L402" s="27">
        <f>IF(C402="","",IF(K402="",0,MAX(0,K402-H402)))</f>
        <v/>
      </c>
      <c r="M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N402" s="27">
        <f>IF(C402="","",SUMIFS(tbl_Finance[Inc GST],tbl_Finance[Job Number],C402&amp;""))</f>
        <v/>
      </c>
      <c r="O402" s="24" t="n"/>
      <c r="P402" s="25">
        <f>IF(C402="","",IFERROR(INDEX(tbl_Finance[Description],MATCH(C402&amp;"",tbl_Finance[Job Number],0)),""))</f>
        <v/>
      </c>
      <c r="Q402" s="24" t="n"/>
      <c r="R402" s="24" t="n"/>
      <c r="S402" s="22" t="n"/>
      <c r="T402" s="24" t="n"/>
      <c r="U402" s="25">
        <f>IF(T402="","",IF(AND(LEFT(T402,4)&lt;&gt;"http",set_RMSBase=""),"",HYPERLINK(IF(LEFT(T402,4)="http",T402,set_RMSBase&amp;T402),"Open opportunity")))</f>
        <v/>
      </c>
      <c r="V402" s="24" t="n"/>
      <c r="W402" s="25">
        <f>IF(V402="","",HYPERLINK(IF(LEFT(V402,4)="http",V402,set_QwilrBase&amp;V402),"Open quote"))</f>
        <v/>
      </c>
      <c r="X402" s="25">
        <f>IF(C402="","",C402)</f>
        <v/>
      </c>
      <c r="Y402" s="24" t="n"/>
      <c r="Z402" s="26" t="n"/>
      <c r="AA402" s="27">
        <f>IF(C402="","",H402+N(Z402))</f>
        <v/>
      </c>
      <c r="AB402" s="29">
        <f>IFERROR(Z402/AA402,"")</f>
        <v/>
      </c>
      <c r="AC402" s="26" t="n"/>
      <c r="AD402" s="26" t="n"/>
      <c r="AE402" s="26" t="n"/>
      <c r="AF402" s="26" t="n"/>
      <c r="AG402" s="27">
        <f>IF(C402="","",SUMIFS(tbl_Finance[Ex GST],tbl_Finance[Job Number],C402&amp;"",tbl_Finance[Cost Centre],"VIDEO"))</f>
        <v/>
      </c>
      <c r="AH402" s="29">
        <f>IFERROR(AG402/H402,"")</f>
        <v/>
      </c>
      <c r="AI402" s="27">
        <f>IF(C402="","",N(AC402)+N(AD402)+N(AE402)+N(AF402))</f>
        <v/>
      </c>
      <c r="AJ402" s="27">
        <f>IF(C402="","",H402+L402-AI402)</f>
        <v/>
      </c>
      <c r="AK402" s="29">
        <f>IFERROR(AJ402/(H402+L402),"")</f>
        <v/>
      </c>
      <c r="AL402" s="71" t="n"/>
      <c r="AM402" s="71" t="n"/>
      <c r="AN402" s="71" t="n"/>
      <c r="AO402" s="71" t="n"/>
      <c r="AP402" s="71" t="n"/>
      <c r="AQ402" s="24" t="n"/>
    </row>
    <row r="403" ht="15" customHeight="1">
      <c r="A403" s="70">
        <f>IF(C403="","",IFERROR(IF(SUMPRODUCT(MAX((tbl_Finance[Job Number]&amp;""=C403&amp;"")*(tbl_Finance[Xero Invoice No]&lt;&gt;"")*tbl_Finance[Date]))=0,"",SUMPRODUCT(MAX((tbl_Finance[Job Number]&amp;""=C403&amp;"")*(tbl_Finance[Xero Invoice No]&lt;&gt;"")*tbl_Finance[Date]))),""))</f>
        <v/>
      </c>
      <c r="B403" s="25">
        <f>IF(C403="","",IF(COUNTIFS(tbl_Finance[Job Number],C403&amp;"",tbl_Finance[Xero Invoice No],"&lt;&gt;")=0,"",IFERROR(IF(COUNTIFS(tbl_Finance[Job Number],C403&amp;"",tbl_Finance[Xero Invoice No],LOOKUP(2,1/((tbl_Finance[Job Number]&amp;""=C403&amp;"")*(tbl_Finance[Xero Invoice No]&lt;&gt;"")),tbl_Finance[Xero Invoice No]))=COUNTIFS(tbl_Finance[Job Number],C403&amp;"",tbl_Finance[Xero Invoice No],"&lt;&gt;"),LOOKUP(2,1/((tbl_Finance[Job Number]&amp;""=C403&amp;"")*(tbl_Finance[Xero Invoice No]&lt;&gt;"")),tbl_Finance[Xero Invoice No]),LOOKUP(2,1/((tbl_Finance[Job Number]&amp;""=C403&amp;"")*(tbl_Finance[Xero Invoice No]&lt;&gt;"")),tbl_Finance[Xero Invoice No])&amp;" +more"),"")))</f>
        <v/>
      </c>
      <c r="C403" s="24" t="n"/>
      <c r="D403" s="25">
        <f>IF(C403="","",IF(COUNTIF(lst_Jobs,C403&amp;"")&gt;0,"OK","CHECK"))</f>
        <v/>
      </c>
      <c r="E403" s="25">
        <f>IF(C403="","",IFERROR(INDEX(lst_JobName,MATCH(C403&amp;"",lst_Jobs,0)),""))</f>
        <v/>
      </c>
      <c r="F403" s="25">
        <f>IF(C403="","",IFERROR(INDEX(tbl_Finance[Client],IFERROR(MATCH(C403&amp;"",tbl_Finance[Job Number],0),MATCH(IFERROR(C403+0,C403),tbl_Finance[Job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6" t="n"/>
      <c r="L403" s="27">
        <f>IF(C403="","",IF(K403="",0,MAX(0,K403-H403)))</f>
        <v/>
      </c>
      <c r="M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N403" s="27">
        <f>IF(C403="","",SUMIFS(tbl_Finance[Inc GST],tbl_Finance[Job Number],C403&amp;""))</f>
        <v/>
      </c>
      <c r="O403" s="24" t="n"/>
      <c r="P403" s="25">
        <f>IF(C403="","",IFERROR(INDEX(tbl_Finance[Description],MATCH(C403&amp;"",tbl_Finance[Job Number],0)),""))</f>
        <v/>
      </c>
      <c r="Q403" s="24" t="n"/>
      <c r="R403" s="24" t="n"/>
      <c r="S403" s="22" t="n"/>
      <c r="T403" s="24" t="n"/>
      <c r="U403" s="25">
        <f>IF(T403="","",IF(AND(LEFT(T403,4)&lt;&gt;"http",set_RMSBase=""),"",HYPERLINK(IF(LEFT(T403,4)="http",T403,set_RMSBase&amp;T403),"Open opportunity")))</f>
        <v/>
      </c>
      <c r="V403" s="24" t="n"/>
      <c r="W403" s="25">
        <f>IF(V403="","",HYPERLINK(IF(LEFT(V403,4)="http",V403,set_QwilrBase&amp;V403),"Open quote"))</f>
        <v/>
      </c>
      <c r="X403" s="25">
        <f>IF(C403="","",C403)</f>
        <v/>
      </c>
      <c r="Y403" s="24" t="n"/>
      <c r="Z403" s="26" t="n"/>
      <c r="AA403" s="27">
        <f>IF(C403="","",H403+N(Z403))</f>
        <v/>
      </c>
      <c r="AB403" s="29">
        <f>IFERROR(Z403/AA403,"")</f>
        <v/>
      </c>
      <c r="AC403" s="26" t="n"/>
      <c r="AD403" s="26" t="n"/>
      <c r="AE403" s="26" t="n"/>
      <c r="AF403" s="26" t="n"/>
      <c r="AG403" s="27">
        <f>IF(C403="","",SUMIFS(tbl_Finance[Ex GST],tbl_Finance[Job Number],C403&amp;"",tbl_Finance[Cost Centre],"VIDEO"))</f>
        <v/>
      </c>
      <c r="AH403" s="29">
        <f>IFERROR(AG403/H403,"")</f>
        <v/>
      </c>
      <c r="AI403" s="27">
        <f>IF(C403="","",N(AC403)+N(AD403)+N(AE403)+N(AF403))</f>
        <v/>
      </c>
      <c r="AJ403" s="27">
        <f>IF(C403="","",H403+L403-AI403)</f>
        <v/>
      </c>
      <c r="AK403" s="29">
        <f>IFERROR(AJ403/(H403+L403),"")</f>
        <v/>
      </c>
      <c r="AL403" s="71" t="n"/>
      <c r="AM403" s="71" t="n"/>
      <c r="AN403" s="71" t="n"/>
      <c r="AO403" s="71" t="n"/>
      <c r="AP403" s="71" t="n"/>
      <c r="AQ403" s="24" t="n"/>
    </row>
    <row r="404" ht="15" customHeight="1">
      <c r="A404" s="70">
        <f>IF(C404="","",IFERROR(IF(SUMPRODUCT(MAX((tbl_Finance[Job Number]&amp;""=C404&amp;"")*(tbl_Finance[Xero Invoice No]&lt;&gt;"")*tbl_Finance[Date]))=0,"",SUMPRODUCT(MAX((tbl_Finance[Job Number]&amp;""=C404&amp;"")*(tbl_Finance[Xero Invoice No]&lt;&gt;"")*tbl_Finance[Date]))),""))</f>
        <v/>
      </c>
      <c r="B404" s="25">
        <f>IF(C404="","",IF(COUNTIFS(tbl_Finance[Job Number],C404&amp;"",tbl_Finance[Xero Invoice No],"&lt;&gt;")=0,"",IFERROR(IF(COUNTIFS(tbl_Finance[Job Number],C404&amp;"",tbl_Finance[Xero Invoice No],LOOKUP(2,1/((tbl_Finance[Job Number]&amp;""=C404&amp;"")*(tbl_Finance[Xero Invoice No]&lt;&gt;"")),tbl_Finance[Xero Invoice No]))=COUNTIFS(tbl_Finance[Job Number],C404&amp;"",tbl_Finance[Xero Invoice No],"&lt;&gt;"),LOOKUP(2,1/((tbl_Finance[Job Number]&amp;""=C404&amp;"")*(tbl_Finance[Xero Invoice No]&lt;&gt;"")),tbl_Finance[Xero Invoice No]),LOOKUP(2,1/((tbl_Finance[Job Number]&amp;""=C404&amp;"")*(tbl_Finance[Xero Invoice No]&lt;&gt;"")),tbl_Finance[Xero Invoice No])&amp;" +more"),"")))</f>
        <v/>
      </c>
      <c r="C404" s="24" t="n"/>
      <c r="D404" s="25">
        <f>IF(C404="","",IF(COUNTIF(lst_Jobs,C404&amp;"")&gt;0,"OK","CHECK"))</f>
        <v/>
      </c>
      <c r="E404" s="25">
        <f>IF(C404="","",IFERROR(INDEX(lst_JobName,MATCH(C404&amp;"",lst_Jobs,0)),""))</f>
        <v/>
      </c>
      <c r="F404" s="25">
        <f>IF(C404="","",IFERROR(INDEX(tbl_Finance[Client],IFERROR(MATCH(C404&amp;"",tbl_Finance[Job Number],0),MATCH(IFERROR(C404+0,C404),tbl_Finance[Job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6" t="n"/>
      <c r="L404" s="27">
        <f>IF(C404="","",IF(K404="",0,MAX(0,K404-H404)))</f>
        <v/>
      </c>
      <c r="M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N404" s="27">
        <f>IF(C404="","",SUMIFS(tbl_Finance[Inc GST],tbl_Finance[Job Number],C404&amp;""))</f>
        <v/>
      </c>
      <c r="O404" s="24" t="n"/>
      <c r="P404" s="25">
        <f>IF(C404="","",IFERROR(INDEX(tbl_Finance[Description],MATCH(C404&amp;"",tbl_Finance[Job Number],0)),""))</f>
        <v/>
      </c>
      <c r="Q404" s="24" t="n"/>
      <c r="R404" s="24" t="n"/>
      <c r="S404" s="22" t="n"/>
      <c r="T404" s="24" t="n"/>
      <c r="U404" s="25">
        <f>IF(T404="","",IF(AND(LEFT(T404,4)&lt;&gt;"http",set_RMSBase=""),"",HYPERLINK(IF(LEFT(T404,4)="http",T404,set_RMSBase&amp;T404),"Open opportunity")))</f>
        <v/>
      </c>
      <c r="V404" s="24" t="n"/>
      <c r="W404" s="25">
        <f>IF(V404="","",HYPERLINK(IF(LEFT(V404,4)="http",V404,set_QwilrBase&amp;V404),"Open quote"))</f>
        <v/>
      </c>
      <c r="X404" s="25">
        <f>IF(C404="","",C404)</f>
        <v/>
      </c>
      <c r="Y404" s="24" t="n"/>
      <c r="Z404" s="26" t="n"/>
      <c r="AA404" s="27">
        <f>IF(C404="","",H404+N(Z404))</f>
        <v/>
      </c>
      <c r="AB404" s="29">
        <f>IFERROR(Z404/AA404,"")</f>
        <v/>
      </c>
      <c r="AC404" s="26" t="n"/>
      <c r="AD404" s="26" t="n"/>
      <c r="AE404" s="26" t="n"/>
      <c r="AF404" s="26" t="n"/>
      <c r="AG404" s="27">
        <f>IF(C404="","",SUMIFS(tbl_Finance[Ex GST],tbl_Finance[Job Number],C404&amp;"",tbl_Finance[Cost Centre],"VIDEO"))</f>
        <v/>
      </c>
      <c r="AH404" s="29">
        <f>IFERROR(AG404/H404,"")</f>
        <v/>
      </c>
      <c r="AI404" s="27">
        <f>IF(C404="","",N(AC404)+N(AD404)+N(AE404)+N(AF404))</f>
        <v/>
      </c>
      <c r="AJ404" s="27">
        <f>IF(C404="","",H404+L404-AI404)</f>
        <v/>
      </c>
      <c r="AK404" s="29">
        <f>IFERROR(AJ404/(H404+L404),"")</f>
        <v/>
      </c>
      <c r="AL404" s="71" t="n"/>
      <c r="AM404" s="71" t="n"/>
      <c r="AN404" s="71" t="n"/>
      <c r="AO404" s="71" t="n"/>
      <c r="AP404" s="71" t="n"/>
      <c r="AQ4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D5:D5000">
    <cfRule type="expression" priority="1" dxfId="0" stopIfTrue="0">
      <formula>D5="CHECK"</formula>
    </cfRule>
  </conditionalFormatting>
  <dataValidations count="1">
    <dataValidation sqref="Y5:Y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Z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21" customWidth="1" min="11" max="11"/>
    <col width="17" customWidth="1" min="12" max="12"/>
    <col width="16" customWidth="1" min="13" max="13"/>
    <col width="40" customWidth="1" min="14" max="14"/>
    <col width="14" customWidth="1" min="15" max="15"/>
    <col width="15" customWidth="1" min="16" max="16"/>
    <col width="17" customWidth="1" min="17" max="17"/>
    <col width="19" customWidth="1" min="18" max="18"/>
    <col width="18" customWidth="1" min="19" max="19"/>
    <col width="22" customWidth="1" min="20" max="20"/>
    <col width="26" customWidth="1" min="21" max="21"/>
    <col width="28" customWidth="1" min="22" max="22"/>
    <col width="14" customWidth="1" min="23" max="23"/>
    <col width="14" customWidth="1" min="24" max="24"/>
    <col width="10" customWidth="1" min="25" max="25"/>
    <col width="38" customWidth="1" min="26" max="26"/>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0" t="inlineStr">
        <is>
          <t>Expected Revenue Ex GST</t>
        </is>
      </c>
      <c r="L4" s="21" t="inlineStr">
        <is>
          <t>Not Yet on Finance</t>
        </is>
      </c>
      <c r="M4" s="21" t="inlineStr">
        <is>
          <t>Cost Centres</t>
        </is>
      </c>
      <c r="N4" s="20" t="inlineStr">
        <is>
          <t>Qwilr Quote</t>
        </is>
      </c>
      <c r="O4" s="21" t="inlineStr">
        <is>
          <t>Open Qwilr</t>
        </is>
      </c>
      <c r="P4" s="20" t="inlineStr">
        <is>
          <t>Labour Revenue</t>
        </is>
      </c>
      <c r="Q4" s="20" t="inlineStr">
        <is>
          <t>Equipment Revenue</t>
        </is>
      </c>
      <c r="R4" s="20" t="inlineStr">
        <is>
          <t>Subscription Revenue</t>
        </is>
      </c>
      <c r="S4" s="21" t="inlineStr">
        <is>
          <t>Revenue Split Check</t>
        </is>
      </c>
      <c r="T4" s="20" t="inlineStr">
        <is>
          <t>Labour Expense (External)</t>
        </is>
      </c>
      <c r="U4" s="20" t="inlineStr">
        <is>
          <t>Equipment Expense (Internal)</t>
        </is>
      </c>
      <c r="V4" s="20" t="inlineStr">
        <is>
          <t>Subscription &amp; Licences Expense</t>
        </is>
      </c>
      <c r="W4" s="21" t="inlineStr">
        <is>
          <t>Total Expense</t>
        </is>
      </c>
      <c r="X4" s="21" t="inlineStr">
        <is>
          <t>Margin</t>
        </is>
      </c>
      <c r="Y4" s="21" t="inlineStr">
        <is>
          <t>Margin %</t>
        </is>
      </c>
      <c r="Z4" s="20" t="inlineStr">
        <is>
          <t>Notes</t>
        </is>
      </c>
    </row>
    <row r="5" ht="15" customHeight="1">
      <c r="A5" s="70">
        <f>IF(C5="","",IFERROR(IF(SUMPRODUCT(MAX((tbl_Finance[Job Number]&amp;""=C5&amp;"")*(tbl_Finance[Xero Invoice No]&lt;&gt;"")*tbl_Finance[Date]))=0,"",SUMPRODUCT(MAX((tbl_Finance[Job Number]&amp;""=C5&amp;"")*(tbl_Finance[Xero Invoice No]&lt;&gt;"")*tbl_Finance[Date]))),""))</f>
        <v/>
      </c>
      <c r="B5" s="25">
        <f>IF(C5="","",IF(COUNTIFS(tbl_Finance[Job Number],C5&amp;"",tbl_Finance[Xero Invoice No],"&lt;&gt;")=0,"",IFERROR(IF(COUNTIFS(tbl_Finance[Job Number],C5&amp;"",tbl_Finance[Xero Invoice No],LOOKUP(2,1/((tbl_Finance[Job Number]&amp;""=C5&amp;"")*(tbl_Finance[Xero Invoice No]&lt;&gt;"")),tbl_Finance[Xero Invoice No]))=COUNTIFS(tbl_Finance[Job Number],C5&amp;"",tbl_Finance[Xero Invoice No],"&lt;&gt;"),LOOKUP(2,1/((tbl_Finance[Job Number]&amp;""=C5&amp;"")*(tbl_Finance[Xero Invoice No]&lt;&gt;"")),tbl_Finance[Xero Invoice No]),LOOKUP(2,1/((tbl_Finance[Job Number]&amp;""=C5&amp;"")*(tbl_Finance[Xero Invoice No]&lt;&gt;"")),tbl_Finance[Xero Invoice No])&amp;" +more"),"")))</f>
        <v/>
      </c>
      <c r="C5" s="24" t="n"/>
      <c r="D5" s="25">
        <f>IF(C5="","",IF(COUNTIF(lst_Jobs,C5&amp;"")&gt;0,"OK","CHECK"))</f>
        <v/>
      </c>
      <c r="E5" s="25">
        <f>IF(C5="","",IFERROR(INDEX(lst_JobName,MATCH(C5&amp;"",lst_Jobs,0)),""))</f>
        <v/>
      </c>
      <c r="F5" s="25">
        <f>IF(C5="","",IFERROR(INDEX(tbl_Finance[Client],IFERROR(MATCH(C5&amp;"",tbl_Finance[Job Number],0),MATCH(IFERROR(C5+0,C5),tbl_Finance[Job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6" t="n"/>
      <c r="L5" s="27">
        <f>IF(C5="","",IF(K5="",0,MAX(0,K5-H5)))</f>
        <v/>
      </c>
      <c r="M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N5" s="24" t="n"/>
      <c r="O5" s="25">
        <f>IF(N5="","",HYPERLINK(IF(LEFT(N5,4)="http",N5,set_QwilrBase&amp;N5),"Open quote"))</f>
        <v/>
      </c>
      <c r="P5" s="26" t="n"/>
      <c r="Q5" s="26" t="n"/>
      <c r="R5" s="26" t="n"/>
      <c r="S5" s="25">
        <f>IF(C5="","",IF(N(P5)+N(Q5)+N(R5)=0,"Not split",IF(ROUND(N(P5)+N(Q5)+N(R5),2)=ROUND(H5+L5,2),"OK",IF(G5=0,"Not invoiced yet","MISMATCH"))))</f>
        <v/>
      </c>
      <c r="T5" s="26" t="n"/>
      <c r="U5" s="26" t="n"/>
      <c r="V5" s="26" t="n"/>
      <c r="W5" s="27">
        <f>IF(C5="","",N(T5)+N(U5)+N(V5))</f>
        <v/>
      </c>
      <c r="X5" s="27">
        <f>IF(C5="","",H5+L5-W5)</f>
        <v/>
      </c>
      <c r="Y5" s="29">
        <f>IFERROR(X5/(H5+L5),"")</f>
        <v/>
      </c>
      <c r="Z5" s="24" t="n"/>
    </row>
    <row r="6" ht="15" customHeight="1">
      <c r="A6" s="70">
        <f>IF(C6="","",IFERROR(IF(SUMPRODUCT(MAX((tbl_Finance[Job Number]&amp;""=C6&amp;"")*(tbl_Finance[Xero Invoice No]&lt;&gt;"")*tbl_Finance[Date]))=0,"",SUMPRODUCT(MAX((tbl_Finance[Job Number]&amp;""=C6&amp;"")*(tbl_Finance[Xero Invoice No]&lt;&gt;"")*tbl_Finance[Date]))),""))</f>
        <v/>
      </c>
      <c r="B6" s="25">
        <f>IF(C6="","",IF(COUNTIFS(tbl_Finance[Job Number],C6&amp;"",tbl_Finance[Xero Invoice No],"&lt;&gt;")=0,"",IFERROR(IF(COUNTIFS(tbl_Finance[Job Number],C6&amp;"",tbl_Finance[Xero Invoice No],LOOKUP(2,1/((tbl_Finance[Job Number]&amp;""=C6&amp;"")*(tbl_Finance[Xero Invoice No]&lt;&gt;"")),tbl_Finance[Xero Invoice No]))=COUNTIFS(tbl_Finance[Job Number],C6&amp;"",tbl_Finance[Xero Invoice No],"&lt;&gt;"),LOOKUP(2,1/((tbl_Finance[Job Number]&amp;""=C6&amp;"")*(tbl_Finance[Xero Invoice No]&lt;&gt;"")),tbl_Finance[Xero Invoice No]),LOOKUP(2,1/((tbl_Finance[Job Number]&amp;""=C6&amp;"")*(tbl_Finance[Xero Invoice No]&lt;&gt;"")),tbl_Finance[Xero Invoice No])&amp;" +more"),"")))</f>
        <v/>
      </c>
      <c r="C6" s="24" t="n"/>
      <c r="D6" s="25">
        <f>IF(C6="","",IF(COUNTIF(lst_Jobs,C6&amp;"")&gt;0,"OK","CHECK"))</f>
        <v/>
      </c>
      <c r="E6" s="25">
        <f>IF(C6="","",IFERROR(INDEX(lst_JobName,MATCH(C6&amp;"",lst_Jobs,0)),""))</f>
        <v/>
      </c>
      <c r="F6" s="25">
        <f>IF(C6="","",IFERROR(INDEX(tbl_Finance[Client],IFERROR(MATCH(C6&amp;"",tbl_Finance[Job Number],0),MATCH(IFERROR(C6+0,C6),tbl_Finance[Job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6" t="n"/>
      <c r="L6" s="27">
        <f>IF(C6="","",IF(K6="",0,MAX(0,K6-H6)))</f>
        <v/>
      </c>
      <c r="M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N6" s="24" t="n"/>
      <c r="O6" s="25">
        <f>IF(N6="","",HYPERLINK(IF(LEFT(N6,4)="http",N6,set_QwilrBase&amp;N6),"Open quote"))</f>
        <v/>
      </c>
      <c r="P6" s="26" t="n"/>
      <c r="Q6" s="26" t="n"/>
      <c r="R6" s="26" t="n"/>
      <c r="S6" s="25">
        <f>IF(C6="","",IF(N(P6)+N(Q6)+N(R6)=0,"Not split",IF(ROUND(N(P6)+N(Q6)+N(R6),2)=ROUND(H6+L6,2),"OK",IF(G6=0,"Not invoiced yet","MISMATCH"))))</f>
        <v/>
      </c>
      <c r="T6" s="26" t="n"/>
      <c r="U6" s="26" t="n"/>
      <c r="V6" s="26" t="n"/>
      <c r="W6" s="27">
        <f>IF(C6="","",N(T6)+N(U6)+N(V6))</f>
        <v/>
      </c>
      <c r="X6" s="27">
        <f>IF(C6="","",H6+L6-W6)</f>
        <v/>
      </c>
      <c r="Y6" s="29">
        <f>IFERROR(X6/(H6+L6),"")</f>
        <v/>
      </c>
      <c r="Z6" s="24" t="n"/>
    </row>
    <row r="7" ht="15" customHeight="1">
      <c r="A7" s="70">
        <f>IF(C7="","",IFERROR(IF(SUMPRODUCT(MAX((tbl_Finance[Job Number]&amp;""=C7&amp;"")*(tbl_Finance[Xero Invoice No]&lt;&gt;"")*tbl_Finance[Date]))=0,"",SUMPRODUCT(MAX((tbl_Finance[Job Number]&amp;""=C7&amp;"")*(tbl_Finance[Xero Invoice No]&lt;&gt;"")*tbl_Finance[Date]))),""))</f>
        <v/>
      </c>
      <c r="B7" s="25">
        <f>IF(C7="","",IF(COUNTIFS(tbl_Finance[Job Number],C7&amp;"",tbl_Finance[Xero Invoice No],"&lt;&gt;")=0,"",IFERROR(IF(COUNTIFS(tbl_Finance[Job Number],C7&amp;"",tbl_Finance[Xero Invoice No],LOOKUP(2,1/((tbl_Finance[Job Number]&amp;""=C7&amp;"")*(tbl_Finance[Xero Invoice No]&lt;&gt;"")),tbl_Finance[Xero Invoice No]))=COUNTIFS(tbl_Finance[Job Number],C7&amp;"",tbl_Finance[Xero Invoice No],"&lt;&gt;"),LOOKUP(2,1/((tbl_Finance[Job Number]&amp;""=C7&amp;"")*(tbl_Finance[Xero Invoice No]&lt;&gt;"")),tbl_Finance[Xero Invoice No]),LOOKUP(2,1/((tbl_Finance[Job Number]&amp;""=C7&amp;"")*(tbl_Finance[Xero Invoice No]&lt;&gt;"")),tbl_Finance[Xero Invoice No])&amp;" +more"),"")))</f>
        <v/>
      </c>
      <c r="C7" s="24" t="n"/>
      <c r="D7" s="25">
        <f>IF(C7="","",IF(COUNTIF(lst_Jobs,C7&amp;"")&gt;0,"OK","CHECK"))</f>
        <v/>
      </c>
      <c r="E7" s="25">
        <f>IF(C7="","",IFERROR(INDEX(lst_JobName,MATCH(C7&amp;"",lst_Jobs,0)),""))</f>
        <v/>
      </c>
      <c r="F7" s="25">
        <f>IF(C7="","",IFERROR(INDEX(tbl_Finance[Client],IFERROR(MATCH(C7&amp;"",tbl_Finance[Job Number],0),MATCH(IFERROR(C7+0,C7),tbl_Finance[Job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6" t="n"/>
      <c r="L7" s="27">
        <f>IF(C7="","",IF(K7="",0,MAX(0,K7-H7)))</f>
        <v/>
      </c>
      <c r="M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N7" s="24" t="n"/>
      <c r="O7" s="25">
        <f>IF(N7="","",HYPERLINK(IF(LEFT(N7,4)="http",N7,set_QwilrBase&amp;N7),"Open quote"))</f>
        <v/>
      </c>
      <c r="P7" s="26" t="n"/>
      <c r="Q7" s="26" t="n"/>
      <c r="R7" s="26" t="n"/>
      <c r="S7" s="25">
        <f>IF(C7="","",IF(N(P7)+N(Q7)+N(R7)=0,"Not split",IF(ROUND(N(P7)+N(Q7)+N(R7),2)=ROUND(H7+L7,2),"OK",IF(G7=0,"Not invoiced yet","MISMATCH"))))</f>
        <v/>
      </c>
      <c r="T7" s="26" t="n"/>
      <c r="U7" s="26" t="n"/>
      <c r="V7" s="26" t="n"/>
      <c r="W7" s="27">
        <f>IF(C7="","",N(T7)+N(U7)+N(V7))</f>
        <v/>
      </c>
      <c r="X7" s="27">
        <f>IF(C7="","",H7+L7-W7)</f>
        <v/>
      </c>
      <c r="Y7" s="29">
        <f>IFERROR(X7/(H7+L7),"")</f>
        <v/>
      </c>
      <c r="Z7" s="24" t="n"/>
    </row>
    <row r="8" ht="15" customHeight="1">
      <c r="A8" s="70">
        <f>IF(C8="","",IFERROR(IF(SUMPRODUCT(MAX((tbl_Finance[Job Number]&amp;""=C8&amp;"")*(tbl_Finance[Xero Invoice No]&lt;&gt;"")*tbl_Finance[Date]))=0,"",SUMPRODUCT(MAX((tbl_Finance[Job Number]&amp;""=C8&amp;"")*(tbl_Finance[Xero Invoice No]&lt;&gt;"")*tbl_Finance[Date]))),""))</f>
        <v/>
      </c>
      <c r="B8" s="25">
        <f>IF(C8="","",IF(COUNTIFS(tbl_Finance[Job Number],C8&amp;"",tbl_Finance[Xero Invoice No],"&lt;&gt;")=0,"",IFERROR(IF(COUNTIFS(tbl_Finance[Job Number],C8&amp;"",tbl_Finance[Xero Invoice No],LOOKUP(2,1/((tbl_Finance[Job Number]&amp;""=C8&amp;"")*(tbl_Finance[Xero Invoice No]&lt;&gt;"")),tbl_Finance[Xero Invoice No]))=COUNTIFS(tbl_Finance[Job Number],C8&amp;"",tbl_Finance[Xero Invoice No],"&lt;&gt;"),LOOKUP(2,1/((tbl_Finance[Job Number]&amp;""=C8&amp;"")*(tbl_Finance[Xero Invoice No]&lt;&gt;"")),tbl_Finance[Xero Invoice No]),LOOKUP(2,1/((tbl_Finance[Job Number]&amp;""=C8&amp;"")*(tbl_Finance[Xero Invoice No]&lt;&gt;"")),tbl_Finance[Xero Invoice No])&amp;" +more"),"")))</f>
        <v/>
      </c>
      <c r="C8" s="24" t="n"/>
      <c r="D8" s="25">
        <f>IF(C8="","",IF(COUNTIF(lst_Jobs,C8&amp;"")&gt;0,"OK","CHECK"))</f>
        <v/>
      </c>
      <c r="E8" s="25">
        <f>IF(C8="","",IFERROR(INDEX(lst_JobName,MATCH(C8&amp;"",lst_Jobs,0)),""))</f>
        <v/>
      </c>
      <c r="F8" s="25">
        <f>IF(C8="","",IFERROR(INDEX(tbl_Finance[Client],IFERROR(MATCH(C8&amp;"",tbl_Finance[Job Number],0),MATCH(IFERROR(C8+0,C8),tbl_Finance[Job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6" t="n"/>
      <c r="L8" s="27">
        <f>IF(C8="","",IF(K8="",0,MAX(0,K8-H8)))</f>
        <v/>
      </c>
      <c r="M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N8" s="24" t="n"/>
      <c r="O8" s="25">
        <f>IF(N8="","",HYPERLINK(IF(LEFT(N8,4)="http",N8,set_QwilrBase&amp;N8),"Open quote"))</f>
        <v/>
      </c>
      <c r="P8" s="26" t="n"/>
      <c r="Q8" s="26" t="n"/>
      <c r="R8" s="26" t="n"/>
      <c r="S8" s="25">
        <f>IF(C8="","",IF(N(P8)+N(Q8)+N(R8)=0,"Not split",IF(ROUND(N(P8)+N(Q8)+N(R8),2)=ROUND(H8+L8,2),"OK",IF(G8=0,"Not invoiced yet","MISMATCH"))))</f>
        <v/>
      </c>
      <c r="T8" s="26" t="n"/>
      <c r="U8" s="26" t="n"/>
      <c r="V8" s="26" t="n"/>
      <c r="W8" s="27">
        <f>IF(C8="","",N(T8)+N(U8)+N(V8))</f>
        <v/>
      </c>
      <c r="X8" s="27">
        <f>IF(C8="","",H8+L8-W8)</f>
        <v/>
      </c>
      <c r="Y8" s="29">
        <f>IFERROR(X8/(H8+L8),"")</f>
        <v/>
      </c>
      <c r="Z8" s="24" t="n"/>
    </row>
    <row r="9" ht="15" customHeight="1">
      <c r="A9" s="70">
        <f>IF(C9="","",IFERROR(IF(SUMPRODUCT(MAX((tbl_Finance[Job Number]&amp;""=C9&amp;"")*(tbl_Finance[Xero Invoice No]&lt;&gt;"")*tbl_Finance[Date]))=0,"",SUMPRODUCT(MAX((tbl_Finance[Job Number]&amp;""=C9&amp;"")*(tbl_Finance[Xero Invoice No]&lt;&gt;"")*tbl_Finance[Date]))),""))</f>
        <v/>
      </c>
      <c r="B9" s="25">
        <f>IF(C9="","",IF(COUNTIFS(tbl_Finance[Job Number],C9&amp;"",tbl_Finance[Xero Invoice No],"&lt;&gt;")=0,"",IFERROR(IF(COUNTIFS(tbl_Finance[Job Number],C9&amp;"",tbl_Finance[Xero Invoice No],LOOKUP(2,1/((tbl_Finance[Job Number]&amp;""=C9&amp;"")*(tbl_Finance[Xero Invoice No]&lt;&gt;"")),tbl_Finance[Xero Invoice No]))=COUNTIFS(tbl_Finance[Job Number],C9&amp;"",tbl_Finance[Xero Invoice No],"&lt;&gt;"),LOOKUP(2,1/((tbl_Finance[Job Number]&amp;""=C9&amp;"")*(tbl_Finance[Xero Invoice No]&lt;&gt;"")),tbl_Finance[Xero Invoice No]),LOOKUP(2,1/((tbl_Finance[Job Number]&amp;""=C9&amp;"")*(tbl_Finance[Xero Invoice No]&lt;&gt;"")),tbl_Finance[Xero Invoice No])&amp;" +more"),"")))</f>
        <v/>
      </c>
      <c r="C9" s="24" t="n"/>
      <c r="D9" s="25">
        <f>IF(C9="","",IF(COUNTIF(lst_Jobs,C9&amp;"")&gt;0,"OK","CHECK"))</f>
        <v/>
      </c>
      <c r="E9" s="25">
        <f>IF(C9="","",IFERROR(INDEX(lst_JobName,MATCH(C9&amp;"",lst_Jobs,0)),""))</f>
        <v/>
      </c>
      <c r="F9" s="25">
        <f>IF(C9="","",IFERROR(INDEX(tbl_Finance[Client],IFERROR(MATCH(C9&amp;"",tbl_Finance[Job Number],0),MATCH(IFERROR(C9+0,C9),tbl_Finance[Job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6" t="n"/>
      <c r="L9" s="27">
        <f>IF(C9="","",IF(K9="",0,MAX(0,K9-H9)))</f>
        <v/>
      </c>
      <c r="M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N9" s="24" t="n"/>
      <c r="O9" s="25">
        <f>IF(N9="","",HYPERLINK(IF(LEFT(N9,4)="http",N9,set_QwilrBase&amp;N9),"Open quote"))</f>
        <v/>
      </c>
      <c r="P9" s="26" t="n"/>
      <c r="Q9" s="26" t="n"/>
      <c r="R9" s="26" t="n"/>
      <c r="S9" s="25">
        <f>IF(C9="","",IF(N(P9)+N(Q9)+N(R9)=0,"Not split",IF(ROUND(N(P9)+N(Q9)+N(R9),2)=ROUND(H9+L9,2),"OK",IF(G9=0,"Not invoiced yet","MISMATCH"))))</f>
        <v/>
      </c>
      <c r="T9" s="26" t="n"/>
      <c r="U9" s="26" t="n"/>
      <c r="V9" s="26" t="n"/>
      <c r="W9" s="27">
        <f>IF(C9="","",N(T9)+N(U9)+N(V9))</f>
        <v/>
      </c>
      <c r="X9" s="27">
        <f>IF(C9="","",H9+L9-W9)</f>
        <v/>
      </c>
      <c r="Y9" s="29">
        <f>IFERROR(X9/(H9+L9),"")</f>
        <v/>
      </c>
      <c r="Z9" s="24" t="n"/>
    </row>
    <row r="10" ht="15" customHeight="1">
      <c r="A10" s="70">
        <f>IF(C10="","",IFERROR(IF(SUMPRODUCT(MAX((tbl_Finance[Job Number]&amp;""=C10&amp;"")*(tbl_Finance[Xero Invoice No]&lt;&gt;"")*tbl_Finance[Date]))=0,"",SUMPRODUCT(MAX((tbl_Finance[Job Number]&amp;""=C10&amp;"")*(tbl_Finance[Xero Invoice No]&lt;&gt;"")*tbl_Finance[Date]))),""))</f>
        <v/>
      </c>
      <c r="B10" s="25">
        <f>IF(C10="","",IF(COUNTIFS(tbl_Finance[Job Number],C10&amp;"",tbl_Finance[Xero Invoice No],"&lt;&gt;")=0,"",IFERROR(IF(COUNTIFS(tbl_Finance[Job Number],C10&amp;"",tbl_Finance[Xero Invoice No],LOOKUP(2,1/((tbl_Finance[Job Number]&amp;""=C10&amp;"")*(tbl_Finance[Xero Invoice No]&lt;&gt;"")),tbl_Finance[Xero Invoice No]))=COUNTIFS(tbl_Finance[Job Number],C10&amp;"",tbl_Finance[Xero Invoice No],"&lt;&gt;"),LOOKUP(2,1/((tbl_Finance[Job Number]&amp;""=C10&amp;"")*(tbl_Finance[Xero Invoice No]&lt;&gt;"")),tbl_Finance[Xero Invoice No]),LOOKUP(2,1/((tbl_Finance[Job Number]&amp;""=C10&amp;"")*(tbl_Finance[Xero Invoice No]&lt;&gt;"")),tbl_Finance[Xero Invoice No])&amp;" +more"),"")))</f>
        <v/>
      </c>
      <c r="C10" s="24" t="n"/>
      <c r="D10" s="25">
        <f>IF(C10="","",IF(COUNTIF(lst_Jobs,C10&amp;"")&gt;0,"OK","CHECK"))</f>
        <v/>
      </c>
      <c r="E10" s="25">
        <f>IF(C10="","",IFERROR(INDEX(lst_JobName,MATCH(C10&amp;"",lst_Jobs,0)),""))</f>
        <v/>
      </c>
      <c r="F10" s="25">
        <f>IF(C10="","",IFERROR(INDEX(tbl_Finance[Client],IFERROR(MATCH(C10&amp;"",tbl_Finance[Job Number],0),MATCH(IFERROR(C10+0,C10),tbl_Finance[Job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6" t="n"/>
      <c r="L10" s="27">
        <f>IF(C10="","",IF(K10="",0,MAX(0,K10-H10)))</f>
        <v/>
      </c>
      <c r="M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N10" s="24" t="n"/>
      <c r="O10" s="25">
        <f>IF(N10="","",HYPERLINK(IF(LEFT(N10,4)="http",N10,set_QwilrBase&amp;N10),"Open quote"))</f>
        <v/>
      </c>
      <c r="P10" s="26" t="n"/>
      <c r="Q10" s="26" t="n"/>
      <c r="R10" s="26" t="n"/>
      <c r="S10" s="25">
        <f>IF(C10="","",IF(N(P10)+N(Q10)+N(R10)=0,"Not split",IF(ROUND(N(P10)+N(Q10)+N(R10),2)=ROUND(H10+L10,2),"OK",IF(G10=0,"Not invoiced yet","MISMATCH"))))</f>
        <v/>
      </c>
      <c r="T10" s="26" t="n"/>
      <c r="U10" s="26" t="n"/>
      <c r="V10" s="26" t="n"/>
      <c r="W10" s="27">
        <f>IF(C10="","",N(T10)+N(U10)+N(V10))</f>
        <v/>
      </c>
      <c r="X10" s="27">
        <f>IF(C10="","",H10+L10-W10)</f>
        <v/>
      </c>
      <c r="Y10" s="29">
        <f>IFERROR(X10/(H10+L10),"")</f>
        <v/>
      </c>
      <c r="Z10" s="24" t="n"/>
    </row>
    <row r="11" ht="15" customHeight="1">
      <c r="A11" s="70">
        <f>IF(C11="","",IFERROR(IF(SUMPRODUCT(MAX((tbl_Finance[Job Number]&amp;""=C11&amp;"")*(tbl_Finance[Xero Invoice No]&lt;&gt;"")*tbl_Finance[Date]))=0,"",SUMPRODUCT(MAX((tbl_Finance[Job Number]&amp;""=C11&amp;"")*(tbl_Finance[Xero Invoice No]&lt;&gt;"")*tbl_Finance[Date]))),""))</f>
        <v/>
      </c>
      <c r="B11" s="25">
        <f>IF(C11="","",IF(COUNTIFS(tbl_Finance[Job Number],C11&amp;"",tbl_Finance[Xero Invoice No],"&lt;&gt;")=0,"",IFERROR(IF(COUNTIFS(tbl_Finance[Job Number],C11&amp;"",tbl_Finance[Xero Invoice No],LOOKUP(2,1/((tbl_Finance[Job Number]&amp;""=C11&amp;"")*(tbl_Finance[Xero Invoice No]&lt;&gt;"")),tbl_Finance[Xero Invoice No]))=COUNTIFS(tbl_Finance[Job Number],C11&amp;"",tbl_Finance[Xero Invoice No],"&lt;&gt;"),LOOKUP(2,1/((tbl_Finance[Job Number]&amp;""=C11&amp;"")*(tbl_Finance[Xero Invoice No]&lt;&gt;"")),tbl_Finance[Xero Invoice No]),LOOKUP(2,1/((tbl_Finance[Job Number]&amp;""=C11&amp;"")*(tbl_Finance[Xero Invoice No]&lt;&gt;"")),tbl_Finance[Xero Invoice No])&amp;" +more"),"")))</f>
        <v/>
      </c>
      <c r="C11" s="24" t="n"/>
      <c r="D11" s="25">
        <f>IF(C11="","",IF(COUNTIF(lst_Jobs,C11&amp;"")&gt;0,"OK","CHECK"))</f>
        <v/>
      </c>
      <c r="E11" s="25">
        <f>IF(C11="","",IFERROR(INDEX(lst_JobName,MATCH(C11&amp;"",lst_Jobs,0)),""))</f>
        <v/>
      </c>
      <c r="F11" s="25">
        <f>IF(C11="","",IFERROR(INDEX(tbl_Finance[Client],IFERROR(MATCH(C11&amp;"",tbl_Finance[Job Number],0),MATCH(IFERROR(C11+0,C11),tbl_Finance[Job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6" t="n"/>
      <c r="L11" s="27">
        <f>IF(C11="","",IF(K11="",0,MAX(0,K11-H11)))</f>
        <v/>
      </c>
      <c r="M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N11" s="24" t="n"/>
      <c r="O11" s="25">
        <f>IF(N11="","",HYPERLINK(IF(LEFT(N11,4)="http",N11,set_QwilrBase&amp;N11),"Open quote"))</f>
        <v/>
      </c>
      <c r="P11" s="26" t="n"/>
      <c r="Q11" s="26" t="n"/>
      <c r="R11" s="26" t="n"/>
      <c r="S11" s="25">
        <f>IF(C11="","",IF(N(P11)+N(Q11)+N(R11)=0,"Not split",IF(ROUND(N(P11)+N(Q11)+N(R11),2)=ROUND(H11+L11,2),"OK",IF(G11=0,"Not invoiced yet","MISMATCH"))))</f>
        <v/>
      </c>
      <c r="T11" s="26" t="n"/>
      <c r="U11" s="26" t="n"/>
      <c r="V11" s="26" t="n"/>
      <c r="W11" s="27">
        <f>IF(C11="","",N(T11)+N(U11)+N(V11))</f>
        <v/>
      </c>
      <c r="X11" s="27">
        <f>IF(C11="","",H11+L11-W11)</f>
        <v/>
      </c>
      <c r="Y11" s="29">
        <f>IFERROR(X11/(H11+L11),"")</f>
        <v/>
      </c>
      <c r="Z11" s="24" t="n"/>
    </row>
    <row r="12" ht="15" customHeight="1">
      <c r="A12" s="70">
        <f>IF(C12="","",IFERROR(IF(SUMPRODUCT(MAX((tbl_Finance[Job Number]&amp;""=C12&amp;"")*(tbl_Finance[Xero Invoice No]&lt;&gt;"")*tbl_Finance[Date]))=0,"",SUMPRODUCT(MAX((tbl_Finance[Job Number]&amp;""=C12&amp;"")*(tbl_Finance[Xero Invoice No]&lt;&gt;"")*tbl_Finance[Date]))),""))</f>
        <v/>
      </c>
      <c r="B12" s="25">
        <f>IF(C12="","",IF(COUNTIFS(tbl_Finance[Job Number],C12&amp;"",tbl_Finance[Xero Invoice No],"&lt;&gt;")=0,"",IFERROR(IF(COUNTIFS(tbl_Finance[Job Number],C12&amp;"",tbl_Finance[Xero Invoice No],LOOKUP(2,1/((tbl_Finance[Job Number]&amp;""=C12&amp;"")*(tbl_Finance[Xero Invoice No]&lt;&gt;"")),tbl_Finance[Xero Invoice No]))=COUNTIFS(tbl_Finance[Job Number],C12&amp;"",tbl_Finance[Xero Invoice No],"&lt;&gt;"),LOOKUP(2,1/((tbl_Finance[Job Number]&amp;""=C12&amp;"")*(tbl_Finance[Xero Invoice No]&lt;&gt;"")),tbl_Finance[Xero Invoice No]),LOOKUP(2,1/((tbl_Finance[Job Number]&amp;""=C12&amp;"")*(tbl_Finance[Xero Invoice No]&lt;&gt;"")),tbl_Finance[Xero Invoice No])&amp;" +more"),"")))</f>
        <v/>
      </c>
      <c r="C12" s="24" t="n"/>
      <c r="D12" s="25">
        <f>IF(C12="","",IF(COUNTIF(lst_Jobs,C12&amp;"")&gt;0,"OK","CHECK"))</f>
        <v/>
      </c>
      <c r="E12" s="25">
        <f>IF(C12="","",IFERROR(INDEX(lst_JobName,MATCH(C12&amp;"",lst_Jobs,0)),""))</f>
        <v/>
      </c>
      <c r="F12" s="25">
        <f>IF(C12="","",IFERROR(INDEX(tbl_Finance[Client],IFERROR(MATCH(C12&amp;"",tbl_Finance[Job Number],0),MATCH(IFERROR(C12+0,C12),tbl_Finance[Job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6" t="n"/>
      <c r="L12" s="27">
        <f>IF(C12="","",IF(K12="",0,MAX(0,K12-H12)))</f>
        <v/>
      </c>
      <c r="M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N12" s="24" t="n"/>
      <c r="O12" s="25">
        <f>IF(N12="","",HYPERLINK(IF(LEFT(N12,4)="http",N12,set_QwilrBase&amp;N12),"Open quote"))</f>
        <v/>
      </c>
      <c r="P12" s="26" t="n"/>
      <c r="Q12" s="26" t="n"/>
      <c r="R12" s="26" t="n"/>
      <c r="S12" s="25">
        <f>IF(C12="","",IF(N(P12)+N(Q12)+N(R12)=0,"Not split",IF(ROUND(N(P12)+N(Q12)+N(R12),2)=ROUND(H12+L12,2),"OK",IF(G12=0,"Not invoiced yet","MISMATCH"))))</f>
        <v/>
      </c>
      <c r="T12" s="26" t="n"/>
      <c r="U12" s="26" t="n"/>
      <c r="V12" s="26" t="n"/>
      <c r="W12" s="27">
        <f>IF(C12="","",N(T12)+N(U12)+N(V12))</f>
        <v/>
      </c>
      <c r="X12" s="27">
        <f>IF(C12="","",H12+L12-W12)</f>
        <v/>
      </c>
      <c r="Y12" s="29">
        <f>IFERROR(X12/(H12+L12),"")</f>
        <v/>
      </c>
      <c r="Z12" s="24" t="n"/>
    </row>
    <row r="13" ht="15" customHeight="1">
      <c r="A13" s="70">
        <f>IF(C13="","",IFERROR(IF(SUMPRODUCT(MAX((tbl_Finance[Job Number]&amp;""=C13&amp;"")*(tbl_Finance[Xero Invoice No]&lt;&gt;"")*tbl_Finance[Date]))=0,"",SUMPRODUCT(MAX((tbl_Finance[Job Number]&amp;""=C13&amp;"")*(tbl_Finance[Xero Invoice No]&lt;&gt;"")*tbl_Finance[Date]))),""))</f>
        <v/>
      </c>
      <c r="B13" s="25">
        <f>IF(C13="","",IF(COUNTIFS(tbl_Finance[Job Number],C13&amp;"",tbl_Finance[Xero Invoice No],"&lt;&gt;")=0,"",IFERROR(IF(COUNTIFS(tbl_Finance[Job Number],C13&amp;"",tbl_Finance[Xero Invoice No],LOOKUP(2,1/((tbl_Finance[Job Number]&amp;""=C13&amp;"")*(tbl_Finance[Xero Invoice No]&lt;&gt;"")),tbl_Finance[Xero Invoice No]))=COUNTIFS(tbl_Finance[Job Number],C13&amp;"",tbl_Finance[Xero Invoice No],"&lt;&gt;"),LOOKUP(2,1/((tbl_Finance[Job Number]&amp;""=C13&amp;"")*(tbl_Finance[Xero Invoice No]&lt;&gt;"")),tbl_Finance[Xero Invoice No]),LOOKUP(2,1/((tbl_Finance[Job Number]&amp;""=C13&amp;"")*(tbl_Finance[Xero Invoice No]&lt;&gt;"")),tbl_Finance[Xero Invoice No])&amp;" +more"),"")))</f>
        <v/>
      </c>
      <c r="C13" s="24" t="n"/>
      <c r="D13" s="25">
        <f>IF(C13="","",IF(COUNTIF(lst_Jobs,C13&amp;"")&gt;0,"OK","CHECK"))</f>
        <v/>
      </c>
      <c r="E13" s="25">
        <f>IF(C13="","",IFERROR(INDEX(lst_JobName,MATCH(C13&amp;"",lst_Jobs,0)),""))</f>
        <v/>
      </c>
      <c r="F13" s="25">
        <f>IF(C13="","",IFERROR(INDEX(tbl_Finance[Client],IFERROR(MATCH(C13&amp;"",tbl_Finance[Job Number],0),MATCH(IFERROR(C13+0,C13),tbl_Finance[Job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6" t="n"/>
      <c r="L13" s="27">
        <f>IF(C13="","",IF(K13="",0,MAX(0,K13-H13)))</f>
        <v/>
      </c>
      <c r="M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N13" s="24" t="n"/>
      <c r="O13" s="25">
        <f>IF(N13="","",HYPERLINK(IF(LEFT(N13,4)="http",N13,set_QwilrBase&amp;N13),"Open quote"))</f>
        <v/>
      </c>
      <c r="P13" s="26" t="n"/>
      <c r="Q13" s="26" t="n"/>
      <c r="R13" s="26" t="n"/>
      <c r="S13" s="25">
        <f>IF(C13="","",IF(N(P13)+N(Q13)+N(R13)=0,"Not split",IF(ROUND(N(P13)+N(Q13)+N(R13),2)=ROUND(H13+L13,2),"OK",IF(G13=0,"Not invoiced yet","MISMATCH"))))</f>
        <v/>
      </c>
      <c r="T13" s="26" t="n"/>
      <c r="U13" s="26" t="n"/>
      <c r="V13" s="26" t="n"/>
      <c r="W13" s="27">
        <f>IF(C13="","",N(T13)+N(U13)+N(V13))</f>
        <v/>
      </c>
      <c r="X13" s="27">
        <f>IF(C13="","",H13+L13-W13)</f>
        <v/>
      </c>
      <c r="Y13" s="29">
        <f>IFERROR(X13/(H13+L13),"")</f>
        <v/>
      </c>
      <c r="Z13" s="24" t="n"/>
    </row>
    <row r="14" ht="15" customHeight="1">
      <c r="A14" s="70">
        <f>IF(C14="","",IFERROR(IF(SUMPRODUCT(MAX((tbl_Finance[Job Number]&amp;""=C14&amp;"")*(tbl_Finance[Xero Invoice No]&lt;&gt;"")*tbl_Finance[Date]))=0,"",SUMPRODUCT(MAX((tbl_Finance[Job Number]&amp;""=C14&amp;"")*(tbl_Finance[Xero Invoice No]&lt;&gt;"")*tbl_Finance[Date]))),""))</f>
        <v/>
      </c>
      <c r="B14" s="25">
        <f>IF(C14="","",IF(COUNTIFS(tbl_Finance[Job Number],C14&amp;"",tbl_Finance[Xero Invoice No],"&lt;&gt;")=0,"",IFERROR(IF(COUNTIFS(tbl_Finance[Job Number],C14&amp;"",tbl_Finance[Xero Invoice No],LOOKUP(2,1/((tbl_Finance[Job Number]&amp;""=C14&amp;"")*(tbl_Finance[Xero Invoice No]&lt;&gt;"")),tbl_Finance[Xero Invoice No]))=COUNTIFS(tbl_Finance[Job Number],C14&amp;"",tbl_Finance[Xero Invoice No],"&lt;&gt;"),LOOKUP(2,1/((tbl_Finance[Job Number]&amp;""=C14&amp;"")*(tbl_Finance[Xero Invoice No]&lt;&gt;"")),tbl_Finance[Xero Invoice No]),LOOKUP(2,1/((tbl_Finance[Job Number]&amp;""=C14&amp;"")*(tbl_Finance[Xero Invoice No]&lt;&gt;"")),tbl_Finance[Xero Invoice No])&amp;" +more"),"")))</f>
        <v/>
      </c>
      <c r="C14" s="24" t="n"/>
      <c r="D14" s="25">
        <f>IF(C14="","",IF(COUNTIF(lst_Jobs,C14&amp;"")&gt;0,"OK","CHECK"))</f>
        <v/>
      </c>
      <c r="E14" s="25">
        <f>IF(C14="","",IFERROR(INDEX(lst_JobName,MATCH(C14&amp;"",lst_Jobs,0)),""))</f>
        <v/>
      </c>
      <c r="F14" s="25">
        <f>IF(C14="","",IFERROR(INDEX(tbl_Finance[Client],IFERROR(MATCH(C14&amp;"",tbl_Finance[Job Number],0),MATCH(IFERROR(C14+0,C14),tbl_Finance[Job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6" t="n"/>
      <c r="L14" s="27">
        <f>IF(C14="","",IF(K14="",0,MAX(0,K14-H14)))</f>
        <v/>
      </c>
      <c r="M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N14" s="24" t="n"/>
      <c r="O14" s="25">
        <f>IF(N14="","",HYPERLINK(IF(LEFT(N14,4)="http",N14,set_QwilrBase&amp;N14),"Open quote"))</f>
        <v/>
      </c>
      <c r="P14" s="26" t="n"/>
      <c r="Q14" s="26" t="n"/>
      <c r="R14" s="26" t="n"/>
      <c r="S14" s="25">
        <f>IF(C14="","",IF(N(P14)+N(Q14)+N(R14)=0,"Not split",IF(ROUND(N(P14)+N(Q14)+N(R14),2)=ROUND(H14+L14,2),"OK",IF(G14=0,"Not invoiced yet","MISMATCH"))))</f>
        <v/>
      </c>
      <c r="T14" s="26" t="n"/>
      <c r="U14" s="26" t="n"/>
      <c r="V14" s="26" t="n"/>
      <c r="W14" s="27">
        <f>IF(C14="","",N(T14)+N(U14)+N(V14))</f>
        <v/>
      </c>
      <c r="X14" s="27">
        <f>IF(C14="","",H14+L14-W14)</f>
        <v/>
      </c>
      <c r="Y14" s="29">
        <f>IFERROR(X14/(H14+L14),"")</f>
        <v/>
      </c>
      <c r="Z14" s="24" t="n"/>
    </row>
    <row r="15" ht="15" customHeight="1">
      <c r="A15" s="70">
        <f>IF(C15="","",IFERROR(IF(SUMPRODUCT(MAX((tbl_Finance[Job Number]&amp;""=C15&amp;"")*(tbl_Finance[Xero Invoice No]&lt;&gt;"")*tbl_Finance[Date]))=0,"",SUMPRODUCT(MAX((tbl_Finance[Job Number]&amp;""=C15&amp;"")*(tbl_Finance[Xero Invoice No]&lt;&gt;"")*tbl_Finance[Date]))),""))</f>
        <v/>
      </c>
      <c r="B15" s="25">
        <f>IF(C15="","",IF(COUNTIFS(tbl_Finance[Job Number],C15&amp;"",tbl_Finance[Xero Invoice No],"&lt;&gt;")=0,"",IFERROR(IF(COUNTIFS(tbl_Finance[Job Number],C15&amp;"",tbl_Finance[Xero Invoice No],LOOKUP(2,1/((tbl_Finance[Job Number]&amp;""=C15&amp;"")*(tbl_Finance[Xero Invoice No]&lt;&gt;"")),tbl_Finance[Xero Invoice No]))=COUNTIFS(tbl_Finance[Job Number],C15&amp;"",tbl_Finance[Xero Invoice No],"&lt;&gt;"),LOOKUP(2,1/((tbl_Finance[Job Number]&amp;""=C15&amp;"")*(tbl_Finance[Xero Invoice No]&lt;&gt;"")),tbl_Finance[Xero Invoice No]),LOOKUP(2,1/((tbl_Finance[Job Number]&amp;""=C15&amp;"")*(tbl_Finance[Xero Invoice No]&lt;&gt;"")),tbl_Finance[Xero Invoice No])&amp;" +more"),"")))</f>
        <v/>
      </c>
      <c r="C15" s="24" t="n"/>
      <c r="D15" s="25">
        <f>IF(C15="","",IF(COUNTIF(lst_Jobs,C15&amp;"")&gt;0,"OK","CHECK"))</f>
        <v/>
      </c>
      <c r="E15" s="25">
        <f>IF(C15="","",IFERROR(INDEX(lst_JobName,MATCH(C15&amp;"",lst_Jobs,0)),""))</f>
        <v/>
      </c>
      <c r="F15" s="25">
        <f>IF(C15="","",IFERROR(INDEX(tbl_Finance[Client],IFERROR(MATCH(C15&amp;"",tbl_Finance[Job Number],0),MATCH(IFERROR(C15+0,C15),tbl_Finance[Job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6" t="n"/>
      <c r="L15" s="27">
        <f>IF(C15="","",IF(K15="",0,MAX(0,K15-H15)))</f>
        <v/>
      </c>
      <c r="M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N15" s="24" t="n"/>
      <c r="O15" s="25">
        <f>IF(N15="","",HYPERLINK(IF(LEFT(N15,4)="http",N15,set_QwilrBase&amp;N15),"Open quote"))</f>
        <v/>
      </c>
      <c r="P15" s="26" t="n"/>
      <c r="Q15" s="26" t="n"/>
      <c r="R15" s="26" t="n"/>
      <c r="S15" s="25">
        <f>IF(C15="","",IF(N(P15)+N(Q15)+N(R15)=0,"Not split",IF(ROUND(N(P15)+N(Q15)+N(R15),2)=ROUND(H15+L15,2),"OK",IF(G15=0,"Not invoiced yet","MISMATCH"))))</f>
        <v/>
      </c>
      <c r="T15" s="26" t="n"/>
      <c r="U15" s="26" t="n"/>
      <c r="V15" s="26" t="n"/>
      <c r="W15" s="27">
        <f>IF(C15="","",N(T15)+N(U15)+N(V15))</f>
        <v/>
      </c>
      <c r="X15" s="27">
        <f>IF(C15="","",H15+L15-W15)</f>
        <v/>
      </c>
      <c r="Y15" s="29">
        <f>IFERROR(X15/(H15+L15),"")</f>
        <v/>
      </c>
      <c r="Z15" s="24" t="n"/>
    </row>
    <row r="16" ht="15" customHeight="1">
      <c r="A16" s="70">
        <f>IF(C16="","",IFERROR(IF(SUMPRODUCT(MAX((tbl_Finance[Job Number]&amp;""=C16&amp;"")*(tbl_Finance[Xero Invoice No]&lt;&gt;"")*tbl_Finance[Date]))=0,"",SUMPRODUCT(MAX((tbl_Finance[Job Number]&amp;""=C16&amp;"")*(tbl_Finance[Xero Invoice No]&lt;&gt;"")*tbl_Finance[Date]))),""))</f>
        <v/>
      </c>
      <c r="B16" s="25">
        <f>IF(C16="","",IF(COUNTIFS(tbl_Finance[Job Number],C16&amp;"",tbl_Finance[Xero Invoice No],"&lt;&gt;")=0,"",IFERROR(IF(COUNTIFS(tbl_Finance[Job Number],C16&amp;"",tbl_Finance[Xero Invoice No],LOOKUP(2,1/((tbl_Finance[Job Number]&amp;""=C16&amp;"")*(tbl_Finance[Xero Invoice No]&lt;&gt;"")),tbl_Finance[Xero Invoice No]))=COUNTIFS(tbl_Finance[Job Number],C16&amp;"",tbl_Finance[Xero Invoice No],"&lt;&gt;"),LOOKUP(2,1/((tbl_Finance[Job Number]&amp;""=C16&amp;"")*(tbl_Finance[Xero Invoice No]&lt;&gt;"")),tbl_Finance[Xero Invoice No]),LOOKUP(2,1/((tbl_Finance[Job Number]&amp;""=C16&amp;"")*(tbl_Finance[Xero Invoice No]&lt;&gt;"")),tbl_Finance[Xero Invoice No])&amp;" +more"),"")))</f>
        <v/>
      </c>
      <c r="C16" s="24" t="n"/>
      <c r="D16" s="25">
        <f>IF(C16="","",IF(COUNTIF(lst_Jobs,C16&amp;"")&gt;0,"OK","CHECK"))</f>
        <v/>
      </c>
      <c r="E16" s="25">
        <f>IF(C16="","",IFERROR(INDEX(lst_JobName,MATCH(C16&amp;"",lst_Jobs,0)),""))</f>
        <v/>
      </c>
      <c r="F16" s="25">
        <f>IF(C16="","",IFERROR(INDEX(tbl_Finance[Client],IFERROR(MATCH(C16&amp;"",tbl_Finance[Job Number],0),MATCH(IFERROR(C16+0,C16),tbl_Finance[Job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6" t="n"/>
      <c r="L16" s="27">
        <f>IF(C16="","",IF(K16="",0,MAX(0,K16-H16)))</f>
        <v/>
      </c>
      <c r="M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N16" s="24" t="n"/>
      <c r="O16" s="25">
        <f>IF(N16="","",HYPERLINK(IF(LEFT(N16,4)="http",N16,set_QwilrBase&amp;N16),"Open quote"))</f>
        <v/>
      </c>
      <c r="P16" s="26" t="n"/>
      <c r="Q16" s="26" t="n"/>
      <c r="R16" s="26" t="n"/>
      <c r="S16" s="25">
        <f>IF(C16="","",IF(N(P16)+N(Q16)+N(R16)=0,"Not split",IF(ROUND(N(P16)+N(Q16)+N(R16),2)=ROUND(H16+L16,2),"OK",IF(G16=0,"Not invoiced yet","MISMATCH"))))</f>
        <v/>
      </c>
      <c r="T16" s="26" t="n"/>
      <c r="U16" s="26" t="n"/>
      <c r="V16" s="26" t="n"/>
      <c r="W16" s="27">
        <f>IF(C16="","",N(T16)+N(U16)+N(V16))</f>
        <v/>
      </c>
      <c r="X16" s="27">
        <f>IF(C16="","",H16+L16-W16)</f>
        <v/>
      </c>
      <c r="Y16" s="29">
        <f>IFERROR(X16/(H16+L16),"")</f>
        <v/>
      </c>
      <c r="Z16" s="24" t="n"/>
    </row>
    <row r="17" ht="15" customHeight="1">
      <c r="A17" s="70">
        <f>IF(C17="","",IFERROR(IF(SUMPRODUCT(MAX((tbl_Finance[Job Number]&amp;""=C17&amp;"")*(tbl_Finance[Xero Invoice No]&lt;&gt;"")*tbl_Finance[Date]))=0,"",SUMPRODUCT(MAX((tbl_Finance[Job Number]&amp;""=C17&amp;"")*(tbl_Finance[Xero Invoice No]&lt;&gt;"")*tbl_Finance[Date]))),""))</f>
        <v/>
      </c>
      <c r="B17" s="25">
        <f>IF(C17="","",IF(COUNTIFS(tbl_Finance[Job Number],C17&amp;"",tbl_Finance[Xero Invoice No],"&lt;&gt;")=0,"",IFERROR(IF(COUNTIFS(tbl_Finance[Job Number],C17&amp;"",tbl_Finance[Xero Invoice No],LOOKUP(2,1/((tbl_Finance[Job Number]&amp;""=C17&amp;"")*(tbl_Finance[Xero Invoice No]&lt;&gt;"")),tbl_Finance[Xero Invoice No]))=COUNTIFS(tbl_Finance[Job Number],C17&amp;"",tbl_Finance[Xero Invoice No],"&lt;&gt;"),LOOKUP(2,1/((tbl_Finance[Job Number]&amp;""=C17&amp;"")*(tbl_Finance[Xero Invoice No]&lt;&gt;"")),tbl_Finance[Xero Invoice No]),LOOKUP(2,1/((tbl_Finance[Job Number]&amp;""=C17&amp;"")*(tbl_Finance[Xero Invoice No]&lt;&gt;"")),tbl_Finance[Xero Invoice No])&amp;" +more"),"")))</f>
        <v/>
      </c>
      <c r="C17" s="24" t="n"/>
      <c r="D17" s="25">
        <f>IF(C17="","",IF(COUNTIF(lst_Jobs,C17&amp;"")&gt;0,"OK","CHECK"))</f>
        <v/>
      </c>
      <c r="E17" s="25">
        <f>IF(C17="","",IFERROR(INDEX(lst_JobName,MATCH(C17&amp;"",lst_Jobs,0)),""))</f>
        <v/>
      </c>
      <c r="F17" s="25">
        <f>IF(C17="","",IFERROR(INDEX(tbl_Finance[Client],IFERROR(MATCH(C17&amp;"",tbl_Finance[Job Number],0),MATCH(IFERROR(C17+0,C17),tbl_Finance[Job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6" t="n"/>
      <c r="L17" s="27">
        <f>IF(C17="","",IF(K17="",0,MAX(0,K17-H17)))</f>
        <v/>
      </c>
      <c r="M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N17" s="24" t="n"/>
      <c r="O17" s="25">
        <f>IF(N17="","",HYPERLINK(IF(LEFT(N17,4)="http",N17,set_QwilrBase&amp;N17),"Open quote"))</f>
        <v/>
      </c>
      <c r="P17" s="26" t="n"/>
      <c r="Q17" s="26" t="n"/>
      <c r="R17" s="26" t="n"/>
      <c r="S17" s="25">
        <f>IF(C17="","",IF(N(P17)+N(Q17)+N(R17)=0,"Not split",IF(ROUND(N(P17)+N(Q17)+N(R17),2)=ROUND(H17+L17,2),"OK",IF(G17=0,"Not invoiced yet","MISMATCH"))))</f>
        <v/>
      </c>
      <c r="T17" s="26" t="n"/>
      <c r="U17" s="26" t="n"/>
      <c r="V17" s="26" t="n"/>
      <c r="W17" s="27">
        <f>IF(C17="","",N(T17)+N(U17)+N(V17))</f>
        <v/>
      </c>
      <c r="X17" s="27">
        <f>IF(C17="","",H17+L17-W17)</f>
        <v/>
      </c>
      <c r="Y17" s="29">
        <f>IFERROR(X17/(H17+L17),"")</f>
        <v/>
      </c>
      <c r="Z17" s="24" t="n"/>
    </row>
    <row r="18" ht="15" customHeight="1">
      <c r="A18" s="70">
        <f>IF(C18="","",IFERROR(IF(SUMPRODUCT(MAX((tbl_Finance[Job Number]&amp;""=C18&amp;"")*(tbl_Finance[Xero Invoice No]&lt;&gt;"")*tbl_Finance[Date]))=0,"",SUMPRODUCT(MAX((tbl_Finance[Job Number]&amp;""=C18&amp;"")*(tbl_Finance[Xero Invoice No]&lt;&gt;"")*tbl_Finance[Date]))),""))</f>
        <v/>
      </c>
      <c r="B18" s="25">
        <f>IF(C18="","",IF(COUNTIFS(tbl_Finance[Job Number],C18&amp;"",tbl_Finance[Xero Invoice No],"&lt;&gt;")=0,"",IFERROR(IF(COUNTIFS(tbl_Finance[Job Number],C18&amp;"",tbl_Finance[Xero Invoice No],LOOKUP(2,1/((tbl_Finance[Job Number]&amp;""=C18&amp;"")*(tbl_Finance[Xero Invoice No]&lt;&gt;"")),tbl_Finance[Xero Invoice No]))=COUNTIFS(tbl_Finance[Job Number],C18&amp;"",tbl_Finance[Xero Invoice No],"&lt;&gt;"),LOOKUP(2,1/((tbl_Finance[Job Number]&amp;""=C18&amp;"")*(tbl_Finance[Xero Invoice No]&lt;&gt;"")),tbl_Finance[Xero Invoice No]),LOOKUP(2,1/((tbl_Finance[Job Number]&amp;""=C18&amp;"")*(tbl_Finance[Xero Invoice No]&lt;&gt;"")),tbl_Finance[Xero Invoice No])&amp;" +more"),"")))</f>
        <v/>
      </c>
      <c r="C18" s="24" t="n"/>
      <c r="D18" s="25">
        <f>IF(C18="","",IF(COUNTIF(lst_Jobs,C18&amp;"")&gt;0,"OK","CHECK"))</f>
        <v/>
      </c>
      <c r="E18" s="25">
        <f>IF(C18="","",IFERROR(INDEX(lst_JobName,MATCH(C18&amp;"",lst_Jobs,0)),""))</f>
        <v/>
      </c>
      <c r="F18" s="25">
        <f>IF(C18="","",IFERROR(INDEX(tbl_Finance[Client],IFERROR(MATCH(C18&amp;"",tbl_Finance[Job Number],0),MATCH(IFERROR(C18+0,C18),tbl_Finance[Job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6" t="n"/>
      <c r="L18" s="27">
        <f>IF(C18="","",IF(K18="",0,MAX(0,K18-H18)))</f>
        <v/>
      </c>
      <c r="M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N18" s="24" t="n"/>
      <c r="O18" s="25">
        <f>IF(N18="","",HYPERLINK(IF(LEFT(N18,4)="http",N18,set_QwilrBase&amp;N18),"Open quote"))</f>
        <v/>
      </c>
      <c r="P18" s="26" t="n"/>
      <c r="Q18" s="26" t="n"/>
      <c r="R18" s="26" t="n"/>
      <c r="S18" s="25">
        <f>IF(C18="","",IF(N(P18)+N(Q18)+N(R18)=0,"Not split",IF(ROUND(N(P18)+N(Q18)+N(R18),2)=ROUND(H18+L18,2),"OK",IF(G18=0,"Not invoiced yet","MISMATCH"))))</f>
        <v/>
      </c>
      <c r="T18" s="26" t="n"/>
      <c r="U18" s="26" t="n"/>
      <c r="V18" s="26" t="n"/>
      <c r="W18" s="27">
        <f>IF(C18="","",N(T18)+N(U18)+N(V18))</f>
        <v/>
      </c>
      <c r="X18" s="27">
        <f>IF(C18="","",H18+L18-W18)</f>
        <v/>
      </c>
      <c r="Y18" s="29">
        <f>IFERROR(X18/(H18+L18),"")</f>
        <v/>
      </c>
      <c r="Z18" s="24" t="n"/>
    </row>
    <row r="19" ht="15" customHeight="1">
      <c r="A19" s="70">
        <f>IF(C19="","",IFERROR(IF(SUMPRODUCT(MAX((tbl_Finance[Job Number]&amp;""=C19&amp;"")*(tbl_Finance[Xero Invoice No]&lt;&gt;"")*tbl_Finance[Date]))=0,"",SUMPRODUCT(MAX((tbl_Finance[Job Number]&amp;""=C19&amp;"")*(tbl_Finance[Xero Invoice No]&lt;&gt;"")*tbl_Finance[Date]))),""))</f>
        <v/>
      </c>
      <c r="B19" s="25">
        <f>IF(C19="","",IF(COUNTIFS(tbl_Finance[Job Number],C19&amp;"",tbl_Finance[Xero Invoice No],"&lt;&gt;")=0,"",IFERROR(IF(COUNTIFS(tbl_Finance[Job Number],C19&amp;"",tbl_Finance[Xero Invoice No],LOOKUP(2,1/((tbl_Finance[Job Number]&amp;""=C19&amp;"")*(tbl_Finance[Xero Invoice No]&lt;&gt;"")),tbl_Finance[Xero Invoice No]))=COUNTIFS(tbl_Finance[Job Number],C19&amp;"",tbl_Finance[Xero Invoice No],"&lt;&gt;"),LOOKUP(2,1/((tbl_Finance[Job Number]&amp;""=C19&amp;"")*(tbl_Finance[Xero Invoice No]&lt;&gt;"")),tbl_Finance[Xero Invoice No]),LOOKUP(2,1/((tbl_Finance[Job Number]&amp;""=C19&amp;"")*(tbl_Finance[Xero Invoice No]&lt;&gt;"")),tbl_Finance[Xero Invoice No])&amp;" +more"),"")))</f>
        <v/>
      </c>
      <c r="C19" s="24" t="n"/>
      <c r="D19" s="25">
        <f>IF(C19="","",IF(COUNTIF(lst_Jobs,C19&amp;"")&gt;0,"OK","CHECK"))</f>
        <v/>
      </c>
      <c r="E19" s="25">
        <f>IF(C19="","",IFERROR(INDEX(lst_JobName,MATCH(C19&amp;"",lst_Jobs,0)),""))</f>
        <v/>
      </c>
      <c r="F19" s="25">
        <f>IF(C19="","",IFERROR(INDEX(tbl_Finance[Client],IFERROR(MATCH(C19&amp;"",tbl_Finance[Job Number],0),MATCH(IFERROR(C19+0,C19),tbl_Finance[Job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6" t="n"/>
      <c r="L19" s="27">
        <f>IF(C19="","",IF(K19="",0,MAX(0,K19-H19)))</f>
        <v/>
      </c>
      <c r="M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N19" s="24" t="n"/>
      <c r="O19" s="25">
        <f>IF(N19="","",HYPERLINK(IF(LEFT(N19,4)="http",N19,set_QwilrBase&amp;N19),"Open quote"))</f>
        <v/>
      </c>
      <c r="P19" s="26" t="n"/>
      <c r="Q19" s="26" t="n"/>
      <c r="R19" s="26" t="n"/>
      <c r="S19" s="25">
        <f>IF(C19="","",IF(N(P19)+N(Q19)+N(R19)=0,"Not split",IF(ROUND(N(P19)+N(Q19)+N(R19),2)=ROUND(H19+L19,2),"OK",IF(G19=0,"Not invoiced yet","MISMATCH"))))</f>
        <v/>
      </c>
      <c r="T19" s="26" t="n"/>
      <c r="U19" s="26" t="n"/>
      <c r="V19" s="26" t="n"/>
      <c r="W19" s="27">
        <f>IF(C19="","",N(T19)+N(U19)+N(V19))</f>
        <v/>
      </c>
      <c r="X19" s="27">
        <f>IF(C19="","",H19+L19-W19)</f>
        <v/>
      </c>
      <c r="Y19" s="29">
        <f>IFERROR(X19/(H19+L19),"")</f>
        <v/>
      </c>
      <c r="Z19" s="24" t="n"/>
    </row>
    <row r="20" ht="15" customHeight="1">
      <c r="A20" s="70">
        <f>IF(C20="","",IFERROR(IF(SUMPRODUCT(MAX((tbl_Finance[Job Number]&amp;""=C20&amp;"")*(tbl_Finance[Xero Invoice No]&lt;&gt;"")*tbl_Finance[Date]))=0,"",SUMPRODUCT(MAX((tbl_Finance[Job Number]&amp;""=C20&amp;"")*(tbl_Finance[Xero Invoice No]&lt;&gt;"")*tbl_Finance[Date]))),""))</f>
        <v/>
      </c>
      <c r="B20" s="25">
        <f>IF(C20="","",IF(COUNTIFS(tbl_Finance[Job Number],C20&amp;"",tbl_Finance[Xero Invoice No],"&lt;&gt;")=0,"",IFERROR(IF(COUNTIFS(tbl_Finance[Job Number],C20&amp;"",tbl_Finance[Xero Invoice No],LOOKUP(2,1/((tbl_Finance[Job Number]&amp;""=C20&amp;"")*(tbl_Finance[Xero Invoice No]&lt;&gt;"")),tbl_Finance[Xero Invoice No]))=COUNTIFS(tbl_Finance[Job Number],C20&amp;"",tbl_Finance[Xero Invoice No],"&lt;&gt;"),LOOKUP(2,1/((tbl_Finance[Job Number]&amp;""=C20&amp;"")*(tbl_Finance[Xero Invoice No]&lt;&gt;"")),tbl_Finance[Xero Invoice No]),LOOKUP(2,1/((tbl_Finance[Job Number]&amp;""=C20&amp;"")*(tbl_Finance[Xero Invoice No]&lt;&gt;"")),tbl_Finance[Xero Invoice No])&amp;" +more"),"")))</f>
        <v/>
      </c>
      <c r="C20" s="24" t="n"/>
      <c r="D20" s="25">
        <f>IF(C20="","",IF(COUNTIF(lst_Jobs,C20&amp;"")&gt;0,"OK","CHECK"))</f>
        <v/>
      </c>
      <c r="E20" s="25">
        <f>IF(C20="","",IFERROR(INDEX(lst_JobName,MATCH(C20&amp;"",lst_Jobs,0)),""))</f>
        <v/>
      </c>
      <c r="F20" s="25">
        <f>IF(C20="","",IFERROR(INDEX(tbl_Finance[Client],IFERROR(MATCH(C20&amp;"",tbl_Finance[Job Number],0),MATCH(IFERROR(C20+0,C20),tbl_Finance[Job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6" t="n"/>
      <c r="L20" s="27">
        <f>IF(C20="","",IF(K20="",0,MAX(0,K20-H20)))</f>
        <v/>
      </c>
      <c r="M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N20" s="24" t="n"/>
      <c r="O20" s="25">
        <f>IF(N20="","",HYPERLINK(IF(LEFT(N20,4)="http",N20,set_QwilrBase&amp;N20),"Open quote"))</f>
        <v/>
      </c>
      <c r="P20" s="26" t="n"/>
      <c r="Q20" s="26" t="n"/>
      <c r="R20" s="26" t="n"/>
      <c r="S20" s="25">
        <f>IF(C20="","",IF(N(P20)+N(Q20)+N(R20)=0,"Not split",IF(ROUND(N(P20)+N(Q20)+N(R20),2)=ROUND(H20+L20,2),"OK",IF(G20=0,"Not invoiced yet","MISMATCH"))))</f>
        <v/>
      </c>
      <c r="T20" s="26" t="n"/>
      <c r="U20" s="26" t="n"/>
      <c r="V20" s="26" t="n"/>
      <c r="W20" s="27">
        <f>IF(C20="","",N(T20)+N(U20)+N(V20))</f>
        <v/>
      </c>
      <c r="X20" s="27">
        <f>IF(C20="","",H20+L20-W20)</f>
        <v/>
      </c>
      <c r="Y20" s="29">
        <f>IFERROR(X20/(H20+L20),"")</f>
        <v/>
      </c>
      <c r="Z20" s="24" t="n"/>
    </row>
    <row r="21" ht="15" customHeight="1">
      <c r="A21" s="70">
        <f>IF(C21="","",IFERROR(IF(SUMPRODUCT(MAX((tbl_Finance[Job Number]&amp;""=C21&amp;"")*(tbl_Finance[Xero Invoice No]&lt;&gt;"")*tbl_Finance[Date]))=0,"",SUMPRODUCT(MAX((tbl_Finance[Job Number]&amp;""=C21&amp;"")*(tbl_Finance[Xero Invoice No]&lt;&gt;"")*tbl_Finance[Date]))),""))</f>
        <v/>
      </c>
      <c r="B21" s="25">
        <f>IF(C21="","",IF(COUNTIFS(tbl_Finance[Job Number],C21&amp;"",tbl_Finance[Xero Invoice No],"&lt;&gt;")=0,"",IFERROR(IF(COUNTIFS(tbl_Finance[Job Number],C21&amp;"",tbl_Finance[Xero Invoice No],LOOKUP(2,1/((tbl_Finance[Job Number]&amp;""=C21&amp;"")*(tbl_Finance[Xero Invoice No]&lt;&gt;"")),tbl_Finance[Xero Invoice No]))=COUNTIFS(tbl_Finance[Job Number],C21&amp;"",tbl_Finance[Xero Invoice No],"&lt;&gt;"),LOOKUP(2,1/((tbl_Finance[Job Number]&amp;""=C21&amp;"")*(tbl_Finance[Xero Invoice No]&lt;&gt;"")),tbl_Finance[Xero Invoice No]),LOOKUP(2,1/((tbl_Finance[Job Number]&amp;""=C21&amp;"")*(tbl_Finance[Xero Invoice No]&lt;&gt;"")),tbl_Finance[Xero Invoice No])&amp;" +more"),"")))</f>
        <v/>
      </c>
      <c r="C21" s="24" t="n"/>
      <c r="D21" s="25">
        <f>IF(C21="","",IF(COUNTIF(lst_Jobs,C21&amp;"")&gt;0,"OK","CHECK"))</f>
        <v/>
      </c>
      <c r="E21" s="25">
        <f>IF(C21="","",IFERROR(INDEX(lst_JobName,MATCH(C21&amp;"",lst_Jobs,0)),""))</f>
        <v/>
      </c>
      <c r="F21" s="25">
        <f>IF(C21="","",IFERROR(INDEX(tbl_Finance[Client],IFERROR(MATCH(C21&amp;"",tbl_Finance[Job Number],0),MATCH(IFERROR(C21+0,C21),tbl_Finance[Job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6" t="n"/>
      <c r="L21" s="27">
        <f>IF(C21="","",IF(K21="",0,MAX(0,K21-H21)))</f>
        <v/>
      </c>
      <c r="M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N21" s="24" t="n"/>
      <c r="O21" s="25">
        <f>IF(N21="","",HYPERLINK(IF(LEFT(N21,4)="http",N21,set_QwilrBase&amp;N21),"Open quote"))</f>
        <v/>
      </c>
      <c r="P21" s="26" t="n"/>
      <c r="Q21" s="26" t="n"/>
      <c r="R21" s="26" t="n"/>
      <c r="S21" s="25">
        <f>IF(C21="","",IF(N(P21)+N(Q21)+N(R21)=0,"Not split",IF(ROUND(N(P21)+N(Q21)+N(R21),2)=ROUND(H21+L21,2),"OK",IF(G21=0,"Not invoiced yet","MISMATCH"))))</f>
        <v/>
      </c>
      <c r="T21" s="26" t="n"/>
      <c r="U21" s="26" t="n"/>
      <c r="V21" s="26" t="n"/>
      <c r="W21" s="27">
        <f>IF(C21="","",N(T21)+N(U21)+N(V21))</f>
        <v/>
      </c>
      <c r="X21" s="27">
        <f>IF(C21="","",H21+L21-W21)</f>
        <v/>
      </c>
      <c r="Y21" s="29">
        <f>IFERROR(X21/(H21+L21),"")</f>
        <v/>
      </c>
      <c r="Z21" s="24" t="n"/>
    </row>
    <row r="22" ht="15" customHeight="1">
      <c r="A22" s="70">
        <f>IF(C22="","",IFERROR(IF(SUMPRODUCT(MAX((tbl_Finance[Job Number]&amp;""=C22&amp;"")*(tbl_Finance[Xero Invoice No]&lt;&gt;"")*tbl_Finance[Date]))=0,"",SUMPRODUCT(MAX((tbl_Finance[Job Number]&amp;""=C22&amp;"")*(tbl_Finance[Xero Invoice No]&lt;&gt;"")*tbl_Finance[Date]))),""))</f>
        <v/>
      </c>
      <c r="B22" s="25">
        <f>IF(C22="","",IF(COUNTIFS(tbl_Finance[Job Number],C22&amp;"",tbl_Finance[Xero Invoice No],"&lt;&gt;")=0,"",IFERROR(IF(COUNTIFS(tbl_Finance[Job Number],C22&amp;"",tbl_Finance[Xero Invoice No],LOOKUP(2,1/((tbl_Finance[Job Number]&amp;""=C22&amp;"")*(tbl_Finance[Xero Invoice No]&lt;&gt;"")),tbl_Finance[Xero Invoice No]))=COUNTIFS(tbl_Finance[Job Number],C22&amp;"",tbl_Finance[Xero Invoice No],"&lt;&gt;"),LOOKUP(2,1/((tbl_Finance[Job Number]&amp;""=C22&amp;"")*(tbl_Finance[Xero Invoice No]&lt;&gt;"")),tbl_Finance[Xero Invoice No]),LOOKUP(2,1/((tbl_Finance[Job Number]&amp;""=C22&amp;"")*(tbl_Finance[Xero Invoice No]&lt;&gt;"")),tbl_Finance[Xero Invoice No])&amp;" +more"),"")))</f>
        <v/>
      </c>
      <c r="C22" s="24" t="n"/>
      <c r="D22" s="25">
        <f>IF(C22="","",IF(COUNTIF(lst_Jobs,C22&amp;"")&gt;0,"OK","CHECK"))</f>
        <v/>
      </c>
      <c r="E22" s="25">
        <f>IF(C22="","",IFERROR(INDEX(lst_JobName,MATCH(C22&amp;"",lst_Jobs,0)),""))</f>
        <v/>
      </c>
      <c r="F22" s="25">
        <f>IF(C22="","",IFERROR(INDEX(tbl_Finance[Client],IFERROR(MATCH(C22&amp;"",tbl_Finance[Job Number],0),MATCH(IFERROR(C22+0,C22),tbl_Finance[Job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6" t="n"/>
      <c r="L22" s="27">
        <f>IF(C22="","",IF(K22="",0,MAX(0,K22-H22)))</f>
        <v/>
      </c>
      <c r="M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N22" s="24" t="n"/>
      <c r="O22" s="25">
        <f>IF(N22="","",HYPERLINK(IF(LEFT(N22,4)="http",N22,set_QwilrBase&amp;N22),"Open quote"))</f>
        <v/>
      </c>
      <c r="P22" s="26" t="n"/>
      <c r="Q22" s="26" t="n"/>
      <c r="R22" s="26" t="n"/>
      <c r="S22" s="25">
        <f>IF(C22="","",IF(N(P22)+N(Q22)+N(R22)=0,"Not split",IF(ROUND(N(P22)+N(Q22)+N(R22),2)=ROUND(H22+L22,2),"OK",IF(G22=0,"Not invoiced yet","MISMATCH"))))</f>
        <v/>
      </c>
      <c r="T22" s="26" t="n"/>
      <c r="U22" s="26" t="n"/>
      <c r="V22" s="26" t="n"/>
      <c r="W22" s="27">
        <f>IF(C22="","",N(T22)+N(U22)+N(V22))</f>
        <v/>
      </c>
      <c r="X22" s="27">
        <f>IF(C22="","",H22+L22-W22)</f>
        <v/>
      </c>
      <c r="Y22" s="29">
        <f>IFERROR(X22/(H22+L22),"")</f>
        <v/>
      </c>
      <c r="Z22" s="24" t="n"/>
    </row>
    <row r="23" ht="15" customHeight="1">
      <c r="A23" s="70">
        <f>IF(C23="","",IFERROR(IF(SUMPRODUCT(MAX((tbl_Finance[Job Number]&amp;""=C23&amp;"")*(tbl_Finance[Xero Invoice No]&lt;&gt;"")*tbl_Finance[Date]))=0,"",SUMPRODUCT(MAX((tbl_Finance[Job Number]&amp;""=C23&amp;"")*(tbl_Finance[Xero Invoice No]&lt;&gt;"")*tbl_Finance[Date]))),""))</f>
        <v/>
      </c>
      <c r="B23" s="25">
        <f>IF(C23="","",IF(COUNTIFS(tbl_Finance[Job Number],C23&amp;"",tbl_Finance[Xero Invoice No],"&lt;&gt;")=0,"",IFERROR(IF(COUNTIFS(tbl_Finance[Job Number],C23&amp;"",tbl_Finance[Xero Invoice No],LOOKUP(2,1/((tbl_Finance[Job Number]&amp;""=C23&amp;"")*(tbl_Finance[Xero Invoice No]&lt;&gt;"")),tbl_Finance[Xero Invoice No]))=COUNTIFS(tbl_Finance[Job Number],C23&amp;"",tbl_Finance[Xero Invoice No],"&lt;&gt;"),LOOKUP(2,1/((tbl_Finance[Job Number]&amp;""=C23&amp;"")*(tbl_Finance[Xero Invoice No]&lt;&gt;"")),tbl_Finance[Xero Invoice No]),LOOKUP(2,1/((tbl_Finance[Job Number]&amp;""=C23&amp;"")*(tbl_Finance[Xero Invoice No]&lt;&gt;"")),tbl_Finance[Xero Invoice No])&amp;" +more"),"")))</f>
        <v/>
      </c>
      <c r="C23" s="24" t="n"/>
      <c r="D23" s="25">
        <f>IF(C23="","",IF(COUNTIF(lst_Jobs,C23&amp;"")&gt;0,"OK","CHECK"))</f>
        <v/>
      </c>
      <c r="E23" s="25">
        <f>IF(C23="","",IFERROR(INDEX(lst_JobName,MATCH(C23&amp;"",lst_Jobs,0)),""))</f>
        <v/>
      </c>
      <c r="F23" s="25">
        <f>IF(C23="","",IFERROR(INDEX(tbl_Finance[Client],IFERROR(MATCH(C23&amp;"",tbl_Finance[Job Number],0),MATCH(IFERROR(C23+0,C23),tbl_Finance[Job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6" t="n"/>
      <c r="L23" s="27">
        <f>IF(C23="","",IF(K23="",0,MAX(0,K23-H23)))</f>
        <v/>
      </c>
      <c r="M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N23" s="24" t="n"/>
      <c r="O23" s="25">
        <f>IF(N23="","",HYPERLINK(IF(LEFT(N23,4)="http",N23,set_QwilrBase&amp;N23),"Open quote"))</f>
        <v/>
      </c>
      <c r="P23" s="26" t="n"/>
      <c r="Q23" s="26" t="n"/>
      <c r="R23" s="26" t="n"/>
      <c r="S23" s="25">
        <f>IF(C23="","",IF(N(P23)+N(Q23)+N(R23)=0,"Not split",IF(ROUND(N(P23)+N(Q23)+N(R23),2)=ROUND(H23+L23,2),"OK",IF(G23=0,"Not invoiced yet","MISMATCH"))))</f>
        <v/>
      </c>
      <c r="T23" s="26" t="n"/>
      <c r="U23" s="26" t="n"/>
      <c r="V23" s="26" t="n"/>
      <c r="W23" s="27">
        <f>IF(C23="","",N(T23)+N(U23)+N(V23))</f>
        <v/>
      </c>
      <c r="X23" s="27">
        <f>IF(C23="","",H23+L23-W23)</f>
        <v/>
      </c>
      <c r="Y23" s="29">
        <f>IFERROR(X23/(H23+L23),"")</f>
        <v/>
      </c>
      <c r="Z23" s="24" t="n"/>
    </row>
    <row r="24" ht="15" customHeight="1">
      <c r="A24" s="70">
        <f>IF(C24="","",IFERROR(IF(SUMPRODUCT(MAX((tbl_Finance[Job Number]&amp;""=C24&amp;"")*(tbl_Finance[Xero Invoice No]&lt;&gt;"")*tbl_Finance[Date]))=0,"",SUMPRODUCT(MAX((tbl_Finance[Job Number]&amp;""=C24&amp;"")*(tbl_Finance[Xero Invoice No]&lt;&gt;"")*tbl_Finance[Date]))),""))</f>
        <v/>
      </c>
      <c r="B24" s="25">
        <f>IF(C24="","",IF(COUNTIFS(tbl_Finance[Job Number],C24&amp;"",tbl_Finance[Xero Invoice No],"&lt;&gt;")=0,"",IFERROR(IF(COUNTIFS(tbl_Finance[Job Number],C24&amp;"",tbl_Finance[Xero Invoice No],LOOKUP(2,1/((tbl_Finance[Job Number]&amp;""=C24&amp;"")*(tbl_Finance[Xero Invoice No]&lt;&gt;"")),tbl_Finance[Xero Invoice No]))=COUNTIFS(tbl_Finance[Job Number],C24&amp;"",tbl_Finance[Xero Invoice No],"&lt;&gt;"),LOOKUP(2,1/((tbl_Finance[Job Number]&amp;""=C24&amp;"")*(tbl_Finance[Xero Invoice No]&lt;&gt;"")),tbl_Finance[Xero Invoice No]),LOOKUP(2,1/((tbl_Finance[Job Number]&amp;""=C24&amp;"")*(tbl_Finance[Xero Invoice No]&lt;&gt;"")),tbl_Finance[Xero Invoice No])&amp;" +more"),"")))</f>
        <v/>
      </c>
      <c r="C24" s="24" t="n"/>
      <c r="D24" s="25">
        <f>IF(C24="","",IF(COUNTIF(lst_Jobs,C24&amp;"")&gt;0,"OK","CHECK"))</f>
        <v/>
      </c>
      <c r="E24" s="25">
        <f>IF(C24="","",IFERROR(INDEX(lst_JobName,MATCH(C24&amp;"",lst_Jobs,0)),""))</f>
        <v/>
      </c>
      <c r="F24" s="25">
        <f>IF(C24="","",IFERROR(INDEX(tbl_Finance[Client],IFERROR(MATCH(C24&amp;"",tbl_Finance[Job Number],0),MATCH(IFERROR(C24+0,C24),tbl_Finance[Job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6" t="n"/>
      <c r="L24" s="27">
        <f>IF(C24="","",IF(K24="",0,MAX(0,K24-H24)))</f>
        <v/>
      </c>
      <c r="M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N24" s="24" t="n"/>
      <c r="O24" s="25">
        <f>IF(N24="","",HYPERLINK(IF(LEFT(N24,4)="http",N24,set_QwilrBase&amp;N24),"Open quote"))</f>
        <v/>
      </c>
      <c r="P24" s="26" t="n"/>
      <c r="Q24" s="26" t="n"/>
      <c r="R24" s="26" t="n"/>
      <c r="S24" s="25">
        <f>IF(C24="","",IF(N(P24)+N(Q24)+N(R24)=0,"Not split",IF(ROUND(N(P24)+N(Q24)+N(R24),2)=ROUND(H24+L24,2),"OK",IF(G24=0,"Not invoiced yet","MISMATCH"))))</f>
        <v/>
      </c>
      <c r="T24" s="26" t="n"/>
      <c r="U24" s="26" t="n"/>
      <c r="V24" s="26" t="n"/>
      <c r="W24" s="27">
        <f>IF(C24="","",N(T24)+N(U24)+N(V24))</f>
        <v/>
      </c>
      <c r="X24" s="27">
        <f>IF(C24="","",H24+L24-W24)</f>
        <v/>
      </c>
      <c r="Y24" s="29">
        <f>IFERROR(X24/(H24+L24),"")</f>
        <v/>
      </c>
      <c r="Z24" s="24" t="n"/>
    </row>
    <row r="25" ht="15" customHeight="1">
      <c r="A25" s="70">
        <f>IF(C25="","",IFERROR(IF(SUMPRODUCT(MAX((tbl_Finance[Job Number]&amp;""=C25&amp;"")*(tbl_Finance[Xero Invoice No]&lt;&gt;"")*tbl_Finance[Date]))=0,"",SUMPRODUCT(MAX((tbl_Finance[Job Number]&amp;""=C25&amp;"")*(tbl_Finance[Xero Invoice No]&lt;&gt;"")*tbl_Finance[Date]))),""))</f>
        <v/>
      </c>
      <c r="B25" s="25">
        <f>IF(C25="","",IF(COUNTIFS(tbl_Finance[Job Number],C25&amp;"",tbl_Finance[Xero Invoice No],"&lt;&gt;")=0,"",IFERROR(IF(COUNTIFS(tbl_Finance[Job Number],C25&amp;"",tbl_Finance[Xero Invoice No],LOOKUP(2,1/((tbl_Finance[Job Number]&amp;""=C25&amp;"")*(tbl_Finance[Xero Invoice No]&lt;&gt;"")),tbl_Finance[Xero Invoice No]))=COUNTIFS(tbl_Finance[Job Number],C25&amp;"",tbl_Finance[Xero Invoice No],"&lt;&gt;"),LOOKUP(2,1/((tbl_Finance[Job Number]&amp;""=C25&amp;"")*(tbl_Finance[Xero Invoice No]&lt;&gt;"")),tbl_Finance[Xero Invoice No]),LOOKUP(2,1/((tbl_Finance[Job Number]&amp;""=C25&amp;"")*(tbl_Finance[Xero Invoice No]&lt;&gt;"")),tbl_Finance[Xero Invoice No])&amp;" +more"),"")))</f>
        <v/>
      </c>
      <c r="C25" s="24" t="n"/>
      <c r="D25" s="25">
        <f>IF(C25="","",IF(COUNTIF(lst_Jobs,C25&amp;"")&gt;0,"OK","CHECK"))</f>
        <v/>
      </c>
      <c r="E25" s="25">
        <f>IF(C25="","",IFERROR(INDEX(lst_JobName,MATCH(C25&amp;"",lst_Jobs,0)),""))</f>
        <v/>
      </c>
      <c r="F25" s="25">
        <f>IF(C25="","",IFERROR(INDEX(tbl_Finance[Client],IFERROR(MATCH(C25&amp;"",tbl_Finance[Job Number],0),MATCH(IFERROR(C25+0,C25),tbl_Finance[Job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6" t="n"/>
      <c r="L25" s="27">
        <f>IF(C25="","",IF(K25="",0,MAX(0,K25-H25)))</f>
        <v/>
      </c>
      <c r="M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N25" s="24" t="n"/>
      <c r="O25" s="25">
        <f>IF(N25="","",HYPERLINK(IF(LEFT(N25,4)="http",N25,set_QwilrBase&amp;N25),"Open quote"))</f>
        <v/>
      </c>
      <c r="P25" s="26" t="n"/>
      <c r="Q25" s="26" t="n"/>
      <c r="R25" s="26" t="n"/>
      <c r="S25" s="25">
        <f>IF(C25="","",IF(N(P25)+N(Q25)+N(R25)=0,"Not split",IF(ROUND(N(P25)+N(Q25)+N(R25),2)=ROUND(H25+L25,2),"OK",IF(G25=0,"Not invoiced yet","MISMATCH"))))</f>
        <v/>
      </c>
      <c r="T25" s="26" t="n"/>
      <c r="U25" s="26" t="n"/>
      <c r="V25" s="26" t="n"/>
      <c r="W25" s="27">
        <f>IF(C25="","",N(T25)+N(U25)+N(V25))</f>
        <v/>
      </c>
      <c r="X25" s="27">
        <f>IF(C25="","",H25+L25-W25)</f>
        <v/>
      </c>
      <c r="Y25" s="29">
        <f>IFERROR(X25/(H25+L25),"")</f>
        <v/>
      </c>
      <c r="Z25" s="24" t="n"/>
    </row>
    <row r="26" ht="15" customHeight="1">
      <c r="A26" s="70">
        <f>IF(C26="","",IFERROR(IF(SUMPRODUCT(MAX((tbl_Finance[Job Number]&amp;""=C26&amp;"")*(tbl_Finance[Xero Invoice No]&lt;&gt;"")*tbl_Finance[Date]))=0,"",SUMPRODUCT(MAX((tbl_Finance[Job Number]&amp;""=C26&amp;"")*(tbl_Finance[Xero Invoice No]&lt;&gt;"")*tbl_Finance[Date]))),""))</f>
        <v/>
      </c>
      <c r="B26" s="25">
        <f>IF(C26="","",IF(COUNTIFS(tbl_Finance[Job Number],C26&amp;"",tbl_Finance[Xero Invoice No],"&lt;&gt;")=0,"",IFERROR(IF(COUNTIFS(tbl_Finance[Job Number],C26&amp;"",tbl_Finance[Xero Invoice No],LOOKUP(2,1/((tbl_Finance[Job Number]&amp;""=C26&amp;"")*(tbl_Finance[Xero Invoice No]&lt;&gt;"")),tbl_Finance[Xero Invoice No]))=COUNTIFS(tbl_Finance[Job Number],C26&amp;"",tbl_Finance[Xero Invoice No],"&lt;&gt;"),LOOKUP(2,1/((tbl_Finance[Job Number]&amp;""=C26&amp;"")*(tbl_Finance[Xero Invoice No]&lt;&gt;"")),tbl_Finance[Xero Invoice No]),LOOKUP(2,1/((tbl_Finance[Job Number]&amp;""=C26&amp;"")*(tbl_Finance[Xero Invoice No]&lt;&gt;"")),tbl_Finance[Xero Invoice No])&amp;" +more"),"")))</f>
        <v/>
      </c>
      <c r="C26" s="24" t="n"/>
      <c r="D26" s="25">
        <f>IF(C26="","",IF(COUNTIF(lst_Jobs,C26&amp;"")&gt;0,"OK","CHECK"))</f>
        <v/>
      </c>
      <c r="E26" s="25">
        <f>IF(C26="","",IFERROR(INDEX(lst_JobName,MATCH(C26&amp;"",lst_Jobs,0)),""))</f>
        <v/>
      </c>
      <c r="F26" s="25">
        <f>IF(C26="","",IFERROR(INDEX(tbl_Finance[Client],IFERROR(MATCH(C26&amp;"",tbl_Finance[Job Number],0),MATCH(IFERROR(C26+0,C26),tbl_Finance[Job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6" t="n"/>
      <c r="L26" s="27">
        <f>IF(C26="","",IF(K26="",0,MAX(0,K26-H26)))</f>
        <v/>
      </c>
      <c r="M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N26" s="24" t="n"/>
      <c r="O26" s="25">
        <f>IF(N26="","",HYPERLINK(IF(LEFT(N26,4)="http",N26,set_QwilrBase&amp;N26),"Open quote"))</f>
        <v/>
      </c>
      <c r="P26" s="26" t="n"/>
      <c r="Q26" s="26" t="n"/>
      <c r="R26" s="26" t="n"/>
      <c r="S26" s="25">
        <f>IF(C26="","",IF(N(P26)+N(Q26)+N(R26)=0,"Not split",IF(ROUND(N(P26)+N(Q26)+N(R26),2)=ROUND(H26+L26,2),"OK",IF(G26=0,"Not invoiced yet","MISMATCH"))))</f>
        <v/>
      </c>
      <c r="T26" s="26" t="n"/>
      <c r="U26" s="26" t="n"/>
      <c r="V26" s="26" t="n"/>
      <c r="W26" s="27">
        <f>IF(C26="","",N(T26)+N(U26)+N(V26))</f>
        <v/>
      </c>
      <c r="X26" s="27">
        <f>IF(C26="","",H26+L26-W26)</f>
        <v/>
      </c>
      <c r="Y26" s="29">
        <f>IFERROR(X26/(H26+L26),"")</f>
        <v/>
      </c>
      <c r="Z26" s="24" t="n"/>
    </row>
    <row r="27" ht="15" customHeight="1">
      <c r="A27" s="70">
        <f>IF(C27="","",IFERROR(IF(SUMPRODUCT(MAX((tbl_Finance[Job Number]&amp;""=C27&amp;"")*(tbl_Finance[Xero Invoice No]&lt;&gt;"")*tbl_Finance[Date]))=0,"",SUMPRODUCT(MAX((tbl_Finance[Job Number]&amp;""=C27&amp;"")*(tbl_Finance[Xero Invoice No]&lt;&gt;"")*tbl_Finance[Date]))),""))</f>
        <v/>
      </c>
      <c r="B27" s="25">
        <f>IF(C27="","",IF(COUNTIFS(tbl_Finance[Job Number],C27&amp;"",tbl_Finance[Xero Invoice No],"&lt;&gt;")=0,"",IFERROR(IF(COUNTIFS(tbl_Finance[Job Number],C27&amp;"",tbl_Finance[Xero Invoice No],LOOKUP(2,1/((tbl_Finance[Job Number]&amp;""=C27&amp;"")*(tbl_Finance[Xero Invoice No]&lt;&gt;"")),tbl_Finance[Xero Invoice No]))=COUNTIFS(tbl_Finance[Job Number],C27&amp;"",tbl_Finance[Xero Invoice No],"&lt;&gt;"),LOOKUP(2,1/((tbl_Finance[Job Number]&amp;""=C27&amp;"")*(tbl_Finance[Xero Invoice No]&lt;&gt;"")),tbl_Finance[Xero Invoice No]),LOOKUP(2,1/((tbl_Finance[Job Number]&amp;""=C27&amp;"")*(tbl_Finance[Xero Invoice No]&lt;&gt;"")),tbl_Finance[Xero Invoice No])&amp;" +more"),"")))</f>
        <v/>
      </c>
      <c r="C27" s="24" t="n"/>
      <c r="D27" s="25">
        <f>IF(C27="","",IF(COUNTIF(lst_Jobs,C27&amp;"")&gt;0,"OK","CHECK"))</f>
        <v/>
      </c>
      <c r="E27" s="25">
        <f>IF(C27="","",IFERROR(INDEX(lst_JobName,MATCH(C27&amp;"",lst_Jobs,0)),""))</f>
        <v/>
      </c>
      <c r="F27" s="25">
        <f>IF(C27="","",IFERROR(INDEX(tbl_Finance[Client],IFERROR(MATCH(C27&amp;"",tbl_Finance[Job Number],0),MATCH(IFERROR(C27+0,C27),tbl_Finance[Job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6" t="n"/>
      <c r="L27" s="27">
        <f>IF(C27="","",IF(K27="",0,MAX(0,K27-H27)))</f>
        <v/>
      </c>
      <c r="M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N27" s="24" t="n"/>
      <c r="O27" s="25">
        <f>IF(N27="","",HYPERLINK(IF(LEFT(N27,4)="http",N27,set_QwilrBase&amp;N27),"Open quote"))</f>
        <v/>
      </c>
      <c r="P27" s="26" t="n"/>
      <c r="Q27" s="26" t="n"/>
      <c r="R27" s="26" t="n"/>
      <c r="S27" s="25">
        <f>IF(C27="","",IF(N(P27)+N(Q27)+N(R27)=0,"Not split",IF(ROUND(N(P27)+N(Q27)+N(R27),2)=ROUND(H27+L27,2),"OK",IF(G27=0,"Not invoiced yet","MISMATCH"))))</f>
        <v/>
      </c>
      <c r="T27" s="26" t="n"/>
      <c r="U27" s="26" t="n"/>
      <c r="V27" s="26" t="n"/>
      <c r="W27" s="27">
        <f>IF(C27="","",N(T27)+N(U27)+N(V27))</f>
        <v/>
      </c>
      <c r="X27" s="27">
        <f>IF(C27="","",H27+L27-W27)</f>
        <v/>
      </c>
      <c r="Y27" s="29">
        <f>IFERROR(X27/(H27+L27),"")</f>
        <v/>
      </c>
      <c r="Z27" s="24" t="n"/>
    </row>
    <row r="28" ht="15" customHeight="1">
      <c r="A28" s="70">
        <f>IF(C28="","",IFERROR(IF(SUMPRODUCT(MAX((tbl_Finance[Job Number]&amp;""=C28&amp;"")*(tbl_Finance[Xero Invoice No]&lt;&gt;"")*tbl_Finance[Date]))=0,"",SUMPRODUCT(MAX((tbl_Finance[Job Number]&amp;""=C28&amp;"")*(tbl_Finance[Xero Invoice No]&lt;&gt;"")*tbl_Finance[Date]))),""))</f>
        <v/>
      </c>
      <c r="B28" s="25">
        <f>IF(C28="","",IF(COUNTIFS(tbl_Finance[Job Number],C28&amp;"",tbl_Finance[Xero Invoice No],"&lt;&gt;")=0,"",IFERROR(IF(COUNTIFS(tbl_Finance[Job Number],C28&amp;"",tbl_Finance[Xero Invoice No],LOOKUP(2,1/((tbl_Finance[Job Number]&amp;""=C28&amp;"")*(tbl_Finance[Xero Invoice No]&lt;&gt;"")),tbl_Finance[Xero Invoice No]))=COUNTIFS(tbl_Finance[Job Number],C28&amp;"",tbl_Finance[Xero Invoice No],"&lt;&gt;"),LOOKUP(2,1/((tbl_Finance[Job Number]&amp;""=C28&amp;"")*(tbl_Finance[Xero Invoice No]&lt;&gt;"")),tbl_Finance[Xero Invoice No]),LOOKUP(2,1/((tbl_Finance[Job Number]&amp;""=C28&amp;"")*(tbl_Finance[Xero Invoice No]&lt;&gt;"")),tbl_Finance[Xero Invoice No])&amp;" +more"),"")))</f>
        <v/>
      </c>
      <c r="C28" s="24" t="n"/>
      <c r="D28" s="25">
        <f>IF(C28="","",IF(COUNTIF(lst_Jobs,C28&amp;"")&gt;0,"OK","CHECK"))</f>
        <v/>
      </c>
      <c r="E28" s="25">
        <f>IF(C28="","",IFERROR(INDEX(lst_JobName,MATCH(C28&amp;"",lst_Jobs,0)),""))</f>
        <v/>
      </c>
      <c r="F28" s="25">
        <f>IF(C28="","",IFERROR(INDEX(tbl_Finance[Client],IFERROR(MATCH(C28&amp;"",tbl_Finance[Job Number],0),MATCH(IFERROR(C28+0,C28),tbl_Finance[Job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6" t="n"/>
      <c r="L28" s="27">
        <f>IF(C28="","",IF(K28="",0,MAX(0,K28-H28)))</f>
        <v/>
      </c>
      <c r="M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N28" s="24" t="n"/>
      <c r="O28" s="25">
        <f>IF(N28="","",HYPERLINK(IF(LEFT(N28,4)="http",N28,set_QwilrBase&amp;N28),"Open quote"))</f>
        <v/>
      </c>
      <c r="P28" s="26" t="n"/>
      <c r="Q28" s="26" t="n"/>
      <c r="R28" s="26" t="n"/>
      <c r="S28" s="25">
        <f>IF(C28="","",IF(N(P28)+N(Q28)+N(R28)=0,"Not split",IF(ROUND(N(P28)+N(Q28)+N(R28),2)=ROUND(H28+L28,2),"OK",IF(G28=0,"Not invoiced yet","MISMATCH"))))</f>
        <v/>
      </c>
      <c r="T28" s="26" t="n"/>
      <c r="U28" s="26" t="n"/>
      <c r="V28" s="26" t="n"/>
      <c r="W28" s="27">
        <f>IF(C28="","",N(T28)+N(U28)+N(V28))</f>
        <v/>
      </c>
      <c r="X28" s="27">
        <f>IF(C28="","",H28+L28-W28)</f>
        <v/>
      </c>
      <c r="Y28" s="29">
        <f>IFERROR(X28/(H28+L28),"")</f>
        <v/>
      </c>
      <c r="Z28" s="24" t="n"/>
    </row>
    <row r="29" ht="15" customHeight="1">
      <c r="A29" s="70">
        <f>IF(C29="","",IFERROR(IF(SUMPRODUCT(MAX((tbl_Finance[Job Number]&amp;""=C29&amp;"")*(tbl_Finance[Xero Invoice No]&lt;&gt;"")*tbl_Finance[Date]))=0,"",SUMPRODUCT(MAX((tbl_Finance[Job Number]&amp;""=C29&amp;"")*(tbl_Finance[Xero Invoice No]&lt;&gt;"")*tbl_Finance[Date]))),""))</f>
        <v/>
      </c>
      <c r="B29" s="25">
        <f>IF(C29="","",IF(COUNTIFS(tbl_Finance[Job Number],C29&amp;"",tbl_Finance[Xero Invoice No],"&lt;&gt;")=0,"",IFERROR(IF(COUNTIFS(tbl_Finance[Job Number],C29&amp;"",tbl_Finance[Xero Invoice No],LOOKUP(2,1/((tbl_Finance[Job Number]&amp;""=C29&amp;"")*(tbl_Finance[Xero Invoice No]&lt;&gt;"")),tbl_Finance[Xero Invoice No]))=COUNTIFS(tbl_Finance[Job Number],C29&amp;"",tbl_Finance[Xero Invoice No],"&lt;&gt;"),LOOKUP(2,1/((tbl_Finance[Job Number]&amp;""=C29&amp;"")*(tbl_Finance[Xero Invoice No]&lt;&gt;"")),tbl_Finance[Xero Invoice No]),LOOKUP(2,1/((tbl_Finance[Job Number]&amp;""=C29&amp;"")*(tbl_Finance[Xero Invoice No]&lt;&gt;"")),tbl_Finance[Xero Invoice No])&amp;" +more"),"")))</f>
        <v/>
      </c>
      <c r="C29" s="24" t="n"/>
      <c r="D29" s="25">
        <f>IF(C29="","",IF(COUNTIF(lst_Jobs,C29&amp;"")&gt;0,"OK","CHECK"))</f>
        <v/>
      </c>
      <c r="E29" s="25">
        <f>IF(C29="","",IFERROR(INDEX(lst_JobName,MATCH(C29&amp;"",lst_Jobs,0)),""))</f>
        <v/>
      </c>
      <c r="F29" s="25">
        <f>IF(C29="","",IFERROR(INDEX(tbl_Finance[Client],IFERROR(MATCH(C29&amp;"",tbl_Finance[Job Number],0),MATCH(IFERROR(C29+0,C29),tbl_Finance[Job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6" t="n"/>
      <c r="L29" s="27">
        <f>IF(C29="","",IF(K29="",0,MAX(0,K29-H29)))</f>
        <v/>
      </c>
      <c r="M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N29" s="24" t="n"/>
      <c r="O29" s="25">
        <f>IF(N29="","",HYPERLINK(IF(LEFT(N29,4)="http",N29,set_QwilrBase&amp;N29),"Open quote"))</f>
        <v/>
      </c>
      <c r="P29" s="26" t="n"/>
      <c r="Q29" s="26" t="n"/>
      <c r="R29" s="26" t="n"/>
      <c r="S29" s="25">
        <f>IF(C29="","",IF(N(P29)+N(Q29)+N(R29)=0,"Not split",IF(ROUND(N(P29)+N(Q29)+N(R29),2)=ROUND(H29+L29,2),"OK",IF(G29=0,"Not invoiced yet","MISMATCH"))))</f>
        <v/>
      </c>
      <c r="T29" s="26" t="n"/>
      <c r="U29" s="26" t="n"/>
      <c r="V29" s="26" t="n"/>
      <c r="W29" s="27">
        <f>IF(C29="","",N(T29)+N(U29)+N(V29))</f>
        <v/>
      </c>
      <c r="X29" s="27">
        <f>IF(C29="","",H29+L29-W29)</f>
        <v/>
      </c>
      <c r="Y29" s="29">
        <f>IFERROR(X29/(H29+L29),"")</f>
        <v/>
      </c>
      <c r="Z29" s="24" t="n"/>
    </row>
    <row r="30" ht="15" customHeight="1">
      <c r="A30" s="70">
        <f>IF(C30="","",IFERROR(IF(SUMPRODUCT(MAX((tbl_Finance[Job Number]&amp;""=C30&amp;"")*(tbl_Finance[Xero Invoice No]&lt;&gt;"")*tbl_Finance[Date]))=0,"",SUMPRODUCT(MAX((tbl_Finance[Job Number]&amp;""=C30&amp;"")*(tbl_Finance[Xero Invoice No]&lt;&gt;"")*tbl_Finance[Date]))),""))</f>
        <v/>
      </c>
      <c r="B30" s="25">
        <f>IF(C30="","",IF(COUNTIFS(tbl_Finance[Job Number],C30&amp;"",tbl_Finance[Xero Invoice No],"&lt;&gt;")=0,"",IFERROR(IF(COUNTIFS(tbl_Finance[Job Number],C30&amp;"",tbl_Finance[Xero Invoice No],LOOKUP(2,1/((tbl_Finance[Job Number]&amp;""=C30&amp;"")*(tbl_Finance[Xero Invoice No]&lt;&gt;"")),tbl_Finance[Xero Invoice No]))=COUNTIFS(tbl_Finance[Job Number],C30&amp;"",tbl_Finance[Xero Invoice No],"&lt;&gt;"),LOOKUP(2,1/((tbl_Finance[Job Number]&amp;""=C30&amp;"")*(tbl_Finance[Xero Invoice No]&lt;&gt;"")),tbl_Finance[Xero Invoice No]),LOOKUP(2,1/((tbl_Finance[Job Number]&amp;""=C30&amp;"")*(tbl_Finance[Xero Invoice No]&lt;&gt;"")),tbl_Finance[Xero Invoice No])&amp;" +more"),"")))</f>
        <v/>
      </c>
      <c r="C30" s="24" t="n"/>
      <c r="D30" s="25">
        <f>IF(C30="","",IF(COUNTIF(lst_Jobs,C30&amp;"")&gt;0,"OK","CHECK"))</f>
        <v/>
      </c>
      <c r="E30" s="25">
        <f>IF(C30="","",IFERROR(INDEX(lst_JobName,MATCH(C30&amp;"",lst_Jobs,0)),""))</f>
        <v/>
      </c>
      <c r="F30" s="25">
        <f>IF(C30="","",IFERROR(INDEX(tbl_Finance[Client],IFERROR(MATCH(C30&amp;"",tbl_Finance[Job Number],0),MATCH(IFERROR(C30+0,C30),tbl_Finance[Job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6" t="n"/>
      <c r="L30" s="27">
        <f>IF(C30="","",IF(K30="",0,MAX(0,K30-H30)))</f>
        <v/>
      </c>
      <c r="M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N30" s="24" t="n"/>
      <c r="O30" s="25">
        <f>IF(N30="","",HYPERLINK(IF(LEFT(N30,4)="http",N30,set_QwilrBase&amp;N30),"Open quote"))</f>
        <v/>
      </c>
      <c r="P30" s="26" t="n"/>
      <c r="Q30" s="26" t="n"/>
      <c r="R30" s="26" t="n"/>
      <c r="S30" s="25">
        <f>IF(C30="","",IF(N(P30)+N(Q30)+N(R30)=0,"Not split",IF(ROUND(N(P30)+N(Q30)+N(R30),2)=ROUND(H30+L30,2),"OK",IF(G30=0,"Not invoiced yet","MISMATCH"))))</f>
        <v/>
      </c>
      <c r="T30" s="26" t="n"/>
      <c r="U30" s="26" t="n"/>
      <c r="V30" s="26" t="n"/>
      <c r="W30" s="27">
        <f>IF(C30="","",N(T30)+N(U30)+N(V30))</f>
        <v/>
      </c>
      <c r="X30" s="27">
        <f>IF(C30="","",H30+L30-W30)</f>
        <v/>
      </c>
      <c r="Y30" s="29">
        <f>IFERROR(X30/(H30+L30),"")</f>
        <v/>
      </c>
      <c r="Z30" s="24" t="n"/>
    </row>
    <row r="31" ht="15" customHeight="1">
      <c r="A31" s="70">
        <f>IF(C31="","",IFERROR(IF(SUMPRODUCT(MAX((tbl_Finance[Job Number]&amp;""=C31&amp;"")*(tbl_Finance[Xero Invoice No]&lt;&gt;"")*tbl_Finance[Date]))=0,"",SUMPRODUCT(MAX((tbl_Finance[Job Number]&amp;""=C31&amp;"")*(tbl_Finance[Xero Invoice No]&lt;&gt;"")*tbl_Finance[Date]))),""))</f>
        <v/>
      </c>
      <c r="B31" s="25">
        <f>IF(C31="","",IF(COUNTIFS(tbl_Finance[Job Number],C31&amp;"",tbl_Finance[Xero Invoice No],"&lt;&gt;")=0,"",IFERROR(IF(COUNTIFS(tbl_Finance[Job Number],C31&amp;"",tbl_Finance[Xero Invoice No],LOOKUP(2,1/((tbl_Finance[Job Number]&amp;""=C31&amp;"")*(tbl_Finance[Xero Invoice No]&lt;&gt;"")),tbl_Finance[Xero Invoice No]))=COUNTIFS(tbl_Finance[Job Number],C31&amp;"",tbl_Finance[Xero Invoice No],"&lt;&gt;"),LOOKUP(2,1/((tbl_Finance[Job Number]&amp;""=C31&amp;"")*(tbl_Finance[Xero Invoice No]&lt;&gt;"")),tbl_Finance[Xero Invoice No]),LOOKUP(2,1/((tbl_Finance[Job Number]&amp;""=C31&amp;"")*(tbl_Finance[Xero Invoice No]&lt;&gt;"")),tbl_Finance[Xero Invoice No])&amp;" +more"),"")))</f>
        <v/>
      </c>
      <c r="C31" s="24" t="n"/>
      <c r="D31" s="25">
        <f>IF(C31="","",IF(COUNTIF(lst_Jobs,C31&amp;"")&gt;0,"OK","CHECK"))</f>
        <v/>
      </c>
      <c r="E31" s="25">
        <f>IF(C31="","",IFERROR(INDEX(lst_JobName,MATCH(C31&amp;"",lst_Jobs,0)),""))</f>
        <v/>
      </c>
      <c r="F31" s="25">
        <f>IF(C31="","",IFERROR(INDEX(tbl_Finance[Client],IFERROR(MATCH(C31&amp;"",tbl_Finance[Job Number],0),MATCH(IFERROR(C31+0,C31),tbl_Finance[Job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6" t="n"/>
      <c r="L31" s="27">
        <f>IF(C31="","",IF(K31="",0,MAX(0,K31-H31)))</f>
        <v/>
      </c>
      <c r="M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N31" s="24" t="n"/>
      <c r="O31" s="25">
        <f>IF(N31="","",HYPERLINK(IF(LEFT(N31,4)="http",N31,set_QwilrBase&amp;N31),"Open quote"))</f>
        <v/>
      </c>
      <c r="P31" s="26" t="n"/>
      <c r="Q31" s="26" t="n"/>
      <c r="R31" s="26" t="n"/>
      <c r="S31" s="25">
        <f>IF(C31="","",IF(N(P31)+N(Q31)+N(R31)=0,"Not split",IF(ROUND(N(P31)+N(Q31)+N(R31),2)=ROUND(H31+L31,2),"OK",IF(G31=0,"Not invoiced yet","MISMATCH"))))</f>
        <v/>
      </c>
      <c r="T31" s="26" t="n"/>
      <c r="U31" s="26" t="n"/>
      <c r="V31" s="26" t="n"/>
      <c r="W31" s="27">
        <f>IF(C31="","",N(T31)+N(U31)+N(V31))</f>
        <v/>
      </c>
      <c r="X31" s="27">
        <f>IF(C31="","",H31+L31-W31)</f>
        <v/>
      </c>
      <c r="Y31" s="29">
        <f>IFERROR(X31/(H31+L31),"")</f>
        <v/>
      </c>
      <c r="Z31" s="24" t="n"/>
    </row>
    <row r="32" ht="15" customHeight="1">
      <c r="A32" s="70">
        <f>IF(C32="","",IFERROR(IF(SUMPRODUCT(MAX((tbl_Finance[Job Number]&amp;""=C32&amp;"")*(tbl_Finance[Xero Invoice No]&lt;&gt;"")*tbl_Finance[Date]))=0,"",SUMPRODUCT(MAX((tbl_Finance[Job Number]&amp;""=C32&amp;"")*(tbl_Finance[Xero Invoice No]&lt;&gt;"")*tbl_Finance[Date]))),""))</f>
        <v/>
      </c>
      <c r="B32" s="25">
        <f>IF(C32="","",IF(COUNTIFS(tbl_Finance[Job Number],C32&amp;"",tbl_Finance[Xero Invoice No],"&lt;&gt;")=0,"",IFERROR(IF(COUNTIFS(tbl_Finance[Job Number],C32&amp;"",tbl_Finance[Xero Invoice No],LOOKUP(2,1/((tbl_Finance[Job Number]&amp;""=C32&amp;"")*(tbl_Finance[Xero Invoice No]&lt;&gt;"")),tbl_Finance[Xero Invoice No]))=COUNTIFS(tbl_Finance[Job Number],C32&amp;"",tbl_Finance[Xero Invoice No],"&lt;&gt;"),LOOKUP(2,1/((tbl_Finance[Job Number]&amp;""=C32&amp;"")*(tbl_Finance[Xero Invoice No]&lt;&gt;"")),tbl_Finance[Xero Invoice No]),LOOKUP(2,1/((tbl_Finance[Job Number]&amp;""=C32&amp;"")*(tbl_Finance[Xero Invoice No]&lt;&gt;"")),tbl_Finance[Xero Invoice No])&amp;" +more"),"")))</f>
        <v/>
      </c>
      <c r="C32" s="24" t="n"/>
      <c r="D32" s="25">
        <f>IF(C32="","",IF(COUNTIF(lst_Jobs,C32&amp;"")&gt;0,"OK","CHECK"))</f>
        <v/>
      </c>
      <c r="E32" s="25">
        <f>IF(C32="","",IFERROR(INDEX(lst_JobName,MATCH(C32&amp;"",lst_Jobs,0)),""))</f>
        <v/>
      </c>
      <c r="F32" s="25">
        <f>IF(C32="","",IFERROR(INDEX(tbl_Finance[Client],IFERROR(MATCH(C32&amp;"",tbl_Finance[Job Number],0),MATCH(IFERROR(C32+0,C32),tbl_Finance[Job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6" t="n"/>
      <c r="L32" s="27">
        <f>IF(C32="","",IF(K32="",0,MAX(0,K32-H32)))</f>
        <v/>
      </c>
      <c r="M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N32" s="24" t="n"/>
      <c r="O32" s="25">
        <f>IF(N32="","",HYPERLINK(IF(LEFT(N32,4)="http",N32,set_QwilrBase&amp;N32),"Open quote"))</f>
        <v/>
      </c>
      <c r="P32" s="26" t="n"/>
      <c r="Q32" s="26" t="n"/>
      <c r="R32" s="26" t="n"/>
      <c r="S32" s="25">
        <f>IF(C32="","",IF(N(P32)+N(Q32)+N(R32)=0,"Not split",IF(ROUND(N(P32)+N(Q32)+N(R32),2)=ROUND(H32+L32,2),"OK",IF(G32=0,"Not invoiced yet","MISMATCH"))))</f>
        <v/>
      </c>
      <c r="T32" s="26" t="n"/>
      <c r="U32" s="26" t="n"/>
      <c r="V32" s="26" t="n"/>
      <c r="W32" s="27">
        <f>IF(C32="","",N(T32)+N(U32)+N(V32))</f>
        <v/>
      </c>
      <c r="X32" s="27">
        <f>IF(C32="","",H32+L32-W32)</f>
        <v/>
      </c>
      <c r="Y32" s="29">
        <f>IFERROR(X32/(H32+L32),"")</f>
        <v/>
      </c>
      <c r="Z32" s="24" t="n"/>
    </row>
    <row r="33" ht="15" customHeight="1">
      <c r="A33" s="70">
        <f>IF(C33="","",IFERROR(IF(SUMPRODUCT(MAX((tbl_Finance[Job Number]&amp;""=C33&amp;"")*(tbl_Finance[Xero Invoice No]&lt;&gt;"")*tbl_Finance[Date]))=0,"",SUMPRODUCT(MAX((tbl_Finance[Job Number]&amp;""=C33&amp;"")*(tbl_Finance[Xero Invoice No]&lt;&gt;"")*tbl_Finance[Date]))),""))</f>
        <v/>
      </c>
      <c r="B33" s="25">
        <f>IF(C33="","",IF(COUNTIFS(tbl_Finance[Job Number],C33&amp;"",tbl_Finance[Xero Invoice No],"&lt;&gt;")=0,"",IFERROR(IF(COUNTIFS(tbl_Finance[Job Number],C33&amp;"",tbl_Finance[Xero Invoice No],LOOKUP(2,1/((tbl_Finance[Job Number]&amp;""=C33&amp;"")*(tbl_Finance[Xero Invoice No]&lt;&gt;"")),tbl_Finance[Xero Invoice No]))=COUNTIFS(tbl_Finance[Job Number],C33&amp;"",tbl_Finance[Xero Invoice No],"&lt;&gt;"),LOOKUP(2,1/((tbl_Finance[Job Number]&amp;""=C33&amp;"")*(tbl_Finance[Xero Invoice No]&lt;&gt;"")),tbl_Finance[Xero Invoice No]),LOOKUP(2,1/((tbl_Finance[Job Number]&amp;""=C33&amp;"")*(tbl_Finance[Xero Invoice No]&lt;&gt;"")),tbl_Finance[Xero Invoice No])&amp;" +more"),"")))</f>
        <v/>
      </c>
      <c r="C33" s="24" t="n"/>
      <c r="D33" s="25">
        <f>IF(C33="","",IF(COUNTIF(lst_Jobs,C33&amp;"")&gt;0,"OK","CHECK"))</f>
        <v/>
      </c>
      <c r="E33" s="25">
        <f>IF(C33="","",IFERROR(INDEX(lst_JobName,MATCH(C33&amp;"",lst_Jobs,0)),""))</f>
        <v/>
      </c>
      <c r="F33" s="25">
        <f>IF(C33="","",IFERROR(INDEX(tbl_Finance[Client],IFERROR(MATCH(C33&amp;"",tbl_Finance[Job Number],0),MATCH(IFERROR(C33+0,C33),tbl_Finance[Job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6" t="n"/>
      <c r="L33" s="27">
        <f>IF(C33="","",IF(K33="",0,MAX(0,K33-H33)))</f>
        <v/>
      </c>
      <c r="M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N33" s="24" t="n"/>
      <c r="O33" s="25">
        <f>IF(N33="","",HYPERLINK(IF(LEFT(N33,4)="http",N33,set_QwilrBase&amp;N33),"Open quote"))</f>
        <v/>
      </c>
      <c r="P33" s="26" t="n"/>
      <c r="Q33" s="26" t="n"/>
      <c r="R33" s="26" t="n"/>
      <c r="S33" s="25">
        <f>IF(C33="","",IF(N(P33)+N(Q33)+N(R33)=0,"Not split",IF(ROUND(N(P33)+N(Q33)+N(R33),2)=ROUND(H33+L33,2),"OK",IF(G33=0,"Not invoiced yet","MISMATCH"))))</f>
        <v/>
      </c>
      <c r="T33" s="26" t="n"/>
      <c r="U33" s="26" t="n"/>
      <c r="V33" s="26" t="n"/>
      <c r="W33" s="27">
        <f>IF(C33="","",N(T33)+N(U33)+N(V33))</f>
        <v/>
      </c>
      <c r="X33" s="27">
        <f>IF(C33="","",H33+L33-W33)</f>
        <v/>
      </c>
      <c r="Y33" s="29">
        <f>IFERROR(X33/(H33+L33),"")</f>
        <v/>
      </c>
      <c r="Z33" s="24" t="n"/>
    </row>
    <row r="34" ht="15" customHeight="1">
      <c r="A34" s="70">
        <f>IF(C34="","",IFERROR(IF(SUMPRODUCT(MAX((tbl_Finance[Job Number]&amp;""=C34&amp;"")*(tbl_Finance[Xero Invoice No]&lt;&gt;"")*tbl_Finance[Date]))=0,"",SUMPRODUCT(MAX((tbl_Finance[Job Number]&amp;""=C34&amp;"")*(tbl_Finance[Xero Invoice No]&lt;&gt;"")*tbl_Finance[Date]))),""))</f>
        <v/>
      </c>
      <c r="B34" s="25">
        <f>IF(C34="","",IF(COUNTIFS(tbl_Finance[Job Number],C34&amp;"",tbl_Finance[Xero Invoice No],"&lt;&gt;")=0,"",IFERROR(IF(COUNTIFS(tbl_Finance[Job Number],C34&amp;"",tbl_Finance[Xero Invoice No],LOOKUP(2,1/((tbl_Finance[Job Number]&amp;""=C34&amp;"")*(tbl_Finance[Xero Invoice No]&lt;&gt;"")),tbl_Finance[Xero Invoice No]))=COUNTIFS(tbl_Finance[Job Number],C34&amp;"",tbl_Finance[Xero Invoice No],"&lt;&gt;"),LOOKUP(2,1/((tbl_Finance[Job Number]&amp;""=C34&amp;"")*(tbl_Finance[Xero Invoice No]&lt;&gt;"")),tbl_Finance[Xero Invoice No]),LOOKUP(2,1/((tbl_Finance[Job Number]&amp;""=C34&amp;"")*(tbl_Finance[Xero Invoice No]&lt;&gt;"")),tbl_Finance[Xero Invoice No])&amp;" +more"),"")))</f>
        <v/>
      </c>
      <c r="C34" s="24" t="n"/>
      <c r="D34" s="25">
        <f>IF(C34="","",IF(COUNTIF(lst_Jobs,C34&amp;"")&gt;0,"OK","CHECK"))</f>
        <v/>
      </c>
      <c r="E34" s="25">
        <f>IF(C34="","",IFERROR(INDEX(lst_JobName,MATCH(C34&amp;"",lst_Jobs,0)),""))</f>
        <v/>
      </c>
      <c r="F34" s="25">
        <f>IF(C34="","",IFERROR(INDEX(tbl_Finance[Client],IFERROR(MATCH(C34&amp;"",tbl_Finance[Job Number],0),MATCH(IFERROR(C34+0,C34),tbl_Finance[Job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6" t="n"/>
      <c r="L34" s="27">
        <f>IF(C34="","",IF(K34="",0,MAX(0,K34-H34)))</f>
        <v/>
      </c>
      <c r="M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N34" s="24" t="n"/>
      <c r="O34" s="25">
        <f>IF(N34="","",HYPERLINK(IF(LEFT(N34,4)="http",N34,set_QwilrBase&amp;N34),"Open quote"))</f>
        <v/>
      </c>
      <c r="P34" s="26" t="n"/>
      <c r="Q34" s="26" t="n"/>
      <c r="R34" s="26" t="n"/>
      <c r="S34" s="25">
        <f>IF(C34="","",IF(N(P34)+N(Q34)+N(R34)=0,"Not split",IF(ROUND(N(P34)+N(Q34)+N(R34),2)=ROUND(H34+L34,2),"OK",IF(G34=0,"Not invoiced yet","MISMATCH"))))</f>
        <v/>
      </c>
      <c r="T34" s="26" t="n"/>
      <c r="U34" s="26" t="n"/>
      <c r="V34" s="26" t="n"/>
      <c r="W34" s="27">
        <f>IF(C34="","",N(T34)+N(U34)+N(V34))</f>
        <v/>
      </c>
      <c r="X34" s="27">
        <f>IF(C34="","",H34+L34-W34)</f>
        <v/>
      </c>
      <c r="Y34" s="29">
        <f>IFERROR(X34/(H34+L34),"")</f>
        <v/>
      </c>
      <c r="Z34" s="24" t="n"/>
    </row>
    <row r="35" ht="15" customHeight="1">
      <c r="A35" s="70">
        <f>IF(C35="","",IFERROR(IF(SUMPRODUCT(MAX((tbl_Finance[Job Number]&amp;""=C35&amp;"")*(tbl_Finance[Xero Invoice No]&lt;&gt;"")*tbl_Finance[Date]))=0,"",SUMPRODUCT(MAX((tbl_Finance[Job Number]&amp;""=C35&amp;"")*(tbl_Finance[Xero Invoice No]&lt;&gt;"")*tbl_Finance[Date]))),""))</f>
        <v/>
      </c>
      <c r="B35" s="25">
        <f>IF(C35="","",IF(COUNTIFS(tbl_Finance[Job Number],C35&amp;"",tbl_Finance[Xero Invoice No],"&lt;&gt;")=0,"",IFERROR(IF(COUNTIFS(tbl_Finance[Job Number],C35&amp;"",tbl_Finance[Xero Invoice No],LOOKUP(2,1/((tbl_Finance[Job Number]&amp;""=C35&amp;"")*(tbl_Finance[Xero Invoice No]&lt;&gt;"")),tbl_Finance[Xero Invoice No]))=COUNTIFS(tbl_Finance[Job Number],C35&amp;"",tbl_Finance[Xero Invoice No],"&lt;&gt;"),LOOKUP(2,1/((tbl_Finance[Job Number]&amp;""=C35&amp;"")*(tbl_Finance[Xero Invoice No]&lt;&gt;"")),tbl_Finance[Xero Invoice No]),LOOKUP(2,1/((tbl_Finance[Job Number]&amp;""=C35&amp;"")*(tbl_Finance[Xero Invoice No]&lt;&gt;"")),tbl_Finance[Xero Invoice No])&amp;" +more"),"")))</f>
        <v/>
      </c>
      <c r="C35" s="24" t="n"/>
      <c r="D35" s="25">
        <f>IF(C35="","",IF(COUNTIF(lst_Jobs,C35&amp;"")&gt;0,"OK","CHECK"))</f>
        <v/>
      </c>
      <c r="E35" s="25">
        <f>IF(C35="","",IFERROR(INDEX(lst_JobName,MATCH(C35&amp;"",lst_Jobs,0)),""))</f>
        <v/>
      </c>
      <c r="F35" s="25">
        <f>IF(C35="","",IFERROR(INDEX(tbl_Finance[Client],IFERROR(MATCH(C35&amp;"",tbl_Finance[Job Number],0),MATCH(IFERROR(C35+0,C35),tbl_Finance[Job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6" t="n"/>
      <c r="L35" s="27">
        <f>IF(C35="","",IF(K35="",0,MAX(0,K35-H35)))</f>
        <v/>
      </c>
      <c r="M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N35" s="24" t="n"/>
      <c r="O35" s="25">
        <f>IF(N35="","",HYPERLINK(IF(LEFT(N35,4)="http",N35,set_QwilrBase&amp;N35),"Open quote"))</f>
        <v/>
      </c>
      <c r="P35" s="26" t="n"/>
      <c r="Q35" s="26" t="n"/>
      <c r="R35" s="26" t="n"/>
      <c r="S35" s="25">
        <f>IF(C35="","",IF(N(P35)+N(Q35)+N(R35)=0,"Not split",IF(ROUND(N(P35)+N(Q35)+N(R35),2)=ROUND(H35+L35,2),"OK",IF(G35=0,"Not invoiced yet","MISMATCH"))))</f>
        <v/>
      </c>
      <c r="T35" s="26" t="n"/>
      <c r="U35" s="26" t="n"/>
      <c r="V35" s="26" t="n"/>
      <c r="W35" s="27">
        <f>IF(C35="","",N(T35)+N(U35)+N(V35))</f>
        <v/>
      </c>
      <c r="X35" s="27">
        <f>IF(C35="","",H35+L35-W35)</f>
        <v/>
      </c>
      <c r="Y35" s="29">
        <f>IFERROR(X35/(H35+L35),"")</f>
        <v/>
      </c>
      <c r="Z35" s="24" t="n"/>
    </row>
    <row r="36" ht="15" customHeight="1">
      <c r="A36" s="70">
        <f>IF(C36="","",IFERROR(IF(SUMPRODUCT(MAX((tbl_Finance[Job Number]&amp;""=C36&amp;"")*(tbl_Finance[Xero Invoice No]&lt;&gt;"")*tbl_Finance[Date]))=0,"",SUMPRODUCT(MAX((tbl_Finance[Job Number]&amp;""=C36&amp;"")*(tbl_Finance[Xero Invoice No]&lt;&gt;"")*tbl_Finance[Date]))),""))</f>
        <v/>
      </c>
      <c r="B36" s="25">
        <f>IF(C36="","",IF(COUNTIFS(tbl_Finance[Job Number],C36&amp;"",tbl_Finance[Xero Invoice No],"&lt;&gt;")=0,"",IFERROR(IF(COUNTIFS(tbl_Finance[Job Number],C36&amp;"",tbl_Finance[Xero Invoice No],LOOKUP(2,1/((tbl_Finance[Job Number]&amp;""=C36&amp;"")*(tbl_Finance[Xero Invoice No]&lt;&gt;"")),tbl_Finance[Xero Invoice No]))=COUNTIFS(tbl_Finance[Job Number],C36&amp;"",tbl_Finance[Xero Invoice No],"&lt;&gt;"),LOOKUP(2,1/((tbl_Finance[Job Number]&amp;""=C36&amp;"")*(tbl_Finance[Xero Invoice No]&lt;&gt;"")),tbl_Finance[Xero Invoice No]),LOOKUP(2,1/((tbl_Finance[Job Number]&amp;""=C36&amp;"")*(tbl_Finance[Xero Invoice No]&lt;&gt;"")),tbl_Finance[Xero Invoice No])&amp;" +more"),"")))</f>
        <v/>
      </c>
      <c r="C36" s="24" t="n"/>
      <c r="D36" s="25">
        <f>IF(C36="","",IF(COUNTIF(lst_Jobs,C36&amp;"")&gt;0,"OK","CHECK"))</f>
        <v/>
      </c>
      <c r="E36" s="25">
        <f>IF(C36="","",IFERROR(INDEX(lst_JobName,MATCH(C36&amp;"",lst_Jobs,0)),""))</f>
        <v/>
      </c>
      <c r="F36" s="25">
        <f>IF(C36="","",IFERROR(INDEX(tbl_Finance[Client],IFERROR(MATCH(C36&amp;"",tbl_Finance[Job Number],0),MATCH(IFERROR(C36+0,C36),tbl_Finance[Job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6" t="n"/>
      <c r="L36" s="27">
        <f>IF(C36="","",IF(K36="",0,MAX(0,K36-H36)))</f>
        <v/>
      </c>
      <c r="M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N36" s="24" t="n"/>
      <c r="O36" s="25">
        <f>IF(N36="","",HYPERLINK(IF(LEFT(N36,4)="http",N36,set_QwilrBase&amp;N36),"Open quote"))</f>
        <v/>
      </c>
      <c r="P36" s="26" t="n"/>
      <c r="Q36" s="26" t="n"/>
      <c r="R36" s="26" t="n"/>
      <c r="S36" s="25">
        <f>IF(C36="","",IF(N(P36)+N(Q36)+N(R36)=0,"Not split",IF(ROUND(N(P36)+N(Q36)+N(R36),2)=ROUND(H36+L36,2),"OK",IF(G36=0,"Not invoiced yet","MISMATCH"))))</f>
        <v/>
      </c>
      <c r="T36" s="26" t="n"/>
      <c r="U36" s="26" t="n"/>
      <c r="V36" s="26" t="n"/>
      <c r="W36" s="27">
        <f>IF(C36="","",N(T36)+N(U36)+N(V36))</f>
        <v/>
      </c>
      <c r="X36" s="27">
        <f>IF(C36="","",H36+L36-W36)</f>
        <v/>
      </c>
      <c r="Y36" s="29">
        <f>IFERROR(X36/(H36+L36),"")</f>
        <v/>
      </c>
      <c r="Z36" s="24" t="n"/>
    </row>
    <row r="37" ht="15" customHeight="1">
      <c r="A37" s="70">
        <f>IF(C37="","",IFERROR(IF(SUMPRODUCT(MAX((tbl_Finance[Job Number]&amp;""=C37&amp;"")*(tbl_Finance[Xero Invoice No]&lt;&gt;"")*tbl_Finance[Date]))=0,"",SUMPRODUCT(MAX((tbl_Finance[Job Number]&amp;""=C37&amp;"")*(tbl_Finance[Xero Invoice No]&lt;&gt;"")*tbl_Finance[Date]))),""))</f>
        <v/>
      </c>
      <c r="B37" s="25">
        <f>IF(C37="","",IF(COUNTIFS(tbl_Finance[Job Number],C37&amp;"",tbl_Finance[Xero Invoice No],"&lt;&gt;")=0,"",IFERROR(IF(COUNTIFS(tbl_Finance[Job Number],C37&amp;"",tbl_Finance[Xero Invoice No],LOOKUP(2,1/((tbl_Finance[Job Number]&amp;""=C37&amp;"")*(tbl_Finance[Xero Invoice No]&lt;&gt;"")),tbl_Finance[Xero Invoice No]))=COUNTIFS(tbl_Finance[Job Number],C37&amp;"",tbl_Finance[Xero Invoice No],"&lt;&gt;"),LOOKUP(2,1/((tbl_Finance[Job Number]&amp;""=C37&amp;"")*(tbl_Finance[Xero Invoice No]&lt;&gt;"")),tbl_Finance[Xero Invoice No]),LOOKUP(2,1/((tbl_Finance[Job Number]&amp;""=C37&amp;"")*(tbl_Finance[Xero Invoice No]&lt;&gt;"")),tbl_Finance[Xero Invoice No])&amp;" +more"),"")))</f>
        <v/>
      </c>
      <c r="C37" s="24" t="n"/>
      <c r="D37" s="25">
        <f>IF(C37="","",IF(COUNTIF(lst_Jobs,C37&amp;"")&gt;0,"OK","CHECK"))</f>
        <v/>
      </c>
      <c r="E37" s="25">
        <f>IF(C37="","",IFERROR(INDEX(lst_JobName,MATCH(C37&amp;"",lst_Jobs,0)),""))</f>
        <v/>
      </c>
      <c r="F37" s="25">
        <f>IF(C37="","",IFERROR(INDEX(tbl_Finance[Client],IFERROR(MATCH(C37&amp;"",tbl_Finance[Job Number],0),MATCH(IFERROR(C37+0,C37),tbl_Finance[Job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6" t="n"/>
      <c r="L37" s="27">
        <f>IF(C37="","",IF(K37="",0,MAX(0,K37-H37)))</f>
        <v/>
      </c>
      <c r="M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N37" s="24" t="n"/>
      <c r="O37" s="25">
        <f>IF(N37="","",HYPERLINK(IF(LEFT(N37,4)="http",N37,set_QwilrBase&amp;N37),"Open quote"))</f>
        <v/>
      </c>
      <c r="P37" s="26" t="n"/>
      <c r="Q37" s="26" t="n"/>
      <c r="R37" s="26" t="n"/>
      <c r="S37" s="25">
        <f>IF(C37="","",IF(N(P37)+N(Q37)+N(R37)=0,"Not split",IF(ROUND(N(P37)+N(Q37)+N(R37),2)=ROUND(H37+L37,2),"OK",IF(G37=0,"Not invoiced yet","MISMATCH"))))</f>
        <v/>
      </c>
      <c r="T37" s="26" t="n"/>
      <c r="U37" s="26" t="n"/>
      <c r="V37" s="26" t="n"/>
      <c r="W37" s="27">
        <f>IF(C37="","",N(T37)+N(U37)+N(V37))</f>
        <v/>
      </c>
      <c r="X37" s="27">
        <f>IF(C37="","",H37+L37-W37)</f>
        <v/>
      </c>
      <c r="Y37" s="29">
        <f>IFERROR(X37/(H37+L37),"")</f>
        <v/>
      </c>
      <c r="Z37" s="24" t="n"/>
    </row>
    <row r="38" ht="15" customHeight="1">
      <c r="A38" s="70">
        <f>IF(C38="","",IFERROR(IF(SUMPRODUCT(MAX((tbl_Finance[Job Number]&amp;""=C38&amp;"")*(tbl_Finance[Xero Invoice No]&lt;&gt;"")*tbl_Finance[Date]))=0,"",SUMPRODUCT(MAX((tbl_Finance[Job Number]&amp;""=C38&amp;"")*(tbl_Finance[Xero Invoice No]&lt;&gt;"")*tbl_Finance[Date]))),""))</f>
        <v/>
      </c>
      <c r="B38" s="25">
        <f>IF(C38="","",IF(COUNTIFS(tbl_Finance[Job Number],C38&amp;"",tbl_Finance[Xero Invoice No],"&lt;&gt;")=0,"",IFERROR(IF(COUNTIFS(tbl_Finance[Job Number],C38&amp;"",tbl_Finance[Xero Invoice No],LOOKUP(2,1/((tbl_Finance[Job Number]&amp;""=C38&amp;"")*(tbl_Finance[Xero Invoice No]&lt;&gt;"")),tbl_Finance[Xero Invoice No]))=COUNTIFS(tbl_Finance[Job Number],C38&amp;"",tbl_Finance[Xero Invoice No],"&lt;&gt;"),LOOKUP(2,1/((tbl_Finance[Job Number]&amp;""=C38&amp;"")*(tbl_Finance[Xero Invoice No]&lt;&gt;"")),tbl_Finance[Xero Invoice No]),LOOKUP(2,1/((tbl_Finance[Job Number]&amp;""=C38&amp;"")*(tbl_Finance[Xero Invoice No]&lt;&gt;"")),tbl_Finance[Xero Invoice No])&amp;" +more"),"")))</f>
        <v/>
      </c>
      <c r="C38" s="24" t="n"/>
      <c r="D38" s="25">
        <f>IF(C38="","",IF(COUNTIF(lst_Jobs,C38&amp;"")&gt;0,"OK","CHECK"))</f>
        <v/>
      </c>
      <c r="E38" s="25">
        <f>IF(C38="","",IFERROR(INDEX(lst_JobName,MATCH(C38&amp;"",lst_Jobs,0)),""))</f>
        <v/>
      </c>
      <c r="F38" s="25">
        <f>IF(C38="","",IFERROR(INDEX(tbl_Finance[Client],IFERROR(MATCH(C38&amp;"",tbl_Finance[Job Number],0),MATCH(IFERROR(C38+0,C38),tbl_Finance[Job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6" t="n"/>
      <c r="L38" s="27">
        <f>IF(C38="","",IF(K38="",0,MAX(0,K38-H38)))</f>
        <v/>
      </c>
      <c r="M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N38" s="24" t="n"/>
      <c r="O38" s="25">
        <f>IF(N38="","",HYPERLINK(IF(LEFT(N38,4)="http",N38,set_QwilrBase&amp;N38),"Open quote"))</f>
        <v/>
      </c>
      <c r="P38" s="26" t="n"/>
      <c r="Q38" s="26" t="n"/>
      <c r="R38" s="26" t="n"/>
      <c r="S38" s="25">
        <f>IF(C38="","",IF(N(P38)+N(Q38)+N(R38)=0,"Not split",IF(ROUND(N(P38)+N(Q38)+N(R38),2)=ROUND(H38+L38,2),"OK",IF(G38=0,"Not invoiced yet","MISMATCH"))))</f>
        <v/>
      </c>
      <c r="T38" s="26" t="n"/>
      <c r="U38" s="26" t="n"/>
      <c r="V38" s="26" t="n"/>
      <c r="W38" s="27">
        <f>IF(C38="","",N(T38)+N(U38)+N(V38))</f>
        <v/>
      </c>
      <c r="X38" s="27">
        <f>IF(C38="","",H38+L38-W38)</f>
        <v/>
      </c>
      <c r="Y38" s="29">
        <f>IFERROR(X38/(H38+L38),"")</f>
        <v/>
      </c>
      <c r="Z38" s="24" t="n"/>
    </row>
    <row r="39" ht="15" customHeight="1">
      <c r="A39" s="70">
        <f>IF(C39="","",IFERROR(IF(SUMPRODUCT(MAX((tbl_Finance[Job Number]&amp;""=C39&amp;"")*(tbl_Finance[Xero Invoice No]&lt;&gt;"")*tbl_Finance[Date]))=0,"",SUMPRODUCT(MAX((tbl_Finance[Job Number]&amp;""=C39&amp;"")*(tbl_Finance[Xero Invoice No]&lt;&gt;"")*tbl_Finance[Date]))),""))</f>
        <v/>
      </c>
      <c r="B39" s="25">
        <f>IF(C39="","",IF(COUNTIFS(tbl_Finance[Job Number],C39&amp;"",tbl_Finance[Xero Invoice No],"&lt;&gt;")=0,"",IFERROR(IF(COUNTIFS(tbl_Finance[Job Number],C39&amp;"",tbl_Finance[Xero Invoice No],LOOKUP(2,1/((tbl_Finance[Job Number]&amp;""=C39&amp;"")*(tbl_Finance[Xero Invoice No]&lt;&gt;"")),tbl_Finance[Xero Invoice No]))=COUNTIFS(tbl_Finance[Job Number],C39&amp;"",tbl_Finance[Xero Invoice No],"&lt;&gt;"),LOOKUP(2,1/((tbl_Finance[Job Number]&amp;""=C39&amp;"")*(tbl_Finance[Xero Invoice No]&lt;&gt;"")),tbl_Finance[Xero Invoice No]),LOOKUP(2,1/((tbl_Finance[Job Number]&amp;""=C39&amp;"")*(tbl_Finance[Xero Invoice No]&lt;&gt;"")),tbl_Finance[Xero Invoice No])&amp;" +more"),"")))</f>
        <v/>
      </c>
      <c r="C39" s="24" t="n"/>
      <c r="D39" s="25">
        <f>IF(C39="","",IF(COUNTIF(lst_Jobs,C39&amp;"")&gt;0,"OK","CHECK"))</f>
        <v/>
      </c>
      <c r="E39" s="25">
        <f>IF(C39="","",IFERROR(INDEX(lst_JobName,MATCH(C39&amp;"",lst_Jobs,0)),""))</f>
        <v/>
      </c>
      <c r="F39" s="25">
        <f>IF(C39="","",IFERROR(INDEX(tbl_Finance[Client],IFERROR(MATCH(C39&amp;"",tbl_Finance[Job Number],0),MATCH(IFERROR(C39+0,C39),tbl_Finance[Job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6" t="n"/>
      <c r="L39" s="27">
        <f>IF(C39="","",IF(K39="",0,MAX(0,K39-H39)))</f>
        <v/>
      </c>
      <c r="M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N39" s="24" t="n"/>
      <c r="O39" s="25">
        <f>IF(N39="","",HYPERLINK(IF(LEFT(N39,4)="http",N39,set_QwilrBase&amp;N39),"Open quote"))</f>
        <v/>
      </c>
      <c r="P39" s="26" t="n"/>
      <c r="Q39" s="26" t="n"/>
      <c r="R39" s="26" t="n"/>
      <c r="S39" s="25">
        <f>IF(C39="","",IF(N(P39)+N(Q39)+N(R39)=0,"Not split",IF(ROUND(N(P39)+N(Q39)+N(R39),2)=ROUND(H39+L39,2),"OK",IF(G39=0,"Not invoiced yet","MISMATCH"))))</f>
        <v/>
      </c>
      <c r="T39" s="26" t="n"/>
      <c r="U39" s="26" t="n"/>
      <c r="V39" s="26" t="n"/>
      <c r="W39" s="27">
        <f>IF(C39="","",N(T39)+N(U39)+N(V39))</f>
        <v/>
      </c>
      <c r="X39" s="27">
        <f>IF(C39="","",H39+L39-W39)</f>
        <v/>
      </c>
      <c r="Y39" s="29">
        <f>IFERROR(X39/(H39+L39),"")</f>
        <v/>
      </c>
      <c r="Z39" s="24" t="n"/>
    </row>
    <row r="40" ht="15" customHeight="1">
      <c r="A40" s="70">
        <f>IF(C40="","",IFERROR(IF(SUMPRODUCT(MAX((tbl_Finance[Job Number]&amp;""=C40&amp;"")*(tbl_Finance[Xero Invoice No]&lt;&gt;"")*tbl_Finance[Date]))=0,"",SUMPRODUCT(MAX((tbl_Finance[Job Number]&amp;""=C40&amp;"")*(tbl_Finance[Xero Invoice No]&lt;&gt;"")*tbl_Finance[Date]))),""))</f>
        <v/>
      </c>
      <c r="B40" s="25">
        <f>IF(C40="","",IF(COUNTIFS(tbl_Finance[Job Number],C40&amp;"",tbl_Finance[Xero Invoice No],"&lt;&gt;")=0,"",IFERROR(IF(COUNTIFS(tbl_Finance[Job Number],C40&amp;"",tbl_Finance[Xero Invoice No],LOOKUP(2,1/((tbl_Finance[Job Number]&amp;""=C40&amp;"")*(tbl_Finance[Xero Invoice No]&lt;&gt;"")),tbl_Finance[Xero Invoice No]))=COUNTIFS(tbl_Finance[Job Number],C40&amp;"",tbl_Finance[Xero Invoice No],"&lt;&gt;"),LOOKUP(2,1/((tbl_Finance[Job Number]&amp;""=C40&amp;"")*(tbl_Finance[Xero Invoice No]&lt;&gt;"")),tbl_Finance[Xero Invoice No]),LOOKUP(2,1/((tbl_Finance[Job Number]&amp;""=C40&amp;"")*(tbl_Finance[Xero Invoice No]&lt;&gt;"")),tbl_Finance[Xero Invoice No])&amp;" +more"),"")))</f>
        <v/>
      </c>
      <c r="C40" s="24" t="n"/>
      <c r="D40" s="25">
        <f>IF(C40="","",IF(COUNTIF(lst_Jobs,C40&amp;"")&gt;0,"OK","CHECK"))</f>
        <v/>
      </c>
      <c r="E40" s="25">
        <f>IF(C40="","",IFERROR(INDEX(lst_JobName,MATCH(C40&amp;"",lst_Jobs,0)),""))</f>
        <v/>
      </c>
      <c r="F40" s="25">
        <f>IF(C40="","",IFERROR(INDEX(tbl_Finance[Client],IFERROR(MATCH(C40&amp;"",tbl_Finance[Job Number],0),MATCH(IFERROR(C40+0,C40),tbl_Finance[Job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6" t="n"/>
      <c r="L40" s="27">
        <f>IF(C40="","",IF(K40="",0,MAX(0,K40-H40)))</f>
        <v/>
      </c>
      <c r="M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N40" s="24" t="n"/>
      <c r="O40" s="25">
        <f>IF(N40="","",HYPERLINK(IF(LEFT(N40,4)="http",N40,set_QwilrBase&amp;N40),"Open quote"))</f>
        <v/>
      </c>
      <c r="P40" s="26" t="n"/>
      <c r="Q40" s="26" t="n"/>
      <c r="R40" s="26" t="n"/>
      <c r="S40" s="25">
        <f>IF(C40="","",IF(N(P40)+N(Q40)+N(R40)=0,"Not split",IF(ROUND(N(P40)+N(Q40)+N(R40),2)=ROUND(H40+L40,2),"OK",IF(G40=0,"Not invoiced yet","MISMATCH"))))</f>
        <v/>
      </c>
      <c r="T40" s="26" t="n"/>
      <c r="U40" s="26" t="n"/>
      <c r="V40" s="26" t="n"/>
      <c r="W40" s="27">
        <f>IF(C40="","",N(T40)+N(U40)+N(V40))</f>
        <v/>
      </c>
      <c r="X40" s="27">
        <f>IF(C40="","",H40+L40-W40)</f>
        <v/>
      </c>
      <c r="Y40" s="29">
        <f>IFERROR(X40/(H40+L40),"")</f>
        <v/>
      </c>
      <c r="Z40" s="24" t="n"/>
    </row>
    <row r="41" ht="15" customHeight="1">
      <c r="A41" s="70">
        <f>IF(C41="","",IFERROR(IF(SUMPRODUCT(MAX((tbl_Finance[Job Number]&amp;""=C41&amp;"")*(tbl_Finance[Xero Invoice No]&lt;&gt;"")*tbl_Finance[Date]))=0,"",SUMPRODUCT(MAX((tbl_Finance[Job Number]&amp;""=C41&amp;"")*(tbl_Finance[Xero Invoice No]&lt;&gt;"")*tbl_Finance[Date]))),""))</f>
        <v/>
      </c>
      <c r="B41" s="25">
        <f>IF(C41="","",IF(COUNTIFS(tbl_Finance[Job Number],C41&amp;"",tbl_Finance[Xero Invoice No],"&lt;&gt;")=0,"",IFERROR(IF(COUNTIFS(tbl_Finance[Job Number],C41&amp;"",tbl_Finance[Xero Invoice No],LOOKUP(2,1/((tbl_Finance[Job Number]&amp;""=C41&amp;"")*(tbl_Finance[Xero Invoice No]&lt;&gt;"")),tbl_Finance[Xero Invoice No]))=COUNTIFS(tbl_Finance[Job Number],C41&amp;"",tbl_Finance[Xero Invoice No],"&lt;&gt;"),LOOKUP(2,1/((tbl_Finance[Job Number]&amp;""=C41&amp;"")*(tbl_Finance[Xero Invoice No]&lt;&gt;"")),tbl_Finance[Xero Invoice No]),LOOKUP(2,1/((tbl_Finance[Job Number]&amp;""=C41&amp;"")*(tbl_Finance[Xero Invoice No]&lt;&gt;"")),tbl_Finance[Xero Invoice No])&amp;" +more"),"")))</f>
        <v/>
      </c>
      <c r="C41" s="24" t="n"/>
      <c r="D41" s="25">
        <f>IF(C41="","",IF(COUNTIF(lst_Jobs,C41&amp;"")&gt;0,"OK","CHECK"))</f>
        <v/>
      </c>
      <c r="E41" s="25">
        <f>IF(C41="","",IFERROR(INDEX(lst_JobName,MATCH(C41&amp;"",lst_Jobs,0)),""))</f>
        <v/>
      </c>
      <c r="F41" s="25">
        <f>IF(C41="","",IFERROR(INDEX(tbl_Finance[Client],IFERROR(MATCH(C41&amp;"",tbl_Finance[Job Number],0),MATCH(IFERROR(C41+0,C41),tbl_Finance[Job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6" t="n"/>
      <c r="L41" s="27">
        <f>IF(C41="","",IF(K41="",0,MAX(0,K41-H41)))</f>
        <v/>
      </c>
      <c r="M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N41" s="24" t="n"/>
      <c r="O41" s="25">
        <f>IF(N41="","",HYPERLINK(IF(LEFT(N41,4)="http",N41,set_QwilrBase&amp;N41),"Open quote"))</f>
        <v/>
      </c>
      <c r="P41" s="26" t="n"/>
      <c r="Q41" s="26" t="n"/>
      <c r="R41" s="26" t="n"/>
      <c r="S41" s="25">
        <f>IF(C41="","",IF(N(P41)+N(Q41)+N(R41)=0,"Not split",IF(ROUND(N(P41)+N(Q41)+N(R41),2)=ROUND(H41+L41,2),"OK",IF(G41=0,"Not invoiced yet","MISMATCH"))))</f>
        <v/>
      </c>
      <c r="T41" s="26" t="n"/>
      <c r="U41" s="26" t="n"/>
      <c r="V41" s="26" t="n"/>
      <c r="W41" s="27">
        <f>IF(C41="","",N(T41)+N(U41)+N(V41))</f>
        <v/>
      </c>
      <c r="X41" s="27">
        <f>IF(C41="","",H41+L41-W41)</f>
        <v/>
      </c>
      <c r="Y41" s="29">
        <f>IFERROR(X41/(H41+L41),"")</f>
        <v/>
      </c>
      <c r="Z41" s="24" t="n"/>
    </row>
    <row r="42" ht="15" customHeight="1">
      <c r="A42" s="70">
        <f>IF(C42="","",IFERROR(IF(SUMPRODUCT(MAX((tbl_Finance[Job Number]&amp;""=C42&amp;"")*(tbl_Finance[Xero Invoice No]&lt;&gt;"")*tbl_Finance[Date]))=0,"",SUMPRODUCT(MAX((tbl_Finance[Job Number]&amp;""=C42&amp;"")*(tbl_Finance[Xero Invoice No]&lt;&gt;"")*tbl_Finance[Date]))),""))</f>
        <v/>
      </c>
      <c r="B42" s="25">
        <f>IF(C42="","",IF(COUNTIFS(tbl_Finance[Job Number],C42&amp;"",tbl_Finance[Xero Invoice No],"&lt;&gt;")=0,"",IFERROR(IF(COUNTIFS(tbl_Finance[Job Number],C42&amp;"",tbl_Finance[Xero Invoice No],LOOKUP(2,1/((tbl_Finance[Job Number]&amp;""=C42&amp;"")*(tbl_Finance[Xero Invoice No]&lt;&gt;"")),tbl_Finance[Xero Invoice No]))=COUNTIFS(tbl_Finance[Job Number],C42&amp;"",tbl_Finance[Xero Invoice No],"&lt;&gt;"),LOOKUP(2,1/((tbl_Finance[Job Number]&amp;""=C42&amp;"")*(tbl_Finance[Xero Invoice No]&lt;&gt;"")),tbl_Finance[Xero Invoice No]),LOOKUP(2,1/((tbl_Finance[Job Number]&amp;""=C42&amp;"")*(tbl_Finance[Xero Invoice No]&lt;&gt;"")),tbl_Finance[Xero Invoice No])&amp;" +more"),"")))</f>
        <v/>
      </c>
      <c r="C42" s="24" t="n"/>
      <c r="D42" s="25">
        <f>IF(C42="","",IF(COUNTIF(lst_Jobs,C42&amp;"")&gt;0,"OK","CHECK"))</f>
        <v/>
      </c>
      <c r="E42" s="25">
        <f>IF(C42="","",IFERROR(INDEX(lst_JobName,MATCH(C42&amp;"",lst_Jobs,0)),""))</f>
        <v/>
      </c>
      <c r="F42" s="25">
        <f>IF(C42="","",IFERROR(INDEX(tbl_Finance[Client],IFERROR(MATCH(C42&amp;"",tbl_Finance[Job Number],0),MATCH(IFERROR(C42+0,C42),tbl_Finance[Job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6" t="n"/>
      <c r="L42" s="27">
        <f>IF(C42="","",IF(K42="",0,MAX(0,K42-H42)))</f>
        <v/>
      </c>
      <c r="M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N42" s="24" t="n"/>
      <c r="O42" s="25">
        <f>IF(N42="","",HYPERLINK(IF(LEFT(N42,4)="http",N42,set_QwilrBase&amp;N42),"Open quote"))</f>
        <v/>
      </c>
      <c r="P42" s="26" t="n"/>
      <c r="Q42" s="26" t="n"/>
      <c r="R42" s="26" t="n"/>
      <c r="S42" s="25">
        <f>IF(C42="","",IF(N(P42)+N(Q42)+N(R42)=0,"Not split",IF(ROUND(N(P42)+N(Q42)+N(R42),2)=ROUND(H42+L42,2),"OK",IF(G42=0,"Not invoiced yet","MISMATCH"))))</f>
        <v/>
      </c>
      <c r="T42" s="26" t="n"/>
      <c r="U42" s="26" t="n"/>
      <c r="V42" s="26" t="n"/>
      <c r="W42" s="27">
        <f>IF(C42="","",N(T42)+N(U42)+N(V42))</f>
        <v/>
      </c>
      <c r="X42" s="27">
        <f>IF(C42="","",H42+L42-W42)</f>
        <v/>
      </c>
      <c r="Y42" s="29">
        <f>IFERROR(X42/(H42+L42),"")</f>
        <v/>
      </c>
      <c r="Z42" s="24" t="n"/>
    </row>
    <row r="43" ht="15" customHeight="1">
      <c r="A43" s="70">
        <f>IF(C43="","",IFERROR(IF(SUMPRODUCT(MAX((tbl_Finance[Job Number]&amp;""=C43&amp;"")*(tbl_Finance[Xero Invoice No]&lt;&gt;"")*tbl_Finance[Date]))=0,"",SUMPRODUCT(MAX((tbl_Finance[Job Number]&amp;""=C43&amp;"")*(tbl_Finance[Xero Invoice No]&lt;&gt;"")*tbl_Finance[Date]))),""))</f>
        <v/>
      </c>
      <c r="B43" s="25">
        <f>IF(C43="","",IF(COUNTIFS(tbl_Finance[Job Number],C43&amp;"",tbl_Finance[Xero Invoice No],"&lt;&gt;")=0,"",IFERROR(IF(COUNTIFS(tbl_Finance[Job Number],C43&amp;"",tbl_Finance[Xero Invoice No],LOOKUP(2,1/((tbl_Finance[Job Number]&amp;""=C43&amp;"")*(tbl_Finance[Xero Invoice No]&lt;&gt;"")),tbl_Finance[Xero Invoice No]))=COUNTIFS(tbl_Finance[Job Number],C43&amp;"",tbl_Finance[Xero Invoice No],"&lt;&gt;"),LOOKUP(2,1/((tbl_Finance[Job Number]&amp;""=C43&amp;"")*(tbl_Finance[Xero Invoice No]&lt;&gt;"")),tbl_Finance[Xero Invoice No]),LOOKUP(2,1/((tbl_Finance[Job Number]&amp;""=C43&amp;"")*(tbl_Finance[Xero Invoice No]&lt;&gt;"")),tbl_Finance[Xero Invoice No])&amp;" +more"),"")))</f>
        <v/>
      </c>
      <c r="C43" s="24" t="n"/>
      <c r="D43" s="25">
        <f>IF(C43="","",IF(COUNTIF(lst_Jobs,C43&amp;"")&gt;0,"OK","CHECK"))</f>
        <v/>
      </c>
      <c r="E43" s="25">
        <f>IF(C43="","",IFERROR(INDEX(lst_JobName,MATCH(C43&amp;"",lst_Jobs,0)),""))</f>
        <v/>
      </c>
      <c r="F43" s="25">
        <f>IF(C43="","",IFERROR(INDEX(tbl_Finance[Client],IFERROR(MATCH(C43&amp;"",tbl_Finance[Job Number],0),MATCH(IFERROR(C43+0,C43),tbl_Finance[Job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6" t="n"/>
      <c r="L43" s="27">
        <f>IF(C43="","",IF(K43="",0,MAX(0,K43-H43)))</f>
        <v/>
      </c>
      <c r="M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N43" s="24" t="n"/>
      <c r="O43" s="25">
        <f>IF(N43="","",HYPERLINK(IF(LEFT(N43,4)="http",N43,set_QwilrBase&amp;N43),"Open quote"))</f>
        <v/>
      </c>
      <c r="P43" s="26" t="n"/>
      <c r="Q43" s="26" t="n"/>
      <c r="R43" s="26" t="n"/>
      <c r="S43" s="25">
        <f>IF(C43="","",IF(N(P43)+N(Q43)+N(R43)=0,"Not split",IF(ROUND(N(P43)+N(Q43)+N(R43),2)=ROUND(H43+L43,2),"OK",IF(G43=0,"Not invoiced yet","MISMATCH"))))</f>
        <v/>
      </c>
      <c r="T43" s="26" t="n"/>
      <c r="U43" s="26" t="n"/>
      <c r="V43" s="26" t="n"/>
      <c r="W43" s="27">
        <f>IF(C43="","",N(T43)+N(U43)+N(V43))</f>
        <v/>
      </c>
      <c r="X43" s="27">
        <f>IF(C43="","",H43+L43-W43)</f>
        <v/>
      </c>
      <c r="Y43" s="29">
        <f>IFERROR(X43/(H43+L43),"")</f>
        <v/>
      </c>
      <c r="Z43" s="24" t="n"/>
    </row>
    <row r="44" ht="15" customHeight="1">
      <c r="A44" s="70">
        <f>IF(C44="","",IFERROR(IF(SUMPRODUCT(MAX((tbl_Finance[Job Number]&amp;""=C44&amp;"")*(tbl_Finance[Xero Invoice No]&lt;&gt;"")*tbl_Finance[Date]))=0,"",SUMPRODUCT(MAX((tbl_Finance[Job Number]&amp;""=C44&amp;"")*(tbl_Finance[Xero Invoice No]&lt;&gt;"")*tbl_Finance[Date]))),""))</f>
        <v/>
      </c>
      <c r="B44" s="25">
        <f>IF(C44="","",IF(COUNTIFS(tbl_Finance[Job Number],C44&amp;"",tbl_Finance[Xero Invoice No],"&lt;&gt;")=0,"",IFERROR(IF(COUNTIFS(tbl_Finance[Job Number],C44&amp;"",tbl_Finance[Xero Invoice No],LOOKUP(2,1/((tbl_Finance[Job Number]&amp;""=C44&amp;"")*(tbl_Finance[Xero Invoice No]&lt;&gt;"")),tbl_Finance[Xero Invoice No]))=COUNTIFS(tbl_Finance[Job Number],C44&amp;"",tbl_Finance[Xero Invoice No],"&lt;&gt;"),LOOKUP(2,1/((tbl_Finance[Job Number]&amp;""=C44&amp;"")*(tbl_Finance[Xero Invoice No]&lt;&gt;"")),tbl_Finance[Xero Invoice No]),LOOKUP(2,1/((tbl_Finance[Job Number]&amp;""=C44&amp;"")*(tbl_Finance[Xero Invoice No]&lt;&gt;"")),tbl_Finance[Xero Invoice No])&amp;" +more"),"")))</f>
        <v/>
      </c>
      <c r="C44" s="24" t="n"/>
      <c r="D44" s="25">
        <f>IF(C44="","",IF(COUNTIF(lst_Jobs,C44&amp;"")&gt;0,"OK","CHECK"))</f>
        <v/>
      </c>
      <c r="E44" s="25">
        <f>IF(C44="","",IFERROR(INDEX(lst_JobName,MATCH(C44&amp;"",lst_Jobs,0)),""))</f>
        <v/>
      </c>
      <c r="F44" s="25">
        <f>IF(C44="","",IFERROR(INDEX(tbl_Finance[Client],IFERROR(MATCH(C44&amp;"",tbl_Finance[Job Number],0),MATCH(IFERROR(C44+0,C44),tbl_Finance[Job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6" t="n"/>
      <c r="L44" s="27">
        <f>IF(C44="","",IF(K44="",0,MAX(0,K44-H44)))</f>
        <v/>
      </c>
      <c r="M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N44" s="24" t="n"/>
      <c r="O44" s="25">
        <f>IF(N44="","",HYPERLINK(IF(LEFT(N44,4)="http",N44,set_QwilrBase&amp;N44),"Open quote"))</f>
        <v/>
      </c>
      <c r="P44" s="26" t="n"/>
      <c r="Q44" s="26" t="n"/>
      <c r="R44" s="26" t="n"/>
      <c r="S44" s="25">
        <f>IF(C44="","",IF(N(P44)+N(Q44)+N(R44)=0,"Not split",IF(ROUND(N(P44)+N(Q44)+N(R44),2)=ROUND(H44+L44,2),"OK",IF(G44=0,"Not invoiced yet","MISMATCH"))))</f>
        <v/>
      </c>
      <c r="T44" s="26" t="n"/>
      <c r="U44" s="26" t="n"/>
      <c r="V44" s="26" t="n"/>
      <c r="W44" s="27">
        <f>IF(C44="","",N(T44)+N(U44)+N(V44))</f>
        <v/>
      </c>
      <c r="X44" s="27">
        <f>IF(C44="","",H44+L44-W44)</f>
        <v/>
      </c>
      <c r="Y44" s="29">
        <f>IFERROR(X44/(H44+L44),"")</f>
        <v/>
      </c>
      <c r="Z44" s="24" t="n"/>
    </row>
    <row r="45" ht="15" customHeight="1">
      <c r="A45" s="70">
        <f>IF(C45="","",IFERROR(IF(SUMPRODUCT(MAX((tbl_Finance[Job Number]&amp;""=C45&amp;"")*(tbl_Finance[Xero Invoice No]&lt;&gt;"")*tbl_Finance[Date]))=0,"",SUMPRODUCT(MAX((tbl_Finance[Job Number]&amp;""=C45&amp;"")*(tbl_Finance[Xero Invoice No]&lt;&gt;"")*tbl_Finance[Date]))),""))</f>
        <v/>
      </c>
      <c r="B45" s="25">
        <f>IF(C45="","",IF(COUNTIFS(tbl_Finance[Job Number],C45&amp;"",tbl_Finance[Xero Invoice No],"&lt;&gt;")=0,"",IFERROR(IF(COUNTIFS(tbl_Finance[Job Number],C45&amp;"",tbl_Finance[Xero Invoice No],LOOKUP(2,1/((tbl_Finance[Job Number]&amp;""=C45&amp;"")*(tbl_Finance[Xero Invoice No]&lt;&gt;"")),tbl_Finance[Xero Invoice No]))=COUNTIFS(tbl_Finance[Job Number],C45&amp;"",tbl_Finance[Xero Invoice No],"&lt;&gt;"),LOOKUP(2,1/((tbl_Finance[Job Number]&amp;""=C45&amp;"")*(tbl_Finance[Xero Invoice No]&lt;&gt;"")),tbl_Finance[Xero Invoice No]),LOOKUP(2,1/((tbl_Finance[Job Number]&amp;""=C45&amp;"")*(tbl_Finance[Xero Invoice No]&lt;&gt;"")),tbl_Finance[Xero Invoice No])&amp;" +more"),"")))</f>
        <v/>
      </c>
      <c r="C45" s="24" t="n"/>
      <c r="D45" s="25">
        <f>IF(C45="","",IF(COUNTIF(lst_Jobs,C45&amp;"")&gt;0,"OK","CHECK"))</f>
        <v/>
      </c>
      <c r="E45" s="25">
        <f>IF(C45="","",IFERROR(INDEX(lst_JobName,MATCH(C45&amp;"",lst_Jobs,0)),""))</f>
        <v/>
      </c>
      <c r="F45" s="25">
        <f>IF(C45="","",IFERROR(INDEX(tbl_Finance[Client],IFERROR(MATCH(C45&amp;"",tbl_Finance[Job Number],0),MATCH(IFERROR(C45+0,C45),tbl_Finance[Job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6" t="n"/>
      <c r="L45" s="27">
        <f>IF(C45="","",IF(K45="",0,MAX(0,K45-H45)))</f>
        <v/>
      </c>
      <c r="M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N45" s="24" t="n"/>
      <c r="O45" s="25">
        <f>IF(N45="","",HYPERLINK(IF(LEFT(N45,4)="http",N45,set_QwilrBase&amp;N45),"Open quote"))</f>
        <v/>
      </c>
      <c r="P45" s="26" t="n"/>
      <c r="Q45" s="26" t="n"/>
      <c r="R45" s="26" t="n"/>
      <c r="S45" s="25">
        <f>IF(C45="","",IF(N(P45)+N(Q45)+N(R45)=0,"Not split",IF(ROUND(N(P45)+N(Q45)+N(R45),2)=ROUND(H45+L45,2),"OK",IF(G45=0,"Not invoiced yet","MISMATCH"))))</f>
        <v/>
      </c>
      <c r="T45" s="26" t="n"/>
      <c r="U45" s="26" t="n"/>
      <c r="V45" s="26" t="n"/>
      <c r="W45" s="27">
        <f>IF(C45="","",N(T45)+N(U45)+N(V45))</f>
        <v/>
      </c>
      <c r="X45" s="27">
        <f>IF(C45="","",H45+L45-W45)</f>
        <v/>
      </c>
      <c r="Y45" s="29">
        <f>IFERROR(X45/(H45+L45),"")</f>
        <v/>
      </c>
      <c r="Z45" s="24" t="n"/>
    </row>
    <row r="46" ht="15" customHeight="1">
      <c r="A46" s="70">
        <f>IF(C46="","",IFERROR(IF(SUMPRODUCT(MAX((tbl_Finance[Job Number]&amp;""=C46&amp;"")*(tbl_Finance[Xero Invoice No]&lt;&gt;"")*tbl_Finance[Date]))=0,"",SUMPRODUCT(MAX((tbl_Finance[Job Number]&amp;""=C46&amp;"")*(tbl_Finance[Xero Invoice No]&lt;&gt;"")*tbl_Finance[Date]))),""))</f>
        <v/>
      </c>
      <c r="B46" s="25">
        <f>IF(C46="","",IF(COUNTIFS(tbl_Finance[Job Number],C46&amp;"",tbl_Finance[Xero Invoice No],"&lt;&gt;")=0,"",IFERROR(IF(COUNTIFS(tbl_Finance[Job Number],C46&amp;"",tbl_Finance[Xero Invoice No],LOOKUP(2,1/((tbl_Finance[Job Number]&amp;""=C46&amp;"")*(tbl_Finance[Xero Invoice No]&lt;&gt;"")),tbl_Finance[Xero Invoice No]))=COUNTIFS(tbl_Finance[Job Number],C46&amp;"",tbl_Finance[Xero Invoice No],"&lt;&gt;"),LOOKUP(2,1/((tbl_Finance[Job Number]&amp;""=C46&amp;"")*(tbl_Finance[Xero Invoice No]&lt;&gt;"")),tbl_Finance[Xero Invoice No]),LOOKUP(2,1/((tbl_Finance[Job Number]&amp;""=C46&amp;"")*(tbl_Finance[Xero Invoice No]&lt;&gt;"")),tbl_Finance[Xero Invoice No])&amp;" +more"),"")))</f>
        <v/>
      </c>
      <c r="C46" s="24" t="n"/>
      <c r="D46" s="25">
        <f>IF(C46="","",IF(COUNTIF(lst_Jobs,C46&amp;"")&gt;0,"OK","CHECK"))</f>
        <v/>
      </c>
      <c r="E46" s="25">
        <f>IF(C46="","",IFERROR(INDEX(lst_JobName,MATCH(C46&amp;"",lst_Jobs,0)),""))</f>
        <v/>
      </c>
      <c r="F46" s="25">
        <f>IF(C46="","",IFERROR(INDEX(tbl_Finance[Client],IFERROR(MATCH(C46&amp;"",tbl_Finance[Job Number],0),MATCH(IFERROR(C46+0,C46),tbl_Finance[Job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6" t="n"/>
      <c r="L46" s="27">
        <f>IF(C46="","",IF(K46="",0,MAX(0,K46-H46)))</f>
        <v/>
      </c>
      <c r="M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N46" s="24" t="n"/>
      <c r="O46" s="25">
        <f>IF(N46="","",HYPERLINK(IF(LEFT(N46,4)="http",N46,set_QwilrBase&amp;N46),"Open quote"))</f>
        <v/>
      </c>
      <c r="P46" s="26" t="n"/>
      <c r="Q46" s="26" t="n"/>
      <c r="R46" s="26" t="n"/>
      <c r="S46" s="25">
        <f>IF(C46="","",IF(N(P46)+N(Q46)+N(R46)=0,"Not split",IF(ROUND(N(P46)+N(Q46)+N(R46),2)=ROUND(H46+L46,2),"OK",IF(G46=0,"Not invoiced yet","MISMATCH"))))</f>
        <v/>
      </c>
      <c r="T46" s="26" t="n"/>
      <c r="U46" s="26" t="n"/>
      <c r="V46" s="26" t="n"/>
      <c r="W46" s="27">
        <f>IF(C46="","",N(T46)+N(U46)+N(V46))</f>
        <v/>
      </c>
      <c r="X46" s="27">
        <f>IF(C46="","",H46+L46-W46)</f>
        <v/>
      </c>
      <c r="Y46" s="29">
        <f>IFERROR(X46/(H46+L46),"")</f>
        <v/>
      </c>
      <c r="Z46" s="24" t="n"/>
    </row>
    <row r="47" ht="15" customHeight="1">
      <c r="A47" s="70">
        <f>IF(C47="","",IFERROR(IF(SUMPRODUCT(MAX((tbl_Finance[Job Number]&amp;""=C47&amp;"")*(tbl_Finance[Xero Invoice No]&lt;&gt;"")*tbl_Finance[Date]))=0,"",SUMPRODUCT(MAX((tbl_Finance[Job Number]&amp;""=C47&amp;"")*(tbl_Finance[Xero Invoice No]&lt;&gt;"")*tbl_Finance[Date]))),""))</f>
        <v/>
      </c>
      <c r="B47" s="25">
        <f>IF(C47="","",IF(COUNTIFS(tbl_Finance[Job Number],C47&amp;"",tbl_Finance[Xero Invoice No],"&lt;&gt;")=0,"",IFERROR(IF(COUNTIFS(tbl_Finance[Job Number],C47&amp;"",tbl_Finance[Xero Invoice No],LOOKUP(2,1/((tbl_Finance[Job Number]&amp;""=C47&amp;"")*(tbl_Finance[Xero Invoice No]&lt;&gt;"")),tbl_Finance[Xero Invoice No]))=COUNTIFS(tbl_Finance[Job Number],C47&amp;"",tbl_Finance[Xero Invoice No],"&lt;&gt;"),LOOKUP(2,1/((tbl_Finance[Job Number]&amp;""=C47&amp;"")*(tbl_Finance[Xero Invoice No]&lt;&gt;"")),tbl_Finance[Xero Invoice No]),LOOKUP(2,1/((tbl_Finance[Job Number]&amp;""=C47&amp;"")*(tbl_Finance[Xero Invoice No]&lt;&gt;"")),tbl_Finance[Xero Invoice No])&amp;" +more"),"")))</f>
        <v/>
      </c>
      <c r="C47" s="24" t="n"/>
      <c r="D47" s="25">
        <f>IF(C47="","",IF(COUNTIF(lst_Jobs,C47&amp;"")&gt;0,"OK","CHECK"))</f>
        <v/>
      </c>
      <c r="E47" s="25">
        <f>IF(C47="","",IFERROR(INDEX(lst_JobName,MATCH(C47&amp;"",lst_Jobs,0)),""))</f>
        <v/>
      </c>
      <c r="F47" s="25">
        <f>IF(C47="","",IFERROR(INDEX(tbl_Finance[Client],IFERROR(MATCH(C47&amp;"",tbl_Finance[Job Number],0),MATCH(IFERROR(C47+0,C47),tbl_Finance[Job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6" t="n"/>
      <c r="L47" s="27">
        <f>IF(C47="","",IF(K47="",0,MAX(0,K47-H47)))</f>
        <v/>
      </c>
      <c r="M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N47" s="24" t="n"/>
      <c r="O47" s="25">
        <f>IF(N47="","",HYPERLINK(IF(LEFT(N47,4)="http",N47,set_QwilrBase&amp;N47),"Open quote"))</f>
        <v/>
      </c>
      <c r="P47" s="26" t="n"/>
      <c r="Q47" s="26" t="n"/>
      <c r="R47" s="26" t="n"/>
      <c r="S47" s="25">
        <f>IF(C47="","",IF(N(P47)+N(Q47)+N(R47)=0,"Not split",IF(ROUND(N(P47)+N(Q47)+N(R47),2)=ROUND(H47+L47,2),"OK",IF(G47=0,"Not invoiced yet","MISMATCH"))))</f>
        <v/>
      </c>
      <c r="T47" s="26" t="n"/>
      <c r="U47" s="26" t="n"/>
      <c r="V47" s="26" t="n"/>
      <c r="W47" s="27">
        <f>IF(C47="","",N(T47)+N(U47)+N(V47))</f>
        <v/>
      </c>
      <c r="X47" s="27">
        <f>IF(C47="","",H47+L47-W47)</f>
        <v/>
      </c>
      <c r="Y47" s="29">
        <f>IFERROR(X47/(H47+L47),"")</f>
        <v/>
      </c>
      <c r="Z47" s="24" t="n"/>
    </row>
    <row r="48" ht="15" customHeight="1">
      <c r="A48" s="70">
        <f>IF(C48="","",IFERROR(IF(SUMPRODUCT(MAX((tbl_Finance[Job Number]&amp;""=C48&amp;"")*(tbl_Finance[Xero Invoice No]&lt;&gt;"")*tbl_Finance[Date]))=0,"",SUMPRODUCT(MAX((tbl_Finance[Job Number]&amp;""=C48&amp;"")*(tbl_Finance[Xero Invoice No]&lt;&gt;"")*tbl_Finance[Date]))),""))</f>
        <v/>
      </c>
      <c r="B48" s="25">
        <f>IF(C48="","",IF(COUNTIFS(tbl_Finance[Job Number],C48&amp;"",tbl_Finance[Xero Invoice No],"&lt;&gt;")=0,"",IFERROR(IF(COUNTIFS(tbl_Finance[Job Number],C48&amp;"",tbl_Finance[Xero Invoice No],LOOKUP(2,1/((tbl_Finance[Job Number]&amp;""=C48&amp;"")*(tbl_Finance[Xero Invoice No]&lt;&gt;"")),tbl_Finance[Xero Invoice No]))=COUNTIFS(tbl_Finance[Job Number],C48&amp;"",tbl_Finance[Xero Invoice No],"&lt;&gt;"),LOOKUP(2,1/((tbl_Finance[Job Number]&amp;""=C48&amp;"")*(tbl_Finance[Xero Invoice No]&lt;&gt;"")),tbl_Finance[Xero Invoice No]),LOOKUP(2,1/((tbl_Finance[Job Number]&amp;""=C48&amp;"")*(tbl_Finance[Xero Invoice No]&lt;&gt;"")),tbl_Finance[Xero Invoice No])&amp;" +more"),"")))</f>
        <v/>
      </c>
      <c r="C48" s="24" t="n"/>
      <c r="D48" s="25">
        <f>IF(C48="","",IF(COUNTIF(lst_Jobs,C48&amp;"")&gt;0,"OK","CHECK"))</f>
        <v/>
      </c>
      <c r="E48" s="25">
        <f>IF(C48="","",IFERROR(INDEX(lst_JobName,MATCH(C48&amp;"",lst_Jobs,0)),""))</f>
        <v/>
      </c>
      <c r="F48" s="25">
        <f>IF(C48="","",IFERROR(INDEX(tbl_Finance[Client],IFERROR(MATCH(C48&amp;"",tbl_Finance[Job Number],0),MATCH(IFERROR(C48+0,C48),tbl_Finance[Job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6" t="n"/>
      <c r="L48" s="27">
        <f>IF(C48="","",IF(K48="",0,MAX(0,K48-H48)))</f>
        <v/>
      </c>
      <c r="M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N48" s="24" t="n"/>
      <c r="O48" s="25">
        <f>IF(N48="","",HYPERLINK(IF(LEFT(N48,4)="http",N48,set_QwilrBase&amp;N48),"Open quote"))</f>
        <v/>
      </c>
      <c r="P48" s="26" t="n"/>
      <c r="Q48" s="26" t="n"/>
      <c r="R48" s="26" t="n"/>
      <c r="S48" s="25">
        <f>IF(C48="","",IF(N(P48)+N(Q48)+N(R48)=0,"Not split",IF(ROUND(N(P48)+N(Q48)+N(R48),2)=ROUND(H48+L48,2),"OK",IF(G48=0,"Not invoiced yet","MISMATCH"))))</f>
        <v/>
      </c>
      <c r="T48" s="26" t="n"/>
      <c r="U48" s="26" t="n"/>
      <c r="V48" s="26" t="n"/>
      <c r="W48" s="27">
        <f>IF(C48="","",N(T48)+N(U48)+N(V48))</f>
        <v/>
      </c>
      <c r="X48" s="27">
        <f>IF(C48="","",H48+L48-W48)</f>
        <v/>
      </c>
      <c r="Y48" s="29">
        <f>IFERROR(X48/(H48+L48),"")</f>
        <v/>
      </c>
      <c r="Z48" s="24" t="n"/>
    </row>
    <row r="49" ht="15" customHeight="1">
      <c r="A49" s="70">
        <f>IF(C49="","",IFERROR(IF(SUMPRODUCT(MAX((tbl_Finance[Job Number]&amp;""=C49&amp;"")*(tbl_Finance[Xero Invoice No]&lt;&gt;"")*tbl_Finance[Date]))=0,"",SUMPRODUCT(MAX((tbl_Finance[Job Number]&amp;""=C49&amp;"")*(tbl_Finance[Xero Invoice No]&lt;&gt;"")*tbl_Finance[Date]))),""))</f>
        <v/>
      </c>
      <c r="B49" s="25">
        <f>IF(C49="","",IF(COUNTIFS(tbl_Finance[Job Number],C49&amp;"",tbl_Finance[Xero Invoice No],"&lt;&gt;")=0,"",IFERROR(IF(COUNTIFS(tbl_Finance[Job Number],C49&amp;"",tbl_Finance[Xero Invoice No],LOOKUP(2,1/((tbl_Finance[Job Number]&amp;""=C49&amp;"")*(tbl_Finance[Xero Invoice No]&lt;&gt;"")),tbl_Finance[Xero Invoice No]))=COUNTIFS(tbl_Finance[Job Number],C49&amp;"",tbl_Finance[Xero Invoice No],"&lt;&gt;"),LOOKUP(2,1/((tbl_Finance[Job Number]&amp;""=C49&amp;"")*(tbl_Finance[Xero Invoice No]&lt;&gt;"")),tbl_Finance[Xero Invoice No]),LOOKUP(2,1/((tbl_Finance[Job Number]&amp;""=C49&amp;"")*(tbl_Finance[Xero Invoice No]&lt;&gt;"")),tbl_Finance[Xero Invoice No])&amp;" +more"),"")))</f>
        <v/>
      </c>
      <c r="C49" s="24" t="n"/>
      <c r="D49" s="25">
        <f>IF(C49="","",IF(COUNTIF(lst_Jobs,C49&amp;"")&gt;0,"OK","CHECK"))</f>
        <v/>
      </c>
      <c r="E49" s="25">
        <f>IF(C49="","",IFERROR(INDEX(lst_JobName,MATCH(C49&amp;"",lst_Jobs,0)),""))</f>
        <v/>
      </c>
      <c r="F49" s="25">
        <f>IF(C49="","",IFERROR(INDEX(tbl_Finance[Client],IFERROR(MATCH(C49&amp;"",tbl_Finance[Job Number],0),MATCH(IFERROR(C49+0,C49),tbl_Finance[Job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6" t="n"/>
      <c r="L49" s="27">
        <f>IF(C49="","",IF(K49="",0,MAX(0,K49-H49)))</f>
        <v/>
      </c>
      <c r="M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N49" s="24" t="n"/>
      <c r="O49" s="25">
        <f>IF(N49="","",HYPERLINK(IF(LEFT(N49,4)="http",N49,set_QwilrBase&amp;N49),"Open quote"))</f>
        <v/>
      </c>
      <c r="P49" s="26" t="n"/>
      <c r="Q49" s="26" t="n"/>
      <c r="R49" s="26" t="n"/>
      <c r="S49" s="25">
        <f>IF(C49="","",IF(N(P49)+N(Q49)+N(R49)=0,"Not split",IF(ROUND(N(P49)+N(Q49)+N(R49),2)=ROUND(H49+L49,2),"OK",IF(G49=0,"Not invoiced yet","MISMATCH"))))</f>
        <v/>
      </c>
      <c r="T49" s="26" t="n"/>
      <c r="U49" s="26" t="n"/>
      <c r="V49" s="26" t="n"/>
      <c r="W49" s="27">
        <f>IF(C49="","",N(T49)+N(U49)+N(V49))</f>
        <v/>
      </c>
      <c r="X49" s="27">
        <f>IF(C49="","",H49+L49-W49)</f>
        <v/>
      </c>
      <c r="Y49" s="29">
        <f>IFERROR(X49/(H49+L49),"")</f>
        <v/>
      </c>
      <c r="Z49" s="24" t="n"/>
    </row>
    <row r="50" ht="15" customHeight="1">
      <c r="A50" s="70">
        <f>IF(C50="","",IFERROR(IF(SUMPRODUCT(MAX((tbl_Finance[Job Number]&amp;""=C50&amp;"")*(tbl_Finance[Xero Invoice No]&lt;&gt;"")*tbl_Finance[Date]))=0,"",SUMPRODUCT(MAX((tbl_Finance[Job Number]&amp;""=C50&amp;"")*(tbl_Finance[Xero Invoice No]&lt;&gt;"")*tbl_Finance[Date]))),""))</f>
        <v/>
      </c>
      <c r="B50" s="25">
        <f>IF(C50="","",IF(COUNTIFS(tbl_Finance[Job Number],C50&amp;"",tbl_Finance[Xero Invoice No],"&lt;&gt;")=0,"",IFERROR(IF(COUNTIFS(tbl_Finance[Job Number],C50&amp;"",tbl_Finance[Xero Invoice No],LOOKUP(2,1/((tbl_Finance[Job Number]&amp;""=C50&amp;"")*(tbl_Finance[Xero Invoice No]&lt;&gt;"")),tbl_Finance[Xero Invoice No]))=COUNTIFS(tbl_Finance[Job Number],C50&amp;"",tbl_Finance[Xero Invoice No],"&lt;&gt;"),LOOKUP(2,1/((tbl_Finance[Job Number]&amp;""=C50&amp;"")*(tbl_Finance[Xero Invoice No]&lt;&gt;"")),tbl_Finance[Xero Invoice No]),LOOKUP(2,1/((tbl_Finance[Job Number]&amp;""=C50&amp;"")*(tbl_Finance[Xero Invoice No]&lt;&gt;"")),tbl_Finance[Xero Invoice No])&amp;" +more"),"")))</f>
        <v/>
      </c>
      <c r="C50" s="24" t="n"/>
      <c r="D50" s="25">
        <f>IF(C50="","",IF(COUNTIF(lst_Jobs,C50&amp;"")&gt;0,"OK","CHECK"))</f>
        <v/>
      </c>
      <c r="E50" s="25">
        <f>IF(C50="","",IFERROR(INDEX(lst_JobName,MATCH(C50&amp;"",lst_Jobs,0)),""))</f>
        <v/>
      </c>
      <c r="F50" s="25">
        <f>IF(C50="","",IFERROR(INDEX(tbl_Finance[Client],IFERROR(MATCH(C50&amp;"",tbl_Finance[Job Number],0),MATCH(IFERROR(C50+0,C50),tbl_Finance[Job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6" t="n"/>
      <c r="L50" s="27">
        <f>IF(C50="","",IF(K50="",0,MAX(0,K50-H50)))</f>
        <v/>
      </c>
      <c r="M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N50" s="24" t="n"/>
      <c r="O50" s="25">
        <f>IF(N50="","",HYPERLINK(IF(LEFT(N50,4)="http",N50,set_QwilrBase&amp;N50),"Open quote"))</f>
        <v/>
      </c>
      <c r="P50" s="26" t="n"/>
      <c r="Q50" s="26" t="n"/>
      <c r="R50" s="26" t="n"/>
      <c r="S50" s="25">
        <f>IF(C50="","",IF(N(P50)+N(Q50)+N(R50)=0,"Not split",IF(ROUND(N(P50)+N(Q50)+N(R50),2)=ROUND(H50+L50,2),"OK",IF(G50=0,"Not invoiced yet","MISMATCH"))))</f>
        <v/>
      </c>
      <c r="T50" s="26" t="n"/>
      <c r="U50" s="26" t="n"/>
      <c r="V50" s="26" t="n"/>
      <c r="W50" s="27">
        <f>IF(C50="","",N(T50)+N(U50)+N(V50))</f>
        <v/>
      </c>
      <c r="X50" s="27">
        <f>IF(C50="","",H50+L50-W50)</f>
        <v/>
      </c>
      <c r="Y50" s="29">
        <f>IFERROR(X50/(H50+L50),"")</f>
        <v/>
      </c>
      <c r="Z50" s="24" t="n"/>
    </row>
    <row r="51" ht="15" customHeight="1">
      <c r="A51" s="70">
        <f>IF(C51="","",IFERROR(IF(SUMPRODUCT(MAX((tbl_Finance[Job Number]&amp;""=C51&amp;"")*(tbl_Finance[Xero Invoice No]&lt;&gt;"")*tbl_Finance[Date]))=0,"",SUMPRODUCT(MAX((tbl_Finance[Job Number]&amp;""=C51&amp;"")*(tbl_Finance[Xero Invoice No]&lt;&gt;"")*tbl_Finance[Date]))),""))</f>
        <v/>
      </c>
      <c r="B51" s="25">
        <f>IF(C51="","",IF(COUNTIFS(tbl_Finance[Job Number],C51&amp;"",tbl_Finance[Xero Invoice No],"&lt;&gt;")=0,"",IFERROR(IF(COUNTIFS(tbl_Finance[Job Number],C51&amp;"",tbl_Finance[Xero Invoice No],LOOKUP(2,1/((tbl_Finance[Job Number]&amp;""=C51&amp;"")*(tbl_Finance[Xero Invoice No]&lt;&gt;"")),tbl_Finance[Xero Invoice No]))=COUNTIFS(tbl_Finance[Job Number],C51&amp;"",tbl_Finance[Xero Invoice No],"&lt;&gt;"),LOOKUP(2,1/((tbl_Finance[Job Number]&amp;""=C51&amp;"")*(tbl_Finance[Xero Invoice No]&lt;&gt;"")),tbl_Finance[Xero Invoice No]),LOOKUP(2,1/((tbl_Finance[Job Number]&amp;""=C51&amp;"")*(tbl_Finance[Xero Invoice No]&lt;&gt;"")),tbl_Finance[Xero Invoice No])&amp;" +more"),"")))</f>
        <v/>
      </c>
      <c r="C51" s="24" t="n"/>
      <c r="D51" s="25">
        <f>IF(C51="","",IF(COUNTIF(lst_Jobs,C51&amp;"")&gt;0,"OK","CHECK"))</f>
        <v/>
      </c>
      <c r="E51" s="25">
        <f>IF(C51="","",IFERROR(INDEX(lst_JobName,MATCH(C51&amp;"",lst_Jobs,0)),""))</f>
        <v/>
      </c>
      <c r="F51" s="25">
        <f>IF(C51="","",IFERROR(INDEX(tbl_Finance[Client],IFERROR(MATCH(C51&amp;"",tbl_Finance[Job Number],0),MATCH(IFERROR(C51+0,C51),tbl_Finance[Job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6" t="n"/>
      <c r="L51" s="27">
        <f>IF(C51="","",IF(K51="",0,MAX(0,K51-H51)))</f>
        <v/>
      </c>
      <c r="M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N51" s="24" t="n"/>
      <c r="O51" s="25">
        <f>IF(N51="","",HYPERLINK(IF(LEFT(N51,4)="http",N51,set_QwilrBase&amp;N51),"Open quote"))</f>
        <v/>
      </c>
      <c r="P51" s="26" t="n"/>
      <c r="Q51" s="26" t="n"/>
      <c r="R51" s="26" t="n"/>
      <c r="S51" s="25">
        <f>IF(C51="","",IF(N(P51)+N(Q51)+N(R51)=0,"Not split",IF(ROUND(N(P51)+N(Q51)+N(R51),2)=ROUND(H51+L51,2),"OK",IF(G51=0,"Not invoiced yet","MISMATCH"))))</f>
        <v/>
      </c>
      <c r="T51" s="26" t="n"/>
      <c r="U51" s="26" t="n"/>
      <c r="V51" s="26" t="n"/>
      <c r="W51" s="27">
        <f>IF(C51="","",N(T51)+N(U51)+N(V51))</f>
        <v/>
      </c>
      <c r="X51" s="27">
        <f>IF(C51="","",H51+L51-W51)</f>
        <v/>
      </c>
      <c r="Y51" s="29">
        <f>IFERROR(X51/(H51+L51),"")</f>
        <v/>
      </c>
      <c r="Z51" s="24" t="n"/>
    </row>
    <row r="52" ht="15" customHeight="1">
      <c r="A52" s="70">
        <f>IF(C52="","",IFERROR(IF(SUMPRODUCT(MAX((tbl_Finance[Job Number]&amp;""=C52&amp;"")*(tbl_Finance[Xero Invoice No]&lt;&gt;"")*tbl_Finance[Date]))=0,"",SUMPRODUCT(MAX((tbl_Finance[Job Number]&amp;""=C52&amp;"")*(tbl_Finance[Xero Invoice No]&lt;&gt;"")*tbl_Finance[Date]))),""))</f>
        <v/>
      </c>
      <c r="B52" s="25">
        <f>IF(C52="","",IF(COUNTIFS(tbl_Finance[Job Number],C52&amp;"",tbl_Finance[Xero Invoice No],"&lt;&gt;")=0,"",IFERROR(IF(COUNTIFS(tbl_Finance[Job Number],C52&amp;"",tbl_Finance[Xero Invoice No],LOOKUP(2,1/((tbl_Finance[Job Number]&amp;""=C52&amp;"")*(tbl_Finance[Xero Invoice No]&lt;&gt;"")),tbl_Finance[Xero Invoice No]))=COUNTIFS(tbl_Finance[Job Number],C52&amp;"",tbl_Finance[Xero Invoice No],"&lt;&gt;"),LOOKUP(2,1/((tbl_Finance[Job Number]&amp;""=C52&amp;"")*(tbl_Finance[Xero Invoice No]&lt;&gt;"")),tbl_Finance[Xero Invoice No]),LOOKUP(2,1/((tbl_Finance[Job Number]&amp;""=C52&amp;"")*(tbl_Finance[Xero Invoice No]&lt;&gt;"")),tbl_Finance[Xero Invoice No])&amp;" +more"),"")))</f>
        <v/>
      </c>
      <c r="C52" s="24" t="n"/>
      <c r="D52" s="25">
        <f>IF(C52="","",IF(COUNTIF(lst_Jobs,C52&amp;"")&gt;0,"OK","CHECK"))</f>
        <v/>
      </c>
      <c r="E52" s="25">
        <f>IF(C52="","",IFERROR(INDEX(lst_JobName,MATCH(C52&amp;"",lst_Jobs,0)),""))</f>
        <v/>
      </c>
      <c r="F52" s="25">
        <f>IF(C52="","",IFERROR(INDEX(tbl_Finance[Client],IFERROR(MATCH(C52&amp;"",tbl_Finance[Job Number],0),MATCH(IFERROR(C52+0,C52),tbl_Finance[Job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6" t="n"/>
      <c r="L52" s="27">
        <f>IF(C52="","",IF(K52="",0,MAX(0,K52-H52)))</f>
        <v/>
      </c>
      <c r="M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N52" s="24" t="n"/>
      <c r="O52" s="25">
        <f>IF(N52="","",HYPERLINK(IF(LEFT(N52,4)="http",N52,set_QwilrBase&amp;N52),"Open quote"))</f>
        <v/>
      </c>
      <c r="P52" s="26" t="n"/>
      <c r="Q52" s="26" t="n"/>
      <c r="R52" s="26" t="n"/>
      <c r="S52" s="25">
        <f>IF(C52="","",IF(N(P52)+N(Q52)+N(R52)=0,"Not split",IF(ROUND(N(P52)+N(Q52)+N(R52),2)=ROUND(H52+L52,2),"OK",IF(G52=0,"Not invoiced yet","MISMATCH"))))</f>
        <v/>
      </c>
      <c r="T52" s="26" t="n"/>
      <c r="U52" s="26" t="n"/>
      <c r="V52" s="26" t="n"/>
      <c r="W52" s="27">
        <f>IF(C52="","",N(T52)+N(U52)+N(V52))</f>
        <v/>
      </c>
      <c r="X52" s="27">
        <f>IF(C52="","",H52+L52-W52)</f>
        <v/>
      </c>
      <c r="Y52" s="29">
        <f>IFERROR(X52/(H52+L52),"")</f>
        <v/>
      </c>
      <c r="Z52" s="24" t="n"/>
    </row>
    <row r="53" ht="15" customHeight="1">
      <c r="A53" s="70">
        <f>IF(C53="","",IFERROR(IF(SUMPRODUCT(MAX((tbl_Finance[Job Number]&amp;""=C53&amp;"")*(tbl_Finance[Xero Invoice No]&lt;&gt;"")*tbl_Finance[Date]))=0,"",SUMPRODUCT(MAX((tbl_Finance[Job Number]&amp;""=C53&amp;"")*(tbl_Finance[Xero Invoice No]&lt;&gt;"")*tbl_Finance[Date]))),""))</f>
        <v/>
      </c>
      <c r="B53" s="25">
        <f>IF(C53="","",IF(COUNTIFS(tbl_Finance[Job Number],C53&amp;"",tbl_Finance[Xero Invoice No],"&lt;&gt;")=0,"",IFERROR(IF(COUNTIFS(tbl_Finance[Job Number],C53&amp;"",tbl_Finance[Xero Invoice No],LOOKUP(2,1/((tbl_Finance[Job Number]&amp;""=C53&amp;"")*(tbl_Finance[Xero Invoice No]&lt;&gt;"")),tbl_Finance[Xero Invoice No]))=COUNTIFS(tbl_Finance[Job Number],C53&amp;"",tbl_Finance[Xero Invoice No],"&lt;&gt;"),LOOKUP(2,1/((tbl_Finance[Job Number]&amp;""=C53&amp;"")*(tbl_Finance[Xero Invoice No]&lt;&gt;"")),tbl_Finance[Xero Invoice No]),LOOKUP(2,1/((tbl_Finance[Job Number]&amp;""=C53&amp;"")*(tbl_Finance[Xero Invoice No]&lt;&gt;"")),tbl_Finance[Xero Invoice No])&amp;" +more"),"")))</f>
        <v/>
      </c>
      <c r="C53" s="24" t="n"/>
      <c r="D53" s="25">
        <f>IF(C53="","",IF(COUNTIF(lst_Jobs,C53&amp;"")&gt;0,"OK","CHECK"))</f>
        <v/>
      </c>
      <c r="E53" s="25">
        <f>IF(C53="","",IFERROR(INDEX(lst_JobName,MATCH(C53&amp;"",lst_Jobs,0)),""))</f>
        <v/>
      </c>
      <c r="F53" s="25">
        <f>IF(C53="","",IFERROR(INDEX(tbl_Finance[Client],IFERROR(MATCH(C53&amp;"",tbl_Finance[Job Number],0),MATCH(IFERROR(C53+0,C53),tbl_Finance[Job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6" t="n"/>
      <c r="L53" s="27">
        <f>IF(C53="","",IF(K53="",0,MAX(0,K53-H53)))</f>
        <v/>
      </c>
      <c r="M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N53" s="24" t="n"/>
      <c r="O53" s="25">
        <f>IF(N53="","",HYPERLINK(IF(LEFT(N53,4)="http",N53,set_QwilrBase&amp;N53),"Open quote"))</f>
        <v/>
      </c>
      <c r="P53" s="26" t="n"/>
      <c r="Q53" s="26" t="n"/>
      <c r="R53" s="26" t="n"/>
      <c r="S53" s="25">
        <f>IF(C53="","",IF(N(P53)+N(Q53)+N(R53)=0,"Not split",IF(ROUND(N(P53)+N(Q53)+N(R53),2)=ROUND(H53+L53,2),"OK",IF(G53=0,"Not invoiced yet","MISMATCH"))))</f>
        <v/>
      </c>
      <c r="T53" s="26" t="n"/>
      <c r="U53" s="26" t="n"/>
      <c r="V53" s="26" t="n"/>
      <c r="W53" s="27">
        <f>IF(C53="","",N(T53)+N(U53)+N(V53))</f>
        <v/>
      </c>
      <c r="X53" s="27">
        <f>IF(C53="","",H53+L53-W53)</f>
        <v/>
      </c>
      <c r="Y53" s="29">
        <f>IFERROR(X53/(H53+L53),"")</f>
        <v/>
      </c>
      <c r="Z53" s="24" t="n"/>
    </row>
    <row r="54" ht="15" customHeight="1">
      <c r="A54" s="70">
        <f>IF(C54="","",IFERROR(IF(SUMPRODUCT(MAX((tbl_Finance[Job Number]&amp;""=C54&amp;"")*(tbl_Finance[Xero Invoice No]&lt;&gt;"")*tbl_Finance[Date]))=0,"",SUMPRODUCT(MAX((tbl_Finance[Job Number]&amp;""=C54&amp;"")*(tbl_Finance[Xero Invoice No]&lt;&gt;"")*tbl_Finance[Date]))),""))</f>
        <v/>
      </c>
      <c r="B54" s="25">
        <f>IF(C54="","",IF(COUNTIFS(tbl_Finance[Job Number],C54&amp;"",tbl_Finance[Xero Invoice No],"&lt;&gt;")=0,"",IFERROR(IF(COUNTIFS(tbl_Finance[Job Number],C54&amp;"",tbl_Finance[Xero Invoice No],LOOKUP(2,1/((tbl_Finance[Job Number]&amp;""=C54&amp;"")*(tbl_Finance[Xero Invoice No]&lt;&gt;"")),tbl_Finance[Xero Invoice No]))=COUNTIFS(tbl_Finance[Job Number],C54&amp;"",tbl_Finance[Xero Invoice No],"&lt;&gt;"),LOOKUP(2,1/((tbl_Finance[Job Number]&amp;""=C54&amp;"")*(tbl_Finance[Xero Invoice No]&lt;&gt;"")),tbl_Finance[Xero Invoice No]),LOOKUP(2,1/((tbl_Finance[Job Number]&amp;""=C54&amp;"")*(tbl_Finance[Xero Invoice No]&lt;&gt;"")),tbl_Finance[Xero Invoice No])&amp;" +more"),"")))</f>
        <v/>
      </c>
      <c r="C54" s="24" t="n"/>
      <c r="D54" s="25">
        <f>IF(C54="","",IF(COUNTIF(lst_Jobs,C54&amp;"")&gt;0,"OK","CHECK"))</f>
        <v/>
      </c>
      <c r="E54" s="25">
        <f>IF(C54="","",IFERROR(INDEX(lst_JobName,MATCH(C54&amp;"",lst_Jobs,0)),""))</f>
        <v/>
      </c>
      <c r="F54" s="25">
        <f>IF(C54="","",IFERROR(INDEX(tbl_Finance[Client],IFERROR(MATCH(C54&amp;"",tbl_Finance[Job Number],0),MATCH(IFERROR(C54+0,C54),tbl_Finance[Job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6" t="n"/>
      <c r="L54" s="27">
        <f>IF(C54="","",IF(K54="",0,MAX(0,K54-H54)))</f>
        <v/>
      </c>
      <c r="M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N54" s="24" t="n"/>
      <c r="O54" s="25">
        <f>IF(N54="","",HYPERLINK(IF(LEFT(N54,4)="http",N54,set_QwilrBase&amp;N54),"Open quote"))</f>
        <v/>
      </c>
      <c r="P54" s="26" t="n"/>
      <c r="Q54" s="26" t="n"/>
      <c r="R54" s="26" t="n"/>
      <c r="S54" s="25">
        <f>IF(C54="","",IF(N(P54)+N(Q54)+N(R54)=0,"Not split",IF(ROUND(N(P54)+N(Q54)+N(R54),2)=ROUND(H54+L54,2),"OK",IF(G54=0,"Not invoiced yet","MISMATCH"))))</f>
        <v/>
      </c>
      <c r="T54" s="26" t="n"/>
      <c r="U54" s="26" t="n"/>
      <c r="V54" s="26" t="n"/>
      <c r="W54" s="27">
        <f>IF(C54="","",N(T54)+N(U54)+N(V54))</f>
        <v/>
      </c>
      <c r="X54" s="27">
        <f>IF(C54="","",H54+L54-W54)</f>
        <v/>
      </c>
      <c r="Y54" s="29">
        <f>IFERROR(X54/(H54+L54),"")</f>
        <v/>
      </c>
      <c r="Z54" s="24" t="n"/>
    </row>
    <row r="55" ht="15" customHeight="1">
      <c r="A55" s="70">
        <f>IF(C55="","",IFERROR(IF(SUMPRODUCT(MAX((tbl_Finance[Job Number]&amp;""=C55&amp;"")*(tbl_Finance[Xero Invoice No]&lt;&gt;"")*tbl_Finance[Date]))=0,"",SUMPRODUCT(MAX((tbl_Finance[Job Number]&amp;""=C55&amp;"")*(tbl_Finance[Xero Invoice No]&lt;&gt;"")*tbl_Finance[Date]))),""))</f>
        <v/>
      </c>
      <c r="B55" s="25">
        <f>IF(C55="","",IF(COUNTIFS(tbl_Finance[Job Number],C55&amp;"",tbl_Finance[Xero Invoice No],"&lt;&gt;")=0,"",IFERROR(IF(COUNTIFS(tbl_Finance[Job Number],C55&amp;"",tbl_Finance[Xero Invoice No],LOOKUP(2,1/((tbl_Finance[Job Number]&amp;""=C55&amp;"")*(tbl_Finance[Xero Invoice No]&lt;&gt;"")),tbl_Finance[Xero Invoice No]))=COUNTIFS(tbl_Finance[Job Number],C55&amp;"",tbl_Finance[Xero Invoice No],"&lt;&gt;"),LOOKUP(2,1/((tbl_Finance[Job Number]&amp;""=C55&amp;"")*(tbl_Finance[Xero Invoice No]&lt;&gt;"")),tbl_Finance[Xero Invoice No]),LOOKUP(2,1/((tbl_Finance[Job Number]&amp;""=C55&amp;"")*(tbl_Finance[Xero Invoice No]&lt;&gt;"")),tbl_Finance[Xero Invoice No])&amp;" +more"),"")))</f>
        <v/>
      </c>
      <c r="C55" s="24" t="n"/>
      <c r="D55" s="25">
        <f>IF(C55="","",IF(COUNTIF(lst_Jobs,C55&amp;"")&gt;0,"OK","CHECK"))</f>
        <v/>
      </c>
      <c r="E55" s="25">
        <f>IF(C55="","",IFERROR(INDEX(lst_JobName,MATCH(C55&amp;"",lst_Jobs,0)),""))</f>
        <v/>
      </c>
      <c r="F55" s="25">
        <f>IF(C55="","",IFERROR(INDEX(tbl_Finance[Client],IFERROR(MATCH(C55&amp;"",tbl_Finance[Job Number],0),MATCH(IFERROR(C55+0,C55),tbl_Finance[Job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6" t="n"/>
      <c r="L55" s="27">
        <f>IF(C55="","",IF(K55="",0,MAX(0,K55-H55)))</f>
        <v/>
      </c>
      <c r="M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N55" s="24" t="n"/>
      <c r="O55" s="25">
        <f>IF(N55="","",HYPERLINK(IF(LEFT(N55,4)="http",N55,set_QwilrBase&amp;N55),"Open quote"))</f>
        <v/>
      </c>
      <c r="P55" s="26" t="n"/>
      <c r="Q55" s="26" t="n"/>
      <c r="R55" s="26" t="n"/>
      <c r="S55" s="25">
        <f>IF(C55="","",IF(N(P55)+N(Q55)+N(R55)=0,"Not split",IF(ROUND(N(P55)+N(Q55)+N(R55),2)=ROUND(H55+L55,2),"OK",IF(G55=0,"Not invoiced yet","MISMATCH"))))</f>
        <v/>
      </c>
      <c r="T55" s="26" t="n"/>
      <c r="U55" s="26" t="n"/>
      <c r="V55" s="26" t="n"/>
      <c r="W55" s="27">
        <f>IF(C55="","",N(T55)+N(U55)+N(V55))</f>
        <v/>
      </c>
      <c r="X55" s="27">
        <f>IF(C55="","",H55+L55-W55)</f>
        <v/>
      </c>
      <c r="Y55" s="29">
        <f>IFERROR(X55/(H55+L55),"")</f>
        <v/>
      </c>
      <c r="Z55" s="24" t="n"/>
    </row>
    <row r="56" ht="15" customHeight="1">
      <c r="A56" s="70">
        <f>IF(C56="","",IFERROR(IF(SUMPRODUCT(MAX((tbl_Finance[Job Number]&amp;""=C56&amp;"")*(tbl_Finance[Xero Invoice No]&lt;&gt;"")*tbl_Finance[Date]))=0,"",SUMPRODUCT(MAX((tbl_Finance[Job Number]&amp;""=C56&amp;"")*(tbl_Finance[Xero Invoice No]&lt;&gt;"")*tbl_Finance[Date]))),""))</f>
        <v/>
      </c>
      <c r="B56" s="25">
        <f>IF(C56="","",IF(COUNTIFS(tbl_Finance[Job Number],C56&amp;"",tbl_Finance[Xero Invoice No],"&lt;&gt;")=0,"",IFERROR(IF(COUNTIFS(tbl_Finance[Job Number],C56&amp;"",tbl_Finance[Xero Invoice No],LOOKUP(2,1/((tbl_Finance[Job Number]&amp;""=C56&amp;"")*(tbl_Finance[Xero Invoice No]&lt;&gt;"")),tbl_Finance[Xero Invoice No]))=COUNTIFS(tbl_Finance[Job Number],C56&amp;"",tbl_Finance[Xero Invoice No],"&lt;&gt;"),LOOKUP(2,1/((tbl_Finance[Job Number]&amp;""=C56&amp;"")*(tbl_Finance[Xero Invoice No]&lt;&gt;"")),tbl_Finance[Xero Invoice No]),LOOKUP(2,1/((tbl_Finance[Job Number]&amp;""=C56&amp;"")*(tbl_Finance[Xero Invoice No]&lt;&gt;"")),tbl_Finance[Xero Invoice No])&amp;" +more"),"")))</f>
        <v/>
      </c>
      <c r="C56" s="24" t="n"/>
      <c r="D56" s="25">
        <f>IF(C56="","",IF(COUNTIF(lst_Jobs,C56&amp;"")&gt;0,"OK","CHECK"))</f>
        <v/>
      </c>
      <c r="E56" s="25">
        <f>IF(C56="","",IFERROR(INDEX(lst_JobName,MATCH(C56&amp;"",lst_Jobs,0)),""))</f>
        <v/>
      </c>
      <c r="F56" s="25">
        <f>IF(C56="","",IFERROR(INDEX(tbl_Finance[Client],IFERROR(MATCH(C56&amp;"",tbl_Finance[Job Number],0),MATCH(IFERROR(C56+0,C56),tbl_Finance[Job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6" t="n"/>
      <c r="L56" s="27">
        <f>IF(C56="","",IF(K56="",0,MAX(0,K56-H56)))</f>
        <v/>
      </c>
      <c r="M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N56" s="24" t="n"/>
      <c r="O56" s="25">
        <f>IF(N56="","",HYPERLINK(IF(LEFT(N56,4)="http",N56,set_QwilrBase&amp;N56),"Open quote"))</f>
        <v/>
      </c>
      <c r="P56" s="26" t="n"/>
      <c r="Q56" s="26" t="n"/>
      <c r="R56" s="26" t="n"/>
      <c r="S56" s="25">
        <f>IF(C56="","",IF(N(P56)+N(Q56)+N(R56)=0,"Not split",IF(ROUND(N(P56)+N(Q56)+N(R56),2)=ROUND(H56+L56,2),"OK",IF(G56=0,"Not invoiced yet","MISMATCH"))))</f>
        <v/>
      </c>
      <c r="T56" s="26" t="n"/>
      <c r="U56" s="26" t="n"/>
      <c r="V56" s="26" t="n"/>
      <c r="W56" s="27">
        <f>IF(C56="","",N(T56)+N(U56)+N(V56))</f>
        <v/>
      </c>
      <c r="X56" s="27">
        <f>IF(C56="","",H56+L56-W56)</f>
        <v/>
      </c>
      <c r="Y56" s="29">
        <f>IFERROR(X56/(H56+L56),"")</f>
        <v/>
      </c>
      <c r="Z56" s="24" t="n"/>
    </row>
    <row r="57" ht="15" customHeight="1">
      <c r="A57" s="70">
        <f>IF(C57="","",IFERROR(IF(SUMPRODUCT(MAX((tbl_Finance[Job Number]&amp;""=C57&amp;"")*(tbl_Finance[Xero Invoice No]&lt;&gt;"")*tbl_Finance[Date]))=0,"",SUMPRODUCT(MAX((tbl_Finance[Job Number]&amp;""=C57&amp;"")*(tbl_Finance[Xero Invoice No]&lt;&gt;"")*tbl_Finance[Date]))),""))</f>
        <v/>
      </c>
      <c r="B57" s="25">
        <f>IF(C57="","",IF(COUNTIFS(tbl_Finance[Job Number],C57&amp;"",tbl_Finance[Xero Invoice No],"&lt;&gt;")=0,"",IFERROR(IF(COUNTIFS(tbl_Finance[Job Number],C57&amp;"",tbl_Finance[Xero Invoice No],LOOKUP(2,1/((tbl_Finance[Job Number]&amp;""=C57&amp;"")*(tbl_Finance[Xero Invoice No]&lt;&gt;"")),tbl_Finance[Xero Invoice No]))=COUNTIFS(tbl_Finance[Job Number],C57&amp;"",tbl_Finance[Xero Invoice No],"&lt;&gt;"),LOOKUP(2,1/((tbl_Finance[Job Number]&amp;""=C57&amp;"")*(tbl_Finance[Xero Invoice No]&lt;&gt;"")),tbl_Finance[Xero Invoice No]),LOOKUP(2,1/((tbl_Finance[Job Number]&amp;""=C57&amp;"")*(tbl_Finance[Xero Invoice No]&lt;&gt;"")),tbl_Finance[Xero Invoice No])&amp;" +more"),"")))</f>
        <v/>
      </c>
      <c r="C57" s="24" t="n"/>
      <c r="D57" s="25">
        <f>IF(C57="","",IF(COUNTIF(lst_Jobs,C57&amp;"")&gt;0,"OK","CHECK"))</f>
        <v/>
      </c>
      <c r="E57" s="25">
        <f>IF(C57="","",IFERROR(INDEX(lst_JobName,MATCH(C57&amp;"",lst_Jobs,0)),""))</f>
        <v/>
      </c>
      <c r="F57" s="25">
        <f>IF(C57="","",IFERROR(INDEX(tbl_Finance[Client],IFERROR(MATCH(C57&amp;"",tbl_Finance[Job Number],0),MATCH(IFERROR(C57+0,C57),tbl_Finance[Job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6" t="n"/>
      <c r="L57" s="27">
        <f>IF(C57="","",IF(K57="",0,MAX(0,K57-H57)))</f>
        <v/>
      </c>
      <c r="M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N57" s="24" t="n"/>
      <c r="O57" s="25">
        <f>IF(N57="","",HYPERLINK(IF(LEFT(N57,4)="http",N57,set_QwilrBase&amp;N57),"Open quote"))</f>
        <v/>
      </c>
      <c r="P57" s="26" t="n"/>
      <c r="Q57" s="26" t="n"/>
      <c r="R57" s="26" t="n"/>
      <c r="S57" s="25">
        <f>IF(C57="","",IF(N(P57)+N(Q57)+N(R57)=0,"Not split",IF(ROUND(N(P57)+N(Q57)+N(R57),2)=ROUND(H57+L57,2),"OK",IF(G57=0,"Not invoiced yet","MISMATCH"))))</f>
        <v/>
      </c>
      <c r="T57" s="26" t="n"/>
      <c r="U57" s="26" t="n"/>
      <c r="V57" s="26" t="n"/>
      <c r="W57" s="27">
        <f>IF(C57="","",N(T57)+N(U57)+N(V57))</f>
        <v/>
      </c>
      <c r="X57" s="27">
        <f>IF(C57="","",H57+L57-W57)</f>
        <v/>
      </c>
      <c r="Y57" s="29">
        <f>IFERROR(X57/(H57+L57),"")</f>
        <v/>
      </c>
      <c r="Z57" s="24" t="n"/>
    </row>
    <row r="58" ht="15" customHeight="1">
      <c r="A58" s="70">
        <f>IF(C58="","",IFERROR(IF(SUMPRODUCT(MAX((tbl_Finance[Job Number]&amp;""=C58&amp;"")*(tbl_Finance[Xero Invoice No]&lt;&gt;"")*tbl_Finance[Date]))=0,"",SUMPRODUCT(MAX((tbl_Finance[Job Number]&amp;""=C58&amp;"")*(tbl_Finance[Xero Invoice No]&lt;&gt;"")*tbl_Finance[Date]))),""))</f>
        <v/>
      </c>
      <c r="B58" s="25">
        <f>IF(C58="","",IF(COUNTIFS(tbl_Finance[Job Number],C58&amp;"",tbl_Finance[Xero Invoice No],"&lt;&gt;")=0,"",IFERROR(IF(COUNTIFS(tbl_Finance[Job Number],C58&amp;"",tbl_Finance[Xero Invoice No],LOOKUP(2,1/((tbl_Finance[Job Number]&amp;""=C58&amp;"")*(tbl_Finance[Xero Invoice No]&lt;&gt;"")),tbl_Finance[Xero Invoice No]))=COUNTIFS(tbl_Finance[Job Number],C58&amp;"",tbl_Finance[Xero Invoice No],"&lt;&gt;"),LOOKUP(2,1/((tbl_Finance[Job Number]&amp;""=C58&amp;"")*(tbl_Finance[Xero Invoice No]&lt;&gt;"")),tbl_Finance[Xero Invoice No]),LOOKUP(2,1/((tbl_Finance[Job Number]&amp;""=C58&amp;"")*(tbl_Finance[Xero Invoice No]&lt;&gt;"")),tbl_Finance[Xero Invoice No])&amp;" +more"),"")))</f>
        <v/>
      </c>
      <c r="C58" s="24" t="n"/>
      <c r="D58" s="25">
        <f>IF(C58="","",IF(COUNTIF(lst_Jobs,C58&amp;"")&gt;0,"OK","CHECK"))</f>
        <v/>
      </c>
      <c r="E58" s="25">
        <f>IF(C58="","",IFERROR(INDEX(lst_JobName,MATCH(C58&amp;"",lst_Jobs,0)),""))</f>
        <v/>
      </c>
      <c r="F58" s="25">
        <f>IF(C58="","",IFERROR(INDEX(tbl_Finance[Client],IFERROR(MATCH(C58&amp;"",tbl_Finance[Job Number],0),MATCH(IFERROR(C58+0,C58),tbl_Finance[Job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6" t="n"/>
      <c r="L58" s="27">
        <f>IF(C58="","",IF(K58="",0,MAX(0,K58-H58)))</f>
        <v/>
      </c>
      <c r="M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N58" s="24" t="n"/>
      <c r="O58" s="25">
        <f>IF(N58="","",HYPERLINK(IF(LEFT(N58,4)="http",N58,set_QwilrBase&amp;N58),"Open quote"))</f>
        <v/>
      </c>
      <c r="P58" s="26" t="n"/>
      <c r="Q58" s="26" t="n"/>
      <c r="R58" s="26" t="n"/>
      <c r="S58" s="25">
        <f>IF(C58="","",IF(N(P58)+N(Q58)+N(R58)=0,"Not split",IF(ROUND(N(P58)+N(Q58)+N(R58),2)=ROUND(H58+L58,2),"OK",IF(G58=0,"Not invoiced yet","MISMATCH"))))</f>
        <v/>
      </c>
      <c r="T58" s="26" t="n"/>
      <c r="U58" s="26" t="n"/>
      <c r="V58" s="26" t="n"/>
      <c r="W58" s="27">
        <f>IF(C58="","",N(T58)+N(U58)+N(V58))</f>
        <v/>
      </c>
      <c r="X58" s="27">
        <f>IF(C58="","",H58+L58-W58)</f>
        <v/>
      </c>
      <c r="Y58" s="29">
        <f>IFERROR(X58/(H58+L58),"")</f>
        <v/>
      </c>
      <c r="Z58" s="24" t="n"/>
    </row>
    <row r="59" ht="15" customHeight="1">
      <c r="A59" s="70">
        <f>IF(C59="","",IFERROR(IF(SUMPRODUCT(MAX((tbl_Finance[Job Number]&amp;""=C59&amp;"")*(tbl_Finance[Xero Invoice No]&lt;&gt;"")*tbl_Finance[Date]))=0,"",SUMPRODUCT(MAX((tbl_Finance[Job Number]&amp;""=C59&amp;"")*(tbl_Finance[Xero Invoice No]&lt;&gt;"")*tbl_Finance[Date]))),""))</f>
        <v/>
      </c>
      <c r="B59" s="25">
        <f>IF(C59="","",IF(COUNTIFS(tbl_Finance[Job Number],C59&amp;"",tbl_Finance[Xero Invoice No],"&lt;&gt;")=0,"",IFERROR(IF(COUNTIFS(tbl_Finance[Job Number],C59&amp;"",tbl_Finance[Xero Invoice No],LOOKUP(2,1/((tbl_Finance[Job Number]&amp;""=C59&amp;"")*(tbl_Finance[Xero Invoice No]&lt;&gt;"")),tbl_Finance[Xero Invoice No]))=COUNTIFS(tbl_Finance[Job Number],C59&amp;"",tbl_Finance[Xero Invoice No],"&lt;&gt;"),LOOKUP(2,1/((tbl_Finance[Job Number]&amp;""=C59&amp;"")*(tbl_Finance[Xero Invoice No]&lt;&gt;"")),tbl_Finance[Xero Invoice No]),LOOKUP(2,1/((tbl_Finance[Job Number]&amp;""=C59&amp;"")*(tbl_Finance[Xero Invoice No]&lt;&gt;"")),tbl_Finance[Xero Invoice No])&amp;" +more"),"")))</f>
        <v/>
      </c>
      <c r="C59" s="24" t="n"/>
      <c r="D59" s="25">
        <f>IF(C59="","",IF(COUNTIF(lst_Jobs,C59&amp;"")&gt;0,"OK","CHECK"))</f>
        <v/>
      </c>
      <c r="E59" s="25">
        <f>IF(C59="","",IFERROR(INDEX(lst_JobName,MATCH(C59&amp;"",lst_Jobs,0)),""))</f>
        <v/>
      </c>
      <c r="F59" s="25">
        <f>IF(C59="","",IFERROR(INDEX(tbl_Finance[Client],IFERROR(MATCH(C59&amp;"",tbl_Finance[Job Number],0),MATCH(IFERROR(C59+0,C59),tbl_Finance[Job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6" t="n"/>
      <c r="L59" s="27">
        <f>IF(C59="","",IF(K59="",0,MAX(0,K59-H59)))</f>
        <v/>
      </c>
      <c r="M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N59" s="24" t="n"/>
      <c r="O59" s="25">
        <f>IF(N59="","",HYPERLINK(IF(LEFT(N59,4)="http",N59,set_QwilrBase&amp;N59),"Open quote"))</f>
        <v/>
      </c>
      <c r="P59" s="26" t="n"/>
      <c r="Q59" s="26" t="n"/>
      <c r="R59" s="26" t="n"/>
      <c r="S59" s="25">
        <f>IF(C59="","",IF(N(P59)+N(Q59)+N(R59)=0,"Not split",IF(ROUND(N(P59)+N(Q59)+N(R59),2)=ROUND(H59+L59,2),"OK",IF(G59=0,"Not invoiced yet","MISMATCH"))))</f>
        <v/>
      </c>
      <c r="T59" s="26" t="n"/>
      <c r="U59" s="26" t="n"/>
      <c r="V59" s="26" t="n"/>
      <c r="W59" s="27">
        <f>IF(C59="","",N(T59)+N(U59)+N(V59))</f>
        <v/>
      </c>
      <c r="X59" s="27">
        <f>IF(C59="","",H59+L59-W59)</f>
        <v/>
      </c>
      <c r="Y59" s="29">
        <f>IFERROR(X59/(H59+L59),"")</f>
        <v/>
      </c>
      <c r="Z59" s="24" t="n"/>
    </row>
    <row r="60" ht="15" customHeight="1">
      <c r="A60" s="70">
        <f>IF(C60="","",IFERROR(IF(SUMPRODUCT(MAX((tbl_Finance[Job Number]&amp;""=C60&amp;"")*(tbl_Finance[Xero Invoice No]&lt;&gt;"")*tbl_Finance[Date]))=0,"",SUMPRODUCT(MAX((tbl_Finance[Job Number]&amp;""=C60&amp;"")*(tbl_Finance[Xero Invoice No]&lt;&gt;"")*tbl_Finance[Date]))),""))</f>
        <v/>
      </c>
      <c r="B60" s="25">
        <f>IF(C60="","",IF(COUNTIFS(tbl_Finance[Job Number],C60&amp;"",tbl_Finance[Xero Invoice No],"&lt;&gt;")=0,"",IFERROR(IF(COUNTIFS(tbl_Finance[Job Number],C60&amp;"",tbl_Finance[Xero Invoice No],LOOKUP(2,1/((tbl_Finance[Job Number]&amp;""=C60&amp;"")*(tbl_Finance[Xero Invoice No]&lt;&gt;"")),tbl_Finance[Xero Invoice No]))=COUNTIFS(tbl_Finance[Job Number],C60&amp;"",tbl_Finance[Xero Invoice No],"&lt;&gt;"),LOOKUP(2,1/((tbl_Finance[Job Number]&amp;""=C60&amp;"")*(tbl_Finance[Xero Invoice No]&lt;&gt;"")),tbl_Finance[Xero Invoice No]),LOOKUP(2,1/((tbl_Finance[Job Number]&amp;""=C60&amp;"")*(tbl_Finance[Xero Invoice No]&lt;&gt;"")),tbl_Finance[Xero Invoice No])&amp;" +more"),"")))</f>
        <v/>
      </c>
      <c r="C60" s="24" t="n"/>
      <c r="D60" s="25">
        <f>IF(C60="","",IF(COUNTIF(lst_Jobs,C60&amp;"")&gt;0,"OK","CHECK"))</f>
        <v/>
      </c>
      <c r="E60" s="25">
        <f>IF(C60="","",IFERROR(INDEX(lst_JobName,MATCH(C60&amp;"",lst_Jobs,0)),""))</f>
        <v/>
      </c>
      <c r="F60" s="25">
        <f>IF(C60="","",IFERROR(INDEX(tbl_Finance[Client],IFERROR(MATCH(C60&amp;"",tbl_Finance[Job Number],0),MATCH(IFERROR(C60+0,C60),tbl_Finance[Job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6" t="n"/>
      <c r="L60" s="27">
        <f>IF(C60="","",IF(K60="",0,MAX(0,K60-H60)))</f>
        <v/>
      </c>
      <c r="M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N60" s="24" t="n"/>
      <c r="O60" s="25">
        <f>IF(N60="","",HYPERLINK(IF(LEFT(N60,4)="http",N60,set_QwilrBase&amp;N60),"Open quote"))</f>
        <v/>
      </c>
      <c r="P60" s="26" t="n"/>
      <c r="Q60" s="26" t="n"/>
      <c r="R60" s="26" t="n"/>
      <c r="S60" s="25">
        <f>IF(C60="","",IF(N(P60)+N(Q60)+N(R60)=0,"Not split",IF(ROUND(N(P60)+N(Q60)+N(R60),2)=ROUND(H60+L60,2),"OK",IF(G60=0,"Not invoiced yet","MISMATCH"))))</f>
        <v/>
      </c>
      <c r="T60" s="26" t="n"/>
      <c r="U60" s="26" t="n"/>
      <c r="V60" s="26" t="n"/>
      <c r="W60" s="27">
        <f>IF(C60="","",N(T60)+N(U60)+N(V60))</f>
        <v/>
      </c>
      <c r="X60" s="27">
        <f>IF(C60="","",H60+L60-W60)</f>
        <v/>
      </c>
      <c r="Y60" s="29">
        <f>IFERROR(X60/(H60+L60),"")</f>
        <v/>
      </c>
      <c r="Z60" s="24" t="n"/>
    </row>
    <row r="61" ht="15" customHeight="1">
      <c r="A61" s="70">
        <f>IF(C61="","",IFERROR(IF(SUMPRODUCT(MAX((tbl_Finance[Job Number]&amp;""=C61&amp;"")*(tbl_Finance[Xero Invoice No]&lt;&gt;"")*tbl_Finance[Date]))=0,"",SUMPRODUCT(MAX((tbl_Finance[Job Number]&amp;""=C61&amp;"")*(tbl_Finance[Xero Invoice No]&lt;&gt;"")*tbl_Finance[Date]))),""))</f>
        <v/>
      </c>
      <c r="B61" s="25">
        <f>IF(C61="","",IF(COUNTIFS(tbl_Finance[Job Number],C61&amp;"",tbl_Finance[Xero Invoice No],"&lt;&gt;")=0,"",IFERROR(IF(COUNTIFS(tbl_Finance[Job Number],C61&amp;"",tbl_Finance[Xero Invoice No],LOOKUP(2,1/((tbl_Finance[Job Number]&amp;""=C61&amp;"")*(tbl_Finance[Xero Invoice No]&lt;&gt;"")),tbl_Finance[Xero Invoice No]))=COUNTIFS(tbl_Finance[Job Number],C61&amp;"",tbl_Finance[Xero Invoice No],"&lt;&gt;"),LOOKUP(2,1/((tbl_Finance[Job Number]&amp;""=C61&amp;"")*(tbl_Finance[Xero Invoice No]&lt;&gt;"")),tbl_Finance[Xero Invoice No]),LOOKUP(2,1/((tbl_Finance[Job Number]&amp;""=C61&amp;"")*(tbl_Finance[Xero Invoice No]&lt;&gt;"")),tbl_Finance[Xero Invoice No])&amp;" +more"),"")))</f>
        <v/>
      </c>
      <c r="C61" s="24" t="n"/>
      <c r="D61" s="25">
        <f>IF(C61="","",IF(COUNTIF(lst_Jobs,C61&amp;"")&gt;0,"OK","CHECK"))</f>
        <v/>
      </c>
      <c r="E61" s="25">
        <f>IF(C61="","",IFERROR(INDEX(lst_JobName,MATCH(C61&amp;"",lst_Jobs,0)),""))</f>
        <v/>
      </c>
      <c r="F61" s="25">
        <f>IF(C61="","",IFERROR(INDEX(tbl_Finance[Client],IFERROR(MATCH(C61&amp;"",tbl_Finance[Job Number],0),MATCH(IFERROR(C61+0,C61),tbl_Finance[Job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6" t="n"/>
      <c r="L61" s="27">
        <f>IF(C61="","",IF(K61="",0,MAX(0,K61-H61)))</f>
        <v/>
      </c>
      <c r="M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N61" s="24" t="n"/>
      <c r="O61" s="25">
        <f>IF(N61="","",HYPERLINK(IF(LEFT(N61,4)="http",N61,set_QwilrBase&amp;N61),"Open quote"))</f>
        <v/>
      </c>
      <c r="P61" s="26" t="n"/>
      <c r="Q61" s="26" t="n"/>
      <c r="R61" s="26" t="n"/>
      <c r="S61" s="25">
        <f>IF(C61="","",IF(N(P61)+N(Q61)+N(R61)=0,"Not split",IF(ROUND(N(P61)+N(Q61)+N(R61),2)=ROUND(H61+L61,2),"OK",IF(G61=0,"Not invoiced yet","MISMATCH"))))</f>
        <v/>
      </c>
      <c r="T61" s="26" t="n"/>
      <c r="U61" s="26" t="n"/>
      <c r="V61" s="26" t="n"/>
      <c r="W61" s="27">
        <f>IF(C61="","",N(T61)+N(U61)+N(V61))</f>
        <v/>
      </c>
      <c r="X61" s="27">
        <f>IF(C61="","",H61+L61-W61)</f>
        <v/>
      </c>
      <c r="Y61" s="29">
        <f>IFERROR(X61/(H61+L61),"")</f>
        <v/>
      </c>
      <c r="Z61" s="24" t="n"/>
    </row>
    <row r="62" ht="15" customHeight="1">
      <c r="A62" s="70">
        <f>IF(C62="","",IFERROR(IF(SUMPRODUCT(MAX((tbl_Finance[Job Number]&amp;""=C62&amp;"")*(tbl_Finance[Xero Invoice No]&lt;&gt;"")*tbl_Finance[Date]))=0,"",SUMPRODUCT(MAX((tbl_Finance[Job Number]&amp;""=C62&amp;"")*(tbl_Finance[Xero Invoice No]&lt;&gt;"")*tbl_Finance[Date]))),""))</f>
        <v/>
      </c>
      <c r="B62" s="25">
        <f>IF(C62="","",IF(COUNTIFS(tbl_Finance[Job Number],C62&amp;"",tbl_Finance[Xero Invoice No],"&lt;&gt;")=0,"",IFERROR(IF(COUNTIFS(tbl_Finance[Job Number],C62&amp;"",tbl_Finance[Xero Invoice No],LOOKUP(2,1/((tbl_Finance[Job Number]&amp;""=C62&amp;"")*(tbl_Finance[Xero Invoice No]&lt;&gt;"")),tbl_Finance[Xero Invoice No]))=COUNTIFS(tbl_Finance[Job Number],C62&amp;"",tbl_Finance[Xero Invoice No],"&lt;&gt;"),LOOKUP(2,1/((tbl_Finance[Job Number]&amp;""=C62&amp;"")*(tbl_Finance[Xero Invoice No]&lt;&gt;"")),tbl_Finance[Xero Invoice No]),LOOKUP(2,1/((tbl_Finance[Job Number]&amp;""=C62&amp;"")*(tbl_Finance[Xero Invoice No]&lt;&gt;"")),tbl_Finance[Xero Invoice No])&amp;" +more"),"")))</f>
        <v/>
      </c>
      <c r="C62" s="24" t="n"/>
      <c r="D62" s="25">
        <f>IF(C62="","",IF(COUNTIF(lst_Jobs,C62&amp;"")&gt;0,"OK","CHECK"))</f>
        <v/>
      </c>
      <c r="E62" s="25">
        <f>IF(C62="","",IFERROR(INDEX(lst_JobName,MATCH(C62&amp;"",lst_Jobs,0)),""))</f>
        <v/>
      </c>
      <c r="F62" s="25">
        <f>IF(C62="","",IFERROR(INDEX(tbl_Finance[Client],IFERROR(MATCH(C62&amp;"",tbl_Finance[Job Number],0),MATCH(IFERROR(C62+0,C62),tbl_Finance[Job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6" t="n"/>
      <c r="L62" s="27">
        <f>IF(C62="","",IF(K62="",0,MAX(0,K62-H62)))</f>
        <v/>
      </c>
      <c r="M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N62" s="24" t="n"/>
      <c r="O62" s="25">
        <f>IF(N62="","",HYPERLINK(IF(LEFT(N62,4)="http",N62,set_QwilrBase&amp;N62),"Open quote"))</f>
        <v/>
      </c>
      <c r="P62" s="26" t="n"/>
      <c r="Q62" s="26" t="n"/>
      <c r="R62" s="26" t="n"/>
      <c r="S62" s="25">
        <f>IF(C62="","",IF(N(P62)+N(Q62)+N(R62)=0,"Not split",IF(ROUND(N(P62)+N(Q62)+N(R62),2)=ROUND(H62+L62,2),"OK",IF(G62=0,"Not invoiced yet","MISMATCH"))))</f>
        <v/>
      </c>
      <c r="T62" s="26" t="n"/>
      <c r="U62" s="26" t="n"/>
      <c r="V62" s="26" t="n"/>
      <c r="W62" s="27">
        <f>IF(C62="","",N(T62)+N(U62)+N(V62))</f>
        <v/>
      </c>
      <c r="X62" s="27">
        <f>IF(C62="","",H62+L62-W62)</f>
        <v/>
      </c>
      <c r="Y62" s="29">
        <f>IFERROR(X62/(H62+L62),"")</f>
        <v/>
      </c>
      <c r="Z62" s="24" t="n"/>
    </row>
    <row r="63" ht="15" customHeight="1">
      <c r="A63" s="70">
        <f>IF(C63="","",IFERROR(IF(SUMPRODUCT(MAX((tbl_Finance[Job Number]&amp;""=C63&amp;"")*(tbl_Finance[Xero Invoice No]&lt;&gt;"")*tbl_Finance[Date]))=0,"",SUMPRODUCT(MAX((tbl_Finance[Job Number]&amp;""=C63&amp;"")*(tbl_Finance[Xero Invoice No]&lt;&gt;"")*tbl_Finance[Date]))),""))</f>
        <v/>
      </c>
      <c r="B63" s="25">
        <f>IF(C63="","",IF(COUNTIFS(tbl_Finance[Job Number],C63&amp;"",tbl_Finance[Xero Invoice No],"&lt;&gt;")=0,"",IFERROR(IF(COUNTIFS(tbl_Finance[Job Number],C63&amp;"",tbl_Finance[Xero Invoice No],LOOKUP(2,1/((tbl_Finance[Job Number]&amp;""=C63&amp;"")*(tbl_Finance[Xero Invoice No]&lt;&gt;"")),tbl_Finance[Xero Invoice No]))=COUNTIFS(tbl_Finance[Job Number],C63&amp;"",tbl_Finance[Xero Invoice No],"&lt;&gt;"),LOOKUP(2,1/((tbl_Finance[Job Number]&amp;""=C63&amp;"")*(tbl_Finance[Xero Invoice No]&lt;&gt;"")),tbl_Finance[Xero Invoice No]),LOOKUP(2,1/((tbl_Finance[Job Number]&amp;""=C63&amp;"")*(tbl_Finance[Xero Invoice No]&lt;&gt;"")),tbl_Finance[Xero Invoice No])&amp;" +more"),"")))</f>
        <v/>
      </c>
      <c r="C63" s="24" t="n"/>
      <c r="D63" s="25">
        <f>IF(C63="","",IF(COUNTIF(lst_Jobs,C63&amp;"")&gt;0,"OK","CHECK"))</f>
        <v/>
      </c>
      <c r="E63" s="25">
        <f>IF(C63="","",IFERROR(INDEX(lst_JobName,MATCH(C63&amp;"",lst_Jobs,0)),""))</f>
        <v/>
      </c>
      <c r="F63" s="25">
        <f>IF(C63="","",IFERROR(INDEX(tbl_Finance[Client],IFERROR(MATCH(C63&amp;"",tbl_Finance[Job Number],0),MATCH(IFERROR(C63+0,C63),tbl_Finance[Job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6" t="n"/>
      <c r="L63" s="27">
        <f>IF(C63="","",IF(K63="",0,MAX(0,K63-H63)))</f>
        <v/>
      </c>
      <c r="M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N63" s="24" t="n"/>
      <c r="O63" s="25">
        <f>IF(N63="","",HYPERLINK(IF(LEFT(N63,4)="http",N63,set_QwilrBase&amp;N63),"Open quote"))</f>
        <v/>
      </c>
      <c r="P63" s="26" t="n"/>
      <c r="Q63" s="26" t="n"/>
      <c r="R63" s="26" t="n"/>
      <c r="S63" s="25">
        <f>IF(C63="","",IF(N(P63)+N(Q63)+N(R63)=0,"Not split",IF(ROUND(N(P63)+N(Q63)+N(R63),2)=ROUND(H63+L63,2),"OK",IF(G63=0,"Not invoiced yet","MISMATCH"))))</f>
        <v/>
      </c>
      <c r="T63" s="26" t="n"/>
      <c r="U63" s="26" t="n"/>
      <c r="V63" s="26" t="n"/>
      <c r="W63" s="27">
        <f>IF(C63="","",N(T63)+N(U63)+N(V63))</f>
        <v/>
      </c>
      <c r="X63" s="27">
        <f>IF(C63="","",H63+L63-W63)</f>
        <v/>
      </c>
      <c r="Y63" s="29">
        <f>IFERROR(X63/(H63+L63),"")</f>
        <v/>
      </c>
      <c r="Z63" s="24" t="n"/>
    </row>
    <row r="64" ht="15" customHeight="1">
      <c r="A64" s="70">
        <f>IF(C64="","",IFERROR(IF(SUMPRODUCT(MAX((tbl_Finance[Job Number]&amp;""=C64&amp;"")*(tbl_Finance[Xero Invoice No]&lt;&gt;"")*tbl_Finance[Date]))=0,"",SUMPRODUCT(MAX((tbl_Finance[Job Number]&amp;""=C64&amp;"")*(tbl_Finance[Xero Invoice No]&lt;&gt;"")*tbl_Finance[Date]))),""))</f>
        <v/>
      </c>
      <c r="B64" s="25">
        <f>IF(C64="","",IF(COUNTIFS(tbl_Finance[Job Number],C64&amp;"",tbl_Finance[Xero Invoice No],"&lt;&gt;")=0,"",IFERROR(IF(COUNTIFS(tbl_Finance[Job Number],C64&amp;"",tbl_Finance[Xero Invoice No],LOOKUP(2,1/((tbl_Finance[Job Number]&amp;""=C64&amp;"")*(tbl_Finance[Xero Invoice No]&lt;&gt;"")),tbl_Finance[Xero Invoice No]))=COUNTIFS(tbl_Finance[Job Number],C64&amp;"",tbl_Finance[Xero Invoice No],"&lt;&gt;"),LOOKUP(2,1/((tbl_Finance[Job Number]&amp;""=C64&amp;"")*(tbl_Finance[Xero Invoice No]&lt;&gt;"")),tbl_Finance[Xero Invoice No]),LOOKUP(2,1/((tbl_Finance[Job Number]&amp;""=C64&amp;"")*(tbl_Finance[Xero Invoice No]&lt;&gt;"")),tbl_Finance[Xero Invoice No])&amp;" +more"),"")))</f>
        <v/>
      </c>
      <c r="C64" s="24" t="n"/>
      <c r="D64" s="25">
        <f>IF(C64="","",IF(COUNTIF(lst_Jobs,C64&amp;"")&gt;0,"OK","CHECK"))</f>
        <v/>
      </c>
      <c r="E64" s="25">
        <f>IF(C64="","",IFERROR(INDEX(lst_JobName,MATCH(C64&amp;"",lst_Jobs,0)),""))</f>
        <v/>
      </c>
      <c r="F64" s="25">
        <f>IF(C64="","",IFERROR(INDEX(tbl_Finance[Client],IFERROR(MATCH(C64&amp;"",tbl_Finance[Job Number],0),MATCH(IFERROR(C64+0,C64),tbl_Finance[Job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6" t="n"/>
      <c r="L64" s="27">
        <f>IF(C64="","",IF(K64="",0,MAX(0,K64-H64)))</f>
        <v/>
      </c>
      <c r="M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N64" s="24" t="n"/>
      <c r="O64" s="25">
        <f>IF(N64="","",HYPERLINK(IF(LEFT(N64,4)="http",N64,set_QwilrBase&amp;N64),"Open quote"))</f>
        <v/>
      </c>
      <c r="P64" s="26" t="n"/>
      <c r="Q64" s="26" t="n"/>
      <c r="R64" s="26" t="n"/>
      <c r="S64" s="25">
        <f>IF(C64="","",IF(N(P64)+N(Q64)+N(R64)=0,"Not split",IF(ROUND(N(P64)+N(Q64)+N(R64),2)=ROUND(H64+L64,2),"OK",IF(G64=0,"Not invoiced yet","MISMATCH"))))</f>
        <v/>
      </c>
      <c r="T64" s="26" t="n"/>
      <c r="U64" s="26" t="n"/>
      <c r="V64" s="26" t="n"/>
      <c r="W64" s="27">
        <f>IF(C64="","",N(T64)+N(U64)+N(V64))</f>
        <v/>
      </c>
      <c r="X64" s="27">
        <f>IF(C64="","",H64+L64-W64)</f>
        <v/>
      </c>
      <c r="Y64" s="29">
        <f>IFERROR(X64/(H64+L64),"")</f>
        <v/>
      </c>
      <c r="Z64" s="24" t="n"/>
    </row>
    <row r="65" ht="15" customHeight="1">
      <c r="A65" s="70">
        <f>IF(C65="","",IFERROR(IF(SUMPRODUCT(MAX((tbl_Finance[Job Number]&amp;""=C65&amp;"")*(tbl_Finance[Xero Invoice No]&lt;&gt;"")*tbl_Finance[Date]))=0,"",SUMPRODUCT(MAX((tbl_Finance[Job Number]&amp;""=C65&amp;"")*(tbl_Finance[Xero Invoice No]&lt;&gt;"")*tbl_Finance[Date]))),""))</f>
        <v/>
      </c>
      <c r="B65" s="25">
        <f>IF(C65="","",IF(COUNTIFS(tbl_Finance[Job Number],C65&amp;"",tbl_Finance[Xero Invoice No],"&lt;&gt;")=0,"",IFERROR(IF(COUNTIFS(tbl_Finance[Job Number],C65&amp;"",tbl_Finance[Xero Invoice No],LOOKUP(2,1/((tbl_Finance[Job Number]&amp;""=C65&amp;"")*(tbl_Finance[Xero Invoice No]&lt;&gt;"")),tbl_Finance[Xero Invoice No]))=COUNTIFS(tbl_Finance[Job Number],C65&amp;"",tbl_Finance[Xero Invoice No],"&lt;&gt;"),LOOKUP(2,1/((tbl_Finance[Job Number]&amp;""=C65&amp;"")*(tbl_Finance[Xero Invoice No]&lt;&gt;"")),tbl_Finance[Xero Invoice No]),LOOKUP(2,1/((tbl_Finance[Job Number]&amp;""=C65&amp;"")*(tbl_Finance[Xero Invoice No]&lt;&gt;"")),tbl_Finance[Xero Invoice No])&amp;" +more"),"")))</f>
        <v/>
      </c>
      <c r="C65" s="24" t="n"/>
      <c r="D65" s="25">
        <f>IF(C65="","",IF(COUNTIF(lst_Jobs,C65&amp;"")&gt;0,"OK","CHECK"))</f>
        <v/>
      </c>
      <c r="E65" s="25">
        <f>IF(C65="","",IFERROR(INDEX(lst_JobName,MATCH(C65&amp;"",lst_Jobs,0)),""))</f>
        <v/>
      </c>
      <c r="F65" s="25">
        <f>IF(C65="","",IFERROR(INDEX(tbl_Finance[Client],IFERROR(MATCH(C65&amp;"",tbl_Finance[Job Number],0),MATCH(IFERROR(C65+0,C65),tbl_Finance[Job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6" t="n"/>
      <c r="L65" s="27">
        <f>IF(C65="","",IF(K65="",0,MAX(0,K65-H65)))</f>
        <v/>
      </c>
      <c r="M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N65" s="24" t="n"/>
      <c r="O65" s="25">
        <f>IF(N65="","",HYPERLINK(IF(LEFT(N65,4)="http",N65,set_QwilrBase&amp;N65),"Open quote"))</f>
        <v/>
      </c>
      <c r="P65" s="26" t="n"/>
      <c r="Q65" s="26" t="n"/>
      <c r="R65" s="26" t="n"/>
      <c r="S65" s="25">
        <f>IF(C65="","",IF(N(P65)+N(Q65)+N(R65)=0,"Not split",IF(ROUND(N(P65)+N(Q65)+N(R65),2)=ROUND(H65+L65,2),"OK",IF(G65=0,"Not invoiced yet","MISMATCH"))))</f>
        <v/>
      </c>
      <c r="T65" s="26" t="n"/>
      <c r="U65" s="26" t="n"/>
      <c r="V65" s="26" t="n"/>
      <c r="W65" s="27">
        <f>IF(C65="","",N(T65)+N(U65)+N(V65))</f>
        <v/>
      </c>
      <c r="X65" s="27">
        <f>IF(C65="","",H65+L65-W65)</f>
        <v/>
      </c>
      <c r="Y65" s="29">
        <f>IFERROR(X65/(H65+L65),"")</f>
        <v/>
      </c>
      <c r="Z65" s="24" t="n"/>
    </row>
    <row r="66" ht="15" customHeight="1">
      <c r="A66" s="70">
        <f>IF(C66="","",IFERROR(IF(SUMPRODUCT(MAX((tbl_Finance[Job Number]&amp;""=C66&amp;"")*(tbl_Finance[Xero Invoice No]&lt;&gt;"")*tbl_Finance[Date]))=0,"",SUMPRODUCT(MAX((tbl_Finance[Job Number]&amp;""=C66&amp;"")*(tbl_Finance[Xero Invoice No]&lt;&gt;"")*tbl_Finance[Date]))),""))</f>
        <v/>
      </c>
      <c r="B66" s="25">
        <f>IF(C66="","",IF(COUNTIFS(tbl_Finance[Job Number],C66&amp;"",tbl_Finance[Xero Invoice No],"&lt;&gt;")=0,"",IFERROR(IF(COUNTIFS(tbl_Finance[Job Number],C66&amp;"",tbl_Finance[Xero Invoice No],LOOKUP(2,1/((tbl_Finance[Job Number]&amp;""=C66&amp;"")*(tbl_Finance[Xero Invoice No]&lt;&gt;"")),tbl_Finance[Xero Invoice No]))=COUNTIFS(tbl_Finance[Job Number],C66&amp;"",tbl_Finance[Xero Invoice No],"&lt;&gt;"),LOOKUP(2,1/((tbl_Finance[Job Number]&amp;""=C66&amp;"")*(tbl_Finance[Xero Invoice No]&lt;&gt;"")),tbl_Finance[Xero Invoice No]),LOOKUP(2,1/((tbl_Finance[Job Number]&amp;""=C66&amp;"")*(tbl_Finance[Xero Invoice No]&lt;&gt;"")),tbl_Finance[Xero Invoice No])&amp;" +more"),"")))</f>
        <v/>
      </c>
      <c r="C66" s="24" t="n"/>
      <c r="D66" s="25">
        <f>IF(C66="","",IF(COUNTIF(lst_Jobs,C66&amp;"")&gt;0,"OK","CHECK"))</f>
        <v/>
      </c>
      <c r="E66" s="25">
        <f>IF(C66="","",IFERROR(INDEX(lst_JobName,MATCH(C66&amp;"",lst_Jobs,0)),""))</f>
        <v/>
      </c>
      <c r="F66" s="25">
        <f>IF(C66="","",IFERROR(INDEX(tbl_Finance[Client],IFERROR(MATCH(C66&amp;"",tbl_Finance[Job Number],0),MATCH(IFERROR(C66+0,C66),tbl_Finance[Job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6" t="n"/>
      <c r="L66" s="27">
        <f>IF(C66="","",IF(K66="",0,MAX(0,K66-H66)))</f>
        <v/>
      </c>
      <c r="M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N66" s="24" t="n"/>
      <c r="O66" s="25">
        <f>IF(N66="","",HYPERLINK(IF(LEFT(N66,4)="http",N66,set_QwilrBase&amp;N66),"Open quote"))</f>
        <v/>
      </c>
      <c r="P66" s="26" t="n"/>
      <c r="Q66" s="26" t="n"/>
      <c r="R66" s="26" t="n"/>
      <c r="S66" s="25">
        <f>IF(C66="","",IF(N(P66)+N(Q66)+N(R66)=0,"Not split",IF(ROUND(N(P66)+N(Q66)+N(R66),2)=ROUND(H66+L66,2),"OK",IF(G66=0,"Not invoiced yet","MISMATCH"))))</f>
        <v/>
      </c>
      <c r="T66" s="26" t="n"/>
      <c r="U66" s="26" t="n"/>
      <c r="V66" s="26" t="n"/>
      <c r="W66" s="27">
        <f>IF(C66="","",N(T66)+N(U66)+N(V66))</f>
        <v/>
      </c>
      <c r="X66" s="27">
        <f>IF(C66="","",H66+L66-W66)</f>
        <v/>
      </c>
      <c r="Y66" s="29">
        <f>IFERROR(X66/(H66+L66),"")</f>
        <v/>
      </c>
      <c r="Z66" s="24" t="n"/>
    </row>
    <row r="67" ht="15" customHeight="1">
      <c r="A67" s="70">
        <f>IF(C67="","",IFERROR(IF(SUMPRODUCT(MAX((tbl_Finance[Job Number]&amp;""=C67&amp;"")*(tbl_Finance[Xero Invoice No]&lt;&gt;"")*tbl_Finance[Date]))=0,"",SUMPRODUCT(MAX((tbl_Finance[Job Number]&amp;""=C67&amp;"")*(tbl_Finance[Xero Invoice No]&lt;&gt;"")*tbl_Finance[Date]))),""))</f>
        <v/>
      </c>
      <c r="B67" s="25">
        <f>IF(C67="","",IF(COUNTIFS(tbl_Finance[Job Number],C67&amp;"",tbl_Finance[Xero Invoice No],"&lt;&gt;")=0,"",IFERROR(IF(COUNTIFS(tbl_Finance[Job Number],C67&amp;"",tbl_Finance[Xero Invoice No],LOOKUP(2,1/((tbl_Finance[Job Number]&amp;""=C67&amp;"")*(tbl_Finance[Xero Invoice No]&lt;&gt;"")),tbl_Finance[Xero Invoice No]))=COUNTIFS(tbl_Finance[Job Number],C67&amp;"",tbl_Finance[Xero Invoice No],"&lt;&gt;"),LOOKUP(2,1/((tbl_Finance[Job Number]&amp;""=C67&amp;"")*(tbl_Finance[Xero Invoice No]&lt;&gt;"")),tbl_Finance[Xero Invoice No]),LOOKUP(2,1/((tbl_Finance[Job Number]&amp;""=C67&amp;"")*(tbl_Finance[Xero Invoice No]&lt;&gt;"")),tbl_Finance[Xero Invoice No])&amp;" +more"),"")))</f>
        <v/>
      </c>
      <c r="C67" s="24" t="n"/>
      <c r="D67" s="25">
        <f>IF(C67="","",IF(COUNTIF(lst_Jobs,C67&amp;"")&gt;0,"OK","CHECK"))</f>
        <v/>
      </c>
      <c r="E67" s="25">
        <f>IF(C67="","",IFERROR(INDEX(lst_JobName,MATCH(C67&amp;"",lst_Jobs,0)),""))</f>
        <v/>
      </c>
      <c r="F67" s="25">
        <f>IF(C67="","",IFERROR(INDEX(tbl_Finance[Client],IFERROR(MATCH(C67&amp;"",tbl_Finance[Job Number],0),MATCH(IFERROR(C67+0,C67),tbl_Finance[Job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6" t="n"/>
      <c r="L67" s="27">
        <f>IF(C67="","",IF(K67="",0,MAX(0,K67-H67)))</f>
        <v/>
      </c>
      <c r="M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N67" s="24" t="n"/>
      <c r="O67" s="25">
        <f>IF(N67="","",HYPERLINK(IF(LEFT(N67,4)="http",N67,set_QwilrBase&amp;N67),"Open quote"))</f>
        <v/>
      </c>
      <c r="P67" s="26" t="n"/>
      <c r="Q67" s="26" t="n"/>
      <c r="R67" s="26" t="n"/>
      <c r="S67" s="25">
        <f>IF(C67="","",IF(N(P67)+N(Q67)+N(R67)=0,"Not split",IF(ROUND(N(P67)+N(Q67)+N(R67),2)=ROUND(H67+L67,2),"OK",IF(G67=0,"Not invoiced yet","MISMATCH"))))</f>
        <v/>
      </c>
      <c r="T67" s="26" t="n"/>
      <c r="U67" s="26" t="n"/>
      <c r="V67" s="26" t="n"/>
      <c r="W67" s="27">
        <f>IF(C67="","",N(T67)+N(U67)+N(V67))</f>
        <v/>
      </c>
      <c r="X67" s="27">
        <f>IF(C67="","",H67+L67-W67)</f>
        <v/>
      </c>
      <c r="Y67" s="29">
        <f>IFERROR(X67/(H67+L67),"")</f>
        <v/>
      </c>
      <c r="Z67" s="24" t="n"/>
    </row>
    <row r="68" ht="15" customHeight="1">
      <c r="A68" s="70">
        <f>IF(C68="","",IFERROR(IF(SUMPRODUCT(MAX((tbl_Finance[Job Number]&amp;""=C68&amp;"")*(tbl_Finance[Xero Invoice No]&lt;&gt;"")*tbl_Finance[Date]))=0,"",SUMPRODUCT(MAX((tbl_Finance[Job Number]&amp;""=C68&amp;"")*(tbl_Finance[Xero Invoice No]&lt;&gt;"")*tbl_Finance[Date]))),""))</f>
        <v/>
      </c>
      <c r="B68" s="25">
        <f>IF(C68="","",IF(COUNTIFS(tbl_Finance[Job Number],C68&amp;"",tbl_Finance[Xero Invoice No],"&lt;&gt;")=0,"",IFERROR(IF(COUNTIFS(tbl_Finance[Job Number],C68&amp;"",tbl_Finance[Xero Invoice No],LOOKUP(2,1/((tbl_Finance[Job Number]&amp;""=C68&amp;"")*(tbl_Finance[Xero Invoice No]&lt;&gt;"")),tbl_Finance[Xero Invoice No]))=COUNTIFS(tbl_Finance[Job Number],C68&amp;"",tbl_Finance[Xero Invoice No],"&lt;&gt;"),LOOKUP(2,1/((tbl_Finance[Job Number]&amp;""=C68&amp;"")*(tbl_Finance[Xero Invoice No]&lt;&gt;"")),tbl_Finance[Xero Invoice No]),LOOKUP(2,1/((tbl_Finance[Job Number]&amp;""=C68&amp;"")*(tbl_Finance[Xero Invoice No]&lt;&gt;"")),tbl_Finance[Xero Invoice No])&amp;" +more"),"")))</f>
        <v/>
      </c>
      <c r="C68" s="24" t="n"/>
      <c r="D68" s="25">
        <f>IF(C68="","",IF(COUNTIF(lst_Jobs,C68&amp;"")&gt;0,"OK","CHECK"))</f>
        <v/>
      </c>
      <c r="E68" s="25">
        <f>IF(C68="","",IFERROR(INDEX(lst_JobName,MATCH(C68&amp;"",lst_Jobs,0)),""))</f>
        <v/>
      </c>
      <c r="F68" s="25">
        <f>IF(C68="","",IFERROR(INDEX(tbl_Finance[Client],IFERROR(MATCH(C68&amp;"",tbl_Finance[Job Number],0),MATCH(IFERROR(C68+0,C68),tbl_Finance[Job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6" t="n"/>
      <c r="L68" s="27">
        <f>IF(C68="","",IF(K68="",0,MAX(0,K68-H68)))</f>
        <v/>
      </c>
      <c r="M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N68" s="24" t="n"/>
      <c r="O68" s="25">
        <f>IF(N68="","",HYPERLINK(IF(LEFT(N68,4)="http",N68,set_QwilrBase&amp;N68),"Open quote"))</f>
        <v/>
      </c>
      <c r="P68" s="26" t="n"/>
      <c r="Q68" s="26" t="n"/>
      <c r="R68" s="26" t="n"/>
      <c r="S68" s="25">
        <f>IF(C68="","",IF(N(P68)+N(Q68)+N(R68)=0,"Not split",IF(ROUND(N(P68)+N(Q68)+N(R68),2)=ROUND(H68+L68,2),"OK",IF(G68=0,"Not invoiced yet","MISMATCH"))))</f>
        <v/>
      </c>
      <c r="T68" s="26" t="n"/>
      <c r="U68" s="26" t="n"/>
      <c r="V68" s="26" t="n"/>
      <c r="W68" s="27">
        <f>IF(C68="","",N(T68)+N(U68)+N(V68))</f>
        <v/>
      </c>
      <c r="X68" s="27">
        <f>IF(C68="","",H68+L68-W68)</f>
        <v/>
      </c>
      <c r="Y68" s="29">
        <f>IFERROR(X68/(H68+L68),"")</f>
        <v/>
      </c>
      <c r="Z68" s="24" t="n"/>
    </row>
    <row r="69" ht="15" customHeight="1">
      <c r="A69" s="70">
        <f>IF(C69="","",IFERROR(IF(SUMPRODUCT(MAX((tbl_Finance[Job Number]&amp;""=C69&amp;"")*(tbl_Finance[Xero Invoice No]&lt;&gt;"")*tbl_Finance[Date]))=0,"",SUMPRODUCT(MAX((tbl_Finance[Job Number]&amp;""=C69&amp;"")*(tbl_Finance[Xero Invoice No]&lt;&gt;"")*tbl_Finance[Date]))),""))</f>
        <v/>
      </c>
      <c r="B69" s="25">
        <f>IF(C69="","",IF(COUNTIFS(tbl_Finance[Job Number],C69&amp;"",tbl_Finance[Xero Invoice No],"&lt;&gt;")=0,"",IFERROR(IF(COUNTIFS(tbl_Finance[Job Number],C69&amp;"",tbl_Finance[Xero Invoice No],LOOKUP(2,1/((tbl_Finance[Job Number]&amp;""=C69&amp;"")*(tbl_Finance[Xero Invoice No]&lt;&gt;"")),tbl_Finance[Xero Invoice No]))=COUNTIFS(tbl_Finance[Job Number],C69&amp;"",tbl_Finance[Xero Invoice No],"&lt;&gt;"),LOOKUP(2,1/((tbl_Finance[Job Number]&amp;""=C69&amp;"")*(tbl_Finance[Xero Invoice No]&lt;&gt;"")),tbl_Finance[Xero Invoice No]),LOOKUP(2,1/((tbl_Finance[Job Number]&amp;""=C69&amp;"")*(tbl_Finance[Xero Invoice No]&lt;&gt;"")),tbl_Finance[Xero Invoice No])&amp;" +more"),"")))</f>
        <v/>
      </c>
      <c r="C69" s="24" t="n"/>
      <c r="D69" s="25">
        <f>IF(C69="","",IF(COUNTIF(lst_Jobs,C69&amp;"")&gt;0,"OK","CHECK"))</f>
        <v/>
      </c>
      <c r="E69" s="25">
        <f>IF(C69="","",IFERROR(INDEX(lst_JobName,MATCH(C69&amp;"",lst_Jobs,0)),""))</f>
        <v/>
      </c>
      <c r="F69" s="25">
        <f>IF(C69="","",IFERROR(INDEX(tbl_Finance[Client],IFERROR(MATCH(C69&amp;"",tbl_Finance[Job Number],0),MATCH(IFERROR(C69+0,C69),tbl_Finance[Job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6" t="n"/>
      <c r="L69" s="27">
        <f>IF(C69="","",IF(K69="",0,MAX(0,K69-H69)))</f>
        <v/>
      </c>
      <c r="M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N69" s="24" t="n"/>
      <c r="O69" s="25">
        <f>IF(N69="","",HYPERLINK(IF(LEFT(N69,4)="http",N69,set_QwilrBase&amp;N69),"Open quote"))</f>
        <v/>
      </c>
      <c r="P69" s="26" t="n"/>
      <c r="Q69" s="26" t="n"/>
      <c r="R69" s="26" t="n"/>
      <c r="S69" s="25">
        <f>IF(C69="","",IF(N(P69)+N(Q69)+N(R69)=0,"Not split",IF(ROUND(N(P69)+N(Q69)+N(R69),2)=ROUND(H69+L69,2),"OK",IF(G69=0,"Not invoiced yet","MISMATCH"))))</f>
        <v/>
      </c>
      <c r="T69" s="26" t="n"/>
      <c r="U69" s="26" t="n"/>
      <c r="V69" s="26" t="n"/>
      <c r="W69" s="27">
        <f>IF(C69="","",N(T69)+N(U69)+N(V69))</f>
        <v/>
      </c>
      <c r="X69" s="27">
        <f>IF(C69="","",H69+L69-W69)</f>
        <v/>
      </c>
      <c r="Y69" s="29">
        <f>IFERROR(X69/(H69+L69),"")</f>
        <v/>
      </c>
      <c r="Z69" s="24" t="n"/>
    </row>
    <row r="70" ht="15" customHeight="1">
      <c r="A70" s="70">
        <f>IF(C70="","",IFERROR(IF(SUMPRODUCT(MAX((tbl_Finance[Job Number]&amp;""=C70&amp;"")*(tbl_Finance[Xero Invoice No]&lt;&gt;"")*tbl_Finance[Date]))=0,"",SUMPRODUCT(MAX((tbl_Finance[Job Number]&amp;""=C70&amp;"")*(tbl_Finance[Xero Invoice No]&lt;&gt;"")*tbl_Finance[Date]))),""))</f>
        <v/>
      </c>
      <c r="B70" s="25">
        <f>IF(C70="","",IF(COUNTIFS(tbl_Finance[Job Number],C70&amp;"",tbl_Finance[Xero Invoice No],"&lt;&gt;")=0,"",IFERROR(IF(COUNTIFS(tbl_Finance[Job Number],C70&amp;"",tbl_Finance[Xero Invoice No],LOOKUP(2,1/((tbl_Finance[Job Number]&amp;""=C70&amp;"")*(tbl_Finance[Xero Invoice No]&lt;&gt;"")),tbl_Finance[Xero Invoice No]))=COUNTIFS(tbl_Finance[Job Number],C70&amp;"",tbl_Finance[Xero Invoice No],"&lt;&gt;"),LOOKUP(2,1/((tbl_Finance[Job Number]&amp;""=C70&amp;"")*(tbl_Finance[Xero Invoice No]&lt;&gt;"")),tbl_Finance[Xero Invoice No]),LOOKUP(2,1/((tbl_Finance[Job Number]&amp;""=C70&amp;"")*(tbl_Finance[Xero Invoice No]&lt;&gt;"")),tbl_Finance[Xero Invoice No])&amp;" +more"),"")))</f>
        <v/>
      </c>
      <c r="C70" s="24" t="n"/>
      <c r="D70" s="25">
        <f>IF(C70="","",IF(COUNTIF(lst_Jobs,C70&amp;"")&gt;0,"OK","CHECK"))</f>
        <v/>
      </c>
      <c r="E70" s="25">
        <f>IF(C70="","",IFERROR(INDEX(lst_JobName,MATCH(C70&amp;"",lst_Jobs,0)),""))</f>
        <v/>
      </c>
      <c r="F70" s="25">
        <f>IF(C70="","",IFERROR(INDEX(tbl_Finance[Client],IFERROR(MATCH(C70&amp;"",tbl_Finance[Job Number],0),MATCH(IFERROR(C70+0,C70),tbl_Finance[Job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6" t="n"/>
      <c r="L70" s="27">
        <f>IF(C70="","",IF(K70="",0,MAX(0,K70-H70)))</f>
        <v/>
      </c>
      <c r="M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N70" s="24" t="n"/>
      <c r="O70" s="25">
        <f>IF(N70="","",HYPERLINK(IF(LEFT(N70,4)="http",N70,set_QwilrBase&amp;N70),"Open quote"))</f>
        <v/>
      </c>
      <c r="P70" s="26" t="n"/>
      <c r="Q70" s="26" t="n"/>
      <c r="R70" s="26" t="n"/>
      <c r="S70" s="25">
        <f>IF(C70="","",IF(N(P70)+N(Q70)+N(R70)=0,"Not split",IF(ROUND(N(P70)+N(Q70)+N(R70),2)=ROUND(H70+L70,2),"OK",IF(G70=0,"Not invoiced yet","MISMATCH"))))</f>
        <v/>
      </c>
      <c r="T70" s="26" t="n"/>
      <c r="U70" s="26" t="n"/>
      <c r="V70" s="26" t="n"/>
      <c r="W70" s="27">
        <f>IF(C70="","",N(T70)+N(U70)+N(V70))</f>
        <v/>
      </c>
      <c r="X70" s="27">
        <f>IF(C70="","",H70+L70-W70)</f>
        <v/>
      </c>
      <c r="Y70" s="29">
        <f>IFERROR(X70/(H70+L70),"")</f>
        <v/>
      </c>
      <c r="Z70" s="24" t="n"/>
    </row>
    <row r="71" ht="15" customHeight="1">
      <c r="A71" s="70">
        <f>IF(C71="","",IFERROR(IF(SUMPRODUCT(MAX((tbl_Finance[Job Number]&amp;""=C71&amp;"")*(tbl_Finance[Xero Invoice No]&lt;&gt;"")*tbl_Finance[Date]))=0,"",SUMPRODUCT(MAX((tbl_Finance[Job Number]&amp;""=C71&amp;"")*(tbl_Finance[Xero Invoice No]&lt;&gt;"")*tbl_Finance[Date]))),""))</f>
        <v/>
      </c>
      <c r="B71" s="25">
        <f>IF(C71="","",IF(COUNTIFS(tbl_Finance[Job Number],C71&amp;"",tbl_Finance[Xero Invoice No],"&lt;&gt;")=0,"",IFERROR(IF(COUNTIFS(tbl_Finance[Job Number],C71&amp;"",tbl_Finance[Xero Invoice No],LOOKUP(2,1/((tbl_Finance[Job Number]&amp;""=C71&amp;"")*(tbl_Finance[Xero Invoice No]&lt;&gt;"")),tbl_Finance[Xero Invoice No]))=COUNTIFS(tbl_Finance[Job Number],C71&amp;"",tbl_Finance[Xero Invoice No],"&lt;&gt;"),LOOKUP(2,1/((tbl_Finance[Job Number]&amp;""=C71&amp;"")*(tbl_Finance[Xero Invoice No]&lt;&gt;"")),tbl_Finance[Xero Invoice No]),LOOKUP(2,1/((tbl_Finance[Job Number]&amp;""=C71&amp;"")*(tbl_Finance[Xero Invoice No]&lt;&gt;"")),tbl_Finance[Xero Invoice No])&amp;" +more"),"")))</f>
        <v/>
      </c>
      <c r="C71" s="24" t="n"/>
      <c r="D71" s="25">
        <f>IF(C71="","",IF(COUNTIF(lst_Jobs,C71&amp;"")&gt;0,"OK","CHECK"))</f>
        <v/>
      </c>
      <c r="E71" s="25">
        <f>IF(C71="","",IFERROR(INDEX(lst_JobName,MATCH(C71&amp;"",lst_Jobs,0)),""))</f>
        <v/>
      </c>
      <c r="F71" s="25">
        <f>IF(C71="","",IFERROR(INDEX(tbl_Finance[Client],IFERROR(MATCH(C71&amp;"",tbl_Finance[Job Number],0),MATCH(IFERROR(C71+0,C71),tbl_Finance[Job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6" t="n"/>
      <c r="L71" s="27">
        <f>IF(C71="","",IF(K71="",0,MAX(0,K71-H71)))</f>
        <v/>
      </c>
      <c r="M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N71" s="24" t="n"/>
      <c r="O71" s="25">
        <f>IF(N71="","",HYPERLINK(IF(LEFT(N71,4)="http",N71,set_QwilrBase&amp;N71),"Open quote"))</f>
        <v/>
      </c>
      <c r="P71" s="26" t="n"/>
      <c r="Q71" s="26" t="n"/>
      <c r="R71" s="26" t="n"/>
      <c r="S71" s="25">
        <f>IF(C71="","",IF(N(P71)+N(Q71)+N(R71)=0,"Not split",IF(ROUND(N(P71)+N(Q71)+N(R71),2)=ROUND(H71+L71,2),"OK",IF(G71=0,"Not invoiced yet","MISMATCH"))))</f>
        <v/>
      </c>
      <c r="T71" s="26" t="n"/>
      <c r="U71" s="26" t="n"/>
      <c r="V71" s="26" t="n"/>
      <c r="W71" s="27">
        <f>IF(C71="","",N(T71)+N(U71)+N(V71))</f>
        <v/>
      </c>
      <c r="X71" s="27">
        <f>IF(C71="","",H71+L71-W71)</f>
        <v/>
      </c>
      <c r="Y71" s="29">
        <f>IFERROR(X71/(H71+L71),"")</f>
        <v/>
      </c>
      <c r="Z71" s="24" t="n"/>
    </row>
    <row r="72" ht="15" customHeight="1">
      <c r="A72" s="70">
        <f>IF(C72="","",IFERROR(IF(SUMPRODUCT(MAX((tbl_Finance[Job Number]&amp;""=C72&amp;"")*(tbl_Finance[Xero Invoice No]&lt;&gt;"")*tbl_Finance[Date]))=0,"",SUMPRODUCT(MAX((tbl_Finance[Job Number]&amp;""=C72&amp;"")*(tbl_Finance[Xero Invoice No]&lt;&gt;"")*tbl_Finance[Date]))),""))</f>
        <v/>
      </c>
      <c r="B72" s="25">
        <f>IF(C72="","",IF(COUNTIFS(tbl_Finance[Job Number],C72&amp;"",tbl_Finance[Xero Invoice No],"&lt;&gt;")=0,"",IFERROR(IF(COUNTIFS(tbl_Finance[Job Number],C72&amp;"",tbl_Finance[Xero Invoice No],LOOKUP(2,1/((tbl_Finance[Job Number]&amp;""=C72&amp;"")*(tbl_Finance[Xero Invoice No]&lt;&gt;"")),tbl_Finance[Xero Invoice No]))=COUNTIFS(tbl_Finance[Job Number],C72&amp;"",tbl_Finance[Xero Invoice No],"&lt;&gt;"),LOOKUP(2,1/((tbl_Finance[Job Number]&amp;""=C72&amp;"")*(tbl_Finance[Xero Invoice No]&lt;&gt;"")),tbl_Finance[Xero Invoice No]),LOOKUP(2,1/((tbl_Finance[Job Number]&amp;""=C72&amp;"")*(tbl_Finance[Xero Invoice No]&lt;&gt;"")),tbl_Finance[Xero Invoice No])&amp;" +more"),"")))</f>
        <v/>
      </c>
      <c r="C72" s="24" t="n"/>
      <c r="D72" s="25">
        <f>IF(C72="","",IF(COUNTIF(lst_Jobs,C72&amp;"")&gt;0,"OK","CHECK"))</f>
        <v/>
      </c>
      <c r="E72" s="25">
        <f>IF(C72="","",IFERROR(INDEX(lst_JobName,MATCH(C72&amp;"",lst_Jobs,0)),""))</f>
        <v/>
      </c>
      <c r="F72" s="25">
        <f>IF(C72="","",IFERROR(INDEX(tbl_Finance[Client],IFERROR(MATCH(C72&amp;"",tbl_Finance[Job Number],0),MATCH(IFERROR(C72+0,C72),tbl_Finance[Job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6" t="n"/>
      <c r="L72" s="27">
        <f>IF(C72="","",IF(K72="",0,MAX(0,K72-H72)))</f>
        <v/>
      </c>
      <c r="M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N72" s="24" t="n"/>
      <c r="O72" s="25">
        <f>IF(N72="","",HYPERLINK(IF(LEFT(N72,4)="http",N72,set_QwilrBase&amp;N72),"Open quote"))</f>
        <v/>
      </c>
      <c r="P72" s="26" t="n"/>
      <c r="Q72" s="26" t="n"/>
      <c r="R72" s="26" t="n"/>
      <c r="S72" s="25">
        <f>IF(C72="","",IF(N(P72)+N(Q72)+N(R72)=0,"Not split",IF(ROUND(N(P72)+N(Q72)+N(R72),2)=ROUND(H72+L72,2),"OK",IF(G72=0,"Not invoiced yet","MISMATCH"))))</f>
        <v/>
      </c>
      <c r="T72" s="26" t="n"/>
      <c r="U72" s="26" t="n"/>
      <c r="V72" s="26" t="n"/>
      <c r="W72" s="27">
        <f>IF(C72="","",N(T72)+N(U72)+N(V72))</f>
        <v/>
      </c>
      <c r="X72" s="27">
        <f>IF(C72="","",H72+L72-W72)</f>
        <v/>
      </c>
      <c r="Y72" s="29">
        <f>IFERROR(X72/(H72+L72),"")</f>
        <v/>
      </c>
      <c r="Z72" s="24" t="n"/>
    </row>
    <row r="73" ht="15" customHeight="1">
      <c r="A73" s="70">
        <f>IF(C73="","",IFERROR(IF(SUMPRODUCT(MAX((tbl_Finance[Job Number]&amp;""=C73&amp;"")*(tbl_Finance[Xero Invoice No]&lt;&gt;"")*tbl_Finance[Date]))=0,"",SUMPRODUCT(MAX((tbl_Finance[Job Number]&amp;""=C73&amp;"")*(tbl_Finance[Xero Invoice No]&lt;&gt;"")*tbl_Finance[Date]))),""))</f>
        <v/>
      </c>
      <c r="B73" s="25">
        <f>IF(C73="","",IF(COUNTIFS(tbl_Finance[Job Number],C73&amp;"",tbl_Finance[Xero Invoice No],"&lt;&gt;")=0,"",IFERROR(IF(COUNTIFS(tbl_Finance[Job Number],C73&amp;"",tbl_Finance[Xero Invoice No],LOOKUP(2,1/((tbl_Finance[Job Number]&amp;""=C73&amp;"")*(tbl_Finance[Xero Invoice No]&lt;&gt;"")),tbl_Finance[Xero Invoice No]))=COUNTIFS(tbl_Finance[Job Number],C73&amp;"",tbl_Finance[Xero Invoice No],"&lt;&gt;"),LOOKUP(2,1/((tbl_Finance[Job Number]&amp;""=C73&amp;"")*(tbl_Finance[Xero Invoice No]&lt;&gt;"")),tbl_Finance[Xero Invoice No]),LOOKUP(2,1/((tbl_Finance[Job Number]&amp;""=C73&amp;"")*(tbl_Finance[Xero Invoice No]&lt;&gt;"")),tbl_Finance[Xero Invoice No])&amp;" +more"),"")))</f>
        <v/>
      </c>
      <c r="C73" s="24" t="n"/>
      <c r="D73" s="25">
        <f>IF(C73="","",IF(COUNTIF(lst_Jobs,C73&amp;"")&gt;0,"OK","CHECK"))</f>
        <v/>
      </c>
      <c r="E73" s="25">
        <f>IF(C73="","",IFERROR(INDEX(lst_JobName,MATCH(C73&amp;"",lst_Jobs,0)),""))</f>
        <v/>
      </c>
      <c r="F73" s="25">
        <f>IF(C73="","",IFERROR(INDEX(tbl_Finance[Client],IFERROR(MATCH(C73&amp;"",tbl_Finance[Job Number],0),MATCH(IFERROR(C73+0,C73),tbl_Finance[Job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6" t="n"/>
      <c r="L73" s="27">
        <f>IF(C73="","",IF(K73="",0,MAX(0,K73-H73)))</f>
        <v/>
      </c>
      <c r="M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N73" s="24" t="n"/>
      <c r="O73" s="25">
        <f>IF(N73="","",HYPERLINK(IF(LEFT(N73,4)="http",N73,set_QwilrBase&amp;N73),"Open quote"))</f>
        <v/>
      </c>
      <c r="P73" s="26" t="n"/>
      <c r="Q73" s="26" t="n"/>
      <c r="R73" s="26" t="n"/>
      <c r="S73" s="25">
        <f>IF(C73="","",IF(N(P73)+N(Q73)+N(R73)=0,"Not split",IF(ROUND(N(P73)+N(Q73)+N(R73),2)=ROUND(H73+L73,2),"OK",IF(G73=0,"Not invoiced yet","MISMATCH"))))</f>
        <v/>
      </c>
      <c r="T73" s="26" t="n"/>
      <c r="U73" s="26" t="n"/>
      <c r="V73" s="26" t="n"/>
      <c r="W73" s="27">
        <f>IF(C73="","",N(T73)+N(U73)+N(V73))</f>
        <v/>
      </c>
      <c r="X73" s="27">
        <f>IF(C73="","",H73+L73-W73)</f>
        <v/>
      </c>
      <c r="Y73" s="29">
        <f>IFERROR(X73/(H73+L73),"")</f>
        <v/>
      </c>
      <c r="Z73" s="24" t="n"/>
    </row>
    <row r="74" ht="15" customHeight="1">
      <c r="A74" s="70">
        <f>IF(C74="","",IFERROR(IF(SUMPRODUCT(MAX((tbl_Finance[Job Number]&amp;""=C74&amp;"")*(tbl_Finance[Xero Invoice No]&lt;&gt;"")*tbl_Finance[Date]))=0,"",SUMPRODUCT(MAX((tbl_Finance[Job Number]&amp;""=C74&amp;"")*(tbl_Finance[Xero Invoice No]&lt;&gt;"")*tbl_Finance[Date]))),""))</f>
        <v/>
      </c>
      <c r="B74" s="25">
        <f>IF(C74="","",IF(COUNTIFS(tbl_Finance[Job Number],C74&amp;"",tbl_Finance[Xero Invoice No],"&lt;&gt;")=0,"",IFERROR(IF(COUNTIFS(tbl_Finance[Job Number],C74&amp;"",tbl_Finance[Xero Invoice No],LOOKUP(2,1/((tbl_Finance[Job Number]&amp;""=C74&amp;"")*(tbl_Finance[Xero Invoice No]&lt;&gt;"")),tbl_Finance[Xero Invoice No]))=COUNTIFS(tbl_Finance[Job Number],C74&amp;"",tbl_Finance[Xero Invoice No],"&lt;&gt;"),LOOKUP(2,1/((tbl_Finance[Job Number]&amp;""=C74&amp;"")*(tbl_Finance[Xero Invoice No]&lt;&gt;"")),tbl_Finance[Xero Invoice No]),LOOKUP(2,1/((tbl_Finance[Job Number]&amp;""=C74&amp;"")*(tbl_Finance[Xero Invoice No]&lt;&gt;"")),tbl_Finance[Xero Invoice No])&amp;" +more"),"")))</f>
        <v/>
      </c>
      <c r="C74" s="24" t="n"/>
      <c r="D74" s="25">
        <f>IF(C74="","",IF(COUNTIF(lst_Jobs,C74&amp;"")&gt;0,"OK","CHECK"))</f>
        <v/>
      </c>
      <c r="E74" s="25">
        <f>IF(C74="","",IFERROR(INDEX(lst_JobName,MATCH(C74&amp;"",lst_Jobs,0)),""))</f>
        <v/>
      </c>
      <c r="F74" s="25">
        <f>IF(C74="","",IFERROR(INDEX(tbl_Finance[Client],IFERROR(MATCH(C74&amp;"",tbl_Finance[Job Number],0),MATCH(IFERROR(C74+0,C74),tbl_Finance[Job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6" t="n"/>
      <c r="L74" s="27">
        <f>IF(C74="","",IF(K74="",0,MAX(0,K74-H74)))</f>
        <v/>
      </c>
      <c r="M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N74" s="24" t="n"/>
      <c r="O74" s="25">
        <f>IF(N74="","",HYPERLINK(IF(LEFT(N74,4)="http",N74,set_QwilrBase&amp;N74),"Open quote"))</f>
        <v/>
      </c>
      <c r="P74" s="26" t="n"/>
      <c r="Q74" s="26" t="n"/>
      <c r="R74" s="26" t="n"/>
      <c r="S74" s="25">
        <f>IF(C74="","",IF(N(P74)+N(Q74)+N(R74)=0,"Not split",IF(ROUND(N(P74)+N(Q74)+N(R74),2)=ROUND(H74+L74,2),"OK",IF(G74=0,"Not invoiced yet","MISMATCH"))))</f>
        <v/>
      </c>
      <c r="T74" s="26" t="n"/>
      <c r="U74" s="26" t="n"/>
      <c r="V74" s="26" t="n"/>
      <c r="W74" s="27">
        <f>IF(C74="","",N(T74)+N(U74)+N(V74))</f>
        <v/>
      </c>
      <c r="X74" s="27">
        <f>IF(C74="","",H74+L74-W74)</f>
        <v/>
      </c>
      <c r="Y74" s="29">
        <f>IFERROR(X74/(H74+L74),"")</f>
        <v/>
      </c>
      <c r="Z74" s="24" t="n"/>
    </row>
    <row r="75" ht="15" customHeight="1">
      <c r="A75" s="70">
        <f>IF(C75="","",IFERROR(IF(SUMPRODUCT(MAX((tbl_Finance[Job Number]&amp;""=C75&amp;"")*(tbl_Finance[Xero Invoice No]&lt;&gt;"")*tbl_Finance[Date]))=0,"",SUMPRODUCT(MAX((tbl_Finance[Job Number]&amp;""=C75&amp;"")*(tbl_Finance[Xero Invoice No]&lt;&gt;"")*tbl_Finance[Date]))),""))</f>
        <v/>
      </c>
      <c r="B75" s="25">
        <f>IF(C75="","",IF(COUNTIFS(tbl_Finance[Job Number],C75&amp;"",tbl_Finance[Xero Invoice No],"&lt;&gt;")=0,"",IFERROR(IF(COUNTIFS(tbl_Finance[Job Number],C75&amp;"",tbl_Finance[Xero Invoice No],LOOKUP(2,1/((tbl_Finance[Job Number]&amp;""=C75&amp;"")*(tbl_Finance[Xero Invoice No]&lt;&gt;"")),tbl_Finance[Xero Invoice No]))=COUNTIFS(tbl_Finance[Job Number],C75&amp;"",tbl_Finance[Xero Invoice No],"&lt;&gt;"),LOOKUP(2,1/((tbl_Finance[Job Number]&amp;""=C75&amp;"")*(tbl_Finance[Xero Invoice No]&lt;&gt;"")),tbl_Finance[Xero Invoice No]),LOOKUP(2,1/((tbl_Finance[Job Number]&amp;""=C75&amp;"")*(tbl_Finance[Xero Invoice No]&lt;&gt;"")),tbl_Finance[Xero Invoice No])&amp;" +more"),"")))</f>
        <v/>
      </c>
      <c r="C75" s="24" t="n"/>
      <c r="D75" s="25">
        <f>IF(C75="","",IF(COUNTIF(lst_Jobs,C75&amp;"")&gt;0,"OK","CHECK"))</f>
        <v/>
      </c>
      <c r="E75" s="25">
        <f>IF(C75="","",IFERROR(INDEX(lst_JobName,MATCH(C75&amp;"",lst_Jobs,0)),""))</f>
        <v/>
      </c>
      <c r="F75" s="25">
        <f>IF(C75="","",IFERROR(INDEX(tbl_Finance[Client],IFERROR(MATCH(C75&amp;"",tbl_Finance[Job Number],0),MATCH(IFERROR(C75+0,C75),tbl_Finance[Job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6" t="n"/>
      <c r="L75" s="27">
        <f>IF(C75="","",IF(K75="",0,MAX(0,K75-H75)))</f>
        <v/>
      </c>
      <c r="M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N75" s="24" t="n"/>
      <c r="O75" s="25">
        <f>IF(N75="","",HYPERLINK(IF(LEFT(N75,4)="http",N75,set_QwilrBase&amp;N75),"Open quote"))</f>
        <v/>
      </c>
      <c r="P75" s="26" t="n"/>
      <c r="Q75" s="26" t="n"/>
      <c r="R75" s="26" t="n"/>
      <c r="S75" s="25">
        <f>IF(C75="","",IF(N(P75)+N(Q75)+N(R75)=0,"Not split",IF(ROUND(N(P75)+N(Q75)+N(R75),2)=ROUND(H75+L75,2),"OK",IF(G75=0,"Not invoiced yet","MISMATCH"))))</f>
        <v/>
      </c>
      <c r="T75" s="26" t="n"/>
      <c r="U75" s="26" t="n"/>
      <c r="V75" s="26" t="n"/>
      <c r="W75" s="27">
        <f>IF(C75="","",N(T75)+N(U75)+N(V75))</f>
        <v/>
      </c>
      <c r="X75" s="27">
        <f>IF(C75="","",H75+L75-W75)</f>
        <v/>
      </c>
      <c r="Y75" s="29">
        <f>IFERROR(X75/(H75+L75),"")</f>
        <v/>
      </c>
      <c r="Z75" s="24" t="n"/>
    </row>
    <row r="76" ht="15" customHeight="1">
      <c r="A76" s="70">
        <f>IF(C76="","",IFERROR(IF(SUMPRODUCT(MAX((tbl_Finance[Job Number]&amp;""=C76&amp;"")*(tbl_Finance[Xero Invoice No]&lt;&gt;"")*tbl_Finance[Date]))=0,"",SUMPRODUCT(MAX((tbl_Finance[Job Number]&amp;""=C76&amp;"")*(tbl_Finance[Xero Invoice No]&lt;&gt;"")*tbl_Finance[Date]))),""))</f>
        <v/>
      </c>
      <c r="B76" s="25">
        <f>IF(C76="","",IF(COUNTIFS(tbl_Finance[Job Number],C76&amp;"",tbl_Finance[Xero Invoice No],"&lt;&gt;")=0,"",IFERROR(IF(COUNTIFS(tbl_Finance[Job Number],C76&amp;"",tbl_Finance[Xero Invoice No],LOOKUP(2,1/((tbl_Finance[Job Number]&amp;""=C76&amp;"")*(tbl_Finance[Xero Invoice No]&lt;&gt;"")),tbl_Finance[Xero Invoice No]))=COUNTIFS(tbl_Finance[Job Number],C76&amp;"",tbl_Finance[Xero Invoice No],"&lt;&gt;"),LOOKUP(2,1/((tbl_Finance[Job Number]&amp;""=C76&amp;"")*(tbl_Finance[Xero Invoice No]&lt;&gt;"")),tbl_Finance[Xero Invoice No]),LOOKUP(2,1/((tbl_Finance[Job Number]&amp;""=C76&amp;"")*(tbl_Finance[Xero Invoice No]&lt;&gt;"")),tbl_Finance[Xero Invoice No])&amp;" +more"),"")))</f>
        <v/>
      </c>
      <c r="C76" s="24" t="n"/>
      <c r="D76" s="25">
        <f>IF(C76="","",IF(COUNTIF(lst_Jobs,C76&amp;"")&gt;0,"OK","CHECK"))</f>
        <v/>
      </c>
      <c r="E76" s="25">
        <f>IF(C76="","",IFERROR(INDEX(lst_JobName,MATCH(C76&amp;"",lst_Jobs,0)),""))</f>
        <v/>
      </c>
      <c r="F76" s="25">
        <f>IF(C76="","",IFERROR(INDEX(tbl_Finance[Client],IFERROR(MATCH(C76&amp;"",tbl_Finance[Job Number],0),MATCH(IFERROR(C76+0,C76),tbl_Finance[Job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6" t="n"/>
      <c r="L76" s="27">
        <f>IF(C76="","",IF(K76="",0,MAX(0,K76-H76)))</f>
        <v/>
      </c>
      <c r="M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N76" s="24" t="n"/>
      <c r="O76" s="25">
        <f>IF(N76="","",HYPERLINK(IF(LEFT(N76,4)="http",N76,set_QwilrBase&amp;N76),"Open quote"))</f>
        <v/>
      </c>
      <c r="P76" s="26" t="n"/>
      <c r="Q76" s="26" t="n"/>
      <c r="R76" s="26" t="n"/>
      <c r="S76" s="25">
        <f>IF(C76="","",IF(N(P76)+N(Q76)+N(R76)=0,"Not split",IF(ROUND(N(P76)+N(Q76)+N(R76),2)=ROUND(H76+L76,2),"OK",IF(G76=0,"Not invoiced yet","MISMATCH"))))</f>
        <v/>
      </c>
      <c r="T76" s="26" t="n"/>
      <c r="U76" s="26" t="n"/>
      <c r="V76" s="26" t="n"/>
      <c r="W76" s="27">
        <f>IF(C76="","",N(T76)+N(U76)+N(V76))</f>
        <v/>
      </c>
      <c r="X76" s="27">
        <f>IF(C76="","",H76+L76-W76)</f>
        <v/>
      </c>
      <c r="Y76" s="29">
        <f>IFERROR(X76/(H76+L76),"")</f>
        <v/>
      </c>
      <c r="Z76" s="24" t="n"/>
    </row>
    <row r="77" ht="15" customHeight="1">
      <c r="A77" s="70">
        <f>IF(C77="","",IFERROR(IF(SUMPRODUCT(MAX((tbl_Finance[Job Number]&amp;""=C77&amp;"")*(tbl_Finance[Xero Invoice No]&lt;&gt;"")*tbl_Finance[Date]))=0,"",SUMPRODUCT(MAX((tbl_Finance[Job Number]&amp;""=C77&amp;"")*(tbl_Finance[Xero Invoice No]&lt;&gt;"")*tbl_Finance[Date]))),""))</f>
        <v/>
      </c>
      <c r="B77" s="25">
        <f>IF(C77="","",IF(COUNTIFS(tbl_Finance[Job Number],C77&amp;"",tbl_Finance[Xero Invoice No],"&lt;&gt;")=0,"",IFERROR(IF(COUNTIFS(tbl_Finance[Job Number],C77&amp;"",tbl_Finance[Xero Invoice No],LOOKUP(2,1/((tbl_Finance[Job Number]&amp;""=C77&amp;"")*(tbl_Finance[Xero Invoice No]&lt;&gt;"")),tbl_Finance[Xero Invoice No]))=COUNTIFS(tbl_Finance[Job Number],C77&amp;"",tbl_Finance[Xero Invoice No],"&lt;&gt;"),LOOKUP(2,1/((tbl_Finance[Job Number]&amp;""=C77&amp;"")*(tbl_Finance[Xero Invoice No]&lt;&gt;"")),tbl_Finance[Xero Invoice No]),LOOKUP(2,1/((tbl_Finance[Job Number]&amp;""=C77&amp;"")*(tbl_Finance[Xero Invoice No]&lt;&gt;"")),tbl_Finance[Xero Invoice No])&amp;" +more"),"")))</f>
        <v/>
      </c>
      <c r="C77" s="24" t="n"/>
      <c r="D77" s="25">
        <f>IF(C77="","",IF(COUNTIF(lst_Jobs,C77&amp;"")&gt;0,"OK","CHECK"))</f>
        <v/>
      </c>
      <c r="E77" s="25">
        <f>IF(C77="","",IFERROR(INDEX(lst_JobName,MATCH(C77&amp;"",lst_Jobs,0)),""))</f>
        <v/>
      </c>
      <c r="F77" s="25">
        <f>IF(C77="","",IFERROR(INDEX(tbl_Finance[Client],IFERROR(MATCH(C77&amp;"",tbl_Finance[Job Number],0),MATCH(IFERROR(C77+0,C77),tbl_Finance[Job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6" t="n"/>
      <c r="L77" s="27">
        <f>IF(C77="","",IF(K77="",0,MAX(0,K77-H77)))</f>
        <v/>
      </c>
      <c r="M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N77" s="24" t="n"/>
      <c r="O77" s="25">
        <f>IF(N77="","",HYPERLINK(IF(LEFT(N77,4)="http",N77,set_QwilrBase&amp;N77),"Open quote"))</f>
        <v/>
      </c>
      <c r="P77" s="26" t="n"/>
      <c r="Q77" s="26" t="n"/>
      <c r="R77" s="26" t="n"/>
      <c r="S77" s="25">
        <f>IF(C77="","",IF(N(P77)+N(Q77)+N(R77)=0,"Not split",IF(ROUND(N(P77)+N(Q77)+N(R77),2)=ROUND(H77+L77,2),"OK",IF(G77=0,"Not invoiced yet","MISMATCH"))))</f>
        <v/>
      </c>
      <c r="T77" s="26" t="n"/>
      <c r="U77" s="26" t="n"/>
      <c r="V77" s="26" t="n"/>
      <c r="W77" s="27">
        <f>IF(C77="","",N(T77)+N(U77)+N(V77))</f>
        <v/>
      </c>
      <c r="X77" s="27">
        <f>IF(C77="","",H77+L77-W77)</f>
        <v/>
      </c>
      <c r="Y77" s="29">
        <f>IFERROR(X77/(H77+L77),"")</f>
        <v/>
      </c>
      <c r="Z77" s="24" t="n"/>
    </row>
    <row r="78" ht="15" customHeight="1">
      <c r="A78" s="70">
        <f>IF(C78="","",IFERROR(IF(SUMPRODUCT(MAX((tbl_Finance[Job Number]&amp;""=C78&amp;"")*(tbl_Finance[Xero Invoice No]&lt;&gt;"")*tbl_Finance[Date]))=0,"",SUMPRODUCT(MAX((tbl_Finance[Job Number]&amp;""=C78&amp;"")*(tbl_Finance[Xero Invoice No]&lt;&gt;"")*tbl_Finance[Date]))),""))</f>
        <v/>
      </c>
      <c r="B78" s="25">
        <f>IF(C78="","",IF(COUNTIFS(tbl_Finance[Job Number],C78&amp;"",tbl_Finance[Xero Invoice No],"&lt;&gt;")=0,"",IFERROR(IF(COUNTIFS(tbl_Finance[Job Number],C78&amp;"",tbl_Finance[Xero Invoice No],LOOKUP(2,1/((tbl_Finance[Job Number]&amp;""=C78&amp;"")*(tbl_Finance[Xero Invoice No]&lt;&gt;"")),tbl_Finance[Xero Invoice No]))=COUNTIFS(tbl_Finance[Job Number],C78&amp;"",tbl_Finance[Xero Invoice No],"&lt;&gt;"),LOOKUP(2,1/((tbl_Finance[Job Number]&amp;""=C78&amp;"")*(tbl_Finance[Xero Invoice No]&lt;&gt;"")),tbl_Finance[Xero Invoice No]),LOOKUP(2,1/((tbl_Finance[Job Number]&amp;""=C78&amp;"")*(tbl_Finance[Xero Invoice No]&lt;&gt;"")),tbl_Finance[Xero Invoice No])&amp;" +more"),"")))</f>
        <v/>
      </c>
      <c r="C78" s="24" t="n"/>
      <c r="D78" s="25">
        <f>IF(C78="","",IF(COUNTIF(lst_Jobs,C78&amp;"")&gt;0,"OK","CHECK"))</f>
        <v/>
      </c>
      <c r="E78" s="25">
        <f>IF(C78="","",IFERROR(INDEX(lst_JobName,MATCH(C78&amp;"",lst_Jobs,0)),""))</f>
        <v/>
      </c>
      <c r="F78" s="25">
        <f>IF(C78="","",IFERROR(INDEX(tbl_Finance[Client],IFERROR(MATCH(C78&amp;"",tbl_Finance[Job Number],0),MATCH(IFERROR(C78+0,C78),tbl_Finance[Job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6" t="n"/>
      <c r="L78" s="27">
        <f>IF(C78="","",IF(K78="",0,MAX(0,K78-H78)))</f>
        <v/>
      </c>
      <c r="M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N78" s="24" t="n"/>
      <c r="O78" s="25">
        <f>IF(N78="","",HYPERLINK(IF(LEFT(N78,4)="http",N78,set_QwilrBase&amp;N78),"Open quote"))</f>
        <v/>
      </c>
      <c r="P78" s="26" t="n"/>
      <c r="Q78" s="26" t="n"/>
      <c r="R78" s="26" t="n"/>
      <c r="S78" s="25">
        <f>IF(C78="","",IF(N(P78)+N(Q78)+N(R78)=0,"Not split",IF(ROUND(N(P78)+N(Q78)+N(R78),2)=ROUND(H78+L78,2),"OK",IF(G78=0,"Not invoiced yet","MISMATCH"))))</f>
        <v/>
      </c>
      <c r="T78" s="26" t="n"/>
      <c r="U78" s="26" t="n"/>
      <c r="V78" s="26" t="n"/>
      <c r="W78" s="27">
        <f>IF(C78="","",N(T78)+N(U78)+N(V78))</f>
        <v/>
      </c>
      <c r="X78" s="27">
        <f>IF(C78="","",H78+L78-W78)</f>
        <v/>
      </c>
      <c r="Y78" s="29">
        <f>IFERROR(X78/(H78+L78),"")</f>
        <v/>
      </c>
      <c r="Z78" s="24" t="n"/>
    </row>
    <row r="79" ht="15" customHeight="1">
      <c r="A79" s="70">
        <f>IF(C79="","",IFERROR(IF(SUMPRODUCT(MAX((tbl_Finance[Job Number]&amp;""=C79&amp;"")*(tbl_Finance[Xero Invoice No]&lt;&gt;"")*tbl_Finance[Date]))=0,"",SUMPRODUCT(MAX((tbl_Finance[Job Number]&amp;""=C79&amp;"")*(tbl_Finance[Xero Invoice No]&lt;&gt;"")*tbl_Finance[Date]))),""))</f>
        <v/>
      </c>
      <c r="B79" s="25">
        <f>IF(C79="","",IF(COUNTIFS(tbl_Finance[Job Number],C79&amp;"",tbl_Finance[Xero Invoice No],"&lt;&gt;")=0,"",IFERROR(IF(COUNTIFS(tbl_Finance[Job Number],C79&amp;"",tbl_Finance[Xero Invoice No],LOOKUP(2,1/((tbl_Finance[Job Number]&amp;""=C79&amp;"")*(tbl_Finance[Xero Invoice No]&lt;&gt;"")),tbl_Finance[Xero Invoice No]))=COUNTIFS(tbl_Finance[Job Number],C79&amp;"",tbl_Finance[Xero Invoice No],"&lt;&gt;"),LOOKUP(2,1/((tbl_Finance[Job Number]&amp;""=C79&amp;"")*(tbl_Finance[Xero Invoice No]&lt;&gt;"")),tbl_Finance[Xero Invoice No]),LOOKUP(2,1/((tbl_Finance[Job Number]&amp;""=C79&amp;"")*(tbl_Finance[Xero Invoice No]&lt;&gt;"")),tbl_Finance[Xero Invoice No])&amp;" +more"),"")))</f>
        <v/>
      </c>
      <c r="C79" s="24" t="n"/>
      <c r="D79" s="25">
        <f>IF(C79="","",IF(COUNTIF(lst_Jobs,C79&amp;"")&gt;0,"OK","CHECK"))</f>
        <v/>
      </c>
      <c r="E79" s="25">
        <f>IF(C79="","",IFERROR(INDEX(lst_JobName,MATCH(C79&amp;"",lst_Jobs,0)),""))</f>
        <v/>
      </c>
      <c r="F79" s="25">
        <f>IF(C79="","",IFERROR(INDEX(tbl_Finance[Client],IFERROR(MATCH(C79&amp;"",tbl_Finance[Job Number],0),MATCH(IFERROR(C79+0,C79),tbl_Finance[Job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6" t="n"/>
      <c r="L79" s="27">
        <f>IF(C79="","",IF(K79="",0,MAX(0,K79-H79)))</f>
        <v/>
      </c>
      <c r="M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N79" s="24" t="n"/>
      <c r="O79" s="25">
        <f>IF(N79="","",HYPERLINK(IF(LEFT(N79,4)="http",N79,set_QwilrBase&amp;N79),"Open quote"))</f>
        <v/>
      </c>
      <c r="P79" s="26" t="n"/>
      <c r="Q79" s="26" t="n"/>
      <c r="R79" s="26" t="n"/>
      <c r="S79" s="25">
        <f>IF(C79="","",IF(N(P79)+N(Q79)+N(R79)=0,"Not split",IF(ROUND(N(P79)+N(Q79)+N(R79),2)=ROUND(H79+L79,2),"OK",IF(G79=0,"Not invoiced yet","MISMATCH"))))</f>
        <v/>
      </c>
      <c r="T79" s="26" t="n"/>
      <c r="U79" s="26" t="n"/>
      <c r="V79" s="26" t="n"/>
      <c r="W79" s="27">
        <f>IF(C79="","",N(T79)+N(U79)+N(V79))</f>
        <v/>
      </c>
      <c r="X79" s="27">
        <f>IF(C79="","",H79+L79-W79)</f>
        <v/>
      </c>
      <c r="Y79" s="29">
        <f>IFERROR(X79/(H79+L79),"")</f>
        <v/>
      </c>
      <c r="Z79" s="24" t="n"/>
    </row>
    <row r="80" ht="15" customHeight="1">
      <c r="A80" s="70">
        <f>IF(C80="","",IFERROR(IF(SUMPRODUCT(MAX((tbl_Finance[Job Number]&amp;""=C80&amp;"")*(tbl_Finance[Xero Invoice No]&lt;&gt;"")*tbl_Finance[Date]))=0,"",SUMPRODUCT(MAX((tbl_Finance[Job Number]&amp;""=C80&amp;"")*(tbl_Finance[Xero Invoice No]&lt;&gt;"")*tbl_Finance[Date]))),""))</f>
        <v/>
      </c>
      <c r="B80" s="25">
        <f>IF(C80="","",IF(COUNTIFS(tbl_Finance[Job Number],C80&amp;"",tbl_Finance[Xero Invoice No],"&lt;&gt;")=0,"",IFERROR(IF(COUNTIFS(tbl_Finance[Job Number],C80&amp;"",tbl_Finance[Xero Invoice No],LOOKUP(2,1/((tbl_Finance[Job Number]&amp;""=C80&amp;"")*(tbl_Finance[Xero Invoice No]&lt;&gt;"")),tbl_Finance[Xero Invoice No]))=COUNTIFS(tbl_Finance[Job Number],C80&amp;"",tbl_Finance[Xero Invoice No],"&lt;&gt;"),LOOKUP(2,1/((tbl_Finance[Job Number]&amp;""=C80&amp;"")*(tbl_Finance[Xero Invoice No]&lt;&gt;"")),tbl_Finance[Xero Invoice No]),LOOKUP(2,1/((tbl_Finance[Job Number]&amp;""=C80&amp;"")*(tbl_Finance[Xero Invoice No]&lt;&gt;"")),tbl_Finance[Xero Invoice No])&amp;" +more"),"")))</f>
        <v/>
      </c>
      <c r="C80" s="24" t="n"/>
      <c r="D80" s="25">
        <f>IF(C80="","",IF(COUNTIF(lst_Jobs,C80&amp;"")&gt;0,"OK","CHECK"))</f>
        <v/>
      </c>
      <c r="E80" s="25">
        <f>IF(C80="","",IFERROR(INDEX(lst_JobName,MATCH(C80&amp;"",lst_Jobs,0)),""))</f>
        <v/>
      </c>
      <c r="F80" s="25">
        <f>IF(C80="","",IFERROR(INDEX(tbl_Finance[Client],IFERROR(MATCH(C80&amp;"",tbl_Finance[Job Number],0),MATCH(IFERROR(C80+0,C80),tbl_Finance[Job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6" t="n"/>
      <c r="L80" s="27">
        <f>IF(C80="","",IF(K80="",0,MAX(0,K80-H80)))</f>
        <v/>
      </c>
      <c r="M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N80" s="24" t="n"/>
      <c r="O80" s="25">
        <f>IF(N80="","",HYPERLINK(IF(LEFT(N80,4)="http",N80,set_QwilrBase&amp;N80),"Open quote"))</f>
        <v/>
      </c>
      <c r="P80" s="26" t="n"/>
      <c r="Q80" s="26" t="n"/>
      <c r="R80" s="26" t="n"/>
      <c r="S80" s="25">
        <f>IF(C80="","",IF(N(P80)+N(Q80)+N(R80)=0,"Not split",IF(ROUND(N(P80)+N(Q80)+N(R80),2)=ROUND(H80+L80,2),"OK",IF(G80=0,"Not invoiced yet","MISMATCH"))))</f>
        <v/>
      </c>
      <c r="T80" s="26" t="n"/>
      <c r="U80" s="26" t="n"/>
      <c r="V80" s="26" t="n"/>
      <c r="W80" s="27">
        <f>IF(C80="","",N(T80)+N(U80)+N(V80))</f>
        <v/>
      </c>
      <c r="X80" s="27">
        <f>IF(C80="","",H80+L80-W80)</f>
        <v/>
      </c>
      <c r="Y80" s="29">
        <f>IFERROR(X80/(H80+L80),"")</f>
        <v/>
      </c>
      <c r="Z80" s="24" t="n"/>
    </row>
    <row r="81" ht="15" customHeight="1">
      <c r="A81" s="70">
        <f>IF(C81="","",IFERROR(IF(SUMPRODUCT(MAX((tbl_Finance[Job Number]&amp;""=C81&amp;"")*(tbl_Finance[Xero Invoice No]&lt;&gt;"")*tbl_Finance[Date]))=0,"",SUMPRODUCT(MAX((tbl_Finance[Job Number]&amp;""=C81&amp;"")*(tbl_Finance[Xero Invoice No]&lt;&gt;"")*tbl_Finance[Date]))),""))</f>
        <v/>
      </c>
      <c r="B81" s="25">
        <f>IF(C81="","",IF(COUNTIFS(tbl_Finance[Job Number],C81&amp;"",tbl_Finance[Xero Invoice No],"&lt;&gt;")=0,"",IFERROR(IF(COUNTIFS(tbl_Finance[Job Number],C81&amp;"",tbl_Finance[Xero Invoice No],LOOKUP(2,1/((tbl_Finance[Job Number]&amp;""=C81&amp;"")*(tbl_Finance[Xero Invoice No]&lt;&gt;"")),tbl_Finance[Xero Invoice No]))=COUNTIFS(tbl_Finance[Job Number],C81&amp;"",tbl_Finance[Xero Invoice No],"&lt;&gt;"),LOOKUP(2,1/((tbl_Finance[Job Number]&amp;""=C81&amp;"")*(tbl_Finance[Xero Invoice No]&lt;&gt;"")),tbl_Finance[Xero Invoice No]),LOOKUP(2,1/((tbl_Finance[Job Number]&amp;""=C81&amp;"")*(tbl_Finance[Xero Invoice No]&lt;&gt;"")),tbl_Finance[Xero Invoice No])&amp;" +more"),"")))</f>
        <v/>
      </c>
      <c r="C81" s="24" t="n"/>
      <c r="D81" s="25">
        <f>IF(C81="","",IF(COUNTIF(lst_Jobs,C81&amp;"")&gt;0,"OK","CHECK"))</f>
        <v/>
      </c>
      <c r="E81" s="25">
        <f>IF(C81="","",IFERROR(INDEX(lst_JobName,MATCH(C81&amp;"",lst_Jobs,0)),""))</f>
        <v/>
      </c>
      <c r="F81" s="25">
        <f>IF(C81="","",IFERROR(INDEX(tbl_Finance[Client],IFERROR(MATCH(C81&amp;"",tbl_Finance[Job Number],0),MATCH(IFERROR(C81+0,C81),tbl_Finance[Job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6" t="n"/>
      <c r="L81" s="27">
        <f>IF(C81="","",IF(K81="",0,MAX(0,K81-H81)))</f>
        <v/>
      </c>
      <c r="M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N81" s="24" t="n"/>
      <c r="O81" s="25">
        <f>IF(N81="","",HYPERLINK(IF(LEFT(N81,4)="http",N81,set_QwilrBase&amp;N81),"Open quote"))</f>
        <v/>
      </c>
      <c r="P81" s="26" t="n"/>
      <c r="Q81" s="26" t="n"/>
      <c r="R81" s="26" t="n"/>
      <c r="S81" s="25">
        <f>IF(C81="","",IF(N(P81)+N(Q81)+N(R81)=0,"Not split",IF(ROUND(N(P81)+N(Q81)+N(R81),2)=ROUND(H81+L81,2),"OK",IF(G81=0,"Not invoiced yet","MISMATCH"))))</f>
        <v/>
      </c>
      <c r="T81" s="26" t="n"/>
      <c r="U81" s="26" t="n"/>
      <c r="V81" s="26" t="n"/>
      <c r="W81" s="27">
        <f>IF(C81="","",N(T81)+N(U81)+N(V81))</f>
        <v/>
      </c>
      <c r="X81" s="27">
        <f>IF(C81="","",H81+L81-W81)</f>
        <v/>
      </c>
      <c r="Y81" s="29">
        <f>IFERROR(X81/(H81+L81),"")</f>
        <v/>
      </c>
      <c r="Z81" s="24" t="n"/>
    </row>
    <row r="82" ht="15" customHeight="1">
      <c r="A82" s="70">
        <f>IF(C82="","",IFERROR(IF(SUMPRODUCT(MAX((tbl_Finance[Job Number]&amp;""=C82&amp;"")*(tbl_Finance[Xero Invoice No]&lt;&gt;"")*tbl_Finance[Date]))=0,"",SUMPRODUCT(MAX((tbl_Finance[Job Number]&amp;""=C82&amp;"")*(tbl_Finance[Xero Invoice No]&lt;&gt;"")*tbl_Finance[Date]))),""))</f>
        <v/>
      </c>
      <c r="B82" s="25">
        <f>IF(C82="","",IF(COUNTIFS(tbl_Finance[Job Number],C82&amp;"",tbl_Finance[Xero Invoice No],"&lt;&gt;")=0,"",IFERROR(IF(COUNTIFS(tbl_Finance[Job Number],C82&amp;"",tbl_Finance[Xero Invoice No],LOOKUP(2,1/((tbl_Finance[Job Number]&amp;""=C82&amp;"")*(tbl_Finance[Xero Invoice No]&lt;&gt;"")),tbl_Finance[Xero Invoice No]))=COUNTIFS(tbl_Finance[Job Number],C82&amp;"",tbl_Finance[Xero Invoice No],"&lt;&gt;"),LOOKUP(2,1/((tbl_Finance[Job Number]&amp;""=C82&amp;"")*(tbl_Finance[Xero Invoice No]&lt;&gt;"")),tbl_Finance[Xero Invoice No]),LOOKUP(2,1/((tbl_Finance[Job Number]&amp;""=C82&amp;"")*(tbl_Finance[Xero Invoice No]&lt;&gt;"")),tbl_Finance[Xero Invoice No])&amp;" +more"),"")))</f>
        <v/>
      </c>
      <c r="C82" s="24" t="n"/>
      <c r="D82" s="25">
        <f>IF(C82="","",IF(COUNTIF(lst_Jobs,C82&amp;"")&gt;0,"OK","CHECK"))</f>
        <v/>
      </c>
      <c r="E82" s="25">
        <f>IF(C82="","",IFERROR(INDEX(lst_JobName,MATCH(C82&amp;"",lst_Jobs,0)),""))</f>
        <v/>
      </c>
      <c r="F82" s="25">
        <f>IF(C82="","",IFERROR(INDEX(tbl_Finance[Client],IFERROR(MATCH(C82&amp;"",tbl_Finance[Job Number],0),MATCH(IFERROR(C82+0,C82),tbl_Finance[Job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6" t="n"/>
      <c r="L82" s="27">
        <f>IF(C82="","",IF(K82="",0,MAX(0,K82-H82)))</f>
        <v/>
      </c>
      <c r="M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N82" s="24" t="n"/>
      <c r="O82" s="25">
        <f>IF(N82="","",HYPERLINK(IF(LEFT(N82,4)="http",N82,set_QwilrBase&amp;N82),"Open quote"))</f>
        <v/>
      </c>
      <c r="P82" s="26" t="n"/>
      <c r="Q82" s="26" t="n"/>
      <c r="R82" s="26" t="n"/>
      <c r="S82" s="25">
        <f>IF(C82="","",IF(N(P82)+N(Q82)+N(R82)=0,"Not split",IF(ROUND(N(P82)+N(Q82)+N(R82),2)=ROUND(H82+L82,2),"OK",IF(G82=0,"Not invoiced yet","MISMATCH"))))</f>
        <v/>
      </c>
      <c r="T82" s="26" t="n"/>
      <c r="U82" s="26" t="n"/>
      <c r="V82" s="26" t="n"/>
      <c r="W82" s="27">
        <f>IF(C82="","",N(T82)+N(U82)+N(V82))</f>
        <v/>
      </c>
      <c r="X82" s="27">
        <f>IF(C82="","",H82+L82-W82)</f>
        <v/>
      </c>
      <c r="Y82" s="29">
        <f>IFERROR(X82/(H82+L82),"")</f>
        <v/>
      </c>
      <c r="Z82" s="24" t="n"/>
    </row>
    <row r="83" ht="15" customHeight="1">
      <c r="A83" s="70">
        <f>IF(C83="","",IFERROR(IF(SUMPRODUCT(MAX((tbl_Finance[Job Number]&amp;""=C83&amp;"")*(tbl_Finance[Xero Invoice No]&lt;&gt;"")*tbl_Finance[Date]))=0,"",SUMPRODUCT(MAX((tbl_Finance[Job Number]&amp;""=C83&amp;"")*(tbl_Finance[Xero Invoice No]&lt;&gt;"")*tbl_Finance[Date]))),""))</f>
        <v/>
      </c>
      <c r="B83" s="25">
        <f>IF(C83="","",IF(COUNTIFS(tbl_Finance[Job Number],C83&amp;"",tbl_Finance[Xero Invoice No],"&lt;&gt;")=0,"",IFERROR(IF(COUNTIFS(tbl_Finance[Job Number],C83&amp;"",tbl_Finance[Xero Invoice No],LOOKUP(2,1/((tbl_Finance[Job Number]&amp;""=C83&amp;"")*(tbl_Finance[Xero Invoice No]&lt;&gt;"")),tbl_Finance[Xero Invoice No]))=COUNTIFS(tbl_Finance[Job Number],C83&amp;"",tbl_Finance[Xero Invoice No],"&lt;&gt;"),LOOKUP(2,1/((tbl_Finance[Job Number]&amp;""=C83&amp;"")*(tbl_Finance[Xero Invoice No]&lt;&gt;"")),tbl_Finance[Xero Invoice No]),LOOKUP(2,1/((tbl_Finance[Job Number]&amp;""=C83&amp;"")*(tbl_Finance[Xero Invoice No]&lt;&gt;"")),tbl_Finance[Xero Invoice No])&amp;" +more"),"")))</f>
        <v/>
      </c>
      <c r="C83" s="24" t="n"/>
      <c r="D83" s="25">
        <f>IF(C83="","",IF(COUNTIF(lst_Jobs,C83&amp;"")&gt;0,"OK","CHECK"))</f>
        <v/>
      </c>
      <c r="E83" s="25">
        <f>IF(C83="","",IFERROR(INDEX(lst_JobName,MATCH(C83&amp;"",lst_Jobs,0)),""))</f>
        <v/>
      </c>
      <c r="F83" s="25">
        <f>IF(C83="","",IFERROR(INDEX(tbl_Finance[Client],IFERROR(MATCH(C83&amp;"",tbl_Finance[Job Number],0),MATCH(IFERROR(C83+0,C83),tbl_Finance[Job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6" t="n"/>
      <c r="L83" s="27">
        <f>IF(C83="","",IF(K83="",0,MAX(0,K83-H83)))</f>
        <v/>
      </c>
      <c r="M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N83" s="24" t="n"/>
      <c r="O83" s="25">
        <f>IF(N83="","",HYPERLINK(IF(LEFT(N83,4)="http",N83,set_QwilrBase&amp;N83),"Open quote"))</f>
        <v/>
      </c>
      <c r="P83" s="26" t="n"/>
      <c r="Q83" s="26" t="n"/>
      <c r="R83" s="26" t="n"/>
      <c r="S83" s="25">
        <f>IF(C83="","",IF(N(P83)+N(Q83)+N(R83)=0,"Not split",IF(ROUND(N(P83)+N(Q83)+N(R83),2)=ROUND(H83+L83,2),"OK",IF(G83=0,"Not invoiced yet","MISMATCH"))))</f>
        <v/>
      </c>
      <c r="T83" s="26" t="n"/>
      <c r="U83" s="26" t="n"/>
      <c r="V83" s="26" t="n"/>
      <c r="W83" s="27">
        <f>IF(C83="","",N(T83)+N(U83)+N(V83))</f>
        <v/>
      </c>
      <c r="X83" s="27">
        <f>IF(C83="","",H83+L83-W83)</f>
        <v/>
      </c>
      <c r="Y83" s="29">
        <f>IFERROR(X83/(H83+L83),"")</f>
        <v/>
      </c>
      <c r="Z83" s="24" t="n"/>
    </row>
    <row r="84" ht="15" customHeight="1">
      <c r="A84" s="70">
        <f>IF(C84="","",IFERROR(IF(SUMPRODUCT(MAX((tbl_Finance[Job Number]&amp;""=C84&amp;"")*(tbl_Finance[Xero Invoice No]&lt;&gt;"")*tbl_Finance[Date]))=0,"",SUMPRODUCT(MAX((tbl_Finance[Job Number]&amp;""=C84&amp;"")*(tbl_Finance[Xero Invoice No]&lt;&gt;"")*tbl_Finance[Date]))),""))</f>
        <v/>
      </c>
      <c r="B84" s="25">
        <f>IF(C84="","",IF(COUNTIFS(tbl_Finance[Job Number],C84&amp;"",tbl_Finance[Xero Invoice No],"&lt;&gt;")=0,"",IFERROR(IF(COUNTIFS(tbl_Finance[Job Number],C84&amp;"",tbl_Finance[Xero Invoice No],LOOKUP(2,1/((tbl_Finance[Job Number]&amp;""=C84&amp;"")*(tbl_Finance[Xero Invoice No]&lt;&gt;"")),tbl_Finance[Xero Invoice No]))=COUNTIFS(tbl_Finance[Job Number],C84&amp;"",tbl_Finance[Xero Invoice No],"&lt;&gt;"),LOOKUP(2,1/((tbl_Finance[Job Number]&amp;""=C84&amp;"")*(tbl_Finance[Xero Invoice No]&lt;&gt;"")),tbl_Finance[Xero Invoice No]),LOOKUP(2,1/((tbl_Finance[Job Number]&amp;""=C84&amp;"")*(tbl_Finance[Xero Invoice No]&lt;&gt;"")),tbl_Finance[Xero Invoice No])&amp;" +more"),"")))</f>
        <v/>
      </c>
      <c r="C84" s="24" t="n"/>
      <c r="D84" s="25">
        <f>IF(C84="","",IF(COUNTIF(lst_Jobs,C84&amp;"")&gt;0,"OK","CHECK"))</f>
        <v/>
      </c>
      <c r="E84" s="25">
        <f>IF(C84="","",IFERROR(INDEX(lst_JobName,MATCH(C84&amp;"",lst_Jobs,0)),""))</f>
        <v/>
      </c>
      <c r="F84" s="25">
        <f>IF(C84="","",IFERROR(INDEX(tbl_Finance[Client],IFERROR(MATCH(C84&amp;"",tbl_Finance[Job Number],0),MATCH(IFERROR(C84+0,C84),tbl_Finance[Job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6" t="n"/>
      <c r="L84" s="27">
        <f>IF(C84="","",IF(K84="",0,MAX(0,K84-H84)))</f>
        <v/>
      </c>
      <c r="M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N84" s="24" t="n"/>
      <c r="O84" s="25">
        <f>IF(N84="","",HYPERLINK(IF(LEFT(N84,4)="http",N84,set_QwilrBase&amp;N84),"Open quote"))</f>
        <v/>
      </c>
      <c r="P84" s="26" t="n"/>
      <c r="Q84" s="26" t="n"/>
      <c r="R84" s="26" t="n"/>
      <c r="S84" s="25">
        <f>IF(C84="","",IF(N(P84)+N(Q84)+N(R84)=0,"Not split",IF(ROUND(N(P84)+N(Q84)+N(R84),2)=ROUND(H84+L84,2),"OK",IF(G84=0,"Not invoiced yet","MISMATCH"))))</f>
        <v/>
      </c>
      <c r="T84" s="26" t="n"/>
      <c r="U84" s="26" t="n"/>
      <c r="V84" s="26" t="n"/>
      <c r="W84" s="27">
        <f>IF(C84="","",N(T84)+N(U84)+N(V84))</f>
        <v/>
      </c>
      <c r="X84" s="27">
        <f>IF(C84="","",H84+L84-W84)</f>
        <v/>
      </c>
      <c r="Y84" s="29">
        <f>IFERROR(X84/(H84+L84),"")</f>
        <v/>
      </c>
      <c r="Z84" s="24" t="n"/>
    </row>
    <row r="85" ht="15" customHeight="1">
      <c r="A85" s="70">
        <f>IF(C85="","",IFERROR(IF(SUMPRODUCT(MAX((tbl_Finance[Job Number]&amp;""=C85&amp;"")*(tbl_Finance[Xero Invoice No]&lt;&gt;"")*tbl_Finance[Date]))=0,"",SUMPRODUCT(MAX((tbl_Finance[Job Number]&amp;""=C85&amp;"")*(tbl_Finance[Xero Invoice No]&lt;&gt;"")*tbl_Finance[Date]))),""))</f>
        <v/>
      </c>
      <c r="B85" s="25">
        <f>IF(C85="","",IF(COUNTIFS(tbl_Finance[Job Number],C85&amp;"",tbl_Finance[Xero Invoice No],"&lt;&gt;")=0,"",IFERROR(IF(COUNTIFS(tbl_Finance[Job Number],C85&amp;"",tbl_Finance[Xero Invoice No],LOOKUP(2,1/((tbl_Finance[Job Number]&amp;""=C85&amp;"")*(tbl_Finance[Xero Invoice No]&lt;&gt;"")),tbl_Finance[Xero Invoice No]))=COUNTIFS(tbl_Finance[Job Number],C85&amp;"",tbl_Finance[Xero Invoice No],"&lt;&gt;"),LOOKUP(2,1/((tbl_Finance[Job Number]&amp;""=C85&amp;"")*(tbl_Finance[Xero Invoice No]&lt;&gt;"")),tbl_Finance[Xero Invoice No]),LOOKUP(2,1/((tbl_Finance[Job Number]&amp;""=C85&amp;"")*(tbl_Finance[Xero Invoice No]&lt;&gt;"")),tbl_Finance[Xero Invoice No])&amp;" +more"),"")))</f>
        <v/>
      </c>
      <c r="C85" s="24" t="n"/>
      <c r="D85" s="25">
        <f>IF(C85="","",IF(COUNTIF(lst_Jobs,C85&amp;"")&gt;0,"OK","CHECK"))</f>
        <v/>
      </c>
      <c r="E85" s="25">
        <f>IF(C85="","",IFERROR(INDEX(lst_JobName,MATCH(C85&amp;"",lst_Jobs,0)),""))</f>
        <v/>
      </c>
      <c r="F85" s="25">
        <f>IF(C85="","",IFERROR(INDEX(tbl_Finance[Client],IFERROR(MATCH(C85&amp;"",tbl_Finance[Job Number],0),MATCH(IFERROR(C85+0,C85),tbl_Finance[Job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6" t="n"/>
      <c r="L85" s="27">
        <f>IF(C85="","",IF(K85="",0,MAX(0,K85-H85)))</f>
        <v/>
      </c>
      <c r="M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N85" s="24" t="n"/>
      <c r="O85" s="25">
        <f>IF(N85="","",HYPERLINK(IF(LEFT(N85,4)="http",N85,set_QwilrBase&amp;N85),"Open quote"))</f>
        <v/>
      </c>
      <c r="P85" s="26" t="n"/>
      <c r="Q85" s="26" t="n"/>
      <c r="R85" s="26" t="n"/>
      <c r="S85" s="25">
        <f>IF(C85="","",IF(N(P85)+N(Q85)+N(R85)=0,"Not split",IF(ROUND(N(P85)+N(Q85)+N(R85),2)=ROUND(H85+L85,2),"OK",IF(G85=0,"Not invoiced yet","MISMATCH"))))</f>
        <v/>
      </c>
      <c r="T85" s="26" t="n"/>
      <c r="U85" s="26" t="n"/>
      <c r="V85" s="26" t="n"/>
      <c r="W85" s="27">
        <f>IF(C85="","",N(T85)+N(U85)+N(V85))</f>
        <v/>
      </c>
      <c r="X85" s="27">
        <f>IF(C85="","",H85+L85-W85)</f>
        <v/>
      </c>
      <c r="Y85" s="29">
        <f>IFERROR(X85/(H85+L85),"")</f>
        <v/>
      </c>
      <c r="Z85" s="24" t="n"/>
    </row>
    <row r="86" ht="15" customHeight="1">
      <c r="A86" s="70">
        <f>IF(C86="","",IFERROR(IF(SUMPRODUCT(MAX((tbl_Finance[Job Number]&amp;""=C86&amp;"")*(tbl_Finance[Xero Invoice No]&lt;&gt;"")*tbl_Finance[Date]))=0,"",SUMPRODUCT(MAX((tbl_Finance[Job Number]&amp;""=C86&amp;"")*(tbl_Finance[Xero Invoice No]&lt;&gt;"")*tbl_Finance[Date]))),""))</f>
        <v/>
      </c>
      <c r="B86" s="25">
        <f>IF(C86="","",IF(COUNTIFS(tbl_Finance[Job Number],C86&amp;"",tbl_Finance[Xero Invoice No],"&lt;&gt;")=0,"",IFERROR(IF(COUNTIFS(tbl_Finance[Job Number],C86&amp;"",tbl_Finance[Xero Invoice No],LOOKUP(2,1/((tbl_Finance[Job Number]&amp;""=C86&amp;"")*(tbl_Finance[Xero Invoice No]&lt;&gt;"")),tbl_Finance[Xero Invoice No]))=COUNTIFS(tbl_Finance[Job Number],C86&amp;"",tbl_Finance[Xero Invoice No],"&lt;&gt;"),LOOKUP(2,1/((tbl_Finance[Job Number]&amp;""=C86&amp;"")*(tbl_Finance[Xero Invoice No]&lt;&gt;"")),tbl_Finance[Xero Invoice No]),LOOKUP(2,1/((tbl_Finance[Job Number]&amp;""=C86&amp;"")*(tbl_Finance[Xero Invoice No]&lt;&gt;"")),tbl_Finance[Xero Invoice No])&amp;" +more"),"")))</f>
        <v/>
      </c>
      <c r="C86" s="24" t="n"/>
      <c r="D86" s="25">
        <f>IF(C86="","",IF(COUNTIF(lst_Jobs,C86&amp;"")&gt;0,"OK","CHECK"))</f>
        <v/>
      </c>
      <c r="E86" s="25">
        <f>IF(C86="","",IFERROR(INDEX(lst_JobName,MATCH(C86&amp;"",lst_Jobs,0)),""))</f>
        <v/>
      </c>
      <c r="F86" s="25">
        <f>IF(C86="","",IFERROR(INDEX(tbl_Finance[Client],IFERROR(MATCH(C86&amp;"",tbl_Finance[Job Number],0),MATCH(IFERROR(C86+0,C86),tbl_Finance[Job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6" t="n"/>
      <c r="L86" s="27">
        <f>IF(C86="","",IF(K86="",0,MAX(0,K86-H86)))</f>
        <v/>
      </c>
      <c r="M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N86" s="24" t="n"/>
      <c r="O86" s="25">
        <f>IF(N86="","",HYPERLINK(IF(LEFT(N86,4)="http",N86,set_QwilrBase&amp;N86),"Open quote"))</f>
        <v/>
      </c>
      <c r="P86" s="26" t="n"/>
      <c r="Q86" s="26" t="n"/>
      <c r="R86" s="26" t="n"/>
      <c r="S86" s="25">
        <f>IF(C86="","",IF(N(P86)+N(Q86)+N(R86)=0,"Not split",IF(ROUND(N(P86)+N(Q86)+N(R86),2)=ROUND(H86+L86,2),"OK",IF(G86=0,"Not invoiced yet","MISMATCH"))))</f>
        <v/>
      </c>
      <c r="T86" s="26" t="n"/>
      <c r="U86" s="26" t="n"/>
      <c r="V86" s="26" t="n"/>
      <c r="W86" s="27">
        <f>IF(C86="","",N(T86)+N(U86)+N(V86))</f>
        <v/>
      </c>
      <c r="X86" s="27">
        <f>IF(C86="","",H86+L86-W86)</f>
        <v/>
      </c>
      <c r="Y86" s="29">
        <f>IFERROR(X86/(H86+L86),"")</f>
        <v/>
      </c>
      <c r="Z86" s="24" t="n"/>
    </row>
    <row r="87" ht="15" customHeight="1">
      <c r="A87" s="70">
        <f>IF(C87="","",IFERROR(IF(SUMPRODUCT(MAX((tbl_Finance[Job Number]&amp;""=C87&amp;"")*(tbl_Finance[Xero Invoice No]&lt;&gt;"")*tbl_Finance[Date]))=0,"",SUMPRODUCT(MAX((tbl_Finance[Job Number]&amp;""=C87&amp;"")*(tbl_Finance[Xero Invoice No]&lt;&gt;"")*tbl_Finance[Date]))),""))</f>
        <v/>
      </c>
      <c r="B87" s="25">
        <f>IF(C87="","",IF(COUNTIFS(tbl_Finance[Job Number],C87&amp;"",tbl_Finance[Xero Invoice No],"&lt;&gt;")=0,"",IFERROR(IF(COUNTIFS(tbl_Finance[Job Number],C87&amp;"",tbl_Finance[Xero Invoice No],LOOKUP(2,1/((tbl_Finance[Job Number]&amp;""=C87&amp;"")*(tbl_Finance[Xero Invoice No]&lt;&gt;"")),tbl_Finance[Xero Invoice No]))=COUNTIFS(tbl_Finance[Job Number],C87&amp;"",tbl_Finance[Xero Invoice No],"&lt;&gt;"),LOOKUP(2,1/((tbl_Finance[Job Number]&amp;""=C87&amp;"")*(tbl_Finance[Xero Invoice No]&lt;&gt;"")),tbl_Finance[Xero Invoice No]),LOOKUP(2,1/((tbl_Finance[Job Number]&amp;""=C87&amp;"")*(tbl_Finance[Xero Invoice No]&lt;&gt;"")),tbl_Finance[Xero Invoice No])&amp;" +more"),"")))</f>
        <v/>
      </c>
      <c r="C87" s="24" t="n"/>
      <c r="D87" s="25">
        <f>IF(C87="","",IF(COUNTIF(lst_Jobs,C87&amp;"")&gt;0,"OK","CHECK"))</f>
        <v/>
      </c>
      <c r="E87" s="25">
        <f>IF(C87="","",IFERROR(INDEX(lst_JobName,MATCH(C87&amp;"",lst_Jobs,0)),""))</f>
        <v/>
      </c>
      <c r="F87" s="25">
        <f>IF(C87="","",IFERROR(INDEX(tbl_Finance[Client],IFERROR(MATCH(C87&amp;"",tbl_Finance[Job Number],0),MATCH(IFERROR(C87+0,C87),tbl_Finance[Job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6" t="n"/>
      <c r="L87" s="27">
        <f>IF(C87="","",IF(K87="",0,MAX(0,K87-H87)))</f>
        <v/>
      </c>
      <c r="M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N87" s="24" t="n"/>
      <c r="O87" s="25">
        <f>IF(N87="","",HYPERLINK(IF(LEFT(N87,4)="http",N87,set_QwilrBase&amp;N87),"Open quote"))</f>
        <v/>
      </c>
      <c r="P87" s="26" t="n"/>
      <c r="Q87" s="26" t="n"/>
      <c r="R87" s="26" t="n"/>
      <c r="S87" s="25">
        <f>IF(C87="","",IF(N(P87)+N(Q87)+N(R87)=0,"Not split",IF(ROUND(N(P87)+N(Q87)+N(R87),2)=ROUND(H87+L87,2),"OK",IF(G87=0,"Not invoiced yet","MISMATCH"))))</f>
        <v/>
      </c>
      <c r="T87" s="26" t="n"/>
      <c r="U87" s="26" t="n"/>
      <c r="V87" s="26" t="n"/>
      <c r="W87" s="27">
        <f>IF(C87="","",N(T87)+N(U87)+N(V87))</f>
        <v/>
      </c>
      <c r="X87" s="27">
        <f>IF(C87="","",H87+L87-W87)</f>
        <v/>
      </c>
      <c r="Y87" s="29">
        <f>IFERROR(X87/(H87+L87),"")</f>
        <v/>
      </c>
      <c r="Z87" s="24" t="n"/>
    </row>
    <row r="88" ht="15" customHeight="1">
      <c r="A88" s="70">
        <f>IF(C88="","",IFERROR(IF(SUMPRODUCT(MAX((tbl_Finance[Job Number]&amp;""=C88&amp;"")*(tbl_Finance[Xero Invoice No]&lt;&gt;"")*tbl_Finance[Date]))=0,"",SUMPRODUCT(MAX((tbl_Finance[Job Number]&amp;""=C88&amp;"")*(tbl_Finance[Xero Invoice No]&lt;&gt;"")*tbl_Finance[Date]))),""))</f>
        <v/>
      </c>
      <c r="B88" s="25">
        <f>IF(C88="","",IF(COUNTIFS(tbl_Finance[Job Number],C88&amp;"",tbl_Finance[Xero Invoice No],"&lt;&gt;")=0,"",IFERROR(IF(COUNTIFS(tbl_Finance[Job Number],C88&amp;"",tbl_Finance[Xero Invoice No],LOOKUP(2,1/((tbl_Finance[Job Number]&amp;""=C88&amp;"")*(tbl_Finance[Xero Invoice No]&lt;&gt;"")),tbl_Finance[Xero Invoice No]))=COUNTIFS(tbl_Finance[Job Number],C88&amp;"",tbl_Finance[Xero Invoice No],"&lt;&gt;"),LOOKUP(2,1/((tbl_Finance[Job Number]&amp;""=C88&amp;"")*(tbl_Finance[Xero Invoice No]&lt;&gt;"")),tbl_Finance[Xero Invoice No]),LOOKUP(2,1/((tbl_Finance[Job Number]&amp;""=C88&amp;"")*(tbl_Finance[Xero Invoice No]&lt;&gt;"")),tbl_Finance[Xero Invoice No])&amp;" +more"),"")))</f>
        <v/>
      </c>
      <c r="C88" s="24" t="n"/>
      <c r="D88" s="25">
        <f>IF(C88="","",IF(COUNTIF(lst_Jobs,C88&amp;"")&gt;0,"OK","CHECK"))</f>
        <v/>
      </c>
      <c r="E88" s="25">
        <f>IF(C88="","",IFERROR(INDEX(lst_JobName,MATCH(C88&amp;"",lst_Jobs,0)),""))</f>
        <v/>
      </c>
      <c r="F88" s="25">
        <f>IF(C88="","",IFERROR(INDEX(tbl_Finance[Client],IFERROR(MATCH(C88&amp;"",tbl_Finance[Job Number],0),MATCH(IFERROR(C88+0,C88),tbl_Finance[Job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6" t="n"/>
      <c r="L88" s="27">
        <f>IF(C88="","",IF(K88="",0,MAX(0,K88-H88)))</f>
        <v/>
      </c>
      <c r="M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N88" s="24" t="n"/>
      <c r="O88" s="25">
        <f>IF(N88="","",HYPERLINK(IF(LEFT(N88,4)="http",N88,set_QwilrBase&amp;N88),"Open quote"))</f>
        <v/>
      </c>
      <c r="P88" s="26" t="n"/>
      <c r="Q88" s="26" t="n"/>
      <c r="R88" s="26" t="n"/>
      <c r="S88" s="25">
        <f>IF(C88="","",IF(N(P88)+N(Q88)+N(R88)=0,"Not split",IF(ROUND(N(P88)+N(Q88)+N(R88),2)=ROUND(H88+L88,2),"OK",IF(G88=0,"Not invoiced yet","MISMATCH"))))</f>
        <v/>
      </c>
      <c r="T88" s="26" t="n"/>
      <c r="U88" s="26" t="n"/>
      <c r="V88" s="26" t="n"/>
      <c r="W88" s="27">
        <f>IF(C88="","",N(T88)+N(U88)+N(V88))</f>
        <v/>
      </c>
      <c r="X88" s="27">
        <f>IF(C88="","",H88+L88-W88)</f>
        <v/>
      </c>
      <c r="Y88" s="29">
        <f>IFERROR(X88/(H88+L88),"")</f>
        <v/>
      </c>
      <c r="Z88" s="24" t="n"/>
    </row>
    <row r="89" ht="15" customHeight="1">
      <c r="A89" s="70">
        <f>IF(C89="","",IFERROR(IF(SUMPRODUCT(MAX((tbl_Finance[Job Number]&amp;""=C89&amp;"")*(tbl_Finance[Xero Invoice No]&lt;&gt;"")*tbl_Finance[Date]))=0,"",SUMPRODUCT(MAX((tbl_Finance[Job Number]&amp;""=C89&amp;"")*(tbl_Finance[Xero Invoice No]&lt;&gt;"")*tbl_Finance[Date]))),""))</f>
        <v/>
      </c>
      <c r="B89" s="25">
        <f>IF(C89="","",IF(COUNTIFS(tbl_Finance[Job Number],C89&amp;"",tbl_Finance[Xero Invoice No],"&lt;&gt;")=0,"",IFERROR(IF(COUNTIFS(tbl_Finance[Job Number],C89&amp;"",tbl_Finance[Xero Invoice No],LOOKUP(2,1/((tbl_Finance[Job Number]&amp;""=C89&amp;"")*(tbl_Finance[Xero Invoice No]&lt;&gt;"")),tbl_Finance[Xero Invoice No]))=COUNTIFS(tbl_Finance[Job Number],C89&amp;"",tbl_Finance[Xero Invoice No],"&lt;&gt;"),LOOKUP(2,1/((tbl_Finance[Job Number]&amp;""=C89&amp;"")*(tbl_Finance[Xero Invoice No]&lt;&gt;"")),tbl_Finance[Xero Invoice No]),LOOKUP(2,1/((tbl_Finance[Job Number]&amp;""=C89&amp;"")*(tbl_Finance[Xero Invoice No]&lt;&gt;"")),tbl_Finance[Xero Invoice No])&amp;" +more"),"")))</f>
        <v/>
      </c>
      <c r="C89" s="24" t="n"/>
      <c r="D89" s="25">
        <f>IF(C89="","",IF(COUNTIF(lst_Jobs,C89&amp;"")&gt;0,"OK","CHECK"))</f>
        <v/>
      </c>
      <c r="E89" s="25">
        <f>IF(C89="","",IFERROR(INDEX(lst_JobName,MATCH(C89&amp;"",lst_Jobs,0)),""))</f>
        <v/>
      </c>
      <c r="F89" s="25">
        <f>IF(C89="","",IFERROR(INDEX(tbl_Finance[Client],IFERROR(MATCH(C89&amp;"",tbl_Finance[Job Number],0),MATCH(IFERROR(C89+0,C89),tbl_Finance[Job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6" t="n"/>
      <c r="L89" s="27">
        <f>IF(C89="","",IF(K89="",0,MAX(0,K89-H89)))</f>
        <v/>
      </c>
      <c r="M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N89" s="24" t="n"/>
      <c r="O89" s="25">
        <f>IF(N89="","",HYPERLINK(IF(LEFT(N89,4)="http",N89,set_QwilrBase&amp;N89),"Open quote"))</f>
        <v/>
      </c>
      <c r="P89" s="26" t="n"/>
      <c r="Q89" s="26" t="n"/>
      <c r="R89" s="26" t="n"/>
      <c r="S89" s="25">
        <f>IF(C89="","",IF(N(P89)+N(Q89)+N(R89)=0,"Not split",IF(ROUND(N(P89)+N(Q89)+N(R89),2)=ROUND(H89+L89,2),"OK",IF(G89=0,"Not invoiced yet","MISMATCH"))))</f>
        <v/>
      </c>
      <c r="T89" s="26" t="n"/>
      <c r="U89" s="26" t="n"/>
      <c r="V89" s="26" t="n"/>
      <c r="W89" s="27">
        <f>IF(C89="","",N(T89)+N(U89)+N(V89))</f>
        <v/>
      </c>
      <c r="X89" s="27">
        <f>IF(C89="","",H89+L89-W89)</f>
        <v/>
      </c>
      <c r="Y89" s="29">
        <f>IFERROR(X89/(H89+L89),"")</f>
        <v/>
      </c>
      <c r="Z89" s="24" t="n"/>
    </row>
    <row r="90" ht="15" customHeight="1">
      <c r="A90" s="70">
        <f>IF(C90="","",IFERROR(IF(SUMPRODUCT(MAX((tbl_Finance[Job Number]&amp;""=C90&amp;"")*(tbl_Finance[Xero Invoice No]&lt;&gt;"")*tbl_Finance[Date]))=0,"",SUMPRODUCT(MAX((tbl_Finance[Job Number]&amp;""=C90&amp;"")*(tbl_Finance[Xero Invoice No]&lt;&gt;"")*tbl_Finance[Date]))),""))</f>
        <v/>
      </c>
      <c r="B90" s="25">
        <f>IF(C90="","",IF(COUNTIFS(tbl_Finance[Job Number],C90&amp;"",tbl_Finance[Xero Invoice No],"&lt;&gt;")=0,"",IFERROR(IF(COUNTIFS(tbl_Finance[Job Number],C90&amp;"",tbl_Finance[Xero Invoice No],LOOKUP(2,1/((tbl_Finance[Job Number]&amp;""=C90&amp;"")*(tbl_Finance[Xero Invoice No]&lt;&gt;"")),tbl_Finance[Xero Invoice No]))=COUNTIFS(tbl_Finance[Job Number],C90&amp;"",tbl_Finance[Xero Invoice No],"&lt;&gt;"),LOOKUP(2,1/((tbl_Finance[Job Number]&amp;""=C90&amp;"")*(tbl_Finance[Xero Invoice No]&lt;&gt;"")),tbl_Finance[Xero Invoice No]),LOOKUP(2,1/((tbl_Finance[Job Number]&amp;""=C90&amp;"")*(tbl_Finance[Xero Invoice No]&lt;&gt;"")),tbl_Finance[Xero Invoice No])&amp;" +more"),"")))</f>
        <v/>
      </c>
      <c r="C90" s="24" t="n"/>
      <c r="D90" s="25">
        <f>IF(C90="","",IF(COUNTIF(lst_Jobs,C90&amp;"")&gt;0,"OK","CHECK"))</f>
        <v/>
      </c>
      <c r="E90" s="25">
        <f>IF(C90="","",IFERROR(INDEX(lst_JobName,MATCH(C90&amp;"",lst_Jobs,0)),""))</f>
        <v/>
      </c>
      <c r="F90" s="25">
        <f>IF(C90="","",IFERROR(INDEX(tbl_Finance[Client],IFERROR(MATCH(C90&amp;"",tbl_Finance[Job Number],0),MATCH(IFERROR(C90+0,C90),tbl_Finance[Job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6" t="n"/>
      <c r="L90" s="27">
        <f>IF(C90="","",IF(K90="",0,MAX(0,K90-H90)))</f>
        <v/>
      </c>
      <c r="M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N90" s="24" t="n"/>
      <c r="O90" s="25">
        <f>IF(N90="","",HYPERLINK(IF(LEFT(N90,4)="http",N90,set_QwilrBase&amp;N90),"Open quote"))</f>
        <v/>
      </c>
      <c r="P90" s="26" t="n"/>
      <c r="Q90" s="26" t="n"/>
      <c r="R90" s="26" t="n"/>
      <c r="S90" s="25">
        <f>IF(C90="","",IF(N(P90)+N(Q90)+N(R90)=0,"Not split",IF(ROUND(N(P90)+N(Q90)+N(R90),2)=ROUND(H90+L90,2),"OK",IF(G90=0,"Not invoiced yet","MISMATCH"))))</f>
        <v/>
      </c>
      <c r="T90" s="26" t="n"/>
      <c r="U90" s="26" t="n"/>
      <c r="V90" s="26" t="n"/>
      <c r="W90" s="27">
        <f>IF(C90="","",N(T90)+N(U90)+N(V90))</f>
        <v/>
      </c>
      <c r="X90" s="27">
        <f>IF(C90="","",H90+L90-W90)</f>
        <v/>
      </c>
      <c r="Y90" s="29">
        <f>IFERROR(X90/(H90+L90),"")</f>
        <v/>
      </c>
      <c r="Z90" s="24" t="n"/>
    </row>
    <row r="91" ht="15" customHeight="1">
      <c r="A91" s="70">
        <f>IF(C91="","",IFERROR(IF(SUMPRODUCT(MAX((tbl_Finance[Job Number]&amp;""=C91&amp;"")*(tbl_Finance[Xero Invoice No]&lt;&gt;"")*tbl_Finance[Date]))=0,"",SUMPRODUCT(MAX((tbl_Finance[Job Number]&amp;""=C91&amp;"")*(tbl_Finance[Xero Invoice No]&lt;&gt;"")*tbl_Finance[Date]))),""))</f>
        <v/>
      </c>
      <c r="B91" s="25">
        <f>IF(C91="","",IF(COUNTIFS(tbl_Finance[Job Number],C91&amp;"",tbl_Finance[Xero Invoice No],"&lt;&gt;")=0,"",IFERROR(IF(COUNTIFS(tbl_Finance[Job Number],C91&amp;"",tbl_Finance[Xero Invoice No],LOOKUP(2,1/((tbl_Finance[Job Number]&amp;""=C91&amp;"")*(tbl_Finance[Xero Invoice No]&lt;&gt;"")),tbl_Finance[Xero Invoice No]))=COUNTIFS(tbl_Finance[Job Number],C91&amp;"",tbl_Finance[Xero Invoice No],"&lt;&gt;"),LOOKUP(2,1/((tbl_Finance[Job Number]&amp;""=C91&amp;"")*(tbl_Finance[Xero Invoice No]&lt;&gt;"")),tbl_Finance[Xero Invoice No]),LOOKUP(2,1/((tbl_Finance[Job Number]&amp;""=C91&amp;"")*(tbl_Finance[Xero Invoice No]&lt;&gt;"")),tbl_Finance[Xero Invoice No])&amp;" +more"),"")))</f>
        <v/>
      </c>
      <c r="C91" s="24" t="n"/>
      <c r="D91" s="25">
        <f>IF(C91="","",IF(COUNTIF(lst_Jobs,C91&amp;"")&gt;0,"OK","CHECK"))</f>
        <v/>
      </c>
      <c r="E91" s="25">
        <f>IF(C91="","",IFERROR(INDEX(lst_JobName,MATCH(C91&amp;"",lst_Jobs,0)),""))</f>
        <v/>
      </c>
      <c r="F91" s="25">
        <f>IF(C91="","",IFERROR(INDEX(tbl_Finance[Client],IFERROR(MATCH(C91&amp;"",tbl_Finance[Job Number],0),MATCH(IFERROR(C91+0,C91),tbl_Finance[Job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6" t="n"/>
      <c r="L91" s="27">
        <f>IF(C91="","",IF(K91="",0,MAX(0,K91-H91)))</f>
        <v/>
      </c>
      <c r="M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N91" s="24" t="n"/>
      <c r="O91" s="25">
        <f>IF(N91="","",HYPERLINK(IF(LEFT(N91,4)="http",N91,set_QwilrBase&amp;N91),"Open quote"))</f>
        <v/>
      </c>
      <c r="P91" s="26" t="n"/>
      <c r="Q91" s="26" t="n"/>
      <c r="R91" s="26" t="n"/>
      <c r="S91" s="25">
        <f>IF(C91="","",IF(N(P91)+N(Q91)+N(R91)=0,"Not split",IF(ROUND(N(P91)+N(Q91)+N(R91),2)=ROUND(H91+L91,2),"OK",IF(G91=0,"Not invoiced yet","MISMATCH"))))</f>
        <v/>
      </c>
      <c r="T91" s="26" t="n"/>
      <c r="U91" s="26" t="n"/>
      <c r="V91" s="26" t="n"/>
      <c r="W91" s="27">
        <f>IF(C91="","",N(T91)+N(U91)+N(V91))</f>
        <v/>
      </c>
      <c r="X91" s="27">
        <f>IF(C91="","",H91+L91-W91)</f>
        <v/>
      </c>
      <c r="Y91" s="29">
        <f>IFERROR(X91/(H91+L91),"")</f>
        <v/>
      </c>
      <c r="Z91" s="24" t="n"/>
    </row>
    <row r="92" ht="15" customHeight="1">
      <c r="A92" s="70">
        <f>IF(C92="","",IFERROR(IF(SUMPRODUCT(MAX((tbl_Finance[Job Number]&amp;""=C92&amp;"")*(tbl_Finance[Xero Invoice No]&lt;&gt;"")*tbl_Finance[Date]))=0,"",SUMPRODUCT(MAX((tbl_Finance[Job Number]&amp;""=C92&amp;"")*(tbl_Finance[Xero Invoice No]&lt;&gt;"")*tbl_Finance[Date]))),""))</f>
        <v/>
      </c>
      <c r="B92" s="25">
        <f>IF(C92="","",IF(COUNTIFS(tbl_Finance[Job Number],C92&amp;"",tbl_Finance[Xero Invoice No],"&lt;&gt;")=0,"",IFERROR(IF(COUNTIFS(tbl_Finance[Job Number],C92&amp;"",tbl_Finance[Xero Invoice No],LOOKUP(2,1/((tbl_Finance[Job Number]&amp;""=C92&amp;"")*(tbl_Finance[Xero Invoice No]&lt;&gt;"")),tbl_Finance[Xero Invoice No]))=COUNTIFS(tbl_Finance[Job Number],C92&amp;"",tbl_Finance[Xero Invoice No],"&lt;&gt;"),LOOKUP(2,1/((tbl_Finance[Job Number]&amp;""=C92&amp;"")*(tbl_Finance[Xero Invoice No]&lt;&gt;"")),tbl_Finance[Xero Invoice No]),LOOKUP(2,1/((tbl_Finance[Job Number]&amp;""=C92&amp;"")*(tbl_Finance[Xero Invoice No]&lt;&gt;"")),tbl_Finance[Xero Invoice No])&amp;" +more"),"")))</f>
        <v/>
      </c>
      <c r="C92" s="24" t="n"/>
      <c r="D92" s="25">
        <f>IF(C92="","",IF(COUNTIF(lst_Jobs,C92&amp;"")&gt;0,"OK","CHECK"))</f>
        <v/>
      </c>
      <c r="E92" s="25">
        <f>IF(C92="","",IFERROR(INDEX(lst_JobName,MATCH(C92&amp;"",lst_Jobs,0)),""))</f>
        <v/>
      </c>
      <c r="F92" s="25">
        <f>IF(C92="","",IFERROR(INDEX(tbl_Finance[Client],IFERROR(MATCH(C92&amp;"",tbl_Finance[Job Number],0),MATCH(IFERROR(C92+0,C92),tbl_Finance[Job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6" t="n"/>
      <c r="L92" s="27">
        <f>IF(C92="","",IF(K92="",0,MAX(0,K92-H92)))</f>
        <v/>
      </c>
      <c r="M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N92" s="24" t="n"/>
      <c r="O92" s="25">
        <f>IF(N92="","",HYPERLINK(IF(LEFT(N92,4)="http",N92,set_QwilrBase&amp;N92),"Open quote"))</f>
        <v/>
      </c>
      <c r="P92" s="26" t="n"/>
      <c r="Q92" s="26" t="n"/>
      <c r="R92" s="26" t="n"/>
      <c r="S92" s="25">
        <f>IF(C92="","",IF(N(P92)+N(Q92)+N(R92)=0,"Not split",IF(ROUND(N(P92)+N(Q92)+N(R92),2)=ROUND(H92+L92,2),"OK",IF(G92=0,"Not invoiced yet","MISMATCH"))))</f>
        <v/>
      </c>
      <c r="T92" s="26" t="n"/>
      <c r="U92" s="26" t="n"/>
      <c r="V92" s="26" t="n"/>
      <c r="W92" s="27">
        <f>IF(C92="","",N(T92)+N(U92)+N(V92))</f>
        <v/>
      </c>
      <c r="X92" s="27">
        <f>IF(C92="","",H92+L92-W92)</f>
        <v/>
      </c>
      <c r="Y92" s="29">
        <f>IFERROR(X92/(H92+L92),"")</f>
        <v/>
      </c>
      <c r="Z92" s="24" t="n"/>
    </row>
    <row r="93" ht="15" customHeight="1">
      <c r="A93" s="70">
        <f>IF(C93="","",IFERROR(IF(SUMPRODUCT(MAX((tbl_Finance[Job Number]&amp;""=C93&amp;"")*(tbl_Finance[Xero Invoice No]&lt;&gt;"")*tbl_Finance[Date]))=0,"",SUMPRODUCT(MAX((tbl_Finance[Job Number]&amp;""=C93&amp;"")*(tbl_Finance[Xero Invoice No]&lt;&gt;"")*tbl_Finance[Date]))),""))</f>
        <v/>
      </c>
      <c r="B93" s="25">
        <f>IF(C93="","",IF(COUNTIFS(tbl_Finance[Job Number],C93&amp;"",tbl_Finance[Xero Invoice No],"&lt;&gt;")=0,"",IFERROR(IF(COUNTIFS(tbl_Finance[Job Number],C93&amp;"",tbl_Finance[Xero Invoice No],LOOKUP(2,1/((tbl_Finance[Job Number]&amp;""=C93&amp;"")*(tbl_Finance[Xero Invoice No]&lt;&gt;"")),tbl_Finance[Xero Invoice No]))=COUNTIFS(tbl_Finance[Job Number],C93&amp;"",tbl_Finance[Xero Invoice No],"&lt;&gt;"),LOOKUP(2,1/((tbl_Finance[Job Number]&amp;""=C93&amp;"")*(tbl_Finance[Xero Invoice No]&lt;&gt;"")),tbl_Finance[Xero Invoice No]),LOOKUP(2,1/((tbl_Finance[Job Number]&amp;""=C93&amp;"")*(tbl_Finance[Xero Invoice No]&lt;&gt;"")),tbl_Finance[Xero Invoice No])&amp;" +more"),"")))</f>
        <v/>
      </c>
      <c r="C93" s="24" t="n"/>
      <c r="D93" s="25">
        <f>IF(C93="","",IF(COUNTIF(lst_Jobs,C93&amp;"")&gt;0,"OK","CHECK"))</f>
        <v/>
      </c>
      <c r="E93" s="25">
        <f>IF(C93="","",IFERROR(INDEX(lst_JobName,MATCH(C93&amp;"",lst_Jobs,0)),""))</f>
        <v/>
      </c>
      <c r="F93" s="25">
        <f>IF(C93="","",IFERROR(INDEX(tbl_Finance[Client],IFERROR(MATCH(C93&amp;"",tbl_Finance[Job Number],0),MATCH(IFERROR(C93+0,C93),tbl_Finance[Job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6" t="n"/>
      <c r="L93" s="27">
        <f>IF(C93="","",IF(K93="",0,MAX(0,K93-H93)))</f>
        <v/>
      </c>
      <c r="M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N93" s="24" t="n"/>
      <c r="O93" s="25">
        <f>IF(N93="","",HYPERLINK(IF(LEFT(N93,4)="http",N93,set_QwilrBase&amp;N93),"Open quote"))</f>
        <v/>
      </c>
      <c r="P93" s="26" t="n"/>
      <c r="Q93" s="26" t="n"/>
      <c r="R93" s="26" t="n"/>
      <c r="S93" s="25">
        <f>IF(C93="","",IF(N(P93)+N(Q93)+N(R93)=0,"Not split",IF(ROUND(N(P93)+N(Q93)+N(R93),2)=ROUND(H93+L93,2),"OK",IF(G93=0,"Not invoiced yet","MISMATCH"))))</f>
        <v/>
      </c>
      <c r="T93" s="26" t="n"/>
      <c r="U93" s="26" t="n"/>
      <c r="V93" s="26" t="n"/>
      <c r="W93" s="27">
        <f>IF(C93="","",N(T93)+N(U93)+N(V93))</f>
        <v/>
      </c>
      <c r="X93" s="27">
        <f>IF(C93="","",H93+L93-W93)</f>
        <v/>
      </c>
      <c r="Y93" s="29">
        <f>IFERROR(X93/(H93+L93),"")</f>
        <v/>
      </c>
      <c r="Z93" s="24" t="n"/>
    </row>
    <row r="94" ht="15" customHeight="1">
      <c r="A94" s="70">
        <f>IF(C94="","",IFERROR(IF(SUMPRODUCT(MAX((tbl_Finance[Job Number]&amp;""=C94&amp;"")*(tbl_Finance[Xero Invoice No]&lt;&gt;"")*tbl_Finance[Date]))=0,"",SUMPRODUCT(MAX((tbl_Finance[Job Number]&amp;""=C94&amp;"")*(tbl_Finance[Xero Invoice No]&lt;&gt;"")*tbl_Finance[Date]))),""))</f>
        <v/>
      </c>
      <c r="B94" s="25">
        <f>IF(C94="","",IF(COUNTIFS(tbl_Finance[Job Number],C94&amp;"",tbl_Finance[Xero Invoice No],"&lt;&gt;")=0,"",IFERROR(IF(COUNTIFS(tbl_Finance[Job Number],C94&amp;"",tbl_Finance[Xero Invoice No],LOOKUP(2,1/((tbl_Finance[Job Number]&amp;""=C94&amp;"")*(tbl_Finance[Xero Invoice No]&lt;&gt;"")),tbl_Finance[Xero Invoice No]))=COUNTIFS(tbl_Finance[Job Number],C94&amp;"",tbl_Finance[Xero Invoice No],"&lt;&gt;"),LOOKUP(2,1/((tbl_Finance[Job Number]&amp;""=C94&amp;"")*(tbl_Finance[Xero Invoice No]&lt;&gt;"")),tbl_Finance[Xero Invoice No]),LOOKUP(2,1/((tbl_Finance[Job Number]&amp;""=C94&amp;"")*(tbl_Finance[Xero Invoice No]&lt;&gt;"")),tbl_Finance[Xero Invoice No])&amp;" +more"),"")))</f>
        <v/>
      </c>
      <c r="C94" s="24" t="n"/>
      <c r="D94" s="25">
        <f>IF(C94="","",IF(COUNTIF(lst_Jobs,C94&amp;"")&gt;0,"OK","CHECK"))</f>
        <v/>
      </c>
      <c r="E94" s="25">
        <f>IF(C94="","",IFERROR(INDEX(lst_JobName,MATCH(C94&amp;"",lst_Jobs,0)),""))</f>
        <v/>
      </c>
      <c r="F94" s="25">
        <f>IF(C94="","",IFERROR(INDEX(tbl_Finance[Client],IFERROR(MATCH(C94&amp;"",tbl_Finance[Job Number],0),MATCH(IFERROR(C94+0,C94),tbl_Finance[Job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6" t="n"/>
      <c r="L94" s="27">
        <f>IF(C94="","",IF(K94="",0,MAX(0,K94-H94)))</f>
        <v/>
      </c>
      <c r="M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N94" s="24" t="n"/>
      <c r="O94" s="25">
        <f>IF(N94="","",HYPERLINK(IF(LEFT(N94,4)="http",N94,set_QwilrBase&amp;N94),"Open quote"))</f>
        <v/>
      </c>
      <c r="P94" s="26" t="n"/>
      <c r="Q94" s="26" t="n"/>
      <c r="R94" s="26" t="n"/>
      <c r="S94" s="25">
        <f>IF(C94="","",IF(N(P94)+N(Q94)+N(R94)=0,"Not split",IF(ROUND(N(P94)+N(Q94)+N(R94),2)=ROUND(H94+L94,2),"OK",IF(G94=0,"Not invoiced yet","MISMATCH"))))</f>
        <v/>
      </c>
      <c r="T94" s="26" t="n"/>
      <c r="U94" s="26" t="n"/>
      <c r="V94" s="26" t="n"/>
      <c r="W94" s="27">
        <f>IF(C94="","",N(T94)+N(U94)+N(V94))</f>
        <v/>
      </c>
      <c r="X94" s="27">
        <f>IF(C94="","",H94+L94-W94)</f>
        <v/>
      </c>
      <c r="Y94" s="29">
        <f>IFERROR(X94/(H94+L94),"")</f>
        <v/>
      </c>
      <c r="Z94" s="24" t="n"/>
    </row>
    <row r="95" ht="15" customHeight="1">
      <c r="A95" s="70">
        <f>IF(C95="","",IFERROR(IF(SUMPRODUCT(MAX((tbl_Finance[Job Number]&amp;""=C95&amp;"")*(tbl_Finance[Xero Invoice No]&lt;&gt;"")*tbl_Finance[Date]))=0,"",SUMPRODUCT(MAX((tbl_Finance[Job Number]&amp;""=C95&amp;"")*(tbl_Finance[Xero Invoice No]&lt;&gt;"")*tbl_Finance[Date]))),""))</f>
        <v/>
      </c>
      <c r="B95" s="25">
        <f>IF(C95="","",IF(COUNTIFS(tbl_Finance[Job Number],C95&amp;"",tbl_Finance[Xero Invoice No],"&lt;&gt;")=0,"",IFERROR(IF(COUNTIFS(tbl_Finance[Job Number],C95&amp;"",tbl_Finance[Xero Invoice No],LOOKUP(2,1/((tbl_Finance[Job Number]&amp;""=C95&amp;"")*(tbl_Finance[Xero Invoice No]&lt;&gt;"")),tbl_Finance[Xero Invoice No]))=COUNTIFS(tbl_Finance[Job Number],C95&amp;"",tbl_Finance[Xero Invoice No],"&lt;&gt;"),LOOKUP(2,1/((tbl_Finance[Job Number]&amp;""=C95&amp;"")*(tbl_Finance[Xero Invoice No]&lt;&gt;"")),tbl_Finance[Xero Invoice No]),LOOKUP(2,1/((tbl_Finance[Job Number]&amp;""=C95&amp;"")*(tbl_Finance[Xero Invoice No]&lt;&gt;"")),tbl_Finance[Xero Invoice No])&amp;" +more"),"")))</f>
        <v/>
      </c>
      <c r="C95" s="24" t="n"/>
      <c r="D95" s="25">
        <f>IF(C95="","",IF(COUNTIF(lst_Jobs,C95&amp;"")&gt;0,"OK","CHECK"))</f>
        <v/>
      </c>
      <c r="E95" s="25">
        <f>IF(C95="","",IFERROR(INDEX(lst_JobName,MATCH(C95&amp;"",lst_Jobs,0)),""))</f>
        <v/>
      </c>
      <c r="F95" s="25">
        <f>IF(C95="","",IFERROR(INDEX(tbl_Finance[Client],IFERROR(MATCH(C95&amp;"",tbl_Finance[Job Number],0),MATCH(IFERROR(C95+0,C95),tbl_Finance[Job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6" t="n"/>
      <c r="L95" s="27">
        <f>IF(C95="","",IF(K95="",0,MAX(0,K95-H95)))</f>
        <v/>
      </c>
      <c r="M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N95" s="24" t="n"/>
      <c r="O95" s="25">
        <f>IF(N95="","",HYPERLINK(IF(LEFT(N95,4)="http",N95,set_QwilrBase&amp;N95),"Open quote"))</f>
        <v/>
      </c>
      <c r="P95" s="26" t="n"/>
      <c r="Q95" s="26" t="n"/>
      <c r="R95" s="26" t="n"/>
      <c r="S95" s="25">
        <f>IF(C95="","",IF(N(P95)+N(Q95)+N(R95)=0,"Not split",IF(ROUND(N(P95)+N(Q95)+N(R95),2)=ROUND(H95+L95,2),"OK",IF(G95=0,"Not invoiced yet","MISMATCH"))))</f>
        <v/>
      </c>
      <c r="T95" s="26" t="n"/>
      <c r="U95" s="26" t="n"/>
      <c r="V95" s="26" t="n"/>
      <c r="W95" s="27">
        <f>IF(C95="","",N(T95)+N(U95)+N(V95))</f>
        <v/>
      </c>
      <c r="X95" s="27">
        <f>IF(C95="","",H95+L95-W95)</f>
        <v/>
      </c>
      <c r="Y95" s="29">
        <f>IFERROR(X95/(H95+L95),"")</f>
        <v/>
      </c>
      <c r="Z95" s="24" t="n"/>
    </row>
    <row r="96" ht="15" customHeight="1">
      <c r="A96" s="70">
        <f>IF(C96="","",IFERROR(IF(SUMPRODUCT(MAX((tbl_Finance[Job Number]&amp;""=C96&amp;"")*(tbl_Finance[Xero Invoice No]&lt;&gt;"")*tbl_Finance[Date]))=0,"",SUMPRODUCT(MAX((tbl_Finance[Job Number]&amp;""=C96&amp;"")*(tbl_Finance[Xero Invoice No]&lt;&gt;"")*tbl_Finance[Date]))),""))</f>
        <v/>
      </c>
      <c r="B96" s="25">
        <f>IF(C96="","",IF(COUNTIFS(tbl_Finance[Job Number],C96&amp;"",tbl_Finance[Xero Invoice No],"&lt;&gt;")=0,"",IFERROR(IF(COUNTIFS(tbl_Finance[Job Number],C96&amp;"",tbl_Finance[Xero Invoice No],LOOKUP(2,1/((tbl_Finance[Job Number]&amp;""=C96&amp;"")*(tbl_Finance[Xero Invoice No]&lt;&gt;"")),tbl_Finance[Xero Invoice No]))=COUNTIFS(tbl_Finance[Job Number],C96&amp;"",tbl_Finance[Xero Invoice No],"&lt;&gt;"),LOOKUP(2,1/((tbl_Finance[Job Number]&amp;""=C96&amp;"")*(tbl_Finance[Xero Invoice No]&lt;&gt;"")),tbl_Finance[Xero Invoice No]),LOOKUP(2,1/((tbl_Finance[Job Number]&amp;""=C96&amp;"")*(tbl_Finance[Xero Invoice No]&lt;&gt;"")),tbl_Finance[Xero Invoice No])&amp;" +more"),"")))</f>
        <v/>
      </c>
      <c r="C96" s="24" t="n"/>
      <c r="D96" s="25">
        <f>IF(C96="","",IF(COUNTIF(lst_Jobs,C96&amp;"")&gt;0,"OK","CHECK"))</f>
        <v/>
      </c>
      <c r="E96" s="25">
        <f>IF(C96="","",IFERROR(INDEX(lst_JobName,MATCH(C96&amp;"",lst_Jobs,0)),""))</f>
        <v/>
      </c>
      <c r="F96" s="25">
        <f>IF(C96="","",IFERROR(INDEX(tbl_Finance[Client],IFERROR(MATCH(C96&amp;"",tbl_Finance[Job Number],0),MATCH(IFERROR(C96+0,C96),tbl_Finance[Job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6" t="n"/>
      <c r="L96" s="27">
        <f>IF(C96="","",IF(K96="",0,MAX(0,K96-H96)))</f>
        <v/>
      </c>
      <c r="M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N96" s="24" t="n"/>
      <c r="O96" s="25">
        <f>IF(N96="","",HYPERLINK(IF(LEFT(N96,4)="http",N96,set_QwilrBase&amp;N96),"Open quote"))</f>
        <v/>
      </c>
      <c r="P96" s="26" t="n"/>
      <c r="Q96" s="26" t="n"/>
      <c r="R96" s="26" t="n"/>
      <c r="S96" s="25">
        <f>IF(C96="","",IF(N(P96)+N(Q96)+N(R96)=0,"Not split",IF(ROUND(N(P96)+N(Q96)+N(R96),2)=ROUND(H96+L96,2),"OK",IF(G96=0,"Not invoiced yet","MISMATCH"))))</f>
        <v/>
      </c>
      <c r="T96" s="26" t="n"/>
      <c r="U96" s="26" t="n"/>
      <c r="V96" s="26" t="n"/>
      <c r="W96" s="27">
        <f>IF(C96="","",N(T96)+N(U96)+N(V96))</f>
        <v/>
      </c>
      <c r="X96" s="27">
        <f>IF(C96="","",H96+L96-W96)</f>
        <v/>
      </c>
      <c r="Y96" s="29">
        <f>IFERROR(X96/(H96+L96),"")</f>
        <v/>
      </c>
      <c r="Z96" s="24" t="n"/>
    </row>
    <row r="97" ht="15" customHeight="1">
      <c r="A97" s="70">
        <f>IF(C97="","",IFERROR(IF(SUMPRODUCT(MAX((tbl_Finance[Job Number]&amp;""=C97&amp;"")*(tbl_Finance[Xero Invoice No]&lt;&gt;"")*tbl_Finance[Date]))=0,"",SUMPRODUCT(MAX((tbl_Finance[Job Number]&amp;""=C97&amp;"")*(tbl_Finance[Xero Invoice No]&lt;&gt;"")*tbl_Finance[Date]))),""))</f>
        <v/>
      </c>
      <c r="B97" s="25">
        <f>IF(C97="","",IF(COUNTIFS(tbl_Finance[Job Number],C97&amp;"",tbl_Finance[Xero Invoice No],"&lt;&gt;")=0,"",IFERROR(IF(COUNTIFS(tbl_Finance[Job Number],C97&amp;"",tbl_Finance[Xero Invoice No],LOOKUP(2,1/((tbl_Finance[Job Number]&amp;""=C97&amp;"")*(tbl_Finance[Xero Invoice No]&lt;&gt;"")),tbl_Finance[Xero Invoice No]))=COUNTIFS(tbl_Finance[Job Number],C97&amp;"",tbl_Finance[Xero Invoice No],"&lt;&gt;"),LOOKUP(2,1/((tbl_Finance[Job Number]&amp;""=C97&amp;"")*(tbl_Finance[Xero Invoice No]&lt;&gt;"")),tbl_Finance[Xero Invoice No]),LOOKUP(2,1/((tbl_Finance[Job Number]&amp;""=C97&amp;"")*(tbl_Finance[Xero Invoice No]&lt;&gt;"")),tbl_Finance[Xero Invoice No])&amp;" +more"),"")))</f>
        <v/>
      </c>
      <c r="C97" s="24" t="n"/>
      <c r="D97" s="25">
        <f>IF(C97="","",IF(COUNTIF(lst_Jobs,C97&amp;"")&gt;0,"OK","CHECK"))</f>
        <v/>
      </c>
      <c r="E97" s="25">
        <f>IF(C97="","",IFERROR(INDEX(lst_JobName,MATCH(C97&amp;"",lst_Jobs,0)),""))</f>
        <v/>
      </c>
      <c r="F97" s="25">
        <f>IF(C97="","",IFERROR(INDEX(tbl_Finance[Client],IFERROR(MATCH(C97&amp;"",tbl_Finance[Job Number],0),MATCH(IFERROR(C97+0,C97),tbl_Finance[Job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6" t="n"/>
      <c r="L97" s="27">
        <f>IF(C97="","",IF(K97="",0,MAX(0,K97-H97)))</f>
        <v/>
      </c>
      <c r="M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N97" s="24" t="n"/>
      <c r="O97" s="25">
        <f>IF(N97="","",HYPERLINK(IF(LEFT(N97,4)="http",N97,set_QwilrBase&amp;N97),"Open quote"))</f>
        <v/>
      </c>
      <c r="P97" s="26" t="n"/>
      <c r="Q97" s="26" t="n"/>
      <c r="R97" s="26" t="n"/>
      <c r="S97" s="25">
        <f>IF(C97="","",IF(N(P97)+N(Q97)+N(R97)=0,"Not split",IF(ROUND(N(P97)+N(Q97)+N(R97),2)=ROUND(H97+L97,2),"OK",IF(G97=0,"Not invoiced yet","MISMATCH"))))</f>
        <v/>
      </c>
      <c r="T97" s="26" t="n"/>
      <c r="U97" s="26" t="n"/>
      <c r="V97" s="26" t="n"/>
      <c r="W97" s="27">
        <f>IF(C97="","",N(T97)+N(U97)+N(V97))</f>
        <v/>
      </c>
      <c r="X97" s="27">
        <f>IF(C97="","",H97+L97-W97)</f>
        <v/>
      </c>
      <c r="Y97" s="29">
        <f>IFERROR(X97/(H97+L97),"")</f>
        <v/>
      </c>
      <c r="Z97" s="24" t="n"/>
    </row>
    <row r="98" ht="15" customHeight="1">
      <c r="A98" s="70">
        <f>IF(C98="","",IFERROR(IF(SUMPRODUCT(MAX((tbl_Finance[Job Number]&amp;""=C98&amp;"")*(tbl_Finance[Xero Invoice No]&lt;&gt;"")*tbl_Finance[Date]))=0,"",SUMPRODUCT(MAX((tbl_Finance[Job Number]&amp;""=C98&amp;"")*(tbl_Finance[Xero Invoice No]&lt;&gt;"")*tbl_Finance[Date]))),""))</f>
        <v/>
      </c>
      <c r="B98" s="25">
        <f>IF(C98="","",IF(COUNTIFS(tbl_Finance[Job Number],C98&amp;"",tbl_Finance[Xero Invoice No],"&lt;&gt;")=0,"",IFERROR(IF(COUNTIFS(tbl_Finance[Job Number],C98&amp;"",tbl_Finance[Xero Invoice No],LOOKUP(2,1/((tbl_Finance[Job Number]&amp;""=C98&amp;"")*(tbl_Finance[Xero Invoice No]&lt;&gt;"")),tbl_Finance[Xero Invoice No]))=COUNTIFS(tbl_Finance[Job Number],C98&amp;"",tbl_Finance[Xero Invoice No],"&lt;&gt;"),LOOKUP(2,1/((tbl_Finance[Job Number]&amp;""=C98&amp;"")*(tbl_Finance[Xero Invoice No]&lt;&gt;"")),tbl_Finance[Xero Invoice No]),LOOKUP(2,1/((tbl_Finance[Job Number]&amp;""=C98&amp;"")*(tbl_Finance[Xero Invoice No]&lt;&gt;"")),tbl_Finance[Xero Invoice No])&amp;" +more"),"")))</f>
        <v/>
      </c>
      <c r="C98" s="24" t="n"/>
      <c r="D98" s="25">
        <f>IF(C98="","",IF(COUNTIF(lst_Jobs,C98&amp;"")&gt;0,"OK","CHECK"))</f>
        <v/>
      </c>
      <c r="E98" s="25">
        <f>IF(C98="","",IFERROR(INDEX(lst_JobName,MATCH(C98&amp;"",lst_Jobs,0)),""))</f>
        <v/>
      </c>
      <c r="F98" s="25">
        <f>IF(C98="","",IFERROR(INDEX(tbl_Finance[Client],IFERROR(MATCH(C98&amp;"",tbl_Finance[Job Number],0),MATCH(IFERROR(C98+0,C98),tbl_Finance[Job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6" t="n"/>
      <c r="L98" s="27">
        <f>IF(C98="","",IF(K98="",0,MAX(0,K98-H98)))</f>
        <v/>
      </c>
      <c r="M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N98" s="24" t="n"/>
      <c r="O98" s="25">
        <f>IF(N98="","",HYPERLINK(IF(LEFT(N98,4)="http",N98,set_QwilrBase&amp;N98),"Open quote"))</f>
        <v/>
      </c>
      <c r="P98" s="26" t="n"/>
      <c r="Q98" s="26" t="n"/>
      <c r="R98" s="26" t="n"/>
      <c r="S98" s="25">
        <f>IF(C98="","",IF(N(P98)+N(Q98)+N(R98)=0,"Not split",IF(ROUND(N(P98)+N(Q98)+N(R98),2)=ROUND(H98+L98,2),"OK",IF(G98=0,"Not invoiced yet","MISMATCH"))))</f>
        <v/>
      </c>
      <c r="T98" s="26" t="n"/>
      <c r="U98" s="26" t="n"/>
      <c r="V98" s="26" t="n"/>
      <c r="W98" s="27">
        <f>IF(C98="","",N(T98)+N(U98)+N(V98))</f>
        <v/>
      </c>
      <c r="X98" s="27">
        <f>IF(C98="","",H98+L98-W98)</f>
        <v/>
      </c>
      <c r="Y98" s="29">
        <f>IFERROR(X98/(H98+L98),"")</f>
        <v/>
      </c>
      <c r="Z98" s="24" t="n"/>
    </row>
    <row r="99" ht="15" customHeight="1">
      <c r="A99" s="70">
        <f>IF(C99="","",IFERROR(IF(SUMPRODUCT(MAX((tbl_Finance[Job Number]&amp;""=C99&amp;"")*(tbl_Finance[Xero Invoice No]&lt;&gt;"")*tbl_Finance[Date]))=0,"",SUMPRODUCT(MAX((tbl_Finance[Job Number]&amp;""=C99&amp;"")*(tbl_Finance[Xero Invoice No]&lt;&gt;"")*tbl_Finance[Date]))),""))</f>
        <v/>
      </c>
      <c r="B99" s="25">
        <f>IF(C99="","",IF(COUNTIFS(tbl_Finance[Job Number],C99&amp;"",tbl_Finance[Xero Invoice No],"&lt;&gt;")=0,"",IFERROR(IF(COUNTIFS(tbl_Finance[Job Number],C99&amp;"",tbl_Finance[Xero Invoice No],LOOKUP(2,1/((tbl_Finance[Job Number]&amp;""=C99&amp;"")*(tbl_Finance[Xero Invoice No]&lt;&gt;"")),tbl_Finance[Xero Invoice No]))=COUNTIFS(tbl_Finance[Job Number],C99&amp;"",tbl_Finance[Xero Invoice No],"&lt;&gt;"),LOOKUP(2,1/((tbl_Finance[Job Number]&amp;""=C99&amp;"")*(tbl_Finance[Xero Invoice No]&lt;&gt;"")),tbl_Finance[Xero Invoice No]),LOOKUP(2,1/((tbl_Finance[Job Number]&amp;""=C99&amp;"")*(tbl_Finance[Xero Invoice No]&lt;&gt;"")),tbl_Finance[Xero Invoice No])&amp;" +more"),"")))</f>
        <v/>
      </c>
      <c r="C99" s="24" t="n"/>
      <c r="D99" s="25">
        <f>IF(C99="","",IF(COUNTIF(lst_Jobs,C99&amp;"")&gt;0,"OK","CHECK"))</f>
        <v/>
      </c>
      <c r="E99" s="25">
        <f>IF(C99="","",IFERROR(INDEX(lst_JobName,MATCH(C99&amp;"",lst_Jobs,0)),""))</f>
        <v/>
      </c>
      <c r="F99" s="25">
        <f>IF(C99="","",IFERROR(INDEX(tbl_Finance[Client],IFERROR(MATCH(C99&amp;"",tbl_Finance[Job Number],0),MATCH(IFERROR(C99+0,C99),tbl_Finance[Job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6" t="n"/>
      <c r="L99" s="27">
        <f>IF(C99="","",IF(K99="",0,MAX(0,K99-H99)))</f>
        <v/>
      </c>
      <c r="M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N99" s="24" t="n"/>
      <c r="O99" s="25">
        <f>IF(N99="","",HYPERLINK(IF(LEFT(N99,4)="http",N99,set_QwilrBase&amp;N99),"Open quote"))</f>
        <v/>
      </c>
      <c r="P99" s="26" t="n"/>
      <c r="Q99" s="26" t="n"/>
      <c r="R99" s="26" t="n"/>
      <c r="S99" s="25">
        <f>IF(C99="","",IF(N(P99)+N(Q99)+N(R99)=0,"Not split",IF(ROUND(N(P99)+N(Q99)+N(R99),2)=ROUND(H99+L99,2),"OK",IF(G99=0,"Not invoiced yet","MISMATCH"))))</f>
        <v/>
      </c>
      <c r="T99" s="26" t="n"/>
      <c r="U99" s="26" t="n"/>
      <c r="V99" s="26" t="n"/>
      <c r="W99" s="27">
        <f>IF(C99="","",N(T99)+N(U99)+N(V99))</f>
        <v/>
      </c>
      <c r="X99" s="27">
        <f>IF(C99="","",H99+L99-W99)</f>
        <v/>
      </c>
      <c r="Y99" s="29">
        <f>IFERROR(X99/(H99+L99),"")</f>
        <v/>
      </c>
      <c r="Z99" s="24" t="n"/>
    </row>
    <row r="100" ht="15" customHeight="1">
      <c r="A100" s="70">
        <f>IF(C100="","",IFERROR(IF(SUMPRODUCT(MAX((tbl_Finance[Job Number]&amp;""=C100&amp;"")*(tbl_Finance[Xero Invoice No]&lt;&gt;"")*tbl_Finance[Date]))=0,"",SUMPRODUCT(MAX((tbl_Finance[Job Number]&amp;""=C100&amp;"")*(tbl_Finance[Xero Invoice No]&lt;&gt;"")*tbl_Finance[Date]))),""))</f>
        <v/>
      </c>
      <c r="B100" s="25">
        <f>IF(C100="","",IF(COUNTIFS(tbl_Finance[Job Number],C100&amp;"",tbl_Finance[Xero Invoice No],"&lt;&gt;")=0,"",IFERROR(IF(COUNTIFS(tbl_Finance[Job Number],C100&amp;"",tbl_Finance[Xero Invoice No],LOOKUP(2,1/((tbl_Finance[Job Number]&amp;""=C100&amp;"")*(tbl_Finance[Xero Invoice No]&lt;&gt;"")),tbl_Finance[Xero Invoice No]))=COUNTIFS(tbl_Finance[Job Number],C100&amp;"",tbl_Finance[Xero Invoice No],"&lt;&gt;"),LOOKUP(2,1/((tbl_Finance[Job Number]&amp;""=C100&amp;"")*(tbl_Finance[Xero Invoice No]&lt;&gt;"")),tbl_Finance[Xero Invoice No]),LOOKUP(2,1/((tbl_Finance[Job Number]&amp;""=C100&amp;"")*(tbl_Finance[Xero Invoice No]&lt;&gt;"")),tbl_Finance[Xero Invoice No])&amp;" +more"),"")))</f>
        <v/>
      </c>
      <c r="C100" s="24" t="n"/>
      <c r="D100" s="25">
        <f>IF(C100="","",IF(COUNTIF(lst_Jobs,C100&amp;"")&gt;0,"OK","CHECK"))</f>
        <v/>
      </c>
      <c r="E100" s="25">
        <f>IF(C100="","",IFERROR(INDEX(lst_JobName,MATCH(C100&amp;"",lst_Jobs,0)),""))</f>
        <v/>
      </c>
      <c r="F100" s="25">
        <f>IF(C100="","",IFERROR(INDEX(tbl_Finance[Client],IFERROR(MATCH(C100&amp;"",tbl_Finance[Job Number],0),MATCH(IFERROR(C100+0,C100),tbl_Finance[Job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6" t="n"/>
      <c r="L100" s="27">
        <f>IF(C100="","",IF(K100="",0,MAX(0,K100-H100)))</f>
        <v/>
      </c>
      <c r="M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N100" s="24" t="n"/>
      <c r="O100" s="25">
        <f>IF(N100="","",HYPERLINK(IF(LEFT(N100,4)="http",N100,set_QwilrBase&amp;N100),"Open quote"))</f>
        <v/>
      </c>
      <c r="P100" s="26" t="n"/>
      <c r="Q100" s="26" t="n"/>
      <c r="R100" s="26" t="n"/>
      <c r="S100" s="25">
        <f>IF(C100="","",IF(N(P100)+N(Q100)+N(R100)=0,"Not split",IF(ROUND(N(P100)+N(Q100)+N(R100),2)=ROUND(H100+L100,2),"OK",IF(G100=0,"Not invoiced yet","MISMATCH"))))</f>
        <v/>
      </c>
      <c r="T100" s="26" t="n"/>
      <c r="U100" s="26" t="n"/>
      <c r="V100" s="26" t="n"/>
      <c r="W100" s="27">
        <f>IF(C100="","",N(T100)+N(U100)+N(V100))</f>
        <v/>
      </c>
      <c r="X100" s="27">
        <f>IF(C100="","",H100+L100-W100)</f>
        <v/>
      </c>
      <c r="Y100" s="29">
        <f>IFERROR(X100/(H100+L100),"")</f>
        <v/>
      </c>
      <c r="Z100" s="24" t="n"/>
    </row>
    <row r="101" ht="15" customHeight="1">
      <c r="A101" s="70">
        <f>IF(C101="","",IFERROR(IF(SUMPRODUCT(MAX((tbl_Finance[Job Number]&amp;""=C101&amp;"")*(tbl_Finance[Xero Invoice No]&lt;&gt;"")*tbl_Finance[Date]))=0,"",SUMPRODUCT(MAX((tbl_Finance[Job Number]&amp;""=C101&amp;"")*(tbl_Finance[Xero Invoice No]&lt;&gt;"")*tbl_Finance[Date]))),""))</f>
        <v/>
      </c>
      <c r="B101" s="25">
        <f>IF(C101="","",IF(COUNTIFS(tbl_Finance[Job Number],C101&amp;"",tbl_Finance[Xero Invoice No],"&lt;&gt;")=0,"",IFERROR(IF(COUNTIFS(tbl_Finance[Job Number],C101&amp;"",tbl_Finance[Xero Invoice No],LOOKUP(2,1/((tbl_Finance[Job Number]&amp;""=C101&amp;"")*(tbl_Finance[Xero Invoice No]&lt;&gt;"")),tbl_Finance[Xero Invoice No]))=COUNTIFS(tbl_Finance[Job Number],C101&amp;"",tbl_Finance[Xero Invoice No],"&lt;&gt;"),LOOKUP(2,1/((tbl_Finance[Job Number]&amp;""=C101&amp;"")*(tbl_Finance[Xero Invoice No]&lt;&gt;"")),tbl_Finance[Xero Invoice No]),LOOKUP(2,1/((tbl_Finance[Job Number]&amp;""=C101&amp;"")*(tbl_Finance[Xero Invoice No]&lt;&gt;"")),tbl_Finance[Xero Invoice No])&amp;" +more"),"")))</f>
        <v/>
      </c>
      <c r="C101" s="24" t="n"/>
      <c r="D101" s="25">
        <f>IF(C101="","",IF(COUNTIF(lst_Jobs,C101&amp;"")&gt;0,"OK","CHECK"))</f>
        <v/>
      </c>
      <c r="E101" s="25">
        <f>IF(C101="","",IFERROR(INDEX(lst_JobName,MATCH(C101&amp;"",lst_Jobs,0)),""))</f>
        <v/>
      </c>
      <c r="F101" s="25">
        <f>IF(C101="","",IFERROR(INDEX(tbl_Finance[Client],IFERROR(MATCH(C101&amp;"",tbl_Finance[Job Number],0),MATCH(IFERROR(C101+0,C101),tbl_Finance[Job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6" t="n"/>
      <c r="L101" s="27">
        <f>IF(C101="","",IF(K101="",0,MAX(0,K101-H101)))</f>
        <v/>
      </c>
      <c r="M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N101" s="24" t="n"/>
      <c r="O101" s="25">
        <f>IF(N101="","",HYPERLINK(IF(LEFT(N101,4)="http",N101,set_QwilrBase&amp;N101),"Open quote"))</f>
        <v/>
      </c>
      <c r="P101" s="26" t="n"/>
      <c r="Q101" s="26" t="n"/>
      <c r="R101" s="26" t="n"/>
      <c r="S101" s="25">
        <f>IF(C101="","",IF(N(P101)+N(Q101)+N(R101)=0,"Not split",IF(ROUND(N(P101)+N(Q101)+N(R101),2)=ROUND(H101+L101,2),"OK",IF(G101=0,"Not invoiced yet","MISMATCH"))))</f>
        <v/>
      </c>
      <c r="T101" s="26" t="n"/>
      <c r="U101" s="26" t="n"/>
      <c r="V101" s="26" t="n"/>
      <c r="W101" s="27">
        <f>IF(C101="","",N(T101)+N(U101)+N(V101))</f>
        <v/>
      </c>
      <c r="X101" s="27">
        <f>IF(C101="","",H101+L101-W101)</f>
        <v/>
      </c>
      <c r="Y101" s="29">
        <f>IFERROR(X101/(H101+L101),"")</f>
        <v/>
      </c>
      <c r="Z101" s="24" t="n"/>
    </row>
    <row r="102" ht="15" customHeight="1">
      <c r="A102" s="70">
        <f>IF(C102="","",IFERROR(IF(SUMPRODUCT(MAX((tbl_Finance[Job Number]&amp;""=C102&amp;"")*(tbl_Finance[Xero Invoice No]&lt;&gt;"")*tbl_Finance[Date]))=0,"",SUMPRODUCT(MAX((tbl_Finance[Job Number]&amp;""=C102&amp;"")*(tbl_Finance[Xero Invoice No]&lt;&gt;"")*tbl_Finance[Date]))),""))</f>
        <v/>
      </c>
      <c r="B102" s="25">
        <f>IF(C102="","",IF(COUNTIFS(tbl_Finance[Job Number],C102&amp;"",tbl_Finance[Xero Invoice No],"&lt;&gt;")=0,"",IFERROR(IF(COUNTIFS(tbl_Finance[Job Number],C102&amp;"",tbl_Finance[Xero Invoice No],LOOKUP(2,1/((tbl_Finance[Job Number]&amp;""=C102&amp;"")*(tbl_Finance[Xero Invoice No]&lt;&gt;"")),tbl_Finance[Xero Invoice No]))=COUNTIFS(tbl_Finance[Job Number],C102&amp;"",tbl_Finance[Xero Invoice No],"&lt;&gt;"),LOOKUP(2,1/((tbl_Finance[Job Number]&amp;""=C102&amp;"")*(tbl_Finance[Xero Invoice No]&lt;&gt;"")),tbl_Finance[Xero Invoice No]),LOOKUP(2,1/((tbl_Finance[Job Number]&amp;""=C102&amp;"")*(tbl_Finance[Xero Invoice No]&lt;&gt;"")),tbl_Finance[Xero Invoice No])&amp;" +more"),"")))</f>
        <v/>
      </c>
      <c r="C102" s="24" t="n"/>
      <c r="D102" s="25">
        <f>IF(C102="","",IF(COUNTIF(lst_Jobs,C102&amp;"")&gt;0,"OK","CHECK"))</f>
        <v/>
      </c>
      <c r="E102" s="25">
        <f>IF(C102="","",IFERROR(INDEX(lst_JobName,MATCH(C102&amp;"",lst_Jobs,0)),""))</f>
        <v/>
      </c>
      <c r="F102" s="25">
        <f>IF(C102="","",IFERROR(INDEX(tbl_Finance[Client],IFERROR(MATCH(C102&amp;"",tbl_Finance[Job Number],0),MATCH(IFERROR(C102+0,C102),tbl_Finance[Job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6" t="n"/>
      <c r="L102" s="27">
        <f>IF(C102="","",IF(K102="",0,MAX(0,K102-H102)))</f>
        <v/>
      </c>
      <c r="M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N102" s="24" t="n"/>
      <c r="O102" s="25">
        <f>IF(N102="","",HYPERLINK(IF(LEFT(N102,4)="http",N102,set_QwilrBase&amp;N102),"Open quote"))</f>
        <v/>
      </c>
      <c r="P102" s="26" t="n"/>
      <c r="Q102" s="26" t="n"/>
      <c r="R102" s="26" t="n"/>
      <c r="S102" s="25">
        <f>IF(C102="","",IF(N(P102)+N(Q102)+N(R102)=0,"Not split",IF(ROUND(N(P102)+N(Q102)+N(R102),2)=ROUND(H102+L102,2),"OK",IF(G102=0,"Not invoiced yet","MISMATCH"))))</f>
        <v/>
      </c>
      <c r="T102" s="26" t="n"/>
      <c r="U102" s="26" t="n"/>
      <c r="V102" s="26" t="n"/>
      <c r="W102" s="27">
        <f>IF(C102="","",N(T102)+N(U102)+N(V102))</f>
        <v/>
      </c>
      <c r="X102" s="27">
        <f>IF(C102="","",H102+L102-W102)</f>
        <v/>
      </c>
      <c r="Y102" s="29">
        <f>IFERROR(X102/(H102+L102),"")</f>
        <v/>
      </c>
      <c r="Z102" s="24" t="n"/>
    </row>
    <row r="103" ht="15" customHeight="1">
      <c r="A103" s="70">
        <f>IF(C103="","",IFERROR(IF(SUMPRODUCT(MAX((tbl_Finance[Job Number]&amp;""=C103&amp;"")*(tbl_Finance[Xero Invoice No]&lt;&gt;"")*tbl_Finance[Date]))=0,"",SUMPRODUCT(MAX((tbl_Finance[Job Number]&amp;""=C103&amp;"")*(tbl_Finance[Xero Invoice No]&lt;&gt;"")*tbl_Finance[Date]))),""))</f>
        <v/>
      </c>
      <c r="B103" s="25">
        <f>IF(C103="","",IF(COUNTIFS(tbl_Finance[Job Number],C103&amp;"",tbl_Finance[Xero Invoice No],"&lt;&gt;")=0,"",IFERROR(IF(COUNTIFS(tbl_Finance[Job Number],C103&amp;"",tbl_Finance[Xero Invoice No],LOOKUP(2,1/((tbl_Finance[Job Number]&amp;""=C103&amp;"")*(tbl_Finance[Xero Invoice No]&lt;&gt;"")),tbl_Finance[Xero Invoice No]))=COUNTIFS(tbl_Finance[Job Number],C103&amp;"",tbl_Finance[Xero Invoice No],"&lt;&gt;"),LOOKUP(2,1/((tbl_Finance[Job Number]&amp;""=C103&amp;"")*(tbl_Finance[Xero Invoice No]&lt;&gt;"")),tbl_Finance[Xero Invoice No]),LOOKUP(2,1/((tbl_Finance[Job Number]&amp;""=C103&amp;"")*(tbl_Finance[Xero Invoice No]&lt;&gt;"")),tbl_Finance[Xero Invoice No])&amp;" +more"),"")))</f>
        <v/>
      </c>
      <c r="C103" s="24" t="n"/>
      <c r="D103" s="25">
        <f>IF(C103="","",IF(COUNTIF(lst_Jobs,C103&amp;"")&gt;0,"OK","CHECK"))</f>
        <v/>
      </c>
      <c r="E103" s="25">
        <f>IF(C103="","",IFERROR(INDEX(lst_JobName,MATCH(C103&amp;"",lst_Jobs,0)),""))</f>
        <v/>
      </c>
      <c r="F103" s="25">
        <f>IF(C103="","",IFERROR(INDEX(tbl_Finance[Client],IFERROR(MATCH(C103&amp;"",tbl_Finance[Job Number],0),MATCH(IFERROR(C103+0,C103),tbl_Finance[Job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6" t="n"/>
      <c r="L103" s="27">
        <f>IF(C103="","",IF(K103="",0,MAX(0,K103-H103)))</f>
        <v/>
      </c>
      <c r="M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N103" s="24" t="n"/>
      <c r="O103" s="25">
        <f>IF(N103="","",HYPERLINK(IF(LEFT(N103,4)="http",N103,set_QwilrBase&amp;N103),"Open quote"))</f>
        <v/>
      </c>
      <c r="P103" s="26" t="n"/>
      <c r="Q103" s="26" t="n"/>
      <c r="R103" s="26" t="n"/>
      <c r="S103" s="25">
        <f>IF(C103="","",IF(N(P103)+N(Q103)+N(R103)=0,"Not split",IF(ROUND(N(P103)+N(Q103)+N(R103),2)=ROUND(H103+L103,2),"OK",IF(G103=0,"Not invoiced yet","MISMATCH"))))</f>
        <v/>
      </c>
      <c r="T103" s="26" t="n"/>
      <c r="U103" s="26" t="n"/>
      <c r="V103" s="26" t="n"/>
      <c r="W103" s="27">
        <f>IF(C103="","",N(T103)+N(U103)+N(V103))</f>
        <v/>
      </c>
      <c r="X103" s="27">
        <f>IF(C103="","",H103+L103-W103)</f>
        <v/>
      </c>
      <c r="Y103" s="29">
        <f>IFERROR(X103/(H103+L103),"")</f>
        <v/>
      </c>
      <c r="Z103" s="24" t="n"/>
    </row>
    <row r="104" ht="15" customHeight="1">
      <c r="A104" s="70">
        <f>IF(C104="","",IFERROR(IF(SUMPRODUCT(MAX((tbl_Finance[Job Number]&amp;""=C104&amp;"")*(tbl_Finance[Xero Invoice No]&lt;&gt;"")*tbl_Finance[Date]))=0,"",SUMPRODUCT(MAX((tbl_Finance[Job Number]&amp;""=C104&amp;"")*(tbl_Finance[Xero Invoice No]&lt;&gt;"")*tbl_Finance[Date]))),""))</f>
        <v/>
      </c>
      <c r="B104" s="25">
        <f>IF(C104="","",IF(COUNTIFS(tbl_Finance[Job Number],C104&amp;"",tbl_Finance[Xero Invoice No],"&lt;&gt;")=0,"",IFERROR(IF(COUNTIFS(tbl_Finance[Job Number],C104&amp;"",tbl_Finance[Xero Invoice No],LOOKUP(2,1/((tbl_Finance[Job Number]&amp;""=C104&amp;"")*(tbl_Finance[Xero Invoice No]&lt;&gt;"")),tbl_Finance[Xero Invoice No]))=COUNTIFS(tbl_Finance[Job Number],C104&amp;"",tbl_Finance[Xero Invoice No],"&lt;&gt;"),LOOKUP(2,1/((tbl_Finance[Job Number]&amp;""=C104&amp;"")*(tbl_Finance[Xero Invoice No]&lt;&gt;"")),tbl_Finance[Xero Invoice No]),LOOKUP(2,1/((tbl_Finance[Job Number]&amp;""=C104&amp;"")*(tbl_Finance[Xero Invoice No]&lt;&gt;"")),tbl_Finance[Xero Invoice No])&amp;" +more"),"")))</f>
        <v/>
      </c>
      <c r="C104" s="24" t="n"/>
      <c r="D104" s="25">
        <f>IF(C104="","",IF(COUNTIF(lst_Jobs,C104&amp;"")&gt;0,"OK","CHECK"))</f>
        <v/>
      </c>
      <c r="E104" s="25">
        <f>IF(C104="","",IFERROR(INDEX(lst_JobName,MATCH(C104&amp;"",lst_Jobs,0)),""))</f>
        <v/>
      </c>
      <c r="F104" s="25">
        <f>IF(C104="","",IFERROR(INDEX(tbl_Finance[Client],IFERROR(MATCH(C104&amp;"",tbl_Finance[Job Number],0),MATCH(IFERROR(C104+0,C104),tbl_Finance[Job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6" t="n"/>
      <c r="L104" s="27">
        <f>IF(C104="","",IF(K104="",0,MAX(0,K104-H104)))</f>
        <v/>
      </c>
      <c r="M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N104" s="24" t="n"/>
      <c r="O104" s="25">
        <f>IF(N104="","",HYPERLINK(IF(LEFT(N104,4)="http",N104,set_QwilrBase&amp;N104),"Open quote"))</f>
        <v/>
      </c>
      <c r="P104" s="26" t="n"/>
      <c r="Q104" s="26" t="n"/>
      <c r="R104" s="26" t="n"/>
      <c r="S104" s="25">
        <f>IF(C104="","",IF(N(P104)+N(Q104)+N(R104)=0,"Not split",IF(ROUND(N(P104)+N(Q104)+N(R104),2)=ROUND(H104+L104,2),"OK",IF(G104=0,"Not invoiced yet","MISMATCH"))))</f>
        <v/>
      </c>
      <c r="T104" s="26" t="n"/>
      <c r="U104" s="26" t="n"/>
      <c r="V104" s="26" t="n"/>
      <c r="W104" s="27">
        <f>IF(C104="","",N(T104)+N(U104)+N(V104))</f>
        <v/>
      </c>
      <c r="X104" s="27">
        <f>IF(C104="","",H104+L104-W104)</f>
        <v/>
      </c>
      <c r="Y104" s="29">
        <f>IFERROR(X104/(H104+L104),"")</f>
        <v/>
      </c>
      <c r="Z104" s="24" t="n"/>
    </row>
    <row r="105" ht="15" customHeight="1">
      <c r="A105" s="70">
        <f>IF(C105="","",IFERROR(IF(SUMPRODUCT(MAX((tbl_Finance[Job Number]&amp;""=C105&amp;"")*(tbl_Finance[Xero Invoice No]&lt;&gt;"")*tbl_Finance[Date]))=0,"",SUMPRODUCT(MAX((tbl_Finance[Job Number]&amp;""=C105&amp;"")*(tbl_Finance[Xero Invoice No]&lt;&gt;"")*tbl_Finance[Date]))),""))</f>
        <v/>
      </c>
      <c r="B105" s="25">
        <f>IF(C105="","",IF(COUNTIFS(tbl_Finance[Job Number],C105&amp;"",tbl_Finance[Xero Invoice No],"&lt;&gt;")=0,"",IFERROR(IF(COUNTIFS(tbl_Finance[Job Number],C105&amp;"",tbl_Finance[Xero Invoice No],LOOKUP(2,1/((tbl_Finance[Job Number]&amp;""=C105&amp;"")*(tbl_Finance[Xero Invoice No]&lt;&gt;"")),tbl_Finance[Xero Invoice No]))=COUNTIFS(tbl_Finance[Job Number],C105&amp;"",tbl_Finance[Xero Invoice No],"&lt;&gt;"),LOOKUP(2,1/((tbl_Finance[Job Number]&amp;""=C105&amp;"")*(tbl_Finance[Xero Invoice No]&lt;&gt;"")),tbl_Finance[Xero Invoice No]),LOOKUP(2,1/((tbl_Finance[Job Number]&amp;""=C105&amp;"")*(tbl_Finance[Xero Invoice No]&lt;&gt;"")),tbl_Finance[Xero Invoice No])&amp;" +more"),"")))</f>
        <v/>
      </c>
      <c r="C105" s="24" t="n"/>
      <c r="D105" s="25">
        <f>IF(C105="","",IF(COUNTIF(lst_Jobs,C105&amp;"")&gt;0,"OK","CHECK"))</f>
        <v/>
      </c>
      <c r="E105" s="25">
        <f>IF(C105="","",IFERROR(INDEX(lst_JobName,MATCH(C105&amp;"",lst_Jobs,0)),""))</f>
        <v/>
      </c>
      <c r="F105" s="25">
        <f>IF(C105="","",IFERROR(INDEX(tbl_Finance[Client],IFERROR(MATCH(C105&amp;"",tbl_Finance[Job Number],0),MATCH(IFERROR(C105+0,C105),tbl_Finance[Job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6" t="n"/>
      <c r="L105" s="27">
        <f>IF(C105="","",IF(K105="",0,MAX(0,K105-H105)))</f>
        <v/>
      </c>
      <c r="M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N105" s="24" t="n"/>
      <c r="O105" s="25">
        <f>IF(N105="","",HYPERLINK(IF(LEFT(N105,4)="http",N105,set_QwilrBase&amp;N105),"Open quote"))</f>
        <v/>
      </c>
      <c r="P105" s="26" t="n"/>
      <c r="Q105" s="26" t="n"/>
      <c r="R105" s="26" t="n"/>
      <c r="S105" s="25">
        <f>IF(C105="","",IF(N(P105)+N(Q105)+N(R105)=0,"Not split",IF(ROUND(N(P105)+N(Q105)+N(R105),2)=ROUND(H105+L105,2),"OK",IF(G105=0,"Not invoiced yet","MISMATCH"))))</f>
        <v/>
      </c>
      <c r="T105" s="26" t="n"/>
      <c r="U105" s="26" t="n"/>
      <c r="V105" s="26" t="n"/>
      <c r="W105" s="27">
        <f>IF(C105="","",N(T105)+N(U105)+N(V105))</f>
        <v/>
      </c>
      <c r="X105" s="27">
        <f>IF(C105="","",H105+L105-W105)</f>
        <v/>
      </c>
      <c r="Y105" s="29">
        <f>IFERROR(X105/(H105+L105),"")</f>
        <v/>
      </c>
      <c r="Z105" s="24" t="n"/>
    </row>
    <row r="106" ht="15" customHeight="1">
      <c r="A106" s="70">
        <f>IF(C106="","",IFERROR(IF(SUMPRODUCT(MAX((tbl_Finance[Job Number]&amp;""=C106&amp;"")*(tbl_Finance[Xero Invoice No]&lt;&gt;"")*tbl_Finance[Date]))=0,"",SUMPRODUCT(MAX((tbl_Finance[Job Number]&amp;""=C106&amp;"")*(tbl_Finance[Xero Invoice No]&lt;&gt;"")*tbl_Finance[Date]))),""))</f>
        <v/>
      </c>
      <c r="B106" s="25">
        <f>IF(C106="","",IF(COUNTIFS(tbl_Finance[Job Number],C106&amp;"",tbl_Finance[Xero Invoice No],"&lt;&gt;")=0,"",IFERROR(IF(COUNTIFS(tbl_Finance[Job Number],C106&amp;"",tbl_Finance[Xero Invoice No],LOOKUP(2,1/((tbl_Finance[Job Number]&amp;""=C106&amp;"")*(tbl_Finance[Xero Invoice No]&lt;&gt;"")),tbl_Finance[Xero Invoice No]))=COUNTIFS(tbl_Finance[Job Number],C106&amp;"",tbl_Finance[Xero Invoice No],"&lt;&gt;"),LOOKUP(2,1/((tbl_Finance[Job Number]&amp;""=C106&amp;"")*(tbl_Finance[Xero Invoice No]&lt;&gt;"")),tbl_Finance[Xero Invoice No]),LOOKUP(2,1/((tbl_Finance[Job Number]&amp;""=C106&amp;"")*(tbl_Finance[Xero Invoice No]&lt;&gt;"")),tbl_Finance[Xero Invoice No])&amp;" +more"),"")))</f>
        <v/>
      </c>
      <c r="C106" s="24" t="n"/>
      <c r="D106" s="25">
        <f>IF(C106="","",IF(COUNTIF(lst_Jobs,C106&amp;"")&gt;0,"OK","CHECK"))</f>
        <v/>
      </c>
      <c r="E106" s="25">
        <f>IF(C106="","",IFERROR(INDEX(lst_JobName,MATCH(C106&amp;"",lst_Jobs,0)),""))</f>
        <v/>
      </c>
      <c r="F106" s="25">
        <f>IF(C106="","",IFERROR(INDEX(tbl_Finance[Client],IFERROR(MATCH(C106&amp;"",tbl_Finance[Job Number],0),MATCH(IFERROR(C106+0,C106),tbl_Finance[Job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6" t="n"/>
      <c r="L106" s="27">
        <f>IF(C106="","",IF(K106="",0,MAX(0,K106-H106)))</f>
        <v/>
      </c>
      <c r="M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N106" s="24" t="n"/>
      <c r="O106" s="25">
        <f>IF(N106="","",HYPERLINK(IF(LEFT(N106,4)="http",N106,set_QwilrBase&amp;N106),"Open quote"))</f>
        <v/>
      </c>
      <c r="P106" s="26" t="n"/>
      <c r="Q106" s="26" t="n"/>
      <c r="R106" s="26" t="n"/>
      <c r="S106" s="25">
        <f>IF(C106="","",IF(N(P106)+N(Q106)+N(R106)=0,"Not split",IF(ROUND(N(P106)+N(Q106)+N(R106),2)=ROUND(H106+L106,2),"OK",IF(G106=0,"Not invoiced yet","MISMATCH"))))</f>
        <v/>
      </c>
      <c r="T106" s="26" t="n"/>
      <c r="U106" s="26" t="n"/>
      <c r="V106" s="26" t="n"/>
      <c r="W106" s="27">
        <f>IF(C106="","",N(T106)+N(U106)+N(V106))</f>
        <v/>
      </c>
      <c r="X106" s="27">
        <f>IF(C106="","",H106+L106-W106)</f>
        <v/>
      </c>
      <c r="Y106" s="29">
        <f>IFERROR(X106/(H106+L106),"")</f>
        <v/>
      </c>
      <c r="Z106" s="24" t="n"/>
    </row>
    <row r="107" ht="15" customHeight="1">
      <c r="A107" s="70">
        <f>IF(C107="","",IFERROR(IF(SUMPRODUCT(MAX((tbl_Finance[Job Number]&amp;""=C107&amp;"")*(tbl_Finance[Xero Invoice No]&lt;&gt;"")*tbl_Finance[Date]))=0,"",SUMPRODUCT(MAX((tbl_Finance[Job Number]&amp;""=C107&amp;"")*(tbl_Finance[Xero Invoice No]&lt;&gt;"")*tbl_Finance[Date]))),""))</f>
        <v/>
      </c>
      <c r="B107" s="25">
        <f>IF(C107="","",IF(COUNTIFS(tbl_Finance[Job Number],C107&amp;"",tbl_Finance[Xero Invoice No],"&lt;&gt;")=0,"",IFERROR(IF(COUNTIFS(tbl_Finance[Job Number],C107&amp;"",tbl_Finance[Xero Invoice No],LOOKUP(2,1/((tbl_Finance[Job Number]&amp;""=C107&amp;"")*(tbl_Finance[Xero Invoice No]&lt;&gt;"")),tbl_Finance[Xero Invoice No]))=COUNTIFS(tbl_Finance[Job Number],C107&amp;"",tbl_Finance[Xero Invoice No],"&lt;&gt;"),LOOKUP(2,1/((tbl_Finance[Job Number]&amp;""=C107&amp;"")*(tbl_Finance[Xero Invoice No]&lt;&gt;"")),tbl_Finance[Xero Invoice No]),LOOKUP(2,1/((tbl_Finance[Job Number]&amp;""=C107&amp;"")*(tbl_Finance[Xero Invoice No]&lt;&gt;"")),tbl_Finance[Xero Invoice No])&amp;" +more"),"")))</f>
        <v/>
      </c>
      <c r="C107" s="24" t="n"/>
      <c r="D107" s="25">
        <f>IF(C107="","",IF(COUNTIF(lst_Jobs,C107&amp;"")&gt;0,"OK","CHECK"))</f>
        <v/>
      </c>
      <c r="E107" s="25">
        <f>IF(C107="","",IFERROR(INDEX(lst_JobName,MATCH(C107&amp;"",lst_Jobs,0)),""))</f>
        <v/>
      </c>
      <c r="F107" s="25">
        <f>IF(C107="","",IFERROR(INDEX(tbl_Finance[Client],IFERROR(MATCH(C107&amp;"",tbl_Finance[Job Number],0),MATCH(IFERROR(C107+0,C107),tbl_Finance[Job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6" t="n"/>
      <c r="L107" s="27">
        <f>IF(C107="","",IF(K107="",0,MAX(0,K107-H107)))</f>
        <v/>
      </c>
      <c r="M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N107" s="24" t="n"/>
      <c r="O107" s="25">
        <f>IF(N107="","",HYPERLINK(IF(LEFT(N107,4)="http",N107,set_QwilrBase&amp;N107),"Open quote"))</f>
        <v/>
      </c>
      <c r="P107" s="26" t="n"/>
      <c r="Q107" s="26" t="n"/>
      <c r="R107" s="26" t="n"/>
      <c r="S107" s="25">
        <f>IF(C107="","",IF(N(P107)+N(Q107)+N(R107)=0,"Not split",IF(ROUND(N(P107)+N(Q107)+N(R107),2)=ROUND(H107+L107,2),"OK",IF(G107=0,"Not invoiced yet","MISMATCH"))))</f>
        <v/>
      </c>
      <c r="T107" s="26" t="n"/>
      <c r="U107" s="26" t="n"/>
      <c r="V107" s="26" t="n"/>
      <c r="W107" s="27">
        <f>IF(C107="","",N(T107)+N(U107)+N(V107))</f>
        <v/>
      </c>
      <c r="X107" s="27">
        <f>IF(C107="","",H107+L107-W107)</f>
        <v/>
      </c>
      <c r="Y107" s="29">
        <f>IFERROR(X107/(H107+L107),"")</f>
        <v/>
      </c>
      <c r="Z107" s="24" t="n"/>
    </row>
    <row r="108" ht="15" customHeight="1">
      <c r="A108" s="70">
        <f>IF(C108="","",IFERROR(IF(SUMPRODUCT(MAX((tbl_Finance[Job Number]&amp;""=C108&amp;"")*(tbl_Finance[Xero Invoice No]&lt;&gt;"")*tbl_Finance[Date]))=0,"",SUMPRODUCT(MAX((tbl_Finance[Job Number]&amp;""=C108&amp;"")*(tbl_Finance[Xero Invoice No]&lt;&gt;"")*tbl_Finance[Date]))),""))</f>
        <v/>
      </c>
      <c r="B108" s="25">
        <f>IF(C108="","",IF(COUNTIFS(tbl_Finance[Job Number],C108&amp;"",tbl_Finance[Xero Invoice No],"&lt;&gt;")=0,"",IFERROR(IF(COUNTIFS(tbl_Finance[Job Number],C108&amp;"",tbl_Finance[Xero Invoice No],LOOKUP(2,1/((tbl_Finance[Job Number]&amp;""=C108&amp;"")*(tbl_Finance[Xero Invoice No]&lt;&gt;"")),tbl_Finance[Xero Invoice No]))=COUNTIFS(tbl_Finance[Job Number],C108&amp;"",tbl_Finance[Xero Invoice No],"&lt;&gt;"),LOOKUP(2,1/((tbl_Finance[Job Number]&amp;""=C108&amp;"")*(tbl_Finance[Xero Invoice No]&lt;&gt;"")),tbl_Finance[Xero Invoice No]),LOOKUP(2,1/((tbl_Finance[Job Number]&amp;""=C108&amp;"")*(tbl_Finance[Xero Invoice No]&lt;&gt;"")),tbl_Finance[Xero Invoice No])&amp;" +more"),"")))</f>
        <v/>
      </c>
      <c r="C108" s="24" t="n"/>
      <c r="D108" s="25">
        <f>IF(C108="","",IF(COUNTIF(lst_Jobs,C108&amp;"")&gt;0,"OK","CHECK"))</f>
        <v/>
      </c>
      <c r="E108" s="25">
        <f>IF(C108="","",IFERROR(INDEX(lst_JobName,MATCH(C108&amp;"",lst_Jobs,0)),""))</f>
        <v/>
      </c>
      <c r="F108" s="25">
        <f>IF(C108="","",IFERROR(INDEX(tbl_Finance[Client],IFERROR(MATCH(C108&amp;"",tbl_Finance[Job Number],0),MATCH(IFERROR(C108+0,C108),tbl_Finance[Job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6" t="n"/>
      <c r="L108" s="27">
        <f>IF(C108="","",IF(K108="",0,MAX(0,K108-H108)))</f>
        <v/>
      </c>
      <c r="M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N108" s="24" t="n"/>
      <c r="O108" s="25">
        <f>IF(N108="","",HYPERLINK(IF(LEFT(N108,4)="http",N108,set_QwilrBase&amp;N108),"Open quote"))</f>
        <v/>
      </c>
      <c r="P108" s="26" t="n"/>
      <c r="Q108" s="26" t="n"/>
      <c r="R108" s="26" t="n"/>
      <c r="S108" s="25">
        <f>IF(C108="","",IF(N(P108)+N(Q108)+N(R108)=0,"Not split",IF(ROUND(N(P108)+N(Q108)+N(R108),2)=ROUND(H108+L108,2),"OK",IF(G108=0,"Not invoiced yet","MISMATCH"))))</f>
        <v/>
      </c>
      <c r="T108" s="26" t="n"/>
      <c r="U108" s="26" t="n"/>
      <c r="V108" s="26" t="n"/>
      <c r="W108" s="27">
        <f>IF(C108="","",N(T108)+N(U108)+N(V108))</f>
        <v/>
      </c>
      <c r="X108" s="27">
        <f>IF(C108="","",H108+L108-W108)</f>
        <v/>
      </c>
      <c r="Y108" s="29">
        <f>IFERROR(X108/(H108+L108),"")</f>
        <v/>
      </c>
      <c r="Z108" s="24" t="n"/>
    </row>
    <row r="109" ht="15" customHeight="1">
      <c r="A109" s="70">
        <f>IF(C109="","",IFERROR(IF(SUMPRODUCT(MAX((tbl_Finance[Job Number]&amp;""=C109&amp;"")*(tbl_Finance[Xero Invoice No]&lt;&gt;"")*tbl_Finance[Date]))=0,"",SUMPRODUCT(MAX((tbl_Finance[Job Number]&amp;""=C109&amp;"")*(tbl_Finance[Xero Invoice No]&lt;&gt;"")*tbl_Finance[Date]))),""))</f>
        <v/>
      </c>
      <c r="B109" s="25">
        <f>IF(C109="","",IF(COUNTIFS(tbl_Finance[Job Number],C109&amp;"",tbl_Finance[Xero Invoice No],"&lt;&gt;")=0,"",IFERROR(IF(COUNTIFS(tbl_Finance[Job Number],C109&amp;"",tbl_Finance[Xero Invoice No],LOOKUP(2,1/((tbl_Finance[Job Number]&amp;""=C109&amp;"")*(tbl_Finance[Xero Invoice No]&lt;&gt;"")),tbl_Finance[Xero Invoice No]))=COUNTIFS(tbl_Finance[Job Number],C109&amp;"",tbl_Finance[Xero Invoice No],"&lt;&gt;"),LOOKUP(2,1/((tbl_Finance[Job Number]&amp;""=C109&amp;"")*(tbl_Finance[Xero Invoice No]&lt;&gt;"")),tbl_Finance[Xero Invoice No]),LOOKUP(2,1/((tbl_Finance[Job Number]&amp;""=C109&amp;"")*(tbl_Finance[Xero Invoice No]&lt;&gt;"")),tbl_Finance[Xero Invoice No])&amp;" +more"),"")))</f>
        <v/>
      </c>
      <c r="C109" s="24" t="n"/>
      <c r="D109" s="25">
        <f>IF(C109="","",IF(COUNTIF(lst_Jobs,C109&amp;"")&gt;0,"OK","CHECK"))</f>
        <v/>
      </c>
      <c r="E109" s="25">
        <f>IF(C109="","",IFERROR(INDEX(lst_JobName,MATCH(C109&amp;"",lst_Jobs,0)),""))</f>
        <v/>
      </c>
      <c r="F109" s="25">
        <f>IF(C109="","",IFERROR(INDEX(tbl_Finance[Client],IFERROR(MATCH(C109&amp;"",tbl_Finance[Job Number],0),MATCH(IFERROR(C109+0,C109),tbl_Finance[Job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6" t="n"/>
      <c r="L109" s="27">
        <f>IF(C109="","",IF(K109="",0,MAX(0,K109-H109)))</f>
        <v/>
      </c>
      <c r="M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N109" s="24" t="n"/>
      <c r="O109" s="25">
        <f>IF(N109="","",HYPERLINK(IF(LEFT(N109,4)="http",N109,set_QwilrBase&amp;N109),"Open quote"))</f>
        <v/>
      </c>
      <c r="P109" s="26" t="n"/>
      <c r="Q109" s="26" t="n"/>
      <c r="R109" s="26" t="n"/>
      <c r="S109" s="25">
        <f>IF(C109="","",IF(N(P109)+N(Q109)+N(R109)=0,"Not split",IF(ROUND(N(P109)+N(Q109)+N(R109),2)=ROUND(H109+L109,2),"OK",IF(G109=0,"Not invoiced yet","MISMATCH"))))</f>
        <v/>
      </c>
      <c r="T109" s="26" t="n"/>
      <c r="U109" s="26" t="n"/>
      <c r="V109" s="26" t="n"/>
      <c r="W109" s="27">
        <f>IF(C109="","",N(T109)+N(U109)+N(V109))</f>
        <v/>
      </c>
      <c r="X109" s="27">
        <f>IF(C109="","",H109+L109-W109)</f>
        <v/>
      </c>
      <c r="Y109" s="29">
        <f>IFERROR(X109/(H109+L109),"")</f>
        <v/>
      </c>
      <c r="Z109" s="24" t="n"/>
    </row>
    <row r="110" ht="15" customHeight="1">
      <c r="A110" s="70">
        <f>IF(C110="","",IFERROR(IF(SUMPRODUCT(MAX((tbl_Finance[Job Number]&amp;""=C110&amp;"")*(tbl_Finance[Xero Invoice No]&lt;&gt;"")*tbl_Finance[Date]))=0,"",SUMPRODUCT(MAX((tbl_Finance[Job Number]&amp;""=C110&amp;"")*(tbl_Finance[Xero Invoice No]&lt;&gt;"")*tbl_Finance[Date]))),""))</f>
        <v/>
      </c>
      <c r="B110" s="25">
        <f>IF(C110="","",IF(COUNTIFS(tbl_Finance[Job Number],C110&amp;"",tbl_Finance[Xero Invoice No],"&lt;&gt;")=0,"",IFERROR(IF(COUNTIFS(tbl_Finance[Job Number],C110&amp;"",tbl_Finance[Xero Invoice No],LOOKUP(2,1/((tbl_Finance[Job Number]&amp;""=C110&amp;"")*(tbl_Finance[Xero Invoice No]&lt;&gt;"")),tbl_Finance[Xero Invoice No]))=COUNTIFS(tbl_Finance[Job Number],C110&amp;"",tbl_Finance[Xero Invoice No],"&lt;&gt;"),LOOKUP(2,1/((tbl_Finance[Job Number]&amp;""=C110&amp;"")*(tbl_Finance[Xero Invoice No]&lt;&gt;"")),tbl_Finance[Xero Invoice No]),LOOKUP(2,1/((tbl_Finance[Job Number]&amp;""=C110&amp;"")*(tbl_Finance[Xero Invoice No]&lt;&gt;"")),tbl_Finance[Xero Invoice No])&amp;" +more"),"")))</f>
        <v/>
      </c>
      <c r="C110" s="24" t="n"/>
      <c r="D110" s="25">
        <f>IF(C110="","",IF(COUNTIF(lst_Jobs,C110&amp;"")&gt;0,"OK","CHECK"))</f>
        <v/>
      </c>
      <c r="E110" s="25">
        <f>IF(C110="","",IFERROR(INDEX(lst_JobName,MATCH(C110&amp;"",lst_Jobs,0)),""))</f>
        <v/>
      </c>
      <c r="F110" s="25">
        <f>IF(C110="","",IFERROR(INDEX(tbl_Finance[Client],IFERROR(MATCH(C110&amp;"",tbl_Finance[Job Number],0),MATCH(IFERROR(C110+0,C110),tbl_Finance[Job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6" t="n"/>
      <c r="L110" s="27">
        <f>IF(C110="","",IF(K110="",0,MAX(0,K110-H110)))</f>
        <v/>
      </c>
      <c r="M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N110" s="24" t="n"/>
      <c r="O110" s="25">
        <f>IF(N110="","",HYPERLINK(IF(LEFT(N110,4)="http",N110,set_QwilrBase&amp;N110),"Open quote"))</f>
        <v/>
      </c>
      <c r="P110" s="26" t="n"/>
      <c r="Q110" s="26" t="n"/>
      <c r="R110" s="26" t="n"/>
      <c r="S110" s="25">
        <f>IF(C110="","",IF(N(P110)+N(Q110)+N(R110)=0,"Not split",IF(ROUND(N(P110)+N(Q110)+N(R110),2)=ROUND(H110+L110,2),"OK",IF(G110=0,"Not invoiced yet","MISMATCH"))))</f>
        <v/>
      </c>
      <c r="T110" s="26" t="n"/>
      <c r="U110" s="26" t="n"/>
      <c r="V110" s="26" t="n"/>
      <c r="W110" s="27">
        <f>IF(C110="","",N(T110)+N(U110)+N(V110))</f>
        <v/>
      </c>
      <c r="X110" s="27">
        <f>IF(C110="","",H110+L110-W110)</f>
        <v/>
      </c>
      <c r="Y110" s="29">
        <f>IFERROR(X110/(H110+L110),"")</f>
        <v/>
      </c>
      <c r="Z110" s="24" t="n"/>
    </row>
    <row r="111" ht="15" customHeight="1">
      <c r="A111" s="70">
        <f>IF(C111="","",IFERROR(IF(SUMPRODUCT(MAX((tbl_Finance[Job Number]&amp;""=C111&amp;"")*(tbl_Finance[Xero Invoice No]&lt;&gt;"")*tbl_Finance[Date]))=0,"",SUMPRODUCT(MAX((tbl_Finance[Job Number]&amp;""=C111&amp;"")*(tbl_Finance[Xero Invoice No]&lt;&gt;"")*tbl_Finance[Date]))),""))</f>
        <v/>
      </c>
      <c r="B111" s="25">
        <f>IF(C111="","",IF(COUNTIFS(tbl_Finance[Job Number],C111&amp;"",tbl_Finance[Xero Invoice No],"&lt;&gt;")=0,"",IFERROR(IF(COUNTIFS(tbl_Finance[Job Number],C111&amp;"",tbl_Finance[Xero Invoice No],LOOKUP(2,1/((tbl_Finance[Job Number]&amp;""=C111&amp;"")*(tbl_Finance[Xero Invoice No]&lt;&gt;"")),tbl_Finance[Xero Invoice No]))=COUNTIFS(tbl_Finance[Job Number],C111&amp;"",tbl_Finance[Xero Invoice No],"&lt;&gt;"),LOOKUP(2,1/((tbl_Finance[Job Number]&amp;""=C111&amp;"")*(tbl_Finance[Xero Invoice No]&lt;&gt;"")),tbl_Finance[Xero Invoice No]),LOOKUP(2,1/((tbl_Finance[Job Number]&amp;""=C111&amp;"")*(tbl_Finance[Xero Invoice No]&lt;&gt;"")),tbl_Finance[Xero Invoice No])&amp;" +more"),"")))</f>
        <v/>
      </c>
      <c r="C111" s="24" t="n"/>
      <c r="D111" s="25">
        <f>IF(C111="","",IF(COUNTIF(lst_Jobs,C111&amp;"")&gt;0,"OK","CHECK"))</f>
        <v/>
      </c>
      <c r="E111" s="25">
        <f>IF(C111="","",IFERROR(INDEX(lst_JobName,MATCH(C111&amp;"",lst_Jobs,0)),""))</f>
        <v/>
      </c>
      <c r="F111" s="25">
        <f>IF(C111="","",IFERROR(INDEX(tbl_Finance[Client],IFERROR(MATCH(C111&amp;"",tbl_Finance[Job Number],0),MATCH(IFERROR(C111+0,C111),tbl_Finance[Job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6" t="n"/>
      <c r="L111" s="27">
        <f>IF(C111="","",IF(K111="",0,MAX(0,K111-H111)))</f>
        <v/>
      </c>
      <c r="M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N111" s="24" t="n"/>
      <c r="O111" s="25">
        <f>IF(N111="","",HYPERLINK(IF(LEFT(N111,4)="http",N111,set_QwilrBase&amp;N111),"Open quote"))</f>
        <v/>
      </c>
      <c r="P111" s="26" t="n"/>
      <c r="Q111" s="26" t="n"/>
      <c r="R111" s="26" t="n"/>
      <c r="S111" s="25">
        <f>IF(C111="","",IF(N(P111)+N(Q111)+N(R111)=0,"Not split",IF(ROUND(N(P111)+N(Q111)+N(R111),2)=ROUND(H111+L111,2),"OK",IF(G111=0,"Not invoiced yet","MISMATCH"))))</f>
        <v/>
      </c>
      <c r="T111" s="26" t="n"/>
      <c r="U111" s="26" t="n"/>
      <c r="V111" s="26" t="n"/>
      <c r="W111" s="27">
        <f>IF(C111="","",N(T111)+N(U111)+N(V111))</f>
        <v/>
      </c>
      <c r="X111" s="27">
        <f>IF(C111="","",H111+L111-W111)</f>
        <v/>
      </c>
      <c r="Y111" s="29">
        <f>IFERROR(X111/(H111+L111),"")</f>
        <v/>
      </c>
      <c r="Z111" s="24" t="n"/>
    </row>
    <row r="112" ht="15" customHeight="1">
      <c r="A112" s="70">
        <f>IF(C112="","",IFERROR(IF(SUMPRODUCT(MAX((tbl_Finance[Job Number]&amp;""=C112&amp;"")*(tbl_Finance[Xero Invoice No]&lt;&gt;"")*tbl_Finance[Date]))=0,"",SUMPRODUCT(MAX((tbl_Finance[Job Number]&amp;""=C112&amp;"")*(tbl_Finance[Xero Invoice No]&lt;&gt;"")*tbl_Finance[Date]))),""))</f>
        <v/>
      </c>
      <c r="B112" s="25">
        <f>IF(C112="","",IF(COUNTIFS(tbl_Finance[Job Number],C112&amp;"",tbl_Finance[Xero Invoice No],"&lt;&gt;")=0,"",IFERROR(IF(COUNTIFS(tbl_Finance[Job Number],C112&amp;"",tbl_Finance[Xero Invoice No],LOOKUP(2,1/((tbl_Finance[Job Number]&amp;""=C112&amp;"")*(tbl_Finance[Xero Invoice No]&lt;&gt;"")),tbl_Finance[Xero Invoice No]))=COUNTIFS(tbl_Finance[Job Number],C112&amp;"",tbl_Finance[Xero Invoice No],"&lt;&gt;"),LOOKUP(2,1/((tbl_Finance[Job Number]&amp;""=C112&amp;"")*(tbl_Finance[Xero Invoice No]&lt;&gt;"")),tbl_Finance[Xero Invoice No]),LOOKUP(2,1/((tbl_Finance[Job Number]&amp;""=C112&amp;"")*(tbl_Finance[Xero Invoice No]&lt;&gt;"")),tbl_Finance[Xero Invoice No])&amp;" +more"),"")))</f>
        <v/>
      </c>
      <c r="C112" s="24" t="n"/>
      <c r="D112" s="25">
        <f>IF(C112="","",IF(COUNTIF(lst_Jobs,C112&amp;"")&gt;0,"OK","CHECK"))</f>
        <v/>
      </c>
      <c r="E112" s="25">
        <f>IF(C112="","",IFERROR(INDEX(lst_JobName,MATCH(C112&amp;"",lst_Jobs,0)),""))</f>
        <v/>
      </c>
      <c r="F112" s="25">
        <f>IF(C112="","",IFERROR(INDEX(tbl_Finance[Client],IFERROR(MATCH(C112&amp;"",tbl_Finance[Job Number],0),MATCH(IFERROR(C112+0,C112),tbl_Finance[Job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6" t="n"/>
      <c r="L112" s="27">
        <f>IF(C112="","",IF(K112="",0,MAX(0,K112-H112)))</f>
        <v/>
      </c>
      <c r="M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N112" s="24" t="n"/>
      <c r="O112" s="25">
        <f>IF(N112="","",HYPERLINK(IF(LEFT(N112,4)="http",N112,set_QwilrBase&amp;N112),"Open quote"))</f>
        <v/>
      </c>
      <c r="P112" s="26" t="n"/>
      <c r="Q112" s="26" t="n"/>
      <c r="R112" s="26" t="n"/>
      <c r="S112" s="25">
        <f>IF(C112="","",IF(N(P112)+N(Q112)+N(R112)=0,"Not split",IF(ROUND(N(P112)+N(Q112)+N(R112),2)=ROUND(H112+L112,2),"OK",IF(G112=0,"Not invoiced yet","MISMATCH"))))</f>
        <v/>
      </c>
      <c r="T112" s="26" t="n"/>
      <c r="U112" s="26" t="n"/>
      <c r="V112" s="26" t="n"/>
      <c r="W112" s="27">
        <f>IF(C112="","",N(T112)+N(U112)+N(V112))</f>
        <v/>
      </c>
      <c r="X112" s="27">
        <f>IF(C112="","",H112+L112-W112)</f>
        <v/>
      </c>
      <c r="Y112" s="29">
        <f>IFERROR(X112/(H112+L112),"")</f>
        <v/>
      </c>
      <c r="Z112" s="24" t="n"/>
    </row>
    <row r="113" ht="15" customHeight="1">
      <c r="A113" s="70">
        <f>IF(C113="","",IFERROR(IF(SUMPRODUCT(MAX((tbl_Finance[Job Number]&amp;""=C113&amp;"")*(tbl_Finance[Xero Invoice No]&lt;&gt;"")*tbl_Finance[Date]))=0,"",SUMPRODUCT(MAX((tbl_Finance[Job Number]&amp;""=C113&amp;"")*(tbl_Finance[Xero Invoice No]&lt;&gt;"")*tbl_Finance[Date]))),""))</f>
        <v/>
      </c>
      <c r="B113" s="25">
        <f>IF(C113="","",IF(COUNTIFS(tbl_Finance[Job Number],C113&amp;"",tbl_Finance[Xero Invoice No],"&lt;&gt;")=0,"",IFERROR(IF(COUNTIFS(tbl_Finance[Job Number],C113&amp;"",tbl_Finance[Xero Invoice No],LOOKUP(2,1/((tbl_Finance[Job Number]&amp;""=C113&amp;"")*(tbl_Finance[Xero Invoice No]&lt;&gt;"")),tbl_Finance[Xero Invoice No]))=COUNTIFS(tbl_Finance[Job Number],C113&amp;"",tbl_Finance[Xero Invoice No],"&lt;&gt;"),LOOKUP(2,1/((tbl_Finance[Job Number]&amp;""=C113&amp;"")*(tbl_Finance[Xero Invoice No]&lt;&gt;"")),tbl_Finance[Xero Invoice No]),LOOKUP(2,1/((tbl_Finance[Job Number]&amp;""=C113&amp;"")*(tbl_Finance[Xero Invoice No]&lt;&gt;"")),tbl_Finance[Xero Invoice No])&amp;" +more"),"")))</f>
        <v/>
      </c>
      <c r="C113" s="24" t="n"/>
      <c r="D113" s="25">
        <f>IF(C113="","",IF(COUNTIF(lst_Jobs,C113&amp;"")&gt;0,"OK","CHECK"))</f>
        <v/>
      </c>
      <c r="E113" s="25">
        <f>IF(C113="","",IFERROR(INDEX(lst_JobName,MATCH(C113&amp;"",lst_Jobs,0)),""))</f>
        <v/>
      </c>
      <c r="F113" s="25">
        <f>IF(C113="","",IFERROR(INDEX(tbl_Finance[Client],IFERROR(MATCH(C113&amp;"",tbl_Finance[Job Number],0),MATCH(IFERROR(C113+0,C113),tbl_Finance[Job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6" t="n"/>
      <c r="L113" s="27">
        <f>IF(C113="","",IF(K113="",0,MAX(0,K113-H113)))</f>
        <v/>
      </c>
      <c r="M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N113" s="24" t="n"/>
      <c r="O113" s="25">
        <f>IF(N113="","",HYPERLINK(IF(LEFT(N113,4)="http",N113,set_QwilrBase&amp;N113),"Open quote"))</f>
        <v/>
      </c>
      <c r="P113" s="26" t="n"/>
      <c r="Q113" s="26" t="n"/>
      <c r="R113" s="26" t="n"/>
      <c r="S113" s="25">
        <f>IF(C113="","",IF(N(P113)+N(Q113)+N(R113)=0,"Not split",IF(ROUND(N(P113)+N(Q113)+N(R113),2)=ROUND(H113+L113,2),"OK",IF(G113=0,"Not invoiced yet","MISMATCH"))))</f>
        <v/>
      </c>
      <c r="T113" s="26" t="n"/>
      <c r="U113" s="26" t="n"/>
      <c r="V113" s="26" t="n"/>
      <c r="W113" s="27">
        <f>IF(C113="","",N(T113)+N(U113)+N(V113))</f>
        <v/>
      </c>
      <c r="X113" s="27">
        <f>IF(C113="","",H113+L113-W113)</f>
        <v/>
      </c>
      <c r="Y113" s="29">
        <f>IFERROR(X113/(H113+L113),"")</f>
        <v/>
      </c>
      <c r="Z113" s="24" t="n"/>
    </row>
    <row r="114" ht="15" customHeight="1">
      <c r="A114" s="70">
        <f>IF(C114="","",IFERROR(IF(SUMPRODUCT(MAX((tbl_Finance[Job Number]&amp;""=C114&amp;"")*(tbl_Finance[Xero Invoice No]&lt;&gt;"")*tbl_Finance[Date]))=0,"",SUMPRODUCT(MAX((tbl_Finance[Job Number]&amp;""=C114&amp;"")*(tbl_Finance[Xero Invoice No]&lt;&gt;"")*tbl_Finance[Date]))),""))</f>
        <v/>
      </c>
      <c r="B114" s="25">
        <f>IF(C114="","",IF(COUNTIFS(tbl_Finance[Job Number],C114&amp;"",tbl_Finance[Xero Invoice No],"&lt;&gt;")=0,"",IFERROR(IF(COUNTIFS(tbl_Finance[Job Number],C114&amp;"",tbl_Finance[Xero Invoice No],LOOKUP(2,1/((tbl_Finance[Job Number]&amp;""=C114&amp;"")*(tbl_Finance[Xero Invoice No]&lt;&gt;"")),tbl_Finance[Xero Invoice No]))=COUNTIFS(tbl_Finance[Job Number],C114&amp;"",tbl_Finance[Xero Invoice No],"&lt;&gt;"),LOOKUP(2,1/((tbl_Finance[Job Number]&amp;""=C114&amp;"")*(tbl_Finance[Xero Invoice No]&lt;&gt;"")),tbl_Finance[Xero Invoice No]),LOOKUP(2,1/((tbl_Finance[Job Number]&amp;""=C114&amp;"")*(tbl_Finance[Xero Invoice No]&lt;&gt;"")),tbl_Finance[Xero Invoice No])&amp;" +more"),"")))</f>
        <v/>
      </c>
      <c r="C114" s="24" t="n"/>
      <c r="D114" s="25">
        <f>IF(C114="","",IF(COUNTIF(lst_Jobs,C114&amp;"")&gt;0,"OK","CHECK"))</f>
        <v/>
      </c>
      <c r="E114" s="25">
        <f>IF(C114="","",IFERROR(INDEX(lst_JobName,MATCH(C114&amp;"",lst_Jobs,0)),""))</f>
        <v/>
      </c>
      <c r="F114" s="25">
        <f>IF(C114="","",IFERROR(INDEX(tbl_Finance[Client],IFERROR(MATCH(C114&amp;"",tbl_Finance[Job Number],0),MATCH(IFERROR(C114+0,C114),tbl_Finance[Job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6" t="n"/>
      <c r="L114" s="27">
        <f>IF(C114="","",IF(K114="",0,MAX(0,K114-H114)))</f>
        <v/>
      </c>
      <c r="M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N114" s="24" t="n"/>
      <c r="O114" s="25">
        <f>IF(N114="","",HYPERLINK(IF(LEFT(N114,4)="http",N114,set_QwilrBase&amp;N114),"Open quote"))</f>
        <v/>
      </c>
      <c r="P114" s="26" t="n"/>
      <c r="Q114" s="26" t="n"/>
      <c r="R114" s="26" t="n"/>
      <c r="S114" s="25">
        <f>IF(C114="","",IF(N(P114)+N(Q114)+N(R114)=0,"Not split",IF(ROUND(N(P114)+N(Q114)+N(R114),2)=ROUND(H114+L114,2),"OK",IF(G114=0,"Not invoiced yet","MISMATCH"))))</f>
        <v/>
      </c>
      <c r="T114" s="26" t="n"/>
      <c r="U114" s="26" t="n"/>
      <c r="V114" s="26" t="n"/>
      <c r="W114" s="27">
        <f>IF(C114="","",N(T114)+N(U114)+N(V114))</f>
        <v/>
      </c>
      <c r="X114" s="27">
        <f>IF(C114="","",H114+L114-W114)</f>
        <v/>
      </c>
      <c r="Y114" s="29">
        <f>IFERROR(X114/(H114+L114),"")</f>
        <v/>
      </c>
      <c r="Z114" s="24" t="n"/>
    </row>
    <row r="115" ht="15" customHeight="1">
      <c r="A115" s="70">
        <f>IF(C115="","",IFERROR(IF(SUMPRODUCT(MAX((tbl_Finance[Job Number]&amp;""=C115&amp;"")*(tbl_Finance[Xero Invoice No]&lt;&gt;"")*tbl_Finance[Date]))=0,"",SUMPRODUCT(MAX((tbl_Finance[Job Number]&amp;""=C115&amp;"")*(tbl_Finance[Xero Invoice No]&lt;&gt;"")*tbl_Finance[Date]))),""))</f>
        <v/>
      </c>
      <c r="B115" s="25">
        <f>IF(C115="","",IF(COUNTIFS(tbl_Finance[Job Number],C115&amp;"",tbl_Finance[Xero Invoice No],"&lt;&gt;")=0,"",IFERROR(IF(COUNTIFS(tbl_Finance[Job Number],C115&amp;"",tbl_Finance[Xero Invoice No],LOOKUP(2,1/((tbl_Finance[Job Number]&amp;""=C115&amp;"")*(tbl_Finance[Xero Invoice No]&lt;&gt;"")),tbl_Finance[Xero Invoice No]))=COUNTIFS(tbl_Finance[Job Number],C115&amp;"",tbl_Finance[Xero Invoice No],"&lt;&gt;"),LOOKUP(2,1/((tbl_Finance[Job Number]&amp;""=C115&amp;"")*(tbl_Finance[Xero Invoice No]&lt;&gt;"")),tbl_Finance[Xero Invoice No]),LOOKUP(2,1/((tbl_Finance[Job Number]&amp;""=C115&amp;"")*(tbl_Finance[Xero Invoice No]&lt;&gt;"")),tbl_Finance[Xero Invoice No])&amp;" +more"),"")))</f>
        <v/>
      </c>
      <c r="C115" s="24" t="n"/>
      <c r="D115" s="25">
        <f>IF(C115="","",IF(COUNTIF(lst_Jobs,C115&amp;"")&gt;0,"OK","CHECK"))</f>
        <v/>
      </c>
      <c r="E115" s="25">
        <f>IF(C115="","",IFERROR(INDEX(lst_JobName,MATCH(C115&amp;"",lst_Jobs,0)),""))</f>
        <v/>
      </c>
      <c r="F115" s="25">
        <f>IF(C115="","",IFERROR(INDEX(tbl_Finance[Client],IFERROR(MATCH(C115&amp;"",tbl_Finance[Job Number],0),MATCH(IFERROR(C115+0,C115),tbl_Finance[Job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6" t="n"/>
      <c r="L115" s="27">
        <f>IF(C115="","",IF(K115="",0,MAX(0,K115-H115)))</f>
        <v/>
      </c>
      <c r="M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N115" s="24" t="n"/>
      <c r="O115" s="25">
        <f>IF(N115="","",HYPERLINK(IF(LEFT(N115,4)="http",N115,set_QwilrBase&amp;N115),"Open quote"))</f>
        <v/>
      </c>
      <c r="P115" s="26" t="n"/>
      <c r="Q115" s="26" t="n"/>
      <c r="R115" s="26" t="n"/>
      <c r="S115" s="25">
        <f>IF(C115="","",IF(N(P115)+N(Q115)+N(R115)=0,"Not split",IF(ROUND(N(P115)+N(Q115)+N(R115),2)=ROUND(H115+L115,2),"OK",IF(G115=0,"Not invoiced yet","MISMATCH"))))</f>
        <v/>
      </c>
      <c r="T115" s="26" t="n"/>
      <c r="U115" s="26" t="n"/>
      <c r="V115" s="26" t="n"/>
      <c r="W115" s="27">
        <f>IF(C115="","",N(T115)+N(U115)+N(V115))</f>
        <v/>
      </c>
      <c r="X115" s="27">
        <f>IF(C115="","",H115+L115-W115)</f>
        <v/>
      </c>
      <c r="Y115" s="29">
        <f>IFERROR(X115/(H115+L115),"")</f>
        <v/>
      </c>
      <c r="Z115" s="24" t="n"/>
    </row>
    <row r="116" ht="15" customHeight="1">
      <c r="A116" s="70">
        <f>IF(C116="","",IFERROR(IF(SUMPRODUCT(MAX((tbl_Finance[Job Number]&amp;""=C116&amp;"")*(tbl_Finance[Xero Invoice No]&lt;&gt;"")*tbl_Finance[Date]))=0,"",SUMPRODUCT(MAX((tbl_Finance[Job Number]&amp;""=C116&amp;"")*(tbl_Finance[Xero Invoice No]&lt;&gt;"")*tbl_Finance[Date]))),""))</f>
        <v/>
      </c>
      <c r="B116" s="25">
        <f>IF(C116="","",IF(COUNTIFS(tbl_Finance[Job Number],C116&amp;"",tbl_Finance[Xero Invoice No],"&lt;&gt;")=0,"",IFERROR(IF(COUNTIFS(tbl_Finance[Job Number],C116&amp;"",tbl_Finance[Xero Invoice No],LOOKUP(2,1/((tbl_Finance[Job Number]&amp;""=C116&amp;"")*(tbl_Finance[Xero Invoice No]&lt;&gt;"")),tbl_Finance[Xero Invoice No]))=COUNTIFS(tbl_Finance[Job Number],C116&amp;"",tbl_Finance[Xero Invoice No],"&lt;&gt;"),LOOKUP(2,1/((tbl_Finance[Job Number]&amp;""=C116&amp;"")*(tbl_Finance[Xero Invoice No]&lt;&gt;"")),tbl_Finance[Xero Invoice No]),LOOKUP(2,1/((tbl_Finance[Job Number]&amp;""=C116&amp;"")*(tbl_Finance[Xero Invoice No]&lt;&gt;"")),tbl_Finance[Xero Invoice No])&amp;" +more"),"")))</f>
        <v/>
      </c>
      <c r="C116" s="24" t="n"/>
      <c r="D116" s="25">
        <f>IF(C116="","",IF(COUNTIF(lst_Jobs,C116&amp;"")&gt;0,"OK","CHECK"))</f>
        <v/>
      </c>
      <c r="E116" s="25">
        <f>IF(C116="","",IFERROR(INDEX(lst_JobName,MATCH(C116&amp;"",lst_Jobs,0)),""))</f>
        <v/>
      </c>
      <c r="F116" s="25">
        <f>IF(C116="","",IFERROR(INDEX(tbl_Finance[Client],IFERROR(MATCH(C116&amp;"",tbl_Finance[Job Number],0),MATCH(IFERROR(C116+0,C116),tbl_Finance[Job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6" t="n"/>
      <c r="L116" s="27">
        <f>IF(C116="","",IF(K116="",0,MAX(0,K116-H116)))</f>
        <v/>
      </c>
      <c r="M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N116" s="24" t="n"/>
      <c r="O116" s="25">
        <f>IF(N116="","",HYPERLINK(IF(LEFT(N116,4)="http",N116,set_QwilrBase&amp;N116),"Open quote"))</f>
        <v/>
      </c>
      <c r="P116" s="26" t="n"/>
      <c r="Q116" s="26" t="n"/>
      <c r="R116" s="26" t="n"/>
      <c r="S116" s="25">
        <f>IF(C116="","",IF(N(P116)+N(Q116)+N(R116)=0,"Not split",IF(ROUND(N(P116)+N(Q116)+N(R116),2)=ROUND(H116+L116,2),"OK",IF(G116=0,"Not invoiced yet","MISMATCH"))))</f>
        <v/>
      </c>
      <c r="T116" s="26" t="n"/>
      <c r="U116" s="26" t="n"/>
      <c r="V116" s="26" t="n"/>
      <c r="W116" s="27">
        <f>IF(C116="","",N(T116)+N(U116)+N(V116))</f>
        <v/>
      </c>
      <c r="X116" s="27">
        <f>IF(C116="","",H116+L116-W116)</f>
        <v/>
      </c>
      <c r="Y116" s="29">
        <f>IFERROR(X116/(H116+L116),"")</f>
        <v/>
      </c>
      <c r="Z116" s="24" t="n"/>
    </row>
    <row r="117" ht="15" customHeight="1">
      <c r="A117" s="70">
        <f>IF(C117="","",IFERROR(IF(SUMPRODUCT(MAX((tbl_Finance[Job Number]&amp;""=C117&amp;"")*(tbl_Finance[Xero Invoice No]&lt;&gt;"")*tbl_Finance[Date]))=0,"",SUMPRODUCT(MAX((tbl_Finance[Job Number]&amp;""=C117&amp;"")*(tbl_Finance[Xero Invoice No]&lt;&gt;"")*tbl_Finance[Date]))),""))</f>
        <v/>
      </c>
      <c r="B117" s="25">
        <f>IF(C117="","",IF(COUNTIFS(tbl_Finance[Job Number],C117&amp;"",tbl_Finance[Xero Invoice No],"&lt;&gt;")=0,"",IFERROR(IF(COUNTIFS(tbl_Finance[Job Number],C117&amp;"",tbl_Finance[Xero Invoice No],LOOKUP(2,1/((tbl_Finance[Job Number]&amp;""=C117&amp;"")*(tbl_Finance[Xero Invoice No]&lt;&gt;"")),tbl_Finance[Xero Invoice No]))=COUNTIFS(tbl_Finance[Job Number],C117&amp;"",tbl_Finance[Xero Invoice No],"&lt;&gt;"),LOOKUP(2,1/((tbl_Finance[Job Number]&amp;""=C117&amp;"")*(tbl_Finance[Xero Invoice No]&lt;&gt;"")),tbl_Finance[Xero Invoice No]),LOOKUP(2,1/((tbl_Finance[Job Number]&amp;""=C117&amp;"")*(tbl_Finance[Xero Invoice No]&lt;&gt;"")),tbl_Finance[Xero Invoice No])&amp;" +more"),"")))</f>
        <v/>
      </c>
      <c r="C117" s="24" t="n"/>
      <c r="D117" s="25">
        <f>IF(C117="","",IF(COUNTIF(lst_Jobs,C117&amp;"")&gt;0,"OK","CHECK"))</f>
        <v/>
      </c>
      <c r="E117" s="25">
        <f>IF(C117="","",IFERROR(INDEX(lst_JobName,MATCH(C117&amp;"",lst_Jobs,0)),""))</f>
        <v/>
      </c>
      <c r="F117" s="25">
        <f>IF(C117="","",IFERROR(INDEX(tbl_Finance[Client],IFERROR(MATCH(C117&amp;"",tbl_Finance[Job Number],0),MATCH(IFERROR(C117+0,C117),tbl_Finance[Job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6" t="n"/>
      <c r="L117" s="27">
        <f>IF(C117="","",IF(K117="",0,MAX(0,K117-H117)))</f>
        <v/>
      </c>
      <c r="M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N117" s="24" t="n"/>
      <c r="O117" s="25">
        <f>IF(N117="","",HYPERLINK(IF(LEFT(N117,4)="http",N117,set_QwilrBase&amp;N117),"Open quote"))</f>
        <v/>
      </c>
      <c r="P117" s="26" t="n"/>
      <c r="Q117" s="26" t="n"/>
      <c r="R117" s="26" t="n"/>
      <c r="S117" s="25">
        <f>IF(C117="","",IF(N(P117)+N(Q117)+N(R117)=0,"Not split",IF(ROUND(N(P117)+N(Q117)+N(R117),2)=ROUND(H117+L117,2),"OK",IF(G117=0,"Not invoiced yet","MISMATCH"))))</f>
        <v/>
      </c>
      <c r="T117" s="26" t="n"/>
      <c r="U117" s="26" t="n"/>
      <c r="V117" s="26" t="n"/>
      <c r="W117" s="27">
        <f>IF(C117="","",N(T117)+N(U117)+N(V117))</f>
        <v/>
      </c>
      <c r="X117" s="27">
        <f>IF(C117="","",H117+L117-W117)</f>
        <v/>
      </c>
      <c r="Y117" s="29">
        <f>IFERROR(X117/(H117+L117),"")</f>
        <v/>
      </c>
      <c r="Z117" s="24" t="n"/>
    </row>
    <row r="118" ht="15" customHeight="1">
      <c r="A118" s="70">
        <f>IF(C118="","",IFERROR(IF(SUMPRODUCT(MAX((tbl_Finance[Job Number]&amp;""=C118&amp;"")*(tbl_Finance[Xero Invoice No]&lt;&gt;"")*tbl_Finance[Date]))=0,"",SUMPRODUCT(MAX((tbl_Finance[Job Number]&amp;""=C118&amp;"")*(tbl_Finance[Xero Invoice No]&lt;&gt;"")*tbl_Finance[Date]))),""))</f>
        <v/>
      </c>
      <c r="B118" s="25">
        <f>IF(C118="","",IF(COUNTIFS(tbl_Finance[Job Number],C118&amp;"",tbl_Finance[Xero Invoice No],"&lt;&gt;")=0,"",IFERROR(IF(COUNTIFS(tbl_Finance[Job Number],C118&amp;"",tbl_Finance[Xero Invoice No],LOOKUP(2,1/((tbl_Finance[Job Number]&amp;""=C118&amp;"")*(tbl_Finance[Xero Invoice No]&lt;&gt;"")),tbl_Finance[Xero Invoice No]))=COUNTIFS(tbl_Finance[Job Number],C118&amp;"",tbl_Finance[Xero Invoice No],"&lt;&gt;"),LOOKUP(2,1/((tbl_Finance[Job Number]&amp;""=C118&amp;"")*(tbl_Finance[Xero Invoice No]&lt;&gt;"")),tbl_Finance[Xero Invoice No]),LOOKUP(2,1/((tbl_Finance[Job Number]&amp;""=C118&amp;"")*(tbl_Finance[Xero Invoice No]&lt;&gt;"")),tbl_Finance[Xero Invoice No])&amp;" +more"),"")))</f>
        <v/>
      </c>
      <c r="C118" s="24" t="n"/>
      <c r="D118" s="25">
        <f>IF(C118="","",IF(COUNTIF(lst_Jobs,C118&amp;"")&gt;0,"OK","CHECK"))</f>
        <v/>
      </c>
      <c r="E118" s="25">
        <f>IF(C118="","",IFERROR(INDEX(lst_JobName,MATCH(C118&amp;"",lst_Jobs,0)),""))</f>
        <v/>
      </c>
      <c r="F118" s="25">
        <f>IF(C118="","",IFERROR(INDEX(tbl_Finance[Client],IFERROR(MATCH(C118&amp;"",tbl_Finance[Job Number],0),MATCH(IFERROR(C118+0,C118),tbl_Finance[Job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6" t="n"/>
      <c r="L118" s="27">
        <f>IF(C118="","",IF(K118="",0,MAX(0,K118-H118)))</f>
        <v/>
      </c>
      <c r="M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N118" s="24" t="n"/>
      <c r="O118" s="25">
        <f>IF(N118="","",HYPERLINK(IF(LEFT(N118,4)="http",N118,set_QwilrBase&amp;N118),"Open quote"))</f>
        <v/>
      </c>
      <c r="P118" s="26" t="n"/>
      <c r="Q118" s="26" t="n"/>
      <c r="R118" s="26" t="n"/>
      <c r="S118" s="25">
        <f>IF(C118="","",IF(N(P118)+N(Q118)+N(R118)=0,"Not split",IF(ROUND(N(P118)+N(Q118)+N(R118),2)=ROUND(H118+L118,2),"OK",IF(G118=0,"Not invoiced yet","MISMATCH"))))</f>
        <v/>
      </c>
      <c r="T118" s="26" t="n"/>
      <c r="U118" s="26" t="n"/>
      <c r="V118" s="26" t="n"/>
      <c r="W118" s="27">
        <f>IF(C118="","",N(T118)+N(U118)+N(V118))</f>
        <v/>
      </c>
      <c r="X118" s="27">
        <f>IF(C118="","",H118+L118-W118)</f>
        <v/>
      </c>
      <c r="Y118" s="29">
        <f>IFERROR(X118/(H118+L118),"")</f>
        <v/>
      </c>
      <c r="Z118" s="24" t="n"/>
    </row>
    <row r="119" ht="15" customHeight="1">
      <c r="A119" s="70">
        <f>IF(C119="","",IFERROR(IF(SUMPRODUCT(MAX((tbl_Finance[Job Number]&amp;""=C119&amp;"")*(tbl_Finance[Xero Invoice No]&lt;&gt;"")*tbl_Finance[Date]))=0,"",SUMPRODUCT(MAX((tbl_Finance[Job Number]&amp;""=C119&amp;"")*(tbl_Finance[Xero Invoice No]&lt;&gt;"")*tbl_Finance[Date]))),""))</f>
        <v/>
      </c>
      <c r="B119" s="25">
        <f>IF(C119="","",IF(COUNTIFS(tbl_Finance[Job Number],C119&amp;"",tbl_Finance[Xero Invoice No],"&lt;&gt;")=0,"",IFERROR(IF(COUNTIFS(tbl_Finance[Job Number],C119&amp;"",tbl_Finance[Xero Invoice No],LOOKUP(2,1/((tbl_Finance[Job Number]&amp;""=C119&amp;"")*(tbl_Finance[Xero Invoice No]&lt;&gt;"")),tbl_Finance[Xero Invoice No]))=COUNTIFS(tbl_Finance[Job Number],C119&amp;"",tbl_Finance[Xero Invoice No],"&lt;&gt;"),LOOKUP(2,1/((tbl_Finance[Job Number]&amp;""=C119&amp;"")*(tbl_Finance[Xero Invoice No]&lt;&gt;"")),tbl_Finance[Xero Invoice No]),LOOKUP(2,1/((tbl_Finance[Job Number]&amp;""=C119&amp;"")*(tbl_Finance[Xero Invoice No]&lt;&gt;"")),tbl_Finance[Xero Invoice No])&amp;" +more"),"")))</f>
        <v/>
      </c>
      <c r="C119" s="24" t="n"/>
      <c r="D119" s="25">
        <f>IF(C119="","",IF(COUNTIF(lst_Jobs,C119&amp;"")&gt;0,"OK","CHECK"))</f>
        <v/>
      </c>
      <c r="E119" s="25">
        <f>IF(C119="","",IFERROR(INDEX(lst_JobName,MATCH(C119&amp;"",lst_Jobs,0)),""))</f>
        <v/>
      </c>
      <c r="F119" s="25">
        <f>IF(C119="","",IFERROR(INDEX(tbl_Finance[Client],IFERROR(MATCH(C119&amp;"",tbl_Finance[Job Number],0),MATCH(IFERROR(C119+0,C119),tbl_Finance[Job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6" t="n"/>
      <c r="L119" s="27">
        <f>IF(C119="","",IF(K119="",0,MAX(0,K119-H119)))</f>
        <v/>
      </c>
      <c r="M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N119" s="24" t="n"/>
      <c r="O119" s="25">
        <f>IF(N119="","",HYPERLINK(IF(LEFT(N119,4)="http",N119,set_QwilrBase&amp;N119),"Open quote"))</f>
        <v/>
      </c>
      <c r="P119" s="26" t="n"/>
      <c r="Q119" s="26" t="n"/>
      <c r="R119" s="26" t="n"/>
      <c r="S119" s="25">
        <f>IF(C119="","",IF(N(P119)+N(Q119)+N(R119)=0,"Not split",IF(ROUND(N(P119)+N(Q119)+N(R119),2)=ROUND(H119+L119,2),"OK",IF(G119=0,"Not invoiced yet","MISMATCH"))))</f>
        <v/>
      </c>
      <c r="T119" s="26" t="n"/>
      <c r="U119" s="26" t="n"/>
      <c r="V119" s="26" t="n"/>
      <c r="W119" s="27">
        <f>IF(C119="","",N(T119)+N(U119)+N(V119))</f>
        <v/>
      </c>
      <c r="X119" s="27">
        <f>IF(C119="","",H119+L119-W119)</f>
        <v/>
      </c>
      <c r="Y119" s="29">
        <f>IFERROR(X119/(H119+L119),"")</f>
        <v/>
      </c>
      <c r="Z119" s="24" t="n"/>
    </row>
    <row r="120" ht="15" customHeight="1">
      <c r="A120" s="70">
        <f>IF(C120="","",IFERROR(IF(SUMPRODUCT(MAX((tbl_Finance[Job Number]&amp;""=C120&amp;"")*(tbl_Finance[Xero Invoice No]&lt;&gt;"")*tbl_Finance[Date]))=0,"",SUMPRODUCT(MAX((tbl_Finance[Job Number]&amp;""=C120&amp;"")*(tbl_Finance[Xero Invoice No]&lt;&gt;"")*tbl_Finance[Date]))),""))</f>
        <v/>
      </c>
      <c r="B120" s="25">
        <f>IF(C120="","",IF(COUNTIFS(tbl_Finance[Job Number],C120&amp;"",tbl_Finance[Xero Invoice No],"&lt;&gt;")=0,"",IFERROR(IF(COUNTIFS(tbl_Finance[Job Number],C120&amp;"",tbl_Finance[Xero Invoice No],LOOKUP(2,1/((tbl_Finance[Job Number]&amp;""=C120&amp;"")*(tbl_Finance[Xero Invoice No]&lt;&gt;"")),tbl_Finance[Xero Invoice No]))=COUNTIFS(tbl_Finance[Job Number],C120&amp;"",tbl_Finance[Xero Invoice No],"&lt;&gt;"),LOOKUP(2,1/((tbl_Finance[Job Number]&amp;""=C120&amp;"")*(tbl_Finance[Xero Invoice No]&lt;&gt;"")),tbl_Finance[Xero Invoice No]),LOOKUP(2,1/((tbl_Finance[Job Number]&amp;""=C120&amp;"")*(tbl_Finance[Xero Invoice No]&lt;&gt;"")),tbl_Finance[Xero Invoice No])&amp;" +more"),"")))</f>
        <v/>
      </c>
      <c r="C120" s="24" t="n"/>
      <c r="D120" s="25">
        <f>IF(C120="","",IF(COUNTIF(lst_Jobs,C120&amp;"")&gt;0,"OK","CHECK"))</f>
        <v/>
      </c>
      <c r="E120" s="25">
        <f>IF(C120="","",IFERROR(INDEX(lst_JobName,MATCH(C120&amp;"",lst_Jobs,0)),""))</f>
        <v/>
      </c>
      <c r="F120" s="25">
        <f>IF(C120="","",IFERROR(INDEX(tbl_Finance[Client],IFERROR(MATCH(C120&amp;"",tbl_Finance[Job Number],0),MATCH(IFERROR(C120+0,C120),tbl_Finance[Job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6" t="n"/>
      <c r="L120" s="27">
        <f>IF(C120="","",IF(K120="",0,MAX(0,K120-H120)))</f>
        <v/>
      </c>
      <c r="M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N120" s="24" t="n"/>
      <c r="O120" s="25">
        <f>IF(N120="","",HYPERLINK(IF(LEFT(N120,4)="http",N120,set_QwilrBase&amp;N120),"Open quote"))</f>
        <v/>
      </c>
      <c r="P120" s="26" t="n"/>
      <c r="Q120" s="26" t="n"/>
      <c r="R120" s="26" t="n"/>
      <c r="S120" s="25">
        <f>IF(C120="","",IF(N(P120)+N(Q120)+N(R120)=0,"Not split",IF(ROUND(N(P120)+N(Q120)+N(R120),2)=ROUND(H120+L120,2),"OK",IF(G120=0,"Not invoiced yet","MISMATCH"))))</f>
        <v/>
      </c>
      <c r="T120" s="26" t="n"/>
      <c r="U120" s="26" t="n"/>
      <c r="V120" s="26" t="n"/>
      <c r="W120" s="27">
        <f>IF(C120="","",N(T120)+N(U120)+N(V120))</f>
        <v/>
      </c>
      <c r="X120" s="27">
        <f>IF(C120="","",H120+L120-W120)</f>
        <v/>
      </c>
      <c r="Y120" s="29">
        <f>IFERROR(X120/(H120+L120),"")</f>
        <v/>
      </c>
      <c r="Z120" s="24" t="n"/>
    </row>
    <row r="121" ht="15" customHeight="1">
      <c r="A121" s="70">
        <f>IF(C121="","",IFERROR(IF(SUMPRODUCT(MAX((tbl_Finance[Job Number]&amp;""=C121&amp;"")*(tbl_Finance[Xero Invoice No]&lt;&gt;"")*tbl_Finance[Date]))=0,"",SUMPRODUCT(MAX((tbl_Finance[Job Number]&amp;""=C121&amp;"")*(tbl_Finance[Xero Invoice No]&lt;&gt;"")*tbl_Finance[Date]))),""))</f>
        <v/>
      </c>
      <c r="B121" s="25">
        <f>IF(C121="","",IF(COUNTIFS(tbl_Finance[Job Number],C121&amp;"",tbl_Finance[Xero Invoice No],"&lt;&gt;")=0,"",IFERROR(IF(COUNTIFS(tbl_Finance[Job Number],C121&amp;"",tbl_Finance[Xero Invoice No],LOOKUP(2,1/((tbl_Finance[Job Number]&amp;""=C121&amp;"")*(tbl_Finance[Xero Invoice No]&lt;&gt;"")),tbl_Finance[Xero Invoice No]))=COUNTIFS(tbl_Finance[Job Number],C121&amp;"",tbl_Finance[Xero Invoice No],"&lt;&gt;"),LOOKUP(2,1/((tbl_Finance[Job Number]&amp;""=C121&amp;"")*(tbl_Finance[Xero Invoice No]&lt;&gt;"")),tbl_Finance[Xero Invoice No]),LOOKUP(2,1/((tbl_Finance[Job Number]&amp;""=C121&amp;"")*(tbl_Finance[Xero Invoice No]&lt;&gt;"")),tbl_Finance[Xero Invoice No])&amp;" +more"),"")))</f>
        <v/>
      </c>
      <c r="C121" s="24" t="n"/>
      <c r="D121" s="25">
        <f>IF(C121="","",IF(COUNTIF(lst_Jobs,C121&amp;"")&gt;0,"OK","CHECK"))</f>
        <v/>
      </c>
      <c r="E121" s="25">
        <f>IF(C121="","",IFERROR(INDEX(lst_JobName,MATCH(C121&amp;"",lst_Jobs,0)),""))</f>
        <v/>
      </c>
      <c r="F121" s="25">
        <f>IF(C121="","",IFERROR(INDEX(tbl_Finance[Client],IFERROR(MATCH(C121&amp;"",tbl_Finance[Job Number],0),MATCH(IFERROR(C121+0,C121),tbl_Finance[Job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6" t="n"/>
      <c r="L121" s="27">
        <f>IF(C121="","",IF(K121="",0,MAX(0,K121-H121)))</f>
        <v/>
      </c>
      <c r="M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N121" s="24" t="n"/>
      <c r="O121" s="25">
        <f>IF(N121="","",HYPERLINK(IF(LEFT(N121,4)="http",N121,set_QwilrBase&amp;N121),"Open quote"))</f>
        <v/>
      </c>
      <c r="P121" s="26" t="n"/>
      <c r="Q121" s="26" t="n"/>
      <c r="R121" s="26" t="n"/>
      <c r="S121" s="25">
        <f>IF(C121="","",IF(N(P121)+N(Q121)+N(R121)=0,"Not split",IF(ROUND(N(P121)+N(Q121)+N(R121),2)=ROUND(H121+L121,2),"OK",IF(G121=0,"Not invoiced yet","MISMATCH"))))</f>
        <v/>
      </c>
      <c r="T121" s="26" t="n"/>
      <c r="U121" s="26" t="n"/>
      <c r="V121" s="26" t="n"/>
      <c r="W121" s="27">
        <f>IF(C121="","",N(T121)+N(U121)+N(V121))</f>
        <v/>
      </c>
      <c r="X121" s="27">
        <f>IF(C121="","",H121+L121-W121)</f>
        <v/>
      </c>
      <c r="Y121" s="29">
        <f>IFERROR(X121/(H121+L121),"")</f>
        <v/>
      </c>
      <c r="Z121" s="24" t="n"/>
    </row>
    <row r="122" ht="15" customHeight="1">
      <c r="A122" s="70">
        <f>IF(C122="","",IFERROR(IF(SUMPRODUCT(MAX((tbl_Finance[Job Number]&amp;""=C122&amp;"")*(tbl_Finance[Xero Invoice No]&lt;&gt;"")*tbl_Finance[Date]))=0,"",SUMPRODUCT(MAX((tbl_Finance[Job Number]&amp;""=C122&amp;"")*(tbl_Finance[Xero Invoice No]&lt;&gt;"")*tbl_Finance[Date]))),""))</f>
        <v/>
      </c>
      <c r="B122" s="25">
        <f>IF(C122="","",IF(COUNTIFS(tbl_Finance[Job Number],C122&amp;"",tbl_Finance[Xero Invoice No],"&lt;&gt;")=0,"",IFERROR(IF(COUNTIFS(tbl_Finance[Job Number],C122&amp;"",tbl_Finance[Xero Invoice No],LOOKUP(2,1/((tbl_Finance[Job Number]&amp;""=C122&amp;"")*(tbl_Finance[Xero Invoice No]&lt;&gt;"")),tbl_Finance[Xero Invoice No]))=COUNTIFS(tbl_Finance[Job Number],C122&amp;"",tbl_Finance[Xero Invoice No],"&lt;&gt;"),LOOKUP(2,1/((tbl_Finance[Job Number]&amp;""=C122&amp;"")*(tbl_Finance[Xero Invoice No]&lt;&gt;"")),tbl_Finance[Xero Invoice No]),LOOKUP(2,1/((tbl_Finance[Job Number]&amp;""=C122&amp;"")*(tbl_Finance[Xero Invoice No]&lt;&gt;"")),tbl_Finance[Xero Invoice No])&amp;" +more"),"")))</f>
        <v/>
      </c>
      <c r="C122" s="24" t="n"/>
      <c r="D122" s="25">
        <f>IF(C122="","",IF(COUNTIF(lst_Jobs,C122&amp;"")&gt;0,"OK","CHECK"))</f>
        <v/>
      </c>
      <c r="E122" s="25">
        <f>IF(C122="","",IFERROR(INDEX(lst_JobName,MATCH(C122&amp;"",lst_Jobs,0)),""))</f>
        <v/>
      </c>
      <c r="F122" s="25">
        <f>IF(C122="","",IFERROR(INDEX(tbl_Finance[Client],IFERROR(MATCH(C122&amp;"",tbl_Finance[Job Number],0),MATCH(IFERROR(C122+0,C122),tbl_Finance[Job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6" t="n"/>
      <c r="L122" s="27">
        <f>IF(C122="","",IF(K122="",0,MAX(0,K122-H122)))</f>
        <v/>
      </c>
      <c r="M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N122" s="24" t="n"/>
      <c r="O122" s="25">
        <f>IF(N122="","",HYPERLINK(IF(LEFT(N122,4)="http",N122,set_QwilrBase&amp;N122),"Open quote"))</f>
        <v/>
      </c>
      <c r="P122" s="26" t="n"/>
      <c r="Q122" s="26" t="n"/>
      <c r="R122" s="26" t="n"/>
      <c r="S122" s="25">
        <f>IF(C122="","",IF(N(P122)+N(Q122)+N(R122)=0,"Not split",IF(ROUND(N(P122)+N(Q122)+N(R122),2)=ROUND(H122+L122,2),"OK",IF(G122=0,"Not invoiced yet","MISMATCH"))))</f>
        <v/>
      </c>
      <c r="T122" s="26" t="n"/>
      <c r="U122" s="26" t="n"/>
      <c r="V122" s="26" t="n"/>
      <c r="W122" s="27">
        <f>IF(C122="","",N(T122)+N(U122)+N(V122))</f>
        <v/>
      </c>
      <c r="X122" s="27">
        <f>IF(C122="","",H122+L122-W122)</f>
        <v/>
      </c>
      <c r="Y122" s="29">
        <f>IFERROR(X122/(H122+L122),"")</f>
        <v/>
      </c>
      <c r="Z122" s="24" t="n"/>
    </row>
    <row r="123" ht="15" customHeight="1">
      <c r="A123" s="70">
        <f>IF(C123="","",IFERROR(IF(SUMPRODUCT(MAX((tbl_Finance[Job Number]&amp;""=C123&amp;"")*(tbl_Finance[Xero Invoice No]&lt;&gt;"")*tbl_Finance[Date]))=0,"",SUMPRODUCT(MAX((tbl_Finance[Job Number]&amp;""=C123&amp;"")*(tbl_Finance[Xero Invoice No]&lt;&gt;"")*tbl_Finance[Date]))),""))</f>
        <v/>
      </c>
      <c r="B123" s="25">
        <f>IF(C123="","",IF(COUNTIFS(tbl_Finance[Job Number],C123&amp;"",tbl_Finance[Xero Invoice No],"&lt;&gt;")=0,"",IFERROR(IF(COUNTIFS(tbl_Finance[Job Number],C123&amp;"",tbl_Finance[Xero Invoice No],LOOKUP(2,1/((tbl_Finance[Job Number]&amp;""=C123&amp;"")*(tbl_Finance[Xero Invoice No]&lt;&gt;"")),tbl_Finance[Xero Invoice No]))=COUNTIFS(tbl_Finance[Job Number],C123&amp;"",tbl_Finance[Xero Invoice No],"&lt;&gt;"),LOOKUP(2,1/((tbl_Finance[Job Number]&amp;""=C123&amp;"")*(tbl_Finance[Xero Invoice No]&lt;&gt;"")),tbl_Finance[Xero Invoice No]),LOOKUP(2,1/((tbl_Finance[Job Number]&amp;""=C123&amp;"")*(tbl_Finance[Xero Invoice No]&lt;&gt;"")),tbl_Finance[Xero Invoice No])&amp;" +more"),"")))</f>
        <v/>
      </c>
      <c r="C123" s="24" t="n"/>
      <c r="D123" s="25">
        <f>IF(C123="","",IF(COUNTIF(lst_Jobs,C123&amp;"")&gt;0,"OK","CHECK"))</f>
        <v/>
      </c>
      <c r="E123" s="25">
        <f>IF(C123="","",IFERROR(INDEX(lst_JobName,MATCH(C123&amp;"",lst_Jobs,0)),""))</f>
        <v/>
      </c>
      <c r="F123" s="25">
        <f>IF(C123="","",IFERROR(INDEX(tbl_Finance[Client],IFERROR(MATCH(C123&amp;"",tbl_Finance[Job Number],0),MATCH(IFERROR(C123+0,C123),tbl_Finance[Job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6" t="n"/>
      <c r="L123" s="27">
        <f>IF(C123="","",IF(K123="",0,MAX(0,K123-H123)))</f>
        <v/>
      </c>
      <c r="M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N123" s="24" t="n"/>
      <c r="O123" s="25">
        <f>IF(N123="","",HYPERLINK(IF(LEFT(N123,4)="http",N123,set_QwilrBase&amp;N123),"Open quote"))</f>
        <v/>
      </c>
      <c r="P123" s="26" t="n"/>
      <c r="Q123" s="26" t="n"/>
      <c r="R123" s="26" t="n"/>
      <c r="S123" s="25">
        <f>IF(C123="","",IF(N(P123)+N(Q123)+N(R123)=0,"Not split",IF(ROUND(N(P123)+N(Q123)+N(R123),2)=ROUND(H123+L123,2),"OK",IF(G123=0,"Not invoiced yet","MISMATCH"))))</f>
        <v/>
      </c>
      <c r="T123" s="26" t="n"/>
      <c r="U123" s="26" t="n"/>
      <c r="V123" s="26" t="n"/>
      <c r="W123" s="27">
        <f>IF(C123="","",N(T123)+N(U123)+N(V123))</f>
        <v/>
      </c>
      <c r="X123" s="27">
        <f>IF(C123="","",H123+L123-W123)</f>
        <v/>
      </c>
      <c r="Y123" s="29">
        <f>IFERROR(X123/(H123+L123),"")</f>
        <v/>
      </c>
      <c r="Z123" s="24" t="n"/>
    </row>
    <row r="124" ht="15" customHeight="1">
      <c r="A124" s="70">
        <f>IF(C124="","",IFERROR(IF(SUMPRODUCT(MAX((tbl_Finance[Job Number]&amp;""=C124&amp;"")*(tbl_Finance[Xero Invoice No]&lt;&gt;"")*tbl_Finance[Date]))=0,"",SUMPRODUCT(MAX((tbl_Finance[Job Number]&amp;""=C124&amp;"")*(tbl_Finance[Xero Invoice No]&lt;&gt;"")*tbl_Finance[Date]))),""))</f>
        <v/>
      </c>
      <c r="B124" s="25">
        <f>IF(C124="","",IF(COUNTIFS(tbl_Finance[Job Number],C124&amp;"",tbl_Finance[Xero Invoice No],"&lt;&gt;")=0,"",IFERROR(IF(COUNTIFS(tbl_Finance[Job Number],C124&amp;"",tbl_Finance[Xero Invoice No],LOOKUP(2,1/((tbl_Finance[Job Number]&amp;""=C124&amp;"")*(tbl_Finance[Xero Invoice No]&lt;&gt;"")),tbl_Finance[Xero Invoice No]))=COUNTIFS(tbl_Finance[Job Number],C124&amp;"",tbl_Finance[Xero Invoice No],"&lt;&gt;"),LOOKUP(2,1/((tbl_Finance[Job Number]&amp;""=C124&amp;"")*(tbl_Finance[Xero Invoice No]&lt;&gt;"")),tbl_Finance[Xero Invoice No]),LOOKUP(2,1/((tbl_Finance[Job Number]&amp;""=C124&amp;"")*(tbl_Finance[Xero Invoice No]&lt;&gt;"")),tbl_Finance[Xero Invoice No])&amp;" +more"),"")))</f>
        <v/>
      </c>
      <c r="C124" s="24" t="n"/>
      <c r="D124" s="25">
        <f>IF(C124="","",IF(COUNTIF(lst_Jobs,C124&amp;"")&gt;0,"OK","CHECK"))</f>
        <v/>
      </c>
      <c r="E124" s="25">
        <f>IF(C124="","",IFERROR(INDEX(lst_JobName,MATCH(C124&amp;"",lst_Jobs,0)),""))</f>
        <v/>
      </c>
      <c r="F124" s="25">
        <f>IF(C124="","",IFERROR(INDEX(tbl_Finance[Client],IFERROR(MATCH(C124&amp;"",tbl_Finance[Job Number],0),MATCH(IFERROR(C124+0,C124),tbl_Finance[Job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6" t="n"/>
      <c r="L124" s="27">
        <f>IF(C124="","",IF(K124="",0,MAX(0,K124-H124)))</f>
        <v/>
      </c>
      <c r="M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N124" s="24" t="n"/>
      <c r="O124" s="25">
        <f>IF(N124="","",HYPERLINK(IF(LEFT(N124,4)="http",N124,set_QwilrBase&amp;N124),"Open quote"))</f>
        <v/>
      </c>
      <c r="P124" s="26" t="n"/>
      <c r="Q124" s="26" t="n"/>
      <c r="R124" s="26" t="n"/>
      <c r="S124" s="25">
        <f>IF(C124="","",IF(N(P124)+N(Q124)+N(R124)=0,"Not split",IF(ROUND(N(P124)+N(Q124)+N(R124),2)=ROUND(H124+L124,2),"OK",IF(G124=0,"Not invoiced yet","MISMATCH"))))</f>
        <v/>
      </c>
      <c r="T124" s="26" t="n"/>
      <c r="U124" s="26" t="n"/>
      <c r="V124" s="26" t="n"/>
      <c r="W124" s="27">
        <f>IF(C124="","",N(T124)+N(U124)+N(V124))</f>
        <v/>
      </c>
      <c r="X124" s="27">
        <f>IF(C124="","",H124+L124-W124)</f>
        <v/>
      </c>
      <c r="Y124" s="29">
        <f>IFERROR(X124/(H124+L124),"")</f>
        <v/>
      </c>
      <c r="Z124" s="24" t="n"/>
    </row>
    <row r="125" ht="15" customHeight="1">
      <c r="A125" s="70">
        <f>IF(C125="","",IFERROR(IF(SUMPRODUCT(MAX((tbl_Finance[Job Number]&amp;""=C125&amp;"")*(tbl_Finance[Xero Invoice No]&lt;&gt;"")*tbl_Finance[Date]))=0,"",SUMPRODUCT(MAX((tbl_Finance[Job Number]&amp;""=C125&amp;"")*(tbl_Finance[Xero Invoice No]&lt;&gt;"")*tbl_Finance[Date]))),""))</f>
        <v/>
      </c>
      <c r="B125" s="25">
        <f>IF(C125="","",IF(COUNTIFS(tbl_Finance[Job Number],C125&amp;"",tbl_Finance[Xero Invoice No],"&lt;&gt;")=0,"",IFERROR(IF(COUNTIFS(tbl_Finance[Job Number],C125&amp;"",tbl_Finance[Xero Invoice No],LOOKUP(2,1/((tbl_Finance[Job Number]&amp;""=C125&amp;"")*(tbl_Finance[Xero Invoice No]&lt;&gt;"")),tbl_Finance[Xero Invoice No]))=COUNTIFS(tbl_Finance[Job Number],C125&amp;"",tbl_Finance[Xero Invoice No],"&lt;&gt;"),LOOKUP(2,1/((tbl_Finance[Job Number]&amp;""=C125&amp;"")*(tbl_Finance[Xero Invoice No]&lt;&gt;"")),tbl_Finance[Xero Invoice No]),LOOKUP(2,1/((tbl_Finance[Job Number]&amp;""=C125&amp;"")*(tbl_Finance[Xero Invoice No]&lt;&gt;"")),tbl_Finance[Xero Invoice No])&amp;" +more"),"")))</f>
        <v/>
      </c>
      <c r="C125" s="24" t="n"/>
      <c r="D125" s="25">
        <f>IF(C125="","",IF(COUNTIF(lst_Jobs,C125&amp;"")&gt;0,"OK","CHECK"))</f>
        <v/>
      </c>
      <c r="E125" s="25">
        <f>IF(C125="","",IFERROR(INDEX(lst_JobName,MATCH(C125&amp;"",lst_Jobs,0)),""))</f>
        <v/>
      </c>
      <c r="F125" s="25">
        <f>IF(C125="","",IFERROR(INDEX(tbl_Finance[Client],IFERROR(MATCH(C125&amp;"",tbl_Finance[Job Number],0),MATCH(IFERROR(C125+0,C125),tbl_Finance[Job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6" t="n"/>
      <c r="L125" s="27">
        <f>IF(C125="","",IF(K125="",0,MAX(0,K125-H125)))</f>
        <v/>
      </c>
      <c r="M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N125" s="24" t="n"/>
      <c r="O125" s="25">
        <f>IF(N125="","",HYPERLINK(IF(LEFT(N125,4)="http",N125,set_QwilrBase&amp;N125),"Open quote"))</f>
        <v/>
      </c>
      <c r="P125" s="26" t="n"/>
      <c r="Q125" s="26" t="n"/>
      <c r="R125" s="26" t="n"/>
      <c r="S125" s="25">
        <f>IF(C125="","",IF(N(P125)+N(Q125)+N(R125)=0,"Not split",IF(ROUND(N(P125)+N(Q125)+N(R125),2)=ROUND(H125+L125,2),"OK",IF(G125=0,"Not invoiced yet","MISMATCH"))))</f>
        <v/>
      </c>
      <c r="T125" s="26" t="n"/>
      <c r="U125" s="26" t="n"/>
      <c r="V125" s="26" t="n"/>
      <c r="W125" s="27">
        <f>IF(C125="","",N(T125)+N(U125)+N(V125))</f>
        <v/>
      </c>
      <c r="X125" s="27">
        <f>IF(C125="","",H125+L125-W125)</f>
        <v/>
      </c>
      <c r="Y125" s="29">
        <f>IFERROR(X125/(H125+L125),"")</f>
        <v/>
      </c>
      <c r="Z125" s="24" t="n"/>
    </row>
    <row r="126" ht="15" customHeight="1">
      <c r="A126" s="70">
        <f>IF(C126="","",IFERROR(IF(SUMPRODUCT(MAX((tbl_Finance[Job Number]&amp;""=C126&amp;"")*(tbl_Finance[Xero Invoice No]&lt;&gt;"")*tbl_Finance[Date]))=0,"",SUMPRODUCT(MAX((tbl_Finance[Job Number]&amp;""=C126&amp;"")*(tbl_Finance[Xero Invoice No]&lt;&gt;"")*tbl_Finance[Date]))),""))</f>
        <v/>
      </c>
      <c r="B126" s="25">
        <f>IF(C126="","",IF(COUNTIFS(tbl_Finance[Job Number],C126&amp;"",tbl_Finance[Xero Invoice No],"&lt;&gt;")=0,"",IFERROR(IF(COUNTIFS(tbl_Finance[Job Number],C126&amp;"",tbl_Finance[Xero Invoice No],LOOKUP(2,1/((tbl_Finance[Job Number]&amp;""=C126&amp;"")*(tbl_Finance[Xero Invoice No]&lt;&gt;"")),tbl_Finance[Xero Invoice No]))=COUNTIFS(tbl_Finance[Job Number],C126&amp;"",tbl_Finance[Xero Invoice No],"&lt;&gt;"),LOOKUP(2,1/((tbl_Finance[Job Number]&amp;""=C126&amp;"")*(tbl_Finance[Xero Invoice No]&lt;&gt;"")),tbl_Finance[Xero Invoice No]),LOOKUP(2,1/((tbl_Finance[Job Number]&amp;""=C126&amp;"")*(tbl_Finance[Xero Invoice No]&lt;&gt;"")),tbl_Finance[Xero Invoice No])&amp;" +more"),"")))</f>
        <v/>
      </c>
      <c r="C126" s="24" t="n"/>
      <c r="D126" s="25">
        <f>IF(C126="","",IF(COUNTIF(lst_Jobs,C126&amp;"")&gt;0,"OK","CHECK"))</f>
        <v/>
      </c>
      <c r="E126" s="25">
        <f>IF(C126="","",IFERROR(INDEX(lst_JobName,MATCH(C126&amp;"",lst_Jobs,0)),""))</f>
        <v/>
      </c>
      <c r="F126" s="25">
        <f>IF(C126="","",IFERROR(INDEX(tbl_Finance[Client],IFERROR(MATCH(C126&amp;"",tbl_Finance[Job Number],0),MATCH(IFERROR(C126+0,C126),tbl_Finance[Job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6" t="n"/>
      <c r="L126" s="27">
        <f>IF(C126="","",IF(K126="",0,MAX(0,K126-H126)))</f>
        <v/>
      </c>
      <c r="M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N126" s="24" t="n"/>
      <c r="O126" s="25">
        <f>IF(N126="","",HYPERLINK(IF(LEFT(N126,4)="http",N126,set_QwilrBase&amp;N126),"Open quote"))</f>
        <v/>
      </c>
      <c r="P126" s="26" t="n"/>
      <c r="Q126" s="26" t="n"/>
      <c r="R126" s="26" t="n"/>
      <c r="S126" s="25">
        <f>IF(C126="","",IF(N(P126)+N(Q126)+N(R126)=0,"Not split",IF(ROUND(N(P126)+N(Q126)+N(R126),2)=ROUND(H126+L126,2),"OK",IF(G126=0,"Not invoiced yet","MISMATCH"))))</f>
        <v/>
      </c>
      <c r="T126" s="26" t="n"/>
      <c r="U126" s="26" t="n"/>
      <c r="V126" s="26" t="n"/>
      <c r="W126" s="27">
        <f>IF(C126="","",N(T126)+N(U126)+N(V126))</f>
        <v/>
      </c>
      <c r="X126" s="27">
        <f>IF(C126="","",H126+L126-W126)</f>
        <v/>
      </c>
      <c r="Y126" s="29">
        <f>IFERROR(X126/(H126+L126),"")</f>
        <v/>
      </c>
      <c r="Z126" s="24" t="n"/>
    </row>
    <row r="127" ht="15" customHeight="1">
      <c r="A127" s="70">
        <f>IF(C127="","",IFERROR(IF(SUMPRODUCT(MAX((tbl_Finance[Job Number]&amp;""=C127&amp;"")*(tbl_Finance[Xero Invoice No]&lt;&gt;"")*tbl_Finance[Date]))=0,"",SUMPRODUCT(MAX((tbl_Finance[Job Number]&amp;""=C127&amp;"")*(tbl_Finance[Xero Invoice No]&lt;&gt;"")*tbl_Finance[Date]))),""))</f>
        <v/>
      </c>
      <c r="B127" s="25">
        <f>IF(C127="","",IF(COUNTIFS(tbl_Finance[Job Number],C127&amp;"",tbl_Finance[Xero Invoice No],"&lt;&gt;")=0,"",IFERROR(IF(COUNTIFS(tbl_Finance[Job Number],C127&amp;"",tbl_Finance[Xero Invoice No],LOOKUP(2,1/((tbl_Finance[Job Number]&amp;""=C127&amp;"")*(tbl_Finance[Xero Invoice No]&lt;&gt;"")),tbl_Finance[Xero Invoice No]))=COUNTIFS(tbl_Finance[Job Number],C127&amp;"",tbl_Finance[Xero Invoice No],"&lt;&gt;"),LOOKUP(2,1/((tbl_Finance[Job Number]&amp;""=C127&amp;"")*(tbl_Finance[Xero Invoice No]&lt;&gt;"")),tbl_Finance[Xero Invoice No]),LOOKUP(2,1/((tbl_Finance[Job Number]&amp;""=C127&amp;"")*(tbl_Finance[Xero Invoice No]&lt;&gt;"")),tbl_Finance[Xero Invoice No])&amp;" +more"),"")))</f>
        <v/>
      </c>
      <c r="C127" s="24" t="n"/>
      <c r="D127" s="25">
        <f>IF(C127="","",IF(COUNTIF(lst_Jobs,C127&amp;"")&gt;0,"OK","CHECK"))</f>
        <v/>
      </c>
      <c r="E127" s="25">
        <f>IF(C127="","",IFERROR(INDEX(lst_JobName,MATCH(C127&amp;"",lst_Jobs,0)),""))</f>
        <v/>
      </c>
      <c r="F127" s="25">
        <f>IF(C127="","",IFERROR(INDEX(tbl_Finance[Client],IFERROR(MATCH(C127&amp;"",tbl_Finance[Job Number],0),MATCH(IFERROR(C127+0,C127),tbl_Finance[Job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6" t="n"/>
      <c r="L127" s="27">
        <f>IF(C127="","",IF(K127="",0,MAX(0,K127-H127)))</f>
        <v/>
      </c>
      <c r="M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N127" s="24" t="n"/>
      <c r="O127" s="25">
        <f>IF(N127="","",HYPERLINK(IF(LEFT(N127,4)="http",N127,set_QwilrBase&amp;N127),"Open quote"))</f>
        <v/>
      </c>
      <c r="P127" s="26" t="n"/>
      <c r="Q127" s="26" t="n"/>
      <c r="R127" s="26" t="n"/>
      <c r="S127" s="25">
        <f>IF(C127="","",IF(N(P127)+N(Q127)+N(R127)=0,"Not split",IF(ROUND(N(P127)+N(Q127)+N(R127),2)=ROUND(H127+L127,2),"OK",IF(G127=0,"Not invoiced yet","MISMATCH"))))</f>
        <v/>
      </c>
      <c r="T127" s="26" t="n"/>
      <c r="U127" s="26" t="n"/>
      <c r="V127" s="26" t="n"/>
      <c r="W127" s="27">
        <f>IF(C127="","",N(T127)+N(U127)+N(V127))</f>
        <v/>
      </c>
      <c r="X127" s="27">
        <f>IF(C127="","",H127+L127-W127)</f>
        <v/>
      </c>
      <c r="Y127" s="29">
        <f>IFERROR(X127/(H127+L127),"")</f>
        <v/>
      </c>
      <c r="Z127" s="24" t="n"/>
    </row>
    <row r="128" ht="15" customHeight="1">
      <c r="A128" s="70">
        <f>IF(C128="","",IFERROR(IF(SUMPRODUCT(MAX((tbl_Finance[Job Number]&amp;""=C128&amp;"")*(tbl_Finance[Xero Invoice No]&lt;&gt;"")*tbl_Finance[Date]))=0,"",SUMPRODUCT(MAX((tbl_Finance[Job Number]&amp;""=C128&amp;"")*(tbl_Finance[Xero Invoice No]&lt;&gt;"")*tbl_Finance[Date]))),""))</f>
        <v/>
      </c>
      <c r="B128" s="25">
        <f>IF(C128="","",IF(COUNTIFS(tbl_Finance[Job Number],C128&amp;"",tbl_Finance[Xero Invoice No],"&lt;&gt;")=0,"",IFERROR(IF(COUNTIFS(tbl_Finance[Job Number],C128&amp;"",tbl_Finance[Xero Invoice No],LOOKUP(2,1/((tbl_Finance[Job Number]&amp;""=C128&amp;"")*(tbl_Finance[Xero Invoice No]&lt;&gt;"")),tbl_Finance[Xero Invoice No]))=COUNTIFS(tbl_Finance[Job Number],C128&amp;"",tbl_Finance[Xero Invoice No],"&lt;&gt;"),LOOKUP(2,1/((tbl_Finance[Job Number]&amp;""=C128&amp;"")*(tbl_Finance[Xero Invoice No]&lt;&gt;"")),tbl_Finance[Xero Invoice No]),LOOKUP(2,1/((tbl_Finance[Job Number]&amp;""=C128&amp;"")*(tbl_Finance[Xero Invoice No]&lt;&gt;"")),tbl_Finance[Xero Invoice No])&amp;" +more"),"")))</f>
        <v/>
      </c>
      <c r="C128" s="24" t="n"/>
      <c r="D128" s="25">
        <f>IF(C128="","",IF(COUNTIF(lst_Jobs,C128&amp;"")&gt;0,"OK","CHECK"))</f>
        <v/>
      </c>
      <c r="E128" s="25">
        <f>IF(C128="","",IFERROR(INDEX(lst_JobName,MATCH(C128&amp;"",lst_Jobs,0)),""))</f>
        <v/>
      </c>
      <c r="F128" s="25">
        <f>IF(C128="","",IFERROR(INDEX(tbl_Finance[Client],IFERROR(MATCH(C128&amp;"",tbl_Finance[Job Number],0),MATCH(IFERROR(C128+0,C128),tbl_Finance[Job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6" t="n"/>
      <c r="L128" s="27">
        <f>IF(C128="","",IF(K128="",0,MAX(0,K128-H128)))</f>
        <v/>
      </c>
      <c r="M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N128" s="24" t="n"/>
      <c r="O128" s="25">
        <f>IF(N128="","",HYPERLINK(IF(LEFT(N128,4)="http",N128,set_QwilrBase&amp;N128),"Open quote"))</f>
        <v/>
      </c>
      <c r="P128" s="26" t="n"/>
      <c r="Q128" s="26" t="n"/>
      <c r="R128" s="26" t="n"/>
      <c r="S128" s="25">
        <f>IF(C128="","",IF(N(P128)+N(Q128)+N(R128)=0,"Not split",IF(ROUND(N(P128)+N(Q128)+N(R128),2)=ROUND(H128+L128,2),"OK",IF(G128=0,"Not invoiced yet","MISMATCH"))))</f>
        <v/>
      </c>
      <c r="T128" s="26" t="n"/>
      <c r="U128" s="26" t="n"/>
      <c r="V128" s="26" t="n"/>
      <c r="W128" s="27">
        <f>IF(C128="","",N(T128)+N(U128)+N(V128))</f>
        <v/>
      </c>
      <c r="X128" s="27">
        <f>IF(C128="","",H128+L128-W128)</f>
        <v/>
      </c>
      <c r="Y128" s="29">
        <f>IFERROR(X128/(H128+L128),"")</f>
        <v/>
      </c>
      <c r="Z128" s="24" t="n"/>
    </row>
    <row r="129" ht="15" customHeight="1">
      <c r="A129" s="70">
        <f>IF(C129="","",IFERROR(IF(SUMPRODUCT(MAX((tbl_Finance[Job Number]&amp;""=C129&amp;"")*(tbl_Finance[Xero Invoice No]&lt;&gt;"")*tbl_Finance[Date]))=0,"",SUMPRODUCT(MAX((tbl_Finance[Job Number]&amp;""=C129&amp;"")*(tbl_Finance[Xero Invoice No]&lt;&gt;"")*tbl_Finance[Date]))),""))</f>
        <v/>
      </c>
      <c r="B129" s="25">
        <f>IF(C129="","",IF(COUNTIFS(tbl_Finance[Job Number],C129&amp;"",tbl_Finance[Xero Invoice No],"&lt;&gt;")=0,"",IFERROR(IF(COUNTIFS(tbl_Finance[Job Number],C129&amp;"",tbl_Finance[Xero Invoice No],LOOKUP(2,1/((tbl_Finance[Job Number]&amp;""=C129&amp;"")*(tbl_Finance[Xero Invoice No]&lt;&gt;"")),tbl_Finance[Xero Invoice No]))=COUNTIFS(tbl_Finance[Job Number],C129&amp;"",tbl_Finance[Xero Invoice No],"&lt;&gt;"),LOOKUP(2,1/((tbl_Finance[Job Number]&amp;""=C129&amp;"")*(tbl_Finance[Xero Invoice No]&lt;&gt;"")),tbl_Finance[Xero Invoice No]),LOOKUP(2,1/((tbl_Finance[Job Number]&amp;""=C129&amp;"")*(tbl_Finance[Xero Invoice No]&lt;&gt;"")),tbl_Finance[Xero Invoice No])&amp;" +more"),"")))</f>
        <v/>
      </c>
      <c r="C129" s="24" t="n"/>
      <c r="D129" s="25">
        <f>IF(C129="","",IF(COUNTIF(lst_Jobs,C129&amp;"")&gt;0,"OK","CHECK"))</f>
        <v/>
      </c>
      <c r="E129" s="25">
        <f>IF(C129="","",IFERROR(INDEX(lst_JobName,MATCH(C129&amp;"",lst_Jobs,0)),""))</f>
        <v/>
      </c>
      <c r="F129" s="25">
        <f>IF(C129="","",IFERROR(INDEX(tbl_Finance[Client],IFERROR(MATCH(C129&amp;"",tbl_Finance[Job Number],0),MATCH(IFERROR(C129+0,C129),tbl_Finance[Job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6" t="n"/>
      <c r="L129" s="27">
        <f>IF(C129="","",IF(K129="",0,MAX(0,K129-H129)))</f>
        <v/>
      </c>
      <c r="M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N129" s="24" t="n"/>
      <c r="O129" s="25">
        <f>IF(N129="","",HYPERLINK(IF(LEFT(N129,4)="http",N129,set_QwilrBase&amp;N129),"Open quote"))</f>
        <v/>
      </c>
      <c r="P129" s="26" t="n"/>
      <c r="Q129" s="26" t="n"/>
      <c r="R129" s="26" t="n"/>
      <c r="S129" s="25">
        <f>IF(C129="","",IF(N(P129)+N(Q129)+N(R129)=0,"Not split",IF(ROUND(N(P129)+N(Q129)+N(R129),2)=ROUND(H129+L129,2),"OK",IF(G129=0,"Not invoiced yet","MISMATCH"))))</f>
        <v/>
      </c>
      <c r="T129" s="26" t="n"/>
      <c r="U129" s="26" t="n"/>
      <c r="V129" s="26" t="n"/>
      <c r="W129" s="27">
        <f>IF(C129="","",N(T129)+N(U129)+N(V129))</f>
        <v/>
      </c>
      <c r="X129" s="27">
        <f>IF(C129="","",H129+L129-W129)</f>
        <v/>
      </c>
      <c r="Y129" s="29">
        <f>IFERROR(X129/(H129+L129),"")</f>
        <v/>
      </c>
      <c r="Z129" s="24" t="n"/>
    </row>
    <row r="130" ht="15" customHeight="1">
      <c r="A130" s="70">
        <f>IF(C130="","",IFERROR(IF(SUMPRODUCT(MAX((tbl_Finance[Job Number]&amp;""=C130&amp;"")*(tbl_Finance[Xero Invoice No]&lt;&gt;"")*tbl_Finance[Date]))=0,"",SUMPRODUCT(MAX((tbl_Finance[Job Number]&amp;""=C130&amp;"")*(tbl_Finance[Xero Invoice No]&lt;&gt;"")*tbl_Finance[Date]))),""))</f>
        <v/>
      </c>
      <c r="B130" s="25">
        <f>IF(C130="","",IF(COUNTIFS(tbl_Finance[Job Number],C130&amp;"",tbl_Finance[Xero Invoice No],"&lt;&gt;")=0,"",IFERROR(IF(COUNTIFS(tbl_Finance[Job Number],C130&amp;"",tbl_Finance[Xero Invoice No],LOOKUP(2,1/((tbl_Finance[Job Number]&amp;""=C130&amp;"")*(tbl_Finance[Xero Invoice No]&lt;&gt;"")),tbl_Finance[Xero Invoice No]))=COUNTIFS(tbl_Finance[Job Number],C130&amp;"",tbl_Finance[Xero Invoice No],"&lt;&gt;"),LOOKUP(2,1/((tbl_Finance[Job Number]&amp;""=C130&amp;"")*(tbl_Finance[Xero Invoice No]&lt;&gt;"")),tbl_Finance[Xero Invoice No]),LOOKUP(2,1/((tbl_Finance[Job Number]&amp;""=C130&amp;"")*(tbl_Finance[Xero Invoice No]&lt;&gt;"")),tbl_Finance[Xero Invoice No])&amp;" +more"),"")))</f>
        <v/>
      </c>
      <c r="C130" s="24" t="n"/>
      <c r="D130" s="25">
        <f>IF(C130="","",IF(COUNTIF(lst_Jobs,C130&amp;"")&gt;0,"OK","CHECK"))</f>
        <v/>
      </c>
      <c r="E130" s="25">
        <f>IF(C130="","",IFERROR(INDEX(lst_JobName,MATCH(C130&amp;"",lst_Jobs,0)),""))</f>
        <v/>
      </c>
      <c r="F130" s="25">
        <f>IF(C130="","",IFERROR(INDEX(tbl_Finance[Client],IFERROR(MATCH(C130&amp;"",tbl_Finance[Job Number],0),MATCH(IFERROR(C130+0,C130),tbl_Finance[Job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6" t="n"/>
      <c r="L130" s="27">
        <f>IF(C130="","",IF(K130="",0,MAX(0,K130-H130)))</f>
        <v/>
      </c>
      <c r="M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N130" s="24" t="n"/>
      <c r="O130" s="25">
        <f>IF(N130="","",HYPERLINK(IF(LEFT(N130,4)="http",N130,set_QwilrBase&amp;N130),"Open quote"))</f>
        <v/>
      </c>
      <c r="P130" s="26" t="n"/>
      <c r="Q130" s="26" t="n"/>
      <c r="R130" s="26" t="n"/>
      <c r="S130" s="25">
        <f>IF(C130="","",IF(N(P130)+N(Q130)+N(R130)=0,"Not split",IF(ROUND(N(P130)+N(Q130)+N(R130),2)=ROUND(H130+L130,2),"OK",IF(G130=0,"Not invoiced yet","MISMATCH"))))</f>
        <v/>
      </c>
      <c r="T130" s="26" t="n"/>
      <c r="U130" s="26" t="n"/>
      <c r="V130" s="26" t="n"/>
      <c r="W130" s="27">
        <f>IF(C130="","",N(T130)+N(U130)+N(V130))</f>
        <v/>
      </c>
      <c r="X130" s="27">
        <f>IF(C130="","",H130+L130-W130)</f>
        <v/>
      </c>
      <c r="Y130" s="29">
        <f>IFERROR(X130/(H130+L130),"")</f>
        <v/>
      </c>
      <c r="Z130" s="24" t="n"/>
    </row>
    <row r="131" ht="15" customHeight="1">
      <c r="A131" s="70">
        <f>IF(C131="","",IFERROR(IF(SUMPRODUCT(MAX((tbl_Finance[Job Number]&amp;""=C131&amp;"")*(tbl_Finance[Xero Invoice No]&lt;&gt;"")*tbl_Finance[Date]))=0,"",SUMPRODUCT(MAX((tbl_Finance[Job Number]&amp;""=C131&amp;"")*(tbl_Finance[Xero Invoice No]&lt;&gt;"")*tbl_Finance[Date]))),""))</f>
        <v/>
      </c>
      <c r="B131" s="25">
        <f>IF(C131="","",IF(COUNTIFS(tbl_Finance[Job Number],C131&amp;"",tbl_Finance[Xero Invoice No],"&lt;&gt;")=0,"",IFERROR(IF(COUNTIFS(tbl_Finance[Job Number],C131&amp;"",tbl_Finance[Xero Invoice No],LOOKUP(2,1/((tbl_Finance[Job Number]&amp;""=C131&amp;"")*(tbl_Finance[Xero Invoice No]&lt;&gt;"")),tbl_Finance[Xero Invoice No]))=COUNTIFS(tbl_Finance[Job Number],C131&amp;"",tbl_Finance[Xero Invoice No],"&lt;&gt;"),LOOKUP(2,1/((tbl_Finance[Job Number]&amp;""=C131&amp;"")*(tbl_Finance[Xero Invoice No]&lt;&gt;"")),tbl_Finance[Xero Invoice No]),LOOKUP(2,1/((tbl_Finance[Job Number]&amp;""=C131&amp;"")*(tbl_Finance[Xero Invoice No]&lt;&gt;"")),tbl_Finance[Xero Invoice No])&amp;" +more"),"")))</f>
        <v/>
      </c>
      <c r="C131" s="24" t="n"/>
      <c r="D131" s="25">
        <f>IF(C131="","",IF(COUNTIF(lst_Jobs,C131&amp;"")&gt;0,"OK","CHECK"))</f>
        <v/>
      </c>
      <c r="E131" s="25">
        <f>IF(C131="","",IFERROR(INDEX(lst_JobName,MATCH(C131&amp;"",lst_Jobs,0)),""))</f>
        <v/>
      </c>
      <c r="F131" s="25">
        <f>IF(C131="","",IFERROR(INDEX(tbl_Finance[Client],IFERROR(MATCH(C131&amp;"",tbl_Finance[Job Number],0),MATCH(IFERROR(C131+0,C131),tbl_Finance[Job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6" t="n"/>
      <c r="L131" s="27">
        <f>IF(C131="","",IF(K131="",0,MAX(0,K131-H131)))</f>
        <v/>
      </c>
      <c r="M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N131" s="24" t="n"/>
      <c r="O131" s="25">
        <f>IF(N131="","",HYPERLINK(IF(LEFT(N131,4)="http",N131,set_QwilrBase&amp;N131),"Open quote"))</f>
        <v/>
      </c>
      <c r="P131" s="26" t="n"/>
      <c r="Q131" s="26" t="n"/>
      <c r="R131" s="26" t="n"/>
      <c r="S131" s="25">
        <f>IF(C131="","",IF(N(P131)+N(Q131)+N(R131)=0,"Not split",IF(ROUND(N(P131)+N(Q131)+N(R131),2)=ROUND(H131+L131,2),"OK",IF(G131=0,"Not invoiced yet","MISMATCH"))))</f>
        <v/>
      </c>
      <c r="T131" s="26" t="n"/>
      <c r="U131" s="26" t="n"/>
      <c r="V131" s="26" t="n"/>
      <c r="W131" s="27">
        <f>IF(C131="","",N(T131)+N(U131)+N(V131))</f>
        <v/>
      </c>
      <c r="X131" s="27">
        <f>IF(C131="","",H131+L131-W131)</f>
        <v/>
      </c>
      <c r="Y131" s="29">
        <f>IFERROR(X131/(H131+L131),"")</f>
        <v/>
      </c>
      <c r="Z131" s="24" t="n"/>
    </row>
    <row r="132" ht="15" customHeight="1">
      <c r="A132" s="70">
        <f>IF(C132="","",IFERROR(IF(SUMPRODUCT(MAX((tbl_Finance[Job Number]&amp;""=C132&amp;"")*(tbl_Finance[Xero Invoice No]&lt;&gt;"")*tbl_Finance[Date]))=0,"",SUMPRODUCT(MAX((tbl_Finance[Job Number]&amp;""=C132&amp;"")*(tbl_Finance[Xero Invoice No]&lt;&gt;"")*tbl_Finance[Date]))),""))</f>
        <v/>
      </c>
      <c r="B132" s="25">
        <f>IF(C132="","",IF(COUNTIFS(tbl_Finance[Job Number],C132&amp;"",tbl_Finance[Xero Invoice No],"&lt;&gt;")=0,"",IFERROR(IF(COUNTIFS(tbl_Finance[Job Number],C132&amp;"",tbl_Finance[Xero Invoice No],LOOKUP(2,1/((tbl_Finance[Job Number]&amp;""=C132&amp;"")*(tbl_Finance[Xero Invoice No]&lt;&gt;"")),tbl_Finance[Xero Invoice No]))=COUNTIFS(tbl_Finance[Job Number],C132&amp;"",tbl_Finance[Xero Invoice No],"&lt;&gt;"),LOOKUP(2,1/((tbl_Finance[Job Number]&amp;""=C132&amp;"")*(tbl_Finance[Xero Invoice No]&lt;&gt;"")),tbl_Finance[Xero Invoice No]),LOOKUP(2,1/((tbl_Finance[Job Number]&amp;""=C132&amp;"")*(tbl_Finance[Xero Invoice No]&lt;&gt;"")),tbl_Finance[Xero Invoice No])&amp;" +more"),"")))</f>
        <v/>
      </c>
      <c r="C132" s="24" t="n"/>
      <c r="D132" s="25">
        <f>IF(C132="","",IF(COUNTIF(lst_Jobs,C132&amp;"")&gt;0,"OK","CHECK"))</f>
        <v/>
      </c>
      <c r="E132" s="25">
        <f>IF(C132="","",IFERROR(INDEX(lst_JobName,MATCH(C132&amp;"",lst_Jobs,0)),""))</f>
        <v/>
      </c>
      <c r="F132" s="25">
        <f>IF(C132="","",IFERROR(INDEX(tbl_Finance[Client],IFERROR(MATCH(C132&amp;"",tbl_Finance[Job Number],0),MATCH(IFERROR(C132+0,C132),tbl_Finance[Job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6" t="n"/>
      <c r="L132" s="27">
        <f>IF(C132="","",IF(K132="",0,MAX(0,K132-H132)))</f>
        <v/>
      </c>
      <c r="M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N132" s="24" t="n"/>
      <c r="O132" s="25">
        <f>IF(N132="","",HYPERLINK(IF(LEFT(N132,4)="http",N132,set_QwilrBase&amp;N132),"Open quote"))</f>
        <v/>
      </c>
      <c r="P132" s="26" t="n"/>
      <c r="Q132" s="26" t="n"/>
      <c r="R132" s="26" t="n"/>
      <c r="S132" s="25">
        <f>IF(C132="","",IF(N(P132)+N(Q132)+N(R132)=0,"Not split",IF(ROUND(N(P132)+N(Q132)+N(R132),2)=ROUND(H132+L132,2),"OK",IF(G132=0,"Not invoiced yet","MISMATCH"))))</f>
        <v/>
      </c>
      <c r="T132" s="26" t="n"/>
      <c r="U132" s="26" t="n"/>
      <c r="V132" s="26" t="n"/>
      <c r="W132" s="27">
        <f>IF(C132="","",N(T132)+N(U132)+N(V132))</f>
        <v/>
      </c>
      <c r="X132" s="27">
        <f>IF(C132="","",H132+L132-W132)</f>
        <v/>
      </c>
      <c r="Y132" s="29">
        <f>IFERROR(X132/(H132+L132),"")</f>
        <v/>
      </c>
      <c r="Z132" s="24" t="n"/>
    </row>
    <row r="133" ht="15" customHeight="1">
      <c r="A133" s="70">
        <f>IF(C133="","",IFERROR(IF(SUMPRODUCT(MAX((tbl_Finance[Job Number]&amp;""=C133&amp;"")*(tbl_Finance[Xero Invoice No]&lt;&gt;"")*tbl_Finance[Date]))=0,"",SUMPRODUCT(MAX((tbl_Finance[Job Number]&amp;""=C133&amp;"")*(tbl_Finance[Xero Invoice No]&lt;&gt;"")*tbl_Finance[Date]))),""))</f>
        <v/>
      </c>
      <c r="B133" s="25">
        <f>IF(C133="","",IF(COUNTIFS(tbl_Finance[Job Number],C133&amp;"",tbl_Finance[Xero Invoice No],"&lt;&gt;")=0,"",IFERROR(IF(COUNTIFS(tbl_Finance[Job Number],C133&amp;"",tbl_Finance[Xero Invoice No],LOOKUP(2,1/((tbl_Finance[Job Number]&amp;""=C133&amp;"")*(tbl_Finance[Xero Invoice No]&lt;&gt;"")),tbl_Finance[Xero Invoice No]))=COUNTIFS(tbl_Finance[Job Number],C133&amp;"",tbl_Finance[Xero Invoice No],"&lt;&gt;"),LOOKUP(2,1/((tbl_Finance[Job Number]&amp;""=C133&amp;"")*(tbl_Finance[Xero Invoice No]&lt;&gt;"")),tbl_Finance[Xero Invoice No]),LOOKUP(2,1/((tbl_Finance[Job Number]&amp;""=C133&amp;"")*(tbl_Finance[Xero Invoice No]&lt;&gt;"")),tbl_Finance[Xero Invoice No])&amp;" +more"),"")))</f>
        <v/>
      </c>
      <c r="C133" s="24" t="n"/>
      <c r="D133" s="25">
        <f>IF(C133="","",IF(COUNTIF(lst_Jobs,C133&amp;"")&gt;0,"OK","CHECK"))</f>
        <v/>
      </c>
      <c r="E133" s="25">
        <f>IF(C133="","",IFERROR(INDEX(lst_JobName,MATCH(C133&amp;"",lst_Jobs,0)),""))</f>
        <v/>
      </c>
      <c r="F133" s="25">
        <f>IF(C133="","",IFERROR(INDEX(tbl_Finance[Client],IFERROR(MATCH(C133&amp;"",tbl_Finance[Job Number],0),MATCH(IFERROR(C133+0,C133),tbl_Finance[Job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6" t="n"/>
      <c r="L133" s="27">
        <f>IF(C133="","",IF(K133="",0,MAX(0,K133-H133)))</f>
        <v/>
      </c>
      <c r="M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N133" s="24" t="n"/>
      <c r="O133" s="25">
        <f>IF(N133="","",HYPERLINK(IF(LEFT(N133,4)="http",N133,set_QwilrBase&amp;N133),"Open quote"))</f>
        <v/>
      </c>
      <c r="P133" s="26" t="n"/>
      <c r="Q133" s="26" t="n"/>
      <c r="R133" s="26" t="n"/>
      <c r="S133" s="25">
        <f>IF(C133="","",IF(N(P133)+N(Q133)+N(R133)=0,"Not split",IF(ROUND(N(P133)+N(Q133)+N(R133),2)=ROUND(H133+L133,2),"OK",IF(G133=0,"Not invoiced yet","MISMATCH"))))</f>
        <v/>
      </c>
      <c r="T133" s="26" t="n"/>
      <c r="U133" s="26" t="n"/>
      <c r="V133" s="26" t="n"/>
      <c r="W133" s="27">
        <f>IF(C133="","",N(T133)+N(U133)+N(V133))</f>
        <v/>
      </c>
      <c r="X133" s="27">
        <f>IF(C133="","",H133+L133-W133)</f>
        <v/>
      </c>
      <c r="Y133" s="29">
        <f>IFERROR(X133/(H133+L133),"")</f>
        <v/>
      </c>
      <c r="Z133" s="24" t="n"/>
    </row>
    <row r="134" ht="15" customHeight="1">
      <c r="A134" s="70">
        <f>IF(C134="","",IFERROR(IF(SUMPRODUCT(MAX((tbl_Finance[Job Number]&amp;""=C134&amp;"")*(tbl_Finance[Xero Invoice No]&lt;&gt;"")*tbl_Finance[Date]))=0,"",SUMPRODUCT(MAX((tbl_Finance[Job Number]&amp;""=C134&amp;"")*(tbl_Finance[Xero Invoice No]&lt;&gt;"")*tbl_Finance[Date]))),""))</f>
        <v/>
      </c>
      <c r="B134" s="25">
        <f>IF(C134="","",IF(COUNTIFS(tbl_Finance[Job Number],C134&amp;"",tbl_Finance[Xero Invoice No],"&lt;&gt;")=0,"",IFERROR(IF(COUNTIFS(tbl_Finance[Job Number],C134&amp;"",tbl_Finance[Xero Invoice No],LOOKUP(2,1/((tbl_Finance[Job Number]&amp;""=C134&amp;"")*(tbl_Finance[Xero Invoice No]&lt;&gt;"")),tbl_Finance[Xero Invoice No]))=COUNTIFS(tbl_Finance[Job Number],C134&amp;"",tbl_Finance[Xero Invoice No],"&lt;&gt;"),LOOKUP(2,1/((tbl_Finance[Job Number]&amp;""=C134&amp;"")*(tbl_Finance[Xero Invoice No]&lt;&gt;"")),tbl_Finance[Xero Invoice No]),LOOKUP(2,1/((tbl_Finance[Job Number]&amp;""=C134&amp;"")*(tbl_Finance[Xero Invoice No]&lt;&gt;"")),tbl_Finance[Xero Invoice No])&amp;" +more"),"")))</f>
        <v/>
      </c>
      <c r="C134" s="24" t="n"/>
      <c r="D134" s="25">
        <f>IF(C134="","",IF(COUNTIF(lst_Jobs,C134&amp;"")&gt;0,"OK","CHECK"))</f>
        <v/>
      </c>
      <c r="E134" s="25">
        <f>IF(C134="","",IFERROR(INDEX(lst_JobName,MATCH(C134&amp;"",lst_Jobs,0)),""))</f>
        <v/>
      </c>
      <c r="F134" s="25">
        <f>IF(C134="","",IFERROR(INDEX(tbl_Finance[Client],IFERROR(MATCH(C134&amp;"",tbl_Finance[Job Number],0),MATCH(IFERROR(C134+0,C134),tbl_Finance[Job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6" t="n"/>
      <c r="L134" s="27">
        <f>IF(C134="","",IF(K134="",0,MAX(0,K134-H134)))</f>
        <v/>
      </c>
      <c r="M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N134" s="24" t="n"/>
      <c r="O134" s="25">
        <f>IF(N134="","",HYPERLINK(IF(LEFT(N134,4)="http",N134,set_QwilrBase&amp;N134),"Open quote"))</f>
        <v/>
      </c>
      <c r="P134" s="26" t="n"/>
      <c r="Q134" s="26" t="n"/>
      <c r="R134" s="26" t="n"/>
      <c r="S134" s="25">
        <f>IF(C134="","",IF(N(P134)+N(Q134)+N(R134)=0,"Not split",IF(ROUND(N(P134)+N(Q134)+N(R134),2)=ROUND(H134+L134,2),"OK",IF(G134=0,"Not invoiced yet","MISMATCH"))))</f>
        <v/>
      </c>
      <c r="T134" s="26" t="n"/>
      <c r="U134" s="26" t="n"/>
      <c r="V134" s="26" t="n"/>
      <c r="W134" s="27">
        <f>IF(C134="","",N(T134)+N(U134)+N(V134))</f>
        <v/>
      </c>
      <c r="X134" s="27">
        <f>IF(C134="","",H134+L134-W134)</f>
        <v/>
      </c>
      <c r="Y134" s="29">
        <f>IFERROR(X134/(H134+L134),"")</f>
        <v/>
      </c>
      <c r="Z134" s="24" t="n"/>
    </row>
    <row r="135" ht="15" customHeight="1">
      <c r="A135" s="70">
        <f>IF(C135="","",IFERROR(IF(SUMPRODUCT(MAX((tbl_Finance[Job Number]&amp;""=C135&amp;"")*(tbl_Finance[Xero Invoice No]&lt;&gt;"")*tbl_Finance[Date]))=0,"",SUMPRODUCT(MAX((tbl_Finance[Job Number]&amp;""=C135&amp;"")*(tbl_Finance[Xero Invoice No]&lt;&gt;"")*tbl_Finance[Date]))),""))</f>
        <v/>
      </c>
      <c r="B135" s="25">
        <f>IF(C135="","",IF(COUNTIFS(tbl_Finance[Job Number],C135&amp;"",tbl_Finance[Xero Invoice No],"&lt;&gt;")=0,"",IFERROR(IF(COUNTIFS(tbl_Finance[Job Number],C135&amp;"",tbl_Finance[Xero Invoice No],LOOKUP(2,1/((tbl_Finance[Job Number]&amp;""=C135&amp;"")*(tbl_Finance[Xero Invoice No]&lt;&gt;"")),tbl_Finance[Xero Invoice No]))=COUNTIFS(tbl_Finance[Job Number],C135&amp;"",tbl_Finance[Xero Invoice No],"&lt;&gt;"),LOOKUP(2,1/((tbl_Finance[Job Number]&amp;""=C135&amp;"")*(tbl_Finance[Xero Invoice No]&lt;&gt;"")),tbl_Finance[Xero Invoice No]),LOOKUP(2,1/((tbl_Finance[Job Number]&amp;""=C135&amp;"")*(tbl_Finance[Xero Invoice No]&lt;&gt;"")),tbl_Finance[Xero Invoice No])&amp;" +more"),"")))</f>
        <v/>
      </c>
      <c r="C135" s="24" t="n"/>
      <c r="D135" s="25">
        <f>IF(C135="","",IF(COUNTIF(lst_Jobs,C135&amp;"")&gt;0,"OK","CHECK"))</f>
        <v/>
      </c>
      <c r="E135" s="25">
        <f>IF(C135="","",IFERROR(INDEX(lst_JobName,MATCH(C135&amp;"",lst_Jobs,0)),""))</f>
        <v/>
      </c>
      <c r="F135" s="25">
        <f>IF(C135="","",IFERROR(INDEX(tbl_Finance[Client],IFERROR(MATCH(C135&amp;"",tbl_Finance[Job Number],0),MATCH(IFERROR(C135+0,C135),tbl_Finance[Job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6" t="n"/>
      <c r="L135" s="27">
        <f>IF(C135="","",IF(K135="",0,MAX(0,K135-H135)))</f>
        <v/>
      </c>
      <c r="M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N135" s="24" t="n"/>
      <c r="O135" s="25">
        <f>IF(N135="","",HYPERLINK(IF(LEFT(N135,4)="http",N135,set_QwilrBase&amp;N135),"Open quote"))</f>
        <v/>
      </c>
      <c r="P135" s="26" t="n"/>
      <c r="Q135" s="26" t="n"/>
      <c r="R135" s="26" t="n"/>
      <c r="S135" s="25">
        <f>IF(C135="","",IF(N(P135)+N(Q135)+N(R135)=0,"Not split",IF(ROUND(N(P135)+N(Q135)+N(R135),2)=ROUND(H135+L135,2),"OK",IF(G135=0,"Not invoiced yet","MISMATCH"))))</f>
        <v/>
      </c>
      <c r="T135" s="26" t="n"/>
      <c r="U135" s="26" t="n"/>
      <c r="V135" s="26" t="n"/>
      <c r="W135" s="27">
        <f>IF(C135="","",N(T135)+N(U135)+N(V135))</f>
        <v/>
      </c>
      <c r="X135" s="27">
        <f>IF(C135="","",H135+L135-W135)</f>
        <v/>
      </c>
      <c r="Y135" s="29">
        <f>IFERROR(X135/(H135+L135),"")</f>
        <v/>
      </c>
      <c r="Z135" s="24" t="n"/>
    </row>
    <row r="136" ht="15" customHeight="1">
      <c r="A136" s="70">
        <f>IF(C136="","",IFERROR(IF(SUMPRODUCT(MAX((tbl_Finance[Job Number]&amp;""=C136&amp;"")*(tbl_Finance[Xero Invoice No]&lt;&gt;"")*tbl_Finance[Date]))=0,"",SUMPRODUCT(MAX((tbl_Finance[Job Number]&amp;""=C136&amp;"")*(tbl_Finance[Xero Invoice No]&lt;&gt;"")*tbl_Finance[Date]))),""))</f>
        <v/>
      </c>
      <c r="B136" s="25">
        <f>IF(C136="","",IF(COUNTIFS(tbl_Finance[Job Number],C136&amp;"",tbl_Finance[Xero Invoice No],"&lt;&gt;")=0,"",IFERROR(IF(COUNTIFS(tbl_Finance[Job Number],C136&amp;"",tbl_Finance[Xero Invoice No],LOOKUP(2,1/((tbl_Finance[Job Number]&amp;""=C136&amp;"")*(tbl_Finance[Xero Invoice No]&lt;&gt;"")),tbl_Finance[Xero Invoice No]))=COUNTIFS(tbl_Finance[Job Number],C136&amp;"",tbl_Finance[Xero Invoice No],"&lt;&gt;"),LOOKUP(2,1/((tbl_Finance[Job Number]&amp;""=C136&amp;"")*(tbl_Finance[Xero Invoice No]&lt;&gt;"")),tbl_Finance[Xero Invoice No]),LOOKUP(2,1/((tbl_Finance[Job Number]&amp;""=C136&amp;"")*(tbl_Finance[Xero Invoice No]&lt;&gt;"")),tbl_Finance[Xero Invoice No])&amp;" +more"),"")))</f>
        <v/>
      </c>
      <c r="C136" s="24" t="n"/>
      <c r="D136" s="25">
        <f>IF(C136="","",IF(COUNTIF(lst_Jobs,C136&amp;"")&gt;0,"OK","CHECK"))</f>
        <v/>
      </c>
      <c r="E136" s="25">
        <f>IF(C136="","",IFERROR(INDEX(lst_JobName,MATCH(C136&amp;"",lst_Jobs,0)),""))</f>
        <v/>
      </c>
      <c r="F136" s="25">
        <f>IF(C136="","",IFERROR(INDEX(tbl_Finance[Client],IFERROR(MATCH(C136&amp;"",tbl_Finance[Job Number],0),MATCH(IFERROR(C136+0,C136),tbl_Finance[Job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6" t="n"/>
      <c r="L136" s="27">
        <f>IF(C136="","",IF(K136="",0,MAX(0,K136-H136)))</f>
        <v/>
      </c>
      <c r="M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N136" s="24" t="n"/>
      <c r="O136" s="25">
        <f>IF(N136="","",HYPERLINK(IF(LEFT(N136,4)="http",N136,set_QwilrBase&amp;N136),"Open quote"))</f>
        <v/>
      </c>
      <c r="P136" s="26" t="n"/>
      <c r="Q136" s="26" t="n"/>
      <c r="R136" s="26" t="n"/>
      <c r="S136" s="25">
        <f>IF(C136="","",IF(N(P136)+N(Q136)+N(R136)=0,"Not split",IF(ROUND(N(P136)+N(Q136)+N(R136),2)=ROUND(H136+L136,2),"OK",IF(G136=0,"Not invoiced yet","MISMATCH"))))</f>
        <v/>
      </c>
      <c r="T136" s="26" t="n"/>
      <c r="U136" s="26" t="n"/>
      <c r="V136" s="26" t="n"/>
      <c r="W136" s="27">
        <f>IF(C136="","",N(T136)+N(U136)+N(V136))</f>
        <v/>
      </c>
      <c r="X136" s="27">
        <f>IF(C136="","",H136+L136-W136)</f>
        <v/>
      </c>
      <c r="Y136" s="29">
        <f>IFERROR(X136/(H136+L136),"")</f>
        <v/>
      </c>
      <c r="Z136" s="24" t="n"/>
    </row>
    <row r="137" ht="15" customHeight="1">
      <c r="A137" s="70">
        <f>IF(C137="","",IFERROR(IF(SUMPRODUCT(MAX((tbl_Finance[Job Number]&amp;""=C137&amp;"")*(tbl_Finance[Xero Invoice No]&lt;&gt;"")*tbl_Finance[Date]))=0,"",SUMPRODUCT(MAX((tbl_Finance[Job Number]&amp;""=C137&amp;"")*(tbl_Finance[Xero Invoice No]&lt;&gt;"")*tbl_Finance[Date]))),""))</f>
        <v/>
      </c>
      <c r="B137" s="25">
        <f>IF(C137="","",IF(COUNTIFS(tbl_Finance[Job Number],C137&amp;"",tbl_Finance[Xero Invoice No],"&lt;&gt;")=0,"",IFERROR(IF(COUNTIFS(tbl_Finance[Job Number],C137&amp;"",tbl_Finance[Xero Invoice No],LOOKUP(2,1/((tbl_Finance[Job Number]&amp;""=C137&amp;"")*(tbl_Finance[Xero Invoice No]&lt;&gt;"")),tbl_Finance[Xero Invoice No]))=COUNTIFS(tbl_Finance[Job Number],C137&amp;"",tbl_Finance[Xero Invoice No],"&lt;&gt;"),LOOKUP(2,1/((tbl_Finance[Job Number]&amp;""=C137&amp;"")*(tbl_Finance[Xero Invoice No]&lt;&gt;"")),tbl_Finance[Xero Invoice No]),LOOKUP(2,1/((tbl_Finance[Job Number]&amp;""=C137&amp;"")*(tbl_Finance[Xero Invoice No]&lt;&gt;"")),tbl_Finance[Xero Invoice No])&amp;" +more"),"")))</f>
        <v/>
      </c>
      <c r="C137" s="24" t="n"/>
      <c r="D137" s="25">
        <f>IF(C137="","",IF(COUNTIF(lst_Jobs,C137&amp;"")&gt;0,"OK","CHECK"))</f>
        <v/>
      </c>
      <c r="E137" s="25">
        <f>IF(C137="","",IFERROR(INDEX(lst_JobName,MATCH(C137&amp;"",lst_Jobs,0)),""))</f>
        <v/>
      </c>
      <c r="F137" s="25">
        <f>IF(C137="","",IFERROR(INDEX(tbl_Finance[Client],IFERROR(MATCH(C137&amp;"",tbl_Finance[Job Number],0),MATCH(IFERROR(C137+0,C137),tbl_Finance[Job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6" t="n"/>
      <c r="L137" s="27">
        <f>IF(C137="","",IF(K137="",0,MAX(0,K137-H137)))</f>
        <v/>
      </c>
      <c r="M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N137" s="24" t="n"/>
      <c r="O137" s="25">
        <f>IF(N137="","",HYPERLINK(IF(LEFT(N137,4)="http",N137,set_QwilrBase&amp;N137),"Open quote"))</f>
        <v/>
      </c>
      <c r="P137" s="26" t="n"/>
      <c r="Q137" s="26" t="n"/>
      <c r="R137" s="26" t="n"/>
      <c r="S137" s="25">
        <f>IF(C137="","",IF(N(P137)+N(Q137)+N(R137)=0,"Not split",IF(ROUND(N(P137)+N(Q137)+N(R137),2)=ROUND(H137+L137,2),"OK",IF(G137=0,"Not invoiced yet","MISMATCH"))))</f>
        <v/>
      </c>
      <c r="T137" s="26" t="n"/>
      <c r="U137" s="26" t="n"/>
      <c r="V137" s="26" t="n"/>
      <c r="W137" s="27">
        <f>IF(C137="","",N(T137)+N(U137)+N(V137))</f>
        <v/>
      </c>
      <c r="X137" s="27">
        <f>IF(C137="","",H137+L137-W137)</f>
        <v/>
      </c>
      <c r="Y137" s="29">
        <f>IFERROR(X137/(H137+L137),"")</f>
        <v/>
      </c>
      <c r="Z137" s="24" t="n"/>
    </row>
    <row r="138" ht="15" customHeight="1">
      <c r="A138" s="70">
        <f>IF(C138="","",IFERROR(IF(SUMPRODUCT(MAX((tbl_Finance[Job Number]&amp;""=C138&amp;"")*(tbl_Finance[Xero Invoice No]&lt;&gt;"")*tbl_Finance[Date]))=0,"",SUMPRODUCT(MAX((tbl_Finance[Job Number]&amp;""=C138&amp;"")*(tbl_Finance[Xero Invoice No]&lt;&gt;"")*tbl_Finance[Date]))),""))</f>
        <v/>
      </c>
      <c r="B138" s="25">
        <f>IF(C138="","",IF(COUNTIFS(tbl_Finance[Job Number],C138&amp;"",tbl_Finance[Xero Invoice No],"&lt;&gt;")=0,"",IFERROR(IF(COUNTIFS(tbl_Finance[Job Number],C138&amp;"",tbl_Finance[Xero Invoice No],LOOKUP(2,1/((tbl_Finance[Job Number]&amp;""=C138&amp;"")*(tbl_Finance[Xero Invoice No]&lt;&gt;"")),tbl_Finance[Xero Invoice No]))=COUNTIFS(tbl_Finance[Job Number],C138&amp;"",tbl_Finance[Xero Invoice No],"&lt;&gt;"),LOOKUP(2,1/((tbl_Finance[Job Number]&amp;""=C138&amp;"")*(tbl_Finance[Xero Invoice No]&lt;&gt;"")),tbl_Finance[Xero Invoice No]),LOOKUP(2,1/((tbl_Finance[Job Number]&amp;""=C138&amp;"")*(tbl_Finance[Xero Invoice No]&lt;&gt;"")),tbl_Finance[Xero Invoice No])&amp;" +more"),"")))</f>
        <v/>
      </c>
      <c r="C138" s="24" t="n"/>
      <c r="D138" s="25">
        <f>IF(C138="","",IF(COUNTIF(lst_Jobs,C138&amp;"")&gt;0,"OK","CHECK"))</f>
        <v/>
      </c>
      <c r="E138" s="25">
        <f>IF(C138="","",IFERROR(INDEX(lst_JobName,MATCH(C138&amp;"",lst_Jobs,0)),""))</f>
        <v/>
      </c>
      <c r="F138" s="25">
        <f>IF(C138="","",IFERROR(INDEX(tbl_Finance[Client],IFERROR(MATCH(C138&amp;"",tbl_Finance[Job Number],0),MATCH(IFERROR(C138+0,C138),tbl_Finance[Job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6" t="n"/>
      <c r="L138" s="27">
        <f>IF(C138="","",IF(K138="",0,MAX(0,K138-H138)))</f>
        <v/>
      </c>
      <c r="M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N138" s="24" t="n"/>
      <c r="O138" s="25">
        <f>IF(N138="","",HYPERLINK(IF(LEFT(N138,4)="http",N138,set_QwilrBase&amp;N138),"Open quote"))</f>
        <v/>
      </c>
      <c r="P138" s="26" t="n"/>
      <c r="Q138" s="26" t="n"/>
      <c r="R138" s="26" t="n"/>
      <c r="S138" s="25">
        <f>IF(C138="","",IF(N(P138)+N(Q138)+N(R138)=0,"Not split",IF(ROUND(N(P138)+N(Q138)+N(R138),2)=ROUND(H138+L138,2),"OK",IF(G138=0,"Not invoiced yet","MISMATCH"))))</f>
        <v/>
      </c>
      <c r="T138" s="26" t="n"/>
      <c r="U138" s="26" t="n"/>
      <c r="V138" s="26" t="n"/>
      <c r="W138" s="27">
        <f>IF(C138="","",N(T138)+N(U138)+N(V138))</f>
        <v/>
      </c>
      <c r="X138" s="27">
        <f>IF(C138="","",H138+L138-W138)</f>
        <v/>
      </c>
      <c r="Y138" s="29">
        <f>IFERROR(X138/(H138+L138),"")</f>
        <v/>
      </c>
      <c r="Z138" s="24" t="n"/>
    </row>
    <row r="139" ht="15" customHeight="1">
      <c r="A139" s="70">
        <f>IF(C139="","",IFERROR(IF(SUMPRODUCT(MAX((tbl_Finance[Job Number]&amp;""=C139&amp;"")*(tbl_Finance[Xero Invoice No]&lt;&gt;"")*tbl_Finance[Date]))=0,"",SUMPRODUCT(MAX((tbl_Finance[Job Number]&amp;""=C139&amp;"")*(tbl_Finance[Xero Invoice No]&lt;&gt;"")*tbl_Finance[Date]))),""))</f>
        <v/>
      </c>
      <c r="B139" s="25">
        <f>IF(C139="","",IF(COUNTIFS(tbl_Finance[Job Number],C139&amp;"",tbl_Finance[Xero Invoice No],"&lt;&gt;")=0,"",IFERROR(IF(COUNTIFS(tbl_Finance[Job Number],C139&amp;"",tbl_Finance[Xero Invoice No],LOOKUP(2,1/((tbl_Finance[Job Number]&amp;""=C139&amp;"")*(tbl_Finance[Xero Invoice No]&lt;&gt;"")),tbl_Finance[Xero Invoice No]))=COUNTIFS(tbl_Finance[Job Number],C139&amp;"",tbl_Finance[Xero Invoice No],"&lt;&gt;"),LOOKUP(2,1/((tbl_Finance[Job Number]&amp;""=C139&amp;"")*(tbl_Finance[Xero Invoice No]&lt;&gt;"")),tbl_Finance[Xero Invoice No]),LOOKUP(2,1/((tbl_Finance[Job Number]&amp;""=C139&amp;"")*(tbl_Finance[Xero Invoice No]&lt;&gt;"")),tbl_Finance[Xero Invoice No])&amp;" +more"),"")))</f>
        <v/>
      </c>
      <c r="C139" s="24" t="n"/>
      <c r="D139" s="25">
        <f>IF(C139="","",IF(COUNTIF(lst_Jobs,C139&amp;"")&gt;0,"OK","CHECK"))</f>
        <v/>
      </c>
      <c r="E139" s="25">
        <f>IF(C139="","",IFERROR(INDEX(lst_JobName,MATCH(C139&amp;"",lst_Jobs,0)),""))</f>
        <v/>
      </c>
      <c r="F139" s="25">
        <f>IF(C139="","",IFERROR(INDEX(tbl_Finance[Client],IFERROR(MATCH(C139&amp;"",tbl_Finance[Job Number],0),MATCH(IFERROR(C139+0,C139),tbl_Finance[Job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6" t="n"/>
      <c r="L139" s="27">
        <f>IF(C139="","",IF(K139="",0,MAX(0,K139-H139)))</f>
        <v/>
      </c>
      <c r="M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N139" s="24" t="n"/>
      <c r="O139" s="25">
        <f>IF(N139="","",HYPERLINK(IF(LEFT(N139,4)="http",N139,set_QwilrBase&amp;N139),"Open quote"))</f>
        <v/>
      </c>
      <c r="P139" s="26" t="n"/>
      <c r="Q139" s="26" t="n"/>
      <c r="R139" s="26" t="n"/>
      <c r="S139" s="25">
        <f>IF(C139="","",IF(N(P139)+N(Q139)+N(R139)=0,"Not split",IF(ROUND(N(P139)+N(Q139)+N(R139),2)=ROUND(H139+L139,2),"OK",IF(G139=0,"Not invoiced yet","MISMATCH"))))</f>
        <v/>
      </c>
      <c r="T139" s="26" t="n"/>
      <c r="U139" s="26" t="n"/>
      <c r="V139" s="26" t="n"/>
      <c r="W139" s="27">
        <f>IF(C139="","",N(T139)+N(U139)+N(V139))</f>
        <v/>
      </c>
      <c r="X139" s="27">
        <f>IF(C139="","",H139+L139-W139)</f>
        <v/>
      </c>
      <c r="Y139" s="29">
        <f>IFERROR(X139/(H139+L139),"")</f>
        <v/>
      </c>
      <c r="Z139" s="24" t="n"/>
    </row>
    <row r="140" ht="15" customHeight="1">
      <c r="A140" s="70">
        <f>IF(C140="","",IFERROR(IF(SUMPRODUCT(MAX((tbl_Finance[Job Number]&amp;""=C140&amp;"")*(tbl_Finance[Xero Invoice No]&lt;&gt;"")*tbl_Finance[Date]))=0,"",SUMPRODUCT(MAX((tbl_Finance[Job Number]&amp;""=C140&amp;"")*(tbl_Finance[Xero Invoice No]&lt;&gt;"")*tbl_Finance[Date]))),""))</f>
        <v/>
      </c>
      <c r="B140" s="25">
        <f>IF(C140="","",IF(COUNTIFS(tbl_Finance[Job Number],C140&amp;"",tbl_Finance[Xero Invoice No],"&lt;&gt;")=0,"",IFERROR(IF(COUNTIFS(tbl_Finance[Job Number],C140&amp;"",tbl_Finance[Xero Invoice No],LOOKUP(2,1/((tbl_Finance[Job Number]&amp;""=C140&amp;"")*(tbl_Finance[Xero Invoice No]&lt;&gt;"")),tbl_Finance[Xero Invoice No]))=COUNTIFS(tbl_Finance[Job Number],C140&amp;"",tbl_Finance[Xero Invoice No],"&lt;&gt;"),LOOKUP(2,1/((tbl_Finance[Job Number]&amp;""=C140&amp;"")*(tbl_Finance[Xero Invoice No]&lt;&gt;"")),tbl_Finance[Xero Invoice No]),LOOKUP(2,1/((tbl_Finance[Job Number]&amp;""=C140&amp;"")*(tbl_Finance[Xero Invoice No]&lt;&gt;"")),tbl_Finance[Xero Invoice No])&amp;" +more"),"")))</f>
        <v/>
      </c>
      <c r="C140" s="24" t="n"/>
      <c r="D140" s="25">
        <f>IF(C140="","",IF(COUNTIF(lst_Jobs,C140&amp;"")&gt;0,"OK","CHECK"))</f>
        <v/>
      </c>
      <c r="E140" s="25">
        <f>IF(C140="","",IFERROR(INDEX(lst_JobName,MATCH(C140&amp;"",lst_Jobs,0)),""))</f>
        <v/>
      </c>
      <c r="F140" s="25">
        <f>IF(C140="","",IFERROR(INDEX(tbl_Finance[Client],IFERROR(MATCH(C140&amp;"",tbl_Finance[Job Number],0),MATCH(IFERROR(C140+0,C140),tbl_Finance[Job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6" t="n"/>
      <c r="L140" s="27">
        <f>IF(C140="","",IF(K140="",0,MAX(0,K140-H140)))</f>
        <v/>
      </c>
      <c r="M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N140" s="24" t="n"/>
      <c r="O140" s="25">
        <f>IF(N140="","",HYPERLINK(IF(LEFT(N140,4)="http",N140,set_QwilrBase&amp;N140),"Open quote"))</f>
        <v/>
      </c>
      <c r="P140" s="26" t="n"/>
      <c r="Q140" s="26" t="n"/>
      <c r="R140" s="26" t="n"/>
      <c r="S140" s="25">
        <f>IF(C140="","",IF(N(P140)+N(Q140)+N(R140)=0,"Not split",IF(ROUND(N(P140)+N(Q140)+N(R140),2)=ROUND(H140+L140,2),"OK",IF(G140=0,"Not invoiced yet","MISMATCH"))))</f>
        <v/>
      </c>
      <c r="T140" s="26" t="n"/>
      <c r="U140" s="26" t="n"/>
      <c r="V140" s="26" t="n"/>
      <c r="W140" s="27">
        <f>IF(C140="","",N(T140)+N(U140)+N(V140))</f>
        <v/>
      </c>
      <c r="X140" s="27">
        <f>IF(C140="","",H140+L140-W140)</f>
        <v/>
      </c>
      <c r="Y140" s="29">
        <f>IFERROR(X140/(H140+L140),"")</f>
        <v/>
      </c>
      <c r="Z140" s="24" t="n"/>
    </row>
    <row r="141" ht="15" customHeight="1">
      <c r="A141" s="70">
        <f>IF(C141="","",IFERROR(IF(SUMPRODUCT(MAX((tbl_Finance[Job Number]&amp;""=C141&amp;"")*(tbl_Finance[Xero Invoice No]&lt;&gt;"")*tbl_Finance[Date]))=0,"",SUMPRODUCT(MAX((tbl_Finance[Job Number]&amp;""=C141&amp;"")*(tbl_Finance[Xero Invoice No]&lt;&gt;"")*tbl_Finance[Date]))),""))</f>
        <v/>
      </c>
      <c r="B141" s="25">
        <f>IF(C141="","",IF(COUNTIFS(tbl_Finance[Job Number],C141&amp;"",tbl_Finance[Xero Invoice No],"&lt;&gt;")=0,"",IFERROR(IF(COUNTIFS(tbl_Finance[Job Number],C141&amp;"",tbl_Finance[Xero Invoice No],LOOKUP(2,1/((tbl_Finance[Job Number]&amp;""=C141&amp;"")*(tbl_Finance[Xero Invoice No]&lt;&gt;"")),tbl_Finance[Xero Invoice No]))=COUNTIFS(tbl_Finance[Job Number],C141&amp;"",tbl_Finance[Xero Invoice No],"&lt;&gt;"),LOOKUP(2,1/((tbl_Finance[Job Number]&amp;""=C141&amp;"")*(tbl_Finance[Xero Invoice No]&lt;&gt;"")),tbl_Finance[Xero Invoice No]),LOOKUP(2,1/((tbl_Finance[Job Number]&amp;""=C141&amp;"")*(tbl_Finance[Xero Invoice No]&lt;&gt;"")),tbl_Finance[Xero Invoice No])&amp;" +more"),"")))</f>
        <v/>
      </c>
      <c r="C141" s="24" t="n"/>
      <c r="D141" s="25">
        <f>IF(C141="","",IF(COUNTIF(lst_Jobs,C141&amp;"")&gt;0,"OK","CHECK"))</f>
        <v/>
      </c>
      <c r="E141" s="25">
        <f>IF(C141="","",IFERROR(INDEX(lst_JobName,MATCH(C141&amp;"",lst_Jobs,0)),""))</f>
        <v/>
      </c>
      <c r="F141" s="25">
        <f>IF(C141="","",IFERROR(INDEX(tbl_Finance[Client],IFERROR(MATCH(C141&amp;"",tbl_Finance[Job Number],0),MATCH(IFERROR(C141+0,C141),tbl_Finance[Job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6" t="n"/>
      <c r="L141" s="27">
        <f>IF(C141="","",IF(K141="",0,MAX(0,K141-H141)))</f>
        <v/>
      </c>
      <c r="M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N141" s="24" t="n"/>
      <c r="O141" s="25">
        <f>IF(N141="","",HYPERLINK(IF(LEFT(N141,4)="http",N141,set_QwilrBase&amp;N141),"Open quote"))</f>
        <v/>
      </c>
      <c r="P141" s="26" t="n"/>
      <c r="Q141" s="26" t="n"/>
      <c r="R141" s="26" t="n"/>
      <c r="S141" s="25">
        <f>IF(C141="","",IF(N(P141)+N(Q141)+N(R141)=0,"Not split",IF(ROUND(N(P141)+N(Q141)+N(R141),2)=ROUND(H141+L141,2),"OK",IF(G141=0,"Not invoiced yet","MISMATCH"))))</f>
        <v/>
      </c>
      <c r="T141" s="26" t="n"/>
      <c r="U141" s="26" t="n"/>
      <c r="V141" s="26" t="n"/>
      <c r="W141" s="27">
        <f>IF(C141="","",N(T141)+N(U141)+N(V141))</f>
        <v/>
      </c>
      <c r="X141" s="27">
        <f>IF(C141="","",H141+L141-W141)</f>
        <v/>
      </c>
      <c r="Y141" s="29">
        <f>IFERROR(X141/(H141+L141),"")</f>
        <v/>
      </c>
      <c r="Z141" s="24" t="n"/>
    </row>
    <row r="142" ht="15" customHeight="1">
      <c r="A142" s="70">
        <f>IF(C142="","",IFERROR(IF(SUMPRODUCT(MAX((tbl_Finance[Job Number]&amp;""=C142&amp;"")*(tbl_Finance[Xero Invoice No]&lt;&gt;"")*tbl_Finance[Date]))=0,"",SUMPRODUCT(MAX((tbl_Finance[Job Number]&amp;""=C142&amp;"")*(tbl_Finance[Xero Invoice No]&lt;&gt;"")*tbl_Finance[Date]))),""))</f>
        <v/>
      </c>
      <c r="B142" s="25">
        <f>IF(C142="","",IF(COUNTIFS(tbl_Finance[Job Number],C142&amp;"",tbl_Finance[Xero Invoice No],"&lt;&gt;")=0,"",IFERROR(IF(COUNTIFS(tbl_Finance[Job Number],C142&amp;"",tbl_Finance[Xero Invoice No],LOOKUP(2,1/((tbl_Finance[Job Number]&amp;""=C142&amp;"")*(tbl_Finance[Xero Invoice No]&lt;&gt;"")),tbl_Finance[Xero Invoice No]))=COUNTIFS(tbl_Finance[Job Number],C142&amp;"",tbl_Finance[Xero Invoice No],"&lt;&gt;"),LOOKUP(2,1/((tbl_Finance[Job Number]&amp;""=C142&amp;"")*(tbl_Finance[Xero Invoice No]&lt;&gt;"")),tbl_Finance[Xero Invoice No]),LOOKUP(2,1/((tbl_Finance[Job Number]&amp;""=C142&amp;"")*(tbl_Finance[Xero Invoice No]&lt;&gt;"")),tbl_Finance[Xero Invoice No])&amp;" +more"),"")))</f>
        <v/>
      </c>
      <c r="C142" s="24" t="n"/>
      <c r="D142" s="25">
        <f>IF(C142="","",IF(COUNTIF(lst_Jobs,C142&amp;"")&gt;0,"OK","CHECK"))</f>
        <v/>
      </c>
      <c r="E142" s="25">
        <f>IF(C142="","",IFERROR(INDEX(lst_JobName,MATCH(C142&amp;"",lst_Jobs,0)),""))</f>
        <v/>
      </c>
      <c r="F142" s="25">
        <f>IF(C142="","",IFERROR(INDEX(tbl_Finance[Client],IFERROR(MATCH(C142&amp;"",tbl_Finance[Job Number],0),MATCH(IFERROR(C142+0,C142),tbl_Finance[Job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6" t="n"/>
      <c r="L142" s="27">
        <f>IF(C142="","",IF(K142="",0,MAX(0,K142-H142)))</f>
        <v/>
      </c>
      <c r="M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N142" s="24" t="n"/>
      <c r="O142" s="25">
        <f>IF(N142="","",HYPERLINK(IF(LEFT(N142,4)="http",N142,set_QwilrBase&amp;N142),"Open quote"))</f>
        <v/>
      </c>
      <c r="P142" s="26" t="n"/>
      <c r="Q142" s="26" t="n"/>
      <c r="R142" s="26" t="n"/>
      <c r="S142" s="25">
        <f>IF(C142="","",IF(N(P142)+N(Q142)+N(R142)=0,"Not split",IF(ROUND(N(P142)+N(Q142)+N(R142),2)=ROUND(H142+L142,2),"OK",IF(G142=0,"Not invoiced yet","MISMATCH"))))</f>
        <v/>
      </c>
      <c r="T142" s="26" t="n"/>
      <c r="U142" s="26" t="n"/>
      <c r="V142" s="26" t="n"/>
      <c r="W142" s="27">
        <f>IF(C142="","",N(T142)+N(U142)+N(V142))</f>
        <v/>
      </c>
      <c r="X142" s="27">
        <f>IF(C142="","",H142+L142-W142)</f>
        <v/>
      </c>
      <c r="Y142" s="29">
        <f>IFERROR(X142/(H142+L142),"")</f>
        <v/>
      </c>
      <c r="Z142" s="24" t="n"/>
    </row>
    <row r="143" ht="15" customHeight="1">
      <c r="A143" s="70">
        <f>IF(C143="","",IFERROR(IF(SUMPRODUCT(MAX((tbl_Finance[Job Number]&amp;""=C143&amp;"")*(tbl_Finance[Xero Invoice No]&lt;&gt;"")*tbl_Finance[Date]))=0,"",SUMPRODUCT(MAX((tbl_Finance[Job Number]&amp;""=C143&amp;"")*(tbl_Finance[Xero Invoice No]&lt;&gt;"")*tbl_Finance[Date]))),""))</f>
        <v/>
      </c>
      <c r="B143" s="25">
        <f>IF(C143="","",IF(COUNTIFS(tbl_Finance[Job Number],C143&amp;"",tbl_Finance[Xero Invoice No],"&lt;&gt;")=0,"",IFERROR(IF(COUNTIFS(tbl_Finance[Job Number],C143&amp;"",tbl_Finance[Xero Invoice No],LOOKUP(2,1/((tbl_Finance[Job Number]&amp;""=C143&amp;"")*(tbl_Finance[Xero Invoice No]&lt;&gt;"")),tbl_Finance[Xero Invoice No]))=COUNTIFS(tbl_Finance[Job Number],C143&amp;"",tbl_Finance[Xero Invoice No],"&lt;&gt;"),LOOKUP(2,1/((tbl_Finance[Job Number]&amp;""=C143&amp;"")*(tbl_Finance[Xero Invoice No]&lt;&gt;"")),tbl_Finance[Xero Invoice No]),LOOKUP(2,1/((tbl_Finance[Job Number]&amp;""=C143&amp;"")*(tbl_Finance[Xero Invoice No]&lt;&gt;"")),tbl_Finance[Xero Invoice No])&amp;" +more"),"")))</f>
        <v/>
      </c>
      <c r="C143" s="24" t="n"/>
      <c r="D143" s="25">
        <f>IF(C143="","",IF(COUNTIF(lst_Jobs,C143&amp;"")&gt;0,"OK","CHECK"))</f>
        <v/>
      </c>
      <c r="E143" s="25">
        <f>IF(C143="","",IFERROR(INDEX(lst_JobName,MATCH(C143&amp;"",lst_Jobs,0)),""))</f>
        <v/>
      </c>
      <c r="F143" s="25">
        <f>IF(C143="","",IFERROR(INDEX(tbl_Finance[Client],IFERROR(MATCH(C143&amp;"",tbl_Finance[Job Number],0),MATCH(IFERROR(C143+0,C143),tbl_Finance[Job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6" t="n"/>
      <c r="L143" s="27">
        <f>IF(C143="","",IF(K143="",0,MAX(0,K143-H143)))</f>
        <v/>
      </c>
      <c r="M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N143" s="24" t="n"/>
      <c r="O143" s="25">
        <f>IF(N143="","",HYPERLINK(IF(LEFT(N143,4)="http",N143,set_QwilrBase&amp;N143),"Open quote"))</f>
        <v/>
      </c>
      <c r="P143" s="26" t="n"/>
      <c r="Q143" s="26" t="n"/>
      <c r="R143" s="26" t="n"/>
      <c r="S143" s="25">
        <f>IF(C143="","",IF(N(P143)+N(Q143)+N(R143)=0,"Not split",IF(ROUND(N(P143)+N(Q143)+N(R143),2)=ROUND(H143+L143,2),"OK",IF(G143=0,"Not invoiced yet","MISMATCH"))))</f>
        <v/>
      </c>
      <c r="T143" s="26" t="n"/>
      <c r="U143" s="26" t="n"/>
      <c r="V143" s="26" t="n"/>
      <c r="W143" s="27">
        <f>IF(C143="","",N(T143)+N(U143)+N(V143))</f>
        <v/>
      </c>
      <c r="X143" s="27">
        <f>IF(C143="","",H143+L143-W143)</f>
        <v/>
      </c>
      <c r="Y143" s="29">
        <f>IFERROR(X143/(H143+L143),"")</f>
        <v/>
      </c>
      <c r="Z143" s="24" t="n"/>
    </row>
    <row r="144" ht="15" customHeight="1">
      <c r="A144" s="70">
        <f>IF(C144="","",IFERROR(IF(SUMPRODUCT(MAX((tbl_Finance[Job Number]&amp;""=C144&amp;"")*(tbl_Finance[Xero Invoice No]&lt;&gt;"")*tbl_Finance[Date]))=0,"",SUMPRODUCT(MAX((tbl_Finance[Job Number]&amp;""=C144&amp;"")*(tbl_Finance[Xero Invoice No]&lt;&gt;"")*tbl_Finance[Date]))),""))</f>
        <v/>
      </c>
      <c r="B144" s="25">
        <f>IF(C144="","",IF(COUNTIFS(tbl_Finance[Job Number],C144&amp;"",tbl_Finance[Xero Invoice No],"&lt;&gt;")=0,"",IFERROR(IF(COUNTIFS(tbl_Finance[Job Number],C144&amp;"",tbl_Finance[Xero Invoice No],LOOKUP(2,1/((tbl_Finance[Job Number]&amp;""=C144&amp;"")*(tbl_Finance[Xero Invoice No]&lt;&gt;"")),tbl_Finance[Xero Invoice No]))=COUNTIFS(tbl_Finance[Job Number],C144&amp;"",tbl_Finance[Xero Invoice No],"&lt;&gt;"),LOOKUP(2,1/((tbl_Finance[Job Number]&amp;""=C144&amp;"")*(tbl_Finance[Xero Invoice No]&lt;&gt;"")),tbl_Finance[Xero Invoice No]),LOOKUP(2,1/((tbl_Finance[Job Number]&amp;""=C144&amp;"")*(tbl_Finance[Xero Invoice No]&lt;&gt;"")),tbl_Finance[Xero Invoice No])&amp;" +more"),"")))</f>
        <v/>
      </c>
      <c r="C144" s="24" t="n"/>
      <c r="D144" s="25">
        <f>IF(C144="","",IF(COUNTIF(lst_Jobs,C144&amp;"")&gt;0,"OK","CHECK"))</f>
        <v/>
      </c>
      <c r="E144" s="25">
        <f>IF(C144="","",IFERROR(INDEX(lst_JobName,MATCH(C144&amp;"",lst_Jobs,0)),""))</f>
        <v/>
      </c>
      <c r="F144" s="25">
        <f>IF(C144="","",IFERROR(INDEX(tbl_Finance[Client],IFERROR(MATCH(C144&amp;"",tbl_Finance[Job Number],0),MATCH(IFERROR(C144+0,C144),tbl_Finance[Job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6" t="n"/>
      <c r="L144" s="27">
        <f>IF(C144="","",IF(K144="",0,MAX(0,K144-H144)))</f>
        <v/>
      </c>
      <c r="M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N144" s="24" t="n"/>
      <c r="O144" s="25">
        <f>IF(N144="","",HYPERLINK(IF(LEFT(N144,4)="http",N144,set_QwilrBase&amp;N144),"Open quote"))</f>
        <v/>
      </c>
      <c r="P144" s="26" t="n"/>
      <c r="Q144" s="26" t="n"/>
      <c r="R144" s="26" t="n"/>
      <c r="S144" s="25">
        <f>IF(C144="","",IF(N(P144)+N(Q144)+N(R144)=0,"Not split",IF(ROUND(N(P144)+N(Q144)+N(R144),2)=ROUND(H144+L144,2),"OK",IF(G144=0,"Not invoiced yet","MISMATCH"))))</f>
        <v/>
      </c>
      <c r="T144" s="26" t="n"/>
      <c r="U144" s="26" t="n"/>
      <c r="V144" s="26" t="n"/>
      <c r="W144" s="27">
        <f>IF(C144="","",N(T144)+N(U144)+N(V144))</f>
        <v/>
      </c>
      <c r="X144" s="27">
        <f>IF(C144="","",H144+L144-W144)</f>
        <v/>
      </c>
      <c r="Y144" s="29">
        <f>IFERROR(X144/(H144+L144),"")</f>
        <v/>
      </c>
      <c r="Z144" s="24" t="n"/>
    </row>
    <row r="145" ht="15" customHeight="1">
      <c r="A145" s="70">
        <f>IF(C145="","",IFERROR(IF(SUMPRODUCT(MAX((tbl_Finance[Job Number]&amp;""=C145&amp;"")*(tbl_Finance[Xero Invoice No]&lt;&gt;"")*tbl_Finance[Date]))=0,"",SUMPRODUCT(MAX((tbl_Finance[Job Number]&amp;""=C145&amp;"")*(tbl_Finance[Xero Invoice No]&lt;&gt;"")*tbl_Finance[Date]))),""))</f>
        <v/>
      </c>
      <c r="B145" s="25">
        <f>IF(C145="","",IF(COUNTIFS(tbl_Finance[Job Number],C145&amp;"",tbl_Finance[Xero Invoice No],"&lt;&gt;")=0,"",IFERROR(IF(COUNTIFS(tbl_Finance[Job Number],C145&amp;"",tbl_Finance[Xero Invoice No],LOOKUP(2,1/((tbl_Finance[Job Number]&amp;""=C145&amp;"")*(tbl_Finance[Xero Invoice No]&lt;&gt;"")),tbl_Finance[Xero Invoice No]))=COUNTIFS(tbl_Finance[Job Number],C145&amp;"",tbl_Finance[Xero Invoice No],"&lt;&gt;"),LOOKUP(2,1/((tbl_Finance[Job Number]&amp;""=C145&amp;"")*(tbl_Finance[Xero Invoice No]&lt;&gt;"")),tbl_Finance[Xero Invoice No]),LOOKUP(2,1/((tbl_Finance[Job Number]&amp;""=C145&amp;"")*(tbl_Finance[Xero Invoice No]&lt;&gt;"")),tbl_Finance[Xero Invoice No])&amp;" +more"),"")))</f>
        <v/>
      </c>
      <c r="C145" s="24" t="n"/>
      <c r="D145" s="25">
        <f>IF(C145="","",IF(COUNTIF(lst_Jobs,C145&amp;"")&gt;0,"OK","CHECK"))</f>
        <v/>
      </c>
      <c r="E145" s="25">
        <f>IF(C145="","",IFERROR(INDEX(lst_JobName,MATCH(C145&amp;"",lst_Jobs,0)),""))</f>
        <v/>
      </c>
      <c r="F145" s="25">
        <f>IF(C145="","",IFERROR(INDEX(tbl_Finance[Client],IFERROR(MATCH(C145&amp;"",tbl_Finance[Job Number],0),MATCH(IFERROR(C145+0,C145),tbl_Finance[Job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6" t="n"/>
      <c r="L145" s="27">
        <f>IF(C145="","",IF(K145="",0,MAX(0,K145-H145)))</f>
        <v/>
      </c>
      <c r="M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N145" s="24" t="n"/>
      <c r="O145" s="25">
        <f>IF(N145="","",HYPERLINK(IF(LEFT(N145,4)="http",N145,set_QwilrBase&amp;N145),"Open quote"))</f>
        <v/>
      </c>
      <c r="P145" s="26" t="n"/>
      <c r="Q145" s="26" t="n"/>
      <c r="R145" s="26" t="n"/>
      <c r="S145" s="25">
        <f>IF(C145="","",IF(N(P145)+N(Q145)+N(R145)=0,"Not split",IF(ROUND(N(P145)+N(Q145)+N(R145),2)=ROUND(H145+L145,2),"OK",IF(G145=0,"Not invoiced yet","MISMATCH"))))</f>
        <v/>
      </c>
      <c r="T145" s="26" t="n"/>
      <c r="U145" s="26" t="n"/>
      <c r="V145" s="26" t="n"/>
      <c r="W145" s="27">
        <f>IF(C145="","",N(T145)+N(U145)+N(V145))</f>
        <v/>
      </c>
      <c r="X145" s="27">
        <f>IF(C145="","",H145+L145-W145)</f>
        <v/>
      </c>
      <c r="Y145" s="29">
        <f>IFERROR(X145/(H145+L145),"")</f>
        <v/>
      </c>
      <c r="Z145" s="24" t="n"/>
    </row>
    <row r="146" ht="15" customHeight="1">
      <c r="A146" s="70">
        <f>IF(C146="","",IFERROR(IF(SUMPRODUCT(MAX((tbl_Finance[Job Number]&amp;""=C146&amp;"")*(tbl_Finance[Xero Invoice No]&lt;&gt;"")*tbl_Finance[Date]))=0,"",SUMPRODUCT(MAX((tbl_Finance[Job Number]&amp;""=C146&amp;"")*(tbl_Finance[Xero Invoice No]&lt;&gt;"")*tbl_Finance[Date]))),""))</f>
        <v/>
      </c>
      <c r="B146" s="25">
        <f>IF(C146="","",IF(COUNTIFS(tbl_Finance[Job Number],C146&amp;"",tbl_Finance[Xero Invoice No],"&lt;&gt;")=0,"",IFERROR(IF(COUNTIFS(tbl_Finance[Job Number],C146&amp;"",tbl_Finance[Xero Invoice No],LOOKUP(2,1/((tbl_Finance[Job Number]&amp;""=C146&amp;"")*(tbl_Finance[Xero Invoice No]&lt;&gt;"")),tbl_Finance[Xero Invoice No]))=COUNTIFS(tbl_Finance[Job Number],C146&amp;"",tbl_Finance[Xero Invoice No],"&lt;&gt;"),LOOKUP(2,1/((tbl_Finance[Job Number]&amp;""=C146&amp;"")*(tbl_Finance[Xero Invoice No]&lt;&gt;"")),tbl_Finance[Xero Invoice No]),LOOKUP(2,1/((tbl_Finance[Job Number]&amp;""=C146&amp;"")*(tbl_Finance[Xero Invoice No]&lt;&gt;"")),tbl_Finance[Xero Invoice No])&amp;" +more"),"")))</f>
        <v/>
      </c>
      <c r="C146" s="24" t="n"/>
      <c r="D146" s="25">
        <f>IF(C146="","",IF(COUNTIF(lst_Jobs,C146&amp;"")&gt;0,"OK","CHECK"))</f>
        <v/>
      </c>
      <c r="E146" s="25">
        <f>IF(C146="","",IFERROR(INDEX(lst_JobName,MATCH(C146&amp;"",lst_Jobs,0)),""))</f>
        <v/>
      </c>
      <c r="F146" s="25">
        <f>IF(C146="","",IFERROR(INDEX(tbl_Finance[Client],IFERROR(MATCH(C146&amp;"",tbl_Finance[Job Number],0),MATCH(IFERROR(C146+0,C146),tbl_Finance[Job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6" t="n"/>
      <c r="L146" s="27">
        <f>IF(C146="","",IF(K146="",0,MAX(0,K146-H146)))</f>
        <v/>
      </c>
      <c r="M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N146" s="24" t="n"/>
      <c r="O146" s="25">
        <f>IF(N146="","",HYPERLINK(IF(LEFT(N146,4)="http",N146,set_QwilrBase&amp;N146),"Open quote"))</f>
        <v/>
      </c>
      <c r="P146" s="26" t="n"/>
      <c r="Q146" s="26" t="n"/>
      <c r="R146" s="26" t="n"/>
      <c r="S146" s="25">
        <f>IF(C146="","",IF(N(P146)+N(Q146)+N(R146)=0,"Not split",IF(ROUND(N(P146)+N(Q146)+N(R146),2)=ROUND(H146+L146,2),"OK",IF(G146=0,"Not invoiced yet","MISMATCH"))))</f>
        <v/>
      </c>
      <c r="T146" s="26" t="n"/>
      <c r="U146" s="26" t="n"/>
      <c r="V146" s="26" t="n"/>
      <c r="W146" s="27">
        <f>IF(C146="","",N(T146)+N(U146)+N(V146))</f>
        <v/>
      </c>
      <c r="X146" s="27">
        <f>IF(C146="","",H146+L146-W146)</f>
        <v/>
      </c>
      <c r="Y146" s="29">
        <f>IFERROR(X146/(H146+L146),"")</f>
        <v/>
      </c>
      <c r="Z146" s="24" t="n"/>
    </row>
    <row r="147" ht="15" customHeight="1">
      <c r="A147" s="70">
        <f>IF(C147="","",IFERROR(IF(SUMPRODUCT(MAX((tbl_Finance[Job Number]&amp;""=C147&amp;"")*(tbl_Finance[Xero Invoice No]&lt;&gt;"")*tbl_Finance[Date]))=0,"",SUMPRODUCT(MAX((tbl_Finance[Job Number]&amp;""=C147&amp;"")*(tbl_Finance[Xero Invoice No]&lt;&gt;"")*tbl_Finance[Date]))),""))</f>
        <v/>
      </c>
      <c r="B147" s="25">
        <f>IF(C147="","",IF(COUNTIFS(tbl_Finance[Job Number],C147&amp;"",tbl_Finance[Xero Invoice No],"&lt;&gt;")=0,"",IFERROR(IF(COUNTIFS(tbl_Finance[Job Number],C147&amp;"",tbl_Finance[Xero Invoice No],LOOKUP(2,1/((tbl_Finance[Job Number]&amp;""=C147&amp;"")*(tbl_Finance[Xero Invoice No]&lt;&gt;"")),tbl_Finance[Xero Invoice No]))=COUNTIFS(tbl_Finance[Job Number],C147&amp;"",tbl_Finance[Xero Invoice No],"&lt;&gt;"),LOOKUP(2,1/((tbl_Finance[Job Number]&amp;""=C147&amp;"")*(tbl_Finance[Xero Invoice No]&lt;&gt;"")),tbl_Finance[Xero Invoice No]),LOOKUP(2,1/((tbl_Finance[Job Number]&amp;""=C147&amp;"")*(tbl_Finance[Xero Invoice No]&lt;&gt;"")),tbl_Finance[Xero Invoice No])&amp;" +more"),"")))</f>
        <v/>
      </c>
      <c r="C147" s="24" t="n"/>
      <c r="D147" s="25">
        <f>IF(C147="","",IF(COUNTIF(lst_Jobs,C147&amp;"")&gt;0,"OK","CHECK"))</f>
        <v/>
      </c>
      <c r="E147" s="25">
        <f>IF(C147="","",IFERROR(INDEX(lst_JobName,MATCH(C147&amp;"",lst_Jobs,0)),""))</f>
        <v/>
      </c>
      <c r="F147" s="25">
        <f>IF(C147="","",IFERROR(INDEX(tbl_Finance[Client],IFERROR(MATCH(C147&amp;"",tbl_Finance[Job Number],0),MATCH(IFERROR(C147+0,C147),tbl_Finance[Job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6" t="n"/>
      <c r="L147" s="27">
        <f>IF(C147="","",IF(K147="",0,MAX(0,K147-H147)))</f>
        <v/>
      </c>
      <c r="M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N147" s="24" t="n"/>
      <c r="O147" s="25">
        <f>IF(N147="","",HYPERLINK(IF(LEFT(N147,4)="http",N147,set_QwilrBase&amp;N147),"Open quote"))</f>
        <v/>
      </c>
      <c r="P147" s="26" t="n"/>
      <c r="Q147" s="26" t="n"/>
      <c r="R147" s="26" t="n"/>
      <c r="S147" s="25">
        <f>IF(C147="","",IF(N(P147)+N(Q147)+N(R147)=0,"Not split",IF(ROUND(N(P147)+N(Q147)+N(R147),2)=ROUND(H147+L147,2),"OK",IF(G147=0,"Not invoiced yet","MISMATCH"))))</f>
        <v/>
      </c>
      <c r="T147" s="26" t="n"/>
      <c r="U147" s="26" t="n"/>
      <c r="V147" s="26" t="n"/>
      <c r="W147" s="27">
        <f>IF(C147="","",N(T147)+N(U147)+N(V147))</f>
        <v/>
      </c>
      <c r="X147" s="27">
        <f>IF(C147="","",H147+L147-W147)</f>
        <v/>
      </c>
      <c r="Y147" s="29">
        <f>IFERROR(X147/(H147+L147),"")</f>
        <v/>
      </c>
      <c r="Z147" s="24" t="n"/>
    </row>
    <row r="148" ht="15" customHeight="1">
      <c r="A148" s="70">
        <f>IF(C148="","",IFERROR(IF(SUMPRODUCT(MAX((tbl_Finance[Job Number]&amp;""=C148&amp;"")*(tbl_Finance[Xero Invoice No]&lt;&gt;"")*tbl_Finance[Date]))=0,"",SUMPRODUCT(MAX((tbl_Finance[Job Number]&amp;""=C148&amp;"")*(tbl_Finance[Xero Invoice No]&lt;&gt;"")*tbl_Finance[Date]))),""))</f>
        <v/>
      </c>
      <c r="B148" s="25">
        <f>IF(C148="","",IF(COUNTIFS(tbl_Finance[Job Number],C148&amp;"",tbl_Finance[Xero Invoice No],"&lt;&gt;")=0,"",IFERROR(IF(COUNTIFS(tbl_Finance[Job Number],C148&amp;"",tbl_Finance[Xero Invoice No],LOOKUP(2,1/((tbl_Finance[Job Number]&amp;""=C148&amp;"")*(tbl_Finance[Xero Invoice No]&lt;&gt;"")),tbl_Finance[Xero Invoice No]))=COUNTIFS(tbl_Finance[Job Number],C148&amp;"",tbl_Finance[Xero Invoice No],"&lt;&gt;"),LOOKUP(2,1/((tbl_Finance[Job Number]&amp;""=C148&amp;"")*(tbl_Finance[Xero Invoice No]&lt;&gt;"")),tbl_Finance[Xero Invoice No]),LOOKUP(2,1/((tbl_Finance[Job Number]&amp;""=C148&amp;"")*(tbl_Finance[Xero Invoice No]&lt;&gt;"")),tbl_Finance[Xero Invoice No])&amp;" +more"),"")))</f>
        <v/>
      </c>
      <c r="C148" s="24" t="n"/>
      <c r="D148" s="25">
        <f>IF(C148="","",IF(COUNTIF(lst_Jobs,C148&amp;"")&gt;0,"OK","CHECK"))</f>
        <v/>
      </c>
      <c r="E148" s="25">
        <f>IF(C148="","",IFERROR(INDEX(lst_JobName,MATCH(C148&amp;"",lst_Jobs,0)),""))</f>
        <v/>
      </c>
      <c r="F148" s="25">
        <f>IF(C148="","",IFERROR(INDEX(tbl_Finance[Client],IFERROR(MATCH(C148&amp;"",tbl_Finance[Job Number],0),MATCH(IFERROR(C148+0,C148),tbl_Finance[Job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6" t="n"/>
      <c r="L148" s="27">
        <f>IF(C148="","",IF(K148="",0,MAX(0,K148-H148)))</f>
        <v/>
      </c>
      <c r="M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N148" s="24" t="n"/>
      <c r="O148" s="25">
        <f>IF(N148="","",HYPERLINK(IF(LEFT(N148,4)="http",N148,set_QwilrBase&amp;N148),"Open quote"))</f>
        <v/>
      </c>
      <c r="P148" s="26" t="n"/>
      <c r="Q148" s="26" t="n"/>
      <c r="R148" s="26" t="n"/>
      <c r="S148" s="25">
        <f>IF(C148="","",IF(N(P148)+N(Q148)+N(R148)=0,"Not split",IF(ROUND(N(P148)+N(Q148)+N(R148),2)=ROUND(H148+L148,2),"OK",IF(G148=0,"Not invoiced yet","MISMATCH"))))</f>
        <v/>
      </c>
      <c r="T148" s="26" t="n"/>
      <c r="U148" s="26" t="n"/>
      <c r="V148" s="26" t="n"/>
      <c r="W148" s="27">
        <f>IF(C148="","",N(T148)+N(U148)+N(V148))</f>
        <v/>
      </c>
      <c r="X148" s="27">
        <f>IF(C148="","",H148+L148-W148)</f>
        <v/>
      </c>
      <c r="Y148" s="29">
        <f>IFERROR(X148/(H148+L148),"")</f>
        <v/>
      </c>
      <c r="Z148" s="24" t="n"/>
    </row>
    <row r="149" ht="15" customHeight="1">
      <c r="A149" s="70">
        <f>IF(C149="","",IFERROR(IF(SUMPRODUCT(MAX((tbl_Finance[Job Number]&amp;""=C149&amp;"")*(tbl_Finance[Xero Invoice No]&lt;&gt;"")*tbl_Finance[Date]))=0,"",SUMPRODUCT(MAX((tbl_Finance[Job Number]&amp;""=C149&amp;"")*(tbl_Finance[Xero Invoice No]&lt;&gt;"")*tbl_Finance[Date]))),""))</f>
        <v/>
      </c>
      <c r="B149" s="25">
        <f>IF(C149="","",IF(COUNTIFS(tbl_Finance[Job Number],C149&amp;"",tbl_Finance[Xero Invoice No],"&lt;&gt;")=0,"",IFERROR(IF(COUNTIFS(tbl_Finance[Job Number],C149&amp;"",tbl_Finance[Xero Invoice No],LOOKUP(2,1/((tbl_Finance[Job Number]&amp;""=C149&amp;"")*(tbl_Finance[Xero Invoice No]&lt;&gt;"")),tbl_Finance[Xero Invoice No]))=COUNTIFS(tbl_Finance[Job Number],C149&amp;"",tbl_Finance[Xero Invoice No],"&lt;&gt;"),LOOKUP(2,1/((tbl_Finance[Job Number]&amp;""=C149&amp;"")*(tbl_Finance[Xero Invoice No]&lt;&gt;"")),tbl_Finance[Xero Invoice No]),LOOKUP(2,1/((tbl_Finance[Job Number]&amp;""=C149&amp;"")*(tbl_Finance[Xero Invoice No]&lt;&gt;"")),tbl_Finance[Xero Invoice No])&amp;" +more"),"")))</f>
        <v/>
      </c>
      <c r="C149" s="24" t="n"/>
      <c r="D149" s="25">
        <f>IF(C149="","",IF(COUNTIF(lst_Jobs,C149&amp;"")&gt;0,"OK","CHECK"))</f>
        <v/>
      </c>
      <c r="E149" s="25">
        <f>IF(C149="","",IFERROR(INDEX(lst_JobName,MATCH(C149&amp;"",lst_Jobs,0)),""))</f>
        <v/>
      </c>
      <c r="F149" s="25">
        <f>IF(C149="","",IFERROR(INDEX(tbl_Finance[Client],IFERROR(MATCH(C149&amp;"",tbl_Finance[Job Number],0),MATCH(IFERROR(C149+0,C149),tbl_Finance[Job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6" t="n"/>
      <c r="L149" s="27">
        <f>IF(C149="","",IF(K149="",0,MAX(0,K149-H149)))</f>
        <v/>
      </c>
      <c r="M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N149" s="24" t="n"/>
      <c r="O149" s="25">
        <f>IF(N149="","",HYPERLINK(IF(LEFT(N149,4)="http",N149,set_QwilrBase&amp;N149),"Open quote"))</f>
        <v/>
      </c>
      <c r="P149" s="26" t="n"/>
      <c r="Q149" s="26" t="n"/>
      <c r="R149" s="26" t="n"/>
      <c r="S149" s="25">
        <f>IF(C149="","",IF(N(P149)+N(Q149)+N(R149)=0,"Not split",IF(ROUND(N(P149)+N(Q149)+N(R149),2)=ROUND(H149+L149,2),"OK",IF(G149=0,"Not invoiced yet","MISMATCH"))))</f>
        <v/>
      </c>
      <c r="T149" s="26" t="n"/>
      <c r="U149" s="26" t="n"/>
      <c r="V149" s="26" t="n"/>
      <c r="W149" s="27">
        <f>IF(C149="","",N(T149)+N(U149)+N(V149))</f>
        <v/>
      </c>
      <c r="X149" s="27">
        <f>IF(C149="","",H149+L149-W149)</f>
        <v/>
      </c>
      <c r="Y149" s="29">
        <f>IFERROR(X149/(H149+L149),"")</f>
        <v/>
      </c>
      <c r="Z149" s="24" t="n"/>
    </row>
    <row r="150" ht="15" customHeight="1">
      <c r="A150" s="70">
        <f>IF(C150="","",IFERROR(IF(SUMPRODUCT(MAX((tbl_Finance[Job Number]&amp;""=C150&amp;"")*(tbl_Finance[Xero Invoice No]&lt;&gt;"")*tbl_Finance[Date]))=0,"",SUMPRODUCT(MAX((tbl_Finance[Job Number]&amp;""=C150&amp;"")*(tbl_Finance[Xero Invoice No]&lt;&gt;"")*tbl_Finance[Date]))),""))</f>
        <v/>
      </c>
      <c r="B150" s="25">
        <f>IF(C150="","",IF(COUNTIFS(tbl_Finance[Job Number],C150&amp;"",tbl_Finance[Xero Invoice No],"&lt;&gt;")=0,"",IFERROR(IF(COUNTIFS(tbl_Finance[Job Number],C150&amp;"",tbl_Finance[Xero Invoice No],LOOKUP(2,1/((tbl_Finance[Job Number]&amp;""=C150&amp;"")*(tbl_Finance[Xero Invoice No]&lt;&gt;"")),tbl_Finance[Xero Invoice No]))=COUNTIFS(tbl_Finance[Job Number],C150&amp;"",tbl_Finance[Xero Invoice No],"&lt;&gt;"),LOOKUP(2,1/((tbl_Finance[Job Number]&amp;""=C150&amp;"")*(tbl_Finance[Xero Invoice No]&lt;&gt;"")),tbl_Finance[Xero Invoice No]),LOOKUP(2,1/((tbl_Finance[Job Number]&amp;""=C150&amp;"")*(tbl_Finance[Xero Invoice No]&lt;&gt;"")),tbl_Finance[Xero Invoice No])&amp;" +more"),"")))</f>
        <v/>
      </c>
      <c r="C150" s="24" t="n"/>
      <c r="D150" s="25">
        <f>IF(C150="","",IF(COUNTIF(lst_Jobs,C150&amp;"")&gt;0,"OK","CHECK"))</f>
        <v/>
      </c>
      <c r="E150" s="25">
        <f>IF(C150="","",IFERROR(INDEX(lst_JobName,MATCH(C150&amp;"",lst_Jobs,0)),""))</f>
        <v/>
      </c>
      <c r="F150" s="25">
        <f>IF(C150="","",IFERROR(INDEX(tbl_Finance[Client],IFERROR(MATCH(C150&amp;"",tbl_Finance[Job Number],0),MATCH(IFERROR(C150+0,C150),tbl_Finance[Job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6" t="n"/>
      <c r="L150" s="27">
        <f>IF(C150="","",IF(K150="",0,MAX(0,K150-H150)))</f>
        <v/>
      </c>
      <c r="M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N150" s="24" t="n"/>
      <c r="O150" s="25">
        <f>IF(N150="","",HYPERLINK(IF(LEFT(N150,4)="http",N150,set_QwilrBase&amp;N150),"Open quote"))</f>
        <v/>
      </c>
      <c r="P150" s="26" t="n"/>
      <c r="Q150" s="26" t="n"/>
      <c r="R150" s="26" t="n"/>
      <c r="S150" s="25">
        <f>IF(C150="","",IF(N(P150)+N(Q150)+N(R150)=0,"Not split",IF(ROUND(N(P150)+N(Q150)+N(R150),2)=ROUND(H150+L150,2),"OK",IF(G150=0,"Not invoiced yet","MISMATCH"))))</f>
        <v/>
      </c>
      <c r="T150" s="26" t="n"/>
      <c r="U150" s="26" t="n"/>
      <c r="V150" s="26" t="n"/>
      <c r="W150" s="27">
        <f>IF(C150="","",N(T150)+N(U150)+N(V150))</f>
        <v/>
      </c>
      <c r="X150" s="27">
        <f>IF(C150="","",H150+L150-W150)</f>
        <v/>
      </c>
      <c r="Y150" s="29">
        <f>IFERROR(X150/(H150+L150),"")</f>
        <v/>
      </c>
      <c r="Z150" s="24" t="n"/>
    </row>
    <row r="151" ht="15" customHeight="1">
      <c r="A151" s="70">
        <f>IF(C151="","",IFERROR(IF(SUMPRODUCT(MAX((tbl_Finance[Job Number]&amp;""=C151&amp;"")*(tbl_Finance[Xero Invoice No]&lt;&gt;"")*tbl_Finance[Date]))=0,"",SUMPRODUCT(MAX((tbl_Finance[Job Number]&amp;""=C151&amp;"")*(tbl_Finance[Xero Invoice No]&lt;&gt;"")*tbl_Finance[Date]))),""))</f>
        <v/>
      </c>
      <c r="B151" s="25">
        <f>IF(C151="","",IF(COUNTIFS(tbl_Finance[Job Number],C151&amp;"",tbl_Finance[Xero Invoice No],"&lt;&gt;")=0,"",IFERROR(IF(COUNTIFS(tbl_Finance[Job Number],C151&amp;"",tbl_Finance[Xero Invoice No],LOOKUP(2,1/((tbl_Finance[Job Number]&amp;""=C151&amp;"")*(tbl_Finance[Xero Invoice No]&lt;&gt;"")),tbl_Finance[Xero Invoice No]))=COUNTIFS(tbl_Finance[Job Number],C151&amp;"",tbl_Finance[Xero Invoice No],"&lt;&gt;"),LOOKUP(2,1/((tbl_Finance[Job Number]&amp;""=C151&amp;"")*(tbl_Finance[Xero Invoice No]&lt;&gt;"")),tbl_Finance[Xero Invoice No]),LOOKUP(2,1/((tbl_Finance[Job Number]&amp;""=C151&amp;"")*(tbl_Finance[Xero Invoice No]&lt;&gt;"")),tbl_Finance[Xero Invoice No])&amp;" +more"),"")))</f>
        <v/>
      </c>
      <c r="C151" s="24" t="n"/>
      <c r="D151" s="25">
        <f>IF(C151="","",IF(COUNTIF(lst_Jobs,C151&amp;"")&gt;0,"OK","CHECK"))</f>
        <v/>
      </c>
      <c r="E151" s="25">
        <f>IF(C151="","",IFERROR(INDEX(lst_JobName,MATCH(C151&amp;"",lst_Jobs,0)),""))</f>
        <v/>
      </c>
      <c r="F151" s="25">
        <f>IF(C151="","",IFERROR(INDEX(tbl_Finance[Client],IFERROR(MATCH(C151&amp;"",tbl_Finance[Job Number],0),MATCH(IFERROR(C151+0,C151),tbl_Finance[Job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6" t="n"/>
      <c r="L151" s="27">
        <f>IF(C151="","",IF(K151="",0,MAX(0,K151-H151)))</f>
        <v/>
      </c>
      <c r="M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N151" s="24" t="n"/>
      <c r="O151" s="25">
        <f>IF(N151="","",HYPERLINK(IF(LEFT(N151,4)="http",N151,set_QwilrBase&amp;N151),"Open quote"))</f>
        <v/>
      </c>
      <c r="P151" s="26" t="n"/>
      <c r="Q151" s="26" t="n"/>
      <c r="R151" s="26" t="n"/>
      <c r="S151" s="25">
        <f>IF(C151="","",IF(N(P151)+N(Q151)+N(R151)=0,"Not split",IF(ROUND(N(P151)+N(Q151)+N(R151),2)=ROUND(H151+L151,2),"OK",IF(G151=0,"Not invoiced yet","MISMATCH"))))</f>
        <v/>
      </c>
      <c r="T151" s="26" t="n"/>
      <c r="U151" s="26" t="n"/>
      <c r="V151" s="26" t="n"/>
      <c r="W151" s="27">
        <f>IF(C151="","",N(T151)+N(U151)+N(V151))</f>
        <v/>
      </c>
      <c r="X151" s="27">
        <f>IF(C151="","",H151+L151-W151)</f>
        <v/>
      </c>
      <c r="Y151" s="29">
        <f>IFERROR(X151/(H151+L151),"")</f>
        <v/>
      </c>
      <c r="Z151" s="24" t="n"/>
    </row>
    <row r="152" ht="15" customHeight="1">
      <c r="A152" s="70">
        <f>IF(C152="","",IFERROR(IF(SUMPRODUCT(MAX((tbl_Finance[Job Number]&amp;""=C152&amp;"")*(tbl_Finance[Xero Invoice No]&lt;&gt;"")*tbl_Finance[Date]))=0,"",SUMPRODUCT(MAX((tbl_Finance[Job Number]&amp;""=C152&amp;"")*(tbl_Finance[Xero Invoice No]&lt;&gt;"")*tbl_Finance[Date]))),""))</f>
        <v/>
      </c>
      <c r="B152" s="25">
        <f>IF(C152="","",IF(COUNTIFS(tbl_Finance[Job Number],C152&amp;"",tbl_Finance[Xero Invoice No],"&lt;&gt;")=0,"",IFERROR(IF(COUNTIFS(tbl_Finance[Job Number],C152&amp;"",tbl_Finance[Xero Invoice No],LOOKUP(2,1/((tbl_Finance[Job Number]&amp;""=C152&amp;"")*(tbl_Finance[Xero Invoice No]&lt;&gt;"")),tbl_Finance[Xero Invoice No]))=COUNTIFS(tbl_Finance[Job Number],C152&amp;"",tbl_Finance[Xero Invoice No],"&lt;&gt;"),LOOKUP(2,1/((tbl_Finance[Job Number]&amp;""=C152&amp;"")*(tbl_Finance[Xero Invoice No]&lt;&gt;"")),tbl_Finance[Xero Invoice No]),LOOKUP(2,1/((tbl_Finance[Job Number]&amp;""=C152&amp;"")*(tbl_Finance[Xero Invoice No]&lt;&gt;"")),tbl_Finance[Xero Invoice No])&amp;" +more"),"")))</f>
        <v/>
      </c>
      <c r="C152" s="24" t="n"/>
      <c r="D152" s="25">
        <f>IF(C152="","",IF(COUNTIF(lst_Jobs,C152&amp;"")&gt;0,"OK","CHECK"))</f>
        <v/>
      </c>
      <c r="E152" s="25">
        <f>IF(C152="","",IFERROR(INDEX(lst_JobName,MATCH(C152&amp;"",lst_Jobs,0)),""))</f>
        <v/>
      </c>
      <c r="F152" s="25">
        <f>IF(C152="","",IFERROR(INDEX(tbl_Finance[Client],IFERROR(MATCH(C152&amp;"",tbl_Finance[Job Number],0),MATCH(IFERROR(C152+0,C152),tbl_Finance[Job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6" t="n"/>
      <c r="L152" s="27">
        <f>IF(C152="","",IF(K152="",0,MAX(0,K152-H152)))</f>
        <v/>
      </c>
      <c r="M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N152" s="24" t="n"/>
      <c r="O152" s="25">
        <f>IF(N152="","",HYPERLINK(IF(LEFT(N152,4)="http",N152,set_QwilrBase&amp;N152),"Open quote"))</f>
        <v/>
      </c>
      <c r="P152" s="26" t="n"/>
      <c r="Q152" s="26" t="n"/>
      <c r="R152" s="26" t="n"/>
      <c r="S152" s="25">
        <f>IF(C152="","",IF(N(P152)+N(Q152)+N(R152)=0,"Not split",IF(ROUND(N(P152)+N(Q152)+N(R152),2)=ROUND(H152+L152,2),"OK",IF(G152=0,"Not invoiced yet","MISMATCH"))))</f>
        <v/>
      </c>
      <c r="T152" s="26" t="n"/>
      <c r="U152" s="26" t="n"/>
      <c r="V152" s="26" t="n"/>
      <c r="W152" s="27">
        <f>IF(C152="","",N(T152)+N(U152)+N(V152))</f>
        <v/>
      </c>
      <c r="X152" s="27">
        <f>IF(C152="","",H152+L152-W152)</f>
        <v/>
      </c>
      <c r="Y152" s="29">
        <f>IFERROR(X152/(H152+L152),"")</f>
        <v/>
      </c>
      <c r="Z152" s="24" t="n"/>
    </row>
    <row r="153" ht="15" customHeight="1">
      <c r="A153" s="70">
        <f>IF(C153="","",IFERROR(IF(SUMPRODUCT(MAX((tbl_Finance[Job Number]&amp;""=C153&amp;"")*(tbl_Finance[Xero Invoice No]&lt;&gt;"")*tbl_Finance[Date]))=0,"",SUMPRODUCT(MAX((tbl_Finance[Job Number]&amp;""=C153&amp;"")*(tbl_Finance[Xero Invoice No]&lt;&gt;"")*tbl_Finance[Date]))),""))</f>
        <v/>
      </c>
      <c r="B153" s="25">
        <f>IF(C153="","",IF(COUNTIFS(tbl_Finance[Job Number],C153&amp;"",tbl_Finance[Xero Invoice No],"&lt;&gt;")=0,"",IFERROR(IF(COUNTIFS(tbl_Finance[Job Number],C153&amp;"",tbl_Finance[Xero Invoice No],LOOKUP(2,1/((tbl_Finance[Job Number]&amp;""=C153&amp;"")*(tbl_Finance[Xero Invoice No]&lt;&gt;"")),tbl_Finance[Xero Invoice No]))=COUNTIFS(tbl_Finance[Job Number],C153&amp;"",tbl_Finance[Xero Invoice No],"&lt;&gt;"),LOOKUP(2,1/((tbl_Finance[Job Number]&amp;""=C153&amp;"")*(tbl_Finance[Xero Invoice No]&lt;&gt;"")),tbl_Finance[Xero Invoice No]),LOOKUP(2,1/((tbl_Finance[Job Number]&amp;""=C153&amp;"")*(tbl_Finance[Xero Invoice No]&lt;&gt;"")),tbl_Finance[Xero Invoice No])&amp;" +more"),"")))</f>
        <v/>
      </c>
      <c r="C153" s="24" t="n"/>
      <c r="D153" s="25">
        <f>IF(C153="","",IF(COUNTIF(lst_Jobs,C153&amp;"")&gt;0,"OK","CHECK"))</f>
        <v/>
      </c>
      <c r="E153" s="25">
        <f>IF(C153="","",IFERROR(INDEX(lst_JobName,MATCH(C153&amp;"",lst_Jobs,0)),""))</f>
        <v/>
      </c>
      <c r="F153" s="25">
        <f>IF(C153="","",IFERROR(INDEX(tbl_Finance[Client],IFERROR(MATCH(C153&amp;"",tbl_Finance[Job Number],0),MATCH(IFERROR(C153+0,C153),tbl_Finance[Job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6" t="n"/>
      <c r="L153" s="27">
        <f>IF(C153="","",IF(K153="",0,MAX(0,K153-H153)))</f>
        <v/>
      </c>
      <c r="M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N153" s="24" t="n"/>
      <c r="O153" s="25">
        <f>IF(N153="","",HYPERLINK(IF(LEFT(N153,4)="http",N153,set_QwilrBase&amp;N153),"Open quote"))</f>
        <v/>
      </c>
      <c r="P153" s="26" t="n"/>
      <c r="Q153" s="26" t="n"/>
      <c r="R153" s="26" t="n"/>
      <c r="S153" s="25">
        <f>IF(C153="","",IF(N(P153)+N(Q153)+N(R153)=0,"Not split",IF(ROUND(N(P153)+N(Q153)+N(R153),2)=ROUND(H153+L153,2),"OK",IF(G153=0,"Not invoiced yet","MISMATCH"))))</f>
        <v/>
      </c>
      <c r="T153" s="26" t="n"/>
      <c r="U153" s="26" t="n"/>
      <c r="V153" s="26" t="n"/>
      <c r="W153" s="27">
        <f>IF(C153="","",N(T153)+N(U153)+N(V153))</f>
        <v/>
      </c>
      <c r="X153" s="27">
        <f>IF(C153="","",H153+L153-W153)</f>
        <v/>
      </c>
      <c r="Y153" s="29">
        <f>IFERROR(X153/(H153+L153),"")</f>
        <v/>
      </c>
      <c r="Z153" s="24" t="n"/>
    </row>
    <row r="154" ht="15" customHeight="1">
      <c r="A154" s="70">
        <f>IF(C154="","",IFERROR(IF(SUMPRODUCT(MAX((tbl_Finance[Job Number]&amp;""=C154&amp;"")*(tbl_Finance[Xero Invoice No]&lt;&gt;"")*tbl_Finance[Date]))=0,"",SUMPRODUCT(MAX((tbl_Finance[Job Number]&amp;""=C154&amp;"")*(tbl_Finance[Xero Invoice No]&lt;&gt;"")*tbl_Finance[Date]))),""))</f>
        <v/>
      </c>
      <c r="B154" s="25">
        <f>IF(C154="","",IF(COUNTIFS(tbl_Finance[Job Number],C154&amp;"",tbl_Finance[Xero Invoice No],"&lt;&gt;")=0,"",IFERROR(IF(COUNTIFS(tbl_Finance[Job Number],C154&amp;"",tbl_Finance[Xero Invoice No],LOOKUP(2,1/((tbl_Finance[Job Number]&amp;""=C154&amp;"")*(tbl_Finance[Xero Invoice No]&lt;&gt;"")),tbl_Finance[Xero Invoice No]))=COUNTIFS(tbl_Finance[Job Number],C154&amp;"",tbl_Finance[Xero Invoice No],"&lt;&gt;"),LOOKUP(2,1/((tbl_Finance[Job Number]&amp;""=C154&amp;"")*(tbl_Finance[Xero Invoice No]&lt;&gt;"")),tbl_Finance[Xero Invoice No]),LOOKUP(2,1/((tbl_Finance[Job Number]&amp;""=C154&amp;"")*(tbl_Finance[Xero Invoice No]&lt;&gt;"")),tbl_Finance[Xero Invoice No])&amp;" +more"),"")))</f>
        <v/>
      </c>
      <c r="C154" s="24" t="n"/>
      <c r="D154" s="25">
        <f>IF(C154="","",IF(COUNTIF(lst_Jobs,C154&amp;"")&gt;0,"OK","CHECK"))</f>
        <v/>
      </c>
      <c r="E154" s="25">
        <f>IF(C154="","",IFERROR(INDEX(lst_JobName,MATCH(C154&amp;"",lst_Jobs,0)),""))</f>
        <v/>
      </c>
      <c r="F154" s="25">
        <f>IF(C154="","",IFERROR(INDEX(tbl_Finance[Client],IFERROR(MATCH(C154&amp;"",tbl_Finance[Job Number],0),MATCH(IFERROR(C154+0,C154),tbl_Finance[Job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6" t="n"/>
      <c r="L154" s="27">
        <f>IF(C154="","",IF(K154="",0,MAX(0,K154-H154)))</f>
        <v/>
      </c>
      <c r="M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N154" s="24" t="n"/>
      <c r="O154" s="25">
        <f>IF(N154="","",HYPERLINK(IF(LEFT(N154,4)="http",N154,set_QwilrBase&amp;N154),"Open quote"))</f>
        <v/>
      </c>
      <c r="P154" s="26" t="n"/>
      <c r="Q154" s="26" t="n"/>
      <c r="R154" s="26" t="n"/>
      <c r="S154" s="25">
        <f>IF(C154="","",IF(N(P154)+N(Q154)+N(R154)=0,"Not split",IF(ROUND(N(P154)+N(Q154)+N(R154),2)=ROUND(H154+L154,2),"OK",IF(G154=0,"Not invoiced yet","MISMATCH"))))</f>
        <v/>
      </c>
      <c r="T154" s="26" t="n"/>
      <c r="U154" s="26" t="n"/>
      <c r="V154" s="26" t="n"/>
      <c r="W154" s="27">
        <f>IF(C154="","",N(T154)+N(U154)+N(V154))</f>
        <v/>
      </c>
      <c r="X154" s="27">
        <f>IF(C154="","",H154+L154-W154)</f>
        <v/>
      </c>
      <c r="Y154" s="29">
        <f>IFERROR(X154/(H154+L154),"")</f>
        <v/>
      </c>
      <c r="Z154" s="24" t="n"/>
    </row>
    <row r="155" ht="15" customHeight="1">
      <c r="A155" s="70">
        <f>IF(C155="","",IFERROR(IF(SUMPRODUCT(MAX((tbl_Finance[Job Number]&amp;""=C155&amp;"")*(tbl_Finance[Xero Invoice No]&lt;&gt;"")*tbl_Finance[Date]))=0,"",SUMPRODUCT(MAX((tbl_Finance[Job Number]&amp;""=C155&amp;"")*(tbl_Finance[Xero Invoice No]&lt;&gt;"")*tbl_Finance[Date]))),""))</f>
        <v/>
      </c>
      <c r="B155" s="25">
        <f>IF(C155="","",IF(COUNTIFS(tbl_Finance[Job Number],C155&amp;"",tbl_Finance[Xero Invoice No],"&lt;&gt;")=0,"",IFERROR(IF(COUNTIFS(tbl_Finance[Job Number],C155&amp;"",tbl_Finance[Xero Invoice No],LOOKUP(2,1/((tbl_Finance[Job Number]&amp;""=C155&amp;"")*(tbl_Finance[Xero Invoice No]&lt;&gt;"")),tbl_Finance[Xero Invoice No]))=COUNTIFS(tbl_Finance[Job Number],C155&amp;"",tbl_Finance[Xero Invoice No],"&lt;&gt;"),LOOKUP(2,1/((tbl_Finance[Job Number]&amp;""=C155&amp;"")*(tbl_Finance[Xero Invoice No]&lt;&gt;"")),tbl_Finance[Xero Invoice No]),LOOKUP(2,1/((tbl_Finance[Job Number]&amp;""=C155&amp;"")*(tbl_Finance[Xero Invoice No]&lt;&gt;"")),tbl_Finance[Xero Invoice No])&amp;" +more"),"")))</f>
        <v/>
      </c>
      <c r="C155" s="24" t="n"/>
      <c r="D155" s="25">
        <f>IF(C155="","",IF(COUNTIF(lst_Jobs,C155&amp;"")&gt;0,"OK","CHECK"))</f>
        <v/>
      </c>
      <c r="E155" s="25">
        <f>IF(C155="","",IFERROR(INDEX(lst_JobName,MATCH(C155&amp;"",lst_Jobs,0)),""))</f>
        <v/>
      </c>
      <c r="F155" s="25">
        <f>IF(C155="","",IFERROR(INDEX(tbl_Finance[Client],IFERROR(MATCH(C155&amp;"",tbl_Finance[Job Number],0),MATCH(IFERROR(C155+0,C155),tbl_Finance[Job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6" t="n"/>
      <c r="L155" s="27">
        <f>IF(C155="","",IF(K155="",0,MAX(0,K155-H155)))</f>
        <v/>
      </c>
      <c r="M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N155" s="24" t="n"/>
      <c r="O155" s="25">
        <f>IF(N155="","",HYPERLINK(IF(LEFT(N155,4)="http",N155,set_QwilrBase&amp;N155),"Open quote"))</f>
        <v/>
      </c>
      <c r="P155" s="26" t="n"/>
      <c r="Q155" s="26" t="n"/>
      <c r="R155" s="26" t="n"/>
      <c r="S155" s="25">
        <f>IF(C155="","",IF(N(P155)+N(Q155)+N(R155)=0,"Not split",IF(ROUND(N(P155)+N(Q155)+N(R155),2)=ROUND(H155+L155,2),"OK",IF(G155=0,"Not invoiced yet","MISMATCH"))))</f>
        <v/>
      </c>
      <c r="T155" s="26" t="n"/>
      <c r="U155" s="26" t="n"/>
      <c r="V155" s="26" t="n"/>
      <c r="W155" s="27">
        <f>IF(C155="","",N(T155)+N(U155)+N(V155))</f>
        <v/>
      </c>
      <c r="X155" s="27">
        <f>IF(C155="","",H155+L155-W155)</f>
        <v/>
      </c>
      <c r="Y155" s="29">
        <f>IFERROR(X155/(H155+L155),"")</f>
        <v/>
      </c>
      <c r="Z155" s="24" t="n"/>
    </row>
    <row r="156" ht="15" customHeight="1">
      <c r="A156" s="70">
        <f>IF(C156="","",IFERROR(IF(SUMPRODUCT(MAX((tbl_Finance[Job Number]&amp;""=C156&amp;"")*(tbl_Finance[Xero Invoice No]&lt;&gt;"")*tbl_Finance[Date]))=0,"",SUMPRODUCT(MAX((tbl_Finance[Job Number]&amp;""=C156&amp;"")*(tbl_Finance[Xero Invoice No]&lt;&gt;"")*tbl_Finance[Date]))),""))</f>
        <v/>
      </c>
      <c r="B156" s="25">
        <f>IF(C156="","",IF(COUNTIFS(tbl_Finance[Job Number],C156&amp;"",tbl_Finance[Xero Invoice No],"&lt;&gt;")=0,"",IFERROR(IF(COUNTIFS(tbl_Finance[Job Number],C156&amp;"",tbl_Finance[Xero Invoice No],LOOKUP(2,1/((tbl_Finance[Job Number]&amp;""=C156&amp;"")*(tbl_Finance[Xero Invoice No]&lt;&gt;"")),tbl_Finance[Xero Invoice No]))=COUNTIFS(tbl_Finance[Job Number],C156&amp;"",tbl_Finance[Xero Invoice No],"&lt;&gt;"),LOOKUP(2,1/((tbl_Finance[Job Number]&amp;""=C156&amp;"")*(tbl_Finance[Xero Invoice No]&lt;&gt;"")),tbl_Finance[Xero Invoice No]),LOOKUP(2,1/((tbl_Finance[Job Number]&amp;""=C156&amp;"")*(tbl_Finance[Xero Invoice No]&lt;&gt;"")),tbl_Finance[Xero Invoice No])&amp;" +more"),"")))</f>
        <v/>
      </c>
      <c r="C156" s="24" t="n"/>
      <c r="D156" s="25">
        <f>IF(C156="","",IF(COUNTIF(lst_Jobs,C156&amp;"")&gt;0,"OK","CHECK"))</f>
        <v/>
      </c>
      <c r="E156" s="25">
        <f>IF(C156="","",IFERROR(INDEX(lst_JobName,MATCH(C156&amp;"",lst_Jobs,0)),""))</f>
        <v/>
      </c>
      <c r="F156" s="25">
        <f>IF(C156="","",IFERROR(INDEX(tbl_Finance[Client],IFERROR(MATCH(C156&amp;"",tbl_Finance[Job Number],0),MATCH(IFERROR(C156+0,C156),tbl_Finance[Job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6" t="n"/>
      <c r="L156" s="27">
        <f>IF(C156="","",IF(K156="",0,MAX(0,K156-H156)))</f>
        <v/>
      </c>
      <c r="M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N156" s="24" t="n"/>
      <c r="O156" s="25">
        <f>IF(N156="","",HYPERLINK(IF(LEFT(N156,4)="http",N156,set_QwilrBase&amp;N156),"Open quote"))</f>
        <v/>
      </c>
      <c r="P156" s="26" t="n"/>
      <c r="Q156" s="26" t="n"/>
      <c r="R156" s="26" t="n"/>
      <c r="S156" s="25">
        <f>IF(C156="","",IF(N(P156)+N(Q156)+N(R156)=0,"Not split",IF(ROUND(N(P156)+N(Q156)+N(R156),2)=ROUND(H156+L156,2),"OK",IF(G156=0,"Not invoiced yet","MISMATCH"))))</f>
        <v/>
      </c>
      <c r="T156" s="26" t="n"/>
      <c r="U156" s="26" t="n"/>
      <c r="V156" s="26" t="n"/>
      <c r="W156" s="27">
        <f>IF(C156="","",N(T156)+N(U156)+N(V156))</f>
        <v/>
      </c>
      <c r="X156" s="27">
        <f>IF(C156="","",H156+L156-W156)</f>
        <v/>
      </c>
      <c r="Y156" s="29">
        <f>IFERROR(X156/(H156+L156),"")</f>
        <v/>
      </c>
      <c r="Z156" s="24" t="n"/>
    </row>
    <row r="157" ht="15" customHeight="1">
      <c r="A157" s="70">
        <f>IF(C157="","",IFERROR(IF(SUMPRODUCT(MAX((tbl_Finance[Job Number]&amp;""=C157&amp;"")*(tbl_Finance[Xero Invoice No]&lt;&gt;"")*tbl_Finance[Date]))=0,"",SUMPRODUCT(MAX((tbl_Finance[Job Number]&amp;""=C157&amp;"")*(tbl_Finance[Xero Invoice No]&lt;&gt;"")*tbl_Finance[Date]))),""))</f>
        <v/>
      </c>
      <c r="B157" s="25">
        <f>IF(C157="","",IF(COUNTIFS(tbl_Finance[Job Number],C157&amp;"",tbl_Finance[Xero Invoice No],"&lt;&gt;")=0,"",IFERROR(IF(COUNTIFS(tbl_Finance[Job Number],C157&amp;"",tbl_Finance[Xero Invoice No],LOOKUP(2,1/((tbl_Finance[Job Number]&amp;""=C157&amp;"")*(tbl_Finance[Xero Invoice No]&lt;&gt;"")),tbl_Finance[Xero Invoice No]))=COUNTIFS(tbl_Finance[Job Number],C157&amp;"",tbl_Finance[Xero Invoice No],"&lt;&gt;"),LOOKUP(2,1/((tbl_Finance[Job Number]&amp;""=C157&amp;"")*(tbl_Finance[Xero Invoice No]&lt;&gt;"")),tbl_Finance[Xero Invoice No]),LOOKUP(2,1/((tbl_Finance[Job Number]&amp;""=C157&amp;"")*(tbl_Finance[Xero Invoice No]&lt;&gt;"")),tbl_Finance[Xero Invoice No])&amp;" +more"),"")))</f>
        <v/>
      </c>
      <c r="C157" s="24" t="n"/>
      <c r="D157" s="25">
        <f>IF(C157="","",IF(COUNTIF(lst_Jobs,C157&amp;"")&gt;0,"OK","CHECK"))</f>
        <v/>
      </c>
      <c r="E157" s="25">
        <f>IF(C157="","",IFERROR(INDEX(lst_JobName,MATCH(C157&amp;"",lst_Jobs,0)),""))</f>
        <v/>
      </c>
      <c r="F157" s="25">
        <f>IF(C157="","",IFERROR(INDEX(tbl_Finance[Client],IFERROR(MATCH(C157&amp;"",tbl_Finance[Job Number],0),MATCH(IFERROR(C157+0,C157),tbl_Finance[Job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6" t="n"/>
      <c r="L157" s="27">
        <f>IF(C157="","",IF(K157="",0,MAX(0,K157-H157)))</f>
        <v/>
      </c>
      <c r="M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N157" s="24" t="n"/>
      <c r="O157" s="25">
        <f>IF(N157="","",HYPERLINK(IF(LEFT(N157,4)="http",N157,set_QwilrBase&amp;N157),"Open quote"))</f>
        <v/>
      </c>
      <c r="P157" s="26" t="n"/>
      <c r="Q157" s="26" t="n"/>
      <c r="R157" s="26" t="n"/>
      <c r="S157" s="25">
        <f>IF(C157="","",IF(N(P157)+N(Q157)+N(R157)=0,"Not split",IF(ROUND(N(P157)+N(Q157)+N(R157),2)=ROUND(H157+L157,2),"OK",IF(G157=0,"Not invoiced yet","MISMATCH"))))</f>
        <v/>
      </c>
      <c r="T157" s="26" t="n"/>
      <c r="U157" s="26" t="n"/>
      <c r="V157" s="26" t="n"/>
      <c r="W157" s="27">
        <f>IF(C157="","",N(T157)+N(U157)+N(V157))</f>
        <v/>
      </c>
      <c r="X157" s="27">
        <f>IF(C157="","",H157+L157-W157)</f>
        <v/>
      </c>
      <c r="Y157" s="29">
        <f>IFERROR(X157/(H157+L157),"")</f>
        <v/>
      </c>
      <c r="Z157" s="24" t="n"/>
    </row>
    <row r="158" ht="15" customHeight="1">
      <c r="A158" s="70">
        <f>IF(C158="","",IFERROR(IF(SUMPRODUCT(MAX((tbl_Finance[Job Number]&amp;""=C158&amp;"")*(tbl_Finance[Xero Invoice No]&lt;&gt;"")*tbl_Finance[Date]))=0,"",SUMPRODUCT(MAX((tbl_Finance[Job Number]&amp;""=C158&amp;"")*(tbl_Finance[Xero Invoice No]&lt;&gt;"")*tbl_Finance[Date]))),""))</f>
        <v/>
      </c>
      <c r="B158" s="25">
        <f>IF(C158="","",IF(COUNTIFS(tbl_Finance[Job Number],C158&amp;"",tbl_Finance[Xero Invoice No],"&lt;&gt;")=0,"",IFERROR(IF(COUNTIFS(tbl_Finance[Job Number],C158&amp;"",tbl_Finance[Xero Invoice No],LOOKUP(2,1/((tbl_Finance[Job Number]&amp;""=C158&amp;"")*(tbl_Finance[Xero Invoice No]&lt;&gt;"")),tbl_Finance[Xero Invoice No]))=COUNTIFS(tbl_Finance[Job Number],C158&amp;"",tbl_Finance[Xero Invoice No],"&lt;&gt;"),LOOKUP(2,1/((tbl_Finance[Job Number]&amp;""=C158&amp;"")*(tbl_Finance[Xero Invoice No]&lt;&gt;"")),tbl_Finance[Xero Invoice No]),LOOKUP(2,1/((tbl_Finance[Job Number]&amp;""=C158&amp;"")*(tbl_Finance[Xero Invoice No]&lt;&gt;"")),tbl_Finance[Xero Invoice No])&amp;" +more"),"")))</f>
        <v/>
      </c>
      <c r="C158" s="24" t="n"/>
      <c r="D158" s="25">
        <f>IF(C158="","",IF(COUNTIF(lst_Jobs,C158&amp;"")&gt;0,"OK","CHECK"))</f>
        <v/>
      </c>
      <c r="E158" s="25">
        <f>IF(C158="","",IFERROR(INDEX(lst_JobName,MATCH(C158&amp;"",lst_Jobs,0)),""))</f>
        <v/>
      </c>
      <c r="F158" s="25">
        <f>IF(C158="","",IFERROR(INDEX(tbl_Finance[Client],IFERROR(MATCH(C158&amp;"",tbl_Finance[Job Number],0),MATCH(IFERROR(C158+0,C158),tbl_Finance[Job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6" t="n"/>
      <c r="L158" s="27">
        <f>IF(C158="","",IF(K158="",0,MAX(0,K158-H158)))</f>
        <v/>
      </c>
      <c r="M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N158" s="24" t="n"/>
      <c r="O158" s="25">
        <f>IF(N158="","",HYPERLINK(IF(LEFT(N158,4)="http",N158,set_QwilrBase&amp;N158),"Open quote"))</f>
        <v/>
      </c>
      <c r="P158" s="26" t="n"/>
      <c r="Q158" s="26" t="n"/>
      <c r="R158" s="26" t="n"/>
      <c r="S158" s="25">
        <f>IF(C158="","",IF(N(P158)+N(Q158)+N(R158)=0,"Not split",IF(ROUND(N(P158)+N(Q158)+N(R158),2)=ROUND(H158+L158,2),"OK",IF(G158=0,"Not invoiced yet","MISMATCH"))))</f>
        <v/>
      </c>
      <c r="T158" s="26" t="n"/>
      <c r="U158" s="26" t="n"/>
      <c r="V158" s="26" t="n"/>
      <c r="W158" s="27">
        <f>IF(C158="","",N(T158)+N(U158)+N(V158))</f>
        <v/>
      </c>
      <c r="X158" s="27">
        <f>IF(C158="","",H158+L158-W158)</f>
        <v/>
      </c>
      <c r="Y158" s="29">
        <f>IFERROR(X158/(H158+L158),"")</f>
        <v/>
      </c>
      <c r="Z158" s="24" t="n"/>
    </row>
    <row r="159" ht="15" customHeight="1">
      <c r="A159" s="70">
        <f>IF(C159="","",IFERROR(IF(SUMPRODUCT(MAX((tbl_Finance[Job Number]&amp;""=C159&amp;"")*(tbl_Finance[Xero Invoice No]&lt;&gt;"")*tbl_Finance[Date]))=0,"",SUMPRODUCT(MAX((tbl_Finance[Job Number]&amp;""=C159&amp;"")*(tbl_Finance[Xero Invoice No]&lt;&gt;"")*tbl_Finance[Date]))),""))</f>
        <v/>
      </c>
      <c r="B159" s="25">
        <f>IF(C159="","",IF(COUNTIFS(tbl_Finance[Job Number],C159&amp;"",tbl_Finance[Xero Invoice No],"&lt;&gt;")=0,"",IFERROR(IF(COUNTIFS(tbl_Finance[Job Number],C159&amp;"",tbl_Finance[Xero Invoice No],LOOKUP(2,1/((tbl_Finance[Job Number]&amp;""=C159&amp;"")*(tbl_Finance[Xero Invoice No]&lt;&gt;"")),tbl_Finance[Xero Invoice No]))=COUNTIFS(tbl_Finance[Job Number],C159&amp;"",tbl_Finance[Xero Invoice No],"&lt;&gt;"),LOOKUP(2,1/((tbl_Finance[Job Number]&amp;""=C159&amp;"")*(tbl_Finance[Xero Invoice No]&lt;&gt;"")),tbl_Finance[Xero Invoice No]),LOOKUP(2,1/((tbl_Finance[Job Number]&amp;""=C159&amp;"")*(tbl_Finance[Xero Invoice No]&lt;&gt;"")),tbl_Finance[Xero Invoice No])&amp;" +more"),"")))</f>
        <v/>
      </c>
      <c r="C159" s="24" t="n"/>
      <c r="D159" s="25">
        <f>IF(C159="","",IF(COUNTIF(lst_Jobs,C159&amp;"")&gt;0,"OK","CHECK"))</f>
        <v/>
      </c>
      <c r="E159" s="25">
        <f>IF(C159="","",IFERROR(INDEX(lst_JobName,MATCH(C159&amp;"",lst_Jobs,0)),""))</f>
        <v/>
      </c>
      <c r="F159" s="25">
        <f>IF(C159="","",IFERROR(INDEX(tbl_Finance[Client],IFERROR(MATCH(C159&amp;"",tbl_Finance[Job Number],0),MATCH(IFERROR(C159+0,C159),tbl_Finance[Job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6" t="n"/>
      <c r="L159" s="27">
        <f>IF(C159="","",IF(K159="",0,MAX(0,K159-H159)))</f>
        <v/>
      </c>
      <c r="M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N159" s="24" t="n"/>
      <c r="O159" s="25">
        <f>IF(N159="","",HYPERLINK(IF(LEFT(N159,4)="http",N159,set_QwilrBase&amp;N159),"Open quote"))</f>
        <v/>
      </c>
      <c r="P159" s="26" t="n"/>
      <c r="Q159" s="26" t="n"/>
      <c r="R159" s="26" t="n"/>
      <c r="S159" s="25">
        <f>IF(C159="","",IF(N(P159)+N(Q159)+N(R159)=0,"Not split",IF(ROUND(N(P159)+N(Q159)+N(R159),2)=ROUND(H159+L159,2),"OK",IF(G159=0,"Not invoiced yet","MISMATCH"))))</f>
        <v/>
      </c>
      <c r="T159" s="26" t="n"/>
      <c r="U159" s="26" t="n"/>
      <c r="V159" s="26" t="n"/>
      <c r="W159" s="27">
        <f>IF(C159="","",N(T159)+N(U159)+N(V159))</f>
        <v/>
      </c>
      <c r="X159" s="27">
        <f>IF(C159="","",H159+L159-W159)</f>
        <v/>
      </c>
      <c r="Y159" s="29">
        <f>IFERROR(X159/(H159+L159),"")</f>
        <v/>
      </c>
      <c r="Z159" s="24" t="n"/>
    </row>
    <row r="160" ht="15" customHeight="1">
      <c r="A160" s="70">
        <f>IF(C160="","",IFERROR(IF(SUMPRODUCT(MAX((tbl_Finance[Job Number]&amp;""=C160&amp;"")*(tbl_Finance[Xero Invoice No]&lt;&gt;"")*tbl_Finance[Date]))=0,"",SUMPRODUCT(MAX((tbl_Finance[Job Number]&amp;""=C160&amp;"")*(tbl_Finance[Xero Invoice No]&lt;&gt;"")*tbl_Finance[Date]))),""))</f>
        <v/>
      </c>
      <c r="B160" s="25">
        <f>IF(C160="","",IF(COUNTIFS(tbl_Finance[Job Number],C160&amp;"",tbl_Finance[Xero Invoice No],"&lt;&gt;")=0,"",IFERROR(IF(COUNTIFS(tbl_Finance[Job Number],C160&amp;"",tbl_Finance[Xero Invoice No],LOOKUP(2,1/((tbl_Finance[Job Number]&amp;""=C160&amp;"")*(tbl_Finance[Xero Invoice No]&lt;&gt;"")),tbl_Finance[Xero Invoice No]))=COUNTIFS(tbl_Finance[Job Number],C160&amp;"",tbl_Finance[Xero Invoice No],"&lt;&gt;"),LOOKUP(2,1/((tbl_Finance[Job Number]&amp;""=C160&amp;"")*(tbl_Finance[Xero Invoice No]&lt;&gt;"")),tbl_Finance[Xero Invoice No]),LOOKUP(2,1/((tbl_Finance[Job Number]&amp;""=C160&amp;"")*(tbl_Finance[Xero Invoice No]&lt;&gt;"")),tbl_Finance[Xero Invoice No])&amp;" +more"),"")))</f>
        <v/>
      </c>
      <c r="C160" s="24" t="n"/>
      <c r="D160" s="25">
        <f>IF(C160="","",IF(COUNTIF(lst_Jobs,C160&amp;"")&gt;0,"OK","CHECK"))</f>
        <v/>
      </c>
      <c r="E160" s="25">
        <f>IF(C160="","",IFERROR(INDEX(lst_JobName,MATCH(C160&amp;"",lst_Jobs,0)),""))</f>
        <v/>
      </c>
      <c r="F160" s="25">
        <f>IF(C160="","",IFERROR(INDEX(tbl_Finance[Client],IFERROR(MATCH(C160&amp;"",tbl_Finance[Job Number],0),MATCH(IFERROR(C160+0,C160),tbl_Finance[Job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6" t="n"/>
      <c r="L160" s="27">
        <f>IF(C160="","",IF(K160="",0,MAX(0,K160-H160)))</f>
        <v/>
      </c>
      <c r="M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N160" s="24" t="n"/>
      <c r="O160" s="25">
        <f>IF(N160="","",HYPERLINK(IF(LEFT(N160,4)="http",N160,set_QwilrBase&amp;N160),"Open quote"))</f>
        <v/>
      </c>
      <c r="P160" s="26" t="n"/>
      <c r="Q160" s="26" t="n"/>
      <c r="R160" s="26" t="n"/>
      <c r="S160" s="25">
        <f>IF(C160="","",IF(N(P160)+N(Q160)+N(R160)=0,"Not split",IF(ROUND(N(P160)+N(Q160)+N(R160),2)=ROUND(H160+L160,2),"OK",IF(G160=0,"Not invoiced yet","MISMATCH"))))</f>
        <v/>
      </c>
      <c r="T160" s="26" t="n"/>
      <c r="U160" s="26" t="n"/>
      <c r="V160" s="26" t="n"/>
      <c r="W160" s="27">
        <f>IF(C160="","",N(T160)+N(U160)+N(V160))</f>
        <v/>
      </c>
      <c r="X160" s="27">
        <f>IF(C160="","",H160+L160-W160)</f>
        <v/>
      </c>
      <c r="Y160" s="29">
        <f>IFERROR(X160/(H160+L160),"")</f>
        <v/>
      </c>
      <c r="Z160" s="24" t="n"/>
    </row>
    <row r="161" ht="15" customHeight="1">
      <c r="A161" s="70">
        <f>IF(C161="","",IFERROR(IF(SUMPRODUCT(MAX((tbl_Finance[Job Number]&amp;""=C161&amp;"")*(tbl_Finance[Xero Invoice No]&lt;&gt;"")*tbl_Finance[Date]))=0,"",SUMPRODUCT(MAX((tbl_Finance[Job Number]&amp;""=C161&amp;"")*(tbl_Finance[Xero Invoice No]&lt;&gt;"")*tbl_Finance[Date]))),""))</f>
        <v/>
      </c>
      <c r="B161" s="25">
        <f>IF(C161="","",IF(COUNTIFS(tbl_Finance[Job Number],C161&amp;"",tbl_Finance[Xero Invoice No],"&lt;&gt;")=0,"",IFERROR(IF(COUNTIFS(tbl_Finance[Job Number],C161&amp;"",tbl_Finance[Xero Invoice No],LOOKUP(2,1/((tbl_Finance[Job Number]&amp;""=C161&amp;"")*(tbl_Finance[Xero Invoice No]&lt;&gt;"")),tbl_Finance[Xero Invoice No]))=COUNTIFS(tbl_Finance[Job Number],C161&amp;"",tbl_Finance[Xero Invoice No],"&lt;&gt;"),LOOKUP(2,1/((tbl_Finance[Job Number]&amp;""=C161&amp;"")*(tbl_Finance[Xero Invoice No]&lt;&gt;"")),tbl_Finance[Xero Invoice No]),LOOKUP(2,1/((tbl_Finance[Job Number]&amp;""=C161&amp;"")*(tbl_Finance[Xero Invoice No]&lt;&gt;"")),tbl_Finance[Xero Invoice No])&amp;" +more"),"")))</f>
        <v/>
      </c>
      <c r="C161" s="24" t="n"/>
      <c r="D161" s="25">
        <f>IF(C161="","",IF(COUNTIF(lst_Jobs,C161&amp;"")&gt;0,"OK","CHECK"))</f>
        <v/>
      </c>
      <c r="E161" s="25">
        <f>IF(C161="","",IFERROR(INDEX(lst_JobName,MATCH(C161&amp;"",lst_Jobs,0)),""))</f>
        <v/>
      </c>
      <c r="F161" s="25">
        <f>IF(C161="","",IFERROR(INDEX(tbl_Finance[Client],IFERROR(MATCH(C161&amp;"",tbl_Finance[Job Number],0),MATCH(IFERROR(C161+0,C161),tbl_Finance[Job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6" t="n"/>
      <c r="L161" s="27">
        <f>IF(C161="","",IF(K161="",0,MAX(0,K161-H161)))</f>
        <v/>
      </c>
      <c r="M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N161" s="24" t="n"/>
      <c r="O161" s="25">
        <f>IF(N161="","",HYPERLINK(IF(LEFT(N161,4)="http",N161,set_QwilrBase&amp;N161),"Open quote"))</f>
        <v/>
      </c>
      <c r="P161" s="26" t="n"/>
      <c r="Q161" s="26" t="n"/>
      <c r="R161" s="26" t="n"/>
      <c r="S161" s="25">
        <f>IF(C161="","",IF(N(P161)+N(Q161)+N(R161)=0,"Not split",IF(ROUND(N(P161)+N(Q161)+N(R161),2)=ROUND(H161+L161,2),"OK",IF(G161=0,"Not invoiced yet","MISMATCH"))))</f>
        <v/>
      </c>
      <c r="T161" s="26" t="n"/>
      <c r="U161" s="26" t="n"/>
      <c r="V161" s="26" t="n"/>
      <c r="W161" s="27">
        <f>IF(C161="","",N(T161)+N(U161)+N(V161))</f>
        <v/>
      </c>
      <c r="X161" s="27">
        <f>IF(C161="","",H161+L161-W161)</f>
        <v/>
      </c>
      <c r="Y161" s="29">
        <f>IFERROR(X161/(H161+L161),"")</f>
        <v/>
      </c>
      <c r="Z161" s="24" t="n"/>
    </row>
    <row r="162" ht="15" customHeight="1">
      <c r="A162" s="70">
        <f>IF(C162="","",IFERROR(IF(SUMPRODUCT(MAX((tbl_Finance[Job Number]&amp;""=C162&amp;"")*(tbl_Finance[Xero Invoice No]&lt;&gt;"")*tbl_Finance[Date]))=0,"",SUMPRODUCT(MAX((tbl_Finance[Job Number]&amp;""=C162&amp;"")*(tbl_Finance[Xero Invoice No]&lt;&gt;"")*tbl_Finance[Date]))),""))</f>
        <v/>
      </c>
      <c r="B162" s="25">
        <f>IF(C162="","",IF(COUNTIFS(tbl_Finance[Job Number],C162&amp;"",tbl_Finance[Xero Invoice No],"&lt;&gt;")=0,"",IFERROR(IF(COUNTIFS(tbl_Finance[Job Number],C162&amp;"",tbl_Finance[Xero Invoice No],LOOKUP(2,1/((tbl_Finance[Job Number]&amp;""=C162&amp;"")*(tbl_Finance[Xero Invoice No]&lt;&gt;"")),tbl_Finance[Xero Invoice No]))=COUNTIFS(tbl_Finance[Job Number],C162&amp;"",tbl_Finance[Xero Invoice No],"&lt;&gt;"),LOOKUP(2,1/((tbl_Finance[Job Number]&amp;""=C162&amp;"")*(tbl_Finance[Xero Invoice No]&lt;&gt;"")),tbl_Finance[Xero Invoice No]),LOOKUP(2,1/((tbl_Finance[Job Number]&amp;""=C162&amp;"")*(tbl_Finance[Xero Invoice No]&lt;&gt;"")),tbl_Finance[Xero Invoice No])&amp;" +more"),"")))</f>
        <v/>
      </c>
      <c r="C162" s="24" t="n"/>
      <c r="D162" s="25">
        <f>IF(C162="","",IF(COUNTIF(lst_Jobs,C162&amp;"")&gt;0,"OK","CHECK"))</f>
        <v/>
      </c>
      <c r="E162" s="25">
        <f>IF(C162="","",IFERROR(INDEX(lst_JobName,MATCH(C162&amp;"",lst_Jobs,0)),""))</f>
        <v/>
      </c>
      <c r="F162" s="25">
        <f>IF(C162="","",IFERROR(INDEX(tbl_Finance[Client],IFERROR(MATCH(C162&amp;"",tbl_Finance[Job Number],0),MATCH(IFERROR(C162+0,C162),tbl_Finance[Job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6" t="n"/>
      <c r="L162" s="27">
        <f>IF(C162="","",IF(K162="",0,MAX(0,K162-H162)))</f>
        <v/>
      </c>
      <c r="M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N162" s="24" t="n"/>
      <c r="O162" s="25">
        <f>IF(N162="","",HYPERLINK(IF(LEFT(N162,4)="http",N162,set_QwilrBase&amp;N162),"Open quote"))</f>
        <v/>
      </c>
      <c r="P162" s="26" t="n"/>
      <c r="Q162" s="26" t="n"/>
      <c r="R162" s="26" t="n"/>
      <c r="S162" s="25">
        <f>IF(C162="","",IF(N(P162)+N(Q162)+N(R162)=0,"Not split",IF(ROUND(N(P162)+N(Q162)+N(R162),2)=ROUND(H162+L162,2),"OK",IF(G162=0,"Not invoiced yet","MISMATCH"))))</f>
        <v/>
      </c>
      <c r="T162" s="26" t="n"/>
      <c r="U162" s="26" t="n"/>
      <c r="V162" s="26" t="n"/>
      <c r="W162" s="27">
        <f>IF(C162="","",N(T162)+N(U162)+N(V162))</f>
        <v/>
      </c>
      <c r="X162" s="27">
        <f>IF(C162="","",H162+L162-W162)</f>
        <v/>
      </c>
      <c r="Y162" s="29">
        <f>IFERROR(X162/(H162+L162),"")</f>
        <v/>
      </c>
      <c r="Z162" s="24" t="n"/>
    </row>
    <row r="163" ht="15" customHeight="1">
      <c r="A163" s="70">
        <f>IF(C163="","",IFERROR(IF(SUMPRODUCT(MAX((tbl_Finance[Job Number]&amp;""=C163&amp;"")*(tbl_Finance[Xero Invoice No]&lt;&gt;"")*tbl_Finance[Date]))=0,"",SUMPRODUCT(MAX((tbl_Finance[Job Number]&amp;""=C163&amp;"")*(tbl_Finance[Xero Invoice No]&lt;&gt;"")*tbl_Finance[Date]))),""))</f>
        <v/>
      </c>
      <c r="B163" s="25">
        <f>IF(C163="","",IF(COUNTIFS(tbl_Finance[Job Number],C163&amp;"",tbl_Finance[Xero Invoice No],"&lt;&gt;")=0,"",IFERROR(IF(COUNTIFS(tbl_Finance[Job Number],C163&amp;"",tbl_Finance[Xero Invoice No],LOOKUP(2,1/((tbl_Finance[Job Number]&amp;""=C163&amp;"")*(tbl_Finance[Xero Invoice No]&lt;&gt;"")),tbl_Finance[Xero Invoice No]))=COUNTIFS(tbl_Finance[Job Number],C163&amp;"",tbl_Finance[Xero Invoice No],"&lt;&gt;"),LOOKUP(2,1/((tbl_Finance[Job Number]&amp;""=C163&amp;"")*(tbl_Finance[Xero Invoice No]&lt;&gt;"")),tbl_Finance[Xero Invoice No]),LOOKUP(2,1/((tbl_Finance[Job Number]&amp;""=C163&amp;"")*(tbl_Finance[Xero Invoice No]&lt;&gt;"")),tbl_Finance[Xero Invoice No])&amp;" +more"),"")))</f>
        <v/>
      </c>
      <c r="C163" s="24" t="n"/>
      <c r="D163" s="25">
        <f>IF(C163="","",IF(COUNTIF(lst_Jobs,C163&amp;"")&gt;0,"OK","CHECK"))</f>
        <v/>
      </c>
      <c r="E163" s="25">
        <f>IF(C163="","",IFERROR(INDEX(lst_JobName,MATCH(C163&amp;"",lst_Jobs,0)),""))</f>
        <v/>
      </c>
      <c r="F163" s="25">
        <f>IF(C163="","",IFERROR(INDEX(tbl_Finance[Client],IFERROR(MATCH(C163&amp;"",tbl_Finance[Job Number],0),MATCH(IFERROR(C163+0,C163),tbl_Finance[Job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6" t="n"/>
      <c r="L163" s="27">
        <f>IF(C163="","",IF(K163="",0,MAX(0,K163-H163)))</f>
        <v/>
      </c>
      <c r="M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N163" s="24" t="n"/>
      <c r="O163" s="25">
        <f>IF(N163="","",HYPERLINK(IF(LEFT(N163,4)="http",N163,set_QwilrBase&amp;N163),"Open quote"))</f>
        <v/>
      </c>
      <c r="P163" s="26" t="n"/>
      <c r="Q163" s="26" t="n"/>
      <c r="R163" s="26" t="n"/>
      <c r="S163" s="25">
        <f>IF(C163="","",IF(N(P163)+N(Q163)+N(R163)=0,"Not split",IF(ROUND(N(P163)+N(Q163)+N(R163),2)=ROUND(H163+L163,2),"OK",IF(G163=0,"Not invoiced yet","MISMATCH"))))</f>
        <v/>
      </c>
      <c r="T163" s="26" t="n"/>
      <c r="U163" s="26" t="n"/>
      <c r="V163" s="26" t="n"/>
      <c r="W163" s="27">
        <f>IF(C163="","",N(T163)+N(U163)+N(V163))</f>
        <v/>
      </c>
      <c r="X163" s="27">
        <f>IF(C163="","",H163+L163-W163)</f>
        <v/>
      </c>
      <c r="Y163" s="29">
        <f>IFERROR(X163/(H163+L163),"")</f>
        <v/>
      </c>
      <c r="Z163" s="24" t="n"/>
    </row>
    <row r="164" ht="15" customHeight="1">
      <c r="A164" s="70">
        <f>IF(C164="","",IFERROR(IF(SUMPRODUCT(MAX((tbl_Finance[Job Number]&amp;""=C164&amp;"")*(tbl_Finance[Xero Invoice No]&lt;&gt;"")*tbl_Finance[Date]))=0,"",SUMPRODUCT(MAX((tbl_Finance[Job Number]&amp;""=C164&amp;"")*(tbl_Finance[Xero Invoice No]&lt;&gt;"")*tbl_Finance[Date]))),""))</f>
        <v/>
      </c>
      <c r="B164" s="25">
        <f>IF(C164="","",IF(COUNTIFS(tbl_Finance[Job Number],C164&amp;"",tbl_Finance[Xero Invoice No],"&lt;&gt;")=0,"",IFERROR(IF(COUNTIFS(tbl_Finance[Job Number],C164&amp;"",tbl_Finance[Xero Invoice No],LOOKUP(2,1/((tbl_Finance[Job Number]&amp;""=C164&amp;"")*(tbl_Finance[Xero Invoice No]&lt;&gt;"")),tbl_Finance[Xero Invoice No]))=COUNTIFS(tbl_Finance[Job Number],C164&amp;"",tbl_Finance[Xero Invoice No],"&lt;&gt;"),LOOKUP(2,1/((tbl_Finance[Job Number]&amp;""=C164&amp;"")*(tbl_Finance[Xero Invoice No]&lt;&gt;"")),tbl_Finance[Xero Invoice No]),LOOKUP(2,1/((tbl_Finance[Job Number]&amp;""=C164&amp;"")*(tbl_Finance[Xero Invoice No]&lt;&gt;"")),tbl_Finance[Xero Invoice No])&amp;" +more"),"")))</f>
        <v/>
      </c>
      <c r="C164" s="24" t="n"/>
      <c r="D164" s="25">
        <f>IF(C164="","",IF(COUNTIF(lst_Jobs,C164&amp;"")&gt;0,"OK","CHECK"))</f>
        <v/>
      </c>
      <c r="E164" s="25">
        <f>IF(C164="","",IFERROR(INDEX(lst_JobName,MATCH(C164&amp;"",lst_Jobs,0)),""))</f>
        <v/>
      </c>
      <c r="F164" s="25">
        <f>IF(C164="","",IFERROR(INDEX(tbl_Finance[Client],IFERROR(MATCH(C164&amp;"",tbl_Finance[Job Number],0),MATCH(IFERROR(C164+0,C164),tbl_Finance[Job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6" t="n"/>
      <c r="L164" s="27">
        <f>IF(C164="","",IF(K164="",0,MAX(0,K164-H164)))</f>
        <v/>
      </c>
      <c r="M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N164" s="24" t="n"/>
      <c r="O164" s="25">
        <f>IF(N164="","",HYPERLINK(IF(LEFT(N164,4)="http",N164,set_QwilrBase&amp;N164),"Open quote"))</f>
        <v/>
      </c>
      <c r="P164" s="26" t="n"/>
      <c r="Q164" s="26" t="n"/>
      <c r="R164" s="26" t="n"/>
      <c r="S164" s="25">
        <f>IF(C164="","",IF(N(P164)+N(Q164)+N(R164)=0,"Not split",IF(ROUND(N(P164)+N(Q164)+N(R164),2)=ROUND(H164+L164,2),"OK",IF(G164=0,"Not invoiced yet","MISMATCH"))))</f>
        <v/>
      </c>
      <c r="T164" s="26" t="n"/>
      <c r="U164" s="26" t="n"/>
      <c r="V164" s="26" t="n"/>
      <c r="W164" s="27">
        <f>IF(C164="","",N(T164)+N(U164)+N(V164))</f>
        <v/>
      </c>
      <c r="X164" s="27">
        <f>IF(C164="","",H164+L164-W164)</f>
        <v/>
      </c>
      <c r="Y164" s="29">
        <f>IFERROR(X164/(H164+L164),"")</f>
        <v/>
      </c>
      <c r="Z164" s="24" t="n"/>
    </row>
    <row r="165" ht="15" customHeight="1">
      <c r="A165" s="70">
        <f>IF(C165="","",IFERROR(IF(SUMPRODUCT(MAX((tbl_Finance[Job Number]&amp;""=C165&amp;"")*(tbl_Finance[Xero Invoice No]&lt;&gt;"")*tbl_Finance[Date]))=0,"",SUMPRODUCT(MAX((tbl_Finance[Job Number]&amp;""=C165&amp;"")*(tbl_Finance[Xero Invoice No]&lt;&gt;"")*tbl_Finance[Date]))),""))</f>
        <v/>
      </c>
      <c r="B165" s="25">
        <f>IF(C165="","",IF(COUNTIFS(tbl_Finance[Job Number],C165&amp;"",tbl_Finance[Xero Invoice No],"&lt;&gt;")=0,"",IFERROR(IF(COUNTIFS(tbl_Finance[Job Number],C165&amp;"",tbl_Finance[Xero Invoice No],LOOKUP(2,1/((tbl_Finance[Job Number]&amp;""=C165&amp;"")*(tbl_Finance[Xero Invoice No]&lt;&gt;"")),tbl_Finance[Xero Invoice No]))=COUNTIFS(tbl_Finance[Job Number],C165&amp;"",tbl_Finance[Xero Invoice No],"&lt;&gt;"),LOOKUP(2,1/((tbl_Finance[Job Number]&amp;""=C165&amp;"")*(tbl_Finance[Xero Invoice No]&lt;&gt;"")),tbl_Finance[Xero Invoice No]),LOOKUP(2,1/((tbl_Finance[Job Number]&amp;""=C165&amp;"")*(tbl_Finance[Xero Invoice No]&lt;&gt;"")),tbl_Finance[Xero Invoice No])&amp;" +more"),"")))</f>
        <v/>
      </c>
      <c r="C165" s="24" t="n"/>
      <c r="D165" s="25">
        <f>IF(C165="","",IF(COUNTIF(lst_Jobs,C165&amp;"")&gt;0,"OK","CHECK"))</f>
        <v/>
      </c>
      <c r="E165" s="25">
        <f>IF(C165="","",IFERROR(INDEX(lst_JobName,MATCH(C165&amp;"",lst_Jobs,0)),""))</f>
        <v/>
      </c>
      <c r="F165" s="25">
        <f>IF(C165="","",IFERROR(INDEX(tbl_Finance[Client],IFERROR(MATCH(C165&amp;"",tbl_Finance[Job Number],0),MATCH(IFERROR(C165+0,C165),tbl_Finance[Job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6" t="n"/>
      <c r="L165" s="27">
        <f>IF(C165="","",IF(K165="",0,MAX(0,K165-H165)))</f>
        <v/>
      </c>
      <c r="M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N165" s="24" t="n"/>
      <c r="O165" s="25">
        <f>IF(N165="","",HYPERLINK(IF(LEFT(N165,4)="http",N165,set_QwilrBase&amp;N165),"Open quote"))</f>
        <v/>
      </c>
      <c r="P165" s="26" t="n"/>
      <c r="Q165" s="26" t="n"/>
      <c r="R165" s="26" t="n"/>
      <c r="S165" s="25">
        <f>IF(C165="","",IF(N(P165)+N(Q165)+N(R165)=0,"Not split",IF(ROUND(N(P165)+N(Q165)+N(R165),2)=ROUND(H165+L165,2),"OK",IF(G165=0,"Not invoiced yet","MISMATCH"))))</f>
        <v/>
      </c>
      <c r="T165" s="26" t="n"/>
      <c r="U165" s="26" t="n"/>
      <c r="V165" s="26" t="n"/>
      <c r="W165" s="27">
        <f>IF(C165="","",N(T165)+N(U165)+N(V165))</f>
        <v/>
      </c>
      <c r="X165" s="27">
        <f>IF(C165="","",H165+L165-W165)</f>
        <v/>
      </c>
      <c r="Y165" s="29">
        <f>IFERROR(X165/(H165+L165),"")</f>
        <v/>
      </c>
      <c r="Z165" s="24" t="n"/>
    </row>
    <row r="166" ht="15" customHeight="1">
      <c r="A166" s="70">
        <f>IF(C166="","",IFERROR(IF(SUMPRODUCT(MAX((tbl_Finance[Job Number]&amp;""=C166&amp;"")*(tbl_Finance[Xero Invoice No]&lt;&gt;"")*tbl_Finance[Date]))=0,"",SUMPRODUCT(MAX((tbl_Finance[Job Number]&amp;""=C166&amp;"")*(tbl_Finance[Xero Invoice No]&lt;&gt;"")*tbl_Finance[Date]))),""))</f>
        <v/>
      </c>
      <c r="B166" s="25">
        <f>IF(C166="","",IF(COUNTIFS(tbl_Finance[Job Number],C166&amp;"",tbl_Finance[Xero Invoice No],"&lt;&gt;")=0,"",IFERROR(IF(COUNTIFS(tbl_Finance[Job Number],C166&amp;"",tbl_Finance[Xero Invoice No],LOOKUP(2,1/((tbl_Finance[Job Number]&amp;""=C166&amp;"")*(tbl_Finance[Xero Invoice No]&lt;&gt;"")),tbl_Finance[Xero Invoice No]))=COUNTIFS(tbl_Finance[Job Number],C166&amp;"",tbl_Finance[Xero Invoice No],"&lt;&gt;"),LOOKUP(2,1/((tbl_Finance[Job Number]&amp;""=C166&amp;"")*(tbl_Finance[Xero Invoice No]&lt;&gt;"")),tbl_Finance[Xero Invoice No]),LOOKUP(2,1/((tbl_Finance[Job Number]&amp;""=C166&amp;"")*(tbl_Finance[Xero Invoice No]&lt;&gt;"")),tbl_Finance[Xero Invoice No])&amp;" +more"),"")))</f>
        <v/>
      </c>
      <c r="C166" s="24" t="n"/>
      <c r="D166" s="25">
        <f>IF(C166="","",IF(COUNTIF(lst_Jobs,C166&amp;"")&gt;0,"OK","CHECK"))</f>
        <v/>
      </c>
      <c r="E166" s="25">
        <f>IF(C166="","",IFERROR(INDEX(lst_JobName,MATCH(C166&amp;"",lst_Jobs,0)),""))</f>
        <v/>
      </c>
      <c r="F166" s="25">
        <f>IF(C166="","",IFERROR(INDEX(tbl_Finance[Client],IFERROR(MATCH(C166&amp;"",tbl_Finance[Job Number],0),MATCH(IFERROR(C166+0,C166),tbl_Finance[Job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6" t="n"/>
      <c r="L166" s="27">
        <f>IF(C166="","",IF(K166="",0,MAX(0,K166-H166)))</f>
        <v/>
      </c>
      <c r="M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N166" s="24" t="n"/>
      <c r="O166" s="25">
        <f>IF(N166="","",HYPERLINK(IF(LEFT(N166,4)="http",N166,set_QwilrBase&amp;N166),"Open quote"))</f>
        <v/>
      </c>
      <c r="P166" s="26" t="n"/>
      <c r="Q166" s="26" t="n"/>
      <c r="R166" s="26" t="n"/>
      <c r="S166" s="25">
        <f>IF(C166="","",IF(N(P166)+N(Q166)+N(R166)=0,"Not split",IF(ROUND(N(P166)+N(Q166)+N(R166),2)=ROUND(H166+L166,2),"OK",IF(G166=0,"Not invoiced yet","MISMATCH"))))</f>
        <v/>
      </c>
      <c r="T166" s="26" t="n"/>
      <c r="U166" s="26" t="n"/>
      <c r="V166" s="26" t="n"/>
      <c r="W166" s="27">
        <f>IF(C166="","",N(T166)+N(U166)+N(V166))</f>
        <v/>
      </c>
      <c r="X166" s="27">
        <f>IF(C166="","",H166+L166-W166)</f>
        <v/>
      </c>
      <c r="Y166" s="29">
        <f>IFERROR(X166/(H166+L166),"")</f>
        <v/>
      </c>
      <c r="Z166" s="24" t="n"/>
    </row>
    <row r="167" ht="15" customHeight="1">
      <c r="A167" s="70">
        <f>IF(C167="","",IFERROR(IF(SUMPRODUCT(MAX((tbl_Finance[Job Number]&amp;""=C167&amp;"")*(tbl_Finance[Xero Invoice No]&lt;&gt;"")*tbl_Finance[Date]))=0,"",SUMPRODUCT(MAX((tbl_Finance[Job Number]&amp;""=C167&amp;"")*(tbl_Finance[Xero Invoice No]&lt;&gt;"")*tbl_Finance[Date]))),""))</f>
        <v/>
      </c>
      <c r="B167" s="25">
        <f>IF(C167="","",IF(COUNTIFS(tbl_Finance[Job Number],C167&amp;"",tbl_Finance[Xero Invoice No],"&lt;&gt;")=0,"",IFERROR(IF(COUNTIFS(tbl_Finance[Job Number],C167&amp;"",tbl_Finance[Xero Invoice No],LOOKUP(2,1/((tbl_Finance[Job Number]&amp;""=C167&amp;"")*(tbl_Finance[Xero Invoice No]&lt;&gt;"")),tbl_Finance[Xero Invoice No]))=COUNTIFS(tbl_Finance[Job Number],C167&amp;"",tbl_Finance[Xero Invoice No],"&lt;&gt;"),LOOKUP(2,1/((tbl_Finance[Job Number]&amp;""=C167&amp;"")*(tbl_Finance[Xero Invoice No]&lt;&gt;"")),tbl_Finance[Xero Invoice No]),LOOKUP(2,1/((tbl_Finance[Job Number]&amp;""=C167&amp;"")*(tbl_Finance[Xero Invoice No]&lt;&gt;"")),tbl_Finance[Xero Invoice No])&amp;" +more"),"")))</f>
        <v/>
      </c>
      <c r="C167" s="24" t="n"/>
      <c r="D167" s="25">
        <f>IF(C167="","",IF(COUNTIF(lst_Jobs,C167&amp;"")&gt;0,"OK","CHECK"))</f>
        <v/>
      </c>
      <c r="E167" s="25">
        <f>IF(C167="","",IFERROR(INDEX(lst_JobName,MATCH(C167&amp;"",lst_Jobs,0)),""))</f>
        <v/>
      </c>
      <c r="F167" s="25">
        <f>IF(C167="","",IFERROR(INDEX(tbl_Finance[Client],IFERROR(MATCH(C167&amp;"",tbl_Finance[Job Number],0),MATCH(IFERROR(C167+0,C167),tbl_Finance[Job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6" t="n"/>
      <c r="L167" s="27">
        <f>IF(C167="","",IF(K167="",0,MAX(0,K167-H167)))</f>
        <v/>
      </c>
      <c r="M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N167" s="24" t="n"/>
      <c r="O167" s="25">
        <f>IF(N167="","",HYPERLINK(IF(LEFT(N167,4)="http",N167,set_QwilrBase&amp;N167),"Open quote"))</f>
        <v/>
      </c>
      <c r="P167" s="26" t="n"/>
      <c r="Q167" s="26" t="n"/>
      <c r="R167" s="26" t="n"/>
      <c r="S167" s="25">
        <f>IF(C167="","",IF(N(P167)+N(Q167)+N(R167)=0,"Not split",IF(ROUND(N(P167)+N(Q167)+N(R167),2)=ROUND(H167+L167,2),"OK",IF(G167=0,"Not invoiced yet","MISMATCH"))))</f>
        <v/>
      </c>
      <c r="T167" s="26" t="n"/>
      <c r="U167" s="26" t="n"/>
      <c r="V167" s="26" t="n"/>
      <c r="W167" s="27">
        <f>IF(C167="","",N(T167)+N(U167)+N(V167))</f>
        <v/>
      </c>
      <c r="X167" s="27">
        <f>IF(C167="","",H167+L167-W167)</f>
        <v/>
      </c>
      <c r="Y167" s="29">
        <f>IFERROR(X167/(H167+L167),"")</f>
        <v/>
      </c>
      <c r="Z167" s="24" t="n"/>
    </row>
    <row r="168" ht="15" customHeight="1">
      <c r="A168" s="70">
        <f>IF(C168="","",IFERROR(IF(SUMPRODUCT(MAX((tbl_Finance[Job Number]&amp;""=C168&amp;"")*(tbl_Finance[Xero Invoice No]&lt;&gt;"")*tbl_Finance[Date]))=0,"",SUMPRODUCT(MAX((tbl_Finance[Job Number]&amp;""=C168&amp;"")*(tbl_Finance[Xero Invoice No]&lt;&gt;"")*tbl_Finance[Date]))),""))</f>
        <v/>
      </c>
      <c r="B168" s="25">
        <f>IF(C168="","",IF(COUNTIFS(tbl_Finance[Job Number],C168&amp;"",tbl_Finance[Xero Invoice No],"&lt;&gt;")=0,"",IFERROR(IF(COUNTIFS(tbl_Finance[Job Number],C168&amp;"",tbl_Finance[Xero Invoice No],LOOKUP(2,1/((tbl_Finance[Job Number]&amp;""=C168&amp;"")*(tbl_Finance[Xero Invoice No]&lt;&gt;"")),tbl_Finance[Xero Invoice No]))=COUNTIFS(tbl_Finance[Job Number],C168&amp;"",tbl_Finance[Xero Invoice No],"&lt;&gt;"),LOOKUP(2,1/((tbl_Finance[Job Number]&amp;""=C168&amp;"")*(tbl_Finance[Xero Invoice No]&lt;&gt;"")),tbl_Finance[Xero Invoice No]),LOOKUP(2,1/((tbl_Finance[Job Number]&amp;""=C168&amp;"")*(tbl_Finance[Xero Invoice No]&lt;&gt;"")),tbl_Finance[Xero Invoice No])&amp;" +more"),"")))</f>
        <v/>
      </c>
      <c r="C168" s="24" t="n"/>
      <c r="D168" s="25">
        <f>IF(C168="","",IF(COUNTIF(lst_Jobs,C168&amp;"")&gt;0,"OK","CHECK"))</f>
        <v/>
      </c>
      <c r="E168" s="25">
        <f>IF(C168="","",IFERROR(INDEX(lst_JobName,MATCH(C168&amp;"",lst_Jobs,0)),""))</f>
        <v/>
      </c>
      <c r="F168" s="25">
        <f>IF(C168="","",IFERROR(INDEX(tbl_Finance[Client],IFERROR(MATCH(C168&amp;"",tbl_Finance[Job Number],0),MATCH(IFERROR(C168+0,C168),tbl_Finance[Job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6" t="n"/>
      <c r="L168" s="27">
        <f>IF(C168="","",IF(K168="",0,MAX(0,K168-H168)))</f>
        <v/>
      </c>
      <c r="M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N168" s="24" t="n"/>
      <c r="O168" s="25">
        <f>IF(N168="","",HYPERLINK(IF(LEFT(N168,4)="http",N168,set_QwilrBase&amp;N168),"Open quote"))</f>
        <v/>
      </c>
      <c r="P168" s="26" t="n"/>
      <c r="Q168" s="26" t="n"/>
      <c r="R168" s="26" t="n"/>
      <c r="S168" s="25">
        <f>IF(C168="","",IF(N(P168)+N(Q168)+N(R168)=0,"Not split",IF(ROUND(N(P168)+N(Q168)+N(R168),2)=ROUND(H168+L168,2),"OK",IF(G168=0,"Not invoiced yet","MISMATCH"))))</f>
        <v/>
      </c>
      <c r="T168" s="26" t="n"/>
      <c r="U168" s="26" t="n"/>
      <c r="V168" s="26" t="n"/>
      <c r="W168" s="27">
        <f>IF(C168="","",N(T168)+N(U168)+N(V168))</f>
        <v/>
      </c>
      <c r="X168" s="27">
        <f>IF(C168="","",H168+L168-W168)</f>
        <v/>
      </c>
      <c r="Y168" s="29">
        <f>IFERROR(X168/(H168+L168),"")</f>
        <v/>
      </c>
      <c r="Z168" s="24" t="n"/>
    </row>
    <row r="169" ht="15" customHeight="1">
      <c r="A169" s="70">
        <f>IF(C169="","",IFERROR(IF(SUMPRODUCT(MAX((tbl_Finance[Job Number]&amp;""=C169&amp;"")*(tbl_Finance[Xero Invoice No]&lt;&gt;"")*tbl_Finance[Date]))=0,"",SUMPRODUCT(MAX((tbl_Finance[Job Number]&amp;""=C169&amp;"")*(tbl_Finance[Xero Invoice No]&lt;&gt;"")*tbl_Finance[Date]))),""))</f>
        <v/>
      </c>
      <c r="B169" s="25">
        <f>IF(C169="","",IF(COUNTIFS(tbl_Finance[Job Number],C169&amp;"",tbl_Finance[Xero Invoice No],"&lt;&gt;")=0,"",IFERROR(IF(COUNTIFS(tbl_Finance[Job Number],C169&amp;"",tbl_Finance[Xero Invoice No],LOOKUP(2,1/((tbl_Finance[Job Number]&amp;""=C169&amp;"")*(tbl_Finance[Xero Invoice No]&lt;&gt;"")),tbl_Finance[Xero Invoice No]))=COUNTIFS(tbl_Finance[Job Number],C169&amp;"",tbl_Finance[Xero Invoice No],"&lt;&gt;"),LOOKUP(2,1/((tbl_Finance[Job Number]&amp;""=C169&amp;"")*(tbl_Finance[Xero Invoice No]&lt;&gt;"")),tbl_Finance[Xero Invoice No]),LOOKUP(2,1/((tbl_Finance[Job Number]&amp;""=C169&amp;"")*(tbl_Finance[Xero Invoice No]&lt;&gt;"")),tbl_Finance[Xero Invoice No])&amp;" +more"),"")))</f>
        <v/>
      </c>
      <c r="C169" s="24" t="n"/>
      <c r="D169" s="25">
        <f>IF(C169="","",IF(COUNTIF(lst_Jobs,C169&amp;"")&gt;0,"OK","CHECK"))</f>
        <v/>
      </c>
      <c r="E169" s="25">
        <f>IF(C169="","",IFERROR(INDEX(lst_JobName,MATCH(C169&amp;"",lst_Jobs,0)),""))</f>
        <v/>
      </c>
      <c r="F169" s="25">
        <f>IF(C169="","",IFERROR(INDEX(tbl_Finance[Client],IFERROR(MATCH(C169&amp;"",tbl_Finance[Job Number],0),MATCH(IFERROR(C169+0,C169),tbl_Finance[Job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6" t="n"/>
      <c r="L169" s="27">
        <f>IF(C169="","",IF(K169="",0,MAX(0,K169-H169)))</f>
        <v/>
      </c>
      <c r="M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N169" s="24" t="n"/>
      <c r="O169" s="25">
        <f>IF(N169="","",HYPERLINK(IF(LEFT(N169,4)="http",N169,set_QwilrBase&amp;N169),"Open quote"))</f>
        <v/>
      </c>
      <c r="P169" s="26" t="n"/>
      <c r="Q169" s="26" t="n"/>
      <c r="R169" s="26" t="n"/>
      <c r="S169" s="25">
        <f>IF(C169="","",IF(N(P169)+N(Q169)+N(R169)=0,"Not split",IF(ROUND(N(P169)+N(Q169)+N(R169),2)=ROUND(H169+L169,2),"OK",IF(G169=0,"Not invoiced yet","MISMATCH"))))</f>
        <v/>
      </c>
      <c r="T169" s="26" t="n"/>
      <c r="U169" s="26" t="n"/>
      <c r="V169" s="26" t="n"/>
      <c r="W169" s="27">
        <f>IF(C169="","",N(T169)+N(U169)+N(V169))</f>
        <v/>
      </c>
      <c r="X169" s="27">
        <f>IF(C169="","",H169+L169-W169)</f>
        <v/>
      </c>
      <c r="Y169" s="29">
        <f>IFERROR(X169/(H169+L169),"")</f>
        <v/>
      </c>
      <c r="Z169" s="24" t="n"/>
    </row>
    <row r="170" ht="15" customHeight="1">
      <c r="A170" s="70">
        <f>IF(C170="","",IFERROR(IF(SUMPRODUCT(MAX((tbl_Finance[Job Number]&amp;""=C170&amp;"")*(tbl_Finance[Xero Invoice No]&lt;&gt;"")*tbl_Finance[Date]))=0,"",SUMPRODUCT(MAX((tbl_Finance[Job Number]&amp;""=C170&amp;"")*(tbl_Finance[Xero Invoice No]&lt;&gt;"")*tbl_Finance[Date]))),""))</f>
        <v/>
      </c>
      <c r="B170" s="25">
        <f>IF(C170="","",IF(COUNTIFS(tbl_Finance[Job Number],C170&amp;"",tbl_Finance[Xero Invoice No],"&lt;&gt;")=0,"",IFERROR(IF(COUNTIFS(tbl_Finance[Job Number],C170&amp;"",tbl_Finance[Xero Invoice No],LOOKUP(2,1/((tbl_Finance[Job Number]&amp;""=C170&amp;"")*(tbl_Finance[Xero Invoice No]&lt;&gt;"")),tbl_Finance[Xero Invoice No]))=COUNTIFS(tbl_Finance[Job Number],C170&amp;"",tbl_Finance[Xero Invoice No],"&lt;&gt;"),LOOKUP(2,1/((tbl_Finance[Job Number]&amp;""=C170&amp;"")*(tbl_Finance[Xero Invoice No]&lt;&gt;"")),tbl_Finance[Xero Invoice No]),LOOKUP(2,1/((tbl_Finance[Job Number]&amp;""=C170&amp;"")*(tbl_Finance[Xero Invoice No]&lt;&gt;"")),tbl_Finance[Xero Invoice No])&amp;" +more"),"")))</f>
        <v/>
      </c>
      <c r="C170" s="24" t="n"/>
      <c r="D170" s="25">
        <f>IF(C170="","",IF(COUNTIF(lst_Jobs,C170&amp;"")&gt;0,"OK","CHECK"))</f>
        <v/>
      </c>
      <c r="E170" s="25">
        <f>IF(C170="","",IFERROR(INDEX(lst_JobName,MATCH(C170&amp;"",lst_Jobs,0)),""))</f>
        <v/>
      </c>
      <c r="F170" s="25">
        <f>IF(C170="","",IFERROR(INDEX(tbl_Finance[Client],IFERROR(MATCH(C170&amp;"",tbl_Finance[Job Number],0),MATCH(IFERROR(C170+0,C170),tbl_Finance[Job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6" t="n"/>
      <c r="L170" s="27">
        <f>IF(C170="","",IF(K170="",0,MAX(0,K170-H170)))</f>
        <v/>
      </c>
      <c r="M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N170" s="24" t="n"/>
      <c r="O170" s="25">
        <f>IF(N170="","",HYPERLINK(IF(LEFT(N170,4)="http",N170,set_QwilrBase&amp;N170),"Open quote"))</f>
        <v/>
      </c>
      <c r="P170" s="26" t="n"/>
      <c r="Q170" s="26" t="n"/>
      <c r="R170" s="26" t="n"/>
      <c r="S170" s="25">
        <f>IF(C170="","",IF(N(P170)+N(Q170)+N(R170)=0,"Not split",IF(ROUND(N(P170)+N(Q170)+N(R170),2)=ROUND(H170+L170,2),"OK",IF(G170=0,"Not invoiced yet","MISMATCH"))))</f>
        <v/>
      </c>
      <c r="T170" s="26" t="n"/>
      <c r="U170" s="26" t="n"/>
      <c r="V170" s="26" t="n"/>
      <c r="W170" s="27">
        <f>IF(C170="","",N(T170)+N(U170)+N(V170))</f>
        <v/>
      </c>
      <c r="X170" s="27">
        <f>IF(C170="","",H170+L170-W170)</f>
        <v/>
      </c>
      <c r="Y170" s="29">
        <f>IFERROR(X170/(H170+L170),"")</f>
        <v/>
      </c>
      <c r="Z170" s="24" t="n"/>
    </row>
    <row r="171" ht="15" customHeight="1">
      <c r="A171" s="70">
        <f>IF(C171="","",IFERROR(IF(SUMPRODUCT(MAX((tbl_Finance[Job Number]&amp;""=C171&amp;"")*(tbl_Finance[Xero Invoice No]&lt;&gt;"")*tbl_Finance[Date]))=0,"",SUMPRODUCT(MAX((tbl_Finance[Job Number]&amp;""=C171&amp;"")*(tbl_Finance[Xero Invoice No]&lt;&gt;"")*tbl_Finance[Date]))),""))</f>
        <v/>
      </c>
      <c r="B171" s="25">
        <f>IF(C171="","",IF(COUNTIFS(tbl_Finance[Job Number],C171&amp;"",tbl_Finance[Xero Invoice No],"&lt;&gt;")=0,"",IFERROR(IF(COUNTIFS(tbl_Finance[Job Number],C171&amp;"",tbl_Finance[Xero Invoice No],LOOKUP(2,1/((tbl_Finance[Job Number]&amp;""=C171&amp;"")*(tbl_Finance[Xero Invoice No]&lt;&gt;"")),tbl_Finance[Xero Invoice No]))=COUNTIFS(tbl_Finance[Job Number],C171&amp;"",tbl_Finance[Xero Invoice No],"&lt;&gt;"),LOOKUP(2,1/((tbl_Finance[Job Number]&amp;""=C171&amp;"")*(tbl_Finance[Xero Invoice No]&lt;&gt;"")),tbl_Finance[Xero Invoice No]),LOOKUP(2,1/((tbl_Finance[Job Number]&amp;""=C171&amp;"")*(tbl_Finance[Xero Invoice No]&lt;&gt;"")),tbl_Finance[Xero Invoice No])&amp;" +more"),"")))</f>
        <v/>
      </c>
      <c r="C171" s="24" t="n"/>
      <c r="D171" s="25">
        <f>IF(C171="","",IF(COUNTIF(lst_Jobs,C171&amp;"")&gt;0,"OK","CHECK"))</f>
        <v/>
      </c>
      <c r="E171" s="25">
        <f>IF(C171="","",IFERROR(INDEX(lst_JobName,MATCH(C171&amp;"",lst_Jobs,0)),""))</f>
        <v/>
      </c>
      <c r="F171" s="25">
        <f>IF(C171="","",IFERROR(INDEX(tbl_Finance[Client],IFERROR(MATCH(C171&amp;"",tbl_Finance[Job Number],0),MATCH(IFERROR(C171+0,C171),tbl_Finance[Job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6" t="n"/>
      <c r="L171" s="27">
        <f>IF(C171="","",IF(K171="",0,MAX(0,K171-H171)))</f>
        <v/>
      </c>
      <c r="M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N171" s="24" t="n"/>
      <c r="O171" s="25">
        <f>IF(N171="","",HYPERLINK(IF(LEFT(N171,4)="http",N171,set_QwilrBase&amp;N171),"Open quote"))</f>
        <v/>
      </c>
      <c r="P171" s="26" t="n"/>
      <c r="Q171" s="26" t="n"/>
      <c r="R171" s="26" t="n"/>
      <c r="S171" s="25">
        <f>IF(C171="","",IF(N(P171)+N(Q171)+N(R171)=0,"Not split",IF(ROUND(N(P171)+N(Q171)+N(R171),2)=ROUND(H171+L171,2),"OK",IF(G171=0,"Not invoiced yet","MISMATCH"))))</f>
        <v/>
      </c>
      <c r="T171" s="26" t="n"/>
      <c r="U171" s="26" t="n"/>
      <c r="V171" s="26" t="n"/>
      <c r="W171" s="27">
        <f>IF(C171="","",N(T171)+N(U171)+N(V171))</f>
        <v/>
      </c>
      <c r="X171" s="27">
        <f>IF(C171="","",H171+L171-W171)</f>
        <v/>
      </c>
      <c r="Y171" s="29">
        <f>IFERROR(X171/(H171+L171),"")</f>
        <v/>
      </c>
      <c r="Z171" s="24" t="n"/>
    </row>
    <row r="172" ht="15" customHeight="1">
      <c r="A172" s="70">
        <f>IF(C172="","",IFERROR(IF(SUMPRODUCT(MAX((tbl_Finance[Job Number]&amp;""=C172&amp;"")*(tbl_Finance[Xero Invoice No]&lt;&gt;"")*tbl_Finance[Date]))=0,"",SUMPRODUCT(MAX((tbl_Finance[Job Number]&amp;""=C172&amp;"")*(tbl_Finance[Xero Invoice No]&lt;&gt;"")*tbl_Finance[Date]))),""))</f>
        <v/>
      </c>
      <c r="B172" s="25">
        <f>IF(C172="","",IF(COUNTIFS(tbl_Finance[Job Number],C172&amp;"",tbl_Finance[Xero Invoice No],"&lt;&gt;")=0,"",IFERROR(IF(COUNTIFS(tbl_Finance[Job Number],C172&amp;"",tbl_Finance[Xero Invoice No],LOOKUP(2,1/((tbl_Finance[Job Number]&amp;""=C172&amp;"")*(tbl_Finance[Xero Invoice No]&lt;&gt;"")),tbl_Finance[Xero Invoice No]))=COUNTIFS(tbl_Finance[Job Number],C172&amp;"",tbl_Finance[Xero Invoice No],"&lt;&gt;"),LOOKUP(2,1/((tbl_Finance[Job Number]&amp;""=C172&amp;"")*(tbl_Finance[Xero Invoice No]&lt;&gt;"")),tbl_Finance[Xero Invoice No]),LOOKUP(2,1/((tbl_Finance[Job Number]&amp;""=C172&amp;"")*(tbl_Finance[Xero Invoice No]&lt;&gt;"")),tbl_Finance[Xero Invoice No])&amp;" +more"),"")))</f>
        <v/>
      </c>
      <c r="C172" s="24" t="n"/>
      <c r="D172" s="25">
        <f>IF(C172="","",IF(COUNTIF(lst_Jobs,C172&amp;"")&gt;0,"OK","CHECK"))</f>
        <v/>
      </c>
      <c r="E172" s="25">
        <f>IF(C172="","",IFERROR(INDEX(lst_JobName,MATCH(C172&amp;"",lst_Jobs,0)),""))</f>
        <v/>
      </c>
      <c r="F172" s="25">
        <f>IF(C172="","",IFERROR(INDEX(tbl_Finance[Client],IFERROR(MATCH(C172&amp;"",tbl_Finance[Job Number],0),MATCH(IFERROR(C172+0,C172),tbl_Finance[Job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6" t="n"/>
      <c r="L172" s="27">
        <f>IF(C172="","",IF(K172="",0,MAX(0,K172-H172)))</f>
        <v/>
      </c>
      <c r="M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N172" s="24" t="n"/>
      <c r="O172" s="25">
        <f>IF(N172="","",HYPERLINK(IF(LEFT(N172,4)="http",N172,set_QwilrBase&amp;N172),"Open quote"))</f>
        <v/>
      </c>
      <c r="P172" s="26" t="n"/>
      <c r="Q172" s="26" t="n"/>
      <c r="R172" s="26" t="n"/>
      <c r="S172" s="25">
        <f>IF(C172="","",IF(N(P172)+N(Q172)+N(R172)=0,"Not split",IF(ROUND(N(P172)+N(Q172)+N(R172),2)=ROUND(H172+L172,2),"OK",IF(G172=0,"Not invoiced yet","MISMATCH"))))</f>
        <v/>
      </c>
      <c r="T172" s="26" t="n"/>
      <c r="U172" s="26" t="n"/>
      <c r="V172" s="26" t="n"/>
      <c r="W172" s="27">
        <f>IF(C172="","",N(T172)+N(U172)+N(V172))</f>
        <v/>
      </c>
      <c r="X172" s="27">
        <f>IF(C172="","",H172+L172-W172)</f>
        <v/>
      </c>
      <c r="Y172" s="29">
        <f>IFERROR(X172/(H172+L172),"")</f>
        <v/>
      </c>
      <c r="Z172" s="24" t="n"/>
    </row>
    <row r="173" ht="15" customHeight="1">
      <c r="A173" s="70">
        <f>IF(C173="","",IFERROR(IF(SUMPRODUCT(MAX((tbl_Finance[Job Number]&amp;""=C173&amp;"")*(tbl_Finance[Xero Invoice No]&lt;&gt;"")*tbl_Finance[Date]))=0,"",SUMPRODUCT(MAX((tbl_Finance[Job Number]&amp;""=C173&amp;"")*(tbl_Finance[Xero Invoice No]&lt;&gt;"")*tbl_Finance[Date]))),""))</f>
        <v/>
      </c>
      <c r="B173" s="25">
        <f>IF(C173="","",IF(COUNTIFS(tbl_Finance[Job Number],C173&amp;"",tbl_Finance[Xero Invoice No],"&lt;&gt;")=0,"",IFERROR(IF(COUNTIFS(tbl_Finance[Job Number],C173&amp;"",tbl_Finance[Xero Invoice No],LOOKUP(2,1/((tbl_Finance[Job Number]&amp;""=C173&amp;"")*(tbl_Finance[Xero Invoice No]&lt;&gt;"")),tbl_Finance[Xero Invoice No]))=COUNTIFS(tbl_Finance[Job Number],C173&amp;"",tbl_Finance[Xero Invoice No],"&lt;&gt;"),LOOKUP(2,1/((tbl_Finance[Job Number]&amp;""=C173&amp;"")*(tbl_Finance[Xero Invoice No]&lt;&gt;"")),tbl_Finance[Xero Invoice No]),LOOKUP(2,1/((tbl_Finance[Job Number]&amp;""=C173&amp;"")*(tbl_Finance[Xero Invoice No]&lt;&gt;"")),tbl_Finance[Xero Invoice No])&amp;" +more"),"")))</f>
        <v/>
      </c>
      <c r="C173" s="24" t="n"/>
      <c r="D173" s="25">
        <f>IF(C173="","",IF(COUNTIF(lst_Jobs,C173&amp;"")&gt;0,"OK","CHECK"))</f>
        <v/>
      </c>
      <c r="E173" s="25">
        <f>IF(C173="","",IFERROR(INDEX(lst_JobName,MATCH(C173&amp;"",lst_Jobs,0)),""))</f>
        <v/>
      </c>
      <c r="F173" s="25">
        <f>IF(C173="","",IFERROR(INDEX(tbl_Finance[Client],IFERROR(MATCH(C173&amp;"",tbl_Finance[Job Number],0),MATCH(IFERROR(C173+0,C173),tbl_Finance[Job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6" t="n"/>
      <c r="L173" s="27">
        <f>IF(C173="","",IF(K173="",0,MAX(0,K173-H173)))</f>
        <v/>
      </c>
      <c r="M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N173" s="24" t="n"/>
      <c r="O173" s="25">
        <f>IF(N173="","",HYPERLINK(IF(LEFT(N173,4)="http",N173,set_QwilrBase&amp;N173),"Open quote"))</f>
        <v/>
      </c>
      <c r="P173" s="26" t="n"/>
      <c r="Q173" s="26" t="n"/>
      <c r="R173" s="26" t="n"/>
      <c r="S173" s="25">
        <f>IF(C173="","",IF(N(P173)+N(Q173)+N(R173)=0,"Not split",IF(ROUND(N(P173)+N(Q173)+N(R173),2)=ROUND(H173+L173,2),"OK",IF(G173=0,"Not invoiced yet","MISMATCH"))))</f>
        <v/>
      </c>
      <c r="T173" s="26" t="n"/>
      <c r="U173" s="26" t="n"/>
      <c r="V173" s="26" t="n"/>
      <c r="W173" s="27">
        <f>IF(C173="","",N(T173)+N(U173)+N(V173))</f>
        <v/>
      </c>
      <c r="X173" s="27">
        <f>IF(C173="","",H173+L173-W173)</f>
        <v/>
      </c>
      <c r="Y173" s="29">
        <f>IFERROR(X173/(H173+L173),"")</f>
        <v/>
      </c>
      <c r="Z173" s="24" t="n"/>
    </row>
    <row r="174" ht="15" customHeight="1">
      <c r="A174" s="70">
        <f>IF(C174="","",IFERROR(IF(SUMPRODUCT(MAX((tbl_Finance[Job Number]&amp;""=C174&amp;"")*(tbl_Finance[Xero Invoice No]&lt;&gt;"")*tbl_Finance[Date]))=0,"",SUMPRODUCT(MAX((tbl_Finance[Job Number]&amp;""=C174&amp;"")*(tbl_Finance[Xero Invoice No]&lt;&gt;"")*tbl_Finance[Date]))),""))</f>
        <v/>
      </c>
      <c r="B174" s="25">
        <f>IF(C174="","",IF(COUNTIFS(tbl_Finance[Job Number],C174&amp;"",tbl_Finance[Xero Invoice No],"&lt;&gt;")=0,"",IFERROR(IF(COUNTIFS(tbl_Finance[Job Number],C174&amp;"",tbl_Finance[Xero Invoice No],LOOKUP(2,1/((tbl_Finance[Job Number]&amp;""=C174&amp;"")*(tbl_Finance[Xero Invoice No]&lt;&gt;"")),tbl_Finance[Xero Invoice No]))=COUNTIFS(tbl_Finance[Job Number],C174&amp;"",tbl_Finance[Xero Invoice No],"&lt;&gt;"),LOOKUP(2,1/((tbl_Finance[Job Number]&amp;""=C174&amp;"")*(tbl_Finance[Xero Invoice No]&lt;&gt;"")),tbl_Finance[Xero Invoice No]),LOOKUP(2,1/((tbl_Finance[Job Number]&amp;""=C174&amp;"")*(tbl_Finance[Xero Invoice No]&lt;&gt;"")),tbl_Finance[Xero Invoice No])&amp;" +more"),"")))</f>
        <v/>
      </c>
      <c r="C174" s="24" t="n"/>
      <c r="D174" s="25">
        <f>IF(C174="","",IF(COUNTIF(lst_Jobs,C174&amp;"")&gt;0,"OK","CHECK"))</f>
        <v/>
      </c>
      <c r="E174" s="25">
        <f>IF(C174="","",IFERROR(INDEX(lst_JobName,MATCH(C174&amp;"",lst_Jobs,0)),""))</f>
        <v/>
      </c>
      <c r="F174" s="25">
        <f>IF(C174="","",IFERROR(INDEX(tbl_Finance[Client],IFERROR(MATCH(C174&amp;"",tbl_Finance[Job Number],0),MATCH(IFERROR(C174+0,C174),tbl_Finance[Job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6" t="n"/>
      <c r="L174" s="27">
        <f>IF(C174="","",IF(K174="",0,MAX(0,K174-H174)))</f>
        <v/>
      </c>
      <c r="M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N174" s="24" t="n"/>
      <c r="O174" s="25">
        <f>IF(N174="","",HYPERLINK(IF(LEFT(N174,4)="http",N174,set_QwilrBase&amp;N174),"Open quote"))</f>
        <v/>
      </c>
      <c r="P174" s="26" t="n"/>
      <c r="Q174" s="26" t="n"/>
      <c r="R174" s="26" t="n"/>
      <c r="S174" s="25">
        <f>IF(C174="","",IF(N(P174)+N(Q174)+N(R174)=0,"Not split",IF(ROUND(N(P174)+N(Q174)+N(R174),2)=ROUND(H174+L174,2),"OK",IF(G174=0,"Not invoiced yet","MISMATCH"))))</f>
        <v/>
      </c>
      <c r="T174" s="26" t="n"/>
      <c r="U174" s="26" t="n"/>
      <c r="V174" s="26" t="n"/>
      <c r="W174" s="27">
        <f>IF(C174="","",N(T174)+N(U174)+N(V174))</f>
        <v/>
      </c>
      <c r="X174" s="27">
        <f>IF(C174="","",H174+L174-W174)</f>
        <v/>
      </c>
      <c r="Y174" s="29">
        <f>IFERROR(X174/(H174+L174),"")</f>
        <v/>
      </c>
      <c r="Z174" s="24" t="n"/>
    </row>
    <row r="175" ht="15" customHeight="1">
      <c r="A175" s="70">
        <f>IF(C175="","",IFERROR(IF(SUMPRODUCT(MAX((tbl_Finance[Job Number]&amp;""=C175&amp;"")*(tbl_Finance[Xero Invoice No]&lt;&gt;"")*tbl_Finance[Date]))=0,"",SUMPRODUCT(MAX((tbl_Finance[Job Number]&amp;""=C175&amp;"")*(tbl_Finance[Xero Invoice No]&lt;&gt;"")*tbl_Finance[Date]))),""))</f>
        <v/>
      </c>
      <c r="B175" s="25">
        <f>IF(C175="","",IF(COUNTIFS(tbl_Finance[Job Number],C175&amp;"",tbl_Finance[Xero Invoice No],"&lt;&gt;")=0,"",IFERROR(IF(COUNTIFS(tbl_Finance[Job Number],C175&amp;"",tbl_Finance[Xero Invoice No],LOOKUP(2,1/((tbl_Finance[Job Number]&amp;""=C175&amp;"")*(tbl_Finance[Xero Invoice No]&lt;&gt;"")),tbl_Finance[Xero Invoice No]))=COUNTIFS(tbl_Finance[Job Number],C175&amp;"",tbl_Finance[Xero Invoice No],"&lt;&gt;"),LOOKUP(2,1/((tbl_Finance[Job Number]&amp;""=C175&amp;"")*(tbl_Finance[Xero Invoice No]&lt;&gt;"")),tbl_Finance[Xero Invoice No]),LOOKUP(2,1/((tbl_Finance[Job Number]&amp;""=C175&amp;"")*(tbl_Finance[Xero Invoice No]&lt;&gt;"")),tbl_Finance[Xero Invoice No])&amp;" +more"),"")))</f>
        <v/>
      </c>
      <c r="C175" s="24" t="n"/>
      <c r="D175" s="25">
        <f>IF(C175="","",IF(COUNTIF(lst_Jobs,C175&amp;"")&gt;0,"OK","CHECK"))</f>
        <v/>
      </c>
      <c r="E175" s="25">
        <f>IF(C175="","",IFERROR(INDEX(lst_JobName,MATCH(C175&amp;"",lst_Jobs,0)),""))</f>
        <v/>
      </c>
      <c r="F175" s="25">
        <f>IF(C175="","",IFERROR(INDEX(tbl_Finance[Client],IFERROR(MATCH(C175&amp;"",tbl_Finance[Job Number],0),MATCH(IFERROR(C175+0,C175),tbl_Finance[Job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6" t="n"/>
      <c r="L175" s="27">
        <f>IF(C175="","",IF(K175="",0,MAX(0,K175-H175)))</f>
        <v/>
      </c>
      <c r="M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N175" s="24" t="n"/>
      <c r="O175" s="25">
        <f>IF(N175="","",HYPERLINK(IF(LEFT(N175,4)="http",N175,set_QwilrBase&amp;N175),"Open quote"))</f>
        <v/>
      </c>
      <c r="P175" s="26" t="n"/>
      <c r="Q175" s="26" t="n"/>
      <c r="R175" s="26" t="n"/>
      <c r="S175" s="25">
        <f>IF(C175="","",IF(N(P175)+N(Q175)+N(R175)=0,"Not split",IF(ROUND(N(P175)+N(Q175)+N(R175),2)=ROUND(H175+L175,2),"OK",IF(G175=0,"Not invoiced yet","MISMATCH"))))</f>
        <v/>
      </c>
      <c r="T175" s="26" t="n"/>
      <c r="U175" s="26" t="n"/>
      <c r="V175" s="26" t="n"/>
      <c r="W175" s="27">
        <f>IF(C175="","",N(T175)+N(U175)+N(V175))</f>
        <v/>
      </c>
      <c r="X175" s="27">
        <f>IF(C175="","",H175+L175-W175)</f>
        <v/>
      </c>
      <c r="Y175" s="29">
        <f>IFERROR(X175/(H175+L175),"")</f>
        <v/>
      </c>
      <c r="Z175" s="24" t="n"/>
    </row>
    <row r="176" ht="15" customHeight="1">
      <c r="A176" s="70">
        <f>IF(C176="","",IFERROR(IF(SUMPRODUCT(MAX((tbl_Finance[Job Number]&amp;""=C176&amp;"")*(tbl_Finance[Xero Invoice No]&lt;&gt;"")*tbl_Finance[Date]))=0,"",SUMPRODUCT(MAX((tbl_Finance[Job Number]&amp;""=C176&amp;"")*(tbl_Finance[Xero Invoice No]&lt;&gt;"")*tbl_Finance[Date]))),""))</f>
        <v/>
      </c>
      <c r="B176" s="25">
        <f>IF(C176="","",IF(COUNTIFS(tbl_Finance[Job Number],C176&amp;"",tbl_Finance[Xero Invoice No],"&lt;&gt;")=0,"",IFERROR(IF(COUNTIFS(tbl_Finance[Job Number],C176&amp;"",tbl_Finance[Xero Invoice No],LOOKUP(2,1/((tbl_Finance[Job Number]&amp;""=C176&amp;"")*(tbl_Finance[Xero Invoice No]&lt;&gt;"")),tbl_Finance[Xero Invoice No]))=COUNTIFS(tbl_Finance[Job Number],C176&amp;"",tbl_Finance[Xero Invoice No],"&lt;&gt;"),LOOKUP(2,1/((tbl_Finance[Job Number]&amp;""=C176&amp;"")*(tbl_Finance[Xero Invoice No]&lt;&gt;"")),tbl_Finance[Xero Invoice No]),LOOKUP(2,1/((tbl_Finance[Job Number]&amp;""=C176&amp;"")*(tbl_Finance[Xero Invoice No]&lt;&gt;"")),tbl_Finance[Xero Invoice No])&amp;" +more"),"")))</f>
        <v/>
      </c>
      <c r="C176" s="24" t="n"/>
      <c r="D176" s="25">
        <f>IF(C176="","",IF(COUNTIF(lst_Jobs,C176&amp;"")&gt;0,"OK","CHECK"))</f>
        <v/>
      </c>
      <c r="E176" s="25">
        <f>IF(C176="","",IFERROR(INDEX(lst_JobName,MATCH(C176&amp;"",lst_Jobs,0)),""))</f>
        <v/>
      </c>
      <c r="F176" s="25">
        <f>IF(C176="","",IFERROR(INDEX(tbl_Finance[Client],IFERROR(MATCH(C176&amp;"",tbl_Finance[Job Number],0),MATCH(IFERROR(C176+0,C176),tbl_Finance[Job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6" t="n"/>
      <c r="L176" s="27">
        <f>IF(C176="","",IF(K176="",0,MAX(0,K176-H176)))</f>
        <v/>
      </c>
      <c r="M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N176" s="24" t="n"/>
      <c r="O176" s="25">
        <f>IF(N176="","",HYPERLINK(IF(LEFT(N176,4)="http",N176,set_QwilrBase&amp;N176),"Open quote"))</f>
        <v/>
      </c>
      <c r="P176" s="26" t="n"/>
      <c r="Q176" s="26" t="n"/>
      <c r="R176" s="26" t="n"/>
      <c r="S176" s="25">
        <f>IF(C176="","",IF(N(P176)+N(Q176)+N(R176)=0,"Not split",IF(ROUND(N(P176)+N(Q176)+N(R176),2)=ROUND(H176+L176,2),"OK",IF(G176=0,"Not invoiced yet","MISMATCH"))))</f>
        <v/>
      </c>
      <c r="T176" s="26" t="n"/>
      <c r="U176" s="26" t="n"/>
      <c r="V176" s="26" t="n"/>
      <c r="W176" s="27">
        <f>IF(C176="","",N(T176)+N(U176)+N(V176))</f>
        <v/>
      </c>
      <c r="X176" s="27">
        <f>IF(C176="","",H176+L176-W176)</f>
        <v/>
      </c>
      <c r="Y176" s="29">
        <f>IFERROR(X176/(H176+L176),"")</f>
        <v/>
      </c>
      <c r="Z176" s="24" t="n"/>
    </row>
    <row r="177" ht="15" customHeight="1">
      <c r="A177" s="70">
        <f>IF(C177="","",IFERROR(IF(SUMPRODUCT(MAX((tbl_Finance[Job Number]&amp;""=C177&amp;"")*(tbl_Finance[Xero Invoice No]&lt;&gt;"")*tbl_Finance[Date]))=0,"",SUMPRODUCT(MAX((tbl_Finance[Job Number]&amp;""=C177&amp;"")*(tbl_Finance[Xero Invoice No]&lt;&gt;"")*tbl_Finance[Date]))),""))</f>
        <v/>
      </c>
      <c r="B177" s="25">
        <f>IF(C177="","",IF(COUNTIFS(tbl_Finance[Job Number],C177&amp;"",tbl_Finance[Xero Invoice No],"&lt;&gt;")=0,"",IFERROR(IF(COUNTIFS(tbl_Finance[Job Number],C177&amp;"",tbl_Finance[Xero Invoice No],LOOKUP(2,1/((tbl_Finance[Job Number]&amp;""=C177&amp;"")*(tbl_Finance[Xero Invoice No]&lt;&gt;"")),tbl_Finance[Xero Invoice No]))=COUNTIFS(tbl_Finance[Job Number],C177&amp;"",tbl_Finance[Xero Invoice No],"&lt;&gt;"),LOOKUP(2,1/((tbl_Finance[Job Number]&amp;""=C177&amp;"")*(tbl_Finance[Xero Invoice No]&lt;&gt;"")),tbl_Finance[Xero Invoice No]),LOOKUP(2,1/((tbl_Finance[Job Number]&amp;""=C177&amp;"")*(tbl_Finance[Xero Invoice No]&lt;&gt;"")),tbl_Finance[Xero Invoice No])&amp;" +more"),"")))</f>
        <v/>
      </c>
      <c r="C177" s="24" t="n"/>
      <c r="D177" s="25">
        <f>IF(C177="","",IF(COUNTIF(lst_Jobs,C177&amp;"")&gt;0,"OK","CHECK"))</f>
        <v/>
      </c>
      <c r="E177" s="25">
        <f>IF(C177="","",IFERROR(INDEX(lst_JobName,MATCH(C177&amp;"",lst_Jobs,0)),""))</f>
        <v/>
      </c>
      <c r="F177" s="25">
        <f>IF(C177="","",IFERROR(INDEX(tbl_Finance[Client],IFERROR(MATCH(C177&amp;"",tbl_Finance[Job Number],0),MATCH(IFERROR(C177+0,C177),tbl_Finance[Job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6" t="n"/>
      <c r="L177" s="27">
        <f>IF(C177="","",IF(K177="",0,MAX(0,K177-H177)))</f>
        <v/>
      </c>
      <c r="M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N177" s="24" t="n"/>
      <c r="O177" s="25">
        <f>IF(N177="","",HYPERLINK(IF(LEFT(N177,4)="http",N177,set_QwilrBase&amp;N177),"Open quote"))</f>
        <v/>
      </c>
      <c r="P177" s="26" t="n"/>
      <c r="Q177" s="26" t="n"/>
      <c r="R177" s="26" t="n"/>
      <c r="S177" s="25">
        <f>IF(C177="","",IF(N(P177)+N(Q177)+N(R177)=0,"Not split",IF(ROUND(N(P177)+N(Q177)+N(R177),2)=ROUND(H177+L177,2),"OK",IF(G177=0,"Not invoiced yet","MISMATCH"))))</f>
        <v/>
      </c>
      <c r="T177" s="26" t="n"/>
      <c r="U177" s="26" t="n"/>
      <c r="V177" s="26" t="n"/>
      <c r="W177" s="27">
        <f>IF(C177="","",N(T177)+N(U177)+N(V177))</f>
        <v/>
      </c>
      <c r="X177" s="27">
        <f>IF(C177="","",H177+L177-W177)</f>
        <v/>
      </c>
      <c r="Y177" s="29">
        <f>IFERROR(X177/(H177+L177),"")</f>
        <v/>
      </c>
      <c r="Z177" s="24" t="n"/>
    </row>
    <row r="178" ht="15" customHeight="1">
      <c r="A178" s="70">
        <f>IF(C178="","",IFERROR(IF(SUMPRODUCT(MAX((tbl_Finance[Job Number]&amp;""=C178&amp;"")*(tbl_Finance[Xero Invoice No]&lt;&gt;"")*tbl_Finance[Date]))=0,"",SUMPRODUCT(MAX((tbl_Finance[Job Number]&amp;""=C178&amp;"")*(tbl_Finance[Xero Invoice No]&lt;&gt;"")*tbl_Finance[Date]))),""))</f>
        <v/>
      </c>
      <c r="B178" s="25">
        <f>IF(C178="","",IF(COUNTIFS(tbl_Finance[Job Number],C178&amp;"",tbl_Finance[Xero Invoice No],"&lt;&gt;")=0,"",IFERROR(IF(COUNTIFS(tbl_Finance[Job Number],C178&amp;"",tbl_Finance[Xero Invoice No],LOOKUP(2,1/((tbl_Finance[Job Number]&amp;""=C178&amp;"")*(tbl_Finance[Xero Invoice No]&lt;&gt;"")),tbl_Finance[Xero Invoice No]))=COUNTIFS(tbl_Finance[Job Number],C178&amp;"",tbl_Finance[Xero Invoice No],"&lt;&gt;"),LOOKUP(2,1/((tbl_Finance[Job Number]&amp;""=C178&amp;"")*(tbl_Finance[Xero Invoice No]&lt;&gt;"")),tbl_Finance[Xero Invoice No]),LOOKUP(2,1/((tbl_Finance[Job Number]&amp;""=C178&amp;"")*(tbl_Finance[Xero Invoice No]&lt;&gt;"")),tbl_Finance[Xero Invoice No])&amp;" +more"),"")))</f>
        <v/>
      </c>
      <c r="C178" s="24" t="n"/>
      <c r="D178" s="25">
        <f>IF(C178="","",IF(COUNTIF(lst_Jobs,C178&amp;"")&gt;0,"OK","CHECK"))</f>
        <v/>
      </c>
      <c r="E178" s="25">
        <f>IF(C178="","",IFERROR(INDEX(lst_JobName,MATCH(C178&amp;"",lst_Jobs,0)),""))</f>
        <v/>
      </c>
      <c r="F178" s="25">
        <f>IF(C178="","",IFERROR(INDEX(tbl_Finance[Client],IFERROR(MATCH(C178&amp;"",tbl_Finance[Job Number],0),MATCH(IFERROR(C178+0,C178),tbl_Finance[Job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6" t="n"/>
      <c r="L178" s="27">
        <f>IF(C178="","",IF(K178="",0,MAX(0,K178-H178)))</f>
        <v/>
      </c>
      <c r="M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N178" s="24" t="n"/>
      <c r="O178" s="25">
        <f>IF(N178="","",HYPERLINK(IF(LEFT(N178,4)="http",N178,set_QwilrBase&amp;N178),"Open quote"))</f>
        <v/>
      </c>
      <c r="P178" s="26" t="n"/>
      <c r="Q178" s="26" t="n"/>
      <c r="R178" s="26" t="n"/>
      <c r="S178" s="25">
        <f>IF(C178="","",IF(N(P178)+N(Q178)+N(R178)=0,"Not split",IF(ROUND(N(P178)+N(Q178)+N(R178),2)=ROUND(H178+L178,2),"OK",IF(G178=0,"Not invoiced yet","MISMATCH"))))</f>
        <v/>
      </c>
      <c r="T178" s="26" t="n"/>
      <c r="U178" s="26" t="n"/>
      <c r="V178" s="26" t="n"/>
      <c r="W178" s="27">
        <f>IF(C178="","",N(T178)+N(U178)+N(V178))</f>
        <v/>
      </c>
      <c r="X178" s="27">
        <f>IF(C178="","",H178+L178-W178)</f>
        <v/>
      </c>
      <c r="Y178" s="29">
        <f>IFERROR(X178/(H178+L178),"")</f>
        <v/>
      </c>
      <c r="Z178" s="24" t="n"/>
    </row>
    <row r="179" ht="15" customHeight="1">
      <c r="A179" s="70">
        <f>IF(C179="","",IFERROR(IF(SUMPRODUCT(MAX((tbl_Finance[Job Number]&amp;""=C179&amp;"")*(tbl_Finance[Xero Invoice No]&lt;&gt;"")*tbl_Finance[Date]))=0,"",SUMPRODUCT(MAX((tbl_Finance[Job Number]&amp;""=C179&amp;"")*(tbl_Finance[Xero Invoice No]&lt;&gt;"")*tbl_Finance[Date]))),""))</f>
        <v/>
      </c>
      <c r="B179" s="25">
        <f>IF(C179="","",IF(COUNTIFS(tbl_Finance[Job Number],C179&amp;"",tbl_Finance[Xero Invoice No],"&lt;&gt;")=0,"",IFERROR(IF(COUNTIFS(tbl_Finance[Job Number],C179&amp;"",tbl_Finance[Xero Invoice No],LOOKUP(2,1/((tbl_Finance[Job Number]&amp;""=C179&amp;"")*(tbl_Finance[Xero Invoice No]&lt;&gt;"")),tbl_Finance[Xero Invoice No]))=COUNTIFS(tbl_Finance[Job Number],C179&amp;"",tbl_Finance[Xero Invoice No],"&lt;&gt;"),LOOKUP(2,1/((tbl_Finance[Job Number]&amp;""=C179&amp;"")*(tbl_Finance[Xero Invoice No]&lt;&gt;"")),tbl_Finance[Xero Invoice No]),LOOKUP(2,1/((tbl_Finance[Job Number]&amp;""=C179&amp;"")*(tbl_Finance[Xero Invoice No]&lt;&gt;"")),tbl_Finance[Xero Invoice No])&amp;" +more"),"")))</f>
        <v/>
      </c>
      <c r="C179" s="24" t="n"/>
      <c r="D179" s="25">
        <f>IF(C179="","",IF(COUNTIF(lst_Jobs,C179&amp;"")&gt;0,"OK","CHECK"))</f>
        <v/>
      </c>
      <c r="E179" s="25">
        <f>IF(C179="","",IFERROR(INDEX(lst_JobName,MATCH(C179&amp;"",lst_Jobs,0)),""))</f>
        <v/>
      </c>
      <c r="F179" s="25">
        <f>IF(C179="","",IFERROR(INDEX(tbl_Finance[Client],IFERROR(MATCH(C179&amp;"",tbl_Finance[Job Number],0),MATCH(IFERROR(C179+0,C179),tbl_Finance[Job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6" t="n"/>
      <c r="L179" s="27">
        <f>IF(C179="","",IF(K179="",0,MAX(0,K179-H179)))</f>
        <v/>
      </c>
      <c r="M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N179" s="24" t="n"/>
      <c r="O179" s="25">
        <f>IF(N179="","",HYPERLINK(IF(LEFT(N179,4)="http",N179,set_QwilrBase&amp;N179),"Open quote"))</f>
        <v/>
      </c>
      <c r="P179" s="26" t="n"/>
      <c r="Q179" s="26" t="n"/>
      <c r="R179" s="26" t="n"/>
      <c r="S179" s="25">
        <f>IF(C179="","",IF(N(P179)+N(Q179)+N(R179)=0,"Not split",IF(ROUND(N(P179)+N(Q179)+N(R179),2)=ROUND(H179+L179,2),"OK",IF(G179=0,"Not invoiced yet","MISMATCH"))))</f>
        <v/>
      </c>
      <c r="T179" s="26" t="n"/>
      <c r="U179" s="26" t="n"/>
      <c r="V179" s="26" t="n"/>
      <c r="W179" s="27">
        <f>IF(C179="","",N(T179)+N(U179)+N(V179))</f>
        <v/>
      </c>
      <c r="X179" s="27">
        <f>IF(C179="","",H179+L179-W179)</f>
        <v/>
      </c>
      <c r="Y179" s="29">
        <f>IFERROR(X179/(H179+L179),"")</f>
        <v/>
      </c>
      <c r="Z179" s="24" t="n"/>
    </row>
    <row r="180" ht="15" customHeight="1">
      <c r="A180" s="70">
        <f>IF(C180="","",IFERROR(IF(SUMPRODUCT(MAX((tbl_Finance[Job Number]&amp;""=C180&amp;"")*(tbl_Finance[Xero Invoice No]&lt;&gt;"")*tbl_Finance[Date]))=0,"",SUMPRODUCT(MAX((tbl_Finance[Job Number]&amp;""=C180&amp;"")*(tbl_Finance[Xero Invoice No]&lt;&gt;"")*tbl_Finance[Date]))),""))</f>
        <v/>
      </c>
      <c r="B180" s="25">
        <f>IF(C180="","",IF(COUNTIFS(tbl_Finance[Job Number],C180&amp;"",tbl_Finance[Xero Invoice No],"&lt;&gt;")=0,"",IFERROR(IF(COUNTIFS(tbl_Finance[Job Number],C180&amp;"",tbl_Finance[Xero Invoice No],LOOKUP(2,1/((tbl_Finance[Job Number]&amp;""=C180&amp;"")*(tbl_Finance[Xero Invoice No]&lt;&gt;"")),tbl_Finance[Xero Invoice No]))=COUNTIFS(tbl_Finance[Job Number],C180&amp;"",tbl_Finance[Xero Invoice No],"&lt;&gt;"),LOOKUP(2,1/((tbl_Finance[Job Number]&amp;""=C180&amp;"")*(tbl_Finance[Xero Invoice No]&lt;&gt;"")),tbl_Finance[Xero Invoice No]),LOOKUP(2,1/((tbl_Finance[Job Number]&amp;""=C180&amp;"")*(tbl_Finance[Xero Invoice No]&lt;&gt;"")),tbl_Finance[Xero Invoice No])&amp;" +more"),"")))</f>
        <v/>
      </c>
      <c r="C180" s="24" t="n"/>
      <c r="D180" s="25">
        <f>IF(C180="","",IF(COUNTIF(lst_Jobs,C180&amp;"")&gt;0,"OK","CHECK"))</f>
        <v/>
      </c>
      <c r="E180" s="25">
        <f>IF(C180="","",IFERROR(INDEX(lst_JobName,MATCH(C180&amp;"",lst_Jobs,0)),""))</f>
        <v/>
      </c>
      <c r="F180" s="25">
        <f>IF(C180="","",IFERROR(INDEX(tbl_Finance[Client],IFERROR(MATCH(C180&amp;"",tbl_Finance[Job Number],0),MATCH(IFERROR(C180+0,C180),tbl_Finance[Job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6" t="n"/>
      <c r="L180" s="27">
        <f>IF(C180="","",IF(K180="",0,MAX(0,K180-H180)))</f>
        <v/>
      </c>
      <c r="M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N180" s="24" t="n"/>
      <c r="O180" s="25">
        <f>IF(N180="","",HYPERLINK(IF(LEFT(N180,4)="http",N180,set_QwilrBase&amp;N180),"Open quote"))</f>
        <v/>
      </c>
      <c r="P180" s="26" t="n"/>
      <c r="Q180" s="26" t="n"/>
      <c r="R180" s="26" t="n"/>
      <c r="S180" s="25">
        <f>IF(C180="","",IF(N(P180)+N(Q180)+N(R180)=0,"Not split",IF(ROUND(N(P180)+N(Q180)+N(R180),2)=ROUND(H180+L180,2),"OK",IF(G180=0,"Not invoiced yet","MISMATCH"))))</f>
        <v/>
      </c>
      <c r="T180" s="26" t="n"/>
      <c r="U180" s="26" t="n"/>
      <c r="V180" s="26" t="n"/>
      <c r="W180" s="27">
        <f>IF(C180="","",N(T180)+N(U180)+N(V180))</f>
        <v/>
      </c>
      <c r="X180" s="27">
        <f>IF(C180="","",H180+L180-W180)</f>
        <v/>
      </c>
      <c r="Y180" s="29">
        <f>IFERROR(X180/(H180+L180),"")</f>
        <v/>
      </c>
      <c r="Z180" s="24" t="n"/>
    </row>
    <row r="181" ht="15" customHeight="1">
      <c r="A181" s="70">
        <f>IF(C181="","",IFERROR(IF(SUMPRODUCT(MAX((tbl_Finance[Job Number]&amp;""=C181&amp;"")*(tbl_Finance[Xero Invoice No]&lt;&gt;"")*tbl_Finance[Date]))=0,"",SUMPRODUCT(MAX((tbl_Finance[Job Number]&amp;""=C181&amp;"")*(tbl_Finance[Xero Invoice No]&lt;&gt;"")*tbl_Finance[Date]))),""))</f>
        <v/>
      </c>
      <c r="B181" s="25">
        <f>IF(C181="","",IF(COUNTIFS(tbl_Finance[Job Number],C181&amp;"",tbl_Finance[Xero Invoice No],"&lt;&gt;")=0,"",IFERROR(IF(COUNTIFS(tbl_Finance[Job Number],C181&amp;"",tbl_Finance[Xero Invoice No],LOOKUP(2,1/((tbl_Finance[Job Number]&amp;""=C181&amp;"")*(tbl_Finance[Xero Invoice No]&lt;&gt;"")),tbl_Finance[Xero Invoice No]))=COUNTIFS(tbl_Finance[Job Number],C181&amp;"",tbl_Finance[Xero Invoice No],"&lt;&gt;"),LOOKUP(2,1/((tbl_Finance[Job Number]&amp;""=C181&amp;"")*(tbl_Finance[Xero Invoice No]&lt;&gt;"")),tbl_Finance[Xero Invoice No]),LOOKUP(2,1/((tbl_Finance[Job Number]&amp;""=C181&amp;"")*(tbl_Finance[Xero Invoice No]&lt;&gt;"")),tbl_Finance[Xero Invoice No])&amp;" +more"),"")))</f>
        <v/>
      </c>
      <c r="C181" s="24" t="n"/>
      <c r="D181" s="25">
        <f>IF(C181="","",IF(COUNTIF(lst_Jobs,C181&amp;"")&gt;0,"OK","CHECK"))</f>
        <v/>
      </c>
      <c r="E181" s="25">
        <f>IF(C181="","",IFERROR(INDEX(lst_JobName,MATCH(C181&amp;"",lst_Jobs,0)),""))</f>
        <v/>
      </c>
      <c r="F181" s="25">
        <f>IF(C181="","",IFERROR(INDEX(tbl_Finance[Client],IFERROR(MATCH(C181&amp;"",tbl_Finance[Job Number],0),MATCH(IFERROR(C181+0,C181),tbl_Finance[Job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6" t="n"/>
      <c r="L181" s="27">
        <f>IF(C181="","",IF(K181="",0,MAX(0,K181-H181)))</f>
        <v/>
      </c>
      <c r="M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N181" s="24" t="n"/>
      <c r="O181" s="25">
        <f>IF(N181="","",HYPERLINK(IF(LEFT(N181,4)="http",N181,set_QwilrBase&amp;N181),"Open quote"))</f>
        <v/>
      </c>
      <c r="P181" s="26" t="n"/>
      <c r="Q181" s="26" t="n"/>
      <c r="R181" s="26" t="n"/>
      <c r="S181" s="25">
        <f>IF(C181="","",IF(N(P181)+N(Q181)+N(R181)=0,"Not split",IF(ROUND(N(P181)+N(Q181)+N(R181),2)=ROUND(H181+L181,2),"OK",IF(G181=0,"Not invoiced yet","MISMATCH"))))</f>
        <v/>
      </c>
      <c r="T181" s="26" t="n"/>
      <c r="U181" s="26" t="n"/>
      <c r="V181" s="26" t="n"/>
      <c r="W181" s="27">
        <f>IF(C181="","",N(T181)+N(U181)+N(V181))</f>
        <v/>
      </c>
      <c r="X181" s="27">
        <f>IF(C181="","",H181+L181-W181)</f>
        <v/>
      </c>
      <c r="Y181" s="29">
        <f>IFERROR(X181/(H181+L181),"")</f>
        <v/>
      </c>
      <c r="Z181" s="24" t="n"/>
    </row>
    <row r="182" ht="15" customHeight="1">
      <c r="A182" s="70">
        <f>IF(C182="","",IFERROR(IF(SUMPRODUCT(MAX((tbl_Finance[Job Number]&amp;""=C182&amp;"")*(tbl_Finance[Xero Invoice No]&lt;&gt;"")*tbl_Finance[Date]))=0,"",SUMPRODUCT(MAX((tbl_Finance[Job Number]&amp;""=C182&amp;"")*(tbl_Finance[Xero Invoice No]&lt;&gt;"")*tbl_Finance[Date]))),""))</f>
        <v/>
      </c>
      <c r="B182" s="25">
        <f>IF(C182="","",IF(COUNTIFS(tbl_Finance[Job Number],C182&amp;"",tbl_Finance[Xero Invoice No],"&lt;&gt;")=0,"",IFERROR(IF(COUNTIFS(tbl_Finance[Job Number],C182&amp;"",tbl_Finance[Xero Invoice No],LOOKUP(2,1/((tbl_Finance[Job Number]&amp;""=C182&amp;"")*(tbl_Finance[Xero Invoice No]&lt;&gt;"")),tbl_Finance[Xero Invoice No]))=COUNTIFS(tbl_Finance[Job Number],C182&amp;"",tbl_Finance[Xero Invoice No],"&lt;&gt;"),LOOKUP(2,1/((tbl_Finance[Job Number]&amp;""=C182&amp;"")*(tbl_Finance[Xero Invoice No]&lt;&gt;"")),tbl_Finance[Xero Invoice No]),LOOKUP(2,1/((tbl_Finance[Job Number]&amp;""=C182&amp;"")*(tbl_Finance[Xero Invoice No]&lt;&gt;"")),tbl_Finance[Xero Invoice No])&amp;" +more"),"")))</f>
        <v/>
      </c>
      <c r="C182" s="24" t="n"/>
      <c r="D182" s="25">
        <f>IF(C182="","",IF(COUNTIF(lst_Jobs,C182&amp;"")&gt;0,"OK","CHECK"))</f>
        <v/>
      </c>
      <c r="E182" s="25">
        <f>IF(C182="","",IFERROR(INDEX(lst_JobName,MATCH(C182&amp;"",lst_Jobs,0)),""))</f>
        <v/>
      </c>
      <c r="F182" s="25">
        <f>IF(C182="","",IFERROR(INDEX(tbl_Finance[Client],IFERROR(MATCH(C182&amp;"",tbl_Finance[Job Number],0),MATCH(IFERROR(C182+0,C182),tbl_Finance[Job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6" t="n"/>
      <c r="L182" s="27">
        <f>IF(C182="","",IF(K182="",0,MAX(0,K182-H182)))</f>
        <v/>
      </c>
      <c r="M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N182" s="24" t="n"/>
      <c r="O182" s="25">
        <f>IF(N182="","",HYPERLINK(IF(LEFT(N182,4)="http",N182,set_QwilrBase&amp;N182),"Open quote"))</f>
        <v/>
      </c>
      <c r="P182" s="26" t="n"/>
      <c r="Q182" s="26" t="n"/>
      <c r="R182" s="26" t="n"/>
      <c r="S182" s="25">
        <f>IF(C182="","",IF(N(P182)+N(Q182)+N(R182)=0,"Not split",IF(ROUND(N(P182)+N(Q182)+N(R182),2)=ROUND(H182+L182,2),"OK",IF(G182=0,"Not invoiced yet","MISMATCH"))))</f>
        <v/>
      </c>
      <c r="T182" s="26" t="n"/>
      <c r="U182" s="26" t="n"/>
      <c r="V182" s="26" t="n"/>
      <c r="W182" s="27">
        <f>IF(C182="","",N(T182)+N(U182)+N(V182))</f>
        <v/>
      </c>
      <c r="X182" s="27">
        <f>IF(C182="","",H182+L182-W182)</f>
        <v/>
      </c>
      <c r="Y182" s="29">
        <f>IFERROR(X182/(H182+L182),"")</f>
        <v/>
      </c>
      <c r="Z182" s="24" t="n"/>
    </row>
    <row r="183" ht="15" customHeight="1">
      <c r="A183" s="70">
        <f>IF(C183="","",IFERROR(IF(SUMPRODUCT(MAX((tbl_Finance[Job Number]&amp;""=C183&amp;"")*(tbl_Finance[Xero Invoice No]&lt;&gt;"")*tbl_Finance[Date]))=0,"",SUMPRODUCT(MAX((tbl_Finance[Job Number]&amp;""=C183&amp;"")*(tbl_Finance[Xero Invoice No]&lt;&gt;"")*tbl_Finance[Date]))),""))</f>
        <v/>
      </c>
      <c r="B183" s="25">
        <f>IF(C183="","",IF(COUNTIFS(tbl_Finance[Job Number],C183&amp;"",tbl_Finance[Xero Invoice No],"&lt;&gt;")=0,"",IFERROR(IF(COUNTIFS(tbl_Finance[Job Number],C183&amp;"",tbl_Finance[Xero Invoice No],LOOKUP(2,1/((tbl_Finance[Job Number]&amp;""=C183&amp;"")*(tbl_Finance[Xero Invoice No]&lt;&gt;"")),tbl_Finance[Xero Invoice No]))=COUNTIFS(tbl_Finance[Job Number],C183&amp;"",tbl_Finance[Xero Invoice No],"&lt;&gt;"),LOOKUP(2,1/((tbl_Finance[Job Number]&amp;""=C183&amp;"")*(tbl_Finance[Xero Invoice No]&lt;&gt;"")),tbl_Finance[Xero Invoice No]),LOOKUP(2,1/((tbl_Finance[Job Number]&amp;""=C183&amp;"")*(tbl_Finance[Xero Invoice No]&lt;&gt;"")),tbl_Finance[Xero Invoice No])&amp;" +more"),"")))</f>
        <v/>
      </c>
      <c r="C183" s="24" t="n"/>
      <c r="D183" s="25">
        <f>IF(C183="","",IF(COUNTIF(lst_Jobs,C183&amp;"")&gt;0,"OK","CHECK"))</f>
        <v/>
      </c>
      <c r="E183" s="25">
        <f>IF(C183="","",IFERROR(INDEX(lst_JobName,MATCH(C183&amp;"",lst_Jobs,0)),""))</f>
        <v/>
      </c>
      <c r="F183" s="25">
        <f>IF(C183="","",IFERROR(INDEX(tbl_Finance[Client],IFERROR(MATCH(C183&amp;"",tbl_Finance[Job Number],0),MATCH(IFERROR(C183+0,C183),tbl_Finance[Job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6" t="n"/>
      <c r="L183" s="27">
        <f>IF(C183="","",IF(K183="",0,MAX(0,K183-H183)))</f>
        <v/>
      </c>
      <c r="M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N183" s="24" t="n"/>
      <c r="O183" s="25">
        <f>IF(N183="","",HYPERLINK(IF(LEFT(N183,4)="http",N183,set_QwilrBase&amp;N183),"Open quote"))</f>
        <v/>
      </c>
      <c r="P183" s="26" t="n"/>
      <c r="Q183" s="26" t="n"/>
      <c r="R183" s="26" t="n"/>
      <c r="S183" s="25">
        <f>IF(C183="","",IF(N(P183)+N(Q183)+N(R183)=0,"Not split",IF(ROUND(N(P183)+N(Q183)+N(R183),2)=ROUND(H183+L183,2),"OK",IF(G183=0,"Not invoiced yet","MISMATCH"))))</f>
        <v/>
      </c>
      <c r="T183" s="26" t="n"/>
      <c r="U183" s="26" t="n"/>
      <c r="V183" s="26" t="n"/>
      <c r="W183" s="27">
        <f>IF(C183="","",N(T183)+N(U183)+N(V183))</f>
        <v/>
      </c>
      <c r="X183" s="27">
        <f>IF(C183="","",H183+L183-W183)</f>
        <v/>
      </c>
      <c r="Y183" s="29">
        <f>IFERROR(X183/(H183+L183),"")</f>
        <v/>
      </c>
      <c r="Z183" s="24" t="n"/>
    </row>
    <row r="184" ht="15" customHeight="1">
      <c r="A184" s="70">
        <f>IF(C184="","",IFERROR(IF(SUMPRODUCT(MAX((tbl_Finance[Job Number]&amp;""=C184&amp;"")*(tbl_Finance[Xero Invoice No]&lt;&gt;"")*tbl_Finance[Date]))=0,"",SUMPRODUCT(MAX((tbl_Finance[Job Number]&amp;""=C184&amp;"")*(tbl_Finance[Xero Invoice No]&lt;&gt;"")*tbl_Finance[Date]))),""))</f>
        <v/>
      </c>
      <c r="B184" s="25">
        <f>IF(C184="","",IF(COUNTIFS(tbl_Finance[Job Number],C184&amp;"",tbl_Finance[Xero Invoice No],"&lt;&gt;")=0,"",IFERROR(IF(COUNTIFS(tbl_Finance[Job Number],C184&amp;"",tbl_Finance[Xero Invoice No],LOOKUP(2,1/((tbl_Finance[Job Number]&amp;""=C184&amp;"")*(tbl_Finance[Xero Invoice No]&lt;&gt;"")),tbl_Finance[Xero Invoice No]))=COUNTIFS(tbl_Finance[Job Number],C184&amp;"",tbl_Finance[Xero Invoice No],"&lt;&gt;"),LOOKUP(2,1/((tbl_Finance[Job Number]&amp;""=C184&amp;"")*(tbl_Finance[Xero Invoice No]&lt;&gt;"")),tbl_Finance[Xero Invoice No]),LOOKUP(2,1/((tbl_Finance[Job Number]&amp;""=C184&amp;"")*(tbl_Finance[Xero Invoice No]&lt;&gt;"")),tbl_Finance[Xero Invoice No])&amp;" +more"),"")))</f>
        <v/>
      </c>
      <c r="C184" s="24" t="n"/>
      <c r="D184" s="25">
        <f>IF(C184="","",IF(COUNTIF(lst_Jobs,C184&amp;"")&gt;0,"OK","CHECK"))</f>
        <v/>
      </c>
      <c r="E184" s="25">
        <f>IF(C184="","",IFERROR(INDEX(lst_JobName,MATCH(C184&amp;"",lst_Jobs,0)),""))</f>
        <v/>
      </c>
      <c r="F184" s="25">
        <f>IF(C184="","",IFERROR(INDEX(tbl_Finance[Client],IFERROR(MATCH(C184&amp;"",tbl_Finance[Job Number],0),MATCH(IFERROR(C184+0,C184),tbl_Finance[Job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6" t="n"/>
      <c r="L184" s="27">
        <f>IF(C184="","",IF(K184="",0,MAX(0,K184-H184)))</f>
        <v/>
      </c>
      <c r="M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N184" s="24" t="n"/>
      <c r="O184" s="25">
        <f>IF(N184="","",HYPERLINK(IF(LEFT(N184,4)="http",N184,set_QwilrBase&amp;N184),"Open quote"))</f>
        <v/>
      </c>
      <c r="P184" s="26" t="n"/>
      <c r="Q184" s="26" t="n"/>
      <c r="R184" s="26" t="n"/>
      <c r="S184" s="25">
        <f>IF(C184="","",IF(N(P184)+N(Q184)+N(R184)=0,"Not split",IF(ROUND(N(P184)+N(Q184)+N(R184),2)=ROUND(H184+L184,2),"OK",IF(G184=0,"Not invoiced yet","MISMATCH"))))</f>
        <v/>
      </c>
      <c r="T184" s="26" t="n"/>
      <c r="U184" s="26" t="n"/>
      <c r="V184" s="26" t="n"/>
      <c r="W184" s="27">
        <f>IF(C184="","",N(T184)+N(U184)+N(V184))</f>
        <v/>
      </c>
      <c r="X184" s="27">
        <f>IF(C184="","",H184+L184-W184)</f>
        <v/>
      </c>
      <c r="Y184" s="29">
        <f>IFERROR(X184/(H184+L184),"")</f>
        <v/>
      </c>
      <c r="Z184" s="24" t="n"/>
    </row>
    <row r="185" ht="15" customHeight="1">
      <c r="A185" s="70">
        <f>IF(C185="","",IFERROR(IF(SUMPRODUCT(MAX((tbl_Finance[Job Number]&amp;""=C185&amp;"")*(tbl_Finance[Xero Invoice No]&lt;&gt;"")*tbl_Finance[Date]))=0,"",SUMPRODUCT(MAX((tbl_Finance[Job Number]&amp;""=C185&amp;"")*(tbl_Finance[Xero Invoice No]&lt;&gt;"")*tbl_Finance[Date]))),""))</f>
        <v/>
      </c>
      <c r="B185" s="25">
        <f>IF(C185="","",IF(COUNTIFS(tbl_Finance[Job Number],C185&amp;"",tbl_Finance[Xero Invoice No],"&lt;&gt;")=0,"",IFERROR(IF(COUNTIFS(tbl_Finance[Job Number],C185&amp;"",tbl_Finance[Xero Invoice No],LOOKUP(2,1/((tbl_Finance[Job Number]&amp;""=C185&amp;"")*(tbl_Finance[Xero Invoice No]&lt;&gt;"")),tbl_Finance[Xero Invoice No]))=COUNTIFS(tbl_Finance[Job Number],C185&amp;"",tbl_Finance[Xero Invoice No],"&lt;&gt;"),LOOKUP(2,1/((tbl_Finance[Job Number]&amp;""=C185&amp;"")*(tbl_Finance[Xero Invoice No]&lt;&gt;"")),tbl_Finance[Xero Invoice No]),LOOKUP(2,1/((tbl_Finance[Job Number]&amp;""=C185&amp;"")*(tbl_Finance[Xero Invoice No]&lt;&gt;"")),tbl_Finance[Xero Invoice No])&amp;" +more"),"")))</f>
        <v/>
      </c>
      <c r="C185" s="24" t="n"/>
      <c r="D185" s="25">
        <f>IF(C185="","",IF(COUNTIF(lst_Jobs,C185&amp;"")&gt;0,"OK","CHECK"))</f>
        <v/>
      </c>
      <c r="E185" s="25">
        <f>IF(C185="","",IFERROR(INDEX(lst_JobName,MATCH(C185&amp;"",lst_Jobs,0)),""))</f>
        <v/>
      </c>
      <c r="F185" s="25">
        <f>IF(C185="","",IFERROR(INDEX(tbl_Finance[Client],IFERROR(MATCH(C185&amp;"",tbl_Finance[Job Number],0),MATCH(IFERROR(C185+0,C185),tbl_Finance[Job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6" t="n"/>
      <c r="L185" s="27">
        <f>IF(C185="","",IF(K185="",0,MAX(0,K185-H185)))</f>
        <v/>
      </c>
      <c r="M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N185" s="24" t="n"/>
      <c r="O185" s="25">
        <f>IF(N185="","",HYPERLINK(IF(LEFT(N185,4)="http",N185,set_QwilrBase&amp;N185),"Open quote"))</f>
        <v/>
      </c>
      <c r="P185" s="26" t="n"/>
      <c r="Q185" s="26" t="n"/>
      <c r="R185" s="26" t="n"/>
      <c r="S185" s="25">
        <f>IF(C185="","",IF(N(P185)+N(Q185)+N(R185)=0,"Not split",IF(ROUND(N(P185)+N(Q185)+N(R185),2)=ROUND(H185+L185,2),"OK",IF(G185=0,"Not invoiced yet","MISMATCH"))))</f>
        <v/>
      </c>
      <c r="T185" s="26" t="n"/>
      <c r="U185" s="26" t="n"/>
      <c r="V185" s="26" t="n"/>
      <c r="W185" s="27">
        <f>IF(C185="","",N(T185)+N(U185)+N(V185))</f>
        <v/>
      </c>
      <c r="X185" s="27">
        <f>IF(C185="","",H185+L185-W185)</f>
        <v/>
      </c>
      <c r="Y185" s="29">
        <f>IFERROR(X185/(H185+L185),"")</f>
        <v/>
      </c>
      <c r="Z185" s="24" t="n"/>
    </row>
    <row r="186" ht="15" customHeight="1">
      <c r="A186" s="70">
        <f>IF(C186="","",IFERROR(IF(SUMPRODUCT(MAX((tbl_Finance[Job Number]&amp;""=C186&amp;"")*(tbl_Finance[Xero Invoice No]&lt;&gt;"")*tbl_Finance[Date]))=0,"",SUMPRODUCT(MAX((tbl_Finance[Job Number]&amp;""=C186&amp;"")*(tbl_Finance[Xero Invoice No]&lt;&gt;"")*tbl_Finance[Date]))),""))</f>
        <v/>
      </c>
      <c r="B186" s="25">
        <f>IF(C186="","",IF(COUNTIFS(tbl_Finance[Job Number],C186&amp;"",tbl_Finance[Xero Invoice No],"&lt;&gt;")=0,"",IFERROR(IF(COUNTIFS(tbl_Finance[Job Number],C186&amp;"",tbl_Finance[Xero Invoice No],LOOKUP(2,1/((tbl_Finance[Job Number]&amp;""=C186&amp;"")*(tbl_Finance[Xero Invoice No]&lt;&gt;"")),tbl_Finance[Xero Invoice No]))=COUNTIFS(tbl_Finance[Job Number],C186&amp;"",tbl_Finance[Xero Invoice No],"&lt;&gt;"),LOOKUP(2,1/((tbl_Finance[Job Number]&amp;""=C186&amp;"")*(tbl_Finance[Xero Invoice No]&lt;&gt;"")),tbl_Finance[Xero Invoice No]),LOOKUP(2,1/((tbl_Finance[Job Number]&amp;""=C186&amp;"")*(tbl_Finance[Xero Invoice No]&lt;&gt;"")),tbl_Finance[Xero Invoice No])&amp;" +more"),"")))</f>
        <v/>
      </c>
      <c r="C186" s="24" t="n"/>
      <c r="D186" s="25">
        <f>IF(C186="","",IF(COUNTIF(lst_Jobs,C186&amp;"")&gt;0,"OK","CHECK"))</f>
        <v/>
      </c>
      <c r="E186" s="25">
        <f>IF(C186="","",IFERROR(INDEX(lst_JobName,MATCH(C186&amp;"",lst_Jobs,0)),""))</f>
        <v/>
      </c>
      <c r="F186" s="25">
        <f>IF(C186="","",IFERROR(INDEX(tbl_Finance[Client],IFERROR(MATCH(C186&amp;"",tbl_Finance[Job Number],0),MATCH(IFERROR(C186+0,C186),tbl_Finance[Job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6" t="n"/>
      <c r="L186" s="27">
        <f>IF(C186="","",IF(K186="",0,MAX(0,K186-H186)))</f>
        <v/>
      </c>
      <c r="M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N186" s="24" t="n"/>
      <c r="O186" s="25">
        <f>IF(N186="","",HYPERLINK(IF(LEFT(N186,4)="http",N186,set_QwilrBase&amp;N186),"Open quote"))</f>
        <v/>
      </c>
      <c r="P186" s="26" t="n"/>
      <c r="Q186" s="26" t="n"/>
      <c r="R186" s="26" t="n"/>
      <c r="S186" s="25">
        <f>IF(C186="","",IF(N(P186)+N(Q186)+N(R186)=0,"Not split",IF(ROUND(N(P186)+N(Q186)+N(R186),2)=ROUND(H186+L186,2),"OK",IF(G186=0,"Not invoiced yet","MISMATCH"))))</f>
        <v/>
      </c>
      <c r="T186" s="26" t="n"/>
      <c r="U186" s="26" t="n"/>
      <c r="V186" s="26" t="n"/>
      <c r="W186" s="27">
        <f>IF(C186="","",N(T186)+N(U186)+N(V186))</f>
        <v/>
      </c>
      <c r="X186" s="27">
        <f>IF(C186="","",H186+L186-W186)</f>
        <v/>
      </c>
      <c r="Y186" s="29">
        <f>IFERROR(X186/(H186+L186),"")</f>
        <v/>
      </c>
      <c r="Z186" s="24" t="n"/>
    </row>
    <row r="187" ht="15" customHeight="1">
      <c r="A187" s="70">
        <f>IF(C187="","",IFERROR(IF(SUMPRODUCT(MAX((tbl_Finance[Job Number]&amp;""=C187&amp;"")*(tbl_Finance[Xero Invoice No]&lt;&gt;"")*tbl_Finance[Date]))=0,"",SUMPRODUCT(MAX((tbl_Finance[Job Number]&amp;""=C187&amp;"")*(tbl_Finance[Xero Invoice No]&lt;&gt;"")*tbl_Finance[Date]))),""))</f>
        <v/>
      </c>
      <c r="B187" s="25">
        <f>IF(C187="","",IF(COUNTIFS(tbl_Finance[Job Number],C187&amp;"",tbl_Finance[Xero Invoice No],"&lt;&gt;")=0,"",IFERROR(IF(COUNTIFS(tbl_Finance[Job Number],C187&amp;"",tbl_Finance[Xero Invoice No],LOOKUP(2,1/((tbl_Finance[Job Number]&amp;""=C187&amp;"")*(tbl_Finance[Xero Invoice No]&lt;&gt;"")),tbl_Finance[Xero Invoice No]))=COUNTIFS(tbl_Finance[Job Number],C187&amp;"",tbl_Finance[Xero Invoice No],"&lt;&gt;"),LOOKUP(2,1/((tbl_Finance[Job Number]&amp;""=C187&amp;"")*(tbl_Finance[Xero Invoice No]&lt;&gt;"")),tbl_Finance[Xero Invoice No]),LOOKUP(2,1/((tbl_Finance[Job Number]&amp;""=C187&amp;"")*(tbl_Finance[Xero Invoice No]&lt;&gt;"")),tbl_Finance[Xero Invoice No])&amp;" +more"),"")))</f>
        <v/>
      </c>
      <c r="C187" s="24" t="n"/>
      <c r="D187" s="25">
        <f>IF(C187="","",IF(COUNTIF(lst_Jobs,C187&amp;"")&gt;0,"OK","CHECK"))</f>
        <v/>
      </c>
      <c r="E187" s="25">
        <f>IF(C187="","",IFERROR(INDEX(lst_JobName,MATCH(C187&amp;"",lst_Jobs,0)),""))</f>
        <v/>
      </c>
      <c r="F187" s="25">
        <f>IF(C187="","",IFERROR(INDEX(tbl_Finance[Client],IFERROR(MATCH(C187&amp;"",tbl_Finance[Job Number],0),MATCH(IFERROR(C187+0,C187),tbl_Finance[Job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6" t="n"/>
      <c r="L187" s="27">
        <f>IF(C187="","",IF(K187="",0,MAX(0,K187-H187)))</f>
        <v/>
      </c>
      <c r="M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N187" s="24" t="n"/>
      <c r="O187" s="25">
        <f>IF(N187="","",HYPERLINK(IF(LEFT(N187,4)="http",N187,set_QwilrBase&amp;N187),"Open quote"))</f>
        <v/>
      </c>
      <c r="P187" s="26" t="n"/>
      <c r="Q187" s="26" t="n"/>
      <c r="R187" s="26" t="n"/>
      <c r="S187" s="25">
        <f>IF(C187="","",IF(N(P187)+N(Q187)+N(R187)=0,"Not split",IF(ROUND(N(P187)+N(Q187)+N(R187),2)=ROUND(H187+L187,2),"OK",IF(G187=0,"Not invoiced yet","MISMATCH"))))</f>
        <v/>
      </c>
      <c r="T187" s="26" t="n"/>
      <c r="U187" s="26" t="n"/>
      <c r="V187" s="26" t="n"/>
      <c r="W187" s="27">
        <f>IF(C187="","",N(T187)+N(U187)+N(V187))</f>
        <v/>
      </c>
      <c r="X187" s="27">
        <f>IF(C187="","",H187+L187-W187)</f>
        <v/>
      </c>
      <c r="Y187" s="29">
        <f>IFERROR(X187/(H187+L187),"")</f>
        <v/>
      </c>
      <c r="Z187" s="24" t="n"/>
    </row>
    <row r="188" ht="15" customHeight="1">
      <c r="A188" s="70">
        <f>IF(C188="","",IFERROR(IF(SUMPRODUCT(MAX((tbl_Finance[Job Number]&amp;""=C188&amp;"")*(tbl_Finance[Xero Invoice No]&lt;&gt;"")*tbl_Finance[Date]))=0,"",SUMPRODUCT(MAX((tbl_Finance[Job Number]&amp;""=C188&amp;"")*(tbl_Finance[Xero Invoice No]&lt;&gt;"")*tbl_Finance[Date]))),""))</f>
        <v/>
      </c>
      <c r="B188" s="25">
        <f>IF(C188="","",IF(COUNTIFS(tbl_Finance[Job Number],C188&amp;"",tbl_Finance[Xero Invoice No],"&lt;&gt;")=0,"",IFERROR(IF(COUNTIFS(tbl_Finance[Job Number],C188&amp;"",tbl_Finance[Xero Invoice No],LOOKUP(2,1/((tbl_Finance[Job Number]&amp;""=C188&amp;"")*(tbl_Finance[Xero Invoice No]&lt;&gt;"")),tbl_Finance[Xero Invoice No]))=COUNTIFS(tbl_Finance[Job Number],C188&amp;"",tbl_Finance[Xero Invoice No],"&lt;&gt;"),LOOKUP(2,1/((tbl_Finance[Job Number]&amp;""=C188&amp;"")*(tbl_Finance[Xero Invoice No]&lt;&gt;"")),tbl_Finance[Xero Invoice No]),LOOKUP(2,1/((tbl_Finance[Job Number]&amp;""=C188&amp;"")*(tbl_Finance[Xero Invoice No]&lt;&gt;"")),tbl_Finance[Xero Invoice No])&amp;" +more"),"")))</f>
        <v/>
      </c>
      <c r="C188" s="24" t="n"/>
      <c r="D188" s="25">
        <f>IF(C188="","",IF(COUNTIF(lst_Jobs,C188&amp;"")&gt;0,"OK","CHECK"))</f>
        <v/>
      </c>
      <c r="E188" s="25">
        <f>IF(C188="","",IFERROR(INDEX(lst_JobName,MATCH(C188&amp;"",lst_Jobs,0)),""))</f>
        <v/>
      </c>
      <c r="F188" s="25">
        <f>IF(C188="","",IFERROR(INDEX(tbl_Finance[Client],IFERROR(MATCH(C188&amp;"",tbl_Finance[Job Number],0),MATCH(IFERROR(C188+0,C188),tbl_Finance[Job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6" t="n"/>
      <c r="L188" s="27">
        <f>IF(C188="","",IF(K188="",0,MAX(0,K188-H188)))</f>
        <v/>
      </c>
      <c r="M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N188" s="24" t="n"/>
      <c r="O188" s="25">
        <f>IF(N188="","",HYPERLINK(IF(LEFT(N188,4)="http",N188,set_QwilrBase&amp;N188),"Open quote"))</f>
        <v/>
      </c>
      <c r="P188" s="26" t="n"/>
      <c r="Q188" s="26" t="n"/>
      <c r="R188" s="26" t="n"/>
      <c r="S188" s="25">
        <f>IF(C188="","",IF(N(P188)+N(Q188)+N(R188)=0,"Not split",IF(ROUND(N(P188)+N(Q188)+N(R188),2)=ROUND(H188+L188,2),"OK",IF(G188=0,"Not invoiced yet","MISMATCH"))))</f>
        <v/>
      </c>
      <c r="T188" s="26" t="n"/>
      <c r="U188" s="26" t="n"/>
      <c r="V188" s="26" t="n"/>
      <c r="W188" s="27">
        <f>IF(C188="","",N(T188)+N(U188)+N(V188))</f>
        <v/>
      </c>
      <c r="X188" s="27">
        <f>IF(C188="","",H188+L188-W188)</f>
        <v/>
      </c>
      <c r="Y188" s="29">
        <f>IFERROR(X188/(H188+L188),"")</f>
        <v/>
      </c>
      <c r="Z188" s="24" t="n"/>
    </row>
    <row r="189" ht="15" customHeight="1">
      <c r="A189" s="70">
        <f>IF(C189="","",IFERROR(IF(SUMPRODUCT(MAX((tbl_Finance[Job Number]&amp;""=C189&amp;"")*(tbl_Finance[Xero Invoice No]&lt;&gt;"")*tbl_Finance[Date]))=0,"",SUMPRODUCT(MAX((tbl_Finance[Job Number]&amp;""=C189&amp;"")*(tbl_Finance[Xero Invoice No]&lt;&gt;"")*tbl_Finance[Date]))),""))</f>
        <v/>
      </c>
      <c r="B189" s="25">
        <f>IF(C189="","",IF(COUNTIFS(tbl_Finance[Job Number],C189&amp;"",tbl_Finance[Xero Invoice No],"&lt;&gt;")=0,"",IFERROR(IF(COUNTIFS(tbl_Finance[Job Number],C189&amp;"",tbl_Finance[Xero Invoice No],LOOKUP(2,1/((tbl_Finance[Job Number]&amp;""=C189&amp;"")*(tbl_Finance[Xero Invoice No]&lt;&gt;"")),tbl_Finance[Xero Invoice No]))=COUNTIFS(tbl_Finance[Job Number],C189&amp;"",tbl_Finance[Xero Invoice No],"&lt;&gt;"),LOOKUP(2,1/((tbl_Finance[Job Number]&amp;""=C189&amp;"")*(tbl_Finance[Xero Invoice No]&lt;&gt;"")),tbl_Finance[Xero Invoice No]),LOOKUP(2,1/((tbl_Finance[Job Number]&amp;""=C189&amp;"")*(tbl_Finance[Xero Invoice No]&lt;&gt;"")),tbl_Finance[Xero Invoice No])&amp;" +more"),"")))</f>
        <v/>
      </c>
      <c r="C189" s="24" t="n"/>
      <c r="D189" s="25">
        <f>IF(C189="","",IF(COUNTIF(lst_Jobs,C189&amp;"")&gt;0,"OK","CHECK"))</f>
        <v/>
      </c>
      <c r="E189" s="25">
        <f>IF(C189="","",IFERROR(INDEX(lst_JobName,MATCH(C189&amp;"",lst_Jobs,0)),""))</f>
        <v/>
      </c>
      <c r="F189" s="25">
        <f>IF(C189="","",IFERROR(INDEX(tbl_Finance[Client],IFERROR(MATCH(C189&amp;"",tbl_Finance[Job Number],0),MATCH(IFERROR(C189+0,C189),tbl_Finance[Job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6" t="n"/>
      <c r="L189" s="27">
        <f>IF(C189="","",IF(K189="",0,MAX(0,K189-H189)))</f>
        <v/>
      </c>
      <c r="M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N189" s="24" t="n"/>
      <c r="O189" s="25">
        <f>IF(N189="","",HYPERLINK(IF(LEFT(N189,4)="http",N189,set_QwilrBase&amp;N189),"Open quote"))</f>
        <v/>
      </c>
      <c r="P189" s="26" t="n"/>
      <c r="Q189" s="26" t="n"/>
      <c r="R189" s="26" t="n"/>
      <c r="S189" s="25">
        <f>IF(C189="","",IF(N(P189)+N(Q189)+N(R189)=0,"Not split",IF(ROUND(N(P189)+N(Q189)+N(R189),2)=ROUND(H189+L189,2),"OK",IF(G189=0,"Not invoiced yet","MISMATCH"))))</f>
        <v/>
      </c>
      <c r="T189" s="26" t="n"/>
      <c r="U189" s="26" t="n"/>
      <c r="V189" s="26" t="n"/>
      <c r="W189" s="27">
        <f>IF(C189="","",N(T189)+N(U189)+N(V189))</f>
        <v/>
      </c>
      <c r="X189" s="27">
        <f>IF(C189="","",H189+L189-W189)</f>
        <v/>
      </c>
      <c r="Y189" s="29">
        <f>IFERROR(X189/(H189+L189),"")</f>
        <v/>
      </c>
      <c r="Z189" s="24" t="n"/>
    </row>
    <row r="190" ht="15" customHeight="1">
      <c r="A190" s="70">
        <f>IF(C190="","",IFERROR(IF(SUMPRODUCT(MAX((tbl_Finance[Job Number]&amp;""=C190&amp;"")*(tbl_Finance[Xero Invoice No]&lt;&gt;"")*tbl_Finance[Date]))=0,"",SUMPRODUCT(MAX((tbl_Finance[Job Number]&amp;""=C190&amp;"")*(tbl_Finance[Xero Invoice No]&lt;&gt;"")*tbl_Finance[Date]))),""))</f>
        <v/>
      </c>
      <c r="B190" s="25">
        <f>IF(C190="","",IF(COUNTIFS(tbl_Finance[Job Number],C190&amp;"",tbl_Finance[Xero Invoice No],"&lt;&gt;")=0,"",IFERROR(IF(COUNTIFS(tbl_Finance[Job Number],C190&amp;"",tbl_Finance[Xero Invoice No],LOOKUP(2,1/((tbl_Finance[Job Number]&amp;""=C190&amp;"")*(tbl_Finance[Xero Invoice No]&lt;&gt;"")),tbl_Finance[Xero Invoice No]))=COUNTIFS(tbl_Finance[Job Number],C190&amp;"",tbl_Finance[Xero Invoice No],"&lt;&gt;"),LOOKUP(2,1/((tbl_Finance[Job Number]&amp;""=C190&amp;"")*(tbl_Finance[Xero Invoice No]&lt;&gt;"")),tbl_Finance[Xero Invoice No]),LOOKUP(2,1/((tbl_Finance[Job Number]&amp;""=C190&amp;"")*(tbl_Finance[Xero Invoice No]&lt;&gt;"")),tbl_Finance[Xero Invoice No])&amp;" +more"),"")))</f>
        <v/>
      </c>
      <c r="C190" s="24" t="n"/>
      <c r="D190" s="25">
        <f>IF(C190="","",IF(COUNTIF(lst_Jobs,C190&amp;"")&gt;0,"OK","CHECK"))</f>
        <v/>
      </c>
      <c r="E190" s="25">
        <f>IF(C190="","",IFERROR(INDEX(lst_JobName,MATCH(C190&amp;"",lst_Jobs,0)),""))</f>
        <v/>
      </c>
      <c r="F190" s="25">
        <f>IF(C190="","",IFERROR(INDEX(tbl_Finance[Client],IFERROR(MATCH(C190&amp;"",tbl_Finance[Job Number],0),MATCH(IFERROR(C190+0,C190),tbl_Finance[Job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6" t="n"/>
      <c r="L190" s="27">
        <f>IF(C190="","",IF(K190="",0,MAX(0,K190-H190)))</f>
        <v/>
      </c>
      <c r="M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N190" s="24" t="n"/>
      <c r="O190" s="25">
        <f>IF(N190="","",HYPERLINK(IF(LEFT(N190,4)="http",N190,set_QwilrBase&amp;N190),"Open quote"))</f>
        <v/>
      </c>
      <c r="P190" s="26" t="n"/>
      <c r="Q190" s="26" t="n"/>
      <c r="R190" s="26" t="n"/>
      <c r="S190" s="25">
        <f>IF(C190="","",IF(N(P190)+N(Q190)+N(R190)=0,"Not split",IF(ROUND(N(P190)+N(Q190)+N(R190),2)=ROUND(H190+L190,2),"OK",IF(G190=0,"Not invoiced yet","MISMATCH"))))</f>
        <v/>
      </c>
      <c r="T190" s="26" t="n"/>
      <c r="U190" s="26" t="n"/>
      <c r="V190" s="26" t="n"/>
      <c r="W190" s="27">
        <f>IF(C190="","",N(T190)+N(U190)+N(V190))</f>
        <v/>
      </c>
      <c r="X190" s="27">
        <f>IF(C190="","",H190+L190-W190)</f>
        <v/>
      </c>
      <c r="Y190" s="29">
        <f>IFERROR(X190/(H190+L190),"")</f>
        <v/>
      </c>
      <c r="Z190" s="24" t="n"/>
    </row>
    <row r="191" ht="15" customHeight="1">
      <c r="A191" s="70">
        <f>IF(C191="","",IFERROR(IF(SUMPRODUCT(MAX((tbl_Finance[Job Number]&amp;""=C191&amp;"")*(tbl_Finance[Xero Invoice No]&lt;&gt;"")*tbl_Finance[Date]))=0,"",SUMPRODUCT(MAX((tbl_Finance[Job Number]&amp;""=C191&amp;"")*(tbl_Finance[Xero Invoice No]&lt;&gt;"")*tbl_Finance[Date]))),""))</f>
        <v/>
      </c>
      <c r="B191" s="25">
        <f>IF(C191="","",IF(COUNTIFS(tbl_Finance[Job Number],C191&amp;"",tbl_Finance[Xero Invoice No],"&lt;&gt;")=0,"",IFERROR(IF(COUNTIFS(tbl_Finance[Job Number],C191&amp;"",tbl_Finance[Xero Invoice No],LOOKUP(2,1/((tbl_Finance[Job Number]&amp;""=C191&amp;"")*(tbl_Finance[Xero Invoice No]&lt;&gt;"")),tbl_Finance[Xero Invoice No]))=COUNTIFS(tbl_Finance[Job Number],C191&amp;"",tbl_Finance[Xero Invoice No],"&lt;&gt;"),LOOKUP(2,1/((tbl_Finance[Job Number]&amp;""=C191&amp;"")*(tbl_Finance[Xero Invoice No]&lt;&gt;"")),tbl_Finance[Xero Invoice No]),LOOKUP(2,1/((tbl_Finance[Job Number]&amp;""=C191&amp;"")*(tbl_Finance[Xero Invoice No]&lt;&gt;"")),tbl_Finance[Xero Invoice No])&amp;" +more"),"")))</f>
        <v/>
      </c>
      <c r="C191" s="24" t="n"/>
      <c r="D191" s="25">
        <f>IF(C191="","",IF(COUNTIF(lst_Jobs,C191&amp;"")&gt;0,"OK","CHECK"))</f>
        <v/>
      </c>
      <c r="E191" s="25">
        <f>IF(C191="","",IFERROR(INDEX(lst_JobName,MATCH(C191&amp;"",lst_Jobs,0)),""))</f>
        <v/>
      </c>
      <c r="F191" s="25">
        <f>IF(C191="","",IFERROR(INDEX(tbl_Finance[Client],IFERROR(MATCH(C191&amp;"",tbl_Finance[Job Number],0),MATCH(IFERROR(C191+0,C191),tbl_Finance[Job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6" t="n"/>
      <c r="L191" s="27">
        <f>IF(C191="","",IF(K191="",0,MAX(0,K191-H191)))</f>
        <v/>
      </c>
      <c r="M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N191" s="24" t="n"/>
      <c r="O191" s="25">
        <f>IF(N191="","",HYPERLINK(IF(LEFT(N191,4)="http",N191,set_QwilrBase&amp;N191),"Open quote"))</f>
        <v/>
      </c>
      <c r="P191" s="26" t="n"/>
      <c r="Q191" s="26" t="n"/>
      <c r="R191" s="26" t="n"/>
      <c r="S191" s="25">
        <f>IF(C191="","",IF(N(P191)+N(Q191)+N(R191)=0,"Not split",IF(ROUND(N(P191)+N(Q191)+N(R191),2)=ROUND(H191+L191,2),"OK",IF(G191=0,"Not invoiced yet","MISMATCH"))))</f>
        <v/>
      </c>
      <c r="T191" s="26" t="n"/>
      <c r="U191" s="26" t="n"/>
      <c r="V191" s="26" t="n"/>
      <c r="W191" s="27">
        <f>IF(C191="","",N(T191)+N(U191)+N(V191))</f>
        <v/>
      </c>
      <c r="X191" s="27">
        <f>IF(C191="","",H191+L191-W191)</f>
        <v/>
      </c>
      <c r="Y191" s="29">
        <f>IFERROR(X191/(H191+L191),"")</f>
        <v/>
      </c>
      <c r="Z191" s="24" t="n"/>
    </row>
    <row r="192" ht="15" customHeight="1">
      <c r="A192" s="70">
        <f>IF(C192="","",IFERROR(IF(SUMPRODUCT(MAX((tbl_Finance[Job Number]&amp;""=C192&amp;"")*(tbl_Finance[Xero Invoice No]&lt;&gt;"")*tbl_Finance[Date]))=0,"",SUMPRODUCT(MAX((tbl_Finance[Job Number]&amp;""=C192&amp;"")*(tbl_Finance[Xero Invoice No]&lt;&gt;"")*tbl_Finance[Date]))),""))</f>
        <v/>
      </c>
      <c r="B192" s="25">
        <f>IF(C192="","",IF(COUNTIFS(tbl_Finance[Job Number],C192&amp;"",tbl_Finance[Xero Invoice No],"&lt;&gt;")=0,"",IFERROR(IF(COUNTIFS(tbl_Finance[Job Number],C192&amp;"",tbl_Finance[Xero Invoice No],LOOKUP(2,1/((tbl_Finance[Job Number]&amp;""=C192&amp;"")*(tbl_Finance[Xero Invoice No]&lt;&gt;"")),tbl_Finance[Xero Invoice No]))=COUNTIFS(tbl_Finance[Job Number],C192&amp;"",tbl_Finance[Xero Invoice No],"&lt;&gt;"),LOOKUP(2,1/((tbl_Finance[Job Number]&amp;""=C192&amp;"")*(tbl_Finance[Xero Invoice No]&lt;&gt;"")),tbl_Finance[Xero Invoice No]),LOOKUP(2,1/((tbl_Finance[Job Number]&amp;""=C192&amp;"")*(tbl_Finance[Xero Invoice No]&lt;&gt;"")),tbl_Finance[Xero Invoice No])&amp;" +more"),"")))</f>
        <v/>
      </c>
      <c r="C192" s="24" t="n"/>
      <c r="D192" s="25">
        <f>IF(C192="","",IF(COUNTIF(lst_Jobs,C192&amp;"")&gt;0,"OK","CHECK"))</f>
        <v/>
      </c>
      <c r="E192" s="25">
        <f>IF(C192="","",IFERROR(INDEX(lst_JobName,MATCH(C192&amp;"",lst_Jobs,0)),""))</f>
        <v/>
      </c>
      <c r="F192" s="25">
        <f>IF(C192="","",IFERROR(INDEX(tbl_Finance[Client],IFERROR(MATCH(C192&amp;"",tbl_Finance[Job Number],0),MATCH(IFERROR(C192+0,C192),tbl_Finance[Job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6" t="n"/>
      <c r="L192" s="27">
        <f>IF(C192="","",IF(K192="",0,MAX(0,K192-H192)))</f>
        <v/>
      </c>
      <c r="M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N192" s="24" t="n"/>
      <c r="O192" s="25">
        <f>IF(N192="","",HYPERLINK(IF(LEFT(N192,4)="http",N192,set_QwilrBase&amp;N192),"Open quote"))</f>
        <v/>
      </c>
      <c r="P192" s="26" t="n"/>
      <c r="Q192" s="26" t="n"/>
      <c r="R192" s="26" t="n"/>
      <c r="S192" s="25">
        <f>IF(C192="","",IF(N(P192)+N(Q192)+N(R192)=0,"Not split",IF(ROUND(N(P192)+N(Q192)+N(R192),2)=ROUND(H192+L192,2),"OK",IF(G192=0,"Not invoiced yet","MISMATCH"))))</f>
        <v/>
      </c>
      <c r="T192" s="26" t="n"/>
      <c r="U192" s="26" t="n"/>
      <c r="V192" s="26" t="n"/>
      <c r="W192" s="27">
        <f>IF(C192="","",N(T192)+N(U192)+N(V192))</f>
        <v/>
      </c>
      <c r="X192" s="27">
        <f>IF(C192="","",H192+L192-W192)</f>
        <v/>
      </c>
      <c r="Y192" s="29">
        <f>IFERROR(X192/(H192+L192),"")</f>
        <v/>
      </c>
      <c r="Z192" s="24" t="n"/>
    </row>
    <row r="193" ht="15" customHeight="1">
      <c r="A193" s="70">
        <f>IF(C193="","",IFERROR(IF(SUMPRODUCT(MAX((tbl_Finance[Job Number]&amp;""=C193&amp;"")*(tbl_Finance[Xero Invoice No]&lt;&gt;"")*tbl_Finance[Date]))=0,"",SUMPRODUCT(MAX((tbl_Finance[Job Number]&amp;""=C193&amp;"")*(tbl_Finance[Xero Invoice No]&lt;&gt;"")*tbl_Finance[Date]))),""))</f>
        <v/>
      </c>
      <c r="B193" s="25">
        <f>IF(C193="","",IF(COUNTIFS(tbl_Finance[Job Number],C193&amp;"",tbl_Finance[Xero Invoice No],"&lt;&gt;")=0,"",IFERROR(IF(COUNTIFS(tbl_Finance[Job Number],C193&amp;"",tbl_Finance[Xero Invoice No],LOOKUP(2,1/((tbl_Finance[Job Number]&amp;""=C193&amp;"")*(tbl_Finance[Xero Invoice No]&lt;&gt;"")),tbl_Finance[Xero Invoice No]))=COUNTIFS(tbl_Finance[Job Number],C193&amp;"",tbl_Finance[Xero Invoice No],"&lt;&gt;"),LOOKUP(2,1/((tbl_Finance[Job Number]&amp;""=C193&amp;"")*(tbl_Finance[Xero Invoice No]&lt;&gt;"")),tbl_Finance[Xero Invoice No]),LOOKUP(2,1/((tbl_Finance[Job Number]&amp;""=C193&amp;"")*(tbl_Finance[Xero Invoice No]&lt;&gt;"")),tbl_Finance[Xero Invoice No])&amp;" +more"),"")))</f>
        <v/>
      </c>
      <c r="C193" s="24" t="n"/>
      <c r="D193" s="25">
        <f>IF(C193="","",IF(COUNTIF(lst_Jobs,C193&amp;"")&gt;0,"OK","CHECK"))</f>
        <v/>
      </c>
      <c r="E193" s="25">
        <f>IF(C193="","",IFERROR(INDEX(lst_JobName,MATCH(C193&amp;"",lst_Jobs,0)),""))</f>
        <v/>
      </c>
      <c r="F193" s="25">
        <f>IF(C193="","",IFERROR(INDEX(tbl_Finance[Client],IFERROR(MATCH(C193&amp;"",tbl_Finance[Job Number],0),MATCH(IFERROR(C193+0,C193),tbl_Finance[Job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6" t="n"/>
      <c r="L193" s="27">
        <f>IF(C193="","",IF(K193="",0,MAX(0,K193-H193)))</f>
        <v/>
      </c>
      <c r="M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N193" s="24" t="n"/>
      <c r="O193" s="25">
        <f>IF(N193="","",HYPERLINK(IF(LEFT(N193,4)="http",N193,set_QwilrBase&amp;N193),"Open quote"))</f>
        <v/>
      </c>
      <c r="P193" s="26" t="n"/>
      <c r="Q193" s="26" t="n"/>
      <c r="R193" s="26" t="n"/>
      <c r="S193" s="25">
        <f>IF(C193="","",IF(N(P193)+N(Q193)+N(R193)=0,"Not split",IF(ROUND(N(P193)+N(Q193)+N(R193),2)=ROUND(H193+L193,2),"OK",IF(G193=0,"Not invoiced yet","MISMATCH"))))</f>
        <v/>
      </c>
      <c r="T193" s="26" t="n"/>
      <c r="U193" s="26" t="n"/>
      <c r="V193" s="26" t="n"/>
      <c r="W193" s="27">
        <f>IF(C193="","",N(T193)+N(U193)+N(V193))</f>
        <v/>
      </c>
      <c r="X193" s="27">
        <f>IF(C193="","",H193+L193-W193)</f>
        <v/>
      </c>
      <c r="Y193" s="29">
        <f>IFERROR(X193/(H193+L193),"")</f>
        <v/>
      </c>
      <c r="Z193" s="24" t="n"/>
    </row>
    <row r="194" ht="15" customHeight="1">
      <c r="A194" s="70">
        <f>IF(C194="","",IFERROR(IF(SUMPRODUCT(MAX((tbl_Finance[Job Number]&amp;""=C194&amp;"")*(tbl_Finance[Xero Invoice No]&lt;&gt;"")*tbl_Finance[Date]))=0,"",SUMPRODUCT(MAX((tbl_Finance[Job Number]&amp;""=C194&amp;"")*(tbl_Finance[Xero Invoice No]&lt;&gt;"")*tbl_Finance[Date]))),""))</f>
        <v/>
      </c>
      <c r="B194" s="25">
        <f>IF(C194="","",IF(COUNTIFS(tbl_Finance[Job Number],C194&amp;"",tbl_Finance[Xero Invoice No],"&lt;&gt;")=0,"",IFERROR(IF(COUNTIFS(tbl_Finance[Job Number],C194&amp;"",tbl_Finance[Xero Invoice No],LOOKUP(2,1/((tbl_Finance[Job Number]&amp;""=C194&amp;"")*(tbl_Finance[Xero Invoice No]&lt;&gt;"")),tbl_Finance[Xero Invoice No]))=COUNTIFS(tbl_Finance[Job Number],C194&amp;"",tbl_Finance[Xero Invoice No],"&lt;&gt;"),LOOKUP(2,1/((tbl_Finance[Job Number]&amp;""=C194&amp;"")*(tbl_Finance[Xero Invoice No]&lt;&gt;"")),tbl_Finance[Xero Invoice No]),LOOKUP(2,1/((tbl_Finance[Job Number]&amp;""=C194&amp;"")*(tbl_Finance[Xero Invoice No]&lt;&gt;"")),tbl_Finance[Xero Invoice No])&amp;" +more"),"")))</f>
        <v/>
      </c>
      <c r="C194" s="24" t="n"/>
      <c r="D194" s="25">
        <f>IF(C194="","",IF(COUNTIF(lst_Jobs,C194&amp;"")&gt;0,"OK","CHECK"))</f>
        <v/>
      </c>
      <c r="E194" s="25">
        <f>IF(C194="","",IFERROR(INDEX(lst_JobName,MATCH(C194&amp;"",lst_Jobs,0)),""))</f>
        <v/>
      </c>
      <c r="F194" s="25">
        <f>IF(C194="","",IFERROR(INDEX(tbl_Finance[Client],IFERROR(MATCH(C194&amp;"",tbl_Finance[Job Number],0),MATCH(IFERROR(C194+0,C194),tbl_Finance[Job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6" t="n"/>
      <c r="L194" s="27">
        <f>IF(C194="","",IF(K194="",0,MAX(0,K194-H194)))</f>
        <v/>
      </c>
      <c r="M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N194" s="24" t="n"/>
      <c r="O194" s="25">
        <f>IF(N194="","",HYPERLINK(IF(LEFT(N194,4)="http",N194,set_QwilrBase&amp;N194),"Open quote"))</f>
        <v/>
      </c>
      <c r="P194" s="26" t="n"/>
      <c r="Q194" s="26" t="n"/>
      <c r="R194" s="26" t="n"/>
      <c r="S194" s="25">
        <f>IF(C194="","",IF(N(P194)+N(Q194)+N(R194)=0,"Not split",IF(ROUND(N(P194)+N(Q194)+N(R194),2)=ROUND(H194+L194,2),"OK",IF(G194=0,"Not invoiced yet","MISMATCH"))))</f>
        <v/>
      </c>
      <c r="T194" s="26" t="n"/>
      <c r="U194" s="26" t="n"/>
      <c r="V194" s="26" t="n"/>
      <c r="W194" s="27">
        <f>IF(C194="","",N(T194)+N(U194)+N(V194))</f>
        <v/>
      </c>
      <c r="X194" s="27">
        <f>IF(C194="","",H194+L194-W194)</f>
        <v/>
      </c>
      <c r="Y194" s="29">
        <f>IFERROR(X194/(H194+L194),"")</f>
        <v/>
      </c>
      <c r="Z194" s="24" t="n"/>
    </row>
    <row r="195" ht="15" customHeight="1">
      <c r="A195" s="70">
        <f>IF(C195="","",IFERROR(IF(SUMPRODUCT(MAX((tbl_Finance[Job Number]&amp;""=C195&amp;"")*(tbl_Finance[Xero Invoice No]&lt;&gt;"")*tbl_Finance[Date]))=0,"",SUMPRODUCT(MAX((tbl_Finance[Job Number]&amp;""=C195&amp;"")*(tbl_Finance[Xero Invoice No]&lt;&gt;"")*tbl_Finance[Date]))),""))</f>
        <v/>
      </c>
      <c r="B195" s="25">
        <f>IF(C195="","",IF(COUNTIFS(tbl_Finance[Job Number],C195&amp;"",tbl_Finance[Xero Invoice No],"&lt;&gt;")=0,"",IFERROR(IF(COUNTIFS(tbl_Finance[Job Number],C195&amp;"",tbl_Finance[Xero Invoice No],LOOKUP(2,1/((tbl_Finance[Job Number]&amp;""=C195&amp;"")*(tbl_Finance[Xero Invoice No]&lt;&gt;"")),tbl_Finance[Xero Invoice No]))=COUNTIFS(tbl_Finance[Job Number],C195&amp;"",tbl_Finance[Xero Invoice No],"&lt;&gt;"),LOOKUP(2,1/((tbl_Finance[Job Number]&amp;""=C195&amp;"")*(tbl_Finance[Xero Invoice No]&lt;&gt;"")),tbl_Finance[Xero Invoice No]),LOOKUP(2,1/((tbl_Finance[Job Number]&amp;""=C195&amp;"")*(tbl_Finance[Xero Invoice No]&lt;&gt;"")),tbl_Finance[Xero Invoice No])&amp;" +more"),"")))</f>
        <v/>
      </c>
      <c r="C195" s="24" t="n"/>
      <c r="D195" s="25">
        <f>IF(C195="","",IF(COUNTIF(lst_Jobs,C195&amp;"")&gt;0,"OK","CHECK"))</f>
        <v/>
      </c>
      <c r="E195" s="25">
        <f>IF(C195="","",IFERROR(INDEX(lst_JobName,MATCH(C195&amp;"",lst_Jobs,0)),""))</f>
        <v/>
      </c>
      <c r="F195" s="25">
        <f>IF(C195="","",IFERROR(INDEX(tbl_Finance[Client],IFERROR(MATCH(C195&amp;"",tbl_Finance[Job Number],0),MATCH(IFERROR(C195+0,C195),tbl_Finance[Job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6" t="n"/>
      <c r="L195" s="27">
        <f>IF(C195="","",IF(K195="",0,MAX(0,K195-H195)))</f>
        <v/>
      </c>
      <c r="M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N195" s="24" t="n"/>
      <c r="O195" s="25">
        <f>IF(N195="","",HYPERLINK(IF(LEFT(N195,4)="http",N195,set_QwilrBase&amp;N195),"Open quote"))</f>
        <v/>
      </c>
      <c r="P195" s="26" t="n"/>
      <c r="Q195" s="26" t="n"/>
      <c r="R195" s="26" t="n"/>
      <c r="S195" s="25">
        <f>IF(C195="","",IF(N(P195)+N(Q195)+N(R195)=0,"Not split",IF(ROUND(N(P195)+N(Q195)+N(R195),2)=ROUND(H195+L195,2),"OK",IF(G195=0,"Not invoiced yet","MISMATCH"))))</f>
        <v/>
      </c>
      <c r="T195" s="26" t="n"/>
      <c r="U195" s="26" t="n"/>
      <c r="V195" s="26" t="n"/>
      <c r="W195" s="27">
        <f>IF(C195="","",N(T195)+N(U195)+N(V195))</f>
        <v/>
      </c>
      <c r="X195" s="27">
        <f>IF(C195="","",H195+L195-W195)</f>
        <v/>
      </c>
      <c r="Y195" s="29">
        <f>IFERROR(X195/(H195+L195),"")</f>
        <v/>
      </c>
      <c r="Z195" s="24" t="n"/>
    </row>
    <row r="196" ht="15" customHeight="1">
      <c r="A196" s="70">
        <f>IF(C196="","",IFERROR(IF(SUMPRODUCT(MAX((tbl_Finance[Job Number]&amp;""=C196&amp;"")*(tbl_Finance[Xero Invoice No]&lt;&gt;"")*tbl_Finance[Date]))=0,"",SUMPRODUCT(MAX((tbl_Finance[Job Number]&amp;""=C196&amp;"")*(tbl_Finance[Xero Invoice No]&lt;&gt;"")*tbl_Finance[Date]))),""))</f>
        <v/>
      </c>
      <c r="B196" s="25">
        <f>IF(C196="","",IF(COUNTIFS(tbl_Finance[Job Number],C196&amp;"",tbl_Finance[Xero Invoice No],"&lt;&gt;")=0,"",IFERROR(IF(COUNTIFS(tbl_Finance[Job Number],C196&amp;"",tbl_Finance[Xero Invoice No],LOOKUP(2,1/((tbl_Finance[Job Number]&amp;""=C196&amp;"")*(tbl_Finance[Xero Invoice No]&lt;&gt;"")),tbl_Finance[Xero Invoice No]))=COUNTIFS(tbl_Finance[Job Number],C196&amp;"",tbl_Finance[Xero Invoice No],"&lt;&gt;"),LOOKUP(2,1/((tbl_Finance[Job Number]&amp;""=C196&amp;"")*(tbl_Finance[Xero Invoice No]&lt;&gt;"")),tbl_Finance[Xero Invoice No]),LOOKUP(2,1/((tbl_Finance[Job Number]&amp;""=C196&amp;"")*(tbl_Finance[Xero Invoice No]&lt;&gt;"")),tbl_Finance[Xero Invoice No])&amp;" +more"),"")))</f>
        <v/>
      </c>
      <c r="C196" s="24" t="n"/>
      <c r="D196" s="25">
        <f>IF(C196="","",IF(COUNTIF(lst_Jobs,C196&amp;"")&gt;0,"OK","CHECK"))</f>
        <v/>
      </c>
      <c r="E196" s="25">
        <f>IF(C196="","",IFERROR(INDEX(lst_JobName,MATCH(C196&amp;"",lst_Jobs,0)),""))</f>
        <v/>
      </c>
      <c r="F196" s="25">
        <f>IF(C196="","",IFERROR(INDEX(tbl_Finance[Client],IFERROR(MATCH(C196&amp;"",tbl_Finance[Job Number],0),MATCH(IFERROR(C196+0,C196),tbl_Finance[Job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6" t="n"/>
      <c r="L196" s="27">
        <f>IF(C196="","",IF(K196="",0,MAX(0,K196-H196)))</f>
        <v/>
      </c>
      <c r="M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N196" s="24" t="n"/>
      <c r="O196" s="25">
        <f>IF(N196="","",HYPERLINK(IF(LEFT(N196,4)="http",N196,set_QwilrBase&amp;N196),"Open quote"))</f>
        <v/>
      </c>
      <c r="P196" s="26" t="n"/>
      <c r="Q196" s="26" t="n"/>
      <c r="R196" s="26" t="n"/>
      <c r="S196" s="25">
        <f>IF(C196="","",IF(N(P196)+N(Q196)+N(R196)=0,"Not split",IF(ROUND(N(P196)+N(Q196)+N(R196),2)=ROUND(H196+L196,2),"OK",IF(G196=0,"Not invoiced yet","MISMATCH"))))</f>
        <v/>
      </c>
      <c r="T196" s="26" t="n"/>
      <c r="U196" s="26" t="n"/>
      <c r="V196" s="26" t="n"/>
      <c r="W196" s="27">
        <f>IF(C196="","",N(T196)+N(U196)+N(V196))</f>
        <v/>
      </c>
      <c r="X196" s="27">
        <f>IF(C196="","",H196+L196-W196)</f>
        <v/>
      </c>
      <c r="Y196" s="29">
        <f>IFERROR(X196/(H196+L196),"")</f>
        <v/>
      </c>
      <c r="Z196" s="24" t="n"/>
    </row>
    <row r="197" ht="15" customHeight="1">
      <c r="A197" s="70">
        <f>IF(C197="","",IFERROR(IF(SUMPRODUCT(MAX((tbl_Finance[Job Number]&amp;""=C197&amp;"")*(tbl_Finance[Xero Invoice No]&lt;&gt;"")*tbl_Finance[Date]))=0,"",SUMPRODUCT(MAX((tbl_Finance[Job Number]&amp;""=C197&amp;"")*(tbl_Finance[Xero Invoice No]&lt;&gt;"")*tbl_Finance[Date]))),""))</f>
        <v/>
      </c>
      <c r="B197" s="25">
        <f>IF(C197="","",IF(COUNTIFS(tbl_Finance[Job Number],C197&amp;"",tbl_Finance[Xero Invoice No],"&lt;&gt;")=0,"",IFERROR(IF(COUNTIFS(tbl_Finance[Job Number],C197&amp;"",tbl_Finance[Xero Invoice No],LOOKUP(2,1/((tbl_Finance[Job Number]&amp;""=C197&amp;"")*(tbl_Finance[Xero Invoice No]&lt;&gt;"")),tbl_Finance[Xero Invoice No]))=COUNTIFS(tbl_Finance[Job Number],C197&amp;"",tbl_Finance[Xero Invoice No],"&lt;&gt;"),LOOKUP(2,1/((tbl_Finance[Job Number]&amp;""=C197&amp;"")*(tbl_Finance[Xero Invoice No]&lt;&gt;"")),tbl_Finance[Xero Invoice No]),LOOKUP(2,1/((tbl_Finance[Job Number]&amp;""=C197&amp;"")*(tbl_Finance[Xero Invoice No]&lt;&gt;"")),tbl_Finance[Xero Invoice No])&amp;" +more"),"")))</f>
        <v/>
      </c>
      <c r="C197" s="24" t="n"/>
      <c r="D197" s="25">
        <f>IF(C197="","",IF(COUNTIF(lst_Jobs,C197&amp;"")&gt;0,"OK","CHECK"))</f>
        <v/>
      </c>
      <c r="E197" s="25">
        <f>IF(C197="","",IFERROR(INDEX(lst_JobName,MATCH(C197&amp;"",lst_Jobs,0)),""))</f>
        <v/>
      </c>
      <c r="F197" s="25">
        <f>IF(C197="","",IFERROR(INDEX(tbl_Finance[Client],IFERROR(MATCH(C197&amp;"",tbl_Finance[Job Number],0),MATCH(IFERROR(C197+0,C197),tbl_Finance[Job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6" t="n"/>
      <c r="L197" s="27">
        <f>IF(C197="","",IF(K197="",0,MAX(0,K197-H197)))</f>
        <v/>
      </c>
      <c r="M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N197" s="24" t="n"/>
      <c r="O197" s="25">
        <f>IF(N197="","",HYPERLINK(IF(LEFT(N197,4)="http",N197,set_QwilrBase&amp;N197),"Open quote"))</f>
        <v/>
      </c>
      <c r="P197" s="26" t="n"/>
      <c r="Q197" s="26" t="n"/>
      <c r="R197" s="26" t="n"/>
      <c r="S197" s="25">
        <f>IF(C197="","",IF(N(P197)+N(Q197)+N(R197)=0,"Not split",IF(ROUND(N(P197)+N(Q197)+N(R197),2)=ROUND(H197+L197,2),"OK",IF(G197=0,"Not invoiced yet","MISMATCH"))))</f>
        <v/>
      </c>
      <c r="T197" s="26" t="n"/>
      <c r="U197" s="26" t="n"/>
      <c r="V197" s="26" t="n"/>
      <c r="W197" s="27">
        <f>IF(C197="","",N(T197)+N(U197)+N(V197))</f>
        <v/>
      </c>
      <c r="X197" s="27">
        <f>IF(C197="","",H197+L197-W197)</f>
        <v/>
      </c>
      <c r="Y197" s="29">
        <f>IFERROR(X197/(H197+L197),"")</f>
        <v/>
      </c>
      <c r="Z197" s="24" t="n"/>
    </row>
    <row r="198" ht="15" customHeight="1">
      <c r="A198" s="70">
        <f>IF(C198="","",IFERROR(IF(SUMPRODUCT(MAX((tbl_Finance[Job Number]&amp;""=C198&amp;"")*(tbl_Finance[Xero Invoice No]&lt;&gt;"")*tbl_Finance[Date]))=0,"",SUMPRODUCT(MAX((tbl_Finance[Job Number]&amp;""=C198&amp;"")*(tbl_Finance[Xero Invoice No]&lt;&gt;"")*tbl_Finance[Date]))),""))</f>
        <v/>
      </c>
      <c r="B198" s="25">
        <f>IF(C198="","",IF(COUNTIFS(tbl_Finance[Job Number],C198&amp;"",tbl_Finance[Xero Invoice No],"&lt;&gt;")=0,"",IFERROR(IF(COUNTIFS(tbl_Finance[Job Number],C198&amp;"",tbl_Finance[Xero Invoice No],LOOKUP(2,1/((tbl_Finance[Job Number]&amp;""=C198&amp;"")*(tbl_Finance[Xero Invoice No]&lt;&gt;"")),tbl_Finance[Xero Invoice No]))=COUNTIFS(tbl_Finance[Job Number],C198&amp;"",tbl_Finance[Xero Invoice No],"&lt;&gt;"),LOOKUP(2,1/((tbl_Finance[Job Number]&amp;""=C198&amp;"")*(tbl_Finance[Xero Invoice No]&lt;&gt;"")),tbl_Finance[Xero Invoice No]),LOOKUP(2,1/((tbl_Finance[Job Number]&amp;""=C198&amp;"")*(tbl_Finance[Xero Invoice No]&lt;&gt;"")),tbl_Finance[Xero Invoice No])&amp;" +more"),"")))</f>
        <v/>
      </c>
      <c r="C198" s="24" t="n"/>
      <c r="D198" s="25">
        <f>IF(C198="","",IF(COUNTIF(lst_Jobs,C198&amp;"")&gt;0,"OK","CHECK"))</f>
        <v/>
      </c>
      <c r="E198" s="25">
        <f>IF(C198="","",IFERROR(INDEX(lst_JobName,MATCH(C198&amp;"",lst_Jobs,0)),""))</f>
        <v/>
      </c>
      <c r="F198" s="25">
        <f>IF(C198="","",IFERROR(INDEX(tbl_Finance[Client],IFERROR(MATCH(C198&amp;"",tbl_Finance[Job Number],0),MATCH(IFERROR(C198+0,C198),tbl_Finance[Job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6" t="n"/>
      <c r="L198" s="27">
        <f>IF(C198="","",IF(K198="",0,MAX(0,K198-H198)))</f>
        <v/>
      </c>
      <c r="M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N198" s="24" t="n"/>
      <c r="O198" s="25">
        <f>IF(N198="","",HYPERLINK(IF(LEFT(N198,4)="http",N198,set_QwilrBase&amp;N198),"Open quote"))</f>
        <v/>
      </c>
      <c r="P198" s="26" t="n"/>
      <c r="Q198" s="26" t="n"/>
      <c r="R198" s="26" t="n"/>
      <c r="S198" s="25">
        <f>IF(C198="","",IF(N(P198)+N(Q198)+N(R198)=0,"Not split",IF(ROUND(N(P198)+N(Q198)+N(R198),2)=ROUND(H198+L198,2),"OK",IF(G198=0,"Not invoiced yet","MISMATCH"))))</f>
        <v/>
      </c>
      <c r="T198" s="26" t="n"/>
      <c r="U198" s="26" t="n"/>
      <c r="V198" s="26" t="n"/>
      <c r="W198" s="27">
        <f>IF(C198="","",N(T198)+N(U198)+N(V198))</f>
        <v/>
      </c>
      <c r="X198" s="27">
        <f>IF(C198="","",H198+L198-W198)</f>
        <v/>
      </c>
      <c r="Y198" s="29">
        <f>IFERROR(X198/(H198+L198),"")</f>
        <v/>
      </c>
      <c r="Z198" s="24" t="n"/>
    </row>
    <row r="199" ht="15" customHeight="1">
      <c r="A199" s="70">
        <f>IF(C199="","",IFERROR(IF(SUMPRODUCT(MAX((tbl_Finance[Job Number]&amp;""=C199&amp;"")*(tbl_Finance[Xero Invoice No]&lt;&gt;"")*tbl_Finance[Date]))=0,"",SUMPRODUCT(MAX((tbl_Finance[Job Number]&amp;""=C199&amp;"")*(tbl_Finance[Xero Invoice No]&lt;&gt;"")*tbl_Finance[Date]))),""))</f>
        <v/>
      </c>
      <c r="B199" s="25">
        <f>IF(C199="","",IF(COUNTIFS(tbl_Finance[Job Number],C199&amp;"",tbl_Finance[Xero Invoice No],"&lt;&gt;")=0,"",IFERROR(IF(COUNTIFS(tbl_Finance[Job Number],C199&amp;"",tbl_Finance[Xero Invoice No],LOOKUP(2,1/((tbl_Finance[Job Number]&amp;""=C199&amp;"")*(tbl_Finance[Xero Invoice No]&lt;&gt;"")),tbl_Finance[Xero Invoice No]))=COUNTIFS(tbl_Finance[Job Number],C199&amp;"",tbl_Finance[Xero Invoice No],"&lt;&gt;"),LOOKUP(2,1/((tbl_Finance[Job Number]&amp;""=C199&amp;"")*(tbl_Finance[Xero Invoice No]&lt;&gt;"")),tbl_Finance[Xero Invoice No]),LOOKUP(2,1/((tbl_Finance[Job Number]&amp;""=C199&amp;"")*(tbl_Finance[Xero Invoice No]&lt;&gt;"")),tbl_Finance[Xero Invoice No])&amp;" +more"),"")))</f>
        <v/>
      </c>
      <c r="C199" s="24" t="n"/>
      <c r="D199" s="25">
        <f>IF(C199="","",IF(COUNTIF(lst_Jobs,C199&amp;"")&gt;0,"OK","CHECK"))</f>
        <v/>
      </c>
      <c r="E199" s="25">
        <f>IF(C199="","",IFERROR(INDEX(lst_JobName,MATCH(C199&amp;"",lst_Jobs,0)),""))</f>
        <v/>
      </c>
      <c r="F199" s="25">
        <f>IF(C199="","",IFERROR(INDEX(tbl_Finance[Client],IFERROR(MATCH(C199&amp;"",tbl_Finance[Job Number],0),MATCH(IFERROR(C199+0,C199),tbl_Finance[Job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6" t="n"/>
      <c r="L199" s="27">
        <f>IF(C199="","",IF(K199="",0,MAX(0,K199-H199)))</f>
        <v/>
      </c>
      <c r="M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N199" s="24" t="n"/>
      <c r="O199" s="25">
        <f>IF(N199="","",HYPERLINK(IF(LEFT(N199,4)="http",N199,set_QwilrBase&amp;N199),"Open quote"))</f>
        <v/>
      </c>
      <c r="P199" s="26" t="n"/>
      <c r="Q199" s="26" t="n"/>
      <c r="R199" s="26" t="n"/>
      <c r="S199" s="25">
        <f>IF(C199="","",IF(N(P199)+N(Q199)+N(R199)=0,"Not split",IF(ROUND(N(P199)+N(Q199)+N(R199),2)=ROUND(H199+L199,2),"OK",IF(G199=0,"Not invoiced yet","MISMATCH"))))</f>
        <v/>
      </c>
      <c r="T199" s="26" t="n"/>
      <c r="U199" s="26" t="n"/>
      <c r="V199" s="26" t="n"/>
      <c r="W199" s="27">
        <f>IF(C199="","",N(T199)+N(U199)+N(V199))</f>
        <v/>
      </c>
      <c r="X199" s="27">
        <f>IF(C199="","",H199+L199-W199)</f>
        <v/>
      </c>
      <c r="Y199" s="29">
        <f>IFERROR(X199/(H199+L199),"")</f>
        <v/>
      </c>
      <c r="Z199" s="24" t="n"/>
    </row>
    <row r="200" ht="15" customHeight="1">
      <c r="A200" s="70">
        <f>IF(C200="","",IFERROR(IF(SUMPRODUCT(MAX((tbl_Finance[Job Number]&amp;""=C200&amp;"")*(tbl_Finance[Xero Invoice No]&lt;&gt;"")*tbl_Finance[Date]))=0,"",SUMPRODUCT(MAX((tbl_Finance[Job Number]&amp;""=C200&amp;"")*(tbl_Finance[Xero Invoice No]&lt;&gt;"")*tbl_Finance[Date]))),""))</f>
        <v/>
      </c>
      <c r="B200" s="25">
        <f>IF(C200="","",IF(COUNTIFS(tbl_Finance[Job Number],C200&amp;"",tbl_Finance[Xero Invoice No],"&lt;&gt;")=0,"",IFERROR(IF(COUNTIFS(tbl_Finance[Job Number],C200&amp;"",tbl_Finance[Xero Invoice No],LOOKUP(2,1/((tbl_Finance[Job Number]&amp;""=C200&amp;"")*(tbl_Finance[Xero Invoice No]&lt;&gt;"")),tbl_Finance[Xero Invoice No]))=COUNTIFS(tbl_Finance[Job Number],C200&amp;"",tbl_Finance[Xero Invoice No],"&lt;&gt;"),LOOKUP(2,1/((tbl_Finance[Job Number]&amp;""=C200&amp;"")*(tbl_Finance[Xero Invoice No]&lt;&gt;"")),tbl_Finance[Xero Invoice No]),LOOKUP(2,1/((tbl_Finance[Job Number]&amp;""=C200&amp;"")*(tbl_Finance[Xero Invoice No]&lt;&gt;"")),tbl_Finance[Xero Invoice No])&amp;" +more"),"")))</f>
        <v/>
      </c>
      <c r="C200" s="24" t="n"/>
      <c r="D200" s="25">
        <f>IF(C200="","",IF(COUNTIF(lst_Jobs,C200&amp;"")&gt;0,"OK","CHECK"))</f>
        <v/>
      </c>
      <c r="E200" s="25">
        <f>IF(C200="","",IFERROR(INDEX(lst_JobName,MATCH(C200&amp;"",lst_Jobs,0)),""))</f>
        <v/>
      </c>
      <c r="F200" s="25">
        <f>IF(C200="","",IFERROR(INDEX(tbl_Finance[Client],IFERROR(MATCH(C200&amp;"",tbl_Finance[Job Number],0),MATCH(IFERROR(C200+0,C200),tbl_Finance[Job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6" t="n"/>
      <c r="L200" s="27">
        <f>IF(C200="","",IF(K200="",0,MAX(0,K200-H200)))</f>
        <v/>
      </c>
      <c r="M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N200" s="24" t="n"/>
      <c r="O200" s="25">
        <f>IF(N200="","",HYPERLINK(IF(LEFT(N200,4)="http",N200,set_QwilrBase&amp;N200),"Open quote"))</f>
        <v/>
      </c>
      <c r="P200" s="26" t="n"/>
      <c r="Q200" s="26" t="n"/>
      <c r="R200" s="26" t="n"/>
      <c r="S200" s="25">
        <f>IF(C200="","",IF(N(P200)+N(Q200)+N(R200)=0,"Not split",IF(ROUND(N(P200)+N(Q200)+N(R200),2)=ROUND(H200+L200,2),"OK",IF(G200=0,"Not invoiced yet","MISMATCH"))))</f>
        <v/>
      </c>
      <c r="T200" s="26" t="n"/>
      <c r="U200" s="26" t="n"/>
      <c r="V200" s="26" t="n"/>
      <c r="W200" s="27">
        <f>IF(C200="","",N(T200)+N(U200)+N(V200))</f>
        <v/>
      </c>
      <c r="X200" s="27">
        <f>IF(C200="","",H200+L200-W200)</f>
        <v/>
      </c>
      <c r="Y200" s="29">
        <f>IFERROR(X200/(H200+L200),"")</f>
        <v/>
      </c>
      <c r="Z200" s="24" t="n"/>
    </row>
    <row r="201" ht="15" customHeight="1">
      <c r="A201" s="70">
        <f>IF(C201="","",IFERROR(IF(SUMPRODUCT(MAX((tbl_Finance[Job Number]&amp;""=C201&amp;"")*(tbl_Finance[Xero Invoice No]&lt;&gt;"")*tbl_Finance[Date]))=0,"",SUMPRODUCT(MAX((tbl_Finance[Job Number]&amp;""=C201&amp;"")*(tbl_Finance[Xero Invoice No]&lt;&gt;"")*tbl_Finance[Date]))),""))</f>
        <v/>
      </c>
      <c r="B201" s="25">
        <f>IF(C201="","",IF(COUNTIFS(tbl_Finance[Job Number],C201&amp;"",tbl_Finance[Xero Invoice No],"&lt;&gt;")=0,"",IFERROR(IF(COUNTIFS(tbl_Finance[Job Number],C201&amp;"",tbl_Finance[Xero Invoice No],LOOKUP(2,1/((tbl_Finance[Job Number]&amp;""=C201&amp;"")*(tbl_Finance[Xero Invoice No]&lt;&gt;"")),tbl_Finance[Xero Invoice No]))=COUNTIFS(tbl_Finance[Job Number],C201&amp;"",tbl_Finance[Xero Invoice No],"&lt;&gt;"),LOOKUP(2,1/((tbl_Finance[Job Number]&amp;""=C201&amp;"")*(tbl_Finance[Xero Invoice No]&lt;&gt;"")),tbl_Finance[Xero Invoice No]),LOOKUP(2,1/((tbl_Finance[Job Number]&amp;""=C201&amp;"")*(tbl_Finance[Xero Invoice No]&lt;&gt;"")),tbl_Finance[Xero Invoice No])&amp;" +more"),"")))</f>
        <v/>
      </c>
      <c r="C201" s="24" t="n"/>
      <c r="D201" s="25">
        <f>IF(C201="","",IF(COUNTIF(lst_Jobs,C201&amp;"")&gt;0,"OK","CHECK"))</f>
        <v/>
      </c>
      <c r="E201" s="25">
        <f>IF(C201="","",IFERROR(INDEX(lst_JobName,MATCH(C201&amp;"",lst_Jobs,0)),""))</f>
        <v/>
      </c>
      <c r="F201" s="25">
        <f>IF(C201="","",IFERROR(INDEX(tbl_Finance[Client],IFERROR(MATCH(C201&amp;"",tbl_Finance[Job Number],0),MATCH(IFERROR(C201+0,C201),tbl_Finance[Job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6" t="n"/>
      <c r="L201" s="27">
        <f>IF(C201="","",IF(K201="",0,MAX(0,K201-H201)))</f>
        <v/>
      </c>
      <c r="M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N201" s="24" t="n"/>
      <c r="O201" s="25">
        <f>IF(N201="","",HYPERLINK(IF(LEFT(N201,4)="http",N201,set_QwilrBase&amp;N201),"Open quote"))</f>
        <v/>
      </c>
      <c r="P201" s="26" t="n"/>
      <c r="Q201" s="26" t="n"/>
      <c r="R201" s="26" t="n"/>
      <c r="S201" s="25">
        <f>IF(C201="","",IF(N(P201)+N(Q201)+N(R201)=0,"Not split",IF(ROUND(N(P201)+N(Q201)+N(R201),2)=ROUND(H201+L201,2),"OK",IF(G201=0,"Not invoiced yet","MISMATCH"))))</f>
        <v/>
      </c>
      <c r="T201" s="26" t="n"/>
      <c r="U201" s="26" t="n"/>
      <c r="V201" s="26" t="n"/>
      <c r="W201" s="27">
        <f>IF(C201="","",N(T201)+N(U201)+N(V201))</f>
        <v/>
      </c>
      <c r="X201" s="27">
        <f>IF(C201="","",H201+L201-W201)</f>
        <v/>
      </c>
      <c r="Y201" s="29">
        <f>IFERROR(X201/(H201+L201),"")</f>
        <v/>
      </c>
      <c r="Z201" s="24" t="n"/>
    </row>
    <row r="202" ht="15" customHeight="1">
      <c r="A202" s="70">
        <f>IF(C202="","",IFERROR(IF(SUMPRODUCT(MAX((tbl_Finance[Job Number]&amp;""=C202&amp;"")*(tbl_Finance[Xero Invoice No]&lt;&gt;"")*tbl_Finance[Date]))=0,"",SUMPRODUCT(MAX((tbl_Finance[Job Number]&amp;""=C202&amp;"")*(tbl_Finance[Xero Invoice No]&lt;&gt;"")*tbl_Finance[Date]))),""))</f>
        <v/>
      </c>
      <c r="B202" s="25">
        <f>IF(C202="","",IF(COUNTIFS(tbl_Finance[Job Number],C202&amp;"",tbl_Finance[Xero Invoice No],"&lt;&gt;")=0,"",IFERROR(IF(COUNTIFS(tbl_Finance[Job Number],C202&amp;"",tbl_Finance[Xero Invoice No],LOOKUP(2,1/((tbl_Finance[Job Number]&amp;""=C202&amp;"")*(tbl_Finance[Xero Invoice No]&lt;&gt;"")),tbl_Finance[Xero Invoice No]))=COUNTIFS(tbl_Finance[Job Number],C202&amp;"",tbl_Finance[Xero Invoice No],"&lt;&gt;"),LOOKUP(2,1/((tbl_Finance[Job Number]&amp;""=C202&amp;"")*(tbl_Finance[Xero Invoice No]&lt;&gt;"")),tbl_Finance[Xero Invoice No]),LOOKUP(2,1/((tbl_Finance[Job Number]&amp;""=C202&amp;"")*(tbl_Finance[Xero Invoice No]&lt;&gt;"")),tbl_Finance[Xero Invoice No])&amp;" +more"),"")))</f>
        <v/>
      </c>
      <c r="C202" s="24" t="n"/>
      <c r="D202" s="25">
        <f>IF(C202="","",IF(COUNTIF(lst_Jobs,C202&amp;"")&gt;0,"OK","CHECK"))</f>
        <v/>
      </c>
      <c r="E202" s="25">
        <f>IF(C202="","",IFERROR(INDEX(lst_JobName,MATCH(C202&amp;"",lst_Jobs,0)),""))</f>
        <v/>
      </c>
      <c r="F202" s="25">
        <f>IF(C202="","",IFERROR(INDEX(tbl_Finance[Client],IFERROR(MATCH(C202&amp;"",tbl_Finance[Job Number],0),MATCH(IFERROR(C202+0,C202),tbl_Finance[Job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6" t="n"/>
      <c r="L202" s="27">
        <f>IF(C202="","",IF(K202="",0,MAX(0,K202-H202)))</f>
        <v/>
      </c>
      <c r="M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N202" s="24" t="n"/>
      <c r="O202" s="25">
        <f>IF(N202="","",HYPERLINK(IF(LEFT(N202,4)="http",N202,set_QwilrBase&amp;N202),"Open quote"))</f>
        <v/>
      </c>
      <c r="P202" s="26" t="n"/>
      <c r="Q202" s="26" t="n"/>
      <c r="R202" s="26" t="n"/>
      <c r="S202" s="25">
        <f>IF(C202="","",IF(N(P202)+N(Q202)+N(R202)=0,"Not split",IF(ROUND(N(P202)+N(Q202)+N(R202),2)=ROUND(H202+L202,2),"OK",IF(G202=0,"Not invoiced yet","MISMATCH"))))</f>
        <v/>
      </c>
      <c r="T202" s="26" t="n"/>
      <c r="U202" s="26" t="n"/>
      <c r="V202" s="26" t="n"/>
      <c r="W202" s="27">
        <f>IF(C202="","",N(T202)+N(U202)+N(V202))</f>
        <v/>
      </c>
      <c r="X202" s="27">
        <f>IF(C202="","",H202+L202-W202)</f>
        <v/>
      </c>
      <c r="Y202" s="29">
        <f>IFERROR(X202/(H202+L202),"")</f>
        <v/>
      </c>
      <c r="Z202" s="24" t="n"/>
    </row>
    <row r="203" ht="15" customHeight="1">
      <c r="A203" s="70">
        <f>IF(C203="","",IFERROR(IF(SUMPRODUCT(MAX((tbl_Finance[Job Number]&amp;""=C203&amp;"")*(tbl_Finance[Xero Invoice No]&lt;&gt;"")*tbl_Finance[Date]))=0,"",SUMPRODUCT(MAX((tbl_Finance[Job Number]&amp;""=C203&amp;"")*(tbl_Finance[Xero Invoice No]&lt;&gt;"")*tbl_Finance[Date]))),""))</f>
        <v/>
      </c>
      <c r="B203" s="25">
        <f>IF(C203="","",IF(COUNTIFS(tbl_Finance[Job Number],C203&amp;"",tbl_Finance[Xero Invoice No],"&lt;&gt;")=0,"",IFERROR(IF(COUNTIFS(tbl_Finance[Job Number],C203&amp;"",tbl_Finance[Xero Invoice No],LOOKUP(2,1/((tbl_Finance[Job Number]&amp;""=C203&amp;"")*(tbl_Finance[Xero Invoice No]&lt;&gt;"")),tbl_Finance[Xero Invoice No]))=COUNTIFS(tbl_Finance[Job Number],C203&amp;"",tbl_Finance[Xero Invoice No],"&lt;&gt;"),LOOKUP(2,1/((tbl_Finance[Job Number]&amp;""=C203&amp;"")*(tbl_Finance[Xero Invoice No]&lt;&gt;"")),tbl_Finance[Xero Invoice No]),LOOKUP(2,1/((tbl_Finance[Job Number]&amp;""=C203&amp;"")*(tbl_Finance[Xero Invoice No]&lt;&gt;"")),tbl_Finance[Xero Invoice No])&amp;" +more"),"")))</f>
        <v/>
      </c>
      <c r="C203" s="24" t="n"/>
      <c r="D203" s="25">
        <f>IF(C203="","",IF(COUNTIF(lst_Jobs,C203&amp;"")&gt;0,"OK","CHECK"))</f>
        <v/>
      </c>
      <c r="E203" s="25">
        <f>IF(C203="","",IFERROR(INDEX(lst_JobName,MATCH(C203&amp;"",lst_Jobs,0)),""))</f>
        <v/>
      </c>
      <c r="F203" s="25">
        <f>IF(C203="","",IFERROR(INDEX(tbl_Finance[Client],IFERROR(MATCH(C203&amp;"",tbl_Finance[Job Number],0),MATCH(IFERROR(C203+0,C203),tbl_Finance[Job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6" t="n"/>
      <c r="L203" s="27">
        <f>IF(C203="","",IF(K203="",0,MAX(0,K203-H203)))</f>
        <v/>
      </c>
      <c r="M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N203" s="24" t="n"/>
      <c r="O203" s="25">
        <f>IF(N203="","",HYPERLINK(IF(LEFT(N203,4)="http",N203,set_QwilrBase&amp;N203),"Open quote"))</f>
        <v/>
      </c>
      <c r="P203" s="26" t="n"/>
      <c r="Q203" s="26" t="n"/>
      <c r="R203" s="26" t="n"/>
      <c r="S203" s="25">
        <f>IF(C203="","",IF(N(P203)+N(Q203)+N(R203)=0,"Not split",IF(ROUND(N(P203)+N(Q203)+N(R203),2)=ROUND(H203+L203,2),"OK",IF(G203=0,"Not invoiced yet","MISMATCH"))))</f>
        <v/>
      </c>
      <c r="T203" s="26" t="n"/>
      <c r="U203" s="26" t="n"/>
      <c r="V203" s="26" t="n"/>
      <c r="W203" s="27">
        <f>IF(C203="","",N(T203)+N(U203)+N(V203))</f>
        <v/>
      </c>
      <c r="X203" s="27">
        <f>IF(C203="","",H203+L203-W203)</f>
        <v/>
      </c>
      <c r="Y203" s="29">
        <f>IFERROR(X203/(H203+L203),"")</f>
        <v/>
      </c>
      <c r="Z203" s="24" t="n"/>
    </row>
    <row r="204" ht="15" customHeight="1">
      <c r="A204" s="70">
        <f>IF(C204="","",IFERROR(IF(SUMPRODUCT(MAX((tbl_Finance[Job Number]&amp;""=C204&amp;"")*(tbl_Finance[Xero Invoice No]&lt;&gt;"")*tbl_Finance[Date]))=0,"",SUMPRODUCT(MAX((tbl_Finance[Job Number]&amp;""=C204&amp;"")*(tbl_Finance[Xero Invoice No]&lt;&gt;"")*tbl_Finance[Date]))),""))</f>
        <v/>
      </c>
      <c r="B204" s="25">
        <f>IF(C204="","",IF(COUNTIFS(tbl_Finance[Job Number],C204&amp;"",tbl_Finance[Xero Invoice No],"&lt;&gt;")=0,"",IFERROR(IF(COUNTIFS(tbl_Finance[Job Number],C204&amp;"",tbl_Finance[Xero Invoice No],LOOKUP(2,1/((tbl_Finance[Job Number]&amp;""=C204&amp;"")*(tbl_Finance[Xero Invoice No]&lt;&gt;"")),tbl_Finance[Xero Invoice No]))=COUNTIFS(tbl_Finance[Job Number],C204&amp;"",tbl_Finance[Xero Invoice No],"&lt;&gt;"),LOOKUP(2,1/((tbl_Finance[Job Number]&amp;""=C204&amp;"")*(tbl_Finance[Xero Invoice No]&lt;&gt;"")),tbl_Finance[Xero Invoice No]),LOOKUP(2,1/((tbl_Finance[Job Number]&amp;""=C204&amp;"")*(tbl_Finance[Xero Invoice No]&lt;&gt;"")),tbl_Finance[Xero Invoice No])&amp;" +more"),"")))</f>
        <v/>
      </c>
      <c r="C204" s="24" t="n"/>
      <c r="D204" s="25">
        <f>IF(C204="","",IF(COUNTIF(lst_Jobs,C204&amp;"")&gt;0,"OK","CHECK"))</f>
        <v/>
      </c>
      <c r="E204" s="25">
        <f>IF(C204="","",IFERROR(INDEX(lst_JobName,MATCH(C204&amp;"",lst_Jobs,0)),""))</f>
        <v/>
      </c>
      <c r="F204" s="25">
        <f>IF(C204="","",IFERROR(INDEX(tbl_Finance[Client],IFERROR(MATCH(C204&amp;"",tbl_Finance[Job Number],0),MATCH(IFERROR(C204+0,C204),tbl_Finance[Job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6" t="n"/>
      <c r="L204" s="27">
        <f>IF(C204="","",IF(K204="",0,MAX(0,K204-H204)))</f>
        <v/>
      </c>
      <c r="M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N204" s="24" t="n"/>
      <c r="O204" s="25">
        <f>IF(N204="","",HYPERLINK(IF(LEFT(N204,4)="http",N204,set_QwilrBase&amp;N204),"Open quote"))</f>
        <v/>
      </c>
      <c r="P204" s="26" t="n"/>
      <c r="Q204" s="26" t="n"/>
      <c r="R204" s="26" t="n"/>
      <c r="S204" s="25">
        <f>IF(C204="","",IF(N(P204)+N(Q204)+N(R204)=0,"Not split",IF(ROUND(N(P204)+N(Q204)+N(R204),2)=ROUND(H204+L204,2),"OK",IF(G204=0,"Not invoiced yet","MISMATCH"))))</f>
        <v/>
      </c>
      <c r="T204" s="26" t="n"/>
      <c r="U204" s="26" t="n"/>
      <c r="V204" s="26" t="n"/>
      <c r="W204" s="27">
        <f>IF(C204="","",N(T204)+N(U204)+N(V204))</f>
        <v/>
      </c>
      <c r="X204" s="27">
        <f>IF(C204="","",H204+L204-W204)</f>
        <v/>
      </c>
      <c r="Y204" s="29">
        <f>IFERROR(X204/(H204+L204),"")</f>
        <v/>
      </c>
      <c r="Z204" s="24" t="n"/>
    </row>
    <row r="205" ht="15" customHeight="1">
      <c r="A205" s="70">
        <f>IF(C205="","",IFERROR(IF(SUMPRODUCT(MAX((tbl_Finance[Job Number]&amp;""=C205&amp;"")*(tbl_Finance[Xero Invoice No]&lt;&gt;"")*tbl_Finance[Date]))=0,"",SUMPRODUCT(MAX((tbl_Finance[Job Number]&amp;""=C205&amp;"")*(tbl_Finance[Xero Invoice No]&lt;&gt;"")*tbl_Finance[Date]))),""))</f>
        <v/>
      </c>
      <c r="B205" s="25">
        <f>IF(C205="","",IF(COUNTIFS(tbl_Finance[Job Number],C205&amp;"",tbl_Finance[Xero Invoice No],"&lt;&gt;")=0,"",IFERROR(IF(COUNTIFS(tbl_Finance[Job Number],C205&amp;"",tbl_Finance[Xero Invoice No],LOOKUP(2,1/((tbl_Finance[Job Number]&amp;""=C205&amp;"")*(tbl_Finance[Xero Invoice No]&lt;&gt;"")),tbl_Finance[Xero Invoice No]))=COUNTIFS(tbl_Finance[Job Number],C205&amp;"",tbl_Finance[Xero Invoice No],"&lt;&gt;"),LOOKUP(2,1/((tbl_Finance[Job Number]&amp;""=C205&amp;"")*(tbl_Finance[Xero Invoice No]&lt;&gt;"")),tbl_Finance[Xero Invoice No]),LOOKUP(2,1/((tbl_Finance[Job Number]&amp;""=C205&amp;"")*(tbl_Finance[Xero Invoice No]&lt;&gt;"")),tbl_Finance[Xero Invoice No])&amp;" +more"),"")))</f>
        <v/>
      </c>
      <c r="C205" s="24" t="n"/>
      <c r="D205" s="25">
        <f>IF(C205="","",IF(COUNTIF(lst_Jobs,C205&amp;"")&gt;0,"OK","CHECK"))</f>
        <v/>
      </c>
      <c r="E205" s="25">
        <f>IF(C205="","",IFERROR(INDEX(lst_JobName,MATCH(C205&amp;"",lst_Jobs,0)),""))</f>
        <v/>
      </c>
      <c r="F205" s="25">
        <f>IF(C205="","",IFERROR(INDEX(tbl_Finance[Client],IFERROR(MATCH(C205&amp;"",tbl_Finance[Job Number],0),MATCH(IFERROR(C205+0,C205),tbl_Finance[Job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6" t="n"/>
      <c r="L205" s="27">
        <f>IF(C205="","",IF(K205="",0,MAX(0,K205-H205)))</f>
        <v/>
      </c>
      <c r="M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N205" s="24" t="n"/>
      <c r="O205" s="25">
        <f>IF(N205="","",HYPERLINK(IF(LEFT(N205,4)="http",N205,set_QwilrBase&amp;N205),"Open quote"))</f>
        <v/>
      </c>
      <c r="P205" s="26" t="n"/>
      <c r="Q205" s="26" t="n"/>
      <c r="R205" s="26" t="n"/>
      <c r="S205" s="25">
        <f>IF(C205="","",IF(N(P205)+N(Q205)+N(R205)=0,"Not split",IF(ROUND(N(P205)+N(Q205)+N(R205),2)=ROUND(H205+L205,2),"OK",IF(G205=0,"Not invoiced yet","MISMATCH"))))</f>
        <v/>
      </c>
      <c r="T205" s="26" t="n"/>
      <c r="U205" s="26" t="n"/>
      <c r="V205" s="26" t="n"/>
      <c r="W205" s="27">
        <f>IF(C205="","",N(T205)+N(U205)+N(V205))</f>
        <v/>
      </c>
      <c r="X205" s="27">
        <f>IF(C205="","",H205+L205-W205)</f>
        <v/>
      </c>
      <c r="Y205" s="29">
        <f>IFERROR(X205/(H205+L205),"")</f>
        <v/>
      </c>
      <c r="Z205" s="24" t="n"/>
    </row>
    <row r="206" ht="15" customHeight="1">
      <c r="A206" s="70">
        <f>IF(C206="","",IFERROR(IF(SUMPRODUCT(MAX((tbl_Finance[Job Number]&amp;""=C206&amp;"")*(tbl_Finance[Xero Invoice No]&lt;&gt;"")*tbl_Finance[Date]))=0,"",SUMPRODUCT(MAX((tbl_Finance[Job Number]&amp;""=C206&amp;"")*(tbl_Finance[Xero Invoice No]&lt;&gt;"")*tbl_Finance[Date]))),""))</f>
        <v/>
      </c>
      <c r="B206" s="25">
        <f>IF(C206="","",IF(COUNTIFS(tbl_Finance[Job Number],C206&amp;"",tbl_Finance[Xero Invoice No],"&lt;&gt;")=0,"",IFERROR(IF(COUNTIFS(tbl_Finance[Job Number],C206&amp;"",tbl_Finance[Xero Invoice No],LOOKUP(2,1/((tbl_Finance[Job Number]&amp;""=C206&amp;"")*(tbl_Finance[Xero Invoice No]&lt;&gt;"")),tbl_Finance[Xero Invoice No]))=COUNTIFS(tbl_Finance[Job Number],C206&amp;"",tbl_Finance[Xero Invoice No],"&lt;&gt;"),LOOKUP(2,1/((tbl_Finance[Job Number]&amp;""=C206&amp;"")*(tbl_Finance[Xero Invoice No]&lt;&gt;"")),tbl_Finance[Xero Invoice No]),LOOKUP(2,1/((tbl_Finance[Job Number]&amp;""=C206&amp;"")*(tbl_Finance[Xero Invoice No]&lt;&gt;"")),tbl_Finance[Xero Invoice No])&amp;" +more"),"")))</f>
        <v/>
      </c>
      <c r="C206" s="24" t="n"/>
      <c r="D206" s="25">
        <f>IF(C206="","",IF(COUNTIF(lst_Jobs,C206&amp;"")&gt;0,"OK","CHECK"))</f>
        <v/>
      </c>
      <c r="E206" s="25">
        <f>IF(C206="","",IFERROR(INDEX(lst_JobName,MATCH(C206&amp;"",lst_Jobs,0)),""))</f>
        <v/>
      </c>
      <c r="F206" s="25">
        <f>IF(C206="","",IFERROR(INDEX(tbl_Finance[Client],IFERROR(MATCH(C206&amp;"",tbl_Finance[Job Number],0),MATCH(IFERROR(C206+0,C206),tbl_Finance[Job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6" t="n"/>
      <c r="L206" s="27">
        <f>IF(C206="","",IF(K206="",0,MAX(0,K206-H206)))</f>
        <v/>
      </c>
      <c r="M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N206" s="24" t="n"/>
      <c r="O206" s="25">
        <f>IF(N206="","",HYPERLINK(IF(LEFT(N206,4)="http",N206,set_QwilrBase&amp;N206),"Open quote"))</f>
        <v/>
      </c>
      <c r="P206" s="26" t="n"/>
      <c r="Q206" s="26" t="n"/>
      <c r="R206" s="26" t="n"/>
      <c r="S206" s="25">
        <f>IF(C206="","",IF(N(P206)+N(Q206)+N(R206)=0,"Not split",IF(ROUND(N(P206)+N(Q206)+N(R206),2)=ROUND(H206+L206,2),"OK",IF(G206=0,"Not invoiced yet","MISMATCH"))))</f>
        <v/>
      </c>
      <c r="T206" s="26" t="n"/>
      <c r="U206" s="26" t="n"/>
      <c r="V206" s="26" t="n"/>
      <c r="W206" s="27">
        <f>IF(C206="","",N(T206)+N(U206)+N(V206))</f>
        <v/>
      </c>
      <c r="X206" s="27">
        <f>IF(C206="","",H206+L206-W206)</f>
        <v/>
      </c>
      <c r="Y206" s="29">
        <f>IFERROR(X206/(H206+L206),"")</f>
        <v/>
      </c>
      <c r="Z206" s="24" t="n"/>
    </row>
    <row r="207" ht="15" customHeight="1">
      <c r="A207" s="70">
        <f>IF(C207="","",IFERROR(IF(SUMPRODUCT(MAX((tbl_Finance[Job Number]&amp;""=C207&amp;"")*(tbl_Finance[Xero Invoice No]&lt;&gt;"")*tbl_Finance[Date]))=0,"",SUMPRODUCT(MAX((tbl_Finance[Job Number]&amp;""=C207&amp;"")*(tbl_Finance[Xero Invoice No]&lt;&gt;"")*tbl_Finance[Date]))),""))</f>
        <v/>
      </c>
      <c r="B207" s="25">
        <f>IF(C207="","",IF(COUNTIFS(tbl_Finance[Job Number],C207&amp;"",tbl_Finance[Xero Invoice No],"&lt;&gt;")=0,"",IFERROR(IF(COUNTIFS(tbl_Finance[Job Number],C207&amp;"",tbl_Finance[Xero Invoice No],LOOKUP(2,1/((tbl_Finance[Job Number]&amp;""=C207&amp;"")*(tbl_Finance[Xero Invoice No]&lt;&gt;"")),tbl_Finance[Xero Invoice No]))=COUNTIFS(tbl_Finance[Job Number],C207&amp;"",tbl_Finance[Xero Invoice No],"&lt;&gt;"),LOOKUP(2,1/((tbl_Finance[Job Number]&amp;""=C207&amp;"")*(tbl_Finance[Xero Invoice No]&lt;&gt;"")),tbl_Finance[Xero Invoice No]),LOOKUP(2,1/((tbl_Finance[Job Number]&amp;""=C207&amp;"")*(tbl_Finance[Xero Invoice No]&lt;&gt;"")),tbl_Finance[Xero Invoice No])&amp;" +more"),"")))</f>
        <v/>
      </c>
      <c r="C207" s="24" t="n"/>
      <c r="D207" s="25">
        <f>IF(C207="","",IF(COUNTIF(lst_Jobs,C207&amp;"")&gt;0,"OK","CHECK"))</f>
        <v/>
      </c>
      <c r="E207" s="25">
        <f>IF(C207="","",IFERROR(INDEX(lst_JobName,MATCH(C207&amp;"",lst_Jobs,0)),""))</f>
        <v/>
      </c>
      <c r="F207" s="25">
        <f>IF(C207="","",IFERROR(INDEX(tbl_Finance[Client],IFERROR(MATCH(C207&amp;"",tbl_Finance[Job Number],0),MATCH(IFERROR(C207+0,C207),tbl_Finance[Job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6" t="n"/>
      <c r="L207" s="27">
        <f>IF(C207="","",IF(K207="",0,MAX(0,K207-H207)))</f>
        <v/>
      </c>
      <c r="M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N207" s="24" t="n"/>
      <c r="O207" s="25">
        <f>IF(N207="","",HYPERLINK(IF(LEFT(N207,4)="http",N207,set_QwilrBase&amp;N207),"Open quote"))</f>
        <v/>
      </c>
      <c r="P207" s="26" t="n"/>
      <c r="Q207" s="26" t="n"/>
      <c r="R207" s="26" t="n"/>
      <c r="S207" s="25">
        <f>IF(C207="","",IF(N(P207)+N(Q207)+N(R207)=0,"Not split",IF(ROUND(N(P207)+N(Q207)+N(R207),2)=ROUND(H207+L207,2),"OK",IF(G207=0,"Not invoiced yet","MISMATCH"))))</f>
        <v/>
      </c>
      <c r="T207" s="26" t="n"/>
      <c r="U207" s="26" t="n"/>
      <c r="V207" s="26" t="n"/>
      <c r="W207" s="27">
        <f>IF(C207="","",N(T207)+N(U207)+N(V207))</f>
        <v/>
      </c>
      <c r="X207" s="27">
        <f>IF(C207="","",H207+L207-W207)</f>
        <v/>
      </c>
      <c r="Y207" s="29">
        <f>IFERROR(X207/(H207+L207),"")</f>
        <v/>
      </c>
      <c r="Z207" s="24" t="n"/>
    </row>
    <row r="208" ht="15" customHeight="1">
      <c r="A208" s="70">
        <f>IF(C208="","",IFERROR(IF(SUMPRODUCT(MAX((tbl_Finance[Job Number]&amp;""=C208&amp;"")*(tbl_Finance[Xero Invoice No]&lt;&gt;"")*tbl_Finance[Date]))=0,"",SUMPRODUCT(MAX((tbl_Finance[Job Number]&amp;""=C208&amp;"")*(tbl_Finance[Xero Invoice No]&lt;&gt;"")*tbl_Finance[Date]))),""))</f>
        <v/>
      </c>
      <c r="B208" s="25">
        <f>IF(C208="","",IF(COUNTIFS(tbl_Finance[Job Number],C208&amp;"",tbl_Finance[Xero Invoice No],"&lt;&gt;")=0,"",IFERROR(IF(COUNTIFS(tbl_Finance[Job Number],C208&amp;"",tbl_Finance[Xero Invoice No],LOOKUP(2,1/((tbl_Finance[Job Number]&amp;""=C208&amp;"")*(tbl_Finance[Xero Invoice No]&lt;&gt;"")),tbl_Finance[Xero Invoice No]))=COUNTIFS(tbl_Finance[Job Number],C208&amp;"",tbl_Finance[Xero Invoice No],"&lt;&gt;"),LOOKUP(2,1/((tbl_Finance[Job Number]&amp;""=C208&amp;"")*(tbl_Finance[Xero Invoice No]&lt;&gt;"")),tbl_Finance[Xero Invoice No]),LOOKUP(2,1/((tbl_Finance[Job Number]&amp;""=C208&amp;"")*(tbl_Finance[Xero Invoice No]&lt;&gt;"")),tbl_Finance[Xero Invoice No])&amp;" +more"),"")))</f>
        <v/>
      </c>
      <c r="C208" s="24" t="n"/>
      <c r="D208" s="25">
        <f>IF(C208="","",IF(COUNTIF(lst_Jobs,C208&amp;"")&gt;0,"OK","CHECK"))</f>
        <v/>
      </c>
      <c r="E208" s="25">
        <f>IF(C208="","",IFERROR(INDEX(lst_JobName,MATCH(C208&amp;"",lst_Jobs,0)),""))</f>
        <v/>
      </c>
      <c r="F208" s="25">
        <f>IF(C208="","",IFERROR(INDEX(tbl_Finance[Client],IFERROR(MATCH(C208&amp;"",tbl_Finance[Job Number],0),MATCH(IFERROR(C208+0,C208),tbl_Finance[Job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6" t="n"/>
      <c r="L208" s="27">
        <f>IF(C208="","",IF(K208="",0,MAX(0,K208-H208)))</f>
        <v/>
      </c>
      <c r="M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N208" s="24" t="n"/>
      <c r="O208" s="25">
        <f>IF(N208="","",HYPERLINK(IF(LEFT(N208,4)="http",N208,set_QwilrBase&amp;N208),"Open quote"))</f>
        <v/>
      </c>
      <c r="P208" s="26" t="n"/>
      <c r="Q208" s="26" t="n"/>
      <c r="R208" s="26" t="n"/>
      <c r="S208" s="25">
        <f>IF(C208="","",IF(N(P208)+N(Q208)+N(R208)=0,"Not split",IF(ROUND(N(P208)+N(Q208)+N(R208),2)=ROUND(H208+L208,2),"OK",IF(G208=0,"Not invoiced yet","MISMATCH"))))</f>
        <v/>
      </c>
      <c r="T208" s="26" t="n"/>
      <c r="U208" s="26" t="n"/>
      <c r="V208" s="26" t="n"/>
      <c r="W208" s="27">
        <f>IF(C208="","",N(T208)+N(U208)+N(V208))</f>
        <v/>
      </c>
      <c r="X208" s="27">
        <f>IF(C208="","",H208+L208-W208)</f>
        <v/>
      </c>
      <c r="Y208" s="29">
        <f>IFERROR(X208/(H208+L208),"")</f>
        <v/>
      </c>
      <c r="Z208" s="24" t="n"/>
    </row>
    <row r="209" ht="15" customHeight="1">
      <c r="A209" s="70">
        <f>IF(C209="","",IFERROR(IF(SUMPRODUCT(MAX((tbl_Finance[Job Number]&amp;""=C209&amp;"")*(tbl_Finance[Xero Invoice No]&lt;&gt;"")*tbl_Finance[Date]))=0,"",SUMPRODUCT(MAX((tbl_Finance[Job Number]&amp;""=C209&amp;"")*(tbl_Finance[Xero Invoice No]&lt;&gt;"")*tbl_Finance[Date]))),""))</f>
        <v/>
      </c>
      <c r="B209" s="25">
        <f>IF(C209="","",IF(COUNTIFS(tbl_Finance[Job Number],C209&amp;"",tbl_Finance[Xero Invoice No],"&lt;&gt;")=0,"",IFERROR(IF(COUNTIFS(tbl_Finance[Job Number],C209&amp;"",tbl_Finance[Xero Invoice No],LOOKUP(2,1/((tbl_Finance[Job Number]&amp;""=C209&amp;"")*(tbl_Finance[Xero Invoice No]&lt;&gt;"")),tbl_Finance[Xero Invoice No]))=COUNTIFS(tbl_Finance[Job Number],C209&amp;"",tbl_Finance[Xero Invoice No],"&lt;&gt;"),LOOKUP(2,1/((tbl_Finance[Job Number]&amp;""=C209&amp;"")*(tbl_Finance[Xero Invoice No]&lt;&gt;"")),tbl_Finance[Xero Invoice No]),LOOKUP(2,1/((tbl_Finance[Job Number]&amp;""=C209&amp;"")*(tbl_Finance[Xero Invoice No]&lt;&gt;"")),tbl_Finance[Xero Invoice No])&amp;" +more"),"")))</f>
        <v/>
      </c>
      <c r="C209" s="24" t="n"/>
      <c r="D209" s="25">
        <f>IF(C209="","",IF(COUNTIF(lst_Jobs,C209&amp;"")&gt;0,"OK","CHECK"))</f>
        <v/>
      </c>
      <c r="E209" s="25">
        <f>IF(C209="","",IFERROR(INDEX(lst_JobName,MATCH(C209&amp;"",lst_Jobs,0)),""))</f>
        <v/>
      </c>
      <c r="F209" s="25">
        <f>IF(C209="","",IFERROR(INDEX(tbl_Finance[Client],IFERROR(MATCH(C209&amp;"",tbl_Finance[Job Number],0),MATCH(IFERROR(C209+0,C209),tbl_Finance[Job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6" t="n"/>
      <c r="L209" s="27">
        <f>IF(C209="","",IF(K209="",0,MAX(0,K209-H209)))</f>
        <v/>
      </c>
      <c r="M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N209" s="24" t="n"/>
      <c r="O209" s="25">
        <f>IF(N209="","",HYPERLINK(IF(LEFT(N209,4)="http",N209,set_QwilrBase&amp;N209),"Open quote"))</f>
        <v/>
      </c>
      <c r="P209" s="26" t="n"/>
      <c r="Q209" s="26" t="n"/>
      <c r="R209" s="26" t="n"/>
      <c r="S209" s="25">
        <f>IF(C209="","",IF(N(P209)+N(Q209)+N(R209)=0,"Not split",IF(ROUND(N(P209)+N(Q209)+N(R209),2)=ROUND(H209+L209,2),"OK",IF(G209=0,"Not invoiced yet","MISMATCH"))))</f>
        <v/>
      </c>
      <c r="T209" s="26" t="n"/>
      <c r="U209" s="26" t="n"/>
      <c r="V209" s="26" t="n"/>
      <c r="W209" s="27">
        <f>IF(C209="","",N(T209)+N(U209)+N(V209))</f>
        <v/>
      </c>
      <c r="X209" s="27">
        <f>IF(C209="","",H209+L209-W209)</f>
        <v/>
      </c>
      <c r="Y209" s="29">
        <f>IFERROR(X209/(H209+L209),"")</f>
        <v/>
      </c>
      <c r="Z209" s="24" t="n"/>
    </row>
    <row r="210" ht="15" customHeight="1">
      <c r="A210" s="70">
        <f>IF(C210="","",IFERROR(IF(SUMPRODUCT(MAX((tbl_Finance[Job Number]&amp;""=C210&amp;"")*(tbl_Finance[Xero Invoice No]&lt;&gt;"")*tbl_Finance[Date]))=0,"",SUMPRODUCT(MAX((tbl_Finance[Job Number]&amp;""=C210&amp;"")*(tbl_Finance[Xero Invoice No]&lt;&gt;"")*tbl_Finance[Date]))),""))</f>
        <v/>
      </c>
      <c r="B210" s="25">
        <f>IF(C210="","",IF(COUNTIFS(tbl_Finance[Job Number],C210&amp;"",tbl_Finance[Xero Invoice No],"&lt;&gt;")=0,"",IFERROR(IF(COUNTIFS(tbl_Finance[Job Number],C210&amp;"",tbl_Finance[Xero Invoice No],LOOKUP(2,1/((tbl_Finance[Job Number]&amp;""=C210&amp;"")*(tbl_Finance[Xero Invoice No]&lt;&gt;"")),tbl_Finance[Xero Invoice No]))=COUNTIFS(tbl_Finance[Job Number],C210&amp;"",tbl_Finance[Xero Invoice No],"&lt;&gt;"),LOOKUP(2,1/((tbl_Finance[Job Number]&amp;""=C210&amp;"")*(tbl_Finance[Xero Invoice No]&lt;&gt;"")),tbl_Finance[Xero Invoice No]),LOOKUP(2,1/((tbl_Finance[Job Number]&amp;""=C210&amp;"")*(tbl_Finance[Xero Invoice No]&lt;&gt;"")),tbl_Finance[Xero Invoice No])&amp;" +more"),"")))</f>
        <v/>
      </c>
      <c r="C210" s="24" t="n"/>
      <c r="D210" s="25">
        <f>IF(C210="","",IF(COUNTIF(lst_Jobs,C210&amp;"")&gt;0,"OK","CHECK"))</f>
        <v/>
      </c>
      <c r="E210" s="25">
        <f>IF(C210="","",IFERROR(INDEX(lst_JobName,MATCH(C210&amp;"",lst_Jobs,0)),""))</f>
        <v/>
      </c>
      <c r="F210" s="25">
        <f>IF(C210="","",IFERROR(INDEX(tbl_Finance[Client],IFERROR(MATCH(C210&amp;"",tbl_Finance[Job Number],0),MATCH(IFERROR(C210+0,C210),tbl_Finance[Job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6" t="n"/>
      <c r="L210" s="27">
        <f>IF(C210="","",IF(K210="",0,MAX(0,K210-H210)))</f>
        <v/>
      </c>
      <c r="M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N210" s="24" t="n"/>
      <c r="O210" s="25">
        <f>IF(N210="","",HYPERLINK(IF(LEFT(N210,4)="http",N210,set_QwilrBase&amp;N210),"Open quote"))</f>
        <v/>
      </c>
      <c r="P210" s="26" t="n"/>
      <c r="Q210" s="26" t="n"/>
      <c r="R210" s="26" t="n"/>
      <c r="S210" s="25">
        <f>IF(C210="","",IF(N(P210)+N(Q210)+N(R210)=0,"Not split",IF(ROUND(N(P210)+N(Q210)+N(R210),2)=ROUND(H210+L210,2),"OK",IF(G210=0,"Not invoiced yet","MISMATCH"))))</f>
        <v/>
      </c>
      <c r="T210" s="26" t="n"/>
      <c r="U210" s="26" t="n"/>
      <c r="V210" s="26" t="n"/>
      <c r="W210" s="27">
        <f>IF(C210="","",N(T210)+N(U210)+N(V210))</f>
        <v/>
      </c>
      <c r="X210" s="27">
        <f>IF(C210="","",H210+L210-W210)</f>
        <v/>
      </c>
      <c r="Y210" s="29">
        <f>IFERROR(X210/(H210+L210),"")</f>
        <v/>
      </c>
      <c r="Z210" s="24" t="n"/>
    </row>
    <row r="211" ht="15" customHeight="1">
      <c r="A211" s="70">
        <f>IF(C211="","",IFERROR(IF(SUMPRODUCT(MAX((tbl_Finance[Job Number]&amp;""=C211&amp;"")*(tbl_Finance[Xero Invoice No]&lt;&gt;"")*tbl_Finance[Date]))=0,"",SUMPRODUCT(MAX((tbl_Finance[Job Number]&amp;""=C211&amp;"")*(tbl_Finance[Xero Invoice No]&lt;&gt;"")*tbl_Finance[Date]))),""))</f>
        <v/>
      </c>
      <c r="B211" s="25">
        <f>IF(C211="","",IF(COUNTIFS(tbl_Finance[Job Number],C211&amp;"",tbl_Finance[Xero Invoice No],"&lt;&gt;")=0,"",IFERROR(IF(COUNTIFS(tbl_Finance[Job Number],C211&amp;"",tbl_Finance[Xero Invoice No],LOOKUP(2,1/((tbl_Finance[Job Number]&amp;""=C211&amp;"")*(tbl_Finance[Xero Invoice No]&lt;&gt;"")),tbl_Finance[Xero Invoice No]))=COUNTIFS(tbl_Finance[Job Number],C211&amp;"",tbl_Finance[Xero Invoice No],"&lt;&gt;"),LOOKUP(2,1/((tbl_Finance[Job Number]&amp;""=C211&amp;"")*(tbl_Finance[Xero Invoice No]&lt;&gt;"")),tbl_Finance[Xero Invoice No]),LOOKUP(2,1/((tbl_Finance[Job Number]&amp;""=C211&amp;"")*(tbl_Finance[Xero Invoice No]&lt;&gt;"")),tbl_Finance[Xero Invoice No])&amp;" +more"),"")))</f>
        <v/>
      </c>
      <c r="C211" s="24" t="n"/>
      <c r="D211" s="25">
        <f>IF(C211="","",IF(COUNTIF(lst_Jobs,C211&amp;"")&gt;0,"OK","CHECK"))</f>
        <v/>
      </c>
      <c r="E211" s="25">
        <f>IF(C211="","",IFERROR(INDEX(lst_JobName,MATCH(C211&amp;"",lst_Jobs,0)),""))</f>
        <v/>
      </c>
      <c r="F211" s="25">
        <f>IF(C211="","",IFERROR(INDEX(tbl_Finance[Client],IFERROR(MATCH(C211&amp;"",tbl_Finance[Job Number],0),MATCH(IFERROR(C211+0,C211),tbl_Finance[Job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6" t="n"/>
      <c r="L211" s="27">
        <f>IF(C211="","",IF(K211="",0,MAX(0,K211-H211)))</f>
        <v/>
      </c>
      <c r="M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N211" s="24" t="n"/>
      <c r="O211" s="25">
        <f>IF(N211="","",HYPERLINK(IF(LEFT(N211,4)="http",N211,set_QwilrBase&amp;N211),"Open quote"))</f>
        <v/>
      </c>
      <c r="P211" s="26" t="n"/>
      <c r="Q211" s="26" t="n"/>
      <c r="R211" s="26" t="n"/>
      <c r="S211" s="25">
        <f>IF(C211="","",IF(N(P211)+N(Q211)+N(R211)=0,"Not split",IF(ROUND(N(P211)+N(Q211)+N(R211),2)=ROUND(H211+L211,2),"OK",IF(G211=0,"Not invoiced yet","MISMATCH"))))</f>
        <v/>
      </c>
      <c r="T211" s="26" t="n"/>
      <c r="U211" s="26" t="n"/>
      <c r="V211" s="26" t="n"/>
      <c r="W211" s="27">
        <f>IF(C211="","",N(T211)+N(U211)+N(V211))</f>
        <v/>
      </c>
      <c r="X211" s="27">
        <f>IF(C211="","",H211+L211-W211)</f>
        <v/>
      </c>
      <c r="Y211" s="29">
        <f>IFERROR(X211/(H211+L211),"")</f>
        <v/>
      </c>
      <c r="Z211" s="24" t="n"/>
    </row>
    <row r="212" ht="15" customHeight="1">
      <c r="A212" s="70">
        <f>IF(C212="","",IFERROR(IF(SUMPRODUCT(MAX((tbl_Finance[Job Number]&amp;""=C212&amp;"")*(tbl_Finance[Xero Invoice No]&lt;&gt;"")*tbl_Finance[Date]))=0,"",SUMPRODUCT(MAX((tbl_Finance[Job Number]&amp;""=C212&amp;"")*(tbl_Finance[Xero Invoice No]&lt;&gt;"")*tbl_Finance[Date]))),""))</f>
        <v/>
      </c>
      <c r="B212" s="25">
        <f>IF(C212="","",IF(COUNTIFS(tbl_Finance[Job Number],C212&amp;"",tbl_Finance[Xero Invoice No],"&lt;&gt;")=0,"",IFERROR(IF(COUNTIFS(tbl_Finance[Job Number],C212&amp;"",tbl_Finance[Xero Invoice No],LOOKUP(2,1/((tbl_Finance[Job Number]&amp;""=C212&amp;"")*(tbl_Finance[Xero Invoice No]&lt;&gt;"")),tbl_Finance[Xero Invoice No]))=COUNTIFS(tbl_Finance[Job Number],C212&amp;"",tbl_Finance[Xero Invoice No],"&lt;&gt;"),LOOKUP(2,1/((tbl_Finance[Job Number]&amp;""=C212&amp;"")*(tbl_Finance[Xero Invoice No]&lt;&gt;"")),tbl_Finance[Xero Invoice No]),LOOKUP(2,1/((tbl_Finance[Job Number]&amp;""=C212&amp;"")*(tbl_Finance[Xero Invoice No]&lt;&gt;"")),tbl_Finance[Xero Invoice No])&amp;" +more"),"")))</f>
        <v/>
      </c>
      <c r="C212" s="24" t="n"/>
      <c r="D212" s="25">
        <f>IF(C212="","",IF(COUNTIF(lst_Jobs,C212&amp;"")&gt;0,"OK","CHECK"))</f>
        <v/>
      </c>
      <c r="E212" s="25">
        <f>IF(C212="","",IFERROR(INDEX(lst_JobName,MATCH(C212&amp;"",lst_Jobs,0)),""))</f>
        <v/>
      </c>
      <c r="F212" s="25">
        <f>IF(C212="","",IFERROR(INDEX(tbl_Finance[Client],IFERROR(MATCH(C212&amp;"",tbl_Finance[Job Number],0),MATCH(IFERROR(C212+0,C212),tbl_Finance[Job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6" t="n"/>
      <c r="L212" s="27">
        <f>IF(C212="","",IF(K212="",0,MAX(0,K212-H212)))</f>
        <v/>
      </c>
      <c r="M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N212" s="24" t="n"/>
      <c r="O212" s="25">
        <f>IF(N212="","",HYPERLINK(IF(LEFT(N212,4)="http",N212,set_QwilrBase&amp;N212),"Open quote"))</f>
        <v/>
      </c>
      <c r="P212" s="26" t="n"/>
      <c r="Q212" s="26" t="n"/>
      <c r="R212" s="26" t="n"/>
      <c r="S212" s="25">
        <f>IF(C212="","",IF(N(P212)+N(Q212)+N(R212)=0,"Not split",IF(ROUND(N(P212)+N(Q212)+N(R212),2)=ROUND(H212+L212,2),"OK",IF(G212=0,"Not invoiced yet","MISMATCH"))))</f>
        <v/>
      </c>
      <c r="T212" s="26" t="n"/>
      <c r="U212" s="26" t="n"/>
      <c r="V212" s="26" t="n"/>
      <c r="W212" s="27">
        <f>IF(C212="","",N(T212)+N(U212)+N(V212))</f>
        <v/>
      </c>
      <c r="X212" s="27">
        <f>IF(C212="","",H212+L212-W212)</f>
        <v/>
      </c>
      <c r="Y212" s="29">
        <f>IFERROR(X212/(H212+L212),"")</f>
        <v/>
      </c>
      <c r="Z212" s="24" t="n"/>
    </row>
    <row r="213" ht="15" customHeight="1">
      <c r="A213" s="70">
        <f>IF(C213="","",IFERROR(IF(SUMPRODUCT(MAX((tbl_Finance[Job Number]&amp;""=C213&amp;"")*(tbl_Finance[Xero Invoice No]&lt;&gt;"")*tbl_Finance[Date]))=0,"",SUMPRODUCT(MAX((tbl_Finance[Job Number]&amp;""=C213&amp;"")*(tbl_Finance[Xero Invoice No]&lt;&gt;"")*tbl_Finance[Date]))),""))</f>
        <v/>
      </c>
      <c r="B213" s="25">
        <f>IF(C213="","",IF(COUNTIFS(tbl_Finance[Job Number],C213&amp;"",tbl_Finance[Xero Invoice No],"&lt;&gt;")=0,"",IFERROR(IF(COUNTIFS(tbl_Finance[Job Number],C213&amp;"",tbl_Finance[Xero Invoice No],LOOKUP(2,1/((tbl_Finance[Job Number]&amp;""=C213&amp;"")*(tbl_Finance[Xero Invoice No]&lt;&gt;"")),tbl_Finance[Xero Invoice No]))=COUNTIFS(tbl_Finance[Job Number],C213&amp;"",tbl_Finance[Xero Invoice No],"&lt;&gt;"),LOOKUP(2,1/((tbl_Finance[Job Number]&amp;""=C213&amp;"")*(tbl_Finance[Xero Invoice No]&lt;&gt;"")),tbl_Finance[Xero Invoice No]),LOOKUP(2,1/((tbl_Finance[Job Number]&amp;""=C213&amp;"")*(tbl_Finance[Xero Invoice No]&lt;&gt;"")),tbl_Finance[Xero Invoice No])&amp;" +more"),"")))</f>
        <v/>
      </c>
      <c r="C213" s="24" t="n"/>
      <c r="D213" s="25">
        <f>IF(C213="","",IF(COUNTIF(lst_Jobs,C213&amp;"")&gt;0,"OK","CHECK"))</f>
        <v/>
      </c>
      <c r="E213" s="25">
        <f>IF(C213="","",IFERROR(INDEX(lst_JobName,MATCH(C213&amp;"",lst_Jobs,0)),""))</f>
        <v/>
      </c>
      <c r="F213" s="25">
        <f>IF(C213="","",IFERROR(INDEX(tbl_Finance[Client],IFERROR(MATCH(C213&amp;"",tbl_Finance[Job Number],0),MATCH(IFERROR(C213+0,C213),tbl_Finance[Job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6" t="n"/>
      <c r="L213" s="27">
        <f>IF(C213="","",IF(K213="",0,MAX(0,K213-H213)))</f>
        <v/>
      </c>
      <c r="M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N213" s="24" t="n"/>
      <c r="O213" s="25">
        <f>IF(N213="","",HYPERLINK(IF(LEFT(N213,4)="http",N213,set_QwilrBase&amp;N213),"Open quote"))</f>
        <v/>
      </c>
      <c r="P213" s="26" t="n"/>
      <c r="Q213" s="26" t="n"/>
      <c r="R213" s="26" t="n"/>
      <c r="S213" s="25">
        <f>IF(C213="","",IF(N(P213)+N(Q213)+N(R213)=0,"Not split",IF(ROUND(N(P213)+N(Q213)+N(R213),2)=ROUND(H213+L213,2),"OK",IF(G213=0,"Not invoiced yet","MISMATCH"))))</f>
        <v/>
      </c>
      <c r="T213" s="26" t="n"/>
      <c r="U213" s="26" t="n"/>
      <c r="V213" s="26" t="n"/>
      <c r="W213" s="27">
        <f>IF(C213="","",N(T213)+N(U213)+N(V213))</f>
        <v/>
      </c>
      <c r="X213" s="27">
        <f>IF(C213="","",H213+L213-W213)</f>
        <v/>
      </c>
      <c r="Y213" s="29">
        <f>IFERROR(X213/(H213+L213),"")</f>
        <v/>
      </c>
      <c r="Z213" s="24" t="n"/>
    </row>
    <row r="214" ht="15" customHeight="1">
      <c r="A214" s="70">
        <f>IF(C214="","",IFERROR(IF(SUMPRODUCT(MAX((tbl_Finance[Job Number]&amp;""=C214&amp;"")*(tbl_Finance[Xero Invoice No]&lt;&gt;"")*tbl_Finance[Date]))=0,"",SUMPRODUCT(MAX((tbl_Finance[Job Number]&amp;""=C214&amp;"")*(tbl_Finance[Xero Invoice No]&lt;&gt;"")*tbl_Finance[Date]))),""))</f>
        <v/>
      </c>
      <c r="B214" s="25">
        <f>IF(C214="","",IF(COUNTIFS(tbl_Finance[Job Number],C214&amp;"",tbl_Finance[Xero Invoice No],"&lt;&gt;")=0,"",IFERROR(IF(COUNTIFS(tbl_Finance[Job Number],C214&amp;"",tbl_Finance[Xero Invoice No],LOOKUP(2,1/((tbl_Finance[Job Number]&amp;""=C214&amp;"")*(tbl_Finance[Xero Invoice No]&lt;&gt;"")),tbl_Finance[Xero Invoice No]))=COUNTIFS(tbl_Finance[Job Number],C214&amp;"",tbl_Finance[Xero Invoice No],"&lt;&gt;"),LOOKUP(2,1/((tbl_Finance[Job Number]&amp;""=C214&amp;"")*(tbl_Finance[Xero Invoice No]&lt;&gt;"")),tbl_Finance[Xero Invoice No]),LOOKUP(2,1/((tbl_Finance[Job Number]&amp;""=C214&amp;"")*(tbl_Finance[Xero Invoice No]&lt;&gt;"")),tbl_Finance[Xero Invoice No])&amp;" +more"),"")))</f>
        <v/>
      </c>
      <c r="C214" s="24" t="n"/>
      <c r="D214" s="25">
        <f>IF(C214="","",IF(COUNTIF(lst_Jobs,C214&amp;"")&gt;0,"OK","CHECK"))</f>
        <v/>
      </c>
      <c r="E214" s="25">
        <f>IF(C214="","",IFERROR(INDEX(lst_JobName,MATCH(C214&amp;"",lst_Jobs,0)),""))</f>
        <v/>
      </c>
      <c r="F214" s="25">
        <f>IF(C214="","",IFERROR(INDEX(tbl_Finance[Client],IFERROR(MATCH(C214&amp;"",tbl_Finance[Job Number],0),MATCH(IFERROR(C214+0,C214),tbl_Finance[Job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6" t="n"/>
      <c r="L214" s="27">
        <f>IF(C214="","",IF(K214="",0,MAX(0,K214-H214)))</f>
        <v/>
      </c>
      <c r="M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N214" s="24" t="n"/>
      <c r="O214" s="25">
        <f>IF(N214="","",HYPERLINK(IF(LEFT(N214,4)="http",N214,set_QwilrBase&amp;N214),"Open quote"))</f>
        <v/>
      </c>
      <c r="P214" s="26" t="n"/>
      <c r="Q214" s="26" t="n"/>
      <c r="R214" s="26" t="n"/>
      <c r="S214" s="25">
        <f>IF(C214="","",IF(N(P214)+N(Q214)+N(R214)=0,"Not split",IF(ROUND(N(P214)+N(Q214)+N(R214),2)=ROUND(H214+L214,2),"OK",IF(G214=0,"Not invoiced yet","MISMATCH"))))</f>
        <v/>
      </c>
      <c r="T214" s="26" t="n"/>
      <c r="U214" s="26" t="n"/>
      <c r="V214" s="26" t="n"/>
      <c r="W214" s="27">
        <f>IF(C214="","",N(T214)+N(U214)+N(V214))</f>
        <v/>
      </c>
      <c r="X214" s="27">
        <f>IF(C214="","",H214+L214-W214)</f>
        <v/>
      </c>
      <c r="Y214" s="29">
        <f>IFERROR(X214/(H214+L214),"")</f>
        <v/>
      </c>
      <c r="Z214" s="24" t="n"/>
    </row>
    <row r="215" ht="15" customHeight="1">
      <c r="A215" s="70">
        <f>IF(C215="","",IFERROR(IF(SUMPRODUCT(MAX((tbl_Finance[Job Number]&amp;""=C215&amp;"")*(tbl_Finance[Xero Invoice No]&lt;&gt;"")*tbl_Finance[Date]))=0,"",SUMPRODUCT(MAX((tbl_Finance[Job Number]&amp;""=C215&amp;"")*(tbl_Finance[Xero Invoice No]&lt;&gt;"")*tbl_Finance[Date]))),""))</f>
        <v/>
      </c>
      <c r="B215" s="25">
        <f>IF(C215="","",IF(COUNTIFS(tbl_Finance[Job Number],C215&amp;"",tbl_Finance[Xero Invoice No],"&lt;&gt;")=0,"",IFERROR(IF(COUNTIFS(tbl_Finance[Job Number],C215&amp;"",tbl_Finance[Xero Invoice No],LOOKUP(2,1/((tbl_Finance[Job Number]&amp;""=C215&amp;"")*(tbl_Finance[Xero Invoice No]&lt;&gt;"")),tbl_Finance[Xero Invoice No]))=COUNTIFS(tbl_Finance[Job Number],C215&amp;"",tbl_Finance[Xero Invoice No],"&lt;&gt;"),LOOKUP(2,1/((tbl_Finance[Job Number]&amp;""=C215&amp;"")*(tbl_Finance[Xero Invoice No]&lt;&gt;"")),tbl_Finance[Xero Invoice No]),LOOKUP(2,1/((tbl_Finance[Job Number]&amp;""=C215&amp;"")*(tbl_Finance[Xero Invoice No]&lt;&gt;"")),tbl_Finance[Xero Invoice No])&amp;" +more"),"")))</f>
        <v/>
      </c>
      <c r="C215" s="24" t="n"/>
      <c r="D215" s="25">
        <f>IF(C215="","",IF(COUNTIF(lst_Jobs,C215&amp;"")&gt;0,"OK","CHECK"))</f>
        <v/>
      </c>
      <c r="E215" s="25">
        <f>IF(C215="","",IFERROR(INDEX(lst_JobName,MATCH(C215&amp;"",lst_Jobs,0)),""))</f>
        <v/>
      </c>
      <c r="F215" s="25">
        <f>IF(C215="","",IFERROR(INDEX(tbl_Finance[Client],IFERROR(MATCH(C215&amp;"",tbl_Finance[Job Number],0),MATCH(IFERROR(C215+0,C215),tbl_Finance[Job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6" t="n"/>
      <c r="L215" s="27">
        <f>IF(C215="","",IF(K215="",0,MAX(0,K215-H215)))</f>
        <v/>
      </c>
      <c r="M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N215" s="24" t="n"/>
      <c r="O215" s="25">
        <f>IF(N215="","",HYPERLINK(IF(LEFT(N215,4)="http",N215,set_QwilrBase&amp;N215),"Open quote"))</f>
        <v/>
      </c>
      <c r="P215" s="26" t="n"/>
      <c r="Q215" s="26" t="n"/>
      <c r="R215" s="26" t="n"/>
      <c r="S215" s="25">
        <f>IF(C215="","",IF(N(P215)+N(Q215)+N(R215)=0,"Not split",IF(ROUND(N(P215)+N(Q215)+N(R215),2)=ROUND(H215+L215,2),"OK",IF(G215=0,"Not invoiced yet","MISMATCH"))))</f>
        <v/>
      </c>
      <c r="T215" s="26" t="n"/>
      <c r="U215" s="26" t="n"/>
      <c r="V215" s="26" t="n"/>
      <c r="W215" s="27">
        <f>IF(C215="","",N(T215)+N(U215)+N(V215))</f>
        <v/>
      </c>
      <c r="X215" s="27">
        <f>IF(C215="","",H215+L215-W215)</f>
        <v/>
      </c>
      <c r="Y215" s="29">
        <f>IFERROR(X215/(H215+L215),"")</f>
        <v/>
      </c>
      <c r="Z215" s="24" t="n"/>
    </row>
    <row r="216" ht="15" customHeight="1">
      <c r="A216" s="70">
        <f>IF(C216="","",IFERROR(IF(SUMPRODUCT(MAX((tbl_Finance[Job Number]&amp;""=C216&amp;"")*(tbl_Finance[Xero Invoice No]&lt;&gt;"")*tbl_Finance[Date]))=0,"",SUMPRODUCT(MAX((tbl_Finance[Job Number]&amp;""=C216&amp;"")*(tbl_Finance[Xero Invoice No]&lt;&gt;"")*tbl_Finance[Date]))),""))</f>
        <v/>
      </c>
      <c r="B216" s="25">
        <f>IF(C216="","",IF(COUNTIFS(tbl_Finance[Job Number],C216&amp;"",tbl_Finance[Xero Invoice No],"&lt;&gt;")=0,"",IFERROR(IF(COUNTIFS(tbl_Finance[Job Number],C216&amp;"",tbl_Finance[Xero Invoice No],LOOKUP(2,1/((tbl_Finance[Job Number]&amp;""=C216&amp;"")*(tbl_Finance[Xero Invoice No]&lt;&gt;"")),tbl_Finance[Xero Invoice No]))=COUNTIFS(tbl_Finance[Job Number],C216&amp;"",tbl_Finance[Xero Invoice No],"&lt;&gt;"),LOOKUP(2,1/((tbl_Finance[Job Number]&amp;""=C216&amp;"")*(tbl_Finance[Xero Invoice No]&lt;&gt;"")),tbl_Finance[Xero Invoice No]),LOOKUP(2,1/((tbl_Finance[Job Number]&amp;""=C216&amp;"")*(tbl_Finance[Xero Invoice No]&lt;&gt;"")),tbl_Finance[Xero Invoice No])&amp;" +more"),"")))</f>
        <v/>
      </c>
      <c r="C216" s="24" t="n"/>
      <c r="D216" s="25">
        <f>IF(C216="","",IF(COUNTIF(lst_Jobs,C216&amp;"")&gt;0,"OK","CHECK"))</f>
        <v/>
      </c>
      <c r="E216" s="25">
        <f>IF(C216="","",IFERROR(INDEX(lst_JobName,MATCH(C216&amp;"",lst_Jobs,0)),""))</f>
        <v/>
      </c>
      <c r="F216" s="25">
        <f>IF(C216="","",IFERROR(INDEX(tbl_Finance[Client],IFERROR(MATCH(C216&amp;"",tbl_Finance[Job Number],0),MATCH(IFERROR(C216+0,C216),tbl_Finance[Job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6" t="n"/>
      <c r="L216" s="27">
        <f>IF(C216="","",IF(K216="",0,MAX(0,K216-H216)))</f>
        <v/>
      </c>
      <c r="M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N216" s="24" t="n"/>
      <c r="O216" s="25">
        <f>IF(N216="","",HYPERLINK(IF(LEFT(N216,4)="http",N216,set_QwilrBase&amp;N216),"Open quote"))</f>
        <v/>
      </c>
      <c r="P216" s="26" t="n"/>
      <c r="Q216" s="26" t="n"/>
      <c r="R216" s="26" t="n"/>
      <c r="S216" s="25">
        <f>IF(C216="","",IF(N(P216)+N(Q216)+N(R216)=0,"Not split",IF(ROUND(N(P216)+N(Q216)+N(R216),2)=ROUND(H216+L216,2),"OK",IF(G216=0,"Not invoiced yet","MISMATCH"))))</f>
        <v/>
      </c>
      <c r="T216" s="26" t="n"/>
      <c r="U216" s="26" t="n"/>
      <c r="V216" s="26" t="n"/>
      <c r="W216" s="27">
        <f>IF(C216="","",N(T216)+N(U216)+N(V216))</f>
        <v/>
      </c>
      <c r="X216" s="27">
        <f>IF(C216="","",H216+L216-W216)</f>
        <v/>
      </c>
      <c r="Y216" s="29">
        <f>IFERROR(X216/(H216+L216),"")</f>
        <v/>
      </c>
      <c r="Z216" s="24" t="n"/>
    </row>
    <row r="217" ht="15" customHeight="1">
      <c r="A217" s="70">
        <f>IF(C217="","",IFERROR(IF(SUMPRODUCT(MAX((tbl_Finance[Job Number]&amp;""=C217&amp;"")*(tbl_Finance[Xero Invoice No]&lt;&gt;"")*tbl_Finance[Date]))=0,"",SUMPRODUCT(MAX((tbl_Finance[Job Number]&amp;""=C217&amp;"")*(tbl_Finance[Xero Invoice No]&lt;&gt;"")*tbl_Finance[Date]))),""))</f>
        <v/>
      </c>
      <c r="B217" s="25">
        <f>IF(C217="","",IF(COUNTIFS(tbl_Finance[Job Number],C217&amp;"",tbl_Finance[Xero Invoice No],"&lt;&gt;")=0,"",IFERROR(IF(COUNTIFS(tbl_Finance[Job Number],C217&amp;"",tbl_Finance[Xero Invoice No],LOOKUP(2,1/((tbl_Finance[Job Number]&amp;""=C217&amp;"")*(tbl_Finance[Xero Invoice No]&lt;&gt;"")),tbl_Finance[Xero Invoice No]))=COUNTIFS(tbl_Finance[Job Number],C217&amp;"",tbl_Finance[Xero Invoice No],"&lt;&gt;"),LOOKUP(2,1/((tbl_Finance[Job Number]&amp;""=C217&amp;"")*(tbl_Finance[Xero Invoice No]&lt;&gt;"")),tbl_Finance[Xero Invoice No]),LOOKUP(2,1/((tbl_Finance[Job Number]&amp;""=C217&amp;"")*(tbl_Finance[Xero Invoice No]&lt;&gt;"")),tbl_Finance[Xero Invoice No])&amp;" +more"),"")))</f>
        <v/>
      </c>
      <c r="C217" s="24" t="n"/>
      <c r="D217" s="25">
        <f>IF(C217="","",IF(COUNTIF(lst_Jobs,C217&amp;"")&gt;0,"OK","CHECK"))</f>
        <v/>
      </c>
      <c r="E217" s="25">
        <f>IF(C217="","",IFERROR(INDEX(lst_JobName,MATCH(C217&amp;"",lst_Jobs,0)),""))</f>
        <v/>
      </c>
      <c r="F217" s="25">
        <f>IF(C217="","",IFERROR(INDEX(tbl_Finance[Client],IFERROR(MATCH(C217&amp;"",tbl_Finance[Job Number],0),MATCH(IFERROR(C217+0,C217),tbl_Finance[Job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6" t="n"/>
      <c r="L217" s="27">
        <f>IF(C217="","",IF(K217="",0,MAX(0,K217-H217)))</f>
        <v/>
      </c>
      <c r="M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N217" s="24" t="n"/>
      <c r="O217" s="25">
        <f>IF(N217="","",HYPERLINK(IF(LEFT(N217,4)="http",N217,set_QwilrBase&amp;N217),"Open quote"))</f>
        <v/>
      </c>
      <c r="P217" s="26" t="n"/>
      <c r="Q217" s="26" t="n"/>
      <c r="R217" s="26" t="n"/>
      <c r="S217" s="25">
        <f>IF(C217="","",IF(N(P217)+N(Q217)+N(R217)=0,"Not split",IF(ROUND(N(P217)+N(Q217)+N(R217),2)=ROUND(H217+L217,2),"OK",IF(G217=0,"Not invoiced yet","MISMATCH"))))</f>
        <v/>
      </c>
      <c r="T217" s="26" t="n"/>
      <c r="U217" s="26" t="n"/>
      <c r="V217" s="26" t="n"/>
      <c r="W217" s="27">
        <f>IF(C217="","",N(T217)+N(U217)+N(V217))</f>
        <v/>
      </c>
      <c r="X217" s="27">
        <f>IF(C217="","",H217+L217-W217)</f>
        <v/>
      </c>
      <c r="Y217" s="29">
        <f>IFERROR(X217/(H217+L217),"")</f>
        <v/>
      </c>
      <c r="Z217" s="24" t="n"/>
    </row>
    <row r="218" ht="15" customHeight="1">
      <c r="A218" s="70">
        <f>IF(C218="","",IFERROR(IF(SUMPRODUCT(MAX((tbl_Finance[Job Number]&amp;""=C218&amp;"")*(tbl_Finance[Xero Invoice No]&lt;&gt;"")*tbl_Finance[Date]))=0,"",SUMPRODUCT(MAX((tbl_Finance[Job Number]&amp;""=C218&amp;"")*(tbl_Finance[Xero Invoice No]&lt;&gt;"")*tbl_Finance[Date]))),""))</f>
        <v/>
      </c>
      <c r="B218" s="25">
        <f>IF(C218="","",IF(COUNTIFS(tbl_Finance[Job Number],C218&amp;"",tbl_Finance[Xero Invoice No],"&lt;&gt;")=0,"",IFERROR(IF(COUNTIFS(tbl_Finance[Job Number],C218&amp;"",tbl_Finance[Xero Invoice No],LOOKUP(2,1/((tbl_Finance[Job Number]&amp;""=C218&amp;"")*(tbl_Finance[Xero Invoice No]&lt;&gt;"")),tbl_Finance[Xero Invoice No]))=COUNTIFS(tbl_Finance[Job Number],C218&amp;"",tbl_Finance[Xero Invoice No],"&lt;&gt;"),LOOKUP(2,1/((tbl_Finance[Job Number]&amp;""=C218&amp;"")*(tbl_Finance[Xero Invoice No]&lt;&gt;"")),tbl_Finance[Xero Invoice No]),LOOKUP(2,1/((tbl_Finance[Job Number]&amp;""=C218&amp;"")*(tbl_Finance[Xero Invoice No]&lt;&gt;"")),tbl_Finance[Xero Invoice No])&amp;" +more"),"")))</f>
        <v/>
      </c>
      <c r="C218" s="24" t="n"/>
      <c r="D218" s="25">
        <f>IF(C218="","",IF(COUNTIF(lst_Jobs,C218&amp;"")&gt;0,"OK","CHECK"))</f>
        <v/>
      </c>
      <c r="E218" s="25">
        <f>IF(C218="","",IFERROR(INDEX(lst_JobName,MATCH(C218&amp;"",lst_Jobs,0)),""))</f>
        <v/>
      </c>
      <c r="F218" s="25">
        <f>IF(C218="","",IFERROR(INDEX(tbl_Finance[Client],IFERROR(MATCH(C218&amp;"",tbl_Finance[Job Number],0),MATCH(IFERROR(C218+0,C218),tbl_Finance[Job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6" t="n"/>
      <c r="L218" s="27">
        <f>IF(C218="","",IF(K218="",0,MAX(0,K218-H218)))</f>
        <v/>
      </c>
      <c r="M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N218" s="24" t="n"/>
      <c r="O218" s="25">
        <f>IF(N218="","",HYPERLINK(IF(LEFT(N218,4)="http",N218,set_QwilrBase&amp;N218),"Open quote"))</f>
        <v/>
      </c>
      <c r="P218" s="26" t="n"/>
      <c r="Q218" s="26" t="n"/>
      <c r="R218" s="26" t="n"/>
      <c r="S218" s="25">
        <f>IF(C218="","",IF(N(P218)+N(Q218)+N(R218)=0,"Not split",IF(ROUND(N(P218)+N(Q218)+N(R218),2)=ROUND(H218+L218,2),"OK",IF(G218=0,"Not invoiced yet","MISMATCH"))))</f>
        <v/>
      </c>
      <c r="T218" s="26" t="n"/>
      <c r="U218" s="26" t="n"/>
      <c r="V218" s="26" t="n"/>
      <c r="W218" s="27">
        <f>IF(C218="","",N(T218)+N(U218)+N(V218))</f>
        <v/>
      </c>
      <c r="X218" s="27">
        <f>IF(C218="","",H218+L218-W218)</f>
        <v/>
      </c>
      <c r="Y218" s="29">
        <f>IFERROR(X218/(H218+L218),"")</f>
        <v/>
      </c>
      <c r="Z218" s="24" t="n"/>
    </row>
    <row r="219" ht="15" customHeight="1">
      <c r="A219" s="70">
        <f>IF(C219="","",IFERROR(IF(SUMPRODUCT(MAX((tbl_Finance[Job Number]&amp;""=C219&amp;"")*(tbl_Finance[Xero Invoice No]&lt;&gt;"")*tbl_Finance[Date]))=0,"",SUMPRODUCT(MAX((tbl_Finance[Job Number]&amp;""=C219&amp;"")*(tbl_Finance[Xero Invoice No]&lt;&gt;"")*tbl_Finance[Date]))),""))</f>
        <v/>
      </c>
      <c r="B219" s="25">
        <f>IF(C219="","",IF(COUNTIFS(tbl_Finance[Job Number],C219&amp;"",tbl_Finance[Xero Invoice No],"&lt;&gt;")=0,"",IFERROR(IF(COUNTIFS(tbl_Finance[Job Number],C219&amp;"",tbl_Finance[Xero Invoice No],LOOKUP(2,1/((tbl_Finance[Job Number]&amp;""=C219&amp;"")*(tbl_Finance[Xero Invoice No]&lt;&gt;"")),tbl_Finance[Xero Invoice No]))=COUNTIFS(tbl_Finance[Job Number],C219&amp;"",tbl_Finance[Xero Invoice No],"&lt;&gt;"),LOOKUP(2,1/((tbl_Finance[Job Number]&amp;""=C219&amp;"")*(tbl_Finance[Xero Invoice No]&lt;&gt;"")),tbl_Finance[Xero Invoice No]),LOOKUP(2,1/((tbl_Finance[Job Number]&amp;""=C219&amp;"")*(tbl_Finance[Xero Invoice No]&lt;&gt;"")),tbl_Finance[Xero Invoice No])&amp;" +more"),"")))</f>
        <v/>
      </c>
      <c r="C219" s="24" t="n"/>
      <c r="D219" s="25">
        <f>IF(C219="","",IF(COUNTIF(lst_Jobs,C219&amp;"")&gt;0,"OK","CHECK"))</f>
        <v/>
      </c>
      <c r="E219" s="25">
        <f>IF(C219="","",IFERROR(INDEX(lst_JobName,MATCH(C219&amp;"",lst_Jobs,0)),""))</f>
        <v/>
      </c>
      <c r="F219" s="25">
        <f>IF(C219="","",IFERROR(INDEX(tbl_Finance[Client],IFERROR(MATCH(C219&amp;"",tbl_Finance[Job Number],0),MATCH(IFERROR(C219+0,C219),tbl_Finance[Job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6" t="n"/>
      <c r="L219" s="27">
        <f>IF(C219="","",IF(K219="",0,MAX(0,K219-H219)))</f>
        <v/>
      </c>
      <c r="M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N219" s="24" t="n"/>
      <c r="O219" s="25">
        <f>IF(N219="","",HYPERLINK(IF(LEFT(N219,4)="http",N219,set_QwilrBase&amp;N219),"Open quote"))</f>
        <v/>
      </c>
      <c r="P219" s="26" t="n"/>
      <c r="Q219" s="26" t="n"/>
      <c r="R219" s="26" t="n"/>
      <c r="S219" s="25">
        <f>IF(C219="","",IF(N(P219)+N(Q219)+N(R219)=0,"Not split",IF(ROUND(N(P219)+N(Q219)+N(R219),2)=ROUND(H219+L219,2),"OK",IF(G219=0,"Not invoiced yet","MISMATCH"))))</f>
        <v/>
      </c>
      <c r="T219" s="26" t="n"/>
      <c r="U219" s="26" t="n"/>
      <c r="V219" s="26" t="n"/>
      <c r="W219" s="27">
        <f>IF(C219="","",N(T219)+N(U219)+N(V219))</f>
        <v/>
      </c>
      <c r="X219" s="27">
        <f>IF(C219="","",H219+L219-W219)</f>
        <v/>
      </c>
      <c r="Y219" s="29">
        <f>IFERROR(X219/(H219+L219),"")</f>
        <v/>
      </c>
      <c r="Z219" s="24" t="n"/>
    </row>
    <row r="220" ht="15" customHeight="1">
      <c r="A220" s="70">
        <f>IF(C220="","",IFERROR(IF(SUMPRODUCT(MAX((tbl_Finance[Job Number]&amp;""=C220&amp;"")*(tbl_Finance[Xero Invoice No]&lt;&gt;"")*tbl_Finance[Date]))=0,"",SUMPRODUCT(MAX((tbl_Finance[Job Number]&amp;""=C220&amp;"")*(tbl_Finance[Xero Invoice No]&lt;&gt;"")*tbl_Finance[Date]))),""))</f>
        <v/>
      </c>
      <c r="B220" s="25">
        <f>IF(C220="","",IF(COUNTIFS(tbl_Finance[Job Number],C220&amp;"",tbl_Finance[Xero Invoice No],"&lt;&gt;")=0,"",IFERROR(IF(COUNTIFS(tbl_Finance[Job Number],C220&amp;"",tbl_Finance[Xero Invoice No],LOOKUP(2,1/((tbl_Finance[Job Number]&amp;""=C220&amp;"")*(tbl_Finance[Xero Invoice No]&lt;&gt;"")),tbl_Finance[Xero Invoice No]))=COUNTIFS(tbl_Finance[Job Number],C220&amp;"",tbl_Finance[Xero Invoice No],"&lt;&gt;"),LOOKUP(2,1/((tbl_Finance[Job Number]&amp;""=C220&amp;"")*(tbl_Finance[Xero Invoice No]&lt;&gt;"")),tbl_Finance[Xero Invoice No]),LOOKUP(2,1/((tbl_Finance[Job Number]&amp;""=C220&amp;"")*(tbl_Finance[Xero Invoice No]&lt;&gt;"")),tbl_Finance[Xero Invoice No])&amp;" +more"),"")))</f>
        <v/>
      </c>
      <c r="C220" s="24" t="n"/>
      <c r="D220" s="25">
        <f>IF(C220="","",IF(COUNTIF(lst_Jobs,C220&amp;"")&gt;0,"OK","CHECK"))</f>
        <v/>
      </c>
      <c r="E220" s="25">
        <f>IF(C220="","",IFERROR(INDEX(lst_JobName,MATCH(C220&amp;"",lst_Jobs,0)),""))</f>
        <v/>
      </c>
      <c r="F220" s="25">
        <f>IF(C220="","",IFERROR(INDEX(tbl_Finance[Client],IFERROR(MATCH(C220&amp;"",tbl_Finance[Job Number],0),MATCH(IFERROR(C220+0,C220),tbl_Finance[Job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6" t="n"/>
      <c r="L220" s="27">
        <f>IF(C220="","",IF(K220="",0,MAX(0,K220-H220)))</f>
        <v/>
      </c>
      <c r="M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N220" s="24" t="n"/>
      <c r="O220" s="25">
        <f>IF(N220="","",HYPERLINK(IF(LEFT(N220,4)="http",N220,set_QwilrBase&amp;N220),"Open quote"))</f>
        <v/>
      </c>
      <c r="P220" s="26" t="n"/>
      <c r="Q220" s="26" t="n"/>
      <c r="R220" s="26" t="n"/>
      <c r="S220" s="25">
        <f>IF(C220="","",IF(N(P220)+N(Q220)+N(R220)=0,"Not split",IF(ROUND(N(P220)+N(Q220)+N(R220),2)=ROUND(H220+L220,2),"OK",IF(G220=0,"Not invoiced yet","MISMATCH"))))</f>
        <v/>
      </c>
      <c r="T220" s="26" t="n"/>
      <c r="U220" s="26" t="n"/>
      <c r="V220" s="26" t="n"/>
      <c r="W220" s="27">
        <f>IF(C220="","",N(T220)+N(U220)+N(V220))</f>
        <v/>
      </c>
      <c r="X220" s="27">
        <f>IF(C220="","",H220+L220-W220)</f>
        <v/>
      </c>
      <c r="Y220" s="29">
        <f>IFERROR(X220/(H220+L220),"")</f>
        <v/>
      </c>
      <c r="Z220" s="24" t="n"/>
    </row>
    <row r="221" ht="15" customHeight="1">
      <c r="A221" s="70">
        <f>IF(C221="","",IFERROR(IF(SUMPRODUCT(MAX((tbl_Finance[Job Number]&amp;""=C221&amp;"")*(tbl_Finance[Xero Invoice No]&lt;&gt;"")*tbl_Finance[Date]))=0,"",SUMPRODUCT(MAX((tbl_Finance[Job Number]&amp;""=C221&amp;"")*(tbl_Finance[Xero Invoice No]&lt;&gt;"")*tbl_Finance[Date]))),""))</f>
        <v/>
      </c>
      <c r="B221" s="25">
        <f>IF(C221="","",IF(COUNTIFS(tbl_Finance[Job Number],C221&amp;"",tbl_Finance[Xero Invoice No],"&lt;&gt;")=0,"",IFERROR(IF(COUNTIFS(tbl_Finance[Job Number],C221&amp;"",tbl_Finance[Xero Invoice No],LOOKUP(2,1/((tbl_Finance[Job Number]&amp;""=C221&amp;"")*(tbl_Finance[Xero Invoice No]&lt;&gt;"")),tbl_Finance[Xero Invoice No]))=COUNTIFS(tbl_Finance[Job Number],C221&amp;"",tbl_Finance[Xero Invoice No],"&lt;&gt;"),LOOKUP(2,1/((tbl_Finance[Job Number]&amp;""=C221&amp;"")*(tbl_Finance[Xero Invoice No]&lt;&gt;"")),tbl_Finance[Xero Invoice No]),LOOKUP(2,1/((tbl_Finance[Job Number]&amp;""=C221&amp;"")*(tbl_Finance[Xero Invoice No]&lt;&gt;"")),tbl_Finance[Xero Invoice No])&amp;" +more"),"")))</f>
        <v/>
      </c>
      <c r="C221" s="24" t="n"/>
      <c r="D221" s="25">
        <f>IF(C221="","",IF(COUNTIF(lst_Jobs,C221&amp;"")&gt;0,"OK","CHECK"))</f>
        <v/>
      </c>
      <c r="E221" s="25">
        <f>IF(C221="","",IFERROR(INDEX(lst_JobName,MATCH(C221&amp;"",lst_Jobs,0)),""))</f>
        <v/>
      </c>
      <c r="F221" s="25">
        <f>IF(C221="","",IFERROR(INDEX(tbl_Finance[Client],IFERROR(MATCH(C221&amp;"",tbl_Finance[Job Number],0),MATCH(IFERROR(C221+0,C221),tbl_Finance[Job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6" t="n"/>
      <c r="L221" s="27">
        <f>IF(C221="","",IF(K221="",0,MAX(0,K221-H221)))</f>
        <v/>
      </c>
      <c r="M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N221" s="24" t="n"/>
      <c r="O221" s="25">
        <f>IF(N221="","",HYPERLINK(IF(LEFT(N221,4)="http",N221,set_QwilrBase&amp;N221),"Open quote"))</f>
        <v/>
      </c>
      <c r="P221" s="26" t="n"/>
      <c r="Q221" s="26" t="n"/>
      <c r="R221" s="26" t="n"/>
      <c r="S221" s="25">
        <f>IF(C221="","",IF(N(P221)+N(Q221)+N(R221)=0,"Not split",IF(ROUND(N(P221)+N(Q221)+N(R221),2)=ROUND(H221+L221,2),"OK",IF(G221=0,"Not invoiced yet","MISMATCH"))))</f>
        <v/>
      </c>
      <c r="T221" s="26" t="n"/>
      <c r="U221" s="26" t="n"/>
      <c r="V221" s="26" t="n"/>
      <c r="W221" s="27">
        <f>IF(C221="","",N(T221)+N(U221)+N(V221))</f>
        <v/>
      </c>
      <c r="X221" s="27">
        <f>IF(C221="","",H221+L221-W221)</f>
        <v/>
      </c>
      <c r="Y221" s="29">
        <f>IFERROR(X221/(H221+L221),"")</f>
        <v/>
      </c>
      <c r="Z221" s="24" t="n"/>
    </row>
    <row r="222" ht="15" customHeight="1">
      <c r="A222" s="70">
        <f>IF(C222="","",IFERROR(IF(SUMPRODUCT(MAX((tbl_Finance[Job Number]&amp;""=C222&amp;"")*(tbl_Finance[Xero Invoice No]&lt;&gt;"")*tbl_Finance[Date]))=0,"",SUMPRODUCT(MAX((tbl_Finance[Job Number]&amp;""=C222&amp;"")*(tbl_Finance[Xero Invoice No]&lt;&gt;"")*tbl_Finance[Date]))),""))</f>
        <v/>
      </c>
      <c r="B222" s="25">
        <f>IF(C222="","",IF(COUNTIFS(tbl_Finance[Job Number],C222&amp;"",tbl_Finance[Xero Invoice No],"&lt;&gt;")=0,"",IFERROR(IF(COUNTIFS(tbl_Finance[Job Number],C222&amp;"",tbl_Finance[Xero Invoice No],LOOKUP(2,1/((tbl_Finance[Job Number]&amp;""=C222&amp;"")*(tbl_Finance[Xero Invoice No]&lt;&gt;"")),tbl_Finance[Xero Invoice No]))=COUNTIFS(tbl_Finance[Job Number],C222&amp;"",tbl_Finance[Xero Invoice No],"&lt;&gt;"),LOOKUP(2,1/((tbl_Finance[Job Number]&amp;""=C222&amp;"")*(tbl_Finance[Xero Invoice No]&lt;&gt;"")),tbl_Finance[Xero Invoice No]),LOOKUP(2,1/((tbl_Finance[Job Number]&amp;""=C222&amp;"")*(tbl_Finance[Xero Invoice No]&lt;&gt;"")),tbl_Finance[Xero Invoice No])&amp;" +more"),"")))</f>
        <v/>
      </c>
      <c r="C222" s="24" t="n"/>
      <c r="D222" s="25">
        <f>IF(C222="","",IF(COUNTIF(lst_Jobs,C222&amp;"")&gt;0,"OK","CHECK"))</f>
        <v/>
      </c>
      <c r="E222" s="25">
        <f>IF(C222="","",IFERROR(INDEX(lst_JobName,MATCH(C222&amp;"",lst_Jobs,0)),""))</f>
        <v/>
      </c>
      <c r="F222" s="25">
        <f>IF(C222="","",IFERROR(INDEX(tbl_Finance[Client],IFERROR(MATCH(C222&amp;"",tbl_Finance[Job Number],0),MATCH(IFERROR(C222+0,C222),tbl_Finance[Job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6" t="n"/>
      <c r="L222" s="27">
        <f>IF(C222="","",IF(K222="",0,MAX(0,K222-H222)))</f>
        <v/>
      </c>
      <c r="M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N222" s="24" t="n"/>
      <c r="O222" s="25">
        <f>IF(N222="","",HYPERLINK(IF(LEFT(N222,4)="http",N222,set_QwilrBase&amp;N222),"Open quote"))</f>
        <v/>
      </c>
      <c r="P222" s="26" t="n"/>
      <c r="Q222" s="26" t="n"/>
      <c r="R222" s="26" t="n"/>
      <c r="S222" s="25">
        <f>IF(C222="","",IF(N(P222)+N(Q222)+N(R222)=0,"Not split",IF(ROUND(N(P222)+N(Q222)+N(R222),2)=ROUND(H222+L222,2),"OK",IF(G222=0,"Not invoiced yet","MISMATCH"))))</f>
        <v/>
      </c>
      <c r="T222" s="26" t="n"/>
      <c r="U222" s="26" t="n"/>
      <c r="V222" s="26" t="n"/>
      <c r="W222" s="27">
        <f>IF(C222="","",N(T222)+N(U222)+N(V222))</f>
        <v/>
      </c>
      <c r="X222" s="27">
        <f>IF(C222="","",H222+L222-W222)</f>
        <v/>
      </c>
      <c r="Y222" s="29">
        <f>IFERROR(X222/(H222+L222),"")</f>
        <v/>
      </c>
      <c r="Z222" s="24" t="n"/>
    </row>
    <row r="223" ht="15" customHeight="1">
      <c r="A223" s="70">
        <f>IF(C223="","",IFERROR(IF(SUMPRODUCT(MAX((tbl_Finance[Job Number]&amp;""=C223&amp;"")*(tbl_Finance[Xero Invoice No]&lt;&gt;"")*tbl_Finance[Date]))=0,"",SUMPRODUCT(MAX((tbl_Finance[Job Number]&amp;""=C223&amp;"")*(tbl_Finance[Xero Invoice No]&lt;&gt;"")*tbl_Finance[Date]))),""))</f>
        <v/>
      </c>
      <c r="B223" s="25">
        <f>IF(C223="","",IF(COUNTIFS(tbl_Finance[Job Number],C223&amp;"",tbl_Finance[Xero Invoice No],"&lt;&gt;")=0,"",IFERROR(IF(COUNTIFS(tbl_Finance[Job Number],C223&amp;"",tbl_Finance[Xero Invoice No],LOOKUP(2,1/((tbl_Finance[Job Number]&amp;""=C223&amp;"")*(tbl_Finance[Xero Invoice No]&lt;&gt;"")),tbl_Finance[Xero Invoice No]))=COUNTIFS(tbl_Finance[Job Number],C223&amp;"",tbl_Finance[Xero Invoice No],"&lt;&gt;"),LOOKUP(2,1/((tbl_Finance[Job Number]&amp;""=C223&amp;"")*(tbl_Finance[Xero Invoice No]&lt;&gt;"")),tbl_Finance[Xero Invoice No]),LOOKUP(2,1/((tbl_Finance[Job Number]&amp;""=C223&amp;"")*(tbl_Finance[Xero Invoice No]&lt;&gt;"")),tbl_Finance[Xero Invoice No])&amp;" +more"),"")))</f>
        <v/>
      </c>
      <c r="C223" s="24" t="n"/>
      <c r="D223" s="25">
        <f>IF(C223="","",IF(COUNTIF(lst_Jobs,C223&amp;"")&gt;0,"OK","CHECK"))</f>
        <v/>
      </c>
      <c r="E223" s="25">
        <f>IF(C223="","",IFERROR(INDEX(lst_JobName,MATCH(C223&amp;"",lst_Jobs,0)),""))</f>
        <v/>
      </c>
      <c r="F223" s="25">
        <f>IF(C223="","",IFERROR(INDEX(tbl_Finance[Client],IFERROR(MATCH(C223&amp;"",tbl_Finance[Job Number],0),MATCH(IFERROR(C223+0,C223),tbl_Finance[Job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6" t="n"/>
      <c r="L223" s="27">
        <f>IF(C223="","",IF(K223="",0,MAX(0,K223-H223)))</f>
        <v/>
      </c>
      <c r="M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N223" s="24" t="n"/>
      <c r="O223" s="25">
        <f>IF(N223="","",HYPERLINK(IF(LEFT(N223,4)="http",N223,set_QwilrBase&amp;N223),"Open quote"))</f>
        <v/>
      </c>
      <c r="P223" s="26" t="n"/>
      <c r="Q223" s="26" t="n"/>
      <c r="R223" s="26" t="n"/>
      <c r="S223" s="25">
        <f>IF(C223="","",IF(N(P223)+N(Q223)+N(R223)=0,"Not split",IF(ROUND(N(P223)+N(Q223)+N(R223),2)=ROUND(H223+L223,2),"OK",IF(G223=0,"Not invoiced yet","MISMATCH"))))</f>
        <v/>
      </c>
      <c r="T223" s="26" t="n"/>
      <c r="U223" s="26" t="n"/>
      <c r="V223" s="26" t="n"/>
      <c r="W223" s="27">
        <f>IF(C223="","",N(T223)+N(U223)+N(V223))</f>
        <v/>
      </c>
      <c r="X223" s="27">
        <f>IF(C223="","",H223+L223-W223)</f>
        <v/>
      </c>
      <c r="Y223" s="29">
        <f>IFERROR(X223/(H223+L223),"")</f>
        <v/>
      </c>
      <c r="Z223" s="24" t="n"/>
    </row>
    <row r="224" ht="15" customHeight="1">
      <c r="A224" s="70">
        <f>IF(C224="","",IFERROR(IF(SUMPRODUCT(MAX((tbl_Finance[Job Number]&amp;""=C224&amp;"")*(tbl_Finance[Xero Invoice No]&lt;&gt;"")*tbl_Finance[Date]))=0,"",SUMPRODUCT(MAX((tbl_Finance[Job Number]&amp;""=C224&amp;"")*(tbl_Finance[Xero Invoice No]&lt;&gt;"")*tbl_Finance[Date]))),""))</f>
        <v/>
      </c>
      <c r="B224" s="25">
        <f>IF(C224="","",IF(COUNTIFS(tbl_Finance[Job Number],C224&amp;"",tbl_Finance[Xero Invoice No],"&lt;&gt;")=0,"",IFERROR(IF(COUNTIFS(tbl_Finance[Job Number],C224&amp;"",tbl_Finance[Xero Invoice No],LOOKUP(2,1/((tbl_Finance[Job Number]&amp;""=C224&amp;"")*(tbl_Finance[Xero Invoice No]&lt;&gt;"")),tbl_Finance[Xero Invoice No]))=COUNTIFS(tbl_Finance[Job Number],C224&amp;"",tbl_Finance[Xero Invoice No],"&lt;&gt;"),LOOKUP(2,1/((tbl_Finance[Job Number]&amp;""=C224&amp;"")*(tbl_Finance[Xero Invoice No]&lt;&gt;"")),tbl_Finance[Xero Invoice No]),LOOKUP(2,1/((tbl_Finance[Job Number]&amp;""=C224&amp;"")*(tbl_Finance[Xero Invoice No]&lt;&gt;"")),tbl_Finance[Xero Invoice No])&amp;" +more"),"")))</f>
        <v/>
      </c>
      <c r="C224" s="24" t="n"/>
      <c r="D224" s="25">
        <f>IF(C224="","",IF(COUNTIF(lst_Jobs,C224&amp;"")&gt;0,"OK","CHECK"))</f>
        <v/>
      </c>
      <c r="E224" s="25">
        <f>IF(C224="","",IFERROR(INDEX(lst_JobName,MATCH(C224&amp;"",lst_Jobs,0)),""))</f>
        <v/>
      </c>
      <c r="F224" s="25">
        <f>IF(C224="","",IFERROR(INDEX(tbl_Finance[Client],IFERROR(MATCH(C224&amp;"",tbl_Finance[Job Number],0),MATCH(IFERROR(C224+0,C224),tbl_Finance[Job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6" t="n"/>
      <c r="L224" s="27">
        <f>IF(C224="","",IF(K224="",0,MAX(0,K224-H224)))</f>
        <v/>
      </c>
      <c r="M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N224" s="24" t="n"/>
      <c r="O224" s="25">
        <f>IF(N224="","",HYPERLINK(IF(LEFT(N224,4)="http",N224,set_QwilrBase&amp;N224),"Open quote"))</f>
        <v/>
      </c>
      <c r="P224" s="26" t="n"/>
      <c r="Q224" s="26" t="n"/>
      <c r="R224" s="26" t="n"/>
      <c r="S224" s="25">
        <f>IF(C224="","",IF(N(P224)+N(Q224)+N(R224)=0,"Not split",IF(ROUND(N(P224)+N(Q224)+N(R224),2)=ROUND(H224+L224,2),"OK",IF(G224=0,"Not invoiced yet","MISMATCH"))))</f>
        <v/>
      </c>
      <c r="T224" s="26" t="n"/>
      <c r="U224" s="26" t="n"/>
      <c r="V224" s="26" t="n"/>
      <c r="W224" s="27">
        <f>IF(C224="","",N(T224)+N(U224)+N(V224))</f>
        <v/>
      </c>
      <c r="X224" s="27">
        <f>IF(C224="","",H224+L224-W224)</f>
        <v/>
      </c>
      <c r="Y224" s="29">
        <f>IFERROR(X224/(H224+L224),"")</f>
        <v/>
      </c>
      <c r="Z224" s="24" t="n"/>
    </row>
    <row r="225" ht="15" customHeight="1">
      <c r="A225" s="70">
        <f>IF(C225="","",IFERROR(IF(SUMPRODUCT(MAX((tbl_Finance[Job Number]&amp;""=C225&amp;"")*(tbl_Finance[Xero Invoice No]&lt;&gt;"")*tbl_Finance[Date]))=0,"",SUMPRODUCT(MAX((tbl_Finance[Job Number]&amp;""=C225&amp;"")*(tbl_Finance[Xero Invoice No]&lt;&gt;"")*tbl_Finance[Date]))),""))</f>
        <v/>
      </c>
      <c r="B225" s="25">
        <f>IF(C225="","",IF(COUNTIFS(tbl_Finance[Job Number],C225&amp;"",tbl_Finance[Xero Invoice No],"&lt;&gt;")=0,"",IFERROR(IF(COUNTIFS(tbl_Finance[Job Number],C225&amp;"",tbl_Finance[Xero Invoice No],LOOKUP(2,1/((tbl_Finance[Job Number]&amp;""=C225&amp;"")*(tbl_Finance[Xero Invoice No]&lt;&gt;"")),tbl_Finance[Xero Invoice No]))=COUNTIFS(tbl_Finance[Job Number],C225&amp;"",tbl_Finance[Xero Invoice No],"&lt;&gt;"),LOOKUP(2,1/((tbl_Finance[Job Number]&amp;""=C225&amp;"")*(tbl_Finance[Xero Invoice No]&lt;&gt;"")),tbl_Finance[Xero Invoice No]),LOOKUP(2,1/((tbl_Finance[Job Number]&amp;""=C225&amp;"")*(tbl_Finance[Xero Invoice No]&lt;&gt;"")),tbl_Finance[Xero Invoice No])&amp;" +more"),"")))</f>
        <v/>
      </c>
      <c r="C225" s="24" t="n"/>
      <c r="D225" s="25">
        <f>IF(C225="","",IF(COUNTIF(lst_Jobs,C225&amp;"")&gt;0,"OK","CHECK"))</f>
        <v/>
      </c>
      <c r="E225" s="25">
        <f>IF(C225="","",IFERROR(INDEX(lst_JobName,MATCH(C225&amp;"",lst_Jobs,0)),""))</f>
        <v/>
      </c>
      <c r="F225" s="25">
        <f>IF(C225="","",IFERROR(INDEX(tbl_Finance[Client],IFERROR(MATCH(C225&amp;"",tbl_Finance[Job Number],0),MATCH(IFERROR(C225+0,C225),tbl_Finance[Job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6" t="n"/>
      <c r="L225" s="27">
        <f>IF(C225="","",IF(K225="",0,MAX(0,K225-H225)))</f>
        <v/>
      </c>
      <c r="M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N225" s="24" t="n"/>
      <c r="O225" s="25">
        <f>IF(N225="","",HYPERLINK(IF(LEFT(N225,4)="http",N225,set_QwilrBase&amp;N225),"Open quote"))</f>
        <v/>
      </c>
      <c r="P225" s="26" t="n"/>
      <c r="Q225" s="26" t="n"/>
      <c r="R225" s="26" t="n"/>
      <c r="S225" s="25">
        <f>IF(C225="","",IF(N(P225)+N(Q225)+N(R225)=0,"Not split",IF(ROUND(N(P225)+N(Q225)+N(R225),2)=ROUND(H225+L225,2),"OK",IF(G225=0,"Not invoiced yet","MISMATCH"))))</f>
        <v/>
      </c>
      <c r="T225" s="26" t="n"/>
      <c r="U225" s="26" t="n"/>
      <c r="V225" s="26" t="n"/>
      <c r="W225" s="27">
        <f>IF(C225="","",N(T225)+N(U225)+N(V225))</f>
        <v/>
      </c>
      <c r="X225" s="27">
        <f>IF(C225="","",H225+L225-W225)</f>
        <v/>
      </c>
      <c r="Y225" s="29">
        <f>IFERROR(X225/(H225+L225),"")</f>
        <v/>
      </c>
      <c r="Z225" s="24" t="n"/>
    </row>
    <row r="226" ht="15" customHeight="1">
      <c r="A226" s="70">
        <f>IF(C226="","",IFERROR(IF(SUMPRODUCT(MAX((tbl_Finance[Job Number]&amp;""=C226&amp;"")*(tbl_Finance[Xero Invoice No]&lt;&gt;"")*tbl_Finance[Date]))=0,"",SUMPRODUCT(MAX((tbl_Finance[Job Number]&amp;""=C226&amp;"")*(tbl_Finance[Xero Invoice No]&lt;&gt;"")*tbl_Finance[Date]))),""))</f>
        <v/>
      </c>
      <c r="B226" s="25">
        <f>IF(C226="","",IF(COUNTIFS(tbl_Finance[Job Number],C226&amp;"",tbl_Finance[Xero Invoice No],"&lt;&gt;")=0,"",IFERROR(IF(COUNTIFS(tbl_Finance[Job Number],C226&amp;"",tbl_Finance[Xero Invoice No],LOOKUP(2,1/((tbl_Finance[Job Number]&amp;""=C226&amp;"")*(tbl_Finance[Xero Invoice No]&lt;&gt;"")),tbl_Finance[Xero Invoice No]))=COUNTIFS(tbl_Finance[Job Number],C226&amp;"",tbl_Finance[Xero Invoice No],"&lt;&gt;"),LOOKUP(2,1/((tbl_Finance[Job Number]&amp;""=C226&amp;"")*(tbl_Finance[Xero Invoice No]&lt;&gt;"")),tbl_Finance[Xero Invoice No]),LOOKUP(2,1/((tbl_Finance[Job Number]&amp;""=C226&amp;"")*(tbl_Finance[Xero Invoice No]&lt;&gt;"")),tbl_Finance[Xero Invoice No])&amp;" +more"),"")))</f>
        <v/>
      </c>
      <c r="C226" s="24" t="n"/>
      <c r="D226" s="25">
        <f>IF(C226="","",IF(COUNTIF(lst_Jobs,C226&amp;"")&gt;0,"OK","CHECK"))</f>
        <v/>
      </c>
      <c r="E226" s="25">
        <f>IF(C226="","",IFERROR(INDEX(lst_JobName,MATCH(C226&amp;"",lst_Jobs,0)),""))</f>
        <v/>
      </c>
      <c r="F226" s="25">
        <f>IF(C226="","",IFERROR(INDEX(tbl_Finance[Client],IFERROR(MATCH(C226&amp;"",tbl_Finance[Job Number],0),MATCH(IFERROR(C226+0,C226),tbl_Finance[Job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6" t="n"/>
      <c r="L226" s="27">
        <f>IF(C226="","",IF(K226="",0,MAX(0,K226-H226)))</f>
        <v/>
      </c>
      <c r="M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N226" s="24" t="n"/>
      <c r="O226" s="25">
        <f>IF(N226="","",HYPERLINK(IF(LEFT(N226,4)="http",N226,set_QwilrBase&amp;N226),"Open quote"))</f>
        <v/>
      </c>
      <c r="P226" s="26" t="n"/>
      <c r="Q226" s="26" t="n"/>
      <c r="R226" s="26" t="n"/>
      <c r="S226" s="25">
        <f>IF(C226="","",IF(N(P226)+N(Q226)+N(R226)=0,"Not split",IF(ROUND(N(P226)+N(Q226)+N(R226),2)=ROUND(H226+L226,2),"OK",IF(G226=0,"Not invoiced yet","MISMATCH"))))</f>
        <v/>
      </c>
      <c r="T226" s="26" t="n"/>
      <c r="U226" s="26" t="n"/>
      <c r="V226" s="26" t="n"/>
      <c r="W226" s="27">
        <f>IF(C226="","",N(T226)+N(U226)+N(V226))</f>
        <v/>
      </c>
      <c r="X226" s="27">
        <f>IF(C226="","",H226+L226-W226)</f>
        <v/>
      </c>
      <c r="Y226" s="29">
        <f>IFERROR(X226/(H226+L226),"")</f>
        <v/>
      </c>
      <c r="Z226" s="24" t="n"/>
    </row>
    <row r="227" ht="15" customHeight="1">
      <c r="A227" s="70">
        <f>IF(C227="","",IFERROR(IF(SUMPRODUCT(MAX((tbl_Finance[Job Number]&amp;""=C227&amp;"")*(tbl_Finance[Xero Invoice No]&lt;&gt;"")*tbl_Finance[Date]))=0,"",SUMPRODUCT(MAX((tbl_Finance[Job Number]&amp;""=C227&amp;"")*(tbl_Finance[Xero Invoice No]&lt;&gt;"")*tbl_Finance[Date]))),""))</f>
        <v/>
      </c>
      <c r="B227" s="25">
        <f>IF(C227="","",IF(COUNTIFS(tbl_Finance[Job Number],C227&amp;"",tbl_Finance[Xero Invoice No],"&lt;&gt;")=0,"",IFERROR(IF(COUNTIFS(tbl_Finance[Job Number],C227&amp;"",tbl_Finance[Xero Invoice No],LOOKUP(2,1/((tbl_Finance[Job Number]&amp;""=C227&amp;"")*(tbl_Finance[Xero Invoice No]&lt;&gt;"")),tbl_Finance[Xero Invoice No]))=COUNTIFS(tbl_Finance[Job Number],C227&amp;"",tbl_Finance[Xero Invoice No],"&lt;&gt;"),LOOKUP(2,1/((tbl_Finance[Job Number]&amp;""=C227&amp;"")*(tbl_Finance[Xero Invoice No]&lt;&gt;"")),tbl_Finance[Xero Invoice No]),LOOKUP(2,1/((tbl_Finance[Job Number]&amp;""=C227&amp;"")*(tbl_Finance[Xero Invoice No]&lt;&gt;"")),tbl_Finance[Xero Invoice No])&amp;" +more"),"")))</f>
        <v/>
      </c>
      <c r="C227" s="24" t="n"/>
      <c r="D227" s="25">
        <f>IF(C227="","",IF(COUNTIF(lst_Jobs,C227&amp;"")&gt;0,"OK","CHECK"))</f>
        <v/>
      </c>
      <c r="E227" s="25">
        <f>IF(C227="","",IFERROR(INDEX(lst_JobName,MATCH(C227&amp;"",lst_Jobs,0)),""))</f>
        <v/>
      </c>
      <c r="F227" s="25">
        <f>IF(C227="","",IFERROR(INDEX(tbl_Finance[Client],IFERROR(MATCH(C227&amp;"",tbl_Finance[Job Number],0),MATCH(IFERROR(C227+0,C227),tbl_Finance[Job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6" t="n"/>
      <c r="L227" s="27">
        <f>IF(C227="","",IF(K227="",0,MAX(0,K227-H227)))</f>
        <v/>
      </c>
      <c r="M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N227" s="24" t="n"/>
      <c r="O227" s="25">
        <f>IF(N227="","",HYPERLINK(IF(LEFT(N227,4)="http",N227,set_QwilrBase&amp;N227),"Open quote"))</f>
        <v/>
      </c>
      <c r="P227" s="26" t="n"/>
      <c r="Q227" s="26" t="n"/>
      <c r="R227" s="26" t="n"/>
      <c r="S227" s="25">
        <f>IF(C227="","",IF(N(P227)+N(Q227)+N(R227)=0,"Not split",IF(ROUND(N(P227)+N(Q227)+N(R227),2)=ROUND(H227+L227,2),"OK",IF(G227=0,"Not invoiced yet","MISMATCH"))))</f>
        <v/>
      </c>
      <c r="T227" s="26" t="n"/>
      <c r="U227" s="26" t="n"/>
      <c r="V227" s="26" t="n"/>
      <c r="W227" s="27">
        <f>IF(C227="","",N(T227)+N(U227)+N(V227))</f>
        <v/>
      </c>
      <c r="X227" s="27">
        <f>IF(C227="","",H227+L227-W227)</f>
        <v/>
      </c>
      <c r="Y227" s="29">
        <f>IFERROR(X227/(H227+L227),"")</f>
        <v/>
      </c>
      <c r="Z227" s="24" t="n"/>
    </row>
    <row r="228" ht="15" customHeight="1">
      <c r="A228" s="70">
        <f>IF(C228="","",IFERROR(IF(SUMPRODUCT(MAX((tbl_Finance[Job Number]&amp;""=C228&amp;"")*(tbl_Finance[Xero Invoice No]&lt;&gt;"")*tbl_Finance[Date]))=0,"",SUMPRODUCT(MAX((tbl_Finance[Job Number]&amp;""=C228&amp;"")*(tbl_Finance[Xero Invoice No]&lt;&gt;"")*tbl_Finance[Date]))),""))</f>
        <v/>
      </c>
      <c r="B228" s="25">
        <f>IF(C228="","",IF(COUNTIFS(tbl_Finance[Job Number],C228&amp;"",tbl_Finance[Xero Invoice No],"&lt;&gt;")=0,"",IFERROR(IF(COUNTIFS(tbl_Finance[Job Number],C228&amp;"",tbl_Finance[Xero Invoice No],LOOKUP(2,1/((tbl_Finance[Job Number]&amp;""=C228&amp;"")*(tbl_Finance[Xero Invoice No]&lt;&gt;"")),tbl_Finance[Xero Invoice No]))=COUNTIFS(tbl_Finance[Job Number],C228&amp;"",tbl_Finance[Xero Invoice No],"&lt;&gt;"),LOOKUP(2,1/((tbl_Finance[Job Number]&amp;""=C228&amp;"")*(tbl_Finance[Xero Invoice No]&lt;&gt;"")),tbl_Finance[Xero Invoice No]),LOOKUP(2,1/((tbl_Finance[Job Number]&amp;""=C228&amp;"")*(tbl_Finance[Xero Invoice No]&lt;&gt;"")),tbl_Finance[Xero Invoice No])&amp;" +more"),"")))</f>
        <v/>
      </c>
      <c r="C228" s="24" t="n"/>
      <c r="D228" s="25">
        <f>IF(C228="","",IF(COUNTIF(lst_Jobs,C228&amp;"")&gt;0,"OK","CHECK"))</f>
        <v/>
      </c>
      <c r="E228" s="25">
        <f>IF(C228="","",IFERROR(INDEX(lst_JobName,MATCH(C228&amp;"",lst_Jobs,0)),""))</f>
        <v/>
      </c>
      <c r="F228" s="25">
        <f>IF(C228="","",IFERROR(INDEX(tbl_Finance[Client],IFERROR(MATCH(C228&amp;"",tbl_Finance[Job Number],0),MATCH(IFERROR(C228+0,C228),tbl_Finance[Job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6" t="n"/>
      <c r="L228" s="27">
        <f>IF(C228="","",IF(K228="",0,MAX(0,K228-H228)))</f>
        <v/>
      </c>
      <c r="M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N228" s="24" t="n"/>
      <c r="O228" s="25">
        <f>IF(N228="","",HYPERLINK(IF(LEFT(N228,4)="http",N228,set_QwilrBase&amp;N228),"Open quote"))</f>
        <v/>
      </c>
      <c r="P228" s="26" t="n"/>
      <c r="Q228" s="26" t="n"/>
      <c r="R228" s="26" t="n"/>
      <c r="S228" s="25">
        <f>IF(C228="","",IF(N(P228)+N(Q228)+N(R228)=0,"Not split",IF(ROUND(N(P228)+N(Q228)+N(R228),2)=ROUND(H228+L228,2),"OK",IF(G228=0,"Not invoiced yet","MISMATCH"))))</f>
        <v/>
      </c>
      <c r="T228" s="26" t="n"/>
      <c r="U228" s="26" t="n"/>
      <c r="V228" s="26" t="n"/>
      <c r="W228" s="27">
        <f>IF(C228="","",N(T228)+N(U228)+N(V228))</f>
        <v/>
      </c>
      <c r="X228" s="27">
        <f>IF(C228="","",H228+L228-W228)</f>
        <v/>
      </c>
      <c r="Y228" s="29">
        <f>IFERROR(X228/(H228+L228),"")</f>
        <v/>
      </c>
      <c r="Z228" s="24" t="n"/>
    </row>
    <row r="229" ht="15" customHeight="1">
      <c r="A229" s="70">
        <f>IF(C229="","",IFERROR(IF(SUMPRODUCT(MAX((tbl_Finance[Job Number]&amp;""=C229&amp;"")*(tbl_Finance[Xero Invoice No]&lt;&gt;"")*tbl_Finance[Date]))=0,"",SUMPRODUCT(MAX((tbl_Finance[Job Number]&amp;""=C229&amp;"")*(tbl_Finance[Xero Invoice No]&lt;&gt;"")*tbl_Finance[Date]))),""))</f>
        <v/>
      </c>
      <c r="B229" s="25">
        <f>IF(C229="","",IF(COUNTIFS(tbl_Finance[Job Number],C229&amp;"",tbl_Finance[Xero Invoice No],"&lt;&gt;")=0,"",IFERROR(IF(COUNTIFS(tbl_Finance[Job Number],C229&amp;"",tbl_Finance[Xero Invoice No],LOOKUP(2,1/((tbl_Finance[Job Number]&amp;""=C229&amp;"")*(tbl_Finance[Xero Invoice No]&lt;&gt;"")),tbl_Finance[Xero Invoice No]))=COUNTIFS(tbl_Finance[Job Number],C229&amp;"",tbl_Finance[Xero Invoice No],"&lt;&gt;"),LOOKUP(2,1/((tbl_Finance[Job Number]&amp;""=C229&amp;"")*(tbl_Finance[Xero Invoice No]&lt;&gt;"")),tbl_Finance[Xero Invoice No]),LOOKUP(2,1/((tbl_Finance[Job Number]&amp;""=C229&amp;"")*(tbl_Finance[Xero Invoice No]&lt;&gt;"")),tbl_Finance[Xero Invoice No])&amp;" +more"),"")))</f>
        <v/>
      </c>
      <c r="C229" s="24" t="n"/>
      <c r="D229" s="25">
        <f>IF(C229="","",IF(COUNTIF(lst_Jobs,C229&amp;"")&gt;0,"OK","CHECK"))</f>
        <v/>
      </c>
      <c r="E229" s="25">
        <f>IF(C229="","",IFERROR(INDEX(lst_JobName,MATCH(C229&amp;"",lst_Jobs,0)),""))</f>
        <v/>
      </c>
      <c r="F229" s="25">
        <f>IF(C229="","",IFERROR(INDEX(tbl_Finance[Client],IFERROR(MATCH(C229&amp;"",tbl_Finance[Job Number],0),MATCH(IFERROR(C229+0,C229),tbl_Finance[Job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6" t="n"/>
      <c r="L229" s="27">
        <f>IF(C229="","",IF(K229="",0,MAX(0,K229-H229)))</f>
        <v/>
      </c>
      <c r="M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N229" s="24" t="n"/>
      <c r="O229" s="25">
        <f>IF(N229="","",HYPERLINK(IF(LEFT(N229,4)="http",N229,set_QwilrBase&amp;N229),"Open quote"))</f>
        <v/>
      </c>
      <c r="P229" s="26" t="n"/>
      <c r="Q229" s="26" t="n"/>
      <c r="R229" s="26" t="n"/>
      <c r="S229" s="25">
        <f>IF(C229="","",IF(N(P229)+N(Q229)+N(R229)=0,"Not split",IF(ROUND(N(P229)+N(Q229)+N(R229),2)=ROUND(H229+L229,2),"OK",IF(G229=0,"Not invoiced yet","MISMATCH"))))</f>
        <v/>
      </c>
      <c r="T229" s="26" t="n"/>
      <c r="U229" s="26" t="n"/>
      <c r="V229" s="26" t="n"/>
      <c r="W229" s="27">
        <f>IF(C229="","",N(T229)+N(U229)+N(V229))</f>
        <v/>
      </c>
      <c r="X229" s="27">
        <f>IF(C229="","",H229+L229-W229)</f>
        <v/>
      </c>
      <c r="Y229" s="29">
        <f>IFERROR(X229/(H229+L229),"")</f>
        <v/>
      </c>
      <c r="Z229" s="24" t="n"/>
    </row>
    <row r="230" ht="15" customHeight="1">
      <c r="A230" s="70">
        <f>IF(C230="","",IFERROR(IF(SUMPRODUCT(MAX((tbl_Finance[Job Number]&amp;""=C230&amp;"")*(tbl_Finance[Xero Invoice No]&lt;&gt;"")*tbl_Finance[Date]))=0,"",SUMPRODUCT(MAX((tbl_Finance[Job Number]&amp;""=C230&amp;"")*(tbl_Finance[Xero Invoice No]&lt;&gt;"")*tbl_Finance[Date]))),""))</f>
        <v/>
      </c>
      <c r="B230" s="25">
        <f>IF(C230="","",IF(COUNTIFS(tbl_Finance[Job Number],C230&amp;"",tbl_Finance[Xero Invoice No],"&lt;&gt;")=0,"",IFERROR(IF(COUNTIFS(tbl_Finance[Job Number],C230&amp;"",tbl_Finance[Xero Invoice No],LOOKUP(2,1/((tbl_Finance[Job Number]&amp;""=C230&amp;"")*(tbl_Finance[Xero Invoice No]&lt;&gt;"")),tbl_Finance[Xero Invoice No]))=COUNTIFS(tbl_Finance[Job Number],C230&amp;"",tbl_Finance[Xero Invoice No],"&lt;&gt;"),LOOKUP(2,1/((tbl_Finance[Job Number]&amp;""=C230&amp;"")*(tbl_Finance[Xero Invoice No]&lt;&gt;"")),tbl_Finance[Xero Invoice No]),LOOKUP(2,1/((tbl_Finance[Job Number]&amp;""=C230&amp;"")*(tbl_Finance[Xero Invoice No]&lt;&gt;"")),tbl_Finance[Xero Invoice No])&amp;" +more"),"")))</f>
        <v/>
      </c>
      <c r="C230" s="24" t="n"/>
      <c r="D230" s="25">
        <f>IF(C230="","",IF(COUNTIF(lst_Jobs,C230&amp;"")&gt;0,"OK","CHECK"))</f>
        <v/>
      </c>
      <c r="E230" s="25">
        <f>IF(C230="","",IFERROR(INDEX(lst_JobName,MATCH(C230&amp;"",lst_Jobs,0)),""))</f>
        <v/>
      </c>
      <c r="F230" s="25">
        <f>IF(C230="","",IFERROR(INDEX(tbl_Finance[Client],IFERROR(MATCH(C230&amp;"",tbl_Finance[Job Number],0),MATCH(IFERROR(C230+0,C230),tbl_Finance[Job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6" t="n"/>
      <c r="L230" s="27">
        <f>IF(C230="","",IF(K230="",0,MAX(0,K230-H230)))</f>
        <v/>
      </c>
      <c r="M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N230" s="24" t="n"/>
      <c r="O230" s="25">
        <f>IF(N230="","",HYPERLINK(IF(LEFT(N230,4)="http",N230,set_QwilrBase&amp;N230),"Open quote"))</f>
        <v/>
      </c>
      <c r="P230" s="26" t="n"/>
      <c r="Q230" s="26" t="n"/>
      <c r="R230" s="26" t="n"/>
      <c r="S230" s="25">
        <f>IF(C230="","",IF(N(P230)+N(Q230)+N(R230)=0,"Not split",IF(ROUND(N(P230)+N(Q230)+N(R230),2)=ROUND(H230+L230,2),"OK",IF(G230=0,"Not invoiced yet","MISMATCH"))))</f>
        <v/>
      </c>
      <c r="T230" s="26" t="n"/>
      <c r="U230" s="26" t="n"/>
      <c r="V230" s="26" t="n"/>
      <c r="W230" s="27">
        <f>IF(C230="","",N(T230)+N(U230)+N(V230))</f>
        <v/>
      </c>
      <c r="X230" s="27">
        <f>IF(C230="","",H230+L230-W230)</f>
        <v/>
      </c>
      <c r="Y230" s="29">
        <f>IFERROR(X230/(H230+L230),"")</f>
        <v/>
      </c>
      <c r="Z230" s="24" t="n"/>
    </row>
    <row r="231" ht="15" customHeight="1">
      <c r="A231" s="70">
        <f>IF(C231="","",IFERROR(IF(SUMPRODUCT(MAX((tbl_Finance[Job Number]&amp;""=C231&amp;"")*(tbl_Finance[Xero Invoice No]&lt;&gt;"")*tbl_Finance[Date]))=0,"",SUMPRODUCT(MAX((tbl_Finance[Job Number]&amp;""=C231&amp;"")*(tbl_Finance[Xero Invoice No]&lt;&gt;"")*tbl_Finance[Date]))),""))</f>
        <v/>
      </c>
      <c r="B231" s="25">
        <f>IF(C231="","",IF(COUNTIFS(tbl_Finance[Job Number],C231&amp;"",tbl_Finance[Xero Invoice No],"&lt;&gt;")=0,"",IFERROR(IF(COUNTIFS(tbl_Finance[Job Number],C231&amp;"",tbl_Finance[Xero Invoice No],LOOKUP(2,1/((tbl_Finance[Job Number]&amp;""=C231&amp;"")*(tbl_Finance[Xero Invoice No]&lt;&gt;"")),tbl_Finance[Xero Invoice No]))=COUNTIFS(tbl_Finance[Job Number],C231&amp;"",tbl_Finance[Xero Invoice No],"&lt;&gt;"),LOOKUP(2,1/((tbl_Finance[Job Number]&amp;""=C231&amp;"")*(tbl_Finance[Xero Invoice No]&lt;&gt;"")),tbl_Finance[Xero Invoice No]),LOOKUP(2,1/((tbl_Finance[Job Number]&amp;""=C231&amp;"")*(tbl_Finance[Xero Invoice No]&lt;&gt;"")),tbl_Finance[Xero Invoice No])&amp;" +more"),"")))</f>
        <v/>
      </c>
      <c r="C231" s="24" t="n"/>
      <c r="D231" s="25">
        <f>IF(C231="","",IF(COUNTIF(lst_Jobs,C231&amp;"")&gt;0,"OK","CHECK"))</f>
        <v/>
      </c>
      <c r="E231" s="25">
        <f>IF(C231="","",IFERROR(INDEX(lst_JobName,MATCH(C231&amp;"",lst_Jobs,0)),""))</f>
        <v/>
      </c>
      <c r="F231" s="25">
        <f>IF(C231="","",IFERROR(INDEX(tbl_Finance[Client],IFERROR(MATCH(C231&amp;"",tbl_Finance[Job Number],0),MATCH(IFERROR(C231+0,C231),tbl_Finance[Job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6" t="n"/>
      <c r="L231" s="27">
        <f>IF(C231="","",IF(K231="",0,MAX(0,K231-H231)))</f>
        <v/>
      </c>
      <c r="M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N231" s="24" t="n"/>
      <c r="O231" s="25">
        <f>IF(N231="","",HYPERLINK(IF(LEFT(N231,4)="http",N231,set_QwilrBase&amp;N231),"Open quote"))</f>
        <v/>
      </c>
      <c r="P231" s="26" t="n"/>
      <c r="Q231" s="26" t="n"/>
      <c r="R231" s="26" t="n"/>
      <c r="S231" s="25">
        <f>IF(C231="","",IF(N(P231)+N(Q231)+N(R231)=0,"Not split",IF(ROUND(N(P231)+N(Q231)+N(R231),2)=ROUND(H231+L231,2),"OK",IF(G231=0,"Not invoiced yet","MISMATCH"))))</f>
        <v/>
      </c>
      <c r="T231" s="26" t="n"/>
      <c r="U231" s="26" t="n"/>
      <c r="V231" s="26" t="n"/>
      <c r="W231" s="27">
        <f>IF(C231="","",N(T231)+N(U231)+N(V231))</f>
        <v/>
      </c>
      <c r="X231" s="27">
        <f>IF(C231="","",H231+L231-W231)</f>
        <v/>
      </c>
      <c r="Y231" s="29">
        <f>IFERROR(X231/(H231+L231),"")</f>
        <v/>
      </c>
      <c r="Z231" s="24" t="n"/>
    </row>
    <row r="232" ht="15" customHeight="1">
      <c r="A232" s="70">
        <f>IF(C232="","",IFERROR(IF(SUMPRODUCT(MAX((tbl_Finance[Job Number]&amp;""=C232&amp;"")*(tbl_Finance[Xero Invoice No]&lt;&gt;"")*tbl_Finance[Date]))=0,"",SUMPRODUCT(MAX((tbl_Finance[Job Number]&amp;""=C232&amp;"")*(tbl_Finance[Xero Invoice No]&lt;&gt;"")*tbl_Finance[Date]))),""))</f>
        <v/>
      </c>
      <c r="B232" s="25">
        <f>IF(C232="","",IF(COUNTIFS(tbl_Finance[Job Number],C232&amp;"",tbl_Finance[Xero Invoice No],"&lt;&gt;")=0,"",IFERROR(IF(COUNTIFS(tbl_Finance[Job Number],C232&amp;"",tbl_Finance[Xero Invoice No],LOOKUP(2,1/((tbl_Finance[Job Number]&amp;""=C232&amp;"")*(tbl_Finance[Xero Invoice No]&lt;&gt;"")),tbl_Finance[Xero Invoice No]))=COUNTIFS(tbl_Finance[Job Number],C232&amp;"",tbl_Finance[Xero Invoice No],"&lt;&gt;"),LOOKUP(2,1/((tbl_Finance[Job Number]&amp;""=C232&amp;"")*(tbl_Finance[Xero Invoice No]&lt;&gt;"")),tbl_Finance[Xero Invoice No]),LOOKUP(2,1/((tbl_Finance[Job Number]&amp;""=C232&amp;"")*(tbl_Finance[Xero Invoice No]&lt;&gt;"")),tbl_Finance[Xero Invoice No])&amp;" +more"),"")))</f>
        <v/>
      </c>
      <c r="C232" s="24" t="n"/>
      <c r="D232" s="25">
        <f>IF(C232="","",IF(COUNTIF(lst_Jobs,C232&amp;"")&gt;0,"OK","CHECK"))</f>
        <v/>
      </c>
      <c r="E232" s="25">
        <f>IF(C232="","",IFERROR(INDEX(lst_JobName,MATCH(C232&amp;"",lst_Jobs,0)),""))</f>
        <v/>
      </c>
      <c r="F232" s="25">
        <f>IF(C232="","",IFERROR(INDEX(tbl_Finance[Client],IFERROR(MATCH(C232&amp;"",tbl_Finance[Job Number],0),MATCH(IFERROR(C232+0,C232),tbl_Finance[Job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6" t="n"/>
      <c r="L232" s="27">
        <f>IF(C232="","",IF(K232="",0,MAX(0,K232-H232)))</f>
        <v/>
      </c>
      <c r="M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N232" s="24" t="n"/>
      <c r="O232" s="25">
        <f>IF(N232="","",HYPERLINK(IF(LEFT(N232,4)="http",N232,set_QwilrBase&amp;N232),"Open quote"))</f>
        <v/>
      </c>
      <c r="P232" s="26" t="n"/>
      <c r="Q232" s="26" t="n"/>
      <c r="R232" s="26" t="n"/>
      <c r="S232" s="25">
        <f>IF(C232="","",IF(N(P232)+N(Q232)+N(R232)=0,"Not split",IF(ROUND(N(P232)+N(Q232)+N(R232),2)=ROUND(H232+L232,2),"OK",IF(G232=0,"Not invoiced yet","MISMATCH"))))</f>
        <v/>
      </c>
      <c r="T232" s="26" t="n"/>
      <c r="U232" s="26" t="n"/>
      <c r="V232" s="26" t="n"/>
      <c r="W232" s="27">
        <f>IF(C232="","",N(T232)+N(U232)+N(V232))</f>
        <v/>
      </c>
      <c r="X232" s="27">
        <f>IF(C232="","",H232+L232-W232)</f>
        <v/>
      </c>
      <c r="Y232" s="29">
        <f>IFERROR(X232/(H232+L232),"")</f>
        <v/>
      </c>
      <c r="Z232" s="24" t="n"/>
    </row>
    <row r="233" ht="15" customHeight="1">
      <c r="A233" s="70">
        <f>IF(C233="","",IFERROR(IF(SUMPRODUCT(MAX((tbl_Finance[Job Number]&amp;""=C233&amp;"")*(tbl_Finance[Xero Invoice No]&lt;&gt;"")*tbl_Finance[Date]))=0,"",SUMPRODUCT(MAX((tbl_Finance[Job Number]&amp;""=C233&amp;"")*(tbl_Finance[Xero Invoice No]&lt;&gt;"")*tbl_Finance[Date]))),""))</f>
        <v/>
      </c>
      <c r="B233" s="25">
        <f>IF(C233="","",IF(COUNTIFS(tbl_Finance[Job Number],C233&amp;"",tbl_Finance[Xero Invoice No],"&lt;&gt;")=0,"",IFERROR(IF(COUNTIFS(tbl_Finance[Job Number],C233&amp;"",tbl_Finance[Xero Invoice No],LOOKUP(2,1/((tbl_Finance[Job Number]&amp;""=C233&amp;"")*(tbl_Finance[Xero Invoice No]&lt;&gt;"")),tbl_Finance[Xero Invoice No]))=COUNTIFS(tbl_Finance[Job Number],C233&amp;"",tbl_Finance[Xero Invoice No],"&lt;&gt;"),LOOKUP(2,1/((tbl_Finance[Job Number]&amp;""=C233&amp;"")*(tbl_Finance[Xero Invoice No]&lt;&gt;"")),tbl_Finance[Xero Invoice No]),LOOKUP(2,1/((tbl_Finance[Job Number]&amp;""=C233&amp;"")*(tbl_Finance[Xero Invoice No]&lt;&gt;"")),tbl_Finance[Xero Invoice No])&amp;" +more"),"")))</f>
        <v/>
      </c>
      <c r="C233" s="24" t="n"/>
      <c r="D233" s="25">
        <f>IF(C233="","",IF(COUNTIF(lst_Jobs,C233&amp;"")&gt;0,"OK","CHECK"))</f>
        <v/>
      </c>
      <c r="E233" s="25">
        <f>IF(C233="","",IFERROR(INDEX(lst_JobName,MATCH(C233&amp;"",lst_Jobs,0)),""))</f>
        <v/>
      </c>
      <c r="F233" s="25">
        <f>IF(C233="","",IFERROR(INDEX(tbl_Finance[Client],IFERROR(MATCH(C233&amp;"",tbl_Finance[Job Number],0),MATCH(IFERROR(C233+0,C233),tbl_Finance[Job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6" t="n"/>
      <c r="L233" s="27">
        <f>IF(C233="","",IF(K233="",0,MAX(0,K233-H233)))</f>
        <v/>
      </c>
      <c r="M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N233" s="24" t="n"/>
      <c r="O233" s="25">
        <f>IF(N233="","",HYPERLINK(IF(LEFT(N233,4)="http",N233,set_QwilrBase&amp;N233),"Open quote"))</f>
        <v/>
      </c>
      <c r="P233" s="26" t="n"/>
      <c r="Q233" s="26" t="n"/>
      <c r="R233" s="26" t="n"/>
      <c r="S233" s="25">
        <f>IF(C233="","",IF(N(P233)+N(Q233)+N(R233)=0,"Not split",IF(ROUND(N(P233)+N(Q233)+N(R233),2)=ROUND(H233+L233,2),"OK",IF(G233=0,"Not invoiced yet","MISMATCH"))))</f>
        <v/>
      </c>
      <c r="T233" s="26" t="n"/>
      <c r="U233" s="26" t="n"/>
      <c r="V233" s="26" t="n"/>
      <c r="W233" s="27">
        <f>IF(C233="","",N(T233)+N(U233)+N(V233))</f>
        <v/>
      </c>
      <c r="X233" s="27">
        <f>IF(C233="","",H233+L233-W233)</f>
        <v/>
      </c>
      <c r="Y233" s="29">
        <f>IFERROR(X233/(H233+L233),"")</f>
        <v/>
      </c>
      <c r="Z233" s="24" t="n"/>
    </row>
    <row r="234" ht="15" customHeight="1">
      <c r="A234" s="70">
        <f>IF(C234="","",IFERROR(IF(SUMPRODUCT(MAX((tbl_Finance[Job Number]&amp;""=C234&amp;"")*(tbl_Finance[Xero Invoice No]&lt;&gt;"")*tbl_Finance[Date]))=0,"",SUMPRODUCT(MAX((tbl_Finance[Job Number]&amp;""=C234&amp;"")*(tbl_Finance[Xero Invoice No]&lt;&gt;"")*tbl_Finance[Date]))),""))</f>
        <v/>
      </c>
      <c r="B234" s="25">
        <f>IF(C234="","",IF(COUNTIFS(tbl_Finance[Job Number],C234&amp;"",tbl_Finance[Xero Invoice No],"&lt;&gt;")=0,"",IFERROR(IF(COUNTIFS(tbl_Finance[Job Number],C234&amp;"",tbl_Finance[Xero Invoice No],LOOKUP(2,1/((tbl_Finance[Job Number]&amp;""=C234&amp;"")*(tbl_Finance[Xero Invoice No]&lt;&gt;"")),tbl_Finance[Xero Invoice No]))=COUNTIFS(tbl_Finance[Job Number],C234&amp;"",tbl_Finance[Xero Invoice No],"&lt;&gt;"),LOOKUP(2,1/((tbl_Finance[Job Number]&amp;""=C234&amp;"")*(tbl_Finance[Xero Invoice No]&lt;&gt;"")),tbl_Finance[Xero Invoice No]),LOOKUP(2,1/((tbl_Finance[Job Number]&amp;""=C234&amp;"")*(tbl_Finance[Xero Invoice No]&lt;&gt;"")),tbl_Finance[Xero Invoice No])&amp;" +more"),"")))</f>
        <v/>
      </c>
      <c r="C234" s="24" t="n"/>
      <c r="D234" s="25">
        <f>IF(C234="","",IF(COUNTIF(lst_Jobs,C234&amp;"")&gt;0,"OK","CHECK"))</f>
        <v/>
      </c>
      <c r="E234" s="25">
        <f>IF(C234="","",IFERROR(INDEX(lst_JobName,MATCH(C234&amp;"",lst_Jobs,0)),""))</f>
        <v/>
      </c>
      <c r="F234" s="25">
        <f>IF(C234="","",IFERROR(INDEX(tbl_Finance[Client],IFERROR(MATCH(C234&amp;"",tbl_Finance[Job Number],0),MATCH(IFERROR(C234+0,C234),tbl_Finance[Job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6" t="n"/>
      <c r="L234" s="27">
        <f>IF(C234="","",IF(K234="",0,MAX(0,K234-H234)))</f>
        <v/>
      </c>
      <c r="M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N234" s="24" t="n"/>
      <c r="O234" s="25">
        <f>IF(N234="","",HYPERLINK(IF(LEFT(N234,4)="http",N234,set_QwilrBase&amp;N234),"Open quote"))</f>
        <v/>
      </c>
      <c r="P234" s="26" t="n"/>
      <c r="Q234" s="26" t="n"/>
      <c r="R234" s="26" t="n"/>
      <c r="S234" s="25">
        <f>IF(C234="","",IF(N(P234)+N(Q234)+N(R234)=0,"Not split",IF(ROUND(N(P234)+N(Q234)+N(R234),2)=ROUND(H234+L234,2),"OK",IF(G234=0,"Not invoiced yet","MISMATCH"))))</f>
        <v/>
      </c>
      <c r="T234" s="26" t="n"/>
      <c r="U234" s="26" t="n"/>
      <c r="V234" s="26" t="n"/>
      <c r="W234" s="27">
        <f>IF(C234="","",N(T234)+N(U234)+N(V234))</f>
        <v/>
      </c>
      <c r="X234" s="27">
        <f>IF(C234="","",H234+L234-W234)</f>
        <v/>
      </c>
      <c r="Y234" s="29">
        <f>IFERROR(X234/(H234+L234),"")</f>
        <v/>
      </c>
      <c r="Z234" s="24" t="n"/>
    </row>
    <row r="235" ht="15" customHeight="1">
      <c r="A235" s="70">
        <f>IF(C235="","",IFERROR(IF(SUMPRODUCT(MAX((tbl_Finance[Job Number]&amp;""=C235&amp;"")*(tbl_Finance[Xero Invoice No]&lt;&gt;"")*tbl_Finance[Date]))=0,"",SUMPRODUCT(MAX((tbl_Finance[Job Number]&amp;""=C235&amp;"")*(tbl_Finance[Xero Invoice No]&lt;&gt;"")*tbl_Finance[Date]))),""))</f>
        <v/>
      </c>
      <c r="B235" s="25">
        <f>IF(C235="","",IF(COUNTIFS(tbl_Finance[Job Number],C235&amp;"",tbl_Finance[Xero Invoice No],"&lt;&gt;")=0,"",IFERROR(IF(COUNTIFS(tbl_Finance[Job Number],C235&amp;"",tbl_Finance[Xero Invoice No],LOOKUP(2,1/((tbl_Finance[Job Number]&amp;""=C235&amp;"")*(tbl_Finance[Xero Invoice No]&lt;&gt;"")),tbl_Finance[Xero Invoice No]))=COUNTIFS(tbl_Finance[Job Number],C235&amp;"",tbl_Finance[Xero Invoice No],"&lt;&gt;"),LOOKUP(2,1/((tbl_Finance[Job Number]&amp;""=C235&amp;"")*(tbl_Finance[Xero Invoice No]&lt;&gt;"")),tbl_Finance[Xero Invoice No]),LOOKUP(2,1/((tbl_Finance[Job Number]&amp;""=C235&amp;"")*(tbl_Finance[Xero Invoice No]&lt;&gt;"")),tbl_Finance[Xero Invoice No])&amp;" +more"),"")))</f>
        <v/>
      </c>
      <c r="C235" s="24" t="n"/>
      <c r="D235" s="25">
        <f>IF(C235="","",IF(COUNTIF(lst_Jobs,C235&amp;"")&gt;0,"OK","CHECK"))</f>
        <v/>
      </c>
      <c r="E235" s="25">
        <f>IF(C235="","",IFERROR(INDEX(lst_JobName,MATCH(C235&amp;"",lst_Jobs,0)),""))</f>
        <v/>
      </c>
      <c r="F235" s="25">
        <f>IF(C235="","",IFERROR(INDEX(tbl_Finance[Client],IFERROR(MATCH(C235&amp;"",tbl_Finance[Job Number],0),MATCH(IFERROR(C235+0,C235),tbl_Finance[Job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6" t="n"/>
      <c r="L235" s="27">
        <f>IF(C235="","",IF(K235="",0,MAX(0,K235-H235)))</f>
        <v/>
      </c>
      <c r="M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N235" s="24" t="n"/>
      <c r="O235" s="25">
        <f>IF(N235="","",HYPERLINK(IF(LEFT(N235,4)="http",N235,set_QwilrBase&amp;N235),"Open quote"))</f>
        <v/>
      </c>
      <c r="P235" s="26" t="n"/>
      <c r="Q235" s="26" t="n"/>
      <c r="R235" s="26" t="n"/>
      <c r="S235" s="25">
        <f>IF(C235="","",IF(N(P235)+N(Q235)+N(R235)=0,"Not split",IF(ROUND(N(P235)+N(Q235)+N(R235),2)=ROUND(H235+L235,2),"OK",IF(G235=0,"Not invoiced yet","MISMATCH"))))</f>
        <v/>
      </c>
      <c r="T235" s="26" t="n"/>
      <c r="U235" s="26" t="n"/>
      <c r="V235" s="26" t="n"/>
      <c r="W235" s="27">
        <f>IF(C235="","",N(T235)+N(U235)+N(V235))</f>
        <v/>
      </c>
      <c r="X235" s="27">
        <f>IF(C235="","",H235+L235-W235)</f>
        <v/>
      </c>
      <c r="Y235" s="29">
        <f>IFERROR(X235/(H235+L235),"")</f>
        <v/>
      </c>
      <c r="Z235" s="24" t="n"/>
    </row>
    <row r="236" ht="15" customHeight="1">
      <c r="A236" s="70">
        <f>IF(C236="","",IFERROR(IF(SUMPRODUCT(MAX((tbl_Finance[Job Number]&amp;""=C236&amp;"")*(tbl_Finance[Xero Invoice No]&lt;&gt;"")*tbl_Finance[Date]))=0,"",SUMPRODUCT(MAX((tbl_Finance[Job Number]&amp;""=C236&amp;"")*(tbl_Finance[Xero Invoice No]&lt;&gt;"")*tbl_Finance[Date]))),""))</f>
        <v/>
      </c>
      <c r="B236" s="25">
        <f>IF(C236="","",IF(COUNTIFS(tbl_Finance[Job Number],C236&amp;"",tbl_Finance[Xero Invoice No],"&lt;&gt;")=0,"",IFERROR(IF(COUNTIFS(tbl_Finance[Job Number],C236&amp;"",tbl_Finance[Xero Invoice No],LOOKUP(2,1/((tbl_Finance[Job Number]&amp;""=C236&amp;"")*(tbl_Finance[Xero Invoice No]&lt;&gt;"")),tbl_Finance[Xero Invoice No]))=COUNTIFS(tbl_Finance[Job Number],C236&amp;"",tbl_Finance[Xero Invoice No],"&lt;&gt;"),LOOKUP(2,1/((tbl_Finance[Job Number]&amp;""=C236&amp;"")*(tbl_Finance[Xero Invoice No]&lt;&gt;"")),tbl_Finance[Xero Invoice No]),LOOKUP(2,1/((tbl_Finance[Job Number]&amp;""=C236&amp;"")*(tbl_Finance[Xero Invoice No]&lt;&gt;"")),tbl_Finance[Xero Invoice No])&amp;" +more"),"")))</f>
        <v/>
      </c>
      <c r="C236" s="24" t="n"/>
      <c r="D236" s="25">
        <f>IF(C236="","",IF(COUNTIF(lst_Jobs,C236&amp;"")&gt;0,"OK","CHECK"))</f>
        <v/>
      </c>
      <c r="E236" s="25">
        <f>IF(C236="","",IFERROR(INDEX(lst_JobName,MATCH(C236&amp;"",lst_Jobs,0)),""))</f>
        <v/>
      </c>
      <c r="F236" s="25">
        <f>IF(C236="","",IFERROR(INDEX(tbl_Finance[Client],IFERROR(MATCH(C236&amp;"",tbl_Finance[Job Number],0),MATCH(IFERROR(C236+0,C236),tbl_Finance[Job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6" t="n"/>
      <c r="L236" s="27">
        <f>IF(C236="","",IF(K236="",0,MAX(0,K236-H236)))</f>
        <v/>
      </c>
      <c r="M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N236" s="24" t="n"/>
      <c r="O236" s="25">
        <f>IF(N236="","",HYPERLINK(IF(LEFT(N236,4)="http",N236,set_QwilrBase&amp;N236),"Open quote"))</f>
        <v/>
      </c>
      <c r="P236" s="26" t="n"/>
      <c r="Q236" s="26" t="n"/>
      <c r="R236" s="26" t="n"/>
      <c r="S236" s="25">
        <f>IF(C236="","",IF(N(P236)+N(Q236)+N(R236)=0,"Not split",IF(ROUND(N(P236)+N(Q236)+N(R236),2)=ROUND(H236+L236,2),"OK",IF(G236=0,"Not invoiced yet","MISMATCH"))))</f>
        <v/>
      </c>
      <c r="T236" s="26" t="n"/>
      <c r="U236" s="26" t="n"/>
      <c r="V236" s="26" t="n"/>
      <c r="W236" s="27">
        <f>IF(C236="","",N(T236)+N(U236)+N(V236))</f>
        <v/>
      </c>
      <c r="X236" s="27">
        <f>IF(C236="","",H236+L236-W236)</f>
        <v/>
      </c>
      <c r="Y236" s="29">
        <f>IFERROR(X236/(H236+L236),"")</f>
        <v/>
      </c>
      <c r="Z236" s="24" t="n"/>
    </row>
    <row r="237" ht="15" customHeight="1">
      <c r="A237" s="70">
        <f>IF(C237="","",IFERROR(IF(SUMPRODUCT(MAX((tbl_Finance[Job Number]&amp;""=C237&amp;"")*(tbl_Finance[Xero Invoice No]&lt;&gt;"")*tbl_Finance[Date]))=0,"",SUMPRODUCT(MAX((tbl_Finance[Job Number]&amp;""=C237&amp;"")*(tbl_Finance[Xero Invoice No]&lt;&gt;"")*tbl_Finance[Date]))),""))</f>
        <v/>
      </c>
      <c r="B237" s="25">
        <f>IF(C237="","",IF(COUNTIFS(tbl_Finance[Job Number],C237&amp;"",tbl_Finance[Xero Invoice No],"&lt;&gt;")=0,"",IFERROR(IF(COUNTIFS(tbl_Finance[Job Number],C237&amp;"",tbl_Finance[Xero Invoice No],LOOKUP(2,1/((tbl_Finance[Job Number]&amp;""=C237&amp;"")*(tbl_Finance[Xero Invoice No]&lt;&gt;"")),tbl_Finance[Xero Invoice No]))=COUNTIFS(tbl_Finance[Job Number],C237&amp;"",tbl_Finance[Xero Invoice No],"&lt;&gt;"),LOOKUP(2,1/((tbl_Finance[Job Number]&amp;""=C237&amp;"")*(tbl_Finance[Xero Invoice No]&lt;&gt;"")),tbl_Finance[Xero Invoice No]),LOOKUP(2,1/((tbl_Finance[Job Number]&amp;""=C237&amp;"")*(tbl_Finance[Xero Invoice No]&lt;&gt;"")),tbl_Finance[Xero Invoice No])&amp;" +more"),"")))</f>
        <v/>
      </c>
      <c r="C237" s="24" t="n"/>
      <c r="D237" s="25">
        <f>IF(C237="","",IF(COUNTIF(lst_Jobs,C237&amp;"")&gt;0,"OK","CHECK"))</f>
        <v/>
      </c>
      <c r="E237" s="25">
        <f>IF(C237="","",IFERROR(INDEX(lst_JobName,MATCH(C237&amp;"",lst_Jobs,0)),""))</f>
        <v/>
      </c>
      <c r="F237" s="25">
        <f>IF(C237="","",IFERROR(INDEX(tbl_Finance[Client],IFERROR(MATCH(C237&amp;"",tbl_Finance[Job Number],0),MATCH(IFERROR(C237+0,C237),tbl_Finance[Job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6" t="n"/>
      <c r="L237" s="27">
        <f>IF(C237="","",IF(K237="",0,MAX(0,K237-H237)))</f>
        <v/>
      </c>
      <c r="M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N237" s="24" t="n"/>
      <c r="O237" s="25">
        <f>IF(N237="","",HYPERLINK(IF(LEFT(N237,4)="http",N237,set_QwilrBase&amp;N237),"Open quote"))</f>
        <v/>
      </c>
      <c r="P237" s="26" t="n"/>
      <c r="Q237" s="26" t="n"/>
      <c r="R237" s="26" t="n"/>
      <c r="S237" s="25">
        <f>IF(C237="","",IF(N(P237)+N(Q237)+N(R237)=0,"Not split",IF(ROUND(N(P237)+N(Q237)+N(R237),2)=ROUND(H237+L237,2),"OK",IF(G237=0,"Not invoiced yet","MISMATCH"))))</f>
        <v/>
      </c>
      <c r="T237" s="26" t="n"/>
      <c r="U237" s="26" t="n"/>
      <c r="V237" s="26" t="n"/>
      <c r="W237" s="27">
        <f>IF(C237="","",N(T237)+N(U237)+N(V237))</f>
        <v/>
      </c>
      <c r="X237" s="27">
        <f>IF(C237="","",H237+L237-W237)</f>
        <v/>
      </c>
      <c r="Y237" s="29">
        <f>IFERROR(X237/(H237+L237),"")</f>
        <v/>
      </c>
      <c r="Z237" s="24" t="n"/>
    </row>
    <row r="238" ht="15" customHeight="1">
      <c r="A238" s="70">
        <f>IF(C238="","",IFERROR(IF(SUMPRODUCT(MAX((tbl_Finance[Job Number]&amp;""=C238&amp;"")*(tbl_Finance[Xero Invoice No]&lt;&gt;"")*tbl_Finance[Date]))=0,"",SUMPRODUCT(MAX((tbl_Finance[Job Number]&amp;""=C238&amp;"")*(tbl_Finance[Xero Invoice No]&lt;&gt;"")*tbl_Finance[Date]))),""))</f>
        <v/>
      </c>
      <c r="B238" s="25">
        <f>IF(C238="","",IF(COUNTIFS(tbl_Finance[Job Number],C238&amp;"",tbl_Finance[Xero Invoice No],"&lt;&gt;")=0,"",IFERROR(IF(COUNTIFS(tbl_Finance[Job Number],C238&amp;"",tbl_Finance[Xero Invoice No],LOOKUP(2,1/((tbl_Finance[Job Number]&amp;""=C238&amp;"")*(tbl_Finance[Xero Invoice No]&lt;&gt;"")),tbl_Finance[Xero Invoice No]))=COUNTIFS(tbl_Finance[Job Number],C238&amp;"",tbl_Finance[Xero Invoice No],"&lt;&gt;"),LOOKUP(2,1/((tbl_Finance[Job Number]&amp;""=C238&amp;"")*(tbl_Finance[Xero Invoice No]&lt;&gt;"")),tbl_Finance[Xero Invoice No]),LOOKUP(2,1/((tbl_Finance[Job Number]&amp;""=C238&amp;"")*(tbl_Finance[Xero Invoice No]&lt;&gt;"")),tbl_Finance[Xero Invoice No])&amp;" +more"),"")))</f>
        <v/>
      </c>
      <c r="C238" s="24" t="n"/>
      <c r="D238" s="25">
        <f>IF(C238="","",IF(COUNTIF(lst_Jobs,C238&amp;"")&gt;0,"OK","CHECK"))</f>
        <v/>
      </c>
      <c r="E238" s="25">
        <f>IF(C238="","",IFERROR(INDEX(lst_JobName,MATCH(C238&amp;"",lst_Jobs,0)),""))</f>
        <v/>
      </c>
      <c r="F238" s="25">
        <f>IF(C238="","",IFERROR(INDEX(tbl_Finance[Client],IFERROR(MATCH(C238&amp;"",tbl_Finance[Job Number],0),MATCH(IFERROR(C238+0,C238),tbl_Finance[Job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6" t="n"/>
      <c r="L238" s="27">
        <f>IF(C238="","",IF(K238="",0,MAX(0,K238-H238)))</f>
        <v/>
      </c>
      <c r="M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N238" s="24" t="n"/>
      <c r="O238" s="25">
        <f>IF(N238="","",HYPERLINK(IF(LEFT(N238,4)="http",N238,set_QwilrBase&amp;N238),"Open quote"))</f>
        <v/>
      </c>
      <c r="P238" s="26" t="n"/>
      <c r="Q238" s="26" t="n"/>
      <c r="R238" s="26" t="n"/>
      <c r="S238" s="25">
        <f>IF(C238="","",IF(N(P238)+N(Q238)+N(R238)=0,"Not split",IF(ROUND(N(P238)+N(Q238)+N(R238),2)=ROUND(H238+L238,2),"OK",IF(G238=0,"Not invoiced yet","MISMATCH"))))</f>
        <v/>
      </c>
      <c r="T238" s="26" t="n"/>
      <c r="U238" s="26" t="n"/>
      <c r="V238" s="26" t="n"/>
      <c r="W238" s="27">
        <f>IF(C238="","",N(T238)+N(U238)+N(V238))</f>
        <v/>
      </c>
      <c r="X238" s="27">
        <f>IF(C238="","",H238+L238-W238)</f>
        <v/>
      </c>
      <c r="Y238" s="29">
        <f>IFERROR(X238/(H238+L238),"")</f>
        <v/>
      </c>
      <c r="Z238" s="24" t="n"/>
    </row>
    <row r="239" ht="15" customHeight="1">
      <c r="A239" s="70">
        <f>IF(C239="","",IFERROR(IF(SUMPRODUCT(MAX((tbl_Finance[Job Number]&amp;""=C239&amp;"")*(tbl_Finance[Xero Invoice No]&lt;&gt;"")*tbl_Finance[Date]))=0,"",SUMPRODUCT(MAX((tbl_Finance[Job Number]&amp;""=C239&amp;"")*(tbl_Finance[Xero Invoice No]&lt;&gt;"")*tbl_Finance[Date]))),""))</f>
        <v/>
      </c>
      <c r="B239" s="25">
        <f>IF(C239="","",IF(COUNTIFS(tbl_Finance[Job Number],C239&amp;"",tbl_Finance[Xero Invoice No],"&lt;&gt;")=0,"",IFERROR(IF(COUNTIFS(tbl_Finance[Job Number],C239&amp;"",tbl_Finance[Xero Invoice No],LOOKUP(2,1/((tbl_Finance[Job Number]&amp;""=C239&amp;"")*(tbl_Finance[Xero Invoice No]&lt;&gt;"")),tbl_Finance[Xero Invoice No]))=COUNTIFS(tbl_Finance[Job Number],C239&amp;"",tbl_Finance[Xero Invoice No],"&lt;&gt;"),LOOKUP(2,1/((tbl_Finance[Job Number]&amp;""=C239&amp;"")*(tbl_Finance[Xero Invoice No]&lt;&gt;"")),tbl_Finance[Xero Invoice No]),LOOKUP(2,1/((tbl_Finance[Job Number]&amp;""=C239&amp;"")*(tbl_Finance[Xero Invoice No]&lt;&gt;"")),tbl_Finance[Xero Invoice No])&amp;" +more"),"")))</f>
        <v/>
      </c>
      <c r="C239" s="24" t="n"/>
      <c r="D239" s="25">
        <f>IF(C239="","",IF(COUNTIF(lst_Jobs,C239&amp;"")&gt;0,"OK","CHECK"))</f>
        <v/>
      </c>
      <c r="E239" s="25">
        <f>IF(C239="","",IFERROR(INDEX(lst_JobName,MATCH(C239&amp;"",lst_Jobs,0)),""))</f>
        <v/>
      </c>
      <c r="F239" s="25">
        <f>IF(C239="","",IFERROR(INDEX(tbl_Finance[Client],IFERROR(MATCH(C239&amp;"",tbl_Finance[Job Number],0),MATCH(IFERROR(C239+0,C239),tbl_Finance[Job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6" t="n"/>
      <c r="L239" s="27">
        <f>IF(C239="","",IF(K239="",0,MAX(0,K239-H239)))</f>
        <v/>
      </c>
      <c r="M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N239" s="24" t="n"/>
      <c r="O239" s="25">
        <f>IF(N239="","",HYPERLINK(IF(LEFT(N239,4)="http",N239,set_QwilrBase&amp;N239),"Open quote"))</f>
        <v/>
      </c>
      <c r="P239" s="26" t="n"/>
      <c r="Q239" s="26" t="n"/>
      <c r="R239" s="26" t="n"/>
      <c r="S239" s="25">
        <f>IF(C239="","",IF(N(P239)+N(Q239)+N(R239)=0,"Not split",IF(ROUND(N(P239)+N(Q239)+N(R239),2)=ROUND(H239+L239,2),"OK",IF(G239=0,"Not invoiced yet","MISMATCH"))))</f>
        <v/>
      </c>
      <c r="T239" s="26" t="n"/>
      <c r="U239" s="26" t="n"/>
      <c r="V239" s="26" t="n"/>
      <c r="W239" s="27">
        <f>IF(C239="","",N(T239)+N(U239)+N(V239))</f>
        <v/>
      </c>
      <c r="X239" s="27">
        <f>IF(C239="","",H239+L239-W239)</f>
        <v/>
      </c>
      <c r="Y239" s="29">
        <f>IFERROR(X239/(H239+L239),"")</f>
        <v/>
      </c>
      <c r="Z239" s="24" t="n"/>
    </row>
    <row r="240" ht="15" customHeight="1">
      <c r="A240" s="70">
        <f>IF(C240="","",IFERROR(IF(SUMPRODUCT(MAX((tbl_Finance[Job Number]&amp;""=C240&amp;"")*(tbl_Finance[Xero Invoice No]&lt;&gt;"")*tbl_Finance[Date]))=0,"",SUMPRODUCT(MAX((tbl_Finance[Job Number]&amp;""=C240&amp;"")*(tbl_Finance[Xero Invoice No]&lt;&gt;"")*tbl_Finance[Date]))),""))</f>
        <v/>
      </c>
      <c r="B240" s="25">
        <f>IF(C240="","",IF(COUNTIFS(tbl_Finance[Job Number],C240&amp;"",tbl_Finance[Xero Invoice No],"&lt;&gt;")=0,"",IFERROR(IF(COUNTIFS(tbl_Finance[Job Number],C240&amp;"",tbl_Finance[Xero Invoice No],LOOKUP(2,1/((tbl_Finance[Job Number]&amp;""=C240&amp;"")*(tbl_Finance[Xero Invoice No]&lt;&gt;"")),tbl_Finance[Xero Invoice No]))=COUNTIFS(tbl_Finance[Job Number],C240&amp;"",tbl_Finance[Xero Invoice No],"&lt;&gt;"),LOOKUP(2,1/((tbl_Finance[Job Number]&amp;""=C240&amp;"")*(tbl_Finance[Xero Invoice No]&lt;&gt;"")),tbl_Finance[Xero Invoice No]),LOOKUP(2,1/((tbl_Finance[Job Number]&amp;""=C240&amp;"")*(tbl_Finance[Xero Invoice No]&lt;&gt;"")),tbl_Finance[Xero Invoice No])&amp;" +more"),"")))</f>
        <v/>
      </c>
      <c r="C240" s="24" t="n"/>
      <c r="D240" s="25">
        <f>IF(C240="","",IF(COUNTIF(lst_Jobs,C240&amp;"")&gt;0,"OK","CHECK"))</f>
        <v/>
      </c>
      <c r="E240" s="25">
        <f>IF(C240="","",IFERROR(INDEX(lst_JobName,MATCH(C240&amp;"",lst_Jobs,0)),""))</f>
        <v/>
      </c>
      <c r="F240" s="25">
        <f>IF(C240="","",IFERROR(INDEX(tbl_Finance[Client],IFERROR(MATCH(C240&amp;"",tbl_Finance[Job Number],0),MATCH(IFERROR(C240+0,C240),tbl_Finance[Job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6" t="n"/>
      <c r="L240" s="27">
        <f>IF(C240="","",IF(K240="",0,MAX(0,K240-H240)))</f>
        <v/>
      </c>
      <c r="M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N240" s="24" t="n"/>
      <c r="O240" s="25">
        <f>IF(N240="","",HYPERLINK(IF(LEFT(N240,4)="http",N240,set_QwilrBase&amp;N240),"Open quote"))</f>
        <v/>
      </c>
      <c r="P240" s="26" t="n"/>
      <c r="Q240" s="26" t="n"/>
      <c r="R240" s="26" t="n"/>
      <c r="S240" s="25">
        <f>IF(C240="","",IF(N(P240)+N(Q240)+N(R240)=0,"Not split",IF(ROUND(N(P240)+N(Q240)+N(R240),2)=ROUND(H240+L240,2),"OK",IF(G240=0,"Not invoiced yet","MISMATCH"))))</f>
        <v/>
      </c>
      <c r="T240" s="26" t="n"/>
      <c r="U240" s="26" t="n"/>
      <c r="V240" s="26" t="n"/>
      <c r="W240" s="27">
        <f>IF(C240="","",N(T240)+N(U240)+N(V240))</f>
        <v/>
      </c>
      <c r="X240" s="27">
        <f>IF(C240="","",H240+L240-W240)</f>
        <v/>
      </c>
      <c r="Y240" s="29">
        <f>IFERROR(X240/(H240+L240),"")</f>
        <v/>
      </c>
      <c r="Z240" s="24" t="n"/>
    </row>
    <row r="241" ht="15" customHeight="1">
      <c r="A241" s="70">
        <f>IF(C241="","",IFERROR(IF(SUMPRODUCT(MAX((tbl_Finance[Job Number]&amp;""=C241&amp;"")*(tbl_Finance[Xero Invoice No]&lt;&gt;"")*tbl_Finance[Date]))=0,"",SUMPRODUCT(MAX((tbl_Finance[Job Number]&amp;""=C241&amp;"")*(tbl_Finance[Xero Invoice No]&lt;&gt;"")*tbl_Finance[Date]))),""))</f>
        <v/>
      </c>
      <c r="B241" s="25">
        <f>IF(C241="","",IF(COUNTIFS(tbl_Finance[Job Number],C241&amp;"",tbl_Finance[Xero Invoice No],"&lt;&gt;")=0,"",IFERROR(IF(COUNTIFS(tbl_Finance[Job Number],C241&amp;"",tbl_Finance[Xero Invoice No],LOOKUP(2,1/((tbl_Finance[Job Number]&amp;""=C241&amp;"")*(tbl_Finance[Xero Invoice No]&lt;&gt;"")),tbl_Finance[Xero Invoice No]))=COUNTIFS(tbl_Finance[Job Number],C241&amp;"",tbl_Finance[Xero Invoice No],"&lt;&gt;"),LOOKUP(2,1/((tbl_Finance[Job Number]&amp;""=C241&amp;"")*(tbl_Finance[Xero Invoice No]&lt;&gt;"")),tbl_Finance[Xero Invoice No]),LOOKUP(2,1/((tbl_Finance[Job Number]&amp;""=C241&amp;"")*(tbl_Finance[Xero Invoice No]&lt;&gt;"")),tbl_Finance[Xero Invoice No])&amp;" +more"),"")))</f>
        <v/>
      </c>
      <c r="C241" s="24" t="n"/>
      <c r="D241" s="25">
        <f>IF(C241="","",IF(COUNTIF(lst_Jobs,C241&amp;"")&gt;0,"OK","CHECK"))</f>
        <v/>
      </c>
      <c r="E241" s="25">
        <f>IF(C241="","",IFERROR(INDEX(lst_JobName,MATCH(C241&amp;"",lst_Jobs,0)),""))</f>
        <v/>
      </c>
      <c r="F241" s="25">
        <f>IF(C241="","",IFERROR(INDEX(tbl_Finance[Client],IFERROR(MATCH(C241&amp;"",tbl_Finance[Job Number],0),MATCH(IFERROR(C241+0,C241),tbl_Finance[Job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6" t="n"/>
      <c r="L241" s="27">
        <f>IF(C241="","",IF(K241="",0,MAX(0,K241-H241)))</f>
        <v/>
      </c>
      <c r="M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N241" s="24" t="n"/>
      <c r="O241" s="25">
        <f>IF(N241="","",HYPERLINK(IF(LEFT(N241,4)="http",N241,set_QwilrBase&amp;N241),"Open quote"))</f>
        <v/>
      </c>
      <c r="P241" s="26" t="n"/>
      <c r="Q241" s="26" t="n"/>
      <c r="R241" s="26" t="n"/>
      <c r="S241" s="25">
        <f>IF(C241="","",IF(N(P241)+N(Q241)+N(R241)=0,"Not split",IF(ROUND(N(P241)+N(Q241)+N(R241),2)=ROUND(H241+L241,2),"OK",IF(G241=0,"Not invoiced yet","MISMATCH"))))</f>
        <v/>
      </c>
      <c r="T241" s="26" t="n"/>
      <c r="U241" s="26" t="n"/>
      <c r="V241" s="26" t="n"/>
      <c r="W241" s="27">
        <f>IF(C241="","",N(T241)+N(U241)+N(V241))</f>
        <v/>
      </c>
      <c r="X241" s="27">
        <f>IF(C241="","",H241+L241-W241)</f>
        <v/>
      </c>
      <c r="Y241" s="29">
        <f>IFERROR(X241/(H241+L241),"")</f>
        <v/>
      </c>
      <c r="Z241" s="24" t="n"/>
    </row>
    <row r="242" ht="15" customHeight="1">
      <c r="A242" s="70">
        <f>IF(C242="","",IFERROR(IF(SUMPRODUCT(MAX((tbl_Finance[Job Number]&amp;""=C242&amp;"")*(tbl_Finance[Xero Invoice No]&lt;&gt;"")*tbl_Finance[Date]))=0,"",SUMPRODUCT(MAX((tbl_Finance[Job Number]&amp;""=C242&amp;"")*(tbl_Finance[Xero Invoice No]&lt;&gt;"")*tbl_Finance[Date]))),""))</f>
        <v/>
      </c>
      <c r="B242" s="25">
        <f>IF(C242="","",IF(COUNTIFS(tbl_Finance[Job Number],C242&amp;"",tbl_Finance[Xero Invoice No],"&lt;&gt;")=0,"",IFERROR(IF(COUNTIFS(tbl_Finance[Job Number],C242&amp;"",tbl_Finance[Xero Invoice No],LOOKUP(2,1/((tbl_Finance[Job Number]&amp;""=C242&amp;"")*(tbl_Finance[Xero Invoice No]&lt;&gt;"")),tbl_Finance[Xero Invoice No]))=COUNTIFS(tbl_Finance[Job Number],C242&amp;"",tbl_Finance[Xero Invoice No],"&lt;&gt;"),LOOKUP(2,1/((tbl_Finance[Job Number]&amp;""=C242&amp;"")*(tbl_Finance[Xero Invoice No]&lt;&gt;"")),tbl_Finance[Xero Invoice No]),LOOKUP(2,1/((tbl_Finance[Job Number]&amp;""=C242&amp;"")*(tbl_Finance[Xero Invoice No]&lt;&gt;"")),tbl_Finance[Xero Invoice No])&amp;" +more"),"")))</f>
        <v/>
      </c>
      <c r="C242" s="24" t="n"/>
      <c r="D242" s="25">
        <f>IF(C242="","",IF(COUNTIF(lst_Jobs,C242&amp;"")&gt;0,"OK","CHECK"))</f>
        <v/>
      </c>
      <c r="E242" s="25">
        <f>IF(C242="","",IFERROR(INDEX(lst_JobName,MATCH(C242&amp;"",lst_Jobs,0)),""))</f>
        <v/>
      </c>
      <c r="F242" s="25">
        <f>IF(C242="","",IFERROR(INDEX(tbl_Finance[Client],IFERROR(MATCH(C242&amp;"",tbl_Finance[Job Number],0),MATCH(IFERROR(C242+0,C242),tbl_Finance[Job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6" t="n"/>
      <c r="L242" s="27">
        <f>IF(C242="","",IF(K242="",0,MAX(0,K242-H242)))</f>
        <v/>
      </c>
      <c r="M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N242" s="24" t="n"/>
      <c r="O242" s="25">
        <f>IF(N242="","",HYPERLINK(IF(LEFT(N242,4)="http",N242,set_QwilrBase&amp;N242),"Open quote"))</f>
        <v/>
      </c>
      <c r="P242" s="26" t="n"/>
      <c r="Q242" s="26" t="n"/>
      <c r="R242" s="26" t="n"/>
      <c r="S242" s="25">
        <f>IF(C242="","",IF(N(P242)+N(Q242)+N(R242)=0,"Not split",IF(ROUND(N(P242)+N(Q242)+N(R242),2)=ROUND(H242+L242,2),"OK",IF(G242=0,"Not invoiced yet","MISMATCH"))))</f>
        <v/>
      </c>
      <c r="T242" s="26" t="n"/>
      <c r="U242" s="26" t="n"/>
      <c r="V242" s="26" t="n"/>
      <c r="W242" s="27">
        <f>IF(C242="","",N(T242)+N(U242)+N(V242))</f>
        <v/>
      </c>
      <c r="X242" s="27">
        <f>IF(C242="","",H242+L242-W242)</f>
        <v/>
      </c>
      <c r="Y242" s="29">
        <f>IFERROR(X242/(H242+L242),"")</f>
        <v/>
      </c>
      <c r="Z242" s="24" t="n"/>
    </row>
    <row r="243" ht="15" customHeight="1">
      <c r="A243" s="70">
        <f>IF(C243="","",IFERROR(IF(SUMPRODUCT(MAX((tbl_Finance[Job Number]&amp;""=C243&amp;"")*(tbl_Finance[Xero Invoice No]&lt;&gt;"")*tbl_Finance[Date]))=0,"",SUMPRODUCT(MAX((tbl_Finance[Job Number]&amp;""=C243&amp;"")*(tbl_Finance[Xero Invoice No]&lt;&gt;"")*tbl_Finance[Date]))),""))</f>
        <v/>
      </c>
      <c r="B243" s="25">
        <f>IF(C243="","",IF(COUNTIFS(tbl_Finance[Job Number],C243&amp;"",tbl_Finance[Xero Invoice No],"&lt;&gt;")=0,"",IFERROR(IF(COUNTIFS(tbl_Finance[Job Number],C243&amp;"",tbl_Finance[Xero Invoice No],LOOKUP(2,1/((tbl_Finance[Job Number]&amp;""=C243&amp;"")*(tbl_Finance[Xero Invoice No]&lt;&gt;"")),tbl_Finance[Xero Invoice No]))=COUNTIFS(tbl_Finance[Job Number],C243&amp;"",tbl_Finance[Xero Invoice No],"&lt;&gt;"),LOOKUP(2,1/((tbl_Finance[Job Number]&amp;""=C243&amp;"")*(tbl_Finance[Xero Invoice No]&lt;&gt;"")),tbl_Finance[Xero Invoice No]),LOOKUP(2,1/((tbl_Finance[Job Number]&amp;""=C243&amp;"")*(tbl_Finance[Xero Invoice No]&lt;&gt;"")),tbl_Finance[Xero Invoice No])&amp;" +more"),"")))</f>
        <v/>
      </c>
      <c r="C243" s="24" t="n"/>
      <c r="D243" s="25">
        <f>IF(C243="","",IF(COUNTIF(lst_Jobs,C243&amp;"")&gt;0,"OK","CHECK"))</f>
        <v/>
      </c>
      <c r="E243" s="25">
        <f>IF(C243="","",IFERROR(INDEX(lst_JobName,MATCH(C243&amp;"",lst_Jobs,0)),""))</f>
        <v/>
      </c>
      <c r="F243" s="25">
        <f>IF(C243="","",IFERROR(INDEX(tbl_Finance[Client],IFERROR(MATCH(C243&amp;"",tbl_Finance[Job Number],0),MATCH(IFERROR(C243+0,C243),tbl_Finance[Job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6" t="n"/>
      <c r="L243" s="27">
        <f>IF(C243="","",IF(K243="",0,MAX(0,K243-H243)))</f>
        <v/>
      </c>
      <c r="M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N243" s="24" t="n"/>
      <c r="O243" s="25">
        <f>IF(N243="","",HYPERLINK(IF(LEFT(N243,4)="http",N243,set_QwilrBase&amp;N243),"Open quote"))</f>
        <v/>
      </c>
      <c r="P243" s="26" t="n"/>
      <c r="Q243" s="26" t="n"/>
      <c r="R243" s="26" t="n"/>
      <c r="S243" s="25">
        <f>IF(C243="","",IF(N(P243)+N(Q243)+N(R243)=0,"Not split",IF(ROUND(N(P243)+N(Q243)+N(R243),2)=ROUND(H243+L243,2),"OK",IF(G243=0,"Not invoiced yet","MISMATCH"))))</f>
        <v/>
      </c>
      <c r="T243" s="26" t="n"/>
      <c r="U243" s="26" t="n"/>
      <c r="V243" s="26" t="n"/>
      <c r="W243" s="27">
        <f>IF(C243="","",N(T243)+N(U243)+N(V243))</f>
        <v/>
      </c>
      <c r="X243" s="27">
        <f>IF(C243="","",H243+L243-W243)</f>
        <v/>
      </c>
      <c r="Y243" s="29">
        <f>IFERROR(X243/(H243+L243),"")</f>
        <v/>
      </c>
      <c r="Z243" s="24" t="n"/>
    </row>
    <row r="244" ht="15" customHeight="1">
      <c r="A244" s="70">
        <f>IF(C244="","",IFERROR(IF(SUMPRODUCT(MAX((tbl_Finance[Job Number]&amp;""=C244&amp;"")*(tbl_Finance[Xero Invoice No]&lt;&gt;"")*tbl_Finance[Date]))=0,"",SUMPRODUCT(MAX((tbl_Finance[Job Number]&amp;""=C244&amp;"")*(tbl_Finance[Xero Invoice No]&lt;&gt;"")*tbl_Finance[Date]))),""))</f>
        <v/>
      </c>
      <c r="B244" s="25">
        <f>IF(C244="","",IF(COUNTIFS(tbl_Finance[Job Number],C244&amp;"",tbl_Finance[Xero Invoice No],"&lt;&gt;")=0,"",IFERROR(IF(COUNTIFS(tbl_Finance[Job Number],C244&amp;"",tbl_Finance[Xero Invoice No],LOOKUP(2,1/((tbl_Finance[Job Number]&amp;""=C244&amp;"")*(tbl_Finance[Xero Invoice No]&lt;&gt;"")),tbl_Finance[Xero Invoice No]))=COUNTIFS(tbl_Finance[Job Number],C244&amp;"",tbl_Finance[Xero Invoice No],"&lt;&gt;"),LOOKUP(2,1/((tbl_Finance[Job Number]&amp;""=C244&amp;"")*(tbl_Finance[Xero Invoice No]&lt;&gt;"")),tbl_Finance[Xero Invoice No]),LOOKUP(2,1/((tbl_Finance[Job Number]&amp;""=C244&amp;"")*(tbl_Finance[Xero Invoice No]&lt;&gt;"")),tbl_Finance[Xero Invoice No])&amp;" +more"),"")))</f>
        <v/>
      </c>
      <c r="C244" s="24" t="n"/>
      <c r="D244" s="25">
        <f>IF(C244="","",IF(COUNTIF(lst_Jobs,C244&amp;"")&gt;0,"OK","CHECK"))</f>
        <v/>
      </c>
      <c r="E244" s="25">
        <f>IF(C244="","",IFERROR(INDEX(lst_JobName,MATCH(C244&amp;"",lst_Jobs,0)),""))</f>
        <v/>
      </c>
      <c r="F244" s="25">
        <f>IF(C244="","",IFERROR(INDEX(tbl_Finance[Client],IFERROR(MATCH(C244&amp;"",tbl_Finance[Job Number],0),MATCH(IFERROR(C244+0,C244),tbl_Finance[Job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6" t="n"/>
      <c r="L244" s="27">
        <f>IF(C244="","",IF(K244="",0,MAX(0,K244-H244)))</f>
        <v/>
      </c>
      <c r="M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N244" s="24" t="n"/>
      <c r="O244" s="25">
        <f>IF(N244="","",HYPERLINK(IF(LEFT(N244,4)="http",N244,set_QwilrBase&amp;N244),"Open quote"))</f>
        <v/>
      </c>
      <c r="P244" s="26" t="n"/>
      <c r="Q244" s="26" t="n"/>
      <c r="R244" s="26" t="n"/>
      <c r="S244" s="25">
        <f>IF(C244="","",IF(N(P244)+N(Q244)+N(R244)=0,"Not split",IF(ROUND(N(P244)+N(Q244)+N(R244),2)=ROUND(H244+L244,2),"OK",IF(G244=0,"Not invoiced yet","MISMATCH"))))</f>
        <v/>
      </c>
      <c r="T244" s="26" t="n"/>
      <c r="U244" s="26" t="n"/>
      <c r="V244" s="26" t="n"/>
      <c r="W244" s="27">
        <f>IF(C244="","",N(T244)+N(U244)+N(V244))</f>
        <v/>
      </c>
      <c r="X244" s="27">
        <f>IF(C244="","",H244+L244-W244)</f>
        <v/>
      </c>
      <c r="Y244" s="29">
        <f>IFERROR(X244/(H244+L244),"")</f>
        <v/>
      </c>
      <c r="Z244" s="24" t="n"/>
    </row>
    <row r="245" ht="15" customHeight="1">
      <c r="A245" s="70">
        <f>IF(C245="","",IFERROR(IF(SUMPRODUCT(MAX((tbl_Finance[Job Number]&amp;""=C245&amp;"")*(tbl_Finance[Xero Invoice No]&lt;&gt;"")*tbl_Finance[Date]))=0,"",SUMPRODUCT(MAX((tbl_Finance[Job Number]&amp;""=C245&amp;"")*(tbl_Finance[Xero Invoice No]&lt;&gt;"")*tbl_Finance[Date]))),""))</f>
        <v/>
      </c>
      <c r="B245" s="25">
        <f>IF(C245="","",IF(COUNTIFS(tbl_Finance[Job Number],C245&amp;"",tbl_Finance[Xero Invoice No],"&lt;&gt;")=0,"",IFERROR(IF(COUNTIFS(tbl_Finance[Job Number],C245&amp;"",tbl_Finance[Xero Invoice No],LOOKUP(2,1/((tbl_Finance[Job Number]&amp;""=C245&amp;"")*(tbl_Finance[Xero Invoice No]&lt;&gt;"")),tbl_Finance[Xero Invoice No]))=COUNTIFS(tbl_Finance[Job Number],C245&amp;"",tbl_Finance[Xero Invoice No],"&lt;&gt;"),LOOKUP(2,1/((tbl_Finance[Job Number]&amp;""=C245&amp;"")*(tbl_Finance[Xero Invoice No]&lt;&gt;"")),tbl_Finance[Xero Invoice No]),LOOKUP(2,1/((tbl_Finance[Job Number]&amp;""=C245&amp;"")*(tbl_Finance[Xero Invoice No]&lt;&gt;"")),tbl_Finance[Xero Invoice No])&amp;" +more"),"")))</f>
        <v/>
      </c>
      <c r="C245" s="24" t="n"/>
      <c r="D245" s="25">
        <f>IF(C245="","",IF(COUNTIF(lst_Jobs,C245&amp;"")&gt;0,"OK","CHECK"))</f>
        <v/>
      </c>
      <c r="E245" s="25">
        <f>IF(C245="","",IFERROR(INDEX(lst_JobName,MATCH(C245&amp;"",lst_Jobs,0)),""))</f>
        <v/>
      </c>
      <c r="F245" s="25">
        <f>IF(C245="","",IFERROR(INDEX(tbl_Finance[Client],IFERROR(MATCH(C245&amp;"",tbl_Finance[Job Number],0),MATCH(IFERROR(C245+0,C245),tbl_Finance[Job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6" t="n"/>
      <c r="L245" s="27">
        <f>IF(C245="","",IF(K245="",0,MAX(0,K245-H245)))</f>
        <v/>
      </c>
      <c r="M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N245" s="24" t="n"/>
      <c r="O245" s="25">
        <f>IF(N245="","",HYPERLINK(IF(LEFT(N245,4)="http",N245,set_QwilrBase&amp;N245),"Open quote"))</f>
        <v/>
      </c>
      <c r="P245" s="26" t="n"/>
      <c r="Q245" s="26" t="n"/>
      <c r="R245" s="26" t="n"/>
      <c r="S245" s="25">
        <f>IF(C245="","",IF(N(P245)+N(Q245)+N(R245)=0,"Not split",IF(ROUND(N(P245)+N(Q245)+N(R245),2)=ROUND(H245+L245,2),"OK",IF(G245=0,"Not invoiced yet","MISMATCH"))))</f>
        <v/>
      </c>
      <c r="T245" s="26" t="n"/>
      <c r="U245" s="26" t="n"/>
      <c r="V245" s="26" t="n"/>
      <c r="W245" s="27">
        <f>IF(C245="","",N(T245)+N(U245)+N(V245))</f>
        <v/>
      </c>
      <c r="X245" s="27">
        <f>IF(C245="","",H245+L245-W245)</f>
        <v/>
      </c>
      <c r="Y245" s="29">
        <f>IFERROR(X245/(H245+L245),"")</f>
        <v/>
      </c>
      <c r="Z245" s="24" t="n"/>
    </row>
    <row r="246" ht="15" customHeight="1">
      <c r="A246" s="70">
        <f>IF(C246="","",IFERROR(IF(SUMPRODUCT(MAX((tbl_Finance[Job Number]&amp;""=C246&amp;"")*(tbl_Finance[Xero Invoice No]&lt;&gt;"")*tbl_Finance[Date]))=0,"",SUMPRODUCT(MAX((tbl_Finance[Job Number]&amp;""=C246&amp;"")*(tbl_Finance[Xero Invoice No]&lt;&gt;"")*tbl_Finance[Date]))),""))</f>
        <v/>
      </c>
      <c r="B246" s="25">
        <f>IF(C246="","",IF(COUNTIFS(tbl_Finance[Job Number],C246&amp;"",tbl_Finance[Xero Invoice No],"&lt;&gt;")=0,"",IFERROR(IF(COUNTIFS(tbl_Finance[Job Number],C246&amp;"",tbl_Finance[Xero Invoice No],LOOKUP(2,1/((tbl_Finance[Job Number]&amp;""=C246&amp;"")*(tbl_Finance[Xero Invoice No]&lt;&gt;"")),tbl_Finance[Xero Invoice No]))=COUNTIFS(tbl_Finance[Job Number],C246&amp;"",tbl_Finance[Xero Invoice No],"&lt;&gt;"),LOOKUP(2,1/((tbl_Finance[Job Number]&amp;""=C246&amp;"")*(tbl_Finance[Xero Invoice No]&lt;&gt;"")),tbl_Finance[Xero Invoice No]),LOOKUP(2,1/((tbl_Finance[Job Number]&amp;""=C246&amp;"")*(tbl_Finance[Xero Invoice No]&lt;&gt;"")),tbl_Finance[Xero Invoice No])&amp;" +more"),"")))</f>
        <v/>
      </c>
      <c r="C246" s="24" t="n"/>
      <c r="D246" s="25">
        <f>IF(C246="","",IF(COUNTIF(lst_Jobs,C246&amp;"")&gt;0,"OK","CHECK"))</f>
        <v/>
      </c>
      <c r="E246" s="25">
        <f>IF(C246="","",IFERROR(INDEX(lst_JobName,MATCH(C246&amp;"",lst_Jobs,0)),""))</f>
        <v/>
      </c>
      <c r="F246" s="25">
        <f>IF(C246="","",IFERROR(INDEX(tbl_Finance[Client],IFERROR(MATCH(C246&amp;"",tbl_Finance[Job Number],0),MATCH(IFERROR(C246+0,C246),tbl_Finance[Job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6" t="n"/>
      <c r="L246" s="27">
        <f>IF(C246="","",IF(K246="",0,MAX(0,K246-H246)))</f>
        <v/>
      </c>
      <c r="M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N246" s="24" t="n"/>
      <c r="O246" s="25">
        <f>IF(N246="","",HYPERLINK(IF(LEFT(N246,4)="http",N246,set_QwilrBase&amp;N246),"Open quote"))</f>
        <v/>
      </c>
      <c r="P246" s="26" t="n"/>
      <c r="Q246" s="26" t="n"/>
      <c r="R246" s="26" t="n"/>
      <c r="S246" s="25">
        <f>IF(C246="","",IF(N(P246)+N(Q246)+N(R246)=0,"Not split",IF(ROUND(N(P246)+N(Q246)+N(R246),2)=ROUND(H246+L246,2),"OK",IF(G246=0,"Not invoiced yet","MISMATCH"))))</f>
        <v/>
      </c>
      <c r="T246" s="26" t="n"/>
      <c r="U246" s="26" t="n"/>
      <c r="V246" s="26" t="n"/>
      <c r="W246" s="27">
        <f>IF(C246="","",N(T246)+N(U246)+N(V246))</f>
        <v/>
      </c>
      <c r="X246" s="27">
        <f>IF(C246="","",H246+L246-W246)</f>
        <v/>
      </c>
      <c r="Y246" s="29">
        <f>IFERROR(X246/(H246+L246),"")</f>
        <v/>
      </c>
      <c r="Z246" s="24" t="n"/>
    </row>
    <row r="247" ht="15" customHeight="1">
      <c r="A247" s="70">
        <f>IF(C247="","",IFERROR(IF(SUMPRODUCT(MAX((tbl_Finance[Job Number]&amp;""=C247&amp;"")*(tbl_Finance[Xero Invoice No]&lt;&gt;"")*tbl_Finance[Date]))=0,"",SUMPRODUCT(MAX((tbl_Finance[Job Number]&amp;""=C247&amp;"")*(tbl_Finance[Xero Invoice No]&lt;&gt;"")*tbl_Finance[Date]))),""))</f>
        <v/>
      </c>
      <c r="B247" s="25">
        <f>IF(C247="","",IF(COUNTIFS(tbl_Finance[Job Number],C247&amp;"",tbl_Finance[Xero Invoice No],"&lt;&gt;")=0,"",IFERROR(IF(COUNTIFS(tbl_Finance[Job Number],C247&amp;"",tbl_Finance[Xero Invoice No],LOOKUP(2,1/((tbl_Finance[Job Number]&amp;""=C247&amp;"")*(tbl_Finance[Xero Invoice No]&lt;&gt;"")),tbl_Finance[Xero Invoice No]))=COUNTIFS(tbl_Finance[Job Number],C247&amp;"",tbl_Finance[Xero Invoice No],"&lt;&gt;"),LOOKUP(2,1/((tbl_Finance[Job Number]&amp;""=C247&amp;"")*(tbl_Finance[Xero Invoice No]&lt;&gt;"")),tbl_Finance[Xero Invoice No]),LOOKUP(2,1/((tbl_Finance[Job Number]&amp;""=C247&amp;"")*(tbl_Finance[Xero Invoice No]&lt;&gt;"")),tbl_Finance[Xero Invoice No])&amp;" +more"),"")))</f>
        <v/>
      </c>
      <c r="C247" s="24" t="n"/>
      <c r="D247" s="25">
        <f>IF(C247="","",IF(COUNTIF(lst_Jobs,C247&amp;"")&gt;0,"OK","CHECK"))</f>
        <v/>
      </c>
      <c r="E247" s="25">
        <f>IF(C247="","",IFERROR(INDEX(lst_JobName,MATCH(C247&amp;"",lst_Jobs,0)),""))</f>
        <v/>
      </c>
      <c r="F247" s="25">
        <f>IF(C247="","",IFERROR(INDEX(tbl_Finance[Client],IFERROR(MATCH(C247&amp;"",tbl_Finance[Job Number],0),MATCH(IFERROR(C247+0,C247),tbl_Finance[Job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6" t="n"/>
      <c r="L247" s="27">
        <f>IF(C247="","",IF(K247="",0,MAX(0,K247-H247)))</f>
        <v/>
      </c>
      <c r="M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N247" s="24" t="n"/>
      <c r="O247" s="25">
        <f>IF(N247="","",HYPERLINK(IF(LEFT(N247,4)="http",N247,set_QwilrBase&amp;N247),"Open quote"))</f>
        <v/>
      </c>
      <c r="P247" s="26" t="n"/>
      <c r="Q247" s="26" t="n"/>
      <c r="R247" s="26" t="n"/>
      <c r="S247" s="25">
        <f>IF(C247="","",IF(N(P247)+N(Q247)+N(R247)=0,"Not split",IF(ROUND(N(P247)+N(Q247)+N(R247),2)=ROUND(H247+L247,2),"OK",IF(G247=0,"Not invoiced yet","MISMATCH"))))</f>
        <v/>
      </c>
      <c r="T247" s="26" t="n"/>
      <c r="U247" s="26" t="n"/>
      <c r="V247" s="26" t="n"/>
      <c r="W247" s="27">
        <f>IF(C247="","",N(T247)+N(U247)+N(V247))</f>
        <v/>
      </c>
      <c r="X247" s="27">
        <f>IF(C247="","",H247+L247-W247)</f>
        <v/>
      </c>
      <c r="Y247" s="29">
        <f>IFERROR(X247/(H247+L247),"")</f>
        <v/>
      </c>
      <c r="Z247" s="24" t="n"/>
    </row>
    <row r="248" ht="15" customHeight="1">
      <c r="A248" s="70">
        <f>IF(C248="","",IFERROR(IF(SUMPRODUCT(MAX((tbl_Finance[Job Number]&amp;""=C248&amp;"")*(tbl_Finance[Xero Invoice No]&lt;&gt;"")*tbl_Finance[Date]))=0,"",SUMPRODUCT(MAX((tbl_Finance[Job Number]&amp;""=C248&amp;"")*(tbl_Finance[Xero Invoice No]&lt;&gt;"")*tbl_Finance[Date]))),""))</f>
        <v/>
      </c>
      <c r="B248" s="25">
        <f>IF(C248="","",IF(COUNTIFS(tbl_Finance[Job Number],C248&amp;"",tbl_Finance[Xero Invoice No],"&lt;&gt;")=0,"",IFERROR(IF(COUNTIFS(tbl_Finance[Job Number],C248&amp;"",tbl_Finance[Xero Invoice No],LOOKUP(2,1/((tbl_Finance[Job Number]&amp;""=C248&amp;"")*(tbl_Finance[Xero Invoice No]&lt;&gt;"")),tbl_Finance[Xero Invoice No]))=COUNTIFS(tbl_Finance[Job Number],C248&amp;"",tbl_Finance[Xero Invoice No],"&lt;&gt;"),LOOKUP(2,1/((tbl_Finance[Job Number]&amp;""=C248&amp;"")*(tbl_Finance[Xero Invoice No]&lt;&gt;"")),tbl_Finance[Xero Invoice No]),LOOKUP(2,1/((tbl_Finance[Job Number]&amp;""=C248&amp;"")*(tbl_Finance[Xero Invoice No]&lt;&gt;"")),tbl_Finance[Xero Invoice No])&amp;" +more"),"")))</f>
        <v/>
      </c>
      <c r="C248" s="24" t="n"/>
      <c r="D248" s="25">
        <f>IF(C248="","",IF(COUNTIF(lst_Jobs,C248&amp;"")&gt;0,"OK","CHECK"))</f>
        <v/>
      </c>
      <c r="E248" s="25">
        <f>IF(C248="","",IFERROR(INDEX(lst_JobName,MATCH(C248&amp;"",lst_Jobs,0)),""))</f>
        <v/>
      </c>
      <c r="F248" s="25">
        <f>IF(C248="","",IFERROR(INDEX(tbl_Finance[Client],IFERROR(MATCH(C248&amp;"",tbl_Finance[Job Number],0),MATCH(IFERROR(C248+0,C248),tbl_Finance[Job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6" t="n"/>
      <c r="L248" s="27">
        <f>IF(C248="","",IF(K248="",0,MAX(0,K248-H248)))</f>
        <v/>
      </c>
      <c r="M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N248" s="24" t="n"/>
      <c r="O248" s="25">
        <f>IF(N248="","",HYPERLINK(IF(LEFT(N248,4)="http",N248,set_QwilrBase&amp;N248),"Open quote"))</f>
        <v/>
      </c>
      <c r="P248" s="26" t="n"/>
      <c r="Q248" s="26" t="n"/>
      <c r="R248" s="26" t="n"/>
      <c r="S248" s="25">
        <f>IF(C248="","",IF(N(P248)+N(Q248)+N(R248)=0,"Not split",IF(ROUND(N(P248)+N(Q248)+N(R248),2)=ROUND(H248+L248,2),"OK",IF(G248=0,"Not invoiced yet","MISMATCH"))))</f>
        <v/>
      </c>
      <c r="T248" s="26" t="n"/>
      <c r="U248" s="26" t="n"/>
      <c r="V248" s="26" t="n"/>
      <c r="W248" s="27">
        <f>IF(C248="","",N(T248)+N(U248)+N(V248))</f>
        <v/>
      </c>
      <c r="X248" s="27">
        <f>IF(C248="","",H248+L248-W248)</f>
        <v/>
      </c>
      <c r="Y248" s="29">
        <f>IFERROR(X248/(H248+L248),"")</f>
        <v/>
      </c>
      <c r="Z248" s="24" t="n"/>
    </row>
    <row r="249" ht="15" customHeight="1">
      <c r="A249" s="70">
        <f>IF(C249="","",IFERROR(IF(SUMPRODUCT(MAX((tbl_Finance[Job Number]&amp;""=C249&amp;"")*(tbl_Finance[Xero Invoice No]&lt;&gt;"")*tbl_Finance[Date]))=0,"",SUMPRODUCT(MAX((tbl_Finance[Job Number]&amp;""=C249&amp;"")*(tbl_Finance[Xero Invoice No]&lt;&gt;"")*tbl_Finance[Date]))),""))</f>
        <v/>
      </c>
      <c r="B249" s="25">
        <f>IF(C249="","",IF(COUNTIFS(tbl_Finance[Job Number],C249&amp;"",tbl_Finance[Xero Invoice No],"&lt;&gt;")=0,"",IFERROR(IF(COUNTIFS(tbl_Finance[Job Number],C249&amp;"",tbl_Finance[Xero Invoice No],LOOKUP(2,1/((tbl_Finance[Job Number]&amp;""=C249&amp;"")*(tbl_Finance[Xero Invoice No]&lt;&gt;"")),tbl_Finance[Xero Invoice No]))=COUNTIFS(tbl_Finance[Job Number],C249&amp;"",tbl_Finance[Xero Invoice No],"&lt;&gt;"),LOOKUP(2,1/((tbl_Finance[Job Number]&amp;""=C249&amp;"")*(tbl_Finance[Xero Invoice No]&lt;&gt;"")),tbl_Finance[Xero Invoice No]),LOOKUP(2,1/((tbl_Finance[Job Number]&amp;""=C249&amp;"")*(tbl_Finance[Xero Invoice No]&lt;&gt;"")),tbl_Finance[Xero Invoice No])&amp;" +more"),"")))</f>
        <v/>
      </c>
      <c r="C249" s="24" t="n"/>
      <c r="D249" s="25">
        <f>IF(C249="","",IF(COUNTIF(lst_Jobs,C249&amp;"")&gt;0,"OK","CHECK"))</f>
        <v/>
      </c>
      <c r="E249" s="25">
        <f>IF(C249="","",IFERROR(INDEX(lst_JobName,MATCH(C249&amp;"",lst_Jobs,0)),""))</f>
        <v/>
      </c>
      <c r="F249" s="25">
        <f>IF(C249="","",IFERROR(INDEX(tbl_Finance[Client],IFERROR(MATCH(C249&amp;"",tbl_Finance[Job Number],0),MATCH(IFERROR(C249+0,C249),tbl_Finance[Job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6" t="n"/>
      <c r="L249" s="27">
        <f>IF(C249="","",IF(K249="",0,MAX(0,K249-H249)))</f>
        <v/>
      </c>
      <c r="M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N249" s="24" t="n"/>
      <c r="O249" s="25">
        <f>IF(N249="","",HYPERLINK(IF(LEFT(N249,4)="http",N249,set_QwilrBase&amp;N249),"Open quote"))</f>
        <v/>
      </c>
      <c r="P249" s="26" t="n"/>
      <c r="Q249" s="26" t="n"/>
      <c r="R249" s="26" t="n"/>
      <c r="S249" s="25">
        <f>IF(C249="","",IF(N(P249)+N(Q249)+N(R249)=0,"Not split",IF(ROUND(N(P249)+N(Q249)+N(R249),2)=ROUND(H249+L249,2),"OK",IF(G249=0,"Not invoiced yet","MISMATCH"))))</f>
        <v/>
      </c>
      <c r="T249" s="26" t="n"/>
      <c r="U249" s="26" t="n"/>
      <c r="V249" s="26" t="n"/>
      <c r="W249" s="27">
        <f>IF(C249="","",N(T249)+N(U249)+N(V249))</f>
        <v/>
      </c>
      <c r="X249" s="27">
        <f>IF(C249="","",H249+L249-W249)</f>
        <v/>
      </c>
      <c r="Y249" s="29">
        <f>IFERROR(X249/(H249+L249),"")</f>
        <v/>
      </c>
      <c r="Z249" s="24" t="n"/>
    </row>
    <row r="250" ht="15" customHeight="1">
      <c r="A250" s="70">
        <f>IF(C250="","",IFERROR(IF(SUMPRODUCT(MAX((tbl_Finance[Job Number]&amp;""=C250&amp;"")*(tbl_Finance[Xero Invoice No]&lt;&gt;"")*tbl_Finance[Date]))=0,"",SUMPRODUCT(MAX((tbl_Finance[Job Number]&amp;""=C250&amp;"")*(tbl_Finance[Xero Invoice No]&lt;&gt;"")*tbl_Finance[Date]))),""))</f>
        <v/>
      </c>
      <c r="B250" s="25">
        <f>IF(C250="","",IF(COUNTIFS(tbl_Finance[Job Number],C250&amp;"",tbl_Finance[Xero Invoice No],"&lt;&gt;")=0,"",IFERROR(IF(COUNTIFS(tbl_Finance[Job Number],C250&amp;"",tbl_Finance[Xero Invoice No],LOOKUP(2,1/((tbl_Finance[Job Number]&amp;""=C250&amp;"")*(tbl_Finance[Xero Invoice No]&lt;&gt;"")),tbl_Finance[Xero Invoice No]))=COUNTIFS(tbl_Finance[Job Number],C250&amp;"",tbl_Finance[Xero Invoice No],"&lt;&gt;"),LOOKUP(2,1/((tbl_Finance[Job Number]&amp;""=C250&amp;"")*(tbl_Finance[Xero Invoice No]&lt;&gt;"")),tbl_Finance[Xero Invoice No]),LOOKUP(2,1/((tbl_Finance[Job Number]&amp;""=C250&amp;"")*(tbl_Finance[Xero Invoice No]&lt;&gt;"")),tbl_Finance[Xero Invoice No])&amp;" +more"),"")))</f>
        <v/>
      </c>
      <c r="C250" s="24" t="n"/>
      <c r="D250" s="25">
        <f>IF(C250="","",IF(COUNTIF(lst_Jobs,C250&amp;"")&gt;0,"OK","CHECK"))</f>
        <v/>
      </c>
      <c r="E250" s="25">
        <f>IF(C250="","",IFERROR(INDEX(lst_JobName,MATCH(C250&amp;"",lst_Jobs,0)),""))</f>
        <v/>
      </c>
      <c r="F250" s="25">
        <f>IF(C250="","",IFERROR(INDEX(tbl_Finance[Client],IFERROR(MATCH(C250&amp;"",tbl_Finance[Job Number],0),MATCH(IFERROR(C250+0,C250),tbl_Finance[Job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6" t="n"/>
      <c r="L250" s="27">
        <f>IF(C250="","",IF(K250="",0,MAX(0,K250-H250)))</f>
        <v/>
      </c>
      <c r="M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N250" s="24" t="n"/>
      <c r="O250" s="25">
        <f>IF(N250="","",HYPERLINK(IF(LEFT(N250,4)="http",N250,set_QwilrBase&amp;N250),"Open quote"))</f>
        <v/>
      </c>
      <c r="P250" s="26" t="n"/>
      <c r="Q250" s="26" t="n"/>
      <c r="R250" s="26" t="n"/>
      <c r="S250" s="25">
        <f>IF(C250="","",IF(N(P250)+N(Q250)+N(R250)=0,"Not split",IF(ROUND(N(P250)+N(Q250)+N(R250),2)=ROUND(H250+L250,2),"OK",IF(G250=0,"Not invoiced yet","MISMATCH"))))</f>
        <v/>
      </c>
      <c r="T250" s="26" t="n"/>
      <c r="U250" s="26" t="n"/>
      <c r="V250" s="26" t="n"/>
      <c r="W250" s="27">
        <f>IF(C250="","",N(T250)+N(U250)+N(V250))</f>
        <v/>
      </c>
      <c r="X250" s="27">
        <f>IF(C250="","",H250+L250-W250)</f>
        <v/>
      </c>
      <c r="Y250" s="29">
        <f>IFERROR(X250/(H250+L250),"")</f>
        <v/>
      </c>
      <c r="Z250" s="24" t="n"/>
    </row>
    <row r="251" ht="15" customHeight="1">
      <c r="A251" s="70">
        <f>IF(C251="","",IFERROR(IF(SUMPRODUCT(MAX((tbl_Finance[Job Number]&amp;""=C251&amp;"")*(tbl_Finance[Xero Invoice No]&lt;&gt;"")*tbl_Finance[Date]))=0,"",SUMPRODUCT(MAX((tbl_Finance[Job Number]&amp;""=C251&amp;"")*(tbl_Finance[Xero Invoice No]&lt;&gt;"")*tbl_Finance[Date]))),""))</f>
        <v/>
      </c>
      <c r="B251" s="25">
        <f>IF(C251="","",IF(COUNTIFS(tbl_Finance[Job Number],C251&amp;"",tbl_Finance[Xero Invoice No],"&lt;&gt;")=0,"",IFERROR(IF(COUNTIFS(tbl_Finance[Job Number],C251&amp;"",tbl_Finance[Xero Invoice No],LOOKUP(2,1/((tbl_Finance[Job Number]&amp;""=C251&amp;"")*(tbl_Finance[Xero Invoice No]&lt;&gt;"")),tbl_Finance[Xero Invoice No]))=COUNTIFS(tbl_Finance[Job Number],C251&amp;"",tbl_Finance[Xero Invoice No],"&lt;&gt;"),LOOKUP(2,1/((tbl_Finance[Job Number]&amp;""=C251&amp;"")*(tbl_Finance[Xero Invoice No]&lt;&gt;"")),tbl_Finance[Xero Invoice No]),LOOKUP(2,1/((tbl_Finance[Job Number]&amp;""=C251&amp;"")*(tbl_Finance[Xero Invoice No]&lt;&gt;"")),tbl_Finance[Xero Invoice No])&amp;" +more"),"")))</f>
        <v/>
      </c>
      <c r="C251" s="24" t="n"/>
      <c r="D251" s="25">
        <f>IF(C251="","",IF(COUNTIF(lst_Jobs,C251&amp;"")&gt;0,"OK","CHECK"))</f>
        <v/>
      </c>
      <c r="E251" s="25">
        <f>IF(C251="","",IFERROR(INDEX(lst_JobName,MATCH(C251&amp;"",lst_Jobs,0)),""))</f>
        <v/>
      </c>
      <c r="F251" s="25">
        <f>IF(C251="","",IFERROR(INDEX(tbl_Finance[Client],IFERROR(MATCH(C251&amp;"",tbl_Finance[Job Number],0),MATCH(IFERROR(C251+0,C251),tbl_Finance[Job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6" t="n"/>
      <c r="L251" s="27">
        <f>IF(C251="","",IF(K251="",0,MAX(0,K251-H251)))</f>
        <v/>
      </c>
      <c r="M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N251" s="24" t="n"/>
      <c r="O251" s="25">
        <f>IF(N251="","",HYPERLINK(IF(LEFT(N251,4)="http",N251,set_QwilrBase&amp;N251),"Open quote"))</f>
        <v/>
      </c>
      <c r="P251" s="26" t="n"/>
      <c r="Q251" s="26" t="n"/>
      <c r="R251" s="26" t="n"/>
      <c r="S251" s="25">
        <f>IF(C251="","",IF(N(P251)+N(Q251)+N(R251)=0,"Not split",IF(ROUND(N(P251)+N(Q251)+N(R251),2)=ROUND(H251+L251,2),"OK",IF(G251=0,"Not invoiced yet","MISMATCH"))))</f>
        <v/>
      </c>
      <c r="T251" s="26" t="n"/>
      <c r="U251" s="26" t="n"/>
      <c r="V251" s="26" t="n"/>
      <c r="W251" s="27">
        <f>IF(C251="","",N(T251)+N(U251)+N(V251))</f>
        <v/>
      </c>
      <c r="X251" s="27">
        <f>IF(C251="","",H251+L251-W251)</f>
        <v/>
      </c>
      <c r="Y251" s="29">
        <f>IFERROR(X251/(H251+L251),"")</f>
        <v/>
      </c>
      <c r="Z251" s="24" t="n"/>
    </row>
    <row r="252" ht="15" customHeight="1">
      <c r="A252" s="70">
        <f>IF(C252="","",IFERROR(IF(SUMPRODUCT(MAX((tbl_Finance[Job Number]&amp;""=C252&amp;"")*(tbl_Finance[Xero Invoice No]&lt;&gt;"")*tbl_Finance[Date]))=0,"",SUMPRODUCT(MAX((tbl_Finance[Job Number]&amp;""=C252&amp;"")*(tbl_Finance[Xero Invoice No]&lt;&gt;"")*tbl_Finance[Date]))),""))</f>
        <v/>
      </c>
      <c r="B252" s="25">
        <f>IF(C252="","",IF(COUNTIFS(tbl_Finance[Job Number],C252&amp;"",tbl_Finance[Xero Invoice No],"&lt;&gt;")=0,"",IFERROR(IF(COUNTIFS(tbl_Finance[Job Number],C252&amp;"",tbl_Finance[Xero Invoice No],LOOKUP(2,1/((tbl_Finance[Job Number]&amp;""=C252&amp;"")*(tbl_Finance[Xero Invoice No]&lt;&gt;"")),tbl_Finance[Xero Invoice No]))=COUNTIFS(tbl_Finance[Job Number],C252&amp;"",tbl_Finance[Xero Invoice No],"&lt;&gt;"),LOOKUP(2,1/((tbl_Finance[Job Number]&amp;""=C252&amp;"")*(tbl_Finance[Xero Invoice No]&lt;&gt;"")),tbl_Finance[Xero Invoice No]),LOOKUP(2,1/((tbl_Finance[Job Number]&amp;""=C252&amp;"")*(tbl_Finance[Xero Invoice No]&lt;&gt;"")),tbl_Finance[Xero Invoice No])&amp;" +more"),"")))</f>
        <v/>
      </c>
      <c r="C252" s="24" t="n"/>
      <c r="D252" s="25">
        <f>IF(C252="","",IF(COUNTIF(lst_Jobs,C252&amp;"")&gt;0,"OK","CHECK"))</f>
        <v/>
      </c>
      <c r="E252" s="25">
        <f>IF(C252="","",IFERROR(INDEX(lst_JobName,MATCH(C252&amp;"",lst_Jobs,0)),""))</f>
        <v/>
      </c>
      <c r="F252" s="25">
        <f>IF(C252="","",IFERROR(INDEX(tbl_Finance[Client],IFERROR(MATCH(C252&amp;"",tbl_Finance[Job Number],0),MATCH(IFERROR(C252+0,C252),tbl_Finance[Job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6" t="n"/>
      <c r="L252" s="27">
        <f>IF(C252="","",IF(K252="",0,MAX(0,K252-H252)))</f>
        <v/>
      </c>
      <c r="M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N252" s="24" t="n"/>
      <c r="O252" s="25">
        <f>IF(N252="","",HYPERLINK(IF(LEFT(N252,4)="http",N252,set_QwilrBase&amp;N252),"Open quote"))</f>
        <v/>
      </c>
      <c r="P252" s="26" t="n"/>
      <c r="Q252" s="26" t="n"/>
      <c r="R252" s="26" t="n"/>
      <c r="S252" s="25">
        <f>IF(C252="","",IF(N(P252)+N(Q252)+N(R252)=0,"Not split",IF(ROUND(N(P252)+N(Q252)+N(R252),2)=ROUND(H252+L252,2),"OK",IF(G252=0,"Not invoiced yet","MISMATCH"))))</f>
        <v/>
      </c>
      <c r="T252" s="26" t="n"/>
      <c r="U252" s="26" t="n"/>
      <c r="V252" s="26" t="n"/>
      <c r="W252" s="27">
        <f>IF(C252="","",N(T252)+N(U252)+N(V252))</f>
        <v/>
      </c>
      <c r="X252" s="27">
        <f>IF(C252="","",H252+L252-W252)</f>
        <v/>
      </c>
      <c r="Y252" s="29">
        <f>IFERROR(X252/(H252+L252),"")</f>
        <v/>
      </c>
      <c r="Z252" s="24" t="n"/>
    </row>
    <row r="253" ht="15" customHeight="1">
      <c r="A253" s="70">
        <f>IF(C253="","",IFERROR(IF(SUMPRODUCT(MAX((tbl_Finance[Job Number]&amp;""=C253&amp;"")*(tbl_Finance[Xero Invoice No]&lt;&gt;"")*tbl_Finance[Date]))=0,"",SUMPRODUCT(MAX((tbl_Finance[Job Number]&amp;""=C253&amp;"")*(tbl_Finance[Xero Invoice No]&lt;&gt;"")*tbl_Finance[Date]))),""))</f>
        <v/>
      </c>
      <c r="B253" s="25">
        <f>IF(C253="","",IF(COUNTIFS(tbl_Finance[Job Number],C253&amp;"",tbl_Finance[Xero Invoice No],"&lt;&gt;")=0,"",IFERROR(IF(COUNTIFS(tbl_Finance[Job Number],C253&amp;"",tbl_Finance[Xero Invoice No],LOOKUP(2,1/((tbl_Finance[Job Number]&amp;""=C253&amp;"")*(tbl_Finance[Xero Invoice No]&lt;&gt;"")),tbl_Finance[Xero Invoice No]))=COUNTIFS(tbl_Finance[Job Number],C253&amp;"",tbl_Finance[Xero Invoice No],"&lt;&gt;"),LOOKUP(2,1/((tbl_Finance[Job Number]&amp;""=C253&amp;"")*(tbl_Finance[Xero Invoice No]&lt;&gt;"")),tbl_Finance[Xero Invoice No]),LOOKUP(2,1/((tbl_Finance[Job Number]&amp;""=C253&amp;"")*(tbl_Finance[Xero Invoice No]&lt;&gt;"")),tbl_Finance[Xero Invoice No])&amp;" +more"),"")))</f>
        <v/>
      </c>
      <c r="C253" s="24" t="n"/>
      <c r="D253" s="25">
        <f>IF(C253="","",IF(COUNTIF(lst_Jobs,C253&amp;"")&gt;0,"OK","CHECK"))</f>
        <v/>
      </c>
      <c r="E253" s="25">
        <f>IF(C253="","",IFERROR(INDEX(lst_JobName,MATCH(C253&amp;"",lst_Jobs,0)),""))</f>
        <v/>
      </c>
      <c r="F253" s="25">
        <f>IF(C253="","",IFERROR(INDEX(tbl_Finance[Client],IFERROR(MATCH(C253&amp;"",tbl_Finance[Job Number],0),MATCH(IFERROR(C253+0,C253),tbl_Finance[Job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6" t="n"/>
      <c r="L253" s="27">
        <f>IF(C253="","",IF(K253="",0,MAX(0,K253-H253)))</f>
        <v/>
      </c>
      <c r="M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N253" s="24" t="n"/>
      <c r="O253" s="25">
        <f>IF(N253="","",HYPERLINK(IF(LEFT(N253,4)="http",N253,set_QwilrBase&amp;N253),"Open quote"))</f>
        <v/>
      </c>
      <c r="P253" s="26" t="n"/>
      <c r="Q253" s="26" t="n"/>
      <c r="R253" s="26" t="n"/>
      <c r="S253" s="25">
        <f>IF(C253="","",IF(N(P253)+N(Q253)+N(R253)=0,"Not split",IF(ROUND(N(P253)+N(Q253)+N(R253),2)=ROUND(H253+L253,2),"OK",IF(G253=0,"Not invoiced yet","MISMATCH"))))</f>
        <v/>
      </c>
      <c r="T253" s="26" t="n"/>
      <c r="U253" s="26" t="n"/>
      <c r="V253" s="26" t="n"/>
      <c r="W253" s="27">
        <f>IF(C253="","",N(T253)+N(U253)+N(V253))</f>
        <v/>
      </c>
      <c r="X253" s="27">
        <f>IF(C253="","",H253+L253-W253)</f>
        <v/>
      </c>
      <c r="Y253" s="29">
        <f>IFERROR(X253/(H253+L253),"")</f>
        <v/>
      </c>
      <c r="Z253" s="24" t="n"/>
    </row>
    <row r="254" ht="15" customHeight="1">
      <c r="A254" s="70">
        <f>IF(C254="","",IFERROR(IF(SUMPRODUCT(MAX((tbl_Finance[Job Number]&amp;""=C254&amp;"")*(tbl_Finance[Xero Invoice No]&lt;&gt;"")*tbl_Finance[Date]))=0,"",SUMPRODUCT(MAX((tbl_Finance[Job Number]&amp;""=C254&amp;"")*(tbl_Finance[Xero Invoice No]&lt;&gt;"")*tbl_Finance[Date]))),""))</f>
        <v/>
      </c>
      <c r="B254" s="25">
        <f>IF(C254="","",IF(COUNTIFS(tbl_Finance[Job Number],C254&amp;"",tbl_Finance[Xero Invoice No],"&lt;&gt;")=0,"",IFERROR(IF(COUNTIFS(tbl_Finance[Job Number],C254&amp;"",tbl_Finance[Xero Invoice No],LOOKUP(2,1/((tbl_Finance[Job Number]&amp;""=C254&amp;"")*(tbl_Finance[Xero Invoice No]&lt;&gt;"")),tbl_Finance[Xero Invoice No]))=COUNTIFS(tbl_Finance[Job Number],C254&amp;"",tbl_Finance[Xero Invoice No],"&lt;&gt;"),LOOKUP(2,1/((tbl_Finance[Job Number]&amp;""=C254&amp;"")*(tbl_Finance[Xero Invoice No]&lt;&gt;"")),tbl_Finance[Xero Invoice No]),LOOKUP(2,1/((tbl_Finance[Job Number]&amp;""=C254&amp;"")*(tbl_Finance[Xero Invoice No]&lt;&gt;"")),tbl_Finance[Xero Invoice No])&amp;" +more"),"")))</f>
        <v/>
      </c>
      <c r="C254" s="24" t="n"/>
      <c r="D254" s="25">
        <f>IF(C254="","",IF(COUNTIF(lst_Jobs,C254&amp;"")&gt;0,"OK","CHECK"))</f>
        <v/>
      </c>
      <c r="E254" s="25">
        <f>IF(C254="","",IFERROR(INDEX(lst_JobName,MATCH(C254&amp;"",lst_Jobs,0)),""))</f>
        <v/>
      </c>
      <c r="F254" s="25">
        <f>IF(C254="","",IFERROR(INDEX(tbl_Finance[Client],IFERROR(MATCH(C254&amp;"",tbl_Finance[Job Number],0),MATCH(IFERROR(C254+0,C254),tbl_Finance[Job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6" t="n"/>
      <c r="L254" s="27">
        <f>IF(C254="","",IF(K254="",0,MAX(0,K254-H254)))</f>
        <v/>
      </c>
      <c r="M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N254" s="24" t="n"/>
      <c r="O254" s="25">
        <f>IF(N254="","",HYPERLINK(IF(LEFT(N254,4)="http",N254,set_QwilrBase&amp;N254),"Open quote"))</f>
        <v/>
      </c>
      <c r="P254" s="26" t="n"/>
      <c r="Q254" s="26" t="n"/>
      <c r="R254" s="26" t="n"/>
      <c r="S254" s="25">
        <f>IF(C254="","",IF(N(P254)+N(Q254)+N(R254)=0,"Not split",IF(ROUND(N(P254)+N(Q254)+N(R254),2)=ROUND(H254+L254,2),"OK",IF(G254=0,"Not invoiced yet","MISMATCH"))))</f>
        <v/>
      </c>
      <c r="T254" s="26" t="n"/>
      <c r="U254" s="26" t="n"/>
      <c r="V254" s="26" t="n"/>
      <c r="W254" s="27">
        <f>IF(C254="","",N(T254)+N(U254)+N(V254))</f>
        <v/>
      </c>
      <c r="X254" s="27">
        <f>IF(C254="","",H254+L254-W254)</f>
        <v/>
      </c>
      <c r="Y254" s="29">
        <f>IFERROR(X254/(H254+L254),"")</f>
        <v/>
      </c>
      <c r="Z254" s="24" t="n"/>
    </row>
    <row r="255" ht="15" customHeight="1">
      <c r="A255" s="70">
        <f>IF(C255="","",IFERROR(IF(SUMPRODUCT(MAX((tbl_Finance[Job Number]&amp;""=C255&amp;"")*(tbl_Finance[Xero Invoice No]&lt;&gt;"")*tbl_Finance[Date]))=0,"",SUMPRODUCT(MAX((tbl_Finance[Job Number]&amp;""=C255&amp;"")*(tbl_Finance[Xero Invoice No]&lt;&gt;"")*tbl_Finance[Date]))),""))</f>
        <v/>
      </c>
      <c r="B255" s="25">
        <f>IF(C255="","",IF(COUNTIFS(tbl_Finance[Job Number],C255&amp;"",tbl_Finance[Xero Invoice No],"&lt;&gt;")=0,"",IFERROR(IF(COUNTIFS(tbl_Finance[Job Number],C255&amp;"",tbl_Finance[Xero Invoice No],LOOKUP(2,1/((tbl_Finance[Job Number]&amp;""=C255&amp;"")*(tbl_Finance[Xero Invoice No]&lt;&gt;"")),tbl_Finance[Xero Invoice No]))=COUNTIFS(tbl_Finance[Job Number],C255&amp;"",tbl_Finance[Xero Invoice No],"&lt;&gt;"),LOOKUP(2,1/((tbl_Finance[Job Number]&amp;""=C255&amp;"")*(tbl_Finance[Xero Invoice No]&lt;&gt;"")),tbl_Finance[Xero Invoice No]),LOOKUP(2,1/((tbl_Finance[Job Number]&amp;""=C255&amp;"")*(tbl_Finance[Xero Invoice No]&lt;&gt;"")),tbl_Finance[Xero Invoice No])&amp;" +more"),"")))</f>
        <v/>
      </c>
      <c r="C255" s="24" t="n"/>
      <c r="D255" s="25">
        <f>IF(C255="","",IF(COUNTIF(lst_Jobs,C255&amp;"")&gt;0,"OK","CHECK"))</f>
        <v/>
      </c>
      <c r="E255" s="25">
        <f>IF(C255="","",IFERROR(INDEX(lst_JobName,MATCH(C255&amp;"",lst_Jobs,0)),""))</f>
        <v/>
      </c>
      <c r="F255" s="25">
        <f>IF(C255="","",IFERROR(INDEX(tbl_Finance[Client],IFERROR(MATCH(C255&amp;"",tbl_Finance[Job Number],0),MATCH(IFERROR(C255+0,C255),tbl_Finance[Job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6" t="n"/>
      <c r="L255" s="27">
        <f>IF(C255="","",IF(K255="",0,MAX(0,K255-H255)))</f>
        <v/>
      </c>
      <c r="M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N255" s="24" t="n"/>
      <c r="O255" s="25">
        <f>IF(N255="","",HYPERLINK(IF(LEFT(N255,4)="http",N255,set_QwilrBase&amp;N255),"Open quote"))</f>
        <v/>
      </c>
      <c r="P255" s="26" t="n"/>
      <c r="Q255" s="26" t="n"/>
      <c r="R255" s="26" t="n"/>
      <c r="S255" s="25">
        <f>IF(C255="","",IF(N(P255)+N(Q255)+N(R255)=0,"Not split",IF(ROUND(N(P255)+N(Q255)+N(R255),2)=ROUND(H255+L255,2),"OK",IF(G255=0,"Not invoiced yet","MISMATCH"))))</f>
        <v/>
      </c>
      <c r="T255" s="26" t="n"/>
      <c r="U255" s="26" t="n"/>
      <c r="V255" s="26" t="n"/>
      <c r="W255" s="27">
        <f>IF(C255="","",N(T255)+N(U255)+N(V255))</f>
        <v/>
      </c>
      <c r="X255" s="27">
        <f>IF(C255="","",H255+L255-W255)</f>
        <v/>
      </c>
      <c r="Y255" s="29">
        <f>IFERROR(X255/(H255+L255),"")</f>
        <v/>
      </c>
      <c r="Z255" s="24" t="n"/>
    </row>
    <row r="256" ht="15" customHeight="1">
      <c r="A256" s="70">
        <f>IF(C256="","",IFERROR(IF(SUMPRODUCT(MAX((tbl_Finance[Job Number]&amp;""=C256&amp;"")*(tbl_Finance[Xero Invoice No]&lt;&gt;"")*tbl_Finance[Date]))=0,"",SUMPRODUCT(MAX((tbl_Finance[Job Number]&amp;""=C256&amp;"")*(tbl_Finance[Xero Invoice No]&lt;&gt;"")*tbl_Finance[Date]))),""))</f>
        <v/>
      </c>
      <c r="B256" s="25">
        <f>IF(C256="","",IF(COUNTIFS(tbl_Finance[Job Number],C256&amp;"",tbl_Finance[Xero Invoice No],"&lt;&gt;")=0,"",IFERROR(IF(COUNTIFS(tbl_Finance[Job Number],C256&amp;"",tbl_Finance[Xero Invoice No],LOOKUP(2,1/((tbl_Finance[Job Number]&amp;""=C256&amp;"")*(tbl_Finance[Xero Invoice No]&lt;&gt;"")),tbl_Finance[Xero Invoice No]))=COUNTIFS(tbl_Finance[Job Number],C256&amp;"",tbl_Finance[Xero Invoice No],"&lt;&gt;"),LOOKUP(2,1/((tbl_Finance[Job Number]&amp;""=C256&amp;"")*(tbl_Finance[Xero Invoice No]&lt;&gt;"")),tbl_Finance[Xero Invoice No]),LOOKUP(2,1/((tbl_Finance[Job Number]&amp;""=C256&amp;"")*(tbl_Finance[Xero Invoice No]&lt;&gt;"")),tbl_Finance[Xero Invoice No])&amp;" +more"),"")))</f>
        <v/>
      </c>
      <c r="C256" s="24" t="n"/>
      <c r="D256" s="25">
        <f>IF(C256="","",IF(COUNTIF(lst_Jobs,C256&amp;"")&gt;0,"OK","CHECK"))</f>
        <v/>
      </c>
      <c r="E256" s="25">
        <f>IF(C256="","",IFERROR(INDEX(lst_JobName,MATCH(C256&amp;"",lst_Jobs,0)),""))</f>
        <v/>
      </c>
      <c r="F256" s="25">
        <f>IF(C256="","",IFERROR(INDEX(tbl_Finance[Client],IFERROR(MATCH(C256&amp;"",tbl_Finance[Job Number],0),MATCH(IFERROR(C256+0,C256),tbl_Finance[Job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6" t="n"/>
      <c r="L256" s="27">
        <f>IF(C256="","",IF(K256="",0,MAX(0,K256-H256)))</f>
        <v/>
      </c>
      <c r="M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N256" s="24" t="n"/>
      <c r="O256" s="25">
        <f>IF(N256="","",HYPERLINK(IF(LEFT(N256,4)="http",N256,set_QwilrBase&amp;N256),"Open quote"))</f>
        <v/>
      </c>
      <c r="P256" s="26" t="n"/>
      <c r="Q256" s="26" t="n"/>
      <c r="R256" s="26" t="n"/>
      <c r="S256" s="25">
        <f>IF(C256="","",IF(N(P256)+N(Q256)+N(R256)=0,"Not split",IF(ROUND(N(P256)+N(Q256)+N(R256),2)=ROUND(H256+L256,2),"OK",IF(G256=0,"Not invoiced yet","MISMATCH"))))</f>
        <v/>
      </c>
      <c r="T256" s="26" t="n"/>
      <c r="U256" s="26" t="n"/>
      <c r="V256" s="26" t="n"/>
      <c r="W256" s="27">
        <f>IF(C256="","",N(T256)+N(U256)+N(V256))</f>
        <v/>
      </c>
      <c r="X256" s="27">
        <f>IF(C256="","",H256+L256-W256)</f>
        <v/>
      </c>
      <c r="Y256" s="29">
        <f>IFERROR(X256/(H256+L256),"")</f>
        <v/>
      </c>
      <c r="Z256" s="24" t="n"/>
    </row>
    <row r="257" ht="15" customHeight="1">
      <c r="A257" s="70">
        <f>IF(C257="","",IFERROR(IF(SUMPRODUCT(MAX((tbl_Finance[Job Number]&amp;""=C257&amp;"")*(tbl_Finance[Xero Invoice No]&lt;&gt;"")*tbl_Finance[Date]))=0,"",SUMPRODUCT(MAX((tbl_Finance[Job Number]&amp;""=C257&amp;"")*(tbl_Finance[Xero Invoice No]&lt;&gt;"")*tbl_Finance[Date]))),""))</f>
        <v/>
      </c>
      <c r="B257" s="25">
        <f>IF(C257="","",IF(COUNTIFS(tbl_Finance[Job Number],C257&amp;"",tbl_Finance[Xero Invoice No],"&lt;&gt;")=0,"",IFERROR(IF(COUNTIFS(tbl_Finance[Job Number],C257&amp;"",tbl_Finance[Xero Invoice No],LOOKUP(2,1/((tbl_Finance[Job Number]&amp;""=C257&amp;"")*(tbl_Finance[Xero Invoice No]&lt;&gt;"")),tbl_Finance[Xero Invoice No]))=COUNTIFS(tbl_Finance[Job Number],C257&amp;"",tbl_Finance[Xero Invoice No],"&lt;&gt;"),LOOKUP(2,1/((tbl_Finance[Job Number]&amp;""=C257&amp;"")*(tbl_Finance[Xero Invoice No]&lt;&gt;"")),tbl_Finance[Xero Invoice No]),LOOKUP(2,1/((tbl_Finance[Job Number]&amp;""=C257&amp;"")*(tbl_Finance[Xero Invoice No]&lt;&gt;"")),tbl_Finance[Xero Invoice No])&amp;" +more"),"")))</f>
        <v/>
      </c>
      <c r="C257" s="24" t="n"/>
      <c r="D257" s="25">
        <f>IF(C257="","",IF(COUNTIF(lst_Jobs,C257&amp;"")&gt;0,"OK","CHECK"))</f>
        <v/>
      </c>
      <c r="E257" s="25">
        <f>IF(C257="","",IFERROR(INDEX(lst_JobName,MATCH(C257&amp;"",lst_Jobs,0)),""))</f>
        <v/>
      </c>
      <c r="F257" s="25">
        <f>IF(C257="","",IFERROR(INDEX(tbl_Finance[Client],IFERROR(MATCH(C257&amp;"",tbl_Finance[Job Number],0),MATCH(IFERROR(C257+0,C257),tbl_Finance[Job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6" t="n"/>
      <c r="L257" s="27">
        <f>IF(C257="","",IF(K257="",0,MAX(0,K257-H257)))</f>
        <v/>
      </c>
      <c r="M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N257" s="24" t="n"/>
      <c r="O257" s="25">
        <f>IF(N257="","",HYPERLINK(IF(LEFT(N257,4)="http",N257,set_QwilrBase&amp;N257),"Open quote"))</f>
        <v/>
      </c>
      <c r="P257" s="26" t="n"/>
      <c r="Q257" s="26" t="n"/>
      <c r="R257" s="26" t="n"/>
      <c r="S257" s="25">
        <f>IF(C257="","",IF(N(P257)+N(Q257)+N(R257)=0,"Not split",IF(ROUND(N(P257)+N(Q257)+N(R257),2)=ROUND(H257+L257,2),"OK",IF(G257=0,"Not invoiced yet","MISMATCH"))))</f>
        <v/>
      </c>
      <c r="T257" s="26" t="n"/>
      <c r="U257" s="26" t="n"/>
      <c r="V257" s="26" t="n"/>
      <c r="W257" s="27">
        <f>IF(C257="","",N(T257)+N(U257)+N(V257))</f>
        <v/>
      </c>
      <c r="X257" s="27">
        <f>IF(C257="","",H257+L257-W257)</f>
        <v/>
      </c>
      <c r="Y257" s="29">
        <f>IFERROR(X257/(H257+L257),"")</f>
        <v/>
      </c>
      <c r="Z257" s="24" t="n"/>
    </row>
    <row r="258" ht="15" customHeight="1">
      <c r="A258" s="70">
        <f>IF(C258="","",IFERROR(IF(SUMPRODUCT(MAX((tbl_Finance[Job Number]&amp;""=C258&amp;"")*(tbl_Finance[Xero Invoice No]&lt;&gt;"")*tbl_Finance[Date]))=0,"",SUMPRODUCT(MAX((tbl_Finance[Job Number]&amp;""=C258&amp;"")*(tbl_Finance[Xero Invoice No]&lt;&gt;"")*tbl_Finance[Date]))),""))</f>
        <v/>
      </c>
      <c r="B258" s="25">
        <f>IF(C258="","",IF(COUNTIFS(tbl_Finance[Job Number],C258&amp;"",tbl_Finance[Xero Invoice No],"&lt;&gt;")=0,"",IFERROR(IF(COUNTIFS(tbl_Finance[Job Number],C258&amp;"",tbl_Finance[Xero Invoice No],LOOKUP(2,1/((tbl_Finance[Job Number]&amp;""=C258&amp;"")*(tbl_Finance[Xero Invoice No]&lt;&gt;"")),tbl_Finance[Xero Invoice No]))=COUNTIFS(tbl_Finance[Job Number],C258&amp;"",tbl_Finance[Xero Invoice No],"&lt;&gt;"),LOOKUP(2,1/((tbl_Finance[Job Number]&amp;""=C258&amp;"")*(tbl_Finance[Xero Invoice No]&lt;&gt;"")),tbl_Finance[Xero Invoice No]),LOOKUP(2,1/((tbl_Finance[Job Number]&amp;""=C258&amp;"")*(tbl_Finance[Xero Invoice No]&lt;&gt;"")),tbl_Finance[Xero Invoice No])&amp;" +more"),"")))</f>
        <v/>
      </c>
      <c r="C258" s="24" t="n"/>
      <c r="D258" s="25">
        <f>IF(C258="","",IF(COUNTIF(lst_Jobs,C258&amp;"")&gt;0,"OK","CHECK"))</f>
        <v/>
      </c>
      <c r="E258" s="25">
        <f>IF(C258="","",IFERROR(INDEX(lst_JobName,MATCH(C258&amp;"",lst_Jobs,0)),""))</f>
        <v/>
      </c>
      <c r="F258" s="25">
        <f>IF(C258="","",IFERROR(INDEX(tbl_Finance[Client],IFERROR(MATCH(C258&amp;"",tbl_Finance[Job Number],0),MATCH(IFERROR(C258+0,C258),tbl_Finance[Job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6" t="n"/>
      <c r="L258" s="27">
        <f>IF(C258="","",IF(K258="",0,MAX(0,K258-H258)))</f>
        <v/>
      </c>
      <c r="M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N258" s="24" t="n"/>
      <c r="O258" s="25">
        <f>IF(N258="","",HYPERLINK(IF(LEFT(N258,4)="http",N258,set_QwilrBase&amp;N258),"Open quote"))</f>
        <v/>
      </c>
      <c r="P258" s="26" t="n"/>
      <c r="Q258" s="26" t="n"/>
      <c r="R258" s="26" t="n"/>
      <c r="S258" s="25">
        <f>IF(C258="","",IF(N(P258)+N(Q258)+N(R258)=0,"Not split",IF(ROUND(N(P258)+N(Q258)+N(R258),2)=ROUND(H258+L258,2),"OK",IF(G258=0,"Not invoiced yet","MISMATCH"))))</f>
        <v/>
      </c>
      <c r="T258" s="26" t="n"/>
      <c r="U258" s="26" t="n"/>
      <c r="V258" s="26" t="n"/>
      <c r="W258" s="27">
        <f>IF(C258="","",N(T258)+N(U258)+N(V258))</f>
        <v/>
      </c>
      <c r="X258" s="27">
        <f>IF(C258="","",H258+L258-W258)</f>
        <v/>
      </c>
      <c r="Y258" s="29">
        <f>IFERROR(X258/(H258+L258),"")</f>
        <v/>
      </c>
      <c r="Z258" s="24" t="n"/>
    </row>
    <row r="259" ht="15" customHeight="1">
      <c r="A259" s="70">
        <f>IF(C259="","",IFERROR(IF(SUMPRODUCT(MAX((tbl_Finance[Job Number]&amp;""=C259&amp;"")*(tbl_Finance[Xero Invoice No]&lt;&gt;"")*tbl_Finance[Date]))=0,"",SUMPRODUCT(MAX((tbl_Finance[Job Number]&amp;""=C259&amp;"")*(tbl_Finance[Xero Invoice No]&lt;&gt;"")*tbl_Finance[Date]))),""))</f>
        <v/>
      </c>
      <c r="B259" s="25">
        <f>IF(C259="","",IF(COUNTIFS(tbl_Finance[Job Number],C259&amp;"",tbl_Finance[Xero Invoice No],"&lt;&gt;")=0,"",IFERROR(IF(COUNTIFS(tbl_Finance[Job Number],C259&amp;"",tbl_Finance[Xero Invoice No],LOOKUP(2,1/((tbl_Finance[Job Number]&amp;""=C259&amp;"")*(tbl_Finance[Xero Invoice No]&lt;&gt;"")),tbl_Finance[Xero Invoice No]))=COUNTIFS(tbl_Finance[Job Number],C259&amp;"",tbl_Finance[Xero Invoice No],"&lt;&gt;"),LOOKUP(2,1/((tbl_Finance[Job Number]&amp;""=C259&amp;"")*(tbl_Finance[Xero Invoice No]&lt;&gt;"")),tbl_Finance[Xero Invoice No]),LOOKUP(2,1/((tbl_Finance[Job Number]&amp;""=C259&amp;"")*(tbl_Finance[Xero Invoice No]&lt;&gt;"")),tbl_Finance[Xero Invoice No])&amp;" +more"),"")))</f>
        <v/>
      </c>
      <c r="C259" s="24" t="n"/>
      <c r="D259" s="25">
        <f>IF(C259="","",IF(COUNTIF(lst_Jobs,C259&amp;"")&gt;0,"OK","CHECK"))</f>
        <v/>
      </c>
      <c r="E259" s="25">
        <f>IF(C259="","",IFERROR(INDEX(lst_JobName,MATCH(C259&amp;"",lst_Jobs,0)),""))</f>
        <v/>
      </c>
      <c r="F259" s="25">
        <f>IF(C259="","",IFERROR(INDEX(tbl_Finance[Client],IFERROR(MATCH(C259&amp;"",tbl_Finance[Job Number],0),MATCH(IFERROR(C259+0,C259),tbl_Finance[Job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6" t="n"/>
      <c r="L259" s="27">
        <f>IF(C259="","",IF(K259="",0,MAX(0,K259-H259)))</f>
        <v/>
      </c>
      <c r="M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N259" s="24" t="n"/>
      <c r="O259" s="25">
        <f>IF(N259="","",HYPERLINK(IF(LEFT(N259,4)="http",N259,set_QwilrBase&amp;N259),"Open quote"))</f>
        <v/>
      </c>
      <c r="P259" s="26" t="n"/>
      <c r="Q259" s="26" t="n"/>
      <c r="R259" s="26" t="n"/>
      <c r="S259" s="25">
        <f>IF(C259="","",IF(N(P259)+N(Q259)+N(R259)=0,"Not split",IF(ROUND(N(P259)+N(Q259)+N(R259),2)=ROUND(H259+L259,2),"OK",IF(G259=0,"Not invoiced yet","MISMATCH"))))</f>
        <v/>
      </c>
      <c r="T259" s="26" t="n"/>
      <c r="U259" s="26" t="n"/>
      <c r="V259" s="26" t="n"/>
      <c r="W259" s="27">
        <f>IF(C259="","",N(T259)+N(U259)+N(V259))</f>
        <v/>
      </c>
      <c r="X259" s="27">
        <f>IF(C259="","",H259+L259-W259)</f>
        <v/>
      </c>
      <c r="Y259" s="29">
        <f>IFERROR(X259/(H259+L259),"")</f>
        <v/>
      </c>
      <c r="Z259" s="24" t="n"/>
    </row>
    <row r="260" ht="15" customHeight="1">
      <c r="A260" s="70">
        <f>IF(C260="","",IFERROR(IF(SUMPRODUCT(MAX((tbl_Finance[Job Number]&amp;""=C260&amp;"")*(tbl_Finance[Xero Invoice No]&lt;&gt;"")*tbl_Finance[Date]))=0,"",SUMPRODUCT(MAX((tbl_Finance[Job Number]&amp;""=C260&amp;"")*(tbl_Finance[Xero Invoice No]&lt;&gt;"")*tbl_Finance[Date]))),""))</f>
        <v/>
      </c>
      <c r="B260" s="25">
        <f>IF(C260="","",IF(COUNTIFS(tbl_Finance[Job Number],C260&amp;"",tbl_Finance[Xero Invoice No],"&lt;&gt;")=0,"",IFERROR(IF(COUNTIFS(tbl_Finance[Job Number],C260&amp;"",tbl_Finance[Xero Invoice No],LOOKUP(2,1/((tbl_Finance[Job Number]&amp;""=C260&amp;"")*(tbl_Finance[Xero Invoice No]&lt;&gt;"")),tbl_Finance[Xero Invoice No]))=COUNTIFS(tbl_Finance[Job Number],C260&amp;"",tbl_Finance[Xero Invoice No],"&lt;&gt;"),LOOKUP(2,1/((tbl_Finance[Job Number]&amp;""=C260&amp;"")*(tbl_Finance[Xero Invoice No]&lt;&gt;"")),tbl_Finance[Xero Invoice No]),LOOKUP(2,1/((tbl_Finance[Job Number]&amp;""=C260&amp;"")*(tbl_Finance[Xero Invoice No]&lt;&gt;"")),tbl_Finance[Xero Invoice No])&amp;" +more"),"")))</f>
        <v/>
      </c>
      <c r="C260" s="24" t="n"/>
      <c r="D260" s="25">
        <f>IF(C260="","",IF(COUNTIF(lst_Jobs,C260&amp;"")&gt;0,"OK","CHECK"))</f>
        <v/>
      </c>
      <c r="E260" s="25">
        <f>IF(C260="","",IFERROR(INDEX(lst_JobName,MATCH(C260&amp;"",lst_Jobs,0)),""))</f>
        <v/>
      </c>
      <c r="F260" s="25">
        <f>IF(C260="","",IFERROR(INDEX(tbl_Finance[Client],IFERROR(MATCH(C260&amp;"",tbl_Finance[Job Number],0),MATCH(IFERROR(C260+0,C260),tbl_Finance[Job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6" t="n"/>
      <c r="L260" s="27">
        <f>IF(C260="","",IF(K260="",0,MAX(0,K260-H260)))</f>
        <v/>
      </c>
      <c r="M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N260" s="24" t="n"/>
      <c r="O260" s="25">
        <f>IF(N260="","",HYPERLINK(IF(LEFT(N260,4)="http",N260,set_QwilrBase&amp;N260),"Open quote"))</f>
        <v/>
      </c>
      <c r="P260" s="26" t="n"/>
      <c r="Q260" s="26" t="n"/>
      <c r="R260" s="26" t="n"/>
      <c r="S260" s="25">
        <f>IF(C260="","",IF(N(P260)+N(Q260)+N(R260)=0,"Not split",IF(ROUND(N(P260)+N(Q260)+N(R260),2)=ROUND(H260+L260,2),"OK",IF(G260=0,"Not invoiced yet","MISMATCH"))))</f>
        <v/>
      </c>
      <c r="T260" s="26" t="n"/>
      <c r="U260" s="26" t="n"/>
      <c r="V260" s="26" t="n"/>
      <c r="W260" s="27">
        <f>IF(C260="","",N(T260)+N(U260)+N(V260))</f>
        <v/>
      </c>
      <c r="X260" s="27">
        <f>IF(C260="","",H260+L260-W260)</f>
        <v/>
      </c>
      <c r="Y260" s="29">
        <f>IFERROR(X260/(H260+L260),"")</f>
        <v/>
      </c>
      <c r="Z260" s="24" t="n"/>
    </row>
    <row r="261" ht="15" customHeight="1">
      <c r="A261" s="70">
        <f>IF(C261="","",IFERROR(IF(SUMPRODUCT(MAX((tbl_Finance[Job Number]&amp;""=C261&amp;"")*(tbl_Finance[Xero Invoice No]&lt;&gt;"")*tbl_Finance[Date]))=0,"",SUMPRODUCT(MAX((tbl_Finance[Job Number]&amp;""=C261&amp;"")*(tbl_Finance[Xero Invoice No]&lt;&gt;"")*tbl_Finance[Date]))),""))</f>
        <v/>
      </c>
      <c r="B261" s="25">
        <f>IF(C261="","",IF(COUNTIFS(tbl_Finance[Job Number],C261&amp;"",tbl_Finance[Xero Invoice No],"&lt;&gt;")=0,"",IFERROR(IF(COUNTIFS(tbl_Finance[Job Number],C261&amp;"",tbl_Finance[Xero Invoice No],LOOKUP(2,1/((tbl_Finance[Job Number]&amp;""=C261&amp;"")*(tbl_Finance[Xero Invoice No]&lt;&gt;"")),tbl_Finance[Xero Invoice No]))=COUNTIFS(tbl_Finance[Job Number],C261&amp;"",tbl_Finance[Xero Invoice No],"&lt;&gt;"),LOOKUP(2,1/((tbl_Finance[Job Number]&amp;""=C261&amp;"")*(tbl_Finance[Xero Invoice No]&lt;&gt;"")),tbl_Finance[Xero Invoice No]),LOOKUP(2,1/((tbl_Finance[Job Number]&amp;""=C261&amp;"")*(tbl_Finance[Xero Invoice No]&lt;&gt;"")),tbl_Finance[Xero Invoice No])&amp;" +more"),"")))</f>
        <v/>
      </c>
      <c r="C261" s="24" t="n"/>
      <c r="D261" s="25">
        <f>IF(C261="","",IF(COUNTIF(lst_Jobs,C261&amp;"")&gt;0,"OK","CHECK"))</f>
        <v/>
      </c>
      <c r="E261" s="25">
        <f>IF(C261="","",IFERROR(INDEX(lst_JobName,MATCH(C261&amp;"",lst_Jobs,0)),""))</f>
        <v/>
      </c>
      <c r="F261" s="25">
        <f>IF(C261="","",IFERROR(INDEX(tbl_Finance[Client],IFERROR(MATCH(C261&amp;"",tbl_Finance[Job Number],0),MATCH(IFERROR(C261+0,C261),tbl_Finance[Job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6" t="n"/>
      <c r="L261" s="27">
        <f>IF(C261="","",IF(K261="",0,MAX(0,K261-H261)))</f>
        <v/>
      </c>
      <c r="M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N261" s="24" t="n"/>
      <c r="O261" s="25">
        <f>IF(N261="","",HYPERLINK(IF(LEFT(N261,4)="http",N261,set_QwilrBase&amp;N261),"Open quote"))</f>
        <v/>
      </c>
      <c r="P261" s="26" t="n"/>
      <c r="Q261" s="26" t="n"/>
      <c r="R261" s="26" t="n"/>
      <c r="S261" s="25">
        <f>IF(C261="","",IF(N(P261)+N(Q261)+N(R261)=0,"Not split",IF(ROUND(N(P261)+N(Q261)+N(R261),2)=ROUND(H261+L261,2),"OK",IF(G261=0,"Not invoiced yet","MISMATCH"))))</f>
        <v/>
      </c>
      <c r="T261" s="26" t="n"/>
      <c r="U261" s="26" t="n"/>
      <c r="V261" s="26" t="n"/>
      <c r="W261" s="27">
        <f>IF(C261="","",N(T261)+N(U261)+N(V261))</f>
        <v/>
      </c>
      <c r="X261" s="27">
        <f>IF(C261="","",H261+L261-W261)</f>
        <v/>
      </c>
      <c r="Y261" s="29">
        <f>IFERROR(X261/(H261+L261),"")</f>
        <v/>
      </c>
      <c r="Z261" s="24" t="n"/>
    </row>
    <row r="262" ht="15" customHeight="1">
      <c r="A262" s="70">
        <f>IF(C262="","",IFERROR(IF(SUMPRODUCT(MAX((tbl_Finance[Job Number]&amp;""=C262&amp;"")*(tbl_Finance[Xero Invoice No]&lt;&gt;"")*tbl_Finance[Date]))=0,"",SUMPRODUCT(MAX((tbl_Finance[Job Number]&amp;""=C262&amp;"")*(tbl_Finance[Xero Invoice No]&lt;&gt;"")*tbl_Finance[Date]))),""))</f>
        <v/>
      </c>
      <c r="B262" s="25">
        <f>IF(C262="","",IF(COUNTIFS(tbl_Finance[Job Number],C262&amp;"",tbl_Finance[Xero Invoice No],"&lt;&gt;")=0,"",IFERROR(IF(COUNTIFS(tbl_Finance[Job Number],C262&amp;"",tbl_Finance[Xero Invoice No],LOOKUP(2,1/((tbl_Finance[Job Number]&amp;""=C262&amp;"")*(tbl_Finance[Xero Invoice No]&lt;&gt;"")),tbl_Finance[Xero Invoice No]))=COUNTIFS(tbl_Finance[Job Number],C262&amp;"",tbl_Finance[Xero Invoice No],"&lt;&gt;"),LOOKUP(2,1/((tbl_Finance[Job Number]&amp;""=C262&amp;"")*(tbl_Finance[Xero Invoice No]&lt;&gt;"")),tbl_Finance[Xero Invoice No]),LOOKUP(2,1/((tbl_Finance[Job Number]&amp;""=C262&amp;"")*(tbl_Finance[Xero Invoice No]&lt;&gt;"")),tbl_Finance[Xero Invoice No])&amp;" +more"),"")))</f>
        <v/>
      </c>
      <c r="C262" s="24" t="n"/>
      <c r="D262" s="25">
        <f>IF(C262="","",IF(COUNTIF(lst_Jobs,C262&amp;"")&gt;0,"OK","CHECK"))</f>
        <v/>
      </c>
      <c r="E262" s="25">
        <f>IF(C262="","",IFERROR(INDEX(lst_JobName,MATCH(C262&amp;"",lst_Jobs,0)),""))</f>
        <v/>
      </c>
      <c r="F262" s="25">
        <f>IF(C262="","",IFERROR(INDEX(tbl_Finance[Client],IFERROR(MATCH(C262&amp;"",tbl_Finance[Job Number],0),MATCH(IFERROR(C262+0,C262),tbl_Finance[Job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6" t="n"/>
      <c r="L262" s="27">
        <f>IF(C262="","",IF(K262="",0,MAX(0,K262-H262)))</f>
        <v/>
      </c>
      <c r="M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N262" s="24" t="n"/>
      <c r="O262" s="25">
        <f>IF(N262="","",HYPERLINK(IF(LEFT(N262,4)="http",N262,set_QwilrBase&amp;N262),"Open quote"))</f>
        <v/>
      </c>
      <c r="P262" s="26" t="n"/>
      <c r="Q262" s="26" t="n"/>
      <c r="R262" s="26" t="n"/>
      <c r="S262" s="25">
        <f>IF(C262="","",IF(N(P262)+N(Q262)+N(R262)=0,"Not split",IF(ROUND(N(P262)+N(Q262)+N(R262),2)=ROUND(H262+L262,2),"OK",IF(G262=0,"Not invoiced yet","MISMATCH"))))</f>
        <v/>
      </c>
      <c r="T262" s="26" t="n"/>
      <c r="U262" s="26" t="n"/>
      <c r="V262" s="26" t="n"/>
      <c r="W262" s="27">
        <f>IF(C262="","",N(T262)+N(U262)+N(V262))</f>
        <v/>
      </c>
      <c r="X262" s="27">
        <f>IF(C262="","",H262+L262-W262)</f>
        <v/>
      </c>
      <c r="Y262" s="29">
        <f>IFERROR(X262/(H262+L262),"")</f>
        <v/>
      </c>
      <c r="Z262" s="24" t="n"/>
    </row>
    <row r="263" ht="15" customHeight="1">
      <c r="A263" s="70">
        <f>IF(C263="","",IFERROR(IF(SUMPRODUCT(MAX((tbl_Finance[Job Number]&amp;""=C263&amp;"")*(tbl_Finance[Xero Invoice No]&lt;&gt;"")*tbl_Finance[Date]))=0,"",SUMPRODUCT(MAX((tbl_Finance[Job Number]&amp;""=C263&amp;"")*(tbl_Finance[Xero Invoice No]&lt;&gt;"")*tbl_Finance[Date]))),""))</f>
        <v/>
      </c>
      <c r="B263" s="25">
        <f>IF(C263="","",IF(COUNTIFS(tbl_Finance[Job Number],C263&amp;"",tbl_Finance[Xero Invoice No],"&lt;&gt;")=0,"",IFERROR(IF(COUNTIFS(tbl_Finance[Job Number],C263&amp;"",tbl_Finance[Xero Invoice No],LOOKUP(2,1/((tbl_Finance[Job Number]&amp;""=C263&amp;"")*(tbl_Finance[Xero Invoice No]&lt;&gt;"")),tbl_Finance[Xero Invoice No]))=COUNTIFS(tbl_Finance[Job Number],C263&amp;"",tbl_Finance[Xero Invoice No],"&lt;&gt;"),LOOKUP(2,1/((tbl_Finance[Job Number]&amp;""=C263&amp;"")*(tbl_Finance[Xero Invoice No]&lt;&gt;"")),tbl_Finance[Xero Invoice No]),LOOKUP(2,1/((tbl_Finance[Job Number]&amp;""=C263&amp;"")*(tbl_Finance[Xero Invoice No]&lt;&gt;"")),tbl_Finance[Xero Invoice No])&amp;" +more"),"")))</f>
        <v/>
      </c>
      <c r="C263" s="24" t="n"/>
      <c r="D263" s="25">
        <f>IF(C263="","",IF(COUNTIF(lst_Jobs,C263&amp;"")&gt;0,"OK","CHECK"))</f>
        <v/>
      </c>
      <c r="E263" s="25">
        <f>IF(C263="","",IFERROR(INDEX(lst_JobName,MATCH(C263&amp;"",lst_Jobs,0)),""))</f>
        <v/>
      </c>
      <c r="F263" s="25">
        <f>IF(C263="","",IFERROR(INDEX(tbl_Finance[Client],IFERROR(MATCH(C263&amp;"",tbl_Finance[Job Number],0),MATCH(IFERROR(C263+0,C263),tbl_Finance[Job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6" t="n"/>
      <c r="L263" s="27">
        <f>IF(C263="","",IF(K263="",0,MAX(0,K263-H263)))</f>
        <v/>
      </c>
      <c r="M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N263" s="24" t="n"/>
      <c r="O263" s="25">
        <f>IF(N263="","",HYPERLINK(IF(LEFT(N263,4)="http",N263,set_QwilrBase&amp;N263),"Open quote"))</f>
        <v/>
      </c>
      <c r="P263" s="26" t="n"/>
      <c r="Q263" s="26" t="n"/>
      <c r="R263" s="26" t="n"/>
      <c r="S263" s="25">
        <f>IF(C263="","",IF(N(P263)+N(Q263)+N(R263)=0,"Not split",IF(ROUND(N(P263)+N(Q263)+N(R263),2)=ROUND(H263+L263,2),"OK",IF(G263=0,"Not invoiced yet","MISMATCH"))))</f>
        <v/>
      </c>
      <c r="T263" s="26" t="n"/>
      <c r="U263" s="26" t="n"/>
      <c r="V263" s="26" t="n"/>
      <c r="W263" s="27">
        <f>IF(C263="","",N(T263)+N(U263)+N(V263))</f>
        <v/>
      </c>
      <c r="X263" s="27">
        <f>IF(C263="","",H263+L263-W263)</f>
        <v/>
      </c>
      <c r="Y263" s="29">
        <f>IFERROR(X263/(H263+L263),"")</f>
        <v/>
      </c>
      <c r="Z263" s="24" t="n"/>
    </row>
    <row r="264" ht="15" customHeight="1">
      <c r="A264" s="70">
        <f>IF(C264="","",IFERROR(IF(SUMPRODUCT(MAX((tbl_Finance[Job Number]&amp;""=C264&amp;"")*(tbl_Finance[Xero Invoice No]&lt;&gt;"")*tbl_Finance[Date]))=0,"",SUMPRODUCT(MAX((tbl_Finance[Job Number]&amp;""=C264&amp;"")*(tbl_Finance[Xero Invoice No]&lt;&gt;"")*tbl_Finance[Date]))),""))</f>
        <v/>
      </c>
      <c r="B264" s="25">
        <f>IF(C264="","",IF(COUNTIFS(tbl_Finance[Job Number],C264&amp;"",tbl_Finance[Xero Invoice No],"&lt;&gt;")=0,"",IFERROR(IF(COUNTIFS(tbl_Finance[Job Number],C264&amp;"",tbl_Finance[Xero Invoice No],LOOKUP(2,1/((tbl_Finance[Job Number]&amp;""=C264&amp;"")*(tbl_Finance[Xero Invoice No]&lt;&gt;"")),tbl_Finance[Xero Invoice No]))=COUNTIFS(tbl_Finance[Job Number],C264&amp;"",tbl_Finance[Xero Invoice No],"&lt;&gt;"),LOOKUP(2,1/((tbl_Finance[Job Number]&amp;""=C264&amp;"")*(tbl_Finance[Xero Invoice No]&lt;&gt;"")),tbl_Finance[Xero Invoice No]),LOOKUP(2,1/((tbl_Finance[Job Number]&amp;""=C264&amp;"")*(tbl_Finance[Xero Invoice No]&lt;&gt;"")),tbl_Finance[Xero Invoice No])&amp;" +more"),"")))</f>
        <v/>
      </c>
      <c r="C264" s="24" t="n"/>
      <c r="D264" s="25">
        <f>IF(C264="","",IF(COUNTIF(lst_Jobs,C264&amp;"")&gt;0,"OK","CHECK"))</f>
        <v/>
      </c>
      <c r="E264" s="25">
        <f>IF(C264="","",IFERROR(INDEX(lst_JobName,MATCH(C264&amp;"",lst_Jobs,0)),""))</f>
        <v/>
      </c>
      <c r="F264" s="25">
        <f>IF(C264="","",IFERROR(INDEX(tbl_Finance[Client],IFERROR(MATCH(C264&amp;"",tbl_Finance[Job Number],0),MATCH(IFERROR(C264+0,C264),tbl_Finance[Job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6" t="n"/>
      <c r="L264" s="27">
        <f>IF(C264="","",IF(K264="",0,MAX(0,K264-H264)))</f>
        <v/>
      </c>
      <c r="M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N264" s="24" t="n"/>
      <c r="O264" s="25">
        <f>IF(N264="","",HYPERLINK(IF(LEFT(N264,4)="http",N264,set_QwilrBase&amp;N264),"Open quote"))</f>
        <v/>
      </c>
      <c r="P264" s="26" t="n"/>
      <c r="Q264" s="26" t="n"/>
      <c r="R264" s="26" t="n"/>
      <c r="S264" s="25">
        <f>IF(C264="","",IF(N(P264)+N(Q264)+N(R264)=0,"Not split",IF(ROUND(N(P264)+N(Q264)+N(R264),2)=ROUND(H264+L264,2),"OK",IF(G264=0,"Not invoiced yet","MISMATCH"))))</f>
        <v/>
      </c>
      <c r="T264" s="26" t="n"/>
      <c r="U264" s="26" t="n"/>
      <c r="V264" s="26" t="n"/>
      <c r="W264" s="27">
        <f>IF(C264="","",N(T264)+N(U264)+N(V264))</f>
        <v/>
      </c>
      <c r="X264" s="27">
        <f>IF(C264="","",H264+L264-W264)</f>
        <v/>
      </c>
      <c r="Y264" s="29">
        <f>IFERROR(X264/(H264+L264),"")</f>
        <v/>
      </c>
      <c r="Z264" s="24" t="n"/>
    </row>
    <row r="265" ht="15" customHeight="1">
      <c r="A265" s="70">
        <f>IF(C265="","",IFERROR(IF(SUMPRODUCT(MAX((tbl_Finance[Job Number]&amp;""=C265&amp;"")*(tbl_Finance[Xero Invoice No]&lt;&gt;"")*tbl_Finance[Date]))=0,"",SUMPRODUCT(MAX((tbl_Finance[Job Number]&amp;""=C265&amp;"")*(tbl_Finance[Xero Invoice No]&lt;&gt;"")*tbl_Finance[Date]))),""))</f>
        <v/>
      </c>
      <c r="B265" s="25">
        <f>IF(C265="","",IF(COUNTIFS(tbl_Finance[Job Number],C265&amp;"",tbl_Finance[Xero Invoice No],"&lt;&gt;")=0,"",IFERROR(IF(COUNTIFS(tbl_Finance[Job Number],C265&amp;"",tbl_Finance[Xero Invoice No],LOOKUP(2,1/((tbl_Finance[Job Number]&amp;""=C265&amp;"")*(tbl_Finance[Xero Invoice No]&lt;&gt;"")),tbl_Finance[Xero Invoice No]))=COUNTIFS(tbl_Finance[Job Number],C265&amp;"",tbl_Finance[Xero Invoice No],"&lt;&gt;"),LOOKUP(2,1/((tbl_Finance[Job Number]&amp;""=C265&amp;"")*(tbl_Finance[Xero Invoice No]&lt;&gt;"")),tbl_Finance[Xero Invoice No]),LOOKUP(2,1/((tbl_Finance[Job Number]&amp;""=C265&amp;"")*(tbl_Finance[Xero Invoice No]&lt;&gt;"")),tbl_Finance[Xero Invoice No])&amp;" +more"),"")))</f>
        <v/>
      </c>
      <c r="C265" s="24" t="n"/>
      <c r="D265" s="25">
        <f>IF(C265="","",IF(COUNTIF(lst_Jobs,C265&amp;"")&gt;0,"OK","CHECK"))</f>
        <v/>
      </c>
      <c r="E265" s="25">
        <f>IF(C265="","",IFERROR(INDEX(lst_JobName,MATCH(C265&amp;"",lst_Jobs,0)),""))</f>
        <v/>
      </c>
      <c r="F265" s="25">
        <f>IF(C265="","",IFERROR(INDEX(tbl_Finance[Client],IFERROR(MATCH(C265&amp;"",tbl_Finance[Job Number],0),MATCH(IFERROR(C265+0,C265),tbl_Finance[Job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6" t="n"/>
      <c r="L265" s="27">
        <f>IF(C265="","",IF(K265="",0,MAX(0,K265-H265)))</f>
        <v/>
      </c>
      <c r="M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N265" s="24" t="n"/>
      <c r="O265" s="25">
        <f>IF(N265="","",HYPERLINK(IF(LEFT(N265,4)="http",N265,set_QwilrBase&amp;N265),"Open quote"))</f>
        <v/>
      </c>
      <c r="P265" s="26" t="n"/>
      <c r="Q265" s="26" t="n"/>
      <c r="R265" s="26" t="n"/>
      <c r="S265" s="25">
        <f>IF(C265="","",IF(N(P265)+N(Q265)+N(R265)=0,"Not split",IF(ROUND(N(P265)+N(Q265)+N(R265),2)=ROUND(H265+L265,2),"OK",IF(G265=0,"Not invoiced yet","MISMATCH"))))</f>
        <v/>
      </c>
      <c r="T265" s="26" t="n"/>
      <c r="U265" s="26" t="n"/>
      <c r="V265" s="26" t="n"/>
      <c r="W265" s="27">
        <f>IF(C265="","",N(T265)+N(U265)+N(V265))</f>
        <v/>
      </c>
      <c r="X265" s="27">
        <f>IF(C265="","",H265+L265-W265)</f>
        <v/>
      </c>
      <c r="Y265" s="29">
        <f>IFERROR(X265/(H265+L265),"")</f>
        <v/>
      </c>
      <c r="Z265" s="24" t="n"/>
    </row>
    <row r="266" ht="15" customHeight="1">
      <c r="A266" s="70">
        <f>IF(C266="","",IFERROR(IF(SUMPRODUCT(MAX((tbl_Finance[Job Number]&amp;""=C266&amp;"")*(tbl_Finance[Xero Invoice No]&lt;&gt;"")*tbl_Finance[Date]))=0,"",SUMPRODUCT(MAX((tbl_Finance[Job Number]&amp;""=C266&amp;"")*(tbl_Finance[Xero Invoice No]&lt;&gt;"")*tbl_Finance[Date]))),""))</f>
        <v/>
      </c>
      <c r="B266" s="25">
        <f>IF(C266="","",IF(COUNTIFS(tbl_Finance[Job Number],C266&amp;"",tbl_Finance[Xero Invoice No],"&lt;&gt;")=0,"",IFERROR(IF(COUNTIFS(tbl_Finance[Job Number],C266&amp;"",tbl_Finance[Xero Invoice No],LOOKUP(2,1/((tbl_Finance[Job Number]&amp;""=C266&amp;"")*(tbl_Finance[Xero Invoice No]&lt;&gt;"")),tbl_Finance[Xero Invoice No]))=COUNTIFS(tbl_Finance[Job Number],C266&amp;"",tbl_Finance[Xero Invoice No],"&lt;&gt;"),LOOKUP(2,1/((tbl_Finance[Job Number]&amp;""=C266&amp;"")*(tbl_Finance[Xero Invoice No]&lt;&gt;"")),tbl_Finance[Xero Invoice No]),LOOKUP(2,1/((tbl_Finance[Job Number]&amp;""=C266&amp;"")*(tbl_Finance[Xero Invoice No]&lt;&gt;"")),tbl_Finance[Xero Invoice No])&amp;" +more"),"")))</f>
        <v/>
      </c>
      <c r="C266" s="24" t="n"/>
      <c r="D266" s="25">
        <f>IF(C266="","",IF(COUNTIF(lst_Jobs,C266&amp;"")&gt;0,"OK","CHECK"))</f>
        <v/>
      </c>
      <c r="E266" s="25">
        <f>IF(C266="","",IFERROR(INDEX(lst_JobName,MATCH(C266&amp;"",lst_Jobs,0)),""))</f>
        <v/>
      </c>
      <c r="F266" s="25">
        <f>IF(C266="","",IFERROR(INDEX(tbl_Finance[Client],IFERROR(MATCH(C266&amp;"",tbl_Finance[Job Number],0),MATCH(IFERROR(C266+0,C266),tbl_Finance[Job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6" t="n"/>
      <c r="L266" s="27">
        <f>IF(C266="","",IF(K266="",0,MAX(0,K266-H266)))</f>
        <v/>
      </c>
      <c r="M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N266" s="24" t="n"/>
      <c r="O266" s="25">
        <f>IF(N266="","",HYPERLINK(IF(LEFT(N266,4)="http",N266,set_QwilrBase&amp;N266),"Open quote"))</f>
        <v/>
      </c>
      <c r="P266" s="26" t="n"/>
      <c r="Q266" s="26" t="n"/>
      <c r="R266" s="26" t="n"/>
      <c r="S266" s="25">
        <f>IF(C266="","",IF(N(P266)+N(Q266)+N(R266)=0,"Not split",IF(ROUND(N(P266)+N(Q266)+N(R266),2)=ROUND(H266+L266,2),"OK",IF(G266=0,"Not invoiced yet","MISMATCH"))))</f>
        <v/>
      </c>
      <c r="T266" s="26" t="n"/>
      <c r="U266" s="26" t="n"/>
      <c r="V266" s="26" t="n"/>
      <c r="W266" s="27">
        <f>IF(C266="","",N(T266)+N(U266)+N(V266))</f>
        <v/>
      </c>
      <c r="X266" s="27">
        <f>IF(C266="","",H266+L266-W266)</f>
        <v/>
      </c>
      <c r="Y266" s="29">
        <f>IFERROR(X266/(H266+L266),"")</f>
        <v/>
      </c>
      <c r="Z266" s="24" t="n"/>
    </row>
    <row r="267" ht="15" customHeight="1">
      <c r="A267" s="70">
        <f>IF(C267="","",IFERROR(IF(SUMPRODUCT(MAX((tbl_Finance[Job Number]&amp;""=C267&amp;"")*(tbl_Finance[Xero Invoice No]&lt;&gt;"")*tbl_Finance[Date]))=0,"",SUMPRODUCT(MAX((tbl_Finance[Job Number]&amp;""=C267&amp;"")*(tbl_Finance[Xero Invoice No]&lt;&gt;"")*tbl_Finance[Date]))),""))</f>
        <v/>
      </c>
      <c r="B267" s="25">
        <f>IF(C267="","",IF(COUNTIFS(tbl_Finance[Job Number],C267&amp;"",tbl_Finance[Xero Invoice No],"&lt;&gt;")=0,"",IFERROR(IF(COUNTIFS(tbl_Finance[Job Number],C267&amp;"",tbl_Finance[Xero Invoice No],LOOKUP(2,1/((tbl_Finance[Job Number]&amp;""=C267&amp;"")*(tbl_Finance[Xero Invoice No]&lt;&gt;"")),tbl_Finance[Xero Invoice No]))=COUNTIFS(tbl_Finance[Job Number],C267&amp;"",tbl_Finance[Xero Invoice No],"&lt;&gt;"),LOOKUP(2,1/((tbl_Finance[Job Number]&amp;""=C267&amp;"")*(tbl_Finance[Xero Invoice No]&lt;&gt;"")),tbl_Finance[Xero Invoice No]),LOOKUP(2,1/((tbl_Finance[Job Number]&amp;""=C267&amp;"")*(tbl_Finance[Xero Invoice No]&lt;&gt;"")),tbl_Finance[Xero Invoice No])&amp;" +more"),"")))</f>
        <v/>
      </c>
      <c r="C267" s="24" t="n"/>
      <c r="D267" s="25">
        <f>IF(C267="","",IF(COUNTIF(lst_Jobs,C267&amp;"")&gt;0,"OK","CHECK"))</f>
        <v/>
      </c>
      <c r="E267" s="25">
        <f>IF(C267="","",IFERROR(INDEX(lst_JobName,MATCH(C267&amp;"",lst_Jobs,0)),""))</f>
        <v/>
      </c>
      <c r="F267" s="25">
        <f>IF(C267="","",IFERROR(INDEX(tbl_Finance[Client],IFERROR(MATCH(C267&amp;"",tbl_Finance[Job Number],0),MATCH(IFERROR(C267+0,C267),tbl_Finance[Job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6" t="n"/>
      <c r="L267" s="27">
        <f>IF(C267="","",IF(K267="",0,MAX(0,K267-H267)))</f>
        <v/>
      </c>
      <c r="M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N267" s="24" t="n"/>
      <c r="O267" s="25">
        <f>IF(N267="","",HYPERLINK(IF(LEFT(N267,4)="http",N267,set_QwilrBase&amp;N267),"Open quote"))</f>
        <v/>
      </c>
      <c r="P267" s="26" t="n"/>
      <c r="Q267" s="26" t="n"/>
      <c r="R267" s="26" t="n"/>
      <c r="S267" s="25">
        <f>IF(C267="","",IF(N(P267)+N(Q267)+N(R267)=0,"Not split",IF(ROUND(N(P267)+N(Q267)+N(R267),2)=ROUND(H267+L267,2),"OK",IF(G267=0,"Not invoiced yet","MISMATCH"))))</f>
        <v/>
      </c>
      <c r="T267" s="26" t="n"/>
      <c r="U267" s="26" t="n"/>
      <c r="V267" s="26" t="n"/>
      <c r="W267" s="27">
        <f>IF(C267="","",N(T267)+N(U267)+N(V267))</f>
        <v/>
      </c>
      <c r="X267" s="27">
        <f>IF(C267="","",H267+L267-W267)</f>
        <v/>
      </c>
      <c r="Y267" s="29">
        <f>IFERROR(X267/(H267+L267),"")</f>
        <v/>
      </c>
      <c r="Z267" s="24" t="n"/>
    </row>
    <row r="268" ht="15" customHeight="1">
      <c r="A268" s="70">
        <f>IF(C268="","",IFERROR(IF(SUMPRODUCT(MAX((tbl_Finance[Job Number]&amp;""=C268&amp;"")*(tbl_Finance[Xero Invoice No]&lt;&gt;"")*tbl_Finance[Date]))=0,"",SUMPRODUCT(MAX((tbl_Finance[Job Number]&amp;""=C268&amp;"")*(tbl_Finance[Xero Invoice No]&lt;&gt;"")*tbl_Finance[Date]))),""))</f>
        <v/>
      </c>
      <c r="B268" s="25">
        <f>IF(C268="","",IF(COUNTIFS(tbl_Finance[Job Number],C268&amp;"",tbl_Finance[Xero Invoice No],"&lt;&gt;")=0,"",IFERROR(IF(COUNTIFS(tbl_Finance[Job Number],C268&amp;"",tbl_Finance[Xero Invoice No],LOOKUP(2,1/((tbl_Finance[Job Number]&amp;""=C268&amp;"")*(tbl_Finance[Xero Invoice No]&lt;&gt;"")),tbl_Finance[Xero Invoice No]))=COUNTIFS(tbl_Finance[Job Number],C268&amp;"",tbl_Finance[Xero Invoice No],"&lt;&gt;"),LOOKUP(2,1/((tbl_Finance[Job Number]&amp;""=C268&amp;"")*(tbl_Finance[Xero Invoice No]&lt;&gt;"")),tbl_Finance[Xero Invoice No]),LOOKUP(2,1/((tbl_Finance[Job Number]&amp;""=C268&amp;"")*(tbl_Finance[Xero Invoice No]&lt;&gt;"")),tbl_Finance[Xero Invoice No])&amp;" +more"),"")))</f>
        <v/>
      </c>
      <c r="C268" s="24" t="n"/>
      <c r="D268" s="25">
        <f>IF(C268="","",IF(COUNTIF(lst_Jobs,C268&amp;"")&gt;0,"OK","CHECK"))</f>
        <v/>
      </c>
      <c r="E268" s="25">
        <f>IF(C268="","",IFERROR(INDEX(lst_JobName,MATCH(C268&amp;"",lst_Jobs,0)),""))</f>
        <v/>
      </c>
      <c r="F268" s="25">
        <f>IF(C268="","",IFERROR(INDEX(tbl_Finance[Client],IFERROR(MATCH(C268&amp;"",tbl_Finance[Job Number],0),MATCH(IFERROR(C268+0,C268),tbl_Finance[Job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6" t="n"/>
      <c r="L268" s="27">
        <f>IF(C268="","",IF(K268="",0,MAX(0,K268-H268)))</f>
        <v/>
      </c>
      <c r="M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N268" s="24" t="n"/>
      <c r="O268" s="25">
        <f>IF(N268="","",HYPERLINK(IF(LEFT(N268,4)="http",N268,set_QwilrBase&amp;N268),"Open quote"))</f>
        <v/>
      </c>
      <c r="P268" s="26" t="n"/>
      <c r="Q268" s="26" t="n"/>
      <c r="R268" s="26" t="n"/>
      <c r="S268" s="25">
        <f>IF(C268="","",IF(N(P268)+N(Q268)+N(R268)=0,"Not split",IF(ROUND(N(P268)+N(Q268)+N(R268),2)=ROUND(H268+L268,2),"OK",IF(G268=0,"Not invoiced yet","MISMATCH"))))</f>
        <v/>
      </c>
      <c r="T268" s="26" t="n"/>
      <c r="U268" s="26" t="n"/>
      <c r="V268" s="26" t="n"/>
      <c r="W268" s="27">
        <f>IF(C268="","",N(T268)+N(U268)+N(V268))</f>
        <v/>
      </c>
      <c r="X268" s="27">
        <f>IF(C268="","",H268+L268-W268)</f>
        <v/>
      </c>
      <c r="Y268" s="29">
        <f>IFERROR(X268/(H268+L268),"")</f>
        <v/>
      </c>
      <c r="Z268" s="24" t="n"/>
    </row>
    <row r="269" ht="15" customHeight="1">
      <c r="A269" s="70">
        <f>IF(C269="","",IFERROR(IF(SUMPRODUCT(MAX((tbl_Finance[Job Number]&amp;""=C269&amp;"")*(tbl_Finance[Xero Invoice No]&lt;&gt;"")*tbl_Finance[Date]))=0,"",SUMPRODUCT(MAX((tbl_Finance[Job Number]&amp;""=C269&amp;"")*(tbl_Finance[Xero Invoice No]&lt;&gt;"")*tbl_Finance[Date]))),""))</f>
        <v/>
      </c>
      <c r="B269" s="25">
        <f>IF(C269="","",IF(COUNTIFS(tbl_Finance[Job Number],C269&amp;"",tbl_Finance[Xero Invoice No],"&lt;&gt;")=0,"",IFERROR(IF(COUNTIFS(tbl_Finance[Job Number],C269&amp;"",tbl_Finance[Xero Invoice No],LOOKUP(2,1/((tbl_Finance[Job Number]&amp;""=C269&amp;"")*(tbl_Finance[Xero Invoice No]&lt;&gt;"")),tbl_Finance[Xero Invoice No]))=COUNTIFS(tbl_Finance[Job Number],C269&amp;"",tbl_Finance[Xero Invoice No],"&lt;&gt;"),LOOKUP(2,1/((tbl_Finance[Job Number]&amp;""=C269&amp;"")*(tbl_Finance[Xero Invoice No]&lt;&gt;"")),tbl_Finance[Xero Invoice No]),LOOKUP(2,1/((tbl_Finance[Job Number]&amp;""=C269&amp;"")*(tbl_Finance[Xero Invoice No]&lt;&gt;"")),tbl_Finance[Xero Invoice No])&amp;" +more"),"")))</f>
        <v/>
      </c>
      <c r="C269" s="24" t="n"/>
      <c r="D269" s="25">
        <f>IF(C269="","",IF(COUNTIF(lst_Jobs,C269&amp;"")&gt;0,"OK","CHECK"))</f>
        <v/>
      </c>
      <c r="E269" s="25">
        <f>IF(C269="","",IFERROR(INDEX(lst_JobName,MATCH(C269&amp;"",lst_Jobs,0)),""))</f>
        <v/>
      </c>
      <c r="F269" s="25">
        <f>IF(C269="","",IFERROR(INDEX(tbl_Finance[Client],IFERROR(MATCH(C269&amp;"",tbl_Finance[Job Number],0),MATCH(IFERROR(C269+0,C269),tbl_Finance[Job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6" t="n"/>
      <c r="L269" s="27">
        <f>IF(C269="","",IF(K269="",0,MAX(0,K269-H269)))</f>
        <v/>
      </c>
      <c r="M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N269" s="24" t="n"/>
      <c r="O269" s="25">
        <f>IF(N269="","",HYPERLINK(IF(LEFT(N269,4)="http",N269,set_QwilrBase&amp;N269),"Open quote"))</f>
        <v/>
      </c>
      <c r="P269" s="26" t="n"/>
      <c r="Q269" s="26" t="n"/>
      <c r="R269" s="26" t="n"/>
      <c r="S269" s="25">
        <f>IF(C269="","",IF(N(P269)+N(Q269)+N(R269)=0,"Not split",IF(ROUND(N(P269)+N(Q269)+N(R269),2)=ROUND(H269+L269,2),"OK",IF(G269=0,"Not invoiced yet","MISMATCH"))))</f>
        <v/>
      </c>
      <c r="T269" s="26" t="n"/>
      <c r="U269" s="26" t="n"/>
      <c r="V269" s="26" t="n"/>
      <c r="W269" s="27">
        <f>IF(C269="","",N(T269)+N(U269)+N(V269))</f>
        <v/>
      </c>
      <c r="X269" s="27">
        <f>IF(C269="","",H269+L269-W269)</f>
        <v/>
      </c>
      <c r="Y269" s="29">
        <f>IFERROR(X269/(H269+L269),"")</f>
        <v/>
      </c>
      <c r="Z269" s="24" t="n"/>
    </row>
    <row r="270" ht="15" customHeight="1">
      <c r="A270" s="70">
        <f>IF(C270="","",IFERROR(IF(SUMPRODUCT(MAX((tbl_Finance[Job Number]&amp;""=C270&amp;"")*(tbl_Finance[Xero Invoice No]&lt;&gt;"")*tbl_Finance[Date]))=0,"",SUMPRODUCT(MAX((tbl_Finance[Job Number]&amp;""=C270&amp;"")*(tbl_Finance[Xero Invoice No]&lt;&gt;"")*tbl_Finance[Date]))),""))</f>
        <v/>
      </c>
      <c r="B270" s="25">
        <f>IF(C270="","",IF(COUNTIFS(tbl_Finance[Job Number],C270&amp;"",tbl_Finance[Xero Invoice No],"&lt;&gt;")=0,"",IFERROR(IF(COUNTIFS(tbl_Finance[Job Number],C270&amp;"",tbl_Finance[Xero Invoice No],LOOKUP(2,1/((tbl_Finance[Job Number]&amp;""=C270&amp;"")*(tbl_Finance[Xero Invoice No]&lt;&gt;"")),tbl_Finance[Xero Invoice No]))=COUNTIFS(tbl_Finance[Job Number],C270&amp;"",tbl_Finance[Xero Invoice No],"&lt;&gt;"),LOOKUP(2,1/((tbl_Finance[Job Number]&amp;""=C270&amp;"")*(tbl_Finance[Xero Invoice No]&lt;&gt;"")),tbl_Finance[Xero Invoice No]),LOOKUP(2,1/((tbl_Finance[Job Number]&amp;""=C270&amp;"")*(tbl_Finance[Xero Invoice No]&lt;&gt;"")),tbl_Finance[Xero Invoice No])&amp;" +more"),"")))</f>
        <v/>
      </c>
      <c r="C270" s="24" t="n"/>
      <c r="D270" s="25">
        <f>IF(C270="","",IF(COUNTIF(lst_Jobs,C270&amp;"")&gt;0,"OK","CHECK"))</f>
        <v/>
      </c>
      <c r="E270" s="25">
        <f>IF(C270="","",IFERROR(INDEX(lst_JobName,MATCH(C270&amp;"",lst_Jobs,0)),""))</f>
        <v/>
      </c>
      <c r="F270" s="25">
        <f>IF(C270="","",IFERROR(INDEX(tbl_Finance[Client],IFERROR(MATCH(C270&amp;"",tbl_Finance[Job Number],0),MATCH(IFERROR(C270+0,C270),tbl_Finance[Job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6" t="n"/>
      <c r="L270" s="27">
        <f>IF(C270="","",IF(K270="",0,MAX(0,K270-H270)))</f>
        <v/>
      </c>
      <c r="M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N270" s="24" t="n"/>
      <c r="O270" s="25">
        <f>IF(N270="","",HYPERLINK(IF(LEFT(N270,4)="http",N270,set_QwilrBase&amp;N270),"Open quote"))</f>
        <v/>
      </c>
      <c r="P270" s="26" t="n"/>
      <c r="Q270" s="26" t="n"/>
      <c r="R270" s="26" t="n"/>
      <c r="S270" s="25">
        <f>IF(C270="","",IF(N(P270)+N(Q270)+N(R270)=0,"Not split",IF(ROUND(N(P270)+N(Q270)+N(R270),2)=ROUND(H270+L270,2),"OK",IF(G270=0,"Not invoiced yet","MISMATCH"))))</f>
        <v/>
      </c>
      <c r="T270" s="26" t="n"/>
      <c r="U270" s="26" t="n"/>
      <c r="V270" s="26" t="n"/>
      <c r="W270" s="27">
        <f>IF(C270="","",N(T270)+N(U270)+N(V270))</f>
        <v/>
      </c>
      <c r="X270" s="27">
        <f>IF(C270="","",H270+L270-W270)</f>
        <v/>
      </c>
      <c r="Y270" s="29">
        <f>IFERROR(X270/(H270+L270),"")</f>
        <v/>
      </c>
      <c r="Z270" s="24" t="n"/>
    </row>
    <row r="271" ht="15" customHeight="1">
      <c r="A271" s="70">
        <f>IF(C271="","",IFERROR(IF(SUMPRODUCT(MAX((tbl_Finance[Job Number]&amp;""=C271&amp;"")*(tbl_Finance[Xero Invoice No]&lt;&gt;"")*tbl_Finance[Date]))=0,"",SUMPRODUCT(MAX((tbl_Finance[Job Number]&amp;""=C271&amp;"")*(tbl_Finance[Xero Invoice No]&lt;&gt;"")*tbl_Finance[Date]))),""))</f>
        <v/>
      </c>
      <c r="B271" s="25">
        <f>IF(C271="","",IF(COUNTIFS(tbl_Finance[Job Number],C271&amp;"",tbl_Finance[Xero Invoice No],"&lt;&gt;")=0,"",IFERROR(IF(COUNTIFS(tbl_Finance[Job Number],C271&amp;"",tbl_Finance[Xero Invoice No],LOOKUP(2,1/((tbl_Finance[Job Number]&amp;""=C271&amp;"")*(tbl_Finance[Xero Invoice No]&lt;&gt;"")),tbl_Finance[Xero Invoice No]))=COUNTIFS(tbl_Finance[Job Number],C271&amp;"",tbl_Finance[Xero Invoice No],"&lt;&gt;"),LOOKUP(2,1/((tbl_Finance[Job Number]&amp;""=C271&amp;"")*(tbl_Finance[Xero Invoice No]&lt;&gt;"")),tbl_Finance[Xero Invoice No]),LOOKUP(2,1/((tbl_Finance[Job Number]&amp;""=C271&amp;"")*(tbl_Finance[Xero Invoice No]&lt;&gt;"")),tbl_Finance[Xero Invoice No])&amp;" +more"),"")))</f>
        <v/>
      </c>
      <c r="C271" s="24" t="n"/>
      <c r="D271" s="25">
        <f>IF(C271="","",IF(COUNTIF(lst_Jobs,C271&amp;"")&gt;0,"OK","CHECK"))</f>
        <v/>
      </c>
      <c r="E271" s="25">
        <f>IF(C271="","",IFERROR(INDEX(lst_JobName,MATCH(C271&amp;"",lst_Jobs,0)),""))</f>
        <v/>
      </c>
      <c r="F271" s="25">
        <f>IF(C271="","",IFERROR(INDEX(tbl_Finance[Client],IFERROR(MATCH(C271&amp;"",tbl_Finance[Job Number],0),MATCH(IFERROR(C271+0,C271),tbl_Finance[Job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6" t="n"/>
      <c r="L271" s="27">
        <f>IF(C271="","",IF(K271="",0,MAX(0,K271-H271)))</f>
        <v/>
      </c>
      <c r="M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N271" s="24" t="n"/>
      <c r="O271" s="25">
        <f>IF(N271="","",HYPERLINK(IF(LEFT(N271,4)="http",N271,set_QwilrBase&amp;N271),"Open quote"))</f>
        <v/>
      </c>
      <c r="P271" s="26" t="n"/>
      <c r="Q271" s="26" t="n"/>
      <c r="R271" s="26" t="n"/>
      <c r="S271" s="25">
        <f>IF(C271="","",IF(N(P271)+N(Q271)+N(R271)=0,"Not split",IF(ROUND(N(P271)+N(Q271)+N(R271),2)=ROUND(H271+L271,2),"OK",IF(G271=0,"Not invoiced yet","MISMATCH"))))</f>
        <v/>
      </c>
      <c r="T271" s="26" t="n"/>
      <c r="U271" s="26" t="n"/>
      <c r="V271" s="26" t="n"/>
      <c r="W271" s="27">
        <f>IF(C271="","",N(T271)+N(U271)+N(V271))</f>
        <v/>
      </c>
      <c r="X271" s="27">
        <f>IF(C271="","",H271+L271-W271)</f>
        <v/>
      </c>
      <c r="Y271" s="29">
        <f>IFERROR(X271/(H271+L271),"")</f>
        <v/>
      </c>
      <c r="Z271" s="24" t="n"/>
    </row>
    <row r="272" ht="15" customHeight="1">
      <c r="A272" s="70">
        <f>IF(C272="","",IFERROR(IF(SUMPRODUCT(MAX((tbl_Finance[Job Number]&amp;""=C272&amp;"")*(tbl_Finance[Xero Invoice No]&lt;&gt;"")*tbl_Finance[Date]))=0,"",SUMPRODUCT(MAX((tbl_Finance[Job Number]&amp;""=C272&amp;"")*(tbl_Finance[Xero Invoice No]&lt;&gt;"")*tbl_Finance[Date]))),""))</f>
        <v/>
      </c>
      <c r="B272" s="25">
        <f>IF(C272="","",IF(COUNTIFS(tbl_Finance[Job Number],C272&amp;"",tbl_Finance[Xero Invoice No],"&lt;&gt;")=0,"",IFERROR(IF(COUNTIFS(tbl_Finance[Job Number],C272&amp;"",tbl_Finance[Xero Invoice No],LOOKUP(2,1/((tbl_Finance[Job Number]&amp;""=C272&amp;"")*(tbl_Finance[Xero Invoice No]&lt;&gt;"")),tbl_Finance[Xero Invoice No]))=COUNTIFS(tbl_Finance[Job Number],C272&amp;"",tbl_Finance[Xero Invoice No],"&lt;&gt;"),LOOKUP(2,1/((tbl_Finance[Job Number]&amp;""=C272&amp;"")*(tbl_Finance[Xero Invoice No]&lt;&gt;"")),tbl_Finance[Xero Invoice No]),LOOKUP(2,1/((tbl_Finance[Job Number]&amp;""=C272&amp;"")*(tbl_Finance[Xero Invoice No]&lt;&gt;"")),tbl_Finance[Xero Invoice No])&amp;" +more"),"")))</f>
        <v/>
      </c>
      <c r="C272" s="24" t="n"/>
      <c r="D272" s="25">
        <f>IF(C272="","",IF(COUNTIF(lst_Jobs,C272&amp;"")&gt;0,"OK","CHECK"))</f>
        <v/>
      </c>
      <c r="E272" s="25">
        <f>IF(C272="","",IFERROR(INDEX(lst_JobName,MATCH(C272&amp;"",lst_Jobs,0)),""))</f>
        <v/>
      </c>
      <c r="F272" s="25">
        <f>IF(C272="","",IFERROR(INDEX(tbl_Finance[Client],IFERROR(MATCH(C272&amp;"",tbl_Finance[Job Number],0),MATCH(IFERROR(C272+0,C272),tbl_Finance[Job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6" t="n"/>
      <c r="L272" s="27">
        <f>IF(C272="","",IF(K272="",0,MAX(0,K272-H272)))</f>
        <v/>
      </c>
      <c r="M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N272" s="24" t="n"/>
      <c r="O272" s="25">
        <f>IF(N272="","",HYPERLINK(IF(LEFT(N272,4)="http",N272,set_QwilrBase&amp;N272),"Open quote"))</f>
        <v/>
      </c>
      <c r="P272" s="26" t="n"/>
      <c r="Q272" s="26" t="n"/>
      <c r="R272" s="26" t="n"/>
      <c r="S272" s="25">
        <f>IF(C272="","",IF(N(P272)+N(Q272)+N(R272)=0,"Not split",IF(ROUND(N(P272)+N(Q272)+N(R272),2)=ROUND(H272+L272,2),"OK",IF(G272=0,"Not invoiced yet","MISMATCH"))))</f>
        <v/>
      </c>
      <c r="T272" s="26" t="n"/>
      <c r="U272" s="26" t="n"/>
      <c r="V272" s="26" t="n"/>
      <c r="W272" s="27">
        <f>IF(C272="","",N(T272)+N(U272)+N(V272))</f>
        <v/>
      </c>
      <c r="X272" s="27">
        <f>IF(C272="","",H272+L272-W272)</f>
        <v/>
      </c>
      <c r="Y272" s="29">
        <f>IFERROR(X272/(H272+L272),"")</f>
        <v/>
      </c>
      <c r="Z272" s="24" t="n"/>
    </row>
    <row r="273" ht="15" customHeight="1">
      <c r="A273" s="70">
        <f>IF(C273="","",IFERROR(IF(SUMPRODUCT(MAX((tbl_Finance[Job Number]&amp;""=C273&amp;"")*(tbl_Finance[Xero Invoice No]&lt;&gt;"")*tbl_Finance[Date]))=0,"",SUMPRODUCT(MAX((tbl_Finance[Job Number]&amp;""=C273&amp;"")*(tbl_Finance[Xero Invoice No]&lt;&gt;"")*tbl_Finance[Date]))),""))</f>
        <v/>
      </c>
      <c r="B273" s="25">
        <f>IF(C273="","",IF(COUNTIFS(tbl_Finance[Job Number],C273&amp;"",tbl_Finance[Xero Invoice No],"&lt;&gt;")=0,"",IFERROR(IF(COUNTIFS(tbl_Finance[Job Number],C273&amp;"",tbl_Finance[Xero Invoice No],LOOKUP(2,1/((tbl_Finance[Job Number]&amp;""=C273&amp;"")*(tbl_Finance[Xero Invoice No]&lt;&gt;"")),tbl_Finance[Xero Invoice No]))=COUNTIFS(tbl_Finance[Job Number],C273&amp;"",tbl_Finance[Xero Invoice No],"&lt;&gt;"),LOOKUP(2,1/((tbl_Finance[Job Number]&amp;""=C273&amp;"")*(tbl_Finance[Xero Invoice No]&lt;&gt;"")),tbl_Finance[Xero Invoice No]),LOOKUP(2,1/((tbl_Finance[Job Number]&amp;""=C273&amp;"")*(tbl_Finance[Xero Invoice No]&lt;&gt;"")),tbl_Finance[Xero Invoice No])&amp;" +more"),"")))</f>
        <v/>
      </c>
      <c r="C273" s="24" t="n"/>
      <c r="D273" s="25">
        <f>IF(C273="","",IF(COUNTIF(lst_Jobs,C273&amp;"")&gt;0,"OK","CHECK"))</f>
        <v/>
      </c>
      <c r="E273" s="25">
        <f>IF(C273="","",IFERROR(INDEX(lst_JobName,MATCH(C273&amp;"",lst_Jobs,0)),""))</f>
        <v/>
      </c>
      <c r="F273" s="25">
        <f>IF(C273="","",IFERROR(INDEX(tbl_Finance[Client],IFERROR(MATCH(C273&amp;"",tbl_Finance[Job Number],0),MATCH(IFERROR(C273+0,C273),tbl_Finance[Job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6" t="n"/>
      <c r="L273" s="27">
        <f>IF(C273="","",IF(K273="",0,MAX(0,K273-H273)))</f>
        <v/>
      </c>
      <c r="M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N273" s="24" t="n"/>
      <c r="O273" s="25">
        <f>IF(N273="","",HYPERLINK(IF(LEFT(N273,4)="http",N273,set_QwilrBase&amp;N273),"Open quote"))</f>
        <v/>
      </c>
      <c r="P273" s="26" t="n"/>
      <c r="Q273" s="26" t="n"/>
      <c r="R273" s="26" t="n"/>
      <c r="S273" s="25">
        <f>IF(C273="","",IF(N(P273)+N(Q273)+N(R273)=0,"Not split",IF(ROUND(N(P273)+N(Q273)+N(R273),2)=ROUND(H273+L273,2),"OK",IF(G273=0,"Not invoiced yet","MISMATCH"))))</f>
        <v/>
      </c>
      <c r="T273" s="26" t="n"/>
      <c r="U273" s="26" t="n"/>
      <c r="V273" s="26" t="n"/>
      <c r="W273" s="27">
        <f>IF(C273="","",N(T273)+N(U273)+N(V273))</f>
        <v/>
      </c>
      <c r="X273" s="27">
        <f>IF(C273="","",H273+L273-W273)</f>
        <v/>
      </c>
      <c r="Y273" s="29">
        <f>IFERROR(X273/(H273+L273),"")</f>
        <v/>
      </c>
      <c r="Z273" s="24" t="n"/>
    </row>
    <row r="274" ht="15" customHeight="1">
      <c r="A274" s="70">
        <f>IF(C274="","",IFERROR(IF(SUMPRODUCT(MAX((tbl_Finance[Job Number]&amp;""=C274&amp;"")*(tbl_Finance[Xero Invoice No]&lt;&gt;"")*tbl_Finance[Date]))=0,"",SUMPRODUCT(MAX((tbl_Finance[Job Number]&amp;""=C274&amp;"")*(tbl_Finance[Xero Invoice No]&lt;&gt;"")*tbl_Finance[Date]))),""))</f>
        <v/>
      </c>
      <c r="B274" s="25">
        <f>IF(C274="","",IF(COUNTIFS(tbl_Finance[Job Number],C274&amp;"",tbl_Finance[Xero Invoice No],"&lt;&gt;")=0,"",IFERROR(IF(COUNTIFS(tbl_Finance[Job Number],C274&amp;"",tbl_Finance[Xero Invoice No],LOOKUP(2,1/((tbl_Finance[Job Number]&amp;""=C274&amp;"")*(tbl_Finance[Xero Invoice No]&lt;&gt;"")),tbl_Finance[Xero Invoice No]))=COUNTIFS(tbl_Finance[Job Number],C274&amp;"",tbl_Finance[Xero Invoice No],"&lt;&gt;"),LOOKUP(2,1/((tbl_Finance[Job Number]&amp;""=C274&amp;"")*(tbl_Finance[Xero Invoice No]&lt;&gt;"")),tbl_Finance[Xero Invoice No]),LOOKUP(2,1/((tbl_Finance[Job Number]&amp;""=C274&amp;"")*(tbl_Finance[Xero Invoice No]&lt;&gt;"")),tbl_Finance[Xero Invoice No])&amp;" +more"),"")))</f>
        <v/>
      </c>
      <c r="C274" s="24" t="n"/>
      <c r="D274" s="25">
        <f>IF(C274="","",IF(COUNTIF(lst_Jobs,C274&amp;"")&gt;0,"OK","CHECK"))</f>
        <v/>
      </c>
      <c r="E274" s="25">
        <f>IF(C274="","",IFERROR(INDEX(lst_JobName,MATCH(C274&amp;"",lst_Jobs,0)),""))</f>
        <v/>
      </c>
      <c r="F274" s="25">
        <f>IF(C274="","",IFERROR(INDEX(tbl_Finance[Client],IFERROR(MATCH(C274&amp;"",tbl_Finance[Job Number],0),MATCH(IFERROR(C274+0,C274),tbl_Finance[Job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6" t="n"/>
      <c r="L274" s="27">
        <f>IF(C274="","",IF(K274="",0,MAX(0,K274-H274)))</f>
        <v/>
      </c>
      <c r="M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N274" s="24" t="n"/>
      <c r="O274" s="25">
        <f>IF(N274="","",HYPERLINK(IF(LEFT(N274,4)="http",N274,set_QwilrBase&amp;N274),"Open quote"))</f>
        <v/>
      </c>
      <c r="P274" s="26" t="n"/>
      <c r="Q274" s="26" t="n"/>
      <c r="R274" s="26" t="n"/>
      <c r="S274" s="25">
        <f>IF(C274="","",IF(N(P274)+N(Q274)+N(R274)=0,"Not split",IF(ROUND(N(P274)+N(Q274)+N(R274),2)=ROUND(H274+L274,2),"OK",IF(G274=0,"Not invoiced yet","MISMATCH"))))</f>
        <v/>
      </c>
      <c r="T274" s="26" t="n"/>
      <c r="U274" s="26" t="n"/>
      <c r="V274" s="26" t="n"/>
      <c r="W274" s="27">
        <f>IF(C274="","",N(T274)+N(U274)+N(V274))</f>
        <v/>
      </c>
      <c r="X274" s="27">
        <f>IF(C274="","",H274+L274-W274)</f>
        <v/>
      </c>
      <c r="Y274" s="29">
        <f>IFERROR(X274/(H274+L274),"")</f>
        <v/>
      </c>
      <c r="Z274" s="24" t="n"/>
    </row>
    <row r="275" ht="15" customHeight="1">
      <c r="A275" s="70">
        <f>IF(C275="","",IFERROR(IF(SUMPRODUCT(MAX((tbl_Finance[Job Number]&amp;""=C275&amp;"")*(tbl_Finance[Xero Invoice No]&lt;&gt;"")*tbl_Finance[Date]))=0,"",SUMPRODUCT(MAX((tbl_Finance[Job Number]&amp;""=C275&amp;"")*(tbl_Finance[Xero Invoice No]&lt;&gt;"")*tbl_Finance[Date]))),""))</f>
        <v/>
      </c>
      <c r="B275" s="25">
        <f>IF(C275="","",IF(COUNTIFS(tbl_Finance[Job Number],C275&amp;"",tbl_Finance[Xero Invoice No],"&lt;&gt;")=0,"",IFERROR(IF(COUNTIFS(tbl_Finance[Job Number],C275&amp;"",tbl_Finance[Xero Invoice No],LOOKUP(2,1/((tbl_Finance[Job Number]&amp;""=C275&amp;"")*(tbl_Finance[Xero Invoice No]&lt;&gt;"")),tbl_Finance[Xero Invoice No]))=COUNTIFS(tbl_Finance[Job Number],C275&amp;"",tbl_Finance[Xero Invoice No],"&lt;&gt;"),LOOKUP(2,1/((tbl_Finance[Job Number]&amp;""=C275&amp;"")*(tbl_Finance[Xero Invoice No]&lt;&gt;"")),tbl_Finance[Xero Invoice No]),LOOKUP(2,1/((tbl_Finance[Job Number]&amp;""=C275&amp;"")*(tbl_Finance[Xero Invoice No]&lt;&gt;"")),tbl_Finance[Xero Invoice No])&amp;" +more"),"")))</f>
        <v/>
      </c>
      <c r="C275" s="24" t="n"/>
      <c r="D275" s="25">
        <f>IF(C275="","",IF(COUNTIF(lst_Jobs,C275&amp;"")&gt;0,"OK","CHECK"))</f>
        <v/>
      </c>
      <c r="E275" s="25">
        <f>IF(C275="","",IFERROR(INDEX(lst_JobName,MATCH(C275&amp;"",lst_Jobs,0)),""))</f>
        <v/>
      </c>
      <c r="F275" s="25">
        <f>IF(C275="","",IFERROR(INDEX(tbl_Finance[Client],IFERROR(MATCH(C275&amp;"",tbl_Finance[Job Number],0),MATCH(IFERROR(C275+0,C275),tbl_Finance[Job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6" t="n"/>
      <c r="L275" s="27">
        <f>IF(C275="","",IF(K275="",0,MAX(0,K275-H275)))</f>
        <v/>
      </c>
      <c r="M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N275" s="24" t="n"/>
      <c r="O275" s="25">
        <f>IF(N275="","",HYPERLINK(IF(LEFT(N275,4)="http",N275,set_QwilrBase&amp;N275),"Open quote"))</f>
        <v/>
      </c>
      <c r="P275" s="26" t="n"/>
      <c r="Q275" s="26" t="n"/>
      <c r="R275" s="26" t="n"/>
      <c r="S275" s="25">
        <f>IF(C275="","",IF(N(P275)+N(Q275)+N(R275)=0,"Not split",IF(ROUND(N(P275)+N(Q275)+N(R275),2)=ROUND(H275+L275,2),"OK",IF(G275=0,"Not invoiced yet","MISMATCH"))))</f>
        <v/>
      </c>
      <c r="T275" s="26" t="n"/>
      <c r="U275" s="26" t="n"/>
      <c r="V275" s="26" t="n"/>
      <c r="W275" s="27">
        <f>IF(C275="","",N(T275)+N(U275)+N(V275))</f>
        <v/>
      </c>
      <c r="X275" s="27">
        <f>IF(C275="","",H275+L275-W275)</f>
        <v/>
      </c>
      <c r="Y275" s="29">
        <f>IFERROR(X275/(H275+L275),"")</f>
        <v/>
      </c>
      <c r="Z275" s="24" t="n"/>
    </row>
    <row r="276" ht="15" customHeight="1">
      <c r="A276" s="70">
        <f>IF(C276="","",IFERROR(IF(SUMPRODUCT(MAX((tbl_Finance[Job Number]&amp;""=C276&amp;"")*(tbl_Finance[Xero Invoice No]&lt;&gt;"")*tbl_Finance[Date]))=0,"",SUMPRODUCT(MAX((tbl_Finance[Job Number]&amp;""=C276&amp;"")*(tbl_Finance[Xero Invoice No]&lt;&gt;"")*tbl_Finance[Date]))),""))</f>
        <v/>
      </c>
      <c r="B276" s="25">
        <f>IF(C276="","",IF(COUNTIFS(tbl_Finance[Job Number],C276&amp;"",tbl_Finance[Xero Invoice No],"&lt;&gt;")=0,"",IFERROR(IF(COUNTIFS(tbl_Finance[Job Number],C276&amp;"",tbl_Finance[Xero Invoice No],LOOKUP(2,1/((tbl_Finance[Job Number]&amp;""=C276&amp;"")*(tbl_Finance[Xero Invoice No]&lt;&gt;"")),tbl_Finance[Xero Invoice No]))=COUNTIFS(tbl_Finance[Job Number],C276&amp;"",tbl_Finance[Xero Invoice No],"&lt;&gt;"),LOOKUP(2,1/((tbl_Finance[Job Number]&amp;""=C276&amp;"")*(tbl_Finance[Xero Invoice No]&lt;&gt;"")),tbl_Finance[Xero Invoice No]),LOOKUP(2,1/((tbl_Finance[Job Number]&amp;""=C276&amp;"")*(tbl_Finance[Xero Invoice No]&lt;&gt;"")),tbl_Finance[Xero Invoice No])&amp;" +more"),"")))</f>
        <v/>
      </c>
      <c r="C276" s="24" t="n"/>
      <c r="D276" s="25">
        <f>IF(C276="","",IF(COUNTIF(lst_Jobs,C276&amp;"")&gt;0,"OK","CHECK"))</f>
        <v/>
      </c>
      <c r="E276" s="25">
        <f>IF(C276="","",IFERROR(INDEX(lst_JobName,MATCH(C276&amp;"",lst_Jobs,0)),""))</f>
        <v/>
      </c>
      <c r="F276" s="25">
        <f>IF(C276="","",IFERROR(INDEX(tbl_Finance[Client],IFERROR(MATCH(C276&amp;"",tbl_Finance[Job Number],0),MATCH(IFERROR(C276+0,C276),tbl_Finance[Job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6" t="n"/>
      <c r="L276" s="27">
        <f>IF(C276="","",IF(K276="",0,MAX(0,K276-H276)))</f>
        <v/>
      </c>
      <c r="M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N276" s="24" t="n"/>
      <c r="O276" s="25">
        <f>IF(N276="","",HYPERLINK(IF(LEFT(N276,4)="http",N276,set_QwilrBase&amp;N276),"Open quote"))</f>
        <v/>
      </c>
      <c r="P276" s="26" t="n"/>
      <c r="Q276" s="26" t="n"/>
      <c r="R276" s="26" t="n"/>
      <c r="S276" s="25">
        <f>IF(C276="","",IF(N(P276)+N(Q276)+N(R276)=0,"Not split",IF(ROUND(N(P276)+N(Q276)+N(R276),2)=ROUND(H276+L276,2),"OK",IF(G276=0,"Not invoiced yet","MISMATCH"))))</f>
        <v/>
      </c>
      <c r="T276" s="26" t="n"/>
      <c r="U276" s="26" t="n"/>
      <c r="V276" s="26" t="n"/>
      <c r="W276" s="27">
        <f>IF(C276="","",N(T276)+N(U276)+N(V276))</f>
        <v/>
      </c>
      <c r="X276" s="27">
        <f>IF(C276="","",H276+L276-W276)</f>
        <v/>
      </c>
      <c r="Y276" s="29">
        <f>IFERROR(X276/(H276+L276),"")</f>
        <v/>
      </c>
      <c r="Z276" s="24" t="n"/>
    </row>
    <row r="277" ht="15" customHeight="1">
      <c r="A277" s="70">
        <f>IF(C277="","",IFERROR(IF(SUMPRODUCT(MAX((tbl_Finance[Job Number]&amp;""=C277&amp;"")*(tbl_Finance[Xero Invoice No]&lt;&gt;"")*tbl_Finance[Date]))=0,"",SUMPRODUCT(MAX((tbl_Finance[Job Number]&amp;""=C277&amp;"")*(tbl_Finance[Xero Invoice No]&lt;&gt;"")*tbl_Finance[Date]))),""))</f>
        <v/>
      </c>
      <c r="B277" s="25">
        <f>IF(C277="","",IF(COUNTIFS(tbl_Finance[Job Number],C277&amp;"",tbl_Finance[Xero Invoice No],"&lt;&gt;")=0,"",IFERROR(IF(COUNTIFS(tbl_Finance[Job Number],C277&amp;"",tbl_Finance[Xero Invoice No],LOOKUP(2,1/((tbl_Finance[Job Number]&amp;""=C277&amp;"")*(tbl_Finance[Xero Invoice No]&lt;&gt;"")),tbl_Finance[Xero Invoice No]))=COUNTIFS(tbl_Finance[Job Number],C277&amp;"",tbl_Finance[Xero Invoice No],"&lt;&gt;"),LOOKUP(2,1/((tbl_Finance[Job Number]&amp;""=C277&amp;"")*(tbl_Finance[Xero Invoice No]&lt;&gt;"")),tbl_Finance[Xero Invoice No]),LOOKUP(2,1/((tbl_Finance[Job Number]&amp;""=C277&amp;"")*(tbl_Finance[Xero Invoice No]&lt;&gt;"")),tbl_Finance[Xero Invoice No])&amp;" +more"),"")))</f>
        <v/>
      </c>
      <c r="C277" s="24" t="n"/>
      <c r="D277" s="25">
        <f>IF(C277="","",IF(COUNTIF(lst_Jobs,C277&amp;"")&gt;0,"OK","CHECK"))</f>
        <v/>
      </c>
      <c r="E277" s="25">
        <f>IF(C277="","",IFERROR(INDEX(lst_JobName,MATCH(C277&amp;"",lst_Jobs,0)),""))</f>
        <v/>
      </c>
      <c r="F277" s="25">
        <f>IF(C277="","",IFERROR(INDEX(tbl_Finance[Client],IFERROR(MATCH(C277&amp;"",tbl_Finance[Job Number],0),MATCH(IFERROR(C277+0,C277),tbl_Finance[Job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6" t="n"/>
      <c r="L277" s="27">
        <f>IF(C277="","",IF(K277="",0,MAX(0,K277-H277)))</f>
        <v/>
      </c>
      <c r="M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N277" s="24" t="n"/>
      <c r="O277" s="25">
        <f>IF(N277="","",HYPERLINK(IF(LEFT(N277,4)="http",N277,set_QwilrBase&amp;N277),"Open quote"))</f>
        <v/>
      </c>
      <c r="P277" s="26" t="n"/>
      <c r="Q277" s="26" t="n"/>
      <c r="R277" s="26" t="n"/>
      <c r="S277" s="25">
        <f>IF(C277="","",IF(N(P277)+N(Q277)+N(R277)=0,"Not split",IF(ROUND(N(P277)+N(Q277)+N(R277),2)=ROUND(H277+L277,2),"OK",IF(G277=0,"Not invoiced yet","MISMATCH"))))</f>
        <v/>
      </c>
      <c r="T277" s="26" t="n"/>
      <c r="U277" s="26" t="n"/>
      <c r="V277" s="26" t="n"/>
      <c r="W277" s="27">
        <f>IF(C277="","",N(T277)+N(U277)+N(V277))</f>
        <v/>
      </c>
      <c r="X277" s="27">
        <f>IF(C277="","",H277+L277-W277)</f>
        <v/>
      </c>
      <c r="Y277" s="29">
        <f>IFERROR(X277/(H277+L277),"")</f>
        <v/>
      </c>
      <c r="Z277" s="24" t="n"/>
    </row>
    <row r="278" ht="15" customHeight="1">
      <c r="A278" s="70">
        <f>IF(C278="","",IFERROR(IF(SUMPRODUCT(MAX((tbl_Finance[Job Number]&amp;""=C278&amp;"")*(tbl_Finance[Xero Invoice No]&lt;&gt;"")*tbl_Finance[Date]))=0,"",SUMPRODUCT(MAX((tbl_Finance[Job Number]&amp;""=C278&amp;"")*(tbl_Finance[Xero Invoice No]&lt;&gt;"")*tbl_Finance[Date]))),""))</f>
        <v/>
      </c>
      <c r="B278" s="25">
        <f>IF(C278="","",IF(COUNTIFS(tbl_Finance[Job Number],C278&amp;"",tbl_Finance[Xero Invoice No],"&lt;&gt;")=0,"",IFERROR(IF(COUNTIFS(tbl_Finance[Job Number],C278&amp;"",tbl_Finance[Xero Invoice No],LOOKUP(2,1/((tbl_Finance[Job Number]&amp;""=C278&amp;"")*(tbl_Finance[Xero Invoice No]&lt;&gt;"")),tbl_Finance[Xero Invoice No]))=COUNTIFS(tbl_Finance[Job Number],C278&amp;"",tbl_Finance[Xero Invoice No],"&lt;&gt;"),LOOKUP(2,1/((tbl_Finance[Job Number]&amp;""=C278&amp;"")*(tbl_Finance[Xero Invoice No]&lt;&gt;"")),tbl_Finance[Xero Invoice No]),LOOKUP(2,1/((tbl_Finance[Job Number]&amp;""=C278&amp;"")*(tbl_Finance[Xero Invoice No]&lt;&gt;"")),tbl_Finance[Xero Invoice No])&amp;" +more"),"")))</f>
        <v/>
      </c>
      <c r="C278" s="24" t="n"/>
      <c r="D278" s="25">
        <f>IF(C278="","",IF(COUNTIF(lst_Jobs,C278&amp;"")&gt;0,"OK","CHECK"))</f>
        <v/>
      </c>
      <c r="E278" s="25">
        <f>IF(C278="","",IFERROR(INDEX(lst_JobName,MATCH(C278&amp;"",lst_Jobs,0)),""))</f>
        <v/>
      </c>
      <c r="F278" s="25">
        <f>IF(C278="","",IFERROR(INDEX(tbl_Finance[Client],IFERROR(MATCH(C278&amp;"",tbl_Finance[Job Number],0),MATCH(IFERROR(C278+0,C278),tbl_Finance[Job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6" t="n"/>
      <c r="L278" s="27">
        <f>IF(C278="","",IF(K278="",0,MAX(0,K278-H278)))</f>
        <v/>
      </c>
      <c r="M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N278" s="24" t="n"/>
      <c r="O278" s="25">
        <f>IF(N278="","",HYPERLINK(IF(LEFT(N278,4)="http",N278,set_QwilrBase&amp;N278),"Open quote"))</f>
        <v/>
      </c>
      <c r="P278" s="26" t="n"/>
      <c r="Q278" s="26" t="n"/>
      <c r="R278" s="26" t="n"/>
      <c r="S278" s="25">
        <f>IF(C278="","",IF(N(P278)+N(Q278)+N(R278)=0,"Not split",IF(ROUND(N(P278)+N(Q278)+N(R278),2)=ROUND(H278+L278,2),"OK",IF(G278=0,"Not invoiced yet","MISMATCH"))))</f>
        <v/>
      </c>
      <c r="T278" s="26" t="n"/>
      <c r="U278" s="26" t="n"/>
      <c r="V278" s="26" t="n"/>
      <c r="W278" s="27">
        <f>IF(C278="","",N(T278)+N(U278)+N(V278))</f>
        <v/>
      </c>
      <c r="X278" s="27">
        <f>IF(C278="","",H278+L278-W278)</f>
        <v/>
      </c>
      <c r="Y278" s="29">
        <f>IFERROR(X278/(H278+L278),"")</f>
        <v/>
      </c>
      <c r="Z278" s="24" t="n"/>
    </row>
    <row r="279" ht="15" customHeight="1">
      <c r="A279" s="70">
        <f>IF(C279="","",IFERROR(IF(SUMPRODUCT(MAX((tbl_Finance[Job Number]&amp;""=C279&amp;"")*(tbl_Finance[Xero Invoice No]&lt;&gt;"")*tbl_Finance[Date]))=0,"",SUMPRODUCT(MAX((tbl_Finance[Job Number]&amp;""=C279&amp;"")*(tbl_Finance[Xero Invoice No]&lt;&gt;"")*tbl_Finance[Date]))),""))</f>
        <v/>
      </c>
      <c r="B279" s="25">
        <f>IF(C279="","",IF(COUNTIFS(tbl_Finance[Job Number],C279&amp;"",tbl_Finance[Xero Invoice No],"&lt;&gt;")=0,"",IFERROR(IF(COUNTIFS(tbl_Finance[Job Number],C279&amp;"",tbl_Finance[Xero Invoice No],LOOKUP(2,1/((tbl_Finance[Job Number]&amp;""=C279&amp;"")*(tbl_Finance[Xero Invoice No]&lt;&gt;"")),tbl_Finance[Xero Invoice No]))=COUNTIFS(tbl_Finance[Job Number],C279&amp;"",tbl_Finance[Xero Invoice No],"&lt;&gt;"),LOOKUP(2,1/((tbl_Finance[Job Number]&amp;""=C279&amp;"")*(tbl_Finance[Xero Invoice No]&lt;&gt;"")),tbl_Finance[Xero Invoice No]),LOOKUP(2,1/((tbl_Finance[Job Number]&amp;""=C279&amp;"")*(tbl_Finance[Xero Invoice No]&lt;&gt;"")),tbl_Finance[Xero Invoice No])&amp;" +more"),"")))</f>
        <v/>
      </c>
      <c r="C279" s="24" t="n"/>
      <c r="D279" s="25">
        <f>IF(C279="","",IF(COUNTIF(lst_Jobs,C279&amp;"")&gt;0,"OK","CHECK"))</f>
        <v/>
      </c>
      <c r="E279" s="25">
        <f>IF(C279="","",IFERROR(INDEX(lst_JobName,MATCH(C279&amp;"",lst_Jobs,0)),""))</f>
        <v/>
      </c>
      <c r="F279" s="25">
        <f>IF(C279="","",IFERROR(INDEX(tbl_Finance[Client],IFERROR(MATCH(C279&amp;"",tbl_Finance[Job Number],0),MATCH(IFERROR(C279+0,C279),tbl_Finance[Job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6" t="n"/>
      <c r="L279" s="27">
        <f>IF(C279="","",IF(K279="",0,MAX(0,K279-H279)))</f>
        <v/>
      </c>
      <c r="M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N279" s="24" t="n"/>
      <c r="O279" s="25">
        <f>IF(N279="","",HYPERLINK(IF(LEFT(N279,4)="http",N279,set_QwilrBase&amp;N279),"Open quote"))</f>
        <v/>
      </c>
      <c r="P279" s="26" t="n"/>
      <c r="Q279" s="26" t="n"/>
      <c r="R279" s="26" t="n"/>
      <c r="S279" s="25">
        <f>IF(C279="","",IF(N(P279)+N(Q279)+N(R279)=0,"Not split",IF(ROUND(N(P279)+N(Q279)+N(R279),2)=ROUND(H279+L279,2),"OK",IF(G279=0,"Not invoiced yet","MISMATCH"))))</f>
        <v/>
      </c>
      <c r="T279" s="26" t="n"/>
      <c r="U279" s="26" t="n"/>
      <c r="V279" s="26" t="n"/>
      <c r="W279" s="27">
        <f>IF(C279="","",N(T279)+N(U279)+N(V279))</f>
        <v/>
      </c>
      <c r="X279" s="27">
        <f>IF(C279="","",H279+L279-W279)</f>
        <v/>
      </c>
      <c r="Y279" s="29">
        <f>IFERROR(X279/(H279+L279),"")</f>
        <v/>
      </c>
      <c r="Z279" s="24" t="n"/>
    </row>
    <row r="280" ht="15" customHeight="1">
      <c r="A280" s="70">
        <f>IF(C280="","",IFERROR(IF(SUMPRODUCT(MAX((tbl_Finance[Job Number]&amp;""=C280&amp;"")*(tbl_Finance[Xero Invoice No]&lt;&gt;"")*tbl_Finance[Date]))=0,"",SUMPRODUCT(MAX((tbl_Finance[Job Number]&amp;""=C280&amp;"")*(tbl_Finance[Xero Invoice No]&lt;&gt;"")*tbl_Finance[Date]))),""))</f>
        <v/>
      </c>
      <c r="B280" s="25">
        <f>IF(C280="","",IF(COUNTIFS(tbl_Finance[Job Number],C280&amp;"",tbl_Finance[Xero Invoice No],"&lt;&gt;")=0,"",IFERROR(IF(COUNTIFS(tbl_Finance[Job Number],C280&amp;"",tbl_Finance[Xero Invoice No],LOOKUP(2,1/((tbl_Finance[Job Number]&amp;""=C280&amp;"")*(tbl_Finance[Xero Invoice No]&lt;&gt;"")),tbl_Finance[Xero Invoice No]))=COUNTIFS(tbl_Finance[Job Number],C280&amp;"",tbl_Finance[Xero Invoice No],"&lt;&gt;"),LOOKUP(2,1/((tbl_Finance[Job Number]&amp;""=C280&amp;"")*(tbl_Finance[Xero Invoice No]&lt;&gt;"")),tbl_Finance[Xero Invoice No]),LOOKUP(2,1/((tbl_Finance[Job Number]&amp;""=C280&amp;"")*(tbl_Finance[Xero Invoice No]&lt;&gt;"")),tbl_Finance[Xero Invoice No])&amp;" +more"),"")))</f>
        <v/>
      </c>
      <c r="C280" s="24" t="n"/>
      <c r="D280" s="25">
        <f>IF(C280="","",IF(COUNTIF(lst_Jobs,C280&amp;"")&gt;0,"OK","CHECK"))</f>
        <v/>
      </c>
      <c r="E280" s="25">
        <f>IF(C280="","",IFERROR(INDEX(lst_JobName,MATCH(C280&amp;"",lst_Jobs,0)),""))</f>
        <v/>
      </c>
      <c r="F280" s="25">
        <f>IF(C280="","",IFERROR(INDEX(tbl_Finance[Client],IFERROR(MATCH(C280&amp;"",tbl_Finance[Job Number],0),MATCH(IFERROR(C280+0,C280),tbl_Finance[Job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6" t="n"/>
      <c r="L280" s="27">
        <f>IF(C280="","",IF(K280="",0,MAX(0,K280-H280)))</f>
        <v/>
      </c>
      <c r="M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N280" s="24" t="n"/>
      <c r="O280" s="25">
        <f>IF(N280="","",HYPERLINK(IF(LEFT(N280,4)="http",N280,set_QwilrBase&amp;N280),"Open quote"))</f>
        <v/>
      </c>
      <c r="P280" s="26" t="n"/>
      <c r="Q280" s="26" t="n"/>
      <c r="R280" s="26" t="n"/>
      <c r="S280" s="25">
        <f>IF(C280="","",IF(N(P280)+N(Q280)+N(R280)=0,"Not split",IF(ROUND(N(P280)+N(Q280)+N(R280),2)=ROUND(H280+L280,2),"OK",IF(G280=0,"Not invoiced yet","MISMATCH"))))</f>
        <v/>
      </c>
      <c r="T280" s="26" t="n"/>
      <c r="U280" s="26" t="n"/>
      <c r="V280" s="26" t="n"/>
      <c r="W280" s="27">
        <f>IF(C280="","",N(T280)+N(U280)+N(V280))</f>
        <v/>
      </c>
      <c r="X280" s="27">
        <f>IF(C280="","",H280+L280-W280)</f>
        <v/>
      </c>
      <c r="Y280" s="29">
        <f>IFERROR(X280/(H280+L280),"")</f>
        <v/>
      </c>
      <c r="Z280" s="24" t="n"/>
    </row>
    <row r="281" ht="15" customHeight="1">
      <c r="A281" s="70">
        <f>IF(C281="","",IFERROR(IF(SUMPRODUCT(MAX((tbl_Finance[Job Number]&amp;""=C281&amp;"")*(tbl_Finance[Xero Invoice No]&lt;&gt;"")*tbl_Finance[Date]))=0,"",SUMPRODUCT(MAX((tbl_Finance[Job Number]&amp;""=C281&amp;"")*(tbl_Finance[Xero Invoice No]&lt;&gt;"")*tbl_Finance[Date]))),""))</f>
        <v/>
      </c>
      <c r="B281" s="25">
        <f>IF(C281="","",IF(COUNTIFS(tbl_Finance[Job Number],C281&amp;"",tbl_Finance[Xero Invoice No],"&lt;&gt;")=0,"",IFERROR(IF(COUNTIFS(tbl_Finance[Job Number],C281&amp;"",tbl_Finance[Xero Invoice No],LOOKUP(2,1/((tbl_Finance[Job Number]&amp;""=C281&amp;"")*(tbl_Finance[Xero Invoice No]&lt;&gt;"")),tbl_Finance[Xero Invoice No]))=COUNTIFS(tbl_Finance[Job Number],C281&amp;"",tbl_Finance[Xero Invoice No],"&lt;&gt;"),LOOKUP(2,1/((tbl_Finance[Job Number]&amp;""=C281&amp;"")*(tbl_Finance[Xero Invoice No]&lt;&gt;"")),tbl_Finance[Xero Invoice No]),LOOKUP(2,1/((tbl_Finance[Job Number]&amp;""=C281&amp;"")*(tbl_Finance[Xero Invoice No]&lt;&gt;"")),tbl_Finance[Xero Invoice No])&amp;" +more"),"")))</f>
        <v/>
      </c>
      <c r="C281" s="24" t="n"/>
      <c r="D281" s="25">
        <f>IF(C281="","",IF(COUNTIF(lst_Jobs,C281&amp;"")&gt;0,"OK","CHECK"))</f>
        <v/>
      </c>
      <c r="E281" s="25">
        <f>IF(C281="","",IFERROR(INDEX(lst_JobName,MATCH(C281&amp;"",lst_Jobs,0)),""))</f>
        <v/>
      </c>
      <c r="F281" s="25">
        <f>IF(C281="","",IFERROR(INDEX(tbl_Finance[Client],IFERROR(MATCH(C281&amp;"",tbl_Finance[Job Number],0),MATCH(IFERROR(C281+0,C281),tbl_Finance[Job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6" t="n"/>
      <c r="L281" s="27">
        <f>IF(C281="","",IF(K281="",0,MAX(0,K281-H281)))</f>
        <v/>
      </c>
      <c r="M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N281" s="24" t="n"/>
      <c r="O281" s="25">
        <f>IF(N281="","",HYPERLINK(IF(LEFT(N281,4)="http",N281,set_QwilrBase&amp;N281),"Open quote"))</f>
        <v/>
      </c>
      <c r="P281" s="26" t="n"/>
      <c r="Q281" s="26" t="n"/>
      <c r="R281" s="26" t="n"/>
      <c r="S281" s="25">
        <f>IF(C281="","",IF(N(P281)+N(Q281)+N(R281)=0,"Not split",IF(ROUND(N(P281)+N(Q281)+N(R281),2)=ROUND(H281+L281,2),"OK",IF(G281=0,"Not invoiced yet","MISMATCH"))))</f>
        <v/>
      </c>
      <c r="T281" s="26" t="n"/>
      <c r="U281" s="26" t="n"/>
      <c r="V281" s="26" t="n"/>
      <c r="W281" s="27">
        <f>IF(C281="","",N(T281)+N(U281)+N(V281))</f>
        <v/>
      </c>
      <c r="X281" s="27">
        <f>IF(C281="","",H281+L281-W281)</f>
        <v/>
      </c>
      <c r="Y281" s="29">
        <f>IFERROR(X281/(H281+L281),"")</f>
        <v/>
      </c>
      <c r="Z281" s="24" t="n"/>
    </row>
    <row r="282" ht="15" customHeight="1">
      <c r="A282" s="70">
        <f>IF(C282="","",IFERROR(IF(SUMPRODUCT(MAX((tbl_Finance[Job Number]&amp;""=C282&amp;"")*(tbl_Finance[Xero Invoice No]&lt;&gt;"")*tbl_Finance[Date]))=0,"",SUMPRODUCT(MAX((tbl_Finance[Job Number]&amp;""=C282&amp;"")*(tbl_Finance[Xero Invoice No]&lt;&gt;"")*tbl_Finance[Date]))),""))</f>
        <v/>
      </c>
      <c r="B282" s="25">
        <f>IF(C282="","",IF(COUNTIFS(tbl_Finance[Job Number],C282&amp;"",tbl_Finance[Xero Invoice No],"&lt;&gt;")=0,"",IFERROR(IF(COUNTIFS(tbl_Finance[Job Number],C282&amp;"",tbl_Finance[Xero Invoice No],LOOKUP(2,1/((tbl_Finance[Job Number]&amp;""=C282&amp;"")*(tbl_Finance[Xero Invoice No]&lt;&gt;"")),tbl_Finance[Xero Invoice No]))=COUNTIFS(tbl_Finance[Job Number],C282&amp;"",tbl_Finance[Xero Invoice No],"&lt;&gt;"),LOOKUP(2,1/((tbl_Finance[Job Number]&amp;""=C282&amp;"")*(tbl_Finance[Xero Invoice No]&lt;&gt;"")),tbl_Finance[Xero Invoice No]),LOOKUP(2,1/((tbl_Finance[Job Number]&amp;""=C282&amp;"")*(tbl_Finance[Xero Invoice No]&lt;&gt;"")),tbl_Finance[Xero Invoice No])&amp;" +more"),"")))</f>
        <v/>
      </c>
      <c r="C282" s="24" t="n"/>
      <c r="D282" s="25">
        <f>IF(C282="","",IF(COUNTIF(lst_Jobs,C282&amp;"")&gt;0,"OK","CHECK"))</f>
        <v/>
      </c>
      <c r="E282" s="25">
        <f>IF(C282="","",IFERROR(INDEX(lst_JobName,MATCH(C282&amp;"",lst_Jobs,0)),""))</f>
        <v/>
      </c>
      <c r="F282" s="25">
        <f>IF(C282="","",IFERROR(INDEX(tbl_Finance[Client],IFERROR(MATCH(C282&amp;"",tbl_Finance[Job Number],0),MATCH(IFERROR(C282+0,C282),tbl_Finance[Job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6" t="n"/>
      <c r="L282" s="27">
        <f>IF(C282="","",IF(K282="",0,MAX(0,K282-H282)))</f>
        <v/>
      </c>
      <c r="M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N282" s="24" t="n"/>
      <c r="O282" s="25">
        <f>IF(N282="","",HYPERLINK(IF(LEFT(N282,4)="http",N282,set_QwilrBase&amp;N282),"Open quote"))</f>
        <v/>
      </c>
      <c r="P282" s="26" t="n"/>
      <c r="Q282" s="26" t="n"/>
      <c r="R282" s="26" t="n"/>
      <c r="S282" s="25">
        <f>IF(C282="","",IF(N(P282)+N(Q282)+N(R282)=0,"Not split",IF(ROUND(N(P282)+N(Q282)+N(R282),2)=ROUND(H282+L282,2),"OK",IF(G282=0,"Not invoiced yet","MISMATCH"))))</f>
        <v/>
      </c>
      <c r="T282" s="26" t="n"/>
      <c r="U282" s="26" t="n"/>
      <c r="V282" s="26" t="n"/>
      <c r="W282" s="27">
        <f>IF(C282="","",N(T282)+N(U282)+N(V282))</f>
        <v/>
      </c>
      <c r="X282" s="27">
        <f>IF(C282="","",H282+L282-W282)</f>
        <v/>
      </c>
      <c r="Y282" s="29">
        <f>IFERROR(X282/(H282+L282),"")</f>
        <v/>
      </c>
      <c r="Z282" s="24" t="n"/>
    </row>
    <row r="283" ht="15" customHeight="1">
      <c r="A283" s="70">
        <f>IF(C283="","",IFERROR(IF(SUMPRODUCT(MAX((tbl_Finance[Job Number]&amp;""=C283&amp;"")*(tbl_Finance[Xero Invoice No]&lt;&gt;"")*tbl_Finance[Date]))=0,"",SUMPRODUCT(MAX((tbl_Finance[Job Number]&amp;""=C283&amp;"")*(tbl_Finance[Xero Invoice No]&lt;&gt;"")*tbl_Finance[Date]))),""))</f>
        <v/>
      </c>
      <c r="B283" s="25">
        <f>IF(C283="","",IF(COUNTIFS(tbl_Finance[Job Number],C283&amp;"",tbl_Finance[Xero Invoice No],"&lt;&gt;")=0,"",IFERROR(IF(COUNTIFS(tbl_Finance[Job Number],C283&amp;"",tbl_Finance[Xero Invoice No],LOOKUP(2,1/((tbl_Finance[Job Number]&amp;""=C283&amp;"")*(tbl_Finance[Xero Invoice No]&lt;&gt;"")),tbl_Finance[Xero Invoice No]))=COUNTIFS(tbl_Finance[Job Number],C283&amp;"",tbl_Finance[Xero Invoice No],"&lt;&gt;"),LOOKUP(2,1/((tbl_Finance[Job Number]&amp;""=C283&amp;"")*(tbl_Finance[Xero Invoice No]&lt;&gt;"")),tbl_Finance[Xero Invoice No]),LOOKUP(2,1/((tbl_Finance[Job Number]&amp;""=C283&amp;"")*(tbl_Finance[Xero Invoice No]&lt;&gt;"")),tbl_Finance[Xero Invoice No])&amp;" +more"),"")))</f>
        <v/>
      </c>
      <c r="C283" s="24" t="n"/>
      <c r="D283" s="25">
        <f>IF(C283="","",IF(COUNTIF(lst_Jobs,C283&amp;"")&gt;0,"OK","CHECK"))</f>
        <v/>
      </c>
      <c r="E283" s="25">
        <f>IF(C283="","",IFERROR(INDEX(lst_JobName,MATCH(C283&amp;"",lst_Jobs,0)),""))</f>
        <v/>
      </c>
      <c r="F283" s="25">
        <f>IF(C283="","",IFERROR(INDEX(tbl_Finance[Client],IFERROR(MATCH(C283&amp;"",tbl_Finance[Job Number],0),MATCH(IFERROR(C283+0,C283),tbl_Finance[Job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6" t="n"/>
      <c r="L283" s="27">
        <f>IF(C283="","",IF(K283="",0,MAX(0,K283-H283)))</f>
        <v/>
      </c>
      <c r="M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N283" s="24" t="n"/>
      <c r="O283" s="25">
        <f>IF(N283="","",HYPERLINK(IF(LEFT(N283,4)="http",N283,set_QwilrBase&amp;N283),"Open quote"))</f>
        <v/>
      </c>
      <c r="P283" s="26" t="n"/>
      <c r="Q283" s="26" t="n"/>
      <c r="R283" s="26" t="n"/>
      <c r="S283" s="25">
        <f>IF(C283="","",IF(N(P283)+N(Q283)+N(R283)=0,"Not split",IF(ROUND(N(P283)+N(Q283)+N(R283),2)=ROUND(H283+L283,2),"OK",IF(G283=0,"Not invoiced yet","MISMATCH"))))</f>
        <v/>
      </c>
      <c r="T283" s="26" t="n"/>
      <c r="U283" s="26" t="n"/>
      <c r="V283" s="26" t="n"/>
      <c r="W283" s="27">
        <f>IF(C283="","",N(T283)+N(U283)+N(V283))</f>
        <v/>
      </c>
      <c r="X283" s="27">
        <f>IF(C283="","",H283+L283-W283)</f>
        <v/>
      </c>
      <c r="Y283" s="29">
        <f>IFERROR(X283/(H283+L283),"")</f>
        <v/>
      </c>
      <c r="Z283" s="24" t="n"/>
    </row>
    <row r="284" ht="15" customHeight="1">
      <c r="A284" s="70">
        <f>IF(C284="","",IFERROR(IF(SUMPRODUCT(MAX((tbl_Finance[Job Number]&amp;""=C284&amp;"")*(tbl_Finance[Xero Invoice No]&lt;&gt;"")*tbl_Finance[Date]))=0,"",SUMPRODUCT(MAX((tbl_Finance[Job Number]&amp;""=C284&amp;"")*(tbl_Finance[Xero Invoice No]&lt;&gt;"")*tbl_Finance[Date]))),""))</f>
        <v/>
      </c>
      <c r="B284" s="25">
        <f>IF(C284="","",IF(COUNTIFS(tbl_Finance[Job Number],C284&amp;"",tbl_Finance[Xero Invoice No],"&lt;&gt;")=0,"",IFERROR(IF(COUNTIFS(tbl_Finance[Job Number],C284&amp;"",tbl_Finance[Xero Invoice No],LOOKUP(2,1/((tbl_Finance[Job Number]&amp;""=C284&amp;"")*(tbl_Finance[Xero Invoice No]&lt;&gt;"")),tbl_Finance[Xero Invoice No]))=COUNTIFS(tbl_Finance[Job Number],C284&amp;"",tbl_Finance[Xero Invoice No],"&lt;&gt;"),LOOKUP(2,1/((tbl_Finance[Job Number]&amp;""=C284&amp;"")*(tbl_Finance[Xero Invoice No]&lt;&gt;"")),tbl_Finance[Xero Invoice No]),LOOKUP(2,1/((tbl_Finance[Job Number]&amp;""=C284&amp;"")*(tbl_Finance[Xero Invoice No]&lt;&gt;"")),tbl_Finance[Xero Invoice No])&amp;" +more"),"")))</f>
        <v/>
      </c>
      <c r="C284" s="24" t="n"/>
      <c r="D284" s="25">
        <f>IF(C284="","",IF(COUNTIF(lst_Jobs,C284&amp;"")&gt;0,"OK","CHECK"))</f>
        <v/>
      </c>
      <c r="E284" s="25">
        <f>IF(C284="","",IFERROR(INDEX(lst_JobName,MATCH(C284&amp;"",lst_Jobs,0)),""))</f>
        <v/>
      </c>
      <c r="F284" s="25">
        <f>IF(C284="","",IFERROR(INDEX(tbl_Finance[Client],IFERROR(MATCH(C284&amp;"",tbl_Finance[Job Number],0),MATCH(IFERROR(C284+0,C284),tbl_Finance[Job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6" t="n"/>
      <c r="L284" s="27">
        <f>IF(C284="","",IF(K284="",0,MAX(0,K284-H284)))</f>
        <v/>
      </c>
      <c r="M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N284" s="24" t="n"/>
      <c r="O284" s="25">
        <f>IF(N284="","",HYPERLINK(IF(LEFT(N284,4)="http",N284,set_QwilrBase&amp;N284),"Open quote"))</f>
        <v/>
      </c>
      <c r="P284" s="26" t="n"/>
      <c r="Q284" s="26" t="n"/>
      <c r="R284" s="26" t="n"/>
      <c r="S284" s="25">
        <f>IF(C284="","",IF(N(P284)+N(Q284)+N(R284)=0,"Not split",IF(ROUND(N(P284)+N(Q284)+N(R284),2)=ROUND(H284+L284,2),"OK",IF(G284=0,"Not invoiced yet","MISMATCH"))))</f>
        <v/>
      </c>
      <c r="T284" s="26" t="n"/>
      <c r="U284" s="26" t="n"/>
      <c r="V284" s="26" t="n"/>
      <c r="W284" s="27">
        <f>IF(C284="","",N(T284)+N(U284)+N(V284))</f>
        <v/>
      </c>
      <c r="X284" s="27">
        <f>IF(C284="","",H284+L284-W284)</f>
        <v/>
      </c>
      <c r="Y284" s="29">
        <f>IFERROR(X284/(H284+L284),"")</f>
        <v/>
      </c>
      <c r="Z284" s="24" t="n"/>
    </row>
    <row r="285" ht="15" customHeight="1">
      <c r="A285" s="70">
        <f>IF(C285="","",IFERROR(IF(SUMPRODUCT(MAX((tbl_Finance[Job Number]&amp;""=C285&amp;"")*(tbl_Finance[Xero Invoice No]&lt;&gt;"")*tbl_Finance[Date]))=0,"",SUMPRODUCT(MAX((tbl_Finance[Job Number]&amp;""=C285&amp;"")*(tbl_Finance[Xero Invoice No]&lt;&gt;"")*tbl_Finance[Date]))),""))</f>
        <v/>
      </c>
      <c r="B285" s="25">
        <f>IF(C285="","",IF(COUNTIFS(tbl_Finance[Job Number],C285&amp;"",tbl_Finance[Xero Invoice No],"&lt;&gt;")=0,"",IFERROR(IF(COUNTIFS(tbl_Finance[Job Number],C285&amp;"",tbl_Finance[Xero Invoice No],LOOKUP(2,1/((tbl_Finance[Job Number]&amp;""=C285&amp;"")*(tbl_Finance[Xero Invoice No]&lt;&gt;"")),tbl_Finance[Xero Invoice No]))=COUNTIFS(tbl_Finance[Job Number],C285&amp;"",tbl_Finance[Xero Invoice No],"&lt;&gt;"),LOOKUP(2,1/((tbl_Finance[Job Number]&amp;""=C285&amp;"")*(tbl_Finance[Xero Invoice No]&lt;&gt;"")),tbl_Finance[Xero Invoice No]),LOOKUP(2,1/((tbl_Finance[Job Number]&amp;""=C285&amp;"")*(tbl_Finance[Xero Invoice No]&lt;&gt;"")),tbl_Finance[Xero Invoice No])&amp;" +more"),"")))</f>
        <v/>
      </c>
      <c r="C285" s="24" t="n"/>
      <c r="D285" s="25">
        <f>IF(C285="","",IF(COUNTIF(lst_Jobs,C285&amp;"")&gt;0,"OK","CHECK"))</f>
        <v/>
      </c>
      <c r="E285" s="25">
        <f>IF(C285="","",IFERROR(INDEX(lst_JobName,MATCH(C285&amp;"",lst_Jobs,0)),""))</f>
        <v/>
      </c>
      <c r="F285" s="25">
        <f>IF(C285="","",IFERROR(INDEX(tbl_Finance[Client],IFERROR(MATCH(C285&amp;"",tbl_Finance[Job Number],0),MATCH(IFERROR(C285+0,C285),tbl_Finance[Job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6" t="n"/>
      <c r="L285" s="27">
        <f>IF(C285="","",IF(K285="",0,MAX(0,K285-H285)))</f>
        <v/>
      </c>
      <c r="M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N285" s="24" t="n"/>
      <c r="O285" s="25">
        <f>IF(N285="","",HYPERLINK(IF(LEFT(N285,4)="http",N285,set_QwilrBase&amp;N285),"Open quote"))</f>
        <v/>
      </c>
      <c r="P285" s="26" t="n"/>
      <c r="Q285" s="26" t="n"/>
      <c r="R285" s="26" t="n"/>
      <c r="S285" s="25">
        <f>IF(C285="","",IF(N(P285)+N(Q285)+N(R285)=0,"Not split",IF(ROUND(N(P285)+N(Q285)+N(R285),2)=ROUND(H285+L285,2),"OK",IF(G285=0,"Not invoiced yet","MISMATCH"))))</f>
        <v/>
      </c>
      <c r="T285" s="26" t="n"/>
      <c r="U285" s="26" t="n"/>
      <c r="V285" s="26" t="n"/>
      <c r="W285" s="27">
        <f>IF(C285="","",N(T285)+N(U285)+N(V285))</f>
        <v/>
      </c>
      <c r="X285" s="27">
        <f>IF(C285="","",H285+L285-W285)</f>
        <v/>
      </c>
      <c r="Y285" s="29">
        <f>IFERROR(X285/(H285+L285),"")</f>
        <v/>
      </c>
      <c r="Z285" s="24" t="n"/>
    </row>
    <row r="286" ht="15" customHeight="1">
      <c r="A286" s="70">
        <f>IF(C286="","",IFERROR(IF(SUMPRODUCT(MAX((tbl_Finance[Job Number]&amp;""=C286&amp;"")*(tbl_Finance[Xero Invoice No]&lt;&gt;"")*tbl_Finance[Date]))=0,"",SUMPRODUCT(MAX((tbl_Finance[Job Number]&amp;""=C286&amp;"")*(tbl_Finance[Xero Invoice No]&lt;&gt;"")*tbl_Finance[Date]))),""))</f>
        <v/>
      </c>
      <c r="B286" s="25">
        <f>IF(C286="","",IF(COUNTIFS(tbl_Finance[Job Number],C286&amp;"",tbl_Finance[Xero Invoice No],"&lt;&gt;")=0,"",IFERROR(IF(COUNTIFS(tbl_Finance[Job Number],C286&amp;"",tbl_Finance[Xero Invoice No],LOOKUP(2,1/((tbl_Finance[Job Number]&amp;""=C286&amp;"")*(tbl_Finance[Xero Invoice No]&lt;&gt;"")),tbl_Finance[Xero Invoice No]))=COUNTIFS(tbl_Finance[Job Number],C286&amp;"",tbl_Finance[Xero Invoice No],"&lt;&gt;"),LOOKUP(2,1/((tbl_Finance[Job Number]&amp;""=C286&amp;"")*(tbl_Finance[Xero Invoice No]&lt;&gt;"")),tbl_Finance[Xero Invoice No]),LOOKUP(2,1/((tbl_Finance[Job Number]&amp;""=C286&amp;"")*(tbl_Finance[Xero Invoice No]&lt;&gt;"")),tbl_Finance[Xero Invoice No])&amp;" +more"),"")))</f>
        <v/>
      </c>
      <c r="C286" s="24" t="n"/>
      <c r="D286" s="25">
        <f>IF(C286="","",IF(COUNTIF(lst_Jobs,C286&amp;"")&gt;0,"OK","CHECK"))</f>
        <v/>
      </c>
      <c r="E286" s="25">
        <f>IF(C286="","",IFERROR(INDEX(lst_JobName,MATCH(C286&amp;"",lst_Jobs,0)),""))</f>
        <v/>
      </c>
      <c r="F286" s="25">
        <f>IF(C286="","",IFERROR(INDEX(tbl_Finance[Client],IFERROR(MATCH(C286&amp;"",tbl_Finance[Job Number],0),MATCH(IFERROR(C286+0,C286),tbl_Finance[Job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6" t="n"/>
      <c r="L286" s="27">
        <f>IF(C286="","",IF(K286="",0,MAX(0,K286-H286)))</f>
        <v/>
      </c>
      <c r="M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N286" s="24" t="n"/>
      <c r="O286" s="25">
        <f>IF(N286="","",HYPERLINK(IF(LEFT(N286,4)="http",N286,set_QwilrBase&amp;N286),"Open quote"))</f>
        <v/>
      </c>
      <c r="P286" s="26" t="n"/>
      <c r="Q286" s="26" t="n"/>
      <c r="R286" s="26" t="n"/>
      <c r="S286" s="25">
        <f>IF(C286="","",IF(N(P286)+N(Q286)+N(R286)=0,"Not split",IF(ROUND(N(P286)+N(Q286)+N(R286),2)=ROUND(H286+L286,2),"OK",IF(G286=0,"Not invoiced yet","MISMATCH"))))</f>
        <v/>
      </c>
      <c r="T286" s="26" t="n"/>
      <c r="U286" s="26" t="n"/>
      <c r="V286" s="26" t="n"/>
      <c r="W286" s="27">
        <f>IF(C286="","",N(T286)+N(U286)+N(V286))</f>
        <v/>
      </c>
      <c r="X286" s="27">
        <f>IF(C286="","",H286+L286-W286)</f>
        <v/>
      </c>
      <c r="Y286" s="29">
        <f>IFERROR(X286/(H286+L286),"")</f>
        <v/>
      </c>
      <c r="Z286" s="24" t="n"/>
    </row>
    <row r="287" ht="15" customHeight="1">
      <c r="A287" s="70">
        <f>IF(C287="","",IFERROR(IF(SUMPRODUCT(MAX((tbl_Finance[Job Number]&amp;""=C287&amp;"")*(tbl_Finance[Xero Invoice No]&lt;&gt;"")*tbl_Finance[Date]))=0,"",SUMPRODUCT(MAX((tbl_Finance[Job Number]&amp;""=C287&amp;"")*(tbl_Finance[Xero Invoice No]&lt;&gt;"")*tbl_Finance[Date]))),""))</f>
        <v/>
      </c>
      <c r="B287" s="25">
        <f>IF(C287="","",IF(COUNTIFS(tbl_Finance[Job Number],C287&amp;"",tbl_Finance[Xero Invoice No],"&lt;&gt;")=0,"",IFERROR(IF(COUNTIFS(tbl_Finance[Job Number],C287&amp;"",tbl_Finance[Xero Invoice No],LOOKUP(2,1/((tbl_Finance[Job Number]&amp;""=C287&amp;"")*(tbl_Finance[Xero Invoice No]&lt;&gt;"")),tbl_Finance[Xero Invoice No]))=COUNTIFS(tbl_Finance[Job Number],C287&amp;"",tbl_Finance[Xero Invoice No],"&lt;&gt;"),LOOKUP(2,1/((tbl_Finance[Job Number]&amp;""=C287&amp;"")*(tbl_Finance[Xero Invoice No]&lt;&gt;"")),tbl_Finance[Xero Invoice No]),LOOKUP(2,1/((tbl_Finance[Job Number]&amp;""=C287&amp;"")*(tbl_Finance[Xero Invoice No]&lt;&gt;"")),tbl_Finance[Xero Invoice No])&amp;" +more"),"")))</f>
        <v/>
      </c>
      <c r="C287" s="24" t="n"/>
      <c r="D287" s="25">
        <f>IF(C287="","",IF(COUNTIF(lst_Jobs,C287&amp;"")&gt;0,"OK","CHECK"))</f>
        <v/>
      </c>
      <c r="E287" s="25">
        <f>IF(C287="","",IFERROR(INDEX(lst_JobName,MATCH(C287&amp;"",lst_Jobs,0)),""))</f>
        <v/>
      </c>
      <c r="F287" s="25">
        <f>IF(C287="","",IFERROR(INDEX(tbl_Finance[Client],IFERROR(MATCH(C287&amp;"",tbl_Finance[Job Number],0),MATCH(IFERROR(C287+0,C287),tbl_Finance[Job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6" t="n"/>
      <c r="L287" s="27">
        <f>IF(C287="","",IF(K287="",0,MAX(0,K287-H287)))</f>
        <v/>
      </c>
      <c r="M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N287" s="24" t="n"/>
      <c r="O287" s="25">
        <f>IF(N287="","",HYPERLINK(IF(LEFT(N287,4)="http",N287,set_QwilrBase&amp;N287),"Open quote"))</f>
        <v/>
      </c>
      <c r="P287" s="26" t="n"/>
      <c r="Q287" s="26" t="n"/>
      <c r="R287" s="26" t="n"/>
      <c r="S287" s="25">
        <f>IF(C287="","",IF(N(P287)+N(Q287)+N(R287)=0,"Not split",IF(ROUND(N(P287)+N(Q287)+N(R287),2)=ROUND(H287+L287,2),"OK",IF(G287=0,"Not invoiced yet","MISMATCH"))))</f>
        <v/>
      </c>
      <c r="T287" s="26" t="n"/>
      <c r="U287" s="26" t="n"/>
      <c r="V287" s="26" t="n"/>
      <c r="W287" s="27">
        <f>IF(C287="","",N(T287)+N(U287)+N(V287))</f>
        <v/>
      </c>
      <c r="X287" s="27">
        <f>IF(C287="","",H287+L287-W287)</f>
        <v/>
      </c>
      <c r="Y287" s="29">
        <f>IFERROR(X287/(H287+L287),"")</f>
        <v/>
      </c>
      <c r="Z287" s="24" t="n"/>
    </row>
    <row r="288" ht="15" customHeight="1">
      <c r="A288" s="70">
        <f>IF(C288="","",IFERROR(IF(SUMPRODUCT(MAX((tbl_Finance[Job Number]&amp;""=C288&amp;"")*(tbl_Finance[Xero Invoice No]&lt;&gt;"")*tbl_Finance[Date]))=0,"",SUMPRODUCT(MAX((tbl_Finance[Job Number]&amp;""=C288&amp;"")*(tbl_Finance[Xero Invoice No]&lt;&gt;"")*tbl_Finance[Date]))),""))</f>
        <v/>
      </c>
      <c r="B288" s="25">
        <f>IF(C288="","",IF(COUNTIFS(tbl_Finance[Job Number],C288&amp;"",tbl_Finance[Xero Invoice No],"&lt;&gt;")=0,"",IFERROR(IF(COUNTIFS(tbl_Finance[Job Number],C288&amp;"",tbl_Finance[Xero Invoice No],LOOKUP(2,1/((tbl_Finance[Job Number]&amp;""=C288&amp;"")*(tbl_Finance[Xero Invoice No]&lt;&gt;"")),tbl_Finance[Xero Invoice No]))=COUNTIFS(tbl_Finance[Job Number],C288&amp;"",tbl_Finance[Xero Invoice No],"&lt;&gt;"),LOOKUP(2,1/((tbl_Finance[Job Number]&amp;""=C288&amp;"")*(tbl_Finance[Xero Invoice No]&lt;&gt;"")),tbl_Finance[Xero Invoice No]),LOOKUP(2,1/((tbl_Finance[Job Number]&amp;""=C288&amp;"")*(tbl_Finance[Xero Invoice No]&lt;&gt;"")),tbl_Finance[Xero Invoice No])&amp;" +more"),"")))</f>
        <v/>
      </c>
      <c r="C288" s="24" t="n"/>
      <c r="D288" s="25">
        <f>IF(C288="","",IF(COUNTIF(lst_Jobs,C288&amp;"")&gt;0,"OK","CHECK"))</f>
        <v/>
      </c>
      <c r="E288" s="25">
        <f>IF(C288="","",IFERROR(INDEX(lst_JobName,MATCH(C288&amp;"",lst_Jobs,0)),""))</f>
        <v/>
      </c>
      <c r="F288" s="25">
        <f>IF(C288="","",IFERROR(INDEX(tbl_Finance[Client],IFERROR(MATCH(C288&amp;"",tbl_Finance[Job Number],0),MATCH(IFERROR(C288+0,C288),tbl_Finance[Job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6" t="n"/>
      <c r="L288" s="27">
        <f>IF(C288="","",IF(K288="",0,MAX(0,K288-H288)))</f>
        <v/>
      </c>
      <c r="M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N288" s="24" t="n"/>
      <c r="O288" s="25">
        <f>IF(N288="","",HYPERLINK(IF(LEFT(N288,4)="http",N288,set_QwilrBase&amp;N288),"Open quote"))</f>
        <v/>
      </c>
      <c r="P288" s="26" t="n"/>
      <c r="Q288" s="26" t="n"/>
      <c r="R288" s="26" t="n"/>
      <c r="S288" s="25">
        <f>IF(C288="","",IF(N(P288)+N(Q288)+N(R288)=0,"Not split",IF(ROUND(N(P288)+N(Q288)+N(R288),2)=ROUND(H288+L288,2),"OK",IF(G288=0,"Not invoiced yet","MISMATCH"))))</f>
        <v/>
      </c>
      <c r="T288" s="26" t="n"/>
      <c r="U288" s="26" t="n"/>
      <c r="V288" s="26" t="n"/>
      <c r="W288" s="27">
        <f>IF(C288="","",N(T288)+N(U288)+N(V288))</f>
        <v/>
      </c>
      <c r="X288" s="27">
        <f>IF(C288="","",H288+L288-W288)</f>
        <v/>
      </c>
      <c r="Y288" s="29">
        <f>IFERROR(X288/(H288+L288),"")</f>
        <v/>
      </c>
      <c r="Z288" s="24" t="n"/>
    </row>
    <row r="289" ht="15" customHeight="1">
      <c r="A289" s="70">
        <f>IF(C289="","",IFERROR(IF(SUMPRODUCT(MAX((tbl_Finance[Job Number]&amp;""=C289&amp;"")*(tbl_Finance[Xero Invoice No]&lt;&gt;"")*tbl_Finance[Date]))=0,"",SUMPRODUCT(MAX((tbl_Finance[Job Number]&amp;""=C289&amp;"")*(tbl_Finance[Xero Invoice No]&lt;&gt;"")*tbl_Finance[Date]))),""))</f>
        <v/>
      </c>
      <c r="B289" s="25">
        <f>IF(C289="","",IF(COUNTIFS(tbl_Finance[Job Number],C289&amp;"",tbl_Finance[Xero Invoice No],"&lt;&gt;")=0,"",IFERROR(IF(COUNTIFS(tbl_Finance[Job Number],C289&amp;"",tbl_Finance[Xero Invoice No],LOOKUP(2,1/((tbl_Finance[Job Number]&amp;""=C289&amp;"")*(tbl_Finance[Xero Invoice No]&lt;&gt;"")),tbl_Finance[Xero Invoice No]))=COUNTIFS(tbl_Finance[Job Number],C289&amp;"",tbl_Finance[Xero Invoice No],"&lt;&gt;"),LOOKUP(2,1/((tbl_Finance[Job Number]&amp;""=C289&amp;"")*(tbl_Finance[Xero Invoice No]&lt;&gt;"")),tbl_Finance[Xero Invoice No]),LOOKUP(2,1/((tbl_Finance[Job Number]&amp;""=C289&amp;"")*(tbl_Finance[Xero Invoice No]&lt;&gt;"")),tbl_Finance[Xero Invoice No])&amp;" +more"),"")))</f>
        <v/>
      </c>
      <c r="C289" s="24" t="n"/>
      <c r="D289" s="25">
        <f>IF(C289="","",IF(COUNTIF(lst_Jobs,C289&amp;"")&gt;0,"OK","CHECK"))</f>
        <v/>
      </c>
      <c r="E289" s="25">
        <f>IF(C289="","",IFERROR(INDEX(lst_JobName,MATCH(C289&amp;"",lst_Jobs,0)),""))</f>
        <v/>
      </c>
      <c r="F289" s="25">
        <f>IF(C289="","",IFERROR(INDEX(tbl_Finance[Client],IFERROR(MATCH(C289&amp;"",tbl_Finance[Job Number],0),MATCH(IFERROR(C289+0,C289),tbl_Finance[Job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6" t="n"/>
      <c r="L289" s="27">
        <f>IF(C289="","",IF(K289="",0,MAX(0,K289-H289)))</f>
        <v/>
      </c>
      <c r="M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N289" s="24" t="n"/>
      <c r="O289" s="25">
        <f>IF(N289="","",HYPERLINK(IF(LEFT(N289,4)="http",N289,set_QwilrBase&amp;N289),"Open quote"))</f>
        <v/>
      </c>
      <c r="P289" s="26" t="n"/>
      <c r="Q289" s="26" t="n"/>
      <c r="R289" s="26" t="n"/>
      <c r="S289" s="25">
        <f>IF(C289="","",IF(N(P289)+N(Q289)+N(R289)=0,"Not split",IF(ROUND(N(P289)+N(Q289)+N(R289),2)=ROUND(H289+L289,2),"OK",IF(G289=0,"Not invoiced yet","MISMATCH"))))</f>
        <v/>
      </c>
      <c r="T289" s="26" t="n"/>
      <c r="U289" s="26" t="n"/>
      <c r="V289" s="26" t="n"/>
      <c r="W289" s="27">
        <f>IF(C289="","",N(T289)+N(U289)+N(V289))</f>
        <v/>
      </c>
      <c r="X289" s="27">
        <f>IF(C289="","",H289+L289-W289)</f>
        <v/>
      </c>
      <c r="Y289" s="29">
        <f>IFERROR(X289/(H289+L289),"")</f>
        <v/>
      </c>
      <c r="Z289" s="24" t="n"/>
    </row>
    <row r="290" ht="15" customHeight="1">
      <c r="A290" s="70">
        <f>IF(C290="","",IFERROR(IF(SUMPRODUCT(MAX((tbl_Finance[Job Number]&amp;""=C290&amp;"")*(tbl_Finance[Xero Invoice No]&lt;&gt;"")*tbl_Finance[Date]))=0,"",SUMPRODUCT(MAX((tbl_Finance[Job Number]&amp;""=C290&amp;"")*(tbl_Finance[Xero Invoice No]&lt;&gt;"")*tbl_Finance[Date]))),""))</f>
        <v/>
      </c>
      <c r="B290" s="25">
        <f>IF(C290="","",IF(COUNTIFS(tbl_Finance[Job Number],C290&amp;"",tbl_Finance[Xero Invoice No],"&lt;&gt;")=0,"",IFERROR(IF(COUNTIFS(tbl_Finance[Job Number],C290&amp;"",tbl_Finance[Xero Invoice No],LOOKUP(2,1/((tbl_Finance[Job Number]&amp;""=C290&amp;"")*(tbl_Finance[Xero Invoice No]&lt;&gt;"")),tbl_Finance[Xero Invoice No]))=COUNTIFS(tbl_Finance[Job Number],C290&amp;"",tbl_Finance[Xero Invoice No],"&lt;&gt;"),LOOKUP(2,1/((tbl_Finance[Job Number]&amp;""=C290&amp;"")*(tbl_Finance[Xero Invoice No]&lt;&gt;"")),tbl_Finance[Xero Invoice No]),LOOKUP(2,1/((tbl_Finance[Job Number]&amp;""=C290&amp;"")*(tbl_Finance[Xero Invoice No]&lt;&gt;"")),tbl_Finance[Xero Invoice No])&amp;" +more"),"")))</f>
        <v/>
      </c>
      <c r="C290" s="24" t="n"/>
      <c r="D290" s="25">
        <f>IF(C290="","",IF(COUNTIF(lst_Jobs,C290&amp;"")&gt;0,"OK","CHECK"))</f>
        <v/>
      </c>
      <c r="E290" s="25">
        <f>IF(C290="","",IFERROR(INDEX(lst_JobName,MATCH(C290&amp;"",lst_Jobs,0)),""))</f>
        <v/>
      </c>
      <c r="F290" s="25">
        <f>IF(C290="","",IFERROR(INDEX(tbl_Finance[Client],IFERROR(MATCH(C290&amp;"",tbl_Finance[Job Number],0),MATCH(IFERROR(C290+0,C290),tbl_Finance[Job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6" t="n"/>
      <c r="L290" s="27">
        <f>IF(C290="","",IF(K290="",0,MAX(0,K290-H290)))</f>
        <v/>
      </c>
      <c r="M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N290" s="24" t="n"/>
      <c r="O290" s="25">
        <f>IF(N290="","",HYPERLINK(IF(LEFT(N290,4)="http",N290,set_QwilrBase&amp;N290),"Open quote"))</f>
        <v/>
      </c>
      <c r="P290" s="26" t="n"/>
      <c r="Q290" s="26" t="n"/>
      <c r="R290" s="26" t="n"/>
      <c r="S290" s="25">
        <f>IF(C290="","",IF(N(P290)+N(Q290)+N(R290)=0,"Not split",IF(ROUND(N(P290)+N(Q290)+N(R290),2)=ROUND(H290+L290,2),"OK",IF(G290=0,"Not invoiced yet","MISMATCH"))))</f>
        <v/>
      </c>
      <c r="T290" s="26" t="n"/>
      <c r="U290" s="26" t="n"/>
      <c r="V290" s="26" t="n"/>
      <c r="W290" s="27">
        <f>IF(C290="","",N(T290)+N(U290)+N(V290))</f>
        <v/>
      </c>
      <c r="X290" s="27">
        <f>IF(C290="","",H290+L290-W290)</f>
        <v/>
      </c>
      <c r="Y290" s="29">
        <f>IFERROR(X290/(H290+L290),"")</f>
        <v/>
      </c>
      <c r="Z290" s="24" t="n"/>
    </row>
    <row r="291" ht="15" customHeight="1">
      <c r="A291" s="70">
        <f>IF(C291="","",IFERROR(IF(SUMPRODUCT(MAX((tbl_Finance[Job Number]&amp;""=C291&amp;"")*(tbl_Finance[Xero Invoice No]&lt;&gt;"")*tbl_Finance[Date]))=0,"",SUMPRODUCT(MAX((tbl_Finance[Job Number]&amp;""=C291&amp;"")*(tbl_Finance[Xero Invoice No]&lt;&gt;"")*tbl_Finance[Date]))),""))</f>
        <v/>
      </c>
      <c r="B291" s="25">
        <f>IF(C291="","",IF(COUNTIFS(tbl_Finance[Job Number],C291&amp;"",tbl_Finance[Xero Invoice No],"&lt;&gt;")=0,"",IFERROR(IF(COUNTIFS(tbl_Finance[Job Number],C291&amp;"",tbl_Finance[Xero Invoice No],LOOKUP(2,1/((tbl_Finance[Job Number]&amp;""=C291&amp;"")*(tbl_Finance[Xero Invoice No]&lt;&gt;"")),tbl_Finance[Xero Invoice No]))=COUNTIFS(tbl_Finance[Job Number],C291&amp;"",tbl_Finance[Xero Invoice No],"&lt;&gt;"),LOOKUP(2,1/((tbl_Finance[Job Number]&amp;""=C291&amp;"")*(tbl_Finance[Xero Invoice No]&lt;&gt;"")),tbl_Finance[Xero Invoice No]),LOOKUP(2,1/((tbl_Finance[Job Number]&amp;""=C291&amp;"")*(tbl_Finance[Xero Invoice No]&lt;&gt;"")),tbl_Finance[Xero Invoice No])&amp;" +more"),"")))</f>
        <v/>
      </c>
      <c r="C291" s="24" t="n"/>
      <c r="D291" s="25">
        <f>IF(C291="","",IF(COUNTIF(lst_Jobs,C291&amp;"")&gt;0,"OK","CHECK"))</f>
        <v/>
      </c>
      <c r="E291" s="25">
        <f>IF(C291="","",IFERROR(INDEX(lst_JobName,MATCH(C291&amp;"",lst_Jobs,0)),""))</f>
        <v/>
      </c>
      <c r="F291" s="25">
        <f>IF(C291="","",IFERROR(INDEX(tbl_Finance[Client],IFERROR(MATCH(C291&amp;"",tbl_Finance[Job Number],0),MATCH(IFERROR(C291+0,C291),tbl_Finance[Job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6" t="n"/>
      <c r="L291" s="27">
        <f>IF(C291="","",IF(K291="",0,MAX(0,K291-H291)))</f>
        <v/>
      </c>
      <c r="M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N291" s="24" t="n"/>
      <c r="O291" s="25">
        <f>IF(N291="","",HYPERLINK(IF(LEFT(N291,4)="http",N291,set_QwilrBase&amp;N291),"Open quote"))</f>
        <v/>
      </c>
      <c r="P291" s="26" t="n"/>
      <c r="Q291" s="26" t="n"/>
      <c r="R291" s="26" t="n"/>
      <c r="S291" s="25">
        <f>IF(C291="","",IF(N(P291)+N(Q291)+N(R291)=0,"Not split",IF(ROUND(N(P291)+N(Q291)+N(R291),2)=ROUND(H291+L291,2),"OK",IF(G291=0,"Not invoiced yet","MISMATCH"))))</f>
        <v/>
      </c>
      <c r="T291" s="26" t="n"/>
      <c r="U291" s="26" t="n"/>
      <c r="V291" s="26" t="n"/>
      <c r="W291" s="27">
        <f>IF(C291="","",N(T291)+N(U291)+N(V291))</f>
        <v/>
      </c>
      <c r="X291" s="27">
        <f>IF(C291="","",H291+L291-W291)</f>
        <v/>
      </c>
      <c r="Y291" s="29">
        <f>IFERROR(X291/(H291+L291),"")</f>
        <v/>
      </c>
      <c r="Z291" s="24" t="n"/>
    </row>
    <row r="292" ht="15" customHeight="1">
      <c r="A292" s="70">
        <f>IF(C292="","",IFERROR(IF(SUMPRODUCT(MAX((tbl_Finance[Job Number]&amp;""=C292&amp;"")*(tbl_Finance[Xero Invoice No]&lt;&gt;"")*tbl_Finance[Date]))=0,"",SUMPRODUCT(MAX((tbl_Finance[Job Number]&amp;""=C292&amp;"")*(tbl_Finance[Xero Invoice No]&lt;&gt;"")*tbl_Finance[Date]))),""))</f>
        <v/>
      </c>
      <c r="B292" s="25">
        <f>IF(C292="","",IF(COUNTIFS(tbl_Finance[Job Number],C292&amp;"",tbl_Finance[Xero Invoice No],"&lt;&gt;")=0,"",IFERROR(IF(COUNTIFS(tbl_Finance[Job Number],C292&amp;"",tbl_Finance[Xero Invoice No],LOOKUP(2,1/((tbl_Finance[Job Number]&amp;""=C292&amp;"")*(tbl_Finance[Xero Invoice No]&lt;&gt;"")),tbl_Finance[Xero Invoice No]))=COUNTIFS(tbl_Finance[Job Number],C292&amp;"",tbl_Finance[Xero Invoice No],"&lt;&gt;"),LOOKUP(2,1/((tbl_Finance[Job Number]&amp;""=C292&amp;"")*(tbl_Finance[Xero Invoice No]&lt;&gt;"")),tbl_Finance[Xero Invoice No]),LOOKUP(2,1/((tbl_Finance[Job Number]&amp;""=C292&amp;"")*(tbl_Finance[Xero Invoice No]&lt;&gt;"")),tbl_Finance[Xero Invoice No])&amp;" +more"),"")))</f>
        <v/>
      </c>
      <c r="C292" s="24" t="n"/>
      <c r="D292" s="25">
        <f>IF(C292="","",IF(COUNTIF(lst_Jobs,C292&amp;"")&gt;0,"OK","CHECK"))</f>
        <v/>
      </c>
      <c r="E292" s="25">
        <f>IF(C292="","",IFERROR(INDEX(lst_JobName,MATCH(C292&amp;"",lst_Jobs,0)),""))</f>
        <v/>
      </c>
      <c r="F292" s="25">
        <f>IF(C292="","",IFERROR(INDEX(tbl_Finance[Client],IFERROR(MATCH(C292&amp;"",tbl_Finance[Job Number],0),MATCH(IFERROR(C292+0,C292),tbl_Finance[Job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6" t="n"/>
      <c r="L292" s="27">
        <f>IF(C292="","",IF(K292="",0,MAX(0,K292-H292)))</f>
        <v/>
      </c>
      <c r="M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N292" s="24" t="n"/>
      <c r="O292" s="25">
        <f>IF(N292="","",HYPERLINK(IF(LEFT(N292,4)="http",N292,set_QwilrBase&amp;N292),"Open quote"))</f>
        <v/>
      </c>
      <c r="P292" s="26" t="n"/>
      <c r="Q292" s="26" t="n"/>
      <c r="R292" s="26" t="n"/>
      <c r="S292" s="25">
        <f>IF(C292="","",IF(N(P292)+N(Q292)+N(R292)=0,"Not split",IF(ROUND(N(P292)+N(Q292)+N(R292),2)=ROUND(H292+L292,2),"OK",IF(G292=0,"Not invoiced yet","MISMATCH"))))</f>
        <v/>
      </c>
      <c r="T292" s="26" t="n"/>
      <c r="U292" s="26" t="n"/>
      <c r="V292" s="26" t="n"/>
      <c r="W292" s="27">
        <f>IF(C292="","",N(T292)+N(U292)+N(V292))</f>
        <v/>
      </c>
      <c r="X292" s="27">
        <f>IF(C292="","",H292+L292-W292)</f>
        <v/>
      </c>
      <c r="Y292" s="29">
        <f>IFERROR(X292/(H292+L292),"")</f>
        <v/>
      </c>
      <c r="Z292" s="24" t="n"/>
    </row>
    <row r="293" ht="15" customHeight="1">
      <c r="A293" s="70">
        <f>IF(C293="","",IFERROR(IF(SUMPRODUCT(MAX((tbl_Finance[Job Number]&amp;""=C293&amp;"")*(tbl_Finance[Xero Invoice No]&lt;&gt;"")*tbl_Finance[Date]))=0,"",SUMPRODUCT(MAX((tbl_Finance[Job Number]&amp;""=C293&amp;"")*(tbl_Finance[Xero Invoice No]&lt;&gt;"")*tbl_Finance[Date]))),""))</f>
        <v/>
      </c>
      <c r="B293" s="25">
        <f>IF(C293="","",IF(COUNTIFS(tbl_Finance[Job Number],C293&amp;"",tbl_Finance[Xero Invoice No],"&lt;&gt;")=0,"",IFERROR(IF(COUNTIFS(tbl_Finance[Job Number],C293&amp;"",tbl_Finance[Xero Invoice No],LOOKUP(2,1/((tbl_Finance[Job Number]&amp;""=C293&amp;"")*(tbl_Finance[Xero Invoice No]&lt;&gt;"")),tbl_Finance[Xero Invoice No]))=COUNTIFS(tbl_Finance[Job Number],C293&amp;"",tbl_Finance[Xero Invoice No],"&lt;&gt;"),LOOKUP(2,1/((tbl_Finance[Job Number]&amp;""=C293&amp;"")*(tbl_Finance[Xero Invoice No]&lt;&gt;"")),tbl_Finance[Xero Invoice No]),LOOKUP(2,1/((tbl_Finance[Job Number]&amp;""=C293&amp;"")*(tbl_Finance[Xero Invoice No]&lt;&gt;"")),tbl_Finance[Xero Invoice No])&amp;" +more"),"")))</f>
        <v/>
      </c>
      <c r="C293" s="24" t="n"/>
      <c r="D293" s="25">
        <f>IF(C293="","",IF(COUNTIF(lst_Jobs,C293&amp;"")&gt;0,"OK","CHECK"))</f>
        <v/>
      </c>
      <c r="E293" s="25">
        <f>IF(C293="","",IFERROR(INDEX(lst_JobName,MATCH(C293&amp;"",lst_Jobs,0)),""))</f>
        <v/>
      </c>
      <c r="F293" s="25">
        <f>IF(C293="","",IFERROR(INDEX(tbl_Finance[Client],IFERROR(MATCH(C293&amp;"",tbl_Finance[Job Number],0),MATCH(IFERROR(C293+0,C293),tbl_Finance[Job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6" t="n"/>
      <c r="L293" s="27">
        <f>IF(C293="","",IF(K293="",0,MAX(0,K293-H293)))</f>
        <v/>
      </c>
      <c r="M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N293" s="24" t="n"/>
      <c r="O293" s="25">
        <f>IF(N293="","",HYPERLINK(IF(LEFT(N293,4)="http",N293,set_QwilrBase&amp;N293),"Open quote"))</f>
        <v/>
      </c>
      <c r="P293" s="26" t="n"/>
      <c r="Q293" s="26" t="n"/>
      <c r="R293" s="26" t="n"/>
      <c r="S293" s="25">
        <f>IF(C293="","",IF(N(P293)+N(Q293)+N(R293)=0,"Not split",IF(ROUND(N(P293)+N(Q293)+N(R293),2)=ROUND(H293+L293,2),"OK",IF(G293=0,"Not invoiced yet","MISMATCH"))))</f>
        <v/>
      </c>
      <c r="T293" s="26" t="n"/>
      <c r="U293" s="26" t="n"/>
      <c r="V293" s="26" t="n"/>
      <c r="W293" s="27">
        <f>IF(C293="","",N(T293)+N(U293)+N(V293))</f>
        <v/>
      </c>
      <c r="X293" s="27">
        <f>IF(C293="","",H293+L293-W293)</f>
        <v/>
      </c>
      <c r="Y293" s="29">
        <f>IFERROR(X293/(H293+L293),"")</f>
        <v/>
      </c>
      <c r="Z293" s="24" t="n"/>
    </row>
    <row r="294" ht="15" customHeight="1">
      <c r="A294" s="70">
        <f>IF(C294="","",IFERROR(IF(SUMPRODUCT(MAX((tbl_Finance[Job Number]&amp;""=C294&amp;"")*(tbl_Finance[Xero Invoice No]&lt;&gt;"")*tbl_Finance[Date]))=0,"",SUMPRODUCT(MAX((tbl_Finance[Job Number]&amp;""=C294&amp;"")*(tbl_Finance[Xero Invoice No]&lt;&gt;"")*tbl_Finance[Date]))),""))</f>
        <v/>
      </c>
      <c r="B294" s="25">
        <f>IF(C294="","",IF(COUNTIFS(tbl_Finance[Job Number],C294&amp;"",tbl_Finance[Xero Invoice No],"&lt;&gt;")=0,"",IFERROR(IF(COUNTIFS(tbl_Finance[Job Number],C294&amp;"",tbl_Finance[Xero Invoice No],LOOKUP(2,1/((tbl_Finance[Job Number]&amp;""=C294&amp;"")*(tbl_Finance[Xero Invoice No]&lt;&gt;"")),tbl_Finance[Xero Invoice No]))=COUNTIFS(tbl_Finance[Job Number],C294&amp;"",tbl_Finance[Xero Invoice No],"&lt;&gt;"),LOOKUP(2,1/((tbl_Finance[Job Number]&amp;""=C294&amp;"")*(tbl_Finance[Xero Invoice No]&lt;&gt;"")),tbl_Finance[Xero Invoice No]),LOOKUP(2,1/((tbl_Finance[Job Number]&amp;""=C294&amp;"")*(tbl_Finance[Xero Invoice No]&lt;&gt;"")),tbl_Finance[Xero Invoice No])&amp;" +more"),"")))</f>
        <v/>
      </c>
      <c r="C294" s="24" t="n"/>
      <c r="D294" s="25">
        <f>IF(C294="","",IF(COUNTIF(lst_Jobs,C294&amp;"")&gt;0,"OK","CHECK"))</f>
        <v/>
      </c>
      <c r="E294" s="25">
        <f>IF(C294="","",IFERROR(INDEX(lst_JobName,MATCH(C294&amp;"",lst_Jobs,0)),""))</f>
        <v/>
      </c>
      <c r="F294" s="25">
        <f>IF(C294="","",IFERROR(INDEX(tbl_Finance[Client],IFERROR(MATCH(C294&amp;"",tbl_Finance[Job Number],0),MATCH(IFERROR(C294+0,C294),tbl_Finance[Job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6" t="n"/>
      <c r="L294" s="27">
        <f>IF(C294="","",IF(K294="",0,MAX(0,K294-H294)))</f>
        <v/>
      </c>
      <c r="M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N294" s="24" t="n"/>
      <c r="O294" s="25">
        <f>IF(N294="","",HYPERLINK(IF(LEFT(N294,4)="http",N294,set_QwilrBase&amp;N294),"Open quote"))</f>
        <v/>
      </c>
      <c r="P294" s="26" t="n"/>
      <c r="Q294" s="26" t="n"/>
      <c r="R294" s="26" t="n"/>
      <c r="S294" s="25">
        <f>IF(C294="","",IF(N(P294)+N(Q294)+N(R294)=0,"Not split",IF(ROUND(N(P294)+N(Q294)+N(R294),2)=ROUND(H294+L294,2),"OK",IF(G294=0,"Not invoiced yet","MISMATCH"))))</f>
        <v/>
      </c>
      <c r="T294" s="26" t="n"/>
      <c r="U294" s="26" t="n"/>
      <c r="V294" s="26" t="n"/>
      <c r="W294" s="27">
        <f>IF(C294="","",N(T294)+N(U294)+N(V294))</f>
        <v/>
      </c>
      <c r="X294" s="27">
        <f>IF(C294="","",H294+L294-W294)</f>
        <v/>
      </c>
      <c r="Y294" s="29">
        <f>IFERROR(X294/(H294+L294),"")</f>
        <v/>
      </c>
      <c r="Z294" s="24" t="n"/>
    </row>
    <row r="295" ht="15" customHeight="1">
      <c r="A295" s="70">
        <f>IF(C295="","",IFERROR(IF(SUMPRODUCT(MAX((tbl_Finance[Job Number]&amp;""=C295&amp;"")*(tbl_Finance[Xero Invoice No]&lt;&gt;"")*tbl_Finance[Date]))=0,"",SUMPRODUCT(MAX((tbl_Finance[Job Number]&amp;""=C295&amp;"")*(tbl_Finance[Xero Invoice No]&lt;&gt;"")*tbl_Finance[Date]))),""))</f>
        <v/>
      </c>
      <c r="B295" s="25">
        <f>IF(C295="","",IF(COUNTIFS(tbl_Finance[Job Number],C295&amp;"",tbl_Finance[Xero Invoice No],"&lt;&gt;")=0,"",IFERROR(IF(COUNTIFS(tbl_Finance[Job Number],C295&amp;"",tbl_Finance[Xero Invoice No],LOOKUP(2,1/((tbl_Finance[Job Number]&amp;""=C295&amp;"")*(tbl_Finance[Xero Invoice No]&lt;&gt;"")),tbl_Finance[Xero Invoice No]))=COUNTIFS(tbl_Finance[Job Number],C295&amp;"",tbl_Finance[Xero Invoice No],"&lt;&gt;"),LOOKUP(2,1/((tbl_Finance[Job Number]&amp;""=C295&amp;"")*(tbl_Finance[Xero Invoice No]&lt;&gt;"")),tbl_Finance[Xero Invoice No]),LOOKUP(2,1/((tbl_Finance[Job Number]&amp;""=C295&amp;"")*(tbl_Finance[Xero Invoice No]&lt;&gt;"")),tbl_Finance[Xero Invoice No])&amp;" +more"),"")))</f>
        <v/>
      </c>
      <c r="C295" s="24" t="n"/>
      <c r="D295" s="25">
        <f>IF(C295="","",IF(COUNTIF(lst_Jobs,C295&amp;"")&gt;0,"OK","CHECK"))</f>
        <v/>
      </c>
      <c r="E295" s="25">
        <f>IF(C295="","",IFERROR(INDEX(lst_JobName,MATCH(C295&amp;"",lst_Jobs,0)),""))</f>
        <v/>
      </c>
      <c r="F295" s="25">
        <f>IF(C295="","",IFERROR(INDEX(tbl_Finance[Client],IFERROR(MATCH(C295&amp;"",tbl_Finance[Job Number],0),MATCH(IFERROR(C295+0,C295),tbl_Finance[Job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6" t="n"/>
      <c r="L295" s="27">
        <f>IF(C295="","",IF(K295="",0,MAX(0,K295-H295)))</f>
        <v/>
      </c>
      <c r="M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N295" s="24" t="n"/>
      <c r="O295" s="25">
        <f>IF(N295="","",HYPERLINK(IF(LEFT(N295,4)="http",N295,set_QwilrBase&amp;N295),"Open quote"))</f>
        <v/>
      </c>
      <c r="P295" s="26" t="n"/>
      <c r="Q295" s="26" t="n"/>
      <c r="R295" s="26" t="n"/>
      <c r="S295" s="25">
        <f>IF(C295="","",IF(N(P295)+N(Q295)+N(R295)=0,"Not split",IF(ROUND(N(P295)+N(Q295)+N(R295),2)=ROUND(H295+L295,2),"OK",IF(G295=0,"Not invoiced yet","MISMATCH"))))</f>
        <v/>
      </c>
      <c r="T295" s="26" t="n"/>
      <c r="U295" s="26" t="n"/>
      <c r="V295" s="26" t="n"/>
      <c r="W295" s="27">
        <f>IF(C295="","",N(T295)+N(U295)+N(V295))</f>
        <v/>
      </c>
      <c r="X295" s="27">
        <f>IF(C295="","",H295+L295-W295)</f>
        <v/>
      </c>
      <c r="Y295" s="29">
        <f>IFERROR(X295/(H295+L295),"")</f>
        <v/>
      </c>
      <c r="Z295" s="24" t="n"/>
    </row>
    <row r="296" ht="15" customHeight="1">
      <c r="A296" s="70">
        <f>IF(C296="","",IFERROR(IF(SUMPRODUCT(MAX((tbl_Finance[Job Number]&amp;""=C296&amp;"")*(tbl_Finance[Xero Invoice No]&lt;&gt;"")*tbl_Finance[Date]))=0,"",SUMPRODUCT(MAX((tbl_Finance[Job Number]&amp;""=C296&amp;"")*(tbl_Finance[Xero Invoice No]&lt;&gt;"")*tbl_Finance[Date]))),""))</f>
        <v/>
      </c>
      <c r="B296" s="25">
        <f>IF(C296="","",IF(COUNTIFS(tbl_Finance[Job Number],C296&amp;"",tbl_Finance[Xero Invoice No],"&lt;&gt;")=0,"",IFERROR(IF(COUNTIFS(tbl_Finance[Job Number],C296&amp;"",tbl_Finance[Xero Invoice No],LOOKUP(2,1/((tbl_Finance[Job Number]&amp;""=C296&amp;"")*(tbl_Finance[Xero Invoice No]&lt;&gt;"")),tbl_Finance[Xero Invoice No]))=COUNTIFS(tbl_Finance[Job Number],C296&amp;"",tbl_Finance[Xero Invoice No],"&lt;&gt;"),LOOKUP(2,1/((tbl_Finance[Job Number]&amp;""=C296&amp;"")*(tbl_Finance[Xero Invoice No]&lt;&gt;"")),tbl_Finance[Xero Invoice No]),LOOKUP(2,1/((tbl_Finance[Job Number]&amp;""=C296&amp;"")*(tbl_Finance[Xero Invoice No]&lt;&gt;"")),tbl_Finance[Xero Invoice No])&amp;" +more"),"")))</f>
        <v/>
      </c>
      <c r="C296" s="24" t="n"/>
      <c r="D296" s="25">
        <f>IF(C296="","",IF(COUNTIF(lst_Jobs,C296&amp;"")&gt;0,"OK","CHECK"))</f>
        <v/>
      </c>
      <c r="E296" s="25">
        <f>IF(C296="","",IFERROR(INDEX(lst_JobName,MATCH(C296&amp;"",lst_Jobs,0)),""))</f>
        <v/>
      </c>
      <c r="F296" s="25">
        <f>IF(C296="","",IFERROR(INDEX(tbl_Finance[Client],IFERROR(MATCH(C296&amp;"",tbl_Finance[Job Number],0),MATCH(IFERROR(C296+0,C296),tbl_Finance[Job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6" t="n"/>
      <c r="L296" s="27">
        <f>IF(C296="","",IF(K296="",0,MAX(0,K296-H296)))</f>
        <v/>
      </c>
      <c r="M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N296" s="24" t="n"/>
      <c r="O296" s="25">
        <f>IF(N296="","",HYPERLINK(IF(LEFT(N296,4)="http",N296,set_QwilrBase&amp;N296),"Open quote"))</f>
        <v/>
      </c>
      <c r="P296" s="26" t="n"/>
      <c r="Q296" s="26" t="n"/>
      <c r="R296" s="26" t="n"/>
      <c r="S296" s="25">
        <f>IF(C296="","",IF(N(P296)+N(Q296)+N(R296)=0,"Not split",IF(ROUND(N(P296)+N(Q296)+N(R296),2)=ROUND(H296+L296,2),"OK",IF(G296=0,"Not invoiced yet","MISMATCH"))))</f>
        <v/>
      </c>
      <c r="T296" s="26" t="n"/>
      <c r="U296" s="26" t="n"/>
      <c r="V296" s="26" t="n"/>
      <c r="W296" s="27">
        <f>IF(C296="","",N(T296)+N(U296)+N(V296))</f>
        <v/>
      </c>
      <c r="X296" s="27">
        <f>IF(C296="","",H296+L296-W296)</f>
        <v/>
      </c>
      <c r="Y296" s="29">
        <f>IFERROR(X296/(H296+L296),"")</f>
        <v/>
      </c>
      <c r="Z296" s="24" t="n"/>
    </row>
    <row r="297" ht="15" customHeight="1">
      <c r="A297" s="70">
        <f>IF(C297="","",IFERROR(IF(SUMPRODUCT(MAX((tbl_Finance[Job Number]&amp;""=C297&amp;"")*(tbl_Finance[Xero Invoice No]&lt;&gt;"")*tbl_Finance[Date]))=0,"",SUMPRODUCT(MAX((tbl_Finance[Job Number]&amp;""=C297&amp;"")*(tbl_Finance[Xero Invoice No]&lt;&gt;"")*tbl_Finance[Date]))),""))</f>
        <v/>
      </c>
      <c r="B297" s="25">
        <f>IF(C297="","",IF(COUNTIFS(tbl_Finance[Job Number],C297&amp;"",tbl_Finance[Xero Invoice No],"&lt;&gt;")=0,"",IFERROR(IF(COUNTIFS(tbl_Finance[Job Number],C297&amp;"",tbl_Finance[Xero Invoice No],LOOKUP(2,1/((tbl_Finance[Job Number]&amp;""=C297&amp;"")*(tbl_Finance[Xero Invoice No]&lt;&gt;"")),tbl_Finance[Xero Invoice No]))=COUNTIFS(tbl_Finance[Job Number],C297&amp;"",tbl_Finance[Xero Invoice No],"&lt;&gt;"),LOOKUP(2,1/((tbl_Finance[Job Number]&amp;""=C297&amp;"")*(tbl_Finance[Xero Invoice No]&lt;&gt;"")),tbl_Finance[Xero Invoice No]),LOOKUP(2,1/((tbl_Finance[Job Number]&amp;""=C297&amp;"")*(tbl_Finance[Xero Invoice No]&lt;&gt;"")),tbl_Finance[Xero Invoice No])&amp;" +more"),"")))</f>
        <v/>
      </c>
      <c r="C297" s="24" t="n"/>
      <c r="D297" s="25">
        <f>IF(C297="","",IF(COUNTIF(lst_Jobs,C297&amp;"")&gt;0,"OK","CHECK"))</f>
        <v/>
      </c>
      <c r="E297" s="25">
        <f>IF(C297="","",IFERROR(INDEX(lst_JobName,MATCH(C297&amp;"",lst_Jobs,0)),""))</f>
        <v/>
      </c>
      <c r="F297" s="25">
        <f>IF(C297="","",IFERROR(INDEX(tbl_Finance[Client],IFERROR(MATCH(C297&amp;"",tbl_Finance[Job Number],0),MATCH(IFERROR(C297+0,C297),tbl_Finance[Job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6" t="n"/>
      <c r="L297" s="27">
        <f>IF(C297="","",IF(K297="",0,MAX(0,K297-H297)))</f>
        <v/>
      </c>
      <c r="M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N297" s="24" t="n"/>
      <c r="O297" s="25">
        <f>IF(N297="","",HYPERLINK(IF(LEFT(N297,4)="http",N297,set_QwilrBase&amp;N297),"Open quote"))</f>
        <v/>
      </c>
      <c r="P297" s="26" t="n"/>
      <c r="Q297" s="26" t="n"/>
      <c r="R297" s="26" t="n"/>
      <c r="S297" s="25">
        <f>IF(C297="","",IF(N(P297)+N(Q297)+N(R297)=0,"Not split",IF(ROUND(N(P297)+N(Q297)+N(R297),2)=ROUND(H297+L297,2),"OK",IF(G297=0,"Not invoiced yet","MISMATCH"))))</f>
        <v/>
      </c>
      <c r="T297" s="26" t="n"/>
      <c r="U297" s="26" t="n"/>
      <c r="V297" s="26" t="n"/>
      <c r="W297" s="27">
        <f>IF(C297="","",N(T297)+N(U297)+N(V297))</f>
        <v/>
      </c>
      <c r="X297" s="27">
        <f>IF(C297="","",H297+L297-W297)</f>
        <v/>
      </c>
      <c r="Y297" s="29">
        <f>IFERROR(X297/(H297+L297),"")</f>
        <v/>
      </c>
      <c r="Z297" s="24" t="n"/>
    </row>
    <row r="298" ht="15" customHeight="1">
      <c r="A298" s="70">
        <f>IF(C298="","",IFERROR(IF(SUMPRODUCT(MAX((tbl_Finance[Job Number]&amp;""=C298&amp;"")*(tbl_Finance[Xero Invoice No]&lt;&gt;"")*tbl_Finance[Date]))=0,"",SUMPRODUCT(MAX((tbl_Finance[Job Number]&amp;""=C298&amp;"")*(tbl_Finance[Xero Invoice No]&lt;&gt;"")*tbl_Finance[Date]))),""))</f>
        <v/>
      </c>
      <c r="B298" s="25">
        <f>IF(C298="","",IF(COUNTIFS(tbl_Finance[Job Number],C298&amp;"",tbl_Finance[Xero Invoice No],"&lt;&gt;")=0,"",IFERROR(IF(COUNTIFS(tbl_Finance[Job Number],C298&amp;"",tbl_Finance[Xero Invoice No],LOOKUP(2,1/((tbl_Finance[Job Number]&amp;""=C298&amp;"")*(tbl_Finance[Xero Invoice No]&lt;&gt;"")),tbl_Finance[Xero Invoice No]))=COUNTIFS(tbl_Finance[Job Number],C298&amp;"",tbl_Finance[Xero Invoice No],"&lt;&gt;"),LOOKUP(2,1/((tbl_Finance[Job Number]&amp;""=C298&amp;"")*(tbl_Finance[Xero Invoice No]&lt;&gt;"")),tbl_Finance[Xero Invoice No]),LOOKUP(2,1/((tbl_Finance[Job Number]&amp;""=C298&amp;"")*(tbl_Finance[Xero Invoice No]&lt;&gt;"")),tbl_Finance[Xero Invoice No])&amp;" +more"),"")))</f>
        <v/>
      </c>
      <c r="C298" s="24" t="n"/>
      <c r="D298" s="25">
        <f>IF(C298="","",IF(COUNTIF(lst_Jobs,C298&amp;"")&gt;0,"OK","CHECK"))</f>
        <v/>
      </c>
      <c r="E298" s="25">
        <f>IF(C298="","",IFERROR(INDEX(lst_JobName,MATCH(C298&amp;"",lst_Jobs,0)),""))</f>
        <v/>
      </c>
      <c r="F298" s="25">
        <f>IF(C298="","",IFERROR(INDEX(tbl_Finance[Client],IFERROR(MATCH(C298&amp;"",tbl_Finance[Job Number],0),MATCH(IFERROR(C298+0,C298),tbl_Finance[Job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6" t="n"/>
      <c r="L298" s="27">
        <f>IF(C298="","",IF(K298="",0,MAX(0,K298-H298)))</f>
        <v/>
      </c>
      <c r="M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N298" s="24" t="n"/>
      <c r="O298" s="25">
        <f>IF(N298="","",HYPERLINK(IF(LEFT(N298,4)="http",N298,set_QwilrBase&amp;N298),"Open quote"))</f>
        <v/>
      </c>
      <c r="P298" s="26" t="n"/>
      <c r="Q298" s="26" t="n"/>
      <c r="R298" s="26" t="n"/>
      <c r="S298" s="25">
        <f>IF(C298="","",IF(N(P298)+N(Q298)+N(R298)=0,"Not split",IF(ROUND(N(P298)+N(Q298)+N(R298),2)=ROUND(H298+L298,2),"OK",IF(G298=0,"Not invoiced yet","MISMATCH"))))</f>
        <v/>
      </c>
      <c r="T298" s="26" t="n"/>
      <c r="U298" s="26" t="n"/>
      <c r="V298" s="26" t="n"/>
      <c r="W298" s="27">
        <f>IF(C298="","",N(T298)+N(U298)+N(V298))</f>
        <v/>
      </c>
      <c r="X298" s="27">
        <f>IF(C298="","",H298+L298-W298)</f>
        <v/>
      </c>
      <c r="Y298" s="29">
        <f>IFERROR(X298/(H298+L298),"")</f>
        <v/>
      </c>
      <c r="Z298" s="24" t="n"/>
    </row>
    <row r="299" ht="15" customHeight="1">
      <c r="A299" s="70">
        <f>IF(C299="","",IFERROR(IF(SUMPRODUCT(MAX((tbl_Finance[Job Number]&amp;""=C299&amp;"")*(tbl_Finance[Xero Invoice No]&lt;&gt;"")*tbl_Finance[Date]))=0,"",SUMPRODUCT(MAX((tbl_Finance[Job Number]&amp;""=C299&amp;"")*(tbl_Finance[Xero Invoice No]&lt;&gt;"")*tbl_Finance[Date]))),""))</f>
        <v/>
      </c>
      <c r="B299" s="25">
        <f>IF(C299="","",IF(COUNTIFS(tbl_Finance[Job Number],C299&amp;"",tbl_Finance[Xero Invoice No],"&lt;&gt;")=0,"",IFERROR(IF(COUNTIFS(tbl_Finance[Job Number],C299&amp;"",tbl_Finance[Xero Invoice No],LOOKUP(2,1/((tbl_Finance[Job Number]&amp;""=C299&amp;"")*(tbl_Finance[Xero Invoice No]&lt;&gt;"")),tbl_Finance[Xero Invoice No]))=COUNTIFS(tbl_Finance[Job Number],C299&amp;"",tbl_Finance[Xero Invoice No],"&lt;&gt;"),LOOKUP(2,1/((tbl_Finance[Job Number]&amp;""=C299&amp;"")*(tbl_Finance[Xero Invoice No]&lt;&gt;"")),tbl_Finance[Xero Invoice No]),LOOKUP(2,1/((tbl_Finance[Job Number]&amp;""=C299&amp;"")*(tbl_Finance[Xero Invoice No]&lt;&gt;"")),tbl_Finance[Xero Invoice No])&amp;" +more"),"")))</f>
        <v/>
      </c>
      <c r="C299" s="24" t="n"/>
      <c r="D299" s="25">
        <f>IF(C299="","",IF(COUNTIF(lst_Jobs,C299&amp;"")&gt;0,"OK","CHECK"))</f>
        <v/>
      </c>
      <c r="E299" s="25">
        <f>IF(C299="","",IFERROR(INDEX(lst_JobName,MATCH(C299&amp;"",lst_Jobs,0)),""))</f>
        <v/>
      </c>
      <c r="F299" s="25">
        <f>IF(C299="","",IFERROR(INDEX(tbl_Finance[Client],IFERROR(MATCH(C299&amp;"",tbl_Finance[Job Number],0),MATCH(IFERROR(C299+0,C299),tbl_Finance[Job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6" t="n"/>
      <c r="L299" s="27">
        <f>IF(C299="","",IF(K299="",0,MAX(0,K299-H299)))</f>
        <v/>
      </c>
      <c r="M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N299" s="24" t="n"/>
      <c r="O299" s="25">
        <f>IF(N299="","",HYPERLINK(IF(LEFT(N299,4)="http",N299,set_QwilrBase&amp;N299),"Open quote"))</f>
        <v/>
      </c>
      <c r="P299" s="26" t="n"/>
      <c r="Q299" s="26" t="n"/>
      <c r="R299" s="26" t="n"/>
      <c r="S299" s="25">
        <f>IF(C299="","",IF(N(P299)+N(Q299)+N(R299)=0,"Not split",IF(ROUND(N(P299)+N(Q299)+N(R299),2)=ROUND(H299+L299,2),"OK",IF(G299=0,"Not invoiced yet","MISMATCH"))))</f>
        <v/>
      </c>
      <c r="T299" s="26" t="n"/>
      <c r="U299" s="26" t="n"/>
      <c r="V299" s="26" t="n"/>
      <c r="W299" s="27">
        <f>IF(C299="","",N(T299)+N(U299)+N(V299))</f>
        <v/>
      </c>
      <c r="X299" s="27">
        <f>IF(C299="","",H299+L299-W299)</f>
        <v/>
      </c>
      <c r="Y299" s="29">
        <f>IFERROR(X299/(H299+L299),"")</f>
        <v/>
      </c>
      <c r="Z299" s="24" t="n"/>
    </row>
    <row r="300" ht="15" customHeight="1">
      <c r="A300" s="70">
        <f>IF(C300="","",IFERROR(IF(SUMPRODUCT(MAX((tbl_Finance[Job Number]&amp;""=C300&amp;"")*(tbl_Finance[Xero Invoice No]&lt;&gt;"")*tbl_Finance[Date]))=0,"",SUMPRODUCT(MAX((tbl_Finance[Job Number]&amp;""=C300&amp;"")*(tbl_Finance[Xero Invoice No]&lt;&gt;"")*tbl_Finance[Date]))),""))</f>
        <v/>
      </c>
      <c r="B300" s="25">
        <f>IF(C300="","",IF(COUNTIFS(tbl_Finance[Job Number],C300&amp;"",tbl_Finance[Xero Invoice No],"&lt;&gt;")=0,"",IFERROR(IF(COUNTIFS(tbl_Finance[Job Number],C300&amp;"",tbl_Finance[Xero Invoice No],LOOKUP(2,1/((tbl_Finance[Job Number]&amp;""=C300&amp;"")*(tbl_Finance[Xero Invoice No]&lt;&gt;"")),tbl_Finance[Xero Invoice No]))=COUNTIFS(tbl_Finance[Job Number],C300&amp;"",tbl_Finance[Xero Invoice No],"&lt;&gt;"),LOOKUP(2,1/((tbl_Finance[Job Number]&amp;""=C300&amp;"")*(tbl_Finance[Xero Invoice No]&lt;&gt;"")),tbl_Finance[Xero Invoice No]),LOOKUP(2,1/((tbl_Finance[Job Number]&amp;""=C300&amp;"")*(tbl_Finance[Xero Invoice No]&lt;&gt;"")),tbl_Finance[Xero Invoice No])&amp;" +more"),"")))</f>
        <v/>
      </c>
      <c r="C300" s="24" t="n"/>
      <c r="D300" s="25">
        <f>IF(C300="","",IF(COUNTIF(lst_Jobs,C300&amp;"")&gt;0,"OK","CHECK"))</f>
        <v/>
      </c>
      <c r="E300" s="25">
        <f>IF(C300="","",IFERROR(INDEX(lst_JobName,MATCH(C300&amp;"",lst_Jobs,0)),""))</f>
        <v/>
      </c>
      <c r="F300" s="25">
        <f>IF(C300="","",IFERROR(INDEX(tbl_Finance[Client],IFERROR(MATCH(C300&amp;"",tbl_Finance[Job Number],0),MATCH(IFERROR(C300+0,C300),tbl_Finance[Job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6" t="n"/>
      <c r="L300" s="27">
        <f>IF(C300="","",IF(K300="",0,MAX(0,K300-H300)))</f>
        <v/>
      </c>
      <c r="M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N300" s="24" t="n"/>
      <c r="O300" s="25">
        <f>IF(N300="","",HYPERLINK(IF(LEFT(N300,4)="http",N300,set_QwilrBase&amp;N300),"Open quote"))</f>
        <v/>
      </c>
      <c r="P300" s="26" t="n"/>
      <c r="Q300" s="26" t="n"/>
      <c r="R300" s="26" t="n"/>
      <c r="S300" s="25">
        <f>IF(C300="","",IF(N(P300)+N(Q300)+N(R300)=0,"Not split",IF(ROUND(N(P300)+N(Q300)+N(R300),2)=ROUND(H300+L300,2),"OK",IF(G300=0,"Not invoiced yet","MISMATCH"))))</f>
        <v/>
      </c>
      <c r="T300" s="26" t="n"/>
      <c r="U300" s="26" t="n"/>
      <c r="V300" s="26" t="n"/>
      <c r="W300" s="27">
        <f>IF(C300="","",N(T300)+N(U300)+N(V300))</f>
        <v/>
      </c>
      <c r="X300" s="27">
        <f>IF(C300="","",H300+L300-W300)</f>
        <v/>
      </c>
      <c r="Y300" s="29">
        <f>IFERROR(X300/(H300+L300),"")</f>
        <v/>
      </c>
      <c r="Z300" s="24" t="n"/>
    </row>
    <row r="301" ht="15" customHeight="1">
      <c r="A301" s="70">
        <f>IF(C301="","",IFERROR(IF(SUMPRODUCT(MAX((tbl_Finance[Job Number]&amp;""=C301&amp;"")*(tbl_Finance[Xero Invoice No]&lt;&gt;"")*tbl_Finance[Date]))=0,"",SUMPRODUCT(MAX((tbl_Finance[Job Number]&amp;""=C301&amp;"")*(tbl_Finance[Xero Invoice No]&lt;&gt;"")*tbl_Finance[Date]))),""))</f>
        <v/>
      </c>
      <c r="B301" s="25">
        <f>IF(C301="","",IF(COUNTIFS(tbl_Finance[Job Number],C301&amp;"",tbl_Finance[Xero Invoice No],"&lt;&gt;")=0,"",IFERROR(IF(COUNTIFS(tbl_Finance[Job Number],C301&amp;"",tbl_Finance[Xero Invoice No],LOOKUP(2,1/((tbl_Finance[Job Number]&amp;""=C301&amp;"")*(tbl_Finance[Xero Invoice No]&lt;&gt;"")),tbl_Finance[Xero Invoice No]))=COUNTIFS(tbl_Finance[Job Number],C301&amp;"",tbl_Finance[Xero Invoice No],"&lt;&gt;"),LOOKUP(2,1/((tbl_Finance[Job Number]&amp;""=C301&amp;"")*(tbl_Finance[Xero Invoice No]&lt;&gt;"")),tbl_Finance[Xero Invoice No]),LOOKUP(2,1/((tbl_Finance[Job Number]&amp;""=C301&amp;"")*(tbl_Finance[Xero Invoice No]&lt;&gt;"")),tbl_Finance[Xero Invoice No])&amp;" +more"),"")))</f>
        <v/>
      </c>
      <c r="C301" s="24" t="n"/>
      <c r="D301" s="25">
        <f>IF(C301="","",IF(COUNTIF(lst_Jobs,C301&amp;"")&gt;0,"OK","CHECK"))</f>
        <v/>
      </c>
      <c r="E301" s="25">
        <f>IF(C301="","",IFERROR(INDEX(lst_JobName,MATCH(C301&amp;"",lst_Jobs,0)),""))</f>
        <v/>
      </c>
      <c r="F301" s="25">
        <f>IF(C301="","",IFERROR(INDEX(tbl_Finance[Client],IFERROR(MATCH(C301&amp;"",tbl_Finance[Job Number],0),MATCH(IFERROR(C301+0,C301),tbl_Finance[Job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6" t="n"/>
      <c r="L301" s="27">
        <f>IF(C301="","",IF(K301="",0,MAX(0,K301-H301)))</f>
        <v/>
      </c>
      <c r="M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N301" s="24" t="n"/>
      <c r="O301" s="25">
        <f>IF(N301="","",HYPERLINK(IF(LEFT(N301,4)="http",N301,set_QwilrBase&amp;N301),"Open quote"))</f>
        <v/>
      </c>
      <c r="P301" s="26" t="n"/>
      <c r="Q301" s="26" t="n"/>
      <c r="R301" s="26" t="n"/>
      <c r="S301" s="25">
        <f>IF(C301="","",IF(N(P301)+N(Q301)+N(R301)=0,"Not split",IF(ROUND(N(P301)+N(Q301)+N(R301),2)=ROUND(H301+L301,2),"OK",IF(G301=0,"Not invoiced yet","MISMATCH"))))</f>
        <v/>
      </c>
      <c r="T301" s="26" t="n"/>
      <c r="U301" s="26" t="n"/>
      <c r="V301" s="26" t="n"/>
      <c r="W301" s="27">
        <f>IF(C301="","",N(T301)+N(U301)+N(V301))</f>
        <v/>
      </c>
      <c r="X301" s="27">
        <f>IF(C301="","",H301+L301-W301)</f>
        <v/>
      </c>
      <c r="Y301" s="29">
        <f>IFERROR(X301/(H301+L301),"")</f>
        <v/>
      </c>
      <c r="Z301" s="24" t="n"/>
    </row>
    <row r="302" ht="15" customHeight="1">
      <c r="A302" s="70">
        <f>IF(C302="","",IFERROR(IF(SUMPRODUCT(MAX((tbl_Finance[Job Number]&amp;""=C302&amp;"")*(tbl_Finance[Xero Invoice No]&lt;&gt;"")*tbl_Finance[Date]))=0,"",SUMPRODUCT(MAX((tbl_Finance[Job Number]&amp;""=C302&amp;"")*(tbl_Finance[Xero Invoice No]&lt;&gt;"")*tbl_Finance[Date]))),""))</f>
        <v/>
      </c>
      <c r="B302" s="25">
        <f>IF(C302="","",IF(COUNTIFS(tbl_Finance[Job Number],C302&amp;"",tbl_Finance[Xero Invoice No],"&lt;&gt;")=0,"",IFERROR(IF(COUNTIFS(tbl_Finance[Job Number],C302&amp;"",tbl_Finance[Xero Invoice No],LOOKUP(2,1/((tbl_Finance[Job Number]&amp;""=C302&amp;"")*(tbl_Finance[Xero Invoice No]&lt;&gt;"")),tbl_Finance[Xero Invoice No]))=COUNTIFS(tbl_Finance[Job Number],C302&amp;"",tbl_Finance[Xero Invoice No],"&lt;&gt;"),LOOKUP(2,1/((tbl_Finance[Job Number]&amp;""=C302&amp;"")*(tbl_Finance[Xero Invoice No]&lt;&gt;"")),tbl_Finance[Xero Invoice No]),LOOKUP(2,1/((tbl_Finance[Job Number]&amp;""=C302&amp;"")*(tbl_Finance[Xero Invoice No]&lt;&gt;"")),tbl_Finance[Xero Invoice No])&amp;" +more"),"")))</f>
        <v/>
      </c>
      <c r="C302" s="24" t="n"/>
      <c r="D302" s="25">
        <f>IF(C302="","",IF(COUNTIF(lst_Jobs,C302&amp;"")&gt;0,"OK","CHECK"))</f>
        <v/>
      </c>
      <c r="E302" s="25">
        <f>IF(C302="","",IFERROR(INDEX(lst_JobName,MATCH(C302&amp;"",lst_Jobs,0)),""))</f>
        <v/>
      </c>
      <c r="F302" s="25">
        <f>IF(C302="","",IFERROR(INDEX(tbl_Finance[Client],IFERROR(MATCH(C302&amp;"",tbl_Finance[Job Number],0),MATCH(IFERROR(C302+0,C302),tbl_Finance[Job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6" t="n"/>
      <c r="L302" s="27">
        <f>IF(C302="","",IF(K302="",0,MAX(0,K302-H302)))</f>
        <v/>
      </c>
      <c r="M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N302" s="24" t="n"/>
      <c r="O302" s="25">
        <f>IF(N302="","",HYPERLINK(IF(LEFT(N302,4)="http",N302,set_QwilrBase&amp;N302),"Open quote"))</f>
        <v/>
      </c>
      <c r="P302" s="26" t="n"/>
      <c r="Q302" s="26" t="n"/>
      <c r="R302" s="26" t="n"/>
      <c r="S302" s="25">
        <f>IF(C302="","",IF(N(P302)+N(Q302)+N(R302)=0,"Not split",IF(ROUND(N(P302)+N(Q302)+N(R302),2)=ROUND(H302+L302,2),"OK",IF(G302=0,"Not invoiced yet","MISMATCH"))))</f>
        <v/>
      </c>
      <c r="T302" s="26" t="n"/>
      <c r="U302" s="26" t="n"/>
      <c r="V302" s="26" t="n"/>
      <c r="W302" s="27">
        <f>IF(C302="","",N(T302)+N(U302)+N(V302))</f>
        <v/>
      </c>
      <c r="X302" s="27">
        <f>IF(C302="","",H302+L302-W302)</f>
        <v/>
      </c>
      <c r="Y302" s="29">
        <f>IFERROR(X302/(H302+L302),"")</f>
        <v/>
      </c>
      <c r="Z302" s="24" t="n"/>
    </row>
    <row r="303" ht="15" customHeight="1">
      <c r="A303" s="70">
        <f>IF(C303="","",IFERROR(IF(SUMPRODUCT(MAX((tbl_Finance[Job Number]&amp;""=C303&amp;"")*(tbl_Finance[Xero Invoice No]&lt;&gt;"")*tbl_Finance[Date]))=0,"",SUMPRODUCT(MAX((tbl_Finance[Job Number]&amp;""=C303&amp;"")*(tbl_Finance[Xero Invoice No]&lt;&gt;"")*tbl_Finance[Date]))),""))</f>
        <v/>
      </c>
      <c r="B303" s="25">
        <f>IF(C303="","",IF(COUNTIFS(tbl_Finance[Job Number],C303&amp;"",tbl_Finance[Xero Invoice No],"&lt;&gt;")=0,"",IFERROR(IF(COUNTIFS(tbl_Finance[Job Number],C303&amp;"",tbl_Finance[Xero Invoice No],LOOKUP(2,1/((tbl_Finance[Job Number]&amp;""=C303&amp;"")*(tbl_Finance[Xero Invoice No]&lt;&gt;"")),tbl_Finance[Xero Invoice No]))=COUNTIFS(tbl_Finance[Job Number],C303&amp;"",tbl_Finance[Xero Invoice No],"&lt;&gt;"),LOOKUP(2,1/((tbl_Finance[Job Number]&amp;""=C303&amp;"")*(tbl_Finance[Xero Invoice No]&lt;&gt;"")),tbl_Finance[Xero Invoice No]),LOOKUP(2,1/((tbl_Finance[Job Number]&amp;""=C303&amp;"")*(tbl_Finance[Xero Invoice No]&lt;&gt;"")),tbl_Finance[Xero Invoice No])&amp;" +more"),"")))</f>
        <v/>
      </c>
      <c r="C303" s="24" t="n"/>
      <c r="D303" s="25">
        <f>IF(C303="","",IF(COUNTIF(lst_Jobs,C303&amp;"")&gt;0,"OK","CHECK"))</f>
        <v/>
      </c>
      <c r="E303" s="25">
        <f>IF(C303="","",IFERROR(INDEX(lst_JobName,MATCH(C303&amp;"",lst_Jobs,0)),""))</f>
        <v/>
      </c>
      <c r="F303" s="25">
        <f>IF(C303="","",IFERROR(INDEX(tbl_Finance[Client],IFERROR(MATCH(C303&amp;"",tbl_Finance[Job Number],0),MATCH(IFERROR(C303+0,C303),tbl_Finance[Job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6" t="n"/>
      <c r="L303" s="27">
        <f>IF(C303="","",IF(K303="",0,MAX(0,K303-H303)))</f>
        <v/>
      </c>
      <c r="M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N303" s="24" t="n"/>
      <c r="O303" s="25">
        <f>IF(N303="","",HYPERLINK(IF(LEFT(N303,4)="http",N303,set_QwilrBase&amp;N303),"Open quote"))</f>
        <v/>
      </c>
      <c r="P303" s="26" t="n"/>
      <c r="Q303" s="26" t="n"/>
      <c r="R303" s="26" t="n"/>
      <c r="S303" s="25">
        <f>IF(C303="","",IF(N(P303)+N(Q303)+N(R303)=0,"Not split",IF(ROUND(N(P303)+N(Q303)+N(R303),2)=ROUND(H303+L303,2),"OK",IF(G303=0,"Not invoiced yet","MISMATCH"))))</f>
        <v/>
      </c>
      <c r="T303" s="26" t="n"/>
      <c r="U303" s="26" t="n"/>
      <c r="V303" s="26" t="n"/>
      <c r="W303" s="27">
        <f>IF(C303="","",N(T303)+N(U303)+N(V303))</f>
        <v/>
      </c>
      <c r="X303" s="27">
        <f>IF(C303="","",H303+L303-W303)</f>
        <v/>
      </c>
      <c r="Y303" s="29">
        <f>IFERROR(X303/(H303+L303),"")</f>
        <v/>
      </c>
      <c r="Z303" s="24" t="n"/>
    </row>
    <row r="304" ht="15" customHeight="1">
      <c r="A304" s="70">
        <f>IF(C304="","",IFERROR(IF(SUMPRODUCT(MAX((tbl_Finance[Job Number]&amp;""=C304&amp;"")*(tbl_Finance[Xero Invoice No]&lt;&gt;"")*tbl_Finance[Date]))=0,"",SUMPRODUCT(MAX((tbl_Finance[Job Number]&amp;""=C304&amp;"")*(tbl_Finance[Xero Invoice No]&lt;&gt;"")*tbl_Finance[Date]))),""))</f>
        <v/>
      </c>
      <c r="B304" s="25">
        <f>IF(C304="","",IF(COUNTIFS(tbl_Finance[Job Number],C304&amp;"",tbl_Finance[Xero Invoice No],"&lt;&gt;")=0,"",IFERROR(IF(COUNTIFS(tbl_Finance[Job Number],C304&amp;"",tbl_Finance[Xero Invoice No],LOOKUP(2,1/((tbl_Finance[Job Number]&amp;""=C304&amp;"")*(tbl_Finance[Xero Invoice No]&lt;&gt;"")),tbl_Finance[Xero Invoice No]))=COUNTIFS(tbl_Finance[Job Number],C304&amp;"",tbl_Finance[Xero Invoice No],"&lt;&gt;"),LOOKUP(2,1/((tbl_Finance[Job Number]&amp;""=C304&amp;"")*(tbl_Finance[Xero Invoice No]&lt;&gt;"")),tbl_Finance[Xero Invoice No]),LOOKUP(2,1/((tbl_Finance[Job Number]&amp;""=C304&amp;"")*(tbl_Finance[Xero Invoice No]&lt;&gt;"")),tbl_Finance[Xero Invoice No])&amp;" +more"),"")))</f>
        <v/>
      </c>
      <c r="C304" s="24" t="n"/>
      <c r="D304" s="25">
        <f>IF(C304="","",IF(COUNTIF(lst_Jobs,C304&amp;"")&gt;0,"OK","CHECK"))</f>
        <v/>
      </c>
      <c r="E304" s="25">
        <f>IF(C304="","",IFERROR(INDEX(lst_JobName,MATCH(C304&amp;"",lst_Jobs,0)),""))</f>
        <v/>
      </c>
      <c r="F304" s="25">
        <f>IF(C304="","",IFERROR(INDEX(tbl_Finance[Client],IFERROR(MATCH(C304&amp;"",tbl_Finance[Job Number],0),MATCH(IFERROR(C304+0,C304),tbl_Finance[Job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6" t="n"/>
      <c r="L304" s="27">
        <f>IF(C304="","",IF(K304="",0,MAX(0,K304-H304)))</f>
        <v/>
      </c>
      <c r="M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N304" s="24" t="n"/>
      <c r="O304" s="25">
        <f>IF(N304="","",HYPERLINK(IF(LEFT(N304,4)="http",N304,set_QwilrBase&amp;N304),"Open quote"))</f>
        <v/>
      </c>
      <c r="P304" s="26" t="n"/>
      <c r="Q304" s="26" t="n"/>
      <c r="R304" s="26" t="n"/>
      <c r="S304" s="25">
        <f>IF(C304="","",IF(N(P304)+N(Q304)+N(R304)=0,"Not split",IF(ROUND(N(P304)+N(Q304)+N(R304),2)=ROUND(H304+L304,2),"OK",IF(G304=0,"Not invoiced yet","MISMATCH"))))</f>
        <v/>
      </c>
      <c r="T304" s="26" t="n"/>
      <c r="U304" s="26" t="n"/>
      <c r="V304" s="26" t="n"/>
      <c r="W304" s="27">
        <f>IF(C304="","",N(T304)+N(U304)+N(V304))</f>
        <v/>
      </c>
      <c r="X304" s="27">
        <f>IF(C304="","",H304+L304-W304)</f>
        <v/>
      </c>
      <c r="Y304" s="29">
        <f>IFERROR(X304/(H304+L304),"")</f>
        <v/>
      </c>
      <c r="Z304" s="24" t="n"/>
    </row>
    <row r="305" ht="15" customHeight="1">
      <c r="A305" s="70">
        <f>IF(C305="","",IFERROR(IF(SUMPRODUCT(MAX((tbl_Finance[Job Number]&amp;""=C305&amp;"")*(tbl_Finance[Xero Invoice No]&lt;&gt;"")*tbl_Finance[Date]))=0,"",SUMPRODUCT(MAX((tbl_Finance[Job Number]&amp;""=C305&amp;"")*(tbl_Finance[Xero Invoice No]&lt;&gt;"")*tbl_Finance[Date]))),""))</f>
        <v/>
      </c>
      <c r="B305" s="25">
        <f>IF(C305="","",IF(COUNTIFS(tbl_Finance[Job Number],C305&amp;"",tbl_Finance[Xero Invoice No],"&lt;&gt;")=0,"",IFERROR(IF(COUNTIFS(tbl_Finance[Job Number],C305&amp;"",tbl_Finance[Xero Invoice No],LOOKUP(2,1/((tbl_Finance[Job Number]&amp;""=C305&amp;"")*(tbl_Finance[Xero Invoice No]&lt;&gt;"")),tbl_Finance[Xero Invoice No]))=COUNTIFS(tbl_Finance[Job Number],C305&amp;"",tbl_Finance[Xero Invoice No],"&lt;&gt;"),LOOKUP(2,1/((tbl_Finance[Job Number]&amp;""=C305&amp;"")*(tbl_Finance[Xero Invoice No]&lt;&gt;"")),tbl_Finance[Xero Invoice No]),LOOKUP(2,1/((tbl_Finance[Job Number]&amp;""=C305&amp;"")*(tbl_Finance[Xero Invoice No]&lt;&gt;"")),tbl_Finance[Xero Invoice No])&amp;" +more"),"")))</f>
        <v/>
      </c>
      <c r="C305" s="24" t="n"/>
      <c r="D305" s="25">
        <f>IF(C305="","",IF(COUNTIF(lst_Jobs,C305&amp;"")&gt;0,"OK","CHECK"))</f>
        <v/>
      </c>
      <c r="E305" s="25">
        <f>IF(C305="","",IFERROR(INDEX(lst_JobName,MATCH(C305&amp;"",lst_Jobs,0)),""))</f>
        <v/>
      </c>
      <c r="F305" s="25">
        <f>IF(C305="","",IFERROR(INDEX(tbl_Finance[Client],IFERROR(MATCH(C305&amp;"",tbl_Finance[Job Number],0),MATCH(IFERROR(C305+0,C305),tbl_Finance[Job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6" t="n"/>
      <c r="L305" s="27">
        <f>IF(C305="","",IF(K305="",0,MAX(0,K305-H305)))</f>
        <v/>
      </c>
      <c r="M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N305" s="24" t="n"/>
      <c r="O305" s="25">
        <f>IF(N305="","",HYPERLINK(IF(LEFT(N305,4)="http",N305,set_QwilrBase&amp;N305),"Open quote"))</f>
        <v/>
      </c>
      <c r="P305" s="26" t="n"/>
      <c r="Q305" s="26" t="n"/>
      <c r="R305" s="26" t="n"/>
      <c r="S305" s="25">
        <f>IF(C305="","",IF(N(P305)+N(Q305)+N(R305)=0,"Not split",IF(ROUND(N(P305)+N(Q305)+N(R305),2)=ROUND(H305+L305,2),"OK",IF(G305=0,"Not invoiced yet","MISMATCH"))))</f>
        <v/>
      </c>
      <c r="T305" s="26" t="n"/>
      <c r="U305" s="26" t="n"/>
      <c r="V305" s="26" t="n"/>
      <c r="W305" s="27">
        <f>IF(C305="","",N(T305)+N(U305)+N(V305))</f>
        <v/>
      </c>
      <c r="X305" s="27">
        <f>IF(C305="","",H305+L305-W305)</f>
        <v/>
      </c>
      <c r="Y305" s="29">
        <f>IFERROR(X305/(H305+L305),"")</f>
        <v/>
      </c>
      <c r="Z305" s="24" t="n"/>
    </row>
    <row r="306" ht="15" customHeight="1">
      <c r="A306" s="70">
        <f>IF(C306="","",IFERROR(IF(SUMPRODUCT(MAX((tbl_Finance[Job Number]&amp;""=C306&amp;"")*(tbl_Finance[Xero Invoice No]&lt;&gt;"")*tbl_Finance[Date]))=0,"",SUMPRODUCT(MAX((tbl_Finance[Job Number]&amp;""=C306&amp;"")*(tbl_Finance[Xero Invoice No]&lt;&gt;"")*tbl_Finance[Date]))),""))</f>
        <v/>
      </c>
      <c r="B306" s="25">
        <f>IF(C306="","",IF(COUNTIFS(tbl_Finance[Job Number],C306&amp;"",tbl_Finance[Xero Invoice No],"&lt;&gt;")=0,"",IFERROR(IF(COUNTIFS(tbl_Finance[Job Number],C306&amp;"",tbl_Finance[Xero Invoice No],LOOKUP(2,1/((tbl_Finance[Job Number]&amp;""=C306&amp;"")*(tbl_Finance[Xero Invoice No]&lt;&gt;"")),tbl_Finance[Xero Invoice No]))=COUNTIFS(tbl_Finance[Job Number],C306&amp;"",tbl_Finance[Xero Invoice No],"&lt;&gt;"),LOOKUP(2,1/((tbl_Finance[Job Number]&amp;""=C306&amp;"")*(tbl_Finance[Xero Invoice No]&lt;&gt;"")),tbl_Finance[Xero Invoice No]),LOOKUP(2,1/((tbl_Finance[Job Number]&amp;""=C306&amp;"")*(tbl_Finance[Xero Invoice No]&lt;&gt;"")),tbl_Finance[Xero Invoice No])&amp;" +more"),"")))</f>
        <v/>
      </c>
      <c r="C306" s="24" t="n"/>
      <c r="D306" s="25">
        <f>IF(C306="","",IF(COUNTIF(lst_Jobs,C306&amp;"")&gt;0,"OK","CHECK"))</f>
        <v/>
      </c>
      <c r="E306" s="25">
        <f>IF(C306="","",IFERROR(INDEX(lst_JobName,MATCH(C306&amp;"",lst_Jobs,0)),""))</f>
        <v/>
      </c>
      <c r="F306" s="25">
        <f>IF(C306="","",IFERROR(INDEX(tbl_Finance[Client],IFERROR(MATCH(C306&amp;"",tbl_Finance[Job Number],0),MATCH(IFERROR(C306+0,C306),tbl_Finance[Job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6" t="n"/>
      <c r="L306" s="27">
        <f>IF(C306="","",IF(K306="",0,MAX(0,K306-H306)))</f>
        <v/>
      </c>
      <c r="M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N306" s="24" t="n"/>
      <c r="O306" s="25">
        <f>IF(N306="","",HYPERLINK(IF(LEFT(N306,4)="http",N306,set_QwilrBase&amp;N306),"Open quote"))</f>
        <v/>
      </c>
      <c r="P306" s="26" t="n"/>
      <c r="Q306" s="26" t="n"/>
      <c r="R306" s="26" t="n"/>
      <c r="S306" s="25">
        <f>IF(C306="","",IF(N(P306)+N(Q306)+N(R306)=0,"Not split",IF(ROUND(N(P306)+N(Q306)+N(R306),2)=ROUND(H306+L306,2),"OK",IF(G306=0,"Not invoiced yet","MISMATCH"))))</f>
        <v/>
      </c>
      <c r="T306" s="26" t="n"/>
      <c r="U306" s="26" t="n"/>
      <c r="V306" s="26" t="n"/>
      <c r="W306" s="27">
        <f>IF(C306="","",N(T306)+N(U306)+N(V306))</f>
        <v/>
      </c>
      <c r="X306" s="27">
        <f>IF(C306="","",H306+L306-W306)</f>
        <v/>
      </c>
      <c r="Y306" s="29">
        <f>IFERROR(X306/(H306+L306),"")</f>
        <v/>
      </c>
      <c r="Z306" s="24" t="n"/>
    </row>
    <row r="307" ht="15" customHeight="1">
      <c r="A307" s="70">
        <f>IF(C307="","",IFERROR(IF(SUMPRODUCT(MAX((tbl_Finance[Job Number]&amp;""=C307&amp;"")*(tbl_Finance[Xero Invoice No]&lt;&gt;"")*tbl_Finance[Date]))=0,"",SUMPRODUCT(MAX((tbl_Finance[Job Number]&amp;""=C307&amp;"")*(tbl_Finance[Xero Invoice No]&lt;&gt;"")*tbl_Finance[Date]))),""))</f>
        <v/>
      </c>
      <c r="B307" s="25">
        <f>IF(C307="","",IF(COUNTIFS(tbl_Finance[Job Number],C307&amp;"",tbl_Finance[Xero Invoice No],"&lt;&gt;")=0,"",IFERROR(IF(COUNTIFS(tbl_Finance[Job Number],C307&amp;"",tbl_Finance[Xero Invoice No],LOOKUP(2,1/((tbl_Finance[Job Number]&amp;""=C307&amp;"")*(tbl_Finance[Xero Invoice No]&lt;&gt;"")),tbl_Finance[Xero Invoice No]))=COUNTIFS(tbl_Finance[Job Number],C307&amp;"",tbl_Finance[Xero Invoice No],"&lt;&gt;"),LOOKUP(2,1/((tbl_Finance[Job Number]&amp;""=C307&amp;"")*(tbl_Finance[Xero Invoice No]&lt;&gt;"")),tbl_Finance[Xero Invoice No]),LOOKUP(2,1/((tbl_Finance[Job Number]&amp;""=C307&amp;"")*(tbl_Finance[Xero Invoice No]&lt;&gt;"")),tbl_Finance[Xero Invoice No])&amp;" +more"),"")))</f>
        <v/>
      </c>
      <c r="C307" s="24" t="n"/>
      <c r="D307" s="25">
        <f>IF(C307="","",IF(COUNTIF(lst_Jobs,C307&amp;"")&gt;0,"OK","CHECK"))</f>
        <v/>
      </c>
      <c r="E307" s="25">
        <f>IF(C307="","",IFERROR(INDEX(lst_JobName,MATCH(C307&amp;"",lst_Jobs,0)),""))</f>
        <v/>
      </c>
      <c r="F307" s="25">
        <f>IF(C307="","",IFERROR(INDEX(tbl_Finance[Client],IFERROR(MATCH(C307&amp;"",tbl_Finance[Job Number],0),MATCH(IFERROR(C307+0,C307),tbl_Finance[Job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6" t="n"/>
      <c r="L307" s="27">
        <f>IF(C307="","",IF(K307="",0,MAX(0,K307-H307)))</f>
        <v/>
      </c>
      <c r="M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N307" s="24" t="n"/>
      <c r="O307" s="25">
        <f>IF(N307="","",HYPERLINK(IF(LEFT(N307,4)="http",N307,set_QwilrBase&amp;N307),"Open quote"))</f>
        <v/>
      </c>
      <c r="P307" s="26" t="n"/>
      <c r="Q307" s="26" t="n"/>
      <c r="R307" s="26" t="n"/>
      <c r="S307" s="25">
        <f>IF(C307="","",IF(N(P307)+N(Q307)+N(R307)=0,"Not split",IF(ROUND(N(P307)+N(Q307)+N(R307),2)=ROUND(H307+L307,2),"OK",IF(G307=0,"Not invoiced yet","MISMATCH"))))</f>
        <v/>
      </c>
      <c r="T307" s="26" t="n"/>
      <c r="U307" s="26" t="n"/>
      <c r="V307" s="26" t="n"/>
      <c r="W307" s="27">
        <f>IF(C307="","",N(T307)+N(U307)+N(V307))</f>
        <v/>
      </c>
      <c r="X307" s="27">
        <f>IF(C307="","",H307+L307-W307)</f>
        <v/>
      </c>
      <c r="Y307" s="29">
        <f>IFERROR(X307/(H307+L307),"")</f>
        <v/>
      </c>
      <c r="Z307" s="24" t="n"/>
    </row>
    <row r="308" ht="15" customHeight="1">
      <c r="A308" s="70">
        <f>IF(C308="","",IFERROR(IF(SUMPRODUCT(MAX((tbl_Finance[Job Number]&amp;""=C308&amp;"")*(tbl_Finance[Xero Invoice No]&lt;&gt;"")*tbl_Finance[Date]))=0,"",SUMPRODUCT(MAX((tbl_Finance[Job Number]&amp;""=C308&amp;"")*(tbl_Finance[Xero Invoice No]&lt;&gt;"")*tbl_Finance[Date]))),""))</f>
        <v/>
      </c>
      <c r="B308" s="25">
        <f>IF(C308="","",IF(COUNTIFS(tbl_Finance[Job Number],C308&amp;"",tbl_Finance[Xero Invoice No],"&lt;&gt;")=0,"",IFERROR(IF(COUNTIFS(tbl_Finance[Job Number],C308&amp;"",tbl_Finance[Xero Invoice No],LOOKUP(2,1/((tbl_Finance[Job Number]&amp;""=C308&amp;"")*(tbl_Finance[Xero Invoice No]&lt;&gt;"")),tbl_Finance[Xero Invoice No]))=COUNTIFS(tbl_Finance[Job Number],C308&amp;"",tbl_Finance[Xero Invoice No],"&lt;&gt;"),LOOKUP(2,1/((tbl_Finance[Job Number]&amp;""=C308&amp;"")*(tbl_Finance[Xero Invoice No]&lt;&gt;"")),tbl_Finance[Xero Invoice No]),LOOKUP(2,1/((tbl_Finance[Job Number]&amp;""=C308&amp;"")*(tbl_Finance[Xero Invoice No]&lt;&gt;"")),tbl_Finance[Xero Invoice No])&amp;" +more"),"")))</f>
        <v/>
      </c>
      <c r="C308" s="24" t="n"/>
      <c r="D308" s="25">
        <f>IF(C308="","",IF(COUNTIF(lst_Jobs,C308&amp;"")&gt;0,"OK","CHECK"))</f>
        <v/>
      </c>
      <c r="E308" s="25">
        <f>IF(C308="","",IFERROR(INDEX(lst_JobName,MATCH(C308&amp;"",lst_Jobs,0)),""))</f>
        <v/>
      </c>
      <c r="F308" s="25">
        <f>IF(C308="","",IFERROR(INDEX(tbl_Finance[Client],IFERROR(MATCH(C308&amp;"",tbl_Finance[Job Number],0),MATCH(IFERROR(C308+0,C308),tbl_Finance[Job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6" t="n"/>
      <c r="L308" s="27">
        <f>IF(C308="","",IF(K308="",0,MAX(0,K308-H308)))</f>
        <v/>
      </c>
      <c r="M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N308" s="24" t="n"/>
      <c r="O308" s="25">
        <f>IF(N308="","",HYPERLINK(IF(LEFT(N308,4)="http",N308,set_QwilrBase&amp;N308),"Open quote"))</f>
        <v/>
      </c>
      <c r="P308" s="26" t="n"/>
      <c r="Q308" s="26" t="n"/>
      <c r="R308" s="26" t="n"/>
      <c r="S308" s="25">
        <f>IF(C308="","",IF(N(P308)+N(Q308)+N(R308)=0,"Not split",IF(ROUND(N(P308)+N(Q308)+N(R308),2)=ROUND(H308+L308,2),"OK",IF(G308=0,"Not invoiced yet","MISMATCH"))))</f>
        <v/>
      </c>
      <c r="T308" s="26" t="n"/>
      <c r="U308" s="26" t="n"/>
      <c r="V308" s="26" t="n"/>
      <c r="W308" s="27">
        <f>IF(C308="","",N(T308)+N(U308)+N(V308))</f>
        <v/>
      </c>
      <c r="X308" s="27">
        <f>IF(C308="","",H308+L308-W308)</f>
        <v/>
      </c>
      <c r="Y308" s="29">
        <f>IFERROR(X308/(H308+L308),"")</f>
        <v/>
      </c>
      <c r="Z308" s="24" t="n"/>
    </row>
    <row r="309" ht="15" customHeight="1">
      <c r="A309" s="70">
        <f>IF(C309="","",IFERROR(IF(SUMPRODUCT(MAX((tbl_Finance[Job Number]&amp;""=C309&amp;"")*(tbl_Finance[Xero Invoice No]&lt;&gt;"")*tbl_Finance[Date]))=0,"",SUMPRODUCT(MAX((tbl_Finance[Job Number]&amp;""=C309&amp;"")*(tbl_Finance[Xero Invoice No]&lt;&gt;"")*tbl_Finance[Date]))),""))</f>
        <v/>
      </c>
      <c r="B309" s="25">
        <f>IF(C309="","",IF(COUNTIFS(tbl_Finance[Job Number],C309&amp;"",tbl_Finance[Xero Invoice No],"&lt;&gt;")=0,"",IFERROR(IF(COUNTIFS(tbl_Finance[Job Number],C309&amp;"",tbl_Finance[Xero Invoice No],LOOKUP(2,1/((tbl_Finance[Job Number]&amp;""=C309&amp;"")*(tbl_Finance[Xero Invoice No]&lt;&gt;"")),tbl_Finance[Xero Invoice No]))=COUNTIFS(tbl_Finance[Job Number],C309&amp;"",tbl_Finance[Xero Invoice No],"&lt;&gt;"),LOOKUP(2,1/((tbl_Finance[Job Number]&amp;""=C309&amp;"")*(tbl_Finance[Xero Invoice No]&lt;&gt;"")),tbl_Finance[Xero Invoice No]),LOOKUP(2,1/((tbl_Finance[Job Number]&amp;""=C309&amp;"")*(tbl_Finance[Xero Invoice No]&lt;&gt;"")),tbl_Finance[Xero Invoice No])&amp;" +more"),"")))</f>
        <v/>
      </c>
      <c r="C309" s="24" t="n"/>
      <c r="D309" s="25">
        <f>IF(C309="","",IF(COUNTIF(lst_Jobs,C309&amp;"")&gt;0,"OK","CHECK"))</f>
        <v/>
      </c>
      <c r="E309" s="25">
        <f>IF(C309="","",IFERROR(INDEX(lst_JobName,MATCH(C309&amp;"",lst_Jobs,0)),""))</f>
        <v/>
      </c>
      <c r="F309" s="25">
        <f>IF(C309="","",IFERROR(INDEX(tbl_Finance[Client],IFERROR(MATCH(C309&amp;"",tbl_Finance[Job Number],0),MATCH(IFERROR(C309+0,C309),tbl_Finance[Job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6" t="n"/>
      <c r="L309" s="27">
        <f>IF(C309="","",IF(K309="",0,MAX(0,K309-H309)))</f>
        <v/>
      </c>
      <c r="M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N309" s="24" t="n"/>
      <c r="O309" s="25">
        <f>IF(N309="","",HYPERLINK(IF(LEFT(N309,4)="http",N309,set_QwilrBase&amp;N309),"Open quote"))</f>
        <v/>
      </c>
      <c r="P309" s="26" t="n"/>
      <c r="Q309" s="26" t="n"/>
      <c r="R309" s="26" t="n"/>
      <c r="S309" s="25">
        <f>IF(C309="","",IF(N(P309)+N(Q309)+N(R309)=0,"Not split",IF(ROUND(N(P309)+N(Q309)+N(R309),2)=ROUND(H309+L309,2),"OK",IF(G309=0,"Not invoiced yet","MISMATCH"))))</f>
        <v/>
      </c>
      <c r="T309" s="26" t="n"/>
      <c r="U309" s="26" t="n"/>
      <c r="V309" s="26" t="n"/>
      <c r="W309" s="27">
        <f>IF(C309="","",N(T309)+N(U309)+N(V309))</f>
        <v/>
      </c>
      <c r="X309" s="27">
        <f>IF(C309="","",H309+L309-W309)</f>
        <v/>
      </c>
      <c r="Y309" s="29">
        <f>IFERROR(X309/(H309+L309),"")</f>
        <v/>
      </c>
      <c r="Z309" s="24" t="n"/>
    </row>
    <row r="310" ht="15" customHeight="1">
      <c r="A310" s="70">
        <f>IF(C310="","",IFERROR(IF(SUMPRODUCT(MAX((tbl_Finance[Job Number]&amp;""=C310&amp;"")*(tbl_Finance[Xero Invoice No]&lt;&gt;"")*tbl_Finance[Date]))=0,"",SUMPRODUCT(MAX((tbl_Finance[Job Number]&amp;""=C310&amp;"")*(tbl_Finance[Xero Invoice No]&lt;&gt;"")*tbl_Finance[Date]))),""))</f>
        <v/>
      </c>
      <c r="B310" s="25">
        <f>IF(C310="","",IF(COUNTIFS(tbl_Finance[Job Number],C310&amp;"",tbl_Finance[Xero Invoice No],"&lt;&gt;")=0,"",IFERROR(IF(COUNTIFS(tbl_Finance[Job Number],C310&amp;"",tbl_Finance[Xero Invoice No],LOOKUP(2,1/((tbl_Finance[Job Number]&amp;""=C310&amp;"")*(tbl_Finance[Xero Invoice No]&lt;&gt;"")),tbl_Finance[Xero Invoice No]))=COUNTIFS(tbl_Finance[Job Number],C310&amp;"",tbl_Finance[Xero Invoice No],"&lt;&gt;"),LOOKUP(2,1/((tbl_Finance[Job Number]&amp;""=C310&amp;"")*(tbl_Finance[Xero Invoice No]&lt;&gt;"")),tbl_Finance[Xero Invoice No]),LOOKUP(2,1/((tbl_Finance[Job Number]&amp;""=C310&amp;"")*(tbl_Finance[Xero Invoice No]&lt;&gt;"")),tbl_Finance[Xero Invoice No])&amp;" +more"),"")))</f>
        <v/>
      </c>
      <c r="C310" s="24" t="n"/>
      <c r="D310" s="25">
        <f>IF(C310="","",IF(COUNTIF(lst_Jobs,C310&amp;"")&gt;0,"OK","CHECK"))</f>
        <v/>
      </c>
      <c r="E310" s="25">
        <f>IF(C310="","",IFERROR(INDEX(lst_JobName,MATCH(C310&amp;"",lst_Jobs,0)),""))</f>
        <v/>
      </c>
      <c r="F310" s="25">
        <f>IF(C310="","",IFERROR(INDEX(tbl_Finance[Client],IFERROR(MATCH(C310&amp;"",tbl_Finance[Job Number],0),MATCH(IFERROR(C310+0,C310),tbl_Finance[Job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6" t="n"/>
      <c r="L310" s="27">
        <f>IF(C310="","",IF(K310="",0,MAX(0,K310-H310)))</f>
        <v/>
      </c>
      <c r="M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N310" s="24" t="n"/>
      <c r="O310" s="25">
        <f>IF(N310="","",HYPERLINK(IF(LEFT(N310,4)="http",N310,set_QwilrBase&amp;N310),"Open quote"))</f>
        <v/>
      </c>
      <c r="P310" s="26" t="n"/>
      <c r="Q310" s="26" t="n"/>
      <c r="R310" s="26" t="n"/>
      <c r="S310" s="25">
        <f>IF(C310="","",IF(N(P310)+N(Q310)+N(R310)=0,"Not split",IF(ROUND(N(P310)+N(Q310)+N(R310),2)=ROUND(H310+L310,2),"OK",IF(G310=0,"Not invoiced yet","MISMATCH"))))</f>
        <v/>
      </c>
      <c r="T310" s="26" t="n"/>
      <c r="U310" s="26" t="n"/>
      <c r="V310" s="26" t="n"/>
      <c r="W310" s="27">
        <f>IF(C310="","",N(T310)+N(U310)+N(V310))</f>
        <v/>
      </c>
      <c r="X310" s="27">
        <f>IF(C310="","",H310+L310-W310)</f>
        <v/>
      </c>
      <c r="Y310" s="29">
        <f>IFERROR(X310/(H310+L310),"")</f>
        <v/>
      </c>
      <c r="Z310" s="24" t="n"/>
    </row>
    <row r="311" ht="15" customHeight="1">
      <c r="A311" s="70">
        <f>IF(C311="","",IFERROR(IF(SUMPRODUCT(MAX((tbl_Finance[Job Number]&amp;""=C311&amp;"")*(tbl_Finance[Xero Invoice No]&lt;&gt;"")*tbl_Finance[Date]))=0,"",SUMPRODUCT(MAX((tbl_Finance[Job Number]&amp;""=C311&amp;"")*(tbl_Finance[Xero Invoice No]&lt;&gt;"")*tbl_Finance[Date]))),""))</f>
        <v/>
      </c>
      <c r="B311" s="25">
        <f>IF(C311="","",IF(COUNTIFS(tbl_Finance[Job Number],C311&amp;"",tbl_Finance[Xero Invoice No],"&lt;&gt;")=0,"",IFERROR(IF(COUNTIFS(tbl_Finance[Job Number],C311&amp;"",tbl_Finance[Xero Invoice No],LOOKUP(2,1/((tbl_Finance[Job Number]&amp;""=C311&amp;"")*(tbl_Finance[Xero Invoice No]&lt;&gt;"")),tbl_Finance[Xero Invoice No]))=COUNTIFS(tbl_Finance[Job Number],C311&amp;"",tbl_Finance[Xero Invoice No],"&lt;&gt;"),LOOKUP(2,1/((tbl_Finance[Job Number]&amp;""=C311&amp;"")*(tbl_Finance[Xero Invoice No]&lt;&gt;"")),tbl_Finance[Xero Invoice No]),LOOKUP(2,1/((tbl_Finance[Job Number]&amp;""=C311&amp;"")*(tbl_Finance[Xero Invoice No]&lt;&gt;"")),tbl_Finance[Xero Invoice No])&amp;" +more"),"")))</f>
        <v/>
      </c>
      <c r="C311" s="24" t="n"/>
      <c r="D311" s="25">
        <f>IF(C311="","",IF(COUNTIF(lst_Jobs,C311&amp;"")&gt;0,"OK","CHECK"))</f>
        <v/>
      </c>
      <c r="E311" s="25">
        <f>IF(C311="","",IFERROR(INDEX(lst_JobName,MATCH(C311&amp;"",lst_Jobs,0)),""))</f>
        <v/>
      </c>
      <c r="F311" s="25">
        <f>IF(C311="","",IFERROR(INDEX(tbl_Finance[Client],IFERROR(MATCH(C311&amp;"",tbl_Finance[Job Number],0),MATCH(IFERROR(C311+0,C311),tbl_Finance[Job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6" t="n"/>
      <c r="L311" s="27">
        <f>IF(C311="","",IF(K311="",0,MAX(0,K311-H311)))</f>
        <v/>
      </c>
      <c r="M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N311" s="24" t="n"/>
      <c r="O311" s="25">
        <f>IF(N311="","",HYPERLINK(IF(LEFT(N311,4)="http",N311,set_QwilrBase&amp;N311),"Open quote"))</f>
        <v/>
      </c>
      <c r="P311" s="26" t="n"/>
      <c r="Q311" s="26" t="n"/>
      <c r="R311" s="26" t="n"/>
      <c r="S311" s="25">
        <f>IF(C311="","",IF(N(P311)+N(Q311)+N(R311)=0,"Not split",IF(ROUND(N(P311)+N(Q311)+N(R311),2)=ROUND(H311+L311,2),"OK",IF(G311=0,"Not invoiced yet","MISMATCH"))))</f>
        <v/>
      </c>
      <c r="T311" s="26" t="n"/>
      <c r="U311" s="26" t="n"/>
      <c r="V311" s="26" t="n"/>
      <c r="W311" s="27">
        <f>IF(C311="","",N(T311)+N(U311)+N(V311))</f>
        <v/>
      </c>
      <c r="X311" s="27">
        <f>IF(C311="","",H311+L311-W311)</f>
        <v/>
      </c>
      <c r="Y311" s="29">
        <f>IFERROR(X311/(H311+L311),"")</f>
        <v/>
      </c>
      <c r="Z311" s="24" t="n"/>
    </row>
    <row r="312" ht="15" customHeight="1">
      <c r="A312" s="70">
        <f>IF(C312="","",IFERROR(IF(SUMPRODUCT(MAX((tbl_Finance[Job Number]&amp;""=C312&amp;"")*(tbl_Finance[Xero Invoice No]&lt;&gt;"")*tbl_Finance[Date]))=0,"",SUMPRODUCT(MAX((tbl_Finance[Job Number]&amp;""=C312&amp;"")*(tbl_Finance[Xero Invoice No]&lt;&gt;"")*tbl_Finance[Date]))),""))</f>
        <v/>
      </c>
      <c r="B312" s="25">
        <f>IF(C312="","",IF(COUNTIFS(tbl_Finance[Job Number],C312&amp;"",tbl_Finance[Xero Invoice No],"&lt;&gt;")=0,"",IFERROR(IF(COUNTIFS(tbl_Finance[Job Number],C312&amp;"",tbl_Finance[Xero Invoice No],LOOKUP(2,1/((tbl_Finance[Job Number]&amp;""=C312&amp;"")*(tbl_Finance[Xero Invoice No]&lt;&gt;"")),tbl_Finance[Xero Invoice No]))=COUNTIFS(tbl_Finance[Job Number],C312&amp;"",tbl_Finance[Xero Invoice No],"&lt;&gt;"),LOOKUP(2,1/((tbl_Finance[Job Number]&amp;""=C312&amp;"")*(tbl_Finance[Xero Invoice No]&lt;&gt;"")),tbl_Finance[Xero Invoice No]),LOOKUP(2,1/((tbl_Finance[Job Number]&amp;""=C312&amp;"")*(tbl_Finance[Xero Invoice No]&lt;&gt;"")),tbl_Finance[Xero Invoice No])&amp;" +more"),"")))</f>
        <v/>
      </c>
      <c r="C312" s="24" t="n"/>
      <c r="D312" s="25">
        <f>IF(C312="","",IF(COUNTIF(lst_Jobs,C312&amp;"")&gt;0,"OK","CHECK"))</f>
        <v/>
      </c>
      <c r="E312" s="25">
        <f>IF(C312="","",IFERROR(INDEX(lst_JobName,MATCH(C312&amp;"",lst_Jobs,0)),""))</f>
        <v/>
      </c>
      <c r="F312" s="25">
        <f>IF(C312="","",IFERROR(INDEX(tbl_Finance[Client],IFERROR(MATCH(C312&amp;"",tbl_Finance[Job Number],0),MATCH(IFERROR(C312+0,C312),tbl_Finance[Job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6" t="n"/>
      <c r="L312" s="27">
        <f>IF(C312="","",IF(K312="",0,MAX(0,K312-H312)))</f>
        <v/>
      </c>
      <c r="M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N312" s="24" t="n"/>
      <c r="O312" s="25">
        <f>IF(N312="","",HYPERLINK(IF(LEFT(N312,4)="http",N312,set_QwilrBase&amp;N312),"Open quote"))</f>
        <v/>
      </c>
      <c r="P312" s="26" t="n"/>
      <c r="Q312" s="26" t="n"/>
      <c r="R312" s="26" t="n"/>
      <c r="S312" s="25">
        <f>IF(C312="","",IF(N(P312)+N(Q312)+N(R312)=0,"Not split",IF(ROUND(N(P312)+N(Q312)+N(R312),2)=ROUND(H312+L312,2),"OK",IF(G312=0,"Not invoiced yet","MISMATCH"))))</f>
        <v/>
      </c>
      <c r="T312" s="26" t="n"/>
      <c r="U312" s="26" t="n"/>
      <c r="V312" s="26" t="n"/>
      <c r="W312" s="27">
        <f>IF(C312="","",N(T312)+N(U312)+N(V312))</f>
        <v/>
      </c>
      <c r="X312" s="27">
        <f>IF(C312="","",H312+L312-W312)</f>
        <v/>
      </c>
      <c r="Y312" s="29">
        <f>IFERROR(X312/(H312+L312),"")</f>
        <v/>
      </c>
      <c r="Z312" s="24" t="n"/>
    </row>
    <row r="313" ht="15" customHeight="1">
      <c r="A313" s="70">
        <f>IF(C313="","",IFERROR(IF(SUMPRODUCT(MAX((tbl_Finance[Job Number]&amp;""=C313&amp;"")*(tbl_Finance[Xero Invoice No]&lt;&gt;"")*tbl_Finance[Date]))=0,"",SUMPRODUCT(MAX((tbl_Finance[Job Number]&amp;""=C313&amp;"")*(tbl_Finance[Xero Invoice No]&lt;&gt;"")*tbl_Finance[Date]))),""))</f>
        <v/>
      </c>
      <c r="B313" s="25">
        <f>IF(C313="","",IF(COUNTIFS(tbl_Finance[Job Number],C313&amp;"",tbl_Finance[Xero Invoice No],"&lt;&gt;")=0,"",IFERROR(IF(COUNTIFS(tbl_Finance[Job Number],C313&amp;"",tbl_Finance[Xero Invoice No],LOOKUP(2,1/((tbl_Finance[Job Number]&amp;""=C313&amp;"")*(tbl_Finance[Xero Invoice No]&lt;&gt;"")),tbl_Finance[Xero Invoice No]))=COUNTIFS(tbl_Finance[Job Number],C313&amp;"",tbl_Finance[Xero Invoice No],"&lt;&gt;"),LOOKUP(2,1/((tbl_Finance[Job Number]&amp;""=C313&amp;"")*(tbl_Finance[Xero Invoice No]&lt;&gt;"")),tbl_Finance[Xero Invoice No]),LOOKUP(2,1/((tbl_Finance[Job Number]&amp;""=C313&amp;"")*(tbl_Finance[Xero Invoice No]&lt;&gt;"")),tbl_Finance[Xero Invoice No])&amp;" +more"),"")))</f>
        <v/>
      </c>
      <c r="C313" s="24" t="n"/>
      <c r="D313" s="25">
        <f>IF(C313="","",IF(COUNTIF(lst_Jobs,C313&amp;"")&gt;0,"OK","CHECK"))</f>
        <v/>
      </c>
      <c r="E313" s="25">
        <f>IF(C313="","",IFERROR(INDEX(lst_JobName,MATCH(C313&amp;"",lst_Jobs,0)),""))</f>
        <v/>
      </c>
      <c r="F313" s="25">
        <f>IF(C313="","",IFERROR(INDEX(tbl_Finance[Client],IFERROR(MATCH(C313&amp;"",tbl_Finance[Job Number],0),MATCH(IFERROR(C313+0,C313),tbl_Finance[Job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6" t="n"/>
      <c r="L313" s="27">
        <f>IF(C313="","",IF(K313="",0,MAX(0,K313-H313)))</f>
        <v/>
      </c>
      <c r="M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N313" s="24" t="n"/>
      <c r="O313" s="25">
        <f>IF(N313="","",HYPERLINK(IF(LEFT(N313,4)="http",N313,set_QwilrBase&amp;N313),"Open quote"))</f>
        <v/>
      </c>
      <c r="P313" s="26" t="n"/>
      <c r="Q313" s="26" t="n"/>
      <c r="R313" s="26" t="n"/>
      <c r="S313" s="25">
        <f>IF(C313="","",IF(N(P313)+N(Q313)+N(R313)=0,"Not split",IF(ROUND(N(P313)+N(Q313)+N(R313),2)=ROUND(H313+L313,2),"OK",IF(G313=0,"Not invoiced yet","MISMATCH"))))</f>
        <v/>
      </c>
      <c r="T313" s="26" t="n"/>
      <c r="U313" s="26" t="n"/>
      <c r="V313" s="26" t="n"/>
      <c r="W313" s="27">
        <f>IF(C313="","",N(T313)+N(U313)+N(V313))</f>
        <v/>
      </c>
      <c r="X313" s="27">
        <f>IF(C313="","",H313+L313-W313)</f>
        <v/>
      </c>
      <c r="Y313" s="29">
        <f>IFERROR(X313/(H313+L313),"")</f>
        <v/>
      </c>
      <c r="Z313" s="24" t="n"/>
    </row>
    <row r="314" ht="15" customHeight="1">
      <c r="A314" s="70">
        <f>IF(C314="","",IFERROR(IF(SUMPRODUCT(MAX((tbl_Finance[Job Number]&amp;""=C314&amp;"")*(tbl_Finance[Xero Invoice No]&lt;&gt;"")*tbl_Finance[Date]))=0,"",SUMPRODUCT(MAX((tbl_Finance[Job Number]&amp;""=C314&amp;"")*(tbl_Finance[Xero Invoice No]&lt;&gt;"")*tbl_Finance[Date]))),""))</f>
        <v/>
      </c>
      <c r="B314" s="25">
        <f>IF(C314="","",IF(COUNTIFS(tbl_Finance[Job Number],C314&amp;"",tbl_Finance[Xero Invoice No],"&lt;&gt;")=0,"",IFERROR(IF(COUNTIFS(tbl_Finance[Job Number],C314&amp;"",tbl_Finance[Xero Invoice No],LOOKUP(2,1/((tbl_Finance[Job Number]&amp;""=C314&amp;"")*(tbl_Finance[Xero Invoice No]&lt;&gt;"")),tbl_Finance[Xero Invoice No]))=COUNTIFS(tbl_Finance[Job Number],C314&amp;"",tbl_Finance[Xero Invoice No],"&lt;&gt;"),LOOKUP(2,1/((tbl_Finance[Job Number]&amp;""=C314&amp;"")*(tbl_Finance[Xero Invoice No]&lt;&gt;"")),tbl_Finance[Xero Invoice No]),LOOKUP(2,1/((tbl_Finance[Job Number]&amp;""=C314&amp;"")*(tbl_Finance[Xero Invoice No]&lt;&gt;"")),tbl_Finance[Xero Invoice No])&amp;" +more"),"")))</f>
        <v/>
      </c>
      <c r="C314" s="24" t="n"/>
      <c r="D314" s="25">
        <f>IF(C314="","",IF(COUNTIF(lst_Jobs,C314&amp;"")&gt;0,"OK","CHECK"))</f>
        <v/>
      </c>
      <c r="E314" s="25">
        <f>IF(C314="","",IFERROR(INDEX(lst_JobName,MATCH(C314&amp;"",lst_Jobs,0)),""))</f>
        <v/>
      </c>
      <c r="F314" s="25">
        <f>IF(C314="","",IFERROR(INDEX(tbl_Finance[Client],IFERROR(MATCH(C314&amp;"",tbl_Finance[Job Number],0),MATCH(IFERROR(C314+0,C314),tbl_Finance[Job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6" t="n"/>
      <c r="L314" s="27">
        <f>IF(C314="","",IF(K314="",0,MAX(0,K314-H314)))</f>
        <v/>
      </c>
      <c r="M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N314" s="24" t="n"/>
      <c r="O314" s="25">
        <f>IF(N314="","",HYPERLINK(IF(LEFT(N314,4)="http",N314,set_QwilrBase&amp;N314),"Open quote"))</f>
        <v/>
      </c>
      <c r="P314" s="26" t="n"/>
      <c r="Q314" s="26" t="n"/>
      <c r="R314" s="26" t="n"/>
      <c r="S314" s="25">
        <f>IF(C314="","",IF(N(P314)+N(Q314)+N(R314)=0,"Not split",IF(ROUND(N(P314)+N(Q314)+N(R314),2)=ROUND(H314+L314,2),"OK",IF(G314=0,"Not invoiced yet","MISMATCH"))))</f>
        <v/>
      </c>
      <c r="T314" s="26" t="n"/>
      <c r="U314" s="26" t="n"/>
      <c r="V314" s="26" t="n"/>
      <c r="W314" s="27">
        <f>IF(C314="","",N(T314)+N(U314)+N(V314))</f>
        <v/>
      </c>
      <c r="X314" s="27">
        <f>IF(C314="","",H314+L314-W314)</f>
        <v/>
      </c>
      <c r="Y314" s="29">
        <f>IFERROR(X314/(H314+L314),"")</f>
        <v/>
      </c>
      <c r="Z314" s="24" t="n"/>
    </row>
    <row r="315" ht="15" customHeight="1">
      <c r="A315" s="70">
        <f>IF(C315="","",IFERROR(IF(SUMPRODUCT(MAX((tbl_Finance[Job Number]&amp;""=C315&amp;"")*(tbl_Finance[Xero Invoice No]&lt;&gt;"")*tbl_Finance[Date]))=0,"",SUMPRODUCT(MAX((tbl_Finance[Job Number]&amp;""=C315&amp;"")*(tbl_Finance[Xero Invoice No]&lt;&gt;"")*tbl_Finance[Date]))),""))</f>
        <v/>
      </c>
      <c r="B315" s="25">
        <f>IF(C315="","",IF(COUNTIFS(tbl_Finance[Job Number],C315&amp;"",tbl_Finance[Xero Invoice No],"&lt;&gt;")=0,"",IFERROR(IF(COUNTIFS(tbl_Finance[Job Number],C315&amp;"",tbl_Finance[Xero Invoice No],LOOKUP(2,1/((tbl_Finance[Job Number]&amp;""=C315&amp;"")*(tbl_Finance[Xero Invoice No]&lt;&gt;"")),tbl_Finance[Xero Invoice No]))=COUNTIFS(tbl_Finance[Job Number],C315&amp;"",tbl_Finance[Xero Invoice No],"&lt;&gt;"),LOOKUP(2,1/((tbl_Finance[Job Number]&amp;""=C315&amp;"")*(tbl_Finance[Xero Invoice No]&lt;&gt;"")),tbl_Finance[Xero Invoice No]),LOOKUP(2,1/((tbl_Finance[Job Number]&amp;""=C315&amp;"")*(tbl_Finance[Xero Invoice No]&lt;&gt;"")),tbl_Finance[Xero Invoice No])&amp;" +more"),"")))</f>
        <v/>
      </c>
      <c r="C315" s="24" t="n"/>
      <c r="D315" s="25">
        <f>IF(C315="","",IF(COUNTIF(lst_Jobs,C315&amp;"")&gt;0,"OK","CHECK"))</f>
        <v/>
      </c>
      <c r="E315" s="25">
        <f>IF(C315="","",IFERROR(INDEX(lst_JobName,MATCH(C315&amp;"",lst_Jobs,0)),""))</f>
        <v/>
      </c>
      <c r="F315" s="25">
        <f>IF(C315="","",IFERROR(INDEX(tbl_Finance[Client],IFERROR(MATCH(C315&amp;"",tbl_Finance[Job Number],0),MATCH(IFERROR(C315+0,C315),tbl_Finance[Job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6" t="n"/>
      <c r="L315" s="27">
        <f>IF(C315="","",IF(K315="",0,MAX(0,K315-H315)))</f>
        <v/>
      </c>
      <c r="M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N315" s="24" t="n"/>
      <c r="O315" s="25">
        <f>IF(N315="","",HYPERLINK(IF(LEFT(N315,4)="http",N315,set_QwilrBase&amp;N315),"Open quote"))</f>
        <v/>
      </c>
      <c r="P315" s="26" t="n"/>
      <c r="Q315" s="26" t="n"/>
      <c r="R315" s="26" t="n"/>
      <c r="S315" s="25">
        <f>IF(C315="","",IF(N(P315)+N(Q315)+N(R315)=0,"Not split",IF(ROUND(N(P315)+N(Q315)+N(R315),2)=ROUND(H315+L315,2),"OK",IF(G315=0,"Not invoiced yet","MISMATCH"))))</f>
        <v/>
      </c>
      <c r="T315" s="26" t="n"/>
      <c r="U315" s="26" t="n"/>
      <c r="V315" s="26" t="n"/>
      <c r="W315" s="27">
        <f>IF(C315="","",N(T315)+N(U315)+N(V315))</f>
        <v/>
      </c>
      <c r="X315" s="27">
        <f>IF(C315="","",H315+L315-W315)</f>
        <v/>
      </c>
      <c r="Y315" s="29">
        <f>IFERROR(X315/(H315+L315),"")</f>
        <v/>
      </c>
      <c r="Z315" s="24" t="n"/>
    </row>
    <row r="316" ht="15" customHeight="1">
      <c r="A316" s="70">
        <f>IF(C316="","",IFERROR(IF(SUMPRODUCT(MAX((tbl_Finance[Job Number]&amp;""=C316&amp;"")*(tbl_Finance[Xero Invoice No]&lt;&gt;"")*tbl_Finance[Date]))=0,"",SUMPRODUCT(MAX((tbl_Finance[Job Number]&amp;""=C316&amp;"")*(tbl_Finance[Xero Invoice No]&lt;&gt;"")*tbl_Finance[Date]))),""))</f>
        <v/>
      </c>
      <c r="B316" s="25">
        <f>IF(C316="","",IF(COUNTIFS(tbl_Finance[Job Number],C316&amp;"",tbl_Finance[Xero Invoice No],"&lt;&gt;")=0,"",IFERROR(IF(COUNTIFS(tbl_Finance[Job Number],C316&amp;"",tbl_Finance[Xero Invoice No],LOOKUP(2,1/((tbl_Finance[Job Number]&amp;""=C316&amp;"")*(tbl_Finance[Xero Invoice No]&lt;&gt;"")),tbl_Finance[Xero Invoice No]))=COUNTIFS(tbl_Finance[Job Number],C316&amp;"",tbl_Finance[Xero Invoice No],"&lt;&gt;"),LOOKUP(2,1/((tbl_Finance[Job Number]&amp;""=C316&amp;"")*(tbl_Finance[Xero Invoice No]&lt;&gt;"")),tbl_Finance[Xero Invoice No]),LOOKUP(2,1/((tbl_Finance[Job Number]&amp;""=C316&amp;"")*(tbl_Finance[Xero Invoice No]&lt;&gt;"")),tbl_Finance[Xero Invoice No])&amp;" +more"),"")))</f>
        <v/>
      </c>
      <c r="C316" s="24" t="n"/>
      <c r="D316" s="25">
        <f>IF(C316="","",IF(COUNTIF(lst_Jobs,C316&amp;"")&gt;0,"OK","CHECK"))</f>
        <v/>
      </c>
      <c r="E316" s="25">
        <f>IF(C316="","",IFERROR(INDEX(lst_JobName,MATCH(C316&amp;"",lst_Jobs,0)),""))</f>
        <v/>
      </c>
      <c r="F316" s="25">
        <f>IF(C316="","",IFERROR(INDEX(tbl_Finance[Client],IFERROR(MATCH(C316&amp;"",tbl_Finance[Job Number],0),MATCH(IFERROR(C316+0,C316),tbl_Finance[Job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6" t="n"/>
      <c r="L316" s="27">
        <f>IF(C316="","",IF(K316="",0,MAX(0,K316-H316)))</f>
        <v/>
      </c>
      <c r="M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N316" s="24" t="n"/>
      <c r="O316" s="25">
        <f>IF(N316="","",HYPERLINK(IF(LEFT(N316,4)="http",N316,set_QwilrBase&amp;N316),"Open quote"))</f>
        <v/>
      </c>
      <c r="P316" s="26" t="n"/>
      <c r="Q316" s="26" t="n"/>
      <c r="R316" s="26" t="n"/>
      <c r="S316" s="25">
        <f>IF(C316="","",IF(N(P316)+N(Q316)+N(R316)=0,"Not split",IF(ROUND(N(P316)+N(Q316)+N(R316),2)=ROUND(H316+L316,2),"OK",IF(G316=0,"Not invoiced yet","MISMATCH"))))</f>
        <v/>
      </c>
      <c r="T316" s="26" t="n"/>
      <c r="U316" s="26" t="n"/>
      <c r="V316" s="26" t="n"/>
      <c r="W316" s="27">
        <f>IF(C316="","",N(T316)+N(U316)+N(V316))</f>
        <v/>
      </c>
      <c r="X316" s="27">
        <f>IF(C316="","",H316+L316-W316)</f>
        <v/>
      </c>
      <c r="Y316" s="29">
        <f>IFERROR(X316/(H316+L316),"")</f>
        <v/>
      </c>
      <c r="Z316" s="24" t="n"/>
    </row>
    <row r="317" ht="15" customHeight="1">
      <c r="A317" s="70">
        <f>IF(C317="","",IFERROR(IF(SUMPRODUCT(MAX((tbl_Finance[Job Number]&amp;""=C317&amp;"")*(tbl_Finance[Xero Invoice No]&lt;&gt;"")*tbl_Finance[Date]))=0,"",SUMPRODUCT(MAX((tbl_Finance[Job Number]&amp;""=C317&amp;"")*(tbl_Finance[Xero Invoice No]&lt;&gt;"")*tbl_Finance[Date]))),""))</f>
        <v/>
      </c>
      <c r="B317" s="25">
        <f>IF(C317="","",IF(COUNTIFS(tbl_Finance[Job Number],C317&amp;"",tbl_Finance[Xero Invoice No],"&lt;&gt;")=0,"",IFERROR(IF(COUNTIFS(tbl_Finance[Job Number],C317&amp;"",tbl_Finance[Xero Invoice No],LOOKUP(2,1/((tbl_Finance[Job Number]&amp;""=C317&amp;"")*(tbl_Finance[Xero Invoice No]&lt;&gt;"")),tbl_Finance[Xero Invoice No]))=COUNTIFS(tbl_Finance[Job Number],C317&amp;"",tbl_Finance[Xero Invoice No],"&lt;&gt;"),LOOKUP(2,1/((tbl_Finance[Job Number]&amp;""=C317&amp;"")*(tbl_Finance[Xero Invoice No]&lt;&gt;"")),tbl_Finance[Xero Invoice No]),LOOKUP(2,1/((tbl_Finance[Job Number]&amp;""=C317&amp;"")*(tbl_Finance[Xero Invoice No]&lt;&gt;"")),tbl_Finance[Xero Invoice No])&amp;" +more"),"")))</f>
        <v/>
      </c>
      <c r="C317" s="24" t="n"/>
      <c r="D317" s="25">
        <f>IF(C317="","",IF(COUNTIF(lst_Jobs,C317&amp;"")&gt;0,"OK","CHECK"))</f>
        <v/>
      </c>
      <c r="E317" s="25">
        <f>IF(C317="","",IFERROR(INDEX(lst_JobName,MATCH(C317&amp;"",lst_Jobs,0)),""))</f>
        <v/>
      </c>
      <c r="F317" s="25">
        <f>IF(C317="","",IFERROR(INDEX(tbl_Finance[Client],IFERROR(MATCH(C317&amp;"",tbl_Finance[Job Number],0),MATCH(IFERROR(C317+0,C317),tbl_Finance[Job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6" t="n"/>
      <c r="L317" s="27">
        <f>IF(C317="","",IF(K317="",0,MAX(0,K317-H317)))</f>
        <v/>
      </c>
      <c r="M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N317" s="24" t="n"/>
      <c r="O317" s="25">
        <f>IF(N317="","",HYPERLINK(IF(LEFT(N317,4)="http",N317,set_QwilrBase&amp;N317),"Open quote"))</f>
        <v/>
      </c>
      <c r="P317" s="26" t="n"/>
      <c r="Q317" s="26" t="n"/>
      <c r="R317" s="26" t="n"/>
      <c r="S317" s="25">
        <f>IF(C317="","",IF(N(P317)+N(Q317)+N(R317)=0,"Not split",IF(ROUND(N(P317)+N(Q317)+N(R317),2)=ROUND(H317+L317,2),"OK",IF(G317=0,"Not invoiced yet","MISMATCH"))))</f>
        <v/>
      </c>
      <c r="T317" s="26" t="n"/>
      <c r="U317" s="26" t="n"/>
      <c r="V317" s="26" t="n"/>
      <c r="W317" s="27">
        <f>IF(C317="","",N(T317)+N(U317)+N(V317))</f>
        <v/>
      </c>
      <c r="X317" s="27">
        <f>IF(C317="","",H317+L317-W317)</f>
        <v/>
      </c>
      <c r="Y317" s="29">
        <f>IFERROR(X317/(H317+L317),"")</f>
        <v/>
      </c>
      <c r="Z317" s="24" t="n"/>
    </row>
    <row r="318" ht="15" customHeight="1">
      <c r="A318" s="70">
        <f>IF(C318="","",IFERROR(IF(SUMPRODUCT(MAX((tbl_Finance[Job Number]&amp;""=C318&amp;"")*(tbl_Finance[Xero Invoice No]&lt;&gt;"")*tbl_Finance[Date]))=0,"",SUMPRODUCT(MAX((tbl_Finance[Job Number]&amp;""=C318&amp;"")*(tbl_Finance[Xero Invoice No]&lt;&gt;"")*tbl_Finance[Date]))),""))</f>
        <v/>
      </c>
      <c r="B318" s="25">
        <f>IF(C318="","",IF(COUNTIFS(tbl_Finance[Job Number],C318&amp;"",tbl_Finance[Xero Invoice No],"&lt;&gt;")=0,"",IFERROR(IF(COUNTIFS(tbl_Finance[Job Number],C318&amp;"",tbl_Finance[Xero Invoice No],LOOKUP(2,1/((tbl_Finance[Job Number]&amp;""=C318&amp;"")*(tbl_Finance[Xero Invoice No]&lt;&gt;"")),tbl_Finance[Xero Invoice No]))=COUNTIFS(tbl_Finance[Job Number],C318&amp;"",tbl_Finance[Xero Invoice No],"&lt;&gt;"),LOOKUP(2,1/((tbl_Finance[Job Number]&amp;""=C318&amp;"")*(tbl_Finance[Xero Invoice No]&lt;&gt;"")),tbl_Finance[Xero Invoice No]),LOOKUP(2,1/((tbl_Finance[Job Number]&amp;""=C318&amp;"")*(tbl_Finance[Xero Invoice No]&lt;&gt;"")),tbl_Finance[Xero Invoice No])&amp;" +more"),"")))</f>
        <v/>
      </c>
      <c r="C318" s="24" t="n"/>
      <c r="D318" s="25">
        <f>IF(C318="","",IF(COUNTIF(lst_Jobs,C318&amp;"")&gt;0,"OK","CHECK"))</f>
        <v/>
      </c>
      <c r="E318" s="25">
        <f>IF(C318="","",IFERROR(INDEX(lst_JobName,MATCH(C318&amp;"",lst_Jobs,0)),""))</f>
        <v/>
      </c>
      <c r="F318" s="25">
        <f>IF(C318="","",IFERROR(INDEX(tbl_Finance[Client],IFERROR(MATCH(C318&amp;"",tbl_Finance[Job Number],0),MATCH(IFERROR(C318+0,C318),tbl_Finance[Job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6" t="n"/>
      <c r="L318" s="27">
        <f>IF(C318="","",IF(K318="",0,MAX(0,K318-H318)))</f>
        <v/>
      </c>
      <c r="M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N318" s="24" t="n"/>
      <c r="O318" s="25">
        <f>IF(N318="","",HYPERLINK(IF(LEFT(N318,4)="http",N318,set_QwilrBase&amp;N318),"Open quote"))</f>
        <v/>
      </c>
      <c r="P318" s="26" t="n"/>
      <c r="Q318" s="26" t="n"/>
      <c r="R318" s="26" t="n"/>
      <c r="S318" s="25">
        <f>IF(C318="","",IF(N(P318)+N(Q318)+N(R318)=0,"Not split",IF(ROUND(N(P318)+N(Q318)+N(R318),2)=ROUND(H318+L318,2),"OK",IF(G318=0,"Not invoiced yet","MISMATCH"))))</f>
        <v/>
      </c>
      <c r="T318" s="26" t="n"/>
      <c r="U318" s="26" t="n"/>
      <c r="V318" s="26" t="n"/>
      <c r="W318" s="27">
        <f>IF(C318="","",N(T318)+N(U318)+N(V318))</f>
        <v/>
      </c>
      <c r="X318" s="27">
        <f>IF(C318="","",H318+L318-W318)</f>
        <v/>
      </c>
      <c r="Y318" s="29">
        <f>IFERROR(X318/(H318+L318),"")</f>
        <v/>
      </c>
      <c r="Z318" s="24" t="n"/>
    </row>
    <row r="319" ht="15" customHeight="1">
      <c r="A319" s="70">
        <f>IF(C319="","",IFERROR(IF(SUMPRODUCT(MAX((tbl_Finance[Job Number]&amp;""=C319&amp;"")*(tbl_Finance[Xero Invoice No]&lt;&gt;"")*tbl_Finance[Date]))=0,"",SUMPRODUCT(MAX((tbl_Finance[Job Number]&amp;""=C319&amp;"")*(tbl_Finance[Xero Invoice No]&lt;&gt;"")*tbl_Finance[Date]))),""))</f>
        <v/>
      </c>
      <c r="B319" s="25">
        <f>IF(C319="","",IF(COUNTIFS(tbl_Finance[Job Number],C319&amp;"",tbl_Finance[Xero Invoice No],"&lt;&gt;")=0,"",IFERROR(IF(COUNTIFS(tbl_Finance[Job Number],C319&amp;"",tbl_Finance[Xero Invoice No],LOOKUP(2,1/((tbl_Finance[Job Number]&amp;""=C319&amp;"")*(tbl_Finance[Xero Invoice No]&lt;&gt;"")),tbl_Finance[Xero Invoice No]))=COUNTIFS(tbl_Finance[Job Number],C319&amp;"",tbl_Finance[Xero Invoice No],"&lt;&gt;"),LOOKUP(2,1/((tbl_Finance[Job Number]&amp;""=C319&amp;"")*(tbl_Finance[Xero Invoice No]&lt;&gt;"")),tbl_Finance[Xero Invoice No]),LOOKUP(2,1/((tbl_Finance[Job Number]&amp;""=C319&amp;"")*(tbl_Finance[Xero Invoice No]&lt;&gt;"")),tbl_Finance[Xero Invoice No])&amp;" +more"),"")))</f>
        <v/>
      </c>
      <c r="C319" s="24" t="n"/>
      <c r="D319" s="25">
        <f>IF(C319="","",IF(COUNTIF(lst_Jobs,C319&amp;"")&gt;0,"OK","CHECK"))</f>
        <v/>
      </c>
      <c r="E319" s="25">
        <f>IF(C319="","",IFERROR(INDEX(lst_JobName,MATCH(C319&amp;"",lst_Jobs,0)),""))</f>
        <v/>
      </c>
      <c r="F319" s="25">
        <f>IF(C319="","",IFERROR(INDEX(tbl_Finance[Client],IFERROR(MATCH(C319&amp;"",tbl_Finance[Job Number],0),MATCH(IFERROR(C319+0,C319),tbl_Finance[Job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6" t="n"/>
      <c r="L319" s="27">
        <f>IF(C319="","",IF(K319="",0,MAX(0,K319-H319)))</f>
        <v/>
      </c>
      <c r="M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N319" s="24" t="n"/>
      <c r="O319" s="25">
        <f>IF(N319="","",HYPERLINK(IF(LEFT(N319,4)="http",N319,set_QwilrBase&amp;N319),"Open quote"))</f>
        <v/>
      </c>
      <c r="P319" s="26" t="n"/>
      <c r="Q319" s="26" t="n"/>
      <c r="R319" s="26" t="n"/>
      <c r="S319" s="25">
        <f>IF(C319="","",IF(N(P319)+N(Q319)+N(R319)=0,"Not split",IF(ROUND(N(P319)+N(Q319)+N(R319),2)=ROUND(H319+L319,2),"OK",IF(G319=0,"Not invoiced yet","MISMATCH"))))</f>
        <v/>
      </c>
      <c r="T319" s="26" t="n"/>
      <c r="U319" s="26" t="n"/>
      <c r="V319" s="26" t="n"/>
      <c r="W319" s="27">
        <f>IF(C319="","",N(T319)+N(U319)+N(V319))</f>
        <v/>
      </c>
      <c r="X319" s="27">
        <f>IF(C319="","",H319+L319-W319)</f>
        <v/>
      </c>
      <c r="Y319" s="29">
        <f>IFERROR(X319/(H319+L319),"")</f>
        <v/>
      </c>
      <c r="Z319" s="24" t="n"/>
    </row>
    <row r="320" ht="15" customHeight="1">
      <c r="A320" s="70">
        <f>IF(C320="","",IFERROR(IF(SUMPRODUCT(MAX((tbl_Finance[Job Number]&amp;""=C320&amp;"")*(tbl_Finance[Xero Invoice No]&lt;&gt;"")*tbl_Finance[Date]))=0,"",SUMPRODUCT(MAX((tbl_Finance[Job Number]&amp;""=C320&amp;"")*(tbl_Finance[Xero Invoice No]&lt;&gt;"")*tbl_Finance[Date]))),""))</f>
        <v/>
      </c>
      <c r="B320" s="25">
        <f>IF(C320="","",IF(COUNTIFS(tbl_Finance[Job Number],C320&amp;"",tbl_Finance[Xero Invoice No],"&lt;&gt;")=0,"",IFERROR(IF(COUNTIFS(tbl_Finance[Job Number],C320&amp;"",tbl_Finance[Xero Invoice No],LOOKUP(2,1/((tbl_Finance[Job Number]&amp;""=C320&amp;"")*(tbl_Finance[Xero Invoice No]&lt;&gt;"")),tbl_Finance[Xero Invoice No]))=COUNTIFS(tbl_Finance[Job Number],C320&amp;"",tbl_Finance[Xero Invoice No],"&lt;&gt;"),LOOKUP(2,1/((tbl_Finance[Job Number]&amp;""=C320&amp;"")*(tbl_Finance[Xero Invoice No]&lt;&gt;"")),tbl_Finance[Xero Invoice No]),LOOKUP(2,1/((tbl_Finance[Job Number]&amp;""=C320&amp;"")*(tbl_Finance[Xero Invoice No]&lt;&gt;"")),tbl_Finance[Xero Invoice No])&amp;" +more"),"")))</f>
        <v/>
      </c>
      <c r="C320" s="24" t="n"/>
      <c r="D320" s="25">
        <f>IF(C320="","",IF(COUNTIF(lst_Jobs,C320&amp;"")&gt;0,"OK","CHECK"))</f>
        <v/>
      </c>
      <c r="E320" s="25">
        <f>IF(C320="","",IFERROR(INDEX(lst_JobName,MATCH(C320&amp;"",lst_Jobs,0)),""))</f>
        <v/>
      </c>
      <c r="F320" s="25">
        <f>IF(C320="","",IFERROR(INDEX(tbl_Finance[Client],IFERROR(MATCH(C320&amp;"",tbl_Finance[Job Number],0),MATCH(IFERROR(C320+0,C320),tbl_Finance[Job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6" t="n"/>
      <c r="L320" s="27">
        <f>IF(C320="","",IF(K320="",0,MAX(0,K320-H320)))</f>
        <v/>
      </c>
      <c r="M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N320" s="24" t="n"/>
      <c r="O320" s="25">
        <f>IF(N320="","",HYPERLINK(IF(LEFT(N320,4)="http",N320,set_QwilrBase&amp;N320),"Open quote"))</f>
        <v/>
      </c>
      <c r="P320" s="26" t="n"/>
      <c r="Q320" s="26" t="n"/>
      <c r="R320" s="26" t="n"/>
      <c r="S320" s="25">
        <f>IF(C320="","",IF(N(P320)+N(Q320)+N(R320)=0,"Not split",IF(ROUND(N(P320)+N(Q320)+N(R320),2)=ROUND(H320+L320,2),"OK",IF(G320=0,"Not invoiced yet","MISMATCH"))))</f>
        <v/>
      </c>
      <c r="T320" s="26" t="n"/>
      <c r="U320" s="26" t="n"/>
      <c r="V320" s="26" t="n"/>
      <c r="W320" s="27">
        <f>IF(C320="","",N(T320)+N(U320)+N(V320))</f>
        <v/>
      </c>
      <c r="X320" s="27">
        <f>IF(C320="","",H320+L320-W320)</f>
        <v/>
      </c>
      <c r="Y320" s="29">
        <f>IFERROR(X320/(H320+L320),"")</f>
        <v/>
      </c>
      <c r="Z320" s="24" t="n"/>
    </row>
    <row r="321" ht="15" customHeight="1">
      <c r="A321" s="70">
        <f>IF(C321="","",IFERROR(IF(SUMPRODUCT(MAX((tbl_Finance[Job Number]&amp;""=C321&amp;"")*(tbl_Finance[Xero Invoice No]&lt;&gt;"")*tbl_Finance[Date]))=0,"",SUMPRODUCT(MAX((tbl_Finance[Job Number]&amp;""=C321&amp;"")*(tbl_Finance[Xero Invoice No]&lt;&gt;"")*tbl_Finance[Date]))),""))</f>
        <v/>
      </c>
      <c r="B321" s="25">
        <f>IF(C321="","",IF(COUNTIFS(tbl_Finance[Job Number],C321&amp;"",tbl_Finance[Xero Invoice No],"&lt;&gt;")=0,"",IFERROR(IF(COUNTIFS(tbl_Finance[Job Number],C321&amp;"",tbl_Finance[Xero Invoice No],LOOKUP(2,1/((tbl_Finance[Job Number]&amp;""=C321&amp;"")*(tbl_Finance[Xero Invoice No]&lt;&gt;"")),tbl_Finance[Xero Invoice No]))=COUNTIFS(tbl_Finance[Job Number],C321&amp;"",tbl_Finance[Xero Invoice No],"&lt;&gt;"),LOOKUP(2,1/((tbl_Finance[Job Number]&amp;""=C321&amp;"")*(tbl_Finance[Xero Invoice No]&lt;&gt;"")),tbl_Finance[Xero Invoice No]),LOOKUP(2,1/((tbl_Finance[Job Number]&amp;""=C321&amp;"")*(tbl_Finance[Xero Invoice No]&lt;&gt;"")),tbl_Finance[Xero Invoice No])&amp;" +more"),"")))</f>
        <v/>
      </c>
      <c r="C321" s="24" t="n"/>
      <c r="D321" s="25">
        <f>IF(C321="","",IF(COUNTIF(lst_Jobs,C321&amp;"")&gt;0,"OK","CHECK"))</f>
        <v/>
      </c>
      <c r="E321" s="25">
        <f>IF(C321="","",IFERROR(INDEX(lst_JobName,MATCH(C321&amp;"",lst_Jobs,0)),""))</f>
        <v/>
      </c>
      <c r="F321" s="25">
        <f>IF(C321="","",IFERROR(INDEX(tbl_Finance[Client],IFERROR(MATCH(C321&amp;"",tbl_Finance[Job Number],0),MATCH(IFERROR(C321+0,C321),tbl_Finance[Job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6" t="n"/>
      <c r="L321" s="27">
        <f>IF(C321="","",IF(K321="",0,MAX(0,K321-H321)))</f>
        <v/>
      </c>
      <c r="M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N321" s="24" t="n"/>
      <c r="O321" s="25">
        <f>IF(N321="","",HYPERLINK(IF(LEFT(N321,4)="http",N321,set_QwilrBase&amp;N321),"Open quote"))</f>
        <v/>
      </c>
      <c r="P321" s="26" t="n"/>
      <c r="Q321" s="26" t="n"/>
      <c r="R321" s="26" t="n"/>
      <c r="S321" s="25">
        <f>IF(C321="","",IF(N(P321)+N(Q321)+N(R321)=0,"Not split",IF(ROUND(N(P321)+N(Q321)+N(R321),2)=ROUND(H321+L321,2),"OK",IF(G321=0,"Not invoiced yet","MISMATCH"))))</f>
        <v/>
      </c>
      <c r="T321" s="26" t="n"/>
      <c r="U321" s="26" t="n"/>
      <c r="V321" s="26" t="n"/>
      <c r="W321" s="27">
        <f>IF(C321="","",N(T321)+N(U321)+N(V321))</f>
        <v/>
      </c>
      <c r="X321" s="27">
        <f>IF(C321="","",H321+L321-W321)</f>
        <v/>
      </c>
      <c r="Y321" s="29">
        <f>IFERROR(X321/(H321+L321),"")</f>
        <v/>
      </c>
      <c r="Z321" s="24" t="n"/>
    </row>
    <row r="322" ht="15" customHeight="1">
      <c r="A322" s="70">
        <f>IF(C322="","",IFERROR(IF(SUMPRODUCT(MAX((tbl_Finance[Job Number]&amp;""=C322&amp;"")*(tbl_Finance[Xero Invoice No]&lt;&gt;"")*tbl_Finance[Date]))=0,"",SUMPRODUCT(MAX((tbl_Finance[Job Number]&amp;""=C322&amp;"")*(tbl_Finance[Xero Invoice No]&lt;&gt;"")*tbl_Finance[Date]))),""))</f>
        <v/>
      </c>
      <c r="B322" s="25">
        <f>IF(C322="","",IF(COUNTIFS(tbl_Finance[Job Number],C322&amp;"",tbl_Finance[Xero Invoice No],"&lt;&gt;")=0,"",IFERROR(IF(COUNTIFS(tbl_Finance[Job Number],C322&amp;"",tbl_Finance[Xero Invoice No],LOOKUP(2,1/((tbl_Finance[Job Number]&amp;""=C322&amp;"")*(tbl_Finance[Xero Invoice No]&lt;&gt;"")),tbl_Finance[Xero Invoice No]))=COUNTIFS(tbl_Finance[Job Number],C322&amp;"",tbl_Finance[Xero Invoice No],"&lt;&gt;"),LOOKUP(2,1/((tbl_Finance[Job Number]&amp;""=C322&amp;"")*(tbl_Finance[Xero Invoice No]&lt;&gt;"")),tbl_Finance[Xero Invoice No]),LOOKUP(2,1/((tbl_Finance[Job Number]&amp;""=C322&amp;"")*(tbl_Finance[Xero Invoice No]&lt;&gt;"")),tbl_Finance[Xero Invoice No])&amp;" +more"),"")))</f>
        <v/>
      </c>
      <c r="C322" s="24" t="n"/>
      <c r="D322" s="25">
        <f>IF(C322="","",IF(COUNTIF(lst_Jobs,C322&amp;"")&gt;0,"OK","CHECK"))</f>
        <v/>
      </c>
      <c r="E322" s="25">
        <f>IF(C322="","",IFERROR(INDEX(lst_JobName,MATCH(C322&amp;"",lst_Jobs,0)),""))</f>
        <v/>
      </c>
      <c r="F322" s="25">
        <f>IF(C322="","",IFERROR(INDEX(tbl_Finance[Client],IFERROR(MATCH(C322&amp;"",tbl_Finance[Job Number],0),MATCH(IFERROR(C322+0,C322),tbl_Finance[Job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6" t="n"/>
      <c r="L322" s="27">
        <f>IF(C322="","",IF(K322="",0,MAX(0,K322-H322)))</f>
        <v/>
      </c>
      <c r="M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N322" s="24" t="n"/>
      <c r="O322" s="25">
        <f>IF(N322="","",HYPERLINK(IF(LEFT(N322,4)="http",N322,set_QwilrBase&amp;N322),"Open quote"))</f>
        <v/>
      </c>
      <c r="P322" s="26" t="n"/>
      <c r="Q322" s="26" t="n"/>
      <c r="R322" s="26" t="n"/>
      <c r="S322" s="25">
        <f>IF(C322="","",IF(N(P322)+N(Q322)+N(R322)=0,"Not split",IF(ROUND(N(P322)+N(Q322)+N(R322),2)=ROUND(H322+L322,2),"OK",IF(G322=0,"Not invoiced yet","MISMATCH"))))</f>
        <v/>
      </c>
      <c r="T322" s="26" t="n"/>
      <c r="U322" s="26" t="n"/>
      <c r="V322" s="26" t="n"/>
      <c r="W322" s="27">
        <f>IF(C322="","",N(T322)+N(U322)+N(V322))</f>
        <v/>
      </c>
      <c r="X322" s="27">
        <f>IF(C322="","",H322+L322-W322)</f>
        <v/>
      </c>
      <c r="Y322" s="29">
        <f>IFERROR(X322/(H322+L322),"")</f>
        <v/>
      </c>
      <c r="Z322" s="24" t="n"/>
    </row>
    <row r="323" ht="15" customHeight="1">
      <c r="A323" s="70">
        <f>IF(C323="","",IFERROR(IF(SUMPRODUCT(MAX((tbl_Finance[Job Number]&amp;""=C323&amp;"")*(tbl_Finance[Xero Invoice No]&lt;&gt;"")*tbl_Finance[Date]))=0,"",SUMPRODUCT(MAX((tbl_Finance[Job Number]&amp;""=C323&amp;"")*(tbl_Finance[Xero Invoice No]&lt;&gt;"")*tbl_Finance[Date]))),""))</f>
        <v/>
      </c>
      <c r="B323" s="25">
        <f>IF(C323="","",IF(COUNTIFS(tbl_Finance[Job Number],C323&amp;"",tbl_Finance[Xero Invoice No],"&lt;&gt;")=0,"",IFERROR(IF(COUNTIFS(tbl_Finance[Job Number],C323&amp;"",tbl_Finance[Xero Invoice No],LOOKUP(2,1/((tbl_Finance[Job Number]&amp;""=C323&amp;"")*(tbl_Finance[Xero Invoice No]&lt;&gt;"")),tbl_Finance[Xero Invoice No]))=COUNTIFS(tbl_Finance[Job Number],C323&amp;"",tbl_Finance[Xero Invoice No],"&lt;&gt;"),LOOKUP(2,1/((tbl_Finance[Job Number]&amp;""=C323&amp;"")*(tbl_Finance[Xero Invoice No]&lt;&gt;"")),tbl_Finance[Xero Invoice No]),LOOKUP(2,1/((tbl_Finance[Job Number]&amp;""=C323&amp;"")*(tbl_Finance[Xero Invoice No]&lt;&gt;"")),tbl_Finance[Xero Invoice No])&amp;" +more"),"")))</f>
        <v/>
      </c>
      <c r="C323" s="24" t="n"/>
      <c r="D323" s="25">
        <f>IF(C323="","",IF(COUNTIF(lst_Jobs,C323&amp;"")&gt;0,"OK","CHECK"))</f>
        <v/>
      </c>
      <c r="E323" s="25">
        <f>IF(C323="","",IFERROR(INDEX(lst_JobName,MATCH(C323&amp;"",lst_Jobs,0)),""))</f>
        <v/>
      </c>
      <c r="F323" s="25">
        <f>IF(C323="","",IFERROR(INDEX(tbl_Finance[Client],IFERROR(MATCH(C323&amp;"",tbl_Finance[Job Number],0),MATCH(IFERROR(C323+0,C323),tbl_Finance[Job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6" t="n"/>
      <c r="L323" s="27">
        <f>IF(C323="","",IF(K323="",0,MAX(0,K323-H323)))</f>
        <v/>
      </c>
      <c r="M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N323" s="24" t="n"/>
      <c r="O323" s="25">
        <f>IF(N323="","",HYPERLINK(IF(LEFT(N323,4)="http",N323,set_QwilrBase&amp;N323),"Open quote"))</f>
        <v/>
      </c>
      <c r="P323" s="26" t="n"/>
      <c r="Q323" s="26" t="n"/>
      <c r="R323" s="26" t="n"/>
      <c r="S323" s="25">
        <f>IF(C323="","",IF(N(P323)+N(Q323)+N(R323)=0,"Not split",IF(ROUND(N(P323)+N(Q323)+N(R323),2)=ROUND(H323+L323,2),"OK",IF(G323=0,"Not invoiced yet","MISMATCH"))))</f>
        <v/>
      </c>
      <c r="T323" s="26" t="n"/>
      <c r="U323" s="26" t="n"/>
      <c r="V323" s="26" t="n"/>
      <c r="W323" s="27">
        <f>IF(C323="","",N(T323)+N(U323)+N(V323))</f>
        <v/>
      </c>
      <c r="X323" s="27">
        <f>IF(C323="","",H323+L323-W323)</f>
        <v/>
      </c>
      <c r="Y323" s="29">
        <f>IFERROR(X323/(H323+L323),"")</f>
        <v/>
      </c>
      <c r="Z323" s="24" t="n"/>
    </row>
    <row r="324" ht="15" customHeight="1">
      <c r="A324" s="70">
        <f>IF(C324="","",IFERROR(IF(SUMPRODUCT(MAX((tbl_Finance[Job Number]&amp;""=C324&amp;"")*(tbl_Finance[Xero Invoice No]&lt;&gt;"")*tbl_Finance[Date]))=0,"",SUMPRODUCT(MAX((tbl_Finance[Job Number]&amp;""=C324&amp;"")*(tbl_Finance[Xero Invoice No]&lt;&gt;"")*tbl_Finance[Date]))),""))</f>
        <v/>
      </c>
      <c r="B324" s="25">
        <f>IF(C324="","",IF(COUNTIFS(tbl_Finance[Job Number],C324&amp;"",tbl_Finance[Xero Invoice No],"&lt;&gt;")=0,"",IFERROR(IF(COUNTIFS(tbl_Finance[Job Number],C324&amp;"",tbl_Finance[Xero Invoice No],LOOKUP(2,1/((tbl_Finance[Job Number]&amp;""=C324&amp;"")*(tbl_Finance[Xero Invoice No]&lt;&gt;"")),tbl_Finance[Xero Invoice No]))=COUNTIFS(tbl_Finance[Job Number],C324&amp;"",tbl_Finance[Xero Invoice No],"&lt;&gt;"),LOOKUP(2,1/((tbl_Finance[Job Number]&amp;""=C324&amp;"")*(tbl_Finance[Xero Invoice No]&lt;&gt;"")),tbl_Finance[Xero Invoice No]),LOOKUP(2,1/((tbl_Finance[Job Number]&amp;""=C324&amp;"")*(tbl_Finance[Xero Invoice No]&lt;&gt;"")),tbl_Finance[Xero Invoice No])&amp;" +more"),"")))</f>
        <v/>
      </c>
      <c r="C324" s="24" t="n"/>
      <c r="D324" s="25">
        <f>IF(C324="","",IF(COUNTIF(lst_Jobs,C324&amp;"")&gt;0,"OK","CHECK"))</f>
        <v/>
      </c>
      <c r="E324" s="25">
        <f>IF(C324="","",IFERROR(INDEX(lst_JobName,MATCH(C324&amp;"",lst_Jobs,0)),""))</f>
        <v/>
      </c>
      <c r="F324" s="25">
        <f>IF(C324="","",IFERROR(INDEX(tbl_Finance[Client],IFERROR(MATCH(C324&amp;"",tbl_Finance[Job Number],0),MATCH(IFERROR(C324+0,C324),tbl_Finance[Job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6" t="n"/>
      <c r="L324" s="27">
        <f>IF(C324="","",IF(K324="",0,MAX(0,K324-H324)))</f>
        <v/>
      </c>
      <c r="M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N324" s="24" t="n"/>
      <c r="O324" s="25">
        <f>IF(N324="","",HYPERLINK(IF(LEFT(N324,4)="http",N324,set_QwilrBase&amp;N324),"Open quote"))</f>
        <v/>
      </c>
      <c r="P324" s="26" t="n"/>
      <c r="Q324" s="26" t="n"/>
      <c r="R324" s="26" t="n"/>
      <c r="S324" s="25">
        <f>IF(C324="","",IF(N(P324)+N(Q324)+N(R324)=0,"Not split",IF(ROUND(N(P324)+N(Q324)+N(R324),2)=ROUND(H324+L324,2),"OK",IF(G324=0,"Not invoiced yet","MISMATCH"))))</f>
        <v/>
      </c>
      <c r="T324" s="26" t="n"/>
      <c r="U324" s="26" t="n"/>
      <c r="V324" s="26" t="n"/>
      <c r="W324" s="27">
        <f>IF(C324="","",N(T324)+N(U324)+N(V324))</f>
        <v/>
      </c>
      <c r="X324" s="27">
        <f>IF(C324="","",H324+L324-W324)</f>
        <v/>
      </c>
      <c r="Y324" s="29">
        <f>IFERROR(X324/(H324+L324),"")</f>
        <v/>
      </c>
      <c r="Z324" s="24" t="n"/>
    </row>
    <row r="325" ht="15" customHeight="1">
      <c r="A325" s="70">
        <f>IF(C325="","",IFERROR(IF(SUMPRODUCT(MAX((tbl_Finance[Job Number]&amp;""=C325&amp;"")*(tbl_Finance[Xero Invoice No]&lt;&gt;"")*tbl_Finance[Date]))=0,"",SUMPRODUCT(MAX((tbl_Finance[Job Number]&amp;""=C325&amp;"")*(tbl_Finance[Xero Invoice No]&lt;&gt;"")*tbl_Finance[Date]))),""))</f>
        <v/>
      </c>
      <c r="B325" s="25">
        <f>IF(C325="","",IF(COUNTIFS(tbl_Finance[Job Number],C325&amp;"",tbl_Finance[Xero Invoice No],"&lt;&gt;")=0,"",IFERROR(IF(COUNTIFS(tbl_Finance[Job Number],C325&amp;"",tbl_Finance[Xero Invoice No],LOOKUP(2,1/((tbl_Finance[Job Number]&amp;""=C325&amp;"")*(tbl_Finance[Xero Invoice No]&lt;&gt;"")),tbl_Finance[Xero Invoice No]))=COUNTIFS(tbl_Finance[Job Number],C325&amp;"",tbl_Finance[Xero Invoice No],"&lt;&gt;"),LOOKUP(2,1/((tbl_Finance[Job Number]&amp;""=C325&amp;"")*(tbl_Finance[Xero Invoice No]&lt;&gt;"")),tbl_Finance[Xero Invoice No]),LOOKUP(2,1/((tbl_Finance[Job Number]&amp;""=C325&amp;"")*(tbl_Finance[Xero Invoice No]&lt;&gt;"")),tbl_Finance[Xero Invoice No])&amp;" +more"),"")))</f>
        <v/>
      </c>
      <c r="C325" s="24" t="n"/>
      <c r="D325" s="25">
        <f>IF(C325="","",IF(COUNTIF(lst_Jobs,C325&amp;"")&gt;0,"OK","CHECK"))</f>
        <v/>
      </c>
      <c r="E325" s="25">
        <f>IF(C325="","",IFERROR(INDEX(lst_JobName,MATCH(C325&amp;"",lst_Jobs,0)),""))</f>
        <v/>
      </c>
      <c r="F325" s="25">
        <f>IF(C325="","",IFERROR(INDEX(tbl_Finance[Client],IFERROR(MATCH(C325&amp;"",tbl_Finance[Job Number],0),MATCH(IFERROR(C325+0,C325),tbl_Finance[Job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6" t="n"/>
      <c r="L325" s="27">
        <f>IF(C325="","",IF(K325="",0,MAX(0,K325-H325)))</f>
        <v/>
      </c>
      <c r="M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N325" s="24" t="n"/>
      <c r="O325" s="25">
        <f>IF(N325="","",HYPERLINK(IF(LEFT(N325,4)="http",N325,set_QwilrBase&amp;N325),"Open quote"))</f>
        <v/>
      </c>
      <c r="P325" s="26" t="n"/>
      <c r="Q325" s="26" t="n"/>
      <c r="R325" s="26" t="n"/>
      <c r="S325" s="25">
        <f>IF(C325="","",IF(N(P325)+N(Q325)+N(R325)=0,"Not split",IF(ROUND(N(P325)+N(Q325)+N(R325),2)=ROUND(H325+L325,2),"OK",IF(G325=0,"Not invoiced yet","MISMATCH"))))</f>
        <v/>
      </c>
      <c r="T325" s="26" t="n"/>
      <c r="U325" s="26" t="n"/>
      <c r="V325" s="26" t="n"/>
      <c r="W325" s="27">
        <f>IF(C325="","",N(T325)+N(U325)+N(V325))</f>
        <v/>
      </c>
      <c r="X325" s="27">
        <f>IF(C325="","",H325+L325-W325)</f>
        <v/>
      </c>
      <c r="Y325" s="29">
        <f>IFERROR(X325/(H325+L325),"")</f>
        <v/>
      </c>
      <c r="Z325" s="24" t="n"/>
    </row>
    <row r="326" ht="15" customHeight="1">
      <c r="A326" s="70">
        <f>IF(C326="","",IFERROR(IF(SUMPRODUCT(MAX((tbl_Finance[Job Number]&amp;""=C326&amp;"")*(tbl_Finance[Xero Invoice No]&lt;&gt;"")*tbl_Finance[Date]))=0,"",SUMPRODUCT(MAX((tbl_Finance[Job Number]&amp;""=C326&amp;"")*(tbl_Finance[Xero Invoice No]&lt;&gt;"")*tbl_Finance[Date]))),""))</f>
        <v/>
      </c>
      <c r="B326" s="25">
        <f>IF(C326="","",IF(COUNTIFS(tbl_Finance[Job Number],C326&amp;"",tbl_Finance[Xero Invoice No],"&lt;&gt;")=0,"",IFERROR(IF(COUNTIFS(tbl_Finance[Job Number],C326&amp;"",tbl_Finance[Xero Invoice No],LOOKUP(2,1/((tbl_Finance[Job Number]&amp;""=C326&amp;"")*(tbl_Finance[Xero Invoice No]&lt;&gt;"")),tbl_Finance[Xero Invoice No]))=COUNTIFS(tbl_Finance[Job Number],C326&amp;"",tbl_Finance[Xero Invoice No],"&lt;&gt;"),LOOKUP(2,1/((tbl_Finance[Job Number]&amp;""=C326&amp;"")*(tbl_Finance[Xero Invoice No]&lt;&gt;"")),tbl_Finance[Xero Invoice No]),LOOKUP(2,1/((tbl_Finance[Job Number]&amp;""=C326&amp;"")*(tbl_Finance[Xero Invoice No]&lt;&gt;"")),tbl_Finance[Xero Invoice No])&amp;" +more"),"")))</f>
        <v/>
      </c>
      <c r="C326" s="24" t="n"/>
      <c r="D326" s="25">
        <f>IF(C326="","",IF(COUNTIF(lst_Jobs,C326&amp;"")&gt;0,"OK","CHECK"))</f>
        <v/>
      </c>
      <c r="E326" s="25">
        <f>IF(C326="","",IFERROR(INDEX(lst_JobName,MATCH(C326&amp;"",lst_Jobs,0)),""))</f>
        <v/>
      </c>
      <c r="F326" s="25">
        <f>IF(C326="","",IFERROR(INDEX(tbl_Finance[Client],IFERROR(MATCH(C326&amp;"",tbl_Finance[Job Number],0),MATCH(IFERROR(C326+0,C326),tbl_Finance[Job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6" t="n"/>
      <c r="L326" s="27">
        <f>IF(C326="","",IF(K326="",0,MAX(0,K326-H326)))</f>
        <v/>
      </c>
      <c r="M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N326" s="24" t="n"/>
      <c r="O326" s="25">
        <f>IF(N326="","",HYPERLINK(IF(LEFT(N326,4)="http",N326,set_QwilrBase&amp;N326),"Open quote"))</f>
        <v/>
      </c>
      <c r="P326" s="26" t="n"/>
      <c r="Q326" s="26" t="n"/>
      <c r="R326" s="26" t="n"/>
      <c r="S326" s="25">
        <f>IF(C326="","",IF(N(P326)+N(Q326)+N(R326)=0,"Not split",IF(ROUND(N(P326)+N(Q326)+N(R326),2)=ROUND(H326+L326,2),"OK",IF(G326=0,"Not invoiced yet","MISMATCH"))))</f>
        <v/>
      </c>
      <c r="T326" s="26" t="n"/>
      <c r="U326" s="26" t="n"/>
      <c r="V326" s="26" t="n"/>
      <c r="W326" s="27">
        <f>IF(C326="","",N(T326)+N(U326)+N(V326))</f>
        <v/>
      </c>
      <c r="X326" s="27">
        <f>IF(C326="","",H326+L326-W326)</f>
        <v/>
      </c>
      <c r="Y326" s="29">
        <f>IFERROR(X326/(H326+L326),"")</f>
        <v/>
      </c>
      <c r="Z326" s="24" t="n"/>
    </row>
    <row r="327" ht="15" customHeight="1">
      <c r="A327" s="70">
        <f>IF(C327="","",IFERROR(IF(SUMPRODUCT(MAX((tbl_Finance[Job Number]&amp;""=C327&amp;"")*(tbl_Finance[Xero Invoice No]&lt;&gt;"")*tbl_Finance[Date]))=0,"",SUMPRODUCT(MAX((tbl_Finance[Job Number]&amp;""=C327&amp;"")*(tbl_Finance[Xero Invoice No]&lt;&gt;"")*tbl_Finance[Date]))),""))</f>
        <v/>
      </c>
      <c r="B327" s="25">
        <f>IF(C327="","",IF(COUNTIFS(tbl_Finance[Job Number],C327&amp;"",tbl_Finance[Xero Invoice No],"&lt;&gt;")=0,"",IFERROR(IF(COUNTIFS(tbl_Finance[Job Number],C327&amp;"",tbl_Finance[Xero Invoice No],LOOKUP(2,1/((tbl_Finance[Job Number]&amp;""=C327&amp;"")*(tbl_Finance[Xero Invoice No]&lt;&gt;"")),tbl_Finance[Xero Invoice No]))=COUNTIFS(tbl_Finance[Job Number],C327&amp;"",tbl_Finance[Xero Invoice No],"&lt;&gt;"),LOOKUP(2,1/((tbl_Finance[Job Number]&amp;""=C327&amp;"")*(tbl_Finance[Xero Invoice No]&lt;&gt;"")),tbl_Finance[Xero Invoice No]),LOOKUP(2,1/((tbl_Finance[Job Number]&amp;""=C327&amp;"")*(tbl_Finance[Xero Invoice No]&lt;&gt;"")),tbl_Finance[Xero Invoice No])&amp;" +more"),"")))</f>
        <v/>
      </c>
      <c r="C327" s="24" t="n"/>
      <c r="D327" s="25">
        <f>IF(C327="","",IF(COUNTIF(lst_Jobs,C327&amp;"")&gt;0,"OK","CHECK"))</f>
        <v/>
      </c>
      <c r="E327" s="25">
        <f>IF(C327="","",IFERROR(INDEX(lst_JobName,MATCH(C327&amp;"",lst_Jobs,0)),""))</f>
        <v/>
      </c>
      <c r="F327" s="25">
        <f>IF(C327="","",IFERROR(INDEX(tbl_Finance[Client],IFERROR(MATCH(C327&amp;"",tbl_Finance[Job Number],0),MATCH(IFERROR(C327+0,C327),tbl_Finance[Job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6" t="n"/>
      <c r="L327" s="27">
        <f>IF(C327="","",IF(K327="",0,MAX(0,K327-H327)))</f>
        <v/>
      </c>
      <c r="M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N327" s="24" t="n"/>
      <c r="O327" s="25">
        <f>IF(N327="","",HYPERLINK(IF(LEFT(N327,4)="http",N327,set_QwilrBase&amp;N327),"Open quote"))</f>
        <v/>
      </c>
      <c r="P327" s="26" t="n"/>
      <c r="Q327" s="26" t="n"/>
      <c r="R327" s="26" t="n"/>
      <c r="S327" s="25">
        <f>IF(C327="","",IF(N(P327)+N(Q327)+N(R327)=0,"Not split",IF(ROUND(N(P327)+N(Q327)+N(R327),2)=ROUND(H327+L327,2),"OK",IF(G327=0,"Not invoiced yet","MISMATCH"))))</f>
        <v/>
      </c>
      <c r="T327" s="26" t="n"/>
      <c r="U327" s="26" t="n"/>
      <c r="V327" s="26" t="n"/>
      <c r="W327" s="27">
        <f>IF(C327="","",N(T327)+N(U327)+N(V327))</f>
        <v/>
      </c>
      <c r="X327" s="27">
        <f>IF(C327="","",H327+L327-W327)</f>
        <v/>
      </c>
      <c r="Y327" s="29">
        <f>IFERROR(X327/(H327+L327),"")</f>
        <v/>
      </c>
      <c r="Z327" s="24" t="n"/>
    </row>
    <row r="328" ht="15" customHeight="1">
      <c r="A328" s="70">
        <f>IF(C328="","",IFERROR(IF(SUMPRODUCT(MAX((tbl_Finance[Job Number]&amp;""=C328&amp;"")*(tbl_Finance[Xero Invoice No]&lt;&gt;"")*tbl_Finance[Date]))=0,"",SUMPRODUCT(MAX((tbl_Finance[Job Number]&amp;""=C328&amp;"")*(tbl_Finance[Xero Invoice No]&lt;&gt;"")*tbl_Finance[Date]))),""))</f>
        <v/>
      </c>
      <c r="B328" s="25">
        <f>IF(C328="","",IF(COUNTIFS(tbl_Finance[Job Number],C328&amp;"",tbl_Finance[Xero Invoice No],"&lt;&gt;")=0,"",IFERROR(IF(COUNTIFS(tbl_Finance[Job Number],C328&amp;"",tbl_Finance[Xero Invoice No],LOOKUP(2,1/((tbl_Finance[Job Number]&amp;""=C328&amp;"")*(tbl_Finance[Xero Invoice No]&lt;&gt;"")),tbl_Finance[Xero Invoice No]))=COUNTIFS(tbl_Finance[Job Number],C328&amp;"",tbl_Finance[Xero Invoice No],"&lt;&gt;"),LOOKUP(2,1/((tbl_Finance[Job Number]&amp;""=C328&amp;"")*(tbl_Finance[Xero Invoice No]&lt;&gt;"")),tbl_Finance[Xero Invoice No]),LOOKUP(2,1/((tbl_Finance[Job Number]&amp;""=C328&amp;"")*(tbl_Finance[Xero Invoice No]&lt;&gt;"")),tbl_Finance[Xero Invoice No])&amp;" +more"),"")))</f>
        <v/>
      </c>
      <c r="C328" s="24" t="n"/>
      <c r="D328" s="25">
        <f>IF(C328="","",IF(COUNTIF(lst_Jobs,C328&amp;"")&gt;0,"OK","CHECK"))</f>
        <v/>
      </c>
      <c r="E328" s="25">
        <f>IF(C328="","",IFERROR(INDEX(lst_JobName,MATCH(C328&amp;"",lst_Jobs,0)),""))</f>
        <v/>
      </c>
      <c r="F328" s="25">
        <f>IF(C328="","",IFERROR(INDEX(tbl_Finance[Client],IFERROR(MATCH(C328&amp;"",tbl_Finance[Job Number],0),MATCH(IFERROR(C328+0,C328),tbl_Finance[Job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6" t="n"/>
      <c r="L328" s="27">
        <f>IF(C328="","",IF(K328="",0,MAX(0,K328-H328)))</f>
        <v/>
      </c>
      <c r="M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N328" s="24" t="n"/>
      <c r="O328" s="25">
        <f>IF(N328="","",HYPERLINK(IF(LEFT(N328,4)="http",N328,set_QwilrBase&amp;N328),"Open quote"))</f>
        <v/>
      </c>
      <c r="P328" s="26" t="n"/>
      <c r="Q328" s="26" t="n"/>
      <c r="R328" s="26" t="n"/>
      <c r="S328" s="25">
        <f>IF(C328="","",IF(N(P328)+N(Q328)+N(R328)=0,"Not split",IF(ROUND(N(P328)+N(Q328)+N(R328),2)=ROUND(H328+L328,2),"OK",IF(G328=0,"Not invoiced yet","MISMATCH"))))</f>
        <v/>
      </c>
      <c r="T328" s="26" t="n"/>
      <c r="U328" s="26" t="n"/>
      <c r="V328" s="26" t="n"/>
      <c r="W328" s="27">
        <f>IF(C328="","",N(T328)+N(U328)+N(V328))</f>
        <v/>
      </c>
      <c r="X328" s="27">
        <f>IF(C328="","",H328+L328-W328)</f>
        <v/>
      </c>
      <c r="Y328" s="29">
        <f>IFERROR(X328/(H328+L328),"")</f>
        <v/>
      </c>
      <c r="Z328" s="24" t="n"/>
    </row>
    <row r="329" ht="15" customHeight="1">
      <c r="A329" s="70">
        <f>IF(C329="","",IFERROR(IF(SUMPRODUCT(MAX((tbl_Finance[Job Number]&amp;""=C329&amp;"")*(tbl_Finance[Xero Invoice No]&lt;&gt;"")*tbl_Finance[Date]))=0,"",SUMPRODUCT(MAX((tbl_Finance[Job Number]&amp;""=C329&amp;"")*(tbl_Finance[Xero Invoice No]&lt;&gt;"")*tbl_Finance[Date]))),""))</f>
        <v/>
      </c>
      <c r="B329" s="25">
        <f>IF(C329="","",IF(COUNTIFS(tbl_Finance[Job Number],C329&amp;"",tbl_Finance[Xero Invoice No],"&lt;&gt;")=0,"",IFERROR(IF(COUNTIFS(tbl_Finance[Job Number],C329&amp;"",tbl_Finance[Xero Invoice No],LOOKUP(2,1/((tbl_Finance[Job Number]&amp;""=C329&amp;"")*(tbl_Finance[Xero Invoice No]&lt;&gt;"")),tbl_Finance[Xero Invoice No]))=COUNTIFS(tbl_Finance[Job Number],C329&amp;"",tbl_Finance[Xero Invoice No],"&lt;&gt;"),LOOKUP(2,1/((tbl_Finance[Job Number]&amp;""=C329&amp;"")*(tbl_Finance[Xero Invoice No]&lt;&gt;"")),tbl_Finance[Xero Invoice No]),LOOKUP(2,1/((tbl_Finance[Job Number]&amp;""=C329&amp;"")*(tbl_Finance[Xero Invoice No]&lt;&gt;"")),tbl_Finance[Xero Invoice No])&amp;" +more"),"")))</f>
        <v/>
      </c>
      <c r="C329" s="24" t="n"/>
      <c r="D329" s="25">
        <f>IF(C329="","",IF(COUNTIF(lst_Jobs,C329&amp;"")&gt;0,"OK","CHECK"))</f>
        <v/>
      </c>
      <c r="E329" s="25">
        <f>IF(C329="","",IFERROR(INDEX(lst_JobName,MATCH(C329&amp;"",lst_Jobs,0)),""))</f>
        <v/>
      </c>
      <c r="F329" s="25">
        <f>IF(C329="","",IFERROR(INDEX(tbl_Finance[Client],IFERROR(MATCH(C329&amp;"",tbl_Finance[Job Number],0),MATCH(IFERROR(C329+0,C329),tbl_Finance[Job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6" t="n"/>
      <c r="L329" s="27">
        <f>IF(C329="","",IF(K329="",0,MAX(0,K329-H329)))</f>
        <v/>
      </c>
      <c r="M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N329" s="24" t="n"/>
      <c r="O329" s="25">
        <f>IF(N329="","",HYPERLINK(IF(LEFT(N329,4)="http",N329,set_QwilrBase&amp;N329),"Open quote"))</f>
        <v/>
      </c>
      <c r="P329" s="26" t="n"/>
      <c r="Q329" s="26" t="n"/>
      <c r="R329" s="26" t="n"/>
      <c r="S329" s="25">
        <f>IF(C329="","",IF(N(P329)+N(Q329)+N(R329)=0,"Not split",IF(ROUND(N(P329)+N(Q329)+N(R329),2)=ROUND(H329+L329,2),"OK",IF(G329=0,"Not invoiced yet","MISMATCH"))))</f>
        <v/>
      </c>
      <c r="T329" s="26" t="n"/>
      <c r="U329" s="26" t="n"/>
      <c r="V329" s="26" t="n"/>
      <c r="W329" s="27">
        <f>IF(C329="","",N(T329)+N(U329)+N(V329))</f>
        <v/>
      </c>
      <c r="X329" s="27">
        <f>IF(C329="","",H329+L329-W329)</f>
        <v/>
      </c>
      <c r="Y329" s="29">
        <f>IFERROR(X329/(H329+L329),"")</f>
        <v/>
      </c>
      <c r="Z329" s="24" t="n"/>
    </row>
    <row r="330" ht="15" customHeight="1">
      <c r="A330" s="70">
        <f>IF(C330="","",IFERROR(IF(SUMPRODUCT(MAX((tbl_Finance[Job Number]&amp;""=C330&amp;"")*(tbl_Finance[Xero Invoice No]&lt;&gt;"")*tbl_Finance[Date]))=0,"",SUMPRODUCT(MAX((tbl_Finance[Job Number]&amp;""=C330&amp;"")*(tbl_Finance[Xero Invoice No]&lt;&gt;"")*tbl_Finance[Date]))),""))</f>
        <v/>
      </c>
      <c r="B330" s="25">
        <f>IF(C330="","",IF(COUNTIFS(tbl_Finance[Job Number],C330&amp;"",tbl_Finance[Xero Invoice No],"&lt;&gt;")=0,"",IFERROR(IF(COUNTIFS(tbl_Finance[Job Number],C330&amp;"",tbl_Finance[Xero Invoice No],LOOKUP(2,1/((tbl_Finance[Job Number]&amp;""=C330&amp;"")*(tbl_Finance[Xero Invoice No]&lt;&gt;"")),tbl_Finance[Xero Invoice No]))=COUNTIFS(tbl_Finance[Job Number],C330&amp;"",tbl_Finance[Xero Invoice No],"&lt;&gt;"),LOOKUP(2,1/((tbl_Finance[Job Number]&amp;""=C330&amp;"")*(tbl_Finance[Xero Invoice No]&lt;&gt;"")),tbl_Finance[Xero Invoice No]),LOOKUP(2,1/((tbl_Finance[Job Number]&amp;""=C330&amp;"")*(tbl_Finance[Xero Invoice No]&lt;&gt;"")),tbl_Finance[Xero Invoice No])&amp;" +more"),"")))</f>
        <v/>
      </c>
      <c r="C330" s="24" t="n"/>
      <c r="D330" s="25">
        <f>IF(C330="","",IF(COUNTIF(lst_Jobs,C330&amp;"")&gt;0,"OK","CHECK"))</f>
        <v/>
      </c>
      <c r="E330" s="25">
        <f>IF(C330="","",IFERROR(INDEX(lst_JobName,MATCH(C330&amp;"",lst_Jobs,0)),""))</f>
        <v/>
      </c>
      <c r="F330" s="25">
        <f>IF(C330="","",IFERROR(INDEX(tbl_Finance[Client],IFERROR(MATCH(C330&amp;"",tbl_Finance[Job Number],0),MATCH(IFERROR(C330+0,C330),tbl_Finance[Job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6" t="n"/>
      <c r="L330" s="27">
        <f>IF(C330="","",IF(K330="",0,MAX(0,K330-H330)))</f>
        <v/>
      </c>
      <c r="M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N330" s="24" t="n"/>
      <c r="O330" s="25">
        <f>IF(N330="","",HYPERLINK(IF(LEFT(N330,4)="http",N330,set_QwilrBase&amp;N330),"Open quote"))</f>
        <v/>
      </c>
      <c r="P330" s="26" t="n"/>
      <c r="Q330" s="26" t="n"/>
      <c r="R330" s="26" t="n"/>
      <c r="S330" s="25">
        <f>IF(C330="","",IF(N(P330)+N(Q330)+N(R330)=0,"Not split",IF(ROUND(N(P330)+N(Q330)+N(R330),2)=ROUND(H330+L330,2),"OK",IF(G330=0,"Not invoiced yet","MISMATCH"))))</f>
        <v/>
      </c>
      <c r="T330" s="26" t="n"/>
      <c r="U330" s="26" t="n"/>
      <c r="V330" s="26" t="n"/>
      <c r="W330" s="27">
        <f>IF(C330="","",N(T330)+N(U330)+N(V330))</f>
        <v/>
      </c>
      <c r="X330" s="27">
        <f>IF(C330="","",H330+L330-W330)</f>
        <v/>
      </c>
      <c r="Y330" s="29">
        <f>IFERROR(X330/(H330+L330),"")</f>
        <v/>
      </c>
      <c r="Z330" s="24" t="n"/>
    </row>
    <row r="331" ht="15" customHeight="1">
      <c r="A331" s="70">
        <f>IF(C331="","",IFERROR(IF(SUMPRODUCT(MAX((tbl_Finance[Job Number]&amp;""=C331&amp;"")*(tbl_Finance[Xero Invoice No]&lt;&gt;"")*tbl_Finance[Date]))=0,"",SUMPRODUCT(MAX((tbl_Finance[Job Number]&amp;""=C331&amp;"")*(tbl_Finance[Xero Invoice No]&lt;&gt;"")*tbl_Finance[Date]))),""))</f>
        <v/>
      </c>
      <c r="B331" s="25">
        <f>IF(C331="","",IF(COUNTIFS(tbl_Finance[Job Number],C331&amp;"",tbl_Finance[Xero Invoice No],"&lt;&gt;")=0,"",IFERROR(IF(COUNTIFS(tbl_Finance[Job Number],C331&amp;"",tbl_Finance[Xero Invoice No],LOOKUP(2,1/((tbl_Finance[Job Number]&amp;""=C331&amp;"")*(tbl_Finance[Xero Invoice No]&lt;&gt;"")),tbl_Finance[Xero Invoice No]))=COUNTIFS(tbl_Finance[Job Number],C331&amp;"",tbl_Finance[Xero Invoice No],"&lt;&gt;"),LOOKUP(2,1/((tbl_Finance[Job Number]&amp;""=C331&amp;"")*(tbl_Finance[Xero Invoice No]&lt;&gt;"")),tbl_Finance[Xero Invoice No]),LOOKUP(2,1/((tbl_Finance[Job Number]&amp;""=C331&amp;"")*(tbl_Finance[Xero Invoice No]&lt;&gt;"")),tbl_Finance[Xero Invoice No])&amp;" +more"),"")))</f>
        <v/>
      </c>
      <c r="C331" s="24" t="n"/>
      <c r="D331" s="25">
        <f>IF(C331="","",IF(COUNTIF(lst_Jobs,C331&amp;"")&gt;0,"OK","CHECK"))</f>
        <v/>
      </c>
      <c r="E331" s="25">
        <f>IF(C331="","",IFERROR(INDEX(lst_JobName,MATCH(C331&amp;"",lst_Jobs,0)),""))</f>
        <v/>
      </c>
      <c r="F331" s="25">
        <f>IF(C331="","",IFERROR(INDEX(tbl_Finance[Client],IFERROR(MATCH(C331&amp;"",tbl_Finance[Job Number],0),MATCH(IFERROR(C331+0,C331),tbl_Finance[Job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6" t="n"/>
      <c r="L331" s="27">
        <f>IF(C331="","",IF(K331="",0,MAX(0,K331-H331)))</f>
        <v/>
      </c>
      <c r="M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N331" s="24" t="n"/>
      <c r="O331" s="25">
        <f>IF(N331="","",HYPERLINK(IF(LEFT(N331,4)="http",N331,set_QwilrBase&amp;N331),"Open quote"))</f>
        <v/>
      </c>
      <c r="P331" s="26" t="n"/>
      <c r="Q331" s="26" t="n"/>
      <c r="R331" s="26" t="n"/>
      <c r="S331" s="25">
        <f>IF(C331="","",IF(N(P331)+N(Q331)+N(R331)=0,"Not split",IF(ROUND(N(P331)+N(Q331)+N(R331),2)=ROUND(H331+L331,2),"OK",IF(G331=0,"Not invoiced yet","MISMATCH"))))</f>
        <v/>
      </c>
      <c r="T331" s="26" t="n"/>
      <c r="U331" s="26" t="n"/>
      <c r="V331" s="26" t="n"/>
      <c r="W331" s="27">
        <f>IF(C331="","",N(T331)+N(U331)+N(V331))</f>
        <v/>
      </c>
      <c r="X331" s="27">
        <f>IF(C331="","",H331+L331-W331)</f>
        <v/>
      </c>
      <c r="Y331" s="29">
        <f>IFERROR(X331/(H331+L331),"")</f>
        <v/>
      </c>
      <c r="Z331" s="24" t="n"/>
    </row>
    <row r="332" ht="15" customHeight="1">
      <c r="A332" s="70">
        <f>IF(C332="","",IFERROR(IF(SUMPRODUCT(MAX((tbl_Finance[Job Number]&amp;""=C332&amp;"")*(tbl_Finance[Xero Invoice No]&lt;&gt;"")*tbl_Finance[Date]))=0,"",SUMPRODUCT(MAX((tbl_Finance[Job Number]&amp;""=C332&amp;"")*(tbl_Finance[Xero Invoice No]&lt;&gt;"")*tbl_Finance[Date]))),""))</f>
        <v/>
      </c>
      <c r="B332" s="25">
        <f>IF(C332="","",IF(COUNTIFS(tbl_Finance[Job Number],C332&amp;"",tbl_Finance[Xero Invoice No],"&lt;&gt;")=0,"",IFERROR(IF(COUNTIFS(tbl_Finance[Job Number],C332&amp;"",tbl_Finance[Xero Invoice No],LOOKUP(2,1/((tbl_Finance[Job Number]&amp;""=C332&amp;"")*(tbl_Finance[Xero Invoice No]&lt;&gt;"")),tbl_Finance[Xero Invoice No]))=COUNTIFS(tbl_Finance[Job Number],C332&amp;"",tbl_Finance[Xero Invoice No],"&lt;&gt;"),LOOKUP(2,1/((tbl_Finance[Job Number]&amp;""=C332&amp;"")*(tbl_Finance[Xero Invoice No]&lt;&gt;"")),tbl_Finance[Xero Invoice No]),LOOKUP(2,1/((tbl_Finance[Job Number]&amp;""=C332&amp;"")*(tbl_Finance[Xero Invoice No]&lt;&gt;"")),tbl_Finance[Xero Invoice No])&amp;" +more"),"")))</f>
        <v/>
      </c>
      <c r="C332" s="24" t="n"/>
      <c r="D332" s="25">
        <f>IF(C332="","",IF(COUNTIF(lst_Jobs,C332&amp;"")&gt;0,"OK","CHECK"))</f>
        <v/>
      </c>
      <c r="E332" s="25">
        <f>IF(C332="","",IFERROR(INDEX(lst_JobName,MATCH(C332&amp;"",lst_Jobs,0)),""))</f>
        <v/>
      </c>
      <c r="F332" s="25">
        <f>IF(C332="","",IFERROR(INDEX(tbl_Finance[Client],IFERROR(MATCH(C332&amp;"",tbl_Finance[Job Number],0),MATCH(IFERROR(C332+0,C332),tbl_Finance[Job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6" t="n"/>
      <c r="L332" s="27">
        <f>IF(C332="","",IF(K332="",0,MAX(0,K332-H332)))</f>
        <v/>
      </c>
      <c r="M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N332" s="24" t="n"/>
      <c r="O332" s="25">
        <f>IF(N332="","",HYPERLINK(IF(LEFT(N332,4)="http",N332,set_QwilrBase&amp;N332),"Open quote"))</f>
        <v/>
      </c>
      <c r="P332" s="26" t="n"/>
      <c r="Q332" s="26" t="n"/>
      <c r="R332" s="26" t="n"/>
      <c r="S332" s="25">
        <f>IF(C332="","",IF(N(P332)+N(Q332)+N(R332)=0,"Not split",IF(ROUND(N(P332)+N(Q332)+N(R332),2)=ROUND(H332+L332,2),"OK",IF(G332=0,"Not invoiced yet","MISMATCH"))))</f>
        <v/>
      </c>
      <c r="T332" s="26" t="n"/>
      <c r="U332" s="26" t="n"/>
      <c r="V332" s="26" t="n"/>
      <c r="W332" s="27">
        <f>IF(C332="","",N(T332)+N(U332)+N(V332))</f>
        <v/>
      </c>
      <c r="X332" s="27">
        <f>IF(C332="","",H332+L332-W332)</f>
        <v/>
      </c>
      <c r="Y332" s="29">
        <f>IFERROR(X332/(H332+L332),"")</f>
        <v/>
      </c>
      <c r="Z332" s="24" t="n"/>
    </row>
    <row r="333" ht="15" customHeight="1">
      <c r="A333" s="70">
        <f>IF(C333="","",IFERROR(IF(SUMPRODUCT(MAX((tbl_Finance[Job Number]&amp;""=C333&amp;"")*(tbl_Finance[Xero Invoice No]&lt;&gt;"")*tbl_Finance[Date]))=0,"",SUMPRODUCT(MAX((tbl_Finance[Job Number]&amp;""=C333&amp;"")*(tbl_Finance[Xero Invoice No]&lt;&gt;"")*tbl_Finance[Date]))),""))</f>
        <v/>
      </c>
      <c r="B333" s="25">
        <f>IF(C333="","",IF(COUNTIFS(tbl_Finance[Job Number],C333&amp;"",tbl_Finance[Xero Invoice No],"&lt;&gt;")=0,"",IFERROR(IF(COUNTIFS(tbl_Finance[Job Number],C333&amp;"",tbl_Finance[Xero Invoice No],LOOKUP(2,1/((tbl_Finance[Job Number]&amp;""=C333&amp;"")*(tbl_Finance[Xero Invoice No]&lt;&gt;"")),tbl_Finance[Xero Invoice No]))=COUNTIFS(tbl_Finance[Job Number],C333&amp;"",tbl_Finance[Xero Invoice No],"&lt;&gt;"),LOOKUP(2,1/((tbl_Finance[Job Number]&amp;""=C333&amp;"")*(tbl_Finance[Xero Invoice No]&lt;&gt;"")),tbl_Finance[Xero Invoice No]),LOOKUP(2,1/((tbl_Finance[Job Number]&amp;""=C333&amp;"")*(tbl_Finance[Xero Invoice No]&lt;&gt;"")),tbl_Finance[Xero Invoice No])&amp;" +more"),"")))</f>
        <v/>
      </c>
      <c r="C333" s="24" t="n"/>
      <c r="D333" s="25">
        <f>IF(C333="","",IF(COUNTIF(lst_Jobs,C333&amp;"")&gt;0,"OK","CHECK"))</f>
        <v/>
      </c>
      <c r="E333" s="25">
        <f>IF(C333="","",IFERROR(INDEX(lst_JobName,MATCH(C333&amp;"",lst_Jobs,0)),""))</f>
        <v/>
      </c>
      <c r="F333" s="25">
        <f>IF(C333="","",IFERROR(INDEX(tbl_Finance[Client],IFERROR(MATCH(C333&amp;"",tbl_Finance[Job Number],0),MATCH(IFERROR(C333+0,C333),tbl_Finance[Job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6" t="n"/>
      <c r="L333" s="27">
        <f>IF(C333="","",IF(K333="",0,MAX(0,K333-H333)))</f>
        <v/>
      </c>
      <c r="M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N333" s="24" t="n"/>
      <c r="O333" s="25">
        <f>IF(N333="","",HYPERLINK(IF(LEFT(N333,4)="http",N333,set_QwilrBase&amp;N333),"Open quote"))</f>
        <v/>
      </c>
      <c r="P333" s="26" t="n"/>
      <c r="Q333" s="26" t="n"/>
      <c r="R333" s="26" t="n"/>
      <c r="S333" s="25">
        <f>IF(C333="","",IF(N(P333)+N(Q333)+N(R333)=0,"Not split",IF(ROUND(N(P333)+N(Q333)+N(R333),2)=ROUND(H333+L333,2),"OK",IF(G333=0,"Not invoiced yet","MISMATCH"))))</f>
        <v/>
      </c>
      <c r="T333" s="26" t="n"/>
      <c r="U333" s="26" t="n"/>
      <c r="V333" s="26" t="n"/>
      <c r="W333" s="27">
        <f>IF(C333="","",N(T333)+N(U333)+N(V333))</f>
        <v/>
      </c>
      <c r="X333" s="27">
        <f>IF(C333="","",H333+L333-W333)</f>
        <v/>
      </c>
      <c r="Y333" s="29">
        <f>IFERROR(X333/(H333+L333),"")</f>
        <v/>
      </c>
      <c r="Z333" s="24" t="n"/>
    </row>
    <row r="334" ht="15" customHeight="1">
      <c r="A334" s="70">
        <f>IF(C334="","",IFERROR(IF(SUMPRODUCT(MAX((tbl_Finance[Job Number]&amp;""=C334&amp;"")*(tbl_Finance[Xero Invoice No]&lt;&gt;"")*tbl_Finance[Date]))=0,"",SUMPRODUCT(MAX((tbl_Finance[Job Number]&amp;""=C334&amp;"")*(tbl_Finance[Xero Invoice No]&lt;&gt;"")*tbl_Finance[Date]))),""))</f>
        <v/>
      </c>
      <c r="B334" s="25">
        <f>IF(C334="","",IF(COUNTIFS(tbl_Finance[Job Number],C334&amp;"",tbl_Finance[Xero Invoice No],"&lt;&gt;")=0,"",IFERROR(IF(COUNTIFS(tbl_Finance[Job Number],C334&amp;"",tbl_Finance[Xero Invoice No],LOOKUP(2,1/((tbl_Finance[Job Number]&amp;""=C334&amp;"")*(tbl_Finance[Xero Invoice No]&lt;&gt;"")),tbl_Finance[Xero Invoice No]))=COUNTIFS(tbl_Finance[Job Number],C334&amp;"",tbl_Finance[Xero Invoice No],"&lt;&gt;"),LOOKUP(2,1/((tbl_Finance[Job Number]&amp;""=C334&amp;"")*(tbl_Finance[Xero Invoice No]&lt;&gt;"")),tbl_Finance[Xero Invoice No]),LOOKUP(2,1/((tbl_Finance[Job Number]&amp;""=C334&amp;"")*(tbl_Finance[Xero Invoice No]&lt;&gt;"")),tbl_Finance[Xero Invoice No])&amp;" +more"),"")))</f>
        <v/>
      </c>
      <c r="C334" s="24" t="n"/>
      <c r="D334" s="25">
        <f>IF(C334="","",IF(COUNTIF(lst_Jobs,C334&amp;"")&gt;0,"OK","CHECK"))</f>
        <v/>
      </c>
      <c r="E334" s="25">
        <f>IF(C334="","",IFERROR(INDEX(lst_JobName,MATCH(C334&amp;"",lst_Jobs,0)),""))</f>
        <v/>
      </c>
      <c r="F334" s="25">
        <f>IF(C334="","",IFERROR(INDEX(tbl_Finance[Client],IFERROR(MATCH(C334&amp;"",tbl_Finance[Job Number],0),MATCH(IFERROR(C334+0,C334),tbl_Finance[Job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6" t="n"/>
      <c r="L334" s="27">
        <f>IF(C334="","",IF(K334="",0,MAX(0,K334-H334)))</f>
        <v/>
      </c>
      <c r="M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N334" s="24" t="n"/>
      <c r="O334" s="25">
        <f>IF(N334="","",HYPERLINK(IF(LEFT(N334,4)="http",N334,set_QwilrBase&amp;N334),"Open quote"))</f>
        <v/>
      </c>
      <c r="P334" s="26" t="n"/>
      <c r="Q334" s="26" t="n"/>
      <c r="R334" s="26" t="n"/>
      <c r="S334" s="25">
        <f>IF(C334="","",IF(N(P334)+N(Q334)+N(R334)=0,"Not split",IF(ROUND(N(P334)+N(Q334)+N(R334),2)=ROUND(H334+L334,2),"OK",IF(G334=0,"Not invoiced yet","MISMATCH"))))</f>
        <v/>
      </c>
      <c r="T334" s="26" t="n"/>
      <c r="U334" s="26" t="n"/>
      <c r="V334" s="26" t="n"/>
      <c r="W334" s="27">
        <f>IF(C334="","",N(T334)+N(U334)+N(V334))</f>
        <v/>
      </c>
      <c r="X334" s="27">
        <f>IF(C334="","",H334+L334-W334)</f>
        <v/>
      </c>
      <c r="Y334" s="29">
        <f>IFERROR(X334/(H334+L334),"")</f>
        <v/>
      </c>
      <c r="Z334" s="24" t="n"/>
    </row>
    <row r="335" ht="15" customHeight="1">
      <c r="A335" s="70">
        <f>IF(C335="","",IFERROR(IF(SUMPRODUCT(MAX((tbl_Finance[Job Number]&amp;""=C335&amp;"")*(tbl_Finance[Xero Invoice No]&lt;&gt;"")*tbl_Finance[Date]))=0,"",SUMPRODUCT(MAX((tbl_Finance[Job Number]&amp;""=C335&amp;"")*(tbl_Finance[Xero Invoice No]&lt;&gt;"")*tbl_Finance[Date]))),""))</f>
        <v/>
      </c>
      <c r="B335" s="25">
        <f>IF(C335="","",IF(COUNTIFS(tbl_Finance[Job Number],C335&amp;"",tbl_Finance[Xero Invoice No],"&lt;&gt;")=0,"",IFERROR(IF(COUNTIFS(tbl_Finance[Job Number],C335&amp;"",tbl_Finance[Xero Invoice No],LOOKUP(2,1/((tbl_Finance[Job Number]&amp;""=C335&amp;"")*(tbl_Finance[Xero Invoice No]&lt;&gt;"")),tbl_Finance[Xero Invoice No]))=COUNTIFS(tbl_Finance[Job Number],C335&amp;"",tbl_Finance[Xero Invoice No],"&lt;&gt;"),LOOKUP(2,1/((tbl_Finance[Job Number]&amp;""=C335&amp;"")*(tbl_Finance[Xero Invoice No]&lt;&gt;"")),tbl_Finance[Xero Invoice No]),LOOKUP(2,1/((tbl_Finance[Job Number]&amp;""=C335&amp;"")*(tbl_Finance[Xero Invoice No]&lt;&gt;"")),tbl_Finance[Xero Invoice No])&amp;" +more"),"")))</f>
        <v/>
      </c>
      <c r="C335" s="24" t="n"/>
      <c r="D335" s="25">
        <f>IF(C335="","",IF(COUNTIF(lst_Jobs,C335&amp;"")&gt;0,"OK","CHECK"))</f>
        <v/>
      </c>
      <c r="E335" s="25">
        <f>IF(C335="","",IFERROR(INDEX(lst_JobName,MATCH(C335&amp;"",lst_Jobs,0)),""))</f>
        <v/>
      </c>
      <c r="F335" s="25">
        <f>IF(C335="","",IFERROR(INDEX(tbl_Finance[Client],IFERROR(MATCH(C335&amp;"",tbl_Finance[Job Number],0),MATCH(IFERROR(C335+0,C335),tbl_Finance[Job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6" t="n"/>
      <c r="L335" s="27">
        <f>IF(C335="","",IF(K335="",0,MAX(0,K335-H335)))</f>
        <v/>
      </c>
      <c r="M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N335" s="24" t="n"/>
      <c r="O335" s="25">
        <f>IF(N335="","",HYPERLINK(IF(LEFT(N335,4)="http",N335,set_QwilrBase&amp;N335),"Open quote"))</f>
        <v/>
      </c>
      <c r="P335" s="26" t="n"/>
      <c r="Q335" s="26" t="n"/>
      <c r="R335" s="26" t="n"/>
      <c r="S335" s="25">
        <f>IF(C335="","",IF(N(P335)+N(Q335)+N(R335)=0,"Not split",IF(ROUND(N(P335)+N(Q335)+N(R335),2)=ROUND(H335+L335,2),"OK",IF(G335=0,"Not invoiced yet","MISMATCH"))))</f>
        <v/>
      </c>
      <c r="T335" s="26" t="n"/>
      <c r="U335" s="26" t="n"/>
      <c r="V335" s="26" t="n"/>
      <c r="W335" s="27">
        <f>IF(C335="","",N(T335)+N(U335)+N(V335))</f>
        <v/>
      </c>
      <c r="X335" s="27">
        <f>IF(C335="","",H335+L335-W335)</f>
        <v/>
      </c>
      <c r="Y335" s="29">
        <f>IFERROR(X335/(H335+L335),"")</f>
        <v/>
      </c>
      <c r="Z335" s="24" t="n"/>
    </row>
    <row r="336" ht="15" customHeight="1">
      <c r="A336" s="70">
        <f>IF(C336="","",IFERROR(IF(SUMPRODUCT(MAX((tbl_Finance[Job Number]&amp;""=C336&amp;"")*(tbl_Finance[Xero Invoice No]&lt;&gt;"")*tbl_Finance[Date]))=0,"",SUMPRODUCT(MAX((tbl_Finance[Job Number]&amp;""=C336&amp;"")*(tbl_Finance[Xero Invoice No]&lt;&gt;"")*tbl_Finance[Date]))),""))</f>
        <v/>
      </c>
      <c r="B336" s="25">
        <f>IF(C336="","",IF(COUNTIFS(tbl_Finance[Job Number],C336&amp;"",tbl_Finance[Xero Invoice No],"&lt;&gt;")=0,"",IFERROR(IF(COUNTIFS(tbl_Finance[Job Number],C336&amp;"",tbl_Finance[Xero Invoice No],LOOKUP(2,1/((tbl_Finance[Job Number]&amp;""=C336&amp;"")*(tbl_Finance[Xero Invoice No]&lt;&gt;"")),tbl_Finance[Xero Invoice No]))=COUNTIFS(tbl_Finance[Job Number],C336&amp;"",tbl_Finance[Xero Invoice No],"&lt;&gt;"),LOOKUP(2,1/((tbl_Finance[Job Number]&amp;""=C336&amp;"")*(tbl_Finance[Xero Invoice No]&lt;&gt;"")),tbl_Finance[Xero Invoice No]),LOOKUP(2,1/((tbl_Finance[Job Number]&amp;""=C336&amp;"")*(tbl_Finance[Xero Invoice No]&lt;&gt;"")),tbl_Finance[Xero Invoice No])&amp;" +more"),"")))</f>
        <v/>
      </c>
      <c r="C336" s="24" t="n"/>
      <c r="D336" s="25">
        <f>IF(C336="","",IF(COUNTIF(lst_Jobs,C336&amp;"")&gt;0,"OK","CHECK"))</f>
        <v/>
      </c>
      <c r="E336" s="25">
        <f>IF(C336="","",IFERROR(INDEX(lst_JobName,MATCH(C336&amp;"",lst_Jobs,0)),""))</f>
        <v/>
      </c>
      <c r="F336" s="25">
        <f>IF(C336="","",IFERROR(INDEX(tbl_Finance[Client],IFERROR(MATCH(C336&amp;"",tbl_Finance[Job Number],0),MATCH(IFERROR(C336+0,C336),tbl_Finance[Job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6" t="n"/>
      <c r="L336" s="27">
        <f>IF(C336="","",IF(K336="",0,MAX(0,K336-H336)))</f>
        <v/>
      </c>
      <c r="M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N336" s="24" t="n"/>
      <c r="O336" s="25">
        <f>IF(N336="","",HYPERLINK(IF(LEFT(N336,4)="http",N336,set_QwilrBase&amp;N336),"Open quote"))</f>
        <v/>
      </c>
      <c r="P336" s="26" t="n"/>
      <c r="Q336" s="26" t="n"/>
      <c r="R336" s="26" t="n"/>
      <c r="S336" s="25">
        <f>IF(C336="","",IF(N(P336)+N(Q336)+N(R336)=0,"Not split",IF(ROUND(N(P336)+N(Q336)+N(R336),2)=ROUND(H336+L336,2),"OK",IF(G336=0,"Not invoiced yet","MISMATCH"))))</f>
        <v/>
      </c>
      <c r="T336" s="26" t="n"/>
      <c r="U336" s="26" t="n"/>
      <c r="V336" s="26" t="n"/>
      <c r="W336" s="27">
        <f>IF(C336="","",N(T336)+N(U336)+N(V336))</f>
        <v/>
      </c>
      <c r="X336" s="27">
        <f>IF(C336="","",H336+L336-W336)</f>
        <v/>
      </c>
      <c r="Y336" s="29">
        <f>IFERROR(X336/(H336+L336),"")</f>
        <v/>
      </c>
      <c r="Z336" s="24" t="n"/>
    </row>
    <row r="337" ht="15" customHeight="1">
      <c r="A337" s="70">
        <f>IF(C337="","",IFERROR(IF(SUMPRODUCT(MAX((tbl_Finance[Job Number]&amp;""=C337&amp;"")*(tbl_Finance[Xero Invoice No]&lt;&gt;"")*tbl_Finance[Date]))=0,"",SUMPRODUCT(MAX((tbl_Finance[Job Number]&amp;""=C337&amp;"")*(tbl_Finance[Xero Invoice No]&lt;&gt;"")*tbl_Finance[Date]))),""))</f>
        <v/>
      </c>
      <c r="B337" s="25">
        <f>IF(C337="","",IF(COUNTIFS(tbl_Finance[Job Number],C337&amp;"",tbl_Finance[Xero Invoice No],"&lt;&gt;")=0,"",IFERROR(IF(COUNTIFS(tbl_Finance[Job Number],C337&amp;"",tbl_Finance[Xero Invoice No],LOOKUP(2,1/((tbl_Finance[Job Number]&amp;""=C337&amp;"")*(tbl_Finance[Xero Invoice No]&lt;&gt;"")),tbl_Finance[Xero Invoice No]))=COUNTIFS(tbl_Finance[Job Number],C337&amp;"",tbl_Finance[Xero Invoice No],"&lt;&gt;"),LOOKUP(2,1/((tbl_Finance[Job Number]&amp;""=C337&amp;"")*(tbl_Finance[Xero Invoice No]&lt;&gt;"")),tbl_Finance[Xero Invoice No]),LOOKUP(2,1/((tbl_Finance[Job Number]&amp;""=C337&amp;"")*(tbl_Finance[Xero Invoice No]&lt;&gt;"")),tbl_Finance[Xero Invoice No])&amp;" +more"),"")))</f>
        <v/>
      </c>
      <c r="C337" s="24" t="n"/>
      <c r="D337" s="25">
        <f>IF(C337="","",IF(COUNTIF(lst_Jobs,C337&amp;"")&gt;0,"OK","CHECK"))</f>
        <v/>
      </c>
      <c r="E337" s="25">
        <f>IF(C337="","",IFERROR(INDEX(lst_JobName,MATCH(C337&amp;"",lst_Jobs,0)),""))</f>
        <v/>
      </c>
      <c r="F337" s="25">
        <f>IF(C337="","",IFERROR(INDEX(tbl_Finance[Client],IFERROR(MATCH(C337&amp;"",tbl_Finance[Job Number],0),MATCH(IFERROR(C337+0,C337),tbl_Finance[Job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6" t="n"/>
      <c r="L337" s="27">
        <f>IF(C337="","",IF(K337="",0,MAX(0,K337-H337)))</f>
        <v/>
      </c>
      <c r="M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N337" s="24" t="n"/>
      <c r="O337" s="25">
        <f>IF(N337="","",HYPERLINK(IF(LEFT(N337,4)="http",N337,set_QwilrBase&amp;N337),"Open quote"))</f>
        <v/>
      </c>
      <c r="P337" s="26" t="n"/>
      <c r="Q337" s="26" t="n"/>
      <c r="R337" s="26" t="n"/>
      <c r="S337" s="25">
        <f>IF(C337="","",IF(N(P337)+N(Q337)+N(R337)=0,"Not split",IF(ROUND(N(P337)+N(Q337)+N(R337),2)=ROUND(H337+L337,2),"OK",IF(G337=0,"Not invoiced yet","MISMATCH"))))</f>
        <v/>
      </c>
      <c r="T337" s="26" t="n"/>
      <c r="U337" s="26" t="n"/>
      <c r="V337" s="26" t="n"/>
      <c r="W337" s="27">
        <f>IF(C337="","",N(T337)+N(U337)+N(V337))</f>
        <v/>
      </c>
      <c r="X337" s="27">
        <f>IF(C337="","",H337+L337-W337)</f>
        <v/>
      </c>
      <c r="Y337" s="29">
        <f>IFERROR(X337/(H337+L337),"")</f>
        <v/>
      </c>
      <c r="Z337" s="24" t="n"/>
    </row>
    <row r="338" ht="15" customHeight="1">
      <c r="A338" s="70">
        <f>IF(C338="","",IFERROR(IF(SUMPRODUCT(MAX((tbl_Finance[Job Number]&amp;""=C338&amp;"")*(tbl_Finance[Xero Invoice No]&lt;&gt;"")*tbl_Finance[Date]))=0,"",SUMPRODUCT(MAX((tbl_Finance[Job Number]&amp;""=C338&amp;"")*(tbl_Finance[Xero Invoice No]&lt;&gt;"")*tbl_Finance[Date]))),""))</f>
        <v/>
      </c>
      <c r="B338" s="25">
        <f>IF(C338="","",IF(COUNTIFS(tbl_Finance[Job Number],C338&amp;"",tbl_Finance[Xero Invoice No],"&lt;&gt;")=0,"",IFERROR(IF(COUNTIFS(tbl_Finance[Job Number],C338&amp;"",tbl_Finance[Xero Invoice No],LOOKUP(2,1/((tbl_Finance[Job Number]&amp;""=C338&amp;"")*(tbl_Finance[Xero Invoice No]&lt;&gt;"")),tbl_Finance[Xero Invoice No]))=COUNTIFS(tbl_Finance[Job Number],C338&amp;"",tbl_Finance[Xero Invoice No],"&lt;&gt;"),LOOKUP(2,1/((tbl_Finance[Job Number]&amp;""=C338&amp;"")*(tbl_Finance[Xero Invoice No]&lt;&gt;"")),tbl_Finance[Xero Invoice No]),LOOKUP(2,1/((tbl_Finance[Job Number]&amp;""=C338&amp;"")*(tbl_Finance[Xero Invoice No]&lt;&gt;"")),tbl_Finance[Xero Invoice No])&amp;" +more"),"")))</f>
        <v/>
      </c>
      <c r="C338" s="24" t="n"/>
      <c r="D338" s="25">
        <f>IF(C338="","",IF(COUNTIF(lst_Jobs,C338&amp;"")&gt;0,"OK","CHECK"))</f>
        <v/>
      </c>
      <c r="E338" s="25">
        <f>IF(C338="","",IFERROR(INDEX(lst_JobName,MATCH(C338&amp;"",lst_Jobs,0)),""))</f>
        <v/>
      </c>
      <c r="F338" s="25">
        <f>IF(C338="","",IFERROR(INDEX(tbl_Finance[Client],IFERROR(MATCH(C338&amp;"",tbl_Finance[Job Number],0),MATCH(IFERROR(C338+0,C338),tbl_Finance[Job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6" t="n"/>
      <c r="L338" s="27">
        <f>IF(C338="","",IF(K338="",0,MAX(0,K338-H338)))</f>
        <v/>
      </c>
      <c r="M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N338" s="24" t="n"/>
      <c r="O338" s="25">
        <f>IF(N338="","",HYPERLINK(IF(LEFT(N338,4)="http",N338,set_QwilrBase&amp;N338),"Open quote"))</f>
        <v/>
      </c>
      <c r="P338" s="26" t="n"/>
      <c r="Q338" s="26" t="n"/>
      <c r="R338" s="26" t="n"/>
      <c r="S338" s="25">
        <f>IF(C338="","",IF(N(P338)+N(Q338)+N(R338)=0,"Not split",IF(ROUND(N(P338)+N(Q338)+N(R338),2)=ROUND(H338+L338,2),"OK",IF(G338=0,"Not invoiced yet","MISMATCH"))))</f>
        <v/>
      </c>
      <c r="T338" s="26" t="n"/>
      <c r="U338" s="26" t="n"/>
      <c r="V338" s="26" t="n"/>
      <c r="W338" s="27">
        <f>IF(C338="","",N(T338)+N(U338)+N(V338))</f>
        <v/>
      </c>
      <c r="X338" s="27">
        <f>IF(C338="","",H338+L338-W338)</f>
        <v/>
      </c>
      <c r="Y338" s="29">
        <f>IFERROR(X338/(H338+L338),"")</f>
        <v/>
      </c>
      <c r="Z338" s="24" t="n"/>
    </row>
    <row r="339" ht="15" customHeight="1">
      <c r="A339" s="70">
        <f>IF(C339="","",IFERROR(IF(SUMPRODUCT(MAX((tbl_Finance[Job Number]&amp;""=C339&amp;"")*(tbl_Finance[Xero Invoice No]&lt;&gt;"")*tbl_Finance[Date]))=0,"",SUMPRODUCT(MAX((tbl_Finance[Job Number]&amp;""=C339&amp;"")*(tbl_Finance[Xero Invoice No]&lt;&gt;"")*tbl_Finance[Date]))),""))</f>
        <v/>
      </c>
      <c r="B339" s="25">
        <f>IF(C339="","",IF(COUNTIFS(tbl_Finance[Job Number],C339&amp;"",tbl_Finance[Xero Invoice No],"&lt;&gt;")=0,"",IFERROR(IF(COUNTIFS(tbl_Finance[Job Number],C339&amp;"",tbl_Finance[Xero Invoice No],LOOKUP(2,1/((tbl_Finance[Job Number]&amp;""=C339&amp;"")*(tbl_Finance[Xero Invoice No]&lt;&gt;"")),tbl_Finance[Xero Invoice No]))=COUNTIFS(tbl_Finance[Job Number],C339&amp;"",tbl_Finance[Xero Invoice No],"&lt;&gt;"),LOOKUP(2,1/((tbl_Finance[Job Number]&amp;""=C339&amp;"")*(tbl_Finance[Xero Invoice No]&lt;&gt;"")),tbl_Finance[Xero Invoice No]),LOOKUP(2,1/((tbl_Finance[Job Number]&amp;""=C339&amp;"")*(tbl_Finance[Xero Invoice No]&lt;&gt;"")),tbl_Finance[Xero Invoice No])&amp;" +more"),"")))</f>
        <v/>
      </c>
      <c r="C339" s="24" t="n"/>
      <c r="D339" s="25">
        <f>IF(C339="","",IF(COUNTIF(lst_Jobs,C339&amp;"")&gt;0,"OK","CHECK"))</f>
        <v/>
      </c>
      <c r="E339" s="25">
        <f>IF(C339="","",IFERROR(INDEX(lst_JobName,MATCH(C339&amp;"",lst_Jobs,0)),""))</f>
        <v/>
      </c>
      <c r="F339" s="25">
        <f>IF(C339="","",IFERROR(INDEX(tbl_Finance[Client],IFERROR(MATCH(C339&amp;"",tbl_Finance[Job Number],0),MATCH(IFERROR(C339+0,C339),tbl_Finance[Job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6" t="n"/>
      <c r="L339" s="27">
        <f>IF(C339="","",IF(K339="",0,MAX(0,K339-H339)))</f>
        <v/>
      </c>
      <c r="M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N339" s="24" t="n"/>
      <c r="O339" s="25">
        <f>IF(N339="","",HYPERLINK(IF(LEFT(N339,4)="http",N339,set_QwilrBase&amp;N339),"Open quote"))</f>
        <v/>
      </c>
      <c r="P339" s="26" t="n"/>
      <c r="Q339" s="26" t="n"/>
      <c r="R339" s="26" t="n"/>
      <c r="S339" s="25">
        <f>IF(C339="","",IF(N(P339)+N(Q339)+N(R339)=0,"Not split",IF(ROUND(N(P339)+N(Q339)+N(R339),2)=ROUND(H339+L339,2),"OK",IF(G339=0,"Not invoiced yet","MISMATCH"))))</f>
        <v/>
      </c>
      <c r="T339" s="26" t="n"/>
      <c r="U339" s="26" t="n"/>
      <c r="V339" s="26" t="n"/>
      <c r="W339" s="27">
        <f>IF(C339="","",N(T339)+N(U339)+N(V339))</f>
        <v/>
      </c>
      <c r="X339" s="27">
        <f>IF(C339="","",H339+L339-W339)</f>
        <v/>
      </c>
      <c r="Y339" s="29">
        <f>IFERROR(X339/(H339+L339),"")</f>
        <v/>
      </c>
      <c r="Z339" s="24" t="n"/>
    </row>
    <row r="340" ht="15" customHeight="1">
      <c r="A340" s="70">
        <f>IF(C340="","",IFERROR(IF(SUMPRODUCT(MAX((tbl_Finance[Job Number]&amp;""=C340&amp;"")*(tbl_Finance[Xero Invoice No]&lt;&gt;"")*tbl_Finance[Date]))=0,"",SUMPRODUCT(MAX((tbl_Finance[Job Number]&amp;""=C340&amp;"")*(tbl_Finance[Xero Invoice No]&lt;&gt;"")*tbl_Finance[Date]))),""))</f>
        <v/>
      </c>
      <c r="B340" s="25">
        <f>IF(C340="","",IF(COUNTIFS(tbl_Finance[Job Number],C340&amp;"",tbl_Finance[Xero Invoice No],"&lt;&gt;")=0,"",IFERROR(IF(COUNTIFS(tbl_Finance[Job Number],C340&amp;"",tbl_Finance[Xero Invoice No],LOOKUP(2,1/((tbl_Finance[Job Number]&amp;""=C340&amp;"")*(tbl_Finance[Xero Invoice No]&lt;&gt;"")),tbl_Finance[Xero Invoice No]))=COUNTIFS(tbl_Finance[Job Number],C340&amp;"",tbl_Finance[Xero Invoice No],"&lt;&gt;"),LOOKUP(2,1/((tbl_Finance[Job Number]&amp;""=C340&amp;"")*(tbl_Finance[Xero Invoice No]&lt;&gt;"")),tbl_Finance[Xero Invoice No]),LOOKUP(2,1/((tbl_Finance[Job Number]&amp;""=C340&amp;"")*(tbl_Finance[Xero Invoice No]&lt;&gt;"")),tbl_Finance[Xero Invoice No])&amp;" +more"),"")))</f>
        <v/>
      </c>
      <c r="C340" s="24" t="n"/>
      <c r="D340" s="25">
        <f>IF(C340="","",IF(COUNTIF(lst_Jobs,C340&amp;"")&gt;0,"OK","CHECK"))</f>
        <v/>
      </c>
      <c r="E340" s="25">
        <f>IF(C340="","",IFERROR(INDEX(lst_JobName,MATCH(C340&amp;"",lst_Jobs,0)),""))</f>
        <v/>
      </c>
      <c r="F340" s="25">
        <f>IF(C340="","",IFERROR(INDEX(tbl_Finance[Client],IFERROR(MATCH(C340&amp;"",tbl_Finance[Job Number],0),MATCH(IFERROR(C340+0,C340),tbl_Finance[Job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6" t="n"/>
      <c r="L340" s="27">
        <f>IF(C340="","",IF(K340="",0,MAX(0,K340-H340)))</f>
        <v/>
      </c>
      <c r="M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N340" s="24" t="n"/>
      <c r="O340" s="25">
        <f>IF(N340="","",HYPERLINK(IF(LEFT(N340,4)="http",N340,set_QwilrBase&amp;N340),"Open quote"))</f>
        <v/>
      </c>
      <c r="P340" s="26" t="n"/>
      <c r="Q340" s="26" t="n"/>
      <c r="R340" s="26" t="n"/>
      <c r="S340" s="25">
        <f>IF(C340="","",IF(N(P340)+N(Q340)+N(R340)=0,"Not split",IF(ROUND(N(P340)+N(Q340)+N(R340),2)=ROUND(H340+L340,2),"OK",IF(G340=0,"Not invoiced yet","MISMATCH"))))</f>
        <v/>
      </c>
      <c r="T340" s="26" t="n"/>
      <c r="U340" s="26" t="n"/>
      <c r="V340" s="26" t="n"/>
      <c r="W340" s="27">
        <f>IF(C340="","",N(T340)+N(U340)+N(V340))</f>
        <v/>
      </c>
      <c r="X340" s="27">
        <f>IF(C340="","",H340+L340-W340)</f>
        <v/>
      </c>
      <c r="Y340" s="29">
        <f>IFERROR(X340/(H340+L340),"")</f>
        <v/>
      </c>
      <c r="Z340" s="24" t="n"/>
    </row>
    <row r="341" ht="15" customHeight="1">
      <c r="A341" s="70">
        <f>IF(C341="","",IFERROR(IF(SUMPRODUCT(MAX((tbl_Finance[Job Number]&amp;""=C341&amp;"")*(tbl_Finance[Xero Invoice No]&lt;&gt;"")*tbl_Finance[Date]))=0,"",SUMPRODUCT(MAX((tbl_Finance[Job Number]&amp;""=C341&amp;"")*(tbl_Finance[Xero Invoice No]&lt;&gt;"")*tbl_Finance[Date]))),""))</f>
        <v/>
      </c>
      <c r="B341" s="25">
        <f>IF(C341="","",IF(COUNTIFS(tbl_Finance[Job Number],C341&amp;"",tbl_Finance[Xero Invoice No],"&lt;&gt;")=0,"",IFERROR(IF(COUNTIFS(tbl_Finance[Job Number],C341&amp;"",tbl_Finance[Xero Invoice No],LOOKUP(2,1/((tbl_Finance[Job Number]&amp;""=C341&amp;"")*(tbl_Finance[Xero Invoice No]&lt;&gt;"")),tbl_Finance[Xero Invoice No]))=COUNTIFS(tbl_Finance[Job Number],C341&amp;"",tbl_Finance[Xero Invoice No],"&lt;&gt;"),LOOKUP(2,1/((tbl_Finance[Job Number]&amp;""=C341&amp;"")*(tbl_Finance[Xero Invoice No]&lt;&gt;"")),tbl_Finance[Xero Invoice No]),LOOKUP(2,1/((tbl_Finance[Job Number]&amp;""=C341&amp;"")*(tbl_Finance[Xero Invoice No]&lt;&gt;"")),tbl_Finance[Xero Invoice No])&amp;" +more"),"")))</f>
        <v/>
      </c>
      <c r="C341" s="24" t="n"/>
      <c r="D341" s="25">
        <f>IF(C341="","",IF(COUNTIF(lst_Jobs,C341&amp;"")&gt;0,"OK","CHECK"))</f>
        <v/>
      </c>
      <c r="E341" s="25">
        <f>IF(C341="","",IFERROR(INDEX(lst_JobName,MATCH(C341&amp;"",lst_Jobs,0)),""))</f>
        <v/>
      </c>
      <c r="F341" s="25">
        <f>IF(C341="","",IFERROR(INDEX(tbl_Finance[Client],IFERROR(MATCH(C341&amp;"",tbl_Finance[Job Number],0),MATCH(IFERROR(C341+0,C341),tbl_Finance[Job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6" t="n"/>
      <c r="L341" s="27">
        <f>IF(C341="","",IF(K341="",0,MAX(0,K341-H341)))</f>
        <v/>
      </c>
      <c r="M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N341" s="24" t="n"/>
      <c r="O341" s="25">
        <f>IF(N341="","",HYPERLINK(IF(LEFT(N341,4)="http",N341,set_QwilrBase&amp;N341),"Open quote"))</f>
        <v/>
      </c>
      <c r="P341" s="26" t="n"/>
      <c r="Q341" s="26" t="n"/>
      <c r="R341" s="26" t="n"/>
      <c r="S341" s="25">
        <f>IF(C341="","",IF(N(P341)+N(Q341)+N(R341)=0,"Not split",IF(ROUND(N(P341)+N(Q341)+N(R341),2)=ROUND(H341+L341,2),"OK",IF(G341=0,"Not invoiced yet","MISMATCH"))))</f>
        <v/>
      </c>
      <c r="T341" s="26" t="n"/>
      <c r="U341" s="26" t="n"/>
      <c r="V341" s="26" t="n"/>
      <c r="W341" s="27">
        <f>IF(C341="","",N(T341)+N(U341)+N(V341))</f>
        <v/>
      </c>
      <c r="X341" s="27">
        <f>IF(C341="","",H341+L341-W341)</f>
        <v/>
      </c>
      <c r="Y341" s="29">
        <f>IFERROR(X341/(H341+L341),"")</f>
        <v/>
      </c>
      <c r="Z341" s="24" t="n"/>
    </row>
    <row r="342" ht="15" customHeight="1">
      <c r="A342" s="70">
        <f>IF(C342="","",IFERROR(IF(SUMPRODUCT(MAX((tbl_Finance[Job Number]&amp;""=C342&amp;"")*(tbl_Finance[Xero Invoice No]&lt;&gt;"")*tbl_Finance[Date]))=0,"",SUMPRODUCT(MAX((tbl_Finance[Job Number]&amp;""=C342&amp;"")*(tbl_Finance[Xero Invoice No]&lt;&gt;"")*tbl_Finance[Date]))),""))</f>
        <v/>
      </c>
      <c r="B342" s="25">
        <f>IF(C342="","",IF(COUNTIFS(tbl_Finance[Job Number],C342&amp;"",tbl_Finance[Xero Invoice No],"&lt;&gt;")=0,"",IFERROR(IF(COUNTIFS(tbl_Finance[Job Number],C342&amp;"",tbl_Finance[Xero Invoice No],LOOKUP(2,1/((tbl_Finance[Job Number]&amp;""=C342&amp;"")*(tbl_Finance[Xero Invoice No]&lt;&gt;"")),tbl_Finance[Xero Invoice No]))=COUNTIFS(tbl_Finance[Job Number],C342&amp;"",tbl_Finance[Xero Invoice No],"&lt;&gt;"),LOOKUP(2,1/((tbl_Finance[Job Number]&amp;""=C342&amp;"")*(tbl_Finance[Xero Invoice No]&lt;&gt;"")),tbl_Finance[Xero Invoice No]),LOOKUP(2,1/((tbl_Finance[Job Number]&amp;""=C342&amp;"")*(tbl_Finance[Xero Invoice No]&lt;&gt;"")),tbl_Finance[Xero Invoice No])&amp;" +more"),"")))</f>
        <v/>
      </c>
      <c r="C342" s="24" t="n"/>
      <c r="D342" s="25">
        <f>IF(C342="","",IF(COUNTIF(lst_Jobs,C342&amp;"")&gt;0,"OK","CHECK"))</f>
        <v/>
      </c>
      <c r="E342" s="25">
        <f>IF(C342="","",IFERROR(INDEX(lst_JobName,MATCH(C342&amp;"",lst_Jobs,0)),""))</f>
        <v/>
      </c>
      <c r="F342" s="25">
        <f>IF(C342="","",IFERROR(INDEX(tbl_Finance[Client],IFERROR(MATCH(C342&amp;"",tbl_Finance[Job Number],0),MATCH(IFERROR(C342+0,C342),tbl_Finance[Job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6" t="n"/>
      <c r="L342" s="27">
        <f>IF(C342="","",IF(K342="",0,MAX(0,K342-H342)))</f>
        <v/>
      </c>
      <c r="M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N342" s="24" t="n"/>
      <c r="O342" s="25">
        <f>IF(N342="","",HYPERLINK(IF(LEFT(N342,4)="http",N342,set_QwilrBase&amp;N342),"Open quote"))</f>
        <v/>
      </c>
      <c r="P342" s="26" t="n"/>
      <c r="Q342" s="26" t="n"/>
      <c r="R342" s="26" t="n"/>
      <c r="S342" s="25">
        <f>IF(C342="","",IF(N(P342)+N(Q342)+N(R342)=0,"Not split",IF(ROUND(N(P342)+N(Q342)+N(R342),2)=ROUND(H342+L342,2),"OK",IF(G342=0,"Not invoiced yet","MISMATCH"))))</f>
        <v/>
      </c>
      <c r="T342" s="26" t="n"/>
      <c r="U342" s="26" t="n"/>
      <c r="V342" s="26" t="n"/>
      <c r="W342" s="27">
        <f>IF(C342="","",N(T342)+N(U342)+N(V342))</f>
        <v/>
      </c>
      <c r="X342" s="27">
        <f>IF(C342="","",H342+L342-W342)</f>
        <v/>
      </c>
      <c r="Y342" s="29">
        <f>IFERROR(X342/(H342+L342),"")</f>
        <v/>
      </c>
      <c r="Z342" s="24" t="n"/>
    </row>
    <row r="343" ht="15" customHeight="1">
      <c r="A343" s="70">
        <f>IF(C343="","",IFERROR(IF(SUMPRODUCT(MAX((tbl_Finance[Job Number]&amp;""=C343&amp;"")*(tbl_Finance[Xero Invoice No]&lt;&gt;"")*tbl_Finance[Date]))=0,"",SUMPRODUCT(MAX((tbl_Finance[Job Number]&amp;""=C343&amp;"")*(tbl_Finance[Xero Invoice No]&lt;&gt;"")*tbl_Finance[Date]))),""))</f>
        <v/>
      </c>
      <c r="B343" s="25">
        <f>IF(C343="","",IF(COUNTIFS(tbl_Finance[Job Number],C343&amp;"",tbl_Finance[Xero Invoice No],"&lt;&gt;")=0,"",IFERROR(IF(COUNTIFS(tbl_Finance[Job Number],C343&amp;"",tbl_Finance[Xero Invoice No],LOOKUP(2,1/((tbl_Finance[Job Number]&amp;""=C343&amp;"")*(tbl_Finance[Xero Invoice No]&lt;&gt;"")),tbl_Finance[Xero Invoice No]))=COUNTIFS(tbl_Finance[Job Number],C343&amp;"",tbl_Finance[Xero Invoice No],"&lt;&gt;"),LOOKUP(2,1/((tbl_Finance[Job Number]&amp;""=C343&amp;"")*(tbl_Finance[Xero Invoice No]&lt;&gt;"")),tbl_Finance[Xero Invoice No]),LOOKUP(2,1/((tbl_Finance[Job Number]&amp;""=C343&amp;"")*(tbl_Finance[Xero Invoice No]&lt;&gt;"")),tbl_Finance[Xero Invoice No])&amp;" +more"),"")))</f>
        <v/>
      </c>
      <c r="C343" s="24" t="n"/>
      <c r="D343" s="25">
        <f>IF(C343="","",IF(COUNTIF(lst_Jobs,C343&amp;"")&gt;0,"OK","CHECK"))</f>
        <v/>
      </c>
      <c r="E343" s="25">
        <f>IF(C343="","",IFERROR(INDEX(lst_JobName,MATCH(C343&amp;"",lst_Jobs,0)),""))</f>
        <v/>
      </c>
      <c r="F343" s="25">
        <f>IF(C343="","",IFERROR(INDEX(tbl_Finance[Client],IFERROR(MATCH(C343&amp;"",tbl_Finance[Job Number],0),MATCH(IFERROR(C343+0,C343),tbl_Finance[Job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6" t="n"/>
      <c r="L343" s="27">
        <f>IF(C343="","",IF(K343="",0,MAX(0,K343-H343)))</f>
        <v/>
      </c>
      <c r="M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N343" s="24" t="n"/>
      <c r="O343" s="25">
        <f>IF(N343="","",HYPERLINK(IF(LEFT(N343,4)="http",N343,set_QwilrBase&amp;N343),"Open quote"))</f>
        <v/>
      </c>
      <c r="P343" s="26" t="n"/>
      <c r="Q343" s="26" t="n"/>
      <c r="R343" s="26" t="n"/>
      <c r="S343" s="25">
        <f>IF(C343="","",IF(N(P343)+N(Q343)+N(R343)=0,"Not split",IF(ROUND(N(P343)+N(Q343)+N(R343),2)=ROUND(H343+L343,2),"OK",IF(G343=0,"Not invoiced yet","MISMATCH"))))</f>
        <v/>
      </c>
      <c r="T343" s="26" t="n"/>
      <c r="U343" s="26" t="n"/>
      <c r="V343" s="26" t="n"/>
      <c r="W343" s="27">
        <f>IF(C343="","",N(T343)+N(U343)+N(V343))</f>
        <v/>
      </c>
      <c r="X343" s="27">
        <f>IF(C343="","",H343+L343-W343)</f>
        <v/>
      </c>
      <c r="Y343" s="29">
        <f>IFERROR(X343/(H343+L343),"")</f>
        <v/>
      </c>
      <c r="Z343" s="24" t="n"/>
    </row>
    <row r="344" ht="15" customHeight="1">
      <c r="A344" s="70">
        <f>IF(C344="","",IFERROR(IF(SUMPRODUCT(MAX((tbl_Finance[Job Number]&amp;""=C344&amp;"")*(tbl_Finance[Xero Invoice No]&lt;&gt;"")*tbl_Finance[Date]))=0,"",SUMPRODUCT(MAX((tbl_Finance[Job Number]&amp;""=C344&amp;"")*(tbl_Finance[Xero Invoice No]&lt;&gt;"")*tbl_Finance[Date]))),""))</f>
        <v/>
      </c>
      <c r="B344" s="25">
        <f>IF(C344="","",IF(COUNTIFS(tbl_Finance[Job Number],C344&amp;"",tbl_Finance[Xero Invoice No],"&lt;&gt;")=0,"",IFERROR(IF(COUNTIFS(tbl_Finance[Job Number],C344&amp;"",tbl_Finance[Xero Invoice No],LOOKUP(2,1/((tbl_Finance[Job Number]&amp;""=C344&amp;"")*(tbl_Finance[Xero Invoice No]&lt;&gt;"")),tbl_Finance[Xero Invoice No]))=COUNTIFS(tbl_Finance[Job Number],C344&amp;"",tbl_Finance[Xero Invoice No],"&lt;&gt;"),LOOKUP(2,1/((tbl_Finance[Job Number]&amp;""=C344&amp;"")*(tbl_Finance[Xero Invoice No]&lt;&gt;"")),tbl_Finance[Xero Invoice No]),LOOKUP(2,1/((tbl_Finance[Job Number]&amp;""=C344&amp;"")*(tbl_Finance[Xero Invoice No]&lt;&gt;"")),tbl_Finance[Xero Invoice No])&amp;" +more"),"")))</f>
        <v/>
      </c>
      <c r="C344" s="24" t="n"/>
      <c r="D344" s="25">
        <f>IF(C344="","",IF(COUNTIF(lst_Jobs,C344&amp;"")&gt;0,"OK","CHECK"))</f>
        <v/>
      </c>
      <c r="E344" s="25">
        <f>IF(C344="","",IFERROR(INDEX(lst_JobName,MATCH(C344&amp;"",lst_Jobs,0)),""))</f>
        <v/>
      </c>
      <c r="F344" s="25">
        <f>IF(C344="","",IFERROR(INDEX(tbl_Finance[Client],IFERROR(MATCH(C344&amp;"",tbl_Finance[Job Number],0),MATCH(IFERROR(C344+0,C344),tbl_Finance[Job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6" t="n"/>
      <c r="L344" s="27">
        <f>IF(C344="","",IF(K344="",0,MAX(0,K344-H344)))</f>
        <v/>
      </c>
      <c r="M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N344" s="24" t="n"/>
      <c r="O344" s="25">
        <f>IF(N344="","",HYPERLINK(IF(LEFT(N344,4)="http",N344,set_QwilrBase&amp;N344),"Open quote"))</f>
        <v/>
      </c>
      <c r="P344" s="26" t="n"/>
      <c r="Q344" s="26" t="n"/>
      <c r="R344" s="26" t="n"/>
      <c r="S344" s="25">
        <f>IF(C344="","",IF(N(P344)+N(Q344)+N(R344)=0,"Not split",IF(ROUND(N(P344)+N(Q344)+N(R344),2)=ROUND(H344+L344,2),"OK",IF(G344=0,"Not invoiced yet","MISMATCH"))))</f>
        <v/>
      </c>
      <c r="T344" s="26" t="n"/>
      <c r="U344" s="26" t="n"/>
      <c r="V344" s="26" t="n"/>
      <c r="W344" s="27">
        <f>IF(C344="","",N(T344)+N(U344)+N(V344))</f>
        <v/>
      </c>
      <c r="X344" s="27">
        <f>IF(C344="","",H344+L344-W344)</f>
        <v/>
      </c>
      <c r="Y344" s="29">
        <f>IFERROR(X344/(H344+L344),"")</f>
        <v/>
      </c>
      <c r="Z344" s="24" t="n"/>
    </row>
    <row r="345" ht="15" customHeight="1">
      <c r="A345" s="70">
        <f>IF(C345="","",IFERROR(IF(SUMPRODUCT(MAX((tbl_Finance[Job Number]&amp;""=C345&amp;"")*(tbl_Finance[Xero Invoice No]&lt;&gt;"")*tbl_Finance[Date]))=0,"",SUMPRODUCT(MAX((tbl_Finance[Job Number]&amp;""=C345&amp;"")*(tbl_Finance[Xero Invoice No]&lt;&gt;"")*tbl_Finance[Date]))),""))</f>
        <v/>
      </c>
      <c r="B345" s="25">
        <f>IF(C345="","",IF(COUNTIFS(tbl_Finance[Job Number],C345&amp;"",tbl_Finance[Xero Invoice No],"&lt;&gt;")=0,"",IFERROR(IF(COUNTIFS(tbl_Finance[Job Number],C345&amp;"",tbl_Finance[Xero Invoice No],LOOKUP(2,1/((tbl_Finance[Job Number]&amp;""=C345&amp;"")*(tbl_Finance[Xero Invoice No]&lt;&gt;"")),tbl_Finance[Xero Invoice No]))=COUNTIFS(tbl_Finance[Job Number],C345&amp;"",tbl_Finance[Xero Invoice No],"&lt;&gt;"),LOOKUP(2,1/((tbl_Finance[Job Number]&amp;""=C345&amp;"")*(tbl_Finance[Xero Invoice No]&lt;&gt;"")),tbl_Finance[Xero Invoice No]),LOOKUP(2,1/((tbl_Finance[Job Number]&amp;""=C345&amp;"")*(tbl_Finance[Xero Invoice No]&lt;&gt;"")),tbl_Finance[Xero Invoice No])&amp;" +more"),"")))</f>
        <v/>
      </c>
      <c r="C345" s="24" t="n"/>
      <c r="D345" s="25">
        <f>IF(C345="","",IF(COUNTIF(lst_Jobs,C345&amp;"")&gt;0,"OK","CHECK"))</f>
        <v/>
      </c>
      <c r="E345" s="25">
        <f>IF(C345="","",IFERROR(INDEX(lst_JobName,MATCH(C345&amp;"",lst_Jobs,0)),""))</f>
        <v/>
      </c>
      <c r="F345" s="25">
        <f>IF(C345="","",IFERROR(INDEX(tbl_Finance[Client],IFERROR(MATCH(C345&amp;"",tbl_Finance[Job Number],0),MATCH(IFERROR(C345+0,C345),tbl_Finance[Job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6" t="n"/>
      <c r="L345" s="27">
        <f>IF(C345="","",IF(K345="",0,MAX(0,K345-H345)))</f>
        <v/>
      </c>
      <c r="M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N345" s="24" t="n"/>
      <c r="O345" s="25">
        <f>IF(N345="","",HYPERLINK(IF(LEFT(N345,4)="http",N345,set_QwilrBase&amp;N345),"Open quote"))</f>
        <v/>
      </c>
      <c r="P345" s="26" t="n"/>
      <c r="Q345" s="26" t="n"/>
      <c r="R345" s="26" t="n"/>
      <c r="S345" s="25">
        <f>IF(C345="","",IF(N(P345)+N(Q345)+N(R345)=0,"Not split",IF(ROUND(N(P345)+N(Q345)+N(R345),2)=ROUND(H345+L345,2),"OK",IF(G345=0,"Not invoiced yet","MISMATCH"))))</f>
        <v/>
      </c>
      <c r="T345" s="26" t="n"/>
      <c r="U345" s="26" t="n"/>
      <c r="V345" s="26" t="n"/>
      <c r="W345" s="27">
        <f>IF(C345="","",N(T345)+N(U345)+N(V345))</f>
        <v/>
      </c>
      <c r="X345" s="27">
        <f>IF(C345="","",H345+L345-W345)</f>
        <v/>
      </c>
      <c r="Y345" s="29">
        <f>IFERROR(X345/(H345+L345),"")</f>
        <v/>
      </c>
      <c r="Z345" s="24" t="n"/>
    </row>
    <row r="346" ht="15" customHeight="1">
      <c r="A346" s="70">
        <f>IF(C346="","",IFERROR(IF(SUMPRODUCT(MAX((tbl_Finance[Job Number]&amp;""=C346&amp;"")*(tbl_Finance[Xero Invoice No]&lt;&gt;"")*tbl_Finance[Date]))=0,"",SUMPRODUCT(MAX((tbl_Finance[Job Number]&amp;""=C346&amp;"")*(tbl_Finance[Xero Invoice No]&lt;&gt;"")*tbl_Finance[Date]))),""))</f>
        <v/>
      </c>
      <c r="B346" s="25">
        <f>IF(C346="","",IF(COUNTIFS(tbl_Finance[Job Number],C346&amp;"",tbl_Finance[Xero Invoice No],"&lt;&gt;")=0,"",IFERROR(IF(COUNTIFS(tbl_Finance[Job Number],C346&amp;"",tbl_Finance[Xero Invoice No],LOOKUP(2,1/((tbl_Finance[Job Number]&amp;""=C346&amp;"")*(tbl_Finance[Xero Invoice No]&lt;&gt;"")),tbl_Finance[Xero Invoice No]))=COUNTIFS(tbl_Finance[Job Number],C346&amp;"",tbl_Finance[Xero Invoice No],"&lt;&gt;"),LOOKUP(2,1/((tbl_Finance[Job Number]&amp;""=C346&amp;"")*(tbl_Finance[Xero Invoice No]&lt;&gt;"")),tbl_Finance[Xero Invoice No]),LOOKUP(2,1/((tbl_Finance[Job Number]&amp;""=C346&amp;"")*(tbl_Finance[Xero Invoice No]&lt;&gt;"")),tbl_Finance[Xero Invoice No])&amp;" +more"),"")))</f>
        <v/>
      </c>
      <c r="C346" s="24" t="n"/>
      <c r="D346" s="25">
        <f>IF(C346="","",IF(COUNTIF(lst_Jobs,C346&amp;"")&gt;0,"OK","CHECK"))</f>
        <v/>
      </c>
      <c r="E346" s="25">
        <f>IF(C346="","",IFERROR(INDEX(lst_JobName,MATCH(C346&amp;"",lst_Jobs,0)),""))</f>
        <v/>
      </c>
      <c r="F346" s="25">
        <f>IF(C346="","",IFERROR(INDEX(tbl_Finance[Client],IFERROR(MATCH(C346&amp;"",tbl_Finance[Job Number],0),MATCH(IFERROR(C346+0,C346),tbl_Finance[Job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6" t="n"/>
      <c r="L346" s="27">
        <f>IF(C346="","",IF(K346="",0,MAX(0,K346-H346)))</f>
        <v/>
      </c>
      <c r="M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N346" s="24" t="n"/>
      <c r="O346" s="25">
        <f>IF(N346="","",HYPERLINK(IF(LEFT(N346,4)="http",N346,set_QwilrBase&amp;N346),"Open quote"))</f>
        <v/>
      </c>
      <c r="P346" s="26" t="n"/>
      <c r="Q346" s="26" t="n"/>
      <c r="R346" s="26" t="n"/>
      <c r="S346" s="25">
        <f>IF(C346="","",IF(N(P346)+N(Q346)+N(R346)=0,"Not split",IF(ROUND(N(P346)+N(Q346)+N(R346),2)=ROUND(H346+L346,2),"OK",IF(G346=0,"Not invoiced yet","MISMATCH"))))</f>
        <v/>
      </c>
      <c r="T346" s="26" t="n"/>
      <c r="U346" s="26" t="n"/>
      <c r="V346" s="26" t="n"/>
      <c r="W346" s="27">
        <f>IF(C346="","",N(T346)+N(U346)+N(V346))</f>
        <v/>
      </c>
      <c r="X346" s="27">
        <f>IF(C346="","",H346+L346-W346)</f>
        <v/>
      </c>
      <c r="Y346" s="29">
        <f>IFERROR(X346/(H346+L346),"")</f>
        <v/>
      </c>
      <c r="Z346" s="24" t="n"/>
    </row>
    <row r="347" ht="15" customHeight="1">
      <c r="A347" s="70">
        <f>IF(C347="","",IFERROR(IF(SUMPRODUCT(MAX((tbl_Finance[Job Number]&amp;""=C347&amp;"")*(tbl_Finance[Xero Invoice No]&lt;&gt;"")*tbl_Finance[Date]))=0,"",SUMPRODUCT(MAX((tbl_Finance[Job Number]&amp;""=C347&amp;"")*(tbl_Finance[Xero Invoice No]&lt;&gt;"")*tbl_Finance[Date]))),""))</f>
        <v/>
      </c>
      <c r="B347" s="25">
        <f>IF(C347="","",IF(COUNTIFS(tbl_Finance[Job Number],C347&amp;"",tbl_Finance[Xero Invoice No],"&lt;&gt;")=0,"",IFERROR(IF(COUNTIFS(tbl_Finance[Job Number],C347&amp;"",tbl_Finance[Xero Invoice No],LOOKUP(2,1/((tbl_Finance[Job Number]&amp;""=C347&amp;"")*(tbl_Finance[Xero Invoice No]&lt;&gt;"")),tbl_Finance[Xero Invoice No]))=COUNTIFS(tbl_Finance[Job Number],C347&amp;"",tbl_Finance[Xero Invoice No],"&lt;&gt;"),LOOKUP(2,1/((tbl_Finance[Job Number]&amp;""=C347&amp;"")*(tbl_Finance[Xero Invoice No]&lt;&gt;"")),tbl_Finance[Xero Invoice No]),LOOKUP(2,1/((tbl_Finance[Job Number]&amp;""=C347&amp;"")*(tbl_Finance[Xero Invoice No]&lt;&gt;"")),tbl_Finance[Xero Invoice No])&amp;" +more"),"")))</f>
        <v/>
      </c>
      <c r="C347" s="24" t="n"/>
      <c r="D347" s="25">
        <f>IF(C347="","",IF(COUNTIF(lst_Jobs,C347&amp;"")&gt;0,"OK","CHECK"))</f>
        <v/>
      </c>
      <c r="E347" s="25">
        <f>IF(C347="","",IFERROR(INDEX(lst_JobName,MATCH(C347&amp;"",lst_Jobs,0)),""))</f>
        <v/>
      </c>
      <c r="F347" s="25">
        <f>IF(C347="","",IFERROR(INDEX(tbl_Finance[Client],IFERROR(MATCH(C347&amp;"",tbl_Finance[Job Number],0),MATCH(IFERROR(C347+0,C347),tbl_Finance[Job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6" t="n"/>
      <c r="L347" s="27">
        <f>IF(C347="","",IF(K347="",0,MAX(0,K347-H347)))</f>
        <v/>
      </c>
      <c r="M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N347" s="24" t="n"/>
      <c r="O347" s="25">
        <f>IF(N347="","",HYPERLINK(IF(LEFT(N347,4)="http",N347,set_QwilrBase&amp;N347),"Open quote"))</f>
        <v/>
      </c>
      <c r="P347" s="26" t="n"/>
      <c r="Q347" s="26" t="n"/>
      <c r="R347" s="26" t="n"/>
      <c r="S347" s="25">
        <f>IF(C347="","",IF(N(P347)+N(Q347)+N(R347)=0,"Not split",IF(ROUND(N(P347)+N(Q347)+N(R347),2)=ROUND(H347+L347,2),"OK",IF(G347=0,"Not invoiced yet","MISMATCH"))))</f>
        <v/>
      </c>
      <c r="T347" s="26" t="n"/>
      <c r="U347" s="26" t="n"/>
      <c r="V347" s="26" t="n"/>
      <c r="W347" s="27">
        <f>IF(C347="","",N(T347)+N(U347)+N(V347))</f>
        <v/>
      </c>
      <c r="X347" s="27">
        <f>IF(C347="","",H347+L347-W347)</f>
        <v/>
      </c>
      <c r="Y347" s="29">
        <f>IFERROR(X347/(H347+L347),"")</f>
        <v/>
      </c>
      <c r="Z347" s="24" t="n"/>
    </row>
    <row r="348" ht="15" customHeight="1">
      <c r="A348" s="70">
        <f>IF(C348="","",IFERROR(IF(SUMPRODUCT(MAX((tbl_Finance[Job Number]&amp;""=C348&amp;"")*(tbl_Finance[Xero Invoice No]&lt;&gt;"")*tbl_Finance[Date]))=0,"",SUMPRODUCT(MAX((tbl_Finance[Job Number]&amp;""=C348&amp;"")*(tbl_Finance[Xero Invoice No]&lt;&gt;"")*tbl_Finance[Date]))),""))</f>
        <v/>
      </c>
      <c r="B348" s="25">
        <f>IF(C348="","",IF(COUNTIFS(tbl_Finance[Job Number],C348&amp;"",tbl_Finance[Xero Invoice No],"&lt;&gt;")=0,"",IFERROR(IF(COUNTIFS(tbl_Finance[Job Number],C348&amp;"",tbl_Finance[Xero Invoice No],LOOKUP(2,1/((tbl_Finance[Job Number]&amp;""=C348&amp;"")*(tbl_Finance[Xero Invoice No]&lt;&gt;"")),tbl_Finance[Xero Invoice No]))=COUNTIFS(tbl_Finance[Job Number],C348&amp;"",tbl_Finance[Xero Invoice No],"&lt;&gt;"),LOOKUP(2,1/((tbl_Finance[Job Number]&amp;""=C348&amp;"")*(tbl_Finance[Xero Invoice No]&lt;&gt;"")),tbl_Finance[Xero Invoice No]),LOOKUP(2,1/((tbl_Finance[Job Number]&amp;""=C348&amp;"")*(tbl_Finance[Xero Invoice No]&lt;&gt;"")),tbl_Finance[Xero Invoice No])&amp;" +more"),"")))</f>
        <v/>
      </c>
      <c r="C348" s="24" t="n"/>
      <c r="D348" s="25">
        <f>IF(C348="","",IF(COUNTIF(lst_Jobs,C348&amp;"")&gt;0,"OK","CHECK"))</f>
        <v/>
      </c>
      <c r="E348" s="25">
        <f>IF(C348="","",IFERROR(INDEX(lst_JobName,MATCH(C348&amp;"",lst_Jobs,0)),""))</f>
        <v/>
      </c>
      <c r="F348" s="25">
        <f>IF(C348="","",IFERROR(INDEX(tbl_Finance[Client],IFERROR(MATCH(C348&amp;"",tbl_Finance[Job Number],0),MATCH(IFERROR(C348+0,C348),tbl_Finance[Job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6" t="n"/>
      <c r="L348" s="27">
        <f>IF(C348="","",IF(K348="",0,MAX(0,K348-H348)))</f>
        <v/>
      </c>
      <c r="M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N348" s="24" t="n"/>
      <c r="O348" s="25">
        <f>IF(N348="","",HYPERLINK(IF(LEFT(N348,4)="http",N348,set_QwilrBase&amp;N348),"Open quote"))</f>
        <v/>
      </c>
      <c r="P348" s="26" t="n"/>
      <c r="Q348" s="26" t="n"/>
      <c r="R348" s="26" t="n"/>
      <c r="S348" s="25">
        <f>IF(C348="","",IF(N(P348)+N(Q348)+N(R348)=0,"Not split",IF(ROUND(N(P348)+N(Q348)+N(R348),2)=ROUND(H348+L348,2),"OK",IF(G348=0,"Not invoiced yet","MISMATCH"))))</f>
        <v/>
      </c>
      <c r="T348" s="26" t="n"/>
      <c r="U348" s="26" t="n"/>
      <c r="V348" s="26" t="n"/>
      <c r="W348" s="27">
        <f>IF(C348="","",N(T348)+N(U348)+N(V348))</f>
        <v/>
      </c>
      <c r="X348" s="27">
        <f>IF(C348="","",H348+L348-W348)</f>
        <v/>
      </c>
      <c r="Y348" s="29">
        <f>IFERROR(X348/(H348+L348),"")</f>
        <v/>
      </c>
      <c r="Z348" s="24" t="n"/>
    </row>
    <row r="349" ht="15" customHeight="1">
      <c r="A349" s="70">
        <f>IF(C349="","",IFERROR(IF(SUMPRODUCT(MAX((tbl_Finance[Job Number]&amp;""=C349&amp;"")*(tbl_Finance[Xero Invoice No]&lt;&gt;"")*tbl_Finance[Date]))=0,"",SUMPRODUCT(MAX((tbl_Finance[Job Number]&amp;""=C349&amp;"")*(tbl_Finance[Xero Invoice No]&lt;&gt;"")*tbl_Finance[Date]))),""))</f>
        <v/>
      </c>
      <c r="B349" s="25">
        <f>IF(C349="","",IF(COUNTIFS(tbl_Finance[Job Number],C349&amp;"",tbl_Finance[Xero Invoice No],"&lt;&gt;")=0,"",IFERROR(IF(COUNTIFS(tbl_Finance[Job Number],C349&amp;"",tbl_Finance[Xero Invoice No],LOOKUP(2,1/((tbl_Finance[Job Number]&amp;""=C349&amp;"")*(tbl_Finance[Xero Invoice No]&lt;&gt;"")),tbl_Finance[Xero Invoice No]))=COUNTIFS(tbl_Finance[Job Number],C349&amp;"",tbl_Finance[Xero Invoice No],"&lt;&gt;"),LOOKUP(2,1/((tbl_Finance[Job Number]&amp;""=C349&amp;"")*(tbl_Finance[Xero Invoice No]&lt;&gt;"")),tbl_Finance[Xero Invoice No]),LOOKUP(2,1/((tbl_Finance[Job Number]&amp;""=C349&amp;"")*(tbl_Finance[Xero Invoice No]&lt;&gt;"")),tbl_Finance[Xero Invoice No])&amp;" +more"),"")))</f>
        <v/>
      </c>
      <c r="C349" s="24" t="n"/>
      <c r="D349" s="25">
        <f>IF(C349="","",IF(COUNTIF(lst_Jobs,C349&amp;"")&gt;0,"OK","CHECK"))</f>
        <v/>
      </c>
      <c r="E349" s="25">
        <f>IF(C349="","",IFERROR(INDEX(lst_JobName,MATCH(C349&amp;"",lst_Jobs,0)),""))</f>
        <v/>
      </c>
      <c r="F349" s="25">
        <f>IF(C349="","",IFERROR(INDEX(tbl_Finance[Client],IFERROR(MATCH(C349&amp;"",tbl_Finance[Job Number],0),MATCH(IFERROR(C349+0,C349),tbl_Finance[Job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6" t="n"/>
      <c r="L349" s="27">
        <f>IF(C349="","",IF(K349="",0,MAX(0,K349-H349)))</f>
        <v/>
      </c>
      <c r="M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N349" s="24" t="n"/>
      <c r="O349" s="25">
        <f>IF(N349="","",HYPERLINK(IF(LEFT(N349,4)="http",N349,set_QwilrBase&amp;N349),"Open quote"))</f>
        <v/>
      </c>
      <c r="P349" s="26" t="n"/>
      <c r="Q349" s="26" t="n"/>
      <c r="R349" s="26" t="n"/>
      <c r="S349" s="25">
        <f>IF(C349="","",IF(N(P349)+N(Q349)+N(R349)=0,"Not split",IF(ROUND(N(P349)+N(Q349)+N(R349),2)=ROUND(H349+L349,2),"OK",IF(G349=0,"Not invoiced yet","MISMATCH"))))</f>
        <v/>
      </c>
      <c r="T349" s="26" t="n"/>
      <c r="U349" s="26" t="n"/>
      <c r="V349" s="26" t="n"/>
      <c r="W349" s="27">
        <f>IF(C349="","",N(T349)+N(U349)+N(V349))</f>
        <v/>
      </c>
      <c r="X349" s="27">
        <f>IF(C349="","",H349+L349-W349)</f>
        <v/>
      </c>
      <c r="Y349" s="29">
        <f>IFERROR(X349/(H349+L349),"")</f>
        <v/>
      </c>
      <c r="Z349" s="24" t="n"/>
    </row>
    <row r="350" ht="15" customHeight="1">
      <c r="A350" s="70">
        <f>IF(C350="","",IFERROR(IF(SUMPRODUCT(MAX((tbl_Finance[Job Number]&amp;""=C350&amp;"")*(tbl_Finance[Xero Invoice No]&lt;&gt;"")*tbl_Finance[Date]))=0,"",SUMPRODUCT(MAX((tbl_Finance[Job Number]&amp;""=C350&amp;"")*(tbl_Finance[Xero Invoice No]&lt;&gt;"")*tbl_Finance[Date]))),""))</f>
        <v/>
      </c>
      <c r="B350" s="25">
        <f>IF(C350="","",IF(COUNTIFS(tbl_Finance[Job Number],C350&amp;"",tbl_Finance[Xero Invoice No],"&lt;&gt;")=0,"",IFERROR(IF(COUNTIFS(tbl_Finance[Job Number],C350&amp;"",tbl_Finance[Xero Invoice No],LOOKUP(2,1/((tbl_Finance[Job Number]&amp;""=C350&amp;"")*(tbl_Finance[Xero Invoice No]&lt;&gt;"")),tbl_Finance[Xero Invoice No]))=COUNTIFS(tbl_Finance[Job Number],C350&amp;"",tbl_Finance[Xero Invoice No],"&lt;&gt;"),LOOKUP(2,1/((tbl_Finance[Job Number]&amp;""=C350&amp;"")*(tbl_Finance[Xero Invoice No]&lt;&gt;"")),tbl_Finance[Xero Invoice No]),LOOKUP(2,1/((tbl_Finance[Job Number]&amp;""=C350&amp;"")*(tbl_Finance[Xero Invoice No]&lt;&gt;"")),tbl_Finance[Xero Invoice No])&amp;" +more"),"")))</f>
        <v/>
      </c>
      <c r="C350" s="24" t="n"/>
      <c r="D350" s="25">
        <f>IF(C350="","",IF(COUNTIF(lst_Jobs,C350&amp;"")&gt;0,"OK","CHECK"))</f>
        <v/>
      </c>
      <c r="E350" s="25">
        <f>IF(C350="","",IFERROR(INDEX(lst_JobName,MATCH(C350&amp;"",lst_Jobs,0)),""))</f>
        <v/>
      </c>
      <c r="F350" s="25">
        <f>IF(C350="","",IFERROR(INDEX(tbl_Finance[Client],IFERROR(MATCH(C350&amp;"",tbl_Finance[Job Number],0),MATCH(IFERROR(C350+0,C350),tbl_Finance[Job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6" t="n"/>
      <c r="L350" s="27">
        <f>IF(C350="","",IF(K350="",0,MAX(0,K350-H350)))</f>
        <v/>
      </c>
      <c r="M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N350" s="24" t="n"/>
      <c r="O350" s="25">
        <f>IF(N350="","",HYPERLINK(IF(LEFT(N350,4)="http",N350,set_QwilrBase&amp;N350),"Open quote"))</f>
        <v/>
      </c>
      <c r="P350" s="26" t="n"/>
      <c r="Q350" s="26" t="n"/>
      <c r="R350" s="26" t="n"/>
      <c r="S350" s="25">
        <f>IF(C350="","",IF(N(P350)+N(Q350)+N(R350)=0,"Not split",IF(ROUND(N(P350)+N(Q350)+N(R350),2)=ROUND(H350+L350,2),"OK",IF(G350=0,"Not invoiced yet","MISMATCH"))))</f>
        <v/>
      </c>
      <c r="T350" s="26" t="n"/>
      <c r="U350" s="26" t="n"/>
      <c r="V350" s="26" t="n"/>
      <c r="W350" s="27">
        <f>IF(C350="","",N(T350)+N(U350)+N(V350))</f>
        <v/>
      </c>
      <c r="X350" s="27">
        <f>IF(C350="","",H350+L350-W350)</f>
        <v/>
      </c>
      <c r="Y350" s="29">
        <f>IFERROR(X350/(H350+L350),"")</f>
        <v/>
      </c>
      <c r="Z350" s="24" t="n"/>
    </row>
    <row r="351" ht="15" customHeight="1">
      <c r="A351" s="70">
        <f>IF(C351="","",IFERROR(IF(SUMPRODUCT(MAX((tbl_Finance[Job Number]&amp;""=C351&amp;"")*(tbl_Finance[Xero Invoice No]&lt;&gt;"")*tbl_Finance[Date]))=0,"",SUMPRODUCT(MAX((tbl_Finance[Job Number]&amp;""=C351&amp;"")*(tbl_Finance[Xero Invoice No]&lt;&gt;"")*tbl_Finance[Date]))),""))</f>
        <v/>
      </c>
      <c r="B351" s="25">
        <f>IF(C351="","",IF(COUNTIFS(tbl_Finance[Job Number],C351&amp;"",tbl_Finance[Xero Invoice No],"&lt;&gt;")=0,"",IFERROR(IF(COUNTIFS(tbl_Finance[Job Number],C351&amp;"",tbl_Finance[Xero Invoice No],LOOKUP(2,1/((tbl_Finance[Job Number]&amp;""=C351&amp;"")*(tbl_Finance[Xero Invoice No]&lt;&gt;"")),tbl_Finance[Xero Invoice No]))=COUNTIFS(tbl_Finance[Job Number],C351&amp;"",tbl_Finance[Xero Invoice No],"&lt;&gt;"),LOOKUP(2,1/((tbl_Finance[Job Number]&amp;""=C351&amp;"")*(tbl_Finance[Xero Invoice No]&lt;&gt;"")),tbl_Finance[Xero Invoice No]),LOOKUP(2,1/((tbl_Finance[Job Number]&amp;""=C351&amp;"")*(tbl_Finance[Xero Invoice No]&lt;&gt;"")),tbl_Finance[Xero Invoice No])&amp;" +more"),"")))</f>
        <v/>
      </c>
      <c r="C351" s="24" t="n"/>
      <c r="D351" s="25">
        <f>IF(C351="","",IF(COUNTIF(lst_Jobs,C351&amp;"")&gt;0,"OK","CHECK"))</f>
        <v/>
      </c>
      <c r="E351" s="25">
        <f>IF(C351="","",IFERROR(INDEX(lst_JobName,MATCH(C351&amp;"",lst_Jobs,0)),""))</f>
        <v/>
      </c>
      <c r="F351" s="25">
        <f>IF(C351="","",IFERROR(INDEX(tbl_Finance[Client],IFERROR(MATCH(C351&amp;"",tbl_Finance[Job Number],0),MATCH(IFERROR(C351+0,C351),tbl_Finance[Job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6" t="n"/>
      <c r="L351" s="27">
        <f>IF(C351="","",IF(K351="",0,MAX(0,K351-H351)))</f>
        <v/>
      </c>
      <c r="M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N351" s="24" t="n"/>
      <c r="O351" s="25">
        <f>IF(N351="","",HYPERLINK(IF(LEFT(N351,4)="http",N351,set_QwilrBase&amp;N351),"Open quote"))</f>
        <v/>
      </c>
      <c r="P351" s="26" t="n"/>
      <c r="Q351" s="26" t="n"/>
      <c r="R351" s="26" t="n"/>
      <c r="S351" s="25">
        <f>IF(C351="","",IF(N(P351)+N(Q351)+N(R351)=0,"Not split",IF(ROUND(N(P351)+N(Q351)+N(R351),2)=ROUND(H351+L351,2),"OK",IF(G351=0,"Not invoiced yet","MISMATCH"))))</f>
        <v/>
      </c>
      <c r="T351" s="26" t="n"/>
      <c r="U351" s="26" t="n"/>
      <c r="V351" s="26" t="n"/>
      <c r="W351" s="27">
        <f>IF(C351="","",N(T351)+N(U351)+N(V351))</f>
        <v/>
      </c>
      <c r="X351" s="27">
        <f>IF(C351="","",H351+L351-W351)</f>
        <v/>
      </c>
      <c r="Y351" s="29">
        <f>IFERROR(X351/(H351+L351),"")</f>
        <v/>
      </c>
      <c r="Z351" s="24" t="n"/>
    </row>
    <row r="352" ht="15" customHeight="1">
      <c r="A352" s="70">
        <f>IF(C352="","",IFERROR(IF(SUMPRODUCT(MAX((tbl_Finance[Job Number]&amp;""=C352&amp;"")*(tbl_Finance[Xero Invoice No]&lt;&gt;"")*tbl_Finance[Date]))=0,"",SUMPRODUCT(MAX((tbl_Finance[Job Number]&amp;""=C352&amp;"")*(tbl_Finance[Xero Invoice No]&lt;&gt;"")*tbl_Finance[Date]))),""))</f>
        <v/>
      </c>
      <c r="B352" s="25">
        <f>IF(C352="","",IF(COUNTIFS(tbl_Finance[Job Number],C352&amp;"",tbl_Finance[Xero Invoice No],"&lt;&gt;")=0,"",IFERROR(IF(COUNTIFS(tbl_Finance[Job Number],C352&amp;"",tbl_Finance[Xero Invoice No],LOOKUP(2,1/((tbl_Finance[Job Number]&amp;""=C352&amp;"")*(tbl_Finance[Xero Invoice No]&lt;&gt;"")),tbl_Finance[Xero Invoice No]))=COUNTIFS(tbl_Finance[Job Number],C352&amp;"",tbl_Finance[Xero Invoice No],"&lt;&gt;"),LOOKUP(2,1/((tbl_Finance[Job Number]&amp;""=C352&amp;"")*(tbl_Finance[Xero Invoice No]&lt;&gt;"")),tbl_Finance[Xero Invoice No]),LOOKUP(2,1/((tbl_Finance[Job Number]&amp;""=C352&amp;"")*(tbl_Finance[Xero Invoice No]&lt;&gt;"")),tbl_Finance[Xero Invoice No])&amp;" +more"),"")))</f>
        <v/>
      </c>
      <c r="C352" s="24" t="n"/>
      <c r="D352" s="25">
        <f>IF(C352="","",IF(COUNTIF(lst_Jobs,C352&amp;"")&gt;0,"OK","CHECK"))</f>
        <v/>
      </c>
      <c r="E352" s="25">
        <f>IF(C352="","",IFERROR(INDEX(lst_JobName,MATCH(C352&amp;"",lst_Jobs,0)),""))</f>
        <v/>
      </c>
      <c r="F352" s="25">
        <f>IF(C352="","",IFERROR(INDEX(tbl_Finance[Client],IFERROR(MATCH(C352&amp;"",tbl_Finance[Job Number],0),MATCH(IFERROR(C352+0,C352),tbl_Finance[Job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6" t="n"/>
      <c r="L352" s="27">
        <f>IF(C352="","",IF(K352="",0,MAX(0,K352-H352)))</f>
        <v/>
      </c>
      <c r="M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N352" s="24" t="n"/>
      <c r="O352" s="25">
        <f>IF(N352="","",HYPERLINK(IF(LEFT(N352,4)="http",N352,set_QwilrBase&amp;N352),"Open quote"))</f>
        <v/>
      </c>
      <c r="P352" s="26" t="n"/>
      <c r="Q352" s="26" t="n"/>
      <c r="R352" s="26" t="n"/>
      <c r="S352" s="25">
        <f>IF(C352="","",IF(N(P352)+N(Q352)+N(R352)=0,"Not split",IF(ROUND(N(P352)+N(Q352)+N(R352),2)=ROUND(H352+L352,2),"OK",IF(G352=0,"Not invoiced yet","MISMATCH"))))</f>
        <v/>
      </c>
      <c r="T352" s="26" t="n"/>
      <c r="U352" s="26" t="n"/>
      <c r="V352" s="26" t="n"/>
      <c r="W352" s="27">
        <f>IF(C352="","",N(T352)+N(U352)+N(V352))</f>
        <v/>
      </c>
      <c r="X352" s="27">
        <f>IF(C352="","",H352+L352-W352)</f>
        <v/>
      </c>
      <c r="Y352" s="29">
        <f>IFERROR(X352/(H352+L352),"")</f>
        <v/>
      </c>
      <c r="Z352" s="24" t="n"/>
    </row>
    <row r="353" ht="15" customHeight="1">
      <c r="A353" s="70">
        <f>IF(C353="","",IFERROR(IF(SUMPRODUCT(MAX((tbl_Finance[Job Number]&amp;""=C353&amp;"")*(tbl_Finance[Xero Invoice No]&lt;&gt;"")*tbl_Finance[Date]))=0,"",SUMPRODUCT(MAX((tbl_Finance[Job Number]&amp;""=C353&amp;"")*(tbl_Finance[Xero Invoice No]&lt;&gt;"")*tbl_Finance[Date]))),""))</f>
        <v/>
      </c>
      <c r="B353" s="25">
        <f>IF(C353="","",IF(COUNTIFS(tbl_Finance[Job Number],C353&amp;"",tbl_Finance[Xero Invoice No],"&lt;&gt;")=0,"",IFERROR(IF(COUNTIFS(tbl_Finance[Job Number],C353&amp;"",tbl_Finance[Xero Invoice No],LOOKUP(2,1/((tbl_Finance[Job Number]&amp;""=C353&amp;"")*(tbl_Finance[Xero Invoice No]&lt;&gt;"")),tbl_Finance[Xero Invoice No]))=COUNTIFS(tbl_Finance[Job Number],C353&amp;"",tbl_Finance[Xero Invoice No],"&lt;&gt;"),LOOKUP(2,1/((tbl_Finance[Job Number]&amp;""=C353&amp;"")*(tbl_Finance[Xero Invoice No]&lt;&gt;"")),tbl_Finance[Xero Invoice No]),LOOKUP(2,1/((tbl_Finance[Job Number]&amp;""=C353&amp;"")*(tbl_Finance[Xero Invoice No]&lt;&gt;"")),tbl_Finance[Xero Invoice No])&amp;" +more"),"")))</f>
        <v/>
      </c>
      <c r="C353" s="24" t="n"/>
      <c r="D353" s="25">
        <f>IF(C353="","",IF(COUNTIF(lst_Jobs,C353&amp;"")&gt;0,"OK","CHECK"))</f>
        <v/>
      </c>
      <c r="E353" s="25">
        <f>IF(C353="","",IFERROR(INDEX(lst_JobName,MATCH(C353&amp;"",lst_Jobs,0)),""))</f>
        <v/>
      </c>
      <c r="F353" s="25">
        <f>IF(C353="","",IFERROR(INDEX(tbl_Finance[Client],IFERROR(MATCH(C353&amp;"",tbl_Finance[Job Number],0),MATCH(IFERROR(C353+0,C353),tbl_Finance[Job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6" t="n"/>
      <c r="L353" s="27">
        <f>IF(C353="","",IF(K353="",0,MAX(0,K353-H353)))</f>
        <v/>
      </c>
      <c r="M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N353" s="24" t="n"/>
      <c r="O353" s="25">
        <f>IF(N353="","",HYPERLINK(IF(LEFT(N353,4)="http",N353,set_QwilrBase&amp;N353),"Open quote"))</f>
        <v/>
      </c>
      <c r="P353" s="26" t="n"/>
      <c r="Q353" s="26" t="n"/>
      <c r="R353" s="26" t="n"/>
      <c r="S353" s="25">
        <f>IF(C353="","",IF(N(P353)+N(Q353)+N(R353)=0,"Not split",IF(ROUND(N(P353)+N(Q353)+N(R353),2)=ROUND(H353+L353,2),"OK",IF(G353=0,"Not invoiced yet","MISMATCH"))))</f>
        <v/>
      </c>
      <c r="T353" s="26" t="n"/>
      <c r="U353" s="26" t="n"/>
      <c r="V353" s="26" t="n"/>
      <c r="W353" s="27">
        <f>IF(C353="","",N(T353)+N(U353)+N(V353))</f>
        <v/>
      </c>
      <c r="X353" s="27">
        <f>IF(C353="","",H353+L353-W353)</f>
        <v/>
      </c>
      <c r="Y353" s="29">
        <f>IFERROR(X353/(H353+L353),"")</f>
        <v/>
      </c>
      <c r="Z353" s="24" t="n"/>
    </row>
    <row r="354" ht="15" customHeight="1">
      <c r="A354" s="70">
        <f>IF(C354="","",IFERROR(IF(SUMPRODUCT(MAX((tbl_Finance[Job Number]&amp;""=C354&amp;"")*(tbl_Finance[Xero Invoice No]&lt;&gt;"")*tbl_Finance[Date]))=0,"",SUMPRODUCT(MAX((tbl_Finance[Job Number]&amp;""=C354&amp;"")*(tbl_Finance[Xero Invoice No]&lt;&gt;"")*tbl_Finance[Date]))),""))</f>
        <v/>
      </c>
      <c r="B354" s="25">
        <f>IF(C354="","",IF(COUNTIFS(tbl_Finance[Job Number],C354&amp;"",tbl_Finance[Xero Invoice No],"&lt;&gt;")=0,"",IFERROR(IF(COUNTIFS(tbl_Finance[Job Number],C354&amp;"",tbl_Finance[Xero Invoice No],LOOKUP(2,1/((tbl_Finance[Job Number]&amp;""=C354&amp;"")*(tbl_Finance[Xero Invoice No]&lt;&gt;"")),tbl_Finance[Xero Invoice No]))=COUNTIFS(tbl_Finance[Job Number],C354&amp;"",tbl_Finance[Xero Invoice No],"&lt;&gt;"),LOOKUP(2,1/((tbl_Finance[Job Number]&amp;""=C354&amp;"")*(tbl_Finance[Xero Invoice No]&lt;&gt;"")),tbl_Finance[Xero Invoice No]),LOOKUP(2,1/((tbl_Finance[Job Number]&amp;""=C354&amp;"")*(tbl_Finance[Xero Invoice No]&lt;&gt;"")),tbl_Finance[Xero Invoice No])&amp;" +more"),"")))</f>
        <v/>
      </c>
      <c r="C354" s="24" t="n"/>
      <c r="D354" s="25">
        <f>IF(C354="","",IF(COUNTIF(lst_Jobs,C354&amp;"")&gt;0,"OK","CHECK"))</f>
        <v/>
      </c>
      <c r="E354" s="25">
        <f>IF(C354="","",IFERROR(INDEX(lst_JobName,MATCH(C354&amp;"",lst_Jobs,0)),""))</f>
        <v/>
      </c>
      <c r="F354" s="25">
        <f>IF(C354="","",IFERROR(INDEX(tbl_Finance[Client],IFERROR(MATCH(C354&amp;"",tbl_Finance[Job Number],0),MATCH(IFERROR(C354+0,C354),tbl_Finance[Job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6" t="n"/>
      <c r="L354" s="27">
        <f>IF(C354="","",IF(K354="",0,MAX(0,K354-H354)))</f>
        <v/>
      </c>
      <c r="M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N354" s="24" t="n"/>
      <c r="O354" s="25">
        <f>IF(N354="","",HYPERLINK(IF(LEFT(N354,4)="http",N354,set_QwilrBase&amp;N354),"Open quote"))</f>
        <v/>
      </c>
      <c r="P354" s="26" t="n"/>
      <c r="Q354" s="26" t="n"/>
      <c r="R354" s="26" t="n"/>
      <c r="S354" s="25">
        <f>IF(C354="","",IF(N(P354)+N(Q354)+N(R354)=0,"Not split",IF(ROUND(N(P354)+N(Q354)+N(R354),2)=ROUND(H354+L354,2),"OK",IF(G354=0,"Not invoiced yet","MISMATCH"))))</f>
        <v/>
      </c>
      <c r="T354" s="26" t="n"/>
      <c r="U354" s="26" t="n"/>
      <c r="V354" s="26" t="n"/>
      <c r="W354" s="27">
        <f>IF(C354="","",N(T354)+N(U354)+N(V354))</f>
        <v/>
      </c>
      <c r="X354" s="27">
        <f>IF(C354="","",H354+L354-W354)</f>
        <v/>
      </c>
      <c r="Y354" s="29">
        <f>IFERROR(X354/(H354+L354),"")</f>
        <v/>
      </c>
      <c r="Z354" s="24" t="n"/>
    </row>
    <row r="355" ht="15" customHeight="1">
      <c r="A355" s="70">
        <f>IF(C355="","",IFERROR(IF(SUMPRODUCT(MAX((tbl_Finance[Job Number]&amp;""=C355&amp;"")*(tbl_Finance[Xero Invoice No]&lt;&gt;"")*tbl_Finance[Date]))=0,"",SUMPRODUCT(MAX((tbl_Finance[Job Number]&amp;""=C355&amp;"")*(tbl_Finance[Xero Invoice No]&lt;&gt;"")*tbl_Finance[Date]))),""))</f>
        <v/>
      </c>
      <c r="B355" s="25">
        <f>IF(C355="","",IF(COUNTIFS(tbl_Finance[Job Number],C355&amp;"",tbl_Finance[Xero Invoice No],"&lt;&gt;")=0,"",IFERROR(IF(COUNTIFS(tbl_Finance[Job Number],C355&amp;"",tbl_Finance[Xero Invoice No],LOOKUP(2,1/((tbl_Finance[Job Number]&amp;""=C355&amp;"")*(tbl_Finance[Xero Invoice No]&lt;&gt;"")),tbl_Finance[Xero Invoice No]))=COUNTIFS(tbl_Finance[Job Number],C355&amp;"",tbl_Finance[Xero Invoice No],"&lt;&gt;"),LOOKUP(2,1/((tbl_Finance[Job Number]&amp;""=C355&amp;"")*(tbl_Finance[Xero Invoice No]&lt;&gt;"")),tbl_Finance[Xero Invoice No]),LOOKUP(2,1/((tbl_Finance[Job Number]&amp;""=C355&amp;"")*(tbl_Finance[Xero Invoice No]&lt;&gt;"")),tbl_Finance[Xero Invoice No])&amp;" +more"),"")))</f>
        <v/>
      </c>
      <c r="C355" s="24" t="n"/>
      <c r="D355" s="25">
        <f>IF(C355="","",IF(COUNTIF(lst_Jobs,C355&amp;"")&gt;0,"OK","CHECK"))</f>
        <v/>
      </c>
      <c r="E355" s="25">
        <f>IF(C355="","",IFERROR(INDEX(lst_JobName,MATCH(C355&amp;"",lst_Jobs,0)),""))</f>
        <v/>
      </c>
      <c r="F355" s="25">
        <f>IF(C355="","",IFERROR(INDEX(tbl_Finance[Client],IFERROR(MATCH(C355&amp;"",tbl_Finance[Job Number],0),MATCH(IFERROR(C355+0,C355),tbl_Finance[Job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6" t="n"/>
      <c r="L355" s="27">
        <f>IF(C355="","",IF(K355="",0,MAX(0,K355-H355)))</f>
        <v/>
      </c>
      <c r="M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N355" s="24" t="n"/>
      <c r="O355" s="25">
        <f>IF(N355="","",HYPERLINK(IF(LEFT(N355,4)="http",N355,set_QwilrBase&amp;N355),"Open quote"))</f>
        <v/>
      </c>
      <c r="P355" s="26" t="n"/>
      <c r="Q355" s="26" t="n"/>
      <c r="R355" s="26" t="n"/>
      <c r="S355" s="25">
        <f>IF(C355="","",IF(N(P355)+N(Q355)+N(R355)=0,"Not split",IF(ROUND(N(P355)+N(Q355)+N(R355),2)=ROUND(H355+L355,2),"OK",IF(G355=0,"Not invoiced yet","MISMATCH"))))</f>
        <v/>
      </c>
      <c r="T355" s="26" t="n"/>
      <c r="U355" s="26" t="n"/>
      <c r="V355" s="26" t="n"/>
      <c r="W355" s="27">
        <f>IF(C355="","",N(T355)+N(U355)+N(V355))</f>
        <v/>
      </c>
      <c r="X355" s="27">
        <f>IF(C355="","",H355+L355-W355)</f>
        <v/>
      </c>
      <c r="Y355" s="29">
        <f>IFERROR(X355/(H355+L355),"")</f>
        <v/>
      </c>
      <c r="Z355" s="24" t="n"/>
    </row>
    <row r="356" ht="15" customHeight="1">
      <c r="A356" s="70">
        <f>IF(C356="","",IFERROR(IF(SUMPRODUCT(MAX((tbl_Finance[Job Number]&amp;""=C356&amp;"")*(tbl_Finance[Xero Invoice No]&lt;&gt;"")*tbl_Finance[Date]))=0,"",SUMPRODUCT(MAX((tbl_Finance[Job Number]&amp;""=C356&amp;"")*(tbl_Finance[Xero Invoice No]&lt;&gt;"")*tbl_Finance[Date]))),""))</f>
        <v/>
      </c>
      <c r="B356" s="25">
        <f>IF(C356="","",IF(COUNTIFS(tbl_Finance[Job Number],C356&amp;"",tbl_Finance[Xero Invoice No],"&lt;&gt;")=0,"",IFERROR(IF(COUNTIFS(tbl_Finance[Job Number],C356&amp;"",tbl_Finance[Xero Invoice No],LOOKUP(2,1/((tbl_Finance[Job Number]&amp;""=C356&amp;"")*(tbl_Finance[Xero Invoice No]&lt;&gt;"")),tbl_Finance[Xero Invoice No]))=COUNTIFS(tbl_Finance[Job Number],C356&amp;"",tbl_Finance[Xero Invoice No],"&lt;&gt;"),LOOKUP(2,1/((tbl_Finance[Job Number]&amp;""=C356&amp;"")*(tbl_Finance[Xero Invoice No]&lt;&gt;"")),tbl_Finance[Xero Invoice No]),LOOKUP(2,1/((tbl_Finance[Job Number]&amp;""=C356&amp;"")*(tbl_Finance[Xero Invoice No]&lt;&gt;"")),tbl_Finance[Xero Invoice No])&amp;" +more"),"")))</f>
        <v/>
      </c>
      <c r="C356" s="24" t="n"/>
      <c r="D356" s="25">
        <f>IF(C356="","",IF(COUNTIF(lst_Jobs,C356&amp;"")&gt;0,"OK","CHECK"))</f>
        <v/>
      </c>
      <c r="E356" s="25">
        <f>IF(C356="","",IFERROR(INDEX(lst_JobName,MATCH(C356&amp;"",lst_Jobs,0)),""))</f>
        <v/>
      </c>
      <c r="F356" s="25">
        <f>IF(C356="","",IFERROR(INDEX(tbl_Finance[Client],IFERROR(MATCH(C356&amp;"",tbl_Finance[Job Number],0),MATCH(IFERROR(C356+0,C356),tbl_Finance[Job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6" t="n"/>
      <c r="L356" s="27">
        <f>IF(C356="","",IF(K356="",0,MAX(0,K356-H356)))</f>
        <v/>
      </c>
      <c r="M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N356" s="24" t="n"/>
      <c r="O356" s="25">
        <f>IF(N356="","",HYPERLINK(IF(LEFT(N356,4)="http",N356,set_QwilrBase&amp;N356),"Open quote"))</f>
        <v/>
      </c>
      <c r="P356" s="26" t="n"/>
      <c r="Q356" s="26" t="n"/>
      <c r="R356" s="26" t="n"/>
      <c r="S356" s="25">
        <f>IF(C356="","",IF(N(P356)+N(Q356)+N(R356)=0,"Not split",IF(ROUND(N(P356)+N(Q356)+N(R356),2)=ROUND(H356+L356,2),"OK",IF(G356=0,"Not invoiced yet","MISMATCH"))))</f>
        <v/>
      </c>
      <c r="T356" s="26" t="n"/>
      <c r="U356" s="26" t="n"/>
      <c r="V356" s="26" t="n"/>
      <c r="W356" s="27">
        <f>IF(C356="","",N(T356)+N(U356)+N(V356))</f>
        <v/>
      </c>
      <c r="X356" s="27">
        <f>IF(C356="","",H356+L356-W356)</f>
        <v/>
      </c>
      <c r="Y356" s="29">
        <f>IFERROR(X356/(H356+L356),"")</f>
        <v/>
      </c>
      <c r="Z356" s="24" t="n"/>
    </row>
    <row r="357" ht="15" customHeight="1">
      <c r="A357" s="70">
        <f>IF(C357="","",IFERROR(IF(SUMPRODUCT(MAX((tbl_Finance[Job Number]&amp;""=C357&amp;"")*(tbl_Finance[Xero Invoice No]&lt;&gt;"")*tbl_Finance[Date]))=0,"",SUMPRODUCT(MAX((tbl_Finance[Job Number]&amp;""=C357&amp;"")*(tbl_Finance[Xero Invoice No]&lt;&gt;"")*tbl_Finance[Date]))),""))</f>
        <v/>
      </c>
      <c r="B357" s="25">
        <f>IF(C357="","",IF(COUNTIFS(tbl_Finance[Job Number],C357&amp;"",tbl_Finance[Xero Invoice No],"&lt;&gt;")=0,"",IFERROR(IF(COUNTIFS(tbl_Finance[Job Number],C357&amp;"",tbl_Finance[Xero Invoice No],LOOKUP(2,1/((tbl_Finance[Job Number]&amp;""=C357&amp;"")*(tbl_Finance[Xero Invoice No]&lt;&gt;"")),tbl_Finance[Xero Invoice No]))=COUNTIFS(tbl_Finance[Job Number],C357&amp;"",tbl_Finance[Xero Invoice No],"&lt;&gt;"),LOOKUP(2,1/((tbl_Finance[Job Number]&amp;""=C357&amp;"")*(tbl_Finance[Xero Invoice No]&lt;&gt;"")),tbl_Finance[Xero Invoice No]),LOOKUP(2,1/((tbl_Finance[Job Number]&amp;""=C357&amp;"")*(tbl_Finance[Xero Invoice No]&lt;&gt;"")),tbl_Finance[Xero Invoice No])&amp;" +more"),"")))</f>
        <v/>
      </c>
      <c r="C357" s="24" t="n"/>
      <c r="D357" s="25">
        <f>IF(C357="","",IF(COUNTIF(lst_Jobs,C357&amp;"")&gt;0,"OK","CHECK"))</f>
        <v/>
      </c>
      <c r="E357" s="25">
        <f>IF(C357="","",IFERROR(INDEX(lst_JobName,MATCH(C357&amp;"",lst_Jobs,0)),""))</f>
        <v/>
      </c>
      <c r="F357" s="25">
        <f>IF(C357="","",IFERROR(INDEX(tbl_Finance[Client],IFERROR(MATCH(C357&amp;"",tbl_Finance[Job Number],0),MATCH(IFERROR(C357+0,C357),tbl_Finance[Job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6" t="n"/>
      <c r="L357" s="27">
        <f>IF(C357="","",IF(K357="",0,MAX(0,K357-H357)))</f>
        <v/>
      </c>
      <c r="M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N357" s="24" t="n"/>
      <c r="O357" s="25">
        <f>IF(N357="","",HYPERLINK(IF(LEFT(N357,4)="http",N357,set_QwilrBase&amp;N357),"Open quote"))</f>
        <v/>
      </c>
      <c r="P357" s="26" t="n"/>
      <c r="Q357" s="26" t="n"/>
      <c r="R357" s="26" t="n"/>
      <c r="S357" s="25">
        <f>IF(C357="","",IF(N(P357)+N(Q357)+N(R357)=0,"Not split",IF(ROUND(N(P357)+N(Q357)+N(R357),2)=ROUND(H357+L357,2),"OK",IF(G357=0,"Not invoiced yet","MISMATCH"))))</f>
        <v/>
      </c>
      <c r="T357" s="26" t="n"/>
      <c r="U357" s="26" t="n"/>
      <c r="V357" s="26" t="n"/>
      <c r="W357" s="27">
        <f>IF(C357="","",N(T357)+N(U357)+N(V357))</f>
        <v/>
      </c>
      <c r="X357" s="27">
        <f>IF(C357="","",H357+L357-W357)</f>
        <v/>
      </c>
      <c r="Y357" s="29">
        <f>IFERROR(X357/(H357+L357),"")</f>
        <v/>
      </c>
      <c r="Z357" s="24" t="n"/>
    </row>
    <row r="358" ht="15" customHeight="1">
      <c r="A358" s="70">
        <f>IF(C358="","",IFERROR(IF(SUMPRODUCT(MAX((tbl_Finance[Job Number]&amp;""=C358&amp;"")*(tbl_Finance[Xero Invoice No]&lt;&gt;"")*tbl_Finance[Date]))=0,"",SUMPRODUCT(MAX((tbl_Finance[Job Number]&amp;""=C358&amp;"")*(tbl_Finance[Xero Invoice No]&lt;&gt;"")*tbl_Finance[Date]))),""))</f>
        <v/>
      </c>
      <c r="B358" s="25">
        <f>IF(C358="","",IF(COUNTIFS(tbl_Finance[Job Number],C358&amp;"",tbl_Finance[Xero Invoice No],"&lt;&gt;")=0,"",IFERROR(IF(COUNTIFS(tbl_Finance[Job Number],C358&amp;"",tbl_Finance[Xero Invoice No],LOOKUP(2,1/((tbl_Finance[Job Number]&amp;""=C358&amp;"")*(tbl_Finance[Xero Invoice No]&lt;&gt;"")),tbl_Finance[Xero Invoice No]))=COUNTIFS(tbl_Finance[Job Number],C358&amp;"",tbl_Finance[Xero Invoice No],"&lt;&gt;"),LOOKUP(2,1/((tbl_Finance[Job Number]&amp;""=C358&amp;"")*(tbl_Finance[Xero Invoice No]&lt;&gt;"")),tbl_Finance[Xero Invoice No]),LOOKUP(2,1/((tbl_Finance[Job Number]&amp;""=C358&amp;"")*(tbl_Finance[Xero Invoice No]&lt;&gt;"")),tbl_Finance[Xero Invoice No])&amp;" +more"),"")))</f>
        <v/>
      </c>
      <c r="C358" s="24" t="n"/>
      <c r="D358" s="25">
        <f>IF(C358="","",IF(COUNTIF(lst_Jobs,C358&amp;"")&gt;0,"OK","CHECK"))</f>
        <v/>
      </c>
      <c r="E358" s="25">
        <f>IF(C358="","",IFERROR(INDEX(lst_JobName,MATCH(C358&amp;"",lst_Jobs,0)),""))</f>
        <v/>
      </c>
      <c r="F358" s="25">
        <f>IF(C358="","",IFERROR(INDEX(tbl_Finance[Client],IFERROR(MATCH(C358&amp;"",tbl_Finance[Job Number],0),MATCH(IFERROR(C358+0,C358),tbl_Finance[Job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6" t="n"/>
      <c r="L358" s="27">
        <f>IF(C358="","",IF(K358="",0,MAX(0,K358-H358)))</f>
        <v/>
      </c>
      <c r="M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N358" s="24" t="n"/>
      <c r="O358" s="25">
        <f>IF(N358="","",HYPERLINK(IF(LEFT(N358,4)="http",N358,set_QwilrBase&amp;N358),"Open quote"))</f>
        <v/>
      </c>
      <c r="P358" s="26" t="n"/>
      <c r="Q358" s="26" t="n"/>
      <c r="R358" s="26" t="n"/>
      <c r="S358" s="25">
        <f>IF(C358="","",IF(N(P358)+N(Q358)+N(R358)=0,"Not split",IF(ROUND(N(P358)+N(Q358)+N(R358),2)=ROUND(H358+L358,2),"OK",IF(G358=0,"Not invoiced yet","MISMATCH"))))</f>
        <v/>
      </c>
      <c r="T358" s="26" t="n"/>
      <c r="U358" s="26" t="n"/>
      <c r="V358" s="26" t="n"/>
      <c r="W358" s="27">
        <f>IF(C358="","",N(T358)+N(U358)+N(V358))</f>
        <v/>
      </c>
      <c r="X358" s="27">
        <f>IF(C358="","",H358+L358-W358)</f>
        <v/>
      </c>
      <c r="Y358" s="29">
        <f>IFERROR(X358/(H358+L358),"")</f>
        <v/>
      </c>
      <c r="Z358" s="24" t="n"/>
    </row>
    <row r="359" ht="15" customHeight="1">
      <c r="A359" s="70">
        <f>IF(C359="","",IFERROR(IF(SUMPRODUCT(MAX((tbl_Finance[Job Number]&amp;""=C359&amp;"")*(tbl_Finance[Xero Invoice No]&lt;&gt;"")*tbl_Finance[Date]))=0,"",SUMPRODUCT(MAX((tbl_Finance[Job Number]&amp;""=C359&amp;"")*(tbl_Finance[Xero Invoice No]&lt;&gt;"")*tbl_Finance[Date]))),""))</f>
        <v/>
      </c>
      <c r="B359" s="25">
        <f>IF(C359="","",IF(COUNTIFS(tbl_Finance[Job Number],C359&amp;"",tbl_Finance[Xero Invoice No],"&lt;&gt;")=0,"",IFERROR(IF(COUNTIFS(tbl_Finance[Job Number],C359&amp;"",tbl_Finance[Xero Invoice No],LOOKUP(2,1/((tbl_Finance[Job Number]&amp;""=C359&amp;"")*(tbl_Finance[Xero Invoice No]&lt;&gt;"")),tbl_Finance[Xero Invoice No]))=COUNTIFS(tbl_Finance[Job Number],C359&amp;"",tbl_Finance[Xero Invoice No],"&lt;&gt;"),LOOKUP(2,1/((tbl_Finance[Job Number]&amp;""=C359&amp;"")*(tbl_Finance[Xero Invoice No]&lt;&gt;"")),tbl_Finance[Xero Invoice No]),LOOKUP(2,1/((tbl_Finance[Job Number]&amp;""=C359&amp;"")*(tbl_Finance[Xero Invoice No]&lt;&gt;"")),tbl_Finance[Xero Invoice No])&amp;" +more"),"")))</f>
        <v/>
      </c>
      <c r="C359" s="24" t="n"/>
      <c r="D359" s="25">
        <f>IF(C359="","",IF(COUNTIF(lst_Jobs,C359&amp;"")&gt;0,"OK","CHECK"))</f>
        <v/>
      </c>
      <c r="E359" s="25">
        <f>IF(C359="","",IFERROR(INDEX(lst_JobName,MATCH(C359&amp;"",lst_Jobs,0)),""))</f>
        <v/>
      </c>
      <c r="F359" s="25">
        <f>IF(C359="","",IFERROR(INDEX(tbl_Finance[Client],IFERROR(MATCH(C359&amp;"",tbl_Finance[Job Number],0),MATCH(IFERROR(C359+0,C359),tbl_Finance[Job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6" t="n"/>
      <c r="L359" s="27">
        <f>IF(C359="","",IF(K359="",0,MAX(0,K359-H359)))</f>
        <v/>
      </c>
      <c r="M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N359" s="24" t="n"/>
      <c r="O359" s="25">
        <f>IF(N359="","",HYPERLINK(IF(LEFT(N359,4)="http",N359,set_QwilrBase&amp;N359),"Open quote"))</f>
        <v/>
      </c>
      <c r="P359" s="26" t="n"/>
      <c r="Q359" s="26" t="n"/>
      <c r="R359" s="26" t="n"/>
      <c r="S359" s="25">
        <f>IF(C359="","",IF(N(P359)+N(Q359)+N(R359)=0,"Not split",IF(ROUND(N(P359)+N(Q359)+N(R359),2)=ROUND(H359+L359,2),"OK",IF(G359=0,"Not invoiced yet","MISMATCH"))))</f>
        <v/>
      </c>
      <c r="T359" s="26" t="n"/>
      <c r="U359" s="26" t="n"/>
      <c r="V359" s="26" t="n"/>
      <c r="W359" s="27">
        <f>IF(C359="","",N(T359)+N(U359)+N(V359))</f>
        <v/>
      </c>
      <c r="X359" s="27">
        <f>IF(C359="","",H359+L359-W359)</f>
        <v/>
      </c>
      <c r="Y359" s="29">
        <f>IFERROR(X359/(H359+L359),"")</f>
        <v/>
      </c>
      <c r="Z359" s="24" t="n"/>
    </row>
    <row r="360" ht="15" customHeight="1">
      <c r="A360" s="70">
        <f>IF(C360="","",IFERROR(IF(SUMPRODUCT(MAX((tbl_Finance[Job Number]&amp;""=C360&amp;"")*(tbl_Finance[Xero Invoice No]&lt;&gt;"")*tbl_Finance[Date]))=0,"",SUMPRODUCT(MAX((tbl_Finance[Job Number]&amp;""=C360&amp;"")*(tbl_Finance[Xero Invoice No]&lt;&gt;"")*tbl_Finance[Date]))),""))</f>
        <v/>
      </c>
      <c r="B360" s="25">
        <f>IF(C360="","",IF(COUNTIFS(tbl_Finance[Job Number],C360&amp;"",tbl_Finance[Xero Invoice No],"&lt;&gt;")=0,"",IFERROR(IF(COUNTIFS(tbl_Finance[Job Number],C360&amp;"",tbl_Finance[Xero Invoice No],LOOKUP(2,1/((tbl_Finance[Job Number]&amp;""=C360&amp;"")*(tbl_Finance[Xero Invoice No]&lt;&gt;"")),tbl_Finance[Xero Invoice No]))=COUNTIFS(tbl_Finance[Job Number],C360&amp;"",tbl_Finance[Xero Invoice No],"&lt;&gt;"),LOOKUP(2,1/((tbl_Finance[Job Number]&amp;""=C360&amp;"")*(tbl_Finance[Xero Invoice No]&lt;&gt;"")),tbl_Finance[Xero Invoice No]),LOOKUP(2,1/((tbl_Finance[Job Number]&amp;""=C360&amp;"")*(tbl_Finance[Xero Invoice No]&lt;&gt;"")),tbl_Finance[Xero Invoice No])&amp;" +more"),"")))</f>
        <v/>
      </c>
      <c r="C360" s="24" t="n"/>
      <c r="D360" s="25">
        <f>IF(C360="","",IF(COUNTIF(lst_Jobs,C360&amp;"")&gt;0,"OK","CHECK"))</f>
        <v/>
      </c>
      <c r="E360" s="25">
        <f>IF(C360="","",IFERROR(INDEX(lst_JobName,MATCH(C360&amp;"",lst_Jobs,0)),""))</f>
        <v/>
      </c>
      <c r="F360" s="25">
        <f>IF(C360="","",IFERROR(INDEX(tbl_Finance[Client],IFERROR(MATCH(C360&amp;"",tbl_Finance[Job Number],0),MATCH(IFERROR(C360+0,C360),tbl_Finance[Job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6" t="n"/>
      <c r="L360" s="27">
        <f>IF(C360="","",IF(K360="",0,MAX(0,K360-H360)))</f>
        <v/>
      </c>
      <c r="M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N360" s="24" t="n"/>
      <c r="O360" s="25">
        <f>IF(N360="","",HYPERLINK(IF(LEFT(N360,4)="http",N360,set_QwilrBase&amp;N360),"Open quote"))</f>
        <v/>
      </c>
      <c r="P360" s="26" t="n"/>
      <c r="Q360" s="26" t="n"/>
      <c r="R360" s="26" t="n"/>
      <c r="S360" s="25">
        <f>IF(C360="","",IF(N(P360)+N(Q360)+N(R360)=0,"Not split",IF(ROUND(N(P360)+N(Q360)+N(R360),2)=ROUND(H360+L360,2),"OK",IF(G360=0,"Not invoiced yet","MISMATCH"))))</f>
        <v/>
      </c>
      <c r="T360" s="26" t="n"/>
      <c r="U360" s="26" t="n"/>
      <c r="V360" s="26" t="n"/>
      <c r="W360" s="27">
        <f>IF(C360="","",N(T360)+N(U360)+N(V360))</f>
        <v/>
      </c>
      <c r="X360" s="27">
        <f>IF(C360="","",H360+L360-W360)</f>
        <v/>
      </c>
      <c r="Y360" s="29">
        <f>IFERROR(X360/(H360+L360),"")</f>
        <v/>
      </c>
      <c r="Z360" s="24" t="n"/>
    </row>
    <row r="361" ht="15" customHeight="1">
      <c r="A361" s="70">
        <f>IF(C361="","",IFERROR(IF(SUMPRODUCT(MAX((tbl_Finance[Job Number]&amp;""=C361&amp;"")*(tbl_Finance[Xero Invoice No]&lt;&gt;"")*tbl_Finance[Date]))=0,"",SUMPRODUCT(MAX((tbl_Finance[Job Number]&amp;""=C361&amp;"")*(tbl_Finance[Xero Invoice No]&lt;&gt;"")*tbl_Finance[Date]))),""))</f>
        <v/>
      </c>
      <c r="B361" s="25">
        <f>IF(C361="","",IF(COUNTIFS(tbl_Finance[Job Number],C361&amp;"",tbl_Finance[Xero Invoice No],"&lt;&gt;")=0,"",IFERROR(IF(COUNTIFS(tbl_Finance[Job Number],C361&amp;"",tbl_Finance[Xero Invoice No],LOOKUP(2,1/((tbl_Finance[Job Number]&amp;""=C361&amp;"")*(tbl_Finance[Xero Invoice No]&lt;&gt;"")),tbl_Finance[Xero Invoice No]))=COUNTIFS(tbl_Finance[Job Number],C361&amp;"",tbl_Finance[Xero Invoice No],"&lt;&gt;"),LOOKUP(2,1/((tbl_Finance[Job Number]&amp;""=C361&amp;"")*(tbl_Finance[Xero Invoice No]&lt;&gt;"")),tbl_Finance[Xero Invoice No]),LOOKUP(2,1/((tbl_Finance[Job Number]&amp;""=C361&amp;"")*(tbl_Finance[Xero Invoice No]&lt;&gt;"")),tbl_Finance[Xero Invoice No])&amp;" +more"),"")))</f>
        <v/>
      </c>
      <c r="C361" s="24" t="n"/>
      <c r="D361" s="25">
        <f>IF(C361="","",IF(COUNTIF(lst_Jobs,C361&amp;"")&gt;0,"OK","CHECK"))</f>
        <v/>
      </c>
      <c r="E361" s="25">
        <f>IF(C361="","",IFERROR(INDEX(lst_JobName,MATCH(C361&amp;"",lst_Jobs,0)),""))</f>
        <v/>
      </c>
      <c r="F361" s="25">
        <f>IF(C361="","",IFERROR(INDEX(tbl_Finance[Client],IFERROR(MATCH(C361&amp;"",tbl_Finance[Job Number],0),MATCH(IFERROR(C361+0,C361),tbl_Finance[Job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6" t="n"/>
      <c r="L361" s="27">
        <f>IF(C361="","",IF(K361="",0,MAX(0,K361-H361)))</f>
        <v/>
      </c>
      <c r="M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N361" s="24" t="n"/>
      <c r="O361" s="25">
        <f>IF(N361="","",HYPERLINK(IF(LEFT(N361,4)="http",N361,set_QwilrBase&amp;N361),"Open quote"))</f>
        <v/>
      </c>
      <c r="P361" s="26" t="n"/>
      <c r="Q361" s="26" t="n"/>
      <c r="R361" s="26" t="n"/>
      <c r="S361" s="25">
        <f>IF(C361="","",IF(N(P361)+N(Q361)+N(R361)=0,"Not split",IF(ROUND(N(P361)+N(Q361)+N(R361),2)=ROUND(H361+L361,2),"OK",IF(G361=0,"Not invoiced yet","MISMATCH"))))</f>
        <v/>
      </c>
      <c r="T361" s="26" t="n"/>
      <c r="U361" s="26" t="n"/>
      <c r="V361" s="26" t="n"/>
      <c r="W361" s="27">
        <f>IF(C361="","",N(T361)+N(U361)+N(V361))</f>
        <v/>
      </c>
      <c r="X361" s="27">
        <f>IF(C361="","",H361+L361-W361)</f>
        <v/>
      </c>
      <c r="Y361" s="29">
        <f>IFERROR(X361/(H361+L361),"")</f>
        <v/>
      </c>
      <c r="Z361" s="24" t="n"/>
    </row>
    <row r="362" ht="15" customHeight="1">
      <c r="A362" s="70">
        <f>IF(C362="","",IFERROR(IF(SUMPRODUCT(MAX((tbl_Finance[Job Number]&amp;""=C362&amp;"")*(tbl_Finance[Xero Invoice No]&lt;&gt;"")*tbl_Finance[Date]))=0,"",SUMPRODUCT(MAX((tbl_Finance[Job Number]&amp;""=C362&amp;"")*(tbl_Finance[Xero Invoice No]&lt;&gt;"")*tbl_Finance[Date]))),""))</f>
        <v/>
      </c>
      <c r="B362" s="25">
        <f>IF(C362="","",IF(COUNTIFS(tbl_Finance[Job Number],C362&amp;"",tbl_Finance[Xero Invoice No],"&lt;&gt;")=0,"",IFERROR(IF(COUNTIFS(tbl_Finance[Job Number],C362&amp;"",tbl_Finance[Xero Invoice No],LOOKUP(2,1/((tbl_Finance[Job Number]&amp;""=C362&amp;"")*(tbl_Finance[Xero Invoice No]&lt;&gt;"")),tbl_Finance[Xero Invoice No]))=COUNTIFS(tbl_Finance[Job Number],C362&amp;"",tbl_Finance[Xero Invoice No],"&lt;&gt;"),LOOKUP(2,1/((tbl_Finance[Job Number]&amp;""=C362&amp;"")*(tbl_Finance[Xero Invoice No]&lt;&gt;"")),tbl_Finance[Xero Invoice No]),LOOKUP(2,1/((tbl_Finance[Job Number]&amp;""=C362&amp;"")*(tbl_Finance[Xero Invoice No]&lt;&gt;"")),tbl_Finance[Xero Invoice No])&amp;" +more"),"")))</f>
        <v/>
      </c>
      <c r="C362" s="24" t="n"/>
      <c r="D362" s="25">
        <f>IF(C362="","",IF(COUNTIF(lst_Jobs,C362&amp;"")&gt;0,"OK","CHECK"))</f>
        <v/>
      </c>
      <c r="E362" s="25">
        <f>IF(C362="","",IFERROR(INDEX(lst_JobName,MATCH(C362&amp;"",lst_Jobs,0)),""))</f>
        <v/>
      </c>
      <c r="F362" s="25">
        <f>IF(C362="","",IFERROR(INDEX(tbl_Finance[Client],IFERROR(MATCH(C362&amp;"",tbl_Finance[Job Number],0),MATCH(IFERROR(C362+0,C362),tbl_Finance[Job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6" t="n"/>
      <c r="L362" s="27">
        <f>IF(C362="","",IF(K362="",0,MAX(0,K362-H362)))</f>
        <v/>
      </c>
      <c r="M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N362" s="24" t="n"/>
      <c r="O362" s="25">
        <f>IF(N362="","",HYPERLINK(IF(LEFT(N362,4)="http",N362,set_QwilrBase&amp;N362),"Open quote"))</f>
        <v/>
      </c>
      <c r="P362" s="26" t="n"/>
      <c r="Q362" s="26" t="n"/>
      <c r="R362" s="26" t="n"/>
      <c r="S362" s="25">
        <f>IF(C362="","",IF(N(P362)+N(Q362)+N(R362)=0,"Not split",IF(ROUND(N(P362)+N(Q362)+N(R362),2)=ROUND(H362+L362,2),"OK",IF(G362=0,"Not invoiced yet","MISMATCH"))))</f>
        <v/>
      </c>
      <c r="T362" s="26" t="n"/>
      <c r="U362" s="26" t="n"/>
      <c r="V362" s="26" t="n"/>
      <c r="W362" s="27">
        <f>IF(C362="","",N(T362)+N(U362)+N(V362))</f>
        <v/>
      </c>
      <c r="X362" s="27">
        <f>IF(C362="","",H362+L362-W362)</f>
        <v/>
      </c>
      <c r="Y362" s="29">
        <f>IFERROR(X362/(H362+L362),"")</f>
        <v/>
      </c>
      <c r="Z362" s="24" t="n"/>
    </row>
    <row r="363" ht="15" customHeight="1">
      <c r="A363" s="70">
        <f>IF(C363="","",IFERROR(IF(SUMPRODUCT(MAX((tbl_Finance[Job Number]&amp;""=C363&amp;"")*(tbl_Finance[Xero Invoice No]&lt;&gt;"")*tbl_Finance[Date]))=0,"",SUMPRODUCT(MAX((tbl_Finance[Job Number]&amp;""=C363&amp;"")*(tbl_Finance[Xero Invoice No]&lt;&gt;"")*tbl_Finance[Date]))),""))</f>
        <v/>
      </c>
      <c r="B363" s="25">
        <f>IF(C363="","",IF(COUNTIFS(tbl_Finance[Job Number],C363&amp;"",tbl_Finance[Xero Invoice No],"&lt;&gt;")=0,"",IFERROR(IF(COUNTIFS(tbl_Finance[Job Number],C363&amp;"",tbl_Finance[Xero Invoice No],LOOKUP(2,1/((tbl_Finance[Job Number]&amp;""=C363&amp;"")*(tbl_Finance[Xero Invoice No]&lt;&gt;"")),tbl_Finance[Xero Invoice No]))=COUNTIFS(tbl_Finance[Job Number],C363&amp;"",tbl_Finance[Xero Invoice No],"&lt;&gt;"),LOOKUP(2,1/((tbl_Finance[Job Number]&amp;""=C363&amp;"")*(tbl_Finance[Xero Invoice No]&lt;&gt;"")),tbl_Finance[Xero Invoice No]),LOOKUP(2,1/((tbl_Finance[Job Number]&amp;""=C363&amp;"")*(tbl_Finance[Xero Invoice No]&lt;&gt;"")),tbl_Finance[Xero Invoice No])&amp;" +more"),"")))</f>
        <v/>
      </c>
      <c r="C363" s="24" t="n"/>
      <c r="D363" s="25">
        <f>IF(C363="","",IF(COUNTIF(lst_Jobs,C363&amp;"")&gt;0,"OK","CHECK"))</f>
        <v/>
      </c>
      <c r="E363" s="25">
        <f>IF(C363="","",IFERROR(INDEX(lst_JobName,MATCH(C363&amp;"",lst_Jobs,0)),""))</f>
        <v/>
      </c>
      <c r="F363" s="25">
        <f>IF(C363="","",IFERROR(INDEX(tbl_Finance[Client],IFERROR(MATCH(C363&amp;"",tbl_Finance[Job Number],0),MATCH(IFERROR(C363+0,C363),tbl_Finance[Job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6" t="n"/>
      <c r="L363" s="27">
        <f>IF(C363="","",IF(K363="",0,MAX(0,K363-H363)))</f>
        <v/>
      </c>
      <c r="M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N363" s="24" t="n"/>
      <c r="O363" s="25">
        <f>IF(N363="","",HYPERLINK(IF(LEFT(N363,4)="http",N363,set_QwilrBase&amp;N363),"Open quote"))</f>
        <v/>
      </c>
      <c r="P363" s="26" t="n"/>
      <c r="Q363" s="26" t="n"/>
      <c r="R363" s="26" t="n"/>
      <c r="S363" s="25">
        <f>IF(C363="","",IF(N(P363)+N(Q363)+N(R363)=0,"Not split",IF(ROUND(N(P363)+N(Q363)+N(R363),2)=ROUND(H363+L363,2),"OK",IF(G363=0,"Not invoiced yet","MISMATCH"))))</f>
        <v/>
      </c>
      <c r="T363" s="26" t="n"/>
      <c r="U363" s="26" t="n"/>
      <c r="V363" s="26" t="n"/>
      <c r="W363" s="27">
        <f>IF(C363="","",N(T363)+N(U363)+N(V363))</f>
        <v/>
      </c>
      <c r="X363" s="27">
        <f>IF(C363="","",H363+L363-W363)</f>
        <v/>
      </c>
      <c r="Y363" s="29">
        <f>IFERROR(X363/(H363+L363),"")</f>
        <v/>
      </c>
      <c r="Z363" s="24" t="n"/>
    </row>
    <row r="364" ht="15" customHeight="1">
      <c r="A364" s="70">
        <f>IF(C364="","",IFERROR(IF(SUMPRODUCT(MAX((tbl_Finance[Job Number]&amp;""=C364&amp;"")*(tbl_Finance[Xero Invoice No]&lt;&gt;"")*tbl_Finance[Date]))=0,"",SUMPRODUCT(MAX((tbl_Finance[Job Number]&amp;""=C364&amp;"")*(tbl_Finance[Xero Invoice No]&lt;&gt;"")*tbl_Finance[Date]))),""))</f>
        <v/>
      </c>
      <c r="B364" s="25">
        <f>IF(C364="","",IF(COUNTIFS(tbl_Finance[Job Number],C364&amp;"",tbl_Finance[Xero Invoice No],"&lt;&gt;")=0,"",IFERROR(IF(COUNTIFS(tbl_Finance[Job Number],C364&amp;"",tbl_Finance[Xero Invoice No],LOOKUP(2,1/((tbl_Finance[Job Number]&amp;""=C364&amp;"")*(tbl_Finance[Xero Invoice No]&lt;&gt;"")),tbl_Finance[Xero Invoice No]))=COUNTIFS(tbl_Finance[Job Number],C364&amp;"",tbl_Finance[Xero Invoice No],"&lt;&gt;"),LOOKUP(2,1/((tbl_Finance[Job Number]&amp;""=C364&amp;"")*(tbl_Finance[Xero Invoice No]&lt;&gt;"")),tbl_Finance[Xero Invoice No]),LOOKUP(2,1/((tbl_Finance[Job Number]&amp;""=C364&amp;"")*(tbl_Finance[Xero Invoice No]&lt;&gt;"")),tbl_Finance[Xero Invoice No])&amp;" +more"),"")))</f>
        <v/>
      </c>
      <c r="C364" s="24" t="n"/>
      <c r="D364" s="25">
        <f>IF(C364="","",IF(COUNTIF(lst_Jobs,C364&amp;"")&gt;0,"OK","CHECK"))</f>
        <v/>
      </c>
      <c r="E364" s="25">
        <f>IF(C364="","",IFERROR(INDEX(lst_JobName,MATCH(C364&amp;"",lst_Jobs,0)),""))</f>
        <v/>
      </c>
      <c r="F364" s="25">
        <f>IF(C364="","",IFERROR(INDEX(tbl_Finance[Client],IFERROR(MATCH(C364&amp;"",tbl_Finance[Job Number],0),MATCH(IFERROR(C364+0,C364),tbl_Finance[Job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6" t="n"/>
      <c r="L364" s="27">
        <f>IF(C364="","",IF(K364="",0,MAX(0,K364-H364)))</f>
        <v/>
      </c>
      <c r="M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N364" s="24" t="n"/>
      <c r="O364" s="25">
        <f>IF(N364="","",HYPERLINK(IF(LEFT(N364,4)="http",N364,set_QwilrBase&amp;N364),"Open quote"))</f>
        <v/>
      </c>
      <c r="P364" s="26" t="n"/>
      <c r="Q364" s="26" t="n"/>
      <c r="R364" s="26" t="n"/>
      <c r="S364" s="25">
        <f>IF(C364="","",IF(N(P364)+N(Q364)+N(R364)=0,"Not split",IF(ROUND(N(P364)+N(Q364)+N(R364),2)=ROUND(H364+L364,2),"OK",IF(G364=0,"Not invoiced yet","MISMATCH"))))</f>
        <v/>
      </c>
      <c r="T364" s="26" t="n"/>
      <c r="U364" s="26" t="n"/>
      <c r="V364" s="26" t="n"/>
      <c r="W364" s="27">
        <f>IF(C364="","",N(T364)+N(U364)+N(V364))</f>
        <v/>
      </c>
      <c r="X364" s="27">
        <f>IF(C364="","",H364+L364-W364)</f>
        <v/>
      </c>
      <c r="Y364" s="29">
        <f>IFERROR(X364/(H364+L364),"")</f>
        <v/>
      </c>
      <c r="Z364" s="24" t="n"/>
    </row>
    <row r="365" ht="15" customHeight="1">
      <c r="A365" s="70">
        <f>IF(C365="","",IFERROR(IF(SUMPRODUCT(MAX((tbl_Finance[Job Number]&amp;""=C365&amp;"")*(tbl_Finance[Xero Invoice No]&lt;&gt;"")*tbl_Finance[Date]))=0,"",SUMPRODUCT(MAX((tbl_Finance[Job Number]&amp;""=C365&amp;"")*(tbl_Finance[Xero Invoice No]&lt;&gt;"")*tbl_Finance[Date]))),""))</f>
        <v/>
      </c>
      <c r="B365" s="25">
        <f>IF(C365="","",IF(COUNTIFS(tbl_Finance[Job Number],C365&amp;"",tbl_Finance[Xero Invoice No],"&lt;&gt;")=0,"",IFERROR(IF(COUNTIFS(tbl_Finance[Job Number],C365&amp;"",tbl_Finance[Xero Invoice No],LOOKUP(2,1/((tbl_Finance[Job Number]&amp;""=C365&amp;"")*(tbl_Finance[Xero Invoice No]&lt;&gt;"")),tbl_Finance[Xero Invoice No]))=COUNTIFS(tbl_Finance[Job Number],C365&amp;"",tbl_Finance[Xero Invoice No],"&lt;&gt;"),LOOKUP(2,1/((tbl_Finance[Job Number]&amp;""=C365&amp;"")*(tbl_Finance[Xero Invoice No]&lt;&gt;"")),tbl_Finance[Xero Invoice No]),LOOKUP(2,1/((tbl_Finance[Job Number]&amp;""=C365&amp;"")*(tbl_Finance[Xero Invoice No]&lt;&gt;"")),tbl_Finance[Xero Invoice No])&amp;" +more"),"")))</f>
        <v/>
      </c>
      <c r="C365" s="24" t="n"/>
      <c r="D365" s="25">
        <f>IF(C365="","",IF(COUNTIF(lst_Jobs,C365&amp;"")&gt;0,"OK","CHECK"))</f>
        <v/>
      </c>
      <c r="E365" s="25">
        <f>IF(C365="","",IFERROR(INDEX(lst_JobName,MATCH(C365&amp;"",lst_Jobs,0)),""))</f>
        <v/>
      </c>
      <c r="F365" s="25">
        <f>IF(C365="","",IFERROR(INDEX(tbl_Finance[Client],IFERROR(MATCH(C365&amp;"",tbl_Finance[Job Number],0),MATCH(IFERROR(C365+0,C365),tbl_Finance[Job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6" t="n"/>
      <c r="L365" s="27">
        <f>IF(C365="","",IF(K365="",0,MAX(0,K365-H365)))</f>
        <v/>
      </c>
      <c r="M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N365" s="24" t="n"/>
      <c r="O365" s="25">
        <f>IF(N365="","",HYPERLINK(IF(LEFT(N365,4)="http",N365,set_QwilrBase&amp;N365),"Open quote"))</f>
        <v/>
      </c>
      <c r="P365" s="26" t="n"/>
      <c r="Q365" s="26" t="n"/>
      <c r="R365" s="26" t="n"/>
      <c r="S365" s="25">
        <f>IF(C365="","",IF(N(P365)+N(Q365)+N(R365)=0,"Not split",IF(ROUND(N(P365)+N(Q365)+N(R365),2)=ROUND(H365+L365,2),"OK",IF(G365=0,"Not invoiced yet","MISMATCH"))))</f>
        <v/>
      </c>
      <c r="T365" s="26" t="n"/>
      <c r="U365" s="26" t="n"/>
      <c r="V365" s="26" t="n"/>
      <c r="W365" s="27">
        <f>IF(C365="","",N(T365)+N(U365)+N(V365))</f>
        <v/>
      </c>
      <c r="X365" s="27">
        <f>IF(C365="","",H365+L365-W365)</f>
        <v/>
      </c>
      <c r="Y365" s="29">
        <f>IFERROR(X365/(H365+L365),"")</f>
        <v/>
      </c>
      <c r="Z365" s="24" t="n"/>
    </row>
    <row r="366" ht="15" customHeight="1">
      <c r="A366" s="70">
        <f>IF(C366="","",IFERROR(IF(SUMPRODUCT(MAX((tbl_Finance[Job Number]&amp;""=C366&amp;"")*(tbl_Finance[Xero Invoice No]&lt;&gt;"")*tbl_Finance[Date]))=0,"",SUMPRODUCT(MAX((tbl_Finance[Job Number]&amp;""=C366&amp;"")*(tbl_Finance[Xero Invoice No]&lt;&gt;"")*tbl_Finance[Date]))),""))</f>
        <v/>
      </c>
      <c r="B366" s="25">
        <f>IF(C366="","",IF(COUNTIFS(tbl_Finance[Job Number],C366&amp;"",tbl_Finance[Xero Invoice No],"&lt;&gt;")=0,"",IFERROR(IF(COUNTIFS(tbl_Finance[Job Number],C366&amp;"",tbl_Finance[Xero Invoice No],LOOKUP(2,1/((tbl_Finance[Job Number]&amp;""=C366&amp;"")*(tbl_Finance[Xero Invoice No]&lt;&gt;"")),tbl_Finance[Xero Invoice No]))=COUNTIFS(tbl_Finance[Job Number],C366&amp;"",tbl_Finance[Xero Invoice No],"&lt;&gt;"),LOOKUP(2,1/((tbl_Finance[Job Number]&amp;""=C366&amp;"")*(tbl_Finance[Xero Invoice No]&lt;&gt;"")),tbl_Finance[Xero Invoice No]),LOOKUP(2,1/((tbl_Finance[Job Number]&amp;""=C366&amp;"")*(tbl_Finance[Xero Invoice No]&lt;&gt;"")),tbl_Finance[Xero Invoice No])&amp;" +more"),"")))</f>
        <v/>
      </c>
      <c r="C366" s="24" t="n"/>
      <c r="D366" s="25">
        <f>IF(C366="","",IF(COUNTIF(lst_Jobs,C366&amp;"")&gt;0,"OK","CHECK"))</f>
        <v/>
      </c>
      <c r="E366" s="25">
        <f>IF(C366="","",IFERROR(INDEX(lst_JobName,MATCH(C366&amp;"",lst_Jobs,0)),""))</f>
        <v/>
      </c>
      <c r="F366" s="25">
        <f>IF(C366="","",IFERROR(INDEX(tbl_Finance[Client],IFERROR(MATCH(C366&amp;"",tbl_Finance[Job Number],0),MATCH(IFERROR(C366+0,C366),tbl_Finance[Job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6" t="n"/>
      <c r="L366" s="27">
        <f>IF(C366="","",IF(K366="",0,MAX(0,K366-H366)))</f>
        <v/>
      </c>
      <c r="M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N366" s="24" t="n"/>
      <c r="O366" s="25">
        <f>IF(N366="","",HYPERLINK(IF(LEFT(N366,4)="http",N366,set_QwilrBase&amp;N366),"Open quote"))</f>
        <v/>
      </c>
      <c r="P366" s="26" t="n"/>
      <c r="Q366" s="26" t="n"/>
      <c r="R366" s="26" t="n"/>
      <c r="S366" s="25">
        <f>IF(C366="","",IF(N(P366)+N(Q366)+N(R366)=0,"Not split",IF(ROUND(N(P366)+N(Q366)+N(R366),2)=ROUND(H366+L366,2),"OK",IF(G366=0,"Not invoiced yet","MISMATCH"))))</f>
        <v/>
      </c>
      <c r="T366" s="26" t="n"/>
      <c r="U366" s="26" t="n"/>
      <c r="V366" s="26" t="n"/>
      <c r="W366" s="27">
        <f>IF(C366="","",N(T366)+N(U366)+N(V366))</f>
        <v/>
      </c>
      <c r="X366" s="27">
        <f>IF(C366="","",H366+L366-W366)</f>
        <v/>
      </c>
      <c r="Y366" s="29">
        <f>IFERROR(X366/(H366+L366),"")</f>
        <v/>
      </c>
      <c r="Z366" s="24" t="n"/>
    </row>
    <row r="367" ht="15" customHeight="1">
      <c r="A367" s="70">
        <f>IF(C367="","",IFERROR(IF(SUMPRODUCT(MAX((tbl_Finance[Job Number]&amp;""=C367&amp;"")*(tbl_Finance[Xero Invoice No]&lt;&gt;"")*tbl_Finance[Date]))=0,"",SUMPRODUCT(MAX((tbl_Finance[Job Number]&amp;""=C367&amp;"")*(tbl_Finance[Xero Invoice No]&lt;&gt;"")*tbl_Finance[Date]))),""))</f>
        <v/>
      </c>
      <c r="B367" s="25">
        <f>IF(C367="","",IF(COUNTIFS(tbl_Finance[Job Number],C367&amp;"",tbl_Finance[Xero Invoice No],"&lt;&gt;")=0,"",IFERROR(IF(COUNTIFS(tbl_Finance[Job Number],C367&amp;"",tbl_Finance[Xero Invoice No],LOOKUP(2,1/((tbl_Finance[Job Number]&amp;""=C367&amp;"")*(tbl_Finance[Xero Invoice No]&lt;&gt;"")),tbl_Finance[Xero Invoice No]))=COUNTIFS(tbl_Finance[Job Number],C367&amp;"",tbl_Finance[Xero Invoice No],"&lt;&gt;"),LOOKUP(2,1/((tbl_Finance[Job Number]&amp;""=C367&amp;"")*(tbl_Finance[Xero Invoice No]&lt;&gt;"")),tbl_Finance[Xero Invoice No]),LOOKUP(2,1/((tbl_Finance[Job Number]&amp;""=C367&amp;"")*(tbl_Finance[Xero Invoice No]&lt;&gt;"")),tbl_Finance[Xero Invoice No])&amp;" +more"),"")))</f>
        <v/>
      </c>
      <c r="C367" s="24" t="n"/>
      <c r="D367" s="25">
        <f>IF(C367="","",IF(COUNTIF(lst_Jobs,C367&amp;"")&gt;0,"OK","CHECK"))</f>
        <v/>
      </c>
      <c r="E367" s="25">
        <f>IF(C367="","",IFERROR(INDEX(lst_JobName,MATCH(C367&amp;"",lst_Jobs,0)),""))</f>
        <v/>
      </c>
      <c r="F367" s="25">
        <f>IF(C367="","",IFERROR(INDEX(tbl_Finance[Client],IFERROR(MATCH(C367&amp;"",tbl_Finance[Job Number],0),MATCH(IFERROR(C367+0,C367),tbl_Finance[Job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6" t="n"/>
      <c r="L367" s="27">
        <f>IF(C367="","",IF(K367="",0,MAX(0,K367-H367)))</f>
        <v/>
      </c>
      <c r="M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N367" s="24" t="n"/>
      <c r="O367" s="25">
        <f>IF(N367="","",HYPERLINK(IF(LEFT(N367,4)="http",N367,set_QwilrBase&amp;N367),"Open quote"))</f>
        <v/>
      </c>
      <c r="P367" s="26" t="n"/>
      <c r="Q367" s="26" t="n"/>
      <c r="R367" s="26" t="n"/>
      <c r="S367" s="25">
        <f>IF(C367="","",IF(N(P367)+N(Q367)+N(R367)=0,"Not split",IF(ROUND(N(P367)+N(Q367)+N(R367),2)=ROUND(H367+L367,2),"OK",IF(G367=0,"Not invoiced yet","MISMATCH"))))</f>
        <v/>
      </c>
      <c r="T367" s="26" t="n"/>
      <c r="U367" s="26" t="n"/>
      <c r="V367" s="26" t="n"/>
      <c r="W367" s="27">
        <f>IF(C367="","",N(T367)+N(U367)+N(V367))</f>
        <v/>
      </c>
      <c r="X367" s="27">
        <f>IF(C367="","",H367+L367-W367)</f>
        <v/>
      </c>
      <c r="Y367" s="29">
        <f>IFERROR(X367/(H367+L367),"")</f>
        <v/>
      </c>
      <c r="Z367" s="24" t="n"/>
    </row>
    <row r="368" ht="15" customHeight="1">
      <c r="A368" s="70">
        <f>IF(C368="","",IFERROR(IF(SUMPRODUCT(MAX((tbl_Finance[Job Number]&amp;""=C368&amp;"")*(tbl_Finance[Xero Invoice No]&lt;&gt;"")*tbl_Finance[Date]))=0,"",SUMPRODUCT(MAX((tbl_Finance[Job Number]&amp;""=C368&amp;"")*(tbl_Finance[Xero Invoice No]&lt;&gt;"")*tbl_Finance[Date]))),""))</f>
        <v/>
      </c>
      <c r="B368" s="25">
        <f>IF(C368="","",IF(COUNTIFS(tbl_Finance[Job Number],C368&amp;"",tbl_Finance[Xero Invoice No],"&lt;&gt;")=0,"",IFERROR(IF(COUNTIFS(tbl_Finance[Job Number],C368&amp;"",tbl_Finance[Xero Invoice No],LOOKUP(2,1/((tbl_Finance[Job Number]&amp;""=C368&amp;"")*(tbl_Finance[Xero Invoice No]&lt;&gt;"")),tbl_Finance[Xero Invoice No]))=COUNTIFS(tbl_Finance[Job Number],C368&amp;"",tbl_Finance[Xero Invoice No],"&lt;&gt;"),LOOKUP(2,1/((tbl_Finance[Job Number]&amp;""=C368&amp;"")*(tbl_Finance[Xero Invoice No]&lt;&gt;"")),tbl_Finance[Xero Invoice No]),LOOKUP(2,1/((tbl_Finance[Job Number]&amp;""=C368&amp;"")*(tbl_Finance[Xero Invoice No]&lt;&gt;"")),tbl_Finance[Xero Invoice No])&amp;" +more"),"")))</f>
        <v/>
      </c>
      <c r="C368" s="24" t="n"/>
      <c r="D368" s="25">
        <f>IF(C368="","",IF(COUNTIF(lst_Jobs,C368&amp;"")&gt;0,"OK","CHECK"))</f>
        <v/>
      </c>
      <c r="E368" s="25">
        <f>IF(C368="","",IFERROR(INDEX(lst_JobName,MATCH(C368&amp;"",lst_Jobs,0)),""))</f>
        <v/>
      </c>
      <c r="F368" s="25">
        <f>IF(C368="","",IFERROR(INDEX(tbl_Finance[Client],IFERROR(MATCH(C368&amp;"",tbl_Finance[Job Number],0),MATCH(IFERROR(C368+0,C368),tbl_Finance[Job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6" t="n"/>
      <c r="L368" s="27">
        <f>IF(C368="","",IF(K368="",0,MAX(0,K368-H368)))</f>
        <v/>
      </c>
      <c r="M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N368" s="24" t="n"/>
      <c r="O368" s="25">
        <f>IF(N368="","",HYPERLINK(IF(LEFT(N368,4)="http",N368,set_QwilrBase&amp;N368),"Open quote"))</f>
        <v/>
      </c>
      <c r="P368" s="26" t="n"/>
      <c r="Q368" s="26" t="n"/>
      <c r="R368" s="26" t="n"/>
      <c r="S368" s="25">
        <f>IF(C368="","",IF(N(P368)+N(Q368)+N(R368)=0,"Not split",IF(ROUND(N(P368)+N(Q368)+N(R368),2)=ROUND(H368+L368,2),"OK",IF(G368=0,"Not invoiced yet","MISMATCH"))))</f>
        <v/>
      </c>
      <c r="T368" s="26" t="n"/>
      <c r="U368" s="26" t="n"/>
      <c r="V368" s="26" t="n"/>
      <c r="W368" s="27">
        <f>IF(C368="","",N(T368)+N(U368)+N(V368))</f>
        <v/>
      </c>
      <c r="X368" s="27">
        <f>IF(C368="","",H368+L368-W368)</f>
        <v/>
      </c>
      <c r="Y368" s="29">
        <f>IFERROR(X368/(H368+L368),"")</f>
        <v/>
      </c>
      <c r="Z368" s="24" t="n"/>
    </row>
    <row r="369" ht="15" customHeight="1">
      <c r="A369" s="70">
        <f>IF(C369="","",IFERROR(IF(SUMPRODUCT(MAX((tbl_Finance[Job Number]&amp;""=C369&amp;"")*(tbl_Finance[Xero Invoice No]&lt;&gt;"")*tbl_Finance[Date]))=0,"",SUMPRODUCT(MAX((tbl_Finance[Job Number]&amp;""=C369&amp;"")*(tbl_Finance[Xero Invoice No]&lt;&gt;"")*tbl_Finance[Date]))),""))</f>
        <v/>
      </c>
      <c r="B369" s="25">
        <f>IF(C369="","",IF(COUNTIFS(tbl_Finance[Job Number],C369&amp;"",tbl_Finance[Xero Invoice No],"&lt;&gt;")=0,"",IFERROR(IF(COUNTIFS(tbl_Finance[Job Number],C369&amp;"",tbl_Finance[Xero Invoice No],LOOKUP(2,1/((tbl_Finance[Job Number]&amp;""=C369&amp;"")*(tbl_Finance[Xero Invoice No]&lt;&gt;"")),tbl_Finance[Xero Invoice No]))=COUNTIFS(tbl_Finance[Job Number],C369&amp;"",tbl_Finance[Xero Invoice No],"&lt;&gt;"),LOOKUP(2,1/((tbl_Finance[Job Number]&amp;""=C369&amp;"")*(tbl_Finance[Xero Invoice No]&lt;&gt;"")),tbl_Finance[Xero Invoice No]),LOOKUP(2,1/((tbl_Finance[Job Number]&amp;""=C369&amp;"")*(tbl_Finance[Xero Invoice No]&lt;&gt;"")),tbl_Finance[Xero Invoice No])&amp;" +more"),"")))</f>
        <v/>
      </c>
      <c r="C369" s="24" t="n"/>
      <c r="D369" s="25">
        <f>IF(C369="","",IF(COUNTIF(lst_Jobs,C369&amp;"")&gt;0,"OK","CHECK"))</f>
        <v/>
      </c>
      <c r="E369" s="25">
        <f>IF(C369="","",IFERROR(INDEX(lst_JobName,MATCH(C369&amp;"",lst_Jobs,0)),""))</f>
        <v/>
      </c>
      <c r="F369" s="25">
        <f>IF(C369="","",IFERROR(INDEX(tbl_Finance[Client],IFERROR(MATCH(C369&amp;"",tbl_Finance[Job Number],0),MATCH(IFERROR(C369+0,C369),tbl_Finance[Job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6" t="n"/>
      <c r="L369" s="27">
        <f>IF(C369="","",IF(K369="",0,MAX(0,K369-H369)))</f>
        <v/>
      </c>
      <c r="M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N369" s="24" t="n"/>
      <c r="O369" s="25">
        <f>IF(N369="","",HYPERLINK(IF(LEFT(N369,4)="http",N369,set_QwilrBase&amp;N369),"Open quote"))</f>
        <v/>
      </c>
      <c r="P369" s="26" t="n"/>
      <c r="Q369" s="26" t="n"/>
      <c r="R369" s="26" t="n"/>
      <c r="S369" s="25">
        <f>IF(C369="","",IF(N(P369)+N(Q369)+N(R369)=0,"Not split",IF(ROUND(N(P369)+N(Q369)+N(R369),2)=ROUND(H369+L369,2),"OK",IF(G369=0,"Not invoiced yet","MISMATCH"))))</f>
        <v/>
      </c>
      <c r="T369" s="26" t="n"/>
      <c r="U369" s="26" t="n"/>
      <c r="V369" s="26" t="n"/>
      <c r="W369" s="27">
        <f>IF(C369="","",N(T369)+N(U369)+N(V369))</f>
        <v/>
      </c>
      <c r="X369" s="27">
        <f>IF(C369="","",H369+L369-W369)</f>
        <v/>
      </c>
      <c r="Y369" s="29">
        <f>IFERROR(X369/(H369+L369),"")</f>
        <v/>
      </c>
      <c r="Z369" s="24" t="n"/>
    </row>
    <row r="370" ht="15" customHeight="1">
      <c r="A370" s="70">
        <f>IF(C370="","",IFERROR(IF(SUMPRODUCT(MAX((tbl_Finance[Job Number]&amp;""=C370&amp;"")*(tbl_Finance[Xero Invoice No]&lt;&gt;"")*tbl_Finance[Date]))=0,"",SUMPRODUCT(MAX((tbl_Finance[Job Number]&amp;""=C370&amp;"")*(tbl_Finance[Xero Invoice No]&lt;&gt;"")*tbl_Finance[Date]))),""))</f>
        <v/>
      </c>
      <c r="B370" s="25">
        <f>IF(C370="","",IF(COUNTIFS(tbl_Finance[Job Number],C370&amp;"",tbl_Finance[Xero Invoice No],"&lt;&gt;")=0,"",IFERROR(IF(COUNTIFS(tbl_Finance[Job Number],C370&amp;"",tbl_Finance[Xero Invoice No],LOOKUP(2,1/((tbl_Finance[Job Number]&amp;""=C370&amp;"")*(tbl_Finance[Xero Invoice No]&lt;&gt;"")),tbl_Finance[Xero Invoice No]))=COUNTIFS(tbl_Finance[Job Number],C370&amp;"",tbl_Finance[Xero Invoice No],"&lt;&gt;"),LOOKUP(2,1/((tbl_Finance[Job Number]&amp;""=C370&amp;"")*(tbl_Finance[Xero Invoice No]&lt;&gt;"")),tbl_Finance[Xero Invoice No]),LOOKUP(2,1/((tbl_Finance[Job Number]&amp;""=C370&amp;"")*(tbl_Finance[Xero Invoice No]&lt;&gt;"")),tbl_Finance[Xero Invoice No])&amp;" +more"),"")))</f>
        <v/>
      </c>
      <c r="C370" s="24" t="n"/>
      <c r="D370" s="25">
        <f>IF(C370="","",IF(COUNTIF(lst_Jobs,C370&amp;"")&gt;0,"OK","CHECK"))</f>
        <v/>
      </c>
      <c r="E370" s="25">
        <f>IF(C370="","",IFERROR(INDEX(lst_JobName,MATCH(C370&amp;"",lst_Jobs,0)),""))</f>
        <v/>
      </c>
      <c r="F370" s="25">
        <f>IF(C370="","",IFERROR(INDEX(tbl_Finance[Client],IFERROR(MATCH(C370&amp;"",tbl_Finance[Job Number],0),MATCH(IFERROR(C370+0,C370),tbl_Finance[Job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6" t="n"/>
      <c r="L370" s="27">
        <f>IF(C370="","",IF(K370="",0,MAX(0,K370-H370)))</f>
        <v/>
      </c>
      <c r="M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N370" s="24" t="n"/>
      <c r="O370" s="25">
        <f>IF(N370="","",HYPERLINK(IF(LEFT(N370,4)="http",N370,set_QwilrBase&amp;N370),"Open quote"))</f>
        <v/>
      </c>
      <c r="P370" s="26" t="n"/>
      <c r="Q370" s="26" t="n"/>
      <c r="R370" s="26" t="n"/>
      <c r="S370" s="25">
        <f>IF(C370="","",IF(N(P370)+N(Q370)+N(R370)=0,"Not split",IF(ROUND(N(P370)+N(Q370)+N(R370),2)=ROUND(H370+L370,2),"OK",IF(G370=0,"Not invoiced yet","MISMATCH"))))</f>
        <v/>
      </c>
      <c r="T370" s="26" t="n"/>
      <c r="U370" s="26" t="n"/>
      <c r="V370" s="26" t="n"/>
      <c r="W370" s="27">
        <f>IF(C370="","",N(T370)+N(U370)+N(V370))</f>
        <v/>
      </c>
      <c r="X370" s="27">
        <f>IF(C370="","",H370+L370-W370)</f>
        <v/>
      </c>
      <c r="Y370" s="29">
        <f>IFERROR(X370/(H370+L370),"")</f>
        <v/>
      </c>
      <c r="Z370" s="24" t="n"/>
    </row>
    <row r="371" ht="15" customHeight="1">
      <c r="A371" s="70">
        <f>IF(C371="","",IFERROR(IF(SUMPRODUCT(MAX((tbl_Finance[Job Number]&amp;""=C371&amp;"")*(tbl_Finance[Xero Invoice No]&lt;&gt;"")*tbl_Finance[Date]))=0,"",SUMPRODUCT(MAX((tbl_Finance[Job Number]&amp;""=C371&amp;"")*(tbl_Finance[Xero Invoice No]&lt;&gt;"")*tbl_Finance[Date]))),""))</f>
        <v/>
      </c>
      <c r="B371" s="25">
        <f>IF(C371="","",IF(COUNTIFS(tbl_Finance[Job Number],C371&amp;"",tbl_Finance[Xero Invoice No],"&lt;&gt;")=0,"",IFERROR(IF(COUNTIFS(tbl_Finance[Job Number],C371&amp;"",tbl_Finance[Xero Invoice No],LOOKUP(2,1/((tbl_Finance[Job Number]&amp;""=C371&amp;"")*(tbl_Finance[Xero Invoice No]&lt;&gt;"")),tbl_Finance[Xero Invoice No]))=COUNTIFS(tbl_Finance[Job Number],C371&amp;"",tbl_Finance[Xero Invoice No],"&lt;&gt;"),LOOKUP(2,1/((tbl_Finance[Job Number]&amp;""=C371&amp;"")*(tbl_Finance[Xero Invoice No]&lt;&gt;"")),tbl_Finance[Xero Invoice No]),LOOKUP(2,1/((tbl_Finance[Job Number]&amp;""=C371&amp;"")*(tbl_Finance[Xero Invoice No]&lt;&gt;"")),tbl_Finance[Xero Invoice No])&amp;" +more"),"")))</f>
        <v/>
      </c>
      <c r="C371" s="24" t="n"/>
      <c r="D371" s="25">
        <f>IF(C371="","",IF(COUNTIF(lst_Jobs,C371&amp;"")&gt;0,"OK","CHECK"))</f>
        <v/>
      </c>
      <c r="E371" s="25">
        <f>IF(C371="","",IFERROR(INDEX(lst_JobName,MATCH(C371&amp;"",lst_Jobs,0)),""))</f>
        <v/>
      </c>
      <c r="F371" s="25">
        <f>IF(C371="","",IFERROR(INDEX(tbl_Finance[Client],IFERROR(MATCH(C371&amp;"",tbl_Finance[Job Number],0),MATCH(IFERROR(C371+0,C371),tbl_Finance[Job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6" t="n"/>
      <c r="L371" s="27">
        <f>IF(C371="","",IF(K371="",0,MAX(0,K371-H371)))</f>
        <v/>
      </c>
      <c r="M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N371" s="24" t="n"/>
      <c r="O371" s="25">
        <f>IF(N371="","",HYPERLINK(IF(LEFT(N371,4)="http",N371,set_QwilrBase&amp;N371),"Open quote"))</f>
        <v/>
      </c>
      <c r="P371" s="26" t="n"/>
      <c r="Q371" s="26" t="n"/>
      <c r="R371" s="26" t="n"/>
      <c r="S371" s="25">
        <f>IF(C371="","",IF(N(P371)+N(Q371)+N(R371)=0,"Not split",IF(ROUND(N(P371)+N(Q371)+N(R371),2)=ROUND(H371+L371,2),"OK",IF(G371=0,"Not invoiced yet","MISMATCH"))))</f>
        <v/>
      </c>
      <c r="T371" s="26" t="n"/>
      <c r="U371" s="26" t="n"/>
      <c r="V371" s="26" t="n"/>
      <c r="W371" s="27">
        <f>IF(C371="","",N(T371)+N(U371)+N(V371))</f>
        <v/>
      </c>
      <c r="X371" s="27">
        <f>IF(C371="","",H371+L371-W371)</f>
        <v/>
      </c>
      <c r="Y371" s="29">
        <f>IFERROR(X371/(H371+L371),"")</f>
        <v/>
      </c>
      <c r="Z371" s="24" t="n"/>
    </row>
    <row r="372" ht="15" customHeight="1">
      <c r="A372" s="70">
        <f>IF(C372="","",IFERROR(IF(SUMPRODUCT(MAX((tbl_Finance[Job Number]&amp;""=C372&amp;"")*(tbl_Finance[Xero Invoice No]&lt;&gt;"")*tbl_Finance[Date]))=0,"",SUMPRODUCT(MAX((tbl_Finance[Job Number]&amp;""=C372&amp;"")*(tbl_Finance[Xero Invoice No]&lt;&gt;"")*tbl_Finance[Date]))),""))</f>
        <v/>
      </c>
      <c r="B372" s="25">
        <f>IF(C372="","",IF(COUNTIFS(tbl_Finance[Job Number],C372&amp;"",tbl_Finance[Xero Invoice No],"&lt;&gt;")=0,"",IFERROR(IF(COUNTIFS(tbl_Finance[Job Number],C372&amp;"",tbl_Finance[Xero Invoice No],LOOKUP(2,1/((tbl_Finance[Job Number]&amp;""=C372&amp;"")*(tbl_Finance[Xero Invoice No]&lt;&gt;"")),tbl_Finance[Xero Invoice No]))=COUNTIFS(tbl_Finance[Job Number],C372&amp;"",tbl_Finance[Xero Invoice No],"&lt;&gt;"),LOOKUP(2,1/((tbl_Finance[Job Number]&amp;""=C372&amp;"")*(tbl_Finance[Xero Invoice No]&lt;&gt;"")),tbl_Finance[Xero Invoice No]),LOOKUP(2,1/((tbl_Finance[Job Number]&amp;""=C372&amp;"")*(tbl_Finance[Xero Invoice No]&lt;&gt;"")),tbl_Finance[Xero Invoice No])&amp;" +more"),"")))</f>
        <v/>
      </c>
      <c r="C372" s="24" t="n"/>
      <c r="D372" s="25">
        <f>IF(C372="","",IF(COUNTIF(lst_Jobs,C372&amp;"")&gt;0,"OK","CHECK"))</f>
        <v/>
      </c>
      <c r="E372" s="25">
        <f>IF(C372="","",IFERROR(INDEX(lst_JobName,MATCH(C372&amp;"",lst_Jobs,0)),""))</f>
        <v/>
      </c>
      <c r="F372" s="25">
        <f>IF(C372="","",IFERROR(INDEX(tbl_Finance[Client],IFERROR(MATCH(C372&amp;"",tbl_Finance[Job Number],0),MATCH(IFERROR(C372+0,C372),tbl_Finance[Job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6" t="n"/>
      <c r="L372" s="27">
        <f>IF(C372="","",IF(K372="",0,MAX(0,K372-H372)))</f>
        <v/>
      </c>
      <c r="M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N372" s="24" t="n"/>
      <c r="O372" s="25">
        <f>IF(N372="","",HYPERLINK(IF(LEFT(N372,4)="http",N372,set_QwilrBase&amp;N372),"Open quote"))</f>
        <v/>
      </c>
      <c r="P372" s="26" t="n"/>
      <c r="Q372" s="26" t="n"/>
      <c r="R372" s="26" t="n"/>
      <c r="S372" s="25">
        <f>IF(C372="","",IF(N(P372)+N(Q372)+N(R372)=0,"Not split",IF(ROUND(N(P372)+N(Q372)+N(R372),2)=ROUND(H372+L372,2),"OK",IF(G372=0,"Not invoiced yet","MISMATCH"))))</f>
        <v/>
      </c>
      <c r="T372" s="26" t="n"/>
      <c r="U372" s="26" t="n"/>
      <c r="V372" s="26" t="n"/>
      <c r="W372" s="27">
        <f>IF(C372="","",N(T372)+N(U372)+N(V372))</f>
        <v/>
      </c>
      <c r="X372" s="27">
        <f>IF(C372="","",H372+L372-W372)</f>
        <v/>
      </c>
      <c r="Y372" s="29">
        <f>IFERROR(X372/(H372+L372),"")</f>
        <v/>
      </c>
      <c r="Z372" s="24" t="n"/>
    </row>
    <row r="373" ht="15" customHeight="1">
      <c r="A373" s="70">
        <f>IF(C373="","",IFERROR(IF(SUMPRODUCT(MAX((tbl_Finance[Job Number]&amp;""=C373&amp;"")*(tbl_Finance[Xero Invoice No]&lt;&gt;"")*tbl_Finance[Date]))=0,"",SUMPRODUCT(MAX((tbl_Finance[Job Number]&amp;""=C373&amp;"")*(tbl_Finance[Xero Invoice No]&lt;&gt;"")*tbl_Finance[Date]))),""))</f>
        <v/>
      </c>
      <c r="B373" s="25">
        <f>IF(C373="","",IF(COUNTIFS(tbl_Finance[Job Number],C373&amp;"",tbl_Finance[Xero Invoice No],"&lt;&gt;")=0,"",IFERROR(IF(COUNTIFS(tbl_Finance[Job Number],C373&amp;"",tbl_Finance[Xero Invoice No],LOOKUP(2,1/((tbl_Finance[Job Number]&amp;""=C373&amp;"")*(tbl_Finance[Xero Invoice No]&lt;&gt;"")),tbl_Finance[Xero Invoice No]))=COUNTIFS(tbl_Finance[Job Number],C373&amp;"",tbl_Finance[Xero Invoice No],"&lt;&gt;"),LOOKUP(2,1/((tbl_Finance[Job Number]&amp;""=C373&amp;"")*(tbl_Finance[Xero Invoice No]&lt;&gt;"")),tbl_Finance[Xero Invoice No]),LOOKUP(2,1/((tbl_Finance[Job Number]&amp;""=C373&amp;"")*(tbl_Finance[Xero Invoice No]&lt;&gt;"")),tbl_Finance[Xero Invoice No])&amp;" +more"),"")))</f>
        <v/>
      </c>
      <c r="C373" s="24" t="n"/>
      <c r="D373" s="25">
        <f>IF(C373="","",IF(COUNTIF(lst_Jobs,C373&amp;"")&gt;0,"OK","CHECK"))</f>
        <v/>
      </c>
      <c r="E373" s="25">
        <f>IF(C373="","",IFERROR(INDEX(lst_JobName,MATCH(C373&amp;"",lst_Jobs,0)),""))</f>
        <v/>
      </c>
      <c r="F373" s="25">
        <f>IF(C373="","",IFERROR(INDEX(tbl_Finance[Client],IFERROR(MATCH(C373&amp;"",tbl_Finance[Job Number],0),MATCH(IFERROR(C373+0,C373),tbl_Finance[Job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6" t="n"/>
      <c r="L373" s="27">
        <f>IF(C373="","",IF(K373="",0,MAX(0,K373-H373)))</f>
        <v/>
      </c>
      <c r="M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N373" s="24" t="n"/>
      <c r="O373" s="25">
        <f>IF(N373="","",HYPERLINK(IF(LEFT(N373,4)="http",N373,set_QwilrBase&amp;N373),"Open quote"))</f>
        <v/>
      </c>
      <c r="P373" s="26" t="n"/>
      <c r="Q373" s="26" t="n"/>
      <c r="R373" s="26" t="n"/>
      <c r="S373" s="25">
        <f>IF(C373="","",IF(N(P373)+N(Q373)+N(R373)=0,"Not split",IF(ROUND(N(P373)+N(Q373)+N(R373),2)=ROUND(H373+L373,2),"OK",IF(G373=0,"Not invoiced yet","MISMATCH"))))</f>
        <v/>
      </c>
      <c r="T373" s="26" t="n"/>
      <c r="U373" s="26" t="n"/>
      <c r="V373" s="26" t="n"/>
      <c r="W373" s="27">
        <f>IF(C373="","",N(T373)+N(U373)+N(V373))</f>
        <v/>
      </c>
      <c r="X373" s="27">
        <f>IF(C373="","",H373+L373-W373)</f>
        <v/>
      </c>
      <c r="Y373" s="29">
        <f>IFERROR(X373/(H373+L373),"")</f>
        <v/>
      </c>
      <c r="Z373" s="24" t="n"/>
    </row>
    <row r="374" ht="15" customHeight="1">
      <c r="A374" s="70">
        <f>IF(C374="","",IFERROR(IF(SUMPRODUCT(MAX((tbl_Finance[Job Number]&amp;""=C374&amp;"")*(tbl_Finance[Xero Invoice No]&lt;&gt;"")*tbl_Finance[Date]))=0,"",SUMPRODUCT(MAX((tbl_Finance[Job Number]&amp;""=C374&amp;"")*(tbl_Finance[Xero Invoice No]&lt;&gt;"")*tbl_Finance[Date]))),""))</f>
        <v/>
      </c>
      <c r="B374" s="25">
        <f>IF(C374="","",IF(COUNTIFS(tbl_Finance[Job Number],C374&amp;"",tbl_Finance[Xero Invoice No],"&lt;&gt;")=0,"",IFERROR(IF(COUNTIFS(tbl_Finance[Job Number],C374&amp;"",tbl_Finance[Xero Invoice No],LOOKUP(2,1/((tbl_Finance[Job Number]&amp;""=C374&amp;"")*(tbl_Finance[Xero Invoice No]&lt;&gt;"")),tbl_Finance[Xero Invoice No]))=COUNTIFS(tbl_Finance[Job Number],C374&amp;"",tbl_Finance[Xero Invoice No],"&lt;&gt;"),LOOKUP(2,1/((tbl_Finance[Job Number]&amp;""=C374&amp;"")*(tbl_Finance[Xero Invoice No]&lt;&gt;"")),tbl_Finance[Xero Invoice No]),LOOKUP(2,1/((tbl_Finance[Job Number]&amp;""=C374&amp;"")*(tbl_Finance[Xero Invoice No]&lt;&gt;"")),tbl_Finance[Xero Invoice No])&amp;" +more"),"")))</f>
        <v/>
      </c>
      <c r="C374" s="24" t="n"/>
      <c r="D374" s="25">
        <f>IF(C374="","",IF(COUNTIF(lst_Jobs,C374&amp;"")&gt;0,"OK","CHECK"))</f>
        <v/>
      </c>
      <c r="E374" s="25">
        <f>IF(C374="","",IFERROR(INDEX(lst_JobName,MATCH(C374&amp;"",lst_Jobs,0)),""))</f>
        <v/>
      </c>
      <c r="F374" s="25">
        <f>IF(C374="","",IFERROR(INDEX(tbl_Finance[Client],IFERROR(MATCH(C374&amp;"",tbl_Finance[Job Number],0),MATCH(IFERROR(C374+0,C374),tbl_Finance[Job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6" t="n"/>
      <c r="L374" s="27">
        <f>IF(C374="","",IF(K374="",0,MAX(0,K374-H374)))</f>
        <v/>
      </c>
      <c r="M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N374" s="24" t="n"/>
      <c r="O374" s="25">
        <f>IF(N374="","",HYPERLINK(IF(LEFT(N374,4)="http",N374,set_QwilrBase&amp;N374),"Open quote"))</f>
        <v/>
      </c>
      <c r="P374" s="26" t="n"/>
      <c r="Q374" s="26" t="n"/>
      <c r="R374" s="26" t="n"/>
      <c r="S374" s="25">
        <f>IF(C374="","",IF(N(P374)+N(Q374)+N(R374)=0,"Not split",IF(ROUND(N(P374)+N(Q374)+N(R374),2)=ROUND(H374+L374,2),"OK",IF(G374=0,"Not invoiced yet","MISMATCH"))))</f>
        <v/>
      </c>
      <c r="T374" s="26" t="n"/>
      <c r="U374" s="26" t="n"/>
      <c r="V374" s="26" t="n"/>
      <c r="W374" s="27">
        <f>IF(C374="","",N(T374)+N(U374)+N(V374))</f>
        <v/>
      </c>
      <c r="X374" s="27">
        <f>IF(C374="","",H374+L374-W374)</f>
        <v/>
      </c>
      <c r="Y374" s="29">
        <f>IFERROR(X374/(H374+L374),"")</f>
        <v/>
      </c>
      <c r="Z374" s="24" t="n"/>
    </row>
    <row r="375" ht="15" customHeight="1">
      <c r="A375" s="70">
        <f>IF(C375="","",IFERROR(IF(SUMPRODUCT(MAX((tbl_Finance[Job Number]&amp;""=C375&amp;"")*(tbl_Finance[Xero Invoice No]&lt;&gt;"")*tbl_Finance[Date]))=0,"",SUMPRODUCT(MAX((tbl_Finance[Job Number]&amp;""=C375&amp;"")*(tbl_Finance[Xero Invoice No]&lt;&gt;"")*tbl_Finance[Date]))),""))</f>
        <v/>
      </c>
      <c r="B375" s="25">
        <f>IF(C375="","",IF(COUNTIFS(tbl_Finance[Job Number],C375&amp;"",tbl_Finance[Xero Invoice No],"&lt;&gt;")=0,"",IFERROR(IF(COUNTIFS(tbl_Finance[Job Number],C375&amp;"",tbl_Finance[Xero Invoice No],LOOKUP(2,1/((tbl_Finance[Job Number]&amp;""=C375&amp;"")*(tbl_Finance[Xero Invoice No]&lt;&gt;"")),tbl_Finance[Xero Invoice No]))=COUNTIFS(tbl_Finance[Job Number],C375&amp;"",tbl_Finance[Xero Invoice No],"&lt;&gt;"),LOOKUP(2,1/((tbl_Finance[Job Number]&amp;""=C375&amp;"")*(tbl_Finance[Xero Invoice No]&lt;&gt;"")),tbl_Finance[Xero Invoice No]),LOOKUP(2,1/((tbl_Finance[Job Number]&amp;""=C375&amp;"")*(tbl_Finance[Xero Invoice No]&lt;&gt;"")),tbl_Finance[Xero Invoice No])&amp;" +more"),"")))</f>
        <v/>
      </c>
      <c r="C375" s="24" t="n"/>
      <c r="D375" s="25">
        <f>IF(C375="","",IF(COUNTIF(lst_Jobs,C375&amp;"")&gt;0,"OK","CHECK"))</f>
        <v/>
      </c>
      <c r="E375" s="25">
        <f>IF(C375="","",IFERROR(INDEX(lst_JobName,MATCH(C375&amp;"",lst_Jobs,0)),""))</f>
        <v/>
      </c>
      <c r="F375" s="25">
        <f>IF(C375="","",IFERROR(INDEX(tbl_Finance[Client],IFERROR(MATCH(C375&amp;"",tbl_Finance[Job Number],0),MATCH(IFERROR(C375+0,C375),tbl_Finance[Job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6" t="n"/>
      <c r="L375" s="27">
        <f>IF(C375="","",IF(K375="",0,MAX(0,K375-H375)))</f>
        <v/>
      </c>
      <c r="M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N375" s="24" t="n"/>
      <c r="O375" s="25">
        <f>IF(N375="","",HYPERLINK(IF(LEFT(N375,4)="http",N375,set_QwilrBase&amp;N375),"Open quote"))</f>
        <v/>
      </c>
      <c r="P375" s="26" t="n"/>
      <c r="Q375" s="26" t="n"/>
      <c r="R375" s="26" t="n"/>
      <c r="S375" s="25">
        <f>IF(C375="","",IF(N(P375)+N(Q375)+N(R375)=0,"Not split",IF(ROUND(N(P375)+N(Q375)+N(R375),2)=ROUND(H375+L375,2),"OK",IF(G375=0,"Not invoiced yet","MISMATCH"))))</f>
        <v/>
      </c>
      <c r="T375" s="26" t="n"/>
      <c r="U375" s="26" t="n"/>
      <c r="V375" s="26" t="n"/>
      <c r="W375" s="27">
        <f>IF(C375="","",N(T375)+N(U375)+N(V375))</f>
        <v/>
      </c>
      <c r="X375" s="27">
        <f>IF(C375="","",H375+L375-W375)</f>
        <v/>
      </c>
      <c r="Y375" s="29">
        <f>IFERROR(X375/(H375+L375),"")</f>
        <v/>
      </c>
      <c r="Z375" s="24" t="n"/>
    </row>
    <row r="376" ht="15" customHeight="1">
      <c r="A376" s="70">
        <f>IF(C376="","",IFERROR(IF(SUMPRODUCT(MAX((tbl_Finance[Job Number]&amp;""=C376&amp;"")*(tbl_Finance[Xero Invoice No]&lt;&gt;"")*tbl_Finance[Date]))=0,"",SUMPRODUCT(MAX((tbl_Finance[Job Number]&amp;""=C376&amp;"")*(tbl_Finance[Xero Invoice No]&lt;&gt;"")*tbl_Finance[Date]))),""))</f>
        <v/>
      </c>
      <c r="B376" s="25">
        <f>IF(C376="","",IF(COUNTIFS(tbl_Finance[Job Number],C376&amp;"",tbl_Finance[Xero Invoice No],"&lt;&gt;")=0,"",IFERROR(IF(COUNTIFS(tbl_Finance[Job Number],C376&amp;"",tbl_Finance[Xero Invoice No],LOOKUP(2,1/((tbl_Finance[Job Number]&amp;""=C376&amp;"")*(tbl_Finance[Xero Invoice No]&lt;&gt;"")),tbl_Finance[Xero Invoice No]))=COUNTIFS(tbl_Finance[Job Number],C376&amp;"",tbl_Finance[Xero Invoice No],"&lt;&gt;"),LOOKUP(2,1/((tbl_Finance[Job Number]&amp;""=C376&amp;"")*(tbl_Finance[Xero Invoice No]&lt;&gt;"")),tbl_Finance[Xero Invoice No]),LOOKUP(2,1/((tbl_Finance[Job Number]&amp;""=C376&amp;"")*(tbl_Finance[Xero Invoice No]&lt;&gt;"")),tbl_Finance[Xero Invoice No])&amp;" +more"),"")))</f>
        <v/>
      </c>
      <c r="C376" s="24" t="n"/>
      <c r="D376" s="25">
        <f>IF(C376="","",IF(COUNTIF(lst_Jobs,C376&amp;"")&gt;0,"OK","CHECK"))</f>
        <v/>
      </c>
      <c r="E376" s="25">
        <f>IF(C376="","",IFERROR(INDEX(lst_JobName,MATCH(C376&amp;"",lst_Jobs,0)),""))</f>
        <v/>
      </c>
      <c r="F376" s="25">
        <f>IF(C376="","",IFERROR(INDEX(tbl_Finance[Client],IFERROR(MATCH(C376&amp;"",tbl_Finance[Job Number],0),MATCH(IFERROR(C376+0,C376),tbl_Finance[Job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6" t="n"/>
      <c r="L376" s="27">
        <f>IF(C376="","",IF(K376="",0,MAX(0,K376-H376)))</f>
        <v/>
      </c>
      <c r="M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N376" s="24" t="n"/>
      <c r="O376" s="25">
        <f>IF(N376="","",HYPERLINK(IF(LEFT(N376,4)="http",N376,set_QwilrBase&amp;N376),"Open quote"))</f>
        <v/>
      </c>
      <c r="P376" s="26" t="n"/>
      <c r="Q376" s="26" t="n"/>
      <c r="R376" s="26" t="n"/>
      <c r="S376" s="25">
        <f>IF(C376="","",IF(N(P376)+N(Q376)+N(R376)=0,"Not split",IF(ROUND(N(P376)+N(Q376)+N(R376),2)=ROUND(H376+L376,2),"OK",IF(G376=0,"Not invoiced yet","MISMATCH"))))</f>
        <v/>
      </c>
      <c r="T376" s="26" t="n"/>
      <c r="U376" s="26" t="n"/>
      <c r="V376" s="26" t="n"/>
      <c r="W376" s="27">
        <f>IF(C376="","",N(T376)+N(U376)+N(V376))</f>
        <v/>
      </c>
      <c r="X376" s="27">
        <f>IF(C376="","",H376+L376-W376)</f>
        <v/>
      </c>
      <c r="Y376" s="29">
        <f>IFERROR(X376/(H376+L376),"")</f>
        <v/>
      </c>
      <c r="Z376" s="24" t="n"/>
    </row>
    <row r="377" ht="15" customHeight="1">
      <c r="A377" s="70">
        <f>IF(C377="","",IFERROR(IF(SUMPRODUCT(MAX((tbl_Finance[Job Number]&amp;""=C377&amp;"")*(tbl_Finance[Xero Invoice No]&lt;&gt;"")*tbl_Finance[Date]))=0,"",SUMPRODUCT(MAX((tbl_Finance[Job Number]&amp;""=C377&amp;"")*(tbl_Finance[Xero Invoice No]&lt;&gt;"")*tbl_Finance[Date]))),""))</f>
        <v/>
      </c>
      <c r="B377" s="25">
        <f>IF(C377="","",IF(COUNTIFS(tbl_Finance[Job Number],C377&amp;"",tbl_Finance[Xero Invoice No],"&lt;&gt;")=0,"",IFERROR(IF(COUNTIFS(tbl_Finance[Job Number],C377&amp;"",tbl_Finance[Xero Invoice No],LOOKUP(2,1/((tbl_Finance[Job Number]&amp;""=C377&amp;"")*(tbl_Finance[Xero Invoice No]&lt;&gt;"")),tbl_Finance[Xero Invoice No]))=COUNTIFS(tbl_Finance[Job Number],C377&amp;"",tbl_Finance[Xero Invoice No],"&lt;&gt;"),LOOKUP(2,1/((tbl_Finance[Job Number]&amp;""=C377&amp;"")*(tbl_Finance[Xero Invoice No]&lt;&gt;"")),tbl_Finance[Xero Invoice No]),LOOKUP(2,1/((tbl_Finance[Job Number]&amp;""=C377&amp;"")*(tbl_Finance[Xero Invoice No]&lt;&gt;"")),tbl_Finance[Xero Invoice No])&amp;" +more"),"")))</f>
        <v/>
      </c>
      <c r="C377" s="24" t="n"/>
      <c r="D377" s="25">
        <f>IF(C377="","",IF(COUNTIF(lst_Jobs,C377&amp;"")&gt;0,"OK","CHECK"))</f>
        <v/>
      </c>
      <c r="E377" s="25">
        <f>IF(C377="","",IFERROR(INDEX(lst_JobName,MATCH(C377&amp;"",lst_Jobs,0)),""))</f>
        <v/>
      </c>
      <c r="F377" s="25">
        <f>IF(C377="","",IFERROR(INDEX(tbl_Finance[Client],IFERROR(MATCH(C377&amp;"",tbl_Finance[Job Number],0),MATCH(IFERROR(C377+0,C377),tbl_Finance[Job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6" t="n"/>
      <c r="L377" s="27">
        <f>IF(C377="","",IF(K377="",0,MAX(0,K377-H377)))</f>
        <v/>
      </c>
      <c r="M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N377" s="24" t="n"/>
      <c r="O377" s="25">
        <f>IF(N377="","",HYPERLINK(IF(LEFT(N377,4)="http",N377,set_QwilrBase&amp;N377),"Open quote"))</f>
        <v/>
      </c>
      <c r="P377" s="26" t="n"/>
      <c r="Q377" s="26" t="n"/>
      <c r="R377" s="26" t="n"/>
      <c r="S377" s="25">
        <f>IF(C377="","",IF(N(P377)+N(Q377)+N(R377)=0,"Not split",IF(ROUND(N(P377)+N(Q377)+N(R377),2)=ROUND(H377+L377,2),"OK",IF(G377=0,"Not invoiced yet","MISMATCH"))))</f>
        <v/>
      </c>
      <c r="T377" s="26" t="n"/>
      <c r="U377" s="26" t="n"/>
      <c r="V377" s="26" t="n"/>
      <c r="W377" s="27">
        <f>IF(C377="","",N(T377)+N(U377)+N(V377))</f>
        <v/>
      </c>
      <c r="X377" s="27">
        <f>IF(C377="","",H377+L377-W377)</f>
        <v/>
      </c>
      <c r="Y377" s="29">
        <f>IFERROR(X377/(H377+L377),"")</f>
        <v/>
      </c>
      <c r="Z377" s="24" t="n"/>
    </row>
    <row r="378" ht="15" customHeight="1">
      <c r="A378" s="70">
        <f>IF(C378="","",IFERROR(IF(SUMPRODUCT(MAX((tbl_Finance[Job Number]&amp;""=C378&amp;"")*(tbl_Finance[Xero Invoice No]&lt;&gt;"")*tbl_Finance[Date]))=0,"",SUMPRODUCT(MAX((tbl_Finance[Job Number]&amp;""=C378&amp;"")*(tbl_Finance[Xero Invoice No]&lt;&gt;"")*tbl_Finance[Date]))),""))</f>
        <v/>
      </c>
      <c r="B378" s="25">
        <f>IF(C378="","",IF(COUNTIFS(tbl_Finance[Job Number],C378&amp;"",tbl_Finance[Xero Invoice No],"&lt;&gt;")=0,"",IFERROR(IF(COUNTIFS(tbl_Finance[Job Number],C378&amp;"",tbl_Finance[Xero Invoice No],LOOKUP(2,1/((tbl_Finance[Job Number]&amp;""=C378&amp;"")*(tbl_Finance[Xero Invoice No]&lt;&gt;"")),tbl_Finance[Xero Invoice No]))=COUNTIFS(tbl_Finance[Job Number],C378&amp;"",tbl_Finance[Xero Invoice No],"&lt;&gt;"),LOOKUP(2,1/((tbl_Finance[Job Number]&amp;""=C378&amp;"")*(tbl_Finance[Xero Invoice No]&lt;&gt;"")),tbl_Finance[Xero Invoice No]),LOOKUP(2,1/((tbl_Finance[Job Number]&amp;""=C378&amp;"")*(tbl_Finance[Xero Invoice No]&lt;&gt;"")),tbl_Finance[Xero Invoice No])&amp;" +more"),"")))</f>
        <v/>
      </c>
      <c r="C378" s="24" t="n"/>
      <c r="D378" s="25">
        <f>IF(C378="","",IF(COUNTIF(lst_Jobs,C378&amp;"")&gt;0,"OK","CHECK"))</f>
        <v/>
      </c>
      <c r="E378" s="25">
        <f>IF(C378="","",IFERROR(INDEX(lst_JobName,MATCH(C378&amp;"",lst_Jobs,0)),""))</f>
        <v/>
      </c>
      <c r="F378" s="25">
        <f>IF(C378="","",IFERROR(INDEX(tbl_Finance[Client],IFERROR(MATCH(C378&amp;"",tbl_Finance[Job Number],0),MATCH(IFERROR(C378+0,C378),tbl_Finance[Job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6" t="n"/>
      <c r="L378" s="27">
        <f>IF(C378="","",IF(K378="",0,MAX(0,K378-H378)))</f>
        <v/>
      </c>
      <c r="M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N378" s="24" t="n"/>
      <c r="O378" s="25">
        <f>IF(N378="","",HYPERLINK(IF(LEFT(N378,4)="http",N378,set_QwilrBase&amp;N378),"Open quote"))</f>
        <v/>
      </c>
      <c r="P378" s="26" t="n"/>
      <c r="Q378" s="26" t="n"/>
      <c r="R378" s="26" t="n"/>
      <c r="S378" s="25">
        <f>IF(C378="","",IF(N(P378)+N(Q378)+N(R378)=0,"Not split",IF(ROUND(N(P378)+N(Q378)+N(R378),2)=ROUND(H378+L378,2),"OK",IF(G378=0,"Not invoiced yet","MISMATCH"))))</f>
        <v/>
      </c>
      <c r="T378" s="26" t="n"/>
      <c r="U378" s="26" t="n"/>
      <c r="V378" s="26" t="n"/>
      <c r="W378" s="27">
        <f>IF(C378="","",N(T378)+N(U378)+N(V378))</f>
        <v/>
      </c>
      <c r="X378" s="27">
        <f>IF(C378="","",H378+L378-W378)</f>
        <v/>
      </c>
      <c r="Y378" s="29">
        <f>IFERROR(X378/(H378+L378),"")</f>
        <v/>
      </c>
      <c r="Z378" s="24" t="n"/>
    </row>
    <row r="379" ht="15" customHeight="1">
      <c r="A379" s="70">
        <f>IF(C379="","",IFERROR(IF(SUMPRODUCT(MAX((tbl_Finance[Job Number]&amp;""=C379&amp;"")*(tbl_Finance[Xero Invoice No]&lt;&gt;"")*tbl_Finance[Date]))=0,"",SUMPRODUCT(MAX((tbl_Finance[Job Number]&amp;""=C379&amp;"")*(tbl_Finance[Xero Invoice No]&lt;&gt;"")*tbl_Finance[Date]))),""))</f>
        <v/>
      </c>
      <c r="B379" s="25">
        <f>IF(C379="","",IF(COUNTIFS(tbl_Finance[Job Number],C379&amp;"",tbl_Finance[Xero Invoice No],"&lt;&gt;")=0,"",IFERROR(IF(COUNTIFS(tbl_Finance[Job Number],C379&amp;"",tbl_Finance[Xero Invoice No],LOOKUP(2,1/((tbl_Finance[Job Number]&amp;""=C379&amp;"")*(tbl_Finance[Xero Invoice No]&lt;&gt;"")),tbl_Finance[Xero Invoice No]))=COUNTIFS(tbl_Finance[Job Number],C379&amp;"",tbl_Finance[Xero Invoice No],"&lt;&gt;"),LOOKUP(2,1/((tbl_Finance[Job Number]&amp;""=C379&amp;"")*(tbl_Finance[Xero Invoice No]&lt;&gt;"")),tbl_Finance[Xero Invoice No]),LOOKUP(2,1/((tbl_Finance[Job Number]&amp;""=C379&amp;"")*(tbl_Finance[Xero Invoice No]&lt;&gt;"")),tbl_Finance[Xero Invoice No])&amp;" +more"),"")))</f>
        <v/>
      </c>
      <c r="C379" s="24" t="n"/>
      <c r="D379" s="25">
        <f>IF(C379="","",IF(COUNTIF(lst_Jobs,C379&amp;"")&gt;0,"OK","CHECK"))</f>
        <v/>
      </c>
      <c r="E379" s="25">
        <f>IF(C379="","",IFERROR(INDEX(lst_JobName,MATCH(C379&amp;"",lst_Jobs,0)),""))</f>
        <v/>
      </c>
      <c r="F379" s="25">
        <f>IF(C379="","",IFERROR(INDEX(tbl_Finance[Client],IFERROR(MATCH(C379&amp;"",tbl_Finance[Job Number],0),MATCH(IFERROR(C379+0,C379),tbl_Finance[Job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6" t="n"/>
      <c r="L379" s="27">
        <f>IF(C379="","",IF(K379="",0,MAX(0,K379-H379)))</f>
        <v/>
      </c>
      <c r="M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N379" s="24" t="n"/>
      <c r="O379" s="25">
        <f>IF(N379="","",HYPERLINK(IF(LEFT(N379,4)="http",N379,set_QwilrBase&amp;N379),"Open quote"))</f>
        <v/>
      </c>
      <c r="P379" s="26" t="n"/>
      <c r="Q379" s="26" t="n"/>
      <c r="R379" s="26" t="n"/>
      <c r="S379" s="25">
        <f>IF(C379="","",IF(N(P379)+N(Q379)+N(R379)=0,"Not split",IF(ROUND(N(P379)+N(Q379)+N(R379),2)=ROUND(H379+L379,2),"OK",IF(G379=0,"Not invoiced yet","MISMATCH"))))</f>
        <v/>
      </c>
      <c r="T379" s="26" t="n"/>
      <c r="U379" s="26" t="n"/>
      <c r="V379" s="26" t="n"/>
      <c r="W379" s="27">
        <f>IF(C379="","",N(T379)+N(U379)+N(V379))</f>
        <v/>
      </c>
      <c r="X379" s="27">
        <f>IF(C379="","",H379+L379-W379)</f>
        <v/>
      </c>
      <c r="Y379" s="29">
        <f>IFERROR(X379/(H379+L379),"")</f>
        <v/>
      </c>
      <c r="Z379" s="24" t="n"/>
    </row>
    <row r="380" ht="15" customHeight="1">
      <c r="A380" s="70">
        <f>IF(C380="","",IFERROR(IF(SUMPRODUCT(MAX((tbl_Finance[Job Number]&amp;""=C380&amp;"")*(tbl_Finance[Xero Invoice No]&lt;&gt;"")*tbl_Finance[Date]))=0,"",SUMPRODUCT(MAX((tbl_Finance[Job Number]&amp;""=C380&amp;"")*(tbl_Finance[Xero Invoice No]&lt;&gt;"")*tbl_Finance[Date]))),""))</f>
        <v/>
      </c>
      <c r="B380" s="25">
        <f>IF(C380="","",IF(COUNTIFS(tbl_Finance[Job Number],C380&amp;"",tbl_Finance[Xero Invoice No],"&lt;&gt;")=0,"",IFERROR(IF(COUNTIFS(tbl_Finance[Job Number],C380&amp;"",tbl_Finance[Xero Invoice No],LOOKUP(2,1/((tbl_Finance[Job Number]&amp;""=C380&amp;"")*(tbl_Finance[Xero Invoice No]&lt;&gt;"")),tbl_Finance[Xero Invoice No]))=COUNTIFS(tbl_Finance[Job Number],C380&amp;"",tbl_Finance[Xero Invoice No],"&lt;&gt;"),LOOKUP(2,1/((tbl_Finance[Job Number]&amp;""=C380&amp;"")*(tbl_Finance[Xero Invoice No]&lt;&gt;"")),tbl_Finance[Xero Invoice No]),LOOKUP(2,1/((tbl_Finance[Job Number]&amp;""=C380&amp;"")*(tbl_Finance[Xero Invoice No]&lt;&gt;"")),tbl_Finance[Xero Invoice No])&amp;" +more"),"")))</f>
        <v/>
      </c>
      <c r="C380" s="24" t="n"/>
      <c r="D380" s="25">
        <f>IF(C380="","",IF(COUNTIF(lst_Jobs,C380&amp;"")&gt;0,"OK","CHECK"))</f>
        <v/>
      </c>
      <c r="E380" s="25">
        <f>IF(C380="","",IFERROR(INDEX(lst_JobName,MATCH(C380&amp;"",lst_Jobs,0)),""))</f>
        <v/>
      </c>
      <c r="F380" s="25">
        <f>IF(C380="","",IFERROR(INDEX(tbl_Finance[Client],IFERROR(MATCH(C380&amp;"",tbl_Finance[Job Number],0),MATCH(IFERROR(C380+0,C380),tbl_Finance[Job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6" t="n"/>
      <c r="L380" s="27">
        <f>IF(C380="","",IF(K380="",0,MAX(0,K380-H380)))</f>
        <v/>
      </c>
      <c r="M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N380" s="24" t="n"/>
      <c r="O380" s="25">
        <f>IF(N380="","",HYPERLINK(IF(LEFT(N380,4)="http",N380,set_QwilrBase&amp;N380),"Open quote"))</f>
        <v/>
      </c>
      <c r="P380" s="26" t="n"/>
      <c r="Q380" s="26" t="n"/>
      <c r="R380" s="26" t="n"/>
      <c r="S380" s="25">
        <f>IF(C380="","",IF(N(P380)+N(Q380)+N(R380)=0,"Not split",IF(ROUND(N(P380)+N(Q380)+N(R380),2)=ROUND(H380+L380,2),"OK",IF(G380=0,"Not invoiced yet","MISMATCH"))))</f>
        <v/>
      </c>
      <c r="T380" s="26" t="n"/>
      <c r="U380" s="26" t="n"/>
      <c r="V380" s="26" t="n"/>
      <c r="W380" s="27">
        <f>IF(C380="","",N(T380)+N(U380)+N(V380))</f>
        <v/>
      </c>
      <c r="X380" s="27">
        <f>IF(C380="","",H380+L380-W380)</f>
        <v/>
      </c>
      <c r="Y380" s="29">
        <f>IFERROR(X380/(H380+L380),"")</f>
        <v/>
      </c>
      <c r="Z380" s="24" t="n"/>
    </row>
    <row r="381" ht="15" customHeight="1">
      <c r="A381" s="70">
        <f>IF(C381="","",IFERROR(IF(SUMPRODUCT(MAX((tbl_Finance[Job Number]&amp;""=C381&amp;"")*(tbl_Finance[Xero Invoice No]&lt;&gt;"")*tbl_Finance[Date]))=0,"",SUMPRODUCT(MAX((tbl_Finance[Job Number]&amp;""=C381&amp;"")*(tbl_Finance[Xero Invoice No]&lt;&gt;"")*tbl_Finance[Date]))),""))</f>
        <v/>
      </c>
      <c r="B381" s="25">
        <f>IF(C381="","",IF(COUNTIFS(tbl_Finance[Job Number],C381&amp;"",tbl_Finance[Xero Invoice No],"&lt;&gt;")=0,"",IFERROR(IF(COUNTIFS(tbl_Finance[Job Number],C381&amp;"",tbl_Finance[Xero Invoice No],LOOKUP(2,1/((tbl_Finance[Job Number]&amp;""=C381&amp;"")*(tbl_Finance[Xero Invoice No]&lt;&gt;"")),tbl_Finance[Xero Invoice No]))=COUNTIFS(tbl_Finance[Job Number],C381&amp;"",tbl_Finance[Xero Invoice No],"&lt;&gt;"),LOOKUP(2,1/((tbl_Finance[Job Number]&amp;""=C381&amp;"")*(tbl_Finance[Xero Invoice No]&lt;&gt;"")),tbl_Finance[Xero Invoice No]),LOOKUP(2,1/((tbl_Finance[Job Number]&amp;""=C381&amp;"")*(tbl_Finance[Xero Invoice No]&lt;&gt;"")),tbl_Finance[Xero Invoice No])&amp;" +more"),"")))</f>
        <v/>
      </c>
      <c r="C381" s="24" t="n"/>
      <c r="D381" s="25">
        <f>IF(C381="","",IF(COUNTIF(lst_Jobs,C381&amp;"")&gt;0,"OK","CHECK"))</f>
        <v/>
      </c>
      <c r="E381" s="25">
        <f>IF(C381="","",IFERROR(INDEX(lst_JobName,MATCH(C381&amp;"",lst_Jobs,0)),""))</f>
        <v/>
      </c>
      <c r="F381" s="25">
        <f>IF(C381="","",IFERROR(INDEX(tbl_Finance[Client],IFERROR(MATCH(C381&amp;"",tbl_Finance[Job Number],0),MATCH(IFERROR(C381+0,C381),tbl_Finance[Job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6" t="n"/>
      <c r="L381" s="27">
        <f>IF(C381="","",IF(K381="",0,MAX(0,K381-H381)))</f>
        <v/>
      </c>
      <c r="M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N381" s="24" t="n"/>
      <c r="O381" s="25">
        <f>IF(N381="","",HYPERLINK(IF(LEFT(N381,4)="http",N381,set_QwilrBase&amp;N381),"Open quote"))</f>
        <v/>
      </c>
      <c r="P381" s="26" t="n"/>
      <c r="Q381" s="26" t="n"/>
      <c r="R381" s="26" t="n"/>
      <c r="S381" s="25">
        <f>IF(C381="","",IF(N(P381)+N(Q381)+N(R381)=0,"Not split",IF(ROUND(N(P381)+N(Q381)+N(R381),2)=ROUND(H381+L381,2),"OK",IF(G381=0,"Not invoiced yet","MISMATCH"))))</f>
        <v/>
      </c>
      <c r="T381" s="26" t="n"/>
      <c r="U381" s="26" t="n"/>
      <c r="V381" s="26" t="n"/>
      <c r="W381" s="27">
        <f>IF(C381="","",N(T381)+N(U381)+N(V381))</f>
        <v/>
      </c>
      <c r="X381" s="27">
        <f>IF(C381="","",H381+L381-W381)</f>
        <v/>
      </c>
      <c r="Y381" s="29">
        <f>IFERROR(X381/(H381+L381),"")</f>
        <v/>
      </c>
      <c r="Z381" s="24" t="n"/>
    </row>
    <row r="382" ht="15" customHeight="1">
      <c r="A382" s="70">
        <f>IF(C382="","",IFERROR(IF(SUMPRODUCT(MAX((tbl_Finance[Job Number]&amp;""=C382&amp;"")*(tbl_Finance[Xero Invoice No]&lt;&gt;"")*tbl_Finance[Date]))=0,"",SUMPRODUCT(MAX((tbl_Finance[Job Number]&amp;""=C382&amp;"")*(tbl_Finance[Xero Invoice No]&lt;&gt;"")*tbl_Finance[Date]))),""))</f>
        <v/>
      </c>
      <c r="B382" s="25">
        <f>IF(C382="","",IF(COUNTIFS(tbl_Finance[Job Number],C382&amp;"",tbl_Finance[Xero Invoice No],"&lt;&gt;")=0,"",IFERROR(IF(COUNTIFS(tbl_Finance[Job Number],C382&amp;"",tbl_Finance[Xero Invoice No],LOOKUP(2,1/((tbl_Finance[Job Number]&amp;""=C382&amp;"")*(tbl_Finance[Xero Invoice No]&lt;&gt;"")),tbl_Finance[Xero Invoice No]))=COUNTIFS(tbl_Finance[Job Number],C382&amp;"",tbl_Finance[Xero Invoice No],"&lt;&gt;"),LOOKUP(2,1/((tbl_Finance[Job Number]&amp;""=C382&amp;"")*(tbl_Finance[Xero Invoice No]&lt;&gt;"")),tbl_Finance[Xero Invoice No]),LOOKUP(2,1/((tbl_Finance[Job Number]&amp;""=C382&amp;"")*(tbl_Finance[Xero Invoice No]&lt;&gt;"")),tbl_Finance[Xero Invoice No])&amp;" +more"),"")))</f>
        <v/>
      </c>
      <c r="C382" s="24" t="n"/>
      <c r="D382" s="25">
        <f>IF(C382="","",IF(COUNTIF(lst_Jobs,C382&amp;"")&gt;0,"OK","CHECK"))</f>
        <v/>
      </c>
      <c r="E382" s="25">
        <f>IF(C382="","",IFERROR(INDEX(lst_JobName,MATCH(C382&amp;"",lst_Jobs,0)),""))</f>
        <v/>
      </c>
      <c r="F382" s="25">
        <f>IF(C382="","",IFERROR(INDEX(tbl_Finance[Client],IFERROR(MATCH(C382&amp;"",tbl_Finance[Job Number],0),MATCH(IFERROR(C382+0,C382),tbl_Finance[Job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6" t="n"/>
      <c r="L382" s="27">
        <f>IF(C382="","",IF(K382="",0,MAX(0,K382-H382)))</f>
        <v/>
      </c>
      <c r="M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N382" s="24" t="n"/>
      <c r="O382" s="25">
        <f>IF(N382="","",HYPERLINK(IF(LEFT(N382,4)="http",N382,set_QwilrBase&amp;N382),"Open quote"))</f>
        <v/>
      </c>
      <c r="P382" s="26" t="n"/>
      <c r="Q382" s="26" t="n"/>
      <c r="R382" s="26" t="n"/>
      <c r="S382" s="25">
        <f>IF(C382="","",IF(N(P382)+N(Q382)+N(R382)=0,"Not split",IF(ROUND(N(P382)+N(Q382)+N(R382),2)=ROUND(H382+L382,2),"OK",IF(G382=0,"Not invoiced yet","MISMATCH"))))</f>
        <v/>
      </c>
      <c r="T382" s="26" t="n"/>
      <c r="U382" s="26" t="n"/>
      <c r="V382" s="26" t="n"/>
      <c r="W382" s="27">
        <f>IF(C382="","",N(T382)+N(U382)+N(V382))</f>
        <v/>
      </c>
      <c r="X382" s="27">
        <f>IF(C382="","",H382+L382-W382)</f>
        <v/>
      </c>
      <c r="Y382" s="29">
        <f>IFERROR(X382/(H382+L382),"")</f>
        <v/>
      </c>
      <c r="Z382" s="24" t="n"/>
    </row>
    <row r="383" ht="15" customHeight="1">
      <c r="A383" s="70">
        <f>IF(C383="","",IFERROR(IF(SUMPRODUCT(MAX((tbl_Finance[Job Number]&amp;""=C383&amp;"")*(tbl_Finance[Xero Invoice No]&lt;&gt;"")*tbl_Finance[Date]))=0,"",SUMPRODUCT(MAX((tbl_Finance[Job Number]&amp;""=C383&amp;"")*(tbl_Finance[Xero Invoice No]&lt;&gt;"")*tbl_Finance[Date]))),""))</f>
        <v/>
      </c>
      <c r="B383" s="25">
        <f>IF(C383="","",IF(COUNTIFS(tbl_Finance[Job Number],C383&amp;"",tbl_Finance[Xero Invoice No],"&lt;&gt;")=0,"",IFERROR(IF(COUNTIFS(tbl_Finance[Job Number],C383&amp;"",tbl_Finance[Xero Invoice No],LOOKUP(2,1/((tbl_Finance[Job Number]&amp;""=C383&amp;"")*(tbl_Finance[Xero Invoice No]&lt;&gt;"")),tbl_Finance[Xero Invoice No]))=COUNTIFS(tbl_Finance[Job Number],C383&amp;"",tbl_Finance[Xero Invoice No],"&lt;&gt;"),LOOKUP(2,1/((tbl_Finance[Job Number]&amp;""=C383&amp;"")*(tbl_Finance[Xero Invoice No]&lt;&gt;"")),tbl_Finance[Xero Invoice No]),LOOKUP(2,1/((tbl_Finance[Job Number]&amp;""=C383&amp;"")*(tbl_Finance[Xero Invoice No]&lt;&gt;"")),tbl_Finance[Xero Invoice No])&amp;" +more"),"")))</f>
        <v/>
      </c>
      <c r="C383" s="24" t="n"/>
      <c r="D383" s="25">
        <f>IF(C383="","",IF(COUNTIF(lst_Jobs,C383&amp;"")&gt;0,"OK","CHECK"))</f>
        <v/>
      </c>
      <c r="E383" s="25">
        <f>IF(C383="","",IFERROR(INDEX(lst_JobName,MATCH(C383&amp;"",lst_Jobs,0)),""))</f>
        <v/>
      </c>
      <c r="F383" s="25">
        <f>IF(C383="","",IFERROR(INDEX(tbl_Finance[Client],IFERROR(MATCH(C383&amp;"",tbl_Finance[Job Number],0),MATCH(IFERROR(C383+0,C383),tbl_Finance[Job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6" t="n"/>
      <c r="L383" s="27">
        <f>IF(C383="","",IF(K383="",0,MAX(0,K383-H383)))</f>
        <v/>
      </c>
      <c r="M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N383" s="24" t="n"/>
      <c r="O383" s="25">
        <f>IF(N383="","",HYPERLINK(IF(LEFT(N383,4)="http",N383,set_QwilrBase&amp;N383),"Open quote"))</f>
        <v/>
      </c>
      <c r="P383" s="26" t="n"/>
      <c r="Q383" s="26" t="n"/>
      <c r="R383" s="26" t="n"/>
      <c r="S383" s="25">
        <f>IF(C383="","",IF(N(P383)+N(Q383)+N(R383)=0,"Not split",IF(ROUND(N(P383)+N(Q383)+N(R383),2)=ROUND(H383+L383,2),"OK",IF(G383=0,"Not invoiced yet","MISMATCH"))))</f>
        <v/>
      </c>
      <c r="T383" s="26" t="n"/>
      <c r="U383" s="26" t="n"/>
      <c r="V383" s="26" t="n"/>
      <c r="W383" s="27">
        <f>IF(C383="","",N(T383)+N(U383)+N(V383))</f>
        <v/>
      </c>
      <c r="X383" s="27">
        <f>IF(C383="","",H383+L383-W383)</f>
        <v/>
      </c>
      <c r="Y383" s="29">
        <f>IFERROR(X383/(H383+L383),"")</f>
        <v/>
      </c>
      <c r="Z383" s="24" t="n"/>
    </row>
    <row r="384" ht="15" customHeight="1">
      <c r="A384" s="70">
        <f>IF(C384="","",IFERROR(IF(SUMPRODUCT(MAX((tbl_Finance[Job Number]&amp;""=C384&amp;"")*(tbl_Finance[Xero Invoice No]&lt;&gt;"")*tbl_Finance[Date]))=0,"",SUMPRODUCT(MAX((tbl_Finance[Job Number]&amp;""=C384&amp;"")*(tbl_Finance[Xero Invoice No]&lt;&gt;"")*tbl_Finance[Date]))),""))</f>
        <v/>
      </c>
      <c r="B384" s="25">
        <f>IF(C384="","",IF(COUNTIFS(tbl_Finance[Job Number],C384&amp;"",tbl_Finance[Xero Invoice No],"&lt;&gt;")=0,"",IFERROR(IF(COUNTIFS(tbl_Finance[Job Number],C384&amp;"",tbl_Finance[Xero Invoice No],LOOKUP(2,1/((tbl_Finance[Job Number]&amp;""=C384&amp;"")*(tbl_Finance[Xero Invoice No]&lt;&gt;"")),tbl_Finance[Xero Invoice No]))=COUNTIFS(tbl_Finance[Job Number],C384&amp;"",tbl_Finance[Xero Invoice No],"&lt;&gt;"),LOOKUP(2,1/((tbl_Finance[Job Number]&amp;""=C384&amp;"")*(tbl_Finance[Xero Invoice No]&lt;&gt;"")),tbl_Finance[Xero Invoice No]),LOOKUP(2,1/((tbl_Finance[Job Number]&amp;""=C384&amp;"")*(tbl_Finance[Xero Invoice No]&lt;&gt;"")),tbl_Finance[Xero Invoice No])&amp;" +more"),"")))</f>
        <v/>
      </c>
      <c r="C384" s="24" t="n"/>
      <c r="D384" s="25">
        <f>IF(C384="","",IF(COUNTIF(lst_Jobs,C384&amp;"")&gt;0,"OK","CHECK"))</f>
        <v/>
      </c>
      <c r="E384" s="25">
        <f>IF(C384="","",IFERROR(INDEX(lst_JobName,MATCH(C384&amp;"",lst_Jobs,0)),""))</f>
        <v/>
      </c>
      <c r="F384" s="25">
        <f>IF(C384="","",IFERROR(INDEX(tbl_Finance[Client],IFERROR(MATCH(C384&amp;"",tbl_Finance[Job Number],0),MATCH(IFERROR(C384+0,C384),tbl_Finance[Job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6" t="n"/>
      <c r="L384" s="27">
        <f>IF(C384="","",IF(K384="",0,MAX(0,K384-H384)))</f>
        <v/>
      </c>
      <c r="M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N384" s="24" t="n"/>
      <c r="O384" s="25">
        <f>IF(N384="","",HYPERLINK(IF(LEFT(N384,4)="http",N384,set_QwilrBase&amp;N384),"Open quote"))</f>
        <v/>
      </c>
      <c r="P384" s="26" t="n"/>
      <c r="Q384" s="26" t="n"/>
      <c r="R384" s="26" t="n"/>
      <c r="S384" s="25">
        <f>IF(C384="","",IF(N(P384)+N(Q384)+N(R384)=0,"Not split",IF(ROUND(N(P384)+N(Q384)+N(R384),2)=ROUND(H384+L384,2),"OK",IF(G384=0,"Not invoiced yet","MISMATCH"))))</f>
        <v/>
      </c>
      <c r="T384" s="26" t="n"/>
      <c r="U384" s="26" t="n"/>
      <c r="V384" s="26" t="n"/>
      <c r="W384" s="27">
        <f>IF(C384="","",N(T384)+N(U384)+N(V384))</f>
        <v/>
      </c>
      <c r="X384" s="27">
        <f>IF(C384="","",H384+L384-W384)</f>
        <v/>
      </c>
      <c r="Y384" s="29">
        <f>IFERROR(X384/(H384+L384),"")</f>
        <v/>
      </c>
      <c r="Z384" s="24" t="n"/>
    </row>
    <row r="385" ht="15" customHeight="1">
      <c r="A385" s="70">
        <f>IF(C385="","",IFERROR(IF(SUMPRODUCT(MAX((tbl_Finance[Job Number]&amp;""=C385&amp;"")*(tbl_Finance[Xero Invoice No]&lt;&gt;"")*tbl_Finance[Date]))=0,"",SUMPRODUCT(MAX((tbl_Finance[Job Number]&amp;""=C385&amp;"")*(tbl_Finance[Xero Invoice No]&lt;&gt;"")*tbl_Finance[Date]))),""))</f>
        <v/>
      </c>
      <c r="B385" s="25">
        <f>IF(C385="","",IF(COUNTIFS(tbl_Finance[Job Number],C385&amp;"",tbl_Finance[Xero Invoice No],"&lt;&gt;")=0,"",IFERROR(IF(COUNTIFS(tbl_Finance[Job Number],C385&amp;"",tbl_Finance[Xero Invoice No],LOOKUP(2,1/((tbl_Finance[Job Number]&amp;""=C385&amp;"")*(tbl_Finance[Xero Invoice No]&lt;&gt;"")),tbl_Finance[Xero Invoice No]))=COUNTIFS(tbl_Finance[Job Number],C385&amp;"",tbl_Finance[Xero Invoice No],"&lt;&gt;"),LOOKUP(2,1/((tbl_Finance[Job Number]&amp;""=C385&amp;"")*(tbl_Finance[Xero Invoice No]&lt;&gt;"")),tbl_Finance[Xero Invoice No]),LOOKUP(2,1/((tbl_Finance[Job Number]&amp;""=C385&amp;"")*(tbl_Finance[Xero Invoice No]&lt;&gt;"")),tbl_Finance[Xero Invoice No])&amp;" +more"),"")))</f>
        <v/>
      </c>
      <c r="C385" s="24" t="n"/>
      <c r="D385" s="25">
        <f>IF(C385="","",IF(COUNTIF(lst_Jobs,C385&amp;"")&gt;0,"OK","CHECK"))</f>
        <v/>
      </c>
      <c r="E385" s="25">
        <f>IF(C385="","",IFERROR(INDEX(lst_JobName,MATCH(C385&amp;"",lst_Jobs,0)),""))</f>
        <v/>
      </c>
      <c r="F385" s="25">
        <f>IF(C385="","",IFERROR(INDEX(tbl_Finance[Client],IFERROR(MATCH(C385&amp;"",tbl_Finance[Job Number],0),MATCH(IFERROR(C385+0,C385),tbl_Finance[Job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6" t="n"/>
      <c r="L385" s="27">
        <f>IF(C385="","",IF(K385="",0,MAX(0,K385-H385)))</f>
        <v/>
      </c>
      <c r="M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N385" s="24" t="n"/>
      <c r="O385" s="25">
        <f>IF(N385="","",HYPERLINK(IF(LEFT(N385,4)="http",N385,set_QwilrBase&amp;N385),"Open quote"))</f>
        <v/>
      </c>
      <c r="P385" s="26" t="n"/>
      <c r="Q385" s="26" t="n"/>
      <c r="R385" s="26" t="n"/>
      <c r="S385" s="25">
        <f>IF(C385="","",IF(N(P385)+N(Q385)+N(R385)=0,"Not split",IF(ROUND(N(P385)+N(Q385)+N(R385),2)=ROUND(H385+L385,2),"OK",IF(G385=0,"Not invoiced yet","MISMATCH"))))</f>
        <v/>
      </c>
      <c r="T385" s="26" t="n"/>
      <c r="U385" s="26" t="n"/>
      <c r="V385" s="26" t="n"/>
      <c r="W385" s="27">
        <f>IF(C385="","",N(T385)+N(U385)+N(V385))</f>
        <v/>
      </c>
      <c r="X385" s="27">
        <f>IF(C385="","",H385+L385-W385)</f>
        <v/>
      </c>
      <c r="Y385" s="29">
        <f>IFERROR(X385/(H385+L385),"")</f>
        <v/>
      </c>
      <c r="Z385" s="24" t="n"/>
    </row>
    <row r="386" ht="15" customHeight="1">
      <c r="A386" s="70">
        <f>IF(C386="","",IFERROR(IF(SUMPRODUCT(MAX((tbl_Finance[Job Number]&amp;""=C386&amp;"")*(tbl_Finance[Xero Invoice No]&lt;&gt;"")*tbl_Finance[Date]))=0,"",SUMPRODUCT(MAX((tbl_Finance[Job Number]&amp;""=C386&amp;"")*(tbl_Finance[Xero Invoice No]&lt;&gt;"")*tbl_Finance[Date]))),""))</f>
        <v/>
      </c>
      <c r="B386" s="25">
        <f>IF(C386="","",IF(COUNTIFS(tbl_Finance[Job Number],C386&amp;"",tbl_Finance[Xero Invoice No],"&lt;&gt;")=0,"",IFERROR(IF(COUNTIFS(tbl_Finance[Job Number],C386&amp;"",tbl_Finance[Xero Invoice No],LOOKUP(2,1/((tbl_Finance[Job Number]&amp;""=C386&amp;"")*(tbl_Finance[Xero Invoice No]&lt;&gt;"")),tbl_Finance[Xero Invoice No]))=COUNTIFS(tbl_Finance[Job Number],C386&amp;"",tbl_Finance[Xero Invoice No],"&lt;&gt;"),LOOKUP(2,1/((tbl_Finance[Job Number]&amp;""=C386&amp;"")*(tbl_Finance[Xero Invoice No]&lt;&gt;"")),tbl_Finance[Xero Invoice No]),LOOKUP(2,1/((tbl_Finance[Job Number]&amp;""=C386&amp;"")*(tbl_Finance[Xero Invoice No]&lt;&gt;"")),tbl_Finance[Xero Invoice No])&amp;" +more"),"")))</f>
        <v/>
      </c>
      <c r="C386" s="24" t="n"/>
      <c r="D386" s="25">
        <f>IF(C386="","",IF(COUNTIF(lst_Jobs,C386&amp;"")&gt;0,"OK","CHECK"))</f>
        <v/>
      </c>
      <c r="E386" s="25">
        <f>IF(C386="","",IFERROR(INDEX(lst_JobName,MATCH(C386&amp;"",lst_Jobs,0)),""))</f>
        <v/>
      </c>
      <c r="F386" s="25">
        <f>IF(C386="","",IFERROR(INDEX(tbl_Finance[Client],IFERROR(MATCH(C386&amp;"",tbl_Finance[Job Number],0),MATCH(IFERROR(C386+0,C386),tbl_Finance[Job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6" t="n"/>
      <c r="L386" s="27">
        <f>IF(C386="","",IF(K386="",0,MAX(0,K386-H386)))</f>
        <v/>
      </c>
      <c r="M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N386" s="24" t="n"/>
      <c r="O386" s="25">
        <f>IF(N386="","",HYPERLINK(IF(LEFT(N386,4)="http",N386,set_QwilrBase&amp;N386),"Open quote"))</f>
        <v/>
      </c>
      <c r="P386" s="26" t="n"/>
      <c r="Q386" s="26" t="n"/>
      <c r="R386" s="26" t="n"/>
      <c r="S386" s="25">
        <f>IF(C386="","",IF(N(P386)+N(Q386)+N(R386)=0,"Not split",IF(ROUND(N(P386)+N(Q386)+N(R386),2)=ROUND(H386+L386,2),"OK",IF(G386=0,"Not invoiced yet","MISMATCH"))))</f>
        <v/>
      </c>
      <c r="T386" s="26" t="n"/>
      <c r="U386" s="26" t="n"/>
      <c r="V386" s="26" t="n"/>
      <c r="W386" s="27">
        <f>IF(C386="","",N(T386)+N(U386)+N(V386))</f>
        <v/>
      </c>
      <c r="X386" s="27">
        <f>IF(C386="","",H386+L386-W386)</f>
        <v/>
      </c>
      <c r="Y386" s="29">
        <f>IFERROR(X386/(H386+L386),"")</f>
        <v/>
      </c>
      <c r="Z386" s="24" t="n"/>
    </row>
    <row r="387" ht="15" customHeight="1">
      <c r="A387" s="70">
        <f>IF(C387="","",IFERROR(IF(SUMPRODUCT(MAX((tbl_Finance[Job Number]&amp;""=C387&amp;"")*(tbl_Finance[Xero Invoice No]&lt;&gt;"")*tbl_Finance[Date]))=0,"",SUMPRODUCT(MAX((tbl_Finance[Job Number]&amp;""=C387&amp;"")*(tbl_Finance[Xero Invoice No]&lt;&gt;"")*tbl_Finance[Date]))),""))</f>
        <v/>
      </c>
      <c r="B387" s="25">
        <f>IF(C387="","",IF(COUNTIFS(tbl_Finance[Job Number],C387&amp;"",tbl_Finance[Xero Invoice No],"&lt;&gt;")=0,"",IFERROR(IF(COUNTIFS(tbl_Finance[Job Number],C387&amp;"",tbl_Finance[Xero Invoice No],LOOKUP(2,1/((tbl_Finance[Job Number]&amp;""=C387&amp;"")*(tbl_Finance[Xero Invoice No]&lt;&gt;"")),tbl_Finance[Xero Invoice No]))=COUNTIFS(tbl_Finance[Job Number],C387&amp;"",tbl_Finance[Xero Invoice No],"&lt;&gt;"),LOOKUP(2,1/((tbl_Finance[Job Number]&amp;""=C387&amp;"")*(tbl_Finance[Xero Invoice No]&lt;&gt;"")),tbl_Finance[Xero Invoice No]),LOOKUP(2,1/((tbl_Finance[Job Number]&amp;""=C387&amp;"")*(tbl_Finance[Xero Invoice No]&lt;&gt;"")),tbl_Finance[Xero Invoice No])&amp;" +more"),"")))</f>
        <v/>
      </c>
      <c r="C387" s="24" t="n"/>
      <c r="D387" s="25">
        <f>IF(C387="","",IF(COUNTIF(lst_Jobs,C387&amp;"")&gt;0,"OK","CHECK"))</f>
        <v/>
      </c>
      <c r="E387" s="25">
        <f>IF(C387="","",IFERROR(INDEX(lst_JobName,MATCH(C387&amp;"",lst_Jobs,0)),""))</f>
        <v/>
      </c>
      <c r="F387" s="25">
        <f>IF(C387="","",IFERROR(INDEX(tbl_Finance[Client],IFERROR(MATCH(C387&amp;"",tbl_Finance[Job Number],0),MATCH(IFERROR(C387+0,C387),tbl_Finance[Job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6" t="n"/>
      <c r="L387" s="27">
        <f>IF(C387="","",IF(K387="",0,MAX(0,K387-H387)))</f>
        <v/>
      </c>
      <c r="M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N387" s="24" t="n"/>
      <c r="O387" s="25">
        <f>IF(N387="","",HYPERLINK(IF(LEFT(N387,4)="http",N387,set_QwilrBase&amp;N387),"Open quote"))</f>
        <v/>
      </c>
      <c r="P387" s="26" t="n"/>
      <c r="Q387" s="26" t="n"/>
      <c r="R387" s="26" t="n"/>
      <c r="S387" s="25">
        <f>IF(C387="","",IF(N(P387)+N(Q387)+N(R387)=0,"Not split",IF(ROUND(N(P387)+N(Q387)+N(R387),2)=ROUND(H387+L387,2),"OK",IF(G387=0,"Not invoiced yet","MISMATCH"))))</f>
        <v/>
      </c>
      <c r="T387" s="26" t="n"/>
      <c r="U387" s="26" t="n"/>
      <c r="V387" s="26" t="n"/>
      <c r="W387" s="27">
        <f>IF(C387="","",N(T387)+N(U387)+N(V387))</f>
        <v/>
      </c>
      <c r="X387" s="27">
        <f>IF(C387="","",H387+L387-W387)</f>
        <v/>
      </c>
      <c r="Y387" s="29">
        <f>IFERROR(X387/(H387+L387),"")</f>
        <v/>
      </c>
      <c r="Z387" s="24" t="n"/>
    </row>
    <row r="388" ht="15" customHeight="1">
      <c r="A388" s="70">
        <f>IF(C388="","",IFERROR(IF(SUMPRODUCT(MAX((tbl_Finance[Job Number]&amp;""=C388&amp;"")*(tbl_Finance[Xero Invoice No]&lt;&gt;"")*tbl_Finance[Date]))=0,"",SUMPRODUCT(MAX((tbl_Finance[Job Number]&amp;""=C388&amp;"")*(tbl_Finance[Xero Invoice No]&lt;&gt;"")*tbl_Finance[Date]))),""))</f>
        <v/>
      </c>
      <c r="B388" s="25">
        <f>IF(C388="","",IF(COUNTIFS(tbl_Finance[Job Number],C388&amp;"",tbl_Finance[Xero Invoice No],"&lt;&gt;")=0,"",IFERROR(IF(COUNTIFS(tbl_Finance[Job Number],C388&amp;"",tbl_Finance[Xero Invoice No],LOOKUP(2,1/((tbl_Finance[Job Number]&amp;""=C388&amp;"")*(tbl_Finance[Xero Invoice No]&lt;&gt;"")),tbl_Finance[Xero Invoice No]))=COUNTIFS(tbl_Finance[Job Number],C388&amp;"",tbl_Finance[Xero Invoice No],"&lt;&gt;"),LOOKUP(2,1/((tbl_Finance[Job Number]&amp;""=C388&amp;"")*(tbl_Finance[Xero Invoice No]&lt;&gt;"")),tbl_Finance[Xero Invoice No]),LOOKUP(2,1/((tbl_Finance[Job Number]&amp;""=C388&amp;"")*(tbl_Finance[Xero Invoice No]&lt;&gt;"")),tbl_Finance[Xero Invoice No])&amp;" +more"),"")))</f>
        <v/>
      </c>
      <c r="C388" s="24" t="n"/>
      <c r="D388" s="25">
        <f>IF(C388="","",IF(COUNTIF(lst_Jobs,C388&amp;"")&gt;0,"OK","CHECK"))</f>
        <v/>
      </c>
      <c r="E388" s="25">
        <f>IF(C388="","",IFERROR(INDEX(lst_JobName,MATCH(C388&amp;"",lst_Jobs,0)),""))</f>
        <v/>
      </c>
      <c r="F388" s="25">
        <f>IF(C388="","",IFERROR(INDEX(tbl_Finance[Client],IFERROR(MATCH(C388&amp;"",tbl_Finance[Job Number],0),MATCH(IFERROR(C388+0,C388),tbl_Finance[Job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6" t="n"/>
      <c r="L388" s="27">
        <f>IF(C388="","",IF(K388="",0,MAX(0,K388-H388)))</f>
        <v/>
      </c>
      <c r="M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N388" s="24" t="n"/>
      <c r="O388" s="25">
        <f>IF(N388="","",HYPERLINK(IF(LEFT(N388,4)="http",N388,set_QwilrBase&amp;N388),"Open quote"))</f>
        <v/>
      </c>
      <c r="P388" s="26" t="n"/>
      <c r="Q388" s="26" t="n"/>
      <c r="R388" s="26" t="n"/>
      <c r="S388" s="25">
        <f>IF(C388="","",IF(N(P388)+N(Q388)+N(R388)=0,"Not split",IF(ROUND(N(P388)+N(Q388)+N(R388),2)=ROUND(H388+L388,2),"OK",IF(G388=0,"Not invoiced yet","MISMATCH"))))</f>
        <v/>
      </c>
      <c r="T388" s="26" t="n"/>
      <c r="U388" s="26" t="n"/>
      <c r="V388" s="26" t="n"/>
      <c r="W388" s="27">
        <f>IF(C388="","",N(T388)+N(U388)+N(V388))</f>
        <v/>
      </c>
      <c r="X388" s="27">
        <f>IF(C388="","",H388+L388-W388)</f>
        <v/>
      </c>
      <c r="Y388" s="29">
        <f>IFERROR(X388/(H388+L388),"")</f>
        <v/>
      </c>
      <c r="Z388" s="24" t="n"/>
    </row>
    <row r="389" ht="15" customHeight="1">
      <c r="A389" s="70">
        <f>IF(C389="","",IFERROR(IF(SUMPRODUCT(MAX((tbl_Finance[Job Number]&amp;""=C389&amp;"")*(tbl_Finance[Xero Invoice No]&lt;&gt;"")*tbl_Finance[Date]))=0,"",SUMPRODUCT(MAX((tbl_Finance[Job Number]&amp;""=C389&amp;"")*(tbl_Finance[Xero Invoice No]&lt;&gt;"")*tbl_Finance[Date]))),""))</f>
        <v/>
      </c>
      <c r="B389" s="25">
        <f>IF(C389="","",IF(COUNTIFS(tbl_Finance[Job Number],C389&amp;"",tbl_Finance[Xero Invoice No],"&lt;&gt;")=0,"",IFERROR(IF(COUNTIFS(tbl_Finance[Job Number],C389&amp;"",tbl_Finance[Xero Invoice No],LOOKUP(2,1/((tbl_Finance[Job Number]&amp;""=C389&amp;"")*(tbl_Finance[Xero Invoice No]&lt;&gt;"")),tbl_Finance[Xero Invoice No]))=COUNTIFS(tbl_Finance[Job Number],C389&amp;"",tbl_Finance[Xero Invoice No],"&lt;&gt;"),LOOKUP(2,1/((tbl_Finance[Job Number]&amp;""=C389&amp;"")*(tbl_Finance[Xero Invoice No]&lt;&gt;"")),tbl_Finance[Xero Invoice No]),LOOKUP(2,1/((tbl_Finance[Job Number]&amp;""=C389&amp;"")*(tbl_Finance[Xero Invoice No]&lt;&gt;"")),tbl_Finance[Xero Invoice No])&amp;" +more"),"")))</f>
        <v/>
      </c>
      <c r="C389" s="24" t="n"/>
      <c r="D389" s="25">
        <f>IF(C389="","",IF(COUNTIF(lst_Jobs,C389&amp;"")&gt;0,"OK","CHECK"))</f>
        <v/>
      </c>
      <c r="E389" s="25">
        <f>IF(C389="","",IFERROR(INDEX(lst_JobName,MATCH(C389&amp;"",lst_Jobs,0)),""))</f>
        <v/>
      </c>
      <c r="F389" s="25">
        <f>IF(C389="","",IFERROR(INDEX(tbl_Finance[Client],IFERROR(MATCH(C389&amp;"",tbl_Finance[Job Number],0),MATCH(IFERROR(C389+0,C389),tbl_Finance[Job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6" t="n"/>
      <c r="L389" s="27">
        <f>IF(C389="","",IF(K389="",0,MAX(0,K389-H389)))</f>
        <v/>
      </c>
      <c r="M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N389" s="24" t="n"/>
      <c r="O389" s="25">
        <f>IF(N389="","",HYPERLINK(IF(LEFT(N389,4)="http",N389,set_QwilrBase&amp;N389),"Open quote"))</f>
        <v/>
      </c>
      <c r="P389" s="26" t="n"/>
      <c r="Q389" s="26" t="n"/>
      <c r="R389" s="26" t="n"/>
      <c r="S389" s="25">
        <f>IF(C389="","",IF(N(P389)+N(Q389)+N(R389)=0,"Not split",IF(ROUND(N(P389)+N(Q389)+N(R389),2)=ROUND(H389+L389,2),"OK",IF(G389=0,"Not invoiced yet","MISMATCH"))))</f>
        <v/>
      </c>
      <c r="T389" s="26" t="n"/>
      <c r="U389" s="26" t="n"/>
      <c r="V389" s="26" t="n"/>
      <c r="W389" s="27">
        <f>IF(C389="","",N(T389)+N(U389)+N(V389))</f>
        <v/>
      </c>
      <c r="X389" s="27">
        <f>IF(C389="","",H389+L389-W389)</f>
        <v/>
      </c>
      <c r="Y389" s="29">
        <f>IFERROR(X389/(H389+L389),"")</f>
        <v/>
      </c>
      <c r="Z389" s="24" t="n"/>
    </row>
    <row r="390" ht="15" customHeight="1">
      <c r="A390" s="70">
        <f>IF(C390="","",IFERROR(IF(SUMPRODUCT(MAX((tbl_Finance[Job Number]&amp;""=C390&amp;"")*(tbl_Finance[Xero Invoice No]&lt;&gt;"")*tbl_Finance[Date]))=0,"",SUMPRODUCT(MAX((tbl_Finance[Job Number]&amp;""=C390&amp;"")*(tbl_Finance[Xero Invoice No]&lt;&gt;"")*tbl_Finance[Date]))),""))</f>
        <v/>
      </c>
      <c r="B390" s="25">
        <f>IF(C390="","",IF(COUNTIFS(tbl_Finance[Job Number],C390&amp;"",tbl_Finance[Xero Invoice No],"&lt;&gt;")=0,"",IFERROR(IF(COUNTIFS(tbl_Finance[Job Number],C390&amp;"",tbl_Finance[Xero Invoice No],LOOKUP(2,1/((tbl_Finance[Job Number]&amp;""=C390&amp;"")*(tbl_Finance[Xero Invoice No]&lt;&gt;"")),tbl_Finance[Xero Invoice No]))=COUNTIFS(tbl_Finance[Job Number],C390&amp;"",tbl_Finance[Xero Invoice No],"&lt;&gt;"),LOOKUP(2,1/((tbl_Finance[Job Number]&amp;""=C390&amp;"")*(tbl_Finance[Xero Invoice No]&lt;&gt;"")),tbl_Finance[Xero Invoice No]),LOOKUP(2,1/((tbl_Finance[Job Number]&amp;""=C390&amp;"")*(tbl_Finance[Xero Invoice No]&lt;&gt;"")),tbl_Finance[Xero Invoice No])&amp;" +more"),"")))</f>
        <v/>
      </c>
      <c r="C390" s="24" t="n"/>
      <c r="D390" s="25">
        <f>IF(C390="","",IF(COUNTIF(lst_Jobs,C390&amp;"")&gt;0,"OK","CHECK"))</f>
        <v/>
      </c>
      <c r="E390" s="25">
        <f>IF(C390="","",IFERROR(INDEX(lst_JobName,MATCH(C390&amp;"",lst_Jobs,0)),""))</f>
        <v/>
      </c>
      <c r="F390" s="25">
        <f>IF(C390="","",IFERROR(INDEX(tbl_Finance[Client],IFERROR(MATCH(C390&amp;"",tbl_Finance[Job Number],0),MATCH(IFERROR(C390+0,C390),tbl_Finance[Job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6" t="n"/>
      <c r="L390" s="27">
        <f>IF(C390="","",IF(K390="",0,MAX(0,K390-H390)))</f>
        <v/>
      </c>
      <c r="M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N390" s="24" t="n"/>
      <c r="O390" s="25">
        <f>IF(N390="","",HYPERLINK(IF(LEFT(N390,4)="http",N390,set_QwilrBase&amp;N390),"Open quote"))</f>
        <v/>
      </c>
      <c r="P390" s="26" t="n"/>
      <c r="Q390" s="26" t="n"/>
      <c r="R390" s="26" t="n"/>
      <c r="S390" s="25">
        <f>IF(C390="","",IF(N(P390)+N(Q390)+N(R390)=0,"Not split",IF(ROUND(N(P390)+N(Q390)+N(R390),2)=ROUND(H390+L390,2),"OK",IF(G390=0,"Not invoiced yet","MISMATCH"))))</f>
        <v/>
      </c>
      <c r="T390" s="26" t="n"/>
      <c r="U390" s="26" t="n"/>
      <c r="V390" s="26" t="n"/>
      <c r="W390" s="27">
        <f>IF(C390="","",N(T390)+N(U390)+N(V390))</f>
        <v/>
      </c>
      <c r="X390" s="27">
        <f>IF(C390="","",H390+L390-W390)</f>
        <v/>
      </c>
      <c r="Y390" s="29">
        <f>IFERROR(X390/(H390+L390),"")</f>
        <v/>
      </c>
      <c r="Z390" s="24" t="n"/>
    </row>
    <row r="391" ht="15" customHeight="1">
      <c r="A391" s="70">
        <f>IF(C391="","",IFERROR(IF(SUMPRODUCT(MAX((tbl_Finance[Job Number]&amp;""=C391&amp;"")*(tbl_Finance[Xero Invoice No]&lt;&gt;"")*tbl_Finance[Date]))=0,"",SUMPRODUCT(MAX((tbl_Finance[Job Number]&amp;""=C391&amp;"")*(tbl_Finance[Xero Invoice No]&lt;&gt;"")*tbl_Finance[Date]))),""))</f>
        <v/>
      </c>
      <c r="B391" s="25">
        <f>IF(C391="","",IF(COUNTIFS(tbl_Finance[Job Number],C391&amp;"",tbl_Finance[Xero Invoice No],"&lt;&gt;")=0,"",IFERROR(IF(COUNTIFS(tbl_Finance[Job Number],C391&amp;"",tbl_Finance[Xero Invoice No],LOOKUP(2,1/((tbl_Finance[Job Number]&amp;""=C391&amp;"")*(tbl_Finance[Xero Invoice No]&lt;&gt;"")),tbl_Finance[Xero Invoice No]))=COUNTIFS(tbl_Finance[Job Number],C391&amp;"",tbl_Finance[Xero Invoice No],"&lt;&gt;"),LOOKUP(2,1/((tbl_Finance[Job Number]&amp;""=C391&amp;"")*(tbl_Finance[Xero Invoice No]&lt;&gt;"")),tbl_Finance[Xero Invoice No]),LOOKUP(2,1/((tbl_Finance[Job Number]&amp;""=C391&amp;"")*(tbl_Finance[Xero Invoice No]&lt;&gt;"")),tbl_Finance[Xero Invoice No])&amp;" +more"),"")))</f>
        <v/>
      </c>
      <c r="C391" s="24" t="n"/>
      <c r="D391" s="25">
        <f>IF(C391="","",IF(COUNTIF(lst_Jobs,C391&amp;"")&gt;0,"OK","CHECK"))</f>
        <v/>
      </c>
      <c r="E391" s="25">
        <f>IF(C391="","",IFERROR(INDEX(lst_JobName,MATCH(C391&amp;"",lst_Jobs,0)),""))</f>
        <v/>
      </c>
      <c r="F391" s="25">
        <f>IF(C391="","",IFERROR(INDEX(tbl_Finance[Client],IFERROR(MATCH(C391&amp;"",tbl_Finance[Job Number],0),MATCH(IFERROR(C391+0,C391),tbl_Finance[Job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6" t="n"/>
      <c r="L391" s="27">
        <f>IF(C391="","",IF(K391="",0,MAX(0,K391-H391)))</f>
        <v/>
      </c>
      <c r="M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N391" s="24" t="n"/>
      <c r="O391" s="25">
        <f>IF(N391="","",HYPERLINK(IF(LEFT(N391,4)="http",N391,set_QwilrBase&amp;N391),"Open quote"))</f>
        <v/>
      </c>
      <c r="P391" s="26" t="n"/>
      <c r="Q391" s="26" t="n"/>
      <c r="R391" s="26" t="n"/>
      <c r="S391" s="25">
        <f>IF(C391="","",IF(N(P391)+N(Q391)+N(R391)=0,"Not split",IF(ROUND(N(P391)+N(Q391)+N(R391),2)=ROUND(H391+L391,2),"OK",IF(G391=0,"Not invoiced yet","MISMATCH"))))</f>
        <v/>
      </c>
      <c r="T391" s="26" t="n"/>
      <c r="U391" s="26" t="n"/>
      <c r="V391" s="26" t="n"/>
      <c r="W391" s="27">
        <f>IF(C391="","",N(T391)+N(U391)+N(V391))</f>
        <v/>
      </c>
      <c r="X391" s="27">
        <f>IF(C391="","",H391+L391-W391)</f>
        <v/>
      </c>
      <c r="Y391" s="29">
        <f>IFERROR(X391/(H391+L391),"")</f>
        <v/>
      </c>
      <c r="Z391" s="24" t="n"/>
    </row>
    <row r="392" ht="15" customHeight="1">
      <c r="A392" s="70">
        <f>IF(C392="","",IFERROR(IF(SUMPRODUCT(MAX((tbl_Finance[Job Number]&amp;""=C392&amp;"")*(tbl_Finance[Xero Invoice No]&lt;&gt;"")*tbl_Finance[Date]))=0,"",SUMPRODUCT(MAX((tbl_Finance[Job Number]&amp;""=C392&amp;"")*(tbl_Finance[Xero Invoice No]&lt;&gt;"")*tbl_Finance[Date]))),""))</f>
        <v/>
      </c>
      <c r="B392" s="25">
        <f>IF(C392="","",IF(COUNTIFS(tbl_Finance[Job Number],C392&amp;"",tbl_Finance[Xero Invoice No],"&lt;&gt;")=0,"",IFERROR(IF(COUNTIFS(tbl_Finance[Job Number],C392&amp;"",tbl_Finance[Xero Invoice No],LOOKUP(2,1/((tbl_Finance[Job Number]&amp;""=C392&amp;"")*(tbl_Finance[Xero Invoice No]&lt;&gt;"")),tbl_Finance[Xero Invoice No]))=COUNTIFS(tbl_Finance[Job Number],C392&amp;"",tbl_Finance[Xero Invoice No],"&lt;&gt;"),LOOKUP(2,1/((tbl_Finance[Job Number]&amp;""=C392&amp;"")*(tbl_Finance[Xero Invoice No]&lt;&gt;"")),tbl_Finance[Xero Invoice No]),LOOKUP(2,1/((tbl_Finance[Job Number]&amp;""=C392&amp;"")*(tbl_Finance[Xero Invoice No]&lt;&gt;"")),tbl_Finance[Xero Invoice No])&amp;" +more"),"")))</f>
        <v/>
      </c>
      <c r="C392" s="24" t="n"/>
      <c r="D392" s="25">
        <f>IF(C392="","",IF(COUNTIF(lst_Jobs,C392&amp;"")&gt;0,"OK","CHECK"))</f>
        <v/>
      </c>
      <c r="E392" s="25">
        <f>IF(C392="","",IFERROR(INDEX(lst_JobName,MATCH(C392&amp;"",lst_Jobs,0)),""))</f>
        <v/>
      </c>
      <c r="F392" s="25">
        <f>IF(C392="","",IFERROR(INDEX(tbl_Finance[Client],IFERROR(MATCH(C392&amp;"",tbl_Finance[Job Number],0),MATCH(IFERROR(C392+0,C392),tbl_Finance[Job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6" t="n"/>
      <c r="L392" s="27">
        <f>IF(C392="","",IF(K392="",0,MAX(0,K392-H392)))</f>
        <v/>
      </c>
      <c r="M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N392" s="24" t="n"/>
      <c r="O392" s="25">
        <f>IF(N392="","",HYPERLINK(IF(LEFT(N392,4)="http",N392,set_QwilrBase&amp;N392),"Open quote"))</f>
        <v/>
      </c>
      <c r="P392" s="26" t="n"/>
      <c r="Q392" s="26" t="n"/>
      <c r="R392" s="26" t="n"/>
      <c r="S392" s="25">
        <f>IF(C392="","",IF(N(P392)+N(Q392)+N(R392)=0,"Not split",IF(ROUND(N(P392)+N(Q392)+N(R392),2)=ROUND(H392+L392,2),"OK",IF(G392=0,"Not invoiced yet","MISMATCH"))))</f>
        <v/>
      </c>
      <c r="T392" s="26" t="n"/>
      <c r="U392" s="26" t="n"/>
      <c r="V392" s="26" t="n"/>
      <c r="W392" s="27">
        <f>IF(C392="","",N(T392)+N(U392)+N(V392))</f>
        <v/>
      </c>
      <c r="X392" s="27">
        <f>IF(C392="","",H392+L392-W392)</f>
        <v/>
      </c>
      <c r="Y392" s="29">
        <f>IFERROR(X392/(H392+L392),"")</f>
        <v/>
      </c>
      <c r="Z392" s="24" t="n"/>
    </row>
    <row r="393" ht="15" customHeight="1">
      <c r="A393" s="70">
        <f>IF(C393="","",IFERROR(IF(SUMPRODUCT(MAX((tbl_Finance[Job Number]&amp;""=C393&amp;"")*(tbl_Finance[Xero Invoice No]&lt;&gt;"")*tbl_Finance[Date]))=0,"",SUMPRODUCT(MAX((tbl_Finance[Job Number]&amp;""=C393&amp;"")*(tbl_Finance[Xero Invoice No]&lt;&gt;"")*tbl_Finance[Date]))),""))</f>
        <v/>
      </c>
      <c r="B393" s="25">
        <f>IF(C393="","",IF(COUNTIFS(tbl_Finance[Job Number],C393&amp;"",tbl_Finance[Xero Invoice No],"&lt;&gt;")=0,"",IFERROR(IF(COUNTIFS(tbl_Finance[Job Number],C393&amp;"",tbl_Finance[Xero Invoice No],LOOKUP(2,1/((tbl_Finance[Job Number]&amp;""=C393&amp;"")*(tbl_Finance[Xero Invoice No]&lt;&gt;"")),tbl_Finance[Xero Invoice No]))=COUNTIFS(tbl_Finance[Job Number],C393&amp;"",tbl_Finance[Xero Invoice No],"&lt;&gt;"),LOOKUP(2,1/((tbl_Finance[Job Number]&amp;""=C393&amp;"")*(tbl_Finance[Xero Invoice No]&lt;&gt;"")),tbl_Finance[Xero Invoice No]),LOOKUP(2,1/((tbl_Finance[Job Number]&amp;""=C393&amp;"")*(tbl_Finance[Xero Invoice No]&lt;&gt;"")),tbl_Finance[Xero Invoice No])&amp;" +more"),"")))</f>
        <v/>
      </c>
      <c r="C393" s="24" t="n"/>
      <c r="D393" s="25">
        <f>IF(C393="","",IF(COUNTIF(lst_Jobs,C393&amp;"")&gt;0,"OK","CHECK"))</f>
        <v/>
      </c>
      <c r="E393" s="25">
        <f>IF(C393="","",IFERROR(INDEX(lst_JobName,MATCH(C393&amp;"",lst_Jobs,0)),""))</f>
        <v/>
      </c>
      <c r="F393" s="25">
        <f>IF(C393="","",IFERROR(INDEX(tbl_Finance[Client],IFERROR(MATCH(C393&amp;"",tbl_Finance[Job Number],0),MATCH(IFERROR(C393+0,C393),tbl_Finance[Job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6" t="n"/>
      <c r="L393" s="27">
        <f>IF(C393="","",IF(K393="",0,MAX(0,K393-H393)))</f>
        <v/>
      </c>
      <c r="M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N393" s="24" t="n"/>
      <c r="O393" s="25">
        <f>IF(N393="","",HYPERLINK(IF(LEFT(N393,4)="http",N393,set_QwilrBase&amp;N393),"Open quote"))</f>
        <v/>
      </c>
      <c r="P393" s="26" t="n"/>
      <c r="Q393" s="26" t="n"/>
      <c r="R393" s="26" t="n"/>
      <c r="S393" s="25">
        <f>IF(C393="","",IF(N(P393)+N(Q393)+N(R393)=0,"Not split",IF(ROUND(N(P393)+N(Q393)+N(R393),2)=ROUND(H393+L393,2),"OK",IF(G393=0,"Not invoiced yet","MISMATCH"))))</f>
        <v/>
      </c>
      <c r="T393" s="26" t="n"/>
      <c r="U393" s="26" t="n"/>
      <c r="V393" s="26" t="n"/>
      <c r="W393" s="27">
        <f>IF(C393="","",N(T393)+N(U393)+N(V393))</f>
        <v/>
      </c>
      <c r="X393" s="27">
        <f>IF(C393="","",H393+L393-W393)</f>
        <v/>
      </c>
      <c r="Y393" s="29">
        <f>IFERROR(X393/(H393+L393),"")</f>
        <v/>
      </c>
      <c r="Z393" s="24" t="n"/>
    </row>
    <row r="394" ht="15" customHeight="1">
      <c r="A394" s="70">
        <f>IF(C394="","",IFERROR(IF(SUMPRODUCT(MAX((tbl_Finance[Job Number]&amp;""=C394&amp;"")*(tbl_Finance[Xero Invoice No]&lt;&gt;"")*tbl_Finance[Date]))=0,"",SUMPRODUCT(MAX((tbl_Finance[Job Number]&amp;""=C394&amp;"")*(tbl_Finance[Xero Invoice No]&lt;&gt;"")*tbl_Finance[Date]))),""))</f>
        <v/>
      </c>
      <c r="B394" s="25">
        <f>IF(C394="","",IF(COUNTIFS(tbl_Finance[Job Number],C394&amp;"",tbl_Finance[Xero Invoice No],"&lt;&gt;")=0,"",IFERROR(IF(COUNTIFS(tbl_Finance[Job Number],C394&amp;"",tbl_Finance[Xero Invoice No],LOOKUP(2,1/((tbl_Finance[Job Number]&amp;""=C394&amp;"")*(tbl_Finance[Xero Invoice No]&lt;&gt;"")),tbl_Finance[Xero Invoice No]))=COUNTIFS(tbl_Finance[Job Number],C394&amp;"",tbl_Finance[Xero Invoice No],"&lt;&gt;"),LOOKUP(2,1/((tbl_Finance[Job Number]&amp;""=C394&amp;"")*(tbl_Finance[Xero Invoice No]&lt;&gt;"")),tbl_Finance[Xero Invoice No]),LOOKUP(2,1/((tbl_Finance[Job Number]&amp;""=C394&amp;"")*(tbl_Finance[Xero Invoice No]&lt;&gt;"")),tbl_Finance[Xero Invoice No])&amp;" +more"),"")))</f>
        <v/>
      </c>
      <c r="C394" s="24" t="n"/>
      <c r="D394" s="25">
        <f>IF(C394="","",IF(COUNTIF(lst_Jobs,C394&amp;"")&gt;0,"OK","CHECK"))</f>
        <v/>
      </c>
      <c r="E394" s="25">
        <f>IF(C394="","",IFERROR(INDEX(lst_JobName,MATCH(C394&amp;"",lst_Jobs,0)),""))</f>
        <v/>
      </c>
      <c r="F394" s="25">
        <f>IF(C394="","",IFERROR(INDEX(tbl_Finance[Client],IFERROR(MATCH(C394&amp;"",tbl_Finance[Job Number],0),MATCH(IFERROR(C394+0,C394),tbl_Finance[Job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6" t="n"/>
      <c r="L394" s="27">
        <f>IF(C394="","",IF(K394="",0,MAX(0,K394-H394)))</f>
        <v/>
      </c>
      <c r="M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N394" s="24" t="n"/>
      <c r="O394" s="25">
        <f>IF(N394="","",HYPERLINK(IF(LEFT(N394,4)="http",N394,set_QwilrBase&amp;N394),"Open quote"))</f>
        <v/>
      </c>
      <c r="P394" s="26" t="n"/>
      <c r="Q394" s="26" t="n"/>
      <c r="R394" s="26" t="n"/>
      <c r="S394" s="25">
        <f>IF(C394="","",IF(N(P394)+N(Q394)+N(R394)=0,"Not split",IF(ROUND(N(P394)+N(Q394)+N(R394),2)=ROUND(H394+L394,2),"OK",IF(G394=0,"Not invoiced yet","MISMATCH"))))</f>
        <v/>
      </c>
      <c r="T394" s="26" t="n"/>
      <c r="U394" s="26" t="n"/>
      <c r="V394" s="26" t="n"/>
      <c r="W394" s="27">
        <f>IF(C394="","",N(T394)+N(U394)+N(V394))</f>
        <v/>
      </c>
      <c r="X394" s="27">
        <f>IF(C394="","",H394+L394-W394)</f>
        <v/>
      </c>
      <c r="Y394" s="29">
        <f>IFERROR(X394/(H394+L394),"")</f>
        <v/>
      </c>
      <c r="Z394" s="24" t="n"/>
    </row>
    <row r="395" ht="15" customHeight="1">
      <c r="A395" s="70">
        <f>IF(C395="","",IFERROR(IF(SUMPRODUCT(MAX((tbl_Finance[Job Number]&amp;""=C395&amp;"")*(tbl_Finance[Xero Invoice No]&lt;&gt;"")*tbl_Finance[Date]))=0,"",SUMPRODUCT(MAX((tbl_Finance[Job Number]&amp;""=C395&amp;"")*(tbl_Finance[Xero Invoice No]&lt;&gt;"")*tbl_Finance[Date]))),""))</f>
        <v/>
      </c>
      <c r="B395" s="25">
        <f>IF(C395="","",IF(COUNTIFS(tbl_Finance[Job Number],C395&amp;"",tbl_Finance[Xero Invoice No],"&lt;&gt;")=0,"",IFERROR(IF(COUNTIFS(tbl_Finance[Job Number],C395&amp;"",tbl_Finance[Xero Invoice No],LOOKUP(2,1/((tbl_Finance[Job Number]&amp;""=C395&amp;"")*(tbl_Finance[Xero Invoice No]&lt;&gt;"")),tbl_Finance[Xero Invoice No]))=COUNTIFS(tbl_Finance[Job Number],C395&amp;"",tbl_Finance[Xero Invoice No],"&lt;&gt;"),LOOKUP(2,1/((tbl_Finance[Job Number]&amp;""=C395&amp;"")*(tbl_Finance[Xero Invoice No]&lt;&gt;"")),tbl_Finance[Xero Invoice No]),LOOKUP(2,1/((tbl_Finance[Job Number]&amp;""=C395&amp;"")*(tbl_Finance[Xero Invoice No]&lt;&gt;"")),tbl_Finance[Xero Invoice No])&amp;" +more"),"")))</f>
        <v/>
      </c>
      <c r="C395" s="24" t="n"/>
      <c r="D395" s="25">
        <f>IF(C395="","",IF(COUNTIF(lst_Jobs,C395&amp;"")&gt;0,"OK","CHECK"))</f>
        <v/>
      </c>
      <c r="E395" s="25">
        <f>IF(C395="","",IFERROR(INDEX(lst_JobName,MATCH(C395&amp;"",lst_Jobs,0)),""))</f>
        <v/>
      </c>
      <c r="F395" s="25">
        <f>IF(C395="","",IFERROR(INDEX(tbl_Finance[Client],IFERROR(MATCH(C395&amp;"",tbl_Finance[Job Number],0),MATCH(IFERROR(C395+0,C395),tbl_Finance[Job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6" t="n"/>
      <c r="L395" s="27">
        <f>IF(C395="","",IF(K395="",0,MAX(0,K395-H395)))</f>
        <v/>
      </c>
      <c r="M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N395" s="24" t="n"/>
      <c r="O395" s="25">
        <f>IF(N395="","",HYPERLINK(IF(LEFT(N395,4)="http",N395,set_QwilrBase&amp;N395),"Open quote"))</f>
        <v/>
      </c>
      <c r="P395" s="26" t="n"/>
      <c r="Q395" s="26" t="n"/>
      <c r="R395" s="26" t="n"/>
      <c r="S395" s="25">
        <f>IF(C395="","",IF(N(P395)+N(Q395)+N(R395)=0,"Not split",IF(ROUND(N(P395)+N(Q395)+N(R395),2)=ROUND(H395+L395,2),"OK",IF(G395=0,"Not invoiced yet","MISMATCH"))))</f>
        <v/>
      </c>
      <c r="T395" s="26" t="n"/>
      <c r="U395" s="26" t="n"/>
      <c r="V395" s="26" t="n"/>
      <c r="W395" s="27">
        <f>IF(C395="","",N(T395)+N(U395)+N(V395))</f>
        <v/>
      </c>
      <c r="X395" s="27">
        <f>IF(C395="","",H395+L395-W395)</f>
        <v/>
      </c>
      <c r="Y395" s="29">
        <f>IFERROR(X395/(H395+L395),"")</f>
        <v/>
      </c>
      <c r="Z395" s="24" t="n"/>
    </row>
    <row r="396" ht="15" customHeight="1">
      <c r="A396" s="70">
        <f>IF(C396="","",IFERROR(IF(SUMPRODUCT(MAX((tbl_Finance[Job Number]&amp;""=C396&amp;"")*(tbl_Finance[Xero Invoice No]&lt;&gt;"")*tbl_Finance[Date]))=0,"",SUMPRODUCT(MAX((tbl_Finance[Job Number]&amp;""=C396&amp;"")*(tbl_Finance[Xero Invoice No]&lt;&gt;"")*tbl_Finance[Date]))),""))</f>
        <v/>
      </c>
      <c r="B396" s="25">
        <f>IF(C396="","",IF(COUNTIFS(tbl_Finance[Job Number],C396&amp;"",tbl_Finance[Xero Invoice No],"&lt;&gt;")=0,"",IFERROR(IF(COUNTIFS(tbl_Finance[Job Number],C396&amp;"",tbl_Finance[Xero Invoice No],LOOKUP(2,1/((tbl_Finance[Job Number]&amp;""=C396&amp;"")*(tbl_Finance[Xero Invoice No]&lt;&gt;"")),tbl_Finance[Xero Invoice No]))=COUNTIFS(tbl_Finance[Job Number],C396&amp;"",tbl_Finance[Xero Invoice No],"&lt;&gt;"),LOOKUP(2,1/((tbl_Finance[Job Number]&amp;""=C396&amp;"")*(tbl_Finance[Xero Invoice No]&lt;&gt;"")),tbl_Finance[Xero Invoice No]),LOOKUP(2,1/((tbl_Finance[Job Number]&amp;""=C396&amp;"")*(tbl_Finance[Xero Invoice No]&lt;&gt;"")),tbl_Finance[Xero Invoice No])&amp;" +more"),"")))</f>
        <v/>
      </c>
      <c r="C396" s="24" t="n"/>
      <c r="D396" s="25">
        <f>IF(C396="","",IF(COUNTIF(lst_Jobs,C396&amp;"")&gt;0,"OK","CHECK"))</f>
        <v/>
      </c>
      <c r="E396" s="25">
        <f>IF(C396="","",IFERROR(INDEX(lst_JobName,MATCH(C396&amp;"",lst_Jobs,0)),""))</f>
        <v/>
      </c>
      <c r="F396" s="25">
        <f>IF(C396="","",IFERROR(INDEX(tbl_Finance[Client],IFERROR(MATCH(C396&amp;"",tbl_Finance[Job Number],0),MATCH(IFERROR(C396+0,C396),tbl_Finance[Job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6" t="n"/>
      <c r="L396" s="27">
        <f>IF(C396="","",IF(K396="",0,MAX(0,K396-H396)))</f>
        <v/>
      </c>
      <c r="M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N396" s="24" t="n"/>
      <c r="O396" s="25">
        <f>IF(N396="","",HYPERLINK(IF(LEFT(N396,4)="http",N396,set_QwilrBase&amp;N396),"Open quote"))</f>
        <v/>
      </c>
      <c r="P396" s="26" t="n"/>
      <c r="Q396" s="26" t="n"/>
      <c r="R396" s="26" t="n"/>
      <c r="S396" s="25">
        <f>IF(C396="","",IF(N(P396)+N(Q396)+N(R396)=0,"Not split",IF(ROUND(N(P396)+N(Q396)+N(R396),2)=ROUND(H396+L396,2),"OK",IF(G396=0,"Not invoiced yet","MISMATCH"))))</f>
        <v/>
      </c>
      <c r="T396" s="26" t="n"/>
      <c r="U396" s="26" t="n"/>
      <c r="V396" s="26" t="n"/>
      <c r="W396" s="27">
        <f>IF(C396="","",N(T396)+N(U396)+N(V396))</f>
        <v/>
      </c>
      <c r="X396" s="27">
        <f>IF(C396="","",H396+L396-W396)</f>
        <v/>
      </c>
      <c r="Y396" s="29">
        <f>IFERROR(X396/(H396+L396),"")</f>
        <v/>
      </c>
      <c r="Z396" s="24" t="n"/>
    </row>
    <row r="397" ht="15" customHeight="1">
      <c r="A397" s="70">
        <f>IF(C397="","",IFERROR(IF(SUMPRODUCT(MAX((tbl_Finance[Job Number]&amp;""=C397&amp;"")*(tbl_Finance[Xero Invoice No]&lt;&gt;"")*tbl_Finance[Date]))=0,"",SUMPRODUCT(MAX((tbl_Finance[Job Number]&amp;""=C397&amp;"")*(tbl_Finance[Xero Invoice No]&lt;&gt;"")*tbl_Finance[Date]))),""))</f>
        <v/>
      </c>
      <c r="B397" s="25">
        <f>IF(C397="","",IF(COUNTIFS(tbl_Finance[Job Number],C397&amp;"",tbl_Finance[Xero Invoice No],"&lt;&gt;")=0,"",IFERROR(IF(COUNTIFS(tbl_Finance[Job Number],C397&amp;"",tbl_Finance[Xero Invoice No],LOOKUP(2,1/((tbl_Finance[Job Number]&amp;""=C397&amp;"")*(tbl_Finance[Xero Invoice No]&lt;&gt;"")),tbl_Finance[Xero Invoice No]))=COUNTIFS(tbl_Finance[Job Number],C397&amp;"",tbl_Finance[Xero Invoice No],"&lt;&gt;"),LOOKUP(2,1/((tbl_Finance[Job Number]&amp;""=C397&amp;"")*(tbl_Finance[Xero Invoice No]&lt;&gt;"")),tbl_Finance[Xero Invoice No]),LOOKUP(2,1/((tbl_Finance[Job Number]&amp;""=C397&amp;"")*(tbl_Finance[Xero Invoice No]&lt;&gt;"")),tbl_Finance[Xero Invoice No])&amp;" +more"),"")))</f>
        <v/>
      </c>
      <c r="C397" s="24" t="n"/>
      <c r="D397" s="25">
        <f>IF(C397="","",IF(COUNTIF(lst_Jobs,C397&amp;"")&gt;0,"OK","CHECK"))</f>
        <v/>
      </c>
      <c r="E397" s="25">
        <f>IF(C397="","",IFERROR(INDEX(lst_JobName,MATCH(C397&amp;"",lst_Jobs,0)),""))</f>
        <v/>
      </c>
      <c r="F397" s="25">
        <f>IF(C397="","",IFERROR(INDEX(tbl_Finance[Client],IFERROR(MATCH(C397&amp;"",tbl_Finance[Job Number],0),MATCH(IFERROR(C397+0,C397),tbl_Finance[Job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6" t="n"/>
      <c r="L397" s="27">
        <f>IF(C397="","",IF(K397="",0,MAX(0,K397-H397)))</f>
        <v/>
      </c>
      <c r="M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N397" s="24" t="n"/>
      <c r="O397" s="25">
        <f>IF(N397="","",HYPERLINK(IF(LEFT(N397,4)="http",N397,set_QwilrBase&amp;N397),"Open quote"))</f>
        <v/>
      </c>
      <c r="P397" s="26" t="n"/>
      <c r="Q397" s="26" t="n"/>
      <c r="R397" s="26" t="n"/>
      <c r="S397" s="25">
        <f>IF(C397="","",IF(N(P397)+N(Q397)+N(R397)=0,"Not split",IF(ROUND(N(P397)+N(Q397)+N(R397),2)=ROUND(H397+L397,2),"OK",IF(G397=0,"Not invoiced yet","MISMATCH"))))</f>
        <v/>
      </c>
      <c r="T397" s="26" t="n"/>
      <c r="U397" s="26" t="n"/>
      <c r="V397" s="26" t="n"/>
      <c r="W397" s="27">
        <f>IF(C397="","",N(T397)+N(U397)+N(V397))</f>
        <v/>
      </c>
      <c r="X397" s="27">
        <f>IF(C397="","",H397+L397-W397)</f>
        <v/>
      </c>
      <c r="Y397" s="29">
        <f>IFERROR(X397/(H397+L397),"")</f>
        <v/>
      </c>
      <c r="Z397" s="24" t="n"/>
    </row>
    <row r="398" ht="15" customHeight="1">
      <c r="A398" s="70">
        <f>IF(C398="","",IFERROR(IF(SUMPRODUCT(MAX((tbl_Finance[Job Number]&amp;""=C398&amp;"")*(tbl_Finance[Xero Invoice No]&lt;&gt;"")*tbl_Finance[Date]))=0,"",SUMPRODUCT(MAX((tbl_Finance[Job Number]&amp;""=C398&amp;"")*(tbl_Finance[Xero Invoice No]&lt;&gt;"")*tbl_Finance[Date]))),""))</f>
        <v/>
      </c>
      <c r="B398" s="25">
        <f>IF(C398="","",IF(COUNTIFS(tbl_Finance[Job Number],C398&amp;"",tbl_Finance[Xero Invoice No],"&lt;&gt;")=0,"",IFERROR(IF(COUNTIFS(tbl_Finance[Job Number],C398&amp;"",tbl_Finance[Xero Invoice No],LOOKUP(2,1/((tbl_Finance[Job Number]&amp;""=C398&amp;"")*(tbl_Finance[Xero Invoice No]&lt;&gt;"")),tbl_Finance[Xero Invoice No]))=COUNTIFS(tbl_Finance[Job Number],C398&amp;"",tbl_Finance[Xero Invoice No],"&lt;&gt;"),LOOKUP(2,1/((tbl_Finance[Job Number]&amp;""=C398&amp;"")*(tbl_Finance[Xero Invoice No]&lt;&gt;"")),tbl_Finance[Xero Invoice No]),LOOKUP(2,1/((tbl_Finance[Job Number]&amp;""=C398&amp;"")*(tbl_Finance[Xero Invoice No]&lt;&gt;"")),tbl_Finance[Xero Invoice No])&amp;" +more"),"")))</f>
        <v/>
      </c>
      <c r="C398" s="24" t="n"/>
      <c r="D398" s="25">
        <f>IF(C398="","",IF(COUNTIF(lst_Jobs,C398&amp;"")&gt;0,"OK","CHECK"))</f>
        <v/>
      </c>
      <c r="E398" s="25">
        <f>IF(C398="","",IFERROR(INDEX(lst_JobName,MATCH(C398&amp;"",lst_Jobs,0)),""))</f>
        <v/>
      </c>
      <c r="F398" s="25">
        <f>IF(C398="","",IFERROR(INDEX(tbl_Finance[Client],IFERROR(MATCH(C398&amp;"",tbl_Finance[Job Number],0),MATCH(IFERROR(C398+0,C398),tbl_Finance[Job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6" t="n"/>
      <c r="L398" s="27">
        <f>IF(C398="","",IF(K398="",0,MAX(0,K398-H398)))</f>
        <v/>
      </c>
      <c r="M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N398" s="24" t="n"/>
      <c r="O398" s="25">
        <f>IF(N398="","",HYPERLINK(IF(LEFT(N398,4)="http",N398,set_QwilrBase&amp;N398),"Open quote"))</f>
        <v/>
      </c>
      <c r="P398" s="26" t="n"/>
      <c r="Q398" s="26" t="n"/>
      <c r="R398" s="26" t="n"/>
      <c r="S398" s="25">
        <f>IF(C398="","",IF(N(P398)+N(Q398)+N(R398)=0,"Not split",IF(ROUND(N(P398)+N(Q398)+N(R398),2)=ROUND(H398+L398,2),"OK",IF(G398=0,"Not invoiced yet","MISMATCH"))))</f>
        <v/>
      </c>
      <c r="T398" s="26" t="n"/>
      <c r="U398" s="26" t="n"/>
      <c r="V398" s="26" t="n"/>
      <c r="W398" s="27">
        <f>IF(C398="","",N(T398)+N(U398)+N(V398))</f>
        <v/>
      </c>
      <c r="X398" s="27">
        <f>IF(C398="","",H398+L398-W398)</f>
        <v/>
      </c>
      <c r="Y398" s="29">
        <f>IFERROR(X398/(H398+L398),"")</f>
        <v/>
      </c>
      <c r="Z398" s="24" t="n"/>
    </row>
    <row r="399" ht="15" customHeight="1">
      <c r="A399" s="70">
        <f>IF(C399="","",IFERROR(IF(SUMPRODUCT(MAX((tbl_Finance[Job Number]&amp;""=C399&amp;"")*(tbl_Finance[Xero Invoice No]&lt;&gt;"")*tbl_Finance[Date]))=0,"",SUMPRODUCT(MAX((tbl_Finance[Job Number]&amp;""=C399&amp;"")*(tbl_Finance[Xero Invoice No]&lt;&gt;"")*tbl_Finance[Date]))),""))</f>
        <v/>
      </c>
      <c r="B399" s="25">
        <f>IF(C399="","",IF(COUNTIFS(tbl_Finance[Job Number],C399&amp;"",tbl_Finance[Xero Invoice No],"&lt;&gt;")=0,"",IFERROR(IF(COUNTIFS(tbl_Finance[Job Number],C399&amp;"",tbl_Finance[Xero Invoice No],LOOKUP(2,1/((tbl_Finance[Job Number]&amp;""=C399&amp;"")*(tbl_Finance[Xero Invoice No]&lt;&gt;"")),tbl_Finance[Xero Invoice No]))=COUNTIFS(tbl_Finance[Job Number],C399&amp;"",tbl_Finance[Xero Invoice No],"&lt;&gt;"),LOOKUP(2,1/((tbl_Finance[Job Number]&amp;""=C399&amp;"")*(tbl_Finance[Xero Invoice No]&lt;&gt;"")),tbl_Finance[Xero Invoice No]),LOOKUP(2,1/((tbl_Finance[Job Number]&amp;""=C399&amp;"")*(tbl_Finance[Xero Invoice No]&lt;&gt;"")),tbl_Finance[Xero Invoice No])&amp;" +more"),"")))</f>
        <v/>
      </c>
      <c r="C399" s="24" t="n"/>
      <c r="D399" s="25">
        <f>IF(C399="","",IF(COUNTIF(lst_Jobs,C399&amp;"")&gt;0,"OK","CHECK"))</f>
        <v/>
      </c>
      <c r="E399" s="25">
        <f>IF(C399="","",IFERROR(INDEX(lst_JobName,MATCH(C399&amp;"",lst_Jobs,0)),""))</f>
        <v/>
      </c>
      <c r="F399" s="25">
        <f>IF(C399="","",IFERROR(INDEX(tbl_Finance[Client],IFERROR(MATCH(C399&amp;"",tbl_Finance[Job Number],0),MATCH(IFERROR(C399+0,C399),tbl_Finance[Job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6" t="n"/>
      <c r="L399" s="27">
        <f>IF(C399="","",IF(K399="",0,MAX(0,K399-H399)))</f>
        <v/>
      </c>
      <c r="M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N399" s="24" t="n"/>
      <c r="O399" s="25">
        <f>IF(N399="","",HYPERLINK(IF(LEFT(N399,4)="http",N399,set_QwilrBase&amp;N399),"Open quote"))</f>
        <v/>
      </c>
      <c r="P399" s="26" t="n"/>
      <c r="Q399" s="26" t="n"/>
      <c r="R399" s="26" t="n"/>
      <c r="S399" s="25">
        <f>IF(C399="","",IF(N(P399)+N(Q399)+N(R399)=0,"Not split",IF(ROUND(N(P399)+N(Q399)+N(R399),2)=ROUND(H399+L399,2),"OK",IF(G399=0,"Not invoiced yet","MISMATCH"))))</f>
        <v/>
      </c>
      <c r="T399" s="26" t="n"/>
      <c r="U399" s="26" t="n"/>
      <c r="V399" s="26" t="n"/>
      <c r="W399" s="27">
        <f>IF(C399="","",N(T399)+N(U399)+N(V399))</f>
        <v/>
      </c>
      <c r="X399" s="27">
        <f>IF(C399="","",H399+L399-W399)</f>
        <v/>
      </c>
      <c r="Y399" s="29">
        <f>IFERROR(X399/(H399+L399),"")</f>
        <v/>
      </c>
      <c r="Z399" s="24" t="n"/>
    </row>
    <row r="400" ht="15" customHeight="1">
      <c r="A400" s="70">
        <f>IF(C400="","",IFERROR(IF(SUMPRODUCT(MAX((tbl_Finance[Job Number]&amp;""=C400&amp;"")*(tbl_Finance[Xero Invoice No]&lt;&gt;"")*tbl_Finance[Date]))=0,"",SUMPRODUCT(MAX((tbl_Finance[Job Number]&amp;""=C400&amp;"")*(tbl_Finance[Xero Invoice No]&lt;&gt;"")*tbl_Finance[Date]))),""))</f>
        <v/>
      </c>
      <c r="B400" s="25">
        <f>IF(C400="","",IF(COUNTIFS(tbl_Finance[Job Number],C400&amp;"",tbl_Finance[Xero Invoice No],"&lt;&gt;")=0,"",IFERROR(IF(COUNTIFS(tbl_Finance[Job Number],C400&amp;"",tbl_Finance[Xero Invoice No],LOOKUP(2,1/((tbl_Finance[Job Number]&amp;""=C400&amp;"")*(tbl_Finance[Xero Invoice No]&lt;&gt;"")),tbl_Finance[Xero Invoice No]))=COUNTIFS(tbl_Finance[Job Number],C400&amp;"",tbl_Finance[Xero Invoice No],"&lt;&gt;"),LOOKUP(2,1/((tbl_Finance[Job Number]&amp;""=C400&amp;"")*(tbl_Finance[Xero Invoice No]&lt;&gt;"")),tbl_Finance[Xero Invoice No]),LOOKUP(2,1/((tbl_Finance[Job Number]&amp;""=C400&amp;"")*(tbl_Finance[Xero Invoice No]&lt;&gt;"")),tbl_Finance[Xero Invoice No])&amp;" +more"),"")))</f>
        <v/>
      </c>
      <c r="C400" s="24" t="n"/>
      <c r="D400" s="25">
        <f>IF(C400="","",IF(COUNTIF(lst_Jobs,C400&amp;"")&gt;0,"OK","CHECK"))</f>
        <v/>
      </c>
      <c r="E400" s="25">
        <f>IF(C400="","",IFERROR(INDEX(lst_JobName,MATCH(C400&amp;"",lst_Jobs,0)),""))</f>
        <v/>
      </c>
      <c r="F400" s="25">
        <f>IF(C400="","",IFERROR(INDEX(tbl_Finance[Client],IFERROR(MATCH(C400&amp;"",tbl_Finance[Job Number],0),MATCH(IFERROR(C400+0,C400),tbl_Finance[Job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6" t="n"/>
      <c r="L400" s="27">
        <f>IF(C400="","",IF(K400="",0,MAX(0,K400-H400)))</f>
        <v/>
      </c>
      <c r="M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N400" s="24" t="n"/>
      <c r="O400" s="25">
        <f>IF(N400="","",HYPERLINK(IF(LEFT(N400,4)="http",N400,set_QwilrBase&amp;N400),"Open quote"))</f>
        <v/>
      </c>
      <c r="P400" s="26" t="n"/>
      <c r="Q400" s="26" t="n"/>
      <c r="R400" s="26" t="n"/>
      <c r="S400" s="25">
        <f>IF(C400="","",IF(N(P400)+N(Q400)+N(R400)=0,"Not split",IF(ROUND(N(P400)+N(Q400)+N(R400),2)=ROUND(H400+L400,2),"OK",IF(G400=0,"Not invoiced yet","MISMATCH"))))</f>
        <v/>
      </c>
      <c r="T400" s="26" t="n"/>
      <c r="U400" s="26" t="n"/>
      <c r="V400" s="26" t="n"/>
      <c r="W400" s="27">
        <f>IF(C400="","",N(T400)+N(U400)+N(V400))</f>
        <v/>
      </c>
      <c r="X400" s="27">
        <f>IF(C400="","",H400+L400-W400)</f>
        <v/>
      </c>
      <c r="Y400" s="29">
        <f>IFERROR(X400/(H400+L400),"")</f>
        <v/>
      </c>
      <c r="Z400" s="24" t="n"/>
    </row>
    <row r="401" ht="15" customHeight="1">
      <c r="A401" s="70">
        <f>IF(C401="","",IFERROR(IF(SUMPRODUCT(MAX((tbl_Finance[Job Number]&amp;""=C401&amp;"")*(tbl_Finance[Xero Invoice No]&lt;&gt;"")*tbl_Finance[Date]))=0,"",SUMPRODUCT(MAX((tbl_Finance[Job Number]&amp;""=C401&amp;"")*(tbl_Finance[Xero Invoice No]&lt;&gt;"")*tbl_Finance[Date]))),""))</f>
        <v/>
      </c>
      <c r="B401" s="25">
        <f>IF(C401="","",IF(COUNTIFS(tbl_Finance[Job Number],C401&amp;"",tbl_Finance[Xero Invoice No],"&lt;&gt;")=0,"",IFERROR(IF(COUNTIFS(tbl_Finance[Job Number],C401&amp;"",tbl_Finance[Xero Invoice No],LOOKUP(2,1/((tbl_Finance[Job Number]&amp;""=C401&amp;"")*(tbl_Finance[Xero Invoice No]&lt;&gt;"")),tbl_Finance[Xero Invoice No]))=COUNTIFS(tbl_Finance[Job Number],C401&amp;"",tbl_Finance[Xero Invoice No],"&lt;&gt;"),LOOKUP(2,1/((tbl_Finance[Job Number]&amp;""=C401&amp;"")*(tbl_Finance[Xero Invoice No]&lt;&gt;"")),tbl_Finance[Xero Invoice No]),LOOKUP(2,1/((tbl_Finance[Job Number]&amp;""=C401&amp;"")*(tbl_Finance[Xero Invoice No]&lt;&gt;"")),tbl_Finance[Xero Invoice No])&amp;" +more"),"")))</f>
        <v/>
      </c>
      <c r="C401" s="24" t="n"/>
      <c r="D401" s="25">
        <f>IF(C401="","",IF(COUNTIF(lst_Jobs,C401&amp;"")&gt;0,"OK","CHECK"))</f>
        <v/>
      </c>
      <c r="E401" s="25">
        <f>IF(C401="","",IFERROR(INDEX(lst_JobName,MATCH(C401&amp;"",lst_Jobs,0)),""))</f>
        <v/>
      </c>
      <c r="F401" s="25">
        <f>IF(C401="","",IFERROR(INDEX(tbl_Finance[Client],IFERROR(MATCH(C401&amp;"",tbl_Finance[Job Number],0),MATCH(IFERROR(C401+0,C401),tbl_Finance[Job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6" t="n"/>
      <c r="L401" s="27">
        <f>IF(C401="","",IF(K401="",0,MAX(0,K401-H401)))</f>
        <v/>
      </c>
      <c r="M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N401" s="24" t="n"/>
      <c r="O401" s="25">
        <f>IF(N401="","",HYPERLINK(IF(LEFT(N401,4)="http",N401,set_QwilrBase&amp;N401),"Open quote"))</f>
        <v/>
      </c>
      <c r="P401" s="26" t="n"/>
      <c r="Q401" s="26" t="n"/>
      <c r="R401" s="26" t="n"/>
      <c r="S401" s="25">
        <f>IF(C401="","",IF(N(P401)+N(Q401)+N(R401)=0,"Not split",IF(ROUND(N(P401)+N(Q401)+N(R401),2)=ROUND(H401+L401,2),"OK",IF(G401=0,"Not invoiced yet","MISMATCH"))))</f>
        <v/>
      </c>
      <c r="T401" s="26" t="n"/>
      <c r="U401" s="26" t="n"/>
      <c r="V401" s="26" t="n"/>
      <c r="W401" s="27">
        <f>IF(C401="","",N(T401)+N(U401)+N(V401))</f>
        <v/>
      </c>
      <c r="X401" s="27">
        <f>IF(C401="","",H401+L401-W401)</f>
        <v/>
      </c>
      <c r="Y401" s="29">
        <f>IFERROR(X401/(H401+L401),"")</f>
        <v/>
      </c>
      <c r="Z401" s="24" t="n"/>
    </row>
    <row r="402" ht="15" customHeight="1">
      <c r="A402" s="70">
        <f>IF(C402="","",IFERROR(IF(SUMPRODUCT(MAX((tbl_Finance[Job Number]&amp;""=C402&amp;"")*(tbl_Finance[Xero Invoice No]&lt;&gt;"")*tbl_Finance[Date]))=0,"",SUMPRODUCT(MAX((tbl_Finance[Job Number]&amp;""=C402&amp;"")*(tbl_Finance[Xero Invoice No]&lt;&gt;"")*tbl_Finance[Date]))),""))</f>
        <v/>
      </c>
      <c r="B402" s="25">
        <f>IF(C402="","",IF(COUNTIFS(tbl_Finance[Job Number],C402&amp;"",tbl_Finance[Xero Invoice No],"&lt;&gt;")=0,"",IFERROR(IF(COUNTIFS(tbl_Finance[Job Number],C402&amp;"",tbl_Finance[Xero Invoice No],LOOKUP(2,1/((tbl_Finance[Job Number]&amp;""=C402&amp;"")*(tbl_Finance[Xero Invoice No]&lt;&gt;"")),tbl_Finance[Xero Invoice No]))=COUNTIFS(tbl_Finance[Job Number],C402&amp;"",tbl_Finance[Xero Invoice No],"&lt;&gt;"),LOOKUP(2,1/((tbl_Finance[Job Number]&amp;""=C402&amp;"")*(tbl_Finance[Xero Invoice No]&lt;&gt;"")),tbl_Finance[Xero Invoice No]),LOOKUP(2,1/((tbl_Finance[Job Number]&amp;""=C402&amp;"")*(tbl_Finance[Xero Invoice No]&lt;&gt;"")),tbl_Finance[Xero Invoice No])&amp;" +more"),"")))</f>
        <v/>
      </c>
      <c r="C402" s="24" t="n"/>
      <c r="D402" s="25">
        <f>IF(C402="","",IF(COUNTIF(lst_Jobs,C402&amp;"")&gt;0,"OK","CHECK"))</f>
        <v/>
      </c>
      <c r="E402" s="25">
        <f>IF(C402="","",IFERROR(INDEX(lst_JobName,MATCH(C402&amp;"",lst_Jobs,0)),""))</f>
        <v/>
      </c>
      <c r="F402" s="25">
        <f>IF(C402="","",IFERROR(INDEX(tbl_Finance[Client],IFERROR(MATCH(C402&amp;"",tbl_Finance[Job Number],0),MATCH(IFERROR(C402+0,C402),tbl_Finance[Job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6" t="n"/>
      <c r="L402" s="27">
        <f>IF(C402="","",IF(K402="",0,MAX(0,K402-H402)))</f>
        <v/>
      </c>
      <c r="M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N402" s="24" t="n"/>
      <c r="O402" s="25">
        <f>IF(N402="","",HYPERLINK(IF(LEFT(N402,4)="http",N402,set_QwilrBase&amp;N402),"Open quote"))</f>
        <v/>
      </c>
      <c r="P402" s="26" t="n"/>
      <c r="Q402" s="26" t="n"/>
      <c r="R402" s="26" t="n"/>
      <c r="S402" s="25">
        <f>IF(C402="","",IF(N(P402)+N(Q402)+N(R402)=0,"Not split",IF(ROUND(N(P402)+N(Q402)+N(R402),2)=ROUND(H402+L402,2),"OK",IF(G402=0,"Not invoiced yet","MISMATCH"))))</f>
        <v/>
      </c>
      <c r="T402" s="26" t="n"/>
      <c r="U402" s="26" t="n"/>
      <c r="V402" s="26" t="n"/>
      <c r="W402" s="27">
        <f>IF(C402="","",N(T402)+N(U402)+N(V402))</f>
        <v/>
      </c>
      <c r="X402" s="27">
        <f>IF(C402="","",H402+L402-W402)</f>
        <v/>
      </c>
      <c r="Y402" s="29">
        <f>IFERROR(X402/(H402+L402),"")</f>
        <v/>
      </c>
      <c r="Z402" s="24" t="n"/>
    </row>
    <row r="403" ht="15" customHeight="1">
      <c r="A403" s="70">
        <f>IF(C403="","",IFERROR(IF(SUMPRODUCT(MAX((tbl_Finance[Job Number]&amp;""=C403&amp;"")*(tbl_Finance[Xero Invoice No]&lt;&gt;"")*tbl_Finance[Date]))=0,"",SUMPRODUCT(MAX((tbl_Finance[Job Number]&amp;""=C403&amp;"")*(tbl_Finance[Xero Invoice No]&lt;&gt;"")*tbl_Finance[Date]))),""))</f>
        <v/>
      </c>
      <c r="B403" s="25">
        <f>IF(C403="","",IF(COUNTIFS(tbl_Finance[Job Number],C403&amp;"",tbl_Finance[Xero Invoice No],"&lt;&gt;")=0,"",IFERROR(IF(COUNTIFS(tbl_Finance[Job Number],C403&amp;"",tbl_Finance[Xero Invoice No],LOOKUP(2,1/((tbl_Finance[Job Number]&amp;""=C403&amp;"")*(tbl_Finance[Xero Invoice No]&lt;&gt;"")),tbl_Finance[Xero Invoice No]))=COUNTIFS(tbl_Finance[Job Number],C403&amp;"",tbl_Finance[Xero Invoice No],"&lt;&gt;"),LOOKUP(2,1/((tbl_Finance[Job Number]&amp;""=C403&amp;"")*(tbl_Finance[Xero Invoice No]&lt;&gt;"")),tbl_Finance[Xero Invoice No]),LOOKUP(2,1/((tbl_Finance[Job Number]&amp;""=C403&amp;"")*(tbl_Finance[Xero Invoice No]&lt;&gt;"")),tbl_Finance[Xero Invoice No])&amp;" +more"),"")))</f>
        <v/>
      </c>
      <c r="C403" s="24" t="n"/>
      <c r="D403" s="25">
        <f>IF(C403="","",IF(COUNTIF(lst_Jobs,C403&amp;"")&gt;0,"OK","CHECK"))</f>
        <v/>
      </c>
      <c r="E403" s="25">
        <f>IF(C403="","",IFERROR(INDEX(lst_JobName,MATCH(C403&amp;"",lst_Jobs,0)),""))</f>
        <v/>
      </c>
      <c r="F403" s="25">
        <f>IF(C403="","",IFERROR(INDEX(tbl_Finance[Client],IFERROR(MATCH(C403&amp;"",tbl_Finance[Job Number],0),MATCH(IFERROR(C403+0,C403),tbl_Finance[Job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6" t="n"/>
      <c r="L403" s="27">
        <f>IF(C403="","",IF(K403="",0,MAX(0,K403-H403)))</f>
        <v/>
      </c>
      <c r="M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N403" s="24" t="n"/>
      <c r="O403" s="25">
        <f>IF(N403="","",HYPERLINK(IF(LEFT(N403,4)="http",N403,set_QwilrBase&amp;N403),"Open quote"))</f>
        <v/>
      </c>
      <c r="P403" s="26" t="n"/>
      <c r="Q403" s="26" t="n"/>
      <c r="R403" s="26" t="n"/>
      <c r="S403" s="25">
        <f>IF(C403="","",IF(N(P403)+N(Q403)+N(R403)=0,"Not split",IF(ROUND(N(P403)+N(Q403)+N(R403),2)=ROUND(H403+L403,2),"OK",IF(G403=0,"Not invoiced yet","MISMATCH"))))</f>
        <v/>
      </c>
      <c r="T403" s="26" t="n"/>
      <c r="U403" s="26" t="n"/>
      <c r="V403" s="26" t="n"/>
      <c r="W403" s="27">
        <f>IF(C403="","",N(T403)+N(U403)+N(V403))</f>
        <v/>
      </c>
      <c r="X403" s="27">
        <f>IF(C403="","",H403+L403-W403)</f>
        <v/>
      </c>
      <c r="Y403" s="29">
        <f>IFERROR(X403/(H403+L403),"")</f>
        <v/>
      </c>
      <c r="Z403" s="24" t="n"/>
    </row>
    <row r="404" ht="15" customHeight="1">
      <c r="A404" s="70">
        <f>IF(C404="","",IFERROR(IF(SUMPRODUCT(MAX((tbl_Finance[Job Number]&amp;""=C404&amp;"")*(tbl_Finance[Xero Invoice No]&lt;&gt;"")*tbl_Finance[Date]))=0,"",SUMPRODUCT(MAX((tbl_Finance[Job Number]&amp;""=C404&amp;"")*(tbl_Finance[Xero Invoice No]&lt;&gt;"")*tbl_Finance[Date]))),""))</f>
        <v/>
      </c>
      <c r="B404" s="25">
        <f>IF(C404="","",IF(COUNTIFS(tbl_Finance[Job Number],C404&amp;"",tbl_Finance[Xero Invoice No],"&lt;&gt;")=0,"",IFERROR(IF(COUNTIFS(tbl_Finance[Job Number],C404&amp;"",tbl_Finance[Xero Invoice No],LOOKUP(2,1/((tbl_Finance[Job Number]&amp;""=C404&amp;"")*(tbl_Finance[Xero Invoice No]&lt;&gt;"")),tbl_Finance[Xero Invoice No]))=COUNTIFS(tbl_Finance[Job Number],C404&amp;"",tbl_Finance[Xero Invoice No],"&lt;&gt;"),LOOKUP(2,1/((tbl_Finance[Job Number]&amp;""=C404&amp;"")*(tbl_Finance[Xero Invoice No]&lt;&gt;"")),tbl_Finance[Xero Invoice No]),LOOKUP(2,1/((tbl_Finance[Job Number]&amp;""=C404&amp;"")*(tbl_Finance[Xero Invoice No]&lt;&gt;"")),tbl_Finance[Xero Invoice No])&amp;" +more"),"")))</f>
        <v/>
      </c>
      <c r="C404" s="24" t="n"/>
      <c r="D404" s="25">
        <f>IF(C404="","",IF(COUNTIF(lst_Jobs,C404&amp;"")&gt;0,"OK","CHECK"))</f>
        <v/>
      </c>
      <c r="E404" s="25">
        <f>IF(C404="","",IFERROR(INDEX(lst_JobName,MATCH(C404&amp;"",lst_Jobs,0)),""))</f>
        <v/>
      </c>
      <c r="F404" s="25">
        <f>IF(C404="","",IFERROR(INDEX(tbl_Finance[Client],IFERROR(MATCH(C404&amp;"",tbl_Finance[Job Number],0),MATCH(IFERROR(C404+0,C404),tbl_Finance[Job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6" t="n"/>
      <c r="L404" s="27">
        <f>IF(C404="","",IF(K404="",0,MAX(0,K404-H404)))</f>
        <v/>
      </c>
      <c r="M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N404" s="24" t="n"/>
      <c r="O404" s="25">
        <f>IF(N404="","",HYPERLINK(IF(LEFT(N404,4)="http",N404,set_QwilrBase&amp;N404),"Open quote"))</f>
        <v/>
      </c>
      <c r="P404" s="26" t="n"/>
      <c r="Q404" s="26" t="n"/>
      <c r="R404" s="26" t="n"/>
      <c r="S404" s="25">
        <f>IF(C404="","",IF(N(P404)+N(Q404)+N(R404)=0,"Not split",IF(ROUND(N(P404)+N(Q404)+N(R404),2)=ROUND(H404+L404,2),"OK",IF(G404=0,"Not invoiced yet","MISMATCH"))))</f>
        <v/>
      </c>
      <c r="T404" s="26" t="n"/>
      <c r="U404" s="26" t="n"/>
      <c r="V404" s="26" t="n"/>
      <c r="W404" s="27">
        <f>IF(C404="","",N(T404)+N(U404)+N(V404))</f>
        <v/>
      </c>
      <c r="X404" s="27">
        <f>IF(C404="","",H404+L404-W404)</f>
        <v/>
      </c>
      <c r="Y404" s="29">
        <f>IFERROR(X404/(H404+L404),"")</f>
        <v/>
      </c>
      <c r="Z4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D5:D5000">
    <cfRule type="expression" priority="1" dxfId="0" stopIfTrue="0">
      <formula>D5="CHECK"</formula>
    </cfRule>
  </conditionalFormatting>
  <conditionalFormatting sqref="S5:S5000">
    <cfRule type="expression" priority="2" dxfId="1" stopIfTrue="0">
      <formula>S5="MISMATCH"</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V204"/>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30" customWidth="1" min="9" max="9"/>
    <col width="15" customWidth="1" min="10" max="10"/>
    <col width="12" customWidth="1" min="11" max="11"/>
    <col width="12" customWidth="1" min="12" max="12"/>
    <col width="30" customWidth="1" min="13" max="13"/>
    <col width="15" customWidth="1" min="14" max="14"/>
    <col width="30" customWidth="1" min="15" max="15"/>
    <col width="30" customWidth="1" min="16" max="16"/>
    <col width="30" customWidth="1" min="17" max="17"/>
    <col width="14" customWidth="1" min="18" max="18"/>
    <col width="52" customWidth="1" min="19" max="19"/>
    <col width="14" customWidth="1" min="20" max="20"/>
    <col width="14" customWidth="1" min="21" max="21"/>
    <col width="40" customWidth="1" min="22" max="22"/>
  </cols>
  <sheetData>
    <row r="1" ht="24" customHeight="1">
      <c r="A1" s="18" t="inlineStr">
        <is>
          <t>WIP Movements</t>
        </is>
      </c>
    </row>
    <row r="2" ht="16" customHeight="1">
      <c r="A2" s="2" t="inlineStr">
        <is>
          <t>Every journal that moves revenue between the P&amp;L and GL 11300 Work in Progress. SIGN RULE: + = the P&amp;L gives up the amount this month and the 11300 balance goes up. - = the other way round. Set Revenue or Cost on every row - 11300 nets both and only this column tells them apart. Put a Defer Start and End on it and it spreads by month.</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Revenue or Cost</t>
        </is>
      </c>
      <c r="K4" s="20" t="inlineStr">
        <is>
          <t>Defer Start</t>
        </is>
      </c>
      <c r="L4" s="20" t="inlineStr">
        <is>
          <t>Defer End</t>
        </is>
      </c>
      <c r="M4" s="21" t="inlineStr">
        <is>
          <t>Spread</t>
        </is>
      </c>
      <c r="N4" s="20" t="inlineStr">
        <is>
          <t>Amount</t>
        </is>
      </c>
      <c r="O4" s="20" t="inlineStr">
        <is>
          <t>P&amp;L Account</t>
        </is>
      </c>
      <c r="P4" s="21" t="inlineStr">
        <is>
          <t>Debit Account</t>
        </is>
      </c>
      <c r="Q4" s="21" t="inlineStr">
        <is>
          <t>Credit Account</t>
        </is>
      </c>
      <c r="R4" s="21" t="inlineStr">
        <is>
          <t>Journal Amount</t>
        </is>
      </c>
      <c r="S4" s="21" t="inlineStr">
        <is>
          <t>Journal Narration</t>
        </is>
      </c>
      <c r="T4" s="20" t="inlineStr">
        <is>
          <t>Journal Ref</t>
        </is>
      </c>
      <c r="U4" s="20" t="inlineStr">
        <is>
          <t>Posted to Xero</t>
        </is>
      </c>
      <c r="V4" s="20" t="inlineStr">
        <is>
          <t>Notes</t>
        </is>
      </c>
    </row>
    <row r="5" ht="15" customHeight="1">
      <c r="A5" s="72" t="n"/>
      <c r="B5" s="70">
        <f>IF(C5="","",IFERROR(INDEX(tbl_Finance[Date],MATCH(C5&amp;"",tbl_Finance[Xero Invoice No],0)),""))</f>
        <v/>
      </c>
      <c r="C5" s="24" t="n"/>
      <c r="D5" s="24" t="n"/>
      <c r="E5" s="25">
        <f>IF(D5="","",IF(COUNTIF(lst_Jobs,D5&amp;"")&gt;0,"OK","CHECK"))</f>
        <v/>
      </c>
      <c r="F5" s="24" t="n"/>
      <c r="G5" s="24" t="n"/>
      <c r="H5" s="24" t="n"/>
      <c r="I5" s="24" t="n"/>
      <c r="J5" s="24" t="n"/>
      <c r="K5" s="22" t="n"/>
      <c r="L5" s="22" t="n"/>
      <c r="M5" s="25">
        <f>IF(N5="","",IF(OR(K5="",L5=""),"one month",TEXT(MAX(1,(YEAR(L5)-YEAR(K5))*12+MONTH(L5)-MONTH(K5)+1),"0")&amp;" months - see Deferred Revenue"))</f>
        <v/>
      </c>
      <c r="N5" s="26" t="n"/>
      <c r="O5" s="24" t="n"/>
      <c r="P5" s="25">
        <f>IF(N(N5)=0,"",IF(N5&gt;0,set_WIPAsset,IF(J5="Cost",IF(O5="","(set the P&amp;L Account)",O5),IF(O5="",set_WIPIncome,O5))))</f>
        <v/>
      </c>
      <c r="Q5" s="25">
        <f>IF(N(N5)=0,"",IF(N5&gt;0,IF(J5="Cost",IF(O5="","(set the P&amp;L Account)",O5),IF(O5="",set_WIPIncome,O5)),set_WIPAsset))</f>
        <v/>
      </c>
      <c r="R5" s="27">
        <f>IF(OR(N(N5)=0,K5&lt;&gt;""),"",ABS(N5))</f>
        <v/>
      </c>
      <c r="S5" s="25">
        <f>IF(N(N5)=0,"",IF(K5&lt;&gt;"","spreads monthly - see Deferred Revenue","WIP "&amp;I5&amp;IF(D5="",""," - "&amp;D5)&amp;IF(F5="",""," "&amp;F5)&amp;IF(H5="",""," - "&amp;H5)))</f>
        <v/>
      </c>
      <c r="T5" s="24" t="n"/>
      <c r="U5" s="24" t="n"/>
      <c r="V5" s="24" t="n"/>
    </row>
    <row r="6" ht="15" customHeight="1">
      <c r="A6" s="72" t="n"/>
      <c r="B6" s="70">
        <f>IF(C6="","",IFERROR(INDEX(tbl_Finance[Date],MATCH(C6&amp;"",tbl_Finance[Xero Invoice No],0)),""))</f>
        <v/>
      </c>
      <c r="C6" s="24" t="n"/>
      <c r="D6" s="24" t="n"/>
      <c r="E6" s="25">
        <f>IF(D6="","",IF(COUNTIF(lst_Jobs,D6&amp;"")&gt;0,"OK","CHECK"))</f>
        <v/>
      </c>
      <c r="F6" s="24" t="n"/>
      <c r="G6" s="24" t="n"/>
      <c r="H6" s="24" t="n"/>
      <c r="I6" s="24" t="n"/>
      <c r="J6" s="24" t="n"/>
      <c r="K6" s="22" t="n"/>
      <c r="L6" s="22" t="n"/>
      <c r="M6" s="25">
        <f>IF(N6="","",IF(OR(K6="",L6=""),"one month",TEXT(MAX(1,(YEAR(L6)-YEAR(K6))*12+MONTH(L6)-MONTH(K6)+1),"0")&amp;" months - see Deferred Revenue"))</f>
        <v/>
      </c>
      <c r="N6" s="26" t="n"/>
      <c r="O6" s="24" t="n"/>
      <c r="P6" s="25">
        <f>IF(N(N6)=0,"",IF(N6&gt;0,set_WIPAsset,IF(J6="Cost",IF(O6="","(set the P&amp;L Account)",O6),IF(O6="",set_WIPIncome,O6))))</f>
        <v/>
      </c>
      <c r="Q6" s="25">
        <f>IF(N(N6)=0,"",IF(N6&gt;0,IF(J6="Cost",IF(O6="","(set the P&amp;L Account)",O6),IF(O6="",set_WIPIncome,O6)),set_WIPAsset))</f>
        <v/>
      </c>
      <c r="R6" s="27">
        <f>IF(OR(N(N6)=0,K6&lt;&gt;""),"",ABS(N6))</f>
        <v/>
      </c>
      <c r="S6" s="25">
        <f>IF(N(N6)=0,"",IF(K6&lt;&gt;"","spreads monthly - see Deferred Revenue","WIP "&amp;I6&amp;IF(D6="",""," - "&amp;D6)&amp;IF(F6="",""," "&amp;F6)&amp;IF(H6="",""," - "&amp;H6)))</f>
        <v/>
      </c>
      <c r="T6" s="24" t="n"/>
      <c r="U6" s="24" t="n"/>
      <c r="V6" s="24" t="n"/>
    </row>
    <row r="7" ht="15" customHeight="1">
      <c r="A7" s="72" t="n"/>
      <c r="B7" s="70">
        <f>IF(C7="","",IFERROR(INDEX(tbl_Finance[Date],MATCH(C7&amp;"",tbl_Finance[Xero Invoice No],0)),""))</f>
        <v/>
      </c>
      <c r="C7" s="24" t="n"/>
      <c r="D7" s="24" t="n"/>
      <c r="E7" s="25">
        <f>IF(D7="","",IF(COUNTIF(lst_Jobs,D7&amp;"")&gt;0,"OK","CHECK"))</f>
        <v/>
      </c>
      <c r="F7" s="24" t="n"/>
      <c r="G7" s="24" t="n"/>
      <c r="H7" s="24" t="n"/>
      <c r="I7" s="24" t="n"/>
      <c r="J7" s="24" t="n"/>
      <c r="K7" s="22" t="n"/>
      <c r="L7" s="22" t="n"/>
      <c r="M7" s="25">
        <f>IF(N7="","",IF(OR(K7="",L7=""),"one month",TEXT(MAX(1,(YEAR(L7)-YEAR(K7))*12+MONTH(L7)-MONTH(K7)+1),"0")&amp;" months - see Deferred Revenue"))</f>
        <v/>
      </c>
      <c r="N7" s="26" t="n"/>
      <c r="O7" s="24" t="n"/>
      <c r="P7" s="25">
        <f>IF(N(N7)=0,"",IF(N7&gt;0,set_WIPAsset,IF(J7="Cost",IF(O7="","(set the P&amp;L Account)",O7),IF(O7="",set_WIPIncome,O7))))</f>
        <v/>
      </c>
      <c r="Q7" s="25">
        <f>IF(N(N7)=0,"",IF(N7&gt;0,IF(J7="Cost",IF(O7="","(set the P&amp;L Account)",O7),IF(O7="",set_WIPIncome,O7)),set_WIPAsset))</f>
        <v/>
      </c>
      <c r="R7" s="27">
        <f>IF(OR(N(N7)=0,K7&lt;&gt;""),"",ABS(N7))</f>
        <v/>
      </c>
      <c r="S7" s="25">
        <f>IF(N(N7)=0,"",IF(K7&lt;&gt;"","spreads monthly - see Deferred Revenue","WIP "&amp;I7&amp;IF(D7="",""," - "&amp;D7)&amp;IF(F7="",""," "&amp;F7)&amp;IF(H7="",""," - "&amp;H7)))</f>
        <v/>
      </c>
      <c r="T7" s="24" t="n"/>
      <c r="U7" s="24" t="n"/>
      <c r="V7" s="24" t="n"/>
    </row>
    <row r="8" ht="15" customHeight="1">
      <c r="A8" s="72" t="n"/>
      <c r="B8" s="70">
        <f>IF(C8="","",IFERROR(INDEX(tbl_Finance[Date],MATCH(C8&amp;"",tbl_Finance[Xero Invoice No],0)),""))</f>
        <v/>
      </c>
      <c r="C8" s="24" t="n"/>
      <c r="D8" s="24" t="n"/>
      <c r="E8" s="25">
        <f>IF(D8="","",IF(COUNTIF(lst_Jobs,D8&amp;"")&gt;0,"OK","CHECK"))</f>
        <v/>
      </c>
      <c r="F8" s="24" t="n"/>
      <c r="G8" s="24" t="n"/>
      <c r="H8" s="24" t="n"/>
      <c r="I8" s="24" t="n"/>
      <c r="J8" s="24" t="n"/>
      <c r="K8" s="22" t="n"/>
      <c r="L8" s="22" t="n"/>
      <c r="M8" s="25">
        <f>IF(N8="","",IF(OR(K8="",L8=""),"one month",TEXT(MAX(1,(YEAR(L8)-YEAR(K8))*12+MONTH(L8)-MONTH(K8)+1),"0")&amp;" months - see Deferred Revenue"))</f>
        <v/>
      </c>
      <c r="N8" s="26" t="n"/>
      <c r="O8" s="24" t="n"/>
      <c r="P8" s="25">
        <f>IF(N(N8)=0,"",IF(N8&gt;0,set_WIPAsset,IF(J8="Cost",IF(O8="","(set the P&amp;L Account)",O8),IF(O8="",set_WIPIncome,O8))))</f>
        <v/>
      </c>
      <c r="Q8" s="25">
        <f>IF(N(N8)=0,"",IF(N8&gt;0,IF(J8="Cost",IF(O8="","(set the P&amp;L Account)",O8),IF(O8="",set_WIPIncome,O8)),set_WIPAsset))</f>
        <v/>
      </c>
      <c r="R8" s="27">
        <f>IF(OR(N(N8)=0,K8&lt;&gt;""),"",ABS(N8))</f>
        <v/>
      </c>
      <c r="S8" s="25">
        <f>IF(N(N8)=0,"",IF(K8&lt;&gt;"","spreads monthly - see Deferred Revenue","WIP "&amp;I8&amp;IF(D8="",""," - "&amp;D8)&amp;IF(F8="",""," "&amp;F8)&amp;IF(H8="",""," - "&amp;H8)))</f>
        <v/>
      </c>
      <c r="T8" s="24" t="n"/>
      <c r="U8" s="24" t="n"/>
      <c r="V8" s="24" t="n"/>
    </row>
    <row r="9" ht="15" customHeight="1">
      <c r="A9" s="72" t="n"/>
      <c r="B9" s="70">
        <f>IF(C9="","",IFERROR(INDEX(tbl_Finance[Date],MATCH(C9&amp;"",tbl_Finance[Xero Invoice No],0)),""))</f>
        <v/>
      </c>
      <c r="C9" s="24" t="n"/>
      <c r="D9" s="24" t="n"/>
      <c r="E9" s="25">
        <f>IF(D9="","",IF(COUNTIF(lst_Jobs,D9&amp;"")&gt;0,"OK","CHECK"))</f>
        <v/>
      </c>
      <c r="F9" s="24" t="n"/>
      <c r="G9" s="24" t="n"/>
      <c r="H9" s="24" t="n"/>
      <c r="I9" s="24" t="n"/>
      <c r="J9" s="24" t="n"/>
      <c r="K9" s="22" t="n"/>
      <c r="L9" s="22" t="n"/>
      <c r="M9" s="25">
        <f>IF(N9="","",IF(OR(K9="",L9=""),"one month",TEXT(MAX(1,(YEAR(L9)-YEAR(K9))*12+MONTH(L9)-MONTH(K9)+1),"0")&amp;" months - see Deferred Revenue"))</f>
        <v/>
      </c>
      <c r="N9" s="26" t="n"/>
      <c r="O9" s="24" t="n"/>
      <c r="P9" s="25">
        <f>IF(N(N9)=0,"",IF(N9&gt;0,set_WIPAsset,IF(J9="Cost",IF(O9="","(set the P&amp;L Account)",O9),IF(O9="",set_WIPIncome,O9))))</f>
        <v/>
      </c>
      <c r="Q9" s="25">
        <f>IF(N(N9)=0,"",IF(N9&gt;0,IF(J9="Cost",IF(O9="","(set the P&amp;L Account)",O9),IF(O9="",set_WIPIncome,O9)),set_WIPAsset))</f>
        <v/>
      </c>
      <c r="R9" s="27">
        <f>IF(OR(N(N9)=0,K9&lt;&gt;""),"",ABS(N9))</f>
        <v/>
      </c>
      <c r="S9" s="25">
        <f>IF(N(N9)=0,"",IF(K9&lt;&gt;"","spreads monthly - see Deferred Revenue","WIP "&amp;I9&amp;IF(D9="",""," - "&amp;D9)&amp;IF(F9="",""," "&amp;F9)&amp;IF(H9="",""," - "&amp;H9)))</f>
        <v/>
      </c>
      <c r="T9" s="24" t="n"/>
      <c r="U9" s="24" t="n"/>
      <c r="V9" s="24" t="n"/>
    </row>
    <row r="10" ht="15" customHeight="1">
      <c r="A10" s="72" t="n"/>
      <c r="B10" s="70">
        <f>IF(C10="","",IFERROR(INDEX(tbl_Finance[Date],MATCH(C10&amp;"",tbl_Finance[Xero Invoice No],0)),""))</f>
        <v/>
      </c>
      <c r="C10" s="24" t="n"/>
      <c r="D10" s="24" t="n"/>
      <c r="E10" s="25">
        <f>IF(D10="","",IF(COUNTIF(lst_Jobs,D10&amp;"")&gt;0,"OK","CHECK"))</f>
        <v/>
      </c>
      <c r="F10" s="24" t="n"/>
      <c r="G10" s="24" t="n"/>
      <c r="H10" s="24" t="n"/>
      <c r="I10" s="24" t="n"/>
      <c r="J10" s="24" t="n"/>
      <c r="K10" s="22" t="n"/>
      <c r="L10" s="22" t="n"/>
      <c r="M10" s="25">
        <f>IF(N10="","",IF(OR(K10="",L10=""),"one month",TEXT(MAX(1,(YEAR(L10)-YEAR(K10))*12+MONTH(L10)-MONTH(K10)+1),"0")&amp;" months - see Deferred Revenue"))</f>
        <v/>
      </c>
      <c r="N10" s="26" t="n"/>
      <c r="O10" s="24" t="n"/>
      <c r="P10" s="25">
        <f>IF(N(N10)=0,"",IF(N10&gt;0,set_WIPAsset,IF(J10="Cost",IF(O10="","(set the P&amp;L Account)",O10),IF(O10="",set_WIPIncome,O10))))</f>
        <v/>
      </c>
      <c r="Q10" s="25">
        <f>IF(N(N10)=0,"",IF(N10&gt;0,IF(J10="Cost",IF(O10="","(set the P&amp;L Account)",O10),IF(O10="",set_WIPIncome,O10)),set_WIPAsset))</f>
        <v/>
      </c>
      <c r="R10" s="27">
        <f>IF(OR(N(N10)=0,K10&lt;&gt;""),"",ABS(N10))</f>
        <v/>
      </c>
      <c r="S10" s="25">
        <f>IF(N(N10)=0,"",IF(K10&lt;&gt;"","spreads monthly - see Deferred Revenue","WIP "&amp;I10&amp;IF(D10="",""," - "&amp;D10)&amp;IF(F10="",""," "&amp;F10)&amp;IF(H10="",""," - "&amp;H10)))</f>
        <v/>
      </c>
      <c r="T10" s="24" t="n"/>
      <c r="U10" s="24" t="n"/>
      <c r="V10" s="24" t="n"/>
    </row>
    <row r="11" ht="15" customHeight="1">
      <c r="A11" s="72" t="n"/>
      <c r="B11" s="70">
        <f>IF(C11="","",IFERROR(INDEX(tbl_Finance[Date],MATCH(C11&amp;"",tbl_Finance[Xero Invoice No],0)),""))</f>
        <v/>
      </c>
      <c r="C11" s="24" t="n"/>
      <c r="D11" s="24" t="n"/>
      <c r="E11" s="25">
        <f>IF(D11="","",IF(COUNTIF(lst_Jobs,D11&amp;"")&gt;0,"OK","CHECK"))</f>
        <v/>
      </c>
      <c r="F11" s="24" t="n"/>
      <c r="G11" s="24" t="n"/>
      <c r="H11" s="24" t="n"/>
      <c r="I11" s="24" t="n"/>
      <c r="J11" s="24" t="n"/>
      <c r="K11" s="22" t="n"/>
      <c r="L11" s="22" t="n"/>
      <c r="M11" s="25">
        <f>IF(N11="","",IF(OR(K11="",L11=""),"one month",TEXT(MAX(1,(YEAR(L11)-YEAR(K11))*12+MONTH(L11)-MONTH(K11)+1),"0")&amp;" months - see Deferred Revenue"))</f>
        <v/>
      </c>
      <c r="N11" s="26" t="n"/>
      <c r="O11" s="24" t="n"/>
      <c r="P11" s="25">
        <f>IF(N(N11)=0,"",IF(N11&gt;0,set_WIPAsset,IF(J11="Cost",IF(O11="","(set the P&amp;L Account)",O11),IF(O11="",set_WIPIncome,O11))))</f>
        <v/>
      </c>
      <c r="Q11" s="25">
        <f>IF(N(N11)=0,"",IF(N11&gt;0,IF(J11="Cost",IF(O11="","(set the P&amp;L Account)",O11),IF(O11="",set_WIPIncome,O11)),set_WIPAsset))</f>
        <v/>
      </c>
      <c r="R11" s="27">
        <f>IF(OR(N(N11)=0,K11&lt;&gt;""),"",ABS(N11))</f>
        <v/>
      </c>
      <c r="S11" s="25">
        <f>IF(N(N11)=0,"",IF(K11&lt;&gt;"","spreads monthly - see Deferred Revenue","WIP "&amp;I11&amp;IF(D11="",""," - "&amp;D11)&amp;IF(F11="",""," "&amp;F11)&amp;IF(H11="",""," - "&amp;H11)))</f>
        <v/>
      </c>
      <c r="T11" s="24" t="n"/>
      <c r="U11" s="24" t="n"/>
      <c r="V11" s="24" t="n"/>
    </row>
    <row r="12" ht="15" customHeight="1">
      <c r="A12" s="72" t="n"/>
      <c r="B12" s="70">
        <f>IF(C12="","",IFERROR(INDEX(tbl_Finance[Date],MATCH(C12&amp;"",tbl_Finance[Xero Invoice No],0)),""))</f>
        <v/>
      </c>
      <c r="C12" s="24" t="n"/>
      <c r="D12" s="24" t="n"/>
      <c r="E12" s="25">
        <f>IF(D12="","",IF(COUNTIF(lst_Jobs,D12&amp;"")&gt;0,"OK","CHECK"))</f>
        <v/>
      </c>
      <c r="F12" s="24" t="n"/>
      <c r="G12" s="24" t="n"/>
      <c r="H12" s="24" t="n"/>
      <c r="I12" s="24" t="n"/>
      <c r="J12" s="24" t="n"/>
      <c r="K12" s="22" t="n"/>
      <c r="L12" s="22" t="n"/>
      <c r="M12" s="25">
        <f>IF(N12="","",IF(OR(K12="",L12=""),"one month",TEXT(MAX(1,(YEAR(L12)-YEAR(K12))*12+MONTH(L12)-MONTH(K12)+1),"0")&amp;" months - see Deferred Revenue"))</f>
        <v/>
      </c>
      <c r="N12" s="26" t="n"/>
      <c r="O12" s="24" t="n"/>
      <c r="P12" s="25">
        <f>IF(N(N12)=0,"",IF(N12&gt;0,set_WIPAsset,IF(J12="Cost",IF(O12="","(set the P&amp;L Account)",O12),IF(O12="",set_WIPIncome,O12))))</f>
        <v/>
      </c>
      <c r="Q12" s="25">
        <f>IF(N(N12)=0,"",IF(N12&gt;0,IF(J12="Cost",IF(O12="","(set the P&amp;L Account)",O12),IF(O12="",set_WIPIncome,O12)),set_WIPAsset))</f>
        <v/>
      </c>
      <c r="R12" s="27">
        <f>IF(OR(N(N12)=0,K12&lt;&gt;""),"",ABS(N12))</f>
        <v/>
      </c>
      <c r="S12" s="25">
        <f>IF(N(N12)=0,"",IF(K12&lt;&gt;"","spreads monthly - see Deferred Revenue","WIP "&amp;I12&amp;IF(D12="",""," - "&amp;D12)&amp;IF(F12="",""," "&amp;F12)&amp;IF(H12="",""," - "&amp;H12)))</f>
        <v/>
      </c>
      <c r="T12" s="24" t="n"/>
      <c r="U12" s="24" t="n"/>
      <c r="V12" s="24" t="n"/>
    </row>
    <row r="13" ht="15" customHeight="1">
      <c r="A13" s="72" t="n"/>
      <c r="B13" s="70">
        <f>IF(C13="","",IFERROR(INDEX(tbl_Finance[Date],MATCH(C13&amp;"",tbl_Finance[Xero Invoice No],0)),""))</f>
        <v/>
      </c>
      <c r="C13" s="24" t="n"/>
      <c r="D13" s="24" t="n"/>
      <c r="E13" s="25">
        <f>IF(D13="","",IF(COUNTIF(lst_Jobs,D13&amp;"")&gt;0,"OK","CHECK"))</f>
        <v/>
      </c>
      <c r="F13" s="24" t="n"/>
      <c r="G13" s="24" t="n"/>
      <c r="H13" s="24" t="n"/>
      <c r="I13" s="24" t="n"/>
      <c r="J13" s="24" t="n"/>
      <c r="K13" s="22" t="n"/>
      <c r="L13" s="22" t="n"/>
      <c r="M13" s="25">
        <f>IF(N13="","",IF(OR(K13="",L13=""),"one month",TEXT(MAX(1,(YEAR(L13)-YEAR(K13))*12+MONTH(L13)-MONTH(K13)+1),"0")&amp;" months - see Deferred Revenue"))</f>
        <v/>
      </c>
      <c r="N13" s="26" t="n"/>
      <c r="O13" s="24" t="n"/>
      <c r="P13" s="25">
        <f>IF(N(N13)=0,"",IF(N13&gt;0,set_WIPAsset,IF(J13="Cost",IF(O13="","(set the P&amp;L Account)",O13),IF(O13="",set_WIPIncome,O13))))</f>
        <v/>
      </c>
      <c r="Q13" s="25">
        <f>IF(N(N13)=0,"",IF(N13&gt;0,IF(J13="Cost",IF(O13="","(set the P&amp;L Account)",O13),IF(O13="",set_WIPIncome,O13)),set_WIPAsset))</f>
        <v/>
      </c>
      <c r="R13" s="27">
        <f>IF(OR(N(N13)=0,K13&lt;&gt;""),"",ABS(N13))</f>
        <v/>
      </c>
      <c r="S13" s="25">
        <f>IF(N(N13)=0,"",IF(K13&lt;&gt;"","spreads monthly - see Deferred Revenue","WIP "&amp;I13&amp;IF(D13="",""," - "&amp;D13)&amp;IF(F13="",""," "&amp;F13)&amp;IF(H13="",""," - "&amp;H13)))</f>
        <v/>
      </c>
      <c r="T13" s="24" t="n"/>
      <c r="U13" s="24" t="n"/>
      <c r="V13" s="24" t="n"/>
    </row>
    <row r="14" ht="15" customHeight="1">
      <c r="A14" s="72" t="n"/>
      <c r="B14" s="70">
        <f>IF(C14="","",IFERROR(INDEX(tbl_Finance[Date],MATCH(C14&amp;"",tbl_Finance[Xero Invoice No],0)),""))</f>
        <v/>
      </c>
      <c r="C14" s="24" t="n"/>
      <c r="D14" s="24" t="n"/>
      <c r="E14" s="25">
        <f>IF(D14="","",IF(COUNTIF(lst_Jobs,D14&amp;"")&gt;0,"OK","CHECK"))</f>
        <v/>
      </c>
      <c r="F14" s="24" t="n"/>
      <c r="G14" s="24" t="n"/>
      <c r="H14" s="24" t="n"/>
      <c r="I14" s="24" t="n"/>
      <c r="J14" s="24" t="n"/>
      <c r="K14" s="22" t="n"/>
      <c r="L14" s="22" t="n"/>
      <c r="M14" s="25">
        <f>IF(N14="","",IF(OR(K14="",L14=""),"one month",TEXT(MAX(1,(YEAR(L14)-YEAR(K14))*12+MONTH(L14)-MONTH(K14)+1),"0")&amp;" months - see Deferred Revenue"))</f>
        <v/>
      </c>
      <c r="N14" s="26" t="n"/>
      <c r="O14" s="24" t="n"/>
      <c r="P14" s="25">
        <f>IF(N(N14)=0,"",IF(N14&gt;0,set_WIPAsset,IF(J14="Cost",IF(O14="","(set the P&amp;L Account)",O14),IF(O14="",set_WIPIncome,O14))))</f>
        <v/>
      </c>
      <c r="Q14" s="25">
        <f>IF(N(N14)=0,"",IF(N14&gt;0,IF(J14="Cost",IF(O14="","(set the P&amp;L Account)",O14),IF(O14="",set_WIPIncome,O14)),set_WIPAsset))</f>
        <v/>
      </c>
      <c r="R14" s="27">
        <f>IF(OR(N(N14)=0,K14&lt;&gt;""),"",ABS(N14))</f>
        <v/>
      </c>
      <c r="S14" s="25">
        <f>IF(N(N14)=0,"",IF(K14&lt;&gt;"","spreads monthly - see Deferred Revenue","WIP "&amp;I14&amp;IF(D14="",""," - "&amp;D14)&amp;IF(F14="",""," "&amp;F14)&amp;IF(H14="",""," - "&amp;H14)))</f>
        <v/>
      </c>
      <c r="T14" s="24" t="n"/>
      <c r="U14" s="24" t="n"/>
      <c r="V14" s="24" t="n"/>
    </row>
    <row r="15" ht="15" customHeight="1">
      <c r="A15" s="72" t="n"/>
      <c r="B15" s="70">
        <f>IF(C15="","",IFERROR(INDEX(tbl_Finance[Date],MATCH(C15&amp;"",tbl_Finance[Xero Invoice No],0)),""))</f>
        <v/>
      </c>
      <c r="C15" s="24" t="n"/>
      <c r="D15" s="24" t="n"/>
      <c r="E15" s="25">
        <f>IF(D15="","",IF(COUNTIF(lst_Jobs,D15&amp;"")&gt;0,"OK","CHECK"))</f>
        <v/>
      </c>
      <c r="F15" s="24" t="n"/>
      <c r="G15" s="24" t="n"/>
      <c r="H15" s="24" t="n"/>
      <c r="I15" s="24" t="n"/>
      <c r="J15" s="24" t="n"/>
      <c r="K15" s="22" t="n"/>
      <c r="L15" s="22" t="n"/>
      <c r="M15" s="25">
        <f>IF(N15="","",IF(OR(K15="",L15=""),"one month",TEXT(MAX(1,(YEAR(L15)-YEAR(K15))*12+MONTH(L15)-MONTH(K15)+1),"0")&amp;" months - see Deferred Revenue"))</f>
        <v/>
      </c>
      <c r="N15" s="26" t="n"/>
      <c r="O15" s="24" t="n"/>
      <c r="P15" s="25">
        <f>IF(N(N15)=0,"",IF(N15&gt;0,set_WIPAsset,IF(J15="Cost",IF(O15="","(set the P&amp;L Account)",O15),IF(O15="",set_WIPIncome,O15))))</f>
        <v/>
      </c>
      <c r="Q15" s="25">
        <f>IF(N(N15)=0,"",IF(N15&gt;0,IF(J15="Cost",IF(O15="","(set the P&amp;L Account)",O15),IF(O15="",set_WIPIncome,O15)),set_WIPAsset))</f>
        <v/>
      </c>
      <c r="R15" s="27">
        <f>IF(OR(N(N15)=0,K15&lt;&gt;""),"",ABS(N15))</f>
        <v/>
      </c>
      <c r="S15" s="25">
        <f>IF(N(N15)=0,"",IF(K15&lt;&gt;"","spreads monthly - see Deferred Revenue","WIP "&amp;I15&amp;IF(D15="",""," - "&amp;D15)&amp;IF(F15="",""," "&amp;F15)&amp;IF(H15="",""," - "&amp;H15)))</f>
        <v/>
      </c>
      <c r="T15" s="24" t="n"/>
      <c r="U15" s="24" t="n"/>
      <c r="V15" s="24" t="n"/>
    </row>
    <row r="16" ht="15" customHeight="1">
      <c r="A16" s="72" t="n"/>
      <c r="B16" s="70">
        <f>IF(C16="","",IFERROR(INDEX(tbl_Finance[Date],MATCH(C16&amp;"",tbl_Finance[Xero Invoice No],0)),""))</f>
        <v/>
      </c>
      <c r="C16" s="24" t="n"/>
      <c r="D16" s="24" t="n"/>
      <c r="E16" s="25">
        <f>IF(D16="","",IF(COUNTIF(lst_Jobs,D16&amp;"")&gt;0,"OK","CHECK"))</f>
        <v/>
      </c>
      <c r="F16" s="24" t="n"/>
      <c r="G16" s="24" t="n"/>
      <c r="H16" s="24" t="n"/>
      <c r="I16" s="24" t="n"/>
      <c r="J16" s="24" t="n"/>
      <c r="K16" s="22" t="n"/>
      <c r="L16" s="22" t="n"/>
      <c r="M16" s="25">
        <f>IF(N16="","",IF(OR(K16="",L16=""),"one month",TEXT(MAX(1,(YEAR(L16)-YEAR(K16))*12+MONTH(L16)-MONTH(K16)+1),"0")&amp;" months - see Deferred Revenue"))</f>
        <v/>
      </c>
      <c r="N16" s="26" t="n"/>
      <c r="O16" s="24" t="n"/>
      <c r="P16" s="25">
        <f>IF(N(N16)=0,"",IF(N16&gt;0,set_WIPAsset,IF(J16="Cost",IF(O16="","(set the P&amp;L Account)",O16),IF(O16="",set_WIPIncome,O16))))</f>
        <v/>
      </c>
      <c r="Q16" s="25">
        <f>IF(N(N16)=0,"",IF(N16&gt;0,IF(J16="Cost",IF(O16="","(set the P&amp;L Account)",O16),IF(O16="",set_WIPIncome,O16)),set_WIPAsset))</f>
        <v/>
      </c>
      <c r="R16" s="27">
        <f>IF(OR(N(N16)=0,K16&lt;&gt;""),"",ABS(N16))</f>
        <v/>
      </c>
      <c r="S16" s="25">
        <f>IF(N(N16)=0,"",IF(K16&lt;&gt;"","spreads monthly - see Deferred Revenue","WIP "&amp;I16&amp;IF(D16="",""," - "&amp;D16)&amp;IF(F16="",""," "&amp;F16)&amp;IF(H16="",""," - "&amp;H16)))</f>
        <v/>
      </c>
      <c r="T16" s="24" t="n"/>
      <c r="U16" s="24" t="n"/>
      <c r="V16" s="24" t="n"/>
    </row>
    <row r="17" ht="15" customHeight="1">
      <c r="A17" s="72" t="n"/>
      <c r="B17" s="70">
        <f>IF(C17="","",IFERROR(INDEX(tbl_Finance[Date],MATCH(C17&amp;"",tbl_Finance[Xero Invoice No],0)),""))</f>
        <v/>
      </c>
      <c r="C17" s="24" t="n"/>
      <c r="D17" s="24" t="n"/>
      <c r="E17" s="25">
        <f>IF(D17="","",IF(COUNTIF(lst_Jobs,D17&amp;"")&gt;0,"OK","CHECK"))</f>
        <v/>
      </c>
      <c r="F17" s="24" t="n"/>
      <c r="G17" s="24" t="n"/>
      <c r="H17" s="24" t="n"/>
      <c r="I17" s="24" t="n"/>
      <c r="J17" s="24" t="n"/>
      <c r="K17" s="22" t="n"/>
      <c r="L17" s="22" t="n"/>
      <c r="M17" s="25">
        <f>IF(N17="","",IF(OR(K17="",L17=""),"one month",TEXT(MAX(1,(YEAR(L17)-YEAR(K17))*12+MONTH(L17)-MONTH(K17)+1),"0")&amp;" months - see Deferred Revenue"))</f>
        <v/>
      </c>
      <c r="N17" s="26" t="n"/>
      <c r="O17" s="24" t="n"/>
      <c r="P17" s="25">
        <f>IF(N(N17)=0,"",IF(N17&gt;0,set_WIPAsset,IF(J17="Cost",IF(O17="","(set the P&amp;L Account)",O17),IF(O17="",set_WIPIncome,O17))))</f>
        <v/>
      </c>
      <c r="Q17" s="25">
        <f>IF(N(N17)=0,"",IF(N17&gt;0,IF(J17="Cost",IF(O17="","(set the P&amp;L Account)",O17),IF(O17="",set_WIPIncome,O17)),set_WIPAsset))</f>
        <v/>
      </c>
      <c r="R17" s="27">
        <f>IF(OR(N(N17)=0,K17&lt;&gt;""),"",ABS(N17))</f>
        <v/>
      </c>
      <c r="S17" s="25">
        <f>IF(N(N17)=0,"",IF(K17&lt;&gt;"","spreads monthly - see Deferred Revenue","WIP "&amp;I17&amp;IF(D17="",""," - "&amp;D17)&amp;IF(F17="",""," "&amp;F17)&amp;IF(H17="",""," - "&amp;H17)))</f>
        <v/>
      </c>
      <c r="T17" s="24" t="n"/>
      <c r="U17" s="24" t="n"/>
      <c r="V17" s="24" t="n"/>
    </row>
    <row r="18" ht="15" customHeight="1">
      <c r="A18" s="72" t="n"/>
      <c r="B18" s="70">
        <f>IF(C18="","",IFERROR(INDEX(tbl_Finance[Date],MATCH(C18&amp;"",tbl_Finance[Xero Invoice No],0)),""))</f>
        <v/>
      </c>
      <c r="C18" s="24" t="n"/>
      <c r="D18" s="24" t="n"/>
      <c r="E18" s="25">
        <f>IF(D18="","",IF(COUNTIF(lst_Jobs,D18&amp;"")&gt;0,"OK","CHECK"))</f>
        <v/>
      </c>
      <c r="F18" s="24" t="n"/>
      <c r="G18" s="24" t="n"/>
      <c r="H18" s="24" t="n"/>
      <c r="I18" s="24" t="n"/>
      <c r="J18" s="24" t="n"/>
      <c r="K18" s="22" t="n"/>
      <c r="L18" s="22" t="n"/>
      <c r="M18" s="25">
        <f>IF(N18="","",IF(OR(K18="",L18=""),"one month",TEXT(MAX(1,(YEAR(L18)-YEAR(K18))*12+MONTH(L18)-MONTH(K18)+1),"0")&amp;" months - see Deferred Revenue"))</f>
        <v/>
      </c>
      <c r="N18" s="26" t="n"/>
      <c r="O18" s="24" t="n"/>
      <c r="P18" s="25">
        <f>IF(N(N18)=0,"",IF(N18&gt;0,set_WIPAsset,IF(J18="Cost",IF(O18="","(set the P&amp;L Account)",O18),IF(O18="",set_WIPIncome,O18))))</f>
        <v/>
      </c>
      <c r="Q18" s="25">
        <f>IF(N(N18)=0,"",IF(N18&gt;0,IF(J18="Cost",IF(O18="","(set the P&amp;L Account)",O18),IF(O18="",set_WIPIncome,O18)),set_WIPAsset))</f>
        <v/>
      </c>
      <c r="R18" s="27">
        <f>IF(OR(N(N18)=0,K18&lt;&gt;""),"",ABS(N18))</f>
        <v/>
      </c>
      <c r="S18" s="25">
        <f>IF(N(N18)=0,"",IF(K18&lt;&gt;"","spreads monthly - see Deferred Revenue","WIP "&amp;I18&amp;IF(D18="",""," - "&amp;D18)&amp;IF(F18="",""," "&amp;F18)&amp;IF(H18="",""," - "&amp;H18)))</f>
        <v/>
      </c>
      <c r="T18" s="24" t="n"/>
      <c r="U18" s="24" t="n"/>
      <c r="V18" s="24" t="n"/>
    </row>
    <row r="19" ht="15" customHeight="1">
      <c r="A19" s="72" t="n"/>
      <c r="B19" s="70">
        <f>IF(C19="","",IFERROR(INDEX(tbl_Finance[Date],MATCH(C19&amp;"",tbl_Finance[Xero Invoice No],0)),""))</f>
        <v/>
      </c>
      <c r="C19" s="24" t="n"/>
      <c r="D19" s="24" t="n"/>
      <c r="E19" s="25">
        <f>IF(D19="","",IF(COUNTIF(lst_Jobs,D19&amp;"")&gt;0,"OK","CHECK"))</f>
        <v/>
      </c>
      <c r="F19" s="24" t="n"/>
      <c r="G19" s="24" t="n"/>
      <c r="H19" s="24" t="n"/>
      <c r="I19" s="24" t="n"/>
      <c r="J19" s="24" t="n"/>
      <c r="K19" s="22" t="n"/>
      <c r="L19" s="22" t="n"/>
      <c r="M19" s="25">
        <f>IF(N19="","",IF(OR(K19="",L19=""),"one month",TEXT(MAX(1,(YEAR(L19)-YEAR(K19))*12+MONTH(L19)-MONTH(K19)+1),"0")&amp;" months - see Deferred Revenue"))</f>
        <v/>
      </c>
      <c r="N19" s="26" t="n"/>
      <c r="O19" s="24" t="n"/>
      <c r="P19" s="25">
        <f>IF(N(N19)=0,"",IF(N19&gt;0,set_WIPAsset,IF(J19="Cost",IF(O19="","(set the P&amp;L Account)",O19),IF(O19="",set_WIPIncome,O19))))</f>
        <v/>
      </c>
      <c r="Q19" s="25">
        <f>IF(N(N19)=0,"",IF(N19&gt;0,IF(J19="Cost",IF(O19="","(set the P&amp;L Account)",O19),IF(O19="",set_WIPIncome,O19)),set_WIPAsset))</f>
        <v/>
      </c>
      <c r="R19" s="27">
        <f>IF(OR(N(N19)=0,K19&lt;&gt;""),"",ABS(N19))</f>
        <v/>
      </c>
      <c r="S19" s="25">
        <f>IF(N(N19)=0,"",IF(K19&lt;&gt;"","spreads monthly - see Deferred Revenue","WIP "&amp;I19&amp;IF(D19="",""," - "&amp;D19)&amp;IF(F19="",""," "&amp;F19)&amp;IF(H19="",""," - "&amp;H19)))</f>
        <v/>
      </c>
      <c r="T19" s="24" t="n"/>
      <c r="U19" s="24" t="n"/>
      <c r="V19" s="24" t="n"/>
    </row>
    <row r="20" ht="15" customHeight="1">
      <c r="A20" s="72" t="n"/>
      <c r="B20" s="70">
        <f>IF(C20="","",IFERROR(INDEX(tbl_Finance[Date],MATCH(C20&amp;"",tbl_Finance[Xero Invoice No],0)),""))</f>
        <v/>
      </c>
      <c r="C20" s="24" t="n"/>
      <c r="D20" s="24" t="n"/>
      <c r="E20" s="25">
        <f>IF(D20="","",IF(COUNTIF(lst_Jobs,D20&amp;"")&gt;0,"OK","CHECK"))</f>
        <v/>
      </c>
      <c r="F20" s="24" t="n"/>
      <c r="G20" s="24" t="n"/>
      <c r="H20" s="24" t="n"/>
      <c r="I20" s="24" t="n"/>
      <c r="J20" s="24" t="n"/>
      <c r="K20" s="22" t="n"/>
      <c r="L20" s="22" t="n"/>
      <c r="M20" s="25">
        <f>IF(N20="","",IF(OR(K20="",L20=""),"one month",TEXT(MAX(1,(YEAR(L20)-YEAR(K20))*12+MONTH(L20)-MONTH(K20)+1),"0")&amp;" months - see Deferred Revenue"))</f>
        <v/>
      </c>
      <c r="N20" s="26" t="n"/>
      <c r="O20" s="24" t="n"/>
      <c r="P20" s="25">
        <f>IF(N(N20)=0,"",IF(N20&gt;0,set_WIPAsset,IF(J20="Cost",IF(O20="","(set the P&amp;L Account)",O20),IF(O20="",set_WIPIncome,O20))))</f>
        <v/>
      </c>
      <c r="Q20" s="25">
        <f>IF(N(N20)=0,"",IF(N20&gt;0,IF(J20="Cost",IF(O20="","(set the P&amp;L Account)",O20),IF(O20="",set_WIPIncome,O20)),set_WIPAsset))</f>
        <v/>
      </c>
      <c r="R20" s="27">
        <f>IF(OR(N(N20)=0,K20&lt;&gt;""),"",ABS(N20))</f>
        <v/>
      </c>
      <c r="S20" s="25">
        <f>IF(N(N20)=0,"",IF(K20&lt;&gt;"","spreads monthly - see Deferred Revenue","WIP "&amp;I20&amp;IF(D20="",""," - "&amp;D20)&amp;IF(F20="",""," "&amp;F20)&amp;IF(H20="",""," - "&amp;H20)))</f>
        <v/>
      </c>
      <c r="T20" s="24" t="n"/>
      <c r="U20" s="24" t="n"/>
      <c r="V20" s="24" t="n"/>
    </row>
    <row r="21" ht="15" customHeight="1">
      <c r="A21" s="72" t="n"/>
      <c r="B21" s="70">
        <f>IF(C21="","",IFERROR(INDEX(tbl_Finance[Date],MATCH(C21&amp;"",tbl_Finance[Xero Invoice No],0)),""))</f>
        <v/>
      </c>
      <c r="C21" s="24" t="n"/>
      <c r="D21" s="24" t="n"/>
      <c r="E21" s="25">
        <f>IF(D21="","",IF(COUNTIF(lst_Jobs,D21&amp;"")&gt;0,"OK","CHECK"))</f>
        <v/>
      </c>
      <c r="F21" s="24" t="n"/>
      <c r="G21" s="24" t="n"/>
      <c r="H21" s="24" t="n"/>
      <c r="I21" s="24" t="n"/>
      <c r="J21" s="24" t="n"/>
      <c r="K21" s="22" t="n"/>
      <c r="L21" s="22" t="n"/>
      <c r="M21" s="25">
        <f>IF(N21="","",IF(OR(K21="",L21=""),"one month",TEXT(MAX(1,(YEAR(L21)-YEAR(K21))*12+MONTH(L21)-MONTH(K21)+1),"0")&amp;" months - see Deferred Revenue"))</f>
        <v/>
      </c>
      <c r="N21" s="26" t="n"/>
      <c r="O21" s="24" t="n"/>
      <c r="P21" s="25">
        <f>IF(N(N21)=0,"",IF(N21&gt;0,set_WIPAsset,IF(J21="Cost",IF(O21="","(set the P&amp;L Account)",O21),IF(O21="",set_WIPIncome,O21))))</f>
        <v/>
      </c>
      <c r="Q21" s="25">
        <f>IF(N(N21)=0,"",IF(N21&gt;0,IF(J21="Cost",IF(O21="","(set the P&amp;L Account)",O21),IF(O21="",set_WIPIncome,O21)),set_WIPAsset))</f>
        <v/>
      </c>
      <c r="R21" s="27">
        <f>IF(OR(N(N21)=0,K21&lt;&gt;""),"",ABS(N21))</f>
        <v/>
      </c>
      <c r="S21" s="25">
        <f>IF(N(N21)=0,"",IF(K21&lt;&gt;"","spreads monthly - see Deferred Revenue","WIP "&amp;I21&amp;IF(D21="",""," - "&amp;D21)&amp;IF(F21="",""," "&amp;F21)&amp;IF(H21="",""," - "&amp;H21)))</f>
        <v/>
      </c>
      <c r="T21" s="24" t="n"/>
      <c r="U21" s="24" t="n"/>
      <c r="V21" s="24" t="n"/>
    </row>
    <row r="22" ht="15" customHeight="1">
      <c r="A22" s="72" t="n"/>
      <c r="B22" s="70">
        <f>IF(C22="","",IFERROR(INDEX(tbl_Finance[Date],MATCH(C22&amp;"",tbl_Finance[Xero Invoice No],0)),""))</f>
        <v/>
      </c>
      <c r="C22" s="24" t="n"/>
      <c r="D22" s="24" t="n"/>
      <c r="E22" s="25">
        <f>IF(D22="","",IF(COUNTIF(lst_Jobs,D22&amp;"")&gt;0,"OK","CHECK"))</f>
        <v/>
      </c>
      <c r="F22" s="24" t="n"/>
      <c r="G22" s="24" t="n"/>
      <c r="H22" s="24" t="n"/>
      <c r="I22" s="24" t="n"/>
      <c r="J22" s="24" t="n"/>
      <c r="K22" s="22" t="n"/>
      <c r="L22" s="22" t="n"/>
      <c r="M22" s="25">
        <f>IF(N22="","",IF(OR(K22="",L22=""),"one month",TEXT(MAX(1,(YEAR(L22)-YEAR(K22))*12+MONTH(L22)-MONTH(K22)+1),"0")&amp;" months - see Deferred Revenue"))</f>
        <v/>
      </c>
      <c r="N22" s="26" t="n"/>
      <c r="O22" s="24" t="n"/>
      <c r="P22" s="25">
        <f>IF(N(N22)=0,"",IF(N22&gt;0,set_WIPAsset,IF(J22="Cost",IF(O22="","(set the P&amp;L Account)",O22),IF(O22="",set_WIPIncome,O22))))</f>
        <v/>
      </c>
      <c r="Q22" s="25">
        <f>IF(N(N22)=0,"",IF(N22&gt;0,IF(J22="Cost",IF(O22="","(set the P&amp;L Account)",O22),IF(O22="",set_WIPIncome,O22)),set_WIPAsset))</f>
        <v/>
      </c>
      <c r="R22" s="27">
        <f>IF(OR(N(N22)=0,K22&lt;&gt;""),"",ABS(N22))</f>
        <v/>
      </c>
      <c r="S22" s="25">
        <f>IF(N(N22)=0,"",IF(K22&lt;&gt;"","spreads monthly - see Deferred Revenue","WIP "&amp;I22&amp;IF(D22="",""," - "&amp;D22)&amp;IF(F22="",""," "&amp;F22)&amp;IF(H22="",""," - "&amp;H22)))</f>
        <v/>
      </c>
      <c r="T22" s="24" t="n"/>
      <c r="U22" s="24" t="n"/>
      <c r="V22" s="24" t="n"/>
    </row>
    <row r="23" ht="15" customHeight="1">
      <c r="A23" s="72" t="n"/>
      <c r="B23" s="70">
        <f>IF(C23="","",IFERROR(INDEX(tbl_Finance[Date],MATCH(C23&amp;"",tbl_Finance[Xero Invoice No],0)),""))</f>
        <v/>
      </c>
      <c r="C23" s="24" t="n"/>
      <c r="D23" s="24" t="n"/>
      <c r="E23" s="25">
        <f>IF(D23="","",IF(COUNTIF(lst_Jobs,D23&amp;"")&gt;0,"OK","CHECK"))</f>
        <v/>
      </c>
      <c r="F23" s="24" t="n"/>
      <c r="G23" s="24" t="n"/>
      <c r="H23" s="24" t="n"/>
      <c r="I23" s="24" t="n"/>
      <c r="J23" s="24" t="n"/>
      <c r="K23" s="22" t="n"/>
      <c r="L23" s="22" t="n"/>
      <c r="M23" s="25">
        <f>IF(N23="","",IF(OR(K23="",L23=""),"one month",TEXT(MAX(1,(YEAR(L23)-YEAR(K23))*12+MONTH(L23)-MONTH(K23)+1),"0")&amp;" months - see Deferred Revenue"))</f>
        <v/>
      </c>
      <c r="N23" s="26" t="n"/>
      <c r="O23" s="24" t="n"/>
      <c r="P23" s="25">
        <f>IF(N(N23)=0,"",IF(N23&gt;0,set_WIPAsset,IF(J23="Cost",IF(O23="","(set the P&amp;L Account)",O23),IF(O23="",set_WIPIncome,O23))))</f>
        <v/>
      </c>
      <c r="Q23" s="25">
        <f>IF(N(N23)=0,"",IF(N23&gt;0,IF(J23="Cost",IF(O23="","(set the P&amp;L Account)",O23),IF(O23="",set_WIPIncome,O23)),set_WIPAsset))</f>
        <v/>
      </c>
      <c r="R23" s="27">
        <f>IF(OR(N(N23)=0,K23&lt;&gt;""),"",ABS(N23))</f>
        <v/>
      </c>
      <c r="S23" s="25">
        <f>IF(N(N23)=0,"",IF(K23&lt;&gt;"","spreads monthly - see Deferred Revenue","WIP "&amp;I23&amp;IF(D23="",""," - "&amp;D23)&amp;IF(F23="",""," "&amp;F23)&amp;IF(H23="",""," - "&amp;H23)))</f>
        <v/>
      </c>
      <c r="T23" s="24" t="n"/>
      <c r="U23" s="24" t="n"/>
      <c r="V23" s="24" t="n"/>
    </row>
    <row r="24" ht="15" customHeight="1">
      <c r="A24" s="72" t="n"/>
      <c r="B24" s="70">
        <f>IF(C24="","",IFERROR(INDEX(tbl_Finance[Date],MATCH(C24&amp;"",tbl_Finance[Xero Invoice No],0)),""))</f>
        <v/>
      </c>
      <c r="C24" s="24" t="n"/>
      <c r="D24" s="24" t="n"/>
      <c r="E24" s="25">
        <f>IF(D24="","",IF(COUNTIF(lst_Jobs,D24&amp;"")&gt;0,"OK","CHECK"))</f>
        <v/>
      </c>
      <c r="F24" s="24" t="n"/>
      <c r="G24" s="24" t="n"/>
      <c r="H24" s="24" t="n"/>
      <c r="I24" s="24" t="n"/>
      <c r="J24" s="24" t="n"/>
      <c r="K24" s="22" t="n"/>
      <c r="L24" s="22" t="n"/>
      <c r="M24" s="25">
        <f>IF(N24="","",IF(OR(K24="",L24=""),"one month",TEXT(MAX(1,(YEAR(L24)-YEAR(K24))*12+MONTH(L24)-MONTH(K24)+1),"0")&amp;" months - see Deferred Revenue"))</f>
        <v/>
      </c>
      <c r="N24" s="26" t="n"/>
      <c r="O24" s="24" t="n"/>
      <c r="P24" s="25">
        <f>IF(N(N24)=0,"",IF(N24&gt;0,set_WIPAsset,IF(J24="Cost",IF(O24="","(set the P&amp;L Account)",O24),IF(O24="",set_WIPIncome,O24))))</f>
        <v/>
      </c>
      <c r="Q24" s="25">
        <f>IF(N(N24)=0,"",IF(N24&gt;0,IF(J24="Cost",IF(O24="","(set the P&amp;L Account)",O24),IF(O24="",set_WIPIncome,O24)),set_WIPAsset))</f>
        <v/>
      </c>
      <c r="R24" s="27">
        <f>IF(OR(N(N24)=0,K24&lt;&gt;""),"",ABS(N24))</f>
        <v/>
      </c>
      <c r="S24" s="25">
        <f>IF(N(N24)=0,"",IF(K24&lt;&gt;"","spreads monthly - see Deferred Revenue","WIP "&amp;I24&amp;IF(D24="",""," - "&amp;D24)&amp;IF(F24="",""," "&amp;F24)&amp;IF(H24="",""," - "&amp;H24)))</f>
        <v/>
      </c>
      <c r="T24" s="24" t="n"/>
      <c r="U24" s="24" t="n"/>
      <c r="V24" s="24" t="n"/>
    </row>
    <row r="25" ht="15" customHeight="1">
      <c r="A25" s="72" t="n"/>
      <c r="B25" s="70">
        <f>IF(C25="","",IFERROR(INDEX(tbl_Finance[Date],MATCH(C25&amp;"",tbl_Finance[Xero Invoice No],0)),""))</f>
        <v/>
      </c>
      <c r="C25" s="24" t="n"/>
      <c r="D25" s="24" t="n"/>
      <c r="E25" s="25">
        <f>IF(D25="","",IF(COUNTIF(lst_Jobs,D25&amp;"")&gt;0,"OK","CHECK"))</f>
        <v/>
      </c>
      <c r="F25" s="24" t="n"/>
      <c r="G25" s="24" t="n"/>
      <c r="H25" s="24" t="n"/>
      <c r="I25" s="24" t="n"/>
      <c r="J25" s="24" t="n"/>
      <c r="K25" s="22" t="n"/>
      <c r="L25" s="22" t="n"/>
      <c r="M25" s="25">
        <f>IF(N25="","",IF(OR(K25="",L25=""),"one month",TEXT(MAX(1,(YEAR(L25)-YEAR(K25))*12+MONTH(L25)-MONTH(K25)+1),"0")&amp;" months - see Deferred Revenue"))</f>
        <v/>
      </c>
      <c r="N25" s="26" t="n"/>
      <c r="O25" s="24" t="n"/>
      <c r="P25" s="25">
        <f>IF(N(N25)=0,"",IF(N25&gt;0,set_WIPAsset,IF(J25="Cost",IF(O25="","(set the P&amp;L Account)",O25),IF(O25="",set_WIPIncome,O25))))</f>
        <v/>
      </c>
      <c r="Q25" s="25">
        <f>IF(N(N25)=0,"",IF(N25&gt;0,IF(J25="Cost",IF(O25="","(set the P&amp;L Account)",O25),IF(O25="",set_WIPIncome,O25)),set_WIPAsset))</f>
        <v/>
      </c>
      <c r="R25" s="27">
        <f>IF(OR(N(N25)=0,K25&lt;&gt;""),"",ABS(N25))</f>
        <v/>
      </c>
      <c r="S25" s="25">
        <f>IF(N(N25)=0,"",IF(K25&lt;&gt;"","spreads monthly - see Deferred Revenue","WIP "&amp;I25&amp;IF(D25="",""," - "&amp;D25)&amp;IF(F25="",""," "&amp;F25)&amp;IF(H25="",""," - "&amp;H25)))</f>
        <v/>
      </c>
      <c r="T25" s="24" t="n"/>
      <c r="U25" s="24" t="n"/>
      <c r="V25" s="24" t="n"/>
    </row>
    <row r="26" ht="15" customHeight="1">
      <c r="A26" s="72" t="n"/>
      <c r="B26" s="70">
        <f>IF(C26="","",IFERROR(INDEX(tbl_Finance[Date],MATCH(C26&amp;"",tbl_Finance[Xero Invoice No],0)),""))</f>
        <v/>
      </c>
      <c r="C26" s="24" t="n"/>
      <c r="D26" s="24" t="n"/>
      <c r="E26" s="25">
        <f>IF(D26="","",IF(COUNTIF(lst_Jobs,D26&amp;"")&gt;0,"OK","CHECK"))</f>
        <v/>
      </c>
      <c r="F26" s="24" t="n"/>
      <c r="G26" s="24" t="n"/>
      <c r="H26" s="24" t="n"/>
      <c r="I26" s="24" t="n"/>
      <c r="J26" s="24" t="n"/>
      <c r="K26" s="22" t="n"/>
      <c r="L26" s="22" t="n"/>
      <c r="M26" s="25">
        <f>IF(N26="","",IF(OR(K26="",L26=""),"one month",TEXT(MAX(1,(YEAR(L26)-YEAR(K26))*12+MONTH(L26)-MONTH(K26)+1),"0")&amp;" months - see Deferred Revenue"))</f>
        <v/>
      </c>
      <c r="N26" s="26" t="n"/>
      <c r="O26" s="24" t="n"/>
      <c r="P26" s="25">
        <f>IF(N(N26)=0,"",IF(N26&gt;0,set_WIPAsset,IF(J26="Cost",IF(O26="","(set the P&amp;L Account)",O26),IF(O26="",set_WIPIncome,O26))))</f>
        <v/>
      </c>
      <c r="Q26" s="25">
        <f>IF(N(N26)=0,"",IF(N26&gt;0,IF(J26="Cost",IF(O26="","(set the P&amp;L Account)",O26),IF(O26="",set_WIPIncome,O26)),set_WIPAsset))</f>
        <v/>
      </c>
      <c r="R26" s="27">
        <f>IF(OR(N(N26)=0,K26&lt;&gt;""),"",ABS(N26))</f>
        <v/>
      </c>
      <c r="S26" s="25">
        <f>IF(N(N26)=0,"",IF(K26&lt;&gt;"","spreads monthly - see Deferred Revenue","WIP "&amp;I26&amp;IF(D26="",""," - "&amp;D26)&amp;IF(F26="",""," "&amp;F26)&amp;IF(H26="",""," - "&amp;H26)))</f>
        <v/>
      </c>
      <c r="T26" s="24" t="n"/>
      <c r="U26" s="24" t="n"/>
      <c r="V26" s="24" t="n"/>
    </row>
    <row r="27" ht="15" customHeight="1">
      <c r="A27" s="72" t="n"/>
      <c r="B27" s="70">
        <f>IF(C27="","",IFERROR(INDEX(tbl_Finance[Date],MATCH(C27&amp;"",tbl_Finance[Xero Invoice No],0)),""))</f>
        <v/>
      </c>
      <c r="C27" s="24" t="n"/>
      <c r="D27" s="24" t="n"/>
      <c r="E27" s="25">
        <f>IF(D27="","",IF(COUNTIF(lst_Jobs,D27&amp;"")&gt;0,"OK","CHECK"))</f>
        <v/>
      </c>
      <c r="F27" s="24" t="n"/>
      <c r="G27" s="24" t="n"/>
      <c r="H27" s="24" t="n"/>
      <c r="I27" s="24" t="n"/>
      <c r="J27" s="24" t="n"/>
      <c r="K27" s="22" t="n"/>
      <c r="L27" s="22" t="n"/>
      <c r="M27" s="25">
        <f>IF(N27="","",IF(OR(K27="",L27=""),"one month",TEXT(MAX(1,(YEAR(L27)-YEAR(K27))*12+MONTH(L27)-MONTH(K27)+1),"0")&amp;" months - see Deferred Revenue"))</f>
        <v/>
      </c>
      <c r="N27" s="26" t="n"/>
      <c r="O27" s="24" t="n"/>
      <c r="P27" s="25">
        <f>IF(N(N27)=0,"",IF(N27&gt;0,set_WIPAsset,IF(J27="Cost",IF(O27="","(set the P&amp;L Account)",O27),IF(O27="",set_WIPIncome,O27))))</f>
        <v/>
      </c>
      <c r="Q27" s="25">
        <f>IF(N(N27)=0,"",IF(N27&gt;0,IF(J27="Cost",IF(O27="","(set the P&amp;L Account)",O27),IF(O27="",set_WIPIncome,O27)),set_WIPAsset))</f>
        <v/>
      </c>
      <c r="R27" s="27">
        <f>IF(OR(N(N27)=0,K27&lt;&gt;""),"",ABS(N27))</f>
        <v/>
      </c>
      <c r="S27" s="25">
        <f>IF(N(N27)=0,"",IF(K27&lt;&gt;"","spreads monthly - see Deferred Revenue","WIP "&amp;I27&amp;IF(D27="",""," - "&amp;D27)&amp;IF(F27="",""," "&amp;F27)&amp;IF(H27="",""," - "&amp;H27)))</f>
        <v/>
      </c>
      <c r="T27" s="24" t="n"/>
      <c r="U27" s="24" t="n"/>
      <c r="V27" s="24" t="n"/>
    </row>
    <row r="28" ht="15" customHeight="1">
      <c r="A28" s="72" t="n"/>
      <c r="B28" s="70">
        <f>IF(C28="","",IFERROR(INDEX(tbl_Finance[Date],MATCH(C28&amp;"",tbl_Finance[Xero Invoice No],0)),""))</f>
        <v/>
      </c>
      <c r="C28" s="24" t="n"/>
      <c r="D28" s="24" t="n"/>
      <c r="E28" s="25">
        <f>IF(D28="","",IF(COUNTIF(lst_Jobs,D28&amp;"")&gt;0,"OK","CHECK"))</f>
        <v/>
      </c>
      <c r="F28" s="24" t="n"/>
      <c r="G28" s="24" t="n"/>
      <c r="H28" s="24" t="n"/>
      <c r="I28" s="24" t="n"/>
      <c r="J28" s="24" t="n"/>
      <c r="K28" s="22" t="n"/>
      <c r="L28" s="22" t="n"/>
      <c r="M28" s="25">
        <f>IF(N28="","",IF(OR(K28="",L28=""),"one month",TEXT(MAX(1,(YEAR(L28)-YEAR(K28))*12+MONTH(L28)-MONTH(K28)+1),"0")&amp;" months - see Deferred Revenue"))</f>
        <v/>
      </c>
      <c r="N28" s="26" t="n"/>
      <c r="O28" s="24" t="n"/>
      <c r="P28" s="25">
        <f>IF(N(N28)=0,"",IF(N28&gt;0,set_WIPAsset,IF(J28="Cost",IF(O28="","(set the P&amp;L Account)",O28),IF(O28="",set_WIPIncome,O28))))</f>
        <v/>
      </c>
      <c r="Q28" s="25">
        <f>IF(N(N28)=0,"",IF(N28&gt;0,IF(J28="Cost",IF(O28="","(set the P&amp;L Account)",O28),IF(O28="",set_WIPIncome,O28)),set_WIPAsset))</f>
        <v/>
      </c>
      <c r="R28" s="27">
        <f>IF(OR(N(N28)=0,K28&lt;&gt;""),"",ABS(N28))</f>
        <v/>
      </c>
      <c r="S28" s="25">
        <f>IF(N(N28)=0,"",IF(K28&lt;&gt;"","spreads monthly - see Deferred Revenue","WIP "&amp;I28&amp;IF(D28="",""," - "&amp;D28)&amp;IF(F28="",""," "&amp;F28)&amp;IF(H28="",""," - "&amp;H28)))</f>
        <v/>
      </c>
      <c r="T28" s="24" t="n"/>
      <c r="U28" s="24" t="n"/>
      <c r="V28" s="24" t="n"/>
    </row>
    <row r="29" ht="15" customHeight="1">
      <c r="A29" s="72" t="n"/>
      <c r="B29" s="70">
        <f>IF(C29="","",IFERROR(INDEX(tbl_Finance[Date],MATCH(C29&amp;"",tbl_Finance[Xero Invoice No],0)),""))</f>
        <v/>
      </c>
      <c r="C29" s="24" t="n"/>
      <c r="D29" s="24" t="n"/>
      <c r="E29" s="25">
        <f>IF(D29="","",IF(COUNTIF(lst_Jobs,D29&amp;"")&gt;0,"OK","CHECK"))</f>
        <v/>
      </c>
      <c r="F29" s="24" t="n"/>
      <c r="G29" s="24" t="n"/>
      <c r="H29" s="24" t="n"/>
      <c r="I29" s="24" t="n"/>
      <c r="J29" s="24" t="n"/>
      <c r="K29" s="22" t="n"/>
      <c r="L29" s="22" t="n"/>
      <c r="M29" s="25">
        <f>IF(N29="","",IF(OR(K29="",L29=""),"one month",TEXT(MAX(1,(YEAR(L29)-YEAR(K29))*12+MONTH(L29)-MONTH(K29)+1),"0")&amp;" months - see Deferred Revenue"))</f>
        <v/>
      </c>
      <c r="N29" s="26" t="n"/>
      <c r="O29" s="24" t="n"/>
      <c r="P29" s="25">
        <f>IF(N(N29)=0,"",IF(N29&gt;0,set_WIPAsset,IF(J29="Cost",IF(O29="","(set the P&amp;L Account)",O29),IF(O29="",set_WIPIncome,O29))))</f>
        <v/>
      </c>
      <c r="Q29" s="25">
        <f>IF(N(N29)=0,"",IF(N29&gt;0,IF(J29="Cost",IF(O29="","(set the P&amp;L Account)",O29),IF(O29="",set_WIPIncome,O29)),set_WIPAsset))</f>
        <v/>
      </c>
      <c r="R29" s="27">
        <f>IF(OR(N(N29)=0,K29&lt;&gt;""),"",ABS(N29))</f>
        <v/>
      </c>
      <c r="S29" s="25">
        <f>IF(N(N29)=0,"",IF(K29&lt;&gt;"","spreads monthly - see Deferred Revenue","WIP "&amp;I29&amp;IF(D29="",""," - "&amp;D29)&amp;IF(F29="",""," "&amp;F29)&amp;IF(H29="",""," - "&amp;H29)))</f>
        <v/>
      </c>
      <c r="T29" s="24" t="n"/>
      <c r="U29" s="24" t="n"/>
      <c r="V29" s="24" t="n"/>
    </row>
    <row r="30" ht="15" customHeight="1">
      <c r="A30" s="72" t="n"/>
      <c r="B30" s="70">
        <f>IF(C30="","",IFERROR(INDEX(tbl_Finance[Date],MATCH(C30&amp;"",tbl_Finance[Xero Invoice No],0)),""))</f>
        <v/>
      </c>
      <c r="C30" s="24" t="n"/>
      <c r="D30" s="24" t="n"/>
      <c r="E30" s="25">
        <f>IF(D30="","",IF(COUNTIF(lst_Jobs,D30&amp;"")&gt;0,"OK","CHECK"))</f>
        <v/>
      </c>
      <c r="F30" s="24" t="n"/>
      <c r="G30" s="24" t="n"/>
      <c r="H30" s="24" t="n"/>
      <c r="I30" s="24" t="n"/>
      <c r="J30" s="24" t="n"/>
      <c r="K30" s="22" t="n"/>
      <c r="L30" s="22" t="n"/>
      <c r="M30" s="25">
        <f>IF(N30="","",IF(OR(K30="",L30=""),"one month",TEXT(MAX(1,(YEAR(L30)-YEAR(K30))*12+MONTH(L30)-MONTH(K30)+1),"0")&amp;" months - see Deferred Revenue"))</f>
        <v/>
      </c>
      <c r="N30" s="26" t="n"/>
      <c r="O30" s="24" t="n"/>
      <c r="P30" s="25">
        <f>IF(N(N30)=0,"",IF(N30&gt;0,set_WIPAsset,IF(J30="Cost",IF(O30="","(set the P&amp;L Account)",O30),IF(O30="",set_WIPIncome,O30))))</f>
        <v/>
      </c>
      <c r="Q30" s="25">
        <f>IF(N(N30)=0,"",IF(N30&gt;0,IF(J30="Cost",IF(O30="","(set the P&amp;L Account)",O30),IF(O30="",set_WIPIncome,O30)),set_WIPAsset))</f>
        <v/>
      </c>
      <c r="R30" s="27">
        <f>IF(OR(N(N30)=0,K30&lt;&gt;""),"",ABS(N30))</f>
        <v/>
      </c>
      <c r="S30" s="25">
        <f>IF(N(N30)=0,"",IF(K30&lt;&gt;"","spreads monthly - see Deferred Revenue","WIP "&amp;I30&amp;IF(D30="",""," - "&amp;D30)&amp;IF(F30="",""," "&amp;F30)&amp;IF(H30="",""," - "&amp;H30)))</f>
        <v/>
      </c>
      <c r="T30" s="24" t="n"/>
      <c r="U30" s="24" t="n"/>
      <c r="V30" s="24" t="n"/>
    </row>
    <row r="31" ht="15" customHeight="1">
      <c r="A31" s="72" t="n"/>
      <c r="B31" s="70">
        <f>IF(C31="","",IFERROR(INDEX(tbl_Finance[Date],MATCH(C31&amp;"",tbl_Finance[Xero Invoice No],0)),""))</f>
        <v/>
      </c>
      <c r="C31" s="24" t="n"/>
      <c r="D31" s="24" t="n"/>
      <c r="E31" s="25">
        <f>IF(D31="","",IF(COUNTIF(lst_Jobs,D31&amp;"")&gt;0,"OK","CHECK"))</f>
        <v/>
      </c>
      <c r="F31" s="24" t="n"/>
      <c r="G31" s="24" t="n"/>
      <c r="H31" s="24" t="n"/>
      <c r="I31" s="24" t="n"/>
      <c r="J31" s="24" t="n"/>
      <c r="K31" s="22" t="n"/>
      <c r="L31" s="22" t="n"/>
      <c r="M31" s="25">
        <f>IF(N31="","",IF(OR(K31="",L31=""),"one month",TEXT(MAX(1,(YEAR(L31)-YEAR(K31))*12+MONTH(L31)-MONTH(K31)+1),"0")&amp;" months - see Deferred Revenue"))</f>
        <v/>
      </c>
      <c r="N31" s="26" t="n"/>
      <c r="O31" s="24" t="n"/>
      <c r="P31" s="25">
        <f>IF(N(N31)=0,"",IF(N31&gt;0,set_WIPAsset,IF(J31="Cost",IF(O31="","(set the P&amp;L Account)",O31),IF(O31="",set_WIPIncome,O31))))</f>
        <v/>
      </c>
      <c r="Q31" s="25">
        <f>IF(N(N31)=0,"",IF(N31&gt;0,IF(J31="Cost",IF(O31="","(set the P&amp;L Account)",O31),IF(O31="",set_WIPIncome,O31)),set_WIPAsset))</f>
        <v/>
      </c>
      <c r="R31" s="27">
        <f>IF(OR(N(N31)=0,K31&lt;&gt;""),"",ABS(N31))</f>
        <v/>
      </c>
      <c r="S31" s="25">
        <f>IF(N(N31)=0,"",IF(K31&lt;&gt;"","spreads monthly - see Deferred Revenue","WIP "&amp;I31&amp;IF(D31="",""," - "&amp;D31)&amp;IF(F31="",""," "&amp;F31)&amp;IF(H31="",""," - "&amp;H31)))</f>
        <v/>
      </c>
      <c r="T31" s="24" t="n"/>
      <c r="U31" s="24" t="n"/>
      <c r="V31" s="24" t="n"/>
    </row>
    <row r="32" ht="15" customHeight="1">
      <c r="A32" s="72" t="n"/>
      <c r="B32" s="70">
        <f>IF(C32="","",IFERROR(INDEX(tbl_Finance[Date],MATCH(C32&amp;"",tbl_Finance[Xero Invoice No],0)),""))</f>
        <v/>
      </c>
      <c r="C32" s="24" t="n"/>
      <c r="D32" s="24" t="n"/>
      <c r="E32" s="25">
        <f>IF(D32="","",IF(COUNTIF(lst_Jobs,D32&amp;"")&gt;0,"OK","CHECK"))</f>
        <v/>
      </c>
      <c r="F32" s="24" t="n"/>
      <c r="G32" s="24" t="n"/>
      <c r="H32" s="24" t="n"/>
      <c r="I32" s="24" t="n"/>
      <c r="J32" s="24" t="n"/>
      <c r="K32" s="22" t="n"/>
      <c r="L32" s="22" t="n"/>
      <c r="M32" s="25">
        <f>IF(N32="","",IF(OR(K32="",L32=""),"one month",TEXT(MAX(1,(YEAR(L32)-YEAR(K32))*12+MONTH(L32)-MONTH(K32)+1),"0")&amp;" months - see Deferred Revenue"))</f>
        <v/>
      </c>
      <c r="N32" s="26" t="n"/>
      <c r="O32" s="24" t="n"/>
      <c r="P32" s="25">
        <f>IF(N(N32)=0,"",IF(N32&gt;0,set_WIPAsset,IF(J32="Cost",IF(O32="","(set the P&amp;L Account)",O32),IF(O32="",set_WIPIncome,O32))))</f>
        <v/>
      </c>
      <c r="Q32" s="25">
        <f>IF(N(N32)=0,"",IF(N32&gt;0,IF(J32="Cost",IF(O32="","(set the P&amp;L Account)",O32),IF(O32="",set_WIPIncome,O32)),set_WIPAsset))</f>
        <v/>
      </c>
      <c r="R32" s="27">
        <f>IF(OR(N(N32)=0,K32&lt;&gt;""),"",ABS(N32))</f>
        <v/>
      </c>
      <c r="S32" s="25">
        <f>IF(N(N32)=0,"",IF(K32&lt;&gt;"","spreads monthly - see Deferred Revenue","WIP "&amp;I32&amp;IF(D32="",""," - "&amp;D32)&amp;IF(F32="",""," "&amp;F32)&amp;IF(H32="",""," - "&amp;H32)))</f>
        <v/>
      </c>
      <c r="T32" s="24" t="n"/>
      <c r="U32" s="24" t="n"/>
      <c r="V32" s="24" t="n"/>
    </row>
    <row r="33" ht="15" customHeight="1">
      <c r="A33" s="72" t="n"/>
      <c r="B33" s="70">
        <f>IF(C33="","",IFERROR(INDEX(tbl_Finance[Date],MATCH(C33&amp;"",tbl_Finance[Xero Invoice No],0)),""))</f>
        <v/>
      </c>
      <c r="C33" s="24" t="n"/>
      <c r="D33" s="24" t="n"/>
      <c r="E33" s="25">
        <f>IF(D33="","",IF(COUNTIF(lst_Jobs,D33&amp;"")&gt;0,"OK","CHECK"))</f>
        <v/>
      </c>
      <c r="F33" s="24" t="n"/>
      <c r="G33" s="24" t="n"/>
      <c r="H33" s="24" t="n"/>
      <c r="I33" s="24" t="n"/>
      <c r="J33" s="24" t="n"/>
      <c r="K33" s="22" t="n"/>
      <c r="L33" s="22" t="n"/>
      <c r="M33" s="25">
        <f>IF(N33="","",IF(OR(K33="",L33=""),"one month",TEXT(MAX(1,(YEAR(L33)-YEAR(K33))*12+MONTH(L33)-MONTH(K33)+1),"0")&amp;" months - see Deferred Revenue"))</f>
        <v/>
      </c>
      <c r="N33" s="26" t="n"/>
      <c r="O33" s="24" t="n"/>
      <c r="P33" s="25">
        <f>IF(N(N33)=0,"",IF(N33&gt;0,set_WIPAsset,IF(J33="Cost",IF(O33="","(set the P&amp;L Account)",O33),IF(O33="",set_WIPIncome,O33))))</f>
        <v/>
      </c>
      <c r="Q33" s="25">
        <f>IF(N(N33)=0,"",IF(N33&gt;0,IF(J33="Cost",IF(O33="","(set the P&amp;L Account)",O33),IF(O33="",set_WIPIncome,O33)),set_WIPAsset))</f>
        <v/>
      </c>
      <c r="R33" s="27">
        <f>IF(OR(N(N33)=0,K33&lt;&gt;""),"",ABS(N33))</f>
        <v/>
      </c>
      <c r="S33" s="25">
        <f>IF(N(N33)=0,"",IF(K33&lt;&gt;"","spreads monthly - see Deferred Revenue","WIP "&amp;I33&amp;IF(D33="",""," - "&amp;D33)&amp;IF(F33="",""," "&amp;F33)&amp;IF(H33="",""," - "&amp;H33)))</f>
        <v/>
      </c>
      <c r="T33" s="24" t="n"/>
      <c r="U33" s="24" t="n"/>
      <c r="V33" s="24" t="n"/>
    </row>
    <row r="34" ht="15" customHeight="1">
      <c r="A34" s="72" t="n"/>
      <c r="B34" s="70">
        <f>IF(C34="","",IFERROR(INDEX(tbl_Finance[Date],MATCH(C34&amp;"",tbl_Finance[Xero Invoice No],0)),""))</f>
        <v/>
      </c>
      <c r="C34" s="24" t="n"/>
      <c r="D34" s="24" t="n"/>
      <c r="E34" s="25">
        <f>IF(D34="","",IF(COUNTIF(lst_Jobs,D34&amp;"")&gt;0,"OK","CHECK"))</f>
        <v/>
      </c>
      <c r="F34" s="24" t="n"/>
      <c r="G34" s="24" t="n"/>
      <c r="H34" s="24" t="n"/>
      <c r="I34" s="24" t="n"/>
      <c r="J34" s="24" t="n"/>
      <c r="K34" s="22" t="n"/>
      <c r="L34" s="22" t="n"/>
      <c r="M34" s="25">
        <f>IF(N34="","",IF(OR(K34="",L34=""),"one month",TEXT(MAX(1,(YEAR(L34)-YEAR(K34))*12+MONTH(L34)-MONTH(K34)+1),"0")&amp;" months - see Deferred Revenue"))</f>
        <v/>
      </c>
      <c r="N34" s="26" t="n"/>
      <c r="O34" s="24" t="n"/>
      <c r="P34" s="25">
        <f>IF(N(N34)=0,"",IF(N34&gt;0,set_WIPAsset,IF(J34="Cost",IF(O34="","(set the P&amp;L Account)",O34),IF(O34="",set_WIPIncome,O34))))</f>
        <v/>
      </c>
      <c r="Q34" s="25">
        <f>IF(N(N34)=0,"",IF(N34&gt;0,IF(J34="Cost",IF(O34="","(set the P&amp;L Account)",O34),IF(O34="",set_WIPIncome,O34)),set_WIPAsset))</f>
        <v/>
      </c>
      <c r="R34" s="27">
        <f>IF(OR(N(N34)=0,K34&lt;&gt;""),"",ABS(N34))</f>
        <v/>
      </c>
      <c r="S34" s="25">
        <f>IF(N(N34)=0,"",IF(K34&lt;&gt;"","spreads monthly - see Deferred Revenue","WIP "&amp;I34&amp;IF(D34="",""," - "&amp;D34)&amp;IF(F34="",""," "&amp;F34)&amp;IF(H34="",""," - "&amp;H34)))</f>
        <v/>
      </c>
      <c r="T34" s="24" t="n"/>
      <c r="U34" s="24" t="n"/>
      <c r="V34" s="24" t="n"/>
    </row>
    <row r="35" ht="15" customHeight="1">
      <c r="A35" s="72" t="n"/>
      <c r="B35" s="70">
        <f>IF(C35="","",IFERROR(INDEX(tbl_Finance[Date],MATCH(C35&amp;"",tbl_Finance[Xero Invoice No],0)),""))</f>
        <v/>
      </c>
      <c r="C35" s="24" t="n"/>
      <c r="D35" s="24" t="n"/>
      <c r="E35" s="25">
        <f>IF(D35="","",IF(COUNTIF(lst_Jobs,D35&amp;"")&gt;0,"OK","CHECK"))</f>
        <v/>
      </c>
      <c r="F35" s="24" t="n"/>
      <c r="G35" s="24" t="n"/>
      <c r="H35" s="24" t="n"/>
      <c r="I35" s="24" t="n"/>
      <c r="J35" s="24" t="n"/>
      <c r="K35" s="22" t="n"/>
      <c r="L35" s="22" t="n"/>
      <c r="M35" s="25">
        <f>IF(N35="","",IF(OR(K35="",L35=""),"one month",TEXT(MAX(1,(YEAR(L35)-YEAR(K35))*12+MONTH(L35)-MONTH(K35)+1),"0")&amp;" months - see Deferred Revenue"))</f>
        <v/>
      </c>
      <c r="N35" s="26" t="n"/>
      <c r="O35" s="24" t="n"/>
      <c r="P35" s="25">
        <f>IF(N(N35)=0,"",IF(N35&gt;0,set_WIPAsset,IF(J35="Cost",IF(O35="","(set the P&amp;L Account)",O35),IF(O35="",set_WIPIncome,O35))))</f>
        <v/>
      </c>
      <c r="Q35" s="25">
        <f>IF(N(N35)=0,"",IF(N35&gt;0,IF(J35="Cost",IF(O35="","(set the P&amp;L Account)",O35),IF(O35="",set_WIPIncome,O35)),set_WIPAsset))</f>
        <v/>
      </c>
      <c r="R35" s="27">
        <f>IF(OR(N(N35)=0,K35&lt;&gt;""),"",ABS(N35))</f>
        <v/>
      </c>
      <c r="S35" s="25">
        <f>IF(N(N35)=0,"",IF(K35&lt;&gt;"","spreads monthly - see Deferred Revenue","WIP "&amp;I35&amp;IF(D35="",""," - "&amp;D35)&amp;IF(F35="",""," "&amp;F35)&amp;IF(H35="",""," - "&amp;H35)))</f>
        <v/>
      </c>
      <c r="T35" s="24" t="n"/>
      <c r="U35" s="24" t="n"/>
      <c r="V35" s="24" t="n"/>
    </row>
    <row r="36" ht="15" customHeight="1">
      <c r="A36" s="72" t="n"/>
      <c r="B36" s="70">
        <f>IF(C36="","",IFERROR(INDEX(tbl_Finance[Date],MATCH(C36&amp;"",tbl_Finance[Xero Invoice No],0)),""))</f>
        <v/>
      </c>
      <c r="C36" s="24" t="n"/>
      <c r="D36" s="24" t="n"/>
      <c r="E36" s="25">
        <f>IF(D36="","",IF(COUNTIF(lst_Jobs,D36&amp;"")&gt;0,"OK","CHECK"))</f>
        <v/>
      </c>
      <c r="F36" s="24" t="n"/>
      <c r="G36" s="24" t="n"/>
      <c r="H36" s="24" t="n"/>
      <c r="I36" s="24" t="n"/>
      <c r="J36" s="24" t="n"/>
      <c r="K36" s="22" t="n"/>
      <c r="L36" s="22" t="n"/>
      <c r="M36" s="25">
        <f>IF(N36="","",IF(OR(K36="",L36=""),"one month",TEXT(MAX(1,(YEAR(L36)-YEAR(K36))*12+MONTH(L36)-MONTH(K36)+1),"0")&amp;" months - see Deferred Revenue"))</f>
        <v/>
      </c>
      <c r="N36" s="26" t="n"/>
      <c r="O36" s="24" t="n"/>
      <c r="P36" s="25">
        <f>IF(N(N36)=0,"",IF(N36&gt;0,set_WIPAsset,IF(J36="Cost",IF(O36="","(set the P&amp;L Account)",O36),IF(O36="",set_WIPIncome,O36))))</f>
        <v/>
      </c>
      <c r="Q36" s="25">
        <f>IF(N(N36)=0,"",IF(N36&gt;0,IF(J36="Cost",IF(O36="","(set the P&amp;L Account)",O36),IF(O36="",set_WIPIncome,O36)),set_WIPAsset))</f>
        <v/>
      </c>
      <c r="R36" s="27">
        <f>IF(OR(N(N36)=0,K36&lt;&gt;""),"",ABS(N36))</f>
        <v/>
      </c>
      <c r="S36" s="25">
        <f>IF(N(N36)=0,"",IF(K36&lt;&gt;"","spreads monthly - see Deferred Revenue","WIP "&amp;I36&amp;IF(D36="",""," - "&amp;D36)&amp;IF(F36="",""," "&amp;F36)&amp;IF(H36="",""," - "&amp;H36)))</f>
        <v/>
      </c>
      <c r="T36" s="24" t="n"/>
      <c r="U36" s="24" t="n"/>
      <c r="V36" s="24" t="n"/>
    </row>
    <row r="37" ht="15" customHeight="1">
      <c r="A37" s="72" t="n"/>
      <c r="B37" s="70">
        <f>IF(C37="","",IFERROR(INDEX(tbl_Finance[Date],MATCH(C37&amp;"",tbl_Finance[Xero Invoice No],0)),""))</f>
        <v/>
      </c>
      <c r="C37" s="24" t="n"/>
      <c r="D37" s="24" t="n"/>
      <c r="E37" s="25">
        <f>IF(D37="","",IF(COUNTIF(lst_Jobs,D37&amp;"")&gt;0,"OK","CHECK"))</f>
        <v/>
      </c>
      <c r="F37" s="24" t="n"/>
      <c r="G37" s="24" t="n"/>
      <c r="H37" s="24" t="n"/>
      <c r="I37" s="24" t="n"/>
      <c r="J37" s="24" t="n"/>
      <c r="K37" s="22" t="n"/>
      <c r="L37" s="22" t="n"/>
      <c r="M37" s="25">
        <f>IF(N37="","",IF(OR(K37="",L37=""),"one month",TEXT(MAX(1,(YEAR(L37)-YEAR(K37))*12+MONTH(L37)-MONTH(K37)+1),"0")&amp;" months - see Deferred Revenue"))</f>
        <v/>
      </c>
      <c r="N37" s="26" t="n"/>
      <c r="O37" s="24" t="n"/>
      <c r="P37" s="25">
        <f>IF(N(N37)=0,"",IF(N37&gt;0,set_WIPAsset,IF(J37="Cost",IF(O37="","(set the P&amp;L Account)",O37),IF(O37="",set_WIPIncome,O37))))</f>
        <v/>
      </c>
      <c r="Q37" s="25">
        <f>IF(N(N37)=0,"",IF(N37&gt;0,IF(J37="Cost",IF(O37="","(set the P&amp;L Account)",O37),IF(O37="",set_WIPIncome,O37)),set_WIPAsset))</f>
        <v/>
      </c>
      <c r="R37" s="27">
        <f>IF(OR(N(N37)=0,K37&lt;&gt;""),"",ABS(N37))</f>
        <v/>
      </c>
      <c r="S37" s="25">
        <f>IF(N(N37)=0,"",IF(K37&lt;&gt;"","spreads monthly - see Deferred Revenue","WIP "&amp;I37&amp;IF(D37="",""," - "&amp;D37)&amp;IF(F37="",""," "&amp;F37)&amp;IF(H37="",""," - "&amp;H37)))</f>
        <v/>
      </c>
      <c r="T37" s="24" t="n"/>
      <c r="U37" s="24" t="n"/>
      <c r="V37" s="24" t="n"/>
    </row>
    <row r="38" ht="15" customHeight="1">
      <c r="A38" s="72" t="n"/>
      <c r="B38" s="70">
        <f>IF(C38="","",IFERROR(INDEX(tbl_Finance[Date],MATCH(C38&amp;"",tbl_Finance[Xero Invoice No],0)),""))</f>
        <v/>
      </c>
      <c r="C38" s="24" t="n"/>
      <c r="D38" s="24" t="n"/>
      <c r="E38" s="25">
        <f>IF(D38="","",IF(COUNTIF(lst_Jobs,D38&amp;"")&gt;0,"OK","CHECK"))</f>
        <v/>
      </c>
      <c r="F38" s="24" t="n"/>
      <c r="G38" s="24" t="n"/>
      <c r="H38" s="24" t="n"/>
      <c r="I38" s="24" t="n"/>
      <c r="J38" s="24" t="n"/>
      <c r="K38" s="22" t="n"/>
      <c r="L38" s="22" t="n"/>
      <c r="M38" s="25">
        <f>IF(N38="","",IF(OR(K38="",L38=""),"one month",TEXT(MAX(1,(YEAR(L38)-YEAR(K38))*12+MONTH(L38)-MONTH(K38)+1),"0")&amp;" months - see Deferred Revenue"))</f>
        <v/>
      </c>
      <c r="N38" s="26" t="n"/>
      <c r="O38" s="24" t="n"/>
      <c r="P38" s="25">
        <f>IF(N(N38)=0,"",IF(N38&gt;0,set_WIPAsset,IF(J38="Cost",IF(O38="","(set the P&amp;L Account)",O38),IF(O38="",set_WIPIncome,O38))))</f>
        <v/>
      </c>
      <c r="Q38" s="25">
        <f>IF(N(N38)=0,"",IF(N38&gt;0,IF(J38="Cost",IF(O38="","(set the P&amp;L Account)",O38),IF(O38="",set_WIPIncome,O38)),set_WIPAsset))</f>
        <v/>
      </c>
      <c r="R38" s="27">
        <f>IF(OR(N(N38)=0,K38&lt;&gt;""),"",ABS(N38))</f>
        <v/>
      </c>
      <c r="S38" s="25">
        <f>IF(N(N38)=0,"",IF(K38&lt;&gt;"","spreads monthly - see Deferred Revenue","WIP "&amp;I38&amp;IF(D38="",""," - "&amp;D38)&amp;IF(F38="",""," "&amp;F38)&amp;IF(H38="",""," - "&amp;H38)))</f>
        <v/>
      </c>
      <c r="T38" s="24" t="n"/>
      <c r="U38" s="24" t="n"/>
      <c r="V38" s="24" t="n"/>
    </row>
    <row r="39" ht="15" customHeight="1">
      <c r="A39" s="72" t="n"/>
      <c r="B39" s="70">
        <f>IF(C39="","",IFERROR(INDEX(tbl_Finance[Date],MATCH(C39&amp;"",tbl_Finance[Xero Invoice No],0)),""))</f>
        <v/>
      </c>
      <c r="C39" s="24" t="n"/>
      <c r="D39" s="24" t="n"/>
      <c r="E39" s="25">
        <f>IF(D39="","",IF(COUNTIF(lst_Jobs,D39&amp;"")&gt;0,"OK","CHECK"))</f>
        <v/>
      </c>
      <c r="F39" s="24" t="n"/>
      <c r="G39" s="24" t="n"/>
      <c r="H39" s="24" t="n"/>
      <c r="I39" s="24" t="n"/>
      <c r="J39" s="24" t="n"/>
      <c r="K39" s="22" t="n"/>
      <c r="L39" s="22" t="n"/>
      <c r="M39" s="25">
        <f>IF(N39="","",IF(OR(K39="",L39=""),"one month",TEXT(MAX(1,(YEAR(L39)-YEAR(K39))*12+MONTH(L39)-MONTH(K39)+1),"0")&amp;" months - see Deferred Revenue"))</f>
        <v/>
      </c>
      <c r="N39" s="26" t="n"/>
      <c r="O39" s="24" t="n"/>
      <c r="P39" s="25">
        <f>IF(N(N39)=0,"",IF(N39&gt;0,set_WIPAsset,IF(J39="Cost",IF(O39="","(set the P&amp;L Account)",O39),IF(O39="",set_WIPIncome,O39))))</f>
        <v/>
      </c>
      <c r="Q39" s="25">
        <f>IF(N(N39)=0,"",IF(N39&gt;0,IF(J39="Cost",IF(O39="","(set the P&amp;L Account)",O39),IF(O39="",set_WIPIncome,O39)),set_WIPAsset))</f>
        <v/>
      </c>
      <c r="R39" s="27">
        <f>IF(OR(N(N39)=0,K39&lt;&gt;""),"",ABS(N39))</f>
        <v/>
      </c>
      <c r="S39" s="25">
        <f>IF(N(N39)=0,"",IF(K39&lt;&gt;"","spreads monthly - see Deferred Revenue","WIP "&amp;I39&amp;IF(D39="",""," - "&amp;D39)&amp;IF(F39="",""," "&amp;F39)&amp;IF(H39="",""," - "&amp;H39)))</f>
        <v/>
      </c>
      <c r="T39" s="24" t="n"/>
      <c r="U39" s="24" t="n"/>
      <c r="V39" s="24" t="n"/>
    </row>
    <row r="40" ht="15" customHeight="1">
      <c r="A40" s="72" t="n"/>
      <c r="B40" s="70">
        <f>IF(C40="","",IFERROR(INDEX(tbl_Finance[Date],MATCH(C40&amp;"",tbl_Finance[Xero Invoice No],0)),""))</f>
        <v/>
      </c>
      <c r="C40" s="24" t="n"/>
      <c r="D40" s="24" t="n"/>
      <c r="E40" s="25">
        <f>IF(D40="","",IF(COUNTIF(lst_Jobs,D40&amp;"")&gt;0,"OK","CHECK"))</f>
        <v/>
      </c>
      <c r="F40" s="24" t="n"/>
      <c r="G40" s="24" t="n"/>
      <c r="H40" s="24" t="n"/>
      <c r="I40" s="24" t="n"/>
      <c r="J40" s="24" t="n"/>
      <c r="K40" s="22" t="n"/>
      <c r="L40" s="22" t="n"/>
      <c r="M40" s="25">
        <f>IF(N40="","",IF(OR(K40="",L40=""),"one month",TEXT(MAX(1,(YEAR(L40)-YEAR(K40))*12+MONTH(L40)-MONTH(K40)+1),"0")&amp;" months - see Deferred Revenue"))</f>
        <v/>
      </c>
      <c r="N40" s="26" t="n"/>
      <c r="O40" s="24" t="n"/>
      <c r="P40" s="25">
        <f>IF(N(N40)=0,"",IF(N40&gt;0,set_WIPAsset,IF(J40="Cost",IF(O40="","(set the P&amp;L Account)",O40),IF(O40="",set_WIPIncome,O40))))</f>
        <v/>
      </c>
      <c r="Q40" s="25">
        <f>IF(N(N40)=0,"",IF(N40&gt;0,IF(J40="Cost",IF(O40="","(set the P&amp;L Account)",O40),IF(O40="",set_WIPIncome,O40)),set_WIPAsset))</f>
        <v/>
      </c>
      <c r="R40" s="27">
        <f>IF(OR(N(N40)=0,K40&lt;&gt;""),"",ABS(N40))</f>
        <v/>
      </c>
      <c r="S40" s="25">
        <f>IF(N(N40)=0,"",IF(K40&lt;&gt;"","spreads monthly - see Deferred Revenue","WIP "&amp;I40&amp;IF(D40="",""," - "&amp;D40)&amp;IF(F40="",""," "&amp;F40)&amp;IF(H40="",""," - "&amp;H40)))</f>
        <v/>
      </c>
      <c r="T40" s="24" t="n"/>
      <c r="U40" s="24" t="n"/>
      <c r="V40" s="24" t="n"/>
    </row>
    <row r="41" ht="15" customHeight="1">
      <c r="A41" s="72" t="n"/>
      <c r="B41" s="70">
        <f>IF(C41="","",IFERROR(INDEX(tbl_Finance[Date],MATCH(C41&amp;"",tbl_Finance[Xero Invoice No],0)),""))</f>
        <v/>
      </c>
      <c r="C41" s="24" t="n"/>
      <c r="D41" s="24" t="n"/>
      <c r="E41" s="25">
        <f>IF(D41="","",IF(COUNTIF(lst_Jobs,D41&amp;"")&gt;0,"OK","CHECK"))</f>
        <v/>
      </c>
      <c r="F41" s="24" t="n"/>
      <c r="G41" s="24" t="n"/>
      <c r="H41" s="24" t="n"/>
      <c r="I41" s="24" t="n"/>
      <c r="J41" s="24" t="n"/>
      <c r="K41" s="22" t="n"/>
      <c r="L41" s="22" t="n"/>
      <c r="M41" s="25">
        <f>IF(N41="","",IF(OR(K41="",L41=""),"one month",TEXT(MAX(1,(YEAR(L41)-YEAR(K41))*12+MONTH(L41)-MONTH(K41)+1),"0")&amp;" months - see Deferred Revenue"))</f>
        <v/>
      </c>
      <c r="N41" s="26" t="n"/>
      <c r="O41" s="24" t="n"/>
      <c r="P41" s="25">
        <f>IF(N(N41)=0,"",IF(N41&gt;0,set_WIPAsset,IF(J41="Cost",IF(O41="","(set the P&amp;L Account)",O41),IF(O41="",set_WIPIncome,O41))))</f>
        <v/>
      </c>
      <c r="Q41" s="25">
        <f>IF(N(N41)=0,"",IF(N41&gt;0,IF(J41="Cost",IF(O41="","(set the P&amp;L Account)",O41),IF(O41="",set_WIPIncome,O41)),set_WIPAsset))</f>
        <v/>
      </c>
      <c r="R41" s="27">
        <f>IF(OR(N(N41)=0,K41&lt;&gt;""),"",ABS(N41))</f>
        <v/>
      </c>
      <c r="S41" s="25">
        <f>IF(N(N41)=0,"",IF(K41&lt;&gt;"","spreads monthly - see Deferred Revenue","WIP "&amp;I41&amp;IF(D41="",""," - "&amp;D41)&amp;IF(F41="",""," "&amp;F41)&amp;IF(H41="",""," - "&amp;H41)))</f>
        <v/>
      </c>
      <c r="T41" s="24" t="n"/>
      <c r="U41" s="24" t="n"/>
      <c r="V41" s="24" t="n"/>
    </row>
    <row r="42" ht="15" customHeight="1">
      <c r="A42" s="72" t="n"/>
      <c r="B42" s="70">
        <f>IF(C42="","",IFERROR(INDEX(tbl_Finance[Date],MATCH(C42&amp;"",tbl_Finance[Xero Invoice No],0)),""))</f>
        <v/>
      </c>
      <c r="C42" s="24" t="n"/>
      <c r="D42" s="24" t="n"/>
      <c r="E42" s="25">
        <f>IF(D42="","",IF(COUNTIF(lst_Jobs,D42&amp;"")&gt;0,"OK","CHECK"))</f>
        <v/>
      </c>
      <c r="F42" s="24" t="n"/>
      <c r="G42" s="24" t="n"/>
      <c r="H42" s="24" t="n"/>
      <c r="I42" s="24" t="n"/>
      <c r="J42" s="24" t="n"/>
      <c r="K42" s="22" t="n"/>
      <c r="L42" s="22" t="n"/>
      <c r="M42" s="25">
        <f>IF(N42="","",IF(OR(K42="",L42=""),"one month",TEXT(MAX(1,(YEAR(L42)-YEAR(K42))*12+MONTH(L42)-MONTH(K42)+1),"0")&amp;" months - see Deferred Revenue"))</f>
        <v/>
      </c>
      <c r="N42" s="26" t="n"/>
      <c r="O42" s="24" t="n"/>
      <c r="P42" s="25">
        <f>IF(N(N42)=0,"",IF(N42&gt;0,set_WIPAsset,IF(J42="Cost",IF(O42="","(set the P&amp;L Account)",O42),IF(O42="",set_WIPIncome,O42))))</f>
        <v/>
      </c>
      <c r="Q42" s="25">
        <f>IF(N(N42)=0,"",IF(N42&gt;0,IF(J42="Cost",IF(O42="","(set the P&amp;L Account)",O42),IF(O42="",set_WIPIncome,O42)),set_WIPAsset))</f>
        <v/>
      </c>
      <c r="R42" s="27">
        <f>IF(OR(N(N42)=0,K42&lt;&gt;""),"",ABS(N42))</f>
        <v/>
      </c>
      <c r="S42" s="25">
        <f>IF(N(N42)=0,"",IF(K42&lt;&gt;"","spreads monthly - see Deferred Revenue","WIP "&amp;I42&amp;IF(D42="",""," - "&amp;D42)&amp;IF(F42="",""," "&amp;F42)&amp;IF(H42="",""," - "&amp;H42)))</f>
        <v/>
      </c>
      <c r="T42" s="24" t="n"/>
      <c r="U42" s="24" t="n"/>
      <c r="V42" s="24" t="n"/>
    </row>
    <row r="43" ht="15" customHeight="1">
      <c r="A43" s="72" t="n"/>
      <c r="B43" s="70">
        <f>IF(C43="","",IFERROR(INDEX(tbl_Finance[Date],MATCH(C43&amp;"",tbl_Finance[Xero Invoice No],0)),""))</f>
        <v/>
      </c>
      <c r="C43" s="24" t="n"/>
      <c r="D43" s="24" t="n"/>
      <c r="E43" s="25">
        <f>IF(D43="","",IF(COUNTIF(lst_Jobs,D43&amp;"")&gt;0,"OK","CHECK"))</f>
        <v/>
      </c>
      <c r="F43" s="24" t="n"/>
      <c r="G43" s="24" t="n"/>
      <c r="H43" s="24" t="n"/>
      <c r="I43" s="24" t="n"/>
      <c r="J43" s="24" t="n"/>
      <c r="K43" s="22" t="n"/>
      <c r="L43" s="22" t="n"/>
      <c r="M43" s="25">
        <f>IF(N43="","",IF(OR(K43="",L43=""),"one month",TEXT(MAX(1,(YEAR(L43)-YEAR(K43))*12+MONTH(L43)-MONTH(K43)+1),"0")&amp;" months - see Deferred Revenue"))</f>
        <v/>
      </c>
      <c r="N43" s="26" t="n"/>
      <c r="O43" s="24" t="n"/>
      <c r="P43" s="25">
        <f>IF(N(N43)=0,"",IF(N43&gt;0,set_WIPAsset,IF(J43="Cost",IF(O43="","(set the P&amp;L Account)",O43),IF(O43="",set_WIPIncome,O43))))</f>
        <v/>
      </c>
      <c r="Q43" s="25">
        <f>IF(N(N43)=0,"",IF(N43&gt;0,IF(J43="Cost",IF(O43="","(set the P&amp;L Account)",O43),IF(O43="",set_WIPIncome,O43)),set_WIPAsset))</f>
        <v/>
      </c>
      <c r="R43" s="27">
        <f>IF(OR(N(N43)=0,K43&lt;&gt;""),"",ABS(N43))</f>
        <v/>
      </c>
      <c r="S43" s="25">
        <f>IF(N(N43)=0,"",IF(K43&lt;&gt;"","spreads monthly - see Deferred Revenue","WIP "&amp;I43&amp;IF(D43="",""," - "&amp;D43)&amp;IF(F43="",""," "&amp;F43)&amp;IF(H43="",""," - "&amp;H43)))</f>
        <v/>
      </c>
      <c r="T43" s="24" t="n"/>
      <c r="U43" s="24" t="n"/>
      <c r="V43" s="24" t="n"/>
    </row>
    <row r="44" ht="15" customHeight="1">
      <c r="A44" s="72" t="n"/>
      <c r="B44" s="70">
        <f>IF(C44="","",IFERROR(INDEX(tbl_Finance[Date],MATCH(C44&amp;"",tbl_Finance[Xero Invoice No],0)),""))</f>
        <v/>
      </c>
      <c r="C44" s="24" t="n"/>
      <c r="D44" s="24" t="n"/>
      <c r="E44" s="25">
        <f>IF(D44="","",IF(COUNTIF(lst_Jobs,D44&amp;"")&gt;0,"OK","CHECK"))</f>
        <v/>
      </c>
      <c r="F44" s="24" t="n"/>
      <c r="G44" s="24" t="n"/>
      <c r="H44" s="24" t="n"/>
      <c r="I44" s="24" t="n"/>
      <c r="J44" s="24" t="n"/>
      <c r="K44" s="22" t="n"/>
      <c r="L44" s="22" t="n"/>
      <c r="M44" s="25">
        <f>IF(N44="","",IF(OR(K44="",L44=""),"one month",TEXT(MAX(1,(YEAR(L44)-YEAR(K44))*12+MONTH(L44)-MONTH(K44)+1),"0")&amp;" months - see Deferred Revenue"))</f>
        <v/>
      </c>
      <c r="N44" s="26" t="n"/>
      <c r="O44" s="24" t="n"/>
      <c r="P44" s="25">
        <f>IF(N(N44)=0,"",IF(N44&gt;0,set_WIPAsset,IF(J44="Cost",IF(O44="","(set the P&amp;L Account)",O44),IF(O44="",set_WIPIncome,O44))))</f>
        <v/>
      </c>
      <c r="Q44" s="25">
        <f>IF(N(N44)=0,"",IF(N44&gt;0,IF(J44="Cost",IF(O44="","(set the P&amp;L Account)",O44),IF(O44="",set_WIPIncome,O44)),set_WIPAsset))</f>
        <v/>
      </c>
      <c r="R44" s="27">
        <f>IF(OR(N(N44)=0,K44&lt;&gt;""),"",ABS(N44))</f>
        <v/>
      </c>
      <c r="S44" s="25">
        <f>IF(N(N44)=0,"",IF(K44&lt;&gt;"","spreads monthly - see Deferred Revenue","WIP "&amp;I44&amp;IF(D44="",""," - "&amp;D44)&amp;IF(F44="",""," "&amp;F44)&amp;IF(H44="",""," - "&amp;H44)))</f>
        <v/>
      </c>
      <c r="T44" s="24" t="n"/>
      <c r="U44" s="24" t="n"/>
      <c r="V44" s="24" t="n"/>
    </row>
    <row r="45" ht="15" customHeight="1">
      <c r="A45" s="72" t="n"/>
      <c r="B45" s="70">
        <f>IF(C45="","",IFERROR(INDEX(tbl_Finance[Date],MATCH(C45&amp;"",tbl_Finance[Xero Invoice No],0)),""))</f>
        <v/>
      </c>
      <c r="C45" s="24" t="n"/>
      <c r="D45" s="24" t="n"/>
      <c r="E45" s="25">
        <f>IF(D45="","",IF(COUNTIF(lst_Jobs,D45&amp;"")&gt;0,"OK","CHECK"))</f>
        <v/>
      </c>
      <c r="F45" s="24" t="n"/>
      <c r="G45" s="24" t="n"/>
      <c r="H45" s="24" t="n"/>
      <c r="I45" s="24" t="n"/>
      <c r="J45" s="24" t="n"/>
      <c r="K45" s="22" t="n"/>
      <c r="L45" s="22" t="n"/>
      <c r="M45" s="25">
        <f>IF(N45="","",IF(OR(K45="",L45=""),"one month",TEXT(MAX(1,(YEAR(L45)-YEAR(K45))*12+MONTH(L45)-MONTH(K45)+1),"0")&amp;" months - see Deferred Revenue"))</f>
        <v/>
      </c>
      <c r="N45" s="26" t="n"/>
      <c r="O45" s="24" t="n"/>
      <c r="P45" s="25">
        <f>IF(N(N45)=0,"",IF(N45&gt;0,set_WIPAsset,IF(J45="Cost",IF(O45="","(set the P&amp;L Account)",O45),IF(O45="",set_WIPIncome,O45))))</f>
        <v/>
      </c>
      <c r="Q45" s="25">
        <f>IF(N(N45)=0,"",IF(N45&gt;0,IF(J45="Cost",IF(O45="","(set the P&amp;L Account)",O45),IF(O45="",set_WIPIncome,O45)),set_WIPAsset))</f>
        <v/>
      </c>
      <c r="R45" s="27">
        <f>IF(OR(N(N45)=0,K45&lt;&gt;""),"",ABS(N45))</f>
        <v/>
      </c>
      <c r="S45" s="25">
        <f>IF(N(N45)=0,"",IF(K45&lt;&gt;"","spreads monthly - see Deferred Revenue","WIP "&amp;I45&amp;IF(D45="",""," - "&amp;D45)&amp;IF(F45="",""," "&amp;F45)&amp;IF(H45="",""," - "&amp;H45)))</f>
        <v/>
      </c>
      <c r="T45" s="24" t="n"/>
      <c r="U45" s="24" t="n"/>
      <c r="V45" s="24" t="n"/>
    </row>
    <row r="46" ht="15" customHeight="1">
      <c r="A46" s="72" t="n"/>
      <c r="B46" s="70">
        <f>IF(C46="","",IFERROR(INDEX(tbl_Finance[Date],MATCH(C46&amp;"",tbl_Finance[Xero Invoice No],0)),""))</f>
        <v/>
      </c>
      <c r="C46" s="24" t="n"/>
      <c r="D46" s="24" t="n"/>
      <c r="E46" s="25">
        <f>IF(D46="","",IF(COUNTIF(lst_Jobs,D46&amp;"")&gt;0,"OK","CHECK"))</f>
        <v/>
      </c>
      <c r="F46" s="24" t="n"/>
      <c r="G46" s="24" t="n"/>
      <c r="H46" s="24" t="n"/>
      <c r="I46" s="24" t="n"/>
      <c r="J46" s="24" t="n"/>
      <c r="K46" s="22" t="n"/>
      <c r="L46" s="22" t="n"/>
      <c r="M46" s="25">
        <f>IF(N46="","",IF(OR(K46="",L46=""),"one month",TEXT(MAX(1,(YEAR(L46)-YEAR(K46))*12+MONTH(L46)-MONTH(K46)+1),"0")&amp;" months - see Deferred Revenue"))</f>
        <v/>
      </c>
      <c r="N46" s="26" t="n"/>
      <c r="O46" s="24" t="n"/>
      <c r="P46" s="25">
        <f>IF(N(N46)=0,"",IF(N46&gt;0,set_WIPAsset,IF(J46="Cost",IF(O46="","(set the P&amp;L Account)",O46),IF(O46="",set_WIPIncome,O46))))</f>
        <v/>
      </c>
      <c r="Q46" s="25">
        <f>IF(N(N46)=0,"",IF(N46&gt;0,IF(J46="Cost",IF(O46="","(set the P&amp;L Account)",O46),IF(O46="",set_WIPIncome,O46)),set_WIPAsset))</f>
        <v/>
      </c>
      <c r="R46" s="27">
        <f>IF(OR(N(N46)=0,K46&lt;&gt;""),"",ABS(N46))</f>
        <v/>
      </c>
      <c r="S46" s="25">
        <f>IF(N(N46)=0,"",IF(K46&lt;&gt;"","spreads monthly - see Deferred Revenue","WIP "&amp;I46&amp;IF(D46="",""," - "&amp;D46)&amp;IF(F46="",""," "&amp;F46)&amp;IF(H46="",""," - "&amp;H46)))</f>
        <v/>
      </c>
      <c r="T46" s="24" t="n"/>
      <c r="U46" s="24" t="n"/>
      <c r="V46" s="24" t="n"/>
    </row>
    <row r="47" ht="15" customHeight="1">
      <c r="A47" s="72" t="n"/>
      <c r="B47" s="70">
        <f>IF(C47="","",IFERROR(INDEX(tbl_Finance[Date],MATCH(C47&amp;"",tbl_Finance[Xero Invoice No],0)),""))</f>
        <v/>
      </c>
      <c r="C47" s="24" t="n"/>
      <c r="D47" s="24" t="n"/>
      <c r="E47" s="25">
        <f>IF(D47="","",IF(COUNTIF(lst_Jobs,D47&amp;"")&gt;0,"OK","CHECK"))</f>
        <v/>
      </c>
      <c r="F47" s="24" t="n"/>
      <c r="G47" s="24" t="n"/>
      <c r="H47" s="24" t="n"/>
      <c r="I47" s="24" t="n"/>
      <c r="J47" s="24" t="n"/>
      <c r="K47" s="22" t="n"/>
      <c r="L47" s="22" t="n"/>
      <c r="M47" s="25">
        <f>IF(N47="","",IF(OR(K47="",L47=""),"one month",TEXT(MAX(1,(YEAR(L47)-YEAR(K47))*12+MONTH(L47)-MONTH(K47)+1),"0")&amp;" months - see Deferred Revenue"))</f>
        <v/>
      </c>
      <c r="N47" s="26" t="n"/>
      <c r="O47" s="24" t="n"/>
      <c r="P47" s="25">
        <f>IF(N(N47)=0,"",IF(N47&gt;0,set_WIPAsset,IF(J47="Cost",IF(O47="","(set the P&amp;L Account)",O47),IF(O47="",set_WIPIncome,O47))))</f>
        <v/>
      </c>
      <c r="Q47" s="25">
        <f>IF(N(N47)=0,"",IF(N47&gt;0,IF(J47="Cost",IF(O47="","(set the P&amp;L Account)",O47),IF(O47="",set_WIPIncome,O47)),set_WIPAsset))</f>
        <v/>
      </c>
      <c r="R47" s="27">
        <f>IF(OR(N(N47)=0,K47&lt;&gt;""),"",ABS(N47))</f>
        <v/>
      </c>
      <c r="S47" s="25">
        <f>IF(N(N47)=0,"",IF(K47&lt;&gt;"","spreads monthly - see Deferred Revenue","WIP "&amp;I47&amp;IF(D47="",""," - "&amp;D47)&amp;IF(F47="",""," "&amp;F47)&amp;IF(H47="",""," - "&amp;H47)))</f>
        <v/>
      </c>
      <c r="T47" s="24" t="n"/>
      <c r="U47" s="24" t="n"/>
      <c r="V47" s="24" t="n"/>
    </row>
    <row r="48" ht="15" customHeight="1">
      <c r="A48" s="72" t="n"/>
      <c r="B48" s="70">
        <f>IF(C48="","",IFERROR(INDEX(tbl_Finance[Date],MATCH(C48&amp;"",tbl_Finance[Xero Invoice No],0)),""))</f>
        <v/>
      </c>
      <c r="C48" s="24" t="n"/>
      <c r="D48" s="24" t="n"/>
      <c r="E48" s="25">
        <f>IF(D48="","",IF(COUNTIF(lst_Jobs,D48&amp;"")&gt;0,"OK","CHECK"))</f>
        <v/>
      </c>
      <c r="F48" s="24" t="n"/>
      <c r="G48" s="24" t="n"/>
      <c r="H48" s="24" t="n"/>
      <c r="I48" s="24" t="n"/>
      <c r="J48" s="24" t="n"/>
      <c r="K48" s="22" t="n"/>
      <c r="L48" s="22" t="n"/>
      <c r="M48" s="25">
        <f>IF(N48="","",IF(OR(K48="",L48=""),"one month",TEXT(MAX(1,(YEAR(L48)-YEAR(K48))*12+MONTH(L48)-MONTH(K48)+1),"0")&amp;" months - see Deferred Revenue"))</f>
        <v/>
      </c>
      <c r="N48" s="26" t="n"/>
      <c r="O48" s="24" t="n"/>
      <c r="P48" s="25">
        <f>IF(N(N48)=0,"",IF(N48&gt;0,set_WIPAsset,IF(J48="Cost",IF(O48="","(set the P&amp;L Account)",O48),IF(O48="",set_WIPIncome,O48))))</f>
        <v/>
      </c>
      <c r="Q48" s="25">
        <f>IF(N(N48)=0,"",IF(N48&gt;0,IF(J48="Cost",IF(O48="","(set the P&amp;L Account)",O48),IF(O48="",set_WIPIncome,O48)),set_WIPAsset))</f>
        <v/>
      </c>
      <c r="R48" s="27">
        <f>IF(OR(N(N48)=0,K48&lt;&gt;""),"",ABS(N48))</f>
        <v/>
      </c>
      <c r="S48" s="25">
        <f>IF(N(N48)=0,"",IF(K48&lt;&gt;"","spreads monthly - see Deferred Revenue","WIP "&amp;I48&amp;IF(D48="",""," - "&amp;D48)&amp;IF(F48="",""," "&amp;F48)&amp;IF(H48="",""," - "&amp;H48)))</f>
        <v/>
      </c>
      <c r="T48" s="24" t="n"/>
      <c r="U48" s="24" t="n"/>
      <c r="V48" s="24" t="n"/>
    </row>
    <row r="49" ht="15" customHeight="1">
      <c r="A49" s="72" t="n"/>
      <c r="B49" s="70">
        <f>IF(C49="","",IFERROR(INDEX(tbl_Finance[Date],MATCH(C49&amp;"",tbl_Finance[Xero Invoice No],0)),""))</f>
        <v/>
      </c>
      <c r="C49" s="24" t="n"/>
      <c r="D49" s="24" t="n"/>
      <c r="E49" s="25">
        <f>IF(D49="","",IF(COUNTIF(lst_Jobs,D49&amp;"")&gt;0,"OK","CHECK"))</f>
        <v/>
      </c>
      <c r="F49" s="24" t="n"/>
      <c r="G49" s="24" t="n"/>
      <c r="H49" s="24" t="n"/>
      <c r="I49" s="24" t="n"/>
      <c r="J49" s="24" t="n"/>
      <c r="K49" s="22" t="n"/>
      <c r="L49" s="22" t="n"/>
      <c r="M49" s="25">
        <f>IF(N49="","",IF(OR(K49="",L49=""),"one month",TEXT(MAX(1,(YEAR(L49)-YEAR(K49))*12+MONTH(L49)-MONTH(K49)+1),"0")&amp;" months - see Deferred Revenue"))</f>
        <v/>
      </c>
      <c r="N49" s="26" t="n"/>
      <c r="O49" s="24" t="n"/>
      <c r="P49" s="25">
        <f>IF(N(N49)=0,"",IF(N49&gt;0,set_WIPAsset,IF(J49="Cost",IF(O49="","(set the P&amp;L Account)",O49),IF(O49="",set_WIPIncome,O49))))</f>
        <v/>
      </c>
      <c r="Q49" s="25">
        <f>IF(N(N49)=0,"",IF(N49&gt;0,IF(J49="Cost",IF(O49="","(set the P&amp;L Account)",O49),IF(O49="",set_WIPIncome,O49)),set_WIPAsset))</f>
        <v/>
      </c>
      <c r="R49" s="27">
        <f>IF(OR(N(N49)=0,K49&lt;&gt;""),"",ABS(N49))</f>
        <v/>
      </c>
      <c r="S49" s="25">
        <f>IF(N(N49)=0,"",IF(K49&lt;&gt;"","spreads monthly - see Deferred Revenue","WIP "&amp;I49&amp;IF(D49="",""," - "&amp;D49)&amp;IF(F49="",""," "&amp;F49)&amp;IF(H49="",""," - "&amp;H49)))</f>
        <v/>
      </c>
      <c r="T49" s="24" t="n"/>
      <c r="U49" s="24" t="n"/>
      <c r="V49" s="24" t="n"/>
    </row>
    <row r="50" ht="15" customHeight="1">
      <c r="A50" s="72" t="n"/>
      <c r="B50" s="70">
        <f>IF(C50="","",IFERROR(INDEX(tbl_Finance[Date],MATCH(C50&amp;"",tbl_Finance[Xero Invoice No],0)),""))</f>
        <v/>
      </c>
      <c r="C50" s="24" t="n"/>
      <c r="D50" s="24" t="n"/>
      <c r="E50" s="25">
        <f>IF(D50="","",IF(COUNTIF(lst_Jobs,D50&amp;"")&gt;0,"OK","CHECK"))</f>
        <v/>
      </c>
      <c r="F50" s="24" t="n"/>
      <c r="G50" s="24" t="n"/>
      <c r="H50" s="24" t="n"/>
      <c r="I50" s="24" t="n"/>
      <c r="J50" s="24" t="n"/>
      <c r="K50" s="22" t="n"/>
      <c r="L50" s="22" t="n"/>
      <c r="M50" s="25">
        <f>IF(N50="","",IF(OR(K50="",L50=""),"one month",TEXT(MAX(1,(YEAR(L50)-YEAR(K50))*12+MONTH(L50)-MONTH(K50)+1),"0")&amp;" months - see Deferred Revenue"))</f>
        <v/>
      </c>
      <c r="N50" s="26" t="n"/>
      <c r="O50" s="24" t="n"/>
      <c r="P50" s="25">
        <f>IF(N(N50)=0,"",IF(N50&gt;0,set_WIPAsset,IF(J50="Cost",IF(O50="","(set the P&amp;L Account)",O50),IF(O50="",set_WIPIncome,O50))))</f>
        <v/>
      </c>
      <c r="Q50" s="25">
        <f>IF(N(N50)=0,"",IF(N50&gt;0,IF(J50="Cost",IF(O50="","(set the P&amp;L Account)",O50),IF(O50="",set_WIPIncome,O50)),set_WIPAsset))</f>
        <v/>
      </c>
      <c r="R50" s="27">
        <f>IF(OR(N(N50)=0,K50&lt;&gt;""),"",ABS(N50))</f>
        <v/>
      </c>
      <c r="S50" s="25">
        <f>IF(N(N50)=0,"",IF(K50&lt;&gt;"","spreads monthly - see Deferred Revenue","WIP "&amp;I50&amp;IF(D50="",""," - "&amp;D50)&amp;IF(F50="",""," "&amp;F50)&amp;IF(H50="",""," - "&amp;H50)))</f>
        <v/>
      </c>
      <c r="T50" s="24" t="n"/>
      <c r="U50" s="24" t="n"/>
      <c r="V50" s="24" t="n"/>
    </row>
    <row r="51" ht="15" customHeight="1">
      <c r="A51" s="72" t="n"/>
      <c r="B51" s="70">
        <f>IF(C51="","",IFERROR(INDEX(tbl_Finance[Date],MATCH(C51&amp;"",tbl_Finance[Xero Invoice No],0)),""))</f>
        <v/>
      </c>
      <c r="C51" s="24" t="n"/>
      <c r="D51" s="24" t="n"/>
      <c r="E51" s="25">
        <f>IF(D51="","",IF(COUNTIF(lst_Jobs,D51&amp;"")&gt;0,"OK","CHECK"))</f>
        <v/>
      </c>
      <c r="F51" s="24" t="n"/>
      <c r="G51" s="24" t="n"/>
      <c r="H51" s="24" t="n"/>
      <c r="I51" s="24" t="n"/>
      <c r="J51" s="24" t="n"/>
      <c r="K51" s="22" t="n"/>
      <c r="L51" s="22" t="n"/>
      <c r="M51" s="25">
        <f>IF(N51="","",IF(OR(K51="",L51=""),"one month",TEXT(MAX(1,(YEAR(L51)-YEAR(K51))*12+MONTH(L51)-MONTH(K51)+1),"0")&amp;" months - see Deferred Revenue"))</f>
        <v/>
      </c>
      <c r="N51" s="26" t="n"/>
      <c r="O51" s="24" t="n"/>
      <c r="P51" s="25">
        <f>IF(N(N51)=0,"",IF(N51&gt;0,set_WIPAsset,IF(J51="Cost",IF(O51="","(set the P&amp;L Account)",O51),IF(O51="",set_WIPIncome,O51))))</f>
        <v/>
      </c>
      <c r="Q51" s="25">
        <f>IF(N(N51)=0,"",IF(N51&gt;0,IF(J51="Cost",IF(O51="","(set the P&amp;L Account)",O51),IF(O51="",set_WIPIncome,O51)),set_WIPAsset))</f>
        <v/>
      </c>
      <c r="R51" s="27">
        <f>IF(OR(N(N51)=0,K51&lt;&gt;""),"",ABS(N51))</f>
        <v/>
      </c>
      <c r="S51" s="25">
        <f>IF(N(N51)=0,"",IF(K51&lt;&gt;"","spreads monthly - see Deferred Revenue","WIP "&amp;I51&amp;IF(D51="",""," - "&amp;D51)&amp;IF(F51="",""," "&amp;F51)&amp;IF(H51="",""," - "&amp;H51)))</f>
        <v/>
      </c>
      <c r="T51" s="24" t="n"/>
      <c r="U51" s="24" t="n"/>
      <c r="V51" s="24" t="n"/>
    </row>
    <row r="52" ht="15" customHeight="1">
      <c r="A52" s="72" t="n"/>
      <c r="B52" s="70">
        <f>IF(C52="","",IFERROR(INDEX(tbl_Finance[Date],MATCH(C52&amp;"",tbl_Finance[Xero Invoice No],0)),""))</f>
        <v/>
      </c>
      <c r="C52" s="24" t="n"/>
      <c r="D52" s="24" t="n"/>
      <c r="E52" s="25">
        <f>IF(D52="","",IF(COUNTIF(lst_Jobs,D52&amp;"")&gt;0,"OK","CHECK"))</f>
        <v/>
      </c>
      <c r="F52" s="24" t="n"/>
      <c r="G52" s="24" t="n"/>
      <c r="H52" s="24" t="n"/>
      <c r="I52" s="24" t="n"/>
      <c r="J52" s="24" t="n"/>
      <c r="K52" s="22" t="n"/>
      <c r="L52" s="22" t="n"/>
      <c r="M52" s="25">
        <f>IF(N52="","",IF(OR(K52="",L52=""),"one month",TEXT(MAX(1,(YEAR(L52)-YEAR(K52))*12+MONTH(L52)-MONTH(K52)+1),"0")&amp;" months - see Deferred Revenue"))</f>
        <v/>
      </c>
      <c r="N52" s="26" t="n"/>
      <c r="O52" s="24" t="n"/>
      <c r="P52" s="25">
        <f>IF(N(N52)=0,"",IF(N52&gt;0,set_WIPAsset,IF(J52="Cost",IF(O52="","(set the P&amp;L Account)",O52),IF(O52="",set_WIPIncome,O52))))</f>
        <v/>
      </c>
      <c r="Q52" s="25">
        <f>IF(N(N52)=0,"",IF(N52&gt;0,IF(J52="Cost",IF(O52="","(set the P&amp;L Account)",O52),IF(O52="",set_WIPIncome,O52)),set_WIPAsset))</f>
        <v/>
      </c>
      <c r="R52" s="27">
        <f>IF(OR(N(N52)=0,K52&lt;&gt;""),"",ABS(N52))</f>
        <v/>
      </c>
      <c r="S52" s="25">
        <f>IF(N(N52)=0,"",IF(K52&lt;&gt;"","spreads monthly - see Deferred Revenue","WIP "&amp;I52&amp;IF(D52="",""," - "&amp;D52)&amp;IF(F52="",""," "&amp;F52)&amp;IF(H52="",""," - "&amp;H52)))</f>
        <v/>
      </c>
      <c r="T52" s="24" t="n"/>
      <c r="U52" s="24" t="n"/>
      <c r="V52" s="24" t="n"/>
    </row>
    <row r="53" ht="15" customHeight="1">
      <c r="A53" s="72" t="n"/>
      <c r="B53" s="70">
        <f>IF(C53="","",IFERROR(INDEX(tbl_Finance[Date],MATCH(C53&amp;"",tbl_Finance[Xero Invoice No],0)),""))</f>
        <v/>
      </c>
      <c r="C53" s="24" t="n"/>
      <c r="D53" s="24" t="n"/>
      <c r="E53" s="25">
        <f>IF(D53="","",IF(COUNTIF(lst_Jobs,D53&amp;"")&gt;0,"OK","CHECK"))</f>
        <v/>
      </c>
      <c r="F53" s="24" t="n"/>
      <c r="G53" s="24" t="n"/>
      <c r="H53" s="24" t="n"/>
      <c r="I53" s="24" t="n"/>
      <c r="J53" s="24" t="n"/>
      <c r="K53" s="22" t="n"/>
      <c r="L53" s="22" t="n"/>
      <c r="M53" s="25">
        <f>IF(N53="","",IF(OR(K53="",L53=""),"one month",TEXT(MAX(1,(YEAR(L53)-YEAR(K53))*12+MONTH(L53)-MONTH(K53)+1),"0")&amp;" months - see Deferred Revenue"))</f>
        <v/>
      </c>
      <c r="N53" s="26" t="n"/>
      <c r="O53" s="24" t="n"/>
      <c r="P53" s="25">
        <f>IF(N(N53)=0,"",IF(N53&gt;0,set_WIPAsset,IF(J53="Cost",IF(O53="","(set the P&amp;L Account)",O53),IF(O53="",set_WIPIncome,O53))))</f>
        <v/>
      </c>
      <c r="Q53" s="25">
        <f>IF(N(N53)=0,"",IF(N53&gt;0,IF(J53="Cost",IF(O53="","(set the P&amp;L Account)",O53),IF(O53="",set_WIPIncome,O53)),set_WIPAsset))</f>
        <v/>
      </c>
      <c r="R53" s="27">
        <f>IF(OR(N(N53)=0,K53&lt;&gt;""),"",ABS(N53))</f>
        <v/>
      </c>
      <c r="S53" s="25">
        <f>IF(N(N53)=0,"",IF(K53&lt;&gt;"","spreads monthly - see Deferred Revenue","WIP "&amp;I53&amp;IF(D53="",""," - "&amp;D53)&amp;IF(F53="",""," "&amp;F53)&amp;IF(H53="",""," - "&amp;H53)))</f>
        <v/>
      </c>
      <c r="T53" s="24" t="n"/>
      <c r="U53" s="24" t="n"/>
      <c r="V53" s="24" t="n"/>
    </row>
    <row r="54" ht="15" customHeight="1">
      <c r="A54" s="72" t="n"/>
      <c r="B54" s="70">
        <f>IF(C54="","",IFERROR(INDEX(tbl_Finance[Date],MATCH(C54&amp;"",tbl_Finance[Xero Invoice No],0)),""))</f>
        <v/>
      </c>
      <c r="C54" s="24" t="n"/>
      <c r="D54" s="24" t="n"/>
      <c r="E54" s="25">
        <f>IF(D54="","",IF(COUNTIF(lst_Jobs,D54&amp;"")&gt;0,"OK","CHECK"))</f>
        <v/>
      </c>
      <c r="F54" s="24" t="n"/>
      <c r="G54" s="24" t="n"/>
      <c r="H54" s="24" t="n"/>
      <c r="I54" s="24" t="n"/>
      <c r="J54" s="24" t="n"/>
      <c r="K54" s="22" t="n"/>
      <c r="L54" s="22" t="n"/>
      <c r="M54" s="25">
        <f>IF(N54="","",IF(OR(K54="",L54=""),"one month",TEXT(MAX(1,(YEAR(L54)-YEAR(K54))*12+MONTH(L54)-MONTH(K54)+1),"0")&amp;" months - see Deferred Revenue"))</f>
        <v/>
      </c>
      <c r="N54" s="26" t="n"/>
      <c r="O54" s="24" t="n"/>
      <c r="P54" s="25">
        <f>IF(N(N54)=0,"",IF(N54&gt;0,set_WIPAsset,IF(J54="Cost",IF(O54="","(set the P&amp;L Account)",O54),IF(O54="",set_WIPIncome,O54))))</f>
        <v/>
      </c>
      <c r="Q54" s="25">
        <f>IF(N(N54)=0,"",IF(N54&gt;0,IF(J54="Cost",IF(O54="","(set the P&amp;L Account)",O54),IF(O54="",set_WIPIncome,O54)),set_WIPAsset))</f>
        <v/>
      </c>
      <c r="R54" s="27">
        <f>IF(OR(N(N54)=0,K54&lt;&gt;""),"",ABS(N54))</f>
        <v/>
      </c>
      <c r="S54" s="25">
        <f>IF(N(N54)=0,"",IF(K54&lt;&gt;"","spreads monthly - see Deferred Revenue","WIP "&amp;I54&amp;IF(D54="",""," - "&amp;D54)&amp;IF(F54="",""," "&amp;F54)&amp;IF(H54="",""," - "&amp;H54)))</f>
        <v/>
      </c>
      <c r="T54" s="24" t="n"/>
      <c r="U54" s="24" t="n"/>
      <c r="V54" s="24" t="n"/>
    </row>
    <row r="55" ht="15" customHeight="1">
      <c r="A55" s="72" t="n"/>
      <c r="B55" s="70">
        <f>IF(C55="","",IFERROR(INDEX(tbl_Finance[Date],MATCH(C55&amp;"",tbl_Finance[Xero Invoice No],0)),""))</f>
        <v/>
      </c>
      <c r="C55" s="24" t="n"/>
      <c r="D55" s="24" t="n"/>
      <c r="E55" s="25">
        <f>IF(D55="","",IF(COUNTIF(lst_Jobs,D55&amp;"")&gt;0,"OK","CHECK"))</f>
        <v/>
      </c>
      <c r="F55" s="24" t="n"/>
      <c r="G55" s="24" t="n"/>
      <c r="H55" s="24" t="n"/>
      <c r="I55" s="24" t="n"/>
      <c r="J55" s="24" t="n"/>
      <c r="K55" s="22" t="n"/>
      <c r="L55" s="22" t="n"/>
      <c r="M55" s="25">
        <f>IF(N55="","",IF(OR(K55="",L55=""),"one month",TEXT(MAX(1,(YEAR(L55)-YEAR(K55))*12+MONTH(L55)-MONTH(K55)+1),"0")&amp;" months - see Deferred Revenue"))</f>
        <v/>
      </c>
      <c r="N55" s="26" t="n"/>
      <c r="O55" s="24" t="n"/>
      <c r="P55" s="25">
        <f>IF(N(N55)=0,"",IF(N55&gt;0,set_WIPAsset,IF(J55="Cost",IF(O55="","(set the P&amp;L Account)",O55),IF(O55="",set_WIPIncome,O55))))</f>
        <v/>
      </c>
      <c r="Q55" s="25">
        <f>IF(N(N55)=0,"",IF(N55&gt;0,IF(J55="Cost",IF(O55="","(set the P&amp;L Account)",O55),IF(O55="",set_WIPIncome,O55)),set_WIPAsset))</f>
        <v/>
      </c>
      <c r="R55" s="27">
        <f>IF(OR(N(N55)=0,K55&lt;&gt;""),"",ABS(N55))</f>
        <v/>
      </c>
      <c r="S55" s="25">
        <f>IF(N(N55)=0,"",IF(K55&lt;&gt;"","spreads monthly - see Deferred Revenue","WIP "&amp;I55&amp;IF(D55="",""," - "&amp;D55)&amp;IF(F55="",""," "&amp;F55)&amp;IF(H55="",""," - "&amp;H55)))</f>
        <v/>
      </c>
      <c r="T55" s="24" t="n"/>
      <c r="U55" s="24" t="n"/>
      <c r="V55" s="24" t="n"/>
    </row>
    <row r="56" ht="15" customHeight="1">
      <c r="A56" s="72" t="n"/>
      <c r="B56" s="70">
        <f>IF(C56="","",IFERROR(INDEX(tbl_Finance[Date],MATCH(C56&amp;"",tbl_Finance[Xero Invoice No],0)),""))</f>
        <v/>
      </c>
      <c r="C56" s="24" t="n"/>
      <c r="D56" s="24" t="n"/>
      <c r="E56" s="25">
        <f>IF(D56="","",IF(COUNTIF(lst_Jobs,D56&amp;"")&gt;0,"OK","CHECK"))</f>
        <v/>
      </c>
      <c r="F56" s="24" t="n"/>
      <c r="G56" s="24" t="n"/>
      <c r="H56" s="24" t="n"/>
      <c r="I56" s="24" t="n"/>
      <c r="J56" s="24" t="n"/>
      <c r="K56" s="22" t="n"/>
      <c r="L56" s="22" t="n"/>
      <c r="M56" s="25">
        <f>IF(N56="","",IF(OR(K56="",L56=""),"one month",TEXT(MAX(1,(YEAR(L56)-YEAR(K56))*12+MONTH(L56)-MONTH(K56)+1),"0")&amp;" months - see Deferred Revenue"))</f>
        <v/>
      </c>
      <c r="N56" s="26" t="n"/>
      <c r="O56" s="24" t="n"/>
      <c r="P56" s="25">
        <f>IF(N(N56)=0,"",IF(N56&gt;0,set_WIPAsset,IF(J56="Cost",IF(O56="","(set the P&amp;L Account)",O56),IF(O56="",set_WIPIncome,O56))))</f>
        <v/>
      </c>
      <c r="Q56" s="25">
        <f>IF(N(N56)=0,"",IF(N56&gt;0,IF(J56="Cost",IF(O56="","(set the P&amp;L Account)",O56),IF(O56="",set_WIPIncome,O56)),set_WIPAsset))</f>
        <v/>
      </c>
      <c r="R56" s="27">
        <f>IF(OR(N(N56)=0,K56&lt;&gt;""),"",ABS(N56))</f>
        <v/>
      </c>
      <c r="S56" s="25">
        <f>IF(N(N56)=0,"",IF(K56&lt;&gt;"","spreads monthly - see Deferred Revenue","WIP "&amp;I56&amp;IF(D56="",""," - "&amp;D56)&amp;IF(F56="",""," "&amp;F56)&amp;IF(H56="",""," - "&amp;H56)))</f>
        <v/>
      </c>
      <c r="T56" s="24" t="n"/>
      <c r="U56" s="24" t="n"/>
      <c r="V56" s="24" t="n"/>
    </row>
    <row r="57" ht="15" customHeight="1">
      <c r="A57" s="72" t="n"/>
      <c r="B57" s="70">
        <f>IF(C57="","",IFERROR(INDEX(tbl_Finance[Date],MATCH(C57&amp;"",tbl_Finance[Xero Invoice No],0)),""))</f>
        <v/>
      </c>
      <c r="C57" s="24" t="n"/>
      <c r="D57" s="24" t="n"/>
      <c r="E57" s="25">
        <f>IF(D57="","",IF(COUNTIF(lst_Jobs,D57&amp;"")&gt;0,"OK","CHECK"))</f>
        <v/>
      </c>
      <c r="F57" s="24" t="n"/>
      <c r="G57" s="24" t="n"/>
      <c r="H57" s="24" t="n"/>
      <c r="I57" s="24" t="n"/>
      <c r="J57" s="24" t="n"/>
      <c r="K57" s="22" t="n"/>
      <c r="L57" s="22" t="n"/>
      <c r="M57" s="25">
        <f>IF(N57="","",IF(OR(K57="",L57=""),"one month",TEXT(MAX(1,(YEAR(L57)-YEAR(K57))*12+MONTH(L57)-MONTH(K57)+1),"0")&amp;" months - see Deferred Revenue"))</f>
        <v/>
      </c>
      <c r="N57" s="26" t="n"/>
      <c r="O57" s="24" t="n"/>
      <c r="P57" s="25">
        <f>IF(N(N57)=0,"",IF(N57&gt;0,set_WIPAsset,IF(J57="Cost",IF(O57="","(set the P&amp;L Account)",O57),IF(O57="",set_WIPIncome,O57))))</f>
        <v/>
      </c>
      <c r="Q57" s="25">
        <f>IF(N(N57)=0,"",IF(N57&gt;0,IF(J57="Cost",IF(O57="","(set the P&amp;L Account)",O57),IF(O57="",set_WIPIncome,O57)),set_WIPAsset))</f>
        <v/>
      </c>
      <c r="R57" s="27">
        <f>IF(OR(N(N57)=0,K57&lt;&gt;""),"",ABS(N57))</f>
        <v/>
      </c>
      <c r="S57" s="25">
        <f>IF(N(N57)=0,"",IF(K57&lt;&gt;"","spreads monthly - see Deferred Revenue","WIP "&amp;I57&amp;IF(D57="",""," - "&amp;D57)&amp;IF(F57="",""," "&amp;F57)&amp;IF(H57="",""," - "&amp;H57)))</f>
        <v/>
      </c>
      <c r="T57" s="24" t="n"/>
      <c r="U57" s="24" t="n"/>
      <c r="V57" s="24" t="n"/>
    </row>
    <row r="58" ht="15" customHeight="1">
      <c r="A58" s="72" t="n"/>
      <c r="B58" s="70">
        <f>IF(C58="","",IFERROR(INDEX(tbl_Finance[Date],MATCH(C58&amp;"",tbl_Finance[Xero Invoice No],0)),""))</f>
        <v/>
      </c>
      <c r="C58" s="24" t="n"/>
      <c r="D58" s="24" t="n"/>
      <c r="E58" s="25">
        <f>IF(D58="","",IF(COUNTIF(lst_Jobs,D58&amp;"")&gt;0,"OK","CHECK"))</f>
        <v/>
      </c>
      <c r="F58" s="24" t="n"/>
      <c r="G58" s="24" t="n"/>
      <c r="H58" s="24" t="n"/>
      <c r="I58" s="24" t="n"/>
      <c r="J58" s="24" t="n"/>
      <c r="K58" s="22" t="n"/>
      <c r="L58" s="22" t="n"/>
      <c r="M58" s="25">
        <f>IF(N58="","",IF(OR(K58="",L58=""),"one month",TEXT(MAX(1,(YEAR(L58)-YEAR(K58))*12+MONTH(L58)-MONTH(K58)+1),"0")&amp;" months - see Deferred Revenue"))</f>
        <v/>
      </c>
      <c r="N58" s="26" t="n"/>
      <c r="O58" s="24" t="n"/>
      <c r="P58" s="25">
        <f>IF(N(N58)=0,"",IF(N58&gt;0,set_WIPAsset,IF(J58="Cost",IF(O58="","(set the P&amp;L Account)",O58),IF(O58="",set_WIPIncome,O58))))</f>
        <v/>
      </c>
      <c r="Q58" s="25">
        <f>IF(N(N58)=0,"",IF(N58&gt;0,IF(J58="Cost",IF(O58="","(set the P&amp;L Account)",O58),IF(O58="",set_WIPIncome,O58)),set_WIPAsset))</f>
        <v/>
      </c>
      <c r="R58" s="27">
        <f>IF(OR(N(N58)=0,K58&lt;&gt;""),"",ABS(N58))</f>
        <v/>
      </c>
      <c r="S58" s="25">
        <f>IF(N(N58)=0,"",IF(K58&lt;&gt;"","spreads monthly - see Deferred Revenue","WIP "&amp;I58&amp;IF(D58="",""," - "&amp;D58)&amp;IF(F58="",""," "&amp;F58)&amp;IF(H58="",""," - "&amp;H58)))</f>
        <v/>
      </c>
      <c r="T58" s="24" t="n"/>
      <c r="U58" s="24" t="n"/>
      <c r="V58" s="24" t="n"/>
    </row>
    <row r="59" ht="15" customHeight="1">
      <c r="A59" s="72" t="n"/>
      <c r="B59" s="70">
        <f>IF(C59="","",IFERROR(INDEX(tbl_Finance[Date],MATCH(C59&amp;"",tbl_Finance[Xero Invoice No],0)),""))</f>
        <v/>
      </c>
      <c r="C59" s="24" t="n"/>
      <c r="D59" s="24" t="n"/>
      <c r="E59" s="25">
        <f>IF(D59="","",IF(COUNTIF(lst_Jobs,D59&amp;"")&gt;0,"OK","CHECK"))</f>
        <v/>
      </c>
      <c r="F59" s="24" t="n"/>
      <c r="G59" s="24" t="n"/>
      <c r="H59" s="24" t="n"/>
      <c r="I59" s="24" t="n"/>
      <c r="J59" s="24" t="n"/>
      <c r="K59" s="22" t="n"/>
      <c r="L59" s="22" t="n"/>
      <c r="M59" s="25">
        <f>IF(N59="","",IF(OR(K59="",L59=""),"one month",TEXT(MAX(1,(YEAR(L59)-YEAR(K59))*12+MONTH(L59)-MONTH(K59)+1),"0")&amp;" months - see Deferred Revenue"))</f>
        <v/>
      </c>
      <c r="N59" s="26" t="n"/>
      <c r="O59" s="24" t="n"/>
      <c r="P59" s="25">
        <f>IF(N(N59)=0,"",IF(N59&gt;0,set_WIPAsset,IF(J59="Cost",IF(O59="","(set the P&amp;L Account)",O59),IF(O59="",set_WIPIncome,O59))))</f>
        <v/>
      </c>
      <c r="Q59" s="25">
        <f>IF(N(N59)=0,"",IF(N59&gt;0,IF(J59="Cost",IF(O59="","(set the P&amp;L Account)",O59),IF(O59="",set_WIPIncome,O59)),set_WIPAsset))</f>
        <v/>
      </c>
      <c r="R59" s="27">
        <f>IF(OR(N(N59)=0,K59&lt;&gt;""),"",ABS(N59))</f>
        <v/>
      </c>
      <c r="S59" s="25">
        <f>IF(N(N59)=0,"",IF(K59&lt;&gt;"","spreads monthly - see Deferred Revenue","WIP "&amp;I59&amp;IF(D59="",""," - "&amp;D59)&amp;IF(F59="",""," "&amp;F59)&amp;IF(H59="",""," - "&amp;H59)))</f>
        <v/>
      </c>
      <c r="T59" s="24" t="n"/>
      <c r="U59" s="24" t="n"/>
      <c r="V59" s="24" t="n"/>
    </row>
    <row r="60" ht="15" customHeight="1">
      <c r="A60" s="72" t="n"/>
      <c r="B60" s="70">
        <f>IF(C60="","",IFERROR(INDEX(tbl_Finance[Date],MATCH(C60&amp;"",tbl_Finance[Xero Invoice No],0)),""))</f>
        <v/>
      </c>
      <c r="C60" s="24" t="n"/>
      <c r="D60" s="24" t="n"/>
      <c r="E60" s="25">
        <f>IF(D60="","",IF(COUNTIF(lst_Jobs,D60&amp;"")&gt;0,"OK","CHECK"))</f>
        <v/>
      </c>
      <c r="F60" s="24" t="n"/>
      <c r="G60" s="24" t="n"/>
      <c r="H60" s="24" t="n"/>
      <c r="I60" s="24" t="n"/>
      <c r="J60" s="24" t="n"/>
      <c r="K60" s="22" t="n"/>
      <c r="L60" s="22" t="n"/>
      <c r="M60" s="25">
        <f>IF(N60="","",IF(OR(K60="",L60=""),"one month",TEXT(MAX(1,(YEAR(L60)-YEAR(K60))*12+MONTH(L60)-MONTH(K60)+1),"0")&amp;" months - see Deferred Revenue"))</f>
        <v/>
      </c>
      <c r="N60" s="26" t="n"/>
      <c r="O60" s="24" t="n"/>
      <c r="P60" s="25">
        <f>IF(N(N60)=0,"",IF(N60&gt;0,set_WIPAsset,IF(J60="Cost",IF(O60="","(set the P&amp;L Account)",O60),IF(O60="",set_WIPIncome,O60))))</f>
        <v/>
      </c>
      <c r="Q60" s="25">
        <f>IF(N(N60)=0,"",IF(N60&gt;0,IF(J60="Cost",IF(O60="","(set the P&amp;L Account)",O60),IF(O60="",set_WIPIncome,O60)),set_WIPAsset))</f>
        <v/>
      </c>
      <c r="R60" s="27">
        <f>IF(OR(N(N60)=0,K60&lt;&gt;""),"",ABS(N60))</f>
        <v/>
      </c>
      <c r="S60" s="25">
        <f>IF(N(N60)=0,"",IF(K60&lt;&gt;"","spreads monthly - see Deferred Revenue","WIP "&amp;I60&amp;IF(D60="",""," - "&amp;D60)&amp;IF(F60="",""," "&amp;F60)&amp;IF(H60="",""," - "&amp;H60)))</f>
        <v/>
      </c>
      <c r="T60" s="24" t="n"/>
      <c r="U60" s="24" t="n"/>
      <c r="V60" s="24" t="n"/>
    </row>
    <row r="61" ht="15" customHeight="1">
      <c r="A61" s="72" t="n"/>
      <c r="B61" s="70">
        <f>IF(C61="","",IFERROR(INDEX(tbl_Finance[Date],MATCH(C61&amp;"",tbl_Finance[Xero Invoice No],0)),""))</f>
        <v/>
      </c>
      <c r="C61" s="24" t="n"/>
      <c r="D61" s="24" t="n"/>
      <c r="E61" s="25">
        <f>IF(D61="","",IF(COUNTIF(lst_Jobs,D61&amp;"")&gt;0,"OK","CHECK"))</f>
        <v/>
      </c>
      <c r="F61" s="24" t="n"/>
      <c r="G61" s="24" t="n"/>
      <c r="H61" s="24" t="n"/>
      <c r="I61" s="24" t="n"/>
      <c r="J61" s="24" t="n"/>
      <c r="K61" s="22" t="n"/>
      <c r="L61" s="22" t="n"/>
      <c r="M61" s="25">
        <f>IF(N61="","",IF(OR(K61="",L61=""),"one month",TEXT(MAX(1,(YEAR(L61)-YEAR(K61))*12+MONTH(L61)-MONTH(K61)+1),"0")&amp;" months - see Deferred Revenue"))</f>
        <v/>
      </c>
      <c r="N61" s="26" t="n"/>
      <c r="O61" s="24" t="n"/>
      <c r="P61" s="25">
        <f>IF(N(N61)=0,"",IF(N61&gt;0,set_WIPAsset,IF(J61="Cost",IF(O61="","(set the P&amp;L Account)",O61),IF(O61="",set_WIPIncome,O61))))</f>
        <v/>
      </c>
      <c r="Q61" s="25">
        <f>IF(N(N61)=0,"",IF(N61&gt;0,IF(J61="Cost",IF(O61="","(set the P&amp;L Account)",O61),IF(O61="",set_WIPIncome,O61)),set_WIPAsset))</f>
        <v/>
      </c>
      <c r="R61" s="27">
        <f>IF(OR(N(N61)=0,K61&lt;&gt;""),"",ABS(N61))</f>
        <v/>
      </c>
      <c r="S61" s="25">
        <f>IF(N(N61)=0,"",IF(K61&lt;&gt;"","spreads monthly - see Deferred Revenue","WIP "&amp;I61&amp;IF(D61="",""," - "&amp;D61)&amp;IF(F61="",""," "&amp;F61)&amp;IF(H61="",""," - "&amp;H61)))</f>
        <v/>
      </c>
      <c r="T61" s="24" t="n"/>
      <c r="U61" s="24" t="n"/>
      <c r="V61" s="24" t="n"/>
    </row>
    <row r="62" ht="15" customHeight="1">
      <c r="A62" s="72" t="n"/>
      <c r="B62" s="70">
        <f>IF(C62="","",IFERROR(INDEX(tbl_Finance[Date],MATCH(C62&amp;"",tbl_Finance[Xero Invoice No],0)),""))</f>
        <v/>
      </c>
      <c r="C62" s="24" t="n"/>
      <c r="D62" s="24" t="n"/>
      <c r="E62" s="25">
        <f>IF(D62="","",IF(COUNTIF(lst_Jobs,D62&amp;"")&gt;0,"OK","CHECK"))</f>
        <v/>
      </c>
      <c r="F62" s="24" t="n"/>
      <c r="G62" s="24" t="n"/>
      <c r="H62" s="24" t="n"/>
      <c r="I62" s="24" t="n"/>
      <c r="J62" s="24" t="n"/>
      <c r="K62" s="22" t="n"/>
      <c r="L62" s="22" t="n"/>
      <c r="M62" s="25">
        <f>IF(N62="","",IF(OR(K62="",L62=""),"one month",TEXT(MAX(1,(YEAR(L62)-YEAR(K62))*12+MONTH(L62)-MONTH(K62)+1),"0")&amp;" months - see Deferred Revenue"))</f>
        <v/>
      </c>
      <c r="N62" s="26" t="n"/>
      <c r="O62" s="24" t="n"/>
      <c r="P62" s="25">
        <f>IF(N(N62)=0,"",IF(N62&gt;0,set_WIPAsset,IF(J62="Cost",IF(O62="","(set the P&amp;L Account)",O62),IF(O62="",set_WIPIncome,O62))))</f>
        <v/>
      </c>
      <c r="Q62" s="25">
        <f>IF(N(N62)=0,"",IF(N62&gt;0,IF(J62="Cost",IF(O62="","(set the P&amp;L Account)",O62),IF(O62="",set_WIPIncome,O62)),set_WIPAsset))</f>
        <v/>
      </c>
      <c r="R62" s="27">
        <f>IF(OR(N(N62)=0,K62&lt;&gt;""),"",ABS(N62))</f>
        <v/>
      </c>
      <c r="S62" s="25">
        <f>IF(N(N62)=0,"",IF(K62&lt;&gt;"","spreads monthly - see Deferred Revenue","WIP "&amp;I62&amp;IF(D62="",""," - "&amp;D62)&amp;IF(F62="",""," "&amp;F62)&amp;IF(H62="",""," - "&amp;H62)))</f>
        <v/>
      </c>
      <c r="T62" s="24" t="n"/>
      <c r="U62" s="24" t="n"/>
      <c r="V62" s="24" t="n"/>
    </row>
    <row r="63" ht="15" customHeight="1">
      <c r="A63" s="72" t="n"/>
      <c r="B63" s="70">
        <f>IF(C63="","",IFERROR(INDEX(tbl_Finance[Date],MATCH(C63&amp;"",tbl_Finance[Xero Invoice No],0)),""))</f>
        <v/>
      </c>
      <c r="C63" s="24" t="n"/>
      <c r="D63" s="24" t="n"/>
      <c r="E63" s="25">
        <f>IF(D63="","",IF(COUNTIF(lst_Jobs,D63&amp;"")&gt;0,"OK","CHECK"))</f>
        <v/>
      </c>
      <c r="F63" s="24" t="n"/>
      <c r="G63" s="24" t="n"/>
      <c r="H63" s="24" t="n"/>
      <c r="I63" s="24" t="n"/>
      <c r="J63" s="24" t="n"/>
      <c r="K63" s="22" t="n"/>
      <c r="L63" s="22" t="n"/>
      <c r="M63" s="25">
        <f>IF(N63="","",IF(OR(K63="",L63=""),"one month",TEXT(MAX(1,(YEAR(L63)-YEAR(K63))*12+MONTH(L63)-MONTH(K63)+1),"0")&amp;" months - see Deferred Revenue"))</f>
        <v/>
      </c>
      <c r="N63" s="26" t="n"/>
      <c r="O63" s="24" t="n"/>
      <c r="P63" s="25">
        <f>IF(N(N63)=0,"",IF(N63&gt;0,set_WIPAsset,IF(J63="Cost",IF(O63="","(set the P&amp;L Account)",O63),IF(O63="",set_WIPIncome,O63))))</f>
        <v/>
      </c>
      <c r="Q63" s="25">
        <f>IF(N(N63)=0,"",IF(N63&gt;0,IF(J63="Cost",IF(O63="","(set the P&amp;L Account)",O63),IF(O63="",set_WIPIncome,O63)),set_WIPAsset))</f>
        <v/>
      </c>
      <c r="R63" s="27">
        <f>IF(OR(N(N63)=0,K63&lt;&gt;""),"",ABS(N63))</f>
        <v/>
      </c>
      <c r="S63" s="25">
        <f>IF(N(N63)=0,"",IF(K63&lt;&gt;"","spreads monthly - see Deferred Revenue","WIP "&amp;I63&amp;IF(D63="",""," - "&amp;D63)&amp;IF(F63="",""," "&amp;F63)&amp;IF(H63="",""," - "&amp;H63)))</f>
        <v/>
      </c>
      <c r="T63" s="24" t="n"/>
      <c r="U63" s="24" t="n"/>
      <c r="V63" s="24" t="n"/>
    </row>
    <row r="64" ht="15" customHeight="1">
      <c r="A64" s="72" t="n"/>
      <c r="B64" s="70">
        <f>IF(C64="","",IFERROR(INDEX(tbl_Finance[Date],MATCH(C64&amp;"",tbl_Finance[Xero Invoice No],0)),""))</f>
        <v/>
      </c>
      <c r="C64" s="24" t="n"/>
      <c r="D64" s="24" t="n"/>
      <c r="E64" s="25">
        <f>IF(D64="","",IF(COUNTIF(lst_Jobs,D64&amp;"")&gt;0,"OK","CHECK"))</f>
        <v/>
      </c>
      <c r="F64" s="24" t="n"/>
      <c r="G64" s="24" t="n"/>
      <c r="H64" s="24" t="n"/>
      <c r="I64" s="24" t="n"/>
      <c r="J64" s="24" t="n"/>
      <c r="K64" s="22" t="n"/>
      <c r="L64" s="22" t="n"/>
      <c r="M64" s="25">
        <f>IF(N64="","",IF(OR(K64="",L64=""),"one month",TEXT(MAX(1,(YEAR(L64)-YEAR(K64))*12+MONTH(L64)-MONTH(K64)+1),"0")&amp;" months - see Deferred Revenue"))</f>
        <v/>
      </c>
      <c r="N64" s="26" t="n"/>
      <c r="O64" s="24" t="n"/>
      <c r="P64" s="25">
        <f>IF(N(N64)=0,"",IF(N64&gt;0,set_WIPAsset,IF(J64="Cost",IF(O64="","(set the P&amp;L Account)",O64),IF(O64="",set_WIPIncome,O64))))</f>
        <v/>
      </c>
      <c r="Q64" s="25">
        <f>IF(N(N64)=0,"",IF(N64&gt;0,IF(J64="Cost",IF(O64="","(set the P&amp;L Account)",O64),IF(O64="",set_WIPIncome,O64)),set_WIPAsset))</f>
        <v/>
      </c>
      <c r="R64" s="27">
        <f>IF(OR(N(N64)=0,K64&lt;&gt;""),"",ABS(N64))</f>
        <v/>
      </c>
      <c r="S64" s="25">
        <f>IF(N(N64)=0,"",IF(K64&lt;&gt;"","spreads monthly - see Deferred Revenue","WIP "&amp;I64&amp;IF(D64="",""," - "&amp;D64)&amp;IF(F64="",""," "&amp;F64)&amp;IF(H64="",""," - "&amp;H64)))</f>
        <v/>
      </c>
      <c r="T64" s="24" t="n"/>
      <c r="U64" s="24" t="n"/>
      <c r="V64" s="24" t="n"/>
    </row>
    <row r="65" ht="15" customHeight="1">
      <c r="A65" s="72" t="n"/>
      <c r="B65" s="70">
        <f>IF(C65="","",IFERROR(INDEX(tbl_Finance[Date],MATCH(C65&amp;"",tbl_Finance[Xero Invoice No],0)),""))</f>
        <v/>
      </c>
      <c r="C65" s="24" t="n"/>
      <c r="D65" s="24" t="n"/>
      <c r="E65" s="25">
        <f>IF(D65="","",IF(COUNTIF(lst_Jobs,D65&amp;"")&gt;0,"OK","CHECK"))</f>
        <v/>
      </c>
      <c r="F65" s="24" t="n"/>
      <c r="G65" s="24" t="n"/>
      <c r="H65" s="24" t="n"/>
      <c r="I65" s="24" t="n"/>
      <c r="J65" s="24" t="n"/>
      <c r="K65" s="22" t="n"/>
      <c r="L65" s="22" t="n"/>
      <c r="M65" s="25">
        <f>IF(N65="","",IF(OR(K65="",L65=""),"one month",TEXT(MAX(1,(YEAR(L65)-YEAR(K65))*12+MONTH(L65)-MONTH(K65)+1),"0")&amp;" months - see Deferred Revenue"))</f>
        <v/>
      </c>
      <c r="N65" s="26" t="n"/>
      <c r="O65" s="24" t="n"/>
      <c r="P65" s="25">
        <f>IF(N(N65)=0,"",IF(N65&gt;0,set_WIPAsset,IF(J65="Cost",IF(O65="","(set the P&amp;L Account)",O65),IF(O65="",set_WIPIncome,O65))))</f>
        <v/>
      </c>
      <c r="Q65" s="25">
        <f>IF(N(N65)=0,"",IF(N65&gt;0,IF(J65="Cost",IF(O65="","(set the P&amp;L Account)",O65),IF(O65="",set_WIPIncome,O65)),set_WIPAsset))</f>
        <v/>
      </c>
      <c r="R65" s="27">
        <f>IF(OR(N(N65)=0,K65&lt;&gt;""),"",ABS(N65))</f>
        <v/>
      </c>
      <c r="S65" s="25">
        <f>IF(N(N65)=0,"",IF(K65&lt;&gt;"","spreads monthly - see Deferred Revenue","WIP "&amp;I65&amp;IF(D65="",""," - "&amp;D65)&amp;IF(F65="",""," "&amp;F65)&amp;IF(H65="",""," - "&amp;H65)))</f>
        <v/>
      </c>
      <c r="T65" s="24" t="n"/>
      <c r="U65" s="24" t="n"/>
      <c r="V65" s="24" t="n"/>
    </row>
    <row r="66" ht="15" customHeight="1">
      <c r="A66" s="72" t="n"/>
      <c r="B66" s="70">
        <f>IF(C66="","",IFERROR(INDEX(tbl_Finance[Date],MATCH(C66&amp;"",tbl_Finance[Xero Invoice No],0)),""))</f>
        <v/>
      </c>
      <c r="C66" s="24" t="n"/>
      <c r="D66" s="24" t="n"/>
      <c r="E66" s="25">
        <f>IF(D66="","",IF(COUNTIF(lst_Jobs,D66&amp;"")&gt;0,"OK","CHECK"))</f>
        <v/>
      </c>
      <c r="F66" s="24" t="n"/>
      <c r="G66" s="24" t="n"/>
      <c r="H66" s="24" t="n"/>
      <c r="I66" s="24" t="n"/>
      <c r="J66" s="24" t="n"/>
      <c r="K66" s="22" t="n"/>
      <c r="L66" s="22" t="n"/>
      <c r="M66" s="25">
        <f>IF(N66="","",IF(OR(K66="",L66=""),"one month",TEXT(MAX(1,(YEAR(L66)-YEAR(K66))*12+MONTH(L66)-MONTH(K66)+1),"0")&amp;" months - see Deferred Revenue"))</f>
        <v/>
      </c>
      <c r="N66" s="26" t="n"/>
      <c r="O66" s="24" t="n"/>
      <c r="P66" s="25">
        <f>IF(N(N66)=0,"",IF(N66&gt;0,set_WIPAsset,IF(J66="Cost",IF(O66="","(set the P&amp;L Account)",O66),IF(O66="",set_WIPIncome,O66))))</f>
        <v/>
      </c>
      <c r="Q66" s="25">
        <f>IF(N(N66)=0,"",IF(N66&gt;0,IF(J66="Cost",IF(O66="","(set the P&amp;L Account)",O66),IF(O66="",set_WIPIncome,O66)),set_WIPAsset))</f>
        <v/>
      </c>
      <c r="R66" s="27">
        <f>IF(OR(N(N66)=0,K66&lt;&gt;""),"",ABS(N66))</f>
        <v/>
      </c>
      <c r="S66" s="25">
        <f>IF(N(N66)=0,"",IF(K66&lt;&gt;"","spreads monthly - see Deferred Revenue","WIP "&amp;I66&amp;IF(D66="",""," - "&amp;D66)&amp;IF(F66="",""," "&amp;F66)&amp;IF(H66="",""," - "&amp;H66)))</f>
        <v/>
      </c>
      <c r="T66" s="24" t="n"/>
      <c r="U66" s="24" t="n"/>
      <c r="V66" s="24" t="n"/>
    </row>
    <row r="67" ht="15" customHeight="1">
      <c r="A67" s="72" t="n"/>
      <c r="B67" s="70">
        <f>IF(C67="","",IFERROR(INDEX(tbl_Finance[Date],MATCH(C67&amp;"",tbl_Finance[Xero Invoice No],0)),""))</f>
        <v/>
      </c>
      <c r="C67" s="24" t="n"/>
      <c r="D67" s="24" t="n"/>
      <c r="E67" s="25">
        <f>IF(D67="","",IF(COUNTIF(lst_Jobs,D67&amp;"")&gt;0,"OK","CHECK"))</f>
        <v/>
      </c>
      <c r="F67" s="24" t="n"/>
      <c r="G67" s="24" t="n"/>
      <c r="H67" s="24" t="n"/>
      <c r="I67" s="24" t="n"/>
      <c r="J67" s="24" t="n"/>
      <c r="K67" s="22" t="n"/>
      <c r="L67" s="22" t="n"/>
      <c r="M67" s="25">
        <f>IF(N67="","",IF(OR(K67="",L67=""),"one month",TEXT(MAX(1,(YEAR(L67)-YEAR(K67))*12+MONTH(L67)-MONTH(K67)+1),"0")&amp;" months - see Deferred Revenue"))</f>
        <v/>
      </c>
      <c r="N67" s="26" t="n"/>
      <c r="O67" s="24" t="n"/>
      <c r="P67" s="25">
        <f>IF(N(N67)=0,"",IF(N67&gt;0,set_WIPAsset,IF(J67="Cost",IF(O67="","(set the P&amp;L Account)",O67),IF(O67="",set_WIPIncome,O67))))</f>
        <v/>
      </c>
      <c r="Q67" s="25">
        <f>IF(N(N67)=0,"",IF(N67&gt;0,IF(J67="Cost",IF(O67="","(set the P&amp;L Account)",O67),IF(O67="",set_WIPIncome,O67)),set_WIPAsset))</f>
        <v/>
      </c>
      <c r="R67" s="27">
        <f>IF(OR(N(N67)=0,K67&lt;&gt;""),"",ABS(N67))</f>
        <v/>
      </c>
      <c r="S67" s="25">
        <f>IF(N(N67)=0,"",IF(K67&lt;&gt;"","spreads monthly - see Deferred Revenue","WIP "&amp;I67&amp;IF(D67="",""," - "&amp;D67)&amp;IF(F67="",""," "&amp;F67)&amp;IF(H67="",""," - "&amp;H67)))</f>
        <v/>
      </c>
      <c r="T67" s="24" t="n"/>
      <c r="U67" s="24" t="n"/>
      <c r="V67" s="24" t="n"/>
    </row>
    <row r="68" ht="15" customHeight="1">
      <c r="A68" s="72" t="n"/>
      <c r="B68" s="70">
        <f>IF(C68="","",IFERROR(INDEX(tbl_Finance[Date],MATCH(C68&amp;"",tbl_Finance[Xero Invoice No],0)),""))</f>
        <v/>
      </c>
      <c r="C68" s="24" t="n"/>
      <c r="D68" s="24" t="n"/>
      <c r="E68" s="25">
        <f>IF(D68="","",IF(COUNTIF(lst_Jobs,D68&amp;"")&gt;0,"OK","CHECK"))</f>
        <v/>
      </c>
      <c r="F68" s="24" t="n"/>
      <c r="G68" s="24" t="n"/>
      <c r="H68" s="24" t="n"/>
      <c r="I68" s="24" t="n"/>
      <c r="J68" s="24" t="n"/>
      <c r="K68" s="22" t="n"/>
      <c r="L68" s="22" t="n"/>
      <c r="M68" s="25">
        <f>IF(N68="","",IF(OR(K68="",L68=""),"one month",TEXT(MAX(1,(YEAR(L68)-YEAR(K68))*12+MONTH(L68)-MONTH(K68)+1),"0")&amp;" months - see Deferred Revenue"))</f>
        <v/>
      </c>
      <c r="N68" s="26" t="n"/>
      <c r="O68" s="24" t="n"/>
      <c r="P68" s="25">
        <f>IF(N(N68)=0,"",IF(N68&gt;0,set_WIPAsset,IF(J68="Cost",IF(O68="","(set the P&amp;L Account)",O68),IF(O68="",set_WIPIncome,O68))))</f>
        <v/>
      </c>
      <c r="Q68" s="25">
        <f>IF(N(N68)=0,"",IF(N68&gt;0,IF(J68="Cost",IF(O68="","(set the P&amp;L Account)",O68),IF(O68="",set_WIPIncome,O68)),set_WIPAsset))</f>
        <v/>
      </c>
      <c r="R68" s="27">
        <f>IF(OR(N(N68)=0,K68&lt;&gt;""),"",ABS(N68))</f>
        <v/>
      </c>
      <c r="S68" s="25">
        <f>IF(N(N68)=0,"",IF(K68&lt;&gt;"","spreads monthly - see Deferred Revenue","WIP "&amp;I68&amp;IF(D68="",""," - "&amp;D68)&amp;IF(F68="",""," "&amp;F68)&amp;IF(H68="",""," - "&amp;H68)))</f>
        <v/>
      </c>
      <c r="T68" s="24" t="n"/>
      <c r="U68" s="24" t="n"/>
      <c r="V68" s="24" t="n"/>
    </row>
    <row r="69" ht="15" customHeight="1">
      <c r="A69" s="72" t="n"/>
      <c r="B69" s="70">
        <f>IF(C69="","",IFERROR(INDEX(tbl_Finance[Date],MATCH(C69&amp;"",tbl_Finance[Xero Invoice No],0)),""))</f>
        <v/>
      </c>
      <c r="C69" s="24" t="n"/>
      <c r="D69" s="24" t="n"/>
      <c r="E69" s="25">
        <f>IF(D69="","",IF(COUNTIF(lst_Jobs,D69&amp;"")&gt;0,"OK","CHECK"))</f>
        <v/>
      </c>
      <c r="F69" s="24" t="n"/>
      <c r="G69" s="24" t="n"/>
      <c r="H69" s="24" t="n"/>
      <c r="I69" s="24" t="n"/>
      <c r="J69" s="24" t="n"/>
      <c r="K69" s="22" t="n"/>
      <c r="L69" s="22" t="n"/>
      <c r="M69" s="25">
        <f>IF(N69="","",IF(OR(K69="",L69=""),"one month",TEXT(MAX(1,(YEAR(L69)-YEAR(K69))*12+MONTH(L69)-MONTH(K69)+1),"0")&amp;" months - see Deferred Revenue"))</f>
        <v/>
      </c>
      <c r="N69" s="26" t="n"/>
      <c r="O69" s="24" t="n"/>
      <c r="P69" s="25">
        <f>IF(N(N69)=0,"",IF(N69&gt;0,set_WIPAsset,IF(J69="Cost",IF(O69="","(set the P&amp;L Account)",O69),IF(O69="",set_WIPIncome,O69))))</f>
        <v/>
      </c>
      <c r="Q69" s="25">
        <f>IF(N(N69)=0,"",IF(N69&gt;0,IF(J69="Cost",IF(O69="","(set the P&amp;L Account)",O69),IF(O69="",set_WIPIncome,O69)),set_WIPAsset))</f>
        <v/>
      </c>
      <c r="R69" s="27">
        <f>IF(OR(N(N69)=0,K69&lt;&gt;""),"",ABS(N69))</f>
        <v/>
      </c>
      <c r="S69" s="25">
        <f>IF(N(N69)=0,"",IF(K69&lt;&gt;"","spreads monthly - see Deferred Revenue","WIP "&amp;I69&amp;IF(D69="",""," - "&amp;D69)&amp;IF(F69="",""," "&amp;F69)&amp;IF(H69="",""," - "&amp;H69)))</f>
        <v/>
      </c>
      <c r="T69" s="24" t="n"/>
      <c r="U69" s="24" t="n"/>
      <c r="V69" s="24" t="n"/>
    </row>
    <row r="70" ht="15" customHeight="1">
      <c r="A70" s="72" t="n"/>
      <c r="B70" s="70">
        <f>IF(C70="","",IFERROR(INDEX(tbl_Finance[Date],MATCH(C70&amp;"",tbl_Finance[Xero Invoice No],0)),""))</f>
        <v/>
      </c>
      <c r="C70" s="24" t="n"/>
      <c r="D70" s="24" t="n"/>
      <c r="E70" s="25">
        <f>IF(D70="","",IF(COUNTIF(lst_Jobs,D70&amp;"")&gt;0,"OK","CHECK"))</f>
        <v/>
      </c>
      <c r="F70" s="24" t="n"/>
      <c r="G70" s="24" t="n"/>
      <c r="H70" s="24" t="n"/>
      <c r="I70" s="24" t="n"/>
      <c r="J70" s="24" t="n"/>
      <c r="K70" s="22" t="n"/>
      <c r="L70" s="22" t="n"/>
      <c r="M70" s="25">
        <f>IF(N70="","",IF(OR(K70="",L70=""),"one month",TEXT(MAX(1,(YEAR(L70)-YEAR(K70))*12+MONTH(L70)-MONTH(K70)+1),"0")&amp;" months - see Deferred Revenue"))</f>
        <v/>
      </c>
      <c r="N70" s="26" t="n"/>
      <c r="O70" s="24" t="n"/>
      <c r="P70" s="25">
        <f>IF(N(N70)=0,"",IF(N70&gt;0,set_WIPAsset,IF(J70="Cost",IF(O70="","(set the P&amp;L Account)",O70),IF(O70="",set_WIPIncome,O70))))</f>
        <v/>
      </c>
      <c r="Q70" s="25">
        <f>IF(N(N70)=0,"",IF(N70&gt;0,IF(J70="Cost",IF(O70="","(set the P&amp;L Account)",O70),IF(O70="",set_WIPIncome,O70)),set_WIPAsset))</f>
        <v/>
      </c>
      <c r="R70" s="27">
        <f>IF(OR(N(N70)=0,K70&lt;&gt;""),"",ABS(N70))</f>
        <v/>
      </c>
      <c r="S70" s="25">
        <f>IF(N(N70)=0,"",IF(K70&lt;&gt;"","spreads monthly - see Deferred Revenue","WIP "&amp;I70&amp;IF(D70="",""," - "&amp;D70)&amp;IF(F70="",""," "&amp;F70)&amp;IF(H70="",""," - "&amp;H70)))</f>
        <v/>
      </c>
      <c r="T70" s="24" t="n"/>
      <c r="U70" s="24" t="n"/>
      <c r="V70" s="24" t="n"/>
    </row>
    <row r="71" ht="15" customHeight="1">
      <c r="A71" s="72" t="n"/>
      <c r="B71" s="70">
        <f>IF(C71="","",IFERROR(INDEX(tbl_Finance[Date],MATCH(C71&amp;"",tbl_Finance[Xero Invoice No],0)),""))</f>
        <v/>
      </c>
      <c r="C71" s="24" t="n"/>
      <c r="D71" s="24" t="n"/>
      <c r="E71" s="25">
        <f>IF(D71="","",IF(COUNTIF(lst_Jobs,D71&amp;"")&gt;0,"OK","CHECK"))</f>
        <v/>
      </c>
      <c r="F71" s="24" t="n"/>
      <c r="G71" s="24" t="n"/>
      <c r="H71" s="24" t="n"/>
      <c r="I71" s="24" t="n"/>
      <c r="J71" s="24" t="n"/>
      <c r="K71" s="22" t="n"/>
      <c r="L71" s="22" t="n"/>
      <c r="M71" s="25">
        <f>IF(N71="","",IF(OR(K71="",L71=""),"one month",TEXT(MAX(1,(YEAR(L71)-YEAR(K71))*12+MONTH(L71)-MONTH(K71)+1),"0")&amp;" months - see Deferred Revenue"))</f>
        <v/>
      </c>
      <c r="N71" s="26" t="n"/>
      <c r="O71" s="24" t="n"/>
      <c r="P71" s="25">
        <f>IF(N(N71)=0,"",IF(N71&gt;0,set_WIPAsset,IF(J71="Cost",IF(O71="","(set the P&amp;L Account)",O71),IF(O71="",set_WIPIncome,O71))))</f>
        <v/>
      </c>
      <c r="Q71" s="25">
        <f>IF(N(N71)=0,"",IF(N71&gt;0,IF(J71="Cost",IF(O71="","(set the P&amp;L Account)",O71),IF(O71="",set_WIPIncome,O71)),set_WIPAsset))</f>
        <v/>
      </c>
      <c r="R71" s="27">
        <f>IF(OR(N(N71)=0,K71&lt;&gt;""),"",ABS(N71))</f>
        <v/>
      </c>
      <c r="S71" s="25">
        <f>IF(N(N71)=0,"",IF(K71&lt;&gt;"","spreads monthly - see Deferred Revenue","WIP "&amp;I71&amp;IF(D71="",""," - "&amp;D71)&amp;IF(F71="",""," "&amp;F71)&amp;IF(H71="",""," - "&amp;H71)))</f>
        <v/>
      </c>
      <c r="T71" s="24" t="n"/>
      <c r="U71" s="24" t="n"/>
      <c r="V71" s="24" t="n"/>
    </row>
    <row r="72" ht="15" customHeight="1">
      <c r="A72" s="72" t="n"/>
      <c r="B72" s="70">
        <f>IF(C72="","",IFERROR(INDEX(tbl_Finance[Date],MATCH(C72&amp;"",tbl_Finance[Xero Invoice No],0)),""))</f>
        <v/>
      </c>
      <c r="C72" s="24" t="n"/>
      <c r="D72" s="24" t="n"/>
      <c r="E72" s="25">
        <f>IF(D72="","",IF(COUNTIF(lst_Jobs,D72&amp;"")&gt;0,"OK","CHECK"))</f>
        <v/>
      </c>
      <c r="F72" s="24" t="n"/>
      <c r="G72" s="24" t="n"/>
      <c r="H72" s="24" t="n"/>
      <c r="I72" s="24" t="n"/>
      <c r="J72" s="24" t="n"/>
      <c r="K72" s="22" t="n"/>
      <c r="L72" s="22" t="n"/>
      <c r="M72" s="25">
        <f>IF(N72="","",IF(OR(K72="",L72=""),"one month",TEXT(MAX(1,(YEAR(L72)-YEAR(K72))*12+MONTH(L72)-MONTH(K72)+1),"0")&amp;" months - see Deferred Revenue"))</f>
        <v/>
      </c>
      <c r="N72" s="26" t="n"/>
      <c r="O72" s="24" t="n"/>
      <c r="P72" s="25">
        <f>IF(N(N72)=0,"",IF(N72&gt;0,set_WIPAsset,IF(J72="Cost",IF(O72="","(set the P&amp;L Account)",O72),IF(O72="",set_WIPIncome,O72))))</f>
        <v/>
      </c>
      <c r="Q72" s="25">
        <f>IF(N(N72)=0,"",IF(N72&gt;0,IF(J72="Cost",IF(O72="","(set the P&amp;L Account)",O72),IF(O72="",set_WIPIncome,O72)),set_WIPAsset))</f>
        <v/>
      </c>
      <c r="R72" s="27">
        <f>IF(OR(N(N72)=0,K72&lt;&gt;""),"",ABS(N72))</f>
        <v/>
      </c>
      <c r="S72" s="25">
        <f>IF(N(N72)=0,"",IF(K72&lt;&gt;"","spreads monthly - see Deferred Revenue","WIP "&amp;I72&amp;IF(D72="",""," - "&amp;D72)&amp;IF(F72="",""," "&amp;F72)&amp;IF(H72="",""," - "&amp;H72)))</f>
        <v/>
      </c>
      <c r="T72" s="24" t="n"/>
      <c r="U72" s="24" t="n"/>
      <c r="V72" s="24" t="n"/>
    </row>
    <row r="73" ht="15" customHeight="1">
      <c r="A73" s="72" t="n"/>
      <c r="B73" s="70">
        <f>IF(C73="","",IFERROR(INDEX(tbl_Finance[Date],MATCH(C73&amp;"",tbl_Finance[Xero Invoice No],0)),""))</f>
        <v/>
      </c>
      <c r="C73" s="24" t="n"/>
      <c r="D73" s="24" t="n"/>
      <c r="E73" s="25">
        <f>IF(D73="","",IF(COUNTIF(lst_Jobs,D73&amp;"")&gt;0,"OK","CHECK"))</f>
        <v/>
      </c>
      <c r="F73" s="24" t="n"/>
      <c r="G73" s="24" t="n"/>
      <c r="H73" s="24" t="n"/>
      <c r="I73" s="24" t="n"/>
      <c r="J73" s="24" t="n"/>
      <c r="K73" s="22" t="n"/>
      <c r="L73" s="22" t="n"/>
      <c r="M73" s="25">
        <f>IF(N73="","",IF(OR(K73="",L73=""),"one month",TEXT(MAX(1,(YEAR(L73)-YEAR(K73))*12+MONTH(L73)-MONTH(K73)+1),"0")&amp;" months - see Deferred Revenue"))</f>
        <v/>
      </c>
      <c r="N73" s="26" t="n"/>
      <c r="O73" s="24" t="n"/>
      <c r="P73" s="25">
        <f>IF(N(N73)=0,"",IF(N73&gt;0,set_WIPAsset,IF(J73="Cost",IF(O73="","(set the P&amp;L Account)",O73),IF(O73="",set_WIPIncome,O73))))</f>
        <v/>
      </c>
      <c r="Q73" s="25">
        <f>IF(N(N73)=0,"",IF(N73&gt;0,IF(J73="Cost",IF(O73="","(set the P&amp;L Account)",O73),IF(O73="",set_WIPIncome,O73)),set_WIPAsset))</f>
        <v/>
      </c>
      <c r="R73" s="27">
        <f>IF(OR(N(N73)=0,K73&lt;&gt;""),"",ABS(N73))</f>
        <v/>
      </c>
      <c r="S73" s="25">
        <f>IF(N(N73)=0,"",IF(K73&lt;&gt;"","spreads monthly - see Deferred Revenue","WIP "&amp;I73&amp;IF(D73="",""," - "&amp;D73)&amp;IF(F73="",""," "&amp;F73)&amp;IF(H73="",""," - "&amp;H73)))</f>
        <v/>
      </c>
      <c r="T73" s="24" t="n"/>
      <c r="U73" s="24" t="n"/>
      <c r="V73" s="24" t="n"/>
    </row>
    <row r="74" ht="15" customHeight="1">
      <c r="A74" s="72" t="n"/>
      <c r="B74" s="70">
        <f>IF(C74="","",IFERROR(INDEX(tbl_Finance[Date],MATCH(C74&amp;"",tbl_Finance[Xero Invoice No],0)),""))</f>
        <v/>
      </c>
      <c r="C74" s="24" t="n"/>
      <c r="D74" s="24" t="n"/>
      <c r="E74" s="25">
        <f>IF(D74="","",IF(COUNTIF(lst_Jobs,D74&amp;"")&gt;0,"OK","CHECK"))</f>
        <v/>
      </c>
      <c r="F74" s="24" t="n"/>
      <c r="G74" s="24" t="n"/>
      <c r="H74" s="24" t="n"/>
      <c r="I74" s="24" t="n"/>
      <c r="J74" s="24" t="n"/>
      <c r="K74" s="22" t="n"/>
      <c r="L74" s="22" t="n"/>
      <c r="M74" s="25">
        <f>IF(N74="","",IF(OR(K74="",L74=""),"one month",TEXT(MAX(1,(YEAR(L74)-YEAR(K74))*12+MONTH(L74)-MONTH(K74)+1),"0")&amp;" months - see Deferred Revenue"))</f>
        <v/>
      </c>
      <c r="N74" s="26" t="n"/>
      <c r="O74" s="24" t="n"/>
      <c r="P74" s="25">
        <f>IF(N(N74)=0,"",IF(N74&gt;0,set_WIPAsset,IF(J74="Cost",IF(O74="","(set the P&amp;L Account)",O74),IF(O74="",set_WIPIncome,O74))))</f>
        <v/>
      </c>
      <c r="Q74" s="25">
        <f>IF(N(N74)=0,"",IF(N74&gt;0,IF(J74="Cost",IF(O74="","(set the P&amp;L Account)",O74),IF(O74="",set_WIPIncome,O74)),set_WIPAsset))</f>
        <v/>
      </c>
      <c r="R74" s="27">
        <f>IF(OR(N(N74)=0,K74&lt;&gt;""),"",ABS(N74))</f>
        <v/>
      </c>
      <c r="S74" s="25">
        <f>IF(N(N74)=0,"",IF(K74&lt;&gt;"","spreads monthly - see Deferred Revenue","WIP "&amp;I74&amp;IF(D74="",""," - "&amp;D74)&amp;IF(F74="",""," "&amp;F74)&amp;IF(H74="",""," - "&amp;H74)))</f>
        <v/>
      </c>
      <c r="T74" s="24" t="n"/>
      <c r="U74" s="24" t="n"/>
      <c r="V74" s="24" t="n"/>
    </row>
    <row r="75" ht="15" customHeight="1">
      <c r="A75" s="72" t="n"/>
      <c r="B75" s="70">
        <f>IF(C75="","",IFERROR(INDEX(tbl_Finance[Date],MATCH(C75&amp;"",tbl_Finance[Xero Invoice No],0)),""))</f>
        <v/>
      </c>
      <c r="C75" s="24" t="n"/>
      <c r="D75" s="24" t="n"/>
      <c r="E75" s="25">
        <f>IF(D75="","",IF(COUNTIF(lst_Jobs,D75&amp;"")&gt;0,"OK","CHECK"))</f>
        <v/>
      </c>
      <c r="F75" s="24" t="n"/>
      <c r="G75" s="24" t="n"/>
      <c r="H75" s="24" t="n"/>
      <c r="I75" s="24" t="n"/>
      <c r="J75" s="24" t="n"/>
      <c r="K75" s="22" t="n"/>
      <c r="L75" s="22" t="n"/>
      <c r="M75" s="25">
        <f>IF(N75="","",IF(OR(K75="",L75=""),"one month",TEXT(MAX(1,(YEAR(L75)-YEAR(K75))*12+MONTH(L75)-MONTH(K75)+1),"0")&amp;" months - see Deferred Revenue"))</f>
        <v/>
      </c>
      <c r="N75" s="26" t="n"/>
      <c r="O75" s="24" t="n"/>
      <c r="P75" s="25">
        <f>IF(N(N75)=0,"",IF(N75&gt;0,set_WIPAsset,IF(J75="Cost",IF(O75="","(set the P&amp;L Account)",O75),IF(O75="",set_WIPIncome,O75))))</f>
        <v/>
      </c>
      <c r="Q75" s="25">
        <f>IF(N(N75)=0,"",IF(N75&gt;0,IF(J75="Cost",IF(O75="","(set the P&amp;L Account)",O75),IF(O75="",set_WIPIncome,O75)),set_WIPAsset))</f>
        <v/>
      </c>
      <c r="R75" s="27">
        <f>IF(OR(N(N75)=0,K75&lt;&gt;""),"",ABS(N75))</f>
        <v/>
      </c>
      <c r="S75" s="25">
        <f>IF(N(N75)=0,"",IF(K75&lt;&gt;"","spreads monthly - see Deferred Revenue","WIP "&amp;I75&amp;IF(D75="",""," - "&amp;D75)&amp;IF(F75="",""," "&amp;F75)&amp;IF(H75="",""," - "&amp;H75)))</f>
        <v/>
      </c>
      <c r="T75" s="24" t="n"/>
      <c r="U75" s="24" t="n"/>
      <c r="V75" s="24" t="n"/>
    </row>
    <row r="76" ht="15" customHeight="1">
      <c r="A76" s="72" t="n"/>
      <c r="B76" s="70">
        <f>IF(C76="","",IFERROR(INDEX(tbl_Finance[Date],MATCH(C76&amp;"",tbl_Finance[Xero Invoice No],0)),""))</f>
        <v/>
      </c>
      <c r="C76" s="24" t="n"/>
      <c r="D76" s="24" t="n"/>
      <c r="E76" s="25">
        <f>IF(D76="","",IF(COUNTIF(lst_Jobs,D76&amp;"")&gt;0,"OK","CHECK"))</f>
        <v/>
      </c>
      <c r="F76" s="24" t="n"/>
      <c r="G76" s="24" t="n"/>
      <c r="H76" s="24" t="n"/>
      <c r="I76" s="24" t="n"/>
      <c r="J76" s="24" t="n"/>
      <c r="K76" s="22" t="n"/>
      <c r="L76" s="22" t="n"/>
      <c r="M76" s="25">
        <f>IF(N76="","",IF(OR(K76="",L76=""),"one month",TEXT(MAX(1,(YEAR(L76)-YEAR(K76))*12+MONTH(L76)-MONTH(K76)+1),"0")&amp;" months - see Deferred Revenue"))</f>
        <v/>
      </c>
      <c r="N76" s="26" t="n"/>
      <c r="O76" s="24" t="n"/>
      <c r="P76" s="25">
        <f>IF(N(N76)=0,"",IF(N76&gt;0,set_WIPAsset,IF(J76="Cost",IF(O76="","(set the P&amp;L Account)",O76),IF(O76="",set_WIPIncome,O76))))</f>
        <v/>
      </c>
      <c r="Q76" s="25">
        <f>IF(N(N76)=0,"",IF(N76&gt;0,IF(J76="Cost",IF(O76="","(set the P&amp;L Account)",O76),IF(O76="",set_WIPIncome,O76)),set_WIPAsset))</f>
        <v/>
      </c>
      <c r="R76" s="27">
        <f>IF(OR(N(N76)=0,K76&lt;&gt;""),"",ABS(N76))</f>
        <v/>
      </c>
      <c r="S76" s="25">
        <f>IF(N(N76)=0,"",IF(K76&lt;&gt;"","spreads monthly - see Deferred Revenue","WIP "&amp;I76&amp;IF(D76="",""," - "&amp;D76)&amp;IF(F76="",""," "&amp;F76)&amp;IF(H76="",""," - "&amp;H76)))</f>
        <v/>
      </c>
      <c r="T76" s="24" t="n"/>
      <c r="U76" s="24" t="n"/>
      <c r="V76" s="24" t="n"/>
    </row>
    <row r="77" ht="15" customHeight="1">
      <c r="A77" s="72" t="n"/>
      <c r="B77" s="70">
        <f>IF(C77="","",IFERROR(INDEX(tbl_Finance[Date],MATCH(C77&amp;"",tbl_Finance[Xero Invoice No],0)),""))</f>
        <v/>
      </c>
      <c r="C77" s="24" t="n"/>
      <c r="D77" s="24" t="n"/>
      <c r="E77" s="25">
        <f>IF(D77="","",IF(COUNTIF(lst_Jobs,D77&amp;"")&gt;0,"OK","CHECK"))</f>
        <v/>
      </c>
      <c r="F77" s="24" t="n"/>
      <c r="G77" s="24" t="n"/>
      <c r="H77" s="24" t="n"/>
      <c r="I77" s="24" t="n"/>
      <c r="J77" s="24" t="n"/>
      <c r="K77" s="22" t="n"/>
      <c r="L77" s="22" t="n"/>
      <c r="M77" s="25">
        <f>IF(N77="","",IF(OR(K77="",L77=""),"one month",TEXT(MAX(1,(YEAR(L77)-YEAR(K77))*12+MONTH(L77)-MONTH(K77)+1),"0")&amp;" months - see Deferred Revenue"))</f>
        <v/>
      </c>
      <c r="N77" s="26" t="n"/>
      <c r="O77" s="24" t="n"/>
      <c r="P77" s="25">
        <f>IF(N(N77)=0,"",IF(N77&gt;0,set_WIPAsset,IF(J77="Cost",IF(O77="","(set the P&amp;L Account)",O77),IF(O77="",set_WIPIncome,O77))))</f>
        <v/>
      </c>
      <c r="Q77" s="25">
        <f>IF(N(N77)=0,"",IF(N77&gt;0,IF(J77="Cost",IF(O77="","(set the P&amp;L Account)",O77),IF(O77="",set_WIPIncome,O77)),set_WIPAsset))</f>
        <v/>
      </c>
      <c r="R77" s="27">
        <f>IF(OR(N(N77)=0,K77&lt;&gt;""),"",ABS(N77))</f>
        <v/>
      </c>
      <c r="S77" s="25">
        <f>IF(N(N77)=0,"",IF(K77&lt;&gt;"","spreads monthly - see Deferred Revenue","WIP "&amp;I77&amp;IF(D77="",""," - "&amp;D77)&amp;IF(F77="",""," "&amp;F77)&amp;IF(H77="",""," - "&amp;H77)))</f>
        <v/>
      </c>
      <c r="T77" s="24" t="n"/>
      <c r="U77" s="24" t="n"/>
      <c r="V77" s="24" t="n"/>
    </row>
    <row r="78" ht="15" customHeight="1">
      <c r="A78" s="72" t="n"/>
      <c r="B78" s="70">
        <f>IF(C78="","",IFERROR(INDEX(tbl_Finance[Date],MATCH(C78&amp;"",tbl_Finance[Xero Invoice No],0)),""))</f>
        <v/>
      </c>
      <c r="C78" s="24" t="n"/>
      <c r="D78" s="24" t="n"/>
      <c r="E78" s="25">
        <f>IF(D78="","",IF(COUNTIF(lst_Jobs,D78&amp;"")&gt;0,"OK","CHECK"))</f>
        <v/>
      </c>
      <c r="F78" s="24" t="n"/>
      <c r="G78" s="24" t="n"/>
      <c r="H78" s="24" t="n"/>
      <c r="I78" s="24" t="n"/>
      <c r="J78" s="24" t="n"/>
      <c r="K78" s="22" t="n"/>
      <c r="L78" s="22" t="n"/>
      <c r="M78" s="25">
        <f>IF(N78="","",IF(OR(K78="",L78=""),"one month",TEXT(MAX(1,(YEAR(L78)-YEAR(K78))*12+MONTH(L78)-MONTH(K78)+1),"0")&amp;" months - see Deferred Revenue"))</f>
        <v/>
      </c>
      <c r="N78" s="26" t="n"/>
      <c r="O78" s="24" t="n"/>
      <c r="P78" s="25">
        <f>IF(N(N78)=0,"",IF(N78&gt;0,set_WIPAsset,IF(J78="Cost",IF(O78="","(set the P&amp;L Account)",O78),IF(O78="",set_WIPIncome,O78))))</f>
        <v/>
      </c>
      <c r="Q78" s="25">
        <f>IF(N(N78)=0,"",IF(N78&gt;0,IF(J78="Cost",IF(O78="","(set the P&amp;L Account)",O78),IF(O78="",set_WIPIncome,O78)),set_WIPAsset))</f>
        <v/>
      </c>
      <c r="R78" s="27">
        <f>IF(OR(N(N78)=0,K78&lt;&gt;""),"",ABS(N78))</f>
        <v/>
      </c>
      <c r="S78" s="25">
        <f>IF(N(N78)=0,"",IF(K78&lt;&gt;"","spreads monthly - see Deferred Revenue","WIP "&amp;I78&amp;IF(D78="",""," - "&amp;D78)&amp;IF(F78="",""," "&amp;F78)&amp;IF(H78="",""," - "&amp;H78)))</f>
        <v/>
      </c>
      <c r="T78" s="24" t="n"/>
      <c r="U78" s="24" t="n"/>
      <c r="V78" s="24" t="n"/>
    </row>
    <row r="79" ht="15" customHeight="1">
      <c r="A79" s="72" t="n"/>
      <c r="B79" s="70">
        <f>IF(C79="","",IFERROR(INDEX(tbl_Finance[Date],MATCH(C79&amp;"",tbl_Finance[Xero Invoice No],0)),""))</f>
        <v/>
      </c>
      <c r="C79" s="24" t="n"/>
      <c r="D79" s="24" t="n"/>
      <c r="E79" s="25">
        <f>IF(D79="","",IF(COUNTIF(lst_Jobs,D79&amp;"")&gt;0,"OK","CHECK"))</f>
        <v/>
      </c>
      <c r="F79" s="24" t="n"/>
      <c r="G79" s="24" t="n"/>
      <c r="H79" s="24" t="n"/>
      <c r="I79" s="24" t="n"/>
      <c r="J79" s="24" t="n"/>
      <c r="K79" s="22" t="n"/>
      <c r="L79" s="22" t="n"/>
      <c r="M79" s="25">
        <f>IF(N79="","",IF(OR(K79="",L79=""),"one month",TEXT(MAX(1,(YEAR(L79)-YEAR(K79))*12+MONTH(L79)-MONTH(K79)+1),"0")&amp;" months - see Deferred Revenue"))</f>
        <v/>
      </c>
      <c r="N79" s="26" t="n"/>
      <c r="O79" s="24" t="n"/>
      <c r="P79" s="25">
        <f>IF(N(N79)=0,"",IF(N79&gt;0,set_WIPAsset,IF(J79="Cost",IF(O79="","(set the P&amp;L Account)",O79),IF(O79="",set_WIPIncome,O79))))</f>
        <v/>
      </c>
      <c r="Q79" s="25">
        <f>IF(N(N79)=0,"",IF(N79&gt;0,IF(J79="Cost",IF(O79="","(set the P&amp;L Account)",O79),IF(O79="",set_WIPIncome,O79)),set_WIPAsset))</f>
        <v/>
      </c>
      <c r="R79" s="27">
        <f>IF(OR(N(N79)=0,K79&lt;&gt;""),"",ABS(N79))</f>
        <v/>
      </c>
      <c r="S79" s="25">
        <f>IF(N(N79)=0,"",IF(K79&lt;&gt;"","spreads monthly - see Deferred Revenue","WIP "&amp;I79&amp;IF(D79="",""," - "&amp;D79)&amp;IF(F79="",""," "&amp;F79)&amp;IF(H79="",""," - "&amp;H79)))</f>
        <v/>
      </c>
      <c r="T79" s="24" t="n"/>
      <c r="U79" s="24" t="n"/>
      <c r="V79" s="24" t="n"/>
    </row>
    <row r="80" ht="15" customHeight="1">
      <c r="A80" s="72" t="n"/>
      <c r="B80" s="70">
        <f>IF(C80="","",IFERROR(INDEX(tbl_Finance[Date],MATCH(C80&amp;"",tbl_Finance[Xero Invoice No],0)),""))</f>
        <v/>
      </c>
      <c r="C80" s="24" t="n"/>
      <c r="D80" s="24" t="n"/>
      <c r="E80" s="25">
        <f>IF(D80="","",IF(COUNTIF(lst_Jobs,D80&amp;"")&gt;0,"OK","CHECK"))</f>
        <v/>
      </c>
      <c r="F80" s="24" t="n"/>
      <c r="G80" s="24" t="n"/>
      <c r="H80" s="24" t="n"/>
      <c r="I80" s="24" t="n"/>
      <c r="J80" s="24" t="n"/>
      <c r="K80" s="22" t="n"/>
      <c r="L80" s="22" t="n"/>
      <c r="M80" s="25">
        <f>IF(N80="","",IF(OR(K80="",L80=""),"one month",TEXT(MAX(1,(YEAR(L80)-YEAR(K80))*12+MONTH(L80)-MONTH(K80)+1),"0")&amp;" months - see Deferred Revenue"))</f>
        <v/>
      </c>
      <c r="N80" s="26" t="n"/>
      <c r="O80" s="24" t="n"/>
      <c r="P80" s="25">
        <f>IF(N(N80)=0,"",IF(N80&gt;0,set_WIPAsset,IF(J80="Cost",IF(O80="","(set the P&amp;L Account)",O80),IF(O80="",set_WIPIncome,O80))))</f>
        <v/>
      </c>
      <c r="Q80" s="25">
        <f>IF(N(N80)=0,"",IF(N80&gt;0,IF(J80="Cost",IF(O80="","(set the P&amp;L Account)",O80),IF(O80="",set_WIPIncome,O80)),set_WIPAsset))</f>
        <v/>
      </c>
      <c r="R80" s="27">
        <f>IF(OR(N(N80)=0,K80&lt;&gt;""),"",ABS(N80))</f>
        <v/>
      </c>
      <c r="S80" s="25">
        <f>IF(N(N80)=0,"",IF(K80&lt;&gt;"","spreads monthly - see Deferred Revenue","WIP "&amp;I80&amp;IF(D80="",""," - "&amp;D80)&amp;IF(F80="",""," "&amp;F80)&amp;IF(H80="",""," - "&amp;H80)))</f>
        <v/>
      </c>
      <c r="T80" s="24" t="n"/>
      <c r="U80" s="24" t="n"/>
      <c r="V80" s="24" t="n"/>
    </row>
    <row r="81" ht="15" customHeight="1">
      <c r="A81" s="72" t="n"/>
      <c r="B81" s="70">
        <f>IF(C81="","",IFERROR(INDEX(tbl_Finance[Date],MATCH(C81&amp;"",tbl_Finance[Xero Invoice No],0)),""))</f>
        <v/>
      </c>
      <c r="C81" s="24" t="n"/>
      <c r="D81" s="24" t="n"/>
      <c r="E81" s="25">
        <f>IF(D81="","",IF(COUNTIF(lst_Jobs,D81&amp;"")&gt;0,"OK","CHECK"))</f>
        <v/>
      </c>
      <c r="F81" s="24" t="n"/>
      <c r="G81" s="24" t="n"/>
      <c r="H81" s="24" t="n"/>
      <c r="I81" s="24" t="n"/>
      <c r="J81" s="24" t="n"/>
      <c r="K81" s="22" t="n"/>
      <c r="L81" s="22" t="n"/>
      <c r="M81" s="25">
        <f>IF(N81="","",IF(OR(K81="",L81=""),"one month",TEXT(MAX(1,(YEAR(L81)-YEAR(K81))*12+MONTH(L81)-MONTH(K81)+1),"0")&amp;" months - see Deferred Revenue"))</f>
        <v/>
      </c>
      <c r="N81" s="26" t="n"/>
      <c r="O81" s="24" t="n"/>
      <c r="P81" s="25">
        <f>IF(N(N81)=0,"",IF(N81&gt;0,set_WIPAsset,IF(J81="Cost",IF(O81="","(set the P&amp;L Account)",O81),IF(O81="",set_WIPIncome,O81))))</f>
        <v/>
      </c>
      <c r="Q81" s="25">
        <f>IF(N(N81)=0,"",IF(N81&gt;0,IF(J81="Cost",IF(O81="","(set the P&amp;L Account)",O81),IF(O81="",set_WIPIncome,O81)),set_WIPAsset))</f>
        <v/>
      </c>
      <c r="R81" s="27">
        <f>IF(OR(N(N81)=0,K81&lt;&gt;""),"",ABS(N81))</f>
        <v/>
      </c>
      <c r="S81" s="25">
        <f>IF(N(N81)=0,"",IF(K81&lt;&gt;"","spreads monthly - see Deferred Revenue","WIP "&amp;I81&amp;IF(D81="",""," - "&amp;D81)&amp;IF(F81="",""," "&amp;F81)&amp;IF(H81="",""," - "&amp;H81)))</f>
        <v/>
      </c>
      <c r="T81" s="24" t="n"/>
      <c r="U81" s="24" t="n"/>
      <c r="V81" s="24" t="n"/>
    </row>
    <row r="82" ht="15" customHeight="1">
      <c r="A82" s="72" t="n"/>
      <c r="B82" s="70">
        <f>IF(C82="","",IFERROR(INDEX(tbl_Finance[Date],MATCH(C82&amp;"",tbl_Finance[Xero Invoice No],0)),""))</f>
        <v/>
      </c>
      <c r="C82" s="24" t="n"/>
      <c r="D82" s="24" t="n"/>
      <c r="E82" s="25">
        <f>IF(D82="","",IF(COUNTIF(lst_Jobs,D82&amp;"")&gt;0,"OK","CHECK"))</f>
        <v/>
      </c>
      <c r="F82" s="24" t="n"/>
      <c r="G82" s="24" t="n"/>
      <c r="H82" s="24" t="n"/>
      <c r="I82" s="24" t="n"/>
      <c r="J82" s="24" t="n"/>
      <c r="K82" s="22" t="n"/>
      <c r="L82" s="22" t="n"/>
      <c r="M82" s="25">
        <f>IF(N82="","",IF(OR(K82="",L82=""),"one month",TEXT(MAX(1,(YEAR(L82)-YEAR(K82))*12+MONTH(L82)-MONTH(K82)+1),"0")&amp;" months - see Deferred Revenue"))</f>
        <v/>
      </c>
      <c r="N82" s="26" t="n"/>
      <c r="O82" s="24" t="n"/>
      <c r="P82" s="25">
        <f>IF(N(N82)=0,"",IF(N82&gt;0,set_WIPAsset,IF(J82="Cost",IF(O82="","(set the P&amp;L Account)",O82),IF(O82="",set_WIPIncome,O82))))</f>
        <v/>
      </c>
      <c r="Q82" s="25">
        <f>IF(N(N82)=0,"",IF(N82&gt;0,IF(J82="Cost",IF(O82="","(set the P&amp;L Account)",O82),IF(O82="",set_WIPIncome,O82)),set_WIPAsset))</f>
        <v/>
      </c>
      <c r="R82" s="27">
        <f>IF(OR(N(N82)=0,K82&lt;&gt;""),"",ABS(N82))</f>
        <v/>
      </c>
      <c r="S82" s="25">
        <f>IF(N(N82)=0,"",IF(K82&lt;&gt;"","spreads monthly - see Deferred Revenue","WIP "&amp;I82&amp;IF(D82="",""," - "&amp;D82)&amp;IF(F82="",""," "&amp;F82)&amp;IF(H82="",""," - "&amp;H82)))</f>
        <v/>
      </c>
      <c r="T82" s="24" t="n"/>
      <c r="U82" s="24" t="n"/>
      <c r="V82" s="24" t="n"/>
    </row>
    <row r="83" ht="15" customHeight="1">
      <c r="A83" s="72" t="n"/>
      <c r="B83" s="70">
        <f>IF(C83="","",IFERROR(INDEX(tbl_Finance[Date],MATCH(C83&amp;"",tbl_Finance[Xero Invoice No],0)),""))</f>
        <v/>
      </c>
      <c r="C83" s="24" t="n"/>
      <c r="D83" s="24" t="n"/>
      <c r="E83" s="25">
        <f>IF(D83="","",IF(COUNTIF(lst_Jobs,D83&amp;"")&gt;0,"OK","CHECK"))</f>
        <v/>
      </c>
      <c r="F83" s="24" t="n"/>
      <c r="G83" s="24" t="n"/>
      <c r="H83" s="24" t="n"/>
      <c r="I83" s="24" t="n"/>
      <c r="J83" s="24" t="n"/>
      <c r="K83" s="22" t="n"/>
      <c r="L83" s="22" t="n"/>
      <c r="M83" s="25">
        <f>IF(N83="","",IF(OR(K83="",L83=""),"one month",TEXT(MAX(1,(YEAR(L83)-YEAR(K83))*12+MONTH(L83)-MONTH(K83)+1),"0")&amp;" months - see Deferred Revenue"))</f>
        <v/>
      </c>
      <c r="N83" s="26" t="n"/>
      <c r="O83" s="24" t="n"/>
      <c r="P83" s="25">
        <f>IF(N(N83)=0,"",IF(N83&gt;0,set_WIPAsset,IF(J83="Cost",IF(O83="","(set the P&amp;L Account)",O83),IF(O83="",set_WIPIncome,O83))))</f>
        <v/>
      </c>
      <c r="Q83" s="25">
        <f>IF(N(N83)=0,"",IF(N83&gt;0,IF(J83="Cost",IF(O83="","(set the P&amp;L Account)",O83),IF(O83="",set_WIPIncome,O83)),set_WIPAsset))</f>
        <v/>
      </c>
      <c r="R83" s="27">
        <f>IF(OR(N(N83)=0,K83&lt;&gt;""),"",ABS(N83))</f>
        <v/>
      </c>
      <c r="S83" s="25">
        <f>IF(N(N83)=0,"",IF(K83&lt;&gt;"","spreads monthly - see Deferred Revenue","WIP "&amp;I83&amp;IF(D83="",""," - "&amp;D83)&amp;IF(F83="",""," "&amp;F83)&amp;IF(H83="",""," - "&amp;H83)))</f>
        <v/>
      </c>
      <c r="T83" s="24" t="n"/>
      <c r="U83" s="24" t="n"/>
      <c r="V83" s="24" t="n"/>
    </row>
    <row r="84" ht="15" customHeight="1">
      <c r="A84" s="72" t="n"/>
      <c r="B84" s="70">
        <f>IF(C84="","",IFERROR(INDEX(tbl_Finance[Date],MATCH(C84&amp;"",tbl_Finance[Xero Invoice No],0)),""))</f>
        <v/>
      </c>
      <c r="C84" s="24" t="n"/>
      <c r="D84" s="24" t="n"/>
      <c r="E84" s="25">
        <f>IF(D84="","",IF(COUNTIF(lst_Jobs,D84&amp;"")&gt;0,"OK","CHECK"))</f>
        <v/>
      </c>
      <c r="F84" s="24" t="n"/>
      <c r="G84" s="24" t="n"/>
      <c r="H84" s="24" t="n"/>
      <c r="I84" s="24" t="n"/>
      <c r="J84" s="24" t="n"/>
      <c r="K84" s="22" t="n"/>
      <c r="L84" s="22" t="n"/>
      <c r="M84" s="25">
        <f>IF(N84="","",IF(OR(K84="",L84=""),"one month",TEXT(MAX(1,(YEAR(L84)-YEAR(K84))*12+MONTH(L84)-MONTH(K84)+1),"0")&amp;" months - see Deferred Revenue"))</f>
        <v/>
      </c>
      <c r="N84" s="26" t="n"/>
      <c r="O84" s="24" t="n"/>
      <c r="P84" s="25">
        <f>IF(N(N84)=0,"",IF(N84&gt;0,set_WIPAsset,IF(J84="Cost",IF(O84="","(set the P&amp;L Account)",O84),IF(O84="",set_WIPIncome,O84))))</f>
        <v/>
      </c>
      <c r="Q84" s="25">
        <f>IF(N(N84)=0,"",IF(N84&gt;0,IF(J84="Cost",IF(O84="","(set the P&amp;L Account)",O84),IF(O84="",set_WIPIncome,O84)),set_WIPAsset))</f>
        <v/>
      </c>
      <c r="R84" s="27">
        <f>IF(OR(N(N84)=0,K84&lt;&gt;""),"",ABS(N84))</f>
        <v/>
      </c>
      <c r="S84" s="25">
        <f>IF(N(N84)=0,"",IF(K84&lt;&gt;"","spreads monthly - see Deferred Revenue","WIP "&amp;I84&amp;IF(D84="",""," - "&amp;D84)&amp;IF(F84="",""," "&amp;F84)&amp;IF(H84="",""," - "&amp;H84)))</f>
        <v/>
      </c>
      <c r="T84" s="24" t="n"/>
      <c r="U84" s="24" t="n"/>
      <c r="V84" s="24" t="n"/>
    </row>
    <row r="85" ht="15" customHeight="1">
      <c r="A85" s="72" t="n"/>
      <c r="B85" s="70">
        <f>IF(C85="","",IFERROR(INDEX(tbl_Finance[Date],MATCH(C85&amp;"",tbl_Finance[Xero Invoice No],0)),""))</f>
        <v/>
      </c>
      <c r="C85" s="24" t="n"/>
      <c r="D85" s="24" t="n"/>
      <c r="E85" s="25">
        <f>IF(D85="","",IF(COUNTIF(lst_Jobs,D85&amp;"")&gt;0,"OK","CHECK"))</f>
        <v/>
      </c>
      <c r="F85" s="24" t="n"/>
      <c r="G85" s="24" t="n"/>
      <c r="H85" s="24" t="n"/>
      <c r="I85" s="24" t="n"/>
      <c r="J85" s="24" t="n"/>
      <c r="K85" s="22" t="n"/>
      <c r="L85" s="22" t="n"/>
      <c r="M85" s="25">
        <f>IF(N85="","",IF(OR(K85="",L85=""),"one month",TEXT(MAX(1,(YEAR(L85)-YEAR(K85))*12+MONTH(L85)-MONTH(K85)+1),"0")&amp;" months - see Deferred Revenue"))</f>
        <v/>
      </c>
      <c r="N85" s="26" t="n"/>
      <c r="O85" s="24" t="n"/>
      <c r="P85" s="25">
        <f>IF(N(N85)=0,"",IF(N85&gt;0,set_WIPAsset,IF(J85="Cost",IF(O85="","(set the P&amp;L Account)",O85),IF(O85="",set_WIPIncome,O85))))</f>
        <v/>
      </c>
      <c r="Q85" s="25">
        <f>IF(N(N85)=0,"",IF(N85&gt;0,IF(J85="Cost",IF(O85="","(set the P&amp;L Account)",O85),IF(O85="",set_WIPIncome,O85)),set_WIPAsset))</f>
        <v/>
      </c>
      <c r="R85" s="27">
        <f>IF(OR(N(N85)=0,K85&lt;&gt;""),"",ABS(N85))</f>
        <v/>
      </c>
      <c r="S85" s="25">
        <f>IF(N(N85)=0,"",IF(K85&lt;&gt;"","spreads monthly - see Deferred Revenue","WIP "&amp;I85&amp;IF(D85="",""," - "&amp;D85)&amp;IF(F85="",""," "&amp;F85)&amp;IF(H85="",""," - "&amp;H85)))</f>
        <v/>
      </c>
      <c r="T85" s="24" t="n"/>
      <c r="U85" s="24" t="n"/>
      <c r="V85" s="24" t="n"/>
    </row>
    <row r="86" ht="15" customHeight="1">
      <c r="A86" s="72" t="n"/>
      <c r="B86" s="70">
        <f>IF(C86="","",IFERROR(INDEX(tbl_Finance[Date],MATCH(C86&amp;"",tbl_Finance[Xero Invoice No],0)),""))</f>
        <v/>
      </c>
      <c r="C86" s="24" t="n"/>
      <c r="D86" s="24" t="n"/>
      <c r="E86" s="25">
        <f>IF(D86="","",IF(COUNTIF(lst_Jobs,D86&amp;"")&gt;0,"OK","CHECK"))</f>
        <v/>
      </c>
      <c r="F86" s="24" t="n"/>
      <c r="G86" s="24" t="n"/>
      <c r="H86" s="24" t="n"/>
      <c r="I86" s="24" t="n"/>
      <c r="J86" s="24" t="n"/>
      <c r="K86" s="22" t="n"/>
      <c r="L86" s="22" t="n"/>
      <c r="M86" s="25">
        <f>IF(N86="","",IF(OR(K86="",L86=""),"one month",TEXT(MAX(1,(YEAR(L86)-YEAR(K86))*12+MONTH(L86)-MONTH(K86)+1),"0")&amp;" months - see Deferred Revenue"))</f>
        <v/>
      </c>
      <c r="N86" s="26" t="n"/>
      <c r="O86" s="24" t="n"/>
      <c r="P86" s="25">
        <f>IF(N(N86)=0,"",IF(N86&gt;0,set_WIPAsset,IF(J86="Cost",IF(O86="","(set the P&amp;L Account)",O86),IF(O86="",set_WIPIncome,O86))))</f>
        <v/>
      </c>
      <c r="Q86" s="25">
        <f>IF(N(N86)=0,"",IF(N86&gt;0,IF(J86="Cost",IF(O86="","(set the P&amp;L Account)",O86),IF(O86="",set_WIPIncome,O86)),set_WIPAsset))</f>
        <v/>
      </c>
      <c r="R86" s="27">
        <f>IF(OR(N(N86)=0,K86&lt;&gt;""),"",ABS(N86))</f>
        <v/>
      </c>
      <c r="S86" s="25">
        <f>IF(N(N86)=0,"",IF(K86&lt;&gt;"","spreads monthly - see Deferred Revenue","WIP "&amp;I86&amp;IF(D86="",""," - "&amp;D86)&amp;IF(F86="",""," "&amp;F86)&amp;IF(H86="",""," - "&amp;H86)))</f>
        <v/>
      </c>
      <c r="T86" s="24" t="n"/>
      <c r="U86" s="24" t="n"/>
      <c r="V86" s="24" t="n"/>
    </row>
    <row r="87" ht="15" customHeight="1">
      <c r="A87" s="72" t="n"/>
      <c r="B87" s="70">
        <f>IF(C87="","",IFERROR(INDEX(tbl_Finance[Date],MATCH(C87&amp;"",tbl_Finance[Xero Invoice No],0)),""))</f>
        <v/>
      </c>
      <c r="C87" s="24" t="n"/>
      <c r="D87" s="24" t="n"/>
      <c r="E87" s="25">
        <f>IF(D87="","",IF(COUNTIF(lst_Jobs,D87&amp;"")&gt;0,"OK","CHECK"))</f>
        <v/>
      </c>
      <c r="F87" s="24" t="n"/>
      <c r="G87" s="24" t="n"/>
      <c r="H87" s="24" t="n"/>
      <c r="I87" s="24" t="n"/>
      <c r="J87" s="24" t="n"/>
      <c r="K87" s="22" t="n"/>
      <c r="L87" s="22" t="n"/>
      <c r="M87" s="25">
        <f>IF(N87="","",IF(OR(K87="",L87=""),"one month",TEXT(MAX(1,(YEAR(L87)-YEAR(K87))*12+MONTH(L87)-MONTH(K87)+1),"0")&amp;" months - see Deferred Revenue"))</f>
        <v/>
      </c>
      <c r="N87" s="26" t="n"/>
      <c r="O87" s="24" t="n"/>
      <c r="P87" s="25">
        <f>IF(N(N87)=0,"",IF(N87&gt;0,set_WIPAsset,IF(J87="Cost",IF(O87="","(set the P&amp;L Account)",O87),IF(O87="",set_WIPIncome,O87))))</f>
        <v/>
      </c>
      <c r="Q87" s="25">
        <f>IF(N(N87)=0,"",IF(N87&gt;0,IF(J87="Cost",IF(O87="","(set the P&amp;L Account)",O87),IF(O87="",set_WIPIncome,O87)),set_WIPAsset))</f>
        <v/>
      </c>
      <c r="R87" s="27">
        <f>IF(OR(N(N87)=0,K87&lt;&gt;""),"",ABS(N87))</f>
        <v/>
      </c>
      <c r="S87" s="25">
        <f>IF(N(N87)=0,"",IF(K87&lt;&gt;"","spreads monthly - see Deferred Revenue","WIP "&amp;I87&amp;IF(D87="",""," - "&amp;D87)&amp;IF(F87="",""," "&amp;F87)&amp;IF(H87="",""," - "&amp;H87)))</f>
        <v/>
      </c>
      <c r="T87" s="24" t="n"/>
      <c r="U87" s="24" t="n"/>
      <c r="V87" s="24" t="n"/>
    </row>
    <row r="88" ht="15" customHeight="1">
      <c r="A88" s="72" t="n"/>
      <c r="B88" s="70">
        <f>IF(C88="","",IFERROR(INDEX(tbl_Finance[Date],MATCH(C88&amp;"",tbl_Finance[Xero Invoice No],0)),""))</f>
        <v/>
      </c>
      <c r="C88" s="24" t="n"/>
      <c r="D88" s="24" t="n"/>
      <c r="E88" s="25">
        <f>IF(D88="","",IF(COUNTIF(lst_Jobs,D88&amp;"")&gt;0,"OK","CHECK"))</f>
        <v/>
      </c>
      <c r="F88" s="24" t="n"/>
      <c r="G88" s="24" t="n"/>
      <c r="H88" s="24" t="n"/>
      <c r="I88" s="24" t="n"/>
      <c r="J88" s="24" t="n"/>
      <c r="K88" s="22" t="n"/>
      <c r="L88" s="22" t="n"/>
      <c r="M88" s="25">
        <f>IF(N88="","",IF(OR(K88="",L88=""),"one month",TEXT(MAX(1,(YEAR(L88)-YEAR(K88))*12+MONTH(L88)-MONTH(K88)+1),"0")&amp;" months - see Deferred Revenue"))</f>
        <v/>
      </c>
      <c r="N88" s="26" t="n"/>
      <c r="O88" s="24" t="n"/>
      <c r="P88" s="25">
        <f>IF(N(N88)=0,"",IF(N88&gt;0,set_WIPAsset,IF(J88="Cost",IF(O88="","(set the P&amp;L Account)",O88),IF(O88="",set_WIPIncome,O88))))</f>
        <v/>
      </c>
      <c r="Q88" s="25">
        <f>IF(N(N88)=0,"",IF(N88&gt;0,IF(J88="Cost",IF(O88="","(set the P&amp;L Account)",O88),IF(O88="",set_WIPIncome,O88)),set_WIPAsset))</f>
        <v/>
      </c>
      <c r="R88" s="27">
        <f>IF(OR(N(N88)=0,K88&lt;&gt;""),"",ABS(N88))</f>
        <v/>
      </c>
      <c r="S88" s="25">
        <f>IF(N(N88)=0,"",IF(K88&lt;&gt;"","spreads monthly - see Deferred Revenue","WIP "&amp;I88&amp;IF(D88="",""," - "&amp;D88)&amp;IF(F88="",""," "&amp;F88)&amp;IF(H88="",""," - "&amp;H88)))</f>
        <v/>
      </c>
      <c r="T88" s="24" t="n"/>
      <c r="U88" s="24" t="n"/>
      <c r="V88" s="24" t="n"/>
    </row>
    <row r="89" ht="15" customHeight="1">
      <c r="A89" s="72" t="n"/>
      <c r="B89" s="70">
        <f>IF(C89="","",IFERROR(INDEX(tbl_Finance[Date],MATCH(C89&amp;"",tbl_Finance[Xero Invoice No],0)),""))</f>
        <v/>
      </c>
      <c r="C89" s="24" t="n"/>
      <c r="D89" s="24" t="n"/>
      <c r="E89" s="25">
        <f>IF(D89="","",IF(COUNTIF(lst_Jobs,D89&amp;"")&gt;0,"OK","CHECK"))</f>
        <v/>
      </c>
      <c r="F89" s="24" t="n"/>
      <c r="G89" s="24" t="n"/>
      <c r="H89" s="24" t="n"/>
      <c r="I89" s="24" t="n"/>
      <c r="J89" s="24" t="n"/>
      <c r="K89" s="22" t="n"/>
      <c r="L89" s="22" t="n"/>
      <c r="M89" s="25">
        <f>IF(N89="","",IF(OR(K89="",L89=""),"one month",TEXT(MAX(1,(YEAR(L89)-YEAR(K89))*12+MONTH(L89)-MONTH(K89)+1),"0")&amp;" months - see Deferred Revenue"))</f>
        <v/>
      </c>
      <c r="N89" s="26" t="n"/>
      <c r="O89" s="24" t="n"/>
      <c r="P89" s="25">
        <f>IF(N(N89)=0,"",IF(N89&gt;0,set_WIPAsset,IF(J89="Cost",IF(O89="","(set the P&amp;L Account)",O89),IF(O89="",set_WIPIncome,O89))))</f>
        <v/>
      </c>
      <c r="Q89" s="25">
        <f>IF(N(N89)=0,"",IF(N89&gt;0,IF(J89="Cost",IF(O89="","(set the P&amp;L Account)",O89),IF(O89="",set_WIPIncome,O89)),set_WIPAsset))</f>
        <v/>
      </c>
      <c r="R89" s="27">
        <f>IF(OR(N(N89)=0,K89&lt;&gt;""),"",ABS(N89))</f>
        <v/>
      </c>
      <c r="S89" s="25">
        <f>IF(N(N89)=0,"",IF(K89&lt;&gt;"","spreads monthly - see Deferred Revenue","WIP "&amp;I89&amp;IF(D89="",""," - "&amp;D89)&amp;IF(F89="",""," "&amp;F89)&amp;IF(H89="",""," - "&amp;H89)))</f>
        <v/>
      </c>
      <c r="T89" s="24" t="n"/>
      <c r="U89" s="24" t="n"/>
      <c r="V89" s="24" t="n"/>
    </row>
    <row r="90" ht="15" customHeight="1">
      <c r="A90" s="72" t="n"/>
      <c r="B90" s="70">
        <f>IF(C90="","",IFERROR(INDEX(tbl_Finance[Date],MATCH(C90&amp;"",tbl_Finance[Xero Invoice No],0)),""))</f>
        <v/>
      </c>
      <c r="C90" s="24" t="n"/>
      <c r="D90" s="24" t="n"/>
      <c r="E90" s="25">
        <f>IF(D90="","",IF(COUNTIF(lst_Jobs,D90&amp;"")&gt;0,"OK","CHECK"))</f>
        <v/>
      </c>
      <c r="F90" s="24" t="n"/>
      <c r="G90" s="24" t="n"/>
      <c r="H90" s="24" t="n"/>
      <c r="I90" s="24" t="n"/>
      <c r="J90" s="24" t="n"/>
      <c r="K90" s="22" t="n"/>
      <c r="L90" s="22" t="n"/>
      <c r="M90" s="25">
        <f>IF(N90="","",IF(OR(K90="",L90=""),"one month",TEXT(MAX(1,(YEAR(L90)-YEAR(K90))*12+MONTH(L90)-MONTH(K90)+1),"0")&amp;" months - see Deferred Revenue"))</f>
        <v/>
      </c>
      <c r="N90" s="26" t="n"/>
      <c r="O90" s="24" t="n"/>
      <c r="P90" s="25">
        <f>IF(N(N90)=0,"",IF(N90&gt;0,set_WIPAsset,IF(J90="Cost",IF(O90="","(set the P&amp;L Account)",O90),IF(O90="",set_WIPIncome,O90))))</f>
        <v/>
      </c>
      <c r="Q90" s="25">
        <f>IF(N(N90)=0,"",IF(N90&gt;0,IF(J90="Cost",IF(O90="","(set the P&amp;L Account)",O90),IF(O90="",set_WIPIncome,O90)),set_WIPAsset))</f>
        <v/>
      </c>
      <c r="R90" s="27">
        <f>IF(OR(N(N90)=0,K90&lt;&gt;""),"",ABS(N90))</f>
        <v/>
      </c>
      <c r="S90" s="25">
        <f>IF(N(N90)=0,"",IF(K90&lt;&gt;"","spreads monthly - see Deferred Revenue","WIP "&amp;I90&amp;IF(D90="",""," - "&amp;D90)&amp;IF(F90="",""," "&amp;F90)&amp;IF(H90="",""," - "&amp;H90)))</f>
        <v/>
      </c>
      <c r="T90" s="24" t="n"/>
      <c r="U90" s="24" t="n"/>
      <c r="V90" s="24" t="n"/>
    </row>
    <row r="91" ht="15" customHeight="1">
      <c r="A91" s="72" t="n"/>
      <c r="B91" s="70">
        <f>IF(C91="","",IFERROR(INDEX(tbl_Finance[Date],MATCH(C91&amp;"",tbl_Finance[Xero Invoice No],0)),""))</f>
        <v/>
      </c>
      <c r="C91" s="24" t="n"/>
      <c r="D91" s="24" t="n"/>
      <c r="E91" s="25">
        <f>IF(D91="","",IF(COUNTIF(lst_Jobs,D91&amp;"")&gt;0,"OK","CHECK"))</f>
        <v/>
      </c>
      <c r="F91" s="24" t="n"/>
      <c r="G91" s="24" t="n"/>
      <c r="H91" s="24" t="n"/>
      <c r="I91" s="24" t="n"/>
      <c r="J91" s="24" t="n"/>
      <c r="K91" s="22" t="n"/>
      <c r="L91" s="22" t="n"/>
      <c r="M91" s="25">
        <f>IF(N91="","",IF(OR(K91="",L91=""),"one month",TEXT(MAX(1,(YEAR(L91)-YEAR(K91))*12+MONTH(L91)-MONTH(K91)+1),"0")&amp;" months - see Deferred Revenue"))</f>
        <v/>
      </c>
      <c r="N91" s="26" t="n"/>
      <c r="O91" s="24" t="n"/>
      <c r="P91" s="25">
        <f>IF(N(N91)=0,"",IF(N91&gt;0,set_WIPAsset,IF(J91="Cost",IF(O91="","(set the P&amp;L Account)",O91),IF(O91="",set_WIPIncome,O91))))</f>
        <v/>
      </c>
      <c r="Q91" s="25">
        <f>IF(N(N91)=0,"",IF(N91&gt;0,IF(J91="Cost",IF(O91="","(set the P&amp;L Account)",O91),IF(O91="",set_WIPIncome,O91)),set_WIPAsset))</f>
        <v/>
      </c>
      <c r="R91" s="27">
        <f>IF(OR(N(N91)=0,K91&lt;&gt;""),"",ABS(N91))</f>
        <v/>
      </c>
      <c r="S91" s="25">
        <f>IF(N(N91)=0,"",IF(K91&lt;&gt;"","spreads monthly - see Deferred Revenue","WIP "&amp;I91&amp;IF(D91="",""," - "&amp;D91)&amp;IF(F91="",""," "&amp;F91)&amp;IF(H91="",""," - "&amp;H91)))</f>
        <v/>
      </c>
      <c r="T91" s="24" t="n"/>
      <c r="U91" s="24" t="n"/>
      <c r="V91" s="24" t="n"/>
    </row>
    <row r="92" ht="15" customHeight="1">
      <c r="A92" s="72" t="n"/>
      <c r="B92" s="70">
        <f>IF(C92="","",IFERROR(INDEX(tbl_Finance[Date],MATCH(C92&amp;"",tbl_Finance[Xero Invoice No],0)),""))</f>
        <v/>
      </c>
      <c r="C92" s="24" t="n"/>
      <c r="D92" s="24" t="n"/>
      <c r="E92" s="25">
        <f>IF(D92="","",IF(COUNTIF(lst_Jobs,D92&amp;"")&gt;0,"OK","CHECK"))</f>
        <v/>
      </c>
      <c r="F92" s="24" t="n"/>
      <c r="G92" s="24" t="n"/>
      <c r="H92" s="24" t="n"/>
      <c r="I92" s="24" t="n"/>
      <c r="J92" s="24" t="n"/>
      <c r="K92" s="22" t="n"/>
      <c r="L92" s="22" t="n"/>
      <c r="M92" s="25">
        <f>IF(N92="","",IF(OR(K92="",L92=""),"one month",TEXT(MAX(1,(YEAR(L92)-YEAR(K92))*12+MONTH(L92)-MONTH(K92)+1),"0")&amp;" months - see Deferred Revenue"))</f>
        <v/>
      </c>
      <c r="N92" s="26" t="n"/>
      <c r="O92" s="24" t="n"/>
      <c r="P92" s="25">
        <f>IF(N(N92)=0,"",IF(N92&gt;0,set_WIPAsset,IF(J92="Cost",IF(O92="","(set the P&amp;L Account)",O92),IF(O92="",set_WIPIncome,O92))))</f>
        <v/>
      </c>
      <c r="Q92" s="25">
        <f>IF(N(N92)=0,"",IF(N92&gt;0,IF(J92="Cost",IF(O92="","(set the P&amp;L Account)",O92),IF(O92="",set_WIPIncome,O92)),set_WIPAsset))</f>
        <v/>
      </c>
      <c r="R92" s="27">
        <f>IF(OR(N(N92)=0,K92&lt;&gt;""),"",ABS(N92))</f>
        <v/>
      </c>
      <c r="S92" s="25">
        <f>IF(N(N92)=0,"",IF(K92&lt;&gt;"","spreads monthly - see Deferred Revenue","WIP "&amp;I92&amp;IF(D92="",""," - "&amp;D92)&amp;IF(F92="",""," "&amp;F92)&amp;IF(H92="",""," - "&amp;H92)))</f>
        <v/>
      </c>
      <c r="T92" s="24" t="n"/>
      <c r="U92" s="24" t="n"/>
      <c r="V92" s="24" t="n"/>
    </row>
    <row r="93" ht="15" customHeight="1">
      <c r="A93" s="72" t="n"/>
      <c r="B93" s="70">
        <f>IF(C93="","",IFERROR(INDEX(tbl_Finance[Date],MATCH(C93&amp;"",tbl_Finance[Xero Invoice No],0)),""))</f>
        <v/>
      </c>
      <c r="C93" s="24" t="n"/>
      <c r="D93" s="24" t="n"/>
      <c r="E93" s="25">
        <f>IF(D93="","",IF(COUNTIF(lst_Jobs,D93&amp;"")&gt;0,"OK","CHECK"))</f>
        <v/>
      </c>
      <c r="F93" s="24" t="n"/>
      <c r="G93" s="24" t="n"/>
      <c r="H93" s="24" t="n"/>
      <c r="I93" s="24" t="n"/>
      <c r="J93" s="24" t="n"/>
      <c r="K93" s="22" t="n"/>
      <c r="L93" s="22" t="n"/>
      <c r="M93" s="25">
        <f>IF(N93="","",IF(OR(K93="",L93=""),"one month",TEXT(MAX(1,(YEAR(L93)-YEAR(K93))*12+MONTH(L93)-MONTH(K93)+1),"0")&amp;" months - see Deferred Revenue"))</f>
        <v/>
      </c>
      <c r="N93" s="26" t="n"/>
      <c r="O93" s="24" t="n"/>
      <c r="P93" s="25">
        <f>IF(N(N93)=0,"",IF(N93&gt;0,set_WIPAsset,IF(J93="Cost",IF(O93="","(set the P&amp;L Account)",O93),IF(O93="",set_WIPIncome,O93))))</f>
        <v/>
      </c>
      <c r="Q93" s="25">
        <f>IF(N(N93)=0,"",IF(N93&gt;0,IF(J93="Cost",IF(O93="","(set the P&amp;L Account)",O93),IF(O93="",set_WIPIncome,O93)),set_WIPAsset))</f>
        <v/>
      </c>
      <c r="R93" s="27">
        <f>IF(OR(N(N93)=0,K93&lt;&gt;""),"",ABS(N93))</f>
        <v/>
      </c>
      <c r="S93" s="25">
        <f>IF(N(N93)=0,"",IF(K93&lt;&gt;"","spreads monthly - see Deferred Revenue","WIP "&amp;I93&amp;IF(D93="",""," - "&amp;D93)&amp;IF(F93="",""," "&amp;F93)&amp;IF(H93="",""," - "&amp;H93)))</f>
        <v/>
      </c>
      <c r="T93" s="24" t="n"/>
      <c r="U93" s="24" t="n"/>
      <c r="V93" s="24" t="n"/>
    </row>
    <row r="94" ht="15" customHeight="1">
      <c r="A94" s="72" t="n"/>
      <c r="B94" s="70">
        <f>IF(C94="","",IFERROR(INDEX(tbl_Finance[Date],MATCH(C94&amp;"",tbl_Finance[Xero Invoice No],0)),""))</f>
        <v/>
      </c>
      <c r="C94" s="24" t="n"/>
      <c r="D94" s="24" t="n"/>
      <c r="E94" s="25">
        <f>IF(D94="","",IF(COUNTIF(lst_Jobs,D94&amp;"")&gt;0,"OK","CHECK"))</f>
        <v/>
      </c>
      <c r="F94" s="24" t="n"/>
      <c r="G94" s="24" t="n"/>
      <c r="H94" s="24" t="n"/>
      <c r="I94" s="24" t="n"/>
      <c r="J94" s="24" t="n"/>
      <c r="K94" s="22" t="n"/>
      <c r="L94" s="22" t="n"/>
      <c r="M94" s="25">
        <f>IF(N94="","",IF(OR(K94="",L94=""),"one month",TEXT(MAX(1,(YEAR(L94)-YEAR(K94))*12+MONTH(L94)-MONTH(K94)+1),"0")&amp;" months - see Deferred Revenue"))</f>
        <v/>
      </c>
      <c r="N94" s="26" t="n"/>
      <c r="O94" s="24" t="n"/>
      <c r="P94" s="25">
        <f>IF(N(N94)=0,"",IF(N94&gt;0,set_WIPAsset,IF(J94="Cost",IF(O94="","(set the P&amp;L Account)",O94),IF(O94="",set_WIPIncome,O94))))</f>
        <v/>
      </c>
      <c r="Q94" s="25">
        <f>IF(N(N94)=0,"",IF(N94&gt;0,IF(J94="Cost",IF(O94="","(set the P&amp;L Account)",O94),IF(O94="",set_WIPIncome,O94)),set_WIPAsset))</f>
        <v/>
      </c>
      <c r="R94" s="27">
        <f>IF(OR(N(N94)=0,K94&lt;&gt;""),"",ABS(N94))</f>
        <v/>
      </c>
      <c r="S94" s="25">
        <f>IF(N(N94)=0,"",IF(K94&lt;&gt;"","spreads monthly - see Deferred Revenue","WIP "&amp;I94&amp;IF(D94="",""," - "&amp;D94)&amp;IF(F94="",""," "&amp;F94)&amp;IF(H94="",""," - "&amp;H94)))</f>
        <v/>
      </c>
      <c r="T94" s="24" t="n"/>
      <c r="U94" s="24" t="n"/>
      <c r="V94" s="24" t="n"/>
    </row>
    <row r="95" ht="15" customHeight="1">
      <c r="A95" s="72" t="n"/>
      <c r="B95" s="70">
        <f>IF(C95="","",IFERROR(INDEX(tbl_Finance[Date],MATCH(C95&amp;"",tbl_Finance[Xero Invoice No],0)),""))</f>
        <v/>
      </c>
      <c r="C95" s="24" t="n"/>
      <c r="D95" s="24" t="n"/>
      <c r="E95" s="25">
        <f>IF(D95="","",IF(COUNTIF(lst_Jobs,D95&amp;"")&gt;0,"OK","CHECK"))</f>
        <v/>
      </c>
      <c r="F95" s="24" t="n"/>
      <c r="G95" s="24" t="n"/>
      <c r="H95" s="24" t="n"/>
      <c r="I95" s="24" t="n"/>
      <c r="J95" s="24" t="n"/>
      <c r="K95" s="22" t="n"/>
      <c r="L95" s="22" t="n"/>
      <c r="M95" s="25">
        <f>IF(N95="","",IF(OR(K95="",L95=""),"one month",TEXT(MAX(1,(YEAR(L95)-YEAR(K95))*12+MONTH(L95)-MONTH(K95)+1),"0")&amp;" months - see Deferred Revenue"))</f>
        <v/>
      </c>
      <c r="N95" s="26" t="n"/>
      <c r="O95" s="24" t="n"/>
      <c r="P95" s="25">
        <f>IF(N(N95)=0,"",IF(N95&gt;0,set_WIPAsset,IF(J95="Cost",IF(O95="","(set the P&amp;L Account)",O95),IF(O95="",set_WIPIncome,O95))))</f>
        <v/>
      </c>
      <c r="Q95" s="25">
        <f>IF(N(N95)=0,"",IF(N95&gt;0,IF(J95="Cost",IF(O95="","(set the P&amp;L Account)",O95),IF(O95="",set_WIPIncome,O95)),set_WIPAsset))</f>
        <v/>
      </c>
      <c r="R95" s="27">
        <f>IF(OR(N(N95)=0,K95&lt;&gt;""),"",ABS(N95))</f>
        <v/>
      </c>
      <c r="S95" s="25">
        <f>IF(N(N95)=0,"",IF(K95&lt;&gt;"","spreads monthly - see Deferred Revenue","WIP "&amp;I95&amp;IF(D95="",""," - "&amp;D95)&amp;IF(F95="",""," "&amp;F95)&amp;IF(H95="",""," - "&amp;H95)))</f>
        <v/>
      </c>
      <c r="T95" s="24" t="n"/>
      <c r="U95" s="24" t="n"/>
      <c r="V95" s="24" t="n"/>
    </row>
    <row r="96" ht="15" customHeight="1">
      <c r="A96" s="72" t="n"/>
      <c r="B96" s="70">
        <f>IF(C96="","",IFERROR(INDEX(tbl_Finance[Date],MATCH(C96&amp;"",tbl_Finance[Xero Invoice No],0)),""))</f>
        <v/>
      </c>
      <c r="C96" s="24" t="n"/>
      <c r="D96" s="24" t="n"/>
      <c r="E96" s="25">
        <f>IF(D96="","",IF(COUNTIF(lst_Jobs,D96&amp;"")&gt;0,"OK","CHECK"))</f>
        <v/>
      </c>
      <c r="F96" s="24" t="n"/>
      <c r="G96" s="24" t="n"/>
      <c r="H96" s="24" t="n"/>
      <c r="I96" s="24" t="n"/>
      <c r="J96" s="24" t="n"/>
      <c r="K96" s="22" t="n"/>
      <c r="L96" s="22" t="n"/>
      <c r="M96" s="25">
        <f>IF(N96="","",IF(OR(K96="",L96=""),"one month",TEXT(MAX(1,(YEAR(L96)-YEAR(K96))*12+MONTH(L96)-MONTH(K96)+1),"0")&amp;" months - see Deferred Revenue"))</f>
        <v/>
      </c>
      <c r="N96" s="26" t="n"/>
      <c r="O96" s="24" t="n"/>
      <c r="P96" s="25">
        <f>IF(N(N96)=0,"",IF(N96&gt;0,set_WIPAsset,IF(J96="Cost",IF(O96="","(set the P&amp;L Account)",O96),IF(O96="",set_WIPIncome,O96))))</f>
        <v/>
      </c>
      <c r="Q96" s="25">
        <f>IF(N(N96)=0,"",IF(N96&gt;0,IF(J96="Cost",IF(O96="","(set the P&amp;L Account)",O96),IF(O96="",set_WIPIncome,O96)),set_WIPAsset))</f>
        <v/>
      </c>
      <c r="R96" s="27">
        <f>IF(OR(N(N96)=0,K96&lt;&gt;""),"",ABS(N96))</f>
        <v/>
      </c>
      <c r="S96" s="25">
        <f>IF(N(N96)=0,"",IF(K96&lt;&gt;"","spreads monthly - see Deferred Revenue","WIP "&amp;I96&amp;IF(D96="",""," - "&amp;D96)&amp;IF(F96="",""," "&amp;F96)&amp;IF(H96="",""," - "&amp;H96)))</f>
        <v/>
      </c>
      <c r="T96" s="24" t="n"/>
      <c r="U96" s="24" t="n"/>
      <c r="V96" s="24" t="n"/>
    </row>
    <row r="97" ht="15" customHeight="1">
      <c r="A97" s="72" t="n"/>
      <c r="B97" s="70">
        <f>IF(C97="","",IFERROR(INDEX(tbl_Finance[Date],MATCH(C97&amp;"",tbl_Finance[Xero Invoice No],0)),""))</f>
        <v/>
      </c>
      <c r="C97" s="24" t="n"/>
      <c r="D97" s="24" t="n"/>
      <c r="E97" s="25">
        <f>IF(D97="","",IF(COUNTIF(lst_Jobs,D97&amp;"")&gt;0,"OK","CHECK"))</f>
        <v/>
      </c>
      <c r="F97" s="24" t="n"/>
      <c r="G97" s="24" t="n"/>
      <c r="H97" s="24" t="n"/>
      <c r="I97" s="24" t="n"/>
      <c r="J97" s="24" t="n"/>
      <c r="K97" s="22" t="n"/>
      <c r="L97" s="22" t="n"/>
      <c r="M97" s="25">
        <f>IF(N97="","",IF(OR(K97="",L97=""),"one month",TEXT(MAX(1,(YEAR(L97)-YEAR(K97))*12+MONTH(L97)-MONTH(K97)+1),"0")&amp;" months - see Deferred Revenue"))</f>
        <v/>
      </c>
      <c r="N97" s="26" t="n"/>
      <c r="O97" s="24" t="n"/>
      <c r="P97" s="25">
        <f>IF(N(N97)=0,"",IF(N97&gt;0,set_WIPAsset,IF(J97="Cost",IF(O97="","(set the P&amp;L Account)",O97),IF(O97="",set_WIPIncome,O97))))</f>
        <v/>
      </c>
      <c r="Q97" s="25">
        <f>IF(N(N97)=0,"",IF(N97&gt;0,IF(J97="Cost",IF(O97="","(set the P&amp;L Account)",O97),IF(O97="",set_WIPIncome,O97)),set_WIPAsset))</f>
        <v/>
      </c>
      <c r="R97" s="27">
        <f>IF(OR(N(N97)=0,K97&lt;&gt;""),"",ABS(N97))</f>
        <v/>
      </c>
      <c r="S97" s="25">
        <f>IF(N(N97)=0,"",IF(K97&lt;&gt;"","spreads monthly - see Deferred Revenue","WIP "&amp;I97&amp;IF(D97="",""," - "&amp;D97)&amp;IF(F97="",""," "&amp;F97)&amp;IF(H97="",""," - "&amp;H97)))</f>
        <v/>
      </c>
      <c r="T97" s="24" t="n"/>
      <c r="U97" s="24" t="n"/>
      <c r="V97" s="24" t="n"/>
    </row>
    <row r="98" ht="15" customHeight="1">
      <c r="A98" s="72" t="n"/>
      <c r="B98" s="70">
        <f>IF(C98="","",IFERROR(INDEX(tbl_Finance[Date],MATCH(C98&amp;"",tbl_Finance[Xero Invoice No],0)),""))</f>
        <v/>
      </c>
      <c r="C98" s="24" t="n"/>
      <c r="D98" s="24" t="n"/>
      <c r="E98" s="25">
        <f>IF(D98="","",IF(COUNTIF(lst_Jobs,D98&amp;"")&gt;0,"OK","CHECK"))</f>
        <v/>
      </c>
      <c r="F98" s="24" t="n"/>
      <c r="G98" s="24" t="n"/>
      <c r="H98" s="24" t="n"/>
      <c r="I98" s="24" t="n"/>
      <c r="J98" s="24" t="n"/>
      <c r="K98" s="22" t="n"/>
      <c r="L98" s="22" t="n"/>
      <c r="M98" s="25">
        <f>IF(N98="","",IF(OR(K98="",L98=""),"one month",TEXT(MAX(1,(YEAR(L98)-YEAR(K98))*12+MONTH(L98)-MONTH(K98)+1),"0")&amp;" months - see Deferred Revenue"))</f>
        <v/>
      </c>
      <c r="N98" s="26" t="n"/>
      <c r="O98" s="24" t="n"/>
      <c r="P98" s="25">
        <f>IF(N(N98)=0,"",IF(N98&gt;0,set_WIPAsset,IF(J98="Cost",IF(O98="","(set the P&amp;L Account)",O98),IF(O98="",set_WIPIncome,O98))))</f>
        <v/>
      </c>
      <c r="Q98" s="25">
        <f>IF(N(N98)=0,"",IF(N98&gt;0,IF(J98="Cost",IF(O98="","(set the P&amp;L Account)",O98),IF(O98="",set_WIPIncome,O98)),set_WIPAsset))</f>
        <v/>
      </c>
      <c r="R98" s="27">
        <f>IF(OR(N(N98)=0,K98&lt;&gt;""),"",ABS(N98))</f>
        <v/>
      </c>
      <c r="S98" s="25">
        <f>IF(N(N98)=0,"",IF(K98&lt;&gt;"","spreads monthly - see Deferred Revenue","WIP "&amp;I98&amp;IF(D98="",""," - "&amp;D98)&amp;IF(F98="",""," "&amp;F98)&amp;IF(H98="",""," - "&amp;H98)))</f>
        <v/>
      </c>
      <c r="T98" s="24" t="n"/>
      <c r="U98" s="24" t="n"/>
      <c r="V98" s="24" t="n"/>
    </row>
    <row r="99" ht="15" customHeight="1">
      <c r="A99" s="72" t="n"/>
      <c r="B99" s="70">
        <f>IF(C99="","",IFERROR(INDEX(tbl_Finance[Date],MATCH(C99&amp;"",tbl_Finance[Xero Invoice No],0)),""))</f>
        <v/>
      </c>
      <c r="C99" s="24" t="n"/>
      <c r="D99" s="24" t="n"/>
      <c r="E99" s="25">
        <f>IF(D99="","",IF(COUNTIF(lst_Jobs,D99&amp;"")&gt;0,"OK","CHECK"))</f>
        <v/>
      </c>
      <c r="F99" s="24" t="n"/>
      <c r="G99" s="24" t="n"/>
      <c r="H99" s="24" t="n"/>
      <c r="I99" s="24" t="n"/>
      <c r="J99" s="24" t="n"/>
      <c r="K99" s="22" t="n"/>
      <c r="L99" s="22" t="n"/>
      <c r="M99" s="25">
        <f>IF(N99="","",IF(OR(K99="",L99=""),"one month",TEXT(MAX(1,(YEAR(L99)-YEAR(K99))*12+MONTH(L99)-MONTH(K99)+1),"0")&amp;" months - see Deferred Revenue"))</f>
        <v/>
      </c>
      <c r="N99" s="26" t="n"/>
      <c r="O99" s="24" t="n"/>
      <c r="P99" s="25">
        <f>IF(N(N99)=0,"",IF(N99&gt;0,set_WIPAsset,IF(J99="Cost",IF(O99="","(set the P&amp;L Account)",O99),IF(O99="",set_WIPIncome,O99))))</f>
        <v/>
      </c>
      <c r="Q99" s="25">
        <f>IF(N(N99)=0,"",IF(N99&gt;0,IF(J99="Cost",IF(O99="","(set the P&amp;L Account)",O99),IF(O99="",set_WIPIncome,O99)),set_WIPAsset))</f>
        <v/>
      </c>
      <c r="R99" s="27">
        <f>IF(OR(N(N99)=0,K99&lt;&gt;""),"",ABS(N99))</f>
        <v/>
      </c>
      <c r="S99" s="25">
        <f>IF(N(N99)=0,"",IF(K99&lt;&gt;"","spreads monthly - see Deferred Revenue","WIP "&amp;I99&amp;IF(D99="",""," - "&amp;D99)&amp;IF(F99="",""," "&amp;F99)&amp;IF(H99="",""," - "&amp;H99)))</f>
        <v/>
      </c>
      <c r="T99" s="24" t="n"/>
      <c r="U99" s="24" t="n"/>
      <c r="V99" s="24" t="n"/>
    </row>
    <row r="100" ht="15" customHeight="1">
      <c r="A100" s="72" t="n"/>
      <c r="B100" s="70">
        <f>IF(C100="","",IFERROR(INDEX(tbl_Finance[Date],MATCH(C100&amp;"",tbl_Finance[Xero Invoice No],0)),""))</f>
        <v/>
      </c>
      <c r="C100" s="24" t="n"/>
      <c r="D100" s="24" t="n"/>
      <c r="E100" s="25">
        <f>IF(D100="","",IF(COUNTIF(lst_Jobs,D100&amp;"")&gt;0,"OK","CHECK"))</f>
        <v/>
      </c>
      <c r="F100" s="24" t="n"/>
      <c r="G100" s="24" t="n"/>
      <c r="H100" s="24" t="n"/>
      <c r="I100" s="24" t="n"/>
      <c r="J100" s="24" t="n"/>
      <c r="K100" s="22" t="n"/>
      <c r="L100" s="22" t="n"/>
      <c r="M100" s="25">
        <f>IF(N100="","",IF(OR(K100="",L100=""),"one month",TEXT(MAX(1,(YEAR(L100)-YEAR(K100))*12+MONTH(L100)-MONTH(K100)+1),"0")&amp;" months - see Deferred Revenue"))</f>
        <v/>
      </c>
      <c r="N100" s="26" t="n"/>
      <c r="O100" s="24" t="n"/>
      <c r="P100" s="25">
        <f>IF(N(N100)=0,"",IF(N100&gt;0,set_WIPAsset,IF(J100="Cost",IF(O100="","(set the P&amp;L Account)",O100),IF(O100="",set_WIPIncome,O100))))</f>
        <v/>
      </c>
      <c r="Q100" s="25">
        <f>IF(N(N100)=0,"",IF(N100&gt;0,IF(J100="Cost",IF(O100="","(set the P&amp;L Account)",O100),IF(O100="",set_WIPIncome,O100)),set_WIPAsset))</f>
        <v/>
      </c>
      <c r="R100" s="27">
        <f>IF(OR(N(N100)=0,K100&lt;&gt;""),"",ABS(N100))</f>
        <v/>
      </c>
      <c r="S100" s="25">
        <f>IF(N(N100)=0,"",IF(K100&lt;&gt;"","spreads monthly - see Deferred Revenue","WIP "&amp;I100&amp;IF(D100="",""," - "&amp;D100)&amp;IF(F100="",""," "&amp;F100)&amp;IF(H100="",""," - "&amp;H100)))</f>
        <v/>
      </c>
      <c r="T100" s="24" t="n"/>
      <c r="U100" s="24" t="n"/>
      <c r="V100" s="24" t="n"/>
    </row>
    <row r="101" ht="15" customHeight="1">
      <c r="A101" s="72" t="n"/>
      <c r="B101" s="70">
        <f>IF(C101="","",IFERROR(INDEX(tbl_Finance[Date],MATCH(C101&amp;"",tbl_Finance[Xero Invoice No],0)),""))</f>
        <v/>
      </c>
      <c r="C101" s="24" t="n"/>
      <c r="D101" s="24" t="n"/>
      <c r="E101" s="25">
        <f>IF(D101="","",IF(COUNTIF(lst_Jobs,D101&amp;"")&gt;0,"OK","CHECK"))</f>
        <v/>
      </c>
      <c r="F101" s="24" t="n"/>
      <c r="G101" s="24" t="n"/>
      <c r="H101" s="24" t="n"/>
      <c r="I101" s="24" t="n"/>
      <c r="J101" s="24" t="n"/>
      <c r="K101" s="22" t="n"/>
      <c r="L101" s="22" t="n"/>
      <c r="M101" s="25">
        <f>IF(N101="","",IF(OR(K101="",L101=""),"one month",TEXT(MAX(1,(YEAR(L101)-YEAR(K101))*12+MONTH(L101)-MONTH(K101)+1),"0")&amp;" months - see Deferred Revenue"))</f>
        <v/>
      </c>
      <c r="N101" s="26" t="n"/>
      <c r="O101" s="24" t="n"/>
      <c r="P101" s="25">
        <f>IF(N(N101)=0,"",IF(N101&gt;0,set_WIPAsset,IF(J101="Cost",IF(O101="","(set the P&amp;L Account)",O101),IF(O101="",set_WIPIncome,O101))))</f>
        <v/>
      </c>
      <c r="Q101" s="25">
        <f>IF(N(N101)=0,"",IF(N101&gt;0,IF(J101="Cost",IF(O101="","(set the P&amp;L Account)",O101),IF(O101="",set_WIPIncome,O101)),set_WIPAsset))</f>
        <v/>
      </c>
      <c r="R101" s="27">
        <f>IF(OR(N(N101)=0,K101&lt;&gt;""),"",ABS(N101))</f>
        <v/>
      </c>
      <c r="S101" s="25">
        <f>IF(N(N101)=0,"",IF(K101&lt;&gt;"","spreads monthly - see Deferred Revenue","WIP "&amp;I101&amp;IF(D101="",""," - "&amp;D101)&amp;IF(F101="",""," "&amp;F101)&amp;IF(H101="",""," - "&amp;H101)))</f>
        <v/>
      </c>
      <c r="T101" s="24" t="n"/>
      <c r="U101" s="24" t="n"/>
      <c r="V101" s="24" t="n"/>
    </row>
    <row r="102" ht="15" customHeight="1">
      <c r="A102" s="72" t="n"/>
      <c r="B102" s="70">
        <f>IF(C102="","",IFERROR(INDEX(tbl_Finance[Date],MATCH(C102&amp;"",tbl_Finance[Xero Invoice No],0)),""))</f>
        <v/>
      </c>
      <c r="C102" s="24" t="n"/>
      <c r="D102" s="24" t="n"/>
      <c r="E102" s="25">
        <f>IF(D102="","",IF(COUNTIF(lst_Jobs,D102&amp;"")&gt;0,"OK","CHECK"))</f>
        <v/>
      </c>
      <c r="F102" s="24" t="n"/>
      <c r="G102" s="24" t="n"/>
      <c r="H102" s="24" t="n"/>
      <c r="I102" s="24" t="n"/>
      <c r="J102" s="24" t="n"/>
      <c r="K102" s="22" t="n"/>
      <c r="L102" s="22" t="n"/>
      <c r="M102" s="25">
        <f>IF(N102="","",IF(OR(K102="",L102=""),"one month",TEXT(MAX(1,(YEAR(L102)-YEAR(K102))*12+MONTH(L102)-MONTH(K102)+1),"0")&amp;" months - see Deferred Revenue"))</f>
        <v/>
      </c>
      <c r="N102" s="26" t="n"/>
      <c r="O102" s="24" t="n"/>
      <c r="P102" s="25">
        <f>IF(N(N102)=0,"",IF(N102&gt;0,set_WIPAsset,IF(J102="Cost",IF(O102="","(set the P&amp;L Account)",O102),IF(O102="",set_WIPIncome,O102))))</f>
        <v/>
      </c>
      <c r="Q102" s="25">
        <f>IF(N(N102)=0,"",IF(N102&gt;0,IF(J102="Cost",IF(O102="","(set the P&amp;L Account)",O102),IF(O102="",set_WIPIncome,O102)),set_WIPAsset))</f>
        <v/>
      </c>
      <c r="R102" s="27">
        <f>IF(OR(N(N102)=0,K102&lt;&gt;""),"",ABS(N102))</f>
        <v/>
      </c>
      <c r="S102" s="25">
        <f>IF(N(N102)=0,"",IF(K102&lt;&gt;"","spreads monthly - see Deferred Revenue","WIP "&amp;I102&amp;IF(D102="",""," - "&amp;D102)&amp;IF(F102="",""," "&amp;F102)&amp;IF(H102="",""," - "&amp;H102)))</f>
        <v/>
      </c>
      <c r="T102" s="24" t="n"/>
      <c r="U102" s="24" t="n"/>
      <c r="V102" s="24" t="n"/>
    </row>
    <row r="103" ht="15" customHeight="1">
      <c r="A103" s="72" t="n"/>
      <c r="B103" s="70">
        <f>IF(C103="","",IFERROR(INDEX(tbl_Finance[Date],MATCH(C103&amp;"",tbl_Finance[Xero Invoice No],0)),""))</f>
        <v/>
      </c>
      <c r="C103" s="24" t="n"/>
      <c r="D103" s="24" t="n"/>
      <c r="E103" s="25">
        <f>IF(D103="","",IF(COUNTIF(lst_Jobs,D103&amp;"")&gt;0,"OK","CHECK"))</f>
        <v/>
      </c>
      <c r="F103" s="24" t="n"/>
      <c r="G103" s="24" t="n"/>
      <c r="H103" s="24" t="n"/>
      <c r="I103" s="24" t="n"/>
      <c r="J103" s="24" t="n"/>
      <c r="K103" s="22" t="n"/>
      <c r="L103" s="22" t="n"/>
      <c r="M103" s="25">
        <f>IF(N103="","",IF(OR(K103="",L103=""),"one month",TEXT(MAX(1,(YEAR(L103)-YEAR(K103))*12+MONTH(L103)-MONTH(K103)+1),"0")&amp;" months - see Deferred Revenue"))</f>
        <v/>
      </c>
      <c r="N103" s="26" t="n"/>
      <c r="O103" s="24" t="n"/>
      <c r="P103" s="25">
        <f>IF(N(N103)=0,"",IF(N103&gt;0,set_WIPAsset,IF(J103="Cost",IF(O103="","(set the P&amp;L Account)",O103),IF(O103="",set_WIPIncome,O103))))</f>
        <v/>
      </c>
      <c r="Q103" s="25">
        <f>IF(N(N103)=0,"",IF(N103&gt;0,IF(J103="Cost",IF(O103="","(set the P&amp;L Account)",O103),IF(O103="",set_WIPIncome,O103)),set_WIPAsset))</f>
        <v/>
      </c>
      <c r="R103" s="27">
        <f>IF(OR(N(N103)=0,K103&lt;&gt;""),"",ABS(N103))</f>
        <v/>
      </c>
      <c r="S103" s="25">
        <f>IF(N(N103)=0,"",IF(K103&lt;&gt;"","spreads monthly - see Deferred Revenue","WIP "&amp;I103&amp;IF(D103="",""," - "&amp;D103)&amp;IF(F103="",""," "&amp;F103)&amp;IF(H103="",""," - "&amp;H103)))</f>
        <v/>
      </c>
      <c r="T103" s="24" t="n"/>
      <c r="U103" s="24" t="n"/>
      <c r="V103" s="24" t="n"/>
    </row>
    <row r="104" ht="15" customHeight="1">
      <c r="A104" s="72" t="n"/>
      <c r="B104" s="70">
        <f>IF(C104="","",IFERROR(INDEX(tbl_Finance[Date],MATCH(C104&amp;"",tbl_Finance[Xero Invoice No],0)),""))</f>
        <v/>
      </c>
      <c r="C104" s="24" t="n"/>
      <c r="D104" s="24" t="n"/>
      <c r="E104" s="25">
        <f>IF(D104="","",IF(COUNTIF(lst_Jobs,D104&amp;"")&gt;0,"OK","CHECK"))</f>
        <v/>
      </c>
      <c r="F104" s="24" t="n"/>
      <c r="G104" s="24" t="n"/>
      <c r="H104" s="24" t="n"/>
      <c r="I104" s="24" t="n"/>
      <c r="J104" s="24" t="n"/>
      <c r="K104" s="22" t="n"/>
      <c r="L104" s="22" t="n"/>
      <c r="M104" s="25">
        <f>IF(N104="","",IF(OR(K104="",L104=""),"one month",TEXT(MAX(1,(YEAR(L104)-YEAR(K104))*12+MONTH(L104)-MONTH(K104)+1),"0")&amp;" months - see Deferred Revenue"))</f>
        <v/>
      </c>
      <c r="N104" s="26" t="n"/>
      <c r="O104" s="24" t="n"/>
      <c r="P104" s="25">
        <f>IF(N(N104)=0,"",IF(N104&gt;0,set_WIPAsset,IF(J104="Cost",IF(O104="","(set the P&amp;L Account)",O104),IF(O104="",set_WIPIncome,O104))))</f>
        <v/>
      </c>
      <c r="Q104" s="25">
        <f>IF(N(N104)=0,"",IF(N104&gt;0,IF(J104="Cost",IF(O104="","(set the P&amp;L Account)",O104),IF(O104="",set_WIPIncome,O104)),set_WIPAsset))</f>
        <v/>
      </c>
      <c r="R104" s="27">
        <f>IF(OR(N(N104)=0,K104&lt;&gt;""),"",ABS(N104))</f>
        <v/>
      </c>
      <c r="S104" s="25">
        <f>IF(N(N104)=0,"",IF(K104&lt;&gt;"","spreads monthly - see Deferred Revenue","WIP "&amp;I104&amp;IF(D104="",""," - "&amp;D104)&amp;IF(F104="",""," "&amp;F104)&amp;IF(H104="",""," - "&amp;H104)))</f>
        <v/>
      </c>
      <c r="T104" s="24" t="n"/>
      <c r="U104" s="24" t="n"/>
      <c r="V104" s="24" t="n"/>
    </row>
    <row r="105" ht="15" customHeight="1">
      <c r="A105" s="72" t="n"/>
      <c r="B105" s="70">
        <f>IF(C105="","",IFERROR(INDEX(tbl_Finance[Date],MATCH(C105&amp;"",tbl_Finance[Xero Invoice No],0)),""))</f>
        <v/>
      </c>
      <c r="C105" s="24" t="n"/>
      <c r="D105" s="24" t="n"/>
      <c r="E105" s="25">
        <f>IF(D105="","",IF(COUNTIF(lst_Jobs,D105&amp;"")&gt;0,"OK","CHECK"))</f>
        <v/>
      </c>
      <c r="F105" s="24" t="n"/>
      <c r="G105" s="24" t="n"/>
      <c r="H105" s="24" t="n"/>
      <c r="I105" s="24" t="n"/>
      <c r="J105" s="24" t="n"/>
      <c r="K105" s="22" t="n"/>
      <c r="L105" s="22" t="n"/>
      <c r="M105" s="25">
        <f>IF(N105="","",IF(OR(K105="",L105=""),"one month",TEXT(MAX(1,(YEAR(L105)-YEAR(K105))*12+MONTH(L105)-MONTH(K105)+1),"0")&amp;" months - see Deferred Revenue"))</f>
        <v/>
      </c>
      <c r="N105" s="26" t="n"/>
      <c r="O105" s="24" t="n"/>
      <c r="P105" s="25">
        <f>IF(N(N105)=0,"",IF(N105&gt;0,set_WIPAsset,IF(J105="Cost",IF(O105="","(set the P&amp;L Account)",O105),IF(O105="",set_WIPIncome,O105))))</f>
        <v/>
      </c>
      <c r="Q105" s="25">
        <f>IF(N(N105)=0,"",IF(N105&gt;0,IF(J105="Cost",IF(O105="","(set the P&amp;L Account)",O105),IF(O105="",set_WIPIncome,O105)),set_WIPAsset))</f>
        <v/>
      </c>
      <c r="R105" s="27">
        <f>IF(OR(N(N105)=0,K105&lt;&gt;""),"",ABS(N105))</f>
        <v/>
      </c>
      <c r="S105" s="25">
        <f>IF(N(N105)=0,"",IF(K105&lt;&gt;"","spreads monthly - see Deferred Revenue","WIP "&amp;I105&amp;IF(D105="",""," - "&amp;D105)&amp;IF(F105="",""," "&amp;F105)&amp;IF(H105="",""," - "&amp;H105)))</f>
        <v/>
      </c>
      <c r="T105" s="24" t="n"/>
      <c r="U105" s="24" t="n"/>
      <c r="V105" s="24" t="n"/>
    </row>
    <row r="106" ht="15" customHeight="1">
      <c r="A106" s="72" t="n"/>
      <c r="B106" s="70">
        <f>IF(C106="","",IFERROR(INDEX(tbl_Finance[Date],MATCH(C106&amp;"",tbl_Finance[Xero Invoice No],0)),""))</f>
        <v/>
      </c>
      <c r="C106" s="24" t="n"/>
      <c r="D106" s="24" t="n"/>
      <c r="E106" s="25">
        <f>IF(D106="","",IF(COUNTIF(lst_Jobs,D106&amp;"")&gt;0,"OK","CHECK"))</f>
        <v/>
      </c>
      <c r="F106" s="24" t="n"/>
      <c r="G106" s="24" t="n"/>
      <c r="H106" s="24" t="n"/>
      <c r="I106" s="24" t="n"/>
      <c r="J106" s="24" t="n"/>
      <c r="K106" s="22" t="n"/>
      <c r="L106" s="22" t="n"/>
      <c r="M106" s="25">
        <f>IF(N106="","",IF(OR(K106="",L106=""),"one month",TEXT(MAX(1,(YEAR(L106)-YEAR(K106))*12+MONTH(L106)-MONTH(K106)+1),"0")&amp;" months - see Deferred Revenue"))</f>
        <v/>
      </c>
      <c r="N106" s="26" t="n"/>
      <c r="O106" s="24" t="n"/>
      <c r="P106" s="25">
        <f>IF(N(N106)=0,"",IF(N106&gt;0,set_WIPAsset,IF(J106="Cost",IF(O106="","(set the P&amp;L Account)",O106),IF(O106="",set_WIPIncome,O106))))</f>
        <v/>
      </c>
      <c r="Q106" s="25">
        <f>IF(N(N106)=0,"",IF(N106&gt;0,IF(J106="Cost",IF(O106="","(set the P&amp;L Account)",O106),IF(O106="",set_WIPIncome,O106)),set_WIPAsset))</f>
        <v/>
      </c>
      <c r="R106" s="27">
        <f>IF(OR(N(N106)=0,K106&lt;&gt;""),"",ABS(N106))</f>
        <v/>
      </c>
      <c r="S106" s="25">
        <f>IF(N(N106)=0,"",IF(K106&lt;&gt;"","spreads monthly - see Deferred Revenue","WIP "&amp;I106&amp;IF(D106="",""," - "&amp;D106)&amp;IF(F106="",""," "&amp;F106)&amp;IF(H106="",""," - "&amp;H106)))</f>
        <v/>
      </c>
      <c r="T106" s="24" t="n"/>
      <c r="U106" s="24" t="n"/>
      <c r="V106" s="24" t="n"/>
    </row>
    <row r="107" ht="15" customHeight="1">
      <c r="A107" s="72" t="n"/>
      <c r="B107" s="70">
        <f>IF(C107="","",IFERROR(INDEX(tbl_Finance[Date],MATCH(C107&amp;"",tbl_Finance[Xero Invoice No],0)),""))</f>
        <v/>
      </c>
      <c r="C107" s="24" t="n"/>
      <c r="D107" s="24" t="n"/>
      <c r="E107" s="25">
        <f>IF(D107="","",IF(COUNTIF(lst_Jobs,D107&amp;"")&gt;0,"OK","CHECK"))</f>
        <v/>
      </c>
      <c r="F107" s="24" t="n"/>
      <c r="G107" s="24" t="n"/>
      <c r="H107" s="24" t="n"/>
      <c r="I107" s="24" t="n"/>
      <c r="J107" s="24" t="n"/>
      <c r="K107" s="22" t="n"/>
      <c r="L107" s="22" t="n"/>
      <c r="M107" s="25">
        <f>IF(N107="","",IF(OR(K107="",L107=""),"one month",TEXT(MAX(1,(YEAR(L107)-YEAR(K107))*12+MONTH(L107)-MONTH(K107)+1),"0")&amp;" months - see Deferred Revenue"))</f>
        <v/>
      </c>
      <c r="N107" s="26" t="n"/>
      <c r="O107" s="24" t="n"/>
      <c r="P107" s="25">
        <f>IF(N(N107)=0,"",IF(N107&gt;0,set_WIPAsset,IF(J107="Cost",IF(O107="","(set the P&amp;L Account)",O107),IF(O107="",set_WIPIncome,O107))))</f>
        <v/>
      </c>
      <c r="Q107" s="25">
        <f>IF(N(N107)=0,"",IF(N107&gt;0,IF(J107="Cost",IF(O107="","(set the P&amp;L Account)",O107),IF(O107="",set_WIPIncome,O107)),set_WIPAsset))</f>
        <v/>
      </c>
      <c r="R107" s="27">
        <f>IF(OR(N(N107)=0,K107&lt;&gt;""),"",ABS(N107))</f>
        <v/>
      </c>
      <c r="S107" s="25">
        <f>IF(N(N107)=0,"",IF(K107&lt;&gt;"","spreads monthly - see Deferred Revenue","WIP "&amp;I107&amp;IF(D107="",""," - "&amp;D107)&amp;IF(F107="",""," "&amp;F107)&amp;IF(H107="",""," - "&amp;H107)))</f>
        <v/>
      </c>
      <c r="T107" s="24" t="n"/>
      <c r="U107" s="24" t="n"/>
      <c r="V107" s="24" t="n"/>
    </row>
    <row r="108" ht="15" customHeight="1">
      <c r="A108" s="72" t="n"/>
      <c r="B108" s="70">
        <f>IF(C108="","",IFERROR(INDEX(tbl_Finance[Date],MATCH(C108&amp;"",tbl_Finance[Xero Invoice No],0)),""))</f>
        <v/>
      </c>
      <c r="C108" s="24" t="n"/>
      <c r="D108" s="24" t="n"/>
      <c r="E108" s="25">
        <f>IF(D108="","",IF(COUNTIF(lst_Jobs,D108&amp;"")&gt;0,"OK","CHECK"))</f>
        <v/>
      </c>
      <c r="F108" s="24" t="n"/>
      <c r="G108" s="24" t="n"/>
      <c r="H108" s="24" t="n"/>
      <c r="I108" s="24" t="n"/>
      <c r="J108" s="24" t="n"/>
      <c r="K108" s="22" t="n"/>
      <c r="L108" s="22" t="n"/>
      <c r="M108" s="25">
        <f>IF(N108="","",IF(OR(K108="",L108=""),"one month",TEXT(MAX(1,(YEAR(L108)-YEAR(K108))*12+MONTH(L108)-MONTH(K108)+1),"0")&amp;" months - see Deferred Revenue"))</f>
        <v/>
      </c>
      <c r="N108" s="26" t="n"/>
      <c r="O108" s="24" t="n"/>
      <c r="P108" s="25">
        <f>IF(N(N108)=0,"",IF(N108&gt;0,set_WIPAsset,IF(J108="Cost",IF(O108="","(set the P&amp;L Account)",O108),IF(O108="",set_WIPIncome,O108))))</f>
        <v/>
      </c>
      <c r="Q108" s="25">
        <f>IF(N(N108)=0,"",IF(N108&gt;0,IF(J108="Cost",IF(O108="","(set the P&amp;L Account)",O108),IF(O108="",set_WIPIncome,O108)),set_WIPAsset))</f>
        <v/>
      </c>
      <c r="R108" s="27">
        <f>IF(OR(N(N108)=0,K108&lt;&gt;""),"",ABS(N108))</f>
        <v/>
      </c>
      <c r="S108" s="25">
        <f>IF(N(N108)=0,"",IF(K108&lt;&gt;"","spreads monthly - see Deferred Revenue","WIP "&amp;I108&amp;IF(D108="",""," - "&amp;D108)&amp;IF(F108="",""," "&amp;F108)&amp;IF(H108="",""," - "&amp;H108)))</f>
        <v/>
      </c>
      <c r="T108" s="24" t="n"/>
      <c r="U108" s="24" t="n"/>
      <c r="V108" s="24" t="n"/>
    </row>
    <row r="109" ht="15" customHeight="1">
      <c r="A109" s="72" t="n"/>
      <c r="B109" s="70">
        <f>IF(C109="","",IFERROR(INDEX(tbl_Finance[Date],MATCH(C109&amp;"",tbl_Finance[Xero Invoice No],0)),""))</f>
        <v/>
      </c>
      <c r="C109" s="24" t="n"/>
      <c r="D109" s="24" t="n"/>
      <c r="E109" s="25">
        <f>IF(D109="","",IF(COUNTIF(lst_Jobs,D109&amp;"")&gt;0,"OK","CHECK"))</f>
        <v/>
      </c>
      <c r="F109" s="24" t="n"/>
      <c r="G109" s="24" t="n"/>
      <c r="H109" s="24" t="n"/>
      <c r="I109" s="24" t="n"/>
      <c r="J109" s="24" t="n"/>
      <c r="K109" s="22" t="n"/>
      <c r="L109" s="22" t="n"/>
      <c r="M109" s="25">
        <f>IF(N109="","",IF(OR(K109="",L109=""),"one month",TEXT(MAX(1,(YEAR(L109)-YEAR(K109))*12+MONTH(L109)-MONTH(K109)+1),"0")&amp;" months - see Deferred Revenue"))</f>
        <v/>
      </c>
      <c r="N109" s="26" t="n"/>
      <c r="O109" s="24" t="n"/>
      <c r="P109" s="25">
        <f>IF(N(N109)=0,"",IF(N109&gt;0,set_WIPAsset,IF(J109="Cost",IF(O109="","(set the P&amp;L Account)",O109),IF(O109="",set_WIPIncome,O109))))</f>
        <v/>
      </c>
      <c r="Q109" s="25">
        <f>IF(N(N109)=0,"",IF(N109&gt;0,IF(J109="Cost",IF(O109="","(set the P&amp;L Account)",O109),IF(O109="",set_WIPIncome,O109)),set_WIPAsset))</f>
        <v/>
      </c>
      <c r="R109" s="27">
        <f>IF(OR(N(N109)=0,K109&lt;&gt;""),"",ABS(N109))</f>
        <v/>
      </c>
      <c r="S109" s="25">
        <f>IF(N(N109)=0,"",IF(K109&lt;&gt;"","spreads monthly - see Deferred Revenue","WIP "&amp;I109&amp;IF(D109="",""," - "&amp;D109)&amp;IF(F109="",""," "&amp;F109)&amp;IF(H109="",""," - "&amp;H109)))</f>
        <v/>
      </c>
      <c r="T109" s="24" t="n"/>
      <c r="U109" s="24" t="n"/>
      <c r="V109" s="24" t="n"/>
    </row>
    <row r="110" ht="15" customHeight="1">
      <c r="A110" s="72" t="n"/>
      <c r="B110" s="70">
        <f>IF(C110="","",IFERROR(INDEX(tbl_Finance[Date],MATCH(C110&amp;"",tbl_Finance[Xero Invoice No],0)),""))</f>
        <v/>
      </c>
      <c r="C110" s="24" t="n"/>
      <c r="D110" s="24" t="n"/>
      <c r="E110" s="25">
        <f>IF(D110="","",IF(COUNTIF(lst_Jobs,D110&amp;"")&gt;0,"OK","CHECK"))</f>
        <v/>
      </c>
      <c r="F110" s="24" t="n"/>
      <c r="G110" s="24" t="n"/>
      <c r="H110" s="24" t="n"/>
      <c r="I110" s="24" t="n"/>
      <c r="J110" s="24" t="n"/>
      <c r="K110" s="22" t="n"/>
      <c r="L110" s="22" t="n"/>
      <c r="M110" s="25">
        <f>IF(N110="","",IF(OR(K110="",L110=""),"one month",TEXT(MAX(1,(YEAR(L110)-YEAR(K110))*12+MONTH(L110)-MONTH(K110)+1),"0")&amp;" months - see Deferred Revenue"))</f>
        <v/>
      </c>
      <c r="N110" s="26" t="n"/>
      <c r="O110" s="24" t="n"/>
      <c r="P110" s="25">
        <f>IF(N(N110)=0,"",IF(N110&gt;0,set_WIPAsset,IF(J110="Cost",IF(O110="","(set the P&amp;L Account)",O110),IF(O110="",set_WIPIncome,O110))))</f>
        <v/>
      </c>
      <c r="Q110" s="25">
        <f>IF(N(N110)=0,"",IF(N110&gt;0,IF(J110="Cost",IF(O110="","(set the P&amp;L Account)",O110),IF(O110="",set_WIPIncome,O110)),set_WIPAsset))</f>
        <v/>
      </c>
      <c r="R110" s="27">
        <f>IF(OR(N(N110)=0,K110&lt;&gt;""),"",ABS(N110))</f>
        <v/>
      </c>
      <c r="S110" s="25">
        <f>IF(N(N110)=0,"",IF(K110&lt;&gt;"","spreads monthly - see Deferred Revenue","WIP "&amp;I110&amp;IF(D110="",""," - "&amp;D110)&amp;IF(F110="",""," "&amp;F110)&amp;IF(H110="",""," - "&amp;H110)))</f>
        <v/>
      </c>
      <c r="T110" s="24" t="n"/>
      <c r="U110" s="24" t="n"/>
      <c r="V110" s="24" t="n"/>
    </row>
    <row r="111" ht="15" customHeight="1">
      <c r="A111" s="72" t="n"/>
      <c r="B111" s="70">
        <f>IF(C111="","",IFERROR(INDEX(tbl_Finance[Date],MATCH(C111&amp;"",tbl_Finance[Xero Invoice No],0)),""))</f>
        <v/>
      </c>
      <c r="C111" s="24" t="n"/>
      <c r="D111" s="24" t="n"/>
      <c r="E111" s="25">
        <f>IF(D111="","",IF(COUNTIF(lst_Jobs,D111&amp;"")&gt;0,"OK","CHECK"))</f>
        <v/>
      </c>
      <c r="F111" s="24" t="n"/>
      <c r="G111" s="24" t="n"/>
      <c r="H111" s="24" t="n"/>
      <c r="I111" s="24" t="n"/>
      <c r="J111" s="24" t="n"/>
      <c r="K111" s="22" t="n"/>
      <c r="L111" s="22" t="n"/>
      <c r="M111" s="25">
        <f>IF(N111="","",IF(OR(K111="",L111=""),"one month",TEXT(MAX(1,(YEAR(L111)-YEAR(K111))*12+MONTH(L111)-MONTH(K111)+1),"0")&amp;" months - see Deferred Revenue"))</f>
        <v/>
      </c>
      <c r="N111" s="26" t="n"/>
      <c r="O111" s="24" t="n"/>
      <c r="P111" s="25">
        <f>IF(N(N111)=0,"",IF(N111&gt;0,set_WIPAsset,IF(J111="Cost",IF(O111="","(set the P&amp;L Account)",O111),IF(O111="",set_WIPIncome,O111))))</f>
        <v/>
      </c>
      <c r="Q111" s="25">
        <f>IF(N(N111)=0,"",IF(N111&gt;0,IF(J111="Cost",IF(O111="","(set the P&amp;L Account)",O111),IF(O111="",set_WIPIncome,O111)),set_WIPAsset))</f>
        <v/>
      </c>
      <c r="R111" s="27">
        <f>IF(OR(N(N111)=0,K111&lt;&gt;""),"",ABS(N111))</f>
        <v/>
      </c>
      <c r="S111" s="25">
        <f>IF(N(N111)=0,"",IF(K111&lt;&gt;"","spreads monthly - see Deferred Revenue","WIP "&amp;I111&amp;IF(D111="",""," - "&amp;D111)&amp;IF(F111="",""," "&amp;F111)&amp;IF(H111="",""," - "&amp;H111)))</f>
        <v/>
      </c>
      <c r="T111" s="24" t="n"/>
      <c r="U111" s="24" t="n"/>
      <c r="V111" s="24" t="n"/>
    </row>
    <row r="112" ht="15" customHeight="1">
      <c r="A112" s="72" t="n"/>
      <c r="B112" s="70">
        <f>IF(C112="","",IFERROR(INDEX(tbl_Finance[Date],MATCH(C112&amp;"",tbl_Finance[Xero Invoice No],0)),""))</f>
        <v/>
      </c>
      <c r="C112" s="24" t="n"/>
      <c r="D112" s="24" t="n"/>
      <c r="E112" s="25">
        <f>IF(D112="","",IF(COUNTIF(lst_Jobs,D112&amp;"")&gt;0,"OK","CHECK"))</f>
        <v/>
      </c>
      <c r="F112" s="24" t="n"/>
      <c r="G112" s="24" t="n"/>
      <c r="H112" s="24" t="n"/>
      <c r="I112" s="24" t="n"/>
      <c r="J112" s="24" t="n"/>
      <c r="K112" s="22" t="n"/>
      <c r="L112" s="22" t="n"/>
      <c r="M112" s="25">
        <f>IF(N112="","",IF(OR(K112="",L112=""),"one month",TEXT(MAX(1,(YEAR(L112)-YEAR(K112))*12+MONTH(L112)-MONTH(K112)+1),"0")&amp;" months - see Deferred Revenue"))</f>
        <v/>
      </c>
      <c r="N112" s="26" t="n"/>
      <c r="O112" s="24" t="n"/>
      <c r="P112" s="25">
        <f>IF(N(N112)=0,"",IF(N112&gt;0,set_WIPAsset,IF(J112="Cost",IF(O112="","(set the P&amp;L Account)",O112),IF(O112="",set_WIPIncome,O112))))</f>
        <v/>
      </c>
      <c r="Q112" s="25">
        <f>IF(N(N112)=0,"",IF(N112&gt;0,IF(J112="Cost",IF(O112="","(set the P&amp;L Account)",O112),IF(O112="",set_WIPIncome,O112)),set_WIPAsset))</f>
        <v/>
      </c>
      <c r="R112" s="27">
        <f>IF(OR(N(N112)=0,K112&lt;&gt;""),"",ABS(N112))</f>
        <v/>
      </c>
      <c r="S112" s="25">
        <f>IF(N(N112)=0,"",IF(K112&lt;&gt;"","spreads monthly - see Deferred Revenue","WIP "&amp;I112&amp;IF(D112="",""," - "&amp;D112)&amp;IF(F112="",""," "&amp;F112)&amp;IF(H112="",""," - "&amp;H112)))</f>
        <v/>
      </c>
      <c r="T112" s="24" t="n"/>
      <c r="U112" s="24" t="n"/>
      <c r="V112" s="24" t="n"/>
    </row>
    <row r="113" ht="15" customHeight="1">
      <c r="A113" s="72" t="n"/>
      <c r="B113" s="70">
        <f>IF(C113="","",IFERROR(INDEX(tbl_Finance[Date],MATCH(C113&amp;"",tbl_Finance[Xero Invoice No],0)),""))</f>
        <v/>
      </c>
      <c r="C113" s="24" t="n"/>
      <c r="D113" s="24" t="n"/>
      <c r="E113" s="25">
        <f>IF(D113="","",IF(COUNTIF(lst_Jobs,D113&amp;"")&gt;0,"OK","CHECK"))</f>
        <v/>
      </c>
      <c r="F113" s="24" t="n"/>
      <c r="G113" s="24" t="n"/>
      <c r="H113" s="24" t="n"/>
      <c r="I113" s="24" t="n"/>
      <c r="J113" s="24" t="n"/>
      <c r="K113" s="22" t="n"/>
      <c r="L113" s="22" t="n"/>
      <c r="M113" s="25">
        <f>IF(N113="","",IF(OR(K113="",L113=""),"one month",TEXT(MAX(1,(YEAR(L113)-YEAR(K113))*12+MONTH(L113)-MONTH(K113)+1),"0")&amp;" months - see Deferred Revenue"))</f>
        <v/>
      </c>
      <c r="N113" s="26" t="n"/>
      <c r="O113" s="24" t="n"/>
      <c r="P113" s="25">
        <f>IF(N(N113)=0,"",IF(N113&gt;0,set_WIPAsset,IF(J113="Cost",IF(O113="","(set the P&amp;L Account)",O113),IF(O113="",set_WIPIncome,O113))))</f>
        <v/>
      </c>
      <c r="Q113" s="25">
        <f>IF(N(N113)=0,"",IF(N113&gt;0,IF(J113="Cost",IF(O113="","(set the P&amp;L Account)",O113),IF(O113="",set_WIPIncome,O113)),set_WIPAsset))</f>
        <v/>
      </c>
      <c r="R113" s="27">
        <f>IF(OR(N(N113)=0,K113&lt;&gt;""),"",ABS(N113))</f>
        <v/>
      </c>
      <c r="S113" s="25">
        <f>IF(N(N113)=0,"",IF(K113&lt;&gt;"","spreads monthly - see Deferred Revenue","WIP "&amp;I113&amp;IF(D113="",""," - "&amp;D113)&amp;IF(F113="",""," "&amp;F113)&amp;IF(H113="",""," - "&amp;H113)))</f>
        <v/>
      </c>
      <c r="T113" s="24" t="n"/>
      <c r="U113" s="24" t="n"/>
      <c r="V113" s="24" t="n"/>
    </row>
    <row r="114" ht="15" customHeight="1">
      <c r="A114" s="72" t="n"/>
      <c r="B114" s="70">
        <f>IF(C114="","",IFERROR(INDEX(tbl_Finance[Date],MATCH(C114&amp;"",tbl_Finance[Xero Invoice No],0)),""))</f>
        <v/>
      </c>
      <c r="C114" s="24" t="n"/>
      <c r="D114" s="24" t="n"/>
      <c r="E114" s="25">
        <f>IF(D114="","",IF(COUNTIF(lst_Jobs,D114&amp;"")&gt;0,"OK","CHECK"))</f>
        <v/>
      </c>
      <c r="F114" s="24" t="n"/>
      <c r="G114" s="24" t="n"/>
      <c r="H114" s="24" t="n"/>
      <c r="I114" s="24" t="n"/>
      <c r="J114" s="24" t="n"/>
      <c r="K114" s="22" t="n"/>
      <c r="L114" s="22" t="n"/>
      <c r="M114" s="25">
        <f>IF(N114="","",IF(OR(K114="",L114=""),"one month",TEXT(MAX(1,(YEAR(L114)-YEAR(K114))*12+MONTH(L114)-MONTH(K114)+1),"0")&amp;" months - see Deferred Revenue"))</f>
        <v/>
      </c>
      <c r="N114" s="26" t="n"/>
      <c r="O114" s="24" t="n"/>
      <c r="P114" s="25">
        <f>IF(N(N114)=0,"",IF(N114&gt;0,set_WIPAsset,IF(J114="Cost",IF(O114="","(set the P&amp;L Account)",O114),IF(O114="",set_WIPIncome,O114))))</f>
        <v/>
      </c>
      <c r="Q114" s="25">
        <f>IF(N(N114)=0,"",IF(N114&gt;0,IF(J114="Cost",IF(O114="","(set the P&amp;L Account)",O114),IF(O114="",set_WIPIncome,O114)),set_WIPAsset))</f>
        <v/>
      </c>
      <c r="R114" s="27">
        <f>IF(OR(N(N114)=0,K114&lt;&gt;""),"",ABS(N114))</f>
        <v/>
      </c>
      <c r="S114" s="25">
        <f>IF(N(N114)=0,"",IF(K114&lt;&gt;"","spreads monthly - see Deferred Revenue","WIP "&amp;I114&amp;IF(D114="",""," - "&amp;D114)&amp;IF(F114="",""," "&amp;F114)&amp;IF(H114="",""," - "&amp;H114)))</f>
        <v/>
      </c>
      <c r="T114" s="24" t="n"/>
      <c r="U114" s="24" t="n"/>
      <c r="V114" s="24" t="n"/>
    </row>
    <row r="115" ht="15" customHeight="1">
      <c r="A115" s="72" t="n"/>
      <c r="B115" s="70">
        <f>IF(C115="","",IFERROR(INDEX(tbl_Finance[Date],MATCH(C115&amp;"",tbl_Finance[Xero Invoice No],0)),""))</f>
        <v/>
      </c>
      <c r="C115" s="24" t="n"/>
      <c r="D115" s="24" t="n"/>
      <c r="E115" s="25">
        <f>IF(D115="","",IF(COUNTIF(lst_Jobs,D115&amp;"")&gt;0,"OK","CHECK"))</f>
        <v/>
      </c>
      <c r="F115" s="24" t="n"/>
      <c r="G115" s="24" t="n"/>
      <c r="H115" s="24" t="n"/>
      <c r="I115" s="24" t="n"/>
      <c r="J115" s="24" t="n"/>
      <c r="K115" s="22" t="n"/>
      <c r="L115" s="22" t="n"/>
      <c r="M115" s="25">
        <f>IF(N115="","",IF(OR(K115="",L115=""),"one month",TEXT(MAX(1,(YEAR(L115)-YEAR(K115))*12+MONTH(L115)-MONTH(K115)+1),"0")&amp;" months - see Deferred Revenue"))</f>
        <v/>
      </c>
      <c r="N115" s="26" t="n"/>
      <c r="O115" s="24" t="n"/>
      <c r="P115" s="25">
        <f>IF(N(N115)=0,"",IF(N115&gt;0,set_WIPAsset,IF(J115="Cost",IF(O115="","(set the P&amp;L Account)",O115),IF(O115="",set_WIPIncome,O115))))</f>
        <v/>
      </c>
      <c r="Q115" s="25">
        <f>IF(N(N115)=0,"",IF(N115&gt;0,IF(J115="Cost",IF(O115="","(set the P&amp;L Account)",O115),IF(O115="",set_WIPIncome,O115)),set_WIPAsset))</f>
        <v/>
      </c>
      <c r="R115" s="27">
        <f>IF(OR(N(N115)=0,K115&lt;&gt;""),"",ABS(N115))</f>
        <v/>
      </c>
      <c r="S115" s="25">
        <f>IF(N(N115)=0,"",IF(K115&lt;&gt;"","spreads monthly - see Deferred Revenue","WIP "&amp;I115&amp;IF(D115="",""," - "&amp;D115)&amp;IF(F115="",""," "&amp;F115)&amp;IF(H115="",""," - "&amp;H115)))</f>
        <v/>
      </c>
      <c r="T115" s="24" t="n"/>
      <c r="U115" s="24" t="n"/>
      <c r="V115" s="24" t="n"/>
    </row>
    <row r="116" ht="15" customHeight="1">
      <c r="A116" s="72" t="n"/>
      <c r="B116" s="70">
        <f>IF(C116="","",IFERROR(INDEX(tbl_Finance[Date],MATCH(C116&amp;"",tbl_Finance[Xero Invoice No],0)),""))</f>
        <v/>
      </c>
      <c r="C116" s="24" t="n"/>
      <c r="D116" s="24" t="n"/>
      <c r="E116" s="25">
        <f>IF(D116="","",IF(COUNTIF(lst_Jobs,D116&amp;"")&gt;0,"OK","CHECK"))</f>
        <v/>
      </c>
      <c r="F116" s="24" t="n"/>
      <c r="G116" s="24" t="n"/>
      <c r="H116" s="24" t="n"/>
      <c r="I116" s="24" t="n"/>
      <c r="J116" s="24" t="n"/>
      <c r="K116" s="22" t="n"/>
      <c r="L116" s="22" t="n"/>
      <c r="M116" s="25">
        <f>IF(N116="","",IF(OR(K116="",L116=""),"one month",TEXT(MAX(1,(YEAR(L116)-YEAR(K116))*12+MONTH(L116)-MONTH(K116)+1),"0")&amp;" months - see Deferred Revenue"))</f>
        <v/>
      </c>
      <c r="N116" s="26" t="n"/>
      <c r="O116" s="24" t="n"/>
      <c r="P116" s="25">
        <f>IF(N(N116)=0,"",IF(N116&gt;0,set_WIPAsset,IF(J116="Cost",IF(O116="","(set the P&amp;L Account)",O116),IF(O116="",set_WIPIncome,O116))))</f>
        <v/>
      </c>
      <c r="Q116" s="25">
        <f>IF(N(N116)=0,"",IF(N116&gt;0,IF(J116="Cost",IF(O116="","(set the P&amp;L Account)",O116),IF(O116="",set_WIPIncome,O116)),set_WIPAsset))</f>
        <v/>
      </c>
      <c r="R116" s="27">
        <f>IF(OR(N(N116)=0,K116&lt;&gt;""),"",ABS(N116))</f>
        <v/>
      </c>
      <c r="S116" s="25">
        <f>IF(N(N116)=0,"",IF(K116&lt;&gt;"","spreads monthly - see Deferred Revenue","WIP "&amp;I116&amp;IF(D116="",""," - "&amp;D116)&amp;IF(F116="",""," "&amp;F116)&amp;IF(H116="",""," - "&amp;H116)))</f>
        <v/>
      </c>
      <c r="T116" s="24" t="n"/>
      <c r="U116" s="24" t="n"/>
      <c r="V116" s="24" t="n"/>
    </row>
    <row r="117" ht="15" customHeight="1">
      <c r="A117" s="72" t="n"/>
      <c r="B117" s="70">
        <f>IF(C117="","",IFERROR(INDEX(tbl_Finance[Date],MATCH(C117&amp;"",tbl_Finance[Xero Invoice No],0)),""))</f>
        <v/>
      </c>
      <c r="C117" s="24" t="n"/>
      <c r="D117" s="24" t="n"/>
      <c r="E117" s="25">
        <f>IF(D117="","",IF(COUNTIF(lst_Jobs,D117&amp;"")&gt;0,"OK","CHECK"))</f>
        <v/>
      </c>
      <c r="F117" s="24" t="n"/>
      <c r="G117" s="24" t="n"/>
      <c r="H117" s="24" t="n"/>
      <c r="I117" s="24" t="n"/>
      <c r="J117" s="24" t="n"/>
      <c r="K117" s="22" t="n"/>
      <c r="L117" s="22" t="n"/>
      <c r="M117" s="25">
        <f>IF(N117="","",IF(OR(K117="",L117=""),"one month",TEXT(MAX(1,(YEAR(L117)-YEAR(K117))*12+MONTH(L117)-MONTH(K117)+1),"0")&amp;" months - see Deferred Revenue"))</f>
        <v/>
      </c>
      <c r="N117" s="26" t="n"/>
      <c r="O117" s="24" t="n"/>
      <c r="P117" s="25">
        <f>IF(N(N117)=0,"",IF(N117&gt;0,set_WIPAsset,IF(J117="Cost",IF(O117="","(set the P&amp;L Account)",O117),IF(O117="",set_WIPIncome,O117))))</f>
        <v/>
      </c>
      <c r="Q117" s="25">
        <f>IF(N(N117)=0,"",IF(N117&gt;0,IF(J117="Cost",IF(O117="","(set the P&amp;L Account)",O117),IF(O117="",set_WIPIncome,O117)),set_WIPAsset))</f>
        <v/>
      </c>
      <c r="R117" s="27">
        <f>IF(OR(N(N117)=0,K117&lt;&gt;""),"",ABS(N117))</f>
        <v/>
      </c>
      <c r="S117" s="25">
        <f>IF(N(N117)=0,"",IF(K117&lt;&gt;"","spreads monthly - see Deferred Revenue","WIP "&amp;I117&amp;IF(D117="",""," - "&amp;D117)&amp;IF(F117="",""," "&amp;F117)&amp;IF(H117="",""," - "&amp;H117)))</f>
        <v/>
      </c>
      <c r="T117" s="24" t="n"/>
      <c r="U117" s="24" t="n"/>
      <c r="V117" s="24" t="n"/>
    </row>
    <row r="118" ht="15" customHeight="1">
      <c r="A118" s="72" t="n"/>
      <c r="B118" s="70">
        <f>IF(C118="","",IFERROR(INDEX(tbl_Finance[Date],MATCH(C118&amp;"",tbl_Finance[Xero Invoice No],0)),""))</f>
        <v/>
      </c>
      <c r="C118" s="24" t="n"/>
      <c r="D118" s="24" t="n"/>
      <c r="E118" s="25">
        <f>IF(D118="","",IF(COUNTIF(lst_Jobs,D118&amp;"")&gt;0,"OK","CHECK"))</f>
        <v/>
      </c>
      <c r="F118" s="24" t="n"/>
      <c r="G118" s="24" t="n"/>
      <c r="H118" s="24" t="n"/>
      <c r="I118" s="24" t="n"/>
      <c r="J118" s="24" t="n"/>
      <c r="K118" s="22" t="n"/>
      <c r="L118" s="22" t="n"/>
      <c r="M118" s="25">
        <f>IF(N118="","",IF(OR(K118="",L118=""),"one month",TEXT(MAX(1,(YEAR(L118)-YEAR(K118))*12+MONTH(L118)-MONTH(K118)+1),"0")&amp;" months - see Deferred Revenue"))</f>
        <v/>
      </c>
      <c r="N118" s="26" t="n"/>
      <c r="O118" s="24" t="n"/>
      <c r="P118" s="25">
        <f>IF(N(N118)=0,"",IF(N118&gt;0,set_WIPAsset,IF(J118="Cost",IF(O118="","(set the P&amp;L Account)",O118),IF(O118="",set_WIPIncome,O118))))</f>
        <v/>
      </c>
      <c r="Q118" s="25">
        <f>IF(N(N118)=0,"",IF(N118&gt;0,IF(J118="Cost",IF(O118="","(set the P&amp;L Account)",O118),IF(O118="",set_WIPIncome,O118)),set_WIPAsset))</f>
        <v/>
      </c>
      <c r="R118" s="27">
        <f>IF(OR(N(N118)=0,K118&lt;&gt;""),"",ABS(N118))</f>
        <v/>
      </c>
      <c r="S118" s="25">
        <f>IF(N(N118)=0,"",IF(K118&lt;&gt;"","spreads monthly - see Deferred Revenue","WIP "&amp;I118&amp;IF(D118="",""," - "&amp;D118)&amp;IF(F118="",""," "&amp;F118)&amp;IF(H118="",""," - "&amp;H118)))</f>
        <v/>
      </c>
      <c r="T118" s="24" t="n"/>
      <c r="U118" s="24" t="n"/>
      <c r="V118" s="24" t="n"/>
    </row>
    <row r="119" ht="15" customHeight="1">
      <c r="A119" s="72" t="n"/>
      <c r="B119" s="70">
        <f>IF(C119="","",IFERROR(INDEX(tbl_Finance[Date],MATCH(C119&amp;"",tbl_Finance[Xero Invoice No],0)),""))</f>
        <v/>
      </c>
      <c r="C119" s="24" t="n"/>
      <c r="D119" s="24" t="n"/>
      <c r="E119" s="25">
        <f>IF(D119="","",IF(COUNTIF(lst_Jobs,D119&amp;"")&gt;0,"OK","CHECK"))</f>
        <v/>
      </c>
      <c r="F119" s="24" t="n"/>
      <c r="G119" s="24" t="n"/>
      <c r="H119" s="24" t="n"/>
      <c r="I119" s="24" t="n"/>
      <c r="J119" s="24" t="n"/>
      <c r="K119" s="22" t="n"/>
      <c r="L119" s="22" t="n"/>
      <c r="M119" s="25">
        <f>IF(N119="","",IF(OR(K119="",L119=""),"one month",TEXT(MAX(1,(YEAR(L119)-YEAR(K119))*12+MONTH(L119)-MONTH(K119)+1),"0")&amp;" months - see Deferred Revenue"))</f>
        <v/>
      </c>
      <c r="N119" s="26" t="n"/>
      <c r="O119" s="24" t="n"/>
      <c r="P119" s="25">
        <f>IF(N(N119)=0,"",IF(N119&gt;0,set_WIPAsset,IF(J119="Cost",IF(O119="","(set the P&amp;L Account)",O119),IF(O119="",set_WIPIncome,O119))))</f>
        <v/>
      </c>
      <c r="Q119" s="25">
        <f>IF(N(N119)=0,"",IF(N119&gt;0,IF(J119="Cost",IF(O119="","(set the P&amp;L Account)",O119),IF(O119="",set_WIPIncome,O119)),set_WIPAsset))</f>
        <v/>
      </c>
      <c r="R119" s="27">
        <f>IF(OR(N(N119)=0,K119&lt;&gt;""),"",ABS(N119))</f>
        <v/>
      </c>
      <c r="S119" s="25">
        <f>IF(N(N119)=0,"",IF(K119&lt;&gt;"","spreads monthly - see Deferred Revenue","WIP "&amp;I119&amp;IF(D119="",""," - "&amp;D119)&amp;IF(F119="",""," "&amp;F119)&amp;IF(H119="",""," - "&amp;H119)))</f>
        <v/>
      </c>
      <c r="T119" s="24" t="n"/>
      <c r="U119" s="24" t="n"/>
      <c r="V119" s="24" t="n"/>
    </row>
    <row r="120" ht="15" customHeight="1">
      <c r="A120" s="72" t="n"/>
      <c r="B120" s="70">
        <f>IF(C120="","",IFERROR(INDEX(tbl_Finance[Date],MATCH(C120&amp;"",tbl_Finance[Xero Invoice No],0)),""))</f>
        <v/>
      </c>
      <c r="C120" s="24" t="n"/>
      <c r="D120" s="24" t="n"/>
      <c r="E120" s="25">
        <f>IF(D120="","",IF(COUNTIF(lst_Jobs,D120&amp;"")&gt;0,"OK","CHECK"))</f>
        <v/>
      </c>
      <c r="F120" s="24" t="n"/>
      <c r="G120" s="24" t="n"/>
      <c r="H120" s="24" t="n"/>
      <c r="I120" s="24" t="n"/>
      <c r="J120" s="24" t="n"/>
      <c r="K120" s="22" t="n"/>
      <c r="L120" s="22" t="n"/>
      <c r="M120" s="25">
        <f>IF(N120="","",IF(OR(K120="",L120=""),"one month",TEXT(MAX(1,(YEAR(L120)-YEAR(K120))*12+MONTH(L120)-MONTH(K120)+1),"0")&amp;" months - see Deferred Revenue"))</f>
        <v/>
      </c>
      <c r="N120" s="26" t="n"/>
      <c r="O120" s="24" t="n"/>
      <c r="P120" s="25">
        <f>IF(N(N120)=0,"",IF(N120&gt;0,set_WIPAsset,IF(J120="Cost",IF(O120="","(set the P&amp;L Account)",O120),IF(O120="",set_WIPIncome,O120))))</f>
        <v/>
      </c>
      <c r="Q120" s="25">
        <f>IF(N(N120)=0,"",IF(N120&gt;0,IF(J120="Cost",IF(O120="","(set the P&amp;L Account)",O120),IF(O120="",set_WIPIncome,O120)),set_WIPAsset))</f>
        <v/>
      </c>
      <c r="R120" s="27">
        <f>IF(OR(N(N120)=0,K120&lt;&gt;""),"",ABS(N120))</f>
        <v/>
      </c>
      <c r="S120" s="25">
        <f>IF(N(N120)=0,"",IF(K120&lt;&gt;"","spreads monthly - see Deferred Revenue","WIP "&amp;I120&amp;IF(D120="",""," - "&amp;D120)&amp;IF(F120="",""," "&amp;F120)&amp;IF(H120="",""," - "&amp;H120)))</f>
        <v/>
      </c>
      <c r="T120" s="24" t="n"/>
      <c r="U120" s="24" t="n"/>
      <c r="V120" s="24" t="n"/>
    </row>
    <row r="121" ht="15" customHeight="1">
      <c r="A121" s="72" t="n"/>
      <c r="B121" s="70">
        <f>IF(C121="","",IFERROR(INDEX(tbl_Finance[Date],MATCH(C121&amp;"",tbl_Finance[Xero Invoice No],0)),""))</f>
        <v/>
      </c>
      <c r="C121" s="24" t="n"/>
      <c r="D121" s="24" t="n"/>
      <c r="E121" s="25">
        <f>IF(D121="","",IF(COUNTIF(lst_Jobs,D121&amp;"")&gt;0,"OK","CHECK"))</f>
        <v/>
      </c>
      <c r="F121" s="24" t="n"/>
      <c r="G121" s="24" t="n"/>
      <c r="H121" s="24" t="n"/>
      <c r="I121" s="24" t="n"/>
      <c r="J121" s="24" t="n"/>
      <c r="K121" s="22" t="n"/>
      <c r="L121" s="22" t="n"/>
      <c r="M121" s="25">
        <f>IF(N121="","",IF(OR(K121="",L121=""),"one month",TEXT(MAX(1,(YEAR(L121)-YEAR(K121))*12+MONTH(L121)-MONTH(K121)+1),"0")&amp;" months - see Deferred Revenue"))</f>
        <v/>
      </c>
      <c r="N121" s="26" t="n"/>
      <c r="O121" s="24" t="n"/>
      <c r="P121" s="25">
        <f>IF(N(N121)=0,"",IF(N121&gt;0,set_WIPAsset,IF(J121="Cost",IF(O121="","(set the P&amp;L Account)",O121),IF(O121="",set_WIPIncome,O121))))</f>
        <v/>
      </c>
      <c r="Q121" s="25">
        <f>IF(N(N121)=0,"",IF(N121&gt;0,IF(J121="Cost",IF(O121="","(set the P&amp;L Account)",O121),IF(O121="",set_WIPIncome,O121)),set_WIPAsset))</f>
        <v/>
      </c>
      <c r="R121" s="27">
        <f>IF(OR(N(N121)=0,K121&lt;&gt;""),"",ABS(N121))</f>
        <v/>
      </c>
      <c r="S121" s="25">
        <f>IF(N(N121)=0,"",IF(K121&lt;&gt;"","spreads monthly - see Deferred Revenue","WIP "&amp;I121&amp;IF(D121="",""," - "&amp;D121)&amp;IF(F121="",""," "&amp;F121)&amp;IF(H121="",""," - "&amp;H121)))</f>
        <v/>
      </c>
      <c r="T121" s="24" t="n"/>
      <c r="U121" s="24" t="n"/>
      <c r="V121" s="24" t="n"/>
    </row>
    <row r="122" ht="15" customHeight="1">
      <c r="A122" s="72" t="n"/>
      <c r="B122" s="70">
        <f>IF(C122="","",IFERROR(INDEX(tbl_Finance[Date],MATCH(C122&amp;"",tbl_Finance[Xero Invoice No],0)),""))</f>
        <v/>
      </c>
      <c r="C122" s="24" t="n"/>
      <c r="D122" s="24" t="n"/>
      <c r="E122" s="25">
        <f>IF(D122="","",IF(COUNTIF(lst_Jobs,D122&amp;"")&gt;0,"OK","CHECK"))</f>
        <v/>
      </c>
      <c r="F122" s="24" t="n"/>
      <c r="G122" s="24" t="n"/>
      <c r="H122" s="24" t="n"/>
      <c r="I122" s="24" t="n"/>
      <c r="J122" s="24" t="n"/>
      <c r="K122" s="22" t="n"/>
      <c r="L122" s="22" t="n"/>
      <c r="M122" s="25">
        <f>IF(N122="","",IF(OR(K122="",L122=""),"one month",TEXT(MAX(1,(YEAR(L122)-YEAR(K122))*12+MONTH(L122)-MONTH(K122)+1),"0")&amp;" months - see Deferred Revenue"))</f>
        <v/>
      </c>
      <c r="N122" s="26" t="n"/>
      <c r="O122" s="24" t="n"/>
      <c r="P122" s="25">
        <f>IF(N(N122)=0,"",IF(N122&gt;0,set_WIPAsset,IF(J122="Cost",IF(O122="","(set the P&amp;L Account)",O122),IF(O122="",set_WIPIncome,O122))))</f>
        <v/>
      </c>
      <c r="Q122" s="25">
        <f>IF(N(N122)=0,"",IF(N122&gt;0,IF(J122="Cost",IF(O122="","(set the P&amp;L Account)",O122),IF(O122="",set_WIPIncome,O122)),set_WIPAsset))</f>
        <v/>
      </c>
      <c r="R122" s="27">
        <f>IF(OR(N(N122)=0,K122&lt;&gt;""),"",ABS(N122))</f>
        <v/>
      </c>
      <c r="S122" s="25">
        <f>IF(N(N122)=0,"",IF(K122&lt;&gt;"","spreads monthly - see Deferred Revenue","WIP "&amp;I122&amp;IF(D122="",""," - "&amp;D122)&amp;IF(F122="",""," "&amp;F122)&amp;IF(H122="",""," - "&amp;H122)))</f>
        <v/>
      </c>
      <c r="T122" s="24" t="n"/>
      <c r="U122" s="24" t="n"/>
      <c r="V122" s="24" t="n"/>
    </row>
    <row r="123" ht="15" customHeight="1">
      <c r="A123" s="72" t="n"/>
      <c r="B123" s="70">
        <f>IF(C123="","",IFERROR(INDEX(tbl_Finance[Date],MATCH(C123&amp;"",tbl_Finance[Xero Invoice No],0)),""))</f>
        <v/>
      </c>
      <c r="C123" s="24" t="n"/>
      <c r="D123" s="24" t="n"/>
      <c r="E123" s="25">
        <f>IF(D123="","",IF(COUNTIF(lst_Jobs,D123&amp;"")&gt;0,"OK","CHECK"))</f>
        <v/>
      </c>
      <c r="F123" s="24" t="n"/>
      <c r="G123" s="24" t="n"/>
      <c r="H123" s="24" t="n"/>
      <c r="I123" s="24" t="n"/>
      <c r="J123" s="24" t="n"/>
      <c r="K123" s="22" t="n"/>
      <c r="L123" s="22" t="n"/>
      <c r="M123" s="25">
        <f>IF(N123="","",IF(OR(K123="",L123=""),"one month",TEXT(MAX(1,(YEAR(L123)-YEAR(K123))*12+MONTH(L123)-MONTH(K123)+1),"0")&amp;" months - see Deferred Revenue"))</f>
        <v/>
      </c>
      <c r="N123" s="26" t="n"/>
      <c r="O123" s="24" t="n"/>
      <c r="P123" s="25">
        <f>IF(N(N123)=0,"",IF(N123&gt;0,set_WIPAsset,IF(J123="Cost",IF(O123="","(set the P&amp;L Account)",O123),IF(O123="",set_WIPIncome,O123))))</f>
        <v/>
      </c>
      <c r="Q123" s="25">
        <f>IF(N(N123)=0,"",IF(N123&gt;0,IF(J123="Cost",IF(O123="","(set the P&amp;L Account)",O123),IF(O123="",set_WIPIncome,O123)),set_WIPAsset))</f>
        <v/>
      </c>
      <c r="R123" s="27">
        <f>IF(OR(N(N123)=0,K123&lt;&gt;""),"",ABS(N123))</f>
        <v/>
      </c>
      <c r="S123" s="25">
        <f>IF(N(N123)=0,"",IF(K123&lt;&gt;"","spreads monthly - see Deferred Revenue","WIP "&amp;I123&amp;IF(D123="",""," - "&amp;D123)&amp;IF(F123="",""," "&amp;F123)&amp;IF(H123="",""," - "&amp;H123)))</f>
        <v/>
      </c>
      <c r="T123" s="24" t="n"/>
      <c r="U123" s="24" t="n"/>
      <c r="V123" s="24" t="n"/>
    </row>
    <row r="124" ht="15" customHeight="1">
      <c r="A124" s="72" t="n"/>
      <c r="B124" s="70">
        <f>IF(C124="","",IFERROR(INDEX(tbl_Finance[Date],MATCH(C124&amp;"",tbl_Finance[Xero Invoice No],0)),""))</f>
        <v/>
      </c>
      <c r="C124" s="24" t="n"/>
      <c r="D124" s="24" t="n"/>
      <c r="E124" s="25">
        <f>IF(D124="","",IF(COUNTIF(lst_Jobs,D124&amp;"")&gt;0,"OK","CHECK"))</f>
        <v/>
      </c>
      <c r="F124" s="24" t="n"/>
      <c r="G124" s="24" t="n"/>
      <c r="H124" s="24" t="n"/>
      <c r="I124" s="24" t="n"/>
      <c r="J124" s="24" t="n"/>
      <c r="K124" s="22" t="n"/>
      <c r="L124" s="22" t="n"/>
      <c r="M124" s="25">
        <f>IF(N124="","",IF(OR(K124="",L124=""),"one month",TEXT(MAX(1,(YEAR(L124)-YEAR(K124))*12+MONTH(L124)-MONTH(K124)+1),"0")&amp;" months - see Deferred Revenue"))</f>
        <v/>
      </c>
      <c r="N124" s="26" t="n"/>
      <c r="O124" s="24" t="n"/>
      <c r="P124" s="25">
        <f>IF(N(N124)=0,"",IF(N124&gt;0,set_WIPAsset,IF(J124="Cost",IF(O124="","(set the P&amp;L Account)",O124),IF(O124="",set_WIPIncome,O124))))</f>
        <v/>
      </c>
      <c r="Q124" s="25">
        <f>IF(N(N124)=0,"",IF(N124&gt;0,IF(J124="Cost",IF(O124="","(set the P&amp;L Account)",O124),IF(O124="",set_WIPIncome,O124)),set_WIPAsset))</f>
        <v/>
      </c>
      <c r="R124" s="27">
        <f>IF(OR(N(N124)=0,K124&lt;&gt;""),"",ABS(N124))</f>
        <v/>
      </c>
      <c r="S124" s="25">
        <f>IF(N(N124)=0,"",IF(K124&lt;&gt;"","spreads monthly - see Deferred Revenue","WIP "&amp;I124&amp;IF(D124="",""," - "&amp;D124)&amp;IF(F124="",""," "&amp;F124)&amp;IF(H124="",""," - "&amp;H124)))</f>
        <v/>
      </c>
      <c r="T124" s="24" t="n"/>
      <c r="U124" s="24" t="n"/>
      <c r="V124" s="24" t="n"/>
    </row>
    <row r="125" ht="15" customHeight="1">
      <c r="A125" s="72" t="n"/>
      <c r="B125" s="70">
        <f>IF(C125="","",IFERROR(INDEX(tbl_Finance[Date],MATCH(C125&amp;"",tbl_Finance[Xero Invoice No],0)),""))</f>
        <v/>
      </c>
      <c r="C125" s="24" t="n"/>
      <c r="D125" s="24" t="n"/>
      <c r="E125" s="25">
        <f>IF(D125="","",IF(COUNTIF(lst_Jobs,D125&amp;"")&gt;0,"OK","CHECK"))</f>
        <v/>
      </c>
      <c r="F125" s="24" t="n"/>
      <c r="G125" s="24" t="n"/>
      <c r="H125" s="24" t="n"/>
      <c r="I125" s="24" t="n"/>
      <c r="J125" s="24" t="n"/>
      <c r="K125" s="22" t="n"/>
      <c r="L125" s="22" t="n"/>
      <c r="M125" s="25">
        <f>IF(N125="","",IF(OR(K125="",L125=""),"one month",TEXT(MAX(1,(YEAR(L125)-YEAR(K125))*12+MONTH(L125)-MONTH(K125)+1),"0")&amp;" months - see Deferred Revenue"))</f>
        <v/>
      </c>
      <c r="N125" s="26" t="n"/>
      <c r="O125" s="24" t="n"/>
      <c r="P125" s="25">
        <f>IF(N(N125)=0,"",IF(N125&gt;0,set_WIPAsset,IF(J125="Cost",IF(O125="","(set the P&amp;L Account)",O125),IF(O125="",set_WIPIncome,O125))))</f>
        <v/>
      </c>
      <c r="Q125" s="25">
        <f>IF(N(N125)=0,"",IF(N125&gt;0,IF(J125="Cost",IF(O125="","(set the P&amp;L Account)",O125),IF(O125="",set_WIPIncome,O125)),set_WIPAsset))</f>
        <v/>
      </c>
      <c r="R125" s="27">
        <f>IF(OR(N(N125)=0,K125&lt;&gt;""),"",ABS(N125))</f>
        <v/>
      </c>
      <c r="S125" s="25">
        <f>IF(N(N125)=0,"",IF(K125&lt;&gt;"","spreads monthly - see Deferred Revenue","WIP "&amp;I125&amp;IF(D125="",""," - "&amp;D125)&amp;IF(F125="",""," "&amp;F125)&amp;IF(H125="",""," - "&amp;H125)))</f>
        <v/>
      </c>
      <c r="T125" s="24" t="n"/>
      <c r="U125" s="24" t="n"/>
      <c r="V125" s="24" t="n"/>
    </row>
    <row r="126" ht="15" customHeight="1">
      <c r="A126" s="72" t="n"/>
      <c r="B126" s="70">
        <f>IF(C126="","",IFERROR(INDEX(tbl_Finance[Date],MATCH(C126&amp;"",tbl_Finance[Xero Invoice No],0)),""))</f>
        <v/>
      </c>
      <c r="C126" s="24" t="n"/>
      <c r="D126" s="24" t="n"/>
      <c r="E126" s="25">
        <f>IF(D126="","",IF(COUNTIF(lst_Jobs,D126&amp;"")&gt;0,"OK","CHECK"))</f>
        <v/>
      </c>
      <c r="F126" s="24" t="n"/>
      <c r="G126" s="24" t="n"/>
      <c r="H126" s="24" t="n"/>
      <c r="I126" s="24" t="n"/>
      <c r="J126" s="24" t="n"/>
      <c r="K126" s="22" t="n"/>
      <c r="L126" s="22" t="n"/>
      <c r="M126" s="25">
        <f>IF(N126="","",IF(OR(K126="",L126=""),"one month",TEXT(MAX(1,(YEAR(L126)-YEAR(K126))*12+MONTH(L126)-MONTH(K126)+1),"0")&amp;" months - see Deferred Revenue"))</f>
        <v/>
      </c>
      <c r="N126" s="26" t="n"/>
      <c r="O126" s="24" t="n"/>
      <c r="P126" s="25">
        <f>IF(N(N126)=0,"",IF(N126&gt;0,set_WIPAsset,IF(J126="Cost",IF(O126="","(set the P&amp;L Account)",O126),IF(O126="",set_WIPIncome,O126))))</f>
        <v/>
      </c>
      <c r="Q126" s="25">
        <f>IF(N(N126)=0,"",IF(N126&gt;0,IF(J126="Cost",IF(O126="","(set the P&amp;L Account)",O126),IF(O126="",set_WIPIncome,O126)),set_WIPAsset))</f>
        <v/>
      </c>
      <c r="R126" s="27">
        <f>IF(OR(N(N126)=0,K126&lt;&gt;""),"",ABS(N126))</f>
        <v/>
      </c>
      <c r="S126" s="25">
        <f>IF(N(N126)=0,"",IF(K126&lt;&gt;"","spreads monthly - see Deferred Revenue","WIP "&amp;I126&amp;IF(D126="",""," - "&amp;D126)&amp;IF(F126="",""," "&amp;F126)&amp;IF(H126="",""," - "&amp;H126)))</f>
        <v/>
      </c>
      <c r="T126" s="24" t="n"/>
      <c r="U126" s="24" t="n"/>
      <c r="V126" s="24" t="n"/>
    </row>
    <row r="127" ht="15" customHeight="1">
      <c r="A127" s="72" t="n"/>
      <c r="B127" s="70">
        <f>IF(C127="","",IFERROR(INDEX(tbl_Finance[Date],MATCH(C127&amp;"",tbl_Finance[Xero Invoice No],0)),""))</f>
        <v/>
      </c>
      <c r="C127" s="24" t="n"/>
      <c r="D127" s="24" t="n"/>
      <c r="E127" s="25">
        <f>IF(D127="","",IF(COUNTIF(lst_Jobs,D127&amp;"")&gt;0,"OK","CHECK"))</f>
        <v/>
      </c>
      <c r="F127" s="24" t="n"/>
      <c r="G127" s="24" t="n"/>
      <c r="H127" s="24" t="n"/>
      <c r="I127" s="24" t="n"/>
      <c r="J127" s="24" t="n"/>
      <c r="K127" s="22" t="n"/>
      <c r="L127" s="22" t="n"/>
      <c r="M127" s="25">
        <f>IF(N127="","",IF(OR(K127="",L127=""),"one month",TEXT(MAX(1,(YEAR(L127)-YEAR(K127))*12+MONTH(L127)-MONTH(K127)+1),"0")&amp;" months - see Deferred Revenue"))</f>
        <v/>
      </c>
      <c r="N127" s="26" t="n"/>
      <c r="O127" s="24" t="n"/>
      <c r="P127" s="25">
        <f>IF(N(N127)=0,"",IF(N127&gt;0,set_WIPAsset,IF(J127="Cost",IF(O127="","(set the P&amp;L Account)",O127),IF(O127="",set_WIPIncome,O127))))</f>
        <v/>
      </c>
      <c r="Q127" s="25">
        <f>IF(N(N127)=0,"",IF(N127&gt;0,IF(J127="Cost",IF(O127="","(set the P&amp;L Account)",O127),IF(O127="",set_WIPIncome,O127)),set_WIPAsset))</f>
        <v/>
      </c>
      <c r="R127" s="27">
        <f>IF(OR(N(N127)=0,K127&lt;&gt;""),"",ABS(N127))</f>
        <v/>
      </c>
      <c r="S127" s="25">
        <f>IF(N(N127)=0,"",IF(K127&lt;&gt;"","spreads monthly - see Deferred Revenue","WIP "&amp;I127&amp;IF(D127="",""," - "&amp;D127)&amp;IF(F127="",""," "&amp;F127)&amp;IF(H127="",""," - "&amp;H127)))</f>
        <v/>
      </c>
      <c r="T127" s="24" t="n"/>
      <c r="U127" s="24" t="n"/>
      <c r="V127" s="24" t="n"/>
    </row>
    <row r="128" ht="15" customHeight="1">
      <c r="A128" s="72" t="n"/>
      <c r="B128" s="70">
        <f>IF(C128="","",IFERROR(INDEX(tbl_Finance[Date],MATCH(C128&amp;"",tbl_Finance[Xero Invoice No],0)),""))</f>
        <v/>
      </c>
      <c r="C128" s="24" t="n"/>
      <c r="D128" s="24" t="n"/>
      <c r="E128" s="25">
        <f>IF(D128="","",IF(COUNTIF(lst_Jobs,D128&amp;"")&gt;0,"OK","CHECK"))</f>
        <v/>
      </c>
      <c r="F128" s="24" t="n"/>
      <c r="G128" s="24" t="n"/>
      <c r="H128" s="24" t="n"/>
      <c r="I128" s="24" t="n"/>
      <c r="J128" s="24" t="n"/>
      <c r="K128" s="22" t="n"/>
      <c r="L128" s="22" t="n"/>
      <c r="M128" s="25">
        <f>IF(N128="","",IF(OR(K128="",L128=""),"one month",TEXT(MAX(1,(YEAR(L128)-YEAR(K128))*12+MONTH(L128)-MONTH(K128)+1),"0")&amp;" months - see Deferred Revenue"))</f>
        <v/>
      </c>
      <c r="N128" s="26" t="n"/>
      <c r="O128" s="24" t="n"/>
      <c r="P128" s="25">
        <f>IF(N(N128)=0,"",IF(N128&gt;0,set_WIPAsset,IF(J128="Cost",IF(O128="","(set the P&amp;L Account)",O128),IF(O128="",set_WIPIncome,O128))))</f>
        <v/>
      </c>
      <c r="Q128" s="25">
        <f>IF(N(N128)=0,"",IF(N128&gt;0,IF(J128="Cost",IF(O128="","(set the P&amp;L Account)",O128),IF(O128="",set_WIPIncome,O128)),set_WIPAsset))</f>
        <v/>
      </c>
      <c r="R128" s="27">
        <f>IF(OR(N(N128)=0,K128&lt;&gt;""),"",ABS(N128))</f>
        <v/>
      </c>
      <c r="S128" s="25">
        <f>IF(N(N128)=0,"",IF(K128&lt;&gt;"","spreads monthly - see Deferred Revenue","WIP "&amp;I128&amp;IF(D128="",""," - "&amp;D128)&amp;IF(F128="",""," "&amp;F128)&amp;IF(H128="",""," - "&amp;H128)))</f>
        <v/>
      </c>
      <c r="T128" s="24" t="n"/>
      <c r="U128" s="24" t="n"/>
      <c r="V128" s="24" t="n"/>
    </row>
    <row r="129" ht="15" customHeight="1">
      <c r="A129" s="72" t="n"/>
      <c r="B129" s="70">
        <f>IF(C129="","",IFERROR(INDEX(tbl_Finance[Date],MATCH(C129&amp;"",tbl_Finance[Xero Invoice No],0)),""))</f>
        <v/>
      </c>
      <c r="C129" s="24" t="n"/>
      <c r="D129" s="24" t="n"/>
      <c r="E129" s="25">
        <f>IF(D129="","",IF(COUNTIF(lst_Jobs,D129&amp;"")&gt;0,"OK","CHECK"))</f>
        <v/>
      </c>
      <c r="F129" s="24" t="n"/>
      <c r="G129" s="24" t="n"/>
      <c r="H129" s="24" t="n"/>
      <c r="I129" s="24" t="n"/>
      <c r="J129" s="24" t="n"/>
      <c r="K129" s="22" t="n"/>
      <c r="L129" s="22" t="n"/>
      <c r="M129" s="25">
        <f>IF(N129="","",IF(OR(K129="",L129=""),"one month",TEXT(MAX(1,(YEAR(L129)-YEAR(K129))*12+MONTH(L129)-MONTH(K129)+1),"0")&amp;" months - see Deferred Revenue"))</f>
        <v/>
      </c>
      <c r="N129" s="26" t="n"/>
      <c r="O129" s="24" t="n"/>
      <c r="P129" s="25">
        <f>IF(N(N129)=0,"",IF(N129&gt;0,set_WIPAsset,IF(J129="Cost",IF(O129="","(set the P&amp;L Account)",O129),IF(O129="",set_WIPIncome,O129))))</f>
        <v/>
      </c>
      <c r="Q129" s="25">
        <f>IF(N(N129)=0,"",IF(N129&gt;0,IF(J129="Cost",IF(O129="","(set the P&amp;L Account)",O129),IF(O129="",set_WIPIncome,O129)),set_WIPAsset))</f>
        <v/>
      </c>
      <c r="R129" s="27">
        <f>IF(OR(N(N129)=0,K129&lt;&gt;""),"",ABS(N129))</f>
        <v/>
      </c>
      <c r="S129" s="25">
        <f>IF(N(N129)=0,"",IF(K129&lt;&gt;"","spreads monthly - see Deferred Revenue","WIP "&amp;I129&amp;IF(D129="",""," - "&amp;D129)&amp;IF(F129="",""," "&amp;F129)&amp;IF(H129="",""," - "&amp;H129)))</f>
        <v/>
      </c>
      <c r="T129" s="24" t="n"/>
      <c r="U129" s="24" t="n"/>
      <c r="V129" s="24" t="n"/>
    </row>
    <row r="130" ht="15" customHeight="1">
      <c r="A130" s="72" t="n"/>
      <c r="B130" s="70">
        <f>IF(C130="","",IFERROR(INDEX(tbl_Finance[Date],MATCH(C130&amp;"",tbl_Finance[Xero Invoice No],0)),""))</f>
        <v/>
      </c>
      <c r="C130" s="24" t="n"/>
      <c r="D130" s="24" t="n"/>
      <c r="E130" s="25">
        <f>IF(D130="","",IF(COUNTIF(lst_Jobs,D130&amp;"")&gt;0,"OK","CHECK"))</f>
        <v/>
      </c>
      <c r="F130" s="24" t="n"/>
      <c r="G130" s="24" t="n"/>
      <c r="H130" s="24" t="n"/>
      <c r="I130" s="24" t="n"/>
      <c r="J130" s="24" t="n"/>
      <c r="K130" s="22" t="n"/>
      <c r="L130" s="22" t="n"/>
      <c r="M130" s="25">
        <f>IF(N130="","",IF(OR(K130="",L130=""),"one month",TEXT(MAX(1,(YEAR(L130)-YEAR(K130))*12+MONTH(L130)-MONTH(K130)+1),"0")&amp;" months - see Deferred Revenue"))</f>
        <v/>
      </c>
      <c r="N130" s="26" t="n"/>
      <c r="O130" s="24" t="n"/>
      <c r="P130" s="25">
        <f>IF(N(N130)=0,"",IF(N130&gt;0,set_WIPAsset,IF(J130="Cost",IF(O130="","(set the P&amp;L Account)",O130),IF(O130="",set_WIPIncome,O130))))</f>
        <v/>
      </c>
      <c r="Q130" s="25">
        <f>IF(N(N130)=0,"",IF(N130&gt;0,IF(J130="Cost",IF(O130="","(set the P&amp;L Account)",O130),IF(O130="",set_WIPIncome,O130)),set_WIPAsset))</f>
        <v/>
      </c>
      <c r="R130" s="27">
        <f>IF(OR(N(N130)=0,K130&lt;&gt;""),"",ABS(N130))</f>
        <v/>
      </c>
      <c r="S130" s="25">
        <f>IF(N(N130)=0,"",IF(K130&lt;&gt;"","spreads monthly - see Deferred Revenue","WIP "&amp;I130&amp;IF(D130="",""," - "&amp;D130)&amp;IF(F130="",""," "&amp;F130)&amp;IF(H130="",""," - "&amp;H130)))</f>
        <v/>
      </c>
      <c r="T130" s="24" t="n"/>
      <c r="U130" s="24" t="n"/>
      <c r="V130" s="24" t="n"/>
    </row>
    <row r="131" ht="15" customHeight="1">
      <c r="A131" s="72" t="n"/>
      <c r="B131" s="70">
        <f>IF(C131="","",IFERROR(INDEX(tbl_Finance[Date],MATCH(C131&amp;"",tbl_Finance[Xero Invoice No],0)),""))</f>
        <v/>
      </c>
      <c r="C131" s="24" t="n"/>
      <c r="D131" s="24" t="n"/>
      <c r="E131" s="25">
        <f>IF(D131="","",IF(COUNTIF(lst_Jobs,D131&amp;"")&gt;0,"OK","CHECK"))</f>
        <v/>
      </c>
      <c r="F131" s="24" t="n"/>
      <c r="G131" s="24" t="n"/>
      <c r="H131" s="24" t="n"/>
      <c r="I131" s="24" t="n"/>
      <c r="J131" s="24" t="n"/>
      <c r="K131" s="22" t="n"/>
      <c r="L131" s="22" t="n"/>
      <c r="M131" s="25">
        <f>IF(N131="","",IF(OR(K131="",L131=""),"one month",TEXT(MAX(1,(YEAR(L131)-YEAR(K131))*12+MONTH(L131)-MONTH(K131)+1),"0")&amp;" months - see Deferred Revenue"))</f>
        <v/>
      </c>
      <c r="N131" s="26" t="n"/>
      <c r="O131" s="24" t="n"/>
      <c r="P131" s="25">
        <f>IF(N(N131)=0,"",IF(N131&gt;0,set_WIPAsset,IF(J131="Cost",IF(O131="","(set the P&amp;L Account)",O131),IF(O131="",set_WIPIncome,O131))))</f>
        <v/>
      </c>
      <c r="Q131" s="25">
        <f>IF(N(N131)=0,"",IF(N131&gt;0,IF(J131="Cost",IF(O131="","(set the P&amp;L Account)",O131),IF(O131="",set_WIPIncome,O131)),set_WIPAsset))</f>
        <v/>
      </c>
      <c r="R131" s="27">
        <f>IF(OR(N(N131)=0,K131&lt;&gt;""),"",ABS(N131))</f>
        <v/>
      </c>
      <c r="S131" s="25">
        <f>IF(N(N131)=0,"",IF(K131&lt;&gt;"","spreads monthly - see Deferred Revenue","WIP "&amp;I131&amp;IF(D131="",""," - "&amp;D131)&amp;IF(F131="",""," "&amp;F131)&amp;IF(H131="",""," - "&amp;H131)))</f>
        <v/>
      </c>
      <c r="T131" s="24" t="n"/>
      <c r="U131" s="24" t="n"/>
      <c r="V131" s="24" t="n"/>
    </row>
    <row r="132" ht="15" customHeight="1">
      <c r="A132" s="72" t="n"/>
      <c r="B132" s="70">
        <f>IF(C132="","",IFERROR(INDEX(tbl_Finance[Date],MATCH(C132&amp;"",tbl_Finance[Xero Invoice No],0)),""))</f>
        <v/>
      </c>
      <c r="C132" s="24" t="n"/>
      <c r="D132" s="24" t="n"/>
      <c r="E132" s="25">
        <f>IF(D132="","",IF(COUNTIF(lst_Jobs,D132&amp;"")&gt;0,"OK","CHECK"))</f>
        <v/>
      </c>
      <c r="F132" s="24" t="n"/>
      <c r="G132" s="24" t="n"/>
      <c r="H132" s="24" t="n"/>
      <c r="I132" s="24" t="n"/>
      <c r="J132" s="24" t="n"/>
      <c r="K132" s="22" t="n"/>
      <c r="L132" s="22" t="n"/>
      <c r="M132" s="25">
        <f>IF(N132="","",IF(OR(K132="",L132=""),"one month",TEXT(MAX(1,(YEAR(L132)-YEAR(K132))*12+MONTH(L132)-MONTH(K132)+1),"0")&amp;" months - see Deferred Revenue"))</f>
        <v/>
      </c>
      <c r="N132" s="26" t="n"/>
      <c r="O132" s="24" t="n"/>
      <c r="P132" s="25">
        <f>IF(N(N132)=0,"",IF(N132&gt;0,set_WIPAsset,IF(J132="Cost",IF(O132="","(set the P&amp;L Account)",O132),IF(O132="",set_WIPIncome,O132))))</f>
        <v/>
      </c>
      <c r="Q132" s="25">
        <f>IF(N(N132)=0,"",IF(N132&gt;0,IF(J132="Cost",IF(O132="","(set the P&amp;L Account)",O132),IF(O132="",set_WIPIncome,O132)),set_WIPAsset))</f>
        <v/>
      </c>
      <c r="R132" s="27">
        <f>IF(OR(N(N132)=0,K132&lt;&gt;""),"",ABS(N132))</f>
        <v/>
      </c>
      <c r="S132" s="25">
        <f>IF(N(N132)=0,"",IF(K132&lt;&gt;"","spreads monthly - see Deferred Revenue","WIP "&amp;I132&amp;IF(D132="",""," - "&amp;D132)&amp;IF(F132="",""," "&amp;F132)&amp;IF(H132="",""," - "&amp;H132)))</f>
        <v/>
      </c>
      <c r="T132" s="24" t="n"/>
      <c r="U132" s="24" t="n"/>
      <c r="V132" s="24" t="n"/>
    </row>
    <row r="133" ht="15" customHeight="1">
      <c r="A133" s="72" t="n"/>
      <c r="B133" s="70">
        <f>IF(C133="","",IFERROR(INDEX(tbl_Finance[Date],MATCH(C133&amp;"",tbl_Finance[Xero Invoice No],0)),""))</f>
        <v/>
      </c>
      <c r="C133" s="24" t="n"/>
      <c r="D133" s="24" t="n"/>
      <c r="E133" s="25">
        <f>IF(D133="","",IF(COUNTIF(lst_Jobs,D133&amp;"")&gt;0,"OK","CHECK"))</f>
        <v/>
      </c>
      <c r="F133" s="24" t="n"/>
      <c r="G133" s="24" t="n"/>
      <c r="H133" s="24" t="n"/>
      <c r="I133" s="24" t="n"/>
      <c r="J133" s="24" t="n"/>
      <c r="K133" s="22" t="n"/>
      <c r="L133" s="22" t="n"/>
      <c r="M133" s="25">
        <f>IF(N133="","",IF(OR(K133="",L133=""),"one month",TEXT(MAX(1,(YEAR(L133)-YEAR(K133))*12+MONTH(L133)-MONTH(K133)+1),"0")&amp;" months - see Deferred Revenue"))</f>
        <v/>
      </c>
      <c r="N133" s="26" t="n"/>
      <c r="O133" s="24" t="n"/>
      <c r="P133" s="25">
        <f>IF(N(N133)=0,"",IF(N133&gt;0,set_WIPAsset,IF(J133="Cost",IF(O133="","(set the P&amp;L Account)",O133),IF(O133="",set_WIPIncome,O133))))</f>
        <v/>
      </c>
      <c r="Q133" s="25">
        <f>IF(N(N133)=0,"",IF(N133&gt;0,IF(J133="Cost",IF(O133="","(set the P&amp;L Account)",O133),IF(O133="",set_WIPIncome,O133)),set_WIPAsset))</f>
        <v/>
      </c>
      <c r="R133" s="27">
        <f>IF(OR(N(N133)=0,K133&lt;&gt;""),"",ABS(N133))</f>
        <v/>
      </c>
      <c r="S133" s="25">
        <f>IF(N(N133)=0,"",IF(K133&lt;&gt;"","spreads monthly - see Deferred Revenue","WIP "&amp;I133&amp;IF(D133="",""," - "&amp;D133)&amp;IF(F133="",""," "&amp;F133)&amp;IF(H133="",""," - "&amp;H133)))</f>
        <v/>
      </c>
      <c r="T133" s="24" t="n"/>
      <c r="U133" s="24" t="n"/>
      <c r="V133" s="24" t="n"/>
    </row>
    <row r="134" ht="15" customHeight="1">
      <c r="A134" s="72" t="n"/>
      <c r="B134" s="70">
        <f>IF(C134="","",IFERROR(INDEX(tbl_Finance[Date],MATCH(C134&amp;"",tbl_Finance[Xero Invoice No],0)),""))</f>
        <v/>
      </c>
      <c r="C134" s="24" t="n"/>
      <c r="D134" s="24" t="n"/>
      <c r="E134" s="25">
        <f>IF(D134="","",IF(COUNTIF(lst_Jobs,D134&amp;"")&gt;0,"OK","CHECK"))</f>
        <v/>
      </c>
      <c r="F134" s="24" t="n"/>
      <c r="G134" s="24" t="n"/>
      <c r="H134" s="24" t="n"/>
      <c r="I134" s="24" t="n"/>
      <c r="J134" s="24" t="n"/>
      <c r="K134" s="22" t="n"/>
      <c r="L134" s="22" t="n"/>
      <c r="M134" s="25">
        <f>IF(N134="","",IF(OR(K134="",L134=""),"one month",TEXT(MAX(1,(YEAR(L134)-YEAR(K134))*12+MONTH(L134)-MONTH(K134)+1),"0")&amp;" months - see Deferred Revenue"))</f>
        <v/>
      </c>
      <c r="N134" s="26" t="n"/>
      <c r="O134" s="24" t="n"/>
      <c r="P134" s="25">
        <f>IF(N(N134)=0,"",IF(N134&gt;0,set_WIPAsset,IF(J134="Cost",IF(O134="","(set the P&amp;L Account)",O134),IF(O134="",set_WIPIncome,O134))))</f>
        <v/>
      </c>
      <c r="Q134" s="25">
        <f>IF(N(N134)=0,"",IF(N134&gt;0,IF(J134="Cost",IF(O134="","(set the P&amp;L Account)",O134),IF(O134="",set_WIPIncome,O134)),set_WIPAsset))</f>
        <v/>
      </c>
      <c r="R134" s="27">
        <f>IF(OR(N(N134)=0,K134&lt;&gt;""),"",ABS(N134))</f>
        <v/>
      </c>
      <c r="S134" s="25">
        <f>IF(N(N134)=0,"",IF(K134&lt;&gt;"","spreads monthly - see Deferred Revenue","WIP "&amp;I134&amp;IF(D134="",""," - "&amp;D134)&amp;IF(F134="",""," "&amp;F134)&amp;IF(H134="",""," - "&amp;H134)))</f>
        <v/>
      </c>
      <c r="T134" s="24" t="n"/>
      <c r="U134" s="24" t="n"/>
      <c r="V134" s="24" t="n"/>
    </row>
    <row r="135" ht="15" customHeight="1">
      <c r="A135" s="72" t="n"/>
      <c r="B135" s="70">
        <f>IF(C135="","",IFERROR(INDEX(tbl_Finance[Date],MATCH(C135&amp;"",tbl_Finance[Xero Invoice No],0)),""))</f>
        <v/>
      </c>
      <c r="C135" s="24" t="n"/>
      <c r="D135" s="24" t="n"/>
      <c r="E135" s="25">
        <f>IF(D135="","",IF(COUNTIF(lst_Jobs,D135&amp;"")&gt;0,"OK","CHECK"))</f>
        <v/>
      </c>
      <c r="F135" s="24" t="n"/>
      <c r="G135" s="24" t="n"/>
      <c r="H135" s="24" t="n"/>
      <c r="I135" s="24" t="n"/>
      <c r="J135" s="24" t="n"/>
      <c r="K135" s="22" t="n"/>
      <c r="L135" s="22" t="n"/>
      <c r="M135" s="25">
        <f>IF(N135="","",IF(OR(K135="",L135=""),"one month",TEXT(MAX(1,(YEAR(L135)-YEAR(K135))*12+MONTH(L135)-MONTH(K135)+1),"0")&amp;" months - see Deferred Revenue"))</f>
        <v/>
      </c>
      <c r="N135" s="26" t="n"/>
      <c r="O135" s="24" t="n"/>
      <c r="P135" s="25">
        <f>IF(N(N135)=0,"",IF(N135&gt;0,set_WIPAsset,IF(J135="Cost",IF(O135="","(set the P&amp;L Account)",O135),IF(O135="",set_WIPIncome,O135))))</f>
        <v/>
      </c>
      <c r="Q135" s="25">
        <f>IF(N(N135)=0,"",IF(N135&gt;0,IF(J135="Cost",IF(O135="","(set the P&amp;L Account)",O135),IF(O135="",set_WIPIncome,O135)),set_WIPAsset))</f>
        <v/>
      </c>
      <c r="R135" s="27">
        <f>IF(OR(N(N135)=0,K135&lt;&gt;""),"",ABS(N135))</f>
        <v/>
      </c>
      <c r="S135" s="25">
        <f>IF(N(N135)=0,"",IF(K135&lt;&gt;"","spreads monthly - see Deferred Revenue","WIP "&amp;I135&amp;IF(D135="",""," - "&amp;D135)&amp;IF(F135="",""," "&amp;F135)&amp;IF(H135="",""," - "&amp;H135)))</f>
        <v/>
      </c>
      <c r="T135" s="24" t="n"/>
      <c r="U135" s="24" t="n"/>
      <c r="V135" s="24" t="n"/>
    </row>
    <row r="136" ht="15" customHeight="1">
      <c r="A136" s="72" t="n"/>
      <c r="B136" s="70">
        <f>IF(C136="","",IFERROR(INDEX(tbl_Finance[Date],MATCH(C136&amp;"",tbl_Finance[Xero Invoice No],0)),""))</f>
        <v/>
      </c>
      <c r="C136" s="24" t="n"/>
      <c r="D136" s="24" t="n"/>
      <c r="E136" s="25">
        <f>IF(D136="","",IF(COUNTIF(lst_Jobs,D136&amp;"")&gt;0,"OK","CHECK"))</f>
        <v/>
      </c>
      <c r="F136" s="24" t="n"/>
      <c r="G136" s="24" t="n"/>
      <c r="H136" s="24" t="n"/>
      <c r="I136" s="24" t="n"/>
      <c r="J136" s="24" t="n"/>
      <c r="K136" s="22" t="n"/>
      <c r="L136" s="22" t="n"/>
      <c r="M136" s="25">
        <f>IF(N136="","",IF(OR(K136="",L136=""),"one month",TEXT(MAX(1,(YEAR(L136)-YEAR(K136))*12+MONTH(L136)-MONTH(K136)+1),"0")&amp;" months - see Deferred Revenue"))</f>
        <v/>
      </c>
      <c r="N136" s="26" t="n"/>
      <c r="O136" s="24" t="n"/>
      <c r="P136" s="25">
        <f>IF(N(N136)=0,"",IF(N136&gt;0,set_WIPAsset,IF(J136="Cost",IF(O136="","(set the P&amp;L Account)",O136),IF(O136="",set_WIPIncome,O136))))</f>
        <v/>
      </c>
      <c r="Q136" s="25">
        <f>IF(N(N136)=0,"",IF(N136&gt;0,IF(J136="Cost",IF(O136="","(set the P&amp;L Account)",O136),IF(O136="",set_WIPIncome,O136)),set_WIPAsset))</f>
        <v/>
      </c>
      <c r="R136" s="27">
        <f>IF(OR(N(N136)=0,K136&lt;&gt;""),"",ABS(N136))</f>
        <v/>
      </c>
      <c r="S136" s="25">
        <f>IF(N(N136)=0,"",IF(K136&lt;&gt;"","spreads monthly - see Deferred Revenue","WIP "&amp;I136&amp;IF(D136="",""," - "&amp;D136)&amp;IF(F136="",""," "&amp;F136)&amp;IF(H136="",""," - "&amp;H136)))</f>
        <v/>
      </c>
      <c r="T136" s="24" t="n"/>
      <c r="U136" s="24" t="n"/>
      <c r="V136" s="24" t="n"/>
    </row>
    <row r="137" ht="15" customHeight="1">
      <c r="A137" s="72" t="n"/>
      <c r="B137" s="70">
        <f>IF(C137="","",IFERROR(INDEX(tbl_Finance[Date],MATCH(C137&amp;"",tbl_Finance[Xero Invoice No],0)),""))</f>
        <v/>
      </c>
      <c r="C137" s="24" t="n"/>
      <c r="D137" s="24" t="n"/>
      <c r="E137" s="25">
        <f>IF(D137="","",IF(COUNTIF(lst_Jobs,D137&amp;"")&gt;0,"OK","CHECK"))</f>
        <v/>
      </c>
      <c r="F137" s="24" t="n"/>
      <c r="G137" s="24" t="n"/>
      <c r="H137" s="24" t="n"/>
      <c r="I137" s="24" t="n"/>
      <c r="J137" s="24" t="n"/>
      <c r="K137" s="22" t="n"/>
      <c r="L137" s="22" t="n"/>
      <c r="M137" s="25">
        <f>IF(N137="","",IF(OR(K137="",L137=""),"one month",TEXT(MAX(1,(YEAR(L137)-YEAR(K137))*12+MONTH(L137)-MONTH(K137)+1),"0")&amp;" months - see Deferred Revenue"))</f>
        <v/>
      </c>
      <c r="N137" s="26" t="n"/>
      <c r="O137" s="24" t="n"/>
      <c r="P137" s="25">
        <f>IF(N(N137)=0,"",IF(N137&gt;0,set_WIPAsset,IF(J137="Cost",IF(O137="","(set the P&amp;L Account)",O137),IF(O137="",set_WIPIncome,O137))))</f>
        <v/>
      </c>
      <c r="Q137" s="25">
        <f>IF(N(N137)=0,"",IF(N137&gt;0,IF(J137="Cost",IF(O137="","(set the P&amp;L Account)",O137),IF(O137="",set_WIPIncome,O137)),set_WIPAsset))</f>
        <v/>
      </c>
      <c r="R137" s="27">
        <f>IF(OR(N(N137)=0,K137&lt;&gt;""),"",ABS(N137))</f>
        <v/>
      </c>
      <c r="S137" s="25">
        <f>IF(N(N137)=0,"",IF(K137&lt;&gt;"","spreads monthly - see Deferred Revenue","WIP "&amp;I137&amp;IF(D137="",""," - "&amp;D137)&amp;IF(F137="",""," "&amp;F137)&amp;IF(H137="",""," - "&amp;H137)))</f>
        <v/>
      </c>
      <c r="T137" s="24" t="n"/>
      <c r="U137" s="24" t="n"/>
      <c r="V137" s="24" t="n"/>
    </row>
    <row r="138" ht="15" customHeight="1">
      <c r="A138" s="72" t="n"/>
      <c r="B138" s="70">
        <f>IF(C138="","",IFERROR(INDEX(tbl_Finance[Date],MATCH(C138&amp;"",tbl_Finance[Xero Invoice No],0)),""))</f>
        <v/>
      </c>
      <c r="C138" s="24" t="n"/>
      <c r="D138" s="24" t="n"/>
      <c r="E138" s="25">
        <f>IF(D138="","",IF(COUNTIF(lst_Jobs,D138&amp;"")&gt;0,"OK","CHECK"))</f>
        <v/>
      </c>
      <c r="F138" s="24" t="n"/>
      <c r="G138" s="24" t="n"/>
      <c r="H138" s="24" t="n"/>
      <c r="I138" s="24" t="n"/>
      <c r="J138" s="24" t="n"/>
      <c r="K138" s="22" t="n"/>
      <c r="L138" s="22" t="n"/>
      <c r="M138" s="25">
        <f>IF(N138="","",IF(OR(K138="",L138=""),"one month",TEXT(MAX(1,(YEAR(L138)-YEAR(K138))*12+MONTH(L138)-MONTH(K138)+1),"0")&amp;" months - see Deferred Revenue"))</f>
        <v/>
      </c>
      <c r="N138" s="26" t="n"/>
      <c r="O138" s="24" t="n"/>
      <c r="P138" s="25">
        <f>IF(N(N138)=0,"",IF(N138&gt;0,set_WIPAsset,IF(J138="Cost",IF(O138="","(set the P&amp;L Account)",O138),IF(O138="",set_WIPIncome,O138))))</f>
        <v/>
      </c>
      <c r="Q138" s="25">
        <f>IF(N(N138)=0,"",IF(N138&gt;0,IF(J138="Cost",IF(O138="","(set the P&amp;L Account)",O138),IF(O138="",set_WIPIncome,O138)),set_WIPAsset))</f>
        <v/>
      </c>
      <c r="R138" s="27">
        <f>IF(OR(N(N138)=0,K138&lt;&gt;""),"",ABS(N138))</f>
        <v/>
      </c>
      <c r="S138" s="25">
        <f>IF(N(N138)=0,"",IF(K138&lt;&gt;"","spreads monthly - see Deferred Revenue","WIP "&amp;I138&amp;IF(D138="",""," - "&amp;D138)&amp;IF(F138="",""," "&amp;F138)&amp;IF(H138="",""," - "&amp;H138)))</f>
        <v/>
      </c>
      <c r="T138" s="24" t="n"/>
      <c r="U138" s="24" t="n"/>
      <c r="V138" s="24" t="n"/>
    </row>
    <row r="139" ht="15" customHeight="1">
      <c r="A139" s="72" t="n"/>
      <c r="B139" s="70">
        <f>IF(C139="","",IFERROR(INDEX(tbl_Finance[Date],MATCH(C139&amp;"",tbl_Finance[Xero Invoice No],0)),""))</f>
        <v/>
      </c>
      <c r="C139" s="24" t="n"/>
      <c r="D139" s="24" t="n"/>
      <c r="E139" s="25">
        <f>IF(D139="","",IF(COUNTIF(lst_Jobs,D139&amp;"")&gt;0,"OK","CHECK"))</f>
        <v/>
      </c>
      <c r="F139" s="24" t="n"/>
      <c r="G139" s="24" t="n"/>
      <c r="H139" s="24" t="n"/>
      <c r="I139" s="24" t="n"/>
      <c r="J139" s="24" t="n"/>
      <c r="K139" s="22" t="n"/>
      <c r="L139" s="22" t="n"/>
      <c r="M139" s="25">
        <f>IF(N139="","",IF(OR(K139="",L139=""),"one month",TEXT(MAX(1,(YEAR(L139)-YEAR(K139))*12+MONTH(L139)-MONTH(K139)+1),"0")&amp;" months - see Deferred Revenue"))</f>
        <v/>
      </c>
      <c r="N139" s="26" t="n"/>
      <c r="O139" s="24" t="n"/>
      <c r="P139" s="25">
        <f>IF(N(N139)=0,"",IF(N139&gt;0,set_WIPAsset,IF(J139="Cost",IF(O139="","(set the P&amp;L Account)",O139),IF(O139="",set_WIPIncome,O139))))</f>
        <v/>
      </c>
      <c r="Q139" s="25">
        <f>IF(N(N139)=0,"",IF(N139&gt;0,IF(J139="Cost",IF(O139="","(set the P&amp;L Account)",O139),IF(O139="",set_WIPIncome,O139)),set_WIPAsset))</f>
        <v/>
      </c>
      <c r="R139" s="27">
        <f>IF(OR(N(N139)=0,K139&lt;&gt;""),"",ABS(N139))</f>
        <v/>
      </c>
      <c r="S139" s="25">
        <f>IF(N(N139)=0,"",IF(K139&lt;&gt;"","spreads monthly - see Deferred Revenue","WIP "&amp;I139&amp;IF(D139="",""," - "&amp;D139)&amp;IF(F139="",""," "&amp;F139)&amp;IF(H139="",""," - "&amp;H139)))</f>
        <v/>
      </c>
      <c r="T139" s="24" t="n"/>
      <c r="U139" s="24" t="n"/>
      <c r="V139" s="24" t="n"/>
    </row>
    <row r="140" ht="15" customHeight="1">
      <c r="A140" s="72" t="n"/>
      <c r="B140" s="70">
        <f>IF(C140="","",IFERROR(INDEX(tbl_Finance[Date],MATCH(C140&amp;"",tbl_Finance[Xero Invoice No],0)),""))</f>
        <v/>
      </c>
      <c r="C140" s="24" t="n"/>
      <c r="D140" s="24" t="n"/>
      <c r="E140" s="25">
        <f>IF(D140="","",IF(COUNTIF(lst_Jobs,D140&amp;"")&gt;0,"OK","CHECK"))</f>
        <v/>
      </c>
      <c r="F140" s="24" t="n"/>
      <c r="G140" s="24" t="n"/>
      <c r="H140" s="24" t="n"/>
      <c r="I140" s="24" t="n"/>
      <c r="J140" s="24" t="n"/>
      <c r="K140" s="22" t="n"/>
      <c r="L140" s="22" t="n"/>
      <c r="M140" s="25">
        <f>IF(N140="","",IF(OR(K140="",L140=""),"one month",TEXT(MAX(1,(YEAR(L140)-YEAR(K140))*12+MONTH(L140)-MONTH(K140)+1),"0")&amp;" months - see Deferred Revenue"))</f>
        <v/>
      </c>
      <c r="N140" s="26" t="n"/>
      <c r="O140" s="24" t="n"/>
      <c r="P140" s="25">
        <f>IF(N(N140)=0,"",IF(N140&gt;0,set_WIPAsset,IF(J140="Cost",IF(O140="","(set the P&amp;L Account)",O140),IF(O140="",set_WIPIncome,O140))))</f>
        <v/>
      </c>
      <c r="Q140" s="25">
        <f>IF(N(N140)=0,"",IF(N140&gt;0,IF(J140="Cost",IF(O140="","(set the P&amp;L Account)",O140),IF(O140="",set_WIPIncome,O140)),set_WIPAsset))</f>
        <v/>
      </c>
      <c r="R140" s="27">
        <f>IF(OR(N(N140)=0,K140&lt;&gt;""),"",ABS(N140))</f>
        <v/>
      </c>
      <c r="S140" s="25">
        <f>IF(N(N140)=0,"",IF(K140&lt;&gt;"","spreads monthly - see Deferred Revenue","WIP "&amp;I140&amp;IF(D140="",""," - "&amp;D140)&amp;IF(F140="",""," "&amp;F140)&amp;IF(H140="",""," - "&amp;H140)))</f>
        <v/>
      </c>
      <c r="T140" s="24" t="n"/>
      <c r="U140" s="24" t="n"/>
      <c r="V140" s="24" t="n"/>
    </row>
    <row r="141" ht="15" customHeight="1">
      <c r="A141" s="72" t="n"/>
      <c r="B141" s="70">
        <f>IF(C141="","",IFERROR(INDEX(tbl_Finance[Date],MATCH(C141&amp;"",tbl_Finance[Xero Invoice No],0)),""))</f>
        <v/>
      </c>
      <c r="C141" s="24" t="n"/>
      <c r="D141" s="24" t="n"/>
      <c r="E141" s="25">
        <f>IF(D141="","",IF(COUNTIF(lst_Jobs,D141&amp;"")&gt;0,"OK","CHECK"))</f>
        <v/>
      </c>
      <c r="F141" s="24" t="n"/>
      <c r="G141" s="24" t="n"/>
      <c r="H141" s="24" t="n"/>
      <c r="I141" s="24" t="n"/>
      <c r="J141" s="24" t="n"/>
      <c r="K141" s="22" t="n"/>
      <c r="L141" s="22" t="n"/>
      <c r="M141" s="25">
        <f>IF(N141="","",IF(OR(K141="",L141=""),"one month",TEXT(MAX(1,(YEAR(L141)-YEAR(K141))*12+MONTH(L141)-MONTH(K141)+1),"0")&amp;" months - see Deferred Revenue"))</f>
        <v/>
      </c>
      <c r="N141" s="26" t="n"/>
      <c r="O141" s="24" t="n"/>
      <c r="P141" s="25">
        <f>IF(N(N141)=0,"",IF(N141&gt;0,set_WIPAsset,IF(J141="Cost",IF(O141="","(set the P&amp;L Account)",O141),IF(O141="",set_WIPIncome,O141))))</f>
        <v/>
      </c>
      <c r="Q141" s="25">
        <f>IF(N(N141)=0,"",IF(N141&gt;0,IF(J141="Cost",IF(O141="","(set the P&amp;L Account)",O141),IF(O141="",set_WIPIncome,O141)),set_WIPAsset))</f>
        <v/>
      </c>
      <c r="R141" s="27">
        <f>IF(OR(N(N141)=0,K141&lt;&gt;""),"",ABS(N141))</f>
        <v/>
      </c>
      <c r="S141" s="25">
        <f>IF(N(N141)=0,"",IF(K141&lt;&gt;"","spreads monthly - see Deferred Revenue","WIP "&amp;I141&amp;IF(D141="",""," - "&amp;D141)&amp;IF(F141="",""," "&amp;F141)&amp;IF(H141="",""," - "&amp;H141)))</f>
        <v/>
      </c>
      <c r="T141" s="24" t="n"/>
      <c r="U141" s="24" t="n"/>
      <c r="V141" s="24" t="n"/>
    </row>
    <row r="142" ht="15" customHeight="1">
      <c r="A142" s="72" t="n"/>
      <c r="B142" s="70">
        <f>IF(C142="","",IFERROR(INDEX(tbl_Finance[Date],MATCH(C142&amp;"",tbl_Finance[Xero Invoice No],0)),""))</f>
        <v/>
      </c>
      <c r="C142" s="24" t="n"/>
      <c r="D142" s="24" t="n"/>
      <c r="E142" s="25">
        <f>IF(D142="","",IF(COUNTIF(lst_Jobs,D142&amp;"")&gt;0,"OK","CHECK"))</f>
        <v/>
      </c>
      <c r="F142" s="24" t="n"/>
      <c r="G142" s="24" t="n"/>
      <c r="H142" s="24" t="n"/>
      <c r="I142" s="24" t="n"/>
      <c r="J142" s="24" t="n"/>
      <c r="K142" s="22" t="n"/>
      <c r="L142" s="22" t="n"/>
      <c r="M142" s="25">
        <f>IF(N142="","",IF(OR(K142="",L142=""),"one month",TEXT(MAX(1,(YEAR(L142)-YEAR(K142))*12+MONTH(L142)-MONTH(K142)+1),"0")&amp;" months - see Deferred Revenue"))</f>
        <v/>
      </c>
      <c r="N142" s="26" t="n"/>
      <c r="O142" s="24" t="n"/>
      <c r="P142" s="25">
        <f>IF(N(N142)=0,"",IF(N142&gt;0,set_WIPAsset,IF(J142="Cost",IF(O142="","(set the P&amp;L Account)",O142),IF(O142="",set_WIPIncome,O142))))</f>
        <v/>
      </c>
      <c r="Q142" s="25">
        <f>IF(N(N142)=0,"",IF(N142&gt;0,IF(J142="Cost",IF(O142="","(set the P&amp;L Account)",O142),IF(O142="",set_WIPIncome,O142)),set_WIPAsset))</f>
        <v/>
      </c>
      <c r="R142" s="27">
        <f>IF(OR(N(N142)=0,K142&lt;&gt;""),"",ABS(N142))</f>
        <v/>
      </c>
      <c r="S142" s="25">
        <f>IF(N(N142)=0,"",IF(K142&lt;&gt;"","spreads monthly - see Deferred Revenue","WIP "&amp;I142&amp;IF(D142="",""," - "&amp;D142)&amp;IF(F142="",""," "&amp;F142)&amp;IF(H142="",""," - "&amp;H142)))</f>
        <v/>
      </c>
      <c r="T142" s="24" t="n"/>
      <c r="U142" s="24" t="n"/>
      <c r="V142" s="24" t="n"/>
    </row>
    <row r="143" ht="15" customHeight="1">
      <c r="A143" s="72" t="n"/>
      <c r="B143" s="70">
        <f>IF(C143="","",IFERROR(INDEX(tbl_Finance[Date],MATCH(C143&amp;"",tbl_Finance[Xero Invoice No],0)),""))</f>
        <v/>
      </c>
      <c r="C143" s="24" t="n"/>
      <c r="D143" s="24" t="n"/>
      <c r="E143" s="25">
        <f>IF(D143="","",IF(COUNTIF(lst_Jobs,D143&amp;"")&gt;0,"OK","CHECK"))</f>
        <v/>
      </c>
      <c r="F143" s="24" t="n"/>
      <c r="G143" s="24" t="n"/>
      <c r="H143" s="24" t="n"/>
      <c r="I143" s="24" t="n"/>
      <c r="J143" s="24" t="n"/>
      <c r="K143" s="22" t="n"/>
      <c r="L143" s="22" t="n"/>
      <c r="M143" s="25">
        <f>IF(N143="","",IF(OR(K143="",L143=""),"one month",TEXT(MAX(1,(YEAR(L143)-YEAR(K143))*12+MONTH(L143)-MONTH(K143)+1),"0")&amp;" months - see Deferred Revenue"))</f>
        <v/>
      </c>
      <c r="N143" s="26" t="n"/>
      <c r="O143" s="24" t="n"/>
      <c r="P143" s="25">
        <f>IF(N(N143)=0,"",IF(N143&gt;0,set_WIPAsset,IF(J143="Cost",IF(O143="","(set the P&amp;L Account)",O143),IF(O143="",set_WIPIncome,O143))))</f>
        <v/>
      </c>
      <c r="Q143" s="25">
        <f>IF(N(N143)=0,"",IF(N143&gt;0,IF(J143="Cost",IF(O143="","(set the P&amp;L Account)",O143),IF(O143="",set_WIPIncome,O143)),set_WIPAsset))</f>
        <v/>
      </c>
      <c r="R143" s="27">
        <f>IF(OR(N(N143)=0,K143&lt;&gt;""),"",ABS(N143))</f>
        <v/>
      </c>
      <c r="S143" s="25">
        <f>IF(N(N143)=0,"",IF(K143&lt;&gt;"","spreads monthly - see Deferred Revenue","WIP "&amp;I143&amp;IF(D143="",""," - "&amp;D143)&amp;IF(F143="",""," "&amp;F143)&amp;IF(H143="",""," - "&amp;H143)))</f>
        <v/>
      </c>
      <c r="T143" s="24" t="n"/>
      <c r="U143" s="24" t="n"/>
      <c r="V143" s="24" t="n"/>
    </row>
    <row r="144" ht="15" customHeight="1">
      <c r="A144" s="72" t="n"/>
      <c r="B144" s="70">
        <f>IF(C144="","",IFERROR(INDEX(tbl_Finance[Date],MATCH(C144&amp;"",tbl_Finance[Xero Invoice No],0)),""))</f>
        <v/>
      </c>
      <c r="C144" s="24" t="n"/>
      <c r="D144" s="24" t="n"/>
      <c r="E144" s="25">
        <f>IF(D144="","",IF(COUNTIF(lst_Jobs,D144&amp;"")&gt;0,"OK","CHECK"))</f>
        <v/>
      </c>
      <c r="F144" s="24" t="n"/>
      <c r="G144" s="24" t="n"/>
      <c r="H144" s="24" t="n"/>
      <c r="I144" s="24" t="n"/>
      <c r="J144" s="24" t="n"/>
      <c r="K144" s="22" t="n"/>
      <c r="L144" s="22" t="n"/>
      <c r="M144" s="25">
        <f>IF(N144="","",IF(OR(K144="",L144=""),"one month",TEXT(MAX(1,(YEAR(L144)-YEAR(K144))*12+MONTH(L144)-MONTH(K144)+1),"0")&amp;" months - see Deferred Revenue"))</f>
        <v/>
      </c>
      <c r="N144" s="26" t="n"/>
      <c r="O144" s="24" t="n"/>
      <c r="P144" s="25">
        <f>IF(N(N144)=0,"",IF(N144&gt;0,set_WIPAsset,IF(J144="Cost",IF(O144="","(set the P&amp;L Account)",O144),IF(O144="",set_WIPIncome,O144))))</f>
        <v/>
      </c>
      <c r="Q144" s="25">
        <f>IF(N(N144)=0,"",IF(N144&gt;0,IF(J144="Cost",IF(O144="","(set the P&amp;L Account)",O144),IF(O144="",set_WIPIncome,O144)),set_WIPAsset))</f>
        <v/>
      </c>
      <c r="R144" s="27">
        <f>IF(OR(N(N144)=0,K144&lt;&gt;""),"",ABS(N144))</f>
        <v/>
      </c>
      <c r="S144" s="25">
        <f>IF(N(N144)=0,"",IF(K144&lt;&gt;"","spreads monthly - see Deferred Revenue","WIP "&amp;I144&amp;IF(D144="",""," - "&amp;D144)&amp;IF(F144="",""," "&amp;F144)&amp;IF(H144="",""," - "&amp;H144)))</f>
        <v/>
      </c>
      <c r="T144" s="24" t="n"/>
      <c r="U144" s="24" t="n"/>
      <c r="V144" s="24" t="n"/>
    </row>
    <row r="145" ht="15" customHeight="1">
      <c r="A145" s="72" t="n"/>
      <c r="B145" s="70">
        <f>IF(C145="","",IFERROR(INDEX(tbl_Finance[Date],MATCH(C145&amp;"",tbl_Finance[Xero Invoice No],0)),""))</f>
        <v/>
      </c>
      <c r="C145" s="24" t="n"/>
      <c r="D145" s="24" t="n"/>
      <c r="E145" s="25">
        <f>IF(D145="","",IF(COUNTIF(lst_Jobs,D145&amp;"")&gt;0,"OK","CHECK"))</f>
        <v/>
      </c>
      <c r="F145" s="24" t="n"/>
      <c r="G145" s="24" t="n"/>
      <c r="H145" s="24" t="n"/>
      <c r="I145" s="24" t="n"/>
      <c r="J145" s="24" t="n"/>
      <c r="K145" s="22" t="n"/>
      <c r="L145" s="22" t="n"/>
      <c r="M145" s="25">
        <f>IF(N145="","",IF(OR(K145="",L145=""),"one month",TEXT(MAX(1,(YEAR(L145)-YEAR(K145))*12+MONTH(L145)-MONTH(K145)+1),"0")&amp;" months - see Deferred Revenue"))</f>
        <v/>
      </c>
      <c r="N145" s="26" t="n"/>
      <c r="O145" s="24" t="n"/>
      <c r="P145" s="25">
        <f>IF(N(N145)=0,"",IF(N145&gt;0,set_WIPAsset,IF(J145="Cost",IF(O145="","(set the P&amp;L Account)",O145),IF(O145="",set_WIPIncome,O145))))</f>
        <v/>
      </c>
      <c r="Q145" s="25">
        <f>IF(N(N145)=0,"",IF(N145&gt;0,IF(J145="Cost",IF(O145="","(set the P&amp;L Account)",O145),IF(O145="",set_WIPIncome,O145)),set_WIPAsset))</f>
        <v/>
      </c>
      <c r="R145" s="27">
        <f>IF(OR(N(N145)=0,K145&lt;&gt;""),"",ABS(N145))</f>
        <v/>
      </c>
      <c r="S145" s="25">
        <f>IF(N(N145)=0,"",IF(K145&lt;&gt;"","spreads monthly - see Deferred Revenue","WIP "&amp;I145&amp;IF(D145="",""," - "&amp;D145)&amp;IF(F145="",""," "&amp;F145)&amp;IF(H145="",""," - "&amp;H145)))</f>
        <v/>
      </c>
      <c r="T145" s="24" t="n"/>
      <c r="U145" s="24" t="n"/>
      <c r="V145" s="24" t="n"/>
    </row>
    <row r="146" ht="15" customHeight="1">
      <c r="A146" s="72" t="n"/>
      <c r="B146" s="70">
        <f>IF(C146="","",IFERROR(INDEX(tbl_Finance[Date],MATCH(C146&amp;"",tbl_Finance[Xero Invoice No],0)),""))</f>
        <v/>
      </c>
      <c r="C146" s="24" t="n"/>
      <c r="D146" s="24" t="n"/>
      <c r="E146" s="25">
        <f>IF(D146="","",IF(COUNTIF(lst_Jobs,D146&amp;"")&gt;0,"OK","CHECK"))</f>
        <v/>
      </c>
      <c r="F146" s="24" t="n"/>
      <c r="G146" s="24" t="n"/>
      <c r="H146" s="24" t="n"/>
      <c r="I146" s="24" t="n"/>
      <c r="J146" s="24" t="n"/>
      <c r="K146" s="22" t="n"/>
      <c r="L146" s="22" t="n"/>
      <c r="M146" s="25">
        <f>IF(N146="","",IF(OR(K146="",L146=""),"one month",TEXT(MAX(1,(YEAR(L146)-YEAR(K146))*12+MONTH(L146)-MONTH(K146)+1),"0")&amp;" months - see Deferred Revenue"))</f>
        <v/>
      </c>
      <c r="N146" s="26" t="n"/>
      <c r="O146" s="24" t="n"/>
      <c r="P146" s="25">
        <f>IF(N(N146)=0,"",IF(N146&gt;0,set_WIPAsset,IF(J146="Cost",IF(O146="","(set the P&amp;L Account)",O146),IF(O146="",set_WIPIncome,O146))))</f>
        <v/>
      </c>
      <c r="Q146" s="25">
        <f>IF(N(N146)=0,"",IF(N146&gt;0,IF(J146="Cost",IF(O146="","(set the P&amp;L Account)",O146),IF(O146="",set_WIPIncome,O146)),set_WIPAsset))</f>
        <v/>
      </c>
      <c r="R146" s="27">
        <f>IF(OR(N(N146)=0,K146&lt;&gt;""),"",ABS(N146))</f>
        <v/>
      </c>
      <c r="S146" s="25">
        <f>IF(N(N146)=0,"",IF(K146&lt;&gt;"","spreads monthly - see Deferred Revenue","WIP "&amp;I146&amp;IF(D146="",""," - "&amp;D146)&amp;IF(F146="",""," "&amp;F146)&amp;IF(H146="",""," - "&amp;H146)))</f>
        <v/>
      </c>
      <c r="T146" s="24" t="n"/>
      <c r="U146" s="24" t="n"/>
      <c r="V146" s="24" t="n"/>
    </row>
    <row r="147" ht="15" customHeight="1">
      <c r="A147" s="72" t="n"/>
      <c r="B147" s="70">
        <f>IF(C147="","",IFERROR(INDEX(tbl_Finance[Date],MATCH(C147&amp;"",tbl_Finance[Xero Invoice No],0)),""))</f>
        <v/>
      </c>
      <c r="C147" s="24" t="n"/>
      <c r="D147" s="24" t="n"/>
      <c r="E147" s="25">
        <f>IF(D147="","",IF(COUNTIF(lst_Jobs,D147&amp;"")&gt;0,"OK","CHECK"))</f>
        <v/>
      </c>
      <c r="F147" s="24" t="n"/>
      <c r="G147" s="24" t="n"/>
      <c r="H147" s="24" t="n"/>
      <c r="I147" s="24" t="n"/>
      <c r="J147" s="24" t="n"/>
      <c r="K147" s="22" t="n"/>
      <c r="L147" s="22" t="n"/>
      <c r="M147" s="25">
        <f>IF(N147="","",IF(OR(K147="",L147=""),"one month",TEXT(MAX(1,(YEAR(L147)-YEAR(K147))*12+MONTH(L147)-MONTH(K147)+1),"0")&amp;" months - see Deferred Revenue"))</f>
        <v/>
      </c>
      <c r="N147" s="26" t="n"/>
      <c r="O147" s="24" t="n"/>
      <c r="P147" s="25">
        <f>IF(N(N147)=0,"",IF(N147&gt;0,set_WIPAsset,IF(J147="Cost",IF(O147="","(set the P&amp;L Account)",O147),IF(O147="",set_WIPIncome,O147))))</f>
        <v/>
      </c>
      <c r="Q147" s="25">
        <f>IF(N(N147)=0,"",IF(N147&gt;0,IF(J147="Cost",IF(O147="","(set the P&amp;L Account)",O147),IF(O147="",set_WIPIncome,O147)),set_WIPAsset))</f>
        <v/>
      </c>
      <c r="R147" s="27">
        <f>IF(OR(N(N147)=0,K147&lt;&gt;""),"",ABS(N147))</f>
        <v/>
      </c>
      <c r="S147" s="25">
        <f>IF(N(N147)=0,"",IF(K147&lt;&gt;"","spreads monthly - see Deferred Revenue","WIP "&amp;I147&amp;IF(D147="",""," - "&amp;D147)&amp;IF(F147="",""," "&amp;F147)&amp;IF(H147="",""," - "&amp;H147)))</f>
        <v/>
      </c>
      <c r="T147" s="24" t="n"/>
      <c r="U147" s="24" t="n"/>
      <c r="V147" s="24" t="n"/>
    </row>
    <row r="148" ht="15" customHeight="1">
      <c r="A148" s="72" t="n"/>
      <c r="B148" s="70">
        <f>IF(C148="","",IFERROR(INDEX(tbl_Finance[Date],MATCH(C148&amp;"",tbl_Finance[Xero Invoice No],0)),""))</f>
        <v/>
      </c>
      <c r="C148" s="24" t="n"/>
      <c r="D148" s="24" t="n"/>
      <c r="E148" s="25">
        <f>IF(D148="","",IF(COUNTIF(lst_Jobs,D148&amp;"")&gt;0,"OK","CHECK"))</f>
        <v/>
      </c>
      <c r="F148" s="24" t="n"/>
      <c r="G148" s="24" t="n"/>
      <c r="H148" s="24" t="n"/>
      <c r="I148" s="24" t="n"/>
      <c r="J148" s="24" t="n"/>
      <c r="K148" s="22" t="n"/>
      <c r="L148" s="22" t="n"/>
      <c r="M148" s="25">
        <f>IF(N148="","",IF(OR(K148="",L148=""),"one month",TEXT(MAX(1,(YEAR(L148)-YEAR(K148))*12+MONTH(L148)-MONTH(K148)+1),"0")&amp;" months - see Deferred Revenue"))</f>
        <v/>
      </c>
      <c r="N148" s="26" t="n"/>
      <c r="O148" s="24" t="n"/>
      <c r="P148" s="25">
        <f>IF(N(N148)=0,"",IF(N148&gt;0,set_WIPAsset,IF(J148="Cost",IF(O148="","(set the P&amp;L Account)",O148),IF(O148="",set_WIPIncome,O148))))</f>
        <v/>
      </c>
      <c r="Q148" s="25">
        <f>IF(N(N148)=0,"",IF(N148&gt;0,IF(J148="Cost",IF(O148="","(set the P&amp;L Account)",O148),IF(O148="",set_WIPIncome,O148)),set_WIPAsset))</f>
        <v/>
      </c>
      <c r="R148" s="27">
        <f>IF(OR(N(N148)=0,K148&lt;&gt;""),"",ABS(N148))</f>
        <v/>
      </c>
      <c r="S148" s="25">
        <f>IF(N(N148)=0,"",IF(K148&lt;&gt;"","spreads monthly - see Deferred Revenue","WIP "&amp;I148&amp;IF(D148="",""," - "&amp;D148)&amp;IF(F148="",""," "&amp;F148)&amp;IF(H148="",""," - "&amp;H148)))</f>
        <v/>
      </c>
      <c r="T148" s="24" t="n"/>
      <c r="U148" s="24" t="n"/>
      <c r="V148" s="24" t="n"/>
    </row>
    <row r="149" ht="15" customHeight="1">
      <c r="A149" s="72" t="n"/>
      <c r="B149" s="70">
        <f>IF(C149="","",IFERROR(INDEX(tbl_Finance[Date],MATCH(C149&amp;"",tbl_Finance[Xero Invoice No],0)),""))</f>
        <v/>
      </c>
      <c r="C149" s="24" t="n"/>
      <c r="D149" s="24" t="n"/>
      <c r="E149" s="25">
        <f>IF(D149="","",IF(COUNTIF(lst_Jobs,D149&amp;"")&gt;0,"OK","CHECK"))</f>
        <v/>
      </c>
      <c r="F149" s="24" t="n"/>
      <c r="G149" s="24" t="n"/>
      <c r="H149" s="24" t="n"/>
      <c r="I149" s="24" t="n"/>
      <c r="J149" s="24" t="n"/>
      <c r="K149" s="22" t="n"/>
      <c r="L149" s="22" t="n"/>
      <c r="M149" s="25">
        <f>IF(N149="","",IF(OR(K149="",L149=""),"one month",TEXT(MAX(1,(YEAR(L149)-YEAR(K149))*12+MONTH(L149)-MONTH(K149)+1),"0")&amp;" months - see Deferred Revenue"))</f>
        <v/>
      </c>
      <c r="N149" s="26" t="n"/>
      <c r="O149" s="24" t="n"/>
      <c r="P149" s="25">
        <f>IF(N(N149)=0,"",IF(N149&gt;0,set_WIPAsset,IF(J149="Cost",IF(O149="","(set the P&amp;L Account)",O149),IF(O149="",set_WIPIncome,O149))))</f>
        <v/>
      </c>
      <c r="Q149" s="25">
        <f>IF(N(N149)=0,"",IF(N149&gt;0,IF(J149="Cost",IF(O149="","(set the P&amp;L Account)",O149),IF(O149="",set_WIPIncome,O149)),set_WIPAsset))</f>
        <v/>
      </c>
      <c r="R149" s="27">
        <f>IF(OR(N(N149)=0,K149&lt;&gt;""),"",ABS(N149))</f>
        <v/>
      </c>
      <c r="S149" s="25">
        <f>IF(N(N149)=0,"",IF(K149&lt;&gt;"","spreads monthly - see Deferred Revenue","WIP "&amp;I149&amp;IF(D149="",""," - "&amp;D149)&amp;IF(F149="",""," "&amp;F149)&amp;IF(H149="",""," - "&amp;H149)))</f>
        <v/>
      </c>
      <c r="T149" s="24" t="n"/>
      <c r="U149" s="24" t="n"/>
      <c r="V149" s="24" t="n"/>
    </row>
    <row r="150" ht="15" customHeight="1">
      <c r="A150" s="72" t="n"/>
      <c r="B150" s="70">
        <f>IF(C150="","",IFERROR(INDEX(tbl_Finance[Date],MATCH(C150&amp;"",tbl_Finance[Xero Invoice No],0)),""))</f>
        <v/>
      </c>
      <c r="C150" s="24" t="n"/>
      <c r="D150" s="24" t="n"/>
      <c r="E150" s="25">
        <f>IF(D150="","",IF(COUNTIF(lst_Jobs,D150&amp;"")&gt;0,"OK","CHECK"))</f>
        <v/>
      </c>
      <c r="F150" s="24" t="n"/>
      <c r="G150" s="24" t="n"/>
      <c r="H150" s="24" t="n"/>
      <c r="I150" s="24" t="n"/>
      <c r="J150" s="24" t="n"/>
      <c r="K150" s="22" t="n"/>
      <c r="L150" s="22" t="n"/>
      <c r="M150" s="25">
        <f>IF(N150="","",IF(OR(K150="",L150=""),"one month",TEXT(MAX(1,(YEAR(L150)-YEAR(K150))*12+MONTH(L150)-MONTH(K150)+1),"0")&amp;" months - see Deferred Revenue"))</f>
        <v/>
      </c>
      <c r="N150" s="26" t="n"/>
      <c r="O150" s="24" t="n"/>
      <c r="P150" s="25">
        <f>IF(N(N150)=0,"",IF(N150&gt;0,set_WIPAsset,IF(J150="Cost",IF(O150="","(set the P&amp;L Account)",O150),IF(O150="",set_WIPIncome,O150))))</f>
        <v/>
      </c>
      <c r="Q150" s="25">
        <f>IF(N(N150)=0,"",IF(N150&gt;0,IF(J150="Cost",IF(O150="","(set the P&amp;L Account)",O150),IF(O150="",set_WIPIncome,O150)),set_WIPAsset))</f>
        <v/>
      </c>
      <c r="R150" s="27">
        <f>IF(OR(N(N150)=0,K150&lt;&gt;""),"",ABS(N150))</f>
        <v/>
      </c>
      <c r="S150" s="25">
        <f>IF(N(N150)=0,"",IF(K150&lt;&gt;"","spreads monthly - see Deferred Revenue","WIP "&amp;I150&amp;IF(D150="",""," - "&amp;D150)&amp;IF(F150="",""," "&amp;F150)&amp;IF(H150="",""," - "&amp;H150)))</f>
        <v/>
      </c>
      <c r="T150" s="24" t="n"/>
      <c r="U150" s="24" t="n"/>
      <c r="V150" s="24" t="n"/>
    </row>
    <row r="151" ht="15" customHeight="1">
      <c r="A151" s="72" t="n"/>
      <c r="B151" s="70">
        <f>IF(C151="","",IFERROR(INDEX(tbl_Finance[Date],MATCH(C151&amp;"",tbl_Finance[Xero Invoice No],0)),""))</f>
        <v/>
      </c>
      <c r="C151" s="24" t="n"/>
      <c r="D151" s="24" t="n"/>
      <c r="E151" s="25">
        <f>IF(D151="","",IF(COUNTIF(lst_Jobs,D151&amp;"")&gt;0,"OK","CHECK"))</f>
        <v/>
      </c>
      <c r="F151" s="24" t="n"/>
      <c r="G151" s="24" t="n"/>
      <c r="H151" s="24" t="n"/>
      <c r="I151" s="24" t="n"/>
      <c r="J151" s="24" t="n"/>
      <c r="K151" s="22" t="n"/>
      <c r="L151" s="22" t="n"/>
      <c r="M151" s="25">
        <f>IF(N151="","",IF(OR(K151="",L151=""),"one month",TEXT(MAX(1,(YEAR(L151)-YEAR(K151))*12+MONTH(L151)-MONTH(K151)+1),"0")&amp;" months - see Deferred Revenue"))</f>
        <v/>
      </c>
      <c r="N151" s="26" t="n"/>
      <c r="O151" s="24" t="n"/>
      <c r="P151" s="25">
        <f>IF(N(N151)=0,"",IF(N151&gt;0,set_WIPAsset,IF(J151="Cost",IF(O151="","(set the P&amp;L Account)",O151),IF(O151="",set_WIPIncome,O151))))</f>
        <v/>
      </c>
      <c r="Q151" s="25">
        <f>IF(N(N151)=0,"",IF(N151&gt;0,IF(J151="Cost",IF(O151="","(set the P&amp;L Account)",O151),IF(O151="",set_WIPIncome,O151)),set_WIPAsset))</f>
        <v/>
      </c>
      <c r="R151" s="27">
        <f>IF(OR(N(N151)=0,K151&lt;&gt;""),"",ABS(N151))</f>
        <v/>
      </c>
      <c r="S151" s="25">
        <f>IF(N(N151)=0,"",IF(K151&lt;&gt;"","spreads monthly - see Deferred Revenue","WIP "&amp;I151&amp;IF(D151="",""," - "&amp;D151)&amp;IF(F151="",""," "&amp;F151)&amp;IF(H151="",""," - "&amp;H151)))</f>
        <v/>
      </c>
      <c r="T151" s="24" t="n"/>
      <c r="U151" s="24" t="n"/>
      <c r="V151" s="24" t="n"/>
    </row>
    <row r="152" ht="15" customHeight="1">
      <c r="A152" s="72" t="n"/>
      <c r="B152" s="70">
        <f>IF(C152="","",IFERROR(INDEX(tbl_Finance[Date],MATCH(C152&amp;"",tbl_Finance[Xero Invoice No],0)),""))</f>
        <v/>
      </c>
      <c r="C152" s="24" t="n"/>
      <c r="D152" s="24" t="n"/>
      <c r="E152" s="25">
        <f>IF(D152="","",IF(COUNTIF(lst_Jobs,D152&amp;"")&gt;0,"OK","CHECK"))</f>
        <v/>
      </c>
      <c r="F152" s="24" t="n"/>
      <c r="G152" s="24" t="n"/>
      <c r="H152" s="24" t="n"/>
      <c r="I152" s="24" t="n"/>
      <c r="J152" s="24" t="n"/>
      <c r="K152" s="22" t="n"/>
      <c r="L152" s="22" t="n"/>
      <c r="M152" s="25">
        <f>IF(N152="","",IF(OR(K152="",L152=""),"one month",TEXT(MAX(1,(YEAR(L152)-YEAR(K152))*12+MONTH(L152)-MONTH(K152)+1),"0")&amp;" months - see Deferred Revenue"))</f>
        <v/>
      </c>
      <c r="N152" s="26" t="n"/>
      <c r="O152" s="24" t="n"/>
      <c r="P152" s="25">
        <f>IF(N(N152)=0,"",IF(N152&gt;0,set_WIPAsset,IF(J152="Cost",IF(O152="","(set the P&amp;L Account)",O152),IF(O152="",set_WIPIncome,O152))))</f>
        <v/>
      </c>
      <c r="Q152" s="25">
        <f>IF(N(N152)=0,"",IF(N152&gt;0,IF(J152="Cost",IF(O152="","(set the P&amp;L Account)",O152),IF(O152="",set_WIPIncome,O152)),set_WIPAsset))</f>
        <v/>
      </c>
      <c r="R152" s="27">
        <f>IF(OR(N(N152)=0,K152&lt;&gt;""),"",ABS(N152))</f>
        <v/>
      </c>
      <c r="S152" s="25">
        <f>IF(N(N152)=0,"",IF(K152&lt;&gt;"","spreads monthly - see Deferred Revenue","WIP "&amp;I152&amp;IF(D152="",""," - "&amp;D152)&amp;IF(F152="",""," "&amp;F152)&amp;IF(H152="",""," - "&amp;H152)))</f>
        <v/>
      </c>
      <c r="T152" s="24" t="n"/>
      <c r="U152" s="24" t="n"/>
      <c r="V152" s="24" t="n"/>
    </row>
    <row r="153" ht="15" customHeight="1">
      <c r="A153" s="72" t="n"/>
      <c r="B153" s="70">
        <f>IF(C153="","",IFERROR(INDEX(tbl_Finance[Date],MATCH(C153&amp;"",tbl_Finance[Xero Invoice No],0)),""))</f>
        <v/>
      </c>
      <c r="C153" s="24" t="n"/>
      <c r="D153" s="24" t="n"/>
      <c r="E153" s="25">
        <f>IF(D153="","",IF(COUNTIF(lst_Jobs,D153&amp;"")&gt;0,"OK","CHECK"))</f>
        <v/>
      </c>
      <c r="F153" s="24" t="n"/>
      <c r="G153" s="24" t="n"/>
      <c r="H153" s="24" t="n"/>
      <c r="I153" s="24" t="n"/>
      <c r="J153" s="24" t="n"/>
      <c r="K153" s="22" t="n"/>
      <c r="L153" s="22" t="n"/>
      <c r="M153" s="25">
        <f>IF(N153="","",IF(OR(K153="",L153=""),"one month",TEXT(MAX(1,(YEAR(L153)-YEAR(K153))*12+MONTH(L153)-MONTH(K153)+1),"0")&amp;" months - see Deferred Revenue"))</f>
        <v/>
      </c>
      <c r="N153" s="26" t="n"/>
      <c r="O153" s="24" t="n"/>
      <c r="P153" s="25">
        <f>IF(N(N153)=0,"",IF(N153&gt;0,set_WIPAsset,IF(J153="Cost",IF(O153="","(set the P&amp;L Account)",O153),IF(O153="",set_WIPIncome,O153))))</f>
        <v/>
      </c>
      <c r="Q153" s="25">
        <f>IF(N(N153)=0,"",IF(N153&gt;0,IF(J153="Cost",IF(O153="","(set the P&amp;L Account)",O153),IF(O153="",set_WIPIncome,O153)),set_WIPAsset))</f>
        <v/>
      </c>
      <c r="R153" s="27">
        <f>IF(OR(N(N153)=0,K153&lt;&gt;""),"",ABS(N153))</f>
        <v/>
      </c>
      <c r="S153" s="25">
        <f>IF(N(N153)=0,"",IF(K153&lt;&gt;"","spreads monthly - see Deferred Revenue","WIP "&amp;I153&amp;IF(D153="",""," - "&amp;D153)&amp;IF(F153="",""," "&amp;F153)&amp;IF(H153="",""," - "&amp;H153)))</f>
        <v/>
      </c>
      <c r="T153" s="24" t="n"/>
      <c r="U153" s="24" t="n"/>
      <c r="V153" s="24" t="n"/>
    </row>
    <row r="154" ht="15" customHeight="1">
      <c r="A154" s="72" t="n"/>
      <c r="B154" s="70">
        <f>IF(C154="","",IFERROR(INDEX(tbl_Finance[Date],MATCH(C154&amp;"",tbl_Finance[Xero Invoice No],0)),""))</f>
        <v/>
      </c>
      <c r="C154" s="24" t="n"/>
      <c r="D154" s="24" t="n"/>
      <c r="E154" s="25">
        <f>IF(D154="","",IF(COUNTIF(lst_Jobs,D154&amp;"")&gt;0,"OK","CHECK"))</f>
        <v/>
      </c>
      <c r="F154" s="24" t="n"/>
      <c r="G154" s="24" t="n"/>
      <c r="H154" s="24" t="n"/>
      <c r="I154" s="24" t="n"/>
      <c r="J154" s="24" t="n"/>
      <c r="K154" s="22" t="n"/>
      <c r="L154" s="22" t="n"/>
      <c r="M154" s="25">
        <f>IF(N154="","",IF(OR(K154="",L154=""),"one month",TEXT(MAX(1,(YEAR(L154)-YEAR(K154))*12+MONTH(L154)-MONTH(K154)+1),"0")&amp;" months - see Deferred Revenue"))</f>
        <v/>
      </c>
      <c r="N154" s="26" t="n"/>
      <c r="O154" s="24" t="n"/>
      <c r="P154" s="25">
        <f>IF(N(N154)=0,"",IF(N154&gt;0,set_WIPAsset,IF(J154="Cost",IF(O154="","(set the P&amp;L Account)",O154),IF(O154="",set_WIPIncome,O154))))</f>
        <v/>
      </c>
      <c r="Q154" s="25">
        <f>IF(N(N154)=0,"",IF(N154&gt;0,IF(J154="Cost",IF(O154="","(set the P&amp;L Account)",O154),IF(O154="",set_WIPIncome,O154)),set_WIPAsset))</f>
        <v/>
      </c>
      <c r="R154" s="27">
        <f>IF(OR(N(N154)=0,K154&lt;&gt;""),"",ABS(N154))</f>
        <v/>
      </c>
      <c r="S154" s="25">
        <f>IF(N(N154)=0,"",IF(K154&lt;&gt;"","spreads monthly - see Deferred Revenue","WIP "&amp;I154&amp;IF(D154="",""," - "&amp;D154)&amp;IF(F154="",""," "&amp;F154)&amp;IF(H154="",""," - "&amp;H154)))</f>
        <v/>
      </c>
      <c r="T154" s="24" t="n"/>
      <c r="U154" s="24" t="n"/>
      <c r="V154" s="24" t="n"/>
    </row>
    <row r="155" ht="15" customHeight="1">
      <c r="A155" s="72" t="n"/>
      <c r="B155" s="70">
        <f>IF(C155="","",IFERROR(INDEX(tbl_Finance[Date],MATCH(C155&amp;"",tbl_Finance[Xero Invoice No],0)),""))</f>
        <v/>
      </c>
      <c r="C155" s="24" t="n"/>
      <c r="D155" s="24" t="n"/>
      <c r="E155" s="25">
        <f>IF(D155="","",IF(COUNTIF(lst_Jobs,D155&amp;"")&gt;0,"OK","CHECK"))</f>
        <v/>
      </c>
      <c r="F155" s="24" t="n"/>
      <c r="G155" s="24" t="n"/>
      <c r="H155" s="24" t="n"/>
      <c r="I155" s="24" t="n"/>
      <c r="J155" s="24" t="n"/>
      <c r="K155" s="22" t="n"/>
      <c r="L155" s="22" t="n"/>
      <c r="M155" s="25">
        <f>IF(N155="","",IF(OR(K155="",L155=""),"one month",TEXT(MAX(1,(YEAR(L155)-YEAR(K155))*12+MONTH(L155)-MONTH(K155)+1),"0")&amp;" months - see Deferred Revenue"))</f>
        <v/>
      </c>
      <c r="N155" s="26" t="n"/>
      <c r="O155" s="24" t="n"/>
      <c r="P155" s="25">
        <f>IF(N(N155)=0,"",IF(N155&gt;0,set_WIPAsset,IF(J155="Cost",IF(O155="","(set the P&amp;L Account)",O155),IF(O155="",set_WIPIncome,O155))))</f>
        <v/>
      </c>
      <c r="Q155" s="25">
        <f>IF(N(N155)=0,"",IF(N155&gt;0,IF(J155="Cost",IF(O155="","(set the P&amp;L Account)",O155),IF(O155="",set_WIPIncome,O155)),set_WIPAsset))</f>
        <v/>
      </c>
      <c r="R155" s="27">
        <f>IF(OR(N(N155)=0,K155&lt;&gt;""),"",ABS(N155))</f>
        <v/>
      </c>
      <c r="S155" s="25">
        <f>IF(N(N155)=0,"",IF(K155&lt;&gt;"","spreads monthly - see Deferred Revenue","WIP "&amp;I155&amp;IF(D155="",""," - "&amp;D155)&amp;IF(F155="",""," "&amp;F155)&amp;IF(H155="",""," - "&amp;H155)))</f>
        <v/>
      </c>
      <c r="T155" s="24" t="n"/>
      <c r="U155" s="24" t="n"/>
      <c r="V155" s="24" t="n"/>
    </row>
    <row r="156" ht="15" customHeight="1">
      <c r="A156" s="72" t="n"/>
      <c r="B156" s="70">
        <f>IF(C156="","",IFERROR(INDEX(tbl_Finance[Date],MATCH(C156&amp;"",tbl_Finance[Xero Invoice No],0)),""))</f>
        <v/>
      </c>
      <c r="C156" s="24" t="n"/>
      <c r="D156" s="24" t="n"/>
      <c r="E156" s="25">
        <f>IF(D156="","",IF(COUNTIF(lst_Jobs,D156&amp;"")&gt;0,"OK","CHECK"))</f>
        <v/>
      </c>
      <c r="F156" s="24" t="n"/>
      <c r="G156" s="24" t="n"/>
      <c r="H156" s="24" t="n"/>
      <c r="I156" s="24" t="n"/>
      <c r="J156" s="24" t="n"/>
      <c r="K156" s="22" t="n"/>
      <c r="L156" s="22" t="n"/>
      <c r="M156" s="25">
        <f>IF(N156="","",IF(OR(K156="",L156=""),"one month",TEXT(MAX(1,(YEAR(L156)-YEAR(K156))*12+MONTH(L156)-MONTH(K156)+1),"0")&amp;" months - see Deferred Revenue"))</f>
        <v/>
      </c>
      <c r="N156" s="26" t="n"/>
      <c r="O156" s="24" t="n"/>
      <c r="P156" s="25">
        <f>IF(N(N156)=0,"",IF(N156&gt;0,set_WIPAsset,IF(J156="Cost",IF(O156="","(set the P&amp;L Account)",O156),IF(O156="",set_WIPIncome,O156))))</f>
        <v/>
      </c>
      <c r="Q156" s="25">
        <f>IF(N(N156)=0,"",IF(N156&gt;0,IF(J156="Cost",IF(O156="","(set the P&amp;L Account)",O156),IF(O156="",set_WIPIncome,O156)),set_WIPAsset))</f>
        <v/>
      </c>
      <c r="R156" s="27">
        <f>IF(OR(N(N156)=0,K156&lt;&gt;""),"",ABS(N156))</f>
        <v/>
      </c>
      <c r="S156" s="25">
        <f>IF(N(N156)=0,"",IF(K156&lt;&gt;"","spreads monthly - see Deferred Revenue","WIP "&amp;I156&amp;IF(D156="",""," - "&amp;D156)&amp;IF(F156="",""," "&amp;F156)&amp;IF(H156="",""," - "&amp;H156)))</f>
        <v/>
      </c>
      <c r="T156" s="24" t="n"/>
      <c r="U156" s="24" t="n"/>
      <c r="V156" s="24" t="n"/>
    </row>
    <row r="157" ht="15" customHeight="1">
      <c r="A157" s="72" t="n"/>
      <c r="B157" s="70">
        <f>IF(C157="","",IFERROR(INDEX(tbl_Finance[Date],MATCH(C157&amp;"",tbl_Finance[Xero Invoice No],0)),""))</f>
        <v/>
      </c>
      <c r="C157" s="24" t="n"/>
      <c r="D157" s="24" t="n"/>
      <c r="E157" s="25">
        <f>IF(D157="","",IF(COUNTIF(lst_Jobs,D157&amp;"")&gt;0,"OK","CHECK"))</f>
        <v/>
      </c>
      <c r="F157" s="24" t="n"/>
      <c r="G157" s="24" t="n"/>
      <c r="H157" s="24" t="n"/>
      <c r="I157" s="24" t="n"/>
      <c r="J157" s="24" t="n"/>
      <c r="K157" s="22" t="n"/>
      <c r="L157" s="22" t="n"/>
      <c r="M157" s="25">
        <f>IF(N157="","",IF(OR(K157="",L157=""),"one month",TEXT(MAX(1,(YEAR(L157)-YEAR(K157))*12+MONTH(L157)-MONTH(K157)+1),"0")&amp;" months - see Deferred Revenue"))</f>
        <v/>
      </c>
      <c r="N157" s="26" t="n"/>
      <c r="O157" s="24" t="n"/>
      <c r="P157" s="25">
        <f>IF(N(N157)=0,"",IF(N157&gt;0,set_WIPAsset,IF(J157="Cost",IF(O157="","(set the P&amp;L Account)",O157),IF(O157="",set_WIPIncome,O157))))</f>
        <v/>
      </c>
      <c r="Q157" s="25">
        <f>IF(N(N157)=0,"",IF(N157&gt;0,IF(J157="Cost",IF(O157="","(set the P&amp;L Account)",O157),IF(O157="",set_WIPIncome,O157)),set_WIPAsset))</f>
        <v/>
      </c>
      <c r="R157" s="27">
        <f>IF(OR(N(N157)=0,K157&lt;&gt;""),"",ABS(N157))</f>
        <v/>
      </c>
      <c r="S157" s="25">
        <f>IF(N(N157)=0,"",IF(K157&lt;&gt;"","spreads monthly - see Deferred Revenue","WIP "&amp;I157&amp;IF(D157="",""," - "&amp;D157)&amp;IF(F157="",""," "&amp;F157)&amp;IF(H157="",""," - "&amp;H157)))</f>
        <v/>
      </c>
      <c r="T157" s="24" t="n"/>
      <c r="U157" s="24" t="n"/>
      <c r="V157" s="24" t="n"/>
    </row>
    <row r="158" ht="15" customHeight="1">
      <c r="A158" s="72" t="n"/>
      <c r="B158" s="70">
        <f>IF(C158="","",IFERROR(INDEX(tbl_Finance[Date],MATCH(C158&amp;"",tbl_Finance[Xero Invoice No],0)),""))</f>
        <v/>
      </c>
      <c r="C158" s="24" t="n"/>
      <c r="D158" s="24" t="n"/>
      <c r="E158" s="25">
        <f>IF(D158="","",IF(COUNTIF(lst_Jobs,D158&amp;"")&gt;0,"OK","CHECK"))</f>
        <v/>
      </c>
      <c r="F158" s="24" t="n"/>
      <c r="G158" s="24" t="n"/>
      <c r="H158" s="24" t="n"/>
      <c r="I158" s="24" t="n"/>
      <c r="J158" s="24" t="n"/>
      <c r="K158" s="22" t="n"/>
      <c r="L158" s="22" t="n"/>
      <c r="M158" s="25">
        <f>IF(N158="","",IF(OR(K158="",L158=""),"one month",TEXT(MAX(1,(YEAR(L158)-YEAR(K158))*12+MONTH(L158)-MONTH(K158)+1),"0")&amp;" months - see Deferred Revenue"))</f>
        <v/>
      </c>
      <c r="N158" s="26" t="n"/>
      <c r="O158" s="24" t="n"/>
      <c r="P158" s="25">
        <f>IF(N(N158)=0,"",IF(N158&gt;0,set_WIPAsset,IF(J158="Cost",IF(O158="","(set the P&amp;L Account)",O158),IF(O158="",set_WIPIncome,O158))))</f>
        <v/>
      </c>
      <c r="Q158" s="25">
        <f>IF(N(N158)=0,"",IF(N158&gt;0,IF(J158="Cost",IF(O158="","(set the P&amp;L Account)",O158),IF(O158="",set_WIPIncome,O158)),set_WIPAsset))</f>
        <v/>
      </c>
      <c r="R158" s="27">
        <f>IF(OR(N(N158)=0,K158&lt;&gt;""),"",ABS(N158))</f>
        <v/>
      </c>
      <c r="S158" s="25">
        <f>IF(N(N158)=0,"",IF(K158&lt;&gt;"","spreads monthly - see Deferred Revenue","WIP "&amp;I158&amp;IF(D158="",""," - "&amp;D158)&amp;IF(F158="",""," "&amp;F158)&amp;IF(H158="",""," - "&amp;H158)))</f>
        <v/>
      </c>
      <c r="T158" s="24" t="n"/>
      <c r="U158" s="24" t="n"/>
      <c r="V158" s="24" t="n"/>
    </row>
    <row r="159" ht="15" customHeight="1">
      <c r="A159" s="72" t="n"/>
      <c r="B159" s="70">
        <f>IF(C159="","",IFERROR(INDEX(tbl_Finance[Date],MATCH(C159&amp;"",tbl_Finance[Xero Invoice No],0)),""))</f>
        <v/>
      </c>
      <c r="C159" s="24" t="n"/>
      <c r="D159" s="24" t="n"/>
      <c r="E159" s="25">
        <f>IF(D159="","",IF(COUNTIF(lst_Jobs,D159&amp;"")&gt;0,"OK","CHECK"))</f>
        <v/>
      </c>
      <c r="F159" s="24" t="n"/>
      <c r="G159" s="24" t="n"/>
      <c r="H159" s="24" t="n"/>
      <c r="I159" s="24" t="n"/>
      <c r="J159" s="24" t="n"/>
      <c r="K159" s="22" t="n"/>
      <c r="L159" s="22" t="n"/>
      <c r="M159" s="25">
        <f>IF(N159="","",IF(OR(K159="",L159=""),"one month",TEXT(MAX(1,(YEAR(L159)-YEAR(K159))*12+MONTH(L159)-MONTH(K159)+1),"0")&amp;" months - see Deferred Revenue"))</f>
        <v/>
      </c>
      <c r="N159" s="26" t="n"/>
      <c r="O159" s="24" t="n"/>
      <c r="P159" s="25">
        <f>IF(N(N159)=0,"",IF(N159&gt;0,set_WIPAsset,IF(J159="Cost",IF(O159="","(set the P&amp;L Account)",O159),IF(O159="",set_WIPIncome,O159))))</f>
        <v/>
      </c>
      <c r="Q159" s="25">
        <f>IF(N(N159)=0,"",IF(N159&gt;0,IF(J159="Cost",IF(O159="","(set the P&amp;L Account)",O159),IF(O159="",set_WIPIncome,O159)),set_WIPAsset))</f>
        <v/>
      </c>
      <c r="R159" s="27">
        <f>IF(OR(N(N159)=0,K159&lt;&gt;""),"",ABS(N159))</f>
        <v/>
      </c>
      <c r="S159" s="25">
        <f>IF(N(N159)=0,"",IF(K159&lt;&gt;"","spreads monthly - see Deferred Revenue","WIP "&amp;I159&amp;IF(D159="",""," - "&amp;D159)&amp;IF(F159="",""," "&amp;F159)&amp;IF(H159="",""," - "&amp;H159)))</f>
        <v/>
      </c>
      <c r="T159" s="24" t="n"/>
      <c r="U159" s="24" t="n"/>
      <c r="V159" s="24" t="n"/>
    </row>
    <row r="160" ht="15" customHeight="1">
      <c r="A160" s="72" t="n"/>
      <c r="B160" s="70">
        <f>IF(C160="","",IFERROR(INDEX(tbl_Finance[Date],MATCH(C160&amp;"",tbl_Finance[Xero Invoice No],0)),""))</f>
        <v/>
      </c>
      <c r="C160" s="24" t="n"/>
      <c r="D160" s="24" t="n"/>
      <c r="E160" s="25">
        <f>IF(D160="","",IF(COUNTIF(lst_Jobs,D160&amp;"")&gt;0,"OK","CHECK"))</f>
        <v/>
      </c>
      <c r="F160" s="24" t="n"/>
      <c r="G160" s="24" t="n"/>
      <c r="H160" s="24" t="n"/>
      <c r="I160" s="24" t="n"/>
      <c r="J160" s="24" t="n"/>
      <c r="K160" s="22" t="n"/>
      <c r="L160" s="22" t="n"/>
      <c r="M160" s="25">
        <f>IF(N160="","",IF(OR(K160="",L160=""),"one month",TEXT(MAX(1,(YEAR(L160)-YEAR(K160))*12+MONTH(L160)-MONTH(K160)+1),"0")&amp;" months - see Deferred Revenue"))</f>
        <v/>
      </c>
      <c r="N160" s="26" t="n"/>
      <c r="O160" s="24" t="n"/>
      <c r="P160" s="25">
        <f>IF(N(N160)=0,"",IF(N160&gt;0,set_WIPAsset,IF(J160="Cost",IF(O160="","(set the P&amp;L Account)",O160),IF(O160="",set_WIPIncome,O160))))</f>
        <v/>
      </c>
      <c r="Q160" s="25">
        <f>IF(N(N160)=0,"",IF(N160&gt;0,IF(J160="Cost",IF(O160="","(set the P&amp;L Account)",O160),IF(O160="",set_WIPIncome,O160)),set_WIPAsset))</f>
        <v/>
      </c>
      <c r="R160" s="27">
        <f>IF(OR(N(N160)=0,K160&lt;&gt;""),"",ABS(N160))</f>
        <v/>
      </c>
      <c r="S160" s="25">
        <f>IF(N(N160)=0,"",IF(K160&lt;&gt;"","spreads monthly - see Deferred Revenue","WIP "&amp;I160&amp;IF(D160="",""," - "&amp;D160)&amp;IF(F160="",""," "&amp;F160)&amp;IF(H160="",""," - "&amp;H160)))</f>
        <v/>
      </c>
      <c r="T160" s="24" t="n"/>
      <c r="U160" s="24" t="n"/>
      <c r="V160" s="24" t="n"/>
    </row>
    <row r="161" ht="15" customHeight="1">
      <c r="A161" s="72" t="n"/>
      <c r="B161" s="70">
        <f>IF(C161="","",IFERROR(INDEX(tbl_Finance[Date],MATCH(C161&amp;"",tbl_Finance[Xero Invoice No],0)),""))</f>
        <v/>
      </c>
      <c r="C161" s="24" t="n"/>
      <c r="D161" s="24" t="n"/>
      <c r="E161" s="25">
        <f>IF(D161="","",IF(COUNTIF(lst_Jobs,D161&amp;"")&gt;0,"OK","CHECK"))</f>
        <v/>
      </c>
      <c r="F161" s="24" t="n"/>
      <c r="G161" s="24" t="n"/>
      <c r="H161" s="24" t="n"/>
      <c r="I161" s="24" t="n"/>
      <c r="J161" s="24" t="n"/>
      <c r="K161" s="22" t="n"/>
      <c r="L161" s="22" t="n"/>
      <c r="M161" s="25">
        <f>IF(N161="","",IF(OR(K161="",L161=""),"one month",TEXT(MAX(1,(YEAR(L161)-YEAR(K161))*12+MONTH(L161)-MONTH(K161)+1),"0")&amp;" months - see Deferred Revenue"))</f>
        <v/>
      </c>
      <c r="N161" s="26" t="n"/>
      <c r="O161" s="24" t="n"/>
      <c r="P161" s="25">
        <f>IF(N(N161)=0,"",IF(N161&gt;0,set_WIPAsset,IF(J161="Cost",IF(O161="","(set the P&amp;L Account)",O161),IF(O161="",set_WIPIncome,O161))))</f>
        <v/>
      </c>
      <c r="Q161" s="25">
        <f>IF(N(N161)=0,"",IF(N161&gt;0,IF(J161="Cost",IF(O161="","(set the P&amp;L Account)",O161),IF(O161="",set_WIPIncome,O161)),set_WIPAsset))</f>
        <v/>
      </c>
      <c r="R161" s="27">
        <f>IF(OR(N(N161)=0,K161&lt;&gt;""),"",ABS(N161))</f>
        <v/>
      </c>
      <c r="S161" s="25">
        <f>IF(N(N161)=0,"",IF(K161&lt;&gt;"","spreads monthly - see Deferred Revenue","WIP "&amp;I161&amp;IF(D161="",""," - "&amp;D161)&amp;IF(F161="",""," "&amp;F161)&amp;IF(H161="",""," - "&amp;H161)))</f>
        <v/>
      </c>
      <c r="T161" s="24" t="n"/>
      <c r="U161" s="24" t="n"/>
      <c r="V161" s="24" t="n"/>
    </row>
    <row r="162" ht="15" customHeight="1">
      <c r="A162" s="72" t="n"/>
      <c r="B162" s="70">
        <f>IF(C162="","",IFERROR(INDEX(tbl_Finance[Date],MATCH(C162&amp;"",tbl_Finance[Xero Invoice No],0)),""))</f>
        <v/>
      </c>
      <c r="C162" s="24" t="n"/>
      <c r="D162" s="24" t="n"/>
      <c r="E162" s="25">
        <f>IF(D162="","",IF(COUNTIF(lst_Jobs,D162&amp;"")&gt;0,"OK","CHECK"))</f>
        <v/>
      </c>
      <c r="F162" s="24" t="n"/>
      <c r="G162" s="24" t="n"/>
      <c r="H162" s="24" t="n"/>
      <c r="I162" s="24" t="n"/>
      <c r="J162" s="24" t="n"/>
      <c r="K162" s="22" t="n"/>
      <c r="L162" s="22" t="n"/>
      <c r="M162" s="25">
        <f>IF(N162="","",IF(OR(K162="",L162=""),"one month",TEXT(MAX(1,(YEAR(L162)-YEAR(K162))*12+MONTH(L162)-MONTH(K162)+1),"0")&amp;" months - see Deferred Revenue"))</f>
        <v/>
      </c>
      <c r="N162" s="26" t="n"/>
      <c r="O162" s="24" t="n"/>
      <c r="P162" s="25">
        <f>IF(N(N162)=0,"",IF(N162&gt;0,set_WIPAsset,IF(J162="Cost",IF(O162="","(set the P&amp;L Account)",O162),IF(O162="",set_WIPIncome,O162))))</f>
        <v/>
      </c>
      <c r="Q162" s="25">
        <f>IF(N(N162)=0,"",IF(N162&gt;0,IF(J162="Cost",IF(O162="","(set the P&amp;L Account)",O162),IF(O162="",set_WIPIncome,O162)),set_WIPAsset))</f>
        <v/>
      </c>
      <c r="R162" s="27">
        <f>IF(OR(N(N162)=0,K162&lt;&gt;""),"",ABS(N162))</f>
        <v/>
      </c>
      <c r="S162" s="25">
        <f>IF(N(N162)=0,"",IF(K162&lt;&gt;"","spreads monthly - see Deferred Revenue","WIP "&amp;I162&amp;IF(D162="",""," - "&amp;D162)&amp;IF(F162="",""," "&amp;F162)&amp;IF(H162="",""," - "&amp;H162)))</f>
        <v/>
      </c>
      <c r="T162" s="24" t="n"/>
      <c r="U162" s="24" t="n"/>
      <c r="V162" s="24" t="n"/>
    </row>
    <row r="163" ht="15" customHeight="1">
      <c r="A163" s="72" t="n"/>
      <c r="B163" s="70">
        <f>IF(C163="","",IFERROR(INDEX(tbl_Finance[Date],MATCH(C163&amp;"",tbl_Finance[Xero Invoice No],0)),""))</f>
        <v/>
      </c>
      <c r="C163" s="24" t="n"/>
      <c r="D163" s="24" t="n"/>
      <c r="E163" s="25">
        <f>IF(D163="","",IF(COUNTIF(lst_Jobs,D163&amp;"")&gt;0,"OK","CHECK"))</f>
        <v/>
      </c>
      <c r="F163" s="24" t="n"/>
      <c r="G163" s="24" t="n"/>
      <c r="H163" s="24" t="n"/>
      <c r="I163" s="24" t="n"/>
      <c r="J163" s="24" t="n"/>
      <c r="K163" s="22" t="n"/>
      <c r="L163" s="22" t="n"/>
      <c r="M163" s="25">
        <f>IF(N163="","",IF(OR(K163="",L163=""),"one month",TEXT(MAX(1,(YEAR(L163)-YEAR(K163))*12+MONTH(L163)-MONTH(K163)+1),"0")&amp;" months - see Deferred Revenue"))</f>
        <v/>
      </c>
      <c r="N163" s="26" t="n"/>
      <c r="O163" s="24" t="n"/>
      <c r="P163" s="25">
        <f>IF(N(N163)=0,"",IF(N163&gt;0,set_WIPAsset,IF(J163="Cost",IF(O163="","(set the P&amp;L Account)",O163),IF(O163="",set_WIPIncome,O163))))</f>
        <v/>
      </c>
      <c r="Q163" s="25">
        <f>IF(N(N163)=0,"",IF(N163&gt;0,IF(J163="Cost",IF(O163="","(set the P&amp;L Account)",O163),IF(O163="",set_WIPIncome,O163)),set_WIPAsset))</f>
        <v/>
      </c>
      <c r="R163" s="27">
        <f>IF(OR(N(N163)=0,K163&lt;&gt;""),"",ABS(N163))</f>
        <v/>
      </c>
      <c r="S163" s="25">
        <f>IF(N(N163)=0,"",IF(K163&lt;&gt;"","spreads monthly - see Deferred Revenue","WIP "&amp;I163&amp;IF(D163="",""," - "&amp;D163)&amp;IF(F163="",""," "&amp;F163)&amp;IF(H163="",""," - "&amp;H163)))</f>
        <v/>
      </c>
      <c r="T163" s="24" t="n"/>
      <c r="U163" s="24" t="n"/>
      <c r="V163" s="24" t="n"/>
    </row>
    <row r="164" ht="15" customHeight="1">
      <c r="A164" s="72" t="n"/>
      <c r="B164" s="70">
        <f>IF(C164="","",IFERROR(INDEX(tbl_Finance[Date],MATCH(C164&amp;"",tbl_Finance[Xero Invoice No],0)),""))</f>
        <v/>
      </c>
      <c r="C164" s="24" t="n"/>
      <c r="D164" s="24" t="n"/>
      <c r="E164" s="25">
        <f>IF(D164="","",IF(COUNTIF(lst_Jobs,D164&amp;"")&gt;0,"OK","CHECK"))</f>
        <v/>
      </c>
      <c r="F164" s="24" t="n"/>
      <c r="G164" s="24" t="n"/>
      <c r="H164" s="24" t="n"/>
      <c r="I164" s="24" t="n"/>
      <c r="J164" s="24" t="n"/>
      <c r="K164" s="22" t="n"/>
      <c r="L164" s="22" t="n"/>
      <c r="M164" s="25">
        <f>IF(N164="","",IF(OR(K164="",L164=""),"one month",TEXT(MAX(1,(YEAR(L164)-YEAR(K164))*12+MONTH(L164)-MONTH(K164)+1),"0")&amp;" months - see Deferred Revenue"))</f>
        <v/>
      </c>
      <c r="N164" s="26" t="n"/>
      <c r="O164" s="24" t="n"/>
      <c r="P164" s="25">
        <f>IF(N(N164)=0,"",IF(N164&gt;0,set_WIPAsset,IF(J164="Cost",IF(O164="","(set the P&amp;L Account)",O164),IF(O164="",set_WIPIncome,O164))))</f>
        <v/>
      </c>
      <c r="Q164" s="25">
        <f>IF(N(N164)=0,"",IF(N164&gt;0,IF(J164="Cost",IF(O164="","(set the P&amp;L Account)",O164),IF(O164="",set_WIPIncome,O164)),set_WIPAsset))</f>
        <v/>
      </c>
      <c r="R164" s="27">
        <f>IF(OR(N(N164)=0,K164&lt;&gt;""),"",ABS(N164))</f>
        <v/>
      </c>
      <c r="S164" s="25">
        <f>IF(N(N164)=0,"",IF(K164&lt;&gt;"","spreads monthly - see Deferred Revenue","WIP "&amp;I164&amp;IF(D164="",""," - "&amp;D164)&amp;IF(F164="",""," "&amp;F164)&amp;IF(H164="",""," - "&amp;H164)))</f>
        <v/>
      </c>
      <c r="T164" s="24" t="n"/>
      <c r="U164" s="24" t="n"/>
      <c r="V164" s="24" t="n"/>
    </row>
    <row r="165" ht="15" customHeight="1">
      <c r="A165" s="72" t="n"/>
      <c r="B165" s="70">
        <f>IF(C165="","",IFERROR(INDEX(tbl_Finance[Date],MATCH(C165&amp;"",tbl_Finance[Xero Invoice No],0)),""))</f>
        <v/>
      </c>
      <c r="C165" s="24" t="n"/>
      <c r="D165" s="24" t="n"/>
      <c r="E165" s="25">
        <f>IF(D165="","",IF(COUNTIF(lst_Jobs,D165&amp;"")&gt;0,"OK","CHECK"))</f>
        <v/>
      </c>
      <c r="F165" s="24" t="n"/>
      <c r="G165" s="24" t="n"/>
      <c r="H165" s="24" t="n"/>
      <c r="I165" s="24" t="n"/>
      <c r="J165" s="24" t="n"/>
      <c r="K165" s="22" t="n"/>
      <c r="L165" s="22" t="n"/>
      <c r="M165" s="25">
        <f>IF(N165="","",IF(OR(K165="",L165=""),"one month",TEXT(MAX(1,(YEAR(L165)-YEAR(K165))*12+MONTH(L165)-MONTH(K165)+1),"0")&amp;" months - see Deferred Revenue"))</f>
        <v/>
      </c>
      <c r="N165" s="26" t="n"/>
      <c r="O165" s="24" t="n"/>
      <c r="P165" s="25">
        <f>IF(N(N165)=0,"",IF(N165&gt;0,set_WIPAsset,IF(J165="Cost",IF(O165="","(set the P&amp;L Account)",O165),IF(O165="",set_WIPIncome,O165))))</f>
        <v/>
      </c>
      <c r="Q165" s="25">
        <f>IF(N(N165)=0,"",IF(N165&gt;0,IF(J165="Cost",IF(O165="","(set the P&amp;L Account)",O165),IF(O165="",set_WIPIncome,O165)),set_WIPAsset))</f>
        <v/>
      </c>
      <c r="R165" s="27">
        <f>IF(OR(N(N165)=0,K165&lt;&gt;""),"",ABS(N165))</f>
        <v/>
      </c>
      <c r="S165" s="25">
        <f>IF(N(N165)=0,"",IF(K165&lt;&gt;"","spreads monthly - see Deferred Revenue","WIP "&amp;I165&amp;IF(D165="",""," - "&amp;D165)&amp;IF(F165="",""," "&amp;F165)&amp;IF(H165="",""," - "&amp;H165)))</f>
        <v/>
      </c>
      <c r="T165" s="24" t="n"/>
      <c r="U165" s="24" t="n"/>
      <c r="V165" s="24" t="n"/>
    </row>
    <row r="166" ht="15" customHeight="1">
      <c r="A166" s="72" t="n"/>
      <c r="B166" s="70">
        <f>IF(C166="","",IFERROR(INDEX(tbl_Finance[Date],MATCH(C166&amp;"",tbl_Finance[Xero Invoice No],0)),""))</f>
        <v/>
      </c>
      <c r="C166" s="24" t="n"/>
      <c r="D166" s="24" t="n"/>
      <c r="E166" s="25">
        <f>IF(D166="","",IF(COUNTIF(lst_Jobs,D166&amp;"")&gt;0,"OK","CHECK"))</f>
        <v/>
      </c>
      <c r="F166" s="24" t="n"/>
      <c r="G166" s="24" t="n"/>
      <c r="H166" s="24" t="n"/>
      <c r="I166" s="24" t="n"/>
      <c r="J166" s="24" t="n"/>
      <c r="K166" s="22" t="n"/>
      <c r="L166" s="22" t="n"/>
      <c r="M166" s="25">
        <f>IF(N166="","",IF(OR(K166="",L166=""),"one month",TEXT(MAX(1,(YEAR(L166)-YEAR(K166))*12+MONTH(L166)-MONTH(K166)+1),"0")&amp;" months - see Deferred Revenue"))</f>
        <v/>
      </c>
      <c r="N166" s="26" t="n"/>
      <c r="O166" s="24" t="n"/>
      <c r="P166" s="25">
        <f>IF(N(N166)=0,"",IF(N166&gt;0,set_WIPAsset,IF(J166="Cost",IF(O166="","(set the P&amp;L Account)",O166),IF(O166="",set_WIPIncome,O166))))</f>
        <v/>
      </c>
      <c r="Q166" s="25">
        <f>IF(N(N166)=0,"",IF(N166&gt;0,IF(J166="Cost",IF(O166="","(set the P&amp;L Account)",O166),IF(O166="",set_WIPIncome,O166)),set_WIPAsset))</f>
        <v/>
      </c>
      <c r="R166" s="27">
        <f>IF(OR(N(N166)=0,K166&lt;&gt;""),"",ABS(N166))</f>
        <v/>
      </c>
      <c r="S166" s="25">
        <f>IF(N(N166)=0,"",IF(K166&lt;&gt;"","spreads monthly - see Deferred Revenue","WIP "&amp;I166&amp;IF(D166="",""," - "&amp;D166)&amp;IF(F166="",""," "&amp;F166)&amp;IF(H166="",""," - "&amp;H166)))</f>
        <v/>
      </c>
      <c r="T166" s="24" t="n"/>
      <c r="U166" s="24" t="n"/>
      <c r="V166" s="24" t="n"/>
    </row>
    <row r="167" ht="15" customHeight="1">
      <c r="A167" s="72" t="n"/>
      <c r="B167" s="70">
        <f>IF(C167="","",IFERROR(INDEX(tbl_Finance[Date],MATCH(C167&amp;"",tbl_Finance[Xero Invoice No],0)),""))</f>
        <v/>
      </c>
      <c r="C167" s="24" t="n"/>
      <c r="D167" s="24" t="n"/>
      <c r="E167" s="25">
        <f>IF(D167="","",IF(COUNTIF(lst_Jobs,D167&amp;"")&gt;0,"OK","CHECK"))</f>
        <v/>
      </c>
      <c r="F167" s="24" t="n"/>
      <c r="G167" s="24" t="n"/>
      <c r="H167" s="24" t="n"/>
      <c r="I167" s="24" t="n"/>
      <c r="J167" s="24" t="n"/>
      <c r="K167" s="22" t="n"/>
      <c r="L167" s="22" t="n"/>
      <c r="M167" s="25">
        <f>IF(N167="","",IF(OR(K167="",L167=""),"one month",TEXT(MAX(1,(YEAR(L167)-YEAR(K167))*12+MONTH(L167)-MONTH(K167)+1),"0")&amp;" months - see Deferred Revenue"))</f>
        <v/>
      </c>
      <c r="N167" s="26" t="n"/>
      <c r="O167" s="24" t="n"/>
      <c r="P167" s="25">
        <f>IF(N(N167)=0,"",IF(N167&gt;0,set_WIPAsset,IF(J167="Cost",IF(O167="","(set the P&amp;L Account)",O167),IF(O167="",set_WIPIncome,O167))))</f>
        <v/>
      </c>
      <c r="Q167" s="25">
        <f>IF(N(N167)=0,"",IF(N167&gt;0,IF(J167="Cost",IF(O167="","(set the P&amp;L Account)",O167),IF(O167="",set_WIPIncome,O167)),set_WIPAsset))</f>
        <v/>
      </c>
      <c r="R167" s="27">
        <f>IF(OR(N(N167)=0,K167&lt;&gt;""),"",ABS(N167))</f>
        <v/>
      </c>
      <c r="S167" s="25">
        <f>IF(N(N167)=0,"",IF(K167&lt;&gt;"","spreads monthly - see Deferred Revenue","WIP "&amp;I167&amp;IF(D167="",""," - "&amp;D167)&amp;IF(F167="",""," "&amp;F167)&amp;IF(H167="",""," - "&amp;H167)))</f>
        <v/>
      </c>
      <c r="T167" s="24" t="n"/>
      <c r="U167" s="24" t="n"/>
      <c r="V167" s="24" t="n"/>
    </row>
    <row r="168" ht="15" customHeight="1">
      <c r="A168" s="72" t="n"/>
      <c r="B168" s="70">
        <f>IF(C168="","",IFERROR(INDEX(tbl_Finance[Date],MATCH(C168&amp;"",tbl_Finance[Xero Invoice No],0)),""))</f>
        <v/>
      </c>
      <c r="C168" s="24" t="n"/>
      <c r="D168" s="24" t="n"/>
      <c r="E168" s="25">
        <f>IF(D168="","",IF(COUNTIF(lst_Jobs,D168&amp;"")&gt;0,"OK","CHECK"))</f>
        <v/>
      </c>
      <c r="F168" s="24" t="n"/>
      <c r="G168" s="24" t="n"/>
      <c r="H168" s="24" t="n"/>
      <c r="I168" s="24" t="n"/>
      <c r="J168" s="24" t="n"/>
      <c r="K168" s="22" t="n"/>
      <c r="L168" s="22" t="n"/>
      <c r="M168" s="25">
        <f>IF(N168="","",IF(OR(K168="",L168=""),"one month",TEXT(MAX(1,(YEAR(L168)-YEAR(K168))*12+MONTH(L168)-MONTH(K168)+1),"0")&amp;" months - see Deferred Revenue"))</f>
        <v/>
      </c>
      <c r="N168" s="26" t="n"/>
      <c r="O168" s="24" t="n"/>
      <c r="P168" s="25">
        <f>IF(N(N168)=0,"",IF(N168&gt;0,set_WIPAsset,IF(J168="Cost",IF(O168="","(set the P&amp;L Account)",O168),IF(O168="",set_WIPIncome,O168))))</f>
        <v/>
      </c>
      <c r="Q168" s="25">
        <f>IF(N(N168)=0,"",IF(N168&gt;0,IF(J168="Cost",IF(O168="","(set the P&amp;L Account)",O168),IF(O168="",set_WIPIncome,O168)),set_WIPAsset))</f>
        <v/>
      </c>
      <c r="R168" s="27">
        <f>IF(OR(N(N168)=0,K168&lt;&gt;""),"",ABS(N168))</f>
        <v/>
      </c>
      <c r="S168" s="25">
        <f>IF(N(N168)=0,"",IF(K168&lt;&gt;"","spreads monthly - see Deferred Revenue","WIP "&amp;I168&amp;IF(D168="",""," - "&amp;D168)&amp;IF(F168="",""," "&amp;F168)&amp;IF(H168="",""," - "&amp;H168)))</f>
        <v/>
      </c>
      <c r="T168" s="24" t="n"/>
      <c r="U168" s="24" t="n"/>
      <c r="V168" s="24" t="n"/>
    </row>
    <row r="169" ht="15" customHeight="1">
      <c r="A169" s="72" t="n"/>
      <c r="B169" s="70">
        <f>IF(C169="","",IFERROR(INDEX(tbl_Finance[Date],MATCH(C169&amp;"",tbl_Finance[Xero Invoice No],0)),""))</f>
        <v/>
      </c>
      <c r="C169" s="24" t="n"/>
      <c r="D169" s="24" t="n"/>
      <c r="E169" s="25">
        <f>IF(D169="","",IF(COUNTIF(lst_Jobs,D169&amp;"")&gt;0,"OK","CHECK"))</f>
        <v/>
      </c>
      <c r="F169" s="24" t="n"/>
      <c r="G169" s="24" t="n"/>
      <c r="H169" s="24" t="n"/>
      <c r="I169" s="24" t="n"/>
      <c r="J169" s="24" t="n"/>
      <c r="K169" s="22" t="n"/>
      <c r="L169" s="22" t="n"/>
      <c r="M169" s="25">
        <f>IF(N169="","",IF(OR(K169="",L169=""),"one month",TEXT(MAX(1,(YEAR(L169)-YEAR(K169))*12+MONTH(L169)-MONTH(K169)+1),"0")&amp;" months - see Deferred Revenue"))</f>
        <v/>
      </c>
      <c r="N169" s="26" t="n"/>
      <c r="O169" s="24" t="n"/>
      <c r="P169" s="25">
        <f>IF(N(N169)=0,"",IF(N169&gt;0,set_WIPAsset,IF(J169="Cost",IF(O169="","(set the P&amp;L Account)",O169),IF(O169="",set_WIPIncome,O169))))</f>
        <v/>
      </c>
      <c r="Q169" s="25">
        <f>IF(N(N169)=0,"",IF(N169&gt;0,IF(J169="Cost",IF(O169="","(set the P&amp;L Account)",O169),IF(O169="",set_WIPIncome,O169)),set_WIPAsset))</f>
        <v/>
      </c>
      <c r="R169" s="27">
        <f>IF(OR(N(N169)=0,K169&lt;&gt;""),"",ABS(N169))</f>
        <v/>
      </c>
      <c r="S169" s="25">
        <f>IF(N(N169)=0,"",IF(K169&lt;&gt;"","spreads monthly - see Deferred Revenue","WIP "&amp;I169&amp;IF(D169="",""," - "&amp;D169)&amp;IF(F169="",""," "&amp;F169)&amp;IF(H169="",""," - "&amp;H169)))</f>
        <v/>
      </c>
      <c r="T169" s="24" t="n"/>
      <c r="U169" s="24" t="n"/>
      <c r="V169" s="24" t="n"/>
    </row>
    <row r="170" ht="15" customHeight="1">
      <c r="A170" s="72" t="n"/>
      <c r="B170" s="70">
        <f>IF(C170="","",IFERROR(INDEX(tbl_Finance[Date],MATCH(C170&amp;"",tbl_Finance[Xero Invoice No],0)),""))</f>
        <v/>
      </c>
      <c r="C170" s="24" t="n"/>
      <c r="D170" s="24" t="n"/>
      <c r="E170" s="25">
        <f>IF(D170="","",IF(COUNTIF(lst_Jobs,D170&amp;"")&gt;0,"OK","CHECK"))</f>
        <v/>
      </c>
      <c r="F170" s="24" t="n"/>
      <c r="G170" s="24" t="n"/>
      <c r="H170" s="24" t="n"/>
      <c r="I170" s="24" t="n"/>
      <c r="J170" s="24" t="n"/>
      <c r="K170" s="22" t="n"/>
      <c r="L170" s="22" t="n"/>
      <c r="M170" s="25">
        <f>IF(N170="","",IF(OR(K170="",L170=""),"one month",TEXT(MAX(1,(YEAR(L170)-YEAR(K170))*12+MONTH(L170)-MONTH(K170)+1),"0")&amp;" months - see Deferred Revenue"))</f>
        <v/>
      </c>
      <c r="N170" s="26" t="n"/>
      <c r="O170" s="24" t="n"/>
      <c r="P170" s="25">
        <f>IF(N(N170)=0,"",IF(N170&gt;0,set_WIPAsset,IF(J170="Cost",IF(O170="","(set the P&amp;L Account)",O170),IF(O170="",set_WIPIncome,O170))))</f>
        <v/>
      </c>
      <c r="Q170" s="25">
        <f>IF(N(N170)=0,"",IF(N170&gt;0,IF(J170="Cost",IF(O170="","(set the P&amp;L Account)",O170),IF(O170="",set_WIPIncome,O170)),set_WIPAsset))</f>
        <v/>
      </c>
      <c r="R170" s="27">
        <f>IF(OR(N(N170)=0,K170&lt;&gt;""),"",ABS(N170))</f>
        <v/>
      </c>
      <c r="S170" s="25">
        <f>IF(N(N170)=0,"",IF(K170&lt;&gt;"","spreads monthly - see Deferred Revenue","WIP "&amp;I170&amp;IF(D170="",""," - "&amp;D170)&amp;IF(F170="",""," "&amp;F170)&amp;IF(H170="",""," - "&amp;H170)))</f>
        <v/>
      </c>
      <c r="T170" s="24" t="n"/>
      <c r="U170" s="24" t="n"/>
      <c r="V170" s="24" t="n"/>
    </row>
    <row r="171" ht="15" customHeight="1">
      <c r="A171" s="72" t="n"/>
      <c r="B171" s="70">
        <f>IF(C171="","",IFERROR(INDEX(tbl_Finance[Date],MATCH(C171&amp;"",tbl_Finance[Xero Invoice No],0)),""))</f>
        <v/>
      </c>
      <c r="C171" s="24" t="n"/>
      <c r="D171" s="24" t="n"/>
      <c r="E171" s="25">
        <f>IF(D171="","",IF(COUNTIF(lst_Jobs,D171&amp;"")&gt;0,"OK","CHECK"))</f>
        <v/>
      </c>
      <c r="F171" s="24" t="n"/>
      <c r="G171" s="24" t="n"/>
      <c r="H171" s="24" t="n"/>
      <c r="I171" s="24" t="n"/>
      <c r="J171" s="24" t="n"/>
      <c r="K171" s="22" t="n"/>
      <c r="L171" s="22" t="n"/>
      <c r="M171" s="25">
        <f>IF(N171="","",IF(OR(K171="",L171=""),"one month",TEXT(MAX(1,(YEAR(L171)-YEAR(K171))*12+MONTH(L171)-MONTH(K171)+1),"0")&amp;" months - see Deferred Revenue"))</f>
        <v/>
      </c>
      <c r="N171" s="26" t="n"/>
      <c r="O171" s="24" t="n"/>
      <c r="P171" s="25">
        <f>IF(N(N171)=0,"",IF(N171&gt;0,set_WIPAsset,IF(J171="Cost",IF(O171="","(set the P&amp;L Account)",O171),IF(O171="",set_WIPIncome,O171))))</f>
        <v/>
      </c>
      <c r="Q171" s="25">
        <f>IF(N(N171)=0,"",IF(N171&gt;0,IF(J171="Cost",IF(O171="","(set the P&amp;L Account)",O171),IF(O171="",set_WIPIncome,O171)),set_WIPAsset))</f>
        <v/>
      </c>
      <c r="R171" s="27">
        <f>IF(OR(N(N171)=0,K171&lt;&gt;""),"",ABS(N171))</f>
        <v/>
      </c>
      <c r="S171" s="25">
        <f>IF(N(N171)=0,"",IF(K171&lt;&gt;"","spreads monthly - see Deferred Revenue","WIP "&amp;I171&amp;IF(D171="",""," - "&amp;D171)&amp;IF(F171="",""," "&amp;F171)&amp;IF(H171="",""," - "&amp;H171)))</f>
        <v/>
      </c>
      <c r="T171" s="24" t="n"/>
      <c r="U171" s="24" t="n"/>
      <c r="V171" s="24" t="n"/>
    </row>
    <row r="172" ht="15" customHeight="1">
      <c r="A172" s="72" t="n"/>
      <c r="B172" s="70">
        <f>IF(C172="","",IFERROR(INDEX(tbl_Finance[Date],MATCH(C172&amp;"",tbl_Finance[Xero Invoice No],0)),""))</f>
        <v/>
      </c>
      <c r="C172" s="24" t="n"/>
      <c r="D172" s="24" t="n"/>
      <c r="E172" s="25">
        <f>IF(D172="","",IF(COUNTIF(lst_Jobs,D172&amp;"")&gt;0,"OK","CHECK"))</f>
        <v/>
      </c>
      <c r="F172" s="24" t="n"/>
      <c r="G172" s="24" t="n"/>
      <c r="H172" s="24" t="n"/>
      <c r="I172" s="24" t="n"/>
      <c r="J172" s="24" t="n"/>
      <c r="K172" s="22" t="n"/>
      <c r="L172" s="22" t="n"/>
      <c r="M172" s="25">
        <f>IF(N172="","",IF(OR(K172="",L172=""),"one month",TEXT(MAX(1,(YEAR(L172)-YEAR(K172))*12+MONTH(L172)-MONTH(K172)+1),"0")&amp;" months - see Deferred Revenue"))</f>
        <v/>
      </c>
      <c r="N172" s="26" t="n"/>
      <c r="O172" s="24" t="n"/>
      <c r="P172" s="25">
        <f>IF(N(N172)=0,"",IF(N172&gt;0,set_WIPAsset,IF(J172="Cost",IF(O172="","(set the P&amp;L Account)",O172),IF(O172="",set_WIPIncome,O172))))</f>
        <v/>
      </c>
      <c r="Q172" s="25">
        <f>IF(N(N172)=0,"",IF(N172&gt;0,IF(J172="Cost",IF(O172="","(set the P&amp;L Account)",O172),IF(O172="",set_WIPIncome,O172)),set_WIPAsset))</f>
        <v/>
      </c>
      <c r="R172" s="27">
        <f>IF(OR(N(N172)=0,K172&lt;&gt;""),"",ABS(N172))</f>
        <v/>
      </c>
      <c r="S172" s="25">
        <f>IF(N(N172)=0,"",IF(K172&lt;&gt;"","spreads monthly - see Deferred Revenue","WIP "&amp;I172&amp;IF(D172="",""," - "&amp;D172)&amp;IF(F172="",""," "&amp;F172)&amp;IF(H172="",""," - "&amp;H172)))</f>
        <v/>
      </c>
      <c r="T172" s="24" t="n"/>
      <c r="U172" s="24" t="n"/>
      <c r="V172" s="24" t="n"/>
    </row>
    <row r="173" ht="15" customHeight="1">
      <c r="A173" s="72" t="n"/>
      <c r="B173" s="70">
        <f>IF(C173="","",IFERROR(INDEX(tbl_Finance[Date],MATCH(C173&amp;"",tbl_Finance[Xero Invoice No],0)),""))</f>
        <v/>
      </c>
      <c r="C173" s="24" t="n"/>
      <c r="D173" s="24" t="n"/>
      <c r="E173" s="25">
        <f>IF(D173="","",IF(COUNTIF(lst_Jobs,D173&amp;"")&gt;0,"OK","CHECK"))</f>
        <v/>
      </c>
      <c r="F173" s="24" t="n"/>
      <c r="G173" s="24" t="n"/>
      <c r="H173" s="24" t="n"/>
      <c r="I173" s="24" t="n"/>
      <c r="J173" s="24" t="n"/>
      <c r="K173" s="22" t="n"/>
      <c r="L173" s="22" t="n"/>
      <c r="M173" s="25">
        <f>IF(N173="","",IF(OR(K173="",L173=""),"one month",TEXT(MAX(1,(YEAR(L173)-YEAR(K173))*12+MONTH(L173)-MONTH(K173)+1),"0")&amp;" months - see Deferred Revenue"))</f>
        <v/>
      </c>
      <c r="N173" s="26" t="n"/>
      <c r="O173" s="24" t="n"/>
      <c r="P173" s="25">
        <f>IF(N(N173)=0,"",IF(N173&gt;0,set_WIPAsset,IF(J173="Cost",IF(O173="","(set the P&amp;L Account)",O173),IF(O173="",set_WIPIncome,O173))))</f>
        <v/>
      </c>
      <c r="Q173" s="25">
        <f>IF(N(N173)=0,"",IF(N173&gt;0,IF(J173="Cost",IF(O173="","(set the P&amp;L Account)",O173),IF(O173="",set_WIPIncome,O173)),set_WIPAsset))</f>
        <v/>
      </c>
      <c r="R173" s="27">
        <f>IF(OR(N(N173)=0,K173&lt;&gt;""),"",ABS(N173))</f>
        <v/>
      </c>
      <c r="S173" s="25">
        <f>IF(N(N173)=0,"",IF(K173&lt;&gt;"","spreads monthly - see Deferred Revenue","WIP "&amp;I173&amp;IF(D173="",""," - "&amp;D173)&amp;IF(F173="",""," "&amp;F173)&amp;IF(H173="",""," - "&amp;H173)))</f>
        <v/>
      </c>
      <c r="T173" s="24" t="n"/>
      <c r="U173" s="24" t="n"/>
      <c r="V173" s="24" t="n"/>
    </row>
    <row r="174" ht="15" customHeight="1">
      <c r="A174" s="72" t="n"/>
      <c r="B174" s="70">
        <f>IF(C174="","",IFERROR(INDEX(tbl_Finance[Date],MATCH(C174&amp;"",tbl_Finance[Xero Invoice No],0)),""))</f>
        <v/>
      </c>
      <c r="C174" s="24" t="n"/>
      <c r="D174" s="24" t="n"/>
      <c r="E174" s="25">
        <f>IF(D174="","",IF(COUNTIF(lst_Jobs,D174&amp;"")&gt;0,"OK","CHECK"))</f>
        <v/>
      </c>
      <c r="F174" s="24" t="n"/>
      <c r="G174" s="24" t="n"/>
      <c r="H174" s="24" t="n"/>
      <c r="I174" s="24" t="n"/>
      <c r="J174" s="24" t="n"/>
      <c r="K174" s="22" t="n"/>
      <c r="L174" s="22" t="n"/>
      <c r="M174" s="25">
        <f>IF(N174="","",IF(OR(K174="",L174=""),"one month",TEXT(MAX(1,(YEAR(L174)-YEAR(K174))*12+MONTH(L174)-MONTH(K174)+1),"0")&amp;" months - see Deferred Revenue"))</f>
        <v/>
      </c>
      <c r="N174" s="26" t="n"/>
      <c r="O174" s="24" t="n"/>
      <c r="P174" s="25">
        <f>IF(N(N174)=0,"",IF(N174&gt;0,set_WIPAsset,IF(J174="Cost",IF(O174="","(set the P&amp;L Account)",O174),IF(O174="",set_WIPIncome,O174))))</f>
        <v/>
      </c>
      <c r="Q174" s="25">
        <f>IF(N(N174)=0,"",IF(N174&gt;0,IF(J174="Cost",IF(O174="","(set the P&amp;L Account)",O174),IF(O174="",set_WIPIncome,O174)),set_WIPAsset))</f>
        <v/>
      </c>
      <c r="R174" s="27">
        <f>IF(OR(N(N174)=0,K174&lt;&gt;""),"",ABS(N174))</f>
        <v/>
      </c>
      <c r="S174" s="25">
        <f>IF(N(N174)=0,"",IF(K174&lt;&gt;"","spreads monthly - see Deferred Revenue","WIP "&amp;I174&amp;IF(D174="",""," - "&amp;D174)&amp;IF(F174="",""," "&amp;F174)&amp;IF(H174="",""," - "&amp;H174)))</f>
        <v/>
      </c>
      <c r="T174" s="24" t="n"/>
      <c r="U174" s="24" t="n"/>
      <c r="V174" s="24" t="n"/>
    </row>
    <row r="175" ht="15" customHeight="1">
      <c r="A175" s="72" t="n"/>
      <c r="B175" s="70">
        <f>IF(C175="","",IFERROR(INDEX(tbl_Finance[Date],MATCH(C175&amp;"",tbl_Finance[Xero Invoice No],0)),""))</f>
        <v/>
      </c>
      <c r="C175" s="24" t="n"/>
      <c r="D175" s="24" t="n"/>
      <c r="E175" s="25">
        <f>IF(D175="","",IF(COUNTIF(lst_Jobs,D175&amp;"")&gt;0,"OK","CHECK"))</f>
        <v/>
      </c>
      <c r="F175" s="24" t="n"/>
      <c r="G175" s="24" t="n"/>
      <c r="H175" s="24" t="n"/>
      <c r="I175" s="24" t="n"/>
      <c r="J175" s="24" t="n"/>
      <c r="K175" s="22" t="n"/>
      <c r="L175" s="22" t="n"/>
      <c r="M175" s="25">
        <f>IF(N175="","",IF(OR(K175="",L175=""),"one month",TEXT(MAX(1,(YEAR(L175)-YEAR(K175))*12+MONTH(L175)-MONTH(K175)+1),"0")&amp;" months - see Deferred Revenue"))</f>
        <v/>
      </c>
      <c r="N175" s="26" t="n"/>
      <c r="O175" s="24" t="n"/>
      <c r="P175" s="25">
        <f>IF(N(N175)=0,"",IF(N175&gt;0,set_WIPAsset,IF(J175="Cost",IF(O175="","(set the P&amp;L Account)",O175),IF(O175="",set_WIPIncome,O175))))</f>
        <v/>
      </c>
      <c r="Q175" s="25">
        <f>IF(N(N175)=0,"",IF(N175&gt;0,IF(J175="Cost",IF(O175="","(set the P&amp;L Account)",O175),IF(O175="",set_WIPIncome,O175)),set_WIPAsset))</f>
        <v/>
      </c>
      <c r="R175" s="27">
        <f>IF(OR(N(N175)=0,K175&lt;&gt;""),"",ABS(N175))</f>
        <v/>
      </c>
      <c r="S175" s="25">
        <f>IF(N(N175)=0,"",IF(K175&lt;&gt;"","spreads monthly - see Deferred Revenue","WIP "&amp;I175&amp;IF(D175="",""," - "&amp;D175)&amp;IF(F175="",""," "&amp;F175)&amp;IF(H175="",""," - "&amp;H175)))</f>
        <v/>
      </c>
      <c r="T175" s="24" t="n"/>
      <c r="U175" s="24" t="n"/>
      <c r="V175" s="24" t="n"/>
    </row>
    <row r="176" ht="15" customHeight="1">
      <c r="A176" s="72" t="n"/>
      <c r="B176" s="70">
        <f>IF(C176="","",IFERROR(INDEX(tbl_Finance[Date],MATCH(C176&amp;"",tbl_Finance[Xero Invoice No],0)),""))</f>
        <v/>
      </c>
      <c r="C176" s="24" t="n"/>
      <c r="D176" s="24" t="n"/>
      <c r="E176" s="25">
        <f>IF(D176="","",IF(COUNTIF(lst_Jobs,D176&amp;"")&gt;0,"OK","CHECK"))</f>
        <v/>
      </c>
      <c r="F176" s="24" t="n"/>
      <c r="G176" s="24" t="n"/>
      <c r="H176" s="24" t="n"/>
      <c r="I176" s="24" t="n"/>
      <c r="J176" s="24" t="n"/>
      <c r="K176" s="22" t="n"/>
      <c r="L176" s="22" t="n"/>
      <c r="M176" s="25">
        <f>IF(N176="","",IF(OR(K176="",L176=""),"one month",TEXT(MAX(1,(YEAR(L176)-YEAR(K176))*12+MONTH(L176)-MONTH(K176)+1),"0")&amp;" months - see Deferred Revenue"))</f>
        <v/>
      </c>
      <c r="N176" s="26" t="n"/>
      <c r="O176" s="24" t="n"/>
      <c r="P176" s="25">
        <f>IF(N(N176)=0,"",IF(N176&gt;0,set_WIPAsset,IF(J176="Cost",IF(O176="","(set the P&amp;L Account)",O176),IF(O176="",set_WIPIncome,O176))))</f>
        <v/>
      </c>
      <c r="Q176" s="25">
        <f>IF(N(N176)=0,"",IF(N176&gt;0,IF(J176="Cost",IF(O176="","(set the P&amp;L Account)",O176),IF(O176="",set_WIPIncome,O176)),set_WIPAsset))</f>
        <v/>
      </c>
      <c r="R176" s="27">
        <f>IF(OR(N(N176)=0,K176&lt;&gt;""),"",ABS(N176))</f>
        <v/>
      </c>
      <c r="S176" s="25">
        <f>IF(N(N176)=0,"",IF(K176&lt;&gt;"","spreads monthly - see Deferred Revenue","WIP "&amp;I176&amp;IF(D176="",""," - "&amp;D176)&amp;IF(F176="",""," "&amp;F176)&amp;IF(H176="",""," - "&amp;H176)))</f>
        <v/>
      </c>
      <c r="T176" s="24" t="n"/>
      <c r="U176" s="24" t="n"/>
      <c r="V176" s="24" t="n"/>
    </row>
    <row r="177" ht="15" customHeight="1">
      <c r="A177" s="72" t="n"/>
      <c r="B177" s="70">
        <f>IF(C177="","",IFERROR(INDEX(tbl_Finance[Date],MATCH(C177&amp;"",tbl_Finance[Xero Invoice No],0)),""))</f>
        <v/>
      </c>
      <c r="C177" s="24" t="n"/>
      <c r="D177" s="24" t="n"/>
      <c r="E177" s="25">
        <f>IF(D177="","",IF(COUNTIF(lst_Jobs,D177&amp;"")&gt;0,"OK","CHECK"))</f>
        <v/>
      </c>
      <c r="F177" s="24" t="n"/>
      <c r="G177" s="24" t="n"/>
      <c r="H177" s="24" t="n"/>
      <c r="I177" s="24" t="n"/>
      <c r="J177" s="24" t="n"/>
      <c r="K177" s="22" t="n"/>
      <c r="L177" s="22" t="n"/>
      <c r="M177" s="25">
        <f>IF(N177="","",IF(OR(K177="",L177=""),"one month",TEXT(MAX(1,(YEAR(L177)-YEAR(K177))*12+MONTH(L177)-MONTH(K177)+1),"0")&amp;" months - see Deferred Revenue"))</f>
        <v/>
      </c>
      <c r="N177" s="26" t="n"/>
      <c r="O177" s="24" t="n"/>
      <c r="P177" s="25">
        <f>IF(N(N177)=0,"",IF(N177&gt;0,set_WIPAsset,IF(J177="Cost",IF(O177="","(set the P&amp;L Account)",O177),IF(O177="",set_WIPIncome,O177))))</f>
        <v/>
      </c>
      <c r="Q177" s="25">
        <f>IF(N(N177)=0,"",IF(N177&gt;0,IF(J177="Cost",IF(O177="","(set the P&amp;L Account)",O177),IF(O177="",set_WIPIncome,O177)),set_WIPAsset))</f>
        <v/>
      </c>
      <c r="R177" s="27">
        <f>IF(OR(N(N177)=0,K177&lt;&gt;""),"",ABS(N177))</f>
        <v/>
      </c>
      <c r="S177" s="25">
        <f>IF(N(N177)=0,"",IF(K177&lt;&gt;"","spreads monthly - see Deferred Revenue","WIP "&amp;I177&amp;IF(D177="",""," - "&amp;D177)&amp;IF(F177="",""," "&amp;F177)&amp;IF(H177="",""," - "&amp;H177)))</f>
        <v/>
      </c>
      <c r="T177" s="24" t="n"/>
      <c r="U177" s="24" t="n"/>
      <c r="V177" s="24" t="n"/>
    </row>
    <row r="178" ht="15" customHeight="1">
      <c r="A178" s="72" t="n"/>
      <c r="B178" s="70">
        <f>IF(C178="","",IFERROR(INDEX(tbl_Finance[Date],MATCH(C178&amp;"",tbl_Finance[Xero Invoice No],0)),""))</f>
        <v/>
      </c>
      <c r="C178" s="24" t="n"/>
      <c r="D178" s="24" t="n"/>
      <c r="E178" s="25">
        <f>IF(D178="","",IF(COUNTIF(lst_Jobs,D178&amp;"")&gt;0,"OK","CHECK"))</f>
        <v/>
      </c>
      <c r="F178" s="24" t="n"/>
      <c r="G178" s="24" t="n"/>
      <c r="H178" s="24" t="n"/>
      <c r="I178" s="24" t="n"/>
      <c r="J178" s="24" t="n"/>
      <c r="K178" s="22" t="n"/>
      <c r="L178" s="22" t="n"/>
      <c r="M178" s="25">
        <f>IF(N178="","",IF(OR(K178="",L178=""),"one month",TEXT(MAX(1,(YEAR(L178)-YEAR(K178))*12+MONTH(L178)-MONTH(K178)+1),"0")&amp;" months - see Deferred Revenue"))</f>
        <v/>
      </c>
      <c r="N178" s="26" t="n"/>
      <c r="O178" s="24" t="n"/>
      <c r="P178" s="25">
        <f>IF(N(N178)=0,"",IF(N178&gt;0,set_WIPAsset,IF(J178="Cost",IF(O178="","(set the P&amp;L Account)",O178),IF(O178="",set_WIPIncome,O178))))</f>
        <v/>
      </c>
      <c r="Q178" s="25">
        <f>IF(N(N178)=0,"",IF(N178&gt;0,IF(J178="Cost",IF(O178="","(set the P&amp;L Account)",O178),IF(O178="",set_WIPIncome,O178)),set_WIPAsset))</f>
        <v/>
      </c>
      <c r="R178" s="27">
        <f>IF(OR(N(N178)=0,K178&lt;&gt;""),"",ABS(N178))</f>
        <v/>
      </c>
      <c r="S178" s="25">
        <f>IF(N(N178)=0,"",IF(K178&lt;&gt;"","spreads monthly - see Deferred Revenue","WIP "&amp;I178&amp;IF(D178="",""," - "&amp;D178)&amp;IF(F178="",""," "&amp;F178)&amp;IF(H178="",""," - "&amp;H178)))</f>
        <v/>
      </c>
      <c r="T178" s="24" t="n"/>
      <c r="U178" s="24" t="n"/>
      <c r="V178" s="24" t="n"/>
    </row>
    <row r="179" ht="15" customHeight="1">
      <c r="A179" s="72" t="n"/>
      <c r="B179" s="70">
        <f>IF(C179="","",IFERROR(INDEX(tbl_Finance[Date],MATCH(C179&amp;"",tbl_Finance[Xero Invoice No],0)),""))</f>
        <v/>
      </c>
      <c r="C179" s="24" t="n"/>
      <c r="D179" s="24" t="n"/>
      <c r="E179" s="25">
        <f>IF(D179="","",IF(COUNTIF(lst_Jobs,D179&amp;"")&gt;0,"OK","CHECK"))</f>
        <v/>
      </c>
      <c r="F179" s="24" t="n"/>
      <c r="G179" s="24" t="n"/>
      <c r="H179" s="24" t="n"/>
      <c r="I179" s="24" t="n"/>
      <c r="J179" s="24" t="n"/>
      <c r="K179" s="22" t="n"/>
      <c r="L179" s="22" t="n"/>
      <c r="M179" s="25">
        <f>IF(N179="","",IF(OR(K179="",L179=""),"one month",TEXT(MAX(1,(YEAR(L179)-YEAR(K179))*12+MONTH(L179)-MONTH(K179)+1),"0")&amp;" months - see Deferred Revenue"))</f>
        <v/>
      </c>
      <c r="N179" s="26" t="n"/>
      <c r="O179" s="24" t="n"/>
      <c r="P179" s="25">
        <f>IF(N(N179)=0,"",IF(N179&gt;0,set_WIPAsset,IF(J179="Cost",IF(O179="","(set the P&amp;L Account)",O179),IF(O179="",set_WIPIncome,O179))))</f>
        <v/>
      </c>
      <c r="Q179" s="25">
        <f>IF(N(N179)=0,"",IF(N179&gt;0,IF(J179="Cost",IF(O179="","(set the P&amp;L Account)",O179),IF(O179="",set_WIPIncome,O179)),set_WIPAsset))</f>
        <v/>
      </c>
      <c r="R179" s="27">
        <f>IF(OR(N(N179)=0,K179&lt;&gt;""),"",ABS(N179))</f>
        <v/>
      </c>
      <c r="S179" s="25">
        <f>IF(N(N179)=0,"",IF(K179&lt;&gt;"","spreads monthly - see Deferred Revenue","WIP "&amp;I179&amp;IF(D179="",""," - "&amp;D179)&amp;IF(F179="",""," "&amp;F179)&amp;IF(H179="",""," - "&amp;H179)))</f>
        <v/>
      </c>
      <c r="T179" s="24" t="n"/>
      <c r="U179" s="24" t="n"/>
      <c r="V179" s="24" t="n"/>
    </row>
    <row r="180" ht="15" customHeight="1">
      <c r="A180" s="72" t="n"/>
      <c r="B180" s="70">
        <f>IF(C180="","",IFERROR(INDEX(tbl_Finance[Date],MATCH(C180&amp;"",tbl_Finance[Xero Invoice No],0)),""))</f>
        <v/>
      </c>
      <c r="C180" s="24" t="n"/>
      <c r="D180" s="24" t="n"/>
      <c r="E180" s="25">
        <f>IF(D180="","",IF(COUNTIF(lst_Jobs,D180&amp;"")&gt;0,"OK","CHECK"))</f>
        <v/>
      </c>
      <c r="F180" s="24" t="n"/>
      <c r="G180" s="24" t="n"/>
      <c r="H180" s="24" t="n"/>
      <c r="I180" s="24" t="n"/>
      <c r="J180" s="24" t="n"/>
      <c r="K180" s="22" t="n"/>
      <c r="L180" s="22" t="n"/>
      <c r="M180" s="25">
        <f>IF(N180="","",IF(OR(K180="",L180=""),"one month",TEXT(MAX(1,(YEAR(L180)-YEAR(K180))*12+MONTH(L180)-MONTH(K180)+1),"0")&amp;" months - see Deferred Revenue"))</f>
        <v/>
      </c>
      <c r="N180" s="26" t="n"/>
      <c r="O180" s="24" t="n"/>
      <c r="P180" s="25">
        <f>IF(N(N180)=0,"",IF(N180&gt;0,set_WIPAsset,IF(J180="Cost",IF(O180="","(set the P&amp;L Account)",O180),IF(O180="",set_WIPIncome,O180))))</f>
        <v/>
      </c>
      <c r="Q180" s="25">
        <f>IF(N(N180)=0,"",IF(N180&gt;0,IF(J180="Cost",IF(O180="","(set the P&amp;L Account)",O180),IF(O180="",set_WIPIncome,O180)),set_WIPAsset))</f>
        <v/>
      </c>
      <c r="R180" s="27">
        <f>IF(OR(N(N180)=0,K180&lt;&gt;""),"",ABS(N180))</f>
        <v/>
      </c>
      <c r="S180" s="25">
        <f>IF(N(N180)=0,"",IF(K180&lt;&gt;"","spreads monthly - see Deferred Revenue","WIP "&amp;I180&amp;IF(D180="",""," - "&amp;D180)&amp;IF(F180="",""," "&amp;F180)&amp;IF(H180="",""," - "&amp;H180)))</f>
        <v/>
      </c>
      <c r="T180" s="24" t="n"/>
      <c r="U180" s="24" t="n"/>
      <c r="V180" s="24" t="n"/>
    </row>
    <row r="181" ht="15" customHeight="1">
      <c r="A181" s="72" t="n"/>
      <c r="B181" s="70">
        <f>IF(C181="","",IFERROR(INDEX(tbl_Finance[Date],MATCH(C181&amp;"",tbl_Finance[Xero Invoice No],0)),""))</f>
        <v/>
      </c>
      <c r="C181" s="24" t="n"/>
      <c r="D181" s="24" t="n"/>
      <c r="E181" s="25">
        <f>IF(D181="","",IF(COUNTIF(lst_Jobs,D181&amp;"")&gt;0,"OK","CHECK"))</f>
        <v/>
      </c>
      <c r="F181" s="24" t="n"/>
      <c r="G181" s="24" t="n"/>
      <c r="H181" s="24" t="n"/>
      <c r="I181" s="24" t="n"/>
      <c r="J181" s="24" t="n"/>
      <c r="K181" s="22" t="n"/>
      <c r="L181" s="22" t="n"/>
      <c r="M181" s="25">
        <f>IF(N181="","",IF(OR(K181="",L181=""),"one month",TEXT(MAX(1,(YEAR(L181)-YEAR(K181))*12+MONTH(L181)-MONTH(K181)+1),"0")&amp;" months - see Deferred Revenue"))</f>
        <v/>
      </c>
      <c r="N181" s="26" t="n"/>
      <c r="O181" s="24" t="n"/>
      <c r="P181" s="25">
        <f>IF(N(N181)=0,"",IF(N181&gt;0,set_WIPAsset,IF(J181="Cost",IF(O181="","(set the P&amp;L Account)",O181),IF(O181="",set_WIPIncome,O181))))</f>
        <v/>
      </c>
      <c r="Q181" s="25">
        <f>IF(N(N181)=0,"",IF(N181&gt;0,IF(J181="Cost",IF(O181="","(set the P&amp;L Account)",O181),IF(O181="",set_WIPIncome,O181)),set_WIPAsset))</f>
        <v/>
      </c>
      <c r="R181" s="27">
        <f>IF(OR(N(N181)=0,K181&lt;&gt;""),"",ABS(N181))</f>
        <v/>
      </c>
      <c r="S181" s="25">
        <f>IF(N(N181)=0,"",IF(K181&lt;&gt;"","spreads monthly - see Deferred Revenue","WIP "&amp;I181&amp;IF(D181="",""," - "&amp;D181)&amp;IF(F181="",""," "&amp;F181)&amp;IF(H181="",""," - "&amp;H181)))</f>
        <v/>
      </c>
      <c r="T181" s="24" t="n"/>
      <c r="U181" s="24" t="n"/>
      <c r="V181" s="24" t="n"/>
    </row>
    <row r="182" ht="15" customHeight="1">
      <c r="A182" s="72" t="n"/>
      <c r="B182" s="70">
        <f>IF(C182="","",IFERROR(INDEX(tbl_Finance[Date],MATCH(C182&amp;"",tbl_Finance[Xero Invoice No],0)),""))</f>
        <v/>
      </c>
      <c r="C182" s="24" t="n"/>
      <c r="D182" s="24" t="n"/>
      <c r="E182" s="25">
        <f>IF(D182="","",IF(COUNTIF(lst_Jobs,D182&amp;"")&gt;0,"OK","CHECK"))</f>
        <v/>
      </c>
      <c r="F182" s="24" t="n"/>
      <c r="G182" s="24" t="n"/>
      <c r="H182" s="24" t="n"/>
      <c r="I182" s="24" t="n"/>
      <c r="J182" s="24" t="n"/>
      <c r="K182" s="22" t="n"/>
      <c r="L182" s="22" t="n"/>
      <c r="M182" s="25">
        <f>IF(N182="","",IF(OR(K182="",L182=""),"one month",TEXT(MAX(1,(YEAR(L182)-YEAR(K182))*12+MONTH(L182)-MONTH(K182)+1),"0")&amp;" months - see Deferred Revenue"))</f>
        <v/>
      </c>
      <c r="N182" s="26" t="n"/>
      <c r="O182" s="24" t="n"/>
      <c r="P182" s="25">
        <f>IF(N(N182)=0,"",IF(N182&gt;0,set_WIPAsset,IF(J182="Cost",IF(O182="","(set the P&amp;L Account)",O182),IF(O182="",set_WIPIncome,O182))))</f>
        <v/>
      </c>
      <c r="Q182" s="25">
        <f>IF(N(N182)=0,"",IF(N182&gt;0,IF(J182="Cost",IF(O182="","(set the P&amp;L Account)",O182),IF(O182="",set_WIPIncome,O182)),set_WIPAsset))</f>
        <v/>
      </c>
      <c r="R182" s="27">
        <f>IF(OR(N(N182)=0,K182&lt;&gt;""),"",ABS(N182))</f>
        <v/>
      </c>
      <c r="S182" s="25">
        <f>IF(N(N182)=0,"",IF(K182&lt;&gt;"","spreads monthly - see Deferred Revenue","WIP "&amp;I182&amp;IF(D182="",""," - "&amp;D182)&amp;IF(F182="",""," "&amp;F182)&amp;IF(H182="",""," - "&amp;H182)))</f>
        <v/>
      </c>
      <c r="T182" s="24" t="n"/>
      <c r="U182" s="24" t="n"/>
      <c r="V182" s="24" t="n"/>
    </row>
    <row r="183" ht="15" customHeight="1">
      <c r="A183" s="72" t="n"/>
      <c r="B183" s="70">
        <f>IF(C183="","",IFERROR(INDEX(tbl_Finance[Date],MATCH(C183&amp;"",tbl_Finance[Xero Invoice No],0)),""))</f>
        <v/>
      </c>
      <c r="C183" s="24" t="n"/>
      <c r="D183" s="24" t="n"/>
      <c r="E183" s="25">
        <f>IF(D183="","",IF(COUNTIF(lst_Jobs,D183&amp;"")&gt;0,"OK","CHECK"))</f>
        <v/>
      </c>
      <c r="F183" s="24" t="n"/>
      <c r="G183" s="24" t="n"/>
      <c r="H183" s="24" t="n"/>
      <c r="I183" s="24" t="n"/>
      <c r="J183" s="24" t="n"/>
      <c r="K183" s="22" t="n"/>
      <c r="L183" s="22" t="n"/>
      <c r="M183" s="25">
        <f>IF(N183="","",IF(OR(K183="",L183=""),"one month",TEXT(MAX(1,(YEAR(L183)-YEAR(K183))*12+MONTH(L183)-MONTH(K183)+1),"0")&amp;" months - see Deferred Revenue"))</f>
        <v/>
      </c>
      <c r="N183" s="26" t="n"/>
      <c r="O183" s="24" t="n"/>
      <c r="P183" s="25">
        <f>IF(N(N183)=0,"",IF(N183&gt;0,set_WIPAsset,IF(J183="Cost",IF(O183="","(set the P&amp;L Account)",O183),IF(O183="",set_WIPIncome,O183))))</f>
        <v/>
      </c>
      <c r="Q183" s="25">
        <f>IF(N(N183)=0,"",IF(N183&gt;0,IF(J183="Cost",IF(O183="","(set the P&amp;L Account)",O183),IF(O183="",set_WIPIncome,O183)),set_WIPAsset))</f>
        <v/>
      </c>
      <c r="R183" s="27">
        <f>IF(OR(N(N183)=0,K183&lt;&gt;""),"",ABS(N183))</f>
        <v/>
      </c>
      <c r="S183" s="25">
        <f>IF(N(N183)=0,"",IF(K183&lt;&gt;"","spreads monthly - see Deferred Revenue","WIP "&amp;I183&amp;IF(D183="",""," - "&amp;D183)&amp;IF(F183="",""," "&amp;F183)&amp;IF(H183="",""," - "&amp;H183)))</f>
        <v/>
      </c>
      <c r="T183" s="24" t="n"/>
      <c r="U183" s="24" t="n"/>
      <c r="V183" s="24" t="n"/>
    </row>
    <row r="184" ht="15" customHeight="1">
      <c r="A184" s="72" t="n"/>
      <c r="B184" s="70">
        <f>IF(C184="","",IFERROR(INDEX(tbl_Finance[Date],MATCH(C184&amp;"",tbl_Finance[Xero Invoice No],0)),""))</f>
        <v/>
      </c>
      <c r="C184" s="24" t="n"/>
      <c r="D184" s="24" t="n"/>
      <c r="E184" s="25">
        <f>IF(D184="","",IF(COUNTIF(lst_Jobs,D184&amp;"")&gt;0,"OK","CHECK"))</f>
        <v/>
      </c>
      <c r="F184" s="24" t="n"/>
      <c r="G184" s="24" t="n"/>
      <c r="H184" s="24" t="n"/>
      <c r="I184" s="24" t="n"/>
      <c r="J184" s="24" t="n"/>
      <c r="K184" s="22" t="n"/>
      <c r="L184" s="22" t="n"/>
      <c r="M184" s="25">
        <f>IF(N184="","",IF(OR(K184="",L184=""),"one month",TEXT(MAX(1,(YEAR(L184)-YEAR(K184))*12+MONTH(L184)-MONTH(K184)+1),"0")&amp;" months - see Deferred Revenue"))</f>
        <v/>
      </c>
      <c r="N184" s="26" t="n"/>
      <c r="O184" s="24" t="n"/>
      <c r="P184" s="25">
        <f>IF(N(N184)=0,"",IF(N184&gt;0,set_WIPAsset,IF(J184="Cost",IF(O184="","(set the P&amp;L Account)",O184),IF(O184="",set_WIPIncome,O184))))</f>
        <v/>
      </c>
      <c r="Q184" s="25">
        <f>IF(N(N184)=0,"",IF(N184&gt;0,IF(J184="Cost",IF(O184="","(set the P&amp;L Account)",O184),IF(O184="",set_WIPIncome,O184)),set_WIPAsset))</f>
        <v/>
      </c>
      <c r="R184" s="27">
        <f>IF(OR(N(N184)=0,K184&lt;&gt;""),"",ABS(N184))</f>
        <v/>
      </c>
      <c r="S184" s="25">
        <f>IF(N(N184)=0,"",IF(K184&lt;&gt;"","spreads monthly - see Deferred Revenue","WIP "&amp;I184&amp;IF(D184="",""," - "&amp;D184)&amp;IF(F184="",""," "&amp;F184)&amp;IF(H184="",""," - "&amp;H184)))</f>
        <v/>
      </c>
      <c r="T184" s="24" t="n"/>
      <c r="U184" s="24" t="n"/>
      <c r="V184" s="24" t="n"/>
    </row>
    <row r="185" ht="15" customHeight="1">
      <c r="A185" s="72" t="n"/>
      <c r="B185" s="70">
        <f>IF(C185="","",IFERROR(INDEX(tbl_Finance[Date],MATCH(C185&amp;"",tbl_Finance[Xero Invoice No],0)),""))</f>
        <v/>
      </c>
      <c r="C185" s="24" t="n"/>
      <c r="D185" s="24" t="n"/>
      <c r="E185" s="25">
        <f>IF(D185="","",IF(COUNTIF(lst_Jobs,D185&amp;"")&gt;0,"OK","CHECK"))</f>
        <v/>
      </c>
      <c r="F185" s="24" t="n"/>
      <c r="G185" s="24" t="n"/>
      <c r="H185" s="24" t="n"/>
      <c r="I185" s="24" t="n"/>
      <c r="J185" s="24" t="n"/>
      <c r="K185" s="22" t="n"/>
      <c r="L185" s="22" t="n"/>
      <c r="M185" s="25">
        <f>IF(N185="","",IF(OR(K185="",L185=""),"one month",TEXT(MAX(1,(YEAR(L185)-YEAR(K185))*12+MONTH(L185)-MONTH(K185)+1),"0")&amp;" months - see Deferred Revenue"))</f>
        <v/>
      </c>
      <c r="N185" s="26" t="n"/>
      <c r="O185" s="24" t="n"/>
      <c r="P185" s="25">
        <f>IF(N(N185)=0,"",IF(N185&gt;0,set_WIPAsset,IF(J185="Cost",IF(O185="","(set the P&amp;L Account)",O185),IF(O185="",set_WIPIncome,O185))))</f>
        <v/>
      </c>
      <c r="Q185" s="25">
        <f>IF(N(N185)=0,"",IF(N185&gt;0,IF(J185="Cost",IF(O185="","(set the P&amp;L Account)",O185),IF(O185="",set_WIPIncome,O185)),set_WIPAsset))</f>
        <v/>
      </c>
      <c r="R185" s="27">
        <f>IF(OR(N(N185)=0,K185&lt;&gt;""),"",ABS(N185))</f>
        <v/>
      </c>
      <c r="S185" s="25">
        <f>IF(N(N185)=0,"",IF(K185&lt;&gt;"","spreads monthly - see Deferred Revenue","WIP "&amp;I185&amp;IF(D185="",""," - "&amp;D185)&amp;IF(F185="",""," "&amp;F185)&amp;IF(H185="",""," - "&amp;H185)))</f>
        <v/>
      </c>
      <c r="T185" s="24" t="n"/>
      <c r="U185" s="24" t="n"/>
      <c r="V185" s="24" t="n"/>
    </row>
    <row r="186" ht="15" customHeight="1">
      <c r="A186" s="72" t="n"/>
      <c r="B186" s="70">
        <f>IF(C186="","",IFERROR(INDEX(tbl_Finance[Date],MATCH(C186&amp;"",tbl_Finance[Xero Invoice No],0)),""))</f>
        <v/>
      </c>
      <c r="C186" s="24" t="n"/>
      <c r="D186" s="24" t="n"/>
      <c r="E186" s="25">
        <f>IF(D186="","",IF(COUNTIF(lst_Jobs,D186&amp;"")&gt;0,"OK","CHECK"))</f>
        <v/>
      </c>
      <c r="F186" s="24" t="n"/>
      <c r="G186" s="24" t="n"/>
      <c r="H186" s="24" t="n"/>
      <c r="I186" s="24" t="n"/>
      <c r="J186" s="24" t="n"/>
      <c r="K186" s="22" t="n"/>
      <c r="L186" s="22" t="n"/>
      <c r="M186" s="25">
        <f>IF(N186="","",IF(OR(K186="",L186=""),"one month",TEXT(MAX(1,(YEAR(L186)-YEAR(K186))*12+MONTH(L186)-MONTH(K186)+1),"0")&amp;" months - see Deferred Revenue"))</f>
        <v/>
      </c>
      <c r="N186" s="26" t="n"/>
      <c r="O186" s="24" t="n"/>
      <c r="P186" s="25">
        <f>IF(N(N186)=0,"",IF(N186&gt;0,set_WIPAsset,IF(J186="Cost",IF(O186="","(set the P&amp;L Account)",O186),IF(O186="",set_WIPIncome,O186))))</f>
        <v/>
      </c>
      <c r="Q186" s="25">
        <f>IF(N(N186)=0,"",IF(N186&gt;0,IF(J186="Cost",IF(O186="","(set the P&amp;L Account)",O186),IF(O186="",set_WIPIncome,O186)),set_WIPAsset))</f>
        <v/>
      </c>
      <c r="R186" s="27">
        <f>IF(OR(N(N186)=0,K186&lt;&gt;""),"",ABS(N186))</f>
        <v/>
      </c>
      <c r="S186" s="25">
        <f>IF(N(N186)=0,"",IF(K186&lt;&gt;"","spreads monthly - see Deferred Revenue","WIP "&amp;I186&amp;IF(D186="",""," - "&amp;D186)&amp;IF(F186="",""," "&amp;F186)&amp;IF(H186="",""," - "&amp;H186)))</f>
        <v/>
      </c>
      <c r="T186" s="24" t="n"/>
      <c r="U186" s="24" t="n"/>
      <c r="V186" s="24" t="n"/>
    </row>
    <row r="187" ht="15" customHeight="1">
      <c r="A187" s="72" t="n"/>
      <c r="B187" s="70">
        <f>IF(C187="","",IFERROR(INDEX(tbl_Finance[Date],MATCH(C187&amp;"",tbl_Finance[Xero Invoice No],0)),""))</f>
        <v/>
      </c>
      <c r="C187" s="24" t="n"/>
      <c r="D187" s="24" t="n"/>
      <c r="E187" s="25">
        <f>IF(D187="","",IF(COUNTIF(lst_Jobs,D187&amp;"")&gt;0,"OK","CHECK"))</f>
        <v/>
      </c>
      <c r="F187" s="24" t="n"/>
      <c r="G187" s="24" t="n"/>
      <c r="H187" s="24" t="n"/>
      <c r="I187" s="24" t="n"/>
      <c r="J187" s="24" t="n"/>
      <c r="K187" s="22" t="n"/>
      <c r="L187" s="22" t="n"/>
      <c r="M187" s="25">
        <f>IF(N187="","",IF(OR(K187="",L187=""),"one month",TEXT(MAX(1,(YEAR(L187)-YEAR(K187))*12+MONTH(L187)-MONTH(K187)+1),"0")&amp;" months - see Deferred Revenue"))</f>
        <v/>
      </c>
      <c r="N187" s="26" t="n"/>
      <c r="O187" s="24" t="n"/>
      <c r="P187" s="25">
        <f>IF(N(N187)=0,"",IF(N187&gt;0,set_WIPAsset,IF(J187="Cost",IF(O187="","(set the P&amp;L Account)",O187),IF(O187="",set_WIPIncome,O187))))</f>
        <v/>
      </c>
      <c r="Q187" s="25">
        <f>IF(N(N187)=0,"",IF(N187&gt;0,IF(J187="Cost",IF(O187="","(set the P&amp;L Account)",O187),IF(O187="",set_WIPIncome,O187)),set_WIPAsset))</f>
        <v/>
      </c>
      <c r="R187" s="27">
        <f>IF(OR(N(N187)=0,K187&lt;&gt;""),"",ABS(N187))</f>
        <v/>
      </c>
      <c r="S187" s="25">
        <f>IF(N(N187)=0,"",IF(K187&lt;&gt;"","spreads monthly - see Deferred Revenue","WIP "&amp;I187&amp;IF(D187="",""," - "&amp;D187)&amp;IF(F187="",""," "&amp;F187)&amp;IF(H187="",""," - "&amp;H187)))</f>
        <v/>
      </c>
      <c r="T187" s="24" t="n"/>
      <c r="U187" s="24" t="n"/>
      <c r="V187" s="24" t="n"/>
    </row>
    <row r="188" ht="15" customHeight="1">
      <c r="A188" s="72" t="n"/>
      <c r="B188" s="70">
        <f>IF(C188="","",IFERROR(INDEX(tbl_Finance[Date],MATCH(C188&amp;"",tbl_Finance[Xero Invoice No],0)),""))</f>
        <v/>
      </c>
      <c r="C188" s="24" t="n"/>
      <c r="D188" s="24" t="n"/>
      <c r="E188" s="25">
        <f>IF(D188="","",IF(COUNTIF(lst_Jobs,D188&amp;"")&gt;0,"OK","CHECK"))</f>
        <v/>
      </c>
      <c r="F188" s="24" t="n"/>
      <c r="G188" s="24" t="n"/>
      <c r="H188" s="24" t="n"/>
      <c r="I188" s="24" t="n"/>
      <c r="J188" s="24" t="n"/>
      <c r="K188" s="22" t="n"/>
      <c r="L188" s="22" t="n"/>
      <c r="M188" s="25">
        <f>IF(N188="","",IF(OR(K188="",L188=""),"one month",TEXT(MAX(1,(YEAR(L188)-YEAR(K188))*12+MONTH(L188)-MONTH(K188)+1),"0")&amp;" months - see Deferred Revenue"))</f>
        <v/>
      </c>
      <c r="N188" s="26" t="n"/>
      <c r="O188" s="24" t="n"/>
      <c r="P188" s="25">
        <f>IF(N(N188)=0,"",IF(N188&gt;0,set_WIPAsset,IF(J188="Cost",IF(O188="","(set the P&amp;L Account)",O188),IF(O188="",set_WIPIncome,O188))))</f>
        <v/>
      </c>
      <c r="Q188" s="25">
        <f>IF(N(N188)=0,"",IF(N188&gt;0,IF(J188="Cost",IF(O188="","(set the P&amp;L Account)",O188),IF(O188="",set_WIPIncome,O188)),set_WIPAsset))</f>
        <v/>
      </c>
      <c r="R188" s="27">
        <f>IF(OR(N(N188)=0,K188&lt;&gt;""),"",ABS(N188))</f>
        <v/>
      </c>
      <c r="S188" s="25">
        <f>IF(N(N188)=0,"",IF(K188&lt;&gt;"","spreads monthly - see Deferred Revenue","WIP "&amp;I188&amp;IF(D188="",""," - "&amp;D188)&amp;IF(F188="",""," "&amp;F188)&amp;IF(H188="",""," - "&amp;H188)))</f>
        <v/>
      </c>
      <c r="T188" s="24" t="n"/>
      <c r="U188" s="24" t="n"/>
      <c r="V188" s="24" t="n"/>
    </row>
    <row r="189" ht="15" customHeight="1">
      <c r="A189" s="72" t="n"/>
      <c r="B189" s="70">
        <f>IF(C189="","",IFERROR(INDEX(tbl_Finance[Date],MATCH(C189&amp;"",tbl_Finance[Xero Invoice No],0)),""))</f>
        <v/>
      </c>
      <c r="C189" s="24" t="n"/>
      <c r="D189" s="24" t="n"/>
      <c r="E189" s="25">
        <f>IF(D189="","",IF(COUNTIF(lst_Jobs,D189&amp;"")&gt;0,"OK","CHECK"))</f>
        <v/>
      </c>
      <c r="F189" s="24" t="n"/>
      <c r="G189" s="24" t="n"/>
      <c r="H189" s="24" t="n"/>
      <c r="I189" s="24" t="n"/>
      <c r="J189" s="24" t="n"/>
      <c r="K189" s="22" t="n"/>
      <c r="L189" s="22" t="n"/>
      <c r="M189" s="25">
        <f>IF(N189="","",IF(OR(K189="",L189=""),"one month",TEXT(MAX(1,(YEAR(L189)-YEAR(K189))*12+MONTH(L189)-MONTH(K189)+1),"0")&amp;" months - see Deferred Revenue"))</f>
        <v/>
      </c>
      <c r="N189" s="26" t="n"/>
      <c r="O189" s="24" t="n"/>
      <c r="P189" s="25">
        <f>IF(N(N189)=0,"",IF(N189&gt;0,set_WIPAsset,IF(J189="Cost",IF(O189="","(set the P&amp;L Account)",O189),IF(O189="",set_WIPIncome,O189))))</f>
        <v/>
      </c>
      <c r="Q189" s="25">
        <f>IF(N(N189)=0,"",IF(N189&gt;0,IF(J189="Cost",IF(O189="","(set the P&amp;L Account)",O189),IF(O189="",set_WIPIncome,O189)),set_WIPAsset))</f>
        <v/>
      </c>
      <c r="R189" s="27">
        <f>IF(OR(N(N189)=0,K189&lt;&gt;""),"",ABS(N189))</f>
        <v/>
      </c>
      <c r="S189" s="25">
        <f>IF(N(N189)=0,"",IF(K189&lt;&gt;"","spreads monthly - see Deferred Revenue","WIP "&amp;I189&amp;IF(D189="",""," - "&amp;D189)&amp;IF(F189="",""," "&amp;F189)&amp;IF(H189="",""," - "&amp;H189)))</f>
        <v/>
      </c>
      <c r="T189" s="24" t="n"/>
      <c r="U189" s="24" t="n"/>
      <c r="V189" s="24" t="n"/>
    </row>
    <row r="190" ht="15" customHeight="1">
      <c r="A190" s="72" t="n"/>
      <c r="B190" s="70">
        <f>IF(C190="","",IFERROR(INDEX(tbl_Finance[Date],MATCH(C190&amp;"",tbl_Finance[Xero Invoice No],0)),""))</f>
        <v/>
      </c>
      <c r="C190" s="24" t="n"/>
      <c r="D190" s="24" t="n"/>
      <c r="E190" s="25">
        <f>IF(D190="","",IF(COUNTIF(lst_Jobs,D190&amp;"")&gt;0,"OK","CHECK"))</f>
        <v/>
      </c>
      <c r="F190" s="24" t="n"/>
      <c r="G190" s="24" t="n"/>
      <c r="H190" s="24" t="n"/>
      <c r="I190" s="24" t="n"/>
      <c r="J190" s="24" t="n"/>
      <c r="K190" s="22" t="n"/>
      <c r="L190" s="22" t="n"/>
      <c r="M190" s="25">
        <f>IF(N190="","",IF(OR(K190="",L190=""),"one month",TEXT(MAX(1,(YEAR(L190)-YEAR(K190))*12+MONTH(L190)-MONTH(K190)+1),"0")&amp;" months - see Deferred Revenue"))</f>
        <v/>
      </c>
      <c r="N190" s="26" t="n"/>
      <c r="O190" s="24" t="n"/>
      <c r="P190" s="25">
        <f>IF(N(N190)=0,"",IF(N190&gt;0,set_WIPAsset,IF(J190="Cost",IF(O190="","(set the P&amp;L Account)",O190),IF(O190="",set_WIPIncome,O190))))</f>
        <v/>
      </c>
      <c r="Q190" s="25">
        <f>IF(N(N190)=0,"",IF(N190&gt;0,IF(J190="Cost",IF(O190="","(set the P&amp;L Account)",O190),IF(O190="",set_WIPIncome,O190)),set_WIPAsset))</f>
        <v/>
      </c>
      <c r="R190" s="27">
        <f>IF(OR(N(N190)=0,K190&lt;&gt;""),"",ABS(N190))</f>
        <v/>
      </c>
      <c r="S190" s="25">
        <f>IF(N(N190)=0,"",IF(K190&lt;&gt;"","spreads monthly - see Deferred Revenue","WIP "&amp;I190&amp;IF(D190="",""," - "&amp;D190)&amp;IF(F190="",""," "&amp;F190)&amp;IF(H190="",""," - "&amp;H190)))</f>
        <v/>
      </c>
      <c r="T190" s="24" t="n"/>
      <c r="U190" s="24" t="n"/>
      <c r="V190" s="24" t="n"/>
    </row>
    <row r="191" ht="15" customHeight="1">
      <c r="A191" s="72" t="n"/>
      <c r="B191" s="70">
        <f>IF(C191="","",IFERROR(INDEX(tbl_Finance[Date],MATCH(C191&amp;"",tbl_Finance[Xero Invoice No],0)),""))</f>
        <v/>
      </c>
      <c r="C191" s="24" t="n"/>
      <c r="D191" s="24" t="n"/>
      <c r="E191" s="25">
        <f>IF(D191="","",IF(COUNTIF(lst_Jobs,D191&amp;"")&gt;0,"OK","CHECK"))</f>
        <v/>
      </c>
      <c r="F191" s="24" t="n"/>
      <c r="G191" s="24" t="n"/>
      <c r="H191" s="24" t="n"/>
      <c r="I191" s="24" t="n"/>
      <c r="J191" s="24" t="n"/>
      <c r="K191" s="22" t="n"/>
      <c r="L191" s="22" t="n"/>
      <c r="M191" s="25">
        <f>IF(N191="","",IF(OR(K191="",L191=""),"one month",TEXT(MAX(1,(YEAR(L191)-YEAR(K191))*12+MONTH(L191)-MONTH(K191)+1),"0")&amp;" months - see Deferred Revenue"))</f>
        <v/>
      </c>
      <c r="N191" s="26" t="n"/>
      <c r="O191" s="24" t="n"/>
      <c r="P191" s="25">
        <f>IF(N(N191)=0,"",IF(N191&gt;0,set_WIPAsset,IF(J191="Cost",IF(O191="","(set the P&amp;L Account)",O191),IF(O191="",set_WIPIncome,O191))))</f>
        <v/>
      </c>
      <c r="Q191" s="25">
        <f>IF(N(N191)=0,"",IF(N191&gt;0,IF(J191="Cost",IF(O191="","(set the P&amp;L Account)",O191),IF(O191="",set_WIPIncome,O191)),set_WIPAsset))</f>
        <v/>
      </c>
      <c r="R191" s="27">
        <f>IF(OR(N(N191)=0,K191&lt;&gt;""),"",ABS(N191))</f>
        <v/>
      </c>
      <c r="S191" s="25">
        <f>IF(N(N191)=0,"",IF(K191&lt;&gt;"","spreads monthly - see Deferred Revenue","WIP "&amp;I191&amp;IF(D191="",""," - "&amp;D191)&amp;IF(F191="",""," "&amp;F191)&amp;IF(H191="",""," - "&amp;H191)))</f>
        <v/>
      </c>
      <c r="T191" s="24" t="n"/>
      <c r="U191" s="24" t="n"/>
      <c r="V191" s="24" t="n"/>
    </row>
    <row r="192" ht="15" customHeight="1">
      <c r="A192" s="72" t="n"/>
      <c r="B192" s="70">
        <f>IF(C192="","",IFERROR(INDEX(tbl_Finance[Date],MATCH(C192&amp;"",tbl_Finance[Xero Invoice No],0)),""))</f>
        <v/>
      </c>
      <c r="C192" s="24" t="n"/>
      <c r="D192" s="24" t="n"/>
      <c r="E192" s="25">
        <f>IF(D192="","",IF(COUNTIF(lst_Jobs,D192&amp;"")&gt;0,"OK","CHECK"))</f>
        <v/>
      </c>
      <c r="F192" s="24" t="n"/>
      <c r="G192" s="24" t="n"/>
      <c r="H192" s="24" t="n"/>
      <c r="I192" s="24" t="n"/>
      <c r="J192" s="24" t="n"/>
      <c r="K192" s="22" t="n"/>
      <c r="L192" s="22" t="n"/>
      <c r="M192" s="25">
        <f>IF(N192="","",IF(OR(K192="",L192=""),"one month",TEXT(MAX(1,(YEAR(L192)-YEAR(K192))*12+MONTH(L192)-MONTH(K192)+1),"0")&amp;" months - see Deferred Revenue"))</f>
        <v/>
      </c>
      <c r="N192" s="26" t="n"/>
      <c r="O192" s="24" t="n"/>
      <c r="P192" s="25">
        <f>IF(N(N192)=0,"",IF(N192&gt;0,set_WIPAsset,IF(J192="Cost",IF(O192="","(set the P&amp;L Account)",O192),IF(O192="",set_WIPIncome,O192))))</f>
        <v/>
      </c>
      <c r="Q192" s="25">
        <f>IF(N(N192)=0,"",IF(N192&gt;0,IF(J192="Cost",IF(O192="","(set the P&amp;L Account)",O192),IF(O192="",set_WIPIncome,O192)),set_WIPAsset))</f>
        <v/>
      </c>
      <c r="R192" s="27">
        <f>IF(OR(N(N192)=0,K192&lt;&gt;""),"",ABS(N192))</f>
        <v/>
      </c>
      <c r="S192" s="25">
        <f>IF(N(N192)=0,"",IF(K192&lt;&gt;"","spreads monthly - see Deferred Revenue","WIP "&amp;I192&amp;IF(D192="",""," - "&amp;D192)&amp;IF(F192="",""," "&amp;F192)&amp;IF(H192="",""," - "&amp;H192)))</f>
        <v/>
      </c>
      <c r="T192" s="24" t="n"/>
      <c r="U192" s="24" t="n"/>
      <c r="V192" s="24" t="n"/>
    </row>
    <row r="193" ht="15" customHeight="1">
      <c r="A193" s="72" t="n"/>
      <c r="B193" s="70">
        <f>IF(C193="","",IFERROR(INDEX(tbl_Finance[Date],MATCH(C193&amp;"",tbl_Finance[Xero Invoice No],0)),""))</f>
        <v/>
      </c>
      <c r="C193" s="24" t="n"/>
      <c r="D193" s="24" t="n"/>
      <c r="E193" s="25">
        <f>IF(D193="","",IF(COUNTIF(lst_Jobs,D193&amp;"")&gt;0,"OK","CHECK"))</f>
        <v/>
      </c>
      <c r="F193" s="24" t="n"/>
      <c r="G193" s="24" t="n"/>
      <c r="H193" s="24" t="n"/>
      <c r="I193" s="24" t="n"/>
      <c r="J193" s="24" t="n"/>
      <c r="K193" s="22" t="n"/>
      <c r="L193" s="22" t="n"/>
      <c r="M193" s="25">
        <f>IF(N193="","",IF(OR(K193="",L193=""),"one month",TEXT(MAX(1,(YEAR(L193)-YEAR(K193))*12+MONTH(L193)-MONTH(K193)+1),"0")&amp;" months - see Deferred Revenue"))</f>
        <v/>
      </c>
      <c r="N193" s="26" t="n"/>
      <c r="O193" s="24" t="n"/>
      <c r="P193" s="25">
        <f>IF(N(N193)=0,"",IF(N193&gt;0,set_WIPAsset,IF(J193="Cost",IF(O193="","(set the P&amp;L Account)",O193),IF(O193="",set_WIPIncome,O193))))</f>
        <v/>
      </c>
      <c r="Q193" s="25">
        <f>IF(N(N193)=0,"",IF(N193&gt;0,IF(J193="Cost",IF(O193="","(set the P&amp;L Account)",O193),IF(O193="",set_WIPIncome,O193)),set_WIPAsset))</f>
        <v/>
      </c>
      <c r="R193" s="27">
        <f>IF(OR(N(N193)=0,K193&lt;&gt;""),"",ABS(N193))</f>
        <v/>
      </c>
      <c r="S193" s="25">
        <f>IF(N(N193)=0,"",IF(K193&lt;&gt;"","spreads monthly - see Deferred Revenue","WIP "&amp;I193&amp;IF(D193="",""," - "&amp;D193)&amp;IF(F193="",""," "&amp;F193)&amp;IF(H193="",""," - "&amp;H193)))</f>
        <v/>
      </c>
      <c r="T193" s="24" t="n"/>
      <c r="U193" s="24" t="n"/>
      <c r="V193" s="24" t="n"/>
    </row>
    <row r="194" ht="15" customHeight="1">
      <c r="A194" s="72" t="n"/>
      <c r="B194" s="70">
        <f>IF(C194="","",IFERROR(INDEX(tbl_Finance[Date],MATCH(C194&amp;"",tbl_Finance[Xero Invoice No],0)),""))</f>
        <v/>
      </c>
      <c r="C194" s="24" t="n"/>
      <c r="D194" s="24" t="n"/>
      <c r="E194" s="25">
        <f>IF(D194="","",IF(COUNTIF(lst_Jobs,D194&amp;"")&gt;0,"OK","CHECK"))</f>
        <v/>
      </c>
      <c r="F194" s="24" t="n"/>
      <c r="G194" s="24" t="n"/>
      <c r="H194" s="24" t="n"/>
      <c r="I194" s="24" t="n"/>
      <c r="J194" s="24" t="n"/>
      <c r="K194" s="22" t="n"/>
      <c r="L194" s="22" t="n"/>
      <c r="M194" s="25">
        <f>IF(N194="","",IF(OR(K194="",L194=""),"one month",TEXT(MAX(1,(YEAR(L194)-YEAR(K194))*12+MONTH(L194)-MONTH(K194)+1),"0")&amp;" months - see Deferred Revenue"))</f>
        <v/>
      </c>
      <c r="N194" s="26" t="n"/>
      <c r="O194" s="24" t="n"/>
      <c r="P194" s="25">
        <f>IF(N(N194)=0,"",IF(N194&gt;0,set_WIPAsset,IF(J194="Cost",IF(O194="","(set the P&amp;L Account)",O194),IF(O194="",set_WIPIncome,O194))))</f>
        <v/>
      </c>
      <c r="Q194" s="25">
        <f>IF(N(N194)=0,"",IF(N194&gt;0,IF(J194="Cost",IF(O194="","(set the P&amp;L Account)",O194),IF(O194="",set_WIPIncome,O194)),set_WIPAsset))</f>
        <v/>
      </c>
      <c r="R194" s="27">
        <f>IF(OR(N(N194)=0,K194&lt;&gt;""),"",ABS(N194))</f>
        <v/>
      </c>
      <c r="S194" s="25">
        <f>IF(N(N194)=0,"",IF(K194&lt;&gt;"","spreads monthly - see Deferred Revenue","WIP "&amp;I194&amp;IF(D194="",""," - "&amp;D194)&amp;IF(F194="",""," "&amp;F194)&amp;IF(H194="",""," - "&amp;H194)))</f>
        <v/>
      </c>
      <c r="T194" s="24" t="n"/>
      <c r="U194" s="24" t="n"/>
      <c r="V194" s="24" t="n"/>
    </row>
    <row r="195" ht="15" customHeight="1">
      <c r="A195" s="72" t="n"/>
      <c r="B195" s="70">
        <f>IF(C195="","",IFERROR(INDEX(tbl_Finance[Date],MATCH(C195&amp;"",tbl_Finance[Xero Invoice No],0)),""))</f>
        <v/>
      </c>
      <c r="C195" s="24" t="n"/>
      <c r="D195" s="24" t="n"/>
      <c r="E195" s="25">
        <f>IF(D195="","",IF(COUNTIF(lst_Jobs,D195&amp;"")&gt;0,"OK","CHECK"))</f>
        <v/>
      </c>
      <c r="F195" s="24" t="n"/>
      <c r="G195" s="24" t="n"/>
      <c r="H195" s="24" t="n"/>
      <c r="I195" s="24" t="n"/>
      <c r="J195" s="24" t="n"/>
      <c r="K195" s="22" t="n"/>
      <c r="L195" s="22" t="n"/>
      <c r="M195" s="25">
        <f>IF(N195="","",IF(OR(K195="",L195=""),"one month",TEXT(MAX(1,(YEAR(L195)-YEAR(K195))*12+MONTH(L195)-MONTH(K195)+1),"0")&amp;" months - see Deferred Revenue"))</f>
        <v/>
      </c>
      <c r="N195" s="26" t="n"/>
      <c r="O195" s="24" t="n"/>
      <c r="P195" s="25">
        <f>IF(N(N195)=0,"",IF(N195&gt;0,set_WIPAsset,IF(J195="Cost",IF(O195="","(set the P&amp;L Account)",O195),IF(O195="",set_WIPIncome,O195))))</f>
        <v/>
      </c>
      <c r="Q195" s="25">
        <f>IF(N(N195)=0,"",IF(N195&gt;0,IF(J195="Cost",IF(O195="","(set the P&amp;L Account)",O195),IF(O195="",set_WIPIncome,O195)),set_WIPAsset))</f>
        <v/>
      </c>
      <c r="R195" s="27">
        <f>IF(OR(N(N195)=0,K195&lt;&gt;""),"",ABS(N195))</f>
        <v/>
      </c>
      <c r="S195" s="25">
        <f>IF(N(N195)=0,"",IF(K195&lt;&gt;"","spreads monthly - see Deferred Revenue","WIP "&amp;I195&amp;IF(D195="",""," - "&amp;D195)&amp;IF(F195="",""," "&amp;F195)&amp;IF(H195="",""," - "&amp;H195)))</f>
        <v/>
      </c>
      <c r="T195" s="24" t="n"/>
      <c r="U195" s="24" t="n"/>
      <c r="V195" s="24" t="n"/>
    </row>
    <row r="196" ht="15" customHeight="1">
      <c r="A196" s="72" t="n"/>
      <c r="B196" s="70">
        <f>IF(C196="","",IFERROR(INDEX(tbl_Finance[Date],MATCH(C196&amp;"",tbl_Finance[Xero Invoice No],0)),""))</f>
        <v/>
      </c>
      <c r="C196" s="24" t="n"/>
      <c r="D196" s="24" t="n"/>
      <c r="E196" s="25">
        <f>IF(D196="","",IF(COUNTIF(lst_Jobs,D196&amp;"")&gt;0,"OK","CHECK"))</f>
        <v/>
      </c>
      <c r="F196" s="24" t="n"/>
      <c r="G196" s="24" t="n"/>
      <c r="H196" s="24" t="n"/>
      <c r="I196" s="24" t="n"/>
      <c r="J196" s="24" t="n"/>
      <c r="K196" s="22" t="n"/>
      <c r="L196" s="22" t="n"/>
      <c r="M196" s="25">
        <f>IF(N196="","",IF(OR(K196="",L196=""),"one month",TEXT(MAX(1,(YEAR(L196)-YEAR(K196))*12+MONTH(L196)-MONTH(K196)+1),"0")&amp;" months - see Deferred Revenue"))</f>
        <v/>
      </c>
      <c r="N196" s="26" t="n"/>
      <c r="O196" s="24" t="n"/>
      <c r="P196" s="25">
        <f>IF(N(N196)=0,"",IF(N196&gt;0,set_WIPAsset,IF(J196="Cost",IF(O196="","(set the P&amp;L Account)",O196),IF(O196="",set_WIPIncome,O196))))</f>
        <v/>
      </c>
      <c r="Q196" s="25">
        <f>IF(N(N196)=0,"",IF(N196&gt;0,IF(J196="Cost",IF(O196="","(set the P&amp;L Account)",O196),IF(O196="",set_WIPIncome,O196)),set_WIPAsset))</f>
        <v/>
      </c>
      <c r="R196" s="27">
        <f>IF(OR(N(N196)=0,K196&lt;&gt;""),"",ABS(N196))</f>
        <v/>
      </c>
      <c r="S196" s="25">
        <f>IF(N(N196)=0,"",IF(K196&lt;&gt;"","spreads monthly - see Deferred Revenue","WIP "&amp;I196&amp;IF(D196="",""," - "&amp;D196)&amp;IF(F196="",""," "&amp;F196)&amp;IF(H196="",""," - "&amp;H196)))</f>
        <v/>
      </c>
      <c r="T196" s="24" t="n"/>
      <c r="U196" s="24" t="n"/>
      <c r="V196" s="24" t="n"/>
    </row>
    <row r="197" ht="15" customHeight="1">
      <c r="A197" s="72" t="n"/>
      <c r="B197" s="70">
        <f>IF(C197="","",IFERROR(INDEX(tbl_Finance[Date],MATCH(C197&amp;"",tbl_Finance[Xero Invoice No],0)),""))</f>
        <v/>
      </c>
      <c r="C197" s="24" t="n"/>
      <c r="D197" s="24" t="n"/>
      <c r="E197" s="25">
        <f>IF(D197="","",IF(COUNTIF(lst_Jobs,D197&amp;"")&gt;0,"OK","CHECK"))</f>
        <v/>
      </c>
      <c r="F197" s="24" t="n"/>
      <c r="G197" s="24" t="n"/>
      <c r="H197" s="24" t="n"/>
      <c r="I197" s="24" t="n"/>
      <c r="J197" s="24" t="n"/>
      <c r="K197" s="22" t="n"/>
      <c r="L197" s="22" t="n"/>
      <c r="M197" s="25">
        <f>IF(N197="","",IF(OR(K197="",L197=""),"one month",TEXT(MAX(1,(YEAR(L197)-YEAR(K197))*12+MONTH(L197)-MONTH(K197)+1),"0")&amp;" months - see Deferred Revenue"))</f>
        <v/>
      </c>
      <c r="N197" s="26" t="n"/>
      <c r="O197" s="24" t="n"/>
      <c r="P197" s="25">
        <f>IF(N(N197)=0,"",IF(N197&gt;0,set_WIPAsset,IF(J197="Cost",IF(O197="","(set the P&amp;L Account)",O197),IF(O197="",set_WIPIncome,O197))))</f>
        <v/>
      </c>
      <c r="Q197" s="25">
        <f>IF(N(N197)=0,"",IF(N197&gt;0,IF(J197="Cost",IF(O197="","(set the P&amp;L Account)",O197),IF(O197="",set_WIPIncome,O197)),set_WIPAsset))</f>
        <v/>
      </c>
      <c r="R197" s="27">
        <f>IF(OR(N(N197)=0,K197&lt;&gt;""),"",ABS(N197))</f>
        <v/>
      </c>
      <c r="S197" s="25">
        <f>IF(N(N197)=0,"",IF(K197&lt;&gt;"","spreads monthly - see Deferred Revenue","WIP "&amp;I197&amp;IF(D197="",""," - "&amp;D197)&amp;IF(F197="",""," "&amp;F197)&amp;IF(H197="",""," - "&amp;H197)))</f>
        <v/>
      </c>
      <c r="T197" s="24" t="n"/>
      <c r="U197" s="24" t="n"/>
      <c r="V197" s="24" t="n"/>
    </row>
    <row r="198" ht="15" customHeight="1">
      <c r="A198" s="72" t="n"/>
      <c r="B198" s="70">
        <f>IF(C198="","",IFERROR(INDEX(tbl_Finance[Date],MATCH(C198&amp;"",tbl_Finance[Xero Invoice No],0)),""))</f>
        <v/>
      </c>
      <c r="C198" s="24" t="n"/>
      <c r="D198" s="24" t="n"/>
      <c r="E198" s="25">
        <f>IF(D198="","",IF(COUNTIF(lst_Jobs,D198&amp;"")&gt;0,"OK","CHECK"))</f>
        <v/>
      </c>
      <c r="F198" s="24" t="n"/>
      <c r="G198" s="24" t="n"/>
      <c r="H198" s="24" t="n"/>
      <c r="I198" s="24" t="n"/>
      <c r="J198" s="24" t="n"/>
      <c r="K198" s="22" t="n"/>
      <c r="L198" s="22" t="n"/>
      <c r="M198" s="25">
        <f>IF(N198="","",IF(OR(K198="",L198=""),"one month",TEXT(MAX(1,(YEAR(L198)-YEAR(K198))*12+MONTH(L198)-MONTH(K198)+1),"0")&amp;" months - see Deferred Revenue"))</f>
        <v/>
      </c>
      <c r="N198" s="26" t="n"/>
      <c r="O198" s="24" t="n"/>
      <c r="P198" s="25">
        <f>IF(N(N198)=0,"",IF(N198&gt;0,set_WIPAsset,IF(J198="Cost",IF(O198="","(set the P&amp;L Account)",O198),IF(O198="",set_WIPIncome,O198))))</f>
        <v/>
      </c>
      <c r="Q198" s="25">
        <f>IF(N(N198)=0,"",IF(N198&gt;0,IF(J198="Cost",IF(O198="","(set the P&amp;L Account)",O198),IF(O198="",set_WIPIncome,O198)),set_WIPAsset))</f>
        <v/>
      </c>
      <c r="R198" s="27">
        <f>IF(OR(N(N198)=0,K198&lt;&gt;""),"",ABS(N198))</f>
        <v/>
      </c>
      <c r="S198" s="25">
        <f>IF(N(N198)=0,"",IF(K198&lt;&gt;"","spreads monthly - see Deferred Revenue","WIP "&amp;I198&amp;IF(D198="",""," - "&amp;D198)&amp;IF(F198="",""," "&amp;F198)&amp;IF(H198="",""," - "&amp;H198)))</f>
        <v/>
      </c>
      <c r="T198" s="24" t="n"/>
      <c r="U198" s="24" t="n"/>
      <c r="V198" s="24" t="n"/>
    </row>
    <row r="199" ht="15" customHeight="1">
      <c r="A199" s="72" t="n"/>
      <c r="B199" s="70">
        <f>IF(C199="","",IFERROR(INDEX(tbl_Finance[Date],MATCH(C199&amp;"",tbl_Finance[Xero Invoice No],0)),""))</f>
        <v/>
      </c>
      <c r="C199" s="24" t="n"/>
      <c r="D199" s="24" t="n"/>
      <c r="E199" s="25">
        <f>IF(D199="","",IF(COUNTIF(lst_Jobs,D199&amp;"")&gt;0,"OK","CHECK"))</f>
        <v/>
      </c>
      <c r="F199" s="24" t="n"/>
      <c r="G199" s="24" t="n"/>
      <c r="H199" s="24" t="n"/>
      <c r="I199" s="24" t="n"/>
      <c r="J199" s="24" t="n"/>
      <c r="K199" s="22" t="n"/>
      <c r="L199" s="22" t="n"/>
      <c r="M199" s="25">
        <f>IF(N199="","",IF(OR(K199="",L199=""),"one month",TEXT(MAX(1,(YEAR(L199)-YEAR(K199))*12+MONTH(L199)-MONTH(K199)+1),"0")&amp;" months - see Deferred Revenue"))</f>
        <v/>
      </c>
      <c r="N199" s="26" t="n"/>
      <c r="O199" s="24" t="n"/>
      <c r="P199" s="25">
        <f>IF(N(N199)=0,"",IF(N199&gt;0,set_WIPAsset,IF(J199="Cost",IF(O199="","(set the P&amp;L Account)",O199),IF(O199="",set_WIPIncome,O199))))</f>
        <v/>
      </c>
      <c r="Q199" s="25">
        <f>IF(N(N199)=0,"",IF(N199&gt;0,IF(J199="Cost",IF(O199="","(set the P&amp;L Account)",O199),IF(O199="",set_WIPIncome,O199)),set_WIPAsset))</f>
        <v/>
      </c>
      <c r="R199" s="27">
        <f>IF(OR(N(N199)=0,K199&lt;&gt;""),"",ABS(N199))</f>
        <v/>
      </c>
      <c r="S199" s="25">
        <f>IF(N(N199)=0,"",IF(K199&lt;&gt;"","spreads monthly - see Deferred Revenue","WIP "&amp;I199&amp;IF(D199="",""," - "&amp;D199)&amp;IF(F199="",""," "&amp;F199)&amp;IF(H199="",""," - "&amp;H199)))</f>
        <v/>
      </c>
      <c r="T199" s="24" t="n"/>
      <c r="U199" s="24" t="n"/>
      <c r="V199" s="24" t="n"/>
    </row>
    <row r="200" ht="15" customHeight="1">
      <c r="A200" s="72" t="n"/>
      <c r="B200" s="70">
        <f>IF(C200="","",IFERROR(INDEX(tbl_Finance[Date],MATCH(C200&amp;"",tbl_Finance[Xero Invoice No],0)),""))</f>
        <v/>
      </c>
      <c r="C200" s="24" t="n"/>
      <c r="D200" s="24" t="n"/>
      <c r="E200" s="25">
        <f>IF(D200="","",IF(COUNTIF(lst_Jobs,D200&amp;"")&gt;0,"OK","CHECK"))</f>
        <v/>
      </c>
      <c r="F200" s="24" t="n"/>
      <c r="G200" s="24" t="n"/>
      <c r="H200" s="24" t="n"/>
      <c r="I200" s="24" t="n"/>
      <c r="J200" s="24" t="n"/>
      <c r="K200" s="22" t="n"/>
      <c r="L200" s="22" t="n"/>
      <c r="M200" s="25">
        <f>IF(N200="","",IF(OR(K200="",L200=""),"one month",TEXT(MAX(1,(YEAR(L200)-YEAR(K200))*12+MONTH(L200)-MONTH(K200)+1),"0")&amp;" months - see Deferred Revenue"))</f>
        <v/>
      </c>
      <c r="N200" s="26" t="n"/>
      <c r="O200" s="24" t="n"/>
      <c r="P200" s="25">
        <f>IF(N(N200)=0,"",IF(N200&gt;0,set_WIPAsset,IF(J200="Cost",IF(O200="","(set the P&amp;L Account)",O200),IF(O200="",set_WIPIncome,O200))))</f>
        <v/>
      </c>
      <c r="Q200" s="25">
        <f>IF(N(N200)=0,"",IF(N200&gt;0,IF(J200="Cost",IF(O200="","(set the P&amp;L Account)",O200),IF(O200="",set_WIPIncome,O200)),set_WIPAsset))</f>
        <v/>
      </c>
      <c r="R200" s="27">
        <f>IF(OR(N(N200)=0,K200&lt;&gt;""),"",ABS(N200))</f>
        <v/>
      </c>
      <c r="S200" s="25">
        <f>IF(N(N200)=0,"",IF(K200&lt;&gt;"","spreads monthly - see Deferred Revenue","WIP "&amp;I200&amp;IF(D200="",""," - "&amp;D200)&amp;IF(F200="",""," "&amp;F200)&amp;IF(H200="",""," - "&amp;H200)))</f>
        <v/>
      </c>
      <c r="T200" s="24" t="n"/>
      <c r="U200" s="24" t="n"/>
      <c r="V200" s="24" t="n"/>
    </row>
    <row r="201" ht="15" customHeight="1">
      <c r="A201" s="72" t="n"/>
      <c r="B201" s="70">
        <f>IF(C201="","",IFERROR(INDEX(tbl_Finance[Date],MATCH(C201&amp;"",tbl_Finance[Xero Invoice No],0)),""))</f>
        <v/>
      </c>
      <c r="C201" s="24" t="n"/>
      <c r="D201" s="24" t="n"/>
      <c r="E201" s="25">
        <f>IF(D201="","",IF(COUNTIF(lst_Jobs,D201&amp;"")&gt;0,"OK","CHECK"))</f>
        <v/>
      </c>
      <c r="F201" s="24" t="n"/>
      <c r="G201" s="24" t="n"/>
      <c r="H201" s="24" t="n"/>
      <c r="I201" s="24" t="n"/>
      <c r="J201" s="24" t="n"/>
      <c r="K201" s="22" t="n"/>
      <c r="L201" s="22" t="n"/>
      <c r="M201" s="25">
        <f>IF(N201="","",IF(OR(K201="",L201=""),"one month",TEXT(MAX(1,(YEAR(L201)-YEAR(K201))*12+MONTH(L201)-MONTH(K201)+1),"0")&amp;" months - see Deferred Revenue"))</f>
        <v/>
      </c>
      <c r="N201" s="26" t="n"/>
      <c r="O201" s="24" t="n"/>
      <c r="P201" s="25">
        <f>IF(N(N201)=0,"",IF(N201&gt;0,set_WIPAsset,IF(J201="Cost",IF(O201="","(set the P&amp;L Account)",O201),IF(O201="",set_WIPIncome,O201))))</f>
        <v/>
      </c>
      <c r="Q201" s="25">
        <f>IF(N(N201)=0,"",IF(N201&gt;0,IF(J201="Cost",IF(O201="","(set the P&amp;L Account)",O201),IF(O201="",set_WIPIncome,O201)),set_WIPAsset))</f>
        <v/>
      </c>
      <c r="R201" s="27">
        <f>IF(OR(N(N201)=0,K201&lt;&gt;""),"",ABS(N201))</f>
        <v/>
      </c>
      <c r="S201" s="25">
        <f>IF(N(N201)=0,"",IF(K201&lt;&gt;"","spreads monthly - see Deferred Revenue","WIP "&amp;I201&amp;IF(D201="",""," - "&amp;D201)&amp;IF(F201="",""," "&amp;F201)&amp;IF(H201="",""," - "&amp;H201)))</f>
        <v/>
      </c>
      <c r="T201" s="24" t="n"/>
      <c r="U201" s="24" t="n"/>
      <c r="V201" s="24" t="n"/>
    </row>
    <row r="202" ht="15" customHeight="1">
      <c r="A202" s="72" t="n"/>
      <c r="B202" s="70">
        <f>IF(C202="","",IFERROR(INDEX(tbl_Finance[Date],MATCH(C202&amp;"",tbl_Finance[Xero Invoice No],0)),""))</f>
        <v/>
      </c>
      <c r="C202" s="24" t="n"/>
      <c r="D202" s="24" t="n"/>
      <c r="E202" s="25">
        <f>IF(D202="","",IF(COUNTIF(lst_Jobs,D202&amp;"")&gt;0,"OK","CHECK"))</f>
        <v/>
      </c>
      <c r="F202" s="24" t="n"/>
      <c r="G202" s="24" t="n"/>
      <c r="H202" s="24" t="n"/>
      <c r="I202" s="24" t="n"/>
      <c r="J202" s="24" t="n"/>
      <c r="K202" s="22" t="n"/>
      <c r="L202" s="22" t="n"/>
      <c r="M202" s="25">
        <f>IF(N202="","",IF(OR(K202="",L202=""),"one month",TEXT(MAX(1,(YEAR(L202)-YEAR(K202))*12+MONTH(L202)-MONTH(K202)+1),"0")&amp;" months - see Deferred Revenue"))</f>
        <v/>
      </c>
      <c r="N202" s="26" t="n"/>
      <c r="O202" s="24" t="n"/>
      <c r="P202" s="25">
        <f>IF(N(N202)=0,"",IF(N202&gt;0,set_WIPAsset,IF(J202="Cost",IF(O202="","(set the P&amp;L Account)",O202),IF(O202="",set_WIPIncome,O202))))</f>
        <v/>
      </c>
      <c r="Q202" s="25">
        <f>IF(N(N202)=0,"",IF(N202&gt;0,IF(J202="Cost",IF(O202="","(set the P&amp;L Account)",O202),IF(O202="",set_WIPIncome,O202)),set_WIPAsset))</f>
        <v/>
      </c>
      <c r="R202" s="27">
        <f>IF(OR(N(N202)=0,K202&lt;&gt;""),"",ABS(N202))</f>
        <v/>
      </c>
      <c r="S202" s="25">
        <f>IF(N(N202)=0,"",IF(K202&lt;&gt;"","spreads monthly - see Deferred Revenue","WIP "&amp;I202&amp;IF(D202="",""," - "&amp;D202)&amp;IF(F202="",""," "&amp;F202)&amp;IF(H202="",""," - "&amp;H202)))</f>
        <v/>
      </c>
      <c r="T202" s="24" t="n"/>
      <c r="U202" s="24" t="n"/>
      <c r="V202" s="24" t="n"/>
    </row>
    <row r="203" ht="15" customHeight="1">
      <c r="A203" s="72" t="n"/>
      <c r="B203" s="70">
        <f>IF(C203="","",IFERROR(INDEX(tbl_Finance[Date],MATCH(C203&amp;"",tbl_Finance[Xero Invoice No],0)),""))</f>
        <v/>
      </c>
      <c r="C203" s="24" t="n"/>
      <c r="D203" s="24" t="n"/>
      <c r="E203" s="25">
        <f>IF(D203="","",IF(COUNTIF(lst_Jobs,D203&amp;"")&gt;0,"OK","CHECK"))</f>
        <v/>
      </c>
      <c r="F203" s="24" t="n"/>
      <c r="G203" s="24" t="n"/>
      <c r="H203" s="24" t="n"/>
      <c r="I203" s="24" t="n"/>
      <c r="J203" s="24" t="n"/>
      <c r="K203" s="22" t="n"/>
      <c r="L203" s="22" t="n"/>
      <c r="M203" s="25">
        <f>IF(N203="","",IF(OR(K203="",L203=""),"one month",TEXT(MAX(1,(YEAR(L203)-YEAR(K203))*12+MONTH(L203)-MONTH(K203)+1),"0")&amp;" months - see Deferred Revenue"))</f>
        <v/>
      </c>
      <c r="N203" s="26" t="n"/>
      <c r="O203" s="24" t="n"/>
      <c r="P203" s="25">
        <f>IF(N(N203)=0,"",IF(N203&gt;0,set_WIPAsset,IF(J203="Cost",IF(O203="","(set the P&amp;L Account)",O203),IF(O203="",set_WIPIncome,O203))))</f>
        <v/>
      </c>
      <c r="Q203" s="25">
        <f>IF(N(N203)=0,"",IF(N203&gt;0,IF(J203="Cost",IF(O203="","(set the P&amp;L Account)",O203),IF(O203="",set_WIPIncome,O203)),set_WIPAsset))</f>
        <v/>
      </c>
      <c r="R203" s="27">
        <f>IF(OR(N(N203)=0,K203&lt;&gt;""),"",ABS(N203))</f>
        <v/>
      </c>
      <c r="S203" s="25">
        <f>IF(N(N203)=0,"",IF(K203&lt;&gt;"","spreads monthly - see Deferred Revenue","WIP "&amp;I203&amp;IF(D203="",""," - "&amp;D203)&amp;IF(F203="",""," "&amp;F203)&amp;IF(H203="",""," - "&amp;H203)))</f>
        <v/>
      </c>
      <c r="T203" s="24" t="n"/>
      <c r="U203" s="24" t="n"/>
      <c r="V203" s="24" t="n"/>
    </row>
    <row r="204" ht="15" customHeight="1">
      <c r="A204" s="72" t="n"/>
      <c r="B204" s="70">
        <f>IF(C204="","",IFERROR(INDEX(tbl_Finance[Date],MATCH(C204&amp;"",tbl_Finance[Xero Invoice No],0)),""))</f>
        <v/>
      </c>
      <c r="C204" s="24" t="n"/>
      <c r="D204" s="24" t="n"/>
      <c r="E204" s="25">
        <f>IF(D204="","",IF(COUNTIF(lst_Jobs,D204&amp;"")&gt;0,"OK","CHECK"))</f>
        <v/>
      </c>
      <c r="F204" s="24" t="n"/>
      <c r="G204" s="24" t="n"/>
      <c r="H204" s="24" t="n"/>
      <c r="I204" s="24" t="n"/>
      <c r="J204" s="24" t="n"/>
      <c r="K204" s="22" t="n"/>
      <c r="L204" s="22" t="n"/>
      <c r="M204" s="25">
        <f>IF(N204="","",IF(OR(K204="",L204=""),"one month",TEXT(MAX(1,(YEAR(L204)-YEAR(K204))*12+MONTH(L204)-MONTH(K204)+1),"0")&amp;" months - see Deferred Revenue"))</f>
        <v/>
      </c>
      <c r="N204" s="26" t="n"/>
      <c r="O204" s="24" t="n"/>
      <c r="P204" s="25">
        <f>IF(N(N204)=0,"",IF(N204&gt;0,set_WIPAsset,IF(J204="Cost",IF(O204="","(set the P&amp;L Account)",O204),IF(O204="",set_WIPIncome,O204))))</f>
        <v/>
      </c>
      <c r="Q204" s="25">
        <f>IF(N(N204)=0,"",IF(N204&gt;0,IF(J204="Cost",IF(O204="","(set the P&amp;L Account)",O204),IF(O204="",set_WIPIncome,O204)),set_WIPAsset))</f>
        <v/>
      </c>
      <c r="R204" s="27">
        <f>IF(OR(N(N204)=0,K204&lt;&gt;""),"",ABS(N204))</f>
        <v/>
      </c>
      <c r="S204" s="25">
        <f>IF(N(N204)=0,"",IF(K204&lt;&gt;"","spreads monthly - see Deferred Revenue","WIP "&amp;I204&amp;IF(D204="",""," - "&amp;D204)&amp;IF(F204="",""," "&amp;F204)&amp;IF(H204="",""," - "&amp;H204)))</f>
        <v/>
      </c>
      <c r="T204" s="24" t="n"/>
      <c r="U204" s="24" t="n"/>
      <c r="V2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E5:E5000">
    <cfRule type="expression" priority="1" dxfId="0" stopIfTrue="0">
      <formula>E5="CHECK"</formula>
    </cfRule>
  </conditionalFormatting>
  <conditionalFormatting sqref="U5:U5000">
    <cfRule type="expression" priority="2" dxfId="1" stopIfTrue="0">
      <formula>U5="N"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Revenue or Cost&quot; is not on the list in the Lists sheet. Add it there if it is genuinely new." type="list" errorStyle="warning">
      <formula1>lst_RevCost</formula1>
    </dataValidation>
    <dataValidation sqref="U5:U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6B4E7A"/>
    <outlinePr summaryBelow="1" summaryRight="1"/>
    <pageSetUpPr/>
  </sheetPr>
  <dimension ref="A1:O6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20" customWidth="1" min="3" max="3"/>
    <col width="26" customWidth="1" min="4" max="4"/>
    <col width="15" customWidth="1" min="5" max="5"/>
    <col width="12" customWidth="1" min="6" max="6"/>
    <col width="14" customWidth="1" min="7" max="7"/>
    <col width="44" customWidth="1" min="8" max="8"/>
    <col width="15" customWidth="1" min="9" max="9"/>
    <col width="12" customWidth="1" min="10" max="10"/>
    <col width="12" customWidth="1" min="11" max="11"/>
    <col width="20" customWidth="1" min="12" max="12"/>
    <col width="19" customWidth="1" min="13" max="13"/>
    <col width="15" customWidth="1" min="14" max="14"/>
    <col width="38" customWidth="1" min="15" max="15"/>
  </cols>
  <sheetData>
    <row r="1" ht="24" customHeight="1">
      <c r="A1" s="18" t="inlineStr">
        <is>
          <t>Work Won  -  ZOHO, Current RMS and Qwilr</t>
        </is>
      </c>
    </row>
    <row r="2" ht="16" customHeight="1">
      <c r="A2" s="2" t="inlineStr">
        <is>
          <t>Paste the month's won opportunities here, one row each, and Month-End compares the total against what was invoiced. This is a sense check only - nothing on this sheet feeds revenue. Put the job number on a row and it will tell you what has been invoiced against it.</t>
        </is>
      </c>
    </row>
    <row r="3" ht="22" customHeight="1">
      <c r="A3" s="19">
        <f>"Value Ex GST  "&amp;TEXT(SUBTOTAL(109,tbl_Won[Value Ex GST]),"$#,##0.00")&amp;"      "&amp;"On the Finance Sheet  "&amp;TEXT(SUBTOTAL(109,tbl_Won[On the Finance Sheet]),"$#,##0.00")&amp;"      "&amp;"Still to Invoice  "&amp;TEXT(SUBTOTAL(109,tbl_Won[Still to Invoice]),"$#,##0.00")</f>
        <v/>
      </c>
    </row>
    <row r="4" ht="34" customHeight="1">
      <c r="A4" s="20" t="inlineStr">
        <is>
          <t>Month</t>
        </is>
      </c>
      <c r="B4" s="20" t="inlineStr">
        <is>
          <t>Source</t>
        </is>
      </c>
      <c r="C4" s="20" t="inlineStr">
        <is>
          <t>Reference</t>
        </is>
      </c>
      <c r="D4" s="20" t="inlineStr">
        <is>
          <t>Client</t>
        </is>
      </c>
      <c r="E4" s="20" t="inlineStr">
        <is>
          <t>Job Number</t>
        </is>
      </c>
      <c r="F4" s="21" t="inlineStr">
        <is>
          <t>Job in Xero?</t>
        </is>
      </c>
      <c r="G4" s="20" t="inlineStr">
        <is>
          <t>Cost Centre</t>
        </is>
      </c>
      <c r="H4" s="20" t="inlineStr">
        <is>
          <t>Description</t>
        </is>
      </c>
      <c r="I4" s="20" t="inlineStr">
        <is>
          <t>Value Ex GST</t>
        </is>
      </c>
      <c r="J4" s="20" t="inlineStr">
        <is>
          <t>Status</t>
        </is>
      </c>
      <c r="K4" s="20" t="inlineStr">
        <is>
          <t>Date Won</t>
        </is>
      </c>
      <c r="L4" s="20" t="inlineStr">
        <is>
          <t>Expected Invoice Month</t>
        </is>
      </c>
      <c r="M4" s="21" t="inlineStr">
        <is>
          <t>On the Finance Sheet</t>
        </is>
      </c>
      <c r="N4" s="21" t="inlineStr">
        <is>
          <t>Still to Invoice</t>
        </is>
      </c>
      <c r="O4" s="20" t="inlineStr">
        <is>
          <t>Notes</t>
        </is>
      </c>
    </row>
    <row r="5" ht="15" customHeight="1">
      <c r="A5" s="72" t="n"/>
      <c r="B5" s="24" t="n"/>
      <c r="C5" s="24" t="n"/>
      <c r="D5" s="24" t="n"/>
      <c r="E5" s="24" t="n"/>
      <c r="F5" s="25">
        <f>IF(E5="","",IF(COUNTIF(lst_Jobs,E5&amp;"")&gt;0,"OK","CHECK"))</f>
        <v/>
      </c>
      <c r="G5" s="24" t="n"/>
      <c r="H5" s="24" t="n"/>
      <c r="I5" s="26" t="n"/>
      <c r="J5" s="24" t="n"/>
      <c r="K5" s="22" t="n"/>
      <c r="L5" s="72" t="n"/>
      <c r="M5" s="27">
        <f>IF(E5="","",SUMIFS(tbl_Finance[Ex GST],tbl_Finance[Job Number],E5&amp;""))</f>
        <v/>
      </c>
      <c r="N5" s="27">
        <f>IF(J5&lt;&gt;"Won","",IF(E5="",N(I5),I5-M5))</f>
        <v/>
      </c>
      <c r="O5" s="24" t="n"/>
    </row>
    <row r="6" ht="15" customHeight="1">
      <c r="A6" s="72" t="n"/>
      <c r="B6" s="24" t="n"/>
      <c r="C6" s="24" t="n"/>
      <c r="D6" s="24" t="n"/>
      <c r="E6" s="24" t="n"/>
      <c r="F6" s="25">
        <f>IF(E6="","",IF(COUNTIF(lst_Jobs,E6&amp;"")&gt;0,"OK","CHECK"))</f>
        <v/>
      </c>
      <c r="G6" s="24" t="n"/>
      <c r="H6" s="24" t="n"/>
      <c r="I6" s="26" t="n"/>
      <c r="J6" s="24" t="n"/>
      <c r="K6" s="22" t="n"/>
      <c r="L6" s="72" t="n"/>
      <c r="M6" s="27">
        <f>IF(E6="","",SUMIFS(tbl_Finance[Ex GST],tbl_Finance[Job Number],E6&amp;""))</f>
        <v/>
      </c>
      <c r="N6" s="27">
        <f>IF(J6&lt;&gt;"Won","",IF(E6="",N(I6),I6-M6))</f>
        <v/>
      </c>
      <c r="O6" s="24" t="n"/>
    </row>
    <row r="7" ht="15" customHeight="1">
      <c r="A7" s="72" t="n"/>
      <c r="B7" s="24" t="n"/>
      <c r="C7" s="24" t="n"/>
      <c r="D7" s="24" t="n"/>
      <c r="E7" s="24" t="n"/>
      <c r="F7" s="25">
        <f>IF(E7="","",IF(COUNTIF(lst_Jobs,E7&amp;"")&gt;0,"OK","CHECK"))</f>
        <v/>
      </c>
      <c r="G7" s="24" t="n"/>
      <c r="H7" s="24" t="n"/>
      <c r="I7" s="26" t="n"/>
      <c r="J7" s="24" t="n"/>
      <c r="K7" s="22" t="n"/>
      <c r="L7" s="72" t="n"/>
      <c r="M7" s="27">
        <f>IF(E7="","",SUMIFS(tbl_Finance[Ex GST],tbl_Finance[Job Number],E7&amp;""))</f>
        <v/>
      </c>
      <c r="N7" s="27">
        <f>IF(J7&lt;&gt;"Won","",IF(E7="",N(I7),I7-M7))</f>
        <v/>
      </c>
      <c r="O7" s="24" t="n"/>
    </row>
    <row r="8" ht="15" customHeight="1">
      <c r="A8" s="72" t="n"/>
      <c r="B8" s="24" t="n"/>
      <c r="C8" s="24" t="n"/>
      <c r="D8" s="24" t="n"/>
      <c r="E8" s="24" t="n"/>
      <c r="F8" s="25">
        <f>IF(E8="","",IF(COUNTIF(lst_Jobs,E8&amp;"")&gt;0,"OK","CHECK"))</f>
        <v/>
      </c>
      <c r="G8" s="24" t="n"/>
      <c r="H8" s="24" t="n"/>
      <c r="I8" s="26" t="n"/>
      <c r="J8" s="24" t="n"/>
      <c r="K8" s="22" t="n"/>
      <c r="L8" s="72" t="n"/>
      <c r="M8" s="27">
        <f>IF(E8="","",SUMIFS(tbl_Finance[Ex GST],tbl_Finance[Job Number],E8&amp;""))</f>
        <v/>
      </c>
      <c r="N8" s="27">
        <f>IF(J8&lt;&gt;"Won","",IF(E8="",N(I8),I8-M8))</f>
        <v/>
      </c>
      <c r="O8" s="24" t="n"/>
    </row>
    <row r="9" ht="15" customHeight="1">
      <c r="A9" s="72" t="n"/>
      <c r="B9" s="24" t="n"/>
      <c r="C9" s="24" t="n"/>
      <c r="D9" s="24" t="n"/>
      <c r="E9" s="24" t="n"/>
      <c r="F9" s="25">
        <f>IF(E9="","",IF(COUNTIF(lst_Jobs,E9&amp;"")&gt;0,"OK","CHECK"))</f>
        <v/>
      </c>
      <c r="G9" s="24" t="n"/>
      <c r="H9" s="24" t="n"/>
      <c r="I9" s="26" t="n"/>
      <c r="J9" s="24" t="n"/>
      <c r="K9" s="22" t="n"/>
      <c r="L9" s="72" t="n"/>
      <c r="M9" s="27">
        <f>IF(E9="","",SUMIFS(tbl_Finance[Ex GST],tbl_Finance[Job Number],E9&amp;""))</f>
        <v/>
      </c>
      <c r="N9" s="27">
        <f>IF(J9&lt;&gt;"Won","",IF(E9="",N(I9),I9-M9))</f>
        <v/>
      </c>
      <c r="O9" s="24" t="n"/>
    </row>
    <row r="10" ht="15" customHeight="1">
      <c r="A10" s="72" t="n"/>
      <c r="B10" s="24" t="n"/>
      <c r="C10" s="24" t="n"/>
      <c r="D10" s="24" t="n"/>
      <c r="E10" s="24" t="n"/>
      <c r="F10" s="25">
        <f>IF(E10="","",IF(COUNTIF(lst_Jobs,E10&amp;"")&gt;0,"OK","CHECK"))</f>
        <v/>
      </c>
      <c r="G10" s="24" t="n"/>
      <c r="H10" s="24" t="n"/>
      <c r="I10" s="26" t="n"/>
      <c r="J10" s="24" t="n"/>
      <c r="K10" s="22" t="n"/>
      <c r="L10" s="72" t="n"/>
      <c r="M10" s="27">
        <f>IF(E10="","",SUMIFS(tbl_Finance[Ex GST],tbl_Finance[Job Number],E10&amp;""))</f>
        <v/>
      </c>
      <c r="N10" s="27">
        <f>IF(J10&lt;&gt;"Won","",IF(E10="",N(I10),I10-M10))</f>
        <v/>
      </c>
      <c r="O10" s="24" t="n"/>
    </row>
    <row r="11" ht="15" customHeight="1">
      <c r="A11" s="72" t="n"/>
      <c r="B11" s="24" t="n"/>
      <c r="C11" s="24" t="n"/>
      <c r="D11" s="24" t="n"/>
      <c r="E11" s="24" t="n"/>
      <c r="F11" s="25">
        <f>IF(E11="","",IF(COUNTIF(lst_Jobs,E11&amp;"")&gt;0,"OK","CHECK"))</f>
        <v/>
      </c>
      <c r="G11" s="24" t="n"/>
      <c r="H11" s="24" t="n"/>
      <c r="I11" s="26" t="n"/>
      <c r="J11" s="24" t="n"/>
      <c r="K11" s="22" t="n"/>
      <c r="L11" s="72" t="n"/>
      <c r="M11" s="27">
        <f>IF(E11="","",SUMIFS(tbl_Finance[Ex GST],tbl_Finance[Job Number],E11&amp;""))</f>
        <v/>
      </c>
      <c r="N11" s="27">
        <f>IF(J11&lt;&gt;"Won","",IF(E11="",N(I11),I11-M11))</f>
        <v/>
      </c>
      <c r="O11" s="24" t="n"/>
    </row>
    <row r="12" ht="15" customHeight="1">
      <c r="A12" s="72" t="n"/>
      <c r="B12" s="24" t="n"/>
      <c r="C12" s="24" t="n"/>
      <c r="D12" s="24" t="n"/>
      <c r="E12" s="24" t="n"/>
      <c r="F12" s="25">
        <f>IF(E12="","",IF(COUNTIF(lst_Jobs,E12&amp;"")&gt;0,"OK","CHECK"))</f>
        <v/>
      </c>
      <c r="G12" s="24" t="n"/>
      <c r="H12" s="24" t="n"/>
      <c r="I12" s="26" t="n"/>
      <c r="J12" s="24" t="n"/>
      <c r="K12" s="22" t="n"/>
      <c r="L12" s="72" t="n"/>
      <c r="M12" s="27">
        <f>IF(E12="","",SUMIFS(tbl_Finance[Ex GST],tbl_Finance[Job Number],E12&amp;""))</f>
        <v/>
      </c>
      <c r="N12" s="27">
        <f>IF(J12&lt;&gt;"Won","",IF(E12="",N(I12),I12-M12))</f>
        <v/>
      </c>
      <c r="O12" s="24" t="n"/>
    </row>
    <row r="13" ht="15" customHeight="1">
      <c r="A13" s="72" t="n"/>
      <c r="B13" s="24" t="n"/>
      <c r="C13" s="24" t="n"/>
      <c r="D13" s="24" t="n"/>
      <c r="E13" s="24" t="n"/>
      <c r="F13" s="25">
        <f>IF(E13="","",IF(COUNTIF(lst_Jobs,E13&amp;"")&gt;0,"OK","CHECK"))</f>
        <v/>
      </c>
      <c r="G13" s="24" t="n"/>
      <c r="H13" s="24" t="n"/>
      <c r="I13" s="26" t="n"/>
      <c r="J13" s="24" t="n"/>
      <c r="K13" s="22" t="n"/>
      <c r="L13" s="72" t="n"/>
      <c r="M13" s="27">
        <f>IF(E13="","",SUMIFS(tbl_Finance[Ex GST],tbl_Finance[Job Number],E13&amp;""))</f>
        <v/>
      </c>
      <c r="N13" s="27">
        <f>IF(J13&lt;&gt;"Won","",IF(E13="",N(I13),I13-M13))</f>
        <v/>
      </c>
      <c r="O13" s="24" t="n"/>
    </row>
    <row r="14" ht="15" customHeight="1">
      <c r="A14" s="72" t="n"/>
      <c r="B14" s="24" t="n"/>
      <c r="C14" s="24" t="n"/>
      <c r="D14" s="24" t="n"/>
      <c r="E14" s="24" t="n"/>
      <c r="F14" s="25">
        <f>IF(E14="","",IF(COUNTIF(lst_Jobs,E14&amp;"")&gt;0,"OK","CHECK"))</f>
        <v/>
      </c>
      <c r="G14" s="24" t="n"/>
      <c r="H14" s="24" t="n"/>
      <c r="I14" s="26" t="n"/>
      <c r="J14" s="24" t="n"/>
      <c r="K14" s="22" t="n"/>
      <c r="L14" s="72" t="n"/>
      <c r="M14" s="27">
        <f>IF(E14="","",SUMIFS(tbl_Finance[Ex GST],tbl_Finance[Job Number],E14&amp;""))</f>
        <v/>
      </c>
      <c r="N14" s="27">
        <f>IF(J14&lt;&gt;"Won","",IF(E14="",N(I14),I14-M14))</f>
        <v/>
      </c>
      <c r="O14" s="24" t="n"/>
    </row>
    <row r="15" ht="15" customHeight="1">
      <c r="A15" s="72" t="n"/>
      <c r="B15" s="24" t="n"/>
      <c r="C15" s="24" t="n"/>
      <c r="D15" s="24" t="n"/>
      <c r="E15" s="24" t="n"/>
      <c r="F15" s="25">
        <f>IF(E15="","",IF(COUNTIF(lst_Jobs,E15&amp;"")&gt;0,"OK","CHECK"))</f>
        <v/>
      </c>
      <c r="G15" s="24" t="n"/>
      <c r="H15" s="24" t="n"/>
      <c r="I15" s="26" t="n"/>
      <c r="J15" s="24" t="n"/>
      <c r="K15" s="22" t="n"/>
      <c r="L15" s="72" t="n"/>
      <c r="M15" s="27">
        <f>IF(E15="","",SUMIFS(tbl_Finance[Ex GST],tbl_Finance[Job Number],E15&amp;""))</f>
        <v/>
      </c>
      <c r="N15" s="27">
        <f>IF(J15&lt;&gt;"Won","",IF(E15="",N(I15),I15-M15))</f>
        <v/>
      </c>
      <c r="O15" s="24" t="n"/>
    </row>
    <row r="16" ht="15" customHeight="1">
      <c r="A16" s="72" t="n"/>
      <c r="B16" s="24" t="n"/>
      <c r="C16" s="24" t="n"/>
      <c r="D16" s="24" t="n"/>
      <c r="E16" s="24" t="n"/>
      <c r="F16" s="25">
        <f>IF(E16="","",IF(COUNTIF(lst_Jobs,E16&amp;"")&gt;0,"OK","CHECK"))</f>
        <v/>
      </c>
      <c r="G16" s="24" t="n"/>
      <c r="H16" s="24" t="n"/>
      <c r="I16" s="26" t="n"/>
      <c r="J16" s="24" t="n"/>
      <c r="K16" s="22" t="n"/>
      <c r="L16" s="72" t="n"/>
      <c r="M16" s="27">
        <f>IF(E16="","",SUMIFS(tbl_Finance[Ex GST],tbl_Finance[Job Number],E16&amp;""))</f>
        <v/>
      </c>
      <c r="N16" s="27">
        <f>IF(J16&lt;&gt;"Won","",IF(E16="",N(I16),I16-M16))</f>
        <v/>
      </c>
      <c r="O16" s="24" t="n"/>
    </row>
    <row r="17" ht="15" customHeight="1">
      <c r="A17" s="72" t="n"/>
      <c r="B17" s="24" t="n"/>
      <c r="C17" s="24" t="n"/>
      <c r="D17" s="24" t="n"/>
      <c r="E17" s="24" t="n"/>
      <c r="F17" s="25">
        <f>IF(E17="","",IF(COUNTIF(lst_Jobs,E17&amp;"")&gt;0,"OK","CHECK"))</f>
        <v/>
      </c>
      <c r="G17" s="24" t="n"/>
      <c r="H17" s="24" t="n"/>
      <c r="I17" s="26" t="n"/>
      <c r="J17" s="24" t="n"/>
      <c r="K17" s="22" t="n"/>
      <c r="L17" s="72" t="n"/>
      <c r="M17" s="27">
        <f>IF(E17="","",SUMIFS(tbl_Finance[Ex GST],tbl_Finance[Job Number],E17&amp;""))</f>
        <v/>
      </c>
      <c r="N17" s="27">
        <f>IF(J17&lt;&gt;"Won","",IF(E17="",N(I17),I17-M17))</f>
        <v/>
      </c>
      <c r="O17" s="24" t="n"/>
    </row>
    <row r="18" ht="15" customHeight="1">
      <c r="A18" s="72" t="n"/>
      <c r="B18" s="24" t="n"/>
      <c r="C18" s="24" t="n"/>
      <c r="D18" s="24" t="n"/>
      <c r="E18" s="24" t="n"/>
      <c r="F18" s="25">
        <f>IF(E18="","",IF(COUNTIF(lst_Jobs,E18&amp;"")&gt;0,"OK","CHECK"))</f>
        <v/>
      </c>
      <c r="G18" s="24" t="n"/>
      <c r="H18" s="24" t="n"/>
      <c r="I18" s="26" t="n"/>
      <c r="J18" s="24" t="n"/>
      <c r="K18" s="22" t="n"/>
      <c r="L18" s="72" t="n"/>
      <c r="M18" s="27">
        <f>IF(E18="","",SUMIFS(tbl_Finance[Ex GST],tbl_Finance[Job Number],E18&amp;""))</f>
        <v/>
      </c>
      <c r="N18" s="27">
        <f>IF(J18&lt;&gt;"Won","",IF(E18="",N(I18),I18-M18))</f>
        <v/>
      </c>
      <c r="O18" s="24" t="n"/>
    </row>
    <row r="19" ht="15" customHeight="1">
      <c r="A19" s="72" t="n"/>
      <c r="B19" s="24" t="n"/>
      <c r="C19" s="24" t="n"/>
      <c r="D19" s="24" t="n"/>
      <c r="E19" s="24" t="n"/>
      <c r="F19" s="25">
        <f>IF(E19="","",IF(COUNTIF(lst_Jobs,E19&amp;"")&gt;0,"OK","CHECK"))</f>
        <v/>
      </c>
      <c r="G19" s="24" t="n"/>
      <c r="H19" s="24" t="n"/>
      <c r="I19" s="26" t="n"/>
      <c r="J19" s="24" t="n"/>
      <c r="K19" s="22" t="n"/>
      <c r="L19" s="72" t="n"/>
      <c r="M19" s="27">
        <f>IF(E19="","",SUMIFS(tbl_Finance[Ex GST],tbl_Finance[Job Number],E19&amp;""))</f>
        <v/>
      </c>
      <c r="N19" s="27">
        <f>IF(J19&lt;&gt;"Won","",IF(E19="",N(I19),I19-M19))</f>
        <v/>
      </c>
      <c r="O19" s="24" t="n"/>
    </row>
    <row r="20" ht="15" customHeight="1">
      <c r="A20" s="72" t="n"/>
      <c r="B20" s="24" t="n"/>
      <c r="C20" s="24" t="n"/>
      <c r="D20" s="24" t="n"/>
      <c r="E20" s="24" t="n"/>
      <c r="F20" s="25">
        <f>IF(E20="","",IF(COUNTIF(lst_Jobs,E20&amp;"")&gt;0,"OK","CHECK"))</f>
        <v/>
      </c>
      <c r="G20" s="24" t="n"/>
      <c r="H20" s="24" t="n"/>
      <c r="I20" s="26" t="n"/>
      <c r="J20" s="24" t="n"/>
      <c r="K20" s="22" t="n"/>
      <c r="L20" s="72" t="n"/>
      <c r="M20" s="27">
        <f>IF(E20="","",SUMIFS(tbl_Finance[Ex GST],tbl_Finance[Job Number],E20&amp;""))</f>
        <v/>
      </c>
      <c r="N20" s="27">
        <f>IF(J20&lt;&gt;"Won","",IF(E20="",N(I20),I20-M20))</f>
        <v/>
      </c>
      <c r="O20" s="24" t="n"/>
    </row>
    <row r="21" ht="15" customHeight="1">
      <c r="A21" s="72" t="n"/>
      <c r="B21" s="24" t="n"/>
      <c r="C21" s="24" t="n"/>
      <c r="D21" s="24" t="n"/>
      <c r="E21" s="24" t="n"/>
      <c r="F21" s="25">
        <f>IF(E21="","",IF(COUNTIF(lst_Jobs,E21&amp;"")&gt;0,"OK","CHECK"))</f>
        <v/>
      </c>
      <c r="G21" s="24" t="n"/>
      <c r="H21" s="24" t="n"/>
      <c r="I21" s="26" t="n"/>
      <c r="J21" s="24" t="n"/>
      <c r="K21" s="22" t="n"/>
      <c r="L21" s="72" t="n"/>
      <c r="M21" s="27">
        <f>IF(E21="","",SUMIFS(tbl_Finance[Ex GST],tbl_Finance[Job Number],E21&amp;""))</f>
        <v/>
      </c>
      <c r="N21" s="27">
        <f>IF(J21&lt;&gt;"Won","",IF(E21="",N(I21),I21-M21))</f>
        <v/>
      </c>
      <c r="O21" s="24" t="n"/>
    </row>
    <row r="22" ht="15" customHeight="1">
      <c r="A22" s="72" t="n"/>
      <c r="B22" s="24" t="n"/>
      <c r="C22" s="24" t="n"/>
      <c r="D22" s="24" t="n"/>
      <c r="E22" s="24" t="n"/>
      <c r="F22" s="25">
        <f>IF(E22="","",IF(COUNTIF(lst_Jobs,E22&amp;"")&gt;0,"OK","CHECK"))</f>
        <v/>
      </c>
      <c r="G22" s="24" t="n"/>
      <c r="H22" s="24" t="n"/>
      <c r="I22" s="26" t="n"/>
      <c r="J22" s="24" t="n"/>
      <c r="K22" s="22" t="n"/>
      <c r="L22" s="72" t="n"/>
      <c r="M22" s="27">
        <f>IF(E22="","",SUMIFS(tbl_Finance[Ex GST],tbl_Finance[Job Number],E22&amp;""))</f>
        <v/>
      </c>
      <c r="N22" s="27">
        <f>IF(J22&lt;&gt;"Won","",IF(E22="",N(I22),I22-M22))</f>
        <v/>
      </c>
      <c r="O22" s="24" t="n"/>
    </row>
    <row r="23" ht="15" customHeight="1">
      <c r="A23" s="72" t="n"/>
      <c r="B23" s="24" t="n"/>
      <c r="C23" s="24" t="n"/>
      <c r="D23" s="24" t="n"/>
      <c r="E23" s="24" t="n"/>
      <c r="F23" s="25">
        <f>IF(E23="","",IF(COUNTIF(lst_Jobs,E23&amp;"")&gt;0,"OK","CHECK"))</f>
        <v/>
      </c>
      <c r="G23" s="24" t="n"/>
      <c r="H23" s="24" t="n"/>
      <c r="I23" s="26" t="n"/>
      <c r="J23" s="24" t="n"/>
      <c r="K23" s="22" t="n"/>
      <c r="L23" s="72" t="n"/>
      <c r="M23" s="27">
        <f>IF(E23="","",SUMIFS(tbl_Finance[Ex GST],tbl_Finance[Job Number],E23&amp;""))</f>
        <v/>
      </c>
      <c r="N23" s="27">
        <f>IF(J23&lt;&gt;"Won","",IF(E23="",N(I23),I23-M23))</f>
        <v/>
      </c>
      <c r="O23" s="24" t="n"/>
    </row>
    <row r="24" ht="15" customHeight="1">
      <c r="A24" s="72" t="n"/>
      <c r="B24" s="24" t="n"/>
      <c r="C24" s="24" t="n"/>
      <c r="D24" s="24" t="n"/>
      <c r="E24" s="24" t="n"/>
      <c r="F24" s="25">
        <f>IF(E24="","",IF(COUNTIF(lst_Jobs,E24&amp;"")&gt;0,"OK","CHECK"))</f>
        <v/>
      </c>
      <c r="G24" s="24" t="n"/>
      <c r="H24" s="24" t="n"/>
      <c r="I24" s="26" t="n"/>
      <c r="J24" s="24" t="n"/>
      <c r="K24" s="22" t="n"/>
      <c r="L24" s="72" t="n"/>
      <c r="M24" s="27">
        <f>IF(E24="","",SUMIFS(tbl_Finance[Ex GST],tbl_Finance[Job Number],E24&amp;""))</f>
        <v/>
      </c>
      <c r="N24" s="27">
        <f>IF(J24&lt;&gt;"Won","",IF(E24="",N(I24),I24-M24))</f>
        <v/>
      </c>
      <c r="O24" s="24" t="n"/>
    </row>
    <row r="25" ht="15" customHeight="1">
      <c r="A25" s="72" t="n"/>
      <c r="B25" s="24" t="n"/>
      <c r="C25" s="24" t="n"/>
      <c r="D25" s="24" t="n"/>
      <c r="E25" s="24" t="n"/>
      <c r="F25" s="25">
        <f>IF(E25="","",IF(COUNTIF(lst_Jobs,E25&amp;"")&gt;0,"OK","CHECK"))</f>
        <v/>
      </c>
      <c r="G25" s="24" t="n"/>
      <c r="H25" s="24" t="n"/>
      <c r="I25" s="26" t="n"/>
      <c r="J25" s="24" t="n"/>
      <c r="K25" s="22" t="n"/>
      <c r="L25" s="72" t="n"/>
      <c r="M25" s="27">
        <f>IF(E25="","",SUMIFS(tbl_Finance[Ex GST],tbl_Finance[Job Number],E25&amp;""))</f>
        <v/>
      </c>
      <c r="N25" s="27">
        <f>IF(J25&lt;&gt;"Won","",IF(E25="",N(I25),I25-M25))</f>
        <v/>
      </c>
      <c r="O25" s="24" t="n"/>
    </row>
    <row r="26" ht="15" customHeight="1">
      <c r="A26" s="72" t="n"/>
      <c r="B26" s="24" t="n"/>
      <c r="C26" s="24" t="n"/>
      <c r="D26" s="24" t="n"/>
      <c r="E26" s="24" t="n"/>
      <c r="F26" s="25">
        <f>IF(E26="","",IF(COUNTIF(lst_Jobs,E26&amp;"")&gt;0,"OK","CHECK"))</f>
        <v/>
      </c>
      <c r="G26" s="24" t="n"/>
      <c r="H26" s="24" t="n"/>
      <c r="I26" s="26" t="n"/>
      <c r="J26" s="24" t="n"/>
      <c r="K26" s="22" t="n"/>
      <c r="L26" s="72" t="n"/>
      <c r="M26" s="27">
        <f>IF(E26="","",SUMIFS(tbl_Finance[Ex GST],tbl_Finance[Job Number],E26&amp;""))</f>
        <v/>
      </c>
      <c r="N26" s="27">
        <f>IF(J26&lt;&gt;"Won","",IF(E26="",N(I26),I26-M26))</f>
        <v/>
      </c>
      <c r="O26" s="24" t="n"/>
    </row>
    <row r="27" ht="15" customHeight="1">
      <c r="A27" s="72" t="n"/>
      <c r="B27" s="24" t="n"/>
      <c r="C27" s="24" t="n"/>
      <c r="D27" s="24" t="n"/>
      <c r="E27" s="24" t="n"/>
      <c r="F27" s="25">
        <f>IF(E27="","",IF(COUNTIF(lst_Jobs,E27&amp;"")&gt;0,"OK","CHECK"))</f>
        <v/>
      </c>
      <c r="G27" s="24" t="n"/>
      <c r="H27" s="24" t="n"/>
      <c r="I27" s="26" t="n"/>
      <c r="J27" s="24" t="n"/>
      <c r="K27" s="22" t="n"/>
      <c r="L27" s="72" t="n"/>
      <c r="M27" s="27">
        <f>IF(E27="","",SUMIFS(tbl_Finance[Ex GST],tbl_Finance[Job Number],E27&amp;""))</f>
        <v/>
      </c>
      <c r="N27" s="27">
        <f>IF(J27&lt;&gt;"Won","",IF(E27="",N(I27),I27-M27))</f>
        <v/>
      </c>
      <c r="O27" s="24" t="n"/>
    </row>
    <row r="28" ht="15" customHeight="1">
      <c r="A28" s="72" t="n"/>
      <c r="B28" s="24" t="n"/>
      <c r="C28" s="24" t="n"/>
      <c r="D28" s="24" t="n"/>
      <c r="E28" s="24" t="n"/>
      <c r="F28" s="25">
        <f>IF(E28="","",IF(COUNTIF(lst_Jobs,E28&amp;"")&gt;0,"OK","CHECK"))</f>
        <v/>
      </c>
      <c r="G28" s="24" t="n"/>
      <c r="H28" s="24" t="n"/>
      <c r="I28" s="26" t="n"/>
      <c r="J28" s="24" t="n"/>
      <c r="K28" s="22" t="n"/>
      <c r="L28" s="72" t="n"/>
      <c r="M28" s="27">
        <f>IF(E28="","",SUMIFS(tbl_Finance[Ex GST],tbl_Finance[Job Number],E28&amp;""))</f>
        <v/>
      </c>
      <c r="N28" s="27">
        <f>IF(J28&lt;&gt;"Won","",IF(E28="",N(I28),I28-M28))</f>
        <v/>
      </c>
      <c r="O28" s="24" t="n"/>
    </row>
    <row r="29" ht="15" customHeight="1">
      <c r="A29" s="72" t="n"/>
      <c r="B29" s="24" t="n"/>
      <c r="C29" s="24" t="n"/>
      <c r="D29" s="24" t="n"/>
      <c r="E29" s="24" t="n"/>
      <c r="F29" s="25">
        <f>IF(E29="","",IF(COUNTIF(lst_Jobs,E29&amp;"")&gt;0,"OK","CHECK"))</f>
        <v/>
      </c>
      <c r="G29" s="24" t="n"/>
      <c r="H29" s="24" t="n"/>
      <c r="I29" s="26" t="n"/>
      <c r="J29" s="24" t="n"/>
      <c r="K29" s="22" t="n"/>
      <c r="L29" s="72" t="n"/>
      <c r="M29" s="27">
        <f>IF(E29="","",SUMIFS(tbl_Finance[Ex GST],tbl_Finance[Job Number],E29&amp;""))</f>
        <v/>
      </c>
      <c r="N29" s="27">
        <f>IF(J29&lt;&gt;"Won","",IF(E29="",N(I29),I29-M29))</f>
        <v/>
      </c>
      <c r="O29" s="24" t="n"/>
    </row>
    <row r="30" ht="15" customHeight="1">
      <c r="A30" s="72" t="n"/>
      <c r="B30" s="24" t="n"/>
      <c r="C30" s="24" t="n"/>
      <c r="D30" s="24" t="n"/>
      <c r="E30" s="24" t="n"/>
      <c r="F30" s="25">
        <f>IF(E30="","",IF(COUNTIF(lst_Jobs,E30&amp;"")&gt;0,"OK","CHECK"))</f>
        <v/>
      </c>
      <c r="G30" s="24" t="n"/>
      <c r="H30" s="24" t="n"/>
      <c r="I30" s="26" t="n"/>
      <c r="J30" s="24" t="n"/>
      <c r="K30" s="22" t="n"/>
      <c r="L30" s="72" t="n"/>
      <c r="M30" s="27">
        <f>IF(E30="","",SUMIFS(tbl_Finance[Ex GST],tbl_Finance[Job Number],E30&amp;""))</f>
        <v/>
      </c>
      <c r="N30" s="27">
        <f>IF(J30&lt;&gt;"Won","",IF(E30="",N(I30),I30-M30))</f>
        <v/>
      </c>
      <c r="O30" s="24" t="n"/>
    </row>
    <row r="31" ht="15" customHeight="1">
      <c r="A31" s="72" t="n"/>
      <c r="B31" s="24" t="n"/>
      <c r="C31" s="24" t="n"/>
      <c r="D31" s="24" t="n"/>
      <c r="E31" s="24" t="n"/>
      <c r="F31" s="25">
        <f>IF(E31="","",IF(COUNTIF(lst_Jobs,E31&amp;"")&gt;0,"OK","CHECK"))</f>
        <v/>
      </c>
      <c r="G31" s="24" t="n"/>
      <c r="H31" s="24" t="n"/>
      <c r="I31" s="26" t="n"/>
      <c r="J31" s="24" t="n"/>
      <c r="K31" s="22" t="n"/>
      <c r="L31" s="72" t="n"/>
      <c r="M31" s="27">
        <f>IF(E31="","",SUMIFS(tbl_Finance[Ex GST],tbl_Finance[Job Number],E31&amp;""))</f>
        <v/>
      </c>
      <c r="N31" s="27">
        <f>IF(J31&lt;&gt;"Won","",IF(E31="",N(I31),I31-M31))</f>
        <v/>
      </c>
      <c r="O31" s="24" t="n"/>
    </row>
    <row r="32" ht="15" customHeight="1">
      <c r="A32" s="72" t="n"/>
      <c r="B32" s="24" t="n"/>
      <c r="C32" s="24" t="n"/>
      <c r="D32" s="24" t="n"/>
      <c r="E32" s="24" t="n"/>
      <c r="F32" s="25">
        <f>IF(E32="","",IF(COUNTIF(lst_Jobs,E32&amp;"")&gt;0,"OK","CHECK"))</f>
        <v/>
      </c>
      <c r="G32" s="24" t="n"/>
      <c r="H32" s="24" t="n"/>
      <c r="I32" s="26" t="n"/>
      <c r="J32" s="24" t="n"/>
      <c r="K32" s="22" t="n"/>
      <c r="L32" s="72" t="n"/>
      <c r="M32" s="27">
        <f>IF(E32="","",SUMIFS(tbl_Finance[Ex GST],tbl_Finance[Job Number],E32&amp;""))</f>
        <v/>
      </c>
      <c r="N32" s="27">
        <f>IF(J32&lt;&gt;"Won","",IF(E32="",N(I32),I32-M32))</f>
        <v/>
      </c>
      <c r="O32" s="24" t="n"/>
    </row>
    <row r="33" ht="15" customHeight="1">
      <c r="A33" s="72" t="n"/>
      <c r="B33" s="24" t="n"/>
      <c r="C33" s="24" t="n"/>
      <c r="D33" s="24" t="n"/>
      <c r="E33" s="24" t="n"/>
      <c r="F33" s="25">
        <f>IF(E33="","",IF(COUNTIF(lst_Jobs,E33&amp;"")&gt;0,"OK","CHECK"))</f>
        <v/>
      </c>
      <c r="G33" s="24" t="n"/>
      <c r="H33" s="24" t="n"/>
      <c r="I33" s="26" t="n"/>
      <c r="J33" s="24" t="n"/>
      <c r="K33" s="22" t="n"/>
      <c r="L33" s="72" t="n"/>
      <c r="M33" s="27">
        <f>IF(E33="","",SUMIFS(tbl_Finance[Ex GST],tbl_Finance[Job Number],E33&amp;""))</f>
        <v/>
      </c>
      <c r="N33" s="27">
        <f>IF(J33&lt;&gt;"Won","",IF(E33="",N(I33),I33-M33))</f>
        <v/>
      </c>
      <c r="O33" s="24" t="n"/>
    </row>
    <row r="34" ht="15" customHeight="1">
      <c r="A34" s="72" t="n"/>
      <c r="B34" s="24" t="n"/>
      <c r="C34" s="24" t="n"/>
      <c r="D34" s="24" t="n"/>
      <c r="E34" s="24" t="n"/>
      <c r="F34" s="25">
        <f>IF(E34="","",IF(COUNTIF(lst_Jobs,E34&amp;"")&gt;0,"OK","CHECK"))</f>
        <v/>
      </c>
      <c r="G34" s="24" t="n"/>
      <c r="H34" s="24" t="n"/>
      <c r="I34" s="26" t="n"/>
      <c r="J34" s="24" t="n"/>
      <c r="K34" s="22" t="n"/>
      <c r="L34" s="72" t="n"/>
      <c r="M34" s="27">
        <f>IF(E34="","",SUMIFS(tbl_Finance[Ex GST],tbl_Finance[Job Number],E34&amp;""))</f>
        <v/>
      </c>
      <c r="N34" s="27">
        <f>IF(J34&lt;&gt;"Won","",IF(E34="",N(I34),I34-M34))</f>
        <v/>
      </c>
      <c r="O34" s="24" t="n"/>
    </row>
    <row r="35" ht="15" customHeight="1">
      <c r="A35" s="72" t="n"/>
      <c r="B35" s="24" t="n"/>
      <c r="C35" s="24" t="n"/>
      <c r="D35" s="24" t="n"/>
      <c r="E35" s="24" t="n"/>
      <c r="F35" s="25">
        <f>IF(E35="","",IF(COUNTIF(lst_Jobs,E35&amp;"")&gt;0,"OK","CHECK"))</f>
        <v/>
      </c>
      <c r="G35" s="24" t="n"/>
      <c r="H35" s="24" t="n"/>
      <c r="I35" s="26" t="n"/>
      <c r="J35" s="24" t="n"/>
      <c r="K35" s="22" t="n"/>
      <c r="L35" s="72" t="n"/>
      <c r="M35" s="27">
        <f>IF(E35="","",SUMIFS(tbl_Finance[Ex GST],tbl_Finance[Job Number],E35&amp;""))</f>
        <v/>
      </c>
      <c r="N35" s="27">
        <f>IF(J35&lt;&gt;"Won","",IF(E35="",N(I35),I35-M35))</f>
        <v/>
      </c>
      <c r="O35" s="24" t="n"/>
    </row>
    <row r="36" ht="15" customHeight="1">
      <c r="A36" s="72" t="n"/>
      <c r="B36" s="24" t="n"/>
      <c r="C36" s="24" t="n"/>
      <c r="D36" s="24" t="n"/>
      <c r="E36" s="24" t="n"/>
      <c r="F36" s="25">
        <f>IF(E36="","",IF(COUNTIF(lst_Jobs,E36&amp;"")&gt;0,"OK","CHECK"))</f>
        <v/>
      </c>
      <c r="G36" s="24" t="n"/>
      <c r="H36" s="24" t="n"/>
      <c r="I36" s="26" t="n"/>
      <c r="J36" s="24" t="n"/>
      <c r="K36" s="22" t="n"/>
      <c r="L36" s="72" t="n"/>
      <c r="M36" s="27">
        <f>IF(E36="","",SUMIFS(tbl_Finance[Ex GST],tbl_Finance[Job Number],E36&amp;""))</f>
        <v/>
      </c>
      <c r="N36" s="27">
        <f>IF(J36&lt;&gt;"Won","",IF(E36="",N(I36),I36-M36))</f>
        <v/>
      </c>
      <c r="O36" s="24" t="n"/>
    </row>
    <row r="37" ht="15" customHeight="1">
      <c r="A37" s="72" t="n"/>
      <c r="B37" s="24" t="n"/>
      <c r="C37" s="24" t="n"/>
      <c r="D37" s="24" t="n"/>
      <c r="E37" s="24" t="n"/>
      <c r="F37" s="25">
        <f>IF(E37="","",IF(COUNTIF(lst_Jobs,E37&amp;"")&gt;0,"OK","CHECK"))</f>
        <v/>
      </c>
      <c r="G37" s="24" t="n"/>
      <c r="H37" s="24" t="n"/>
      <c r="I37" s="26" t="n"/>
      <c r="J37" s="24" t="n"/>
      <c r="K37" s="22" t="n"/>
      <c r="L37" s="72" t="n"/>
      <c r="M37" s="27">
        <f>IF(E37="","",SUMIFS(tbl_Finance[Ex GST],tbl_Finance[Job Number],E37&amp;""))</f>
        <v/>
      </c>
      <c r="N37" s="27">
        <f>IF(J37&lt;&gt;"Won","",IF(E37="",N(I37),I37-M37))</f>
        <v/>
      </c>
      <c r="O37" s="24" t="n"/>
    </row>
    <row r="38" ht="15" customHeight="1">
      <c r="A38" s="72" t="n"/>
      <c r="B38" s="24" t="n"/>
      <c r="C38" s="24" t="n"/>
      <c r="D38" s="24" t="n"/>
      <c r="E38" s="24" t="n"/>
      <c r="F38" s="25">
        <f>IF(E38="","",IF(COUNTIF(lst_Jobs,E38&amp;"")&gt;0,"OK","CHECK"))</f>
        <v/>
      </c>
      <c r="G38" s="24" t="n"/>
      <c r="H38" s="24" t="n"/>
      <c r="I38" s="26" t="n"/>
      <c r="J38" s="24" t="n"/>
      <c r="K38" s="22" t="n"/>
      <c r="L38" s="72" t="n"/>
      <c r="M38" s="27">
        <f>IF(E38="","",SUMIFS(tbl_Finance[Ex GST],tbl_Finance[Job Number],E38&amp;""))</f>
        <v/>
      </c>
      <c r="N38" s="27">
        <f>IF(J38&lt;&gt;"Won","",IF(E38="",N(I38),I38-M38))</f>
        <v/>
      </c>
      <c r="O38" s="24" t="n"/>
    </row>
    <row r="39" ht="15" customHeight="1">
      <c r="A39" s="72" t="n"/>
      <c r="B39" s="24" t="n"/>
      <c r="C39" s="24" t="n"/>
      <c r="D39" s="24" t="n"/>
      <c r="E39" s="24" t="n"/>
      <c r="F39" s="25">
        <f>IF(E39="","",IF(COUNTIF(lst_Jobs,E39&amp;"")&gt;0,"OK","CHECK"))</f>
        <v/>
      </c>
      <c r="G39" s="24" t="n"/>
      <c r="H39" s="24" t="n"/>
      <c r="I39" s="26" t="n"/>
      <c r="J39" s="24" t="n"/>
      <c r="K39" s="22" t="n"/>
      <c r="L39" s="72" t="n"/>
      <c r="M39" s="27">
        <f>IF(E39="","",SUMIFS(tbl_Finance[Ex GST],tbl_Finance[Job Number],E39&amp;""))</f>
        <v/>
      </c>
      <c r="N39" s="27">
        <f>IF(J39&lt;&gt;"Won","",IF(E39="",N(I39),I39-M39))</f>
        <v/>
      </c>
      <c r="O39" s="24" t="n"/>
    </row>
    <row r="40" ht="15" customHeight="1">
      <c r="A40" s="72" t="n"/>
      <c r="B40" s="24" t="n"/>
      <c r="C40" s="24" t="n"/>
      <c r="D40" s="24" t="n"/>
      <c r="E40" s="24" t="n"/>
      <c r="F40" s="25">
        <f>IF(E40="","",IF(COUNTIF(lst_Jobs,E40&amp;"")&gt;0,"OK","CHECK"))</f>
        <v/>
      </c>
      <c r="G40" s="24" t="n"/>
      <c r="H40" s="24" t="n"/>
      <c r="I40" s="26" t="n"/>
      <c r="J40" s="24" t="n"/>
      <c r="K40" s="22" t="n"/>
      <c r="L40" s="72" t="n"/>
      <c r="M40" s="27">
        <f>IF(E40="","",SUMIFS(tbl_Finance[Ex GST],tbl_Finance[Job Number],E40&amp;""))</f>
        <v/>
      </c>
      <c r="N40" s="27">
        <f>IF(J40&lt;&gt;"Won","",IF(E40="",N(I40),I40-M40))</f>
        <v/>
      </c>
      <c r="O40" s="24" t="n"/>
    </row>
    <row r="41" ht="15" customHeight="1">
      <c r="A41" s="72" t="n"/>
      <c r="B41" s="24" t="n"/>
      <c r="C41" s="24" t="n"/>
      <c r="D41" s="24" t="n"/>
      <c r="E41" s="24" t="n"/>
      <c r="F41" s="25">
        <f>IF(E41="","",IF(COUNTIF(lst_Jobs,E41&amp;"")&gt;0,"OK","CHECK"))</f>
        <v/>
      </c>
      <c r="G41" s="24" t="n"/>
      <c r="H41" s="24" t="n"/>
      <c r="I41" s="26" t="n"/>
      <c r="J41" s="24" t="n"/>
      <c r="K41" s="22" t="n"/>
      <c r="L41" s="72" t="n"/>
      <c r="M41" s="27">
        <f>IF(E41="","",SUMIFS(tbl_Finance[Ex GST],tbl_Finance[Job Number],E41&amp;""))</f>
        <v/>
      </c>
      <c r="N41" s="27">
        <f>IF(J41&lt;&gt;"Won","",IF(E41="",N(I41),I41-M41))</f>
        <v/>
      </c>
      <c r="O41" s="24" t="n"/>
    </row>
    <row r="42" ht="15" customHeight="1">
      <c r="A42" s="72" t="n"/>
      <c r="B42" s="24" t="n"/>
      <c r="C42" s="24" t="n"/>
      <c r="D42" s="24" t="n"/>
      <c r="E42" s="24" t="n"/>
      <c r="F42" s="25">
        <f>IF(E42="","",IF(COUNTIF(lst_Jobs,E42&amp;"")&gt;0,"OK","CHECK"))</f>
        <v/>
      </c>
      <c r="G42" s="24" t="n"/>
      <c r="H42" s="24" t="n"/>
      <c r="I42" s="26" t="n"/>
      <c r="J42" s="24" t="n"/>
      <c r="K42" s="22" t="n"/>
      <c r="L42" s="72" t="n"/>
      <c r="M42" s="27">
        <f>IF(E42="","",SUMIFS(tbl_Finance[Ex GST],tbl_Finance[Job Number],E42&amp;""))</f>
        <v/>
      </c>
      <c r="N42" s="27">
        <f>IF(J42&lt;&gt;"Won","",IF(E42="",N(I42),I42-M42))</f>
        <v/>
      </c>
      <c r="O42" s="24" t="n"/>
    </row>
    <row r="43" ht="15" customHeight="1">
      <c r="A43" s="72" t="n"/>
      <c r="B43" s="24" t="n"/>
      <c r="C43" s="24" t="n"/>
      <c r="D43" s="24" t="n"/>
      <c r="E43" s="24" t="n"/>
      <c r="F43" s="25">
        <f>IF(E43="","",IF(COUNTIF(lst_Jobs,E43&amp;"")&gt;0,"OK","CHECK"))</f>
        <v/>
      </c>
      <c r="G43" s="24" t="n"/>
      <c r="H43" s="24" t="n"/>
      <c r="I43" s="26" t="n"/>
      <c r="J43" s="24" t="n"/>
      <c r="K43" s="22" t="n"/>
      <c r="L43" s="72" t="n"/>
      <c r="M43" s="27">
        <f>IF(E43="","",SUMIFS(tbl_Finance[Ex GST],tbl_Finance[Job Number],E43&amp;""))</f>
        <v/>
      </c>
      <c r="N43" s="27">
        <f>IF(J43&lt;&gt;"Won","",IF(E43="",N(I43),I43-M43))</f>
        <v/>
      </c>
      <c r="O43" s="24" t="n"/>
    </row>
    <row r="44" ht="15" customHeight="1">
      <c r="A44" s="72" t="n"/>
      <c r="B44" s="24" t="n"/>
      <c r="C44" s="24" t="n"/>
      <c r="D44" s="24" t="n"/>
      <c r="E44" s="24" t="n"/>
      <c r="F44" s="25">
        <f>IF(E44="","",IF(COUNTIF(lst_Jobs,E44&amp;"")&gt;0,"OK","CHECK"))</f>
        <v/>
      </c>
      <c r="G44" s="24" t="n"/>
      <c r="H44" s="24" t="n"/>
      <c r="I44" s="26" t="n"/>
      <c r="J44" s="24" t="n"/>
      <c r="K44" s="22" t="n"/>
      <c r="L44" s="72" t="n"/>
      <c r="M44" s="27">
        <f>IF(E44="","",SUMIFS(tbl_Finance[Ex GST],tbl_Finance[Job Number],E44&amp;""))</f>
        <v/>
      </c>
      <c r="N44" s="27">
        <f>IF(J44&lt;&gt;"Won","",IF(E44="",N(I44),I44-M44))</f>
        <v/>
      </c>
      <c r="O44" s="24" t="n"/>
    </row>
    <row r="45" ht="15" customHeight="1">
      <c r="A45" s="72" t="n"/>
      <c r="B45" s="24" t="n"/>
      <c r="C45" s="24" t="n"/>
      <c r="D45" s="24" t="n"/>
      <c r="E45" s="24" t="n"/>
      <c r="F45" s="25">
        <f>IF(E45="","",IF(COUNTIF(lst_Jobs,E45&amp;"")&gt;0,"OK","CHECK"))</f>
        <v/>
      </c>
      <c r="G45" s="24" t="n"/>
      <c r="H45" s="24" t="n"/>
      <c r="I45" s="26" t="n"/>
      <c r="J45" s="24" t="n"/>
      <c r="K45" s="22" t="n"/>
      <c r="L45" s="72" t="n"/>
      <c r="M45" s="27">
        <f>IF(E45="","",SUMIFS(tbl_Finance[Ex GST],tbl_Finance[Job Number],E45&amp;""))</f>
        <v/>
      </c>
      <c r="N45" s="27">
        <f>IF(J45&lt;&gt;"Won","",IF(E45="",N(I45),I45-M45))</f>
        <v/>
      </c>
      <c r="O45" s="24" t="n"/>
    </row>
    <row r="46" ht="15" customHeight="1">
      <c r="A46" s="72" t="n"/>
      <c r="B46" s="24" t="n"/>
      <c r="C46" s="24" t="n"/>
      <c r="D46" s="24" t="n"/>
      <c r="E46" s="24" t="n"/>
      <c r="F46" s="25">
        <f>IF(E46="","",IF(COUNTIF(lst_Jobs,E46&amp;"")&gt;0,"OK","CHECK"))</f>
        <v/>
      </c>
      <c r="G46" s="24" t="n"/>
      <c r="H46" s="24" t="n"/>
      <c r="I46" s="26" t="n"/>
      <c r="J46" s="24" t="n"/>
      <c r="K46" s="22" t="n"/>
      <c r="L46" s="72" t="n"/>
      <c r="M46" s="27">
        <f>IF(E46="","",SUMIFS(tbl_Finance[Ex GST],tbl_Finance[Job Number],E46&amp;""))</f>
        <v/>
      </c>
      <c r="N46" s="27">
        <f>IF(J46&lt;&gt;"Won","",IF(E46="",N(I46),I46-M46))</f>
        <v/>
      </c>
      <c r="O46" s="24" t="n"/>
    </row>
    <row r="47" ht="15" customHeight="1">
      <c r="A47" s="72" t="n"/>
      <c r="B47" s="24" t="n"/>
      <c r="C47" s="24" t="n"/>
      <c r="D47" s="24" t="n"/>
      <c r="E47" s="24" t="n"/>
      <c r="F47" s="25">
        <f>IF(E47="","",IF(COUNTIF(lst_Jobs,E47&amp;"")&gt;0,"OK","CHECK"))</f>
        <v/>
      </c>
      <c r="G47" s="24" t="n"/>
      <c r="H47" s="24" t="n"/>
      <c r="I47" s="26" t="n"/>
      <c r="J47" s="24" t="n"/>
      <c r="K47" s="22" t="n"/>
      <c r="L47" s="72" t="n"/>
      <c r="M47" s="27">
        <f>IF(E47="","",SUMIFS(tbl_Finance[Ex GST],tbl_Finance[Job Number],E47&amp;""))</f>
        <v/>
      </c>
      <c r="N47" s="27">
        <f>IF(J47&lt;&gt;"Won","",IF(E47="",N(I47),I47-M47))</f>
        <v/>
      </c>
      <c r="O47" s="24" t="n"/>
    </row>
    <row r="48" ht="15" customHeight="1">
      <c r="A48" s="72" t="n"/>
      <c r="B48" s="24" t="n"/>
      <c r="C48" s="24" t="n"/>
      <c r="D48" s="24" t="n"/>
      <c r="E48" s="24" t="n"/>
      <c r="F48" s="25">
        <f>IF(E48="","",IF(COUNTIF(lst_Jobs,E48&amp;"")&gt;0,"OK","CHECK"))</f>
        <v/>
      </c>
      <c r="G48" s="24" t="n"/>
      <c r="H48" s="24" t="n"/>
      <c r="I48" s="26" t="n"/>
      <c r="J48" s="24" t="n"/>
      <c r="K48" s="22" t="n"/>
      <c r="L48" s="72" t="n"/>
      <c r="M48" s="27">
        <f>IF(E48="","",SUMIFS(tbl_Finance[Ex GST],tbl_Finance[Job Number],E48&amp;""))</f>
        <v/>
      </c>
      <c r="N48" s="27">
        <f>IF(J48&lt;&gt;"Won","",IF(E48="",N(I48),I48-M48))</f>
        <v/>
      </c>
      <c r="O48" s="24" t="n"/>
    </row>
    <row r="49" ht="15" customHeight="1">
      <c r="A49" s="72" t="n"/>
      <c r="B49" s="24" t="n"/>
      <c r="C49" s="24" t="n"/>
      <c r="D49" s="24" t="n"/>
      <c r="E49" s="24" t="n"/>
      <c r="F49" s="25">
        <f>IF(E49="","",IF(COUNTIF(lst_Jobs,E49&amp;"")&gt;0,"OK","CHECK"))</f>
        <v/>
      </c>
      <c r="G49" s="24" t="n"/>
      <c r="H49" s="24" t="n"/>
      <c r="I49" s="26" t="n"/>
      <c r="J49" s="24" t="n"/>
      <c r="K49" s="22" t="n"/>
      <c r="L49" s="72" t="n"/>
      <c r="M49" s="27">
        <f>IF(E49="","",SUMIFS(tbl_Finance[Ex GST],tbl_Finance[Job Number],E49&amp;""))</f>
        <v/>
      </c>
      <c r="N49" s="27">
        <f>IF(J49&lt;&gt;"Won","",IF(E49="",N(I49),I49-M49))</f>
        <v/>
      </c>
      <c r="O49" s="24" t="n"/>
    </row>
    <row r="50" ht="15" customHeight="1">
      <c r="A50" s="72" t="n"/>
      <c r="B50" s="24" t="n"/>
      <c r="C50" s="24" t="n"/>
      <c r="D50" s="24" t="n"/>
      <c r="E50" s="24" t="n"/>
      <c r="F50" s="25">
        <f>IF(E50="","",IF(COUNTIF(lst_Jobs,E50&amp;"")&gt;0,"OK","CHECK"))</f>
        <v/>
      </c>
      <c r="G50" s="24" t="n"/>
      <c r="H50" s="24" t="n"/>
      <c r="I50" s="26" t="n"/>
      <c r="J50" s="24" t="n"/>
      <c r="K50" s="22" t="n"/>
      <c r="L50" s="72" t="n"/>
      <c r="M50" s="27">
        <f>IF(E50="","",SUMIFS(tbl_Finance[Ex GST],tbl_Finance[Job Number],E50&amp;""))</f>
        <v/>
      </c>
      <c r="N50" s="27">
        <f>IF(J50&lt;&gt;"Won","",IF(E50="",N(I50),I50-M50))</f>
        <v/>
      </c>
      <c r="O50" s="24" t="n"/>
    </row>
    <row r="51" ht="15" customHeight="1">
      <c r="A51" s="72" t="n"/>
      <c r="B51" s="24" t="n"/>
      <c r="C51" s="24" t="n"/>
      <c r="D51" s="24" t="n"/>
      <c r="E51" s="24" t="n"/>
      <c r="F51" s="25">
        <f>IF(E51="","",IF(COUNTIF(lst_Jobs,E51&amp;"")&gt;0,"OK","CHECK"))</f>
        <v/>
      </c>
      <c r="G51" s="24" t="n"/>
      <c r="H51" s="24" t="n"/>
      <c r="I51" s="26" t="n"/>
      <c r="J51" s="24" t="n"/>
      <c r="K51" s="22" t="n"/>
      <c r="L51" s="72" t="n"/>
      <c r="M51" s="27">
        <f>IF(E51="","",SUMIFS(tbl_Finance[Ex GST],tbl_Finance[Job Number],E51&amp;""))</f>
        <v/>
      </c>
      <c r="N51" s="27">
        <f>IF(J51&lt;&gt;"Won","",IF(E51="",N(I51),I51-M51))</f>
        <v/>
      </c>
      <c r="O51" s="24" t="n"/>
    </row>
    <row r="52" ht="15" customHeight="1">
      <c r="A52" s="72" t="n"/>
      <c r="B52" s="24" t="n"/>
      <c r="C52" s="24" t="n"/>
      <c r="D52" s="24" t="n"/>
      <c r="E52" s="24" t="n"/>
      <c r="F52" s="25">
        <f>IF(E52="","",IF(COUNTIF(lst_Jobs,E52&amp;"")&gt;0,"OK","CHECK"))</f>
        <v/>
      </c>
      <c r="G52" s="24" t="n"/>
      <c r="H52" s="24" t="n"/>
      <c r="I52" s="26" t="n"/>
      <c r="J52" s="24" t="n"/>
      <c r="K52" s="22" t="n"/>
      <c r="L52" s="72" t="n"/>
      <c r="M52" s="27">
        <f>IF(E52="","",SUMIFS(tbl_Finance[Ex GST],tbl_Finance[Job Number],E52&amp;""))</f>
        <v/>
      </c>
      <c r="N52" s="27">
        <f>IF(J52&lt;&gt;"Won","",IF(E52="",N(I52),I52-M52))</f>
        <v/>
      </c>
      <c r="O52" s="24" t="n"/>
    </row>
    <row r="53" ht="15" customHeight="1">
      <c r="A53" s="72" t="n"/>
      <c r="B53" s="24" t="n"/>
      <c r="C53" s="24" t="n"/>
      <c r="D53" s="24" t="n"/>
      <c r="E53" s="24" t="n"/>
      <c r="F53" s="25">
        <f>IF(E53="","",IF(COUNTIF(lst_Jobs,E53&amp;"")&gt;0,"OK","CHECK"))</f>
        <v/>
      </c>
      <c r="G53" s="24" t="n"/>
      <c r="H53" s="24" t="n"/>
      <c r="I53" s="26" t="n"/>
      <c r="J53" s="24" t="n"/>
      <c r="K53" s="22" t="n"/>
      <c r="L53" s="72" t="n"/>
      <c r="M53" s="27">
        <f>IF(E53="","",SUMIFS(tbl_Finance[Ex GST],tbl_Finance[Job Number],E53&amp;""))</f>
        <v/>
      </c>
      <c r="N53" s="27">
        <f>IF(J53&lt;&gt;"Won","",IF(E53="",N(I53),I53-M53))</f>
        <v/>
      </c>
      <c r="O53" s="24" t="n"/>
    </row>
    <row r="54" ht="15" customHeight="1">
      <c r="A54" s="72" t="n"/>
      <c r="B54" s="24" t="n"/>
      <c r="C54" s="24" t="n"/>
      <c r="D54" s="24" t="n"/>
      <c r="E54" s="24" t="n"/>
      <c r="F54" s="25">
        <f>IF(E54="","",IF(COUNTIF(lst_Jobs,E54&amp;"")&gt;0,"OK","CHECK"))</f>
        <v/>
      </c>
      <c r="G54" s="24" t="n"/>
      <c r="H54" s="24" t="n"/>
      <c r="I54" s="26" t="n"/>
      <c r="J54" s="24" t="n"/>
      <c r="K54" s="22" t="n"/>
      <c r="L54" s="72" t="n"/>
      <c r="M54" s="27">
        <f>IF(E54="","",SUMIFS(tbl_Finance[Ex GST],tbl_Finance[Job Number],E54&amp;""))</f>
        <v/>
      </c>
      <c r="N54" s="27">
        <f>IF(J54&lt;&gt;"Won","",IF(E54="",N(I54),I54-M54))</f>
        <v/>
      </c>
      <c r="O54" s="24" t="n"/>
    </row>
    <row r="55" ht="15" customHeight="1">
      <c r="A55" s="72" t="n"/>
      <c r="B55" s="24" t="n"/>
      <c r="C55" s="24" t="n"/>
      <c r="D55" s="24" t="n"/>
      <c r="E55" s="24" t="n"/>
      <c r="F55" s="25">
        <f>IF(E55="","",IF(COUNTIF(lst_Jobs,E55&amp;"")&gt;0,"OK","CHECK"))</f>
        <v/>
      </c>
      <c r="G55" s="24" t="n"/>
      <c r="H55" s="24" t="n"/>
      <c r="I55" s="26" t="n"/>
      <c r="J55" s="24" t="n"/>
      <c r="K55" s="22" t="n"/>
      <c r="L55" s="72" t="n"/>
      <c r="M55" s="27">
        <f>IF(E55="","",SUMIFS(tbl_Finance[Ex GST],tbl_Finance[Job Number],E55&amp;""))</f>
        <v/>
      </c>
      <c r="N55" s="27">
        <f>IF(J55&lt;&gt;"Won","",IF(E55="",N(I55),I55-M55))</f>
        <v/>
      </c>
      <c r="O55" s="24" t="n"/>
    </row>
    <row r="56" ht="15" customHeight="1">
      <c r="A56" s="72" t="n"/>
      <c r="B56" s="24" t="n"/>
      <c r="C56" s="24" t="n"/>
      <c r="D56" s="24" t="n"/>
      <c r="E56" s="24" t="n"/>
      <c r="F56" s="25">
        <f>IF(E56="","",IF(COUNTIF(lst_Jobs,E56&amp;"")&gt;0,"OK","CHECK"))</f>
        <v/>
      </c>
      <c r="G56" s="24" t="n"/>
      <c r="H56" s="24" t="n"/>
      <c r="I56" s="26" t="n"/>
      <c r="J56" s="24" t="n"/>
      <c r="K56" s="22" t="n"/>
      <c r="L56" s="72" t="n"/>
      <c r="M56" s="27">
        <f>IF(E56="","",SUMIFS(tbl_Finance[Ex GST],tbl_Finance[Job Number],E56&amp;""))</f>
        <v/>
      </c>
      <c r="N56" s="27">
        <f>IF(J56&lt;&gt;"Won","",IF(E56="",N(I56),I56-M56))</f>
        <v/>
      </c>
      <c r="O56" s="24" t="n"/>
    </row>
    <row r="57" ht="15" customHeight="1">
      <c r="A57" s="72" t="n"/>
      <c r="B57" s="24" t="n"/>
      <c r="C57" s="24" t="n"/>
      <c r="D57" s="24" t="n"/>
      <c r="E57" s="24" t="n"/>
      <c r="F57" s="25">
        <f>IF(E57="","",IF(COUNTIF(lst_Jobs,E57&amp;"")&gt;0,"OK","CHECK"))</f>
        <v/>
      </c>
      <c r="G57" s="24" t="n"/>
      <c r="H57" s="24" t="n"/>
      <c r="I57" s="26" t="n"/>
      <c r="J57" s="24" t="n"/>
      <c r="K57" s="22" t="n"/>
      <c r="L57" s="72" t="n"/>
      <c r="M57" s="27">
        <f>IF(E57="","",SUMIFS(tbl_Finance[Ex GST],tbl_Finance[Job Number],E57&amp;""))</f>
        <v/>
      </c>
      <c r="N57" s="27">
        <f>IF(J57&lt;&gt;"Won","",IF(E57="",N(I57),I57-M57))</f>
        <v/>
      </c>
      <c r="O57" s="24" t="n"/>
    </row>
    <row r="58" ht="15" customHeight="1">
      <c r="A58" s="72" t="n"/>
      <c r="B58" s="24" t="n"/>
      <c r="C58" s="24" t="n"/>
      <c r="D58" s="24" t="n"/>
      <c r="E58" s="24" t="n"/>
      <c r="F58" s="25">
        <f>IF(E58="","",IF(COUNTIF(lst_Jobs,E58&amp;"")&gt;0,"OK","CHECK"))</f>
        <v/>
      </c>
      <c r="G58" s="24" t="n"/>
      <c r="H58" s="24" t="n"/>
      <c r="I58" s="26" t="n"/>
      <c r="J58" s="24" t="n"/>
      <c r="K58" s="22" t="n"/>
      <c r="L58" s="72" t="n"/>
      <c r="M58" s="27">
        <f>IF(E58="","",SUMIFS(tbl_Finance[Ex GST],tbl_Finance[Job Number],E58&amp;""))</f>
        <v/>
      </c>
      <c r="N58" s="27">
        <f>IF(J58&lt;&gt;"Won","",IF(E58="",N(I58),I58-M58))</f>
        <v/>
      </c>
      <c r="O58" s="24" t="n"/>
    </row>
    <row r="59" ht="15" customHeight="1">
      <c r="A59" s="72" t="n"/>
      <c r="B59" s="24" t="n"/>
      <c r="C59" s="24" t="n"/>
      <c r="D59" s="24" t="n"/>
      <c r="E59" s="24" t="n"/>
      <c r="F59" s="25">
        <f>IF(E59="","",IF(COUNTIF(lst_Jobs,E59&amp;"")&gt;0,"OK","CHECK"))</f>
        <v/>
      </c>
      <c r="G59" s="24" t="n"/>
      <c r="H59" s="24" t="n"/>
      <c r="I59" s="26" t="n"/>
      <c r="J59" s="24" t="n"/>
      <c r="K59" s="22" t="n"/>
      <c r="L59" s="72" t="n"/>
      <c r="M59" s="27">
        <f>IF(E59="","",SUMIFS(tbl_Finance[Ex GST],tbl_Finance[Job Number],E59&amp;""))</f>
        <v/>
      </c>
      <c r="N59" s="27">
        <f>IF(J59&lt;&gt;"Won","",IF(E59="",N(I59),I59-M59))</f>
        <v/>
      </c>
      <c r="O59" s="24" t="n"/>
    </row>
    <row r="60" ht="15" customHeight="1">
      <c r="A60" s="72" t="n"/>
      <c r="B60" s="24" t="n"/>
      <c r="C60" s="24" t="n"/>
      <c r="D60" s="24" t="n"/>
      <c r="E60" s="24" t="n"/>
      <c r="F60" s="25">
        <f>IF(E60="","",IF(COUNTIF(lst_Jobs,E60&amp;"")&gt;0,"OK","CHECK"))</f>
        <v/>
      </c>
      <c r="G60" s="24" t="n"/>
      <c r="H60" s="24" t="n"/>
      <c r="I60" s="26" t="n"/>
      <c r="J60" s="24" t="n"/>
      <c r="K60" s="22" t="n"/>
      <c r="L60" s="72" t="n"/>
      <c r="M60" s="27">
        <f>IF(E60="","",SUMIFS(tbl_Finance[Ex GST],tbl_Finance[Job Number],E60&amp;""))</f>
        <v/>
      </c>
      <c r="N60" s="27">
        <f>IF(J60&lt;&gt;"Won","",IF(E60="",N(I60),I60-M60))</f>
        <v/>
      </c>
      <c r="O60" s="24" t="n"/>
    </row>
    <row r="61" ht="15" customHeight="1">
      <c r="A61" s="72" t="n"/>
      <c r="B61" s="24" t="n"/>
      <c r="C61" s="24" t="n"/>
      <c r="D61" s="24" t="n"/>
      <c r="E61" s="24" t="n"/>
      <c r="F61" s="25">
        <f>IF(E61="","",IF(COUNTIF(lst_Jobs,E61&amp;"")&gt;0,"OK","CHECK"))</f>
        <v/>
      </c>
      <c r="G61" s="24" t="n"/>
      <c r="H61" s="24" t="n"/>
      <c r="I61" s="26" t="n"/>
      <c r="J61" s="24" t="n"/>
      <c r="K61" s="22" t="n"/>
      <c r="L61" s="72" t="n"/>
      <c r="M61" s="27">
        <f>IF(E61="","",SUMIFS(tbl_Finance[Ex GST],tbl_Finance[Job Number],E61&amp;""))</f>
        <v/>
      </c>
      <c r="N61" s="27">
        <f>IF(J61&lt;&gt;"Won","",IF(E61="",N(I61),I61-M61))</f>
        <v/>
      </c>
      <c r="O61" s="24" t="n"/>
    </row>
    <row r="62" ht="15" customHeight="1">
      <c r="A62" s="72" t="n"/>
      <c r="B62" s="24" t="n"/>
      <c r="C62" s="24" t="n"/>
      <c r="D62" s="24" t="n"/>
      <c r="E62" s="24" t="n"/>
      <c r="F62" s="25">
        <f>IF(E62="","",IF(COUNTIF(lst_Jobs,E62&amp;"")&gt;0,"OK","CHECK"))</f>
        <v/>
      </c>
      <c r="G62" s="24" t="n"/>
      <c r="H62" s="24" t="n"/>
      <c r="I62" s="26" t="n"/>
      <c r="J62" s="24" t="n"/>
      <c r="K62" s="22" t="n"/>
      <c r="L62" s="72" t="n"/>
      <c r="M62" s="27">
        <f>IF(E62="","",SUMIFS(tbl_Finance[Ex GST],tbl_Finance[Job Number],E62&amp;""))</f>
        <v/>
      </c>
      <c r="N62" s="27">
        <f>IF(J62&lt;&gt;"Won","",IF(E62="",N(I62),I62-M62))</f>
        <v/>
      </c>
      <c r="O62" s="24" t="n"/>
    </row>
    <row r="63" ht="15" customHeight="1">
      <c r="A63" s="72" t="n"/>
      <c r="B63" s="24" t="n"/>
      <c r="C63" s="24" t="n"/>
      <c r="D63" s="24" t="n"/>
      <c r="E63" s="24" t="n"/>
      <c r="F63" s="25">
        <f>IF(E63="","",IF(COUNTIF(lst_Jobs,E63&amp;"")&gt;0,"OK","CHECK"))</f>
        <v/>
      </c>
      <c r="G63" s="24" t="n"/>
      <c r="H63" s="24" t="n"/>
      <c r="I63" s="26" t="n"/>
      <c r="J63" s="24" t="n"/>
      <c r="K63" s="22" t="n"/>
      <c r="L63" s="72" t="n"/>
      <c r="M63" s="27">
        <f>IF(E63="","",SUMIFS(tbl_Finance[Ex GST],tbl_Finance[Job Number],E63&amp;""))</f>
        <v/>
      </c>
      <c r="N63" s="27">
        <f>IF(J63&lt;&gt;"Won","",IF(E63="",N(I63),I63-M63))</f>
        <v/>
      </c>
      <c r="O63" s="24" t="n"/>
    </row>
    <row r="64" ht="15" customHeight="1">
      <c r="A64" s="72" t="n"/>
      <c r="B64" s="24" t="n"/>
      <c r="C64" s="24" t="n"/>
      <c r="D64" s="24" t="n"/>
      <c r="E64" s="24" t="n"/>
      <c r="F64" s="25">
        <f>IF(E64="","",IF(COUNTIF(lst_Jobs,E64&amp;"")&gt;0,"OK","CHECK"))</f>
        <v/>
      </c>
      <c r="G64" s="24" t="n"/>
      <c r="H64" s="24" t="n"/>
      <c r="I64" s="26" t="n"/>
      <c r="J64" s="24" t="n"/>
      <c r="K64" s="22" t="n"/>
      <c r="L64" s="72" t="n"/>
      <c r="M64" s="27">
        <f>IF(E64="","",SUMIFS(tbl_Finance[Ex GST],tbl_Finance[Job Number],E64&amp;""))</f>
        <v/>
      </c>
      <c r="N64" s="27">
        <f>IF(J64&lt;&gt;"Won","",IF(E64="",N(I64),I64-M64))</f>
        <v/>
      </c>
      <c r="O64" s="24" t="n"/>
    </row>
    <row r="65" ht="15" customHeight="1">
      <c r="A65" s="72" t="n"/>
      <c r="B65" s="24" t="n"/>
      <c r="C65" s="24" t="n"/>
      <c r="D65" s="24" t="n"/>
      <c r="E65" s="24" t="n"/>
      <c r="F65" s="25">
        <f>IF(E65="","",IF(COUNTIF(lst_Jobs,E65&amp;"")&gt;0,"OK","CHECK"))</f>
        <v/>
      </c>
      <c r="G65" s="24" t="n"/>
      <c r="H65" s="24" t="n"/>
      <c r="I65" s="26" t="n"/>
      <c r="J65" s="24" t="n"/>
      <c r="K65" s="22" t="n"/>
      <c r="L65" s="72" t="n"/>
      <c r="M65" s="27">
        <f>IF(E65="","",SUMIFS(tbl_Finance[Ex GST],tbl_Finance[Job Number],E65&amp;""))</f>
        <v/>
      </c>
      <c r="N65" s="27">
        <f>IF(J65&lt;&gt;"Won","",IF(E65="",N(I65),I65-M65))</f>
        <v/>
      </c>
      <c r="O65" s="24" t="n"/>
    </row>
    <row r="66" ht="15" customHeight="1">
      <c r="A66" s="72" t="n"/>
      <c r="B66" s="24" t="n"/>
      <c r="C66" s="24" t="n"/>
      <c r="D66" s="24" t="n"/>
      <c r="E66" s="24" t="n"/>
      <c r="F66" s="25">
        <f>IF(E66="","",IF(COUNTIF(lst_Jobs,E66&amp;"")&gt;0,"OK","CHECK"))</f>
        <v/>
      </c>
      <c r="G66" s="24" t="n"/>
      <c r="H66" s="24" t="n"/>
      <c r="I66" s="26" t="n"/>
      <c r="J66" s="24" t="n"/>
      <c r="K66" s="22" t="n"/>
      <c r="L66" s="72" t="n"/>
      <c r="M66" s="27">
        <f>IF(E66="","",SUMIFS(tbl_Finance[Ex GST],tbl_Finance[Job Number],E66&amp;""))</f>
        <v/>
      </c>
      <c r="N66" s="27">
        <f>IF(J66&lt;&gt;"Won","",IF(E66="",N(I66),I66-M66))</f>
        <v/>
      </c>
      <c r="O66" s="24" t="n"/>
    </row>
    <row r="67" ht="15" customHeight="1">
      <c r="A67" s="72" t="n"/>
      <c r="B67" s="24" t="n"/>
      <c r="C67" s="24" t="n"/>
      <c r="D67" s="24" t="n"/>
      <c r="E67" s="24" t="n"/>
      <c r="F67" s="25">
        <f>IF(E67="","",IF(COUNTIF(lst_Jobs,E67&amp;"")&gt;0,"OK","CHECK"))</f>
        <v/>
      </c>
      <c r="G67" s="24" t="n"/>
      <c r="H67" s="24" t="n"/>
      <c r="I67" s="26" t="n"/>
      <c r="J67" s="24" t="n"/>
      <c r="K67" s="22" t="n"/>
      <c r="L67" s="72" t="n"/>
      <c r="M67" s="27">
        <f>IF(E67="","",SUMIFS(tbl_Finance[Ex GST],tbl_Finance[Job Number],E67&amp;""))</f>
        <v/>
      </c>
      <c r="N67" s="27">
        <f>IF(J67&lt;&gt;"Won","",IF(E67="",N(I67),I67-M67))</f>
        <v/>
      </c>
      <c r="O67" s="24" t="n"/>
    </row>
    <row r="68" ht="15" customHeight="1">
      <c r="A68" s="72" t="n"/>
      <c r="B68" s="24" t="n"/>
      <c r="C68" s="24" t="n"/>
      <c r="D68" s="24" t="n"/>
      <c r="E68" s="24" t="n"/>
      <c r="F68" s="25">
        <f>IF(E68="","",IF(COUNTIF(lst_Jobs,E68&amp;"")&gt;0,"OK","CHECK"))</f>
        <v/>
      </c>
      <c r="G68" s="24" t="n"/>
      <c r="H68" s="24" t="n"/>
      <c r="I68" s="26" t="n"/>
      <c r="J68" s="24" t="n"/>
      <c r="K68" s="22" t="n"/>
      <c r="L68" s="72" t="n"/>
      <c r="M68" s="27">
        <f>IF(E68="","",SUMIFS(tbl_Finance[Ex GST],tbl_Finance[Job Number],E68&amp;""))</f>
        <v/>
      </c>
      <c r="N68" s="27">
        <f>IF(J68&lt;&gt;"Won","",IF(E68="",N(I68),I68-M68))</f>
        <v/>
      </c>
      <c r="O68" s="24" t="n"/>
    </row>
    <row r="69" ht="15" customHeight="1">
      <c r="A69" s="72" t="n"/>
      <c r="B69" s="24" t="n"/>
      <c r="C69" s="24" t="n"/>
      <c r="D69" s="24" t="n"/>
      <c r="E69" s="24" t="n"/>
      <c r="F69" s="25">
        <f>IF(E69="","",IF(COUNTIF(lst_Jobs,E69&amp;"")&gt;0,"OK","CHECK"))</f>
        <v/>
      </c>
      <c r="G69" s="24" t="n"/>
      <c r="H69" s="24" t="n"/>
      <c r="I69" s="26" t="n"/>
      <c r="J69" s="24" t="n"/>
      <c r="K69" s="22" t="n"/>
      <c r="L69" s="72" t="n"/>
      <c r="M69" s="27">
        <f>IF(E69="","",SUMIFS(tbl_Finance[Ex GST],tbl_Finance[Job Number],E69&amp;""))</f>
        <v/>
      </c>
      <c r="N69" s="27">
        <f>IF(J69&lt;&gt;"Won","",IF(E69="",N(I69),I69-M69))</f>
        <v/>
      </c>
      <c r="O69" s="24" t="n"/>
    </row>
    <row r="70" ht="15" customHeight="1">
      <c r="A70" s="72" t="n"/>
      <c r="B70" s="24" t="n"/>
      <c r="C70" s="24" t="n"/>
      <c r="D70" s="24" t="n"/>
      <c r="E70" s="24" t="n"/>
      <c r="F70" s="25">
        <f>IF(E70="","",IF(COUNTIF(lst_Jobs,E70&amp;"")&gt;0,"OK","CHECK"))</f>
        <v/>
      </c>
      <c r="G70" s="24" t="n"/>
      <c r="H70" s="24" t="n"/>
      <c r="I70" s="26" t="n"/>
      <c r="J70" s="24" t="n"/>
      <c r="K70" s="22" t="n"/>
      <c r="L70" s="72" t="n"/>
      <c r="M70" s="27">
        <f>IF(E70="","",SUMIFS(tbl_Finance[Ex GST],tbl_Finance[Job Number],E70&amp;""))</f>
        <v/>
      </c>
      <c r="N70" s="27">
        <f>IF(J70&lt;&gt;"Won","",IF(E70="",N(I70),I70-M70))</f>
        <v/>
      </c>
      <c r="O70" s="24" t="n"/>
    </row>
    <row r="71" ht="15" customHeight="1">
      <c r="A71" s="72" t="n"/>
      <c r="B71" s="24" t="n"/>
      <c r="C71" s="24" t="n"/>
      <c r="D71" s="24" t="n"/>
      <c r="E71" s="24" t="n"/>
      <c r="F71" s="25">
        <f>IF(E71="","",IF(COUNTIF(lst_Jobs,E71&amp;"")&gt;0,"OK","CHECK"))</f>
        <v/>
      </c>
      <c r="G71" s="24" t="n"/>
      <c r="H71" s="24" t="n"/>
      <c r="I71" s="26" t="n"/>
      <c r="J71" s="24" t="n"/>
      <c r="K71" s="22" t="n"/>
      <c r="L71" s="72" t="n"/>
      <c r="M71" s="27">
        <f>IF(E71="","",SUMIFS(tbl_Finance[Ex GST],tbl_Finance[Job Number],E71&amp;""))</f>
        <v/>
      </c>
      <c r="N71" s="27">
        <f>IF(J71&lt;&gt;"Won","",IF(E71="",N(I71),I71-M71))</f>
        <v/>
      </c>
      <c r="O71" s="24" t="n"/>
    </row>
    <row r="72" ht="15" customHeight="1">
      <c r="A72" s="72" t="n"/>
      <c r="B72" s="24" t="n"/>
      <c r="C72" s="24" t="n"/>
      <c r="D72" s="24" t="n"/>
      <c r="E72" s="24" t="n"/>
      <c r="F72" s="25">
        <f>IF(E72="","",IF(COUNTIF(lst_Jobs,E72&amp;"")&gt;0,"OK","CHECK"))</f>
        <v/>
      </c>
      <c r="G72" s="24" t="n"/>
      <c r="H72" s="24" t="n"/>
      <c r="I72" s="26" t="n"/>
      <c r="J72" s="24" t="n"/>
      <c r="K72" s="22" t="n"/>
      <c r="L72" s="72" t="n"/>
      <c r="M72" s="27">
        <f>IF(E72="","",SUMIFS(tbl_Finance[Ex GST],tbl_Finance[Job Number],E72&amp;""))</f>
        <v/>
      </c>
      <c r="N72" s="27">
        <f>IF(J72&lt;&gt;"Won","",IF(E72="",N(I72),I72-M72))</f>
        <v/>
      </c>
      <c r="O72" s="24" t="n"/>
    </row>
    <row r="73" ht="15" customHeight="1">
      <c r="A73" s="72" t="n"/>
      <c r="B73" s="24" t="n"/>
      <c r="C73" s="24" t="n"/>
      <c r="D73" s="24" t="n"/>
      <c r="E73" s="24" t="n"/>
      <c r="F73" s="25">
        <f>IF(E73="","",IF(COUNTIF(lst_Jobs,E73&amp;"")&gt;0,"OK","CHECK"))</f>
        <v/>
      </c>
      <c r="G73" s="24" t="n"/>
      <c r="H73" s="24" t="n"/>
      <c r="I73" s="26" t="n"/>
      <c r="J73" s="24" t="n"/>
      <c r="K73" s="22" t="n"/>
      <c r="L73" s="72" t="n"/>
      <c r="M73" s="27">
        <f>IF(E73="","",SUMIFS(tbl_Finance[Ex GST],tbl_Finance[Job Number],E73&amp;""))</f>
        <v/>
      </c>
      <c r="N73" s="27">
        <f>IF(J73&lt;&gt;"Won","",IF(E73="",N(I73),I73-M73))</f>
        <v/>
      </c>
      <c r="O73" s="24" t="n"/>
    </row>
    <row r="74" ht="15" customHeight="1">
      <c r="A74" s="72" t="n"/>
      <c r="B74" s="24" t="n"/>
      <c r="C74" s="24" t="n"/>
      <c r="D74" s="24" t="n"/>
      <c r="E74" s="24" t="n"/>
      <c r="F74" s="25">
        <f>IF(E74="","",IF(COUNTIF(lst_Jobs,E74&amp;"")&gt;0,"OK","CHECK"))</f>
        <v/>
      </c>
      <c r="G74" s="24" t="n"/>
      <c r="H74" s="24" t="n"/>
      <c r="I74" s="26" t="n"/>
      <c r="J74" s="24" t="n"/>
      <c r="K74" s="22" t="n"/>
      <c r="L74" s="72" t="n"/>
      <c r="M74" s="27">
        <f>IF(E74="","",SUMIFS(tbl_Finance[Ex GST],tbl_Finance[Job Number],E74&amp;""))</f>
        <v/>
      </c>
      <c r="N74" s="27">
        <f>IF(J74&lt;&gt;"Won","",IF(E74="",N(I74),I74-M74))</f>
        <v/>
      </c>
      <c r="O74" s="24" t="n"/>
    </row>
    <row r="75" ht="15" customHeight="1">
      <c r="A75" s="72" t="n"/>
      <c r="B75" s="24" t="n"/>
      <c r="C75" s="24" t="n"/>
      <c r="D75" s="24" t="n"/>
      <c r="E75" s="24" t="n"/>
      <c r="F75" s="25">
        <f>IF(E75="","",IF(COUNTIF(lst_Jobs,E75&amp;"")&gt;0,"OK","CHECK"))</f>
        <v/>
      </c>
      <c r="G75" s="24" t="n"/>
      <c r="H75" s="24" t="n"/>
      <c r="I75" s="26" t="n"/>
      <c r="J75" s="24" t="n"/>
      <c r="K75" s="22" t="n"/>
      <c r="L75" s="72" t="n"/>
      <c r="M75" s="27">
        <f>IF(E75="","",SUMIFS(tbl_Finance[Ex GST],tbl_Finance[Job Number],E75&amp;""))</f>
        <v/>
      </c>
      <c r="N75" s="27">
        <f>IF(J75&lt;&gt;"Won","",IF(E75="",N(I75),I75-M75))</f>
        <v/>
      </c>
      <c r="O75" s="24" t="n"/>
    </row>
    <row r="76" ht="15" customHeight="1">
      <c r="A76" s="72" t="n"/>
      <c r="B76" s="24" t="n"/>
      <c r="C76" s="24" t="n"/>
      <c r="D76" s="24" t="n"/>
      <c r="E76" s="24" t="n"/>
      <c r="F76" s="25">
        <f>IF(E76="","",IF(COUNTIF(lst_Jobs,E76&amp;"")&gt;0,"OK","CHECK"))</f>
        <v/>
      </c>
      <c r="G76" s="24" t="n"/>
      <c r="H76" s="24" t="n"/>
      <c r="I76" s="26" t="n"/>
      <c r="J76" s="24" t="n"/>
      <c r="K76" s="22" t="n"/>
      <c r="L76" s="72" t="n"/>
      <c r="M76" s="27">
        <f>IF(E76="","",SUMIFS(tbl_Finance[Ex GST],tbl_Finance[Job Number],E76&amp;""))</f>
        <v/>
      </c>
      <c r="N76" s="27">
        <f>IF(J76&lt;&gt;"Won","",IF(E76="",N(I76),I76-M76))</f>
        <v/>
      </c>
      <c r="O76" s="24" t="n"/>
    </row>
    <row r="77" ht="15" customHeight="1">
      <c r="A77" s="72" t="n"/>
      <c r="B77" s="24" t="n"/>
      <c r="C77" s="24" t="n"/>
      <c r="D77" s="24" t="n"/>
      <c r="E77" s="24" t="n"/>
      <c r="F77" s="25">
        <f>IF(E77="","",IF(COUNTIF(lst_Jobs,E77&amp;"")&gt;0,"OK","CHECK"))</f>
        <v/>
      </c>
      <c r="G77" s="24" t="n"/>
      <c r="H77" s="24" t="n"/>
      <c r="I77" s="26" t="n"/>
      <c r="J77" s="24" t="n"/>
      <c r="K77" s="22" t="n"/>
      <c r="L77" s="72" t="n"/>
      <c r="M77" s="27">
        <f>IF(E77="","",SUMIFS(tbl_Finance[Ex GST],tbl_Finance[Job Number],E77&amp;""))</f>
        <v/>
      </c>
      <c r="N77" s="27">
        <f>IF(J77&lt;&gt;"Won","",IF(E77="",N(I77),I77-M77))</f>
        <v/>
      </c>
      <c r="O77" s="24" t="n"/>
    </row>
    <row r="78" ht="15" customHeight="1">
      <c r="A78" s="72" t="n"/>
      <c r="B78" s="24" t="n"/>
      <c r="C78" s="24" t="n"/>
      <c r="D78" s="24" t="n"/>
      <c r="E78" s="24" t="n"/>
      <c r="F78" s="25">
        <f>IF(E78="","",IF(COUNTIF(lst_Jobs,E78&amp;"")&gt;0,"OK","CHECK"))</f>
        <v/>
      </c>
      <c r="G78" s="24" t="n"/>
      <c r="H78" s="24" t="n"/>
      <c r="I78" s="26" t="n"/>
      <c r="J78" s="24" t="n"/>
      <c r="K78" s="22" t="n"/>
      <c r="L78" s="72" t="n"/>
      <c r="M78" s="27">
        <f>IF(E78="","",SUMIFS(tbl_Finance[Ex GST],tbl_Finance[Job Number],E78&amp;""))</f>
        <v/>
      </c>
      <c r="N78" s="27">
        <f>IF(J78&lt;&gt;"Won","",IF(E78="",N(I78),I78-M78))</f>
        <v/>
      </c>
      <c r="O78" s="24" t="n"/>
    </row>
    <row r="79" ht="15" customHeight="1">
      <c r="A79" s="72" t="n"/>
      <c r="B79" s="24" t="n"/>
      <c r="C79" s="24" t="n"/>
      <c r="D79" s="24" t="n"/>
      <c r="E79" s="24" t="n"/>
      <c r="F79" s="25">
        <f>IF(E79="","",IF(COUNTIF(lst_Jobs,E79&amp;"")&gt;0,"OK","CHECK"))</f>
        <v/>
      </c>
      <c r="G79" s="24" t="n"/>
      <c r="H79" s="24" t="n"/>
      <c r="I79" s="26" t="n"/>
      <c r="J79" s="24" t="n"/>
      <c r="K79" s="22" t="n"/>
      <c r="L79" s="72" t="n"/>
      <c r="M79" s="27">
        <f>IF(E79="","",SUMIFS(tbl_Finance[Ex GST],tbl_Finance[Job Number],E79&amp;""))</f>
        <v/>
      </c>
      <c r="N79" s="27">
        <f>IF(J79&lt;&gt;"Won","",IF(E79="",N(I79),I79-M79))</f>
        <v/>
      </c>
      <c r="O79" s="24" t="n"/>
    </row>
    <row r="80" ht="15" customHeight="1">
      <c r="A80" s="72" t="n"/>
      <c r="B80" s="24" t="n"/>
      <c r="C80" s="24" t="n"/>
      <c r="D80" s="24" t="n"/>
      <c r="E80" s="24" t="n"/>
      <c r="F80" s="25">
        <f>IF(E80="","",IF(COUNTIF(lst_Jobs,E80&amp;"")&gt;0,"OK","CHECK"))</f>
        <v/>
      </c>
      <c r="G80" s="24" t="n"/>
      <c r="H80" s="24" t="n"/>
      <c r="I80" s="26" t="n"/>
      <c r="J80" s="24" t="n"/>
      <c r="K80" s="22" t="n"/>
      <c r="L80" s="72" t="n"/>
      <c r="M80" s="27">
        <f>IF(E80="","",SUMIFS(tbl_Finance[Ex GST],tbl_Finance[Job Number],E80&amp;""))</f>
        <v/>
      </c>
      <c r="N80" s="27">
        <f>IF(J80&lt;&gt;"Won","",IF(E80="",N(I80),I80-M80))</f>
        <v/>
      </c>
      <c r="O80" s="24" t="n"/>
    </row>
    <row r="81" ht="15" customHeight="1">
      <c r="A81" s="72" t="n"/>
      <c r="B81" s="24" t="n"/>
      <c r="C81" s="24" t="n"/>
      <c r="D81" s="24" t="n"/>
      <c r="E81" s="24" t="n"/>
      <c r="F81" s="25">
        <f>IF(E81="","",IF(COUNTIF(lst_Jobs,E81&amp;"")&gt;0,"OK","CHECK"))</f>
        <v/>
      </c>
      <c r="G81" s="24" t="n"/>
      <c r="H81" s="24" t="n"/>
      <c r="I81" s="26" t="n"/>
      <c r="J81" s="24" t="n"/>
      <c r="K81" s="22" t="n"/>
      <c r="L81" s="72" t="n"/>
      <c r="M81" s="27">
        <f>IF(E81="","",SUMIFS(tbl_Finance[Ex GST],tbl_Finance[Job Number],E81&amp;""))</f>
        <v/>
      </c>
      <c r="N81" s="27">
        <f>IF(J81&lt;&gt;"Won","",IF(E81="",N(I81),I81-M81))</f>
        <v/>
      </c>
      <c r="O81" s="24" t="n"/>
    </row>
    <row r="82" ht="15" customHeight="1">
      <c r="A82" s="72" t="n"/>
      <c r="B82" s="24" t="n"/>
      <c r="C82" s="24" t="n"/>
      <c r="D82" s="24" t="n"/>
      <c r="E82" s="24" t="n"/>
      <c r="F82" s="25">
        <f>IF(E82="","",IF(COUNTIF(lst_Jobs,E82&amp;"")&gt;0,"OK","CHECK"))</f>
        <v/>
      </c>
      <c r="G82" s="24" t="n"/>
      <c r="H82" s="24" t="n"/>
      <c r="I82" s="26" t="n"/>
      <c r="J82" s="24" t="n"/>
      <c r="K82" s="22" t="n"/>
      <c r="L82" s="72" t="n"/>
      <c r="M82" s="27">
        <f>IF(E82="","",SUMIFS(tbl_Finance[Ex GST],tbl_Finance[Job Number],E82&amp;""))</f>
        <v/>
      </c>
      <c r="N82" s="27">
        <f>IF(J82&lt;&gt;"Won","",IF(E82="",N(I82),I82-M82))</f>
        <v/>
      </c>
      <c r="O82" s="24" t="n"/>
    </row>
    <row r="83" ht="15" customHeight="1">
      <c r="A83" s="72" t="n"/>
      <c r="B83" s="24" t="n"/>
      <c r="C83" s="24" t="n"/>
      <c r="D83" s="24" t="n"/>
      <c r="E83" s="24" t="n"/>
      <c r="F83" s="25">
        <f>IF(E83="","",IF(COUNTIF(lst_Jobs,E83&amp;"")&gt;0,"OK","CHECK"))</f>
        <v/>
      </c>
      <c r="G83" s="24" t="n"/>
      <c r="H83" s="24" t="n"/>
      <c r="I83" s="26" t="n"/>
      <c r="J83" s="24" t="n"/>
      <c r="K83" s="22" t="n"/>
      <c r="L83" s="72" t="n"/>
      <c r="M83" s="27">
        <f>IF(E83="","",SUMIFS(tbl_Finance[Ex GST],tbl_Finance[Job Number],E83&amp;""))</f>
        <v/>
      </c>
      <c r="N83" s="27">
        <f>IF(J83&lt;&gt;"Won","",IF(E83="",N(I83),I83-M83))</f>
        <v/>
      </c>
      <c r="O83" s="24" t="n"/>
    </row>
    <row r="84" ht="15" customHeight="1">
      <c r="A84" s="72" t="n"/>
      <c r="B84" s="24" t="n"/>
      <c r="C84" s="24" t="n"/>
      <c r="D84" s="24" t="n"/>
      <c r="E84" s="24" t="n"/>
      <c r="F84" s="25">
        <f>IF(E84="","",IF(COUNTIF(lst_Jobs,E84&amp;"")&gt;0,"OK","CHECK"))</f>
        <v/>
      </c>
      <c r="G84" s="24" t="n"/>
      <c r="H84" s="24" t="n"/>
      <c r="I84" s="26" t="n"/>
      <c r="J84" s="24" t="n"/>
      <c r="K84" s="22" t="n"/>
      <c r="L84" s="72" t="n"/>
      <c r="M84" s="27">
        <f>IF(E84="","",SUMIFS(tbl_Finance[Ex GST],tbl_Finance[Job Number],E84&amp;""))</f>
        <v/>
      </c>
      <c r="N84" s="27">
        <f>IF(J84&lt;&gt;"Won","",IF(E84="",N(I84),I84-M84))</f>
        <v/>
      </c>
      <c r="O84" s="24" t="n"/>
    </row>
    <row r="85" ht="15" customHeight="1">
      <c r="A85" s="72" t="n"/>
      <c r="B85" s="24" t="n"/>
      <c r="C85" s="24" t="n"/>
      <c r="D85" s="24" t="n"/>
      <c r="E85" s="24" t="n"/>
      <c r="F85" s="25">
        <f>IF(E85="","",IF(COUNTIF(lst_Jobs,E85&amp;"")&gt;0,"OK","CHECK"))</f>
        <v/>
      </c>
      <c r="G85" s="24" t="n"/>
      <c r="H85" s="24" t="n"/>
      <c r="I85" s="26" t="n"/>
      <c r="J85" s="24" t="n"/>
      <c r="K85" s="22" t="n"/>
      <c r="L85" s="72" t="n"/>
      <c r="M85" s="27">
        <f>IF(E85="","",SUMIFS(tbl_Finance[Ex GST],tbl_Finance[Job Number],E85&amp;""))</f>
        <v/>
      </c>
      <c r="N85" s="27">
        <f>IF(J85&lt;&gt;"Won","",IF(E85="",N(I85),I85-M85))</f>
        <v/>
      </c>
      <c r="O85" s="24" t="n"/>
    </row>
    <row r="86" ht="15" customHeight="1">
      <c r="A86" s="72" t="n"/>
      <c r="B86" s="24" t="n"/>
      <c r="C86" s="24" t="n"/>
      <c r="D86" s="24" t="n"/>
      <c r="E86" s="24" t="n"/>
      <c r="F86" s="25">
        <f>IF(E86="","",IF(COUNTIF(lst_Jobs,E86&amp;"")&gt;0,"OK","CHECK"))</f>
        <v/>
      </c>
      <c r="G86" s="24" t="n"/>
      <c r="H86" s="24" t="n"/>
      <c r="I86" s="26" t="n"/>
      <c r="J86" s="24" t="n"/>
      <c r="K86" s="22" t="n"/>
      <c r="L86" s="72" t="n"/>
      <c r="M86" s="27">
        <f>IF(E86="","",SUMIFS(tbl_Finance[Ex GST],tbl_Finance[Job Number],E86&amp;""))</f>
        <v/>
      </c>
      <c r="N86" s="27">
        <f>IF(J86&lt;&gt;"Won","",IF(E86="",N(I86),I86-M86))</f>
        <v/>
      </c>
      <c r="O86" s="24" t="n"/>
    </row>
    <row r="87" ht="15" customHeight="1">
      <c r="A87" s="72" t="n"/>
      <c r="B87" s="24" t="n"/>
      <c r="C87" s="24" t="n"/>
      <c r="D87" s="24" t="n"/>
      <c r="E87" s="24" t="n"/>
      <c r="F87" s="25">
        <f>IF(E87="","",IF(COUNTIF(lst_Jobs,E87&amp;"")&gt;0,"OK","CHECK"))</f>
        <v/>
      </c>
      <c r="G87" s="24" t="n"/>
      <c r="H87" s="24" t="n"/>
      <c r="I87" s="26" t="n"/>
      <c r="J87" s="24" t="n"/>
      <c r="K87" s="22" t="n"/>
      <c r="L87" s="72" t="n"/>
      <c r="M87" s="27">
        <f>IF(E87="","",SUMIFS(tbl_Finance[Ex GST],tbl_Finance[Job Number],E87&amp;""))</f>
        <v/>
      </c>
      <c r="N87" s="27">
        <f>IF(J87&lt;&gt;"Won","",IF(E87="",N(I87),I87-M87))</f>
        <v/>
      </c>
      <c r="O87" s="24" t="n"/>
    </row>
    <row r="88" ht="15" customHeight="1">
      <c r="A88" s="72" t="n"/>
      <c r="B88" s="24" t="n"/>
      <c r="C88" s="24" t="n"/>
      <c r="D88" s="24" t="n"/>
      <c r="E88" s="24" t="n"/>
      <c r="F88" s="25">
        <f>IF(E88="","",IF(COUNTIF(lst_Jobs,E88&amp;"")&gt;0,"OK","CHECK"))</f>
        <v/>
      </c>
      <c r="G88" s="24" t="n"/>
      <c r="H88" s="24" t="n"/>
      <c r="I88" s="26" t="n"/>
      <c r="J88" s="24" t="n"/>
      <c r="K88" s="22" t="n"/>
      <c r="L88" s="72" t="n"/>
      <c r="M88" s="27">
        <f>IF(E88="","",SUMIFS(tbl_Finance[Ex GST],tbl_Finance[Job Number],E88&amp;""))</f>
        <v/>
      </c>
      <c r="N88" s="27">
        <f>IF(J88&lt;&gt;"Won","",IF(E88="",N(I88),I88-M88))</f>
        <v/>
      </c>
      <c r="O88" s="24" t="n"/>
    </row>
    <row r="89" ht="15" customHeight="1">
      <c r="A89" s="72" t="n"/>
      <c r="B89" s="24" t="n"/>
      <c r="C89" s="24" t="n"/>
      <c r="D89" s="24" t="n"/>
      <c r="E89" s="24" t="n"/>
      <c r="F89" s="25">
        <f>IF(E89="","",IF(COUNTIF(lst_Jobs,E89&amp;"")&gt;0,"OK","CHECK"))</f>
        <v/>
      </c>
      <c r="G89" s="24" t="n"/>
      <c r="H89" s="24" t="n"/>
      <c r="I89" s="26" t="n"/>
      <c r="J89" s="24" t="n"/>
      <c r="K89" s="22" t="n"/>
      <c r="L89" s="72" t="n"/>
      <c r="M89" s="27">
        <f>IF(E89="","",SUMIFS(tbl_Finance[Ex GST],tbl_Finance[Job Number],E89&amp;""))</f>
        <v/>
      </c>
      <c r="N89" s="27">
        <f>IF(J89&lt;&gt;"Won","",IF(E89="",N(I89),I89-M89))</f>
        <v/>
      </c>
      <c r="O89" s="24" t="n"/>
    </row>
    <row r="90" ht="15" customHeight="1">
      <c r="A90" s="72" t="n"/>
      <c r="B90" s="24" t="n"/>
      <c r="C90" s="24" t="n"/>
      <c r="D90" s="24" t="n"/>
      <c r="E90" s="24" t="n"/>
      <c r="F90" s="25">
        <f>IF(E90="","",IF(COUNTIF(lst_Jobs,E90&amp;"")&gt;0,"OK","CHECK"))</f>
        <v/>
      </c>
      <c r="G90" s="24" t="n"/>
      <c r="H90" s="24" t="n"/>
      <c r="I90" s="26" t="n"/>
      <c r="J90" s="24" t="n"/>
      <c r="K90" s="22" t="n"/>
      <c r="L90" s="72" t="n"/>
      <c r="M90" s="27">
        <f>IF(E90="","",SUMIFS(tbl_Finance[Ex GST],tbl_Finance[Job Number],E90&amp;""))</f>
        <v/>
      </c>
      <c r="N90" s="27">
        <f>IF(J90&lt;&gt;"Won","",IF(E90="",N(I90),I90-M90))</f>
        <v/>
      </c>
      <c r="O90" s="24" t="n"/>
    </row>
    <row r="91" ht="15" customHeight="1">
      <c r="A91" s="72" t="n"/>
      <c r="B91" s="24" t="n"/>
      <c r="C91" s="24" t="n"/>
      <c r="D91" s="24" t="n"/>
      <c r="E91" s="24" t="n"/>
      <c r="F91" s="25">
        <f>IF(E91="","",IF(COUNTIF(lst_Jobs,E91&amp;"")&gt;0,"OK","CHECK"))</f>
        <v/>
      </c>
      <c r="G91" s="24" t="n"/>
      <c r="H91" s="24" t="n"/>
      <c r="I91" s="26" t="n"/>
      <c r="J91" s="24" t="n"/>
      <c r="K91" s="22" t="n"/>
      <c r="L91" s="72" t="n"/>
      <c r="M91" s="27">
        <f>IF(E91="","",SUMIFS(tbl_Finance[Ex GST],tbl_Finance[Job Number],E91&amp;""))</f>
        <v/>
      </c>
      <c r="N91" s="27">
        <f>IF(J91&lt;&gt;"Won","",IF(E91="",N(I91),I91-M91))</f>
        <v/>
      </c>
      <c r="O91" s="24" t="n"/>
    </row>
    <row r="92" ht="15" customHeight="1">
      <c r="A92" s="72" t="n"/>
      <c r="B92" s="24" t="n"/>
      <c r="C92" s="24" t="n"/>
      <c r="D92" s="24" t="n"/>
      <c r="E92" s="24" t="n"/>
      <c r="F92" s="25">
        <f>IF(E92="","",IF(COUNTIF(lst_Jobs,E92&amp;"")&gt;0,"OK","CHECK"))</f>
        <v/>
      </c>
      <c r="G92" s="24" t="n"/>
      <c r="H92" s="24" t="n"/>
      <c r="I92" s="26" t="n"/>
      <c r="J92" s="24" t="n"/>
      <c r="K92" s="22" t="n"/>
      <c r="L92" s="72" t="n"/>
      <c r="M92" s="27">
        <f>IF(E92="","",SUMIFS(tbl_Finance[Ex GST],tbl_Finance[Job Number],E92&amp;""))</f>
        <v/>
      </c>
      <c r="N92" s="27">
        <f>IF(J92&lt;&gt;"Won","",IF(E92="",N(I92),I92-M92))</f>
        <v/>
      </c>
      <c r="O92" s="24" t="n"/>
    </row>
    <row r="93" ht="15" customHeight="1">
      <c r="A93" s="72" t="n"/>
      <c r="B93" s="24" t="n"/>
      <c r="C93" s="24" t="n"/>
      <c r="D93" s="24" t="n"/>
      <c r="E93" s="24" t="n"/>
      <c r="F93" s="25">
        <f>IF(E93="","",IF(COUNTIF(lst_Jobs,E93&amp;"")&gt;0,"OK","CHECK"))</f>
        <v/>
      </c>
      <c r="G93" s="24" t="n"/>
      <c r="H93" s="24" t="n"/>
      <c r="I93" s="26" t="n"/>
      <c r="J93" s="24" t="n"/>
      <c r="K93" s="22" t="n"/>
      <c r="L93" s="72" t="n"/>
      <c r="M93" s="27">
        <f>IF(E93="","",SUMIFS(tbl_Finance[Ex GST],tbl_Finance[Job Number],E93&amp;""))</f>
        <v/>
      </c>
      <c r="N93" s="27">
        <f>IF(J93&lt;&gt;"Won","",IF(E93="",N(I93),I93-M93))</f>
        <v/>
      </c>
      <c r="O93" s="24" t="n"/>
    </row>
    <row r="94" ht="15" customHeight="1">
      <c r="A94" s="72" t="n"/>
      <c r="B94" s="24" t="n"/>
      <c r="C94" s="24" t="n"/>
      <c r="D94" s="24" t="n"/>
      <c r="E94" s="24" t="n"/>
      <c r="F94" s="25">
        <f>IF(E94="","",IF(COUNTIF(lst_Jobs,E94&amp;"")&gt;0,"OK","CHECK"))</f>
        <v/>
      </c>
      <c r="G94" s="24" t="n"/>
      <c r="H94" s="24" t="n"/>
      <c r="I94" s="26" t="n"/>
      <c r="J94" s="24" t="n"/>
      <c r="K94" s="22" t="n"/>
      <c r="L94" s="72" t="n"/>
      <c r="M94" s="27">
        <f>IF(E94="","",SUMIFS(tbl_Finance[Ex GST],tbl_Finance[Job Number],E94&amp;""))</f>
        <v/>
      </c>
      <c r="N94" s="27">
        <f>IF(J94&lt;&gt;"Won","",IF(E94="",N(I94),I94-M94))</f>
        <v/>
      </c>
      <c r="O94" s="24" t="n"/>
    </row>
    <row r="95" ht="15" customHeight="1">
      <c r="A95" s="72" t="n"/>
      <c r="B95" s="24" t="n"/>
      <c r="C95" s="24" t="n"/>
      <c r="D95" s="24" t="n"/>
      <c r="E95" s="24" t="n"/>
      <c r="F95" s="25">
        <f>IF(E95="","",IF(COUNTIF(lst_Jobs,E95&amp;"")&gt;0,"OK","CHECK"))</f>
        <v/>
      </c>
      <c r="G95" s="24" t="n"/>
      <c r="H95" s="24" t="n"/>
      <c r="I95" s="26" t="n"/>
      <c r="J95" s="24" t="n"/>
      <c r="K95" s="22" t="n"/>
      <c r="L95" s="72" t="n"/>
      <c r="M95" s="27">
        <f>IF(E95="","",SUMIFS(tbl_Finance[Ex GST],tbl_Finance[Job Number],E95&amp;""))</f>
        <v/>
      </c>
      <c r="N95" s="27">
        <f>IF(J95&lt;&gt;"Won","",IF(E95="",N(I95),I95-M95))</f>
        <v/>
      </c>
      <c r="O95" s="24" t="n"/>
    </row>
    <row r="96" ht="15" customHeight="1">
      <c r="A96" s="72" t="n"/>
      <c r="B96" s="24" t="n"/>
      <c r="C96" s="24" t="n"/>
      <c r="D96" s="24" t="n"/>
      <c r="E96" s="24" t="n"/>
      <c r="F96" s="25">
        <f>IF(E96="","",IF(COUNTIF(lst_Jobs,E96&amp;"")&gt;0,"OK","CHECK"))</f>
        <v/>
      </c>
      <c r="G96" s="24" t="n"/>
      <c r="H96" s="24" t="n"/>
      <c r="I96" s="26" t="n"/>
      <c r="J96" s="24" t="n"/>
      <c r="K96" s="22" t="n"/>
      <c r="L96" s="72" t="n"/>
      <c r="M96" s="27">
        <f>IF(E96="","",SUMIFS(tbl_Finance[Ex GST],tbl_Finance[Job Number],E96&amp;""))</f>
        <v/>
      </c>
      <c r="N96" s="27">
        <f>IF(J96&lt;&gt;"Won","",IF(E96="",N(I96),I96-M96))</f>
        <v/>
      </c>
      <c r="O96" s="24" t="n"/>
    </row>
    <row r="97" ht="15" customHeight="1">
      <c r="A97" s="72" t="n"/>
      <c r="B97" s="24" t="n"/>
      <c r="C97" s="24" t="n"/>
      <c r="D97" s="24" t="n"/>
      <c r="E97" s="24" t="n"/>
      <c r="F97" s="25">
        <f>IF(E97="","",IF(COUNTIF(lst_Jobs,E97&amp;"")&gt;0,"OK","CHECK"))</f>
        <v/>
      </c>
      <c r="G97" s="24" t="n"/>
      <c r="H97" s="24" t="n"/>
      <c r="I97" s="26" t="n"/>
      <c r="J97" s="24" t="n"/>
      <c r="K97" s="22" t="n"/>
      <c r="L97" s="72" t="n"/>
      <c r="M97" s="27">
        <f>IF(E97="","",SUMIFS(tbl_Finance[Ex GST],tbl_Finance[Job Number],E97&amp;""))</f>
        <v/>
      </c>
      <c r="N97" s="27">
        <f>IF(J97&lt;&gt;"Won","",IF(E97="",N(I97),I97-M97))</f>
        <v/>
      </c>
      <c r="O97" s="24" t="n"/>
    </row>
    <row r="98" ht="15" customHeight="1">
      <c r="A98" s="72" t="n"/>
      <c r="B98" s="24" t="n"/>
      <c r="C98" s="24" t="n"/>
      <c r="D98" s="24" t="n"/>
      <c r="E98" s="24" t="n"/>
      <c r="F98" s="25">
        <f>IF(E98="","",IF(COUNTIF(lst_Jobs,E98&amp;"")&gt;0,"OK","CHECK"))</f>
        <v/>
      </c>
      <c r="G98" s="24" t="n"/>
      <c r="H98" s="24" t="n"/>
      <c r="I98" s="26" t="n"/>
      <c r="J98" s="24" t="n"/>
      <c r="K98" s="22" t="n"/>
      <c r="L98" s="72" t="n"/>
      <c r="M98" s="27">
        <f>IF(E98="","",SUMIFS(tbl_Finance[Ex GST],tbl_Finance[Job Number],E98&amp;""))</f>
        <v/>
      </c>
      <c r="N98" s="27">
        <f>IF(J98&lt;&gt;"Won","",IF(E98="",N(I98),I98-M98))</f>
        <v/>
      </c>
      <c r="O98" s="24" t="n"/>
    </row>
    <row r="99" ht="15" customHeight="1">
      <c r="A99" s="72" t="n"/>
      <c r="B99" s="24" t="n"/>
      <c r="C99" s="24" t="n"/>
      <c r="D99" s="24" t="n"/>
      <c r="E99" s="24" t="n"/>
      <c r="F99" s="25">
        <f>IF(E99="","",IF(COUNTIF(lst_Jobs,E99&amp;"")&gt;0,"OK","CHECK"))</f>
        <v/>
      </c>
      <c r="G99" s="24" t="n"/>
      <c r="H99" s="24" t="n"/>
      <c r="I99" s="26" t="n"/>
      <c r="J99" s="24" t="n"/>
      <c r="K99" s="22" t="n"/>
      <c r="L99" s="72" t="n"/>
      <c r="M99" s="27">
        <f>IF(E99="","",SUMIFS(tbl_Finance[Ex GST],tbl_Finance[Job Number],E99&amp;""))</f>
        <v/>
      </c>
      <c r="N99" s="27">
        <f>IF(J99&lt;&gt;"Won","",IF(E99="",N(I99),I99-M99))</f>
        <v/>
      </c>
      <c r="O99" s="24" t="n"/>
    </row>
    <row r="100" ht="15" customHeight="1">
      <c r="A100" s="72" t="n"/>
      <c r="B100" s="24" t="n"/>
      <c r="C100" s="24" t="n"/>
      <c r="D100" s="24" t="n"/>
      <c r="E100" s="24" t="n"/>
      <c r="F100" s="25">
        <f>IF(E100="","",IF(COUNTIF(lst_Jobs,E100&amp;"")&gt;0,"OK","CHECK"))</f>
        <v/>
      </c>
      <c r="G100" s="24" t="n"/>
      <c r="H100" s="24" t="n"/>
      <c r="I100" s="26" t="n"/>
      <c r="J100" s="24" t="n"/>
      <c r="K100" s="22" t="n"/>
      <c r="L100" s="72" t="n"/>
      <c r="M100" s="27">
        <f>IF(E100="","",SUMIFS(tbl_Finance[Ex GST],tbl_Finance[Job Number],E100&amp;""))</f>
        <v/>
      </c>
      <c r="N100" s="27">
        <f>IF(J100&lt;&gt;"Won","",IF(E100="",N(I100),I100-M100))</f>
        <v/>
      </c>
      <c r="O100" s="24" t="n"/>
    </row>
    <row r="101" ht="15" customHeight="1">
      <c r="A101" s="72" t="n"/>
      <c r="B101" s="24" t="n"/>
      <c r="C101" s="24" t="n"/>
      <c r="D101" s="24" t="n"/>
      <c r="E101" s="24" t="n"/>
      <c r="F101" s="25">
        <f>IF(E101="","",IF(COUNTIF(lst_Jobs,E101&amp;"")&gt;0,"OK","CHECK"))</f>
        <v/>
      </c>
      <c r="G101" s="24" t="n"/>
      <c r="H101" s="24" t="n"/>
      <c r="I101" s="26" t="n"/>
      <c r="J101" s="24" t="n"/>
      <c r="K101" s="22" t="n"/>
      <c r="L101" s="72" t="n"/>
      <c r="M101" s="27">
        <f>IF(E101="","",SUMIFS(tbl_Finance[Ex GST],tbl_Finance[Job Number],E101&amp;""))</f>
        <v/>
      </c>
      <c r="N101" s="27">
        <f>IF(J101&lt;&gt;"Won","",IF(E101="",N(I101),I101-M101))</f>
        <v/>
      </c>
      <c r="O101" s="24" t="n"/>
    </row>
    <row r="102" ht="15" customHeight="1">
      <c r="A102" s="72" t="n"/>
      <c r="B102" s="24" t="n"/>
      <c r="C102" s="24" t="n"/>
      <c r="D102" s="24" t="n"/>
      <c r="E102" s="24" t="n"/>
      <c r="F102" s="25">
        <f>IF(E102="","",IF(COUNTIF(lst_Jobs,E102&amp;"")&gt;0,"OK","CHECK"))</f>
        <v/>
      </c>
      <c r="G102" s="24" t="n"/>
      <c r="H102" s="24" t="n"/>
      <c r="I102" s="26" t="n"/>
      <c r="J102" s="24" t="n"/>
      <c r="K102" s="22" t="n"/>
      <c r="L102" s="72" t="n"/>
      <c r="M102" s="27">
        <f>IF(E102="","",SUMIFS(tbl_Finance[Ex GST],tbl_Finance[Job Number],E102&amp;""))</f>
        <v/>
      </c>
      <c r="N102" s="27">
        <f>IF(J102&lt;&gt;"Won","",IF(E102="",N(I102),I102-M102))</f>
        <v/>
      </c>
      <c r="O102" s="24" t="n"/>
    </row>
    <row r="103" ht="15" customHeight="1">
      <c r="A103" s="72" t="n"/>
      <c r="B103" s="24" t="n"/>
      <c r="C103" s="24" t="n"/>
      <c r="D103" s="24" t="n"/>
      <c r="E103" s="24" t="n"/>
      <c r="F103" s="25">
        <f>IF(E103="","",IF(COUNTIF(lst_Jobs,E103&amp;"")&gt;0,"OK","CHECK"))</f>
        <v/>
      </c>
      <c r="G103" s="24" t="n"/>
      <c r="H103" s="24" t="n"/>
      <c r="I103" s="26" t="n"/>
      <c r="J103" s="24" t="n"/>
      <c r="K103" s="22" t="n"/>
      <c r="L103" s="72" t="n"/>
      <c r="M103" s="27">
        <f>IF(E103="","",SUMIFS(tbl_Finance[Ex GST],tbl_Finance[Job Number],E103&amp;""))</f>
        <v/>
      </c>
      <c r="N103" s="27">
        <f>IF(J103&lt;&gt;"Won","",IF(E103="",N(I103),I103-M103))</f>
        <v/>
      </c>
      <c r="O103" s="24" t="n"/>
    </row>
    <row r="104" ht="15" customHeight="1">
      <c r="A104" s="72" t="n"/>
      <c r="B104" s="24" t="n"/>
      <c r="C104" s="24" t="n"/>
      <c r="D104" s="24" t="n"/>
      <c r="E104" s="24" t="n"/>
      <c r="F104" s="25">
        <f>IF(E104="","",IF(COUNTIF(lst_Jobs,E104&amp;"")&gt;0,"OK","CHECK"))</f>
        <v/>
      </c>
      <c r="G104" s="24" t="n"/>
      <c r="H104" s="24" t="n"/>
      <c r="I104" s="26" t="n"/>
      <c r="J104" s="24" t="n"/>
      <c r="K104" s="22" t="n"/>
      <c r="L104" s="72" t="n"/>
      <c r="M104" s="27">
        <f>IF(E104="","",SUMIFS(tbl_Finance[Ex GST],tbl_Finance[Job Number],E104&amp;""))</f>
        <v/>
      </c>
      <c r="N104" s="27">
        <f>IF(J104&lt;&gt;"Won","",IF(E104="",N(I104),I104-M104))</f>
        <v/>
      </c>
      <c r="O104" s="24" t="n"/>
    </row>
    <row r="105" ht="15" customHeight="1">
      <c r="A105" s="72" t="n"/>
      <c r="B105" s="24" t="n"/>
      <c r="C105" s="24" t="n"/>
      <c r="D105" s="24" t="n"/>
      <c r="E105" s="24" t="n"/>
      <c r="F105" s="25">
        <f>IF(E105="","",IF(COUNTIF(lst_Jobs,E105&amp;"")&gt;0,"OK","CHECK"))</f>
        <v/>
      </c>
      <c r="G105" s="24" t="n"/>
      <c r="H105" s="24" t="n"/>
      <c r="I105" s="26" t="n"/>
      <c r="J105" s="24" t="n"/>
      <c r="K105" s="22" t="n"/>
      <c r="L105" s="72" t="n"/>
      <c r="M105" s="27">
        <f>IF(E105="","",SUMIFS(tbl_Finance[Ex GST],tbl_Finance[Job Number],E105&amp;""))</f>
        <v/>
      </c>
      <c r="N105" s="27">
        <f>IF(J105&lt;&gt;"Won","",IF(E105="",N(I105),I105-M105))</f>
        <v/>
      </c>
      <c r="O105" s="24" t="n"/>
    </row>
    <row r="106" ht="15" customHeight="1">
      <c r="A106" s="72" t="n"/>
      <c r="B106" s="24" t="n"/>
      <c r="C106" s="24" t="n"/>
      <c r="D106" s="24" t="n"/>
      <c r="E106" s="24" t="n"/>
      <c r="F106" s="25">
        <f>IF(E106="","",IF(COUNTIF(lst_Jobs,E106&amp;"")&gt;0,"OK","CHECK"))</f>
        <v/>
      </c>
      <c r="G106" s="24" t="n"/>
      <c r="H106" s="24" t="n"/>
      <c r="I106" s="26" t="n"/>
      <c r="J106" s="24" t="n"/>
      <c r="K106" s="22" t="n"/>
      <c r="L106" s="72" t="n"/>
      <c r="M106" s="27">
        <f>IF(E106="","",SUMIFS(tbl_Finance[Ex GST],tbl_Finance[Job Number],E106&amp;""))</f>
        <v/>
      </c>
      <c r="N106" s="27">
        <f>IF(J106&lt;&gt;"Won","",IF(E106="",N(I106),I106-M106))</f>
        <v/>
      </c>
      <c r="O106" s="24" t="n"/>
    </row>
    <row r="107" ht="15" customHeight="1">
      <c r="A107" s="72" t="n"/>
      <c r="B107" s="24" t="n"/>
      <c r="C107" s="24" t="n"/>
      <c r="D107" s="24" t="n"/>
      <c r="E107" s="24" t="n"/>
      <c r="F107" s="25">
        <f>IF(E107="","",IF(COUNTIF(lst_Jobs,E107&amp;"")&gt;0,"OK","CHECK"))</f>
        <v/>
      </c>
      <c r="G107" s="24" t="n"/>
      <c r="H107" s="24" t="n"/>
      <c r="I107" s="26" t="n"/>
      <c r="J107" s="24" t="n"/>
      <c r="K107" s="22" t="n"/>
      <c r="L107" s="72" t="n"/>
      <c r="M107" s="27">
        <f>IF(E107="","",SUMIFS(tbl_Finance[Ex GST],tbl_Finance[Job Number],E107&amp;""))</f>
        <v/>
      </c>
      <c r="N107" s="27">
        <f>IF(J107&lt;&gt;"Won","",IF(E107="",N(I107),I107-M107))</f>
        <v/>
      </c>
      <c r="O107" s="24" t="n"/>
    </row>
    <row r="108" ht="15" customHeight="1">
      <c r="A108" s="72" t="n"/>
      <c r="B108" s="24" t="n"/>
      <c r="C108" s="24" t="n"/>
      <c r="D108" s="24" t="n"/>
      <c r="E108" s="24" t="n"/>
      <c r="F108" s="25">
        <f>IF(E108="","",IF(COUNTIF(lst_Jobs,E108&amp;"")&gt;0,"OK","CHECK"))</f>
        <v/>
      </c>
      <c r="G108" s="24" t="n"/>
      <c r="H108" s="24" t="n"/>
      <c r="I108" s="26" t="n"/>
      <c r="J108" s="24" t="n"/>
      <c r="K108" s="22" t="n"/>
      <c r="L108" s="72" t="n"/>
      <c r="M108" s="27">
        <f>IF(E108="","",SUMIFS(tbl_Finance[Ex GST],tbl_Finance[Job Number],E108&amp;""))</f>
        <v/>
      </c>
      <c r="N108" s="27">
        <f>IF(J108&lt;&gt;"Won","",IF(E108="",N(I108),I108-M108))</f>
        <v/>
      </c>
      <c r="O108" s="24" t="n"/>
    </row>
    <row r="109" ht="15" customHeight="1">
      <c r="A109" s="72" t="n"/>
      <c r="B109" s="24" t="n"/>
      <c r="C109" s="24" t="n"/>
      <c r="D109" s="24" t="n"/>
      <c r="E109" s="24" t="n"/>
      <c r="F109" s="25">
        <f>IF(E109="","",IF(COUNTIF(lst_Jobs,E109&amp;"")&gt;0,"OK","CHECK"))</f>
        <v/>
      </c>
      <c r="G109" s="24" t="n"/>
      <c r="H109" s="24" t="n"/>
      <c r="I109" s="26" t="n"/>
      <c r="J109" s="24" t="n"/>
      <c r="K109" s="22" t="n"/>
      <c r="L109" s="72" t="n"/>
      <c r="M109" s="27">
        <f>IF(E109="","",SUMIFS(tbl_Finance[Ex GST],tbl_Finance[Job Number],E109&amp;""))</f>
        <v/>
      </c>
      <c r="N109" s="27">
        <f>IF(J109&lt;&gt;"Won","",IF(E109="",N(I109),I109-M109))</f>
        <v/>
      </c>
      <c r="O109" s="24" t="n"/>
    </row>
    <row r="110" ht="15" customHeight="1">
      <c r="A110" s="72" t="n"/>
      <c r="B110" s="24" t="n"/>
      <c r="C110" s="24" t="n"/>
      <c r="D110" s="24" t="n"/>
      <c r="E110" s="24" t="n"/>
      <c r="F110" s="25">
        <f>IF(E110="","",IF(COUNTIF(lst_Jobs,E110&amp;"")&gt;0,"OK","CHECK"))</f>
        <v/>
      </c>
      <c r="G110" s="24" t="n"/>
      <c r="H110" s="24" t="n"/>
      <c r="I110" s="26" t="n"/>
      <c r="J110" s="24" t="n"/>
      <c r="K110" s="22" t="n"/>
      <c r="L110" s="72" t="n"/>
      <c r="M110" s="27">
        <f>IF(E110="","",SUMIFS(tbl_Finance[Ex GST],tbl_Finance[Job Number],E110&amp;""))</f>
        <v/>
      </c>
      <c r="N110" s="27">
        <f>IF(J110&lt;&gt;"Won","",IF(E110="",N(I110),I110-M110))</f>
        <v/>
      </c>
      <c r="O110" s="24" t="n"/>
    </row>
    <row r="111" ht="15" customHeight="1">
      <c r="A111" s="72" t="n"/>
      <c r="B111" s="24" t="n"/>
      <c r="C111" s="24" t="n"/>
      <c r="D111" s="24" t="n"/>
      <c r="E111" s="24" t="n"/>
      <c r="F111" s="25">
        <f>IF(E111="","",IF(COUNTIF(lst_Jobs,E111&amp;"")&gt;0,"OK","CHECK"))</f>
        <v/>
      </c>
      <c r="G111" s="24" t="n"/>
      <c r="H111" s="24" t="n"/>
      <c r="I111" s="26" t="n"/>
      <c r="J111" s="24" t="n"/>
      <c r="K111" s="22" t="n"/>
      <c r="L111" s="72" t="n"/>
      <c r="M111" s="27">
        <f>IF(E111="","",SUMIFS(tbl_Finance[Ex GST],tbl_Finance[Job Number],E111&amp;""))</f>
        <v/>
      </c>
      <c r="N111" s="27">
        <f>IF(J111&lt;&gt;"Won","",IF(E111="",N(I111),I111-M111))</f>
        <v/>
      </c>
      <c r="O111" s="24" t="n"/>
    </row>
    <row r="112" ht="15" customHeight="1">
      <c r="A112" s="72" t="n"/>
      <c r="B112" s="24" t="n"/>
      <c r="C112" s="24" t="n"/>
      <c r="D112" s="24" t="n"/>
      <c r="E112" s="24" t="n"/>
      <c r="F112" s="25">
        <f>IF(E112="","",IF(COUNTIF(lst_Jobs,E112&amp;"")&gt;0,"OK","CHECK"))</f>
        <v/>
      </c>
      <c r="G112" s="24" t="n"/>
      <c r="H112" s="24" t="n"/>
      <c r="I112" s="26" t="n"/>
      <c r="J112" s="24" t="n"/>
      <c r="K112" s="22" t="n"/>
      <c r="L112" s="72" t="n"/>
      <c r="M112" s="27">
        <f>IF(E112="","",SUMIFS(tbl_Finance[Ex GST],tbl_Finance[Job Number],E112&amp;""))</f>
        <v/>
      </c>
      <c r="N112" s="27">
        <f>IF(J112&lt;&gt;"Won","",IF(E112="",N(I112),I112-M112))</f>
        <v/>
      </c>
      <c r="O112" s="24" t="n"/>
    </row>
    <row r="113" ht="15" customHeight="1">
      <c r="A113" s="72" t="n"/>
      <c r="B113" s="24" t="n"/>
      <c r="C113" s="24" t="n"/>
      <c r="D113" s="24" t="n"/>
      <c r="E113" s="24" t="n"/>
      <c r="F113" s="25">
        <f>IF(E113="","",IF(COUNTIF(lst_Jobs,E113&amp;"")&gt;0,"OK","CHECK"))</f>
        <v/>
      </c>
      <c r="G113" s="24" t="n"/>
      <c r="H113" s="24" t="n"/>
      <c r="I113" s="26" t="n"/>
      <c r="J113" s="24" t="n"/>
      <c r="K113" s="22" t="n"/>
      <c r="L113" s="72" t="n"/>
      <c r="M113" s="27">
        <f>IF(E113="","",SUMIFS(tbl_Finance[Ex GST],tbl_Finance[Job Number],E113&amp;""))</f>
        <v/>
      </c>
      <c r="N113" s="27">
        <f>IF(J113&lt;&gt;"Won","",IF(E113="",N(I113),I113-M113))</f>
        <v/>
      </c>
      <c r="O113" s="24" t="n"/>
    </row>
    <row r="114" ht="15" customHeight="1">
      <c r="A114" s="72" t="n"/>
      <c r="B114" s="24" t="n"/>
      <c r="C114" s="24" t="n"/>
      <c r="D114" s="24" t="n"/>
      <c r="E114" s="24" t="n"/>
      <c r="F114" s="25">
        <f>IF(E114="","",IF(COUNTIF(lst_Jobs,E114&amp;"")&gt;0,"OK","CHECK"))</f>
        <v/>
      </c>
      <c r="G114" s="24" t="n"/>
      <c r="H114" s="24" t="n"/>
      <c r="I114" s="26" t="n"/>
      <c r="J114" s="24" t="n"/>
      <c r="K114" s="22" t="n"/>
      <c r="L114" s="72" t="n"/>
      <c r="M114" s="27">
        <f>IF(E114="","",SUMIFS(tbl_Finance[Ex GST],tbl_Finance[Job Number],E114&amp;""))</f>
        <v/>
      </c>
      <c r="N114" s="27">
        <f>IF(J114&lt;&gt;"Won","",IF(E114="",N(I114),I114-M114))</f>
        <v/>
      </c>
      <c r="O114" s="24" t="n"/>
    </row>
    <row r="115" ht="15" customHeight="1">
      <c r="A115" s="72" t="n"/>
      <c r="B115" s="24" t="n"/>
      <c r="C115" s="24" t="n"/>
      <c r="D115" s="24" t="n"/>
      <c r="E115" s="24" t="n"/>
      <c r="F115" s="25">
        <f>IF(E115="","",IF(COUNTIF(lst_Jobs,E115&amp;"")&gt;0,"OK","CHECK"))</f>
        <v/>
      </c>
      <c r="G115" s="24" t="n"/>
      <c r="H115" s="24" t="n"/>
      <c r="I115" s="26" t="n"/>
      <c r="J115" s="24" t="n"/>
      <c r="K115" s="22" t="n"/>
      <c r="L115" s="72" t="n"/>
      <c r="M115" s="27">
        <f>IF(E115="","",SUMIFS(tbl_Finance[Ex GST],tbl_Finance[Job Number],E115&amp;""))</f>
        <v/>
      </c>
      <c r="N115" s="27">
        <f>IF(J115&lt;&gt;"Won","",IF(E115="",N(I115),I115-M115))</f>
        <v/>
      </c>
      <c r="O115" s="24" t="n"/>
    </row>
    <row r="116" ht="15" customHeight="1">
      <c r="A116" s="72" t="n"/>
      <c r="B116" s="24" t="n"/>
      <c r="C116" s="24" t="n"/>
      <c r="D116" s="24" t="n"/>
      <c r="E116" s="24" t="n"/>
      <c r="F116" s="25">
        <f>IF(E116="","",IF(COUNTIF(lst_Jobs,E116&amp;"")&gt;0,"OK","CHECK"))</f>
        <v/>
      </c>
      <c r="G116" s="24" t="n"/>
      <c r="H116" s="24" t="n"/>
      <c r="I116" s="26" t="n"/>
      <c r="J116" s="24" t="n"/>
      <c r="K116" s="22" t="n"/>
      <c r="L116" s="72" t="n"/>
      <c r="M116" s="27">
        <f>IF(E116="","",SUMIFS(tbl_Finance[Ex GST],tbl_Finance[Job Number],E116&amp;""))</f>
        <v/>
      </c>
      <c r="N116" s="27">
        <f>IF(J116&lt;&gt;"Won","",IF(E116="",N(I116),I116-M116))</f>
        <v/>
      </c>
      <c r="O116" s="24" t="n"/>
    </row>
    <row r="117" ht="15" customHeight="1">
      <c r="A117" s="72" t="n"/>
      <c r="B117" s="24" t="n"/>
      <c r="C117" s="24" t="n"/>
      <c r="D117" s="24" t="n"/>
      <c r="E117" s="24" t="n"/>
      <c r="F117" s="25">
        <f>IF(E117="","",IF(COUNTIF(lst_Jobs,E117&amp;"")&gt;0,"OK","CHECK"))</f>
        <v/>
      </c>
      <c r="G117" s="24" t="n"/>
      <c r="H117" s="24" t="n"/>
      <c r="I117" s="26" t="n"/>
      <c r="J117" s="24" t="n"/>
      <c r="K117" s="22" t="n"/>
      <c r="L117" s="72" t="n"/>
      <c r="M117" s="27">
        <f>IF(E117="","",SUMIFS(tbl_Finance[Ex GST],tbl_Finance[Job Number],E117&amp;""))</f>
        <v/>
      </c>
      <c r="N117" s="27">
        <f>IF(J117&lt;&gt;"Won","",IF(E117="",N(I117),I117-M117))</f>
        <v/>
      </c>
      <c r="O117" s="24" t="n"/>
    </row>
    <row r="118" ht="15" customHeight="1">
      <c r="A118" s="72" t="n"/>
      <c r="B118" s="24" t="n"/>
      <c r="C118" s="24" t="n"/>
      <c r="D118" s="24" t="n"/>
      <c r="E118" s="24" t="n"/>
      <c r="F118" s="25">
        <f>IF(E118="","",IF(COUNTIF(lst_Jobs,E118&amp;"")&gt;0,"OK","CHECK"))</f>
        <v/>
      </c>
      <c r="G118" s="24" t="n"/>
      <c r="H118" s="24" t="n"/>
      <c r="I118" s="26" t="n"/>
      <c r="J118" s="24" t="n"/>
      <c r="K118" s="22" t="n"/>
      <c r="L118" s="72" t="n"/>
      <c r="M118" s="27">
        <f>IF(E118="","",SUMIFS(tbl_Finance[Ex GST],tbl_Finance[Job Number],E118&amp;""))</f>
        <v/>
      </c>
      <c r="N118" s="27">
        <f>IF(J118&lt;&gt;"Won","",IF(E118="",N(I118),I118-M118))</f>
        <v/>
      </c>
      <c r="O118" s="24" t="n"/>
    </row>
    <row r="119" ht="15" customHeight="1">
      <c r="A119" s="72" t="n"/>
      <c r="B119" s="24" t="n"/>
      <c r="C119" s="24" t="n"/>
      <c r="D119" s="24" t="n"/>
      <c r="E119" s="24" t="n"/>
      <c r="F119" s="25">
        <f>IF(E119="","",IF(COUNTIF(lst_Jobs,E119&amp;"")&gt;0,"OK","CHECK"))</f>
        <v/>
      </c>
      <c r="G119" s="24" t="n"/>
      <c r="H119" s="24" t="n"/>
      <c r="I119" s="26" t="n"/>
      <c r="J119" s="24" t="n"/>
      <c r="K119" s="22" t="n"/>
      <c r="L119" s="72" t="n"/>
      <c r="M119" s="27">
        <f>IF(E119="","",SUMIFS(tbl_Finance[Ex GST],tbl_Finance[Job Number],E119&amp;""))</f>
        <v/>
      </c>
      <c r="N119" s="27">
        <f>IF(J119&lt;&gt;"Won","",IF(E119="",N(I119),I119-M119))</f>
        <v/>
      </c>
      <c r="O119" s="24" t="n"/>
    </row>
    <row r="120" ht="15" customHeight="1">
      <c r="A120" s="72" t="n"/>
      <c r="B120" s="24" t="n"/>
      <c r="C120" s="24" t="n"/>
      <c r="D120" s="24" t="n"/>
      <c r="E120" s="24" t="n"/>
      <c r="F120" s="25">
        <f>IF(E120="","",IF(COUNTIF(lst_Jobs,E120&amp;"")&gt;0,"OK","CHECK"))</f>
        <v/>
      </c>
      <c r="G120" s="24" t="n"/>
      <c r="H120" s="24" t="n"/>
      <c r="I120" s="26" t="n"/>
      <c r="J120" s="24" t="n"/>
      <c r="K120" s="22" t="n"/>
      <c r="L120" s="72" t="n"/>
      <c r="M120" s="27">
        <f>IF(E120="","",SUMIFS(tbl_Finance[Ex GST],tbl_Finance[Job Number],E120&amp;""))</f>
        <v/>
      </c>
      <c r="N120" s="27">
        <f>IF(J120&lt;&gt;"Won","",IF(E120="",N(I120),I120-M120))</f>
        <v/>
      </c>
      <c r="O120" s="24" t="n"/>
    </row>
    <row r="121" ht="15" customHeight="1">
      <c r="A121" s="72" t="n"/>
      <c r="B121" s="24" t="n"/>
      <c r="C121" s="24" t="n"/>
      <c r="D121" s="24" t="n"/>
      <c r="E121" s="24" t="n"/>
      <c r="F121" s="25">
        <f>IF(E121="","",IF(COUNTIF(lst_Jobs,E121&amp;"")&gt;0,"OK","CHECK"))</f>
        <v/>
      </c>
      <c r="G121" s="24" t="n"/>
      <c r="H121" s="24" t="n"/>
      <c r="I121" s="26" t="n"/>
      <c r="J121" s="24" t="n"/>
      <c r="K121" s="22" t="n"/>
      <c r="L121" s="72" t="n"/>
      <c r="M121" s="27">
        <f>IF(E121="","",SUMIFS(tbl_Finance[Ex GST],tbl_Finance[Job Number],E121&amp;""))</f>
        <v/>
      </c>
      <c r="N121" s="27">
        <f>IF(J121&lt;&gt;"Won","",IF(E121="",N(I121),I121-M121))</f>
        <v/>
      </c>
      <c r="O121" s="24" t="n"/>
    </row>
    <row r="122" ht="15" customHeight="1">
      <c r="A122" s="72" t="n"/>
      <c r="B122" s="24" t="n"/>
      <c r="C122" s="24" t="n"/>
      <c r="D122" s="24" t="n"/>
      <c r="E122" s="24" t="n"/>
      <c r="F122" s="25">
        <f>IF(E122="","",IF(COUNTIF(lst_Jobs,E122&amp;"")&gt;0,"OK","CHECK"))</f>
        <v/>
      </c>
      <c r="G122" s="24" t="n"/>
      <c r="H122" s="24" t="n"/>
      <c r="I122" s="26" t="n"/>
      <c r="J122" s="24" t="n"/>
      <c r="K122" s="22" t="n"/>
      <c r="L122" s="72" t="n"/>
      <c r="M122" s="27">
        <f>IF(E122="","",SUMIFS(tbl_Finance[Ex GST],tbl_Finance[Job Number],E122&amp;""))</f>
        <v/>
      </c>
      <c r="N122" s="27">
        <f>IF(J122&lt;&gt;"Won","",IF(E122="",N(I122),I122-M122))</f>
        <v/>
      </c>
      <c r="O122" s="24" t="n"/>
    </row>
    <row r="123" ht="15" customHeight="1">
      <c r="A123" s="72" t="n"/>
      <c r="B123" s="24" t="n"/>
      <c r="C123" s="24" t="n"/>
      <c r="D123" s="24" t="n"/>
      <c r="E123" s="24" t="n"/>
      <c r="F123" s="25">
        <f>IF(E123="","",IF(COUNTIF(lst_Jobs,E123&amp;"")&gt;0,"OK","CHECK"))</f>
        <v/>
      </c>
      <c r="G123" s="24" t="n"/>
      <c r="H123" s="24" t="n"/>
      <c r="I123" s="26" t="n"/>
      <c r="J123" s="24" t="n"/>
      <c r="K123" s="22" t="n"/>
      <c r="L123" s="72" t="n"/>
      <c r="M123" s="27">
        <f>IF(E123="","",SUMIFS(tbl_Finance[Ex GST],tbl_Finance[Job Number],E123&amp;""))</f>
        <v/>
      </c>
      <c r="N123" s="27">
        <f>IF(J123&lt;&gt;"Won","",IF(E123="",N(I123),I123-M123))</f>
        <v/>
      </c>
      <c r="O123" s="24" t="n"/>
    </row>
    <row r="124" ht="15" customHeight="1">
      <c r="A124" s="72" t="n"/>
      <c r="B124" s="24" t="n"/>
      <c r="C124" s="24" t="n"/>
      <c r="D124" s="24" t="n"/>
      <c r="E124" s="24" t="n"/>
      <c r="F124" s="25">
        <f>IF(E124="","",IF(COUNTIF(lst_Jobs,E124&amp;"")&gt;0,"OK","CHECK"))</f>
        <v/>
      </c>
      <c r="G124" s="24" t="n"/>
      <c r="H124" s="24" t="n"/>
      <c r="I124" s="26" t="n"/>
      <c r="J124" s="24" t="n"/>
      <c r="K124" s="22" t="n"/>
      <c r="L124" s="72" t="n"/>
      <c r="M124" s="27">
        <f>IF(E124="","",SUMIFS(tbl_Finance[Ex GST],tbl_Finance[Job Number],E124&amp;""))</f>
        <v/>
      </c>
      <c r="N124" s="27">
        <f>IF(J124&lt;&gt;"Won","",IF(E124="",N(I124),I124-M124))</f>
        <v/>
      </c>
      <c r="O124" s="24" t="n"/>
    </row>
    <row r="125" ht="15" customHeight="1">
      <c r="A125" s="72" t="n"/>
      <c r="B125" s="24" t="n"/>
      <c r="C125" s="24" t="n"/>
      <c r="D125" s="24" t="n"/>
      <c r="E125" s="24" t="n"/>
      <c r="F125" s="25">
        <f>IF(E125="","",IF(COUNTIF(lst_Jobs,E125&amp;"")&gt;0,"OK","CHECK"))</f>
        <v/>
      </c>
      <c r="G125" s="24" t="n"/>
      <c r="H125" s="24" t="n"/>
      <c r="I125" s="26" t="n"/>
      <c r="J125" s="24" t="n"/>
      <c r="K125" s="22" t="n"/>
      <c r="L125" s="72" t="n"/>
      <c r="M125" s="27">
        <f>IF(E125="","",SUMIFS(tbl_Finance[Ex GST],tbl_Finance[Job Number],E125&amp;""))</f>
        <v/>
      </c>
      <c r="N125" s="27">
        <f>IF(J125&lt;&gt;"Won","",IF(E125="",N(I125),I125-M125))</f>
        <v/>
      </c>
      <c r="O125" s="24" t="n"/>
    </row>
    <row r="126" ht="15" customHeight="1">
      <c r="A126" s="72" t="n"/>
      <c r="B126" s="24" t="n"/>
      <c r="C126" s="24" t="n"/>
      <c r="D126" s="24" t="n"/>
      <c r="E126" s="24" t="n"/>
      <c r="F126" s="25">
        <f>IF(E126="","",IF(COUNTIF(lst_Jobs,E126&amp;"")&gt;0,"OK","CHECK"))</f>
        <v/>
      </c>
      <c r="G126" s="24" t="n"/>
      <c r="H126" s="24" t="n"/>
      <c r="I126" s="26" t="n"/>
      <c r="J126" s="24" t="n"/>
      <c r="K126" s="22" t="n"/>
      <c r="L126" s="72" t="n"/>
      <c r="M126" s="27">
        <f>IF(E126="","",SUMIFS(tbl_Finance[Ex GST],tbl_Finance[Job Number],E126&amp;""))</f>
        <v/>
      </c>
      <c r="N126" s="27">
        <f>IF(J126&lt;&gt;"Won","",IF(E126="",N(I126),I126-M126))</f>
        <v/>
      </c>
      <c r="O126" s="24" t="n"/>
    </row>
    <row r="127" ht="15" customHeight="1">
      <c r="A127" s="72" t="n"/>
      <c r="B127" s="24" t="n"/>
      <c r="C127" s="24" t="n"/>
      <c r="D127" s="24" t="n"/>
      <c r="E127" s="24" t="n"/>
      <c r="F127" s="25">
        <f>IF(E127="","",IF(COUNTIF(lst_Jobs,E127&amp;"")&gt;0,"OK","CHECK"))</f>
        <v/>
      </c>
      <c r="G127" s="24" t="n"/>
      <c r="H127" s="24" t="n"/>
      <c r="I127" s="26" t="n"/>
      <c r="J127" s="24" t="n"/>
      <c r="K127" s="22" t="n"/>
      <c r="L127" s="72" t="n"/>
      <c r="M127" s="27">
        <f>IF(E127="","",SUMIFS(tbl_Finance[Ex GST],tbl_Finance[Job Number],E127&amp;""))</f>
        <v/>
      </c>
      <c r="N127" s="27">
        <f>IF(J127&lt;&gt;"Won","",IF(E127="",N(I127),I127-M127))</f>
        <v/>
      </c>
      <c r="O127" s="24" t="n"/>
    </row>
    <row r="128" ht="15" customHeight="1">
      <c r="A128" s="72" t="n"/>
      <c r="B128" s="24" t="n"/>
      <c r="C128" s="24" t="n"/>
      <c r="D128" s="24" t="n"/>
      <c r="E128" s="24" t="n"/>
      <c r="F128" s="25">
        <f>IF(E128="","",IF(COUNTIF(lst_Jobs,E128&amp;"")&gt;0,"OK","CHECK"))</f>
        <v/>
      </c>
      <c r="G128" s="24" t="n"/>
      <c r="H128" s="24" t="n"/>
      <c r="I128" s="26" t="n"/>
      <c r="J128" s="24" t="n"/>
      <c r="K128" s="22" t="n"/>
      <c r="L128" s="72" t="n"/>
      <c r="M128" s="27">
        <f>IF(E128="","",SUMIFS(tbl_Finance[Ex GST],tbl_Finance[Job Number],E128&amp;""))</f>
        <v/>
      </c>
      <c r="N128" s="27">
        <f>IF(J128&lt;&gt;"Won","",IF(E128="",N(I128),I128-M128))</f>
        <v/>
      </c>
      <c r="O128" s="24" t="n"/>
    </row>
    <row r="129" ht="15" customHeight="1">
      <c r="A129" s="72" t="n"/>
      <c r="B129" s="24" t="n"/>
      <c r="C129" s="24" t="n"/>
      <c r="D129" s="24" t="n"/>
      <c r="E129" s="24" t="n"/>
      <c r="F129" s="25">
        <f>IF(E129="","",IF(COUNTIF(lst_Jobs,E129&amp;"")&gt;0,"OK","CHECK"))</f>
        <v/>
      </c>
      <c r="G129" s="24" t="n"/>
      <c r="H129" s="24" t="n"/>
      <c r="I129" s="26" t="n"/>
      <c r="J129" s="24" t="n"/>
      <c r="K129" s="22" t="n"/>
      <c r="L129" s="72" t="n"/>
      <c r="M129" s="27">
        <f>IF(E129="","",SUMIFS(tbl_Finance[Ex GST],tbl_Finance[Job Number],E129&amp;""))</f>
        <v/>
      </c>
      <c r="N129" s="27">
        <f>IF(J129&lt;&gt;"Won","",IF(E129="",N(I129),I129-M129))</f>
        <v/>
      </c>
      <c r="O129" s="24" t="n"/>
    </row>
    <row r="130" ht="15" customHeight="1">
      <c r="A130" s="72" t="n"/>
      <c r="B130" s="24" t="n"/>
      <c r="C130" s="24" t="n"/>
      <c r="D130" s="24" t="n"/>
      <c r="E130" s="24" t="n"/>
      <c r="F130" s="25">
        <f>IF(E130="","",IF(COUNTIF(lst_Jobs,E130&amp;"")&gt;0,"OK","CHECK"))</f>
        <v/>
      </c>
      <c r="G130" s="24" t="n"/>
      <c r="H130" s="24" t="n"/>
      <c r="I130" s="26" t="n"/>
      <c r="J130" s="24" t="n"/>
      <c r="K130" s="22" t="n"/>
      <c r="L130" s="72" t="n"/>
      <c r="M130" s="27">
        <f>IF(E130="","",SUMIFS(tbl_Finance[Ex GST],tbl_Finance[Job Number],E130&amp;""))</f>
        <v/>
      </c>
      <c r="N130" s="27">
        <f>IF(J130&lt;&gt;"Won","",IF(E130="",N(I130),I130-M130))</f>
        <v/>
      </c>
      <c r="O130" s="24" t="n"/>
    </row>
    <row r="131" ht="15" customHeight="1">
      <c r="A131" s="72" t="n"/>
      <c r="B131" s="24" t="n"/>
      <c r="C131" s="24" t="n"/>
      <c r="D131" s="24" t="n"/>
      <c r="E131" s="24" t="n"/>
      <c r="F131" s="25">
        <f>IF(E131="","",IF(COUNTIF(lst_Jobs,E131&amp;"")&gt;0,"OK","CHECK"))</f>
        <v/>
      </c>
      <c r="G131" s="24" t="n"/>
      <c r="H131" s="24" t="n"/>
      <c r="I131" s="26" t="n"/>
      <c r="J131" s="24" t="n"/>
      <c r="K131" s="22" t="n"/>
      <c r="L131" s="72" t="n"/>
      <c r="M131" s="27">
        <f>IF(E131="","",SUMIFS(tbl_Finance[Ex GST],tbl_Finance[Job Number],E131&amp;""))</f>
        <v/>
      </c>
      <c r="N131" s="27">
        <f>IF(J131&lt;&gt;"Won","",IF(E131="",N(I131),I131-M131))</f>
        <v/>
      </c>
      <c r="O131" s="24" t="n"/>
    </row>
    <row r="132" ht="15" customHeight="1">
      <c r="A132" s="72" t="n"/>
      <c r="B132" s="24" t="n"/>
      <c r="C132" s="24" t="n"/>
      <c r="D132" s="24" t="n"/>
      <c r="E132" s="24" t="n"/>
      <c r="F132" s="25">
        <f>IF(E132="","",IF(COUNTIF(lst_Jobs,E132&amp;"")&gt;0,"OK","CHECK"))</f>
        <v/>
      </c>
      <c r="G132" s="24" t="n"/>
      <c r="H132" s="24" t="n"/>
      <c r="I132" s="26" t="n"/>
      <c r="J132" s="24" t="n"/>
      <c r="K132" s="22" t="n"/>
      <c r="L132" s="72" t="n"/>
      <c r="M132" s="27">
        <f>IF(E132="","",SUMIFS(tbl_Finance[Ex GST],tbl_Finance[Job Number],E132&amp;""))</f>
        <v/>
      </c>
      <c r="N132" s="27">
        <f>IF(J132&lt;&gt;"Won","",IF(E132="",N(I132),I132-M132))</f>
        <v/>
      </c>
      <c r="O132" s="24" t="n"/>
    </row>
    <row r="133" ht="15" customHeight="1">
      <c r="A133" s="72" t="n"/>
      <c r="B133" s="24" t="n"/>
      <c r="C133" s="24" t="n"/>
      <c r="D133" s="24" t="n"/>
      <c r="E133" s="24" t="n"/>
      <c r="F133" s="25">
        <f>IF(E133="","",IF(COUNTIF(lst_Jobs,E133&amp;"")&gt;0,"OK","CHECK"))</f>
        <v/>
      </c>
      <c r="G133" s="24" t="n"/>
      <c r="H133" s="24" t="n"/>
      <c r="I133" s="26" t="n"/>
      <c r="J133" s="24" t="n"/>
      <c r="K133" s="22" t="n"/>
      <c r="L133" s="72" t="n"/>
      <c r="M133" s="27">
        <f>IF(E133="","",SUMIFS(tbl_Finance[Ex GST],tbl_Finance[Job Number],E133&amp;""))</f>
        <v/>
      </c>
      <c r="N133" s="27">
        <f>IF(J133&lt;&gt;"Won","",IF(E133="",N(I133),I133-M133))</f>
        <v/>
      </c>
      <c r="O133" s="24" t="n"/>
    </row>
    <row r="134" ht="15" customHeight="1">
      <c r="A134" s="72" t="n"/>
      <c r="B134" s="24" t="n"/>
      <c r="C134" s="24" t="n"/>
      <c r="D134" s="24" t="n"/>
      <c r="E134" s="24" t="n"/>
      <c r="F134" s="25">
        <f>IF(E134="","",IF(COUNTIF(lst_Jobs,E134&amp;"")&gt;0,"OK","CHECK"))</f>
        <v/>
      </c>
      <c r="G134" s="24" t="n"/>
      <c r="H134" s="24" t="n"/>
      <c r="I134" s="26" t="n"/>
      <c r="J134" s="24" t="n"/>
      <c r="K134" s="22" t="n"/>
      <c r="L134" s="72" t="n"/>
      <c r="M134" s="27">
        <f>IF(E134="","",SUMIFS(tbl_Finance[Ex GST],tbl_Finance[Job Number],E134&amp;""))</f>
        <v/>
      </c>
      <c r="N134" s="27">
        <f>IF(J134&lt;&gt;"Won","",IF(E134="",N(I134),I134-M134))</f>
        <v/>
      </c>
      <c r="O134" s="24" t="n"/>
    </row>
    <row r="135" ht="15" customHeight="1">
      <c r="A135" s="72" t="n"/>
      <c r="B135" s="24" t="n"/>
      <c r="C135" s="24" t="n"/>
      <c r="D135" s="24" t="n"/>
      <c r="E135" s="24" t="n"/>
      <c r="F135" s="25">
        <f>IF(E135="","",IF(COUNTIF(lst_Jobs,E135&amp;"")&gt;0,"OK","CHECK"))</f>
        <v/>
      </c>
      <c r="G135" s="24" t="n"/>
      <c r="H135" s="24" t="n"/>
      <c r="I135" s="26" t="n"/>
      <c r="J135" s="24" t="n"/>
      <c r="K135" s="22" t="n"/>
      <c r="L135" s="72" t="n"/>
      <c r="M135" s="27">
        <f>IF(E135="","",SUMIFS(tbl_Finance[Ex GST],tbl_Finance[Job Number],E135&amp;""))</f>
        <v/>
      </c>
      <c r="N135" s="27">
        <f>IF(J135&lt;&gt;"Won","",IF(E135="",N(I135),I135-M135))</f>
        <v/>
      </c>
      <c r="O135" s="24" t="n"/>
    </row>
    <row r="136" ht="15" customHeight="1">
      <c r="A136" s="72" t="n"/>
      <c r="B136" s="24" t="n"/>
      <c r="C136" s="24" t="n"/>
      <c r="D136" s="24" t="n"/>
      <c r="E136" s="24" t="n"/>
      <c r="F136" s="25">
        <f>IF(E136="","",IF(COUNTIF(lst_Jobs,E136&amp;"")&gt;0,"OK","CHECK"))</f>
        <v/>
      </c>
      <c r="G136" s="24" t="n"/>
      <c r="H136" s="24" t="n"/>
      <c r="I136" s="26" t="n"/>
      <c r="J136" s="24" t="n"/>
      <c r="K136" s="22" t="n"/>
      <c r="L136" s="72" t="n"/>
      <c r="M136" s="27">
        <f>IF(E136="","",SUMIFS(tbl_Finance[Ex GST],tbl_Finance[Job Number],E136&amp;""))</f>
        <v/>
      </c>
      <c r="N136" s="27">
        <f>IF(J136&lt;&gt;"Won","",IF(E136="",N(I136),I136-M136))</f>
        <v/>
      </c>
      <c r="O136" s="24" t="n"/>
    </row>
    <row r="137" ht="15" customHeight="1">
      <c r="A137" s="72" t="n"/>
      <c r="B137" s="24" t="n"/>
      <c r="C137" s="24" t="n"/>
      <c r="D137" s="24" t="n"/>
      <c r="E137" s="24" t="n"/>
      <c r="F137" s="25">
        <f>IF(E137="","",IF(COUNTIF(lst_Jobs,E137&amp;"")&gt;0,"OK","CHECK"))</f>
        <v/>
      </c>
      <c r="G137" s="24" t="n"/>
      <c r="H137" s="24" t="n"/>
      <c r="I137" s="26" t="n"/>
      <c r="J137" s="24" t="n"/>
      <c r="K137" s="22" t="n"/>
      <c r="L137" s="72" t="n"/>
      <c r="M137" s="27">
        <f>IF(E137="","",SUMIFS(tbl_Finance[Ex GST],tbl_Finance[Job Number],E137&amp;""))</f>
        <v/>
      </c>
      <c r="N137" s="27">
        <f>IF(J137&lt;&gt;"Won","",IF(E137="",N(I137),I137-M137))</f>
        <v/>
      </c>
      <c r="O137" s="24" t="n"/>
    </row>
    <row r="138" ht="15" customHeight="1">
      <c r="A138" s="72" t="n"/>
      <c r="B138" s="24" t="n"/>
      <c r="C138" s="24" t="n"/>
      <c r="D138" s="24" t="n"/>
      <c r="E138" s="24" t="n"/>
      <c r="F138" s="25">
        <f>IF(E138="","",IF(COUNTIF(lst_Jobs,E138&amp;"")&gt;0,"OK","CHECK"))</f>
        <v/>
      </c>
      <c r="G138" s="24" t="n"/>
      <c r="H138" s="24" t="n"/>
      <c r="I138" s="26" t="n"/>
      <c r="J138" s="24" t="n"/>
      <c r="K138" s="22" t="n"/>
      <c r="L138" s="72" t="n"/>
      <c r="M138" s="27">
        <f>IF(E138="","",SUMIFS(tbl_Finance[Ex GST],tbl_Finance[Job Number],E138&amp;""))</f>
        <v/>
      </c>
      <c r="N138" s="27">
        <f>IF(J138&lt;&gt;"Won","",IF(E138="",N(I138),I138-M138))</f>
        <v/>
      </c>
      <c r="O138" s="24" t="n"/>
    </row>
    <row r="139" ht="15" customHeight="1">
      <c r="A139" s="72" t="n"/>
      <c r="B139" s="24" t="n"/>
      <c r="C139" s="24" t="n"/>
      <c r="D139" s="24" t="n"/>
      <c r="E139" s="24" t="n"/>
      <c r="F139" s="25">
        <f>IF(E139="","",IF(COUNTIF(lst_Jobs,E139&amp;"")&gt;0,"OK","CHECK"))</f>
        <v/>
      </c>
      <c r="G139" s="24" t="n"/>
      <c r="H139" s="24" t="n"/>
      <c r="I139" s="26" t="n"/>
      <c r="J139" s="24" t="n"/>
      <c r="K139" s="22" t="n"/>
      <c r="L139" s="72" t="n"/>
      <c r="M139" s="27">
        <f>IF(E139="","",SUMIFS(tbl_Finance[Ex GST],tbl_Finance[Job Number],E139&amp;""))</f>
        <v/>
      </c>
      <c r="N139" s="27">
        <f>IF(J139&lt;&gt;"Won","",IF(E139="",N(I139),I139-M139))</f>
        <v/>
      </c>
      <c r="O139" s="24" t="n"/>
    </row>
    <row r="140" ht="15" customHeight="1">
      <c r="A140" s="72" t="n"/>
      <c r="B140" s="24" t="n"/>
      <c r="C140" s="24" t="n"/>
      <c r="D140" s="24" t="n"/>
      <c r="E140" s="24" t="n"/>
      <c r="F140" s="25">
        <f>IF(E140="","",IF(COUNTIF(lst_Jobs,E140&amp;"")&gt;0,"OK","CHECK"))</f>
        <v/>
      </c>
      <c r="G140" s="24" t="n"/>
      <c r="H140" s="24" t="n"/>
      <c r="I140" s="26" t="n"/>
      <c r="J140" s="24" t="n"/>
      <c r="K140" s="22" t="n"/>
      <c r="L140" s="72" t="n"/>
      <c r="M140" s="27">
        <f>IF(E140="","",SUMIFS(tbl_Finance[Ex GST],tbl_Finance[Job Number],E140&amp;""))</f>
        <v/>
      </c>
      <c r="N140" s="27">
        <f>IF(J140&lt;&gt;"Won","",IF(E140="",N(I140),I140-M140))</f>
        <v/>
      </c>
      <c r="O140" s="24" t="n"/>
    </row>
    <row r="141" ht="15" customHeight="1">
      <c r="A141" s="72" t="n"/>
      <c r="B141" s="24" t="n"/>
      <c r="C141" s="24" t="n"/>
      <c r="D141" s="24" t="n"/>
      <c r="E141" s="24" t="n"/>
      <c r="F141" s="25">
        <f>IF(E141="","",IF(COUNTIF(lst_Jobs,E141&amp;"")&gt;0,"OK","CHECK"))</f>
        <v/>
      </c>
      <c r="G141" s="24" t="n"/>
      <c r="H141" s="24" t="n"/>
      <c r="I141" s="26" t="n"/>
      <c r="J141" s="24" t="n"/>
      <c r="K141" s="22" t="n"/>
      <c r="L141" s="72" t="n"/>
      <c r="M141" s="27">
        <f>IF(E141="","",SUMIFS(tbl_Finance[Ex GST],tbl_Finance[Job Number],E141&amp;""))</f>
        <v/>
      </c>
      <c r="N141" s="27">
        <f>IF(J141&lt;&gt;"Won","",IF(E141="",N(I141),I141-M141))</f>
        <v/>
      </c>
      <c r="O141" s="24" t="n"/>
    </row>
    <row r="142" ht="15" customHeight="1">
      <c r="A142" s="72" t="n"/>
      <c r="B142" s="24" t="n"/>
      <c r="C142" s="24" t="n"/>
      <c r="D142" s="24" t="n"/>
      <c r="E142" s="24" t="n"/>
      <c r="F142" s="25">
        <f>IF(E142="","",IF(COUNTIF(lst_Jobs,E142&amp;"")&gt;0,"OK","CHECK"))</f>
        <v/>
      </c>
      <c r="G142" s="24" t="n"/>
      <c r="H142" s="24" t="n"/>
      <c r="I142" s="26" t="n"/>
      <c r="J142" s="24" t="n"/>
      <c r="K142" s="22" t="n"/>
      <c r="L142" s="72" t="n"/>
      <c r="M142" s="27">
        <f>IF(E142="","",SUMIFS(tbl_Finance[Ex GST],tbl_Finance[Job Number],E142&amp;""))</f>
        <v/>
      </c>
      <c r="N142" s="27">
        <f>IF(J142&lt;&gt;"Won","",IF(E142="",N(I142),I142-M142))</f>
        <v/>
      </c>
      <c r="O142" s="24" t="n"/>
    </row>
    <row r="143" ht="15" customHeight="1">
      <c r="A143" s="72" t="n"/>
      <c r="B143" s="24" t="n"/>
      <c r="C143" s="24" t="n"/>
      <c r="D143" s="24" t="n"/>
      <c r="E143" s="24" t="n"/>
      <c r="F143" s="25">
        <f>IF(E143="","",IF(COUNTIF(lst_Jobs,E143&amp;"")&gt;0,"OK","CHECK"))</f>
        <v/>
      </c>
      <c r="G143" s="24" t="n"/>
      <c r="H143" s="24" t="n"/>
      <c r="I143" s="26" t="n"/>
      <c r="J143" s="24" t="n"/>
      <c r="K143" s="22" t="n"/>
      <c r="L143" s="72" t="n"/>
      <c r="M143" s="27">
        <f>IF(E143="","",SUMIFS(tbl_Finance[Ex GST],tbl_Finance[Job Number],E143&amp;""))</f>
        <v/>
      </c>
      <c r="N143" s="27">
        <f>IF(J143&lt;&gt;"Won","",IF(E143="",N(I143),I143-M143))</f>
        <v/>
      </c>
      <c r="O143" s="24" t="n"/>
    </row>
    <row r="144" ht="15" customHeight="1">
      <c r="A144" s="72" t="n"/>
      <c r="B144" s="24" t="n"/>
      <c r="C144" s="24" t="n"/>
      <c r="D144" s="24" t="n"/>
      <c r="E144" s="24" t="n"/>
      <c r="F144" s="25">
        <f>IF(E144="","",IF(COUNTIF(lst_Jobs,E144&amp;"")&gt;0,"OK","CHECK"))</f>
        <v/>
      </c>
      <c r="G144" s="24" t="n"/>
      <c r="H144" s="24" t="n"/>
      <c r="I144" s="26" t="n"/>
      <c r="J144" s="24" t="n"/>
      <c r="K144" s="22" t="n"/>
      <c r="L144" s="72" t="n"/>
      <c r="M144" s="27">
        <f>IF(E144="","",SUMIFS(tbl_Finance[Ex GST],tbl_Finance[Job Number],E144&amp;""))</f>
        <v/>
      </c>
      <c r="N144" s="27">
        <f>IF(J144&lt;&gt;"Won","",IF(E144="",N(I144),I144-M144))</f>
        <v/>
      </c>
      <c r="O144" s="24" t="n"/>
    </row>
    <row r="145" ht="15" customHeight="1">
      <c r="A145" s="72" t="n"/>
      <c r="B145" s="24" t="n"/>
      <c r="C145" s="24" t="n"/>
      <c r="D145" s="24" t="n"/>
      <c r="E145" s="24" t="n"/>
      <c r="F145" s="25">
        <f>IF(E145="","",IF(COUNTIF(lst_Jobs,E145&amp;"")&gt;0,"OK","CHECK"))</f>
        <v/>
      </c>
      <c r="G145" s="24" t="n"/>
      <c r="H145" s="24" t="n"/>
      <c r="I145" s="26" t="n"/>
      <c r="J145" s="24" t="n"/>
      <c r="K145" s="22" t="n"/>
      <c r="L145" s="72" t="n"/>
      <c r="M145" s="27">
        <f>IF(E145="","",SUMIFS(tbl_Finance[Ex GST],tbl_Finance[Job Number],E145&amp;""))</f>
        <v/>
      </c>
      <c r="N145" s="27">
        <f>IF(J145&lt;&gt;"Won","",IF(E145="",N(I145),I145-M145))</f>
        <v/>
      </c>
      <c r="O145" s="24" t="n"/>
    </row>
    <row r="146" ht="15" customHeight="1">
      <c r="A146" s="72" t="n"/>
      <c r="B146" s="24" t="n"/>
      <c r="C146" s="24" t="n"/>
      <c r="D146" s="24" t="n"/>
      <c r="E146" s="24" t="n"/>
      <c r="F146" s="25">
        <f>IF(E146="","",IF(COUNTIF(lst_Jobs,E146&amp;"")&gt;0,"OK","CHECK"))</f>
        <v/>
      </c>
      <c r="G146" s="24" t="n"/>
      <c r="H146" s="24" t="n"/>
      <c r="I146" s="26" t="n"/>
      <c r="J146" s="24" t="n"/>
      <c r="K146" s="22" t="n"/>
      <c r="L146" s="72" t="n"/>
      <c r="M146" s="27">
        <f>IF(E146="","",SUMIFS(tbl_Finance[Ex GST],tbl_Finance[Job Number],E146&amp;""))</f>
        <v/>
      </c>
      <c r="N146" s="27">
        <f>IF(J146&lt;&gt;"Won","",IF(E146="",N(I146),I146-M146))</f>
        <v/>
      </c>
      <c r="O146" s="24" t="n"/>
    </row>
    <row r="147" ht="15" customHeight="1">
      <c r="A147" s="72" t="n"/>
      <c r="B147" s="24" t="n"/>
      <c r="C147" s="24" t="n"/>
      <c r="D147" s="24" t="n"/>
      <c r="E147" s="24" t="n"/>
      <c r="F147" s="25">
        <f>IF(E147="","",IF(COUNTIF(lst_Jobs,E147&amp;"")&gt;0,"OK","CHECK"))</f>
        <v/>
      </c>
      <c r="G147" s="24" t="n"/>
      <c r="H147" s="24" t="n"/>
      <c r="I147" s="26" t="n"/>
      <c r="J147" s="24" t="n"/>
      <c r="K147" s="22" t="n"/>
      <c r="L147" s="72" t="n"/>
      <c r="M147" s="27">
        <f>IF(E147="","",SUMIFS(tbl_Finance[Ex GST],tbl_Finance[Job Number],E147&amp;""))</f>
        <v/>
      </c>
      <c r="N147" s="27">
        <f>IF(J147&lt;&gt;"Won","",IF(E147="",N(I147),I147-M147))</f>
        <v/>
      </c>
      <c r="O147" s="24" t="n"/>
    </row>
    <row r="148" ht="15" customHeight="1">
      <c r="A148" s="72" t="n"/>
      <c r="B148" s="24" t="n"/>
      <c r="C148" s="24" t="n"/>
      <c r="D148" s="24" t="n"/>
      <c r="E148" s="24" t="n"/>
      <c r="F148" s="25">
        <f>IF(E148="","",IF(COUNTIF(lst_Jobs,E148&amp;"")&gt;0,"OK","CHECK"))</f>
        <v/>
      </c>
      <c r="G148" s="24" t="n"/>
      <c r="H148" s="24" t="n"/>
      <c r="I148" s="26" t="n"/>
      <c r="J148" s="24" t="n"/>
      <c r="K148" s="22" t="n"/>
      <c r="L148" s="72" t="n"/>
      <c r="M148" s="27">
        <f>IF(E148="","",SUMIFS(tbl_Finance[Ex GST],tbl_Finance[Job Number],E148&amp;""))</f>
        <v/>
      </c>
      <c r="N148" s="27">
        <f>IF(J148&lt;&gt;"Won","",IF(E148="",N(I148),I148-M148))</f>
        <v/>
      </c>
      <c r="O148" s="24" t="n"/>
    </row>
    <row r="149" ht="15" customHeight="1">
      <c r="A149" s="72" t="n"/>
      <c r="B149" s="24" t="n"/>
      <c r="C149" s="24" t="n"/>
      <c r="D149" s="24" t="n"/>
      <c r="E149" s="24" t="n"/>
      <c r="F149" s="25">
        <f>IF(E149="","",IF(COUNTIF(lst_Jobs,E149&amp;"")&gt;0,"OK","CHECK"))</f>
        <v/>
      </c>
      <c r="G149" s="24" t="n"/>
      <c r="H149" s="24" t="n"/>
      <c r="I149" s="26" t="n"/>
      <c r="J149" s="24" t="n"/>
      <c r="K149" s="22" t="n"/>
      <c r="L149" s="72" t="n"/>
      <c r="M149" s="27">
        <f>IF(E149="","",SUMIFS(tbl_Finance[Ex GST],tbl_Finance[Job Number],E149&amp;""))</f>
        <v/>
      </c>
      <c r="N149" s="27">
        <f>IF(J149&lt;&gt;"Won","",IF(E149="",N(I149),I149-M149))</f>
        <v/>
      </c>
      <c r="O149" s="24" t="n"/>
    </row>
    <row r="150" ht="15" customHeight="1">
      <c r="A150" s="72" t="n"/>
      <c r="B150" s="24" t="n"/>
      <c r="C150" s="24" t="n"/>
      <c r="D150" s="24" t="n"/>
      <c r="E150" s="24" t="n"/>
      <c r="F150" s="25">
        <f>IF(E150="","",IF(COUNTIF(lst_Jobs,E150&amp;"")&gt;0,"OK","CHECK"))</f>
        <v/>
      </c>
      <c r="G150" s="24" t="n"/>
      <c r="H150" s="24" t="n"/>
      <c r="I150" s="26" t="n"/>
      <c r="J150" s="24" t="n"/>
      <c r="K150" s="22" t="n"/>
      <c r="L150" s="72" t="n"/>
      <c r="M150" s="27">
        <f>IF(E150="","",SUMIFS(tbl_Finance[Ex GST],tbl_Finance[Job Number],E150&amp;""))</f>
        <v/>
      </c>
      <c r="N150" s="27">
        <f>IF(J150&lt;&gt;"Won","",IF(E150="",N(I150),I150-M150))</f>
        <v/>
      </c>
      <c r="O150" s="24" t="n"/>
    </row>
    <row r="151" ht="15" customHeight="1">
      <c r="A151" s="72" t="n"/>
      <c r="B151" s="24" t="n"/>
      <c r="C151" s="24" t="n"/>
      <c r="D151" s="24" t="n"/>
      <c r="E151" s="24" t="n"/>
      <c r="F151" s="25">
        <f>IF(E151="","",IF(COUNTIF(lst_Jobs,E151&amp;"")&gt;0,"OK","CHECK"))</f>
        <v/>
      </c>
      <c r="G151" s="24" t="n"/>
      <c r="H151" s="24" t="n"/>
      <c r="I151" s="26" t="n"/>
      <c r="J151" s="24" t="n"/>
      <c r="K151" s="22" t="n"/>
      <c r="L151" s="72" t="n"/>
      <c r="M151" s="27">
        <f>IF(E151="","",SUMIFS(tbl_Finance[Ex GST],tbl_Finance[Job Number],E151&amp;""))</f>
        <v/>
      </c>
      <c r="N151" s="27">
        <f>IF(J151&lt;&gt;"Won","",IF(E151="",N(I151),I151-M151))</f>
        <v/>
      </c>
      <c r="O151" s="24" t="n"/>
    </row>
    <row r="152" ht="15" customHeight="1">
      <c r="A152" s="72" t="n"/>
      <c r="B152" s="24" t="n"/>
      <c r="C152" s="24" t="n"/>
      <c r="D152" s="24" t="n"/>
      <c r="E152" s="24" t="n"/>
      <c r="F152" s="25">
        <f>IF(E152="","",IF(COUNTIF(lst_Jobs,E152&amp;"")&gt;0,"OK","CHECK"))</f>
        <v/>
      </c>
      <c r="G152" s="24" t="n"/>
      <c r="H152" s="24" t="n"/>
      <c r="I152" s="26" t="n"/>
      <c r="J152" s="24" t="n"/>
      <c r="K152" s="22" t="n"/>
      <c r="L152" s="72" t="n"/>
      <c r="M152" s="27">
        <f>IF(E152="","",SUMIFS(tbl_Finance[Ex GST],tbl_Finance[Job Number],E152&amp;""))</f>
        <v/>
      </c>
      <c r="N152" s="27">
        <f>IF(J152&lt;&gt;"Won","",IF(E152="",N(I152),I152-M152))</f>
        <v/>
      </c>
      <c r="O152" s="24" t="n"/>
    </row>
    <row r="153" ht="15" customHeight="1">
      <c r="A153" s="72" t="n"/>
      <c r="B153" s="24" t="n"/>
      <c r="C153" s="24" t="n"/>
      <c r="D153" s="24" t="n"/>
      <c r="E153" s="24" t="n"/>
      <c r="F153" s="25">
        <f>IF(E153="","",IF(COUNTIF(lst_Jobs,E153&amp;"")&gt;0,"OK","CHECK"))</f>
        <v/>
      </c>
      <c r="G153" s="24" t="n"/>
      <c r="H153" s="24" t="n"/>
      <c r="I153" s="26" t="n"/>
      <c r="J153" s="24" t="n"/>
      <c r="K153" s="22" t="n"/>
      <c r="L153" s="72" t="n"/>
      <c r="M153" s="27">
        <f>IF(E153="","",SUMIFS(tbl_Finance[Ex GST],tbl_Finance[Job Number],E153&amp;""))</f>
        <v/>
      </c>
      <c r="N153" s="27">
        <f>IF(J153&lt;&gt;"Won","",IF(E153="",N(I153),I153-M153))</f>
        <v/>
      </c>
      <c r="O153" s="24" t="n"/>
    </row>
    <row r="154" ht="15" customHeight="1">
      <c r="A154" s="72" t="n"/>
      <c r="B154" s="24" t="n"/>
      <c r="C154" s="24" t="n"/>
      <c r="D154" s="24" t="n"/>
      <c r="E154" s="24" t="n"/>
      <c r="F154" s="25">
        <f>IF(E154="","",IF(COUNTIF(lst_Jobs,E154&amp;"")&gt;0,"OK","CHECK"))</f>
        <v/>
      </c>
      <c r="G154" s="24" t="n"/>
      <c r="H154" s="24" t="n"/>
      <c r="I154" s="26" t="n"/>
      <c r="J154" s="24" t="n"/>
      <c r="K154" s="22" t="n"/>
      <c r="L154" s="72" t="n"/>
      <c r="M154" s="27">
        <f>IF(E154="","",SUMIFS(tbl_Finance[Ex GST],tbl_Finance[Job Number],E154&amp;""))</f>
        <v/>
      </c>
      <c r="N154" s="27">
        <f>IF(J154&lt;&gt;"Won","",IF(E154="",N(I154),I154-M154))</f>
        <v/>
      </c>
      <c r="O154" s="24" t="n"/>
    </row>
    <row r="155" ht="15" customHeight="1">
      <c r="A155" s="72" t="n"/>
      <c r="B155" s="24" t="n"/>
      <c r="C155" s="24" t="n"/>
      <c r="D155" s="24" t="n"/>
      <c r="E155" s="24" t="n"/>
      <c r="F155" s="25">
        <f>IF(E155="","",IF(COUNTIF(lst_Jobs,E155&amp;"")&gt;0,"OK","CHECK"))</f>
        <v/>
      </c>
      <c r="G155" s="24" t="n"/>
      <c r="H155" s="24" t="n"/>
      <c r="I155" s="26" t="n"/>
      <c r="J155" s="24" t="n"/>
      <c r="K155" s="22" t="n"/>
      <c r="L155" s="72" t="n"/>
      <c r="M155" s="27">
        <f>IF(E155="","",SUMIFS(tbl_Finance[Ex GST],tbl_Finance[Job Number],E155&amp;""))</f>
        <v/>
      </c>
      <c r="N155" s="27">
        <f>IF(J155&lt;&gt;"Won","",IF(E155="",N(I155),I155-M155))</f>
        <v/>
      </c>
      <c r="O155" s="24" t="n"/>
    </row>
    <row r="156" ht="15" customHeight="1">
      <c r="A156" s="72" t="n"/>
      <c r="B156" s="24" t="n"/>
      <c r="C156" s="24" t="n"/>
      <c r="D156" s="24" t="n"/>
      <c r="E156" s="24" t="n"/>
      <c r="F156" s="25">
        <f>IF(E156="","",IF(COUNTIF(lst_Jobs,E156&amp;"")&gt;0,"OK","CHECK"))</f>
        <v/>
      </c>
      <c r="G156" s="24" t="n"/>
      <c r="H156" s="24" t="n"/>
      <c r="I156" s="26" t="n"/>
      <c r="J156" s="24" t="n"/>
      <c r="K156" s="22" t="n"/>
      <c r="L156" s="72" t="n"/>
      <c r="M156" s="27">
        <f>IF(E156="","",SUMIFS(tbl_Finance[Ex GST],tbl_Finance[Job Number],E156&amp;""))</f>
        <v/>
      </c>
      <c r="N156" s="27">
        <f>IF(J156&lt;&gt;"Won","",IF(E156="",N(I156),I156-M156))</f>
        <v/>
      </c>
      <c r="O156" s="24" t="n"/>
    </row>
    <row r="157" ht="15" customHeight="1">
      <c r="A157" s="72" t="n"/>
      <c r="B157" s="24" t="n"/>
      <c r="C157" s="24" t="n"/>
      <c r="D157" s="24" t="n"/>
      <c r="E157" s="24" t="n"/>
      <c r="F157" s="25">
        <f>IF(E157="","",IF(COUNTIF(lst_Jobs,E157&amp;"")&gt;0,"OK","CHECK"))</f>
        <v/>
      </c>
      <c r="G157" s="24" t="n"/>
      <c r="H157" s="24" t="n"/>
      <c r="I157" s="26" t="n"/>
      <c r="J157" s="24" t="n"/>
      <c r="K157" s="22" t="n"/>
      <c r="L157" s="72" t="n"/>
      <c r="M157" s="27">
        <f>IF(E157="","",SUMIFS(tbl_Finance[Ex GST],tbl_Finance[Job Number],E157&amp;""))</f>
        <v/>
      </c>
      <c r="N157" s="27">
        <f>IF(J157&lt;&gt;"Won","",IF(E157="",N(I157),I157-M157))</f>
        <v/>
      </c>
      <c r="O157" s="24" t="n"/>
    </row>
    <row r="158" ht="15" customHeight="1">
      <c r="A158" s="72" t="n"/>
      <c r="B158" s="24" t="n"/>
      <c r="C158" s="24" t="n"/>
      <c r="D158" s="24" t="n"/>
      <c r="E158" s="24" t="n"/>
      <c r="F158" s="25">
        <f>IF(E158="","",IF(COUNTIF(lst_Jobs,E158&amp;"")&gt;0,"OK","CHECK"))</f>
        <v/>
      </c>
      <c r="G158" s="24" t="n"/>
      <c r="H158" s="24" t="n"/>
      <c r="I158" s="26" t="n"/>
      <c r="J158" s="24" t="n"/>
      <c r="K158" s="22" t="n"/>
      <c r="L158" s="72" t="n"/>
      <c r="M158" s="27">
        <f>IF(E158="","",SUMIFS(tbl_Finance[Ex GST],tbl_Finance[Job Number],E158&amp;""))</f>
        <v/>
      </c>
      <c r="N158" s="27">
        <f>IF(J158&lt;&gt;"Won","",IF(E158="",N(I158),I158-M158))</f>
        <v/>
      </c>
      <c r="O158" s="24" t="n"/>
    </row>
    <row r="159" ht="15" customHeight="1">
      <c r="A159" s="72" t="n"/>
      <c r="B159" s="24" t="n"/>
      <c r="C159" s="24" t="n"/>
      <c r="D159" s="24" t="n"/>
      <c r="E159" s="24" t="n"/>
      <c r="F159" s="25">
        <f>IF(E159="","",IF(COUNTIF(lst_Jobs,E159&amp;"")&gt;0,"OK","CHECK"))</f>
        <v/>
      </c>
      <c r="G159" s="24" t="n"/>
      <c r="H159" s="24" t="n"/>
      <c r="I159" s="26" t="n"/>
      <c r="J159" s="24" t="n"/>
      <c r="K159" s="22" t="n"/>
      <c r="L159" s="72" t="n"/>
      <c r="M159" s="27">
        <f>IF(E159="","",SUMIFS(tbl_Finance[Ex GST],tbl_Finance[Job Number],E159&amp;""))</f>
        <v/>
      </c>
      <c r="N159" s="27">
        <f>IF(J159&lt;&gt;"Won","",IF(E159="",N(I159),I159-M159))</f>
        <v/>
      </c>
      <c r="O159" s="24" t="n"/>
    </row>
    <row r="160" ht="15" customHeight="1">
      <c r="A160" s="72" t="n"/>
      <c r="B160" s="24" t="n"/>
      <c r="C160" s="24" t="n"/>
      <c r="D160" s="24" t="n"/>
      <c r="E160" s="24" t="n"/>
      <c r="F160" s="25">
        <f>IF(E160="","",IF(COUNTIF(lst_Jobs,E160&amp;"")&gt;0,"OK","CHECK"))</f>
        <v/>
      </c>
      <c r="G160" s="24" t="n"/>
      <c r="H160" s="24" t="n"/>
      <c r="I160" s="26" t="n"/>
      <c r="J160" s="24" t="n"/>
      <c r="K160" s="22" t="n"/>
      <c r="L160" s="72" t="n"/>
      <c r="M160" s="27">
        <f>IF(E160="","",SUMIFS(tbl_Finance[Ex GST],tbl_Finance[Job Number],E160&amp;""))</f>
        <v/>
      </c>
      <c r="N160" s="27">
        <f>IF(J160&lt;&gt;"Won","",IF(E160="",N(I160),I160-M160))</f>
        <v/>
      </c>
      <c r="O160" s="24" t="n"/>
    </row>
    <row r="161" ht="15" customHeight="1">
      <c r="A161" s="72" t="n"/>
      <c r="B161" s="24" t="n"/>
      <c r="C161" s="24" t="n"/>
      <c r="D161" s="24" t="n"/>
      <c r="E161" s="24" t="n"/>
      <c r="F161" s="25">
        <f>IF(E161="","",IF(COUNTIF(lst_Jobs,E161&amp;"")&gt;0,"OK","CHECK"))</f>
        <v/>
      </c>
      <c r="G161" s="24" t="n"/>
      <c r="H161" s="24" t="n"/>
      <c r="I161" s="26" t="n"/>
      <c r="J161" s="24" t="n"/>
      <c r="K161" s="22" t="n"/>
      <c r="L161" s="72" t="n"/>
      <c r="M161" s="27">
        <f>IF(E161="","",SUMIFS(tbl_Finance[Ex GST],tbl_Finance[Job Number],E161&amp;""))</f>
        <v/>
      </c>
      <c r="N161" s="27">
        <f>IF(J161&lt;&gt;"Won","",IF(E161="",N(I161),I161-M161))</f>
        <v/>
      </c>
      <c r="O161" s="24" t="n"/>
    </row>
    <row r="162" ht="15" customHeight="1">
      <c r="A162" s="72" t="n"/>
      <c r="B162" s="24" t="n"/>
      <c r="C162" s="24" t="n"/>
      <c r="D162" s="24" t="n"/>
      <c r="E162" s="24" t="n"/>
      <c r="F162" s="25">
        <f>IF(E162="","",IF(COUNTIF(lst_Jobs,E162&amp;"")&gt;0,"OK","CHECK"))</f>
        <v/>
      </c>
      <c r="G162" s="24" t="n"/>
      <c r="H162" s="24" t="n"/>
      <c r="I162" s="26" t="n"/>
      <c r="J162" s="24" t="n"/>
      <c r="K162" s="22" t="n"/>
      <c r="L162" s="72" t="n"/>
      <c r="M162" s="27">
        <f>IF(E162="","",SUMIFS(tbl_Finance[Ex GST],tbl_Finance[Job Number],E162&amp;""))</f>
        <v/>
      </c>
      <c r="N162" s="27">
        <f>IF(J162&lt;&gt;"Won","",IF(E162="",N(I162),I162-M162))</f>
        <v/>
      </c>
      <c r="O162" s="24" t="n"/>
    </row>
    <row r="163" ht="15" customHeight="1">
      <c r="A163" s="72" t="n"/>
      <c r="B163" s="24" t="n"/>
      <c r="C163" s="24" t="n"/>
      <c r="D163" s="24" t="n"/>
      <c r="E163" s="24" t="n"/>
      <c r="F163" s="25">
        <f>IF(E163="","",IF(COUNTIF(lst_Jobs,E163&amp;"")&gt;0,"OK","CHECK"))</f>
        <v/>
      </c>
      <c r="G163" s="24" t="n"/>
      <c r="H163" s="24" t="n"/>
      <c r="I163" s="26" t="n"/>
      <c r="J163" s="24" t="n"/>
      <c r="K163" s="22" t="n"/>
      <c r="L163" s="72" t="n"/>
      <c r="M163" s="27">
        <f>IF(E163="","",SUMIFS(tbl_Finance[Ex GST],tbl_Finance[Job Number],E163&amp;""))</f>
        <v/>
      </c>
      <c r="N163" s="27">
        <f>IF(J163&lt;&gt;"Won","",IF(E163="",N(I163),I163-M163))</f>
        <v/>
      </c>
      <c r="O163" s="24" t="n"/>
    </row>
    <row r="164" ht="15" customHeight="1">
      <c r="A164" s="72" t="n"/>
      <c r="B164" s="24" t="n"/>
      <c r="C164" s="24" t="n"/>
      <c r="D164" s="24" t="n"/>
      <c r="E164" s="24" t="n"/>
      <c r="F164" s="25">
        <f>IF(E164="","",IF(COUNTIF(lst_Jobs,E164&amp;"")&gt;0,"OK","CHECK"))</f>
        <v/>
      </c>
      <c r="G164" s="24" t="n"/>
      <c r="H164" s="24" t="n"/>
      <c r="I164" s="26" t="n"/>
      <c r="J164" s="24" t="n"/>
      <c r="K164" s="22" t="n"/>
      <c r="L164" s="72" t="n"/>
      <c r="M164" s="27">
        <f>IF(E164="","",SUMIFS(tbl_Finance[Ex GST],tbl_Finance[Job Number],E164&amp;""))</f>
        <v/>
      </c>
      <c r="N164" s="27">
        <f>IF(J164&lt;&gt;"Won","",IF(E164="",N(I164),I164-M164))</f>
        <v/>
      </c>
      <c r="O164" s="24" t="n"/>
    </row>
    <row r="165" ht="15" customHeight="1">
      <c r="A165" s="72" t="n"/>
      <c r="B165" s="24" t="n"/>
      <c r="C165" s="24" t="n"/>
      <c r="D165" s="24" t="n"/>
      <c r="E165" s="24" t="n"/>
      <c r="F165" s="25">
        <f>IF(E165="","",IF(COUNTIF(lst_Jobs,E165&amp;"")&gt;0,"OK","CHECK"))</f>
        <v/>
      </c>
      <c r="G165" s="24" t="n"/>
      <c r="H165" s="24" t="n"/>
      <c r="I165" s="26" t="n"/>
      <c r="J165" s="24" t="n"/>
      <c r="K165" s="22" t="n"/>
      <c r="L165" s="72" t="n"/>
      <c r="M165" s="27">
        <f>IF(E165="","",SUMIFS(tbl_Finance[Ex GST],tbl_Finance[Job Number],E165&amp;""))</f>
        <v/>
      </c>
      <c r="N165" s="27">
        <f>IF(J165&lt;&gt;"Won","",IF(E165="",N(I165),I165-M165))</f>
        <v/>
      </c>
      <c r="O165" s="24" t="n"/>
    </row>
    <row r="166" ht="15" customHeight="1">
      <c r="A166" s="72" t="n"/>
      <c r="B166" s="24" t="n"/>
      <c r="C166" s="24" t="n"/>
      <c r="D166" s="24" t="n"/>
      <c r="E166" s="24" t="n"/>
      <c r="F166" s="25">
        <f>IF(E166="","",IF(COUNTIF(lst_Jobs,E166&amp;"")&gt;0,"OK","CHECK"))</f>
        <v/>
      </c>
      <c r="G166" s="24" t="n"/>
      <c r="H166" s="24" t="n"/>
      <c r="I166" s="26" t="n"/>
      <c r="J166" s="24" t="n"/>
      <c r="K166" s="22" t="n"/>
      <c r="L166" s="72" t="n"/>
      <c r="M166" s="27">
        <f>IF(E166="","",SUMIFS(tbl_Finance[Ex GST],tbl_Finance[Job Number],E166&amp;""))</f>
        <v/>
      </c>
      <c r="N166" s="27">
        <f>IF(J166&lt;&gt;"Won","",IF(E166="",N(I166),I166-M166))</f>
        <v/>
      </c>
      <c r="O166" s="24" t="n"/>
    </row>
    <row r="167" ht="15" customHeight="1">
      <c r="A167" s="72" t="n"/>
      <c r="B167" s="24" t="n"/>
      <c r="C167" s="24" t="n"/>
      <c r="D167" s="24" t="n"/>
      <c r="E167" s="24" t="n"/>
      <c r="F167" s="25">
        <f>IF(E167="","",IF(COUNTIF(lst_Jobs,E167&amp;"")&gt;0,"OK","CHECK"))</f>
        <v/>
      </c>
      <c r="G167" s="24" t="n"/>
      <c r="H167" s="24" t="n"/>
      <c r="I167" s="26" t="n"/>
      <c r="J167" s="24" t="n"/>
      <c r="K167" s="22" t="n"/>
      <c r="L167" s="72" t="n"/>
      <c r="M167" s="27">
        <f>IF(E167="","",SUMIFS(tbl_Finance[Ex GST],tbl_Finance[Job Number],E167&amp;""))</f>
        <v/>
      </c>
      <c r="N167" s="27">
        <f>IF(J167&lt;&gt;"Won","",IF(E167="",N(I167),I167-M167))</f>
        <v/>
      </c>
      <c r="O167" s="24" t="n"/>
    </row>
    <row r="168" ht="15" customHeight="1">
      <c r="A168" s="72" t="n"/>
      <c r="B168" s="24" t="n"/>
      <c r="C168" s="24" t="n"/>
      <c r="D168" s="24" t="n"/>
      <c r="E168" s="24" t="n"/>
      <c r="F168" s="25">
        <f>IF(E168="","",IF(COUNTIF(lst_Jobs,E168&amp;"")&gt;0,"OK","CHECK"))</f>
        <v/>
      </c>
      <c r="G168" s="24" t="n"/>
      <c r="H168" s="24" t="n"/>
      <c r="I168" s="26" t="n"/>
      <c r="J168" s="24" t="n"/>
      <c r="K168" s="22" t="n"/>
      <c r="L168" s="72" t="n"/>
      <c r="M168" s="27">
        <f>IF(E168="","",SUMIFS(tbl_Finance[Ex GST],tbl_Finance[Job Number],E168&amp;""))</f>
        <v/>
      </c>
      <c r="N168" s="27">
        <f>IF(J168&lt;&gt;"Won","",IF(E168="",N(I168),I168-M168))</f>
        <v/>
      </c>
      <c r="O168" s="24" t="n"/>
    </row>
    <row r="169" ht="15" customHeight="1">
      <c r="A169" s="72" t="n"/>
      <c r="B169" s="24" t="n"/>
      <c r="C169" s="24" t="n"/>
      <c r="D169" s="24" t="n"/>
      <c r="E169" s="24" t="n"/>
      <c r="F169" s="25">
        <f>IF(E169="","",IF(COUNTIF(lst_Jobs,E169&amp;"")&gt;0,"OK","CHECK"))</f>
        <v/>
      </c>
      <c r="G169" s="24" t="n"/>
      <c r="H169" s="24" t="n"/>
      <c r="I169" s="26" t="n"/>
      <c r="J169" s="24" t="n"/>
      <c r="K169" s="22" t="n"/>
      <c r="L169" s="72" t="n"/>
      <c r="M169" s="27">
        <f>IF(E169="","",SUMIFS(tbl_Finance[Ex GST],tbl_Finance[Job Number],E169&amp;""))</f>
        <v/>
      </c>
      <c r="N169" s="27">
        <f>IF(J169&lt;&gt;"Won","",IF(E169="",N(I169),I169-M169))</f>
        <v/>
      </c>
      <c r="O169" s="24" t="n"/>
    </row>
    <row r="170" ht="15" customHeight="1">
      <c r="A170" s="72" t="n"/>
      <c r="B170" s="24" t="n"/>
      <c r="C170" s="24" t="n"/>
      <c r="D170" s="24" t="n"/>
      <c r="E170" s="24" t="n"/>
      <c r="F170" s="25">
        <f>IF(E170="","",IF(COUNTIF(lst_Jobs,E170&amp;"")&gt;0,"OK","CHECK"))</f>
        <v/>
      </c>
      <c r="G170" s="24" t="n"/>
      <c r="H170" s="24" t="n"/>
      <c r="I170" s="26" t="n"/>
      <c r="J170" s="24" t="n"/>
      <c r="K170" s="22" t="n"/>
      <c r="L170" s="72" t="n"/>
      <c r="M170" s="27">
        <f>IF(E170="","",SUMIFS(tbl_Finance[Ex GST],tbl_Finance[Job Number],E170&amp;""))</f>
        <v/>
      </c>
      <c r="N170" s="27">
        <f>IF(J170&lt;&gt;"Won","",IF(E170="",N(I170),I170-M170))</f>
        <v/>
      </c>
      <c r="O170" s="24" t="n"/>
    </row>
    <row r="171" ht="15" customHeight="1">
      <c r="A171" s="72" t="n"/>
      <c r="B171" s="24" t="n"/>
      <c r="C171" s="24" t="n"/>
      <c r="D171" s="24" t="n"/>
      <c r="E171" s="24" t="n"/>
      <c r="F171" s="25">
        <f>IF(E171="","",IF(COUNTIF(lst_Jobs,E171&amp;"")&gt;0,"OK","CHECK"))</f>
        <v/>
      </c>
      <c r="G171" s="24" t="n"/>
      <c r="H171" s="24" t="n"/>
      <c r="I171" s="26" t="n"/>
      <c r="J171" s="24" t="n"/>
      <c r="K171" s="22" t="n"/>
      <c r="L171" s="72" t="n"/>
      <c r="M171" s="27">
        <f>IF(E171="","",SUMIFS(tbl_Finance[Ex GST],tbl_Finance[Job Number],E171&amp;""))</f>
        <v/>
      </c>
      <c r="N171" s="27">
        <f>IF(J171&lt;&gt;"Won","",IF(E171="",N(I171),I171-M171))</f>
        <v/>
      </c>
      <c r="O171" s="24" t="n"/>
    </row>
    <row r="172" ht="15" customHeight="1">
      <c r="A172" s="72" t="n"/>
      <c r="B172" s="24" t="n"/>
      <c r="C172" s="24" t="n"/>
      <c r="D172" s="24" t="n"/>
      <c r="E172" s="24" t="n"/>
      <c r="F172" s="25">
        <f>IF(E172="","",IF(COUNTIF(lst_Jobs,E172&amp;"")&gt;0,"OK","CHECK"))</f>
        <v/>
      </c>
      <c r="G172" s="24" t="n"/>
      <c r="H172" s="24" t="n"/>
      <c r="I172" s="26" t="n"/>
      <c r="J172" s="24" t="n"/>
      <c r="K172" s="22" t="n"/>
      <c r="L172" s="72" t="n"/>
      <c r="M172" s="27">
        <f>IF(E172="","",SUMIFS(tbl_Finance[Ex GST],tbl_Finance[Job Number],E172&amp;""))</f>
        <v/>
      </c>
      <c r="N172" s="27">
        <f>IF(J172&lt;&gt;"Won","",IF(E172="",N(I172),I172-M172))</f>
        <v/>
      </c>
      <c r="O172" s="24" t="n"/>
    </row>
    <row r="173" ht="15" customHeight="1">
      <c r="A173" s="72" t="n"/>
      <c r="B173" s="24" t="n"/>
      <c r="C173" s="24" t="n"/>
      <c r="D173" s="24" t="n"/>
      <c r="E173" s="24" t="n"/>
      <c r="F173" s="25">
        <f>IF(E173="","",IF(COUNTIF(lst_Jobs,E173&amp;"")&gt;0,"OK","CHECK"))</f>
        <v/>
      </c>
      <c r="G173" s="24" t="n"/>
      <c r="H173" s="24" t="n"/>
      <c r="I173" s="26" t="n"/>
      <c r="J173" s="24" t="n"/>
      <c r="K173" s="22" t="n"/>
      <c r="L173" s="72" t="n"/>
      <c r="M173" s="27">
        <f>IF(E173="","",SUMIFS(tbl_Finance[Ex GST],tbl_Finance[Job Number],E173&amp;""))</f>
        <v/>
      </c>
      <c r="N173" s="27">
        <f>IF(J173&lt;&gt;"Won","",IF(E173="",N(I173),I173-M173))</f>
        <v/>
      </c>
      <c r="O173" s="24" t="n"/>
    </row>
    <row r="174" ht="15" customHeight="1">
      <c r="A174" s="72" t="n"/>
      <c r="B174" s="24" t="n"/>
      <c r="C174" s="24" t="n"/>
      <c r="D174" s="24" t="n"/>
      <c r="E174" s="24" t="n"/>
      <c r="F174" s="25">
        <f>IF(E174="","",IF(COUNTIF(lst_Jobs,E174&amp;"")&gt;0,"OK","CHECK"))</f>
        <v/>
      </c>
      <c r="G174" s="24" t="n"/>
      <c r="H174" s="24" t="n"/>
      <c r="I174" s="26" t="n"/>
      <c r="J174" s="24" t="n"/>
      <c r="K174" s="22" t="n"/>
      <c r="L174" s="72" t="n"/>
      <c r="M174" s="27">
        <f>IF(E174="","",SUMIFS(tbl_Finance[Ex GST],tbl_Finance[Job Number],E174&amp;""))</f>
        <v/>
      </c>
      <c r="N174" s="27">
        <f>IF(J174&lt;&gt;"Won","",IF(E174="",N(I174),I174-M174))</f>
        <v/>
      </c>
      <c r="O174" s="24" t="n"/>
    </row>
    <row r="175" ht="15" customHeight="1">
      <c r="A175" s="72" t="n"/>
      <c r="B175" s="24" t="n"/>
      <c r="C175" s="24" t="n"/>
      <c r="D175" s="24" t="n"/>
      <c r="E175" s="24" t="n"/>
      <c r="F175" s="25">
        <f>IF(E175="","",IF(COUNTIF(lst_Jobs,E175&amp;"")&gt;0,"OK","CHECK"))</f>
        <v/>
      </c>
      <c r="G175" s="24" t="n"/>
      <c r="H175" s="24" t="n"/>
      <c r="I175" s="26" t="n"/>
      <c r="J175" s="24" t="n"/>
      <c r="K175" s="22" t="n"/>
      <c r="L175" s="72" t="n"/>
      <c r="M175" s="27">
        <f>IF(E175="","",SUMIFS(tbl_Finance[Ex GST],tbl_Finance[Job Number],E175&amp;""))</f>
        <v/>
      </c>
      <c r="N175" s="27">
        <f>IF(J175&lt;&gt;"Won","",IF(E175="",N(I175),I175-M175))</f>
        <v/>
      </c>
      <c r="O175" s="24" t="n"/>
    </row>
    <row r="176" ht="15" customHeight="1">
      <c r="A176" s="72" t="n"/>
      <c r="B176" s="24" t="n"/>
      <c r="C176" s="24" t="n"/>
      <c r="D176" s="24" t="n"/>
      <c r="E176" s="24" t="n"/>
      <c r="F176" s="25">
        <f>IF(E176="","",IF(COUNTIF(lst_Jobs,E176&amp;"")&gt;0,"OK","CHECK"))</f>
        <v/>
      </c>
      <c r="G176" s="24" t="n"/>
      <c r="H176" s="24" t="n"/>
      <c r="I176" s="26" t="n"/>
      <c r="J176" s="24" t="n"/>
      <c r="K176" s="22" t="n"/>
      <c r="L176" s="72" t="n"/>
      <c r="M176" s="27">
        <f>IF(E176="","",SUMIFS(tbl_Finance[Ex GST],tbl_Finance[Job Number],E176&amp;""))</f>
        <v/>
      </c>
      <c r="N176" s="27">
        <f>IF(J176&lt;&gt;"Won","",IF(E176="",N(I176),I176-M176))</f>
        <v/>
      </c>
      <c r="O176" s="24" t="n"/>
    </row>
    <row r="177" ht="15" customHeight="1">
      <c r="A177" s="72" t="n"/>
      <c r="B177" s="24" t="n"/>
      <c r="C177" s="24" t="n"/>
      <c r="D177" s="24" t="n"/>
      <c r="E177" s="24" t="n"/>
      <c r="F177" s="25">
        <f>IF(E177="","",IF(COUNTIF(lst_Jobs,E177&amp;"")&gt;0,"OK","CHECK"))</f>
        <v/>
      </c>
      <c r="G177" s="24" t="n"/>
      <c r="H177" s="24" t="n"/>
      <c r="I177" s="26" t="n"/>
      <c r="J177" s="24" t="n"/>
      <c r="K177" s="22" t="n"/>
      <c r="L177" s="72" t="n"/>
      <c r="M177" s="27">
        <f>IF(E177="","",SUMIFS(tbl_Finance[Ex GST],tbl_Finance[Job Number],E177&amp;""))</f>
        <v/>
      </c>
      <c r="N177" s="27">
        <f>IF(J177&lt;&gt;"Won","",IF(E177="",N(I177),I177-M177))</f>
        <v/>
      </c>
      <c r="O177" s="24" t="n"/>
    </row>
    <row r="178" ht="15" customHeight="1">
      <c r="A178" s="72" t="n"/>
      <c r="B178" s="24" t="n"/>
      <c r="C178" s="24" t="n"/>
      <c r="D178" s="24" t="n"/>
      <c r="E178" s="24" t="n"/>
      <c r="F178" s="25">
        <f>IF(E178="","",IF(COUNTIF(lst_Jobs,E178&amp;"")&gt;0,"OK","CHECK"))</f>
        <v/>
      </c>
      <c r="G178" s="24" t="n"/>
      <c r="H178" s="24" t="n"/>
      <c r="I178" s="26" t="n"/>
      <c r="J178" s="24" t="n"/>
      <c r="K178" s="22" t="n"/>
      <c r="L178" s="72" t="n"/>
      <c r="M178" s="27">
        <f>IF(E178="","",SUMIFS(tbl_Finance[Ex GST],tbl_Finance[Job Number],E178&amp;""))</f>
        <v/>
      </c>
      <c r="N178" s="27">
        <f>IF(J178&lt;&gt;"Won","",IF(E178="",N(I178),I178-M178))</f>
        <v/>
      </c>
      <c r="O178" s="24" t="n"/>
    </row>
    <row r="179" ht="15" customHeight="1">
      <c r="A179" s="72" t="n"/>
      <c r="B179" s="24" t="n"/>
      <c r="C179" s="24" t="n"/>
      <c r="D179" s="24" t="n"/>
      <c r="E179" s="24" t="n"/>
      <c r="F179" s="25">
        <f>IF(E179="","",IF(COUNTIF(lst_Jobs,E179&amp;"")&gt;0,"OK","CHECK"))</f>
        <v/>
      </c>
      <c r="G179" s="24" t="n"/>
      <c r="H179" s="24" t="n"/>
      <c r="I179" s="26" t="n"/>
      <c r="J179" s="24" t="n"/>
      <c r="K179" s="22" t="n"/>
      <c r="L179" s="72" t="n"/>
      <c r="M179" s="27">
        <f>IF(E179="","",SUMIFS(tbl_Finance[Ex GST],tbl_Finance[Job Number],E179&amp;""))</f>
        <v/>
      </c>
      <c r="N179" s="27">
        <f>IF(J179&lt;&gt;"Won","",IF(E179="",N(I179),I179-M179))</f>
        <v/>
      </c>
      <c r="O179" s="24" t="n"/>
    </row>
    <row r="180" ht="15" customHeight="1">
      <c r="A180" s="72" t="n"/>
      <c r="B180" s="24" t="n"/>
      <c r="C180" s="24" t="n"/>
      <c r="D180" s="24" t="n"/>
      <c r="E180" s="24" t="n"/>
      <c r="F180" s="25">
        <f>IF(E180="","",IF(COUNTIF(lst_Jobs,E180&amp;"")&gt;0,"OK","CHECK"))</f>
        <v/>
      </c>
      <c r="G180" s="24" t="n"/>
      <c r="H180" s="24" t="n"/>
      <c r="I180" s="26" t="n"/>
      <c r="J180" s="24" t="n"/>
      <c r="K180" s="22" t="n"/>
      <c r="L180" s="72" t="n"/>
      <c r="M180" s="27">
        <f>IF(E180="","",SUMIFS(tbl_Finance[Ex GST],tbl_Finance[Job Number],E180&amp;""))</f>
        <v/>
      </c>
      <c r="N180" s="27">
        <f>IF(J180&lt;&gt;"Won","",IF(E180="",N(I180),I180-M180))</f>
        <v/>
      </c>
      <c r="O180" s="24" t="n"/>
    </row>
    <row r="181" ht="15" customHeight="1">
      <c r="A181" s="72" t="n"/>
      <c r="B181" s="24" t="n"/>
      <c r="C181" s="24" t="n"/>
      <c r="D181" s="24" t="n"/>
      <c r="E181" s="24" t="n"/>
      <c r="F181" s="25">
        <f>IF(E181="","",IF(COUNTIF(lst_Jobs,E181&amp;"")&gt;0,"OK","CHECK"))</f>
        <v/>
      </c>
      <c r="G181" s="24" t="n"/>
      <c r="H181" s="24" t="n"/>
      <c r="I181" s="26" t="n"/>
      <c r="J181" s="24" t="n"/>
      <c r="K181" s="22" t="n"/>
      <c r="L181" s="72" t="n"/>
      <c r="M181" s="27">
        <f>IF(E181="","",SUMIFS(tbl_Finance[Ex GST],tbl_Finance[Job Number],E181&amp;""))</f>
        <v/>
      </c>
      <c r="N181" s="27">
        <f>IF(J181&lt;&gt;"Won","",IF(E181="",N(I181),I181-M181))</f>
        <v/>
      </c>
      <c r="O181" s="24" t="n"/>
    </row>
    <row r="182" ht="15" customHeight="1">
      <c r="A182" s="72" t="n"/>
      <c r="B182" s="24" t="n"/>
      <c r="C182" s="24" t="n"/>
      <c r="D182" s="24" t="n"/>
      <c r="E182" s="24" t="n"/>
      <c r="F182" s="25">
        <f>IF(E182="","",IF(COUNTIF(lst_Jobs,E182&amp;"")&gt;0,"OK","CHECK"))</f>
        <v/>
      </c>
      <c r="G182" s="24" t="n"/>
      <c r="H182" s="24" t="n"/>
      <c r="I182" s="26" t="n"/>
      <c r="J182" s="24" t="n"/>
      <c r="K182" s="22" t="n"/>
      <c r="L182" s="72" t="n"/>
      <c r="M182" s="27">
        <f>IF(E182="","",SUMIFS(tbl_Finance[Ex GST],tbl_Finance[Job Number],E182&amp;""))</f>
        <v/>
      </c>
      <c r="N182" s="27">
        <f>IF(J182&lt;&gt;"Won","",IF(E182="",N(I182),I182-M182))</f>
        <v/>
      </c>
      <c r="O182" s="24" t="n"/>
    </row>
    <row r="183" ht="15" customHeight="1">
      <c r="A183" s="72" t="n"/>
      <c r="B183" s="24" t="n"/>
      <c r="C183" s="24" t="n"/>
      <c r="D183" s="24" t="n"/>
      <c r="E183" s="24" t="n"/>
      <c r="F183" s="25">
        <f>IF(E183="","",IF(COUNTIF(lst_Jobs,E183&amp;"")&gt;0,"OK","CHECK"))</f>
        <v/>
      </c>
      <c r="G183" s="24" t="n"/>
      <c r="H183" s="24" t="n"/>
      <c r="I183" s="26" t="n"/>
      <c r="J183" s="24" t="n"/>
      <c r="K183" s="22" t="n"/>
      <c r="L183" s="72" t="n"/>
      <c r="M183" s="27">
        <f>IF(E183="","",SUMIFS(tbl_Finance[Ex GST],tbl_Finance[Job Number],E183&amp;""))</f>
        <v/>
      </c>
      <c r="N183" s="27">
        <f>IF(J183&lt;&gt;"Won","",IF(E183="",N(I183),I183-M183))</f>
        <v/>
      </c>
      <c r="O183" s="24" t="n"/>
    </row>
    <row r="184" ht="15" customHeight="1">
      <c r="A184" s="72" t="n"/>
      <c r="B184" s="24" t="n"/>
      <c r="C184" s="24" t="n"/>
      <c r="D184" s="24" t="n"/>
      <c r="E184" s="24" t="n"/>
      <c r="F184" s="25">
        <f>IF(E184="","",IF(COUNTIF(lst_Jobs,E184&amp;"")&gt;0,"OK","CHECK"))</f>
        <v/>
      </c>
      <c r="G184" s="24" t="n"/>
      <c r="H184" s="24" t="n"/>
      <c r="I184" s="26" t="n"/>
      <c r="J184" s="24" t="n"/>
      <c r="K184" s="22" t="n"/>
      <c r="L184" s="72" t="n"/>
      <c r="M184" s="27">
        <f>IF(E184="","",SUMIFS(tbl_Finance[Ex GST],tbl_Finance[Job Number],E184&amp;""))</f>
        <v/>
      </c>
      <c r="N184" s="27">
        <f>IF(J184&lt;&gt;"Won","",IF(E184="",N(I184),I184-M184))</f>
        <v/>
      </c>
      <c r="O184" s="24" t="n"/>
    </row>
    <row r="185" ht="15" customHeight="1">
      <c r="A185" s="72" t="n"/>
      <c r="B185" s="24" t="n"/>
      <c r="C185" s="24" t="n"/>
      <c r="D185" s="24" t="n"/>
      <c r="E185" s="24" t="n"/>
      <c r="F185" s="25">
        <f>IF(E185="","",IF(COUNTIF(lst_Jobs,E185&amp;"")&gt;0,"OK","CHECK"))</f>
        <v/>
      </c>
      <c r="G185" s="24" t="n"/>
      <c r="H185" s="24" t="n"/>
      <c r="I185" s="26" t="n"/>
      <c r="J185" s="24" t="n"/>
      <c r="K185" s="22" t="n"/>
      <c r="L185" s="72" t="n"/>
      <c r="M185" s="27">
        <f>IF(E185="","",SUMIFS(tbl_Finance[Ex GST],tbl_Finance[Job Number],E185&amp;""))</f>
        <v/>
      </c>
      <c r="N185" s="27">
        <f>IF(J185&lt;&gt;"Won","",IF(E185="",N(I185),I185-M185))</f>
        <v/>
      </c>
      <c r="O185" s="24" t="n"/>
    </row>
    <row r="186" ht="15" customHeight="1">
      <c r="A186" s="72" t="n"/>
      <c r="B186" s="24" t="n"/>
      <c r="C186" s="24" t="n"/>
      <c r="D186" s="24" t="n"/>
      <c r="E186" s="24" t="n"/>
      <c r="F186" s="25">
        <f>IF(E186="","",IF(COUNTIF(lst_Jobs,E186&amp;"")&gt;0,"OK","CHECK"))</f>
        <v/>
      </c>
      <c r="G186" s="24" t="n"/>
      <c r="H186" s="24" t="n"/>
      <c r="I186" s="26" t="n"/>
      <c r="J186" s="24" t="n"/>
      <c r="K186" s="22" t="n"/>
      <c r="L186" s="72" t="n"/>
      <c r="M186" s="27">
        <f>IF(E186="","",SUMIFS(tbl_Finance[Ex GST],tbl_Finance[Job Number],E186&amp;""))</f>
        <v/>
      </c>
      <c r="N186" s="27">
        <f>IF(J186&lt;&gt;"Won","",IF(E186="",N(I186),I186-M186))</f>
        <v/>
      </c>
      <c r="O186" s="24" t="n"/>
    </row>
    <row r="187" ht="15" customHeight="1">
      <c r="A187" s="72" t="n"/>
      <c r="B187" s="24" t="n"/>
      <c r="C187" s="24" t="n"/>
      <c r="D187" s="24" t="n"/>
      <c r="E187" s="24" t="n"/>
      <c r="F187" s="25">
        <f>IF(E187="","",IF(COUNTIF(lst_Jobs,E187&amp;"")&gt;0,"OK","CHECK"))</f>
        <v/>
      </c>
      <c r="G187" s="24" t="n"/>
      <c r="H187" s="24" t="n"/>
      <c r="I187" s="26" t="n"/>
      <c r="J187" s="24" t="n"/>
      <c r="K187" s="22" t="n"/>
      <c r="L187" s="72" t="n"/>
      <c r="M187" s="27">
        <f>IF(E187="","",SUMIFS(tbl_Finance[Ex GST],tbl_Finance[Job Number],E187&amp;""))</f>
        <v/>
      </c>
      <c r="N187" s="27">
        <f>IF(J187&lt;&gt;"Won","",IF(E187="",N(I187),I187-M187))</f>
        <v/>
      </c>
      <c r="O187" s="24" t="n"/>
    </row>
    <row r="188" ht="15" customHeight="1">
      <c r="A188" s="72" t="n"/>
      <c r="B188" s="24" t="n"/>
      <c r="C188" s="24" t="n"/>
      <c r="D188" s="24" t="n"/>
      <c r="E188" s="24" t="n"/>
      <c r="F188" s="25">
        <f>IF(E188="","",IF(COUNTIF(lst_Jobs,E188&amp;"")&gt;0,"OK","CHECK"))</f>
        <v/>
      </c>
      <c r="G188" s="24" t="n"/>
      <c r="H188" s="24" t="n"/>
      <c r="I188" s="26" t="n"/>
      <c r="J188" s="24" t="n"/>
      <c r="K188" s="22" t="n"/>
      <c r="L188" s="72" t="n"/>
      <c r="M188" s="27">
        <f>IF(E188="","",SUMIFS(tbl_Finance[Ex GST],tbl_Finance[Job Number],E188&amp;""))</f>
        <v/>
      </c>
      <c r="N188" s="27">
        <f>IF(J188&lt;&gt;"Won","",IF(E188="",N(I188),I188-M188))</f>
        <v/>
      </c>
      <c r="O188" s="24" t="n"/>
    </row>
    <row r="189" ht="15" customHeight="1">
      <c r="A189" s="72" t="n"/>
      <c r="B189" s="24" t="n"/>
      <c r="C189" s="24" t="n"/>
      <c r="D189" s="24" t="n"/>
      <c r="E189" s="24" t="n"/>
      <c r="F189" s="25">
        <f>IF(E189="","",IF(COUNTIF(lst_Jobs,E189&amp;"")&gt;0,"OK","CHECK"))</f>
        <v/>
      </c>
      <c r="G189" s="24" t="n"/>
      <c r="H189" s="24" t="n"/>
      <c r="I189" s="26" t="n"/>
      <c r="J189" s="24" t="n"/>
      <c r="K189" s="22" t="n"/>
      <c r="L189" s="72" t="n"/>
      <c r="M189" s="27">
        <f>IF(E189="","",SUMIFS(tbl_Finance[Ex GST],tbl_Finance[Job Number],E189&amp;""))</f>
        <v/>
      </c>
      <c r="N189" s="27">
        <f>IF(J189&lt;&gt;"Won","",IF(E189="",N(I189),I189-M189))</f>
        <v/>
      </c>
      <c r="O189" s="24" t="n"/>
    </row>
    <row r="190" ht="15" customHeight="1">
      <c r="A190" s="72" t="n"/>
      <c r="B190" s="24" t="n"/>
      <c r="C190" s="24" t="n"/>
      <c r="D190" s="24" t="n"/>
      <c r="E190" s="24" t="n"/>
      <c r="F190" s="25">
        <f>IF(E190="","",IF(COUNTIF(lst_Jobs,E190&amp;"")&gt;0,"OK","CHECK"))</f>
        <v/>
      </c>
      <c r="G190" s="24" t="n"/>
      <c r="H190" s="24" t="n"/>
      <c r="I190" s="26" t="n"/>
      <c r="J190" s="24" t="n"/>
      <c r="K190" s="22" t="n"/>
      <c r="L190" s="72" t="n"/>
      <c r="M190" s="27">
        <f>IF(E190="","",SUMIFS(tbl_Finance[Ex GST],tbl_Finance[Job Number],E190&amp;""))</f>
        <v/>
      </c>
      <c r="N190" s="27">
        <f>IF(J190&lt;&gt;"Won","",IF(E190="",N(I190),I190-M190))</f>
        <v/>
      </c>
      <c r="O190" s="24" t="n"/>
    </row>
    <row r="191" ht="15" customHeight="1">
      <c r="A191" s="72" t="n"/>
      <c r="B191" s="24" t="n"/>
      <c r="C191" s="24" t="n"/>
      <c r="D191" s="24" t="n"/>
      <c r="E191" s="24" t="n"/>
      <c r="F191" s="25">
        <f>IF(E191="","",IF(COUNTIF(lst_Jobs,E191&amp;"")&gt;0,"OK","CHECK"))</f>
        <v/>
      </c>
      <c r="G191" s="24" t="n"/>
      <c r="H191" s="24" t="n"/>
      <c r="I191" s="26" t="n"/>
      <c r="J191" s="24" t="n"/>
      <c r="K191" s="22" t="n"/>
      <c r="L191" s="72" t="n"/>
      <c r="M191" s="27">
        <f>IF(E191="","",SUMIFS(tbl_Finance[Ex GST],tbl_Finance[Job Number],E191&amp;""))</f>
        <v/>
      </c>
      <c r="N191" s="27">
        <f>IF(J191&lt;&gt;"Won","",IF(E191="",N(I191),I191-M191))</f>
        <v/>
      </c>
      <c r="O191" s="24" t="n"/>
    </row>
    <row r="192" ht="15" customHeight="1">
      <c r="A192" s="72" t="n"/>
      <c r="B192" s="24" t="n"/>
      <c r="C192" s="24" t="n"/>
      <c r="D192" s="24" t="n"/>
      <c r="E192" s="24" t="n"/>
      <c r="F192" s="25">
        <f>IF(E192="","",IF(COUNTIF(lst_Jobs,E192&amp;"")&gt;0,"OK","CHECK"))</f>
        <v/>
      </c>
      <c r="G192" s="24" t="n"/>
      <c r="H192" s="24" t="n"/>
      <c r="I192" s="26" t="n"/>
      <c r="J192" s="24" t="n"/>
      <c r="K192" s="22" t="n"/>
      <c r="L192" s="72" t="n"/>
      <c r="M192" s="27">
        <f>IF(E192="","",SUMIFS(tbl_Finance[Ex GST],tbl_Finance[Job Number],E192&amp;""))</f>
        <v/>
      </c>
      <c r="N192" s="27">
        <f>IF(J192&lt;&gt;"Won","",IF(E192="",N(I192),I192-M192))</f>
        <v/>
      </c>
      <c r="O192" s="24" t="n"/>
    </row>
    <row r="193" ht="15" customHeight="1">
      <c r="A193" s="72" t="n"/>
      <c r="B193" s="24" t="n"/>
      <c r="C193" s="24" t="n"/>
      <c r="D193" s="24" t="n"/>
      <c r="E193" s="24" t="n"/>
      <c r="F193" s="25">
        <f>IF(E193="","",IF(COUNTIF(lst_Jobs,E193&amp;"")&gt;0,"OK","CHECK"))</f>
        <v/>
      </c>
      <c r="G193" s="24" t="n"/>
      <c r="H193" s="24" t="n"/>
      <c r="I193" s="26" t="n"/>
      <c r="J193" s="24" t="n"/>
      <c r="K193" s="22" t="n"/>
      <c r="L193" s="72" t="n"/>
      <c r="M193" s="27">
        <f>IF(E193="","",SUMIFS(tbl_Finance[Ex GST],tbl_Finance[Job Number],E193&amp;""))</f>
        <v/>
      </c>
      <c r="N193" s="27">
        <f>IF(J193&lt;&gt;"Won","",IF(E193="",N(I193),I193-M193))</f>
        <v/>
      </c>
      <c r="O193" s="24" t="n"/>
    </row>
    <row r="194" ht="15" customHeight="1">
      <c r="A194" s="72" t="n"/>
      <c r="B194" s="24" t="n"/>
      <c r="C194" s="24" t="n"/>
      <c r="D194" s="24" t="n"/>
      <c r="E194" s="24" t="n"/>
      <c r="F194" s="25">
        <f>IF(E194="","",IF(COUNTIF(lst_Jobs,E194&amp;"")&gt;0,"OK","CHECK"))</f>
        <v/>
      </c>
      <c r="G194" s="24" t="n"/>
      <c r="H194" s="24" t="n"/>
      <c r="I194" s="26" t="n"/>
      <c r="J194" s="24" t="n"/>
      <c r="K194" s="22" t="n"/>
      <c r="L194" s="72" t="n"/>
      <c r="M194" s="27">
        <f>IF(E194="","",SUMIFS(tbl_Finance[Ex GST],tbl_Finance[Job Number],E194&amp;""))</f>
        <v/>
      </c>
      <c r="N194" s="27">
        <f>IF(J194&lt;&gt;"Won","",IF(E194="",N(I194),I194-M194))</f>
        <v/>
      </c>
      <c r="O194" s="24" t="n"/>
    </row>
    <row r="195" ht="15" customHeight="1">
      <c r="A195" s="72" t="n"/>
      <c r="B195" s="24" t="n"/>
      <c r="C195" s="24" t="n"/>
      <c r="D195" s="24" t="n"/>
      <c r="E195" s="24" t="n"/>
      <c r="F195" s="25">
        <f>IF(E195="","",IF(COUNTIF(lst_Jobs,E195&amp;"")&gt;0,"OK","CHECK"))</f>
        <v/>
      </c>
      <c r="G195" s="24" t="n"/>
      <c r="H195" s="24" t="n"/>
      <c r="I195" s="26" t="n"/>
      <c r="J195" s="24" t="n"/>
      <c r="K195" s="22" t="n"/>
      <c r="L195" s="72" t="n"/>
      <c r="M195" s="27">
        <f>IF(E195="","",SUMIFS(tbl_Finance[Ex GST],tbl_Finance[Job Number],E195&amp;""))</f>
        <v/>
      </c>
      <c r="N195" s="27">
        <f>IF(J195&lt;&gt;"Won","",IF(E195="",N(I195),I195-M195))</f>
        <v/>
      </c>
      <c r="O195" s="24" t="n"/>
    </row>
    <row r="196" ht="15" customHeight="1">
      <c r="A196" s="72" t="n"/>
      <c r="B196" s="24" t="n"/>
      <c r="C196" s="24" t="n"/>
      <c r="D196" s="24" t="n"/>
      <c r="E196" s="24" t="n"/>
      <c r="F196" s="25">
        <f>IF(E196="","",IF(COUNTIF(lst_Jobs,E196&amp;"")&gt;0,"OK","CHECK"))</f>
        <v/>
      </c>
      <c r="G196" s="24" t="n"/>
      <c r="H196" s="24" t="n"/>
      <c r="I196" s="26" t="n"/>
      <c r="J196" s="24" t="n"/>
      <c r="K196" s="22" t="n"/>
      <c r="L196" s="72" t="n"/>
      <c r="M196" s="27">
        <f>IF(E196="","",SUMIFS(tbl_Finance[Ex GST],tbl_Finance[Job Number],E196&amp;""))</f>
        <v/>
      </c>
      <c r="N196" s="27">
        <f>IF(J196&lt;&gt;"Won","",IF(E196="",N(I196),I196-M196))</f>
        <v/>
      </c>
      <c r="O196" s="24" t="n"/>
    </row>
    <row r="197" ht="15" customHeight="1">
      <c r="A197" s="72" t="n"/>
      <c r="B197" s="24" t="n"/>
      <c r="C197" s="24" t="n"/>
      <c r="D197" s="24" t="n"/>
      <c r="E197" s="24" t="n"/>
      <c r="F197" s="25">
        <f>IF(E197="","",IF(COUNTIF(lst_Jobs,E197&amp;"")&gt;0,"OK","CHECK"))</f>
        <v/>
      </c>
      <c r="G197" s="24" t="n"/>
      <c r="H197" s="24" t="n"/>
      <c r="I197" s="26" t="n"/>
      <c r="J197" s="24" t="n"/>
      <c r="K197" s="22" t="n"/>
      <c r="L197" s="72" t="n"/>
      <c r="M197" s="27">
        <f>IF(E197="","",SUMIFS(tbl_Finance[Ex GST],tbl_Finance[Job Number],E197&amp;""))</f>
        <v/>
      </c>
      <c r="N197" s="27">
        <f>IF(J197&lt;&gt;"Won","",IF(E197="",N(I197),I197-M197))</f>
        <v/>
      </c>
      <c r="O197" s="24" t="n"/>
    </row>
    <row r="198" ht="15" customHeight="1">
      <c r="A198" s="72" t="n"/>
      <c r="B198" s="24" t="n"/>
      <c r="C198" s="24" t="n"/>
      <c r="D198" s="24" t="n"/>
      <c r="E198" s="24" t="n"/>
      <c r="F198" s="25">
        <f>IF(E198="","",IF(COUNTIF(lst_Jobs,E198&amp;"")&gt;0,"OK","CHECK"))</f>
        <v/>
      </c>
      <c r="G198" s="24" t="n"/>
      <c r="H198" s="24" t="n"/>
      <c r="I198" s="26" t="n"/>
      <c r="J198" s="24" t="n"/>
      <c r="K198" s="22" t="n"/>
      <c r="L198" s="72" t="n"/>
      <c r="M198" s="27">
        <f>IF(E198="","",SUMIFS(tbl_Finance[Ex GST],tbl_Finance[Job Number],E198&amp;""))</f>
        <v/>
      </c>
      <c r="N198" s="27">
        <f>IF(J198&lt;&gt;"Won","",IF(E198="",N(I198),I198-M198))</f>
        <v/>
      </c>
      <c r="O198" s="24" t="n"/>
    </row>
    <row r="199" ht="15" customHeight="1">
      <c r="A199" s="72" t="n"/>
      <c r="B199" s="24" t="n"/>
      <c r="C199" s="24" t="n"/>
      <c r="D199" s="24" t="n"/>
      <c r="E199" s="24" t="n"/>
      <c r="F199" s="25">
        <f>IF(E199="","",IF(COUNTIF(lst_Jobs,E199&amp;"")&gt;0,"OK","CHECK"))</f>
        <v/>
      </c>
      <c r="G199" s="24" t="n"/>
      <c r="H199" s="24" t="n"/>
      <c r="I199" s="26" t="n"/>
      <c r="J199" s="24" t="n"/>
      <c r="K199" s="22" t="n"/>
      <c r="L199" s="72" t="n"/>
      <c r="M199" s="27">
        <f>IF(E199="","",SUMIFS(tbl_Finance[Ex GST],tbl_Finance[Job Number],E199&amp;""))</f>
        <v/>
      </c>
      <c r="N199" s="27">
        <f>IF(J199&lt;&gt;"Won","",IF(E199="",N(I199),I199-M199))</f>
        <v/>
      </c>
      <c r="O199" s="24" t="n"/>
    </row>
    <row r="200" ht="15" customHeight="1">
      <c r="A200" s="72" t="n"/>
      <c r="B200" s="24" t="n"/>
      <c r="C200" s="24" t="n"/>
      <c r="D200" s="24" t="n"/>
      <c r="E200" s="24" t="n"/>
      <c r="F200" s="25">
        <f>IF(E200="","",IF(COUNTIF(lst_Jobs,E200&amp;"")&gt;0,"OK","CHECK"))</f>
        <v/>
      </c>
      <c r="G200" s="24" t="n"/>
      <c r="H200" s="24" t="n"/>
      <c r="I200" s="26" t="n"/>
      <c r="J200" s="24" t="n"/>
      <c r="K200" s="22" t="n"/>
      <c r="L200" s="72" t="n"/>
      <c r="M200" s="27">
        <f>IF(E200="","",SUMIFS(tbl_Finance[Ex GST],tbl_Finance[Job Number],E200&amp;""))</f>
        <v/>
      </c>
      <c r="N200" s="27">
        <f>IF(J200&lt;&gt;"Won","",IF(E200="",N(I200),I200-M200))</f>
        <v/>
      </c>
      <c r="O200" s="24" t="n"/>
    </row>
    <row r="201" ht="15" customHeight="1">
      <c r="A201" s="72" t="n"/>
      <c r="B201" s="24" t="n"/>
      <c r="C201" s="24" t="n"/>
      <c r="D201" s="24" t="n"/>
      <c r="E201" s="24" t="n"/>
      <c r="F201" s="25">
        <f>IF(E201="","",IF(COUNTIF(lst_Jobs,E201&amp;"")&gt;0,"OK","CHECK"))</f>
        <v/>
      </c>
      <c r="G201" s="24" t="n"/>
      <c r="H201" s="24" t="n"/>
      <c r="I201" s="26" t="n"/>
      <c r="J201" s="24" t="n"/>
      <c r="K201" s="22" t="n"/>
      <c r="L201" s="72" t="n"/>
      <c r="M201" s="27">
        <f>IF(E201="","",SUMIFS(tbl_Finance[Ex GST],tbl_Finance[Job Number],E201&amp;""))</f>
        <v/>
      </c>
      <c r="N201" s="27">
        <f>IF(J201&lt;&gt;"Won","",IF(E201="",N(I201),I201-M201))</f>
        <v/>
      </c>
      <c r="O201" s="24" t="n"/>
    </row>
    <row r="202" ht="15" customHeight="1">
      <c r="A202" s="72" t="n"/>
      <c r="B202" s="24" t="n"/>
      <c r="C202" s="24" t="n"/>
      <c r="D202" s="24" t="n"/>
      <c r="E202" s="24" t="n"/>
      <c r="F202" s="25">
        <f>IF(E202="","",IF(COUNTIF(lst_Jobs,E202&amp;"")&gt;0,"OK","CHECK"))</f>
        <v/>
      </c>
      <c r="G202" s="24" t="n"/>
      <c r="H202" s="24" t="n"/>
      <c r="I202" s="26" t="n"/>
      <c r="J202" s="24" t="n"/>
      <c r="K202" s="22" t="n"/>
      <c r="L202" s="72" t="n"/>
      <c r="M202" s="27">
        <f>IF(E202="","",SUMIFS(tbl_Finance[Ex GST],tbl_Finance[Job Number],E202&amp;""))</f>
        <v/>
      </c>
      <c r="N202" s="27">
        <f>IF(J202&lt;&gt;"Won","",IF(E202="",N(I202),I202-M202))</f>
        <v/>
      </c>
      <c r="O202" s="24" t="n"/>
    </row>
    <row r="203" ht="15" customHeight="1">
      <c r="A203" s="72" t="n"/>
      <c r="B203" s="24" t="n"/>
      <c r="C203" s="24" t="n"/>
      <c r="D203" s="24" t="n"/>
      <c r="E203" s="24" t="n"/>
      <c r="F203" s="25">
        <f>IF(E203="","",IF(COUNTIF(lst_Jobs,E203&amp;"")&gt;0,"OK","CHECK"))</f>
        <v/>
      </c>
      <c r="G203" s="24" t="n"/>
      <c r="H203" s="24" t="n"/>
      <c r="I203" s="26" t="n"/>
      <c r="J203" s="24" t="n"/>
      <c r="K203" s="22" t="n"/>
      <c r="L203" s="72" t="n"/>
      <c r="M203" s="27">
        <f>IF(E203="","",SUMIFS(tbl_Finance[Ex GST],tbl_Finance[Job Number],E203&amp;""))</f>
        <v/>
      </c>
      <c r="N203" s="27">
        <f>IF(J203&lt;&gt;"Won","",IF(E203="",N(I203),I203-M203))</f>
        <v/>
      </c>
      <c r="O203" s="24" t="n"/>
    </row>
    <row r="204" ht="15" customHeight="1">
      <c r="A204" s="72" t="n"/>
      <c r="B204" s="24" t="n"/>
      <c r="C204" s="24" t="n"/>
      <c r="D204" s="24" t="n"/>
      <c r="E204" s="24" t="n"/>
      <c r="F204" s="25">
        <f>IF(E204="","",IF(COUNTIF(lst_Jobs,E204&amp;"")&gt;0,"OK","CHECK"))</f>
        <v/>
      </c>
      <c r="G204" s="24" t="n"/>
      <c r="H204" s="24" t="n"/>
      <c r="I204" s="26" t="n"/>
      <c r="J204" s="24" t="n"/>
      <c r="K204" s="22" t="n"/>
      <c r="L204" s="72" t="n"/>
      <c r="M204" s="27">
        <f>IF(E204="","",SUMIFS(tbl_Finance[Ex GST],tbl_Finance[Job Number],E204&amp;""))</f>
        <v/>
      </c>
      <c r="N204" s="27">
        <f>IF(J204&lt;&gt;"Won","",IF(E204="",N(I204),I204-M204))</f>
        <v/>
      </c>
      <c r="O204" s="24" t="n"/>
    </row>
    <row r="205" ht="15" customHeight="1">
      <c r="A205" s="72" t="n"/>
      <c r="B205" s="24" t="n"/>
      <c r="C205" s="24" t="n"/>
      <c r="D205" s="24" t="n"/>
      <c r="E205" s="24" t="n"/>
      <c r="F205" s="25">
        <f>IF(E205="","",IF(COUNTIF(lst_Jobs,E205&amp;"")&gt;0,"OK","CHECK"))</f>
        <v/>
      </c>
      <c r="G205" s="24" t="n"/>
      <c r="H205" s="24" t="n"/>
      <c r="I205" s="26" t="n"/>
      <c r="J205" s="24" t="n"/>
      <c r="K205" s="22" t="n"/>
      <c r="L205" s="72" t="n"/>
      <c r="M205" s="27">
        <f>IF(E205="","",SUMIFS(tbl_Finance[Ex GST],tbl_Finance[Job Number],E205&amp;""))</f>
        <v/>
      </c>
      <c r="N205" s="27">
        <f>IF(J205&lt;&gt;"Won","",IF(E205="",N(I205),I205-M205))</f>
        <v/>
      </c>
      <c r="O205" s="24" t="n"/>
    </row>
    <row r="206" ht="15" customHeight="1">
      <c r="A206" s="72" t="n"/>
      <c r="B206" s="24" t="n"/>
      <c r="C206" s="24" t="n"/>
      <c r="D206" s="24" t="n"/>
      <c r="E206" s="24" t="n"/>
      <c r="F206" s="25">
        <f>IF(E206="","",IF(COUNTIF(lst_Jobs,E206&amp;"")&gt;0,"OK","CHECK"))</f>
        <v/>
      </c>
      <c r="G206" s="24" t="n"/>
      <c r="H206" s="24" t="n"/>
      <c r="I206" s="26" t="n"/>
      <c r="J206" s="24" t="n"/>
      <c r="K206" s="22" t="n"/>
      <c r="L206" s="72" t="n"/>
      <c r="M206" s="27">
        <f>IF(E206="","",SUMIFS(tbl_Finance[Ex GST],tbl_Finance[Job Number],E206&amp;""))</f>
        <v/>
      </c>
      <c r="N206" s="27">
        <f>IF(J206&lt;&gt;"Won","",IF(E206="",N(I206),I206-M206))</f>
        <v/>
      </c>
      <c r="O206" s="24" t="n"/>
    </row>
    <row r="207" ht="15" customHeight="1">
      <c r="A207" s="72" t="n"/>
      <c r="B207" s="24" t="n"/>
      <c r="C207" s="24" t="n"/>
      <c r="D207" s="24" t="n"/>
      <c r="E207" s="24" t="n"/>
      <c r="F207" s="25">
        <f>IF(E207="","",IF(COUNTIF(lst_Jobs,E207&amp;"")&gt;0,"OK","CHECK"))</f>
        <v/>
      </c>
      <c r="G207" s="24" t="n"/>
      <c r="H207" s="24" t="n"/>
      <c r="I207" s="26" t="n"/>
      <c r="J207" s="24" t="n"/>
      <c r="K207" s="22" t="n"/>
      <c r="L207" s="72" t="n"/>
      <c r="M207" s="27">
        <f>IF(E207="","",SUMIFS(tbl_Finance[Ex GST],tbl_Finance[Job Number],E207&amp;""))</f>
        <v/>
      </c>
      <c r="N207" s="27">
        <f>IF(J207&lt;&gt;"Won","",IF(E207="",N(I207),I207-M207))</f>
        <v/>
      </c>
      <c r="O207" s="24" t="n"/>
    </row>
    <row r="208" ht="15" customHeight="1">
      <c r="A208" s="72" t="n"/>
      <c r="B208" s="24" t="n"/>
      <c r="C208" s="24" t="n"/>
      <c r="D208" s="24" t="n"/>
      <c r="E208" s="24" t="n"/>
      <c r="F208" s="25">
        <f>IF(E208="","",IF(COUNTIF(lst_Jobs,E208&amp;"")&gt;0,"OK","CHECK"))</f>
        <v/>
      </c>
      <c r="G208" s="24" t="n"/>
      <c r="H208" s="24" t="n"/>
      <c r="I208" s="26" t="n"/>
      <c r="J208" s="24" t="n"/>
      <c r="K208" s="22" t="n"/>
      <c r="L208" s="72" t="n"/>
      <c r="M208" s="27">
        <f>IF(E208="","",SUMIFS(tbl_Finance[Ex GST],tbl_Finance[Job Number],E208&amp;""))</f>
        <v/>
      </c>
      <c r="N208" s="27">
        <f>IF(J208&lt;&gt;"Won","",IF(E208="",N(I208),I208-M208))</f>
        <v/>
      </c>
      <c r="O208" s="24" t="n"/>
    </row>
    <row r="209" ht="15" customHeight="1">
      <c r="A209" s="72" t="n"/>
      <c r="B209" s="24" t="n"/>
      <c r="C209" s="24" t="n"/>
      <c r="D209" s="24" t="n"/>
      <c r="E209" s="24" t="n"/>
      <c r="F209" s="25">
        <f>IF(E209="","",IF(COUNTIF(lst_Jobs,E209&amp;"")&gt;0,"OK","CHECK"))</f>
        <v/>
      </c>
      <c r="G209" s="24" t="n"/>
      <c r="H209" s="24" t="n"/>
      <c r="I209" s="26" t="n"/>
      <c r="J209" s="24" t="n"/>
      <c r="K209" s="22" t="n"/>
      <c r="L209" s="72" t="n"/>
      <c r="M209" s="27">
        <f>IF(E209="","",SUMIFS(tbl_Finance[Ex GST],tbl_Finance[Job Number],E209&amp;""))</f>
        <v/>
      </c>
      <c r="N209" s="27">
        <f>IF(J209&lt;&gt;"Won","",IF(E209="",N(I209),I209-M209))</f>
        <v/>
      </c>
      <c r="O209" s="24" t="n"/>
    </row>
    <row r="210" ht="15" customHeight="1">
      <c r="A210" s="72" t="n"/>
      <c r="B210" s="24" t="n"/>
      <c r="C210" s="24" t="n"/>
      <c r="D210" s="24" t="n"/>
      <c r="E210" s="24" t="n"/>
      <c r="F210" s="25">
        <f>IF(E210="","",IF(COUNTIF(lst_Jobs,E210&amp;"")&gt;0,"OK","CHECK"))</f>
        <v/>
      </c>
      <c r="G210" s="24" t="n"/>
      <c r="H210" s="24" t="n"/>
      <c r="I210" s="26" t="n"/>
      <c r="J210" s="24" t="n"/>
      <c r="K210" s="22" t="n"/>
      <c r="L210" s="72" t="n"/>
      <c r="M210" s="27">
        <f>IF(E210="","",SUMIFS(tbl_Finance[Ex GST],tbl_Finance[Job Number],E210&amp;""))</f>
        <v/>
      </c>
      <c r="N210" s="27">
        <f>IF(J210&lt;&gt;"Won","",IF(E210="",N(I210),I210-M210))</f>
        <v/>
      </c>
      <c r="O210" s="24" t="n"/>
    </row>
    <row r="211" ht="15" customHeight="1">
      <c r="A211" s="72" t="n"/>
      <c r="B211" s="24" t="n"/>
      <c r="C211" s="24" t="n"/>
      <c r="D211" s="24" t="n"/>
      <c r="E211" s="24" t="n"/>
      <c r="F211" s="25">
        <f>IF(E211="","",IF(COUNTIF(lst_Jobs,E211&amp;"")&gt;0,"OK","CHECK"))</f>
        <v/>
      </c>
      <c r="G211" s="24" t="n"/>
      <c r="H211" s="24" t="n"/>
      <c r="I211" s="26" t="n"/>
      <c r="J211" s="24" t="n"/>
      <c r="K211" s="22" t="n"/>
      <c r="L211" s="72" t="n"/>
      <c r="M211" s="27">
        <f>IF(E211="","",SUMIFS(tbl_Finance[Ex GST],tbl_Finance[Job Number],E211&amp;""))</f>
        <v/>
      </c>
      <c r="N211" s="27">
        <f>IF(J211&lt;&gt;"Won","",IF(E211="",N(I211),I211-M211))</f>
        <v/>
      </c>
      <c r="O211" s="24" t="n"/>
    </row>
    <row r="212" ht="15" customHeight="1">
      <c r="A212" s="72" t="n"/>
      <c r="B212" s="24" t="n"/>
      <c r="C212" s="24" t="n"/>
      <c r="D212" s="24" t="n"/>
      <c r="E212" s="24" t="n"/>
      <c r="F212" s="25">
        <f>IF(E212="","",IF(COUNTIF(lst_Jobs,E212&amp;"")&gt;0,"OK","CHECK"))</f>
        <v/>
      </c>
      <c r="G212" s="24" t="n"/>
      <c r="H212" s="24" t="n"/>
      <c r="I212" s="26" t="n"/>
      <c r="J212" s="24" t="n"/>
      <c r="K212" s="22" t="n"/>
      <c r="L212" s="72" t="n"/>
      <c r="M212" s="27">
        <f>IF(E212="","",SUMIFS(tbl_Finance[Ex GST],tbl_Finance[Job Number],E212&amp;""))</f>
        <v/>
      </c>
      <c r="N212" s="27">
        <f>IF(J212&lt;&gt;"Won","",IF(E212="",N(I212),I212-M212))</f>
        <v/>
      </c>
      <c r="O212" s="24" t="n"/>
    </row>
    <row r="213" ht="15" customHeight="1">
      <c r="A213" s="72" t="n"/>
      <c r="B213" s="24" t="n"/>
      <c r="C213" s="24" t="n"/>
      <c r="D213" s="24" t="n"/>
      <c r="E213" s="24" t="n"/>
      <c r="F213" s="25">
        <f>IF(E213="","",IF(COUNTIF(lst_Jobs,E213&amp;"")&gt;0,"OK","CHECK"))</f>
        <v/>
      </c>
      <c r="G213" s="24" t="n"/>
      <c r="H213" s="24" t="n"/>
      <c r="I213" s="26" t="n"/>
      <c r="J213" s="24" t="n"/>
      <c r="K213" s="22" t="n"/>
      <c r="L213" s="72" t="n"/>
      <c r="M213" s="27">
        <f>IF(E213="","",SUMIFS(tbl_Finance[Ex GST],tbl_Finance[Job Number],E213&amp;""))</f>
        <v/>
      </c>
      <c r="N213" s="27">
        <f>IF(J213&lt;&gt;"Won","",IF(E213="",N(I213),I213-M213))</f>
        <v/>
      </c>
      <c r="O213" s="24" t="n"/>
    </row>
    <row r="214" ht="15" customHeight="1">
      <c r="A214" s="72" t="n"/>
      <c r="B214" s="24" t="n"/>
      <c r="C214" s="24" t="n"/>
      <c r="D214" s="24" t="n"/>
      <c r="E214" s="24" t="n"/>
      <c r="F214" s="25">
        <f>IF(E214="","",IF(COUNTIF(lst_Jobs,E214&amp;"")&gt;0,"OK","CHECK"))</f>
        <v/>
      </c>
      <c r="G214" s="24" t="n"/>
      <c r="H214" s="24" t="n"/>
      <c r="I214" s="26" t="n"/>
      <c r="J214" s="24" t="n"/>
      <c r="K214" s="22" t="n"/>
      <c r="L214" s="72" t="n"/>
      <c r="M214" s="27">
        <f>IF(E214="","",SUMIFS(tbl_Finance[Ex GST],tbl_Finance[Job Number],E214&amp;""))</f>
        <v/>
      </c>
      <c r="N214" s="27">
        <f>IF(J214&lt;&gt;"Won","",IF(E214="",N(I214),I214-M214))</f>
        <v/>
      </c>
      <c r="O214" s="24" t="n"/>
    </row>
    <row r="215" ht="15" customHeight="1">
      <c r="A215" s="72" t="n"/>
      <c r="B215" s="24" t="n"/>
      <c r="C215" s="24" t="n"/>
      <c r="D215" s="24" t="n"/>
      <c r="E215" s="24" t="n"/>
      <c r="F215" s="25">
        <f>IF(E215="","",IF(COUNTIF(lst_Jobs,E215&amp;"")&gt;0,"OK","CHECK"))</f>
        <v/>
      </c>
      <c r="G215" s="24" t="n"/>
      <c r="H215" s="24" t="n"/>
      <c r="I215" s="26" t="n"/>
      <c r="J215" s="24" t="n"/>
      <c r="K215" s="22" t="n"/>
      <c r="L215" s="72" t="n"/>
      <c r="M215" s="27">
        <f>IF(E215="","",SUMIFS(tbl_Finance[Ex GST],tbl_Finance[Job Number],E215&amp;""))</f>
        <v/>
      </c>
      <c r="N215" s="27">
        <f>IF(J215&lt;&gt;"Won","",IF(E215="",N(I215),I215-M215))</f>
        <v/>
      </c>
      <c r="O215" s="24" t="n"/>
    </row>
    <row r="216" ht="15" customHeight="1">
      <c r="A216" s="72" t="n"/>
      <c r="B216" s="24" t="n"/>
      <c r="C216" s="24" t="n"/>
      <c r="D216" s="24" t="n"/>
      <c r="E216" s="24" t="n"/>
      <c r="F216" s="25">
        <f>IF(E216="","",IF(COUNTIF(lst_Jobs,E216&amp;"")&gt;0,"OK","CHECK"))</f>
        <v/>
      </c>
      <c r="G216" s="24" t="n"/>
      <c r="H216" s="24" t="n"/>
      <c r="I216" s="26" t="n"/>
      <c r="J216" s="24" t="n"/>
      <c r="K216" s="22" t="n"/>
      <c r="L216" s="72" t="n"/>
      <c r="M216" s="27">
        <f>IF(E216="","",SUMIFS(tbl_Finance[Ex GST],tbl_Finance[Job Number],E216&amp;""))</f>
        <v/>
      </c>
      <c r="N216" s="27">
        <f>IF(J216&lt;&gt;"Won","",IF(E216="",N(I216),I216-M216))</f>
        <v/>
      </c>
      <c r="O216" s="24" t="n"/>
    </row>
    <row r="217" ht="15" customHeight="1">
      <c r="A217" s="72" t="n"/>
      <c r="B217" s="24" t="n"/>
      <c r="C217" s="24" t="n"/>
      <c r="D217" s="24" t="n"/>
      <c r="E217" s="24" t="n"/>
      <c r="F217" s="25">
        <f>IF(E217="","",IF(COUNTIF(lst_Jobs,E217&amp;"")&gt;0,"OK","CHECK"))</f>
        <v/>
      </c>
      <c r="G217" s="24" t="n"/>
      <c r="H217" s="24" t="n"/>
      <c r="I217" s="26" t="n"/>
      <c r="J217" s="24" t="n"/>
      <c r="K217" s="22" t="n"/>
      <c r="L217" s="72" t="n"/>
      <c r="M217" s="27">
        <f>IF(E217="","",SUMIFS(tbl_Finance[Ex GST],tbl_Finance[Job Number],E217&amp;""))</f>
        <v/>
      </c>
      <c r="N217" s="27">
        <f>IF(J217&lt;&gt;"Won","",IF(E217="",N(I217),I217-M217))</f>
        <v/>
      </c>
      <c r="O217" s="24" t="n"/>
    </row>
    <row r="218" ht="15" customHeight="1">
      <c r="A218" s="72" t="n"/>
      <c r="B218" s="24" t="n"/>
      <c r="C218" s="24" t="n"/>
      <c r="D218" s="24" t="n"/>
      <c r="E218" s="24" t="n"/>
      <c r="F218" s="25">
        <f>IF(E218="","",IF(COUNTIF(lst_Jobs,E218&amp;"")&gt;0,"OK","CHECK"))</f>
        <v/>
      </c>
      <c r="G218" s="24" t="n"/>
      <c r="H218" s="24" t="n"/>
      <c r="I218" s="26" t="n"/>
      <c r="J218" s="24" t="n"/>
      <c r="K218" s="22" t="n"/>
      <c r="L218" s="72" t="n"/>
      <c r="M218" s="27">
        <f>IF(E218="","",SUMIFS(tbl_Finance[Ex GST],tbl_Finance[Job Number],E218&amp;""))</f>
        <v/>
      </c>
      <c r="N218" s="27">
        <f>IF(J218&lt;&gt;"Won","",IF(E218="",N(I218),I218-M218))</f>
        <v/>
      </c>
      <c r="O218" s="24" t="n"/>
    </row>
    <row r="219" ht="15" customHeight="1">
      <c r="A219" s="72" t="n"/>
      <c r="B219" s="24" t="n"/>
      <c r="C219" s="24" t="n"/>
      <c r="D219" s="24" t="n"/>
      <c r="E219" s="24" t="n"/>
      <c r="F219" s="25">
        <f>IF(E219="","",IF(COUNTIF(lst_Jobs,E219&amp;"")&gt;0,"OK","CHECK"))</f>
        <v/>
      </c>
      <c r="G219" s="24" t="n"/>
      <c r="H219" s="24" t="n"/>
      <c r="I219" s="26" t="n"/>
      <c r="J219" s="24" t="n"/>
      <c r="K219" s="22" t="n"/>
      <c r="L219" s="72" t="n"/>
      <c r="M219" s="27">
        <f>IF(E219="","",SUMIFS(tbl_Finance[Ex GST],tbl_Finance[Job Number],E219&amp;""))</f>
        <v/>
      </c>
      <c r="N219" s="27">
        <f>IF(J219&lt;&gt;"Won","",IF(E219="",N(I219),I219-M219))</f>
        <v/>
      </c>
      <c r="O219" s="24" t="n"/>
    </row>
    <row r="220" ht="15" customHeight="1">
      <c r="A220" s="72" t="n"/>
      <c r="B220" s="24" t="n"/>
      <c r="C220" s="24" t="n"/>
      <c r="D220" s="24" t="n"/>
      <c r="E220" s="24" t="n"/>
      <c r="F220" s="25">
        <f>IF(E220="","",IF(COUNTIF(lst_Jobs,E220&amp;"")&gt;0,"OK","CHECK"))</f>
        <v/>
      </c>
      <c r="G220" s="24" t="n"/>
      <c r="H220" s="24" t="n"/>
      <c r="I220" s="26" t="n"/>
      <c r="J220" s="24" t="n"/>
      <c r="K220" s="22" t="n"/>
      <c r="L220" s="72" t="n"/>
      <c r="M220" s="27">
        <f>IF(E220="","",SUMIFS(tbl_Finance[Ex GST],tbl_Finance[Job Number],E220&amp;""))</f>
        <v/>
      </c>
      <c r="N220" s="27">
        <f>IF(J220&lt;&gt;"Won","",IF(E220="",N(I220),I220-M220))</f>
        <v/>
      </c>
      <c r="O220" s="24" t="n"/>
    </row>
    <row r="221" ht="15" customHeight="1">
      <c r="A221" s="72" t="n"/>
      <c r="B221" s="24" t="n"/>
      <c r="C221" s="24" t="n"/>
      <c r="D221" s="24" t="n"/>
      <c r="E221" s="24" t="n"/>
      <c r="F221" s="25">
        <f>IF(E221="","",IF(COUNTIF(lst_Jobs,E221&amp;"")&gt;0,"OK","CHECK"))</f>
        <v/>
      </c>
      <c r="G221" s="24" t="n"/>
      <c r="H221" s="24" t="n"/>
      <c r="I221" s="26" t="n"/>
      <c r="J221" s="24" t="n"/>
      <c r="K221" s="22" t="n"/>
      <c r="L221" s="72" t="n"/>
      <c r="M221" s="27">
        <f>IF(E221="","",SUMIFS(tbl_Finance[Ex GST],tbl_Finance[Job Number],E221&amp;""))</f>
        <v/>
      </c>
      <c r="N221" s="27">
        <f>IF(J221&lt;&gt;"Won","",IF(E221="",N(I221),I221-M221))</f>
        <v/>
      </c>
      <c r="O221" s="24" t="n"/>
    </row>
    <row r="222" ht="15" customHeight="1">
      <c r="A222" s="72" t="n"/>
      <c r="B222" s="24" t="n"/>
      <c r="C222" s="24" t="n"/>
      <c r="D222" s="24" t="n"/>
      <c r="E222" s="24" t="n"/>
      <c r="F222" s="25">
        <f>IF(E222="","",IF(COUNTIF(lst_Jobs,E222&amp;"")&gt;0,"OK","CHECK"))</f>
        <v/>
      </c>
      <c r="G222" s="24" t="n"/>
      <c r="H222" s="24" t="n"/>
      <c r="I222" s="26" t="n"/>
      <c r="J222" s="24" t="n"/>
      <c r="K222" s="22" t="n"/>
      <c r="L222" s="72" t="n"/>
      <c r="M222" s="27">
        <f>IF(E222="","",SUMIFS(tbl_Finance[Ex GST],tbl_Finance[Job Number],E222&amp;""))</f>
        <v/>
      </c>
      <c r="N222" s="27">
        <f>IF(J222&lt;&gt;"Won","",IF(E222="",N(I222),I222-M222))</f>
        <v/>
      </c>
      <c r="O222" s="24" t="n"/>
    </row>
    <row r="223" ht="15" customHeight="1">
      <c r="A223" s="72" t="n"/>
      <c r="B223" s="24" t="n"/>
      <c r="C223" s="24" t="n"/>
      <c r="D223" s="24" t="n"/>
      <c r="E223" s="24" t="n"/>
      <c r="F223" s="25">
        <f>IF(E223="","",IF(COUNTIF(lst_Jobs,E223&amp;"")&gt;0,"OK","CHECK"))</f>
        <v/>
      </c>
      <c r="G223" s="24" t="n"/>
      <c r="H223" s="24" t="n"/>
      <c r="I223" s="26" t="n"/>
      <c r="J223" s="24" t="n"/>
      <c r="K223" s="22" t="n"/>
      <c r="L223" s="72" t="n"/>
      <c r="M223" s="27">
        <f>IF(E223="","",SUMIFS(tbl_Finance[Ex GST],tbl_Finance[Job Number],E223&amp;""))</f>
        <v/>
      </c>
      <c r="N223" s="27">
        <f>IF(J223&lt;&gt;"Won","",IF(E223="",N(I223),I223-M223))</f>
        <v/>
      </c>
      <c r="O223" s="24" t="n"/>
    </row>
    <row r="224" ht="15" customHeight="1">
      <c r="A224" s="72" t="n"/>
      <c r="B224" s="24" t="n"/>
      <c r="C224" s="24" t="n"/>
      <c r="D224" s="24" t="n"/>
      <c r="E224" s="24" t="n"/>
      <c r="F224" s="25">
        <f>IF(E224="","",IF(COUNTIF(lst_Jobs,E224&amp;"")&gt;0,"OK","CHECK"))</f>
        <v/>
      </c>
      <c r="G224" s="24" t="n"/>
      <c r="H224" s="24" t="n"/>
      <c r="I224" s="26" t="n"/>
      <c r="J224" s="24" t="n"/>
      <c r="K224" s="22" t="n"/>
      <c r="L224" s="72" t="n"/>
      <c r="M224" s="27">
        <f>IF(E224="","",SUMIFS(tbl_Finance[Ex GST],tbl_Finance[Job Number],E224&amp;""))</f>
        <v/>
      </c>
      <c r="N224" s="27">
        <f>IF(J224&lt;&gt;"Won","",IF(E224="",N(I224),I224-M224))</f>
        <v/>
      </c>
      <c r="O224" s="24" t="n"/>
    </row>
    <row r="225" ht="15" customHeight="1">
      <c r="A225" s="72" t="n"/>
      <c r="B225" s="24" t="n"/>
      <c r="C225" s="24" t="n"/>
      <c r="D225" s="24" t="n"/>
      <c r="E225" s="24" t="n"/>
      <c r="F225" s="25">
        <f>IF(E225="","",IF(COUNTIF(lst_Jobs,E225&amp;"")&gt;0,"OK","CHECK"))</f>
        <v/>
      </c>
      <c r="G225" s="24" t="n"/>
      <c r="H225" s="24" t="n"/>
      <c r="I225" s="26" t="n"/>
      <c r="J225" s="24" t="n"/>
      <c r="K225" s="22" t="n"/>
      <c r="L225" s="72" t="n"/>
      <c r="M225" s="27">
        <f>IF(E225="","",SUMIFS(tbl_Finance[Ex GST],tbl_Finance[Job Number],E225&amp;""))</f>
        <v/>
      </c>
      <c r="N225" s="27">
        <f>IF(J225&lt;&gt;"Won","",IF(E225="",N(I225),I225-M225))</f>
        <v/>
      </c>
      <c r="O225" s="24" t="n"/>
    </row>
    <row r="226" ht="15" customHeight="1">
      <c r="A226" s="72" t="n"/>
      <c r="B226" s="24" t="n"/>
      <c r="C226" s="24" t="n"/>
      <c r="D226" s="24" t="n"/>
      <c r="E226" s="24" t="n"/>
      <c r="F226" s="25">
        <f>IF(E226="","",IF(COUNTIF(lst_Jobs,E226&amp;"")&gt;0,"OK","CHECK"))</f>
        <v/>
      </c>
      <c r="G226" s="24" t="n"/>
      <c r="H226" s="24" t="n"/>
      <c r="I226" s="26" t="n"/>
      <c r="J226" s="24" t="n"/>
      <c r="K226" s="22" t="n"/>
      <c r="L226" s="72" t="n"/>
      <c r="M226" s="27">
        <f>IF(E226="","",SUMIFS(tbl_Finance[Ex GST],tbl_Finance[Job Number],E226&amp;""))</f>
        <v/>
      </c>
      <c r="N226" s="27">
        <f>IF(J226&lt;&gt;"Won","",IF(E226="",N(I226),I226-M226))</f>
        <v/>
      </c>
      <c r="O226" s="24" t="n"/>
    </row>
    <row r="227" ht="15" customHeight="1">
      <c r="A227" s="72" t="n"/>
      <c r="B227" s="24" t="n"/>
      <c r="C227" s="24" t="n"/>
      <c r="D227" s="24" t="n"/>
      <c r="E227" s="24" t="n"/>
      <c r="F227" s="25">
        <f>IF(E227="","",IF(COUNTIF(lst_Jobs,E227&amp;"")&gt;0,"OK","CHECK"))</f>
        <v/>
      </c>
      <c r="G227" s="24" t="n"/>
      <c r="H227" s="24" t="n"/>
      <c r="I227" s="26" t="n"/>
      <c r="J227" s="24" t="n"/>
      <c r="K227" s="22" t="n"/>
      <c r="L227" s="72" t="n"/>
      <c r="M227" s="27">
        <f>IF(E227="","",SUMIFS(tbl_Finance[Ex GST],tbl_Finance[Job Number],E227&amp;""))</f>
        <v/>
      </c>
      <c r="N227" s="27">
        <f>IF(J227&lt;&gt;"Won","",IF(E227="",N(I227),I227-M227))</f>
        <v/>
      </c>
      <c r="O227" s="24" t="n"/>
    </row>
    <row r="228" ht="15" customHeight="1">
      <c r="A228" s="72" t="n"/>
      <c r="B228" s="24" t="n"/>
      <c r="C228" s="24" t="n"/>
      <c r="D228" s="24" t="n"/>
      <c r="E228" s="24" t="n"/>
      <c r="F228" s="25">
        <f>IF(E228="","",IF(COUNTIF(lst_Jobs,E228&amp;"")&gt;0,"OK","CHECK"))</f>
        <v/>
      </c>
      <c r="G228" s="24" t="n"/>
      <c r="H228" s="24" t="n"/>
      <c r="I228" s="26" t="n"/>
      <c r="J228" s="24" t="n"/>
      <c r="K228" s="22" t="n"/>
      <c r="L228" s="72" t="n"/>
      <c r="M228" s="27">
        <f>IF(E228="","",SUMIFS(tbl_Finance[Ex GST],tbl_Finance[Job Number],E228&amp;""))</f>
        <v/>
      </c>
      <c r="N228" s="27">
        <f>IF(J228&lt;&gt;"Won","",IF(E228="",N(I228),I228-M228))</f>
        <v/>
      </c>
      <c r="O228" s="24" t="n"/>
    </row>
    <row r="229" ht="15" customHeight="1">
      <c r="A229" s="72" t="n"/>
      <c r="B229" s="24" t="n"/>
      <c r="C229" s="24" t="n"/>
      <c r="D229" s="24" t="n"/>
      <c r="E229" s="24" t="n"/>
      <c r="F229" s="25">
        <f>IF(E229="","",IF(COUNTIF(lst_Jobs,E229&amp;"")&gt;0,"OK","CHECK"))</f>
        <v/>
      </c>
      <c r="G229" s="24" t="n"/>
      <c r="H229" s="24" t="n"/>
      <c r="I229" s="26" t="n"/>
      <c r="J229" s="24" t="n"/>
      <c r="K229" s="22" t="n"/>
      <c r="L229" s="72" t="n"/>
      <c r="M229" s="27">
        <f>IF(E229="","",SUMIFS(tbl_Finance[Ex GST],tbl_Finance[Job Number],E229&amp;""))</f>
        <v/>
      </c>
      <c r="N229" s="27">
        <f>IF(J229&lt;&gt;"Won","",IF(E229="",N(I229),I229-M229))</f>
        <v/>
      </c>
      <c r="O229" s="24" t="n"/>
    </row>
    <row r="230" ht="15" customHeight="1">
      <c r="A230" s="72" t="n"/>
      <c r="B230" s="24" t="n"/>
      <c r="C230" s="24" t="n"/>
      <c r="D230" s="24" t="n"/>
      <c r="E230" s="24" t="n"/>
      <c r="F230" s="25">
        <f>IF(E230="","",IF(COUNTIF(lst_Jobs,E230&amp;"")&gt;0,"OK","CHECK"))</f>
        <v/>
      </c>
      <c r="G230" s="24" t="n"/>
      <c r="H230" s="24" t="n"/>
      <c r="I230" s="26" t="n"/>
      <c r="J230" s="24" t="n"/>
      <c r="K230" s="22" t="n"/>
      <c r="L230" s="72" t="n"/>
      <c r="M230" s="27">
        <f>IF(E230="","",SUMIFS(tbl_Finance[Ex GST],tbl_Finance[Job Number],E230&amp;""))</f>
        <v/>
      </c>
      <c r="N230" s="27">
        <f>IF(J230&lt;&gt;"Won","",IF(E230="",N(I230),I230-M230))</f>
        <v/>
      </c>
      <c r="O230" s="24" t="n"/>
    </row>
    <row r="231" ht="15" customHeight="1">
      <c r="A231" s="72" t="n"/>
      <c r="B231" s="24" t="n"/>
      <c r="C231" s="24" t="n"/>
      <c r="D231" s="24" t="n"/>
      <c r="E231" s="24" t="n"/>
      <c r="F231" s="25">
        <f>IF(E231="","",IF(COUNTIF(lst_Jobs,E231&amp;"")&gt;0,"OK","CHECK"))</f>
        <v/>
      </c>
      <c r="G231" s="24" t="n"/>
      <c r="H231" s="24" t="n"/>
      <c r="I231" s="26" t="n"/>
      <c r="J231" s="24" t="n"/>
      <c r="K231" s="22" t="n"/>
      <c r="L231" s="72" t="n"/>
      <c r="M231" s="27">
        <f>IF(E231="","",SUMIFS(tbl_Finance[Ex GST],tbl_Finance[Job Number],E231&amp;""))</f>
        <v/>
      </c>
      <c r="N231" s="27">
        <f>IF(J231&lt;&gt;"Won","",IF(E231="",N(I231),I231-M231))</f>
        <v/>
      </c>
      <c r="O231" s="24" t="n"/>
    </row>
    <row r="232" ht="15" customHeight="1">
      <c r="A232" s="72" t="n"/>
      <c r="B232" s="24" t="n"/>
      <c r="C232" s="24" t="n"/>
      <c r="D232" s="24" t="n"/>
      <c r="E232" s="24" t="n"/>
      <c r="F232" s="25">
        <f>IF(E232="","",IF(COUNTIF(lst_Jobs,E232&amp;"")&gt;0,"OK","CHECK"))</f>
        <v/>
      </c>
      <c r="G232" s="24" t="n"/>
      <c r="H232" s="24" t="n"/>
      <c r="I232" s="26" t="n"/>
      <c r="J232" s="24" t="n"/>
      <c r="K232" s="22" t="n"/>
      <c r="L232" s="72" t="n"/>
      <c r="M232" s="27">
        <f>IF(E232="","",SUMIFS(tbl_Finance[Ex GST],tbl_Finance[Job Number],E232&amp;""))</f>
        <v/>
      </c>
      <c r="N232" s="27">
        <f>IF(J232&lt;&gt;"Won","",IF(E232="",N(I232),I232-M232))</f>
        <v/>
      </c>
      <c r="O232" s="24" t="n"/>
    </row>
    <row r="233" ht="15" customHeight="1">
      <c r="A233" s="72" t="n"/>
      <c r="B233" s="24" t="n"/>
      <c r="C233" s="24" t="n"/>
      <c r="D233" s="24" t="n"/>
      <c r="E233" s="24" t="n"/>
      <c r="F233" s="25">
        <f>IF(E233="","",IF(COUNTIF(lst_Jobs,E233&amp;"")&gt;0,"OK","CHECK"))</f>
        <v/>
      </c>
      <c r="G233" s="24" t="n"/>
      <c r="H233" s="24" t="n"/>
      <c r="I233" s="26" t="n"/>
      <c r="J233" s="24" t="n"/>
      <c r="K233" s="22" t="n"/>
      <c r="L233" s="72" t="n"/>
      <c r="M233" s="27">
        <f>IF(E233="","",SUMIFS(tbl_Finance[Ex GST],tbl_Finance[Job Number],E233&amp;""))</f>
        <v/>
      </c>
      <c r="N233" s="27">
        <f>IF(J233&lt;&gt;"Won","",IF(E233="",N(I233),I233-M233))</f>
        <v/>
      </c>
      <c r="O233" s="24" t="n"/>
    </row>
    <row r="234" ht="15" customHeight="1">
      <c r="A234" s="72" t="n"/>
      <c r="B234" s="24" t="n"/>
      <c r="C234" s="24" t="n"/>
      <c r="D234" s="24" t="n"/>
      <c r="E234" s="24" t="n"/>
      <c r="F234" s="25">
        <f>IF(E234="","",IF(COUNTIF(lst_Jobs,E234&amp;"")&gt;0,"OK","CHECK"))</f>
        <v/>
      </c>
      <c r="G234" s="24" t="n"/>
      <c r="H234" s="24" t="n"/>
      <c r="I234" s="26" t="n"/>
      <c r="J234" s="24" t="n"/>
      <c r="K234" s="22" t="n"/>
      <c r="L234" s="72" t="n"/>
      <c r="M234" s="27">
        <f>IF(E234="","",SUMIFS(tbl_Finance[Ex GST],tbl_Finance[Job Number],E234&amp;""))</f>
        <v/>
      </c>
      <c r="N234" s="27">
        <f>IF(J234&lt;&gt;"Won","",IF(E234="",N(I234),I234-M234))</f>
        <v/>
      </c>
      <c r="O234" s="24" t="n"/>
    </row>
    <row r="235" ht="15" customHeight="1">
      <c r="A235" s="72" t="n"/>
      <c r="B235" s="24" t="n"/>
      <c r="C235" s="24" t="n"/>
      <c r="D235" s="24" t="n"/>
      <c r="E235" s="24" t="n"/>
      <c r="F235" s="25">
        <f>IF(E235="","",IF(COUNTIF(lst_Jobs,E235&amp;"")&gt;0,"OK","CHECK"))</f>
        <v/>
      </c>
      <c r="G235" s="24" t="n"/>
      <c r="H235" s="24" t="n"/>
      <c r="I235" s="26" t="n"/>
      <c r="J235" s="24" t="n"/>
      <c r="K235" s="22" t="n"/>
      <c r="L235" s="72" t="n"/>
      <c r="M235" s="27">
        <f>IF(E235="","",SUMIFS(tbl_Finance[Ex GST],tbl_Finance[Job Number],E235&amp;""))</f>
        <v/>
      </c>
      <c r="N235" s="27">
        <f>IF(J235&lt;&gt;"Won","",IF(E235="",N(I235),I235-M235))</f>
        <v/>
      </c>
      <c r="O235" s="24" t="n"/>
    </row>
    <row r="236" ht="15" customHeight="1">
      <c r="A236" s="72" t="n"/>
      <c r="B236" s="24" t="n"/>
      <c r="C236" s="24" t="n"/>
      <c r="D236" s="24" t="n"/>
      <c r="E236" s="24" t="n"/>
      <c r="F236" s="25">
        <f>IF(E236="","",IF(COUNTIF(lst_Jobs,E236&amp;"")&gt;0,"OK","CHECK"))</f>
        <v/>
      </c>
      <c r="G236" s="24" t="n"/>
      <c r="H236" s="24" t="n"/>
      <c r="I236" s="26" t="n"/>
      <c r="J236" s="24" t="n"/>
      <c r="K236" s="22" t="n"/>
      <c r="L236" s="72" t="n"/>
      <c r="M236" s="27">
        <f>IF(E236="","",SUMIFS(tbl_Finance[Ex GST],tbl_Finance[Job Number],E236&amp;""))</f>
        <v/>
      </c>
      <c r="N236" s="27">
        <f>IF(J236&lt;&gt;"Won","",IF(E236="",N(I236),I236-M236))</f>
        <v/>
      </c>
      <c r="O236" s="24" t="n"/>
    </row>
    <row r="237" ht="15" customHeight="1">
      <c r="A237" s="72" t="n"/>
      <c r="B237" s="24" t="n"/>
      <c r="C237" s="24" t="n"/>
      <c r="D237" s="24" t="n"/>
      <c r="E237" s="24" t="n"/>
      <c r="F237" s="25">
        <f>IF(E237="","",IF(COUNTIF(lst_Jobs,E237&amp;"")&gt;0,"OK","CHECK"))</f>
        <v/>
      </c>
      <c r="G237" s="24" t="n"/>
      <c r="H237" s="24" t="n"/>
      <c r="I237" s="26" t="n"/>
      <c r="J237" s="24" t="n"/>
      <c r="K237" s="22" t="n"/>
      <c r="L237" s="72" t="n"/>
      <c r="M237" s="27">
        <f>IF(E237="","",SUMIFS(tbl_Finance[Ex GST],tbl_Finance[Job Number],E237&amp;""))</f>
        <v/>
      </c>
      <c r="N237" s="27">
        <f>IF(J237&lt;&gt;"Won","",IF(E237="",N(I237),I237-M237))</f>
        <v/>
      </c>
      <c r="O237" s="24" t="n"/>
    </row>
    <row r="238" ht="15" customHeight="1">
      <c r="A238" s="72" t="n"/>
      <c r="B238" s="24" t="n"/>
      <c r="C238" s="24" t="n"/>
      <c r="D238" s="24" t="n"/>
      <c r="E238" s="24" t="n"/>
      <c r="F238" s="25">
        <f>IF(E238="","",IF(COUNTIF(lst_Jobs,E238&amp;"")&gt;0,"OK","CHECK"))</f>
        <v/>
      </c>
      <c r="G238" s="24" t="n"/>
      <c r="H238" s="24" t="n"/>
      <c r="I238" s="26" t="n"/>
      <c r="J238" s="24" t="n"/>
      <c r="K238" s="22" t="n"/>
      <c r="L238" s="72" t="n"/>
      <c r="M238" s="27">
        <f>IF(E238="","",SUMIFS(tbl_Finance[Ex GST],tbl_Finance[Job Number],E238&amp;""))</f>
        <v/>
      </c>
      <c r="N238" s="27">
        <f>IF(J238&lt;&gt;"Won","",IF(E238="",N(I238),I238-M238))</f>
        <v/>
      </c>
      <c r="O238" s="24" t="n"/>
    </row>
    <row r="239" ht="15" customHeight="1">
      <c r="A239" s="72" t="n"/>
      <c r="B239" s="24" t="n"/>
      <c r="C239" s="24" t="n"/>
      <c r="D239" s="24" t="n"/>
      <c r="E239" s="24" t="n"/>
      <c r="F239" s="25">
        <f>IF(E239="","",IF(COUNTIF(lst_Jobs,E239&amp;"")&gt;0,"OK","CHECK"))</f>
        <v/>
      </c>
      <c r="G239" s="24" t="n"/>
      <c r="H239" s="24" t="n"/>
      <c r="I239" s="26" t="n"/>
      <c r="J239" s="24" t="n"/>
      <c r="K239" s="22" t="n"/>
      <c r="L239" s="72" t="n"/>
      <c r="M239" s="27">
        <f>IF(E239="","",SUMIFS(tbl_Finance[Ex GST],tbl_Finance[Job Number],E239&amp;""))</f>
        <v/>
      </c>
      <c r="N239" s="27">
        <f>IF(J239&lt;&gt;"Won","",IF(E239="",N(I239),I239-M239))</f>
        <v/>
      </c>
      <c r="O239" s="24" t="n"/>
    </row>
    <row r="240" ht="15" customHeight="1">
      <c r="A240" s="72" t="n"/>
      <c r="B240" s="24" t="n"/>
      <c r="C240" s="24" t="n"/>
      <c r="D240" s="24" t="n"/>
      <c r="E240" s="24" t="n"/>
      <c r="F240" s="25">
        <f>IF(E240="","",IF(COUNTIF(lst_Jobs,E240&amp;"")&gt;0,"OK","CHECK"))</f>
        <v/>
      </c>
      <c r="G240" s="24" t="n"/>
      <c r="H240" s="24" t="n"/>
      <c r="I240" s="26" t="n"/>
      <c r="J240" s="24" t="n"/>
      <c r="K240" s="22" t="n"/>
      <c r="L240" s="72" t="n"/>
      <c r="M240" s="27">
        <f>IF(E240="","",SUMIFS(tbl_Finance[Ex GST],tbl_Finance[Job Number],E240&amp;""))</f>
        <v/>
      </c>
      <c r="N240" s="27">
        <f>IF(J240&lt;&gt;"Won","",IF(E240="",N(I240),I240-M240))</f>
        <v/>
      </c>
      <c r="O240" s="24" t="n"/>
    </row>
    <row r="241" ht="15" customHeight="1">
      <c r="A241" s="72" t="n"/>
      <c r="B241" s="24" t="n"/>
      <c r="C241" s="24" t="n"/>
      <c r="D241" s="24" t="n"/>
      <c r="E241" s="24" t="n"/>
      <c r="F241" s="25">
        <f>IF(E241="","",IF(COUNTIF(lst_Jobs,E241&amp;"")&gt;0,"OK","CHECK"))</f>
        <v/>
      </c>
      <c r="G241" s="24" t="n"/>
      <c r="H241" s="24" t="n"/>
      <c r="I241" s="26" t="n"/>
      <c r="J241" s="24" t="n"/>
      <c r="K241" s="22" t="n"/>
      <c r="L241" s="72" t="n"/>
      <c r="M241" s="27">
        <f>IF(E241="","",SUMIFS(tbl_Finance[Ex GST],tbl_Finance[Job Number],E241&amp;""))</f>
        <v/>
      </c>
      <c r="N241" s="27">
        <f>IF(J241&lt;&gt;"Won","",IF(E241="",N(I241),I241-M241))</f>
        <v/>
      </c>
      <c r="O241" s="24" t="n"/>
    </row>
    <row r="242" ht="15" customHeight="1">
      <c r="A242" s="72" t="n"/>
      <c r="B242" s="24" t="n"/>
      <c r="C242" s="24" t="n"/>
      <c r="D242" s="24" t="n"/>
      <c r="E242" s="24" t="n"/>
      <c r="F242" s="25">
        <f>IF(E242="","",IF(COUNTIF(lst_Jobs,E242&amp;"")&gt;0,"OK","CHECK"))</f>
        <v/>
      </c>
      <c r="G242" s="24" t="n"/>
      <c r="H242" s="24" t="n"/>
      <c r="I242" s="26" t="n"/>
      <c r="J242" s="24" t="n"/>
      <c r="K242" s="22" t="n"/>
      <c r="L242" s="72" t="n"/>
      <c r="M242" s="27">
        <f>IF(E242="","",SUMIFS(tbl_Finance[Ex GST],tbl_Finance[Job Number],E242&amp;""))</f>
        <v/>
      </c>
      <c r="N242" s="27">
        <f>IF(J242&lt;&gt;"Won","",IF(E242="",N(I242),I242-M242))</f>
        <v/>
      </c>
      <c r="O242" s="24" t="n"/>
    </row>
    <row r="243" ht="15" customHeight="1">
      <c r="A243" s="72" t="n"/>
      <c r="B243" s="24" t="n"/>
      <c r="C243" s="24" t="n"/>
      <c r="D243" s="24" t="n"/>
      <c r="E243" s="24" t="n"/>
      <c r="F243" s="25">
        <f>IF(E243="","",IF(COUNTIF(lst_Jobs,E243&amp;"")&gt;0,"OK","CHECK"))</f>
        <v/>
      </c>
      <c r="G243" s="24" t="n"/>
      <c r="H243" s="24" t="n"/>
      <c r="I243" s="26" t="n"/>
      <c r="J243" s="24" t="n"/>
      <c r="K243" s="22" t="n"/>
      <c r="L243" s="72" t="n"/>
      <c r="M243" s="27">
        <f>IF(E243="","",SUMIFS(tbl_Finance[Ex GST],tbl_Finance[Job Number],E243&amp;""))</f>
        <v/>
      </c>
      <c r="N243" s="27">
        <f>IF(J243&lt;&gt;"Won","",IF(E243="",N(I243),I243-M243))</f>
        <v/>
      </c>
      <c r="O243" s="24" t="n"/>
    </row>
    <row r="244" ht="15" customHeight="1">
      <c r="A244" s="72" t="n"/>
      <c r="B244" s="24" t="n"/>
      <c r="C244" s="24" t="n"/>
      <c r="D244" s="24" t="n"/>
      <c r="E244" s="24" t="n"/>
      <c r="F244" s="25">
        <f>IF(E244="","",IF(COUNTIF(lst_Jobs,E244&amp;"")&gt;0,"OK","CHECK"))</f>
        <v/>
      </c>
      <c r="G244" s="24" t="n"/>
      <c r="H244" s="24" t="n"/>
      <c r="I244" s="26" t="n"/>
      <c r="J244" s="24" t="n"/>
      <c r="K244" s="22" t="n"/>
      <c r="L244" s="72" t="n"/>
      <c r="M244" s="27">
        <f>IF(E244="","",SUMIFS(tbl_Finance[Ex GST],tbl_Finance[Job Number],E244&amp;""))</f>
        <v/>
      </c>
      <c r="N244" s="27">
        <f>IF(J244&lt;&gt;"Won","",IF(E244="",N(I244),I244-M244))</f>
        <v/>
      </c>
      <c r="O244" s="24" t="n"/>
    </row>
    <row r="245" ht="15" customHeight="1">
      <c r="A245" s="72" t="n"/>
      <c r="B245" s="24" t="n"/>
      <c r="C245" s="24" t="n"/>
      <c r="D245" s="24" t="n"/>
      <c r="E245" s="24" t="n"/>
      <c r="F245" s="25">
        <f>IF(E245="","",IF(COUNTIF(lst_Jobs,E245&amp;"")&gt;0,"OK","CHECK"))</f>
        <v/>
      </c>
      <c r="G245" s="24" t="n"/>
      <c r="H245" s="24" t="n"/>
      <c r="I245" s="26" t="n"/>
      <c r="J245" s="24" t="n"/>
      <c r="K245" s="22" t="n"/>
      <c r="L245" s="72" t="n"/>
      <c r="M245" s="27">
        <f>IF(E245="","",SUMIFS(tbl_Finance[Ex GST],tbl_Finance[Job Number],E245&amp;""))</f>
        <v/>
      </c>
      <c r="N245" s="27">
        <f>IF(J245&lt;&gt;"Won","",IF(E245="",N(I245),I245-M245))</f>
        <v/>
      </c>
      <c r="O245" s="24" t="n"/>
    </row>
    <row r="246" ht="15" customHeight="1">
      <c r="A246" s="72" t="n"/>
      <c r="B246" s="24" t="n"/>
      <c r="C246" s="24" t="n"/>
      <c r="D246" s="24" t="n"/>
      <c r="E246" s="24" t="n"/>
      <c r="F246" s="25">
        <f>IF(E246="","",IF(COUNTIF(lst_Jobs,E246&amp;"")&gt;0,"OK","CHECK"))</f>
        <v/>
      </c>
      <c r="G246" s="24" t="n"/>
      <c r="H246" s="24" t="n"/>
      <c r="I246" s="26" t="n"/>
      <c r="J246" s="24" t="n"/>
      <c r="K246" s="22" t="n"/>
      <c r="L246" s="72" t="n"/>
      <c r="M246" s="27">
        <f>IF(E246="","",SUMIFS(tbl_Finance[Ex GST],tbl_Finance[Job Number],E246&amp;""))</f>
        <v/>
      </c>
      <c r="N246" s="27">
        <f>IF(J246&lt;&gt;"Won","",IF(E246="",N(I246),I246-M246))</f>
        <v/>
      </c>
      <c r="O246" s="24" t="n"/>
    </row>
    <row r="247" ht="15" customHeight="1">
      <c r="A247" s="72" t="n"/>
      <c r="B247" s="24" t="n"/>
      <c r="C247" s="24" t="n"/>
      <c r="D247" s="24" t="n"/>
      <c r="E247" s="24" t="n"/>
      <c r="F247" s="25">
        <f>IF(E247="","",IF(COUNTIF(lst_Jobs,E247&amp;"")&gt;0,"OK","CHECK"))</f>
        <v/>
      </c>
      <c r="G247" s="24" t="n"/>
      <c r="H247" s="24" t="n"/>
      <c r="I247" s="26" t="n"/>
      <c r="J247" s="24" t="n"/>
      <c r="K247" s="22" t="n"/>
      <c r="L247" s="72" t="n"/>
      <c r="M247" s="27">
        <f>IF(E247="","",SUMIFS(tbl_Finance[Ex GST],tbl_Finance[Job Number],E247&amp;""))</f>
        <v/>
      </c>
      <c r="N247" s="27">
        <f>IF(J247&lt;&gt;"Won","",IF(E247="",N(I247),I247-M247))</f>
        <v/>
      </c>
      <c r="O247" s="24" t="n"/>
    </row>
    <row r="248" ht="15" customHeight="1">
      <c r="A248" s="72" t="n"/>
      <c r="B248" s="24" t="n"/>
      <c r="C248" s="24" t="n"/>
      <c r="D248" s="24" t="n"/>
      <c r="E248" s="24" t="n"/>
      <c r="F248" s="25">
        <f>IF(E248="","",IF(COUNTIF(lst_Jobs,E248&amp;"")&gt;0,"OK","CHECK"))</f>
        <v/>
      </c>
      <c r="G248" s="24" t="n"/>
      <c r="H248" s="24" t="n"/>
      <c r="I248" s="26" t="n"/>
      <c r="J248" s="24" t="n"/>
      <c r="K248" s="22" t="n"/>
      <c r="L248" s="72" t="n"/>
      <c r="M248" s="27">
        <f>IF(E248="","",SUMIFS(tbl_Finance[Ex GST],tbl_Finance[Job Number],E248&amp;""))</f>
        <v/>
      </c>
      <c r="N248" s="27">
        <f>IF(J248&lt;&gt;"Won","",IF(E248="",N(I248),I248-M248))</f>
        <v/>
      </c>
      <c r="O248" s="24" t="n"/>
    </row>
    <row r="249" ht="15" customHeight="1">
      <c r="A249" s="72" t="n"/>
      <c r="B249" s="24" t="n"/>
      <c r="C249" s="24" t="n"/>
      <c r="D249" s="24" t="n"/>
      <c r="E249" s="24" t="n"/>
      <c r="F249" s="25">
        <f>IF(E249="","",IF(COUNTIF(lst_Jobs,E249&amp;"")&gt;0,"OK","CHECK"))</f>
        <v/>
      </c>
      <c r="G249" s="24" t="n"/>
      <c r="H249" s="24" t="n"/>
      <c r="I249" s="26" t="n"/>
      <c r="J249" s="24" t="n"/>
      <c r="K249" s="22" t="n"/>
      <c r="L249" s="72" t="n"/>
      <c r="M249" s="27">
        <f>IF(E249="","",SUMIFS(tbl_Finance[Ex GST],tbl_Finance[Job Number],E249&amp;""))</f>
        <v/>
      </c>
      <c r="N249" s="27">
        <f>IF(J249&lt;&gt;"Won","",IF(E249="",N(I249),I249-M249))</f>
        <v/>
      </c>
      <c r="O249" s="24" t="n"/>
    </row>
    <row r="250" ht="15" customHeight="1">
      <c r="A250" s="72" t="n"/>
      <c r="B250" s="24" t="n"/>
      <c r="C250" s="24" t="n"/>
      <c r="D250" s="24" t="n"/>
      <c r="E250" s="24" t="n"/>
      <c r="F250" s="25">
        <f>IF(E250="","",IF(COUNTIF(lst_Jobs,E250&amp;"")&gt;0,"OK","CHECK"))</f>
        <v/>
      </c>
      <c r="G250" s="24" t="n"/>
      <c r="H250" s="24" t="n"/>
      <c r="I250" s="26" t="n"/>
      <c r="J250" s="24" t="n"/>
      <c r="K250" s="22" t="n"/>
      <c r="L250" s="72" t="n"/>
      <c r="M250" s="27">
        <f>IF(E250="","",SUMIFS(tbl_Finance[Ex GST],tbl_Finance[Job Number],E250&amp;""))</f>
        <v/>
      </c>
      <c r="N250" s="27">
        <f>IF(J250&lt;&gt;"Won","",IF(E250="",N(I250),I250-M250))</f>
        <v/>
      </c>
      <c r="O250" s="24" t="n"/>
    </row>
    <row r="251" ht="15" customHeight="1">
      <c r="A251" s="72" t="n"/>
      <c r="B251" s="24" t="n"/>
      <c r="C251" s="24" t="n"/>
      <c r="D251" s="24" t="n"/>
      <c r="E251" s="24" t="n"/>
      <c r="F251" s="25">
        <f>IF(E251="","",IF(COUNTIF(lst_Jobs,E251&amp;"")&gt;0,"OK","CHECK"))</f>
        <v/>
      </c>
      <c r="G251" s="24" t="n"/>
      <c r="H251" s="24" t="n"/>
      <c r="I251" s="26" t="n"/>
      <c r="J251" s="24" t="n"/>
      <c r="K251" s="22" t="n"/>
      <c r="L251" s="72" t="n"/>
      <c r="M251" s="27">
        <f>IF(E251="","",SUMIFS(tbl_Finance[Ex GST],tbl_Finance[Job Number],E251&amp;""))</f>
        <v/>
      </c>
      <c r="N251" s="27">
        <f>IF(J251&lt;&gt;"Won","",IF(E251="",N(I251),I251-M251))</f>
        <v/>
      </c>
      <c r="O251" s="24" t="n"/>
    </row>
    <row r="252" ht="15" customHeight="1">
      <c r="A252" s="72" t="n"/>
      <c r="B252" s="24" t="n"/>
      <c r="C252" s="24" t="n"/>
      <c r="D252" s="24" t="n"/>
      <c r="E252" s="24" t="n"/>
      <c r="F252" s="25">
        <f>IF(E252="","",IF(COUNTIF(lst_Jobs,E252&amp;"")&gt;0,"OK","CHECK"))</f>
        <v/>
      </c>
      <c r="G252" s="24" t="n"/>
      <c r="H252" s="24" t="n"/>
      <c r="I252" s="26" t="n"/>
      <c r="J252" s="24" t="n"/>
      <c r="K252" s="22" t="n"/>
      <c r="L252" s="72" t="n"/>
      <c r="M252" s="27">
        <f>IF(E252="","",SUMIFS(tbl_Finance[Ex GST],tbl_Finance[Job Number],E252&amp;""))</f>
        <v/>
      </c>
      <c r="N252" s="27">
        <f>IF(J252&lt;&gt;"Won","",IF(E252="",N(I252),I252-M252))</f>
        <v/>
      </c>
      <c r="O252" s="24" t="n"/>
    </row>
    <row r="253" ht="15" customHeight="1">
      <c r="A253" s="72" t="n"/>
      <c r="B253" s="24" t="n"/>
      <c r="C253" s="24" t="n"/>
      <c r="D253" s="24" t="n"/>
      <c r="E253" s="24" t="n"/>
      <c r="F253" s="25">
        <f>IF(E253="","",IF(COUNTIF(lst_Jobs,E253&amp;"")&gt;0,"OK","CHECK"))</f>
        <v/>
      </c>
      <c r="G253" s="24" t="n"/>
      <c r="H253" s="24" t="n"/>
      <c r="I253" s="26" t="n"/>
      <c r="J253" s="24" t="n"/>
      <c r="K253" s="22" t="n"/>
      <c r="L253" s="72" t="n"/>
      <c r="M253" s="27">
        <f>IF(E253="","",SUMIFS(tbl_Finance[Ex GST],tbl_Finance[Job Number],E253&amp;""))</f>
        <v/>
      </c>
      <c r="N253" s="27">
        <f>IF(J253&lt;&gt;"Won","",IF(E253="",N(I253),I253-M253))</f>
        <v/>
      </c>
      <c r="O253" s="24" t="n"/>
    </row>
    <row r="254" ht="15" customHeight="1">
      <c r="A254" s="72" t="n"/>
      <c r="B254" s="24" t="n"/>
      <c r="C254" s="24" t="n"/>
      <c r="D254" s="24" t="n"/>
      <c r="E254" s="24" t="n"/>
      <c r="F254" s="25">
        <f>IF(E254="","",IF(COUNTIF(lst_Jobs,E254&amp;"")&gt;0,"OK","CHECK"))</f>
        <v/>
      </c>
      <c r="G254" s="24" t="n"/>
      <c r="H254" s="24" t="n"/>
      <c r="I254" s="26" t="n"/>
      <c r="J254" s="24" t="n"/>
      <c r="K254" s="22" t="n"/>
      <c r="L254" s="72" t="n"/>
      <c r="M254" s="27">
        <f>IF(E254="","",SUMIFS(tbl_Finance[Ex GST],tbl_Finance[Job Number],E254&amp;""))</f>
        <v/>
      </c>
      <c r="N254" s="27">
        <f>IF(J254&lt;&gt;"Won","",IF(E254="",N(I254),I254-M254))</f>
        <v/>
      </c>
      <c r="O254" s="24" t="n"/>
    </row>
    <row r="255" ht="15" customHeight="1">
      <c r="A255" s="72" t="n"/>
      <c r="B255" s="24" t="n"/>
      <c r="C255" s="24" t="n"/>
      <c r="D255" s="24" t="n"/>
      <c r="E255" s="24" t="n"/>
      <c r="F255" s="25">
        <f>IF(E255="","",IF(COUNTIF(lst_Jobs,E255&amp;"")&gt;0,"OK","CHECK"))</f>
        <v/>
      </c>
      <c r="G255" s="24" t="n"/>
      <c r="H255" s="24" t="n"/>
      <c r="I255" s="26" t="n"/>
      <c r="J255" s="24" t="n"/>
      <c r="K255" s="22" t="n"/>
      <c r="L255" s="72" t="n"/>
      <c r="M255" s="27">
        <f>IF(E255="","",SUMIFS(tbl_Finance[Ex GST],tbl_Finance[Job Number],E255&amp;""))</f>
        <v/>
      </c>
      <c r="N255" s="27">
        <f>IF(J255&lt;&gt;"Won","",IF(E255="",N(I255),I255-M255))</f>
        <v/>
      </c>
      <c r="O255" s="24" t="n"/>
    </row>
    <row r="256" ht="15" customHeight="1">
      <c r="A256" s="72" t="n"/>
      <c r="B256" s="24" t="n"/>
      <c r="C256" s="24" t="n"/>
      <c r="D256" s="24" t="n"/>
      <c r="E256" s="24" t="n"/>
      <c r="F256" s="25">
        <f>IF(E256="","",IF(COUNTIF(lst_Jobs,E256&amp;"")&gt;0,"OK","CHECK"))</f>
        <v/>
      </c>
      <c r="G256" s="24" t="n"/>
      <c r="H256" s="24" t="n"/>
      <c r="I256" s="26" t="n"/>
      <c r="J256" s="24" t="n"/>
      <c r="K256" s="22" t="n"/>
      <c r="L256" s="72" t="n"/>
      <c r="M256" s="27">
        <f>IF(E256="","",SUMIFS(tbl_Finance[Ex GST],tbl_Finance[Job Number],E256&amp;""))</f>
        <v/>
      </c>
      <c r="N256" s="27">
        <f>IF(J256&lt;&gt;"Won","",IF(E256="",N(I256),I256-M256))</f>
        <v/>
      </c>
      <c r="O256" s="24" t="n"/>
    </row>
    <row r="257" ht="15" customHeight="1">
      <c r="A257" s="72" t="n"/>
      <c r="B257" s="24" t="n"/>
      <c r="C257" s="24" t="n"/>
      <c r="D257" s="24" t="n"/>
      <c r="E257" s="24" t="n"/>
      <c r="F257" s="25">
        <f>IF(E257="","",IF(COUNTIF(lst_Jobs,E257&amp;"")&gt;0,"OK","CHECK"))</f>
        <v/>
      </c>
      <c r="G257" s="24" t="n"/>
      <c r="H257" s="24" t="n"/>
      <c r="I257" s="26" t="n"/>
      <c r="J257" s="24" t="n"/>
      <c r="K257" s="22" t="n"/>
      <c r="L257" s="72" t="n"/>
      <c r="M257" s="27">
        <f>IF(E257="","",SUMIFS(tbl_Finance[Ex GST],tbl_Finance[Job Number],E257&amp;""))</f>
        <v/>
      </c>
      <c r="N257" s="27">
        <f>IF(J257&lt;&gt;"Won","",IF(E257="",N(I257),I257-M257))</f>
        <v/>
      </c>
      <c r="O257" s="24" t="n"/>
    </row>
    <row r="258" ht="15" customHeight="1">
      <c r="A258" s="72" t="n"/>
      <c r="B258" s="24" t="n"/>
      <c r="C258" s="24" t="n"/>
      <c r="D258" s="24" t="n"/>
      <c r="E258" s="24" t="n"/>
      <c r="F258" s="25">
        <f>IF(E258="","",IF(COUNTIF(lst_Jobs,E258&amp;"")&gt;0,"OK","CHECK"))</f>
        <v/>
      </c>
      <c r="G258" s="24" t="n"/>
      <c r="H258" s="24" t="n"/>
      <c r="I258" s="26" t="n"/>
      <c r="J258" s="24" t="n"/>
      <c r="K258" s="22" t="n"/>
      <c r="L258" s="72" t="n"/>
      <c r="M258" s="27">
        <f>IF(E258="","",SUMIFS(tbl_Finance[Ex GST],tbl_Finance[Job Number],E258&amp;""))</f>
        <v/>
      </c>
      <c r="N258" s="27">
        <f>IF(J258&lt;&gt;"Won","",IF(E258="",N(I258),I258-M258))</f>
        <v/>
      </c>
      <c r="O258" s="24" t="n"/>
    </row>
    <row r="259" ht="15" customHeight="1">
      <c r="A259" s="72" t="n"/>
      <c r="B259" s="24" t="n"/>
      <c r="C259" s="24" t="n"/>
      <c r="D259" s="24" t="n"/>
      <c r="E259" s="24" t="n"/>
      <c r="F259" s="25">
        <f>IF(E259="","",IF(COUNTIF(lst_Jobs,E259&amp;"")&gt;0,"OK","CHECK"))</f>
        <v/>
      </c>
      <c r="G259" s="24" t="n"/>
      <c r="H259" s="24" t="n"/>
      <c r="I259" s="26" t="n"/>
      <c r="J259" s="24" t="n"/>
      <c r="K259" s="22" t="n"/>
      <c r="L259" s="72" t="n"/>
      <c r="M259" s="27">
        <f>IF(E259="","",SUMIFS(tbl_Finance[Ex GST],tbl_Finance[Job Number],E259&amp;""))</f>
        <v/>
      </c>
      <c r="N259" s="27">
        <f>IF(J259&lt;&gt;"Won","",IF(E259="",N(I259),I259-M259))</f>
        <v/>
      </c>
      <c r="O259" s="24" t="n"/>
    </row>
    <row r="260" ht="15" customHeight="1">
      <c r="A260" s="72" t="n"/>
      <c r="B260" s="24" t="n"/>
      <c r="C260" s="24" t="n"/>
      <c r="D260" s="24" t="n"/>
      <c r="E260" s="24" t="n"/>
      <c r="F260" s="25">
        <f>IF(E260="","",IF(COUNTIF(lst_Jobs,E260&amp;"")&gt;0,"OK","CHECK"))</f>
        <v/>
      </c>
      <c r="G260" s="24" t="n"/>
      <c r="H260" s="24" t="n"/>
      <c r="I260" s="26" t="n"/>
      <c r="J260" s="24" t="n"/>
      <c r="K260" s="22" t="n"/>
      <c r="L260" s="72" t="n"/>
      <c r="M260" s="27">
        <f>IF(E260="","",SUMIFS(tbl_Finance[Ex GST],tbl_Finance[Job Number],E260&amp;""))</f>
        <v/>
      </c>
      <c r="N260" s="27">
        <f>IF(J260&lt;&gt;"Won","",IF(E260="",N(I260),I260-M260))</f>
        <v/>
      </c>
      <c r="O260" s="24" t="n"/>
    </row>
    <row r="261" ht="15" customHeight="1">
      <c r="A261" s="72" t="n"/>
      <c r="B261" s="24" t="n"/>
      <c r="C261" s="24" t="n"/>
      <c r="D261" s="24" t="n"/>
      <c r="E261" s="24" t="n"/>
      <c r="F261" s="25">
        <f>IF(E261="","",IF(COUNTIF(lst_Jobs,E261&amp;"")&gt;0,"OK","CHECK"))</f>
        <v/>
      </c>
      <c r="G261" s="24" t="n"/>
      <c r="H261" s="24" t="n"/>
      <c r="I261" s="26" t="n"/>
      <c r="J261" s="24" t="n"/>
      <c r="K261" s="22" t="n"/>
      <c r="L261" s="72" t="n"/>
      <c r="M261" s="27">
        <f>IF(E261="","",SUMIFS(tbl_Finance[Ex GST],tbl_Finance[Job Number],E261&amp;""))</f>
        <v/>
      </c>
      <c r="N261" s="27">
        <f>IF(J261&lt;&gt;"Won","",IF(E261="",N(I261),I261-M261))</f>
        <v/>
      </c>
      <c r="O261" s="24" t="n"/>
    </row>
    <row r="262" ht="15" customHeight="1">
      <c r="A262" s="72" t="n"/>
      <c r="B262" s="24" t="n"/>
      <c r="C262" s="24" t="n"/>
      <c r="D262" s="24" t="n"/>
      <c r="E262" s="24" t="n"/>
      <c r="F262" s="25">
        <f>IF(E262="","",IF(COUNTIF(lst_Jobs,E262&amp;"")&gt;0,"OK","CHECK"))</f>
        <v/>
      </c>
      <c r="G262" s="24" t="n"/>
      <c r="H262" s="24" t="n"/>
      <c r="I262" s="26" t="n"/>
      <c r="J262" s="24" t="n"/>
      <c r="K262" s="22" t="n"/>
      <c r="L262" s="72" t="n"/>
      <c r="M262" s="27">
        <f>IF(E262="","",SUMIFS(tbl_Finance[Ex GST],tbl_Finance[Job Number],E262&amp;""))</f>
        <v/>
      </c>
      <c r="N262" s="27">
        <f>IF(J262&lt;&gt;"Won","",IF(E262="",N(I262),I262-M262))</f>
        <v/>
      </c>
      <c r="O262" s="24" t="n"/>
    </row>
    <row r="263" ht="15" customHeight="1">
      <c r="A263" s="72" t="n"/>
      <c r="B263" s="24" t="n"/>
      <c r="C263" s="24" t="n"/>
      <c r="D263" s="24" t="n"/>
      <c r="E263" s="24" t="n"/>
      <c r="F263" s="25">
        <f>IF(E263="","",IF(COUNTIF(lst_Jobs,E263&amp;"")&gt;0,"OK","CHECK"))</f>
        <v/>
      </c>
      <c r="G263" s="24" t="n"/>
      <c r="H263" s="24" t="n"/>
      <c r="I263" s="26" t="n"/>
      <c r="J263" s="24" t="n"/>
      <c r="K263" s="22" t="n"/>
      <c r="L263" s="72" t="n"/>
      <c r="M263" s="27">
        <f>IF(E263="","",SUMIFS(tbl_Finance[Ex GST],tbl_Finance[Job Number],E263&amp;""))</f>
        <v/>
      </c>
      <c r="N263" s="27">
        <f>IF(J263&lt;&gt;"Won","",IF(E263="",N(I263),I263-M263))</f>
        <v/>
      </c>
      <c r="O263" s="24" t="n"/>
    </row>
    <row r="264" ht="15" customHeight="1">
      <c r="A264" s="72" t="n"/>
      <c r="B264" s="24" t="n"/>
      <c r="C264" s="24" t="n"/>
      <c r="D264" s="24" t="n"/>
      <c r="E264" s="24" t="n"/>
      <c r="F264" s="25">
        <f>IF(E264="","",IF(COUNTIF(lst_Jobs,E264&amp;"")&gt;0,"OK","CHECK"))</f>
        <v/>
      </c>
      <c r="G264" s="24" t="n"/>
      <c r="H264" s="24" t="n"/>
      <c r="I264" s="26" t="n"/>
      <c r="J264" s="24" t="n"/>
      <c r="K264" s="22" t="n"/>
      <c r="L264" s="72" t="n"/>
      <c r="M264" s="27">
        <f>IF(E264="","",SUMIFS(tbl_Finance[Ex GST],tbl_Finance[Job Number],E264&amp;""))</f>
        <v/>
      </c>
      <c r="N264" s="27">
        <f>IF(J264&lt;&gt;"Won","",IF(E264="",N(I264),I264-M264))</f>
        <v/>
      </c>
      <c r="O264" s="24" t="n"/>
    </row>
    <row r="265" ht="15" customHeight="1">
      <c r="A265" s="72" t="n"/>
      <c r="B265" s="24" t="n"/>
      <c r="C265" s="24" t="n"/>
      <c r="D265" s="24" t="n"/>
      <c r="E265" s="24" t="n"/>
      <c r="F265" s="25">
        <f>IF(E265="","",IF(COUNTIF(lst_Jobs,E265&amp;"")&gt;0,"OK","CHECK"))</f>
        <v/>
      </c>
      <c r="G265" s="24" t="n"/>
      <c r="H265" s="24" t="n"/>
      <c r="I265" s="26" t="n"/>
      <c r="J265" s="24" t="n"/>
      <c r="K265" s="22" t="n"/>
      <c r="L265" s="72" t="n"/>
      <c r="M265" s="27">
        <f>IF(E265="","",SUMIFS(tbl_Finance[Ex GST],tbl_Finance[Job Number],E265&amp;""))</f>
        <v/>
      </c>
      <c r="N265" s="27">
        <f>IF(J265&lt;&gt;"Won","",IF(E265="",N(I265),I265-M265))</f>
        <v/>
      </c>
      <c r="O265" s="24" t="n"/>
    </row>
    <row r="266" ht="15" customHeight="1">
      <c r="A266" s="72" t="n"/>
      <c r="B266" s="24" t="n"/>
      <c r="C266" s="24" t="n"/>
      <c r="D266" s="24" t="n"/>
      <c r="E266" s="24" t="n"/>
      <c r="F266" s="25">
        <f>IF(E266="","",IF(COUNTIF(lst_Jobs,E266&amp;"")&gt;0,"OK","CHECK"))</f>
        <v/>
      </c>
      <c r="G266" s="24" t="n"/>
      <c r="H266" s="24" t="n"/>
      <c r="I266" s="26" t="n"/>
      <c r="J266" s="24" t="n"/>
      <c r="K266" s="22" t="n"/>
      <c r="L266" s="72" t="n"/>
      <c r="M266" s="27">
        <f>IF(E266="","",SUMIFS(tbl_Finance[Ex GST],tbl_Finance[Job Number],E266&amp;""))</f>
        <v/>
      </c>
      <c r="N266" s="27">
        <f>IF(J266&lt;&gt;"Won","",IF(E266="",N(I266),I266-M266))</f>
        <v/>
      </c>
      <c r="O266" s="24" t="n"/>
    </row>
    <row r="267" ht="15" customHeight="1">
      <c r="A267" s="72" t="n"/>
      <c r="B267" s="24" t="n"/>
      <c r="C267" s="24" t="n"/>
      <c r="D267" s="24" t="n"/>
      <c r="E267" s="24" t="n"/>
      <c r="F267" s="25">
        <f>IF(E267="","",IF(COUNTIF(lst_Jobs,E267&amp;"")&gt;0,"OK","CHECK"))</f>
        <v/>
      </c>
      <c r="G267" s="24" t="n"/>
      <c r="H267" s="24" t="n"/>
      <c r="I267" s="26" t="n"/>
      <c r="J267" s="24" t="n"/>
      <c r="K267" s="22" t="n"/>
      <c r="L267" s="72" t="n"/>
      <c r="M267" s="27">
        <f>IF(E267="","",SUMIFS(tbl_Finance[Ex GST],tbl_Finance[Job Number],E267&amp;""))</f>
        <v/>
      </c>
      <c r="N267" s="27">
        <f>IF(J267&lt;&gt;"Won","",IF(E267="",N(I267),I267-M267))</f>
        <v/>
      </c>
      <c r="O267" s="24" t="n"/>
    </row>
    <row r="268" ht="15" customHeight="1">
      <c r="A268" s="72" t="n"/>
      <c r="B268" s="24" t="n"/>
      <c r="C268" s="24" t="n"/>
      <c r="D268" s="24" t="n"/>
      <c r="E268" s="24" t="n"/>
      <c r="F268" s="25">
        <f>IF(E268="","",IF(COUNTIF(lst_Jobs,E268&amp;"")&gt;0,"OK","CHECK"))</f>
        <v/>
      </c>
      <c r="G268" s="24" t="n"/>
      <c r="H268" s="24" t="n"/>
      <c r="I268" s="26" t="n"/>
      <c r="J268" s="24" t="n"/>
      <c r="K268" s="22" t="n"/>
      <c r="L268" s="72" t="n"/>
      <c r="M268" s="27">
        <f>IF(E268="","",SUMIFS(tbl_Finance[Ex GST],tbl_Finance[Job Number],E268&amp;""))</f>
        <v/>
      </c>
      <c r="N268" s="27">
        <f>IF(J268&lt;&gt;"Won","",IF(E268="",N(I268),I268-M268))</f>
        <v/>
      </c>
      <c r="O268" s="24" t="n"/>
    </row>
    <row r="269" ht="15" customHeight="1">
      <c r="A269" s="72" t="n"/>
      <c r="B269" s="24" t="n"/>
      <c r="C269" s="24" t="n"/>
      <c r="D269" s="24" t="n"/>
      <c r="E269" s="24" t="n"/>
      <c r="F269" s="25">
        <f>IF(E269="","",IF(COUNTIF(lst_Jobs,E269&amp;"")&gt;0,"OK","CHECK"))</f>
        <v/>
      </c>
      <c r="G269" s="24" t="n"/>
      <c r="H269" s="24" t="n"/>
      <c r="I269" s="26" t="n"/>
      <c r="J269" s="24" t="n"/>
      <c r="K269" s="22" t="n"/>
      <c r="L269" s="72" t="n"/>
      <c r="M269" s="27">
        <f>IF(E269="","",SUMIFS(tbl_Finance[Ex GST],tbl_Finance[Job Number],E269&amp;""))</f>
        <v/>
      </c>
      <c r="N269" s="27">
        <f>IF(J269&lt;&gt;"Won","",IF(E269="",N(I269),I269-M269))</f>
        <v/>
      </c>
      <c r="O269" s="24" t="n"/>
    </row>
    <row r="270" ht="15" customHeight="1">
      <c r="A270" s="72" t="n"/>
      <c r="B270" s="24" t="n"/>
      <c r="C270" s="24" t="n"/>
      <c r="D270" s="24" t="n"/>
      <c r="E270" s="24" t="n"/>
      <c r="F270" s="25">
        <f>IF(E270="","",IF(COUNTIF(lst_Jobs,E270&amp;"")&gt;0,"OK","CHECK"))</f>
        <v/>
      </c>
      <c r="G270" s="24" t="n"/>
      <c r="H270" s="24" t="n"/>
      <c r="I270" s="26" t="n"/>
      <c r="J270" s="24" t="n"/>
      <c r="K270" s="22" t="n"/>
      <c r="L270" s="72" t="n"/>
      <c r="M270" s="27">
        <f>IF(E270="","",SUMIFS(tbl_Finance[Ex GST],tbl_Finance[Job Number],E270&amp;""))</f>
        <v/>
      </c>
      <c r="N270" s="27">
        <f>IF(J270&lt;&gt;"Won","",IF(E270="",N(I270),I270-M270))</f>
        <v/>
      </c>
      <c r="O270" s="24" t="n"/>
    </row>
    <row r="271" ht="15" customHeight="1">
      <c r="A271" s="72" t="n"/>
      <c r="B271" s="24" t="n"/>
      <c r="C271" s="24" t="n"/>
      <c r="D271" s="24" t="n"/>
      <c r="E271" s="24" t="n"/>
      <c r="F271" s="25">
        <f>IF(E271="","",IF(COUNTIF(lst_Jobs,E271&amp;"")&gt;0,"OK","CHECK"))</f>
        <v/>
      </c>
      <c r="G271" s="24" t="n"/>
      <c r="H271" s="24" t="n"/>
      <c r="I271" s="26" t="n"/>
      <c r="J271" s="24" t="n"/>
      <c r="K271" s="22" t="n"/>
      <c r="L271" s="72" t="n"/>
      <c r="M271" s="27">
        <f>IF(E271="","",SUMIFS(tbl_Finance[Ex GST],tbl_Finance[Job Number],E271&amp;""))</f>
        <v/>
      </c>
      <c r="N271" s="27">
        <f>IF(J271&lt;&gt;"Won","",IF(E271="",N(I271),I271-M271))</f>
        <v/>
      </c>
      <c r="O271" s="24" t="n"/>
    </row>
    <row r="272" ht="15" customHeight="1">
      <c r="A272" s="72" t="n"/>
      <c r="B272" s="24" t="n"/>
      <c r="C272" s="24" t="n"/>
      <c r="D272" s="24" t="n"/>
      <c r="E272" s="24" t="n"/>
      <c r="F272" s="25">
        <f>IF(E272="","",IF(COUNTIF(lst_Jobs,E272&amp;"")&gt;0,"OK","CHECK"))</f>
        <v/>
      </c>
      <c r="G272" s="24" t="n"/>
      <c r="H272" s="24" t="n"/>
      <c r="I272" s="26" t="n"/>
      <c r="J272" s="24" t="n"/>
      <c r="K272" s="22" t="n"/>
      <c r="L272" s="72" t="n"/>
      <c r="M272" s="27">
        <f>IF(E272="","",SUMIFS(tbl_Finance[Ex GST],tbl_Finance[Job Number],E272&amp;""))</f>
        <v/>
      </c>
      <c r="N272" s="27">
        <f>IF(J272&lt;&gt;"Won","",IF(E272="",N(I272),I272-M272))</f>
        <v/>
      </c>
      <c r="O272" s="24" t="n"/>
    </row>
    <row r="273" ht="15" customHeight="1">
      <c r="A273" s="72" t="n"/>
      <c r="B273" s="24" t="n"/>
      <c r="C273" s="24" t="n"/>
      <c r="D273" s="24" t="n"/>
      <c r="E273" s="24" t="n"/>
      <c r="F273" s="25">
        <f>IF(E273="","",IF(COUNTIF(lst_Jobs,E273&amp;"")&gt;0,"OK","CHECK"))</f>
        <v/>
      </c>
      <c r="G273" s="24" t="n"/>
      <c r="H273" s="24" t="n"/>
      <c r="I273" s="26" t="n"/>
      <c r="J273" s="24" t="n"/>
      <c r="K273" s="22" t="n"/>
      <c r="L273" s="72" t="n"/>
      <c r="M273" s="27">
        <f>IF(E273="","",SUMIFS(tbl_Finance[Ex GST],tbl_Finance[Job Number],E273&amp;""))</f>
        <v/>
      </c>
      <c r="N273" s="27">
        <f>IF(J273&lt;&gt;"Won","",IF(E273="",N(I273),I273-M273))</f>
        <v/>
      </c>
      <c r="O273" s="24" t="n"/>
    </row>
    <row r="274" ht="15" customHeight="1">
      <c r="A274" s="72" t="n"/>
      <c r="B274" s="24" t="n"/>
      <c r="C274" s="24" t="n"/>
      <c r="D274" s="24" t="n"/>
      <c r="E274" s="24" t="n"/>
      <c r="F274" s="25">
        <f>IF(E274="","",IF(COUNTIF(lst_Jobs,E274&amp;"")&gt;0,"OK","CHECK"))</f>
        <v/>
      </c>
      <c r="G274" s="24" t="n"/>
      <c r="H274" s="24" t="n"/>
      <c r="I274" s="26" t="n"/>
      <c r="J274" s="24" t="n"/>
      <c r="K274" s="22" t="n"/>
      <c r="L274" s="72" t="n"/>
      <c r="M274" s="27">
        <f>IF(E274="","",SUMIFS(tbl_Finance[Ex GST],tbl_Finance[Job Number],E274&amp;""))</f>
        <v/>
      </c>
      <c r="N274" s="27">
        <f>IF(J274&lt;&gt;"Won","",IF(E274="",N(I274),I274-M274))</f>
        <v/>
      </c>
      <c r="O274" s="24" t="n"/>
    </row>
    <row r="275" ht="15" customHeight="1">
      <c r="A275" s="72" t="n"/>
      <c r="B275" s="24" t="n"/>
      <c r="C275" s="24" t="n"/>
      <c r="D275" s="24" t="n"/>
      <c r="E275" s="24" t="n"/>
      <c r="F275" s="25">
        <f>IF(E275="","",IF(COUNTIF(lst_Jobs,E275&amp;"")&gt;0,"OK","CHECK"))</f>
        <v/>
      </c>
      <c r="G275" s="24" t="n"/>
      <c r="H275" s="24" t="n"/>
      <c r="I275" s="26" t="n"/>
      <c r="J275" s="24" t="n"/>
      <c r="K275" s="22" t="n"/>
      <c r="L275" s="72" t="n"/>
      <c r="M275" s="27">
        <f>IF(E275="","",SUMIFS(tbl_Finance[Ex GST],tbl_Finance[Job Number],E275&amp;""))</f>
        <v/>
      </c>
      <c r="N275" s="27">
        <f>IF(J275&lt;&gt;"Won","",IF(E275="",N(I275),I275-M275))</f>
        <v/>
      </c>
      <c r="O275" s="24" t="n"/>
    </row>
    <row r="276" ht="15" customHeight="1">
      <c r="A276" s="72" t="n"/>
      <c r="B276" s="24" t="n"/>
      <c r="C276" s="24" t="n"/>
      <c r="D276" s="24" t="n"/>
      <c r="E276" s="24" t="n"/>
      <c r="F276" s="25">
        <f>IF(E276="","",IF(COUNTIF(lst_Jobs,E276&amp;"")&gt;0,"OK","CHECK"))</f>
        <v/>
      </c>
      <c r="G276" s="24" t="n"/>
      <c r="H276" s="24" t="n"/>
      <c r="I276" s="26" t="n"/>
      <c r="J276" s="24" t="n"/>
      <c r="K276" s="22" t="n"/>
      <c r="L276" s="72" t="n"/>
      <c r="M276" s="27">
        <f>IF(E276="","",SUMIFS(tbl_Finance[Ex GST],tbl_Finance[Job Number],E276&amp;""))</f>
        <v/>
      </c>
      <c r="N276" s="27">
        <f>IF(J276&lt;&gt;"Won","",IF(E276="",N(I276),I276-M276))</f>
        <v/>
      </c>
      <c r="O276" s="24" t="n"/>
    </row>
    <row r="277" ht="15" customHeight="1">
      <c r="A277" s="72" t="n"/>
      <c r="B277" s="24" t="n"/>
      <c r="C277" s="24" t="n"/>
      <c r="D277" s="24" t="n"/>
      <c r="E277" s="24" t="n"/>
      <c r="F277" s="25">
        <f>IF(E277="","",IF(COUNTIF(lst_Jobs,E277&amp;"")&gt;0,"OK","CHECK"))</f>
        <v/>
      </c>
      <c r="G277" s="24" t="n"/>
      <c r="H277" s="24" t="n"/>
      <c r="I277" s="26" t="n"/>
      <c r="J277" s="24" t="n"/>
      <c r="K277" s="22" t="n"/>
      <c r="L277" s="72" t="n"/>
      <c r="M277" s="27">
        <f>IF(E277="","",SUMIFS(tbl_Finance[Ex GST],tbl_Finance[Job Number],E277&amp;""))</f>
        <v/>
      </c>
      <c r="N277" s="27">
        <f>IF(J277&lt;&gt;"Won","",IF(E277="",N(I277),I277-M277))</f>
        <v/>
      </c>
      <c r="O277" s="24" t="n"/>
    </row>
    <row r="278" ht="15" customHeight="1">
      <c r="A278" s="72" t="n"/>
      <c r="B278" s="24" t="n"/>
      <c r="C278" s="24" t="n"/>
      <c r="D278" s="24" t="n"/>
      <c r="E278" s="24" t="n"/>
      <c r="F278" s="25">
        <f>IF(E278="","",IF(COUNTIF(lst_Jobs,E278&amp;"")&gt;0,"OK","CHECK"))</f>
        <v/>
      </c>
      <c r="G278" s="24" t="n"/>
      <c r="H278" s="24" t="n"/>
      <c r="I278" s="26" t="n"/>
      <c r="J278" s="24" t="n"/>
      <c r="K278" s="22" t="n"/>
      <c r="L278" s="72" t="n"/>
      <c r="M278" s="27">
        <f>IF(E278="","",SUMIFS(tbl_Finance[Ex GST],tbl_Finance[Job Number],E278&amp;""))</f>
        <v/>
      </c>
      <c r="N278" s="27">
        <f>IF(J278&lt;&gt;"Won","",IF(E278="",N(I278),I278-M278))</f>
        <v/>
      </c>
      <c r="O278" s="24" t="n"/>
    </row>
    <row r="279" ht="15" customHeight="1">
      <c r="A279" s="72" t="n"/>
      <c r="B279" s="24" t="n"/>
      <c r="C279" s="24" t="n"/>
      <c r="D279" s="24" t="n"/>
      <c r="E279" s="24" t="n"/>
      <c r="F279" s="25">
        <f>IF(E279="","",IF(COUNTIF(lst_Jobs,E279&amp;"")&gt;0,"OK","CHECK"))</f>
        <v/>
      </c>
      <c r="G279" s="24" t="n"/>
      <c r="H279" s="24" t="n"/>
      <c r="I279" s="26" t="n"/>
      <c r="J279" s="24" t="n"/>
      <c r="K279" s="22" t="n"/>
      <c r="L279" s="72" t="n"/>
      <c r="M279" s="27">
        <f>IF(E279="","",SUMIFS(tbl_Finance[Ex GST],tbl_Finance[Job Number],E279&amp;""))</f>
        <v/>
      </c>
      <c r="N279" s="27">
        <f>IF(J279&lt;&gt;"Won","",IF(E279="",N(I279),I279-M279))</f>
        <v/>
      </c>
      <c r="O279" s="24" t="n"/>
    </row>
    <row r="280" ht="15" customHeight="1">
      <c r="A280" s="72" t="n"/>
      <c r="B280" s="24" t="n"/>
      <c r="C280" s="24" t="n"/>
      <c r="D280" s="24" t="n"/>
      <c r="E280" s="24" t="n"/>
      <c r="F280" s="25">
        <f>IF(E280="","",IF(COUNTIF(lst_Jobs,E280&amp;"")&gt;0,"OK","CHECK"))</f>
        <v/>
      </c>
      <c r="G280" s="24" t="n"/>
      <c r="H280" s="24" t="n"/>
      <c r="I280" s="26" t="n"/>
      <c r="J280" s="24" t="n"/>
      <c r="K280" s="22" t="n"/>
      <c r="L280" s="72" t="n"/>
      <c r="M280" s="27">
        <f>IF(E280="","",SUMIFS(tbl_Finance[Ex GST],tbl_Finance[Job Number],E280&amp;""))</f>
        <v/>
      </c>
      <c r="N280" s="27">
        <f>IF(J280&lt;&gt;"Won","",IF(E280="",N(I280),I280-M280))</f>
        <v/>
      </c>
      <c r="O280" s="24" t="n"/>
    </row>
    <row r="281" ht="15" customHeight="1">
      <c r="A281" s="72" t="n"/>
      <c r="B281" s="24" t="n"/>
      <c r="C281" s="24" t="n"/>
      <c r="D281" s="24" t="n"/>
      <c r="E281" s="24" t="n"/>
      <c r="F281" s="25">
        <f>IF(E281="","",IF(COUNTIF(lst_Jobs,E281&amp;"")&gt;0,"OK","CHECK"))</f>
        <v/>
      </c>
      <c r="G281" s="24" t="n"/>
      <c r="H281" s="24" t="n"/>
      <c r="I281" s="26" t="n"/>
      <c r="J281" s="24" t="n"/>
      <c r="K281" s="22" t="n"/>
      <c r="L281" s="72" t="n"/>
      <c r="M281" s="27">
        <f>IF(E281="","",SUMIFS(tbl_Finance[Ex GST],tbl_Finance[Job Number],E281&amp;""))</f>
        <v/>
      </c>
      <c r="N281" s="27">
        <f>IF(J281&lt;&gt;"Won","",IF(E281="",N(I281),I281-M281))</f>
        <v/>
      </c>
      <c r="O281" s="24" t="n"/>
    </row>
    <row r="282" ht="15" customHeight="1">
      <c r="A282" s="72" t="n"/>
      <c r="B282" s="24" t="n"/>
      <c r="C282" s="24" t="n"/>
      <c r="D282" s="24" t="n"/>
      <c r="E282" s="24" t="n"/>
      <c r="F282" s="25">
        <f>IF(E282="","",IF(COUNTIF(lst_Jobs,E282&amp;"")&gt;0,"OK","CHECK"))</f>
        <v/>
      </c>
      <c r="G282" s="24" t="n"/>
      <c r="H282" s="24" t="n"/>
      <c r="I282" s="26" t="n"/>
      <c r="J282" s="24" t="n"/>
      <c r="K282" s="22" t="n"/>
      <c r="L282" s="72" t="n"/>
      <c r="M282" s="27">
        <f>IF(E282="","",SUMIFS(tbl_Finance[Ex GST],tbl_Finance[Job Number],E282&amp;""))</f>
        <v/>
      </c>
      <c r="N282" s="27">
        <f>IF(J282&lt;&gt;"Won","",IF(E282="",N(I282),I282-M282))</f>
        <v/>
      </c>
      <c r="O282" s="24" t="n"/>
    </row>
    <row r="283" ht="15" customHeight="1">
      <c r="A283" s="72" t="n"/>
      <c r="B283" s="24" t="n"/>
      <c r="C283" s="24" t="n"/>
      <c r="D283" s="24" t="n"/>
      <c r="E283" s="24" t="n"/>
      <c r="F283" s="25">
        <f>IF(E283="","",IF(COUNTIF(lst_Jobs,E283&amp;"")&gt;0,"OK","CHECK"))</f>
        <v/>
      </c>
      <c r="G283" s="24" t="n"/>
      <c r="H283" s="24" t="n"/>
      <c r="I283" s="26" t="n"/>
      <c r="J283" s="24" t="n"/>
      <c r="K283" s="22" t="n"/>
      <c r="L283" s="72" t="n"/>
      <c r="M283" s="27">
        <f>IF(E283="","",SUMIFS(tbl_Finance[Ex GST],tbl_Finance[Job Number],E283&amp;""))</f>
        <v/>
      </c>
      <c r="N283" s="27">
        <f>IF(J283&lt;&gt;"Won","",IF(E283="",N(I283),I283-M283))</f>
        <v/>
      </c>
      <c r="O283" s="24" t="n"/>
    </row>
    <row r="284" ht="15" customHeight="1">
      <c r="A284" s="72" t="n"/>
      <c r="B284" s="24" t="n"/>
      <c r="C284" s="24" t="n"/>
      <c r="D284" s="24" t="n"/>
      <c r="E284" s="24" t="n"/>
      <c r="F284" s="25">
        <f>IF(E284="","",IF(COUNTIF(lst_Jobs,E284&amp;"")&gt;0,"OK","CHECK"))</f>
        <v/>
      </c>
      <c r="G284" s="24" t="n"/>
      <c r="H284" s="24" t="n"/>
      <c r="I284" s="26" t="n"/>
      <c r="J284" s="24" t="n"/>
      <c r="K284" s="22" t="n"/>
      <c r="L284" s="72" t="n"/>
      <c r="M284" s="27">
        <f>IF(E284="","",SUMIFS(tbl_Finance[Ex GST],tbl_Finance[Job Number],E284&amp;""))</f>
        <v/>
      </c>
      <c r="N284" s="27">
        <f>IF(J284&lt;&gt;"Won","",IF(E284="",N(I284),I284-M284))</f>
        <v/>
      </c>
      <c r="O284" s="24" t="n"/>
    </row>
    <row r="285" ht="15" customHeight="1">
      <c r="A285" s="72" t="n"/>
      <c r="B285" s="24" t="n"/>
      <c r="C285" s="24" t="n"/>
      <c r="D285" s="24" t="n"/>
      <c r="E285" s="24" t="n"/>
      <c r="F285" s="25">
        <f>IF(E285="","",IF(COUNTIF(lst_Jobs,E285&amp;"")&gt;0,"OK","CHECK"))</f>
        <v/>
      </c>
      <c r="G285" s="24" t="n"/>
      <c r="H285" s="24" t="n"/>
      <c r="I285" s="26" t="n"/>
      <c r="J285" s="24" t="n"/>
      <c r="K285" s="22" t="n"/>
      <c r="L285" s="72" t="n"/>
      <c r="M285" s="27">
        <f>IF(E285="","",SUMIFS(tbl_Finance[Ex GST],tbl_Finance[Job Number],E285&amp;""))</f>
        <v/>
      </c>
      <c r="N285" s="27">
        <f>IF(J285&lt;&gt;"Won","",IF(E285="",N(I285),I285-M285))</f>
        <v/>
      </c>
      <c r="O285" s="24" t="n"/>
    </row>
    <row r="286" ht="15" customHeight="1">
      <c r="A286" s="72" t="n"/>
      <c r="B286" s="24" t="n"/>
      <c r="C286" s="24" t="n"/>
      <c r="D286" s="24" t="n"/>
      <c r="E286" s="24" t="n"/>
      <c r="F286" s="25">
        <f>IF(E286="","",IF(COUNTIF(lst_Jobs,E286&amp;"")&gt;0,"OK","CHECK"))</f>
        <v/>
      </c>
      <c r="G286" s="24" t="n"/>
      <c r="H286" s="24" t="n"/>
      <c r="I286" s="26" t="n"/>
      <c r="J286" s="24" t="n"/>
      <c r="K286" s="22" t="n"/>
      <c r="L286" s="72" t="n"/>
      <c r="M286" s="27">
        <f>IF(E286="","",SUMIFS(tbl_Finance[Ex GST],tbl_Finance[Job Number],E286&amp;""))</f>
        <v/>
      </c>
      <c r="N286" s="27">
        <f>IF(J286&lt;&gt;"Won","",IF(E286="",N(I286),I286-M286))</f>
        <v/>
      </c>
      <c r="O286" s="24" t="n"/>
    </row>
    <row r="287" ht="15" customHeight="1">
      <c r="A287" s="72" t="n"/>
      <c r="B287" s="24" t="n"/>
      <c r="C287" s="24" t="n"/>
      <c r="D287" s="24" t="n"/>
      <c r="E287" s="24" t="n"/>
      <c r="F287" s="25">
        <f>IF(E287="","",IF(COUNTIF(lst_Jobs,E287&amp;"")&gt;0,"OK","CHECK"))</f>
        <v/>
      </c>
      <c r="G287" s="24" t="n"/>
      <c r="H287" s="24" t="n"/>
      <c r="I287" s="26" t="n"/>
      <c r="J287" s="24" t="n"/>
      <c r="K287" s="22" t="n"/>
      <c r="L287" s="72" t="n"/>
      <c r="M287" s="27">
        <f>IF(E287="","",SUMIFS(tbl_Finance[Ex GST],tbl_Finance[Job Number],E287&amp;""))</f>
        <v/>
      </c>
      <c r="N287" s="27">
        <f>IF(J287&lt;&gt;"Won","",IF(E287="",N(I287),I287-M287))</f>
        <v/>
      </c>
      <c r="O287" s="24" t="n"/>
    </row>
    <row r="288" ht="15" customHeight="1">
      <c r="A288" s="72" t="n"/>
      <c r="B288" s="24" t="n"/>
      <c r="C288" s="24" t="n"/>
      <c r="D288" s="24" t="n"/>
      <c r="E288" s="24" t="n"/>
      <c r="F288" s="25">
        <f>IF(E288="","",IF(COUNTIF(lst_Jobs,E288&amp;"")&gt;0,"OK","CHECK"))</f>
        <v/>
      </c>
      <c r="G288" s="24" t="n"/>
      <c r="H288" s="24" t="n"/>
      <c r="I288" s="26" t="n"/>
      <c r="J288" s="24" t="n"/>
      <c r="K288" s="22" t="n"/>
      <c r="L288" s="72" t="n"/>
      <c r="M288" s="27">
        <f>IF(E288="","",SUMIFS(tbl_Finance[Ex GST],tbl_Finance[Job Number],E288&amp;""))</f>
        <v/>
      </c>
      <c r="N288" s="27">
        <f>IF(J288&lt;&gt;"Won","",IF(E288="",N(I288),I288-M288))</f>
        <v/>
      </c>
      <c r="O288" s="24" t="n"/>
    </row>
    <row r="289" ht="15" customHeight="1">
      <c r="A289" s="72" t="n"/>
      <c r="B289" s="24" t="n"/>
      <c r="C289" s="24" t="n"/>
      <c r="D289" s="24" t="n"/>
      <c r="E289" s="24" t="n"/>
      <c r="F289" s="25">
        <f>IF(E289="","",IF(COUNTIF(lst_Jobs,E289&amp;"")&gt;0,"OK","CHECK"))</f>
        <v/>
      </c>
      <c r="G289" s="24" t="n"/>
      <c r="H289" s="24" t="n"/>
      <c r="I289" s="26" t="n"/>
      <c r="J289" s="24" t="n"/>
      <c r="K289" s="22" t="n"/>
      <c r="L289" s="72" t="n"/>
      <c r="M289" s="27">
        <f>IF(E289="","",SUMIFS(tbl_Finance[Ex GST],tbl_Finance[Job Number],E289&amp;""))</f>
        <v/>
      </c>
      <c r="N289" s="27">
        <f>IF(J289&lt;&gt;"Won","",IF(E289="",N(I289),I289-M289))</f>
        <v/>
      </c>
      <c r="O289" s="24" t="n"/>
    </row>
    <row r="290" ht="15" customHeight="1">
      <c r="A290" s="72" t="n"/>
      <c r="B290" s="24" t="n"/>
      <c r="C290" s="24" t="n"/>
      <c r="D290" s="24" t="n"/>
      <c r="E290" s="24" t="n"/>
      <c r="F290" s="25">
        <f>IF(E290="","",IF(COUNTIF(lst_Jobs,E290&amp;"")&gt;0,"OK","CHECK"))</f>
        <v/>
      </c>
      <c r="G290" s="24" t="n"/>
      <c r="H290" s="24" t="n"/>
      <c r="I290" s="26" t="n"/>
      <c r="J290" s="24" t="n"/>
      <c r="K290" s="22" t="n"/>
      <c r="L290" s="72" t="n"/>
      <c r="M290" s="27">
        <f>IF(E290="","",SUMIFS(tbl_Finance[Ex GST],tbl_Finance[Job Number],E290&amp;""))</f>
        <v/>
      </c>
      <c r="N290" s="27">
        <f>IF(J290&lt;&gt;"Won","",IF(E290="",N(I290),I290-M290))</f>
        <v/>
      </c>
      <c r="O290" s="24" t="n"/>
    </row>
    <row r="291" ht="15" customHeight="1">
      <c r="A291" s="72" t="n"/>
      <c r="B291" s="24" t="n"/>
      <c r="C291" s="24" t="n"/>
      <c r="D291" s="24" t="n"/>
      <c r="E291" s="24" t="n"/>
      <c r="F291" s="25">
        <f>IF(E291="","",IF(COUNTIF(lst_Jobs,E291&amp;"")&gt;0,"OK","CHECK"))</f>
        <v/>
      </c>
      <c r="G291" s="24" t="n"/>
      <c r="H291" s="24" t="n"/>
      <c r="I291" s="26" t="n"/>
      <c r="J291" s="24" t="n"/>
      <c r="K291" s="22" t="n"/>
      <c r="L291" s="72" t="n"/>
      <c r="M291" s="27">
        <f>IF(E291="","",SUMIFS(tbl_Finance[Ex GST],tbl_Finance[Job Number],E291&amp;""))</f>
        <v/>
      </c>
      <c r="N291" s="27">
        <f>IF(J291&lt;&gt;"Won","",IF(E291="",N(I291),I291-M291))</f>
        <v/>
      </c>
      <c r="O291" s="24" t="n"/>
    </row>
    <row r="292" ht="15" customHeight="1">
      <c r="A292" s="72" t="n"/>
      <c r="B292" s="24" t="n"/>
      <c r="C292" s="24" t="n"/>
      <c r="D292" s="24" t="n"/>
      <c r="E292" s="24" t="n"/>
      <c r="F292" s="25">
        <f>IF(E292="","",IF(COUNTIF(lst_Jobs,E292&amp;"")&gt;0,"OK","CHECK"))</f>
        <v/>
      </c>
      <c r="G292" s="24" t="n"/>
      <c r="H292" s="24" t="n"/>
      <c r="I292" s="26" t="n"/>
      <c r="J292" s="24" t="n"/>
      <c r="K292" s="22" t="n"/>
      <c r="L292" s="72" t="n"/>
      <c r="M292" s="27">
        <f>IF(E292="","",SUMIFS(tbl_Finance[Ex GST],tbl_Finance[Job Number],E292&amp;""))</f>
        <v/>
      </c>
      <c r="N292" s="27">
        <f>IF(J292&lt;&gt;"Won","",IF(E292="",N(I292),I292-M292))</f>
        <v/>
      </c>
      <c r="O292" s="24" t="n"/>
    </row>
    <row r="293" ht="15" customHeight="1">
      <c r="A293" s="72" t="n"/>
      <c r="B293" s="24" t="n"/>
      <c r="C293" s="24" t="n"/>
      <c r="D293" s="24" t="n"/>
      <c r="E293" s="24" t="n"/>
      <c r="F293" s="25">
        <f>IF(E293="","",IF(COUNTIF(lst_Jobs,E293&amp;"")&gt;0,"OK","CHECK"))</f>
        <v/>
      </c>
      <c r="G293" s="24" t="n"/>
      <c r="H293" s="24" t="n"/>
      <c r="I293" s="26" t="n"/>
      <c r="J293" s="24" t="n"/>
      <c r="K293" s="22" t="n"/>
      <c r="L293" s="72" t="n"/>
      <c r="M293" s="27">
        <f>IF(E293="","",SUMIFS(tbl_Finance[Ex GST],tbl_Finance[Job Number],E293&amp;""))</f>
        <v/>
      </c>
      <c r="N293" s="27">
        <f>IF(J293&lt;&gt;"Won","",IF(E293="",N(I293),I293-M293))</f>
        <v/>
      </c>
      <c r="O293" s="24" t="n"/>
    </row>
    <row r="294" ht="15" customHeight="1">
      <c r="A294" s="72" t="n"/>
      <c r="B294" s="24" t="n"/>
      <c r="C294" s="24" t="n"/>
      <c r="D294" s="24" t="n"/>
      <c r="E294" s="24" t="n"/>
      <c r="F294" s="25">
        <f>IF(E294="","",IF(COUNTIF(lst_Jobs,E294&amp;"")&gt;0,"OK","CHECK"))</f>
        <v/>
      </c>
      <c r="G294" s="24" t="n"/>
      <c r="H294" s="24" t="n"/>
      <c r="I294" s="26" t="n"/>
      <c r="J294" s="24" t="n"/>
      <c r="K294" s="22" t="n"/>
      <c r="L294" s="72" t="n"/>
      <c r="M294" s="27">
        <f>IF(E294="","",SUMIFS(tbl_Finance[Ex GST],tbl_Finance[Job Number],E294&amp;""))</f>
        <v/>
      </c>
      <c r="N294" s="27">
        <f>IF(J294&lt;&gt;"Won","",IF(E294="",N(I294),I294-M294))</f>
        <v/>
      </c>
      <c r="O294" s="24" t="n"/>
    </row>
    <row r="295" ht="15" customHeight="1">
      <c r="A295" s="72" t="n"/>
      <c r="B295" s="24" t="n"/>
      <c r="C295" s="24" t="n"/>
      <c r="D295" s="24" t="n"/>
      <c r="E295" s="24" t="n"/>
      <c r="F295" s="25">
        <f>IF(E295="","",IF(COUNTIF(lst_Jobs,E295&amp;"")&gt;0,"OK","CHECK"))</f>
        <v/>
      </c>
      <c r="G295" s="24" t="n"/>
      <c r="H295" s="24" t="n"/>
      <c r="I295" s="26" t="n"/>
      <c r="J295" s="24" t="n"/>
      <c r="K295" s="22" t="n"/>
      <c r="L295" s="72" t="n"/>
      <c r="M295" s="27">
        <f>IF(E295="","",SUMIFS(tbl_Finance[Ex GST],tbl_Finance[Job Number],E295&amp;""))</f>
        <v/>
      </c>
      <c r="N295" s="27">
        <f>IF(J295&lt;&gt;"Won","",IF(E295="",N(I295),I295-M295))</f>
        <v/>
      </c>
      <c r="O295" s="24" t="n"/>
    </row>
    <row r="296" ht="15" customHeight="1">
      <c r="A296" s="72" t="n"/>
      <c r="B296" s="24" t="n"/>
      <c r="C296" s="24" t="n"/>
      <c r="D296" s="24" t="n"/>
      <c r="E296" s="24" t="n"/>
      <c r="F296" s="25">
        <f>IF(E296="","",IF(COUNTIF(lst_Jobs,E296&amp;"")&gt;0,"OK","CHECK"))</f>
        <v/>
      </c>
      <c r="G296" s="24" t="n"/>
      <c r="H296" s="24" t="n"/>
      <c r="I296" s="26" t="n"/>
      <c r="J296" s="24" t="n"/>
      <c r="K296" s="22" t="n"/>
      <c r="L296" s="72" t="n"/>
      <c r="M296" s="27">
        <f>IF(E296="","",SUMIFS(tbl_Finance[Ex GST],tbl_Finance[Job Number],E296&amp;""))</f>
        <v/>
      </c>
      <c r="N296" s="27">
        <f>IF(J296&lt;&gt;"Won","",IF(E296="",N(I296),I296-M296))</f>
        <v/>
      </c>
      <c r="O296" s="24" t="n"/>
    </row>
    <row r="297" ht="15" customHeight="1">
      <c r="A297" s="72" t="n"/>
      <c r="B297" s="24" t="n"/>
      <c r="C297" s="24" t="n"/>
      <c r="D297" s="24" t="n"/>
      <c r="E297" s="24" t="n"/>
      <c r="F297" s="25">
        <f>IF(E297="","",IF(COUNTIF(lst_Jobs,E297&amp;"")&gt;0,"OK","CHECK"))</f>
        <v/>
      </c>
      <c r="G297" s="24" t="n"/>
      <c r="H297" s="24" t="n"/>
      <c r="I297" s="26" t="n"/>
      <c r="J297" s="24" t="n"/>
      <c r="K297" s="22" t="n"/>
      <c r="L297" s="72" t="n"/>
      <c r="M297" s="27">
        <f>IF(E297="","",SUMIFS(tbl_Finance[Ex GST],tbl_Finance[Job Number],E297&amp;""))</f>
        <v/>
      </c>
      <c r="N297" s="27">
        <f>IF(J297&lt;&gt;"Won","",IF(E297="",N(I297),I297-M297))</f>
        <v/>
      </c>
      <c r="O297" s="24" t="n"/>
    </row>
    <row r="298" ht="15" customHeight="1">
      <c r="A298" s="72" t="n"/>
      <c r="B298" s="24" t="n"/>
      <c r="C298" s="24" t="n"/>
      <c r="D298" s="24" t="n"/>
      <c r="E298" s="24" t="n"/>
      <c r="F298" s="25">
        <f>IF(E298="","",IF(COUNTIF(lst_Jobs,E298&amp;"")&gt;0,"OK","CHECK"))</f>
        <v/>
      </c>
      <c r="G298" s="24" t="n"/>
      <c r="H298" s="24" t="n"/>
      <c r="I298" s="26" t="n"/>
      <c r="J298" s="24" t="n"/>
      <c r="K298" s="22" t="n"/>
      <c r="L298" s="72" t="n"/>
      <c r="M298" s="27">
        <f>IF(E298="","",SUMIFS(tbl_Finance[Ex GST],tbl_Finance[Job Number],E298&amp;""))</f>
        <v/>
      </c>
      <c r="N298" s="27">
        <f>IF(J298&lt;&gt;"Won","",IF(E298="",N(I298),I298-M298))</f>
        <v/>
      </c>
      <c r="O298" s="24" t="n"/>
    </row>
    <row r="299" ht="15" customHeight="1">
      <c r="A299" s="72" t="n"/>
      <c r="B299" s="24" t="n"/>
      <c r="C299" s="24" t="n"/>
      <c r="D299" s="24" t="n"/>
      <c r="E299" s="24" t="n"/>
      <c r="F299" s="25">
        <f>IF(E299="","",IF(COUNTIF(lst_Jobs,E299&amp;"")&gt;0,"OK","CHECK"))</f>
        <v/>
      </c>
      <c r="G299" s="24" t="n"/>
      <c r="H299" s="24" t="n"/>
      <c r="I299" s="26" t="n"/>
      <c r="J299" s="24" t="n"/>
      <c r="K299" s="22" t="n"/>
      <c r="L299" s="72" t="n"/>
      <c r="M299" s="27">
        <f>IF(E299="","",SUMIFS(tbl_Finance[Ex GST],tbl_Finance[Job Number],E299&amp;""))</f>
        <v/>
      </c>
      <c r="N299" s="27">
        <f>IF(J299&lt;&gt;"Won","",IF(E299="",N(I299),I299-M299))</f>
        <v/>
      </c>
      <c r="O299" s="24" t="n"/>
    </row>
    <row r="300" ht="15" customHeight="1">
      <c r="A300" s="72" t="n"/>
      <c r="B300" s="24" t="n"/>
      <c r="C300" s="24" t="n"/>
      <c r="D300" s="24" t="n"/>
      <c r="E300" s="24" t="n"/>
      <c r="F300" s="25">
        <f>IF(E300="","",IF(COUNTIF(lst_Jobs,E300&amp;"")&gt;0,"OK","CHECK"))</f>
        <v/>
      </c>
      <c r="G300" s="24" t="n"/>
      <c r="H300" s="24" t="n"/>
      <c r="I300" s="26" t="n"/>
      <c r="J300" s="24" t="n"/>
      <c r="K300" s="22" t="n"/>
      <c r="L300" s="72" t="n"/>
      <c r="M300" s="27">
        <f>IF(E300="","",SUMIFS(tbl_Finance[Ex GST],tbl_Finance[Job Number],E300&amp;""))</f>
        <v/>
      </c>
      <c r="N300" s="27">
        <f>IF(J300&lt;&gt;"Won","",IF(E300="",N(I300),I300-M300))</f>
        <v/>
      </c>
      <c r="O300" s="24" t="n"/>
    </row>
    <row r="301" ht="15" customHeight="1">
      <c r="A301" s="72" t="n"/>
      <c r="B301" s="24" t="n"/>
      <c r="C301" s="24" t="n"/>
      <c r="D301" s="24" t="n"/>
      <c r="E301" s="24" t="n"/>
      <c r="F301" s="25">
        <f>IF(E301="","",IF(COUNTIF(lst_Jobs,E301&amp;"")&gt;0,"OK","CHECK"))</f>
        <v/>
      </c>
      <c r="G301" s="24" t="n"/>
      <c r="H301" s="24" t="n"/>
      <c r="I301" s="26" t="n"/>
      <c r="J301" s="24" t="n"/>
      <c r="K301" s="22" t="n"/>
      <c r="L301" s="72" t="n"/>
      <c r="M301" s="27">
        <f>IF(E301="","",SUMIFS(tbl_Finance[Ex GST],tbl_Finance[Job Number],E301&amp;""))</f>
        <v/>
      </c>
      <c r="N301" s="27">
        <f>IF(J301&lt;&gt;"Won","",IF(E301="",N(I301),I301-M301))</f>
        <v/>
      </c>
      <c r="O301" s="24" t="n"/>
    </row>
    <row r="302" ht="15" customHeight="1">
      <c r="A302" s="72" t="n"/>
      <c r="B302" s="24" t="n"/>
      <c r="C302" s="24" t="n"/>
      <c r="D302" s="24" t="n"/>
      <c r="E302" s="24" t="n"/>
      <c r="F302" s="25">
        <f>IF(E302="","",IF(COUNTIF(lst_Jobs,E302&amp;"")&gt;0,"OK","CHECK"))</f>
        <v/>
      </c>
      <c r="G302" s="24" t="n"/>
      <c r="H302" s="24" t="n"/>
      <c r="I302" s="26" t="n"/>
      <c r="J302" s="24" t="n"/>
      <c r="K302" s="22" t="n"/>
      <c r="L302" s="72" t="n"/>
      <c r="M302" s="27">
        <f>IF(E302="","",SUMIFS(tbl_Finance[Ex GST],tbl_Finance[Job Number],E302&amp;""))</f>
        <v/>
      </c>
      <c r="N302" s="27">
        <f>IF(J302&lt;&gt;"Won","",IF(E302="",N(I302),I302-M302))</f>
        <v/>
      </c>
      <c r="O302" s="24" t="n"/>
    </row>
    <row r="303" ht="15" customHeight="1">
      <c r="A303" s="72" t="n"/>
      <c r="B303" s="24" t="n"/>
      <c r="C303" s="24" t="n"/>
      <c r="D303" s="24" t="n"/>
      <c r="E303" s="24" t="n"/>
      <c r="F303" s="25">
        <f>IF(E303="","",IF(COUNTIF(lst_Jobs,E303&amp;"")&gt;0,"OK","CHECK"))</f>
        <v/>
      </c>
      <c r="G303" s="24" t="n"/>
      <c r="H303" s="24" t="n"/>
      <c r="I303" s="26" t="n"/>
      <c r="J303" s="24" t="n"/>
      <c r="K303" s="22" t="n"/>
      <c r="L303" s="72" t="n"/>
      <c r="M303" s="27">
        <f>IF(E303="","",SUMIFS(tbl_Finance[Ex GST],tbl_Finance[Job Number],E303&amp;""))</f>
        <v/>
      </c>
      <c r="N303" s="27">
        <f>IF(J303&lt;&gt;"Won","",IF(E303="",N(I303),I303-M303))</f>
        <v/>
      </c>
      <c r="O303" s="24" t="n"/>
    </row>
    <row r="304" ht="15" customHeight="1">
      <c r="A304" s="72" t="n"/>
      <c r="B304" s="24" t="n"/>
      <c r="C304" s="24" t="n"/>
      <c r="D304" s="24" t="n"/>
      <c r="E304" s="24" t="n"/>
      <c r="F304" s="25">
        <f>IF(E304="","",IF(COUNTIF(lst_Jobs,E304&amp;"")&gt;0,"OK","CHECK"))</f>
        <v/>
      </c>
      <c r="G304" s="24" t="n"/>
      <c r="H304" s="24" t="n"/>
      <c r="I304" s="26" t="n"/>
      <c r="J304" s="24" t="n"/>
      <c r="K304" s="22" t="n"/>
      <c r="L304" s="72" t="n"/>
      <c r="M304" s="27">
        <f>IF(E304="","",SUMIFS(tbl_Finance[Ex GST],tbl_Finance[Job Number],E304&amp;""))</f>
        <v/>
      </c>
      <c r="N304" s="27">
        <f>IF(J304&lt;&gt;"Won","",IF(E304="",N(I304),I304-M304))</f>
        <v/>
      </c>
      <c r="O304" s="24" t="n"/>
    </row>
    <row r="305" ht="15" customHeight="1">
      <c r="A305" s="72" t="n"/>
      <c r="B305" s="24" t="n"/>
      <c r="C305" s="24" t="n"/>
      <c r="D305" s="24" t="n"/>
      <c r="E305" s="24" t="n"/>
      <c r="F305" s="25">
        <f>IF(E305="","",IF(COUNTIF(lst_Jobs,E305&amp;"")&gt;0,"OK","CHECK"))</f>
        <v/>
      </c>
      <c r="G305" s="24" t="n"/>
      <c r="H305" s="24" t="n"/>
      <c r="I305" s="26" t="n"/>
      <c r="J305" s="24" t="n"/>
      <c r="K305" s="22" t="n"/>
      <c r="L305" s="72" t="n"/>
      <c r="M305" s="27">
        <f>IF(E305="","",SUMIFS(tbl_Finance[Ex GST],tbl_Finance[Job Number],E305&amp;""))</f>
        <v/>
      </c>
      <c r="N305" s="27">
        <f>IF(J305&lt;&gt;"Won","",IF(E305="",N(I305),I305-M305))</f>
        <v/>
      </c>
      <c r="O305" s="24" t="n"/>
    </row>
    <row r="306" ht="15" customHeight="1">
      <c r="A306" s="72" t="n"/>
      <c r="B306" s="24" t="n"/>
      <c r="C306" s="24" t="n"/>
      <c r="D306" s="24" t="n"/>
      <c r="E306" s="24" t="n"/>
      <c r="F306" s="25">
        <f>IF(E306="","",IF(COUNTIF(lst_Jobs,E306&amp;"")&gt;0,"OK","CHECK"))</f>
        <v/>
      </c>
      <c r="G306" s="24" t="n"/>
      <c r="H306" s="24" t="n"/>
      <c r="I306" s="26" t="n"/>
      <c r="J306" s="24" t="n"/>
      <c r="K306" s="22" t="n"/>
      <c r="L306" s="72" t="n"/>
      <c r="M306" s="27">
        <f>IF(E306="","",SUMIFS(tbl_Finance[Ex GST],tbl_Finance[Job Number],E306&amp;""))</f>
        <v/>
      </c>
      <c r="N306" s="27">
        <f>IF(J306&lt;&gt;"Won","",IF(E306="",N(I306),I306-M306))</f>
        <v/>
      </c>
      <c r="O306" s="24" t="n"/>
    </row>
    <row r="307" ht="15" customHeight="1">
      <c r="A307" s="72" t="n"/>
      <c r="B307" s="24" t="n"/>
      <c r="C307" s="24" t="n"/>
      <c r="D307" s="24" t="n"/>
      <c r="E307" s="24" t="n"/>
      <c r="F307" s="25">
        <f>IF(E307="","",IF(COUNTIF(lst_Jobs,E307&amp;"")&gt;0,"OK","CHECK"))</f>
        <v/>
      </c>
      <c r="G307" s="24" t="n"/>
      <c r="H307" s="24" t="n"/>
      <c r="I307" s="26" t="n"/>
      <c r="J307" s="24" t="n"/>
      <c r="K307" s="22" t="n"/>
      <c r="L307" s="72" t="n"/>
      <c r="M307" s="27">
        <f>IF(E307="","",SUMIFS(tbl_Finance[Ex GST],tbl_Finance[Job Number],E307&amp;""))</f>
        <v/>
      </c>
      <c r="N307" s="27">
        <f>IF(J307&lt;&gt;"Won","",IF(E307="",N(I307),I307-M307))</f>
        <v/>
      </c>
      <c r="O307" s="24" t="n"/>
    </row>
    <row r="308" ht="15" customHeight="1">
      <c r="A308" s="72" t="n"/>
      <c r="B308" s="24" t="n"/>
      <c r="C308" s="24" t="n"/>
      <c r="D308" s="24" t="n"/>
      <c r="E308" s="24" t="n"/>
      <c r="F308" s="25">
        <f>IF(E308="","",IF(COUNTIF(lst_Jobs,E308&amp;"")&gt;0,"OK","CHECK"))</f>
        <v/>
      </c>
      <c r="G308" s="24" t="n"/>
      <c r="H308" s="24" t="n"/>
      <c r="I308" s="26" t="n"/>
      <c r="J308" s="24" t="n"/>
      <c r="K308" s="22" t="n"/>
      <c r="L308" s="72" t="n"/>
      <c r="M308" s="27">
        <f>IF(E308="","",SUMIFS(tbl_Finance[Ex GST],tbl_Finance[Job Number],E308&amp;""))</f>
        <v/>
      </c>
      <c r="N308" s="27">
        <f>IF(J308&lt;&gt;"Won","",IF(E308="",N(I308),I308-M308))</f>
        <v/>
      </c>
      <c r="O308" s="24" t="n"/>
    </row>
    <row r="309" ht="15" customHeight="1">
      <c r="A309" s="72" t="n"/>
      <c r="B309" s="24" t="n"/>
      <c r="C309" s="24" t="n"/>
      <c r="D309" s="24" t="n"/>
      <c r="E309" s="24" t="n"/>
      <c r="F309" s="25">
        <f>IF(E309="","",IF(COUNTIF(lst_Jobs,E309&amp;"")&gt;0,"OK","CHECK"))</f>
        <v/>
      </c>
      <c r="G309" s="24" t="n"/>
      <c r="H309" s="24" t="n"/>
      <c r="I309" s="26" t="n"/>
      <c r="J309" s="24" t="n"/>
      <c r="K309" s="22" t="n"/>
      <c r="L309" s="72" t="n"/>
      <c r="M309" s="27">
        <f>IF(E309="","",SUMIFS(tbl_Finance[Ex GST],tbl_Finance[Job Number],E309&amp;""))</f>
        <v/>
      </c>
      <c r="N309" s="27">
        <f>IF(J309&lt;&gt;"Won","",IF(E309="",N(I309),I309-M309))</f>
        <v/>
      </c>
      <c r="O309" s="24" t="n"/>
    </row>
    <row r="310" ht="15" customHeight="1">
      <c r="A310" s="72" t="n"/>
      <c r="B310" s="24" t="n"/>
      <c r="C310" s="24" t="n"/>
      <c r="D310" s="24" t="n"/>
      <c r="E310" s="24" t="n"/>
      <c r="F310" s="25">
        <f>IF(E310="","",IF(COUNTIF(lst_Jobs,E310&amp;"")&gt;0,"OK","CHECK"))</f>
        <v/>
      </c>
      <c r="G310" s="24" t="n"/>
      <c r="H310" s="24" t="n"/>
      <c r="I310" s="26" t="n"/>
      <c r="J310" s="24" t="n"/>
      <c r="K310" s="22" t="n"/>
      <c r="L310" s="72" t="n"/>
      <c r="M310" s="27">
        <f>IF(E310="","",SUMIFS(tbl_Finance[Ex GST],tbl_Finance[Job Number],E310&amp;""))</f>
        <v/>
      </c>
      <c r="N310" s="27">
        <f>IF(J310&lt;&gt;"Won","",IF(E310="",N(I310),I310-M310))</f>
        <v/>
      </c>
      <c r="O310" s="24" t="n"/>
    </row>
    <row r="311" ht="15" customHeight="1">
      <c r="A311" s="72" t="n"/>
      <c r="B311" s="24" t="n"/>
      <c r="C311" s="24" t="n"/>
      <c r="D311" s="24" t="n"/>
      <c r="E311" s="24" t="n"/>
      <c r="F311" s="25">
        <f>IF(E311="","",IF(COUNTIF(lst_Jobs,E311&amp;"")&gt;0,"OK","CHECK"))</f>
        <v/>
      </c>
      <c r="G311" s="24" t="n"/>
      <c r="H311" s="24" t="n"/>
      <c r="I311" s="26" t="n"/>
      <c r="J311" s="24" t="n"/>
      <c r="K311" s="22" t="n"/>
      <c r="L311" s="72" t="n"/>
      <c r="M311" s="27">
        <f>IF(E311="","",SUMIFS(tbl_Finance[Ex GST],tbl_Finance[Job Number],E311&amp;""))</f>
        <v/>
      </c>
      <c r="N311" s="27">
        <f>IF(J311&lt;&gt;"Won","",IF(E311="",N(I311),I311-M311))</f>
        <v/>
      </c>
      <c r="O311" s="24" t="n"/>
    </row>
    <row r="312" ht="15" customHeight="1">
      <c r="A312" s="72" t="n"/>
      <c r="B312" s="24" t="n"/>
      <c r="C312" s="24" t="n"/>
      <c r="D312" s="24" t="n"/>
      <c r="E312" s="24" t="n"/>
      <c r="F312" s="25">
        <f>IF(E312="","",IF(COUNTIF(lst_Jobs,E312&amp;"")&gt;0,"OK","CHECK"))</f>
        <v/>
      </c>
      <c r="G312" s="24" t="n"/>
      <c r="H312" s="24" t="n"/>
      <c r="I312" s="26" t="n"/>
      <c r="J312" s="24" t="n"/>
      <c r="K312" s="22" t="n"/>
      <c r="L312" s="72" t="n"/>
      <c r="M312" s="27">
        <f>IF(E312="","",SUMIFS(tbl_Finance[Ex GST],tbl_Finance[Job Number],E312&amp;""))</f>
        <v/>
      </c>
      <c r="N312" s="27">
        <f>IF(J312&lt;&gt;"Won","",IF(E312="",N(I312),I312-M312))</f>
        <v/>
      </c>
      <c r="O312" s="24" t="n"/>
    </row>
    <row r="313" ht="15" customHeight="1">
      <c r="A313" s="72" t="n"/>
      <c r="B313" s="24" t="n"/>
      <c r="C313" s="24" t="n"/>
      <c r="D313" s="24" t="n"/>
      <c r="E313" s="24" t="n"/>
      <c r="F313" s="25">
        <f>IF(E313="","",IF(COUNTIF(lst_Jobs,E313&amp;"")&gt;0,"OK","CHECK"))</f>
        <v/>
      </c>
      <c r="G313" s="24" t="n"/>
      <c r="H313" s="24" t="n"/>
      <c r="I313" s="26" t="n"/>
      <c r="J313" s="24" t="n"/>
      <c r="K313" s="22" t="n"/>
      <c r="L313" s="72" t="n"/>
      <c r="M313" s="27">
        <f>IF(E313="","",SUMIFS(tbl_Finance[Ex GST],tbl_Finance[Job Number],E313&amp;""))</f>
        <v/>
      </c>
      <c r="N313" s="27">
        <f>IF(J313&lt;&gt;"Won","",IF(E313="",N(I313),I313-M313))</f>
        <v/>
      </c>
      <c r="O313" s="24" t="n"/>
    </row>
    <row r="314" ht="15" customHeight="1">
      <c r="A314" s="72" t="n"/>
      <c r="B314" s="24" t="n"/>
      <c r="C314" s="24" t="n"/>
      <c r="D314" s="24" t="n"/>
      <c r="E314" s="24" t="n"/>
      <c r="F314" s="25">
        <f>IF(E314="","",IF(COUNTIF(lst_Jobs,E314&amp;"")&gt;0,"OK","CHECK"))</f>
        <v/>
      </c>
      <c r="G314" s="24" t="n"/>
      <c r="H314" s="24" t="n"/>
      <c r="I314" s="26" t="n"/>
      <c r="J314" s="24" t="n"/>
      <c r="K314" s="22" t="n"/>
      <c r="L314" s="72" t="n"/>
      <c r="M314" s="27">
        <f>IF(E314="","",SUMIFS(tbl_Finance[Ex GST],tbl_Finance[Job Number],E314&amp;""))</f>
        <v/>
      </c>
      <c r="N314" s="27">
        <f>IF(J314&lt;&gt;"Won","",IF(E314="",N(I314),I314-M314))</f>
        <v/>
      </c>
      <c r="O314" s="24" t="n"/>
    </row>
    <row r="315" ht="15" customHeight="1">
      <c r="A315" s="72" t="n"/>
      <c r="B315" s="24" t="n"/>
      <c r="C315" s="24" t="n"/>
      <c r="D315" s="24" t="n"/>
      <c r="E315" s="24" t="n"/>
      <c r="F315" s="25">
        <f>IF(E315="","",IF(COUNTIF(lst_Jobs,E315&amp;"")&gt;0,"OK","CHECK"))</f>
        <v/>
      </c>
      <c r="G315" s="24" t="n"/>
      <c r="H315" s="24" t="n"/>
      <c r="I315" s="26" t="n"/>
      <c r="J315" s="24" t="n"/>
      <c r="K315" s="22" t="n"/>
      <c r="L315" s="72" t="n"/>
      <c r="M315" s="27">
        <f>IF(E315="","",SUMIFS(tbl_Finance[Ex GST],tbl_Finance[Job Number],E315&amp;""))</f>
        <v/>
      </c>
      <c r="N315" s="27">
        <f>IF(J315&lt;&gt;"Won","",IF(E315="",N(I315),I315-M315))</f>
        <v/>
      </c>
      <c r="O315" s="24" t="n"/>
    </row>
    <row r="316" ht="15" customHeight="1">
      <c r="A316" s="72" t="n"/>
      <c r="B316" s="24" t="n"/>
      <c r="C316" s="24" t="n"/>
      <c r="D316" s="24" t="n"/>
      <c r="E316" s="24" t="n"/>
      <c r="F316" s="25">
        <f>IF(E316="","",IF(COUNTIF(lst_Jobs,E316&amp;"")&gt;0,"OK","CHECK"))</f>
        <v/>
      </c>
      <c r="G316" s="24" t="n"/>
      <c r="H316" s="24" t="n"/>
      <c r="I316" s="26" t="n"/>
      <c r="J316" s="24" t="n"/>
      <c r="K316" s="22" t="n"/>
      <c r="L316" s="72" t="n"/>
      <c r="M316" s="27">
        <f>IF(E316="","",SUMIFS(tbl_Finance[Ex GST],tbl_Finance[Job Number],E316&amp;""))</f>
        <v/>
      </c>
      <c r="N316" s="27">
        <f>IF(J316&lt;&gt;"Won","",IF(E316="",N(I316),I316-M316))</f>
        <v/>
      </c>
      <c r="O316" s="24" t="n"/>
    </row>
    <row r="317" ht="15" customHeight="1">
      <c r="A317" s="72" t="n"/>
      <c r="B317" s="24" t="n"/>
      <c r="C317" s="24" t="n"/>
      <c r="D317" s="24" t="n"/>
      <c r="E317" s="24" t="n"/>
      <c r="F317" s="25">
        <f>IF(E317="","",IF(COUNTIF(lst_Jobs,E317&amp;"")&gt;0,"OK","CHECK"))</f>
        <v/>
      </c>
      <c r="G317" s="24" t="n"/>
      <c r="H317" s="24" t="n"/>
      <c r="I317" s="26" t="n"/>
      <c r="J317" s="24" t="n"/>
      <c r="K317" s="22" t="n"/>
      <c r="L317" s="72" t="n"/>
      <c r="M317" s="27">
        <f>IF(E317="","",SUMIFS(tbl_Finance[Ex GST],tbl_Finance[Job Number],E317&amp;""))</f>
        <v/>
      </c>
      <c r="N317" s="27">
        <f>IF(J317&lt;&gt;"Won","",IF(E317="",N(I317),I317-M317))</f>
        <v/>
      </c>
      <c r="O317" s="24" t="n"/>
    </row>
    <row r="318" ht="15" customHeight="1">
      <c r="A318" s="72" t="n"/>
      <c r="B318" s="24" t="n"/>
      <c r="C318" s="24" t="n"/>
      <c r="D318" s="24" t="n"/>
      <c r="E318" s="24" t="n"/>
      <c r="F318" s="25">
        <f>IF(E318="","",IF(COUNTIF(lst_Jobs,E318&amp;"")&gt;0,"OK","CHECK"))</f>
        <v/>
      </c>
      <c r="G318" s="24" t="n"/>
      <c r="H318" s="24" t="n"/>
      <c r="I318" s="26" t="n"/>
      <c r="J318" s="24" t="n"/>
      <c r="K318" s="22" t="n"/>
      <c r="L318" s="72" t="n"/>
      <c r="M318" s="27">
        <f>IF(E318="","",SUMIFS(tbl_Finance[Ex GST],tbl_Finance[Job Number],E318&amp;""))</f>
        <v/>
      </c>
      <c r="N318" s="27">
        <f>IF(J318&lt;&gt;"Won","",IF(E318="",N(I318),I318-M318))</f>
        <v/>
      </c>
      <c r="O318" s="24" t="n"/>
    </row>
    <row r="319" ht="15" customHeight="1">
      <c r="A319" s="72" t="n"/>
      <c r="B319" s="24" t="n"/>
      <c r="C319" s="24" t="n"/>
      <c r="D319" s="24" t="n"/>
      <c r="E319" s="24" t="n"/>
      <c r="F319" s="25">
        <f>IF(E319="","",IF(COUNTIF(lst_Jobs,E319&amp;"")&gt;0,"OK","CHECK"))</f>
        <v/>
      </c>
      <c r="G319" s="24" t="n"/>
      <c r="H319" s="24" t="n"/>
      <c r="I319" s="26" t="n"/>
      <c r="J319" s="24" t="n"/>
      <c r="K319" s="22" t="n"/>
      <c r="L319" s="72" t="n"/>
      <c r="M319" s="27">
        <f>IF(E319="","",SUMIFS(tbl_Finance[Ex GST],tbl_Finance[Job Number],E319&amp;""))</f>
        <v/>
      </c>
      <c r="N319" s="27">
        <f>IF(J319&lt;&gt;"Won","",IF(E319="",N(I319),I319-M319))</f>
        <v/>
      </c>
      <c r="O319" s="24" t="n"/>
    </row>
    <row r="320" ht="15" customHeight="1">
      <c r="A320" s="72" t="n"/>
      <c r="B320" s="24" t="n"/>
      <c r="C320" s="24" t="n"/>
      <c r="D320" s="24" t="n"/>
      <c r="E320" s="24" t="n"/>
      <c r="F320" s="25">
        <f>IF(E320="","",IF(COUNTIF(lst_Jobs,E320&amp;"")&gt;0,"OK","CHECK"))</f>
        <v/>
      </c>
      <c r="G320" s="24" t="n"/>
      <c r="H320" s="24" t="n"/>
      <c r="I320" s="26" t="n"/>
      <c r="J320" s="24" t="n"/>
      <c r="K320" s="22" t="n"/>
      <c r="L320" s="72" t="n"/>
      <c r="M320" s="27">
        <f>IF(E320="","",SUMIFS(tbl_Finance[Ex GST],tbl_Finance[Job Number],E320&amp;""))</f>
        <v/>
      </c>
      <c r="N320" s="27">
        <f>IF(J320&lt;&gt;"Won","",IF(E320="",N(I320),I320-M320))</f>
        <v/>
      </c>
      <c r="O320" s="24" t="n"/>
    </row>
    <row r="321" ht="15" customHeight="1">
      <c r="A321" s="72" t="n"/>
      <c r="B321" s="24" t="n"/>
      <c r="C321" s="24" t="n"/>
      <c r="D321" s="24" t="n"/>
      <c r="E321" s="24" t="n"/>
      <c r="F321" s="25">
        <f>IF(E321="","",IF(COUNTIF(lst_Jobs,E321&amp;"")&gt;0,"OK","CHECK"))</f>
        <v/>
      </c>
      <c r="G321" s="24" t="n"/>
      <c r="H321" s="24" t="n"/>
      <c r="I321" s="26" t="n"/>
      <c r="J321" s="24" t="n"/>
      <c r="K321" s="22" t="n"/>
      <c r="L321" s="72" t="n"/>
      <c r="M321" s="27">
        <f>IF(E321="","",SUMIFS(tbl_Finance[Ex GST],tbl_Finance[Job Number],E321&amp;""))</f>
        <v/>
      </c>
      <c r="N321" s="27">
        <f>IF(J321&lt;&gt;"Won","",IF(E321="",N(I321),I321-M321))</f>
        <v/>
      </c>
      <c r="O321" s="24" t="n"/>
    </row>
    <row r="322" ht="15" customHeight="1">
      <c r="A322" s="72" t="n"/>
      <c r="B322" s="24" t="n"/>
      <c r="C322" s="24" t="n"/>
      <c r="D322" s="24" t="n"/>
      <c r="E322" s="24" t="n"/>
      <c r="F322" s="25">
        <f>IF(E322="","",IF(COUNTIF(lst_Jobs,E322&amp;"")&gt;0,"OK","CHECK"))</f>
        <v/>
      </c>
      <c r="G322" s="24" t="n"/>
      <c r="H322" s="24" t="n"/>
      <c r="I322" s="26" t="n"/>
      <c r="J322" s="24" t="n"/>
      <c r="K322" s="22" t="n"/>
      <c r="L322" s="72" t="n"/>
      <c r="M322" s="27">
        <f>IF(E322="","",SUMIFS(tbl_Finance[Ex GST],tbl_Finance[Job Number],E322&amp;""))</f>
        <v/>
      </c>
      <c r="N322" s="27">
        <f>IF(J322&lt;&gt;"Won","",IF(E322="",N(I322),I322-M322))</f>
        <v/>
      </c>
      <c r="O322" s="24" t="n"/>
    </row>
    <row r="323" ht="15" customHeight="1">
      <c r="A323" s="72" t="n"/>
      <c r="B323" s="24" t="n"/>
      <c r="C323" s="24" t="n"/>
      <c r="D323" s="24" t="n"/>
      <c r="E323" s="24" t="n"/>
      <c r="F323" s="25">
        <f>IF(E323="","",IF(COUNTIF(lst_Jobs,E323&amp;"")&gt;0,"OK","CHECK"))</f>
        <v/>
      </c>
      <c r="G323" s="24" t="n"/>
      <c r="H323" s="24" t="n"/>
      <c r="I323" s="26" t="n"/>
      <c r="J323" s="24" t="n"/>
      <c r="K323" s="22" t="n"/>
      <c r="L323" s="72" t="n"/>
      <c r="M323" s="27">
        <f>IF(E323="","",SUMIFS(tbl_Finance[Ex GST],tbl_Finance[Job Number],E323&amp;""))</f>
        <v/>
      </c>
      <c r="N323" s="27">
        <f>IF(J323&lt;&gt;"Won","",IF(E323="",N(I323),I323-M323))</f>
        <v/>
      </c>
      <c r="O323" s="24" t="n"/>
    </row>
    <row r="324" ht="15" customHeight="1">
      <c r="A324" s="72" t="n"/>
      <c r="B324" s="24" t="n"/>
      <c r="C324" s="24" t="n"/>
      <c r="D324" s="24" t="n"/>
      <c r="E324" s="24" t="n"/>
      <c r="F324" s="25">
        <f>IF(E324="","",IF(COUNTIF(lst_Jobs,E324&amp;"")&gt;0,"OK","CHECK"))</f>
        <v/>
      </c>
      <c r="G324" s="24" t="n"/>
      <c r="H324" s="24" t="n"/>
      <c r="I324" s="26" t="n"/>
      <c r="J324" s="24" t="n"/>
      <c r="K324" s="22" t="n"/>
      <c r="L324" s="72" t="n"/>
      <c r="M324" s="27">
        <f>IF(E324="","",SUMIFS(tbl_Finance[Ex GST],tbl_Finance[Job Number],E324&amp;""))</f>
        <v/>
      </c>
      <c r="N324" s="27">
        <f>IF(J324&lt;&gt;"Won","",IF(E324="",N(I324),I324-M324))</f>
        <v/>
      </c>
      <c r="O324" s="24" t="n"/>
    </row>
    <row r="325" ht="15" customHeight="1">
      <c r="A325" s="72" t="n"/>
      <c r="B325" s="24" t="n"/>
      <c r="C325" s="24" t="n"/>
      <c r="D325" s="24" t="n"/>
      <c r="E325" s="24" t="n"/>
      <c r="F325" s="25">
        <f>IF(E325="","",IF(COUNTIF(lst_Jobs,E325&amp;"")&gt;0,"OK","CHECK"))</f>
        <v/>
      </c>
      <c r="G325" s="24" t="n"/>
      <c r="H325" s="24" t="n"/>
      <c r="I325" s="26" t="n"/>
      <c r="J325" s="24" t="n"/>
      <c r="K325" s="22" t="n"/>
      <c r="L325" s="72" t="n"/>
      <c r="M325" s="27">
        <f>IF(E325="","",SUMIFS(tbl_Finance[Ex GST],tbl_Finance[Job Number],E325&amp;""))</f>
        <v/>
      </c>
      <c r="N325" s="27">
        <f>IF(J325&lt;&gt;"Won","",IF(E325="",N(I325),I325-M325))</f>
        <v/>
      </c>
      <c r="O325" s="24" t="n"/>
    </row>
    <row r="326" ht="15" customHeight="1">
      <c r="A326" s="72" t="n"/>
      <c r="B326" s="24" t="n"/>
      <c r="C326" s="24" t="n"/>
      <c r="D326" s="24" t="n"/>
      <c r="E326" s="24" t="n"/>
      <c r="F326" s="25">
        <f>IF(E326="","",IF(COUNTIF(lst_Jobs,E326&amp;"")&gt;0,"OK","CHECK"))</f>
        <v/>
      </c>
      <c r="G326" s="24" t="n"/>
      <c r="H326" s="24" t="n"/>
      <c r="I326" s="26" t="n"/>
      <c r="J326" s="24" t="n"/>
      <c r="K326" s="22" t="n"/>
      <c r="L326" s="72" t="n"/>
      <c r="M326" s="27">
        <f>IF(E326="","",SUMIFS(tbl_Finance[Ex GST],tbl_Finance[Job Number],E326&amp;""))</f>
        <v/>
      </c>
      <c r="N326" s="27">
        <f>IF(J326&lt;&gt;"Won","",IF(E326="",N(I326),I326-M326))</f>
        <v/>
      </c>
      <c r="O326" s="24" t="n"/>
    </row>
    <row r="327" ht="15" customHeight="1">
      <c r="A327" s="72" t="n"/>
      <c r="B327" s="24" t="n"/>
      <c r="C327" s="24" t="n"/>
      <c r="D327" s="24" t="n"/>
      <c r="E327" s="24" t="n"/>
      <c r="F327" s="25">
        <f>IF(E327="","",IF(COUNTIF(lst_Jobs,E327&amp;"")&gt;0,"OK","CHECK"))</f>
        <v/>
      </c>
      <c r="G327" s="24" t="n"/>
      <c r="H327" s="24" t="n"/>
      <c r="I327" s="26" t="n"/>
      <c r="J327" s="24" t="n"/>
      <c r="K327" s="22" t="n"/>
      <c r="L327" s="72" t="n"/>
      <c r="M327" s="27">
        <f>IF(E327="","",SUMIFS(tbl_Finance[Ex GST],tbl_Finance[Job Number],E327&amp;""))</f>
        <v/>
      </c>
      <c r="N327" s="27">
        <f>IF(J327&lt;&gt;"Won","",IF(E327="",N(I327),I327-M327))</f>
        <v/>
      </c>
      <c r="O327" s="24" t="n"/>
    </row>
    <row r="328" ht="15" customHeight="1">
      <c r="A328" s="72" t="n"/>
      <c r="B328" s="24" t="n"/>
      <c r="C328" s="24" t="n"/>
      <c r="D328" s="24" t="n"/>
      <c r="E328" s="24" t="n"/>
      <c r="F328" s="25">
        <f>IF(E328="","",IF(COUNTIF(lst_Jobs,E328&amp;"")&gt;0,"OK","CHECK"))</f>
        <v/>
      </c>
      <c r="G328" s="24" t="n"/>
      <c r="H328" s="24" t="n"/>
      <c r="I328" s="26" t="n"/>
      <c r="J328" s="24" t="n"/>
      <c r="K328" s="22" t="n"/>
      <c r="L328" s="72" t="n"/>
      <c r="M328" s="27">
        <f>IF(E328="","",SUMIFS(tbl_Finance[Ex GST],tbl_Finance[Job Number],E328&amp;""))</f>
        <v/>
      </c>
      <c r="N328" s="27">
        <f>IF(J328&lt;&gt;"Won","",IF(E328="",N(I328),I328-M328))</f>
        <v/>
      </c>
      <c r="O328" s="24" t="n"/>
    </row>
    <row r="329" ht="15" customHeight="1">
      <c r="A329" s="72" t="n"/>
      <c r="B329" s="24" t="n"/>
      <c r="C329" s="24" t="n"/>
      <c r="D329" s="24" t="n"/>
      <c r="E329" s="24" t="n"/>
      <c r="F329" s="25">
        <f>IF(E329="","",IF(COUNTIF(lst_Jobs,E329&amp;"")&gt;0,"OK","CHECK"))</f>
        <v/>
      </c>
      <c r="G329" s="24" t="n"/>
      <c r="H329" s="24" t="n"/>
      <c r="I329" s="26" t="n"/>
      <c r="J329" s="24" t="n"/>
      <c r="K329" s="22" t="n"/>
      <c r="L329" s="72" t="n"/>
      <c r="M329" s="27">
        <f>IF(E329="","",SUMIFS(tbl_Finance[Ex GST],tbl_Finance[Job Number],E329&amp;""))</f>
        <v/>
      </c>
      <c r="N329" s="27">
        <f>IF(J329&lt;&gt;"Won","",IF(E329="",N(I329),I329-M329))</f>
        <v/>
      </c>
      <c r="O329" s="24" t="n"/>
    </row>
    <row r="330" ht="15" customHeight="1">
      <c r="A330" s="72" t="n"/>
      <c r="B330" s="24" t="n"/>
      <c r="C330" s="24" t="n"/>
      <c r="D330" s="24" t="n"/>
      <c r="E330" s="24" t="n"/>
      <c r="F330" s="25">
        <f>IF(E330="","",IF(COUNTIF(lst_Jobs,E330&amp;"")&gt;0,"OK","CHECK"))</f>
        <v/>
      </c>
      <c r="G330" s="24" t="n"/>
      <c r="H330" s="24" t="n"/>
      <c r="I330" s="26" t="n"/>
      <c r="J330" s="24" t="n"/>
      <c r="K330" s="22" t="n"/>
      <c r="L330" s="72" t="n"/>
      <c r="M330" s="27">
        <f>IF(E330="","",SUMIFS(tbl_Finance[Ex GST],tbl_Finance[Job Number],E330&amp;""))</f>
        <v/>
      </c>
      <c r="N330" s="27">
        <f>IF(J330&lt;&gt;"Won","",IF(E330="",N(I330),I330-M330))</f>
        <v/>
      </c>
      <c r="O330" s="24" t="n"/>
    </row>
    <row r="331" ht="15" customHeight="1">
      <c r="A331" s="72" t="n"/>
      <c r="B331" s="24" t="n"/>
      <c r="C331" s="24" t="n"/>
      <c r="D331" s="24" t="n"/>
      <c r="E331" s="24" t="n"/>
      <c r="F331" s="25">
        <f>IF(E331="","",IF(COUNTIF(lst_Jobs,E331&amp;"")&gt;0,"OK","CHECK"))</f>
        <v/>
      </c>
      <c r="G331" s="24" t="n"/>
      <c r="H331" s="24" t="n"/>
      <c r="I331" s="26" t="n"/>
      <c r="J331" s="24" t="n"/>
      <c r="K331" s="22" t="n"/>
      <c r="L331" s="72" t="n"/>
      <c r="M331" s="27">
        <f>IF(E331="","",SUMIFS(tbl_Finance[Ex GST],tbl_Finance[Job Number],E331&amp;""))</f>
        <v/>
      </c>
      <c r="N331" s="27">
        <f>IF(J331&lt;&gt;"Won","",IF(E331="",N(I331),I331-M331))</f>
        <v/>
      </c>
      <c r="O331" s="24" t="n"/>
    </row>
    <row r="332" ht="15" customHeight="1">
      <c r="A332" s="72" t="n"/>
      <c r="B332" s="24" t="n"/>
      <c r="C332" s="24" t="n"/>
      <c r="D332" s="24" t="n"/>
      <c r="E332" s="24" t="n"/>
      <c r="F332" s="25">
        <f>IF(E332="","",IF(COUNTIF(lst_Jobs,E332&amp;"")&gt;0,"OK","CHECK"))</f>
        <v/>
      </c>
      <c r="G332" s="24" t="n"/>
      <c r="H332" s="24" t="n"/>
      <c r="I332" s="26" t="n"/>
      <c r="J332" s="24" t="n"/>
      <c r="K332" s="22" t="n"/>
      <c r="L332" s="72" t="n"/>
      <c r="M332" s="27">
        <f>IF(E332="","",SUMIFS(tbl_Finance[Ex GST],tbl_Finance[Job Number],E332&amp;""))</f>
        <v/>
      </c>
      <c r="N332" s="27">
        <f>IF(J332&lt;&gt;"Won","",IF(E332="",N(I332),I332-M332))</f>
        <v/>
      </c>
      <c r="O332" s="24" t="n"/>
    </row>
    <row r="333" ht="15" customHeight="1">
      <c r="A333" s="72" t="n"/>
      <c r="B333" s="24" t="n"/>
      <c r="C333" s="24" t="n"/>
      <c r="D333" s="24" t="n"/>
      <c r="E333" s="24" t="n"/>
      <c r="F333" s="25">
        <f>IF(E333="","",IF(COUNTIF(lst_Jobs,E333&amp;"")&gt;0,"OK","CHECK"))</f>
        <v/>
      </c>
      <c r="G333" s="24" t="n"/>
      <c r="H333" s="24" t="n"/>
      <c r="I333" s="26" t="n"/>
      <c r="J333" s="24" t="n"/>
      <c r="K333" s="22" t="n"/>
      <c r="L333" s="72" t="n"/>
      <c r="M333" s="27">
        <f>IF(E333="","",SUMIFS(tbl_Finance[Ex GST],tbl_Finance[Job Number],E333&amp;""))</f>
        <v/>
      </c>
      <c r="N333" s="27">
        <f>IF(J333&lt;&gt;"Won","",IF(E333="",N(I333),I333-M333))</f>
        <v/>
      </c>
      <c r="O333" s="24" t="n"/>
    </row>
    <row r="334" ht="15" customHeight="1">
      <c r="A334" s="72" t="n"/>
      <c r="B334" s="24" t="n"/>
      <c r="C334" s="24" t="n"/>
      <c r="D334" s="24" t="n"/>
      <c r="E334" s="24" t="n"/>
      <c r="F334" s="25">
        <f>IF(E334="","",IF(COUNTIF(lst_Jobs,E334&amp;"")&gt;0,"OK","CHECK"))</f>
        <v/>
      </c>
      <c r="G334" s="24" t="n"/>
      <c r="H334" s="24" t="n"/>
      <c r="I334" s="26" t="n"/>
      <c r="J334" s="24" t="n"/>
      <c r="K334" s="22" t="n"/>
      <c r="L334" s="72" t="n"/>
      <c r="M334" s="27">
        <f>IF(E334="","",SUMIFS(tbl_Finance[Ex GST],tbl_Finance[Job Number],E334&amp;""))</f>
        <v/>
      </c>
      <c r="N334" s="27">
        <f>IF(J334&lt;&gt;"Won","",IF(E334="",N(I334),I334-M334))</f>
        <v/>
      </c>
      <c r="O334" s="24" t="n"/>
    </row>
    <row r="335" ht="15" customHeight="1">
      <c r="A335" s="72" t="n"/>
      <c r="B335" s="24" t="n"/>
      <c r="C335" s="24" t="n"/>
      <c r="D335" s="24" t="n"/>
      <c r="E335" s="24" t="n"/>
      <c r="F335" s="25">
        <f>IF(E335="","",IF(COUNTIF(lst_Jobs,E335&amp;"")&gt;0,"OK","CHECK"))</f>
        <v/>
      </c>
      <c r="G335" s="24" t="n"/>
      <c r="H335" s="24" t="n"/>
      <c r="I335" s="26" t="n"/>
      <c r="J335" s="24" t="n"/>
      <c r="K335" s="22" t="n"/>
      <c r="L335" s="72" t="n"/>
      <c r="M335" s="27">
        <f>IF(E335="","",SUMIFS(tbl_Finance[Ex GST],tbl_Finance[Job Number],E335&amp;""))</f>
        <v/>
      </c>
      <c r="N335" s="27">
        <f>IF(J335&lt;&gt;"Won","",IF(E335="",N(I335),I335-M335))</f>
        <v/>
      </c>
      <c r="O335" s="24" t="n"/>
    </row>
    <row r="336" ht="15" customHeight="1">
      <c r="A336" s="72" t="n"/>
      <c r="B336" s="24" t="n"/>
      <c r="C336" s="24" t="n"/>
      <c r="D336" s="24" t="n"/>
      <c r="E336" s="24" t="n"/>
      <c r="F336" s="25">
        <f>IF(E336="","",IF(COUNTIF(lst_Jobs,E336&amp;"")&gt;0,"OK","CHECK"))</f>
        <v/>
      </c>
      <c r="G336" s="24" t="n"/>
      <c r="H336" s="24" t="n"/>
      <c r="I336" s="26" t="n"/>
      <c r="J336" s="24" t="n"/>
      <c r="K336" s="22" t="n"/>
      <c r="L336" s="72" t="n"/>
      <c r="M336" s="27">
        <f>IF(E336="","",SUMIFS(tbl_Finance[Ex GST],tbl_Finance[Job Number],E336&amp;""))</f>
        <v/>
      </c>
      <c r="N336" s="27">
        <f>IF(J336&lt;&gt;"Won","",IF(E336="",N(I336),I336-M336))</f>
        <v/>
      </c>
      <c r="O336" s="24" t="n"/>
    </row>
    <row r="337" ht="15" customHeight="1">
      <c r="A337" s="72" t="n"/>
      <c r="B337" s="24" t="n"/>
      <c r="C337" s="24" t="n"/>
      <c r="D337" s="24" t="n"/>
      <c r="E337" s="24" t="n"/>
      <c r="F337" s="25">
        <f>IF(E337="","",IF(COUNTIF(lst_Jobs,E337&amp;"")&gt;0,"OK","CHECK"))</f>
        <v/>
      </c>
      <c r="G337" s="24" t="n"/>
      <c r="H337" s="24" t="n"/>
      <c r="I337" s="26" t="n"/>
      <c r="J337" s="24" t="n"/>
      <c r="K337" s="22" t="n"/>
      <c r="L337" s="72" t="n"/>
      <c r="M337" s="27">
        <f>IF(E337="","",SUMIFS(tbl_Finance[Ex GST],tbl_Finance[Job Number],E337&amp;""))</f>
        <v/>
      </c>
      <c r="N337" s="27">
        <f>IF(J337&lt;&gt;"Won","",IF(E337="",N(I337),I337-M337))</f>
        <v/>
      </c>
      <c r="O337" s="24" t="n"/>
    </row>
    <row r="338" ht="15" customHeight="1">
      <c r="A338" s="72" t="n"/>
      <c r="B338" s="24" t="n"/>
      <c r="C338" s="24" t="n"/>
      <c r="D338" s="24" t="n"/>
      <c r="E338" s="24" t="n"/>
      <c r="F338" s="25">
        <f>IF(E338="","",IF(COUNTIF(lst_Jobs,E338&amp;"")&gt;0,"OK","CHECK"))</f>
        <v/>
      </c>
      <c r="G338" s="24" t="n"/>
      <c r="H338" s="24" t="n"/>
      <c r="I338" s="26" t="n"/>
      <c r="J338" s="24" t="n"/>
      <c r="K338" s="22" t="n"/>
      <c r="L338" s="72" t="n"/>
      <c r="M338" s="27">
        <f>IF(E338="","",SUMIFS(tbl_Finance[Ex GST],tbl_Finance[Job Number],E338&amp;""))</f>
        <v/>
      </c>
      <c r="N338" s="27">
        <f>IF(J338&lt;&gt;"Won","",IF(E338="",N(I338),I338-M338))</f>
        <v/>
      </c>
      <c r="O338" s="24" t="n"/>
    </row>
    <row r="339" ht="15" customHeight="1">
      <c r="A339" s="72" t="n"/>
      <c r="B339" s="24" t="n"/>
      <c r="C339" s="24" t="n"/>
      <c r="D339" s="24" t="n"/>
      <c r="E339" s="24" t="n"/>
      <c r="F339" s="25">
        <f>IF(E339="","",IF(COUNTIF(lst_Jobs,E339&amp;"")&gt;0,"OK","CHECK"))</f>
        <v/>
      </c>
      <c r="G339" s="24" t="n"/>
      <c r="H339" s="24" t="n"/>
      <c r="I339" s="26" t="n"/>
      <c r="J339" s="24" t="n"/>
      <c r="K339" s="22" t="n"/>
      <c r="L339" s="72" t="n"/>
      <c r="M339" s="27">
        <f>IF(E339="","",SUMIFS(tbl_Finance[Ex GST],tbl_Finance[Job Number],E339&amp;""))</f>
        <v/>
      </c>
      <c r="N339" s="27">
        <f>IF(J339&lt;&gt;"Won","",IF(E339="",N(I339),I339-M339))</f>
        <v/>
      </c>
      <c r="O339" s="24" t="n"/>
    </row>
    <row r="340" ht="15" customHeight="1">
      <c r="A340" s="72" t="n"/>
      <c r="B340" s="24" t="n"/>
      <c r="C340" s="24" t="n"/>
      <c r="D340" s="24" t="n"/>
      <c r="E340" s="24" t="n"/>
      <c r="F340" s="25">
        <f>IF(E340="","",IF(COUNTIF(lst_Jobs,E340&amp;"")&gt;0,"OK","CHECK"))</f>
        <v/>
      </c>
      <c r="G340" s="24" t="n"/>
      <c r="H340" s="24" t="n"/>
      <c r="I340" s="26" t="n"/>
      <c r="J340" s="24" t="n"/>
      <c r="K340" s="22" t="n"/>
      <c r="L340" s="72" t="n"/>
      <c r="M340" s="27">
        <f>IF(E340="","",SUMIFS(tbl_Finance[Ex GST],tbl_Finance[Job Number],E340&amp;""))</f>
        <v/>
      </c>
      <c r="N340" s="27">
        <f>IF(J340&lt;&gt;"Won","",IF(E340="",N(I340),I340-M340))</f>
        <v/>
      </c>
      <c r="O340" s="24" t="n"/>
    </row>
    <row r="341" ht="15" customHeight="1">
      <c r="A341" s="72" t="n"/>
      <c r="B341" s="24" t="n"/>
      <c r="C341" s="24" t="n"/>
      <c r="D341" s="24" t="n"/>
      <c r="E341" s="24" t="n"/>
      <c r="F341" s="25">
        <f>IF(E341="","",IF(COUNTIF(lst_Jobs,E341&amp;"")&gt;0,"OK","CHECK"))</f>
        <v/>
      </c>
      <c r="G341" s="24" t="n"/>
      <c r="H341" s="24" t="n"/>
      <c r="I341" s="26" t="n"/>
      <c r="J341" s="24" t="n"/>
      <c r="K341" s="22" t="n"/>
      <c r="L341" s="72" t="n"/>
      <c r="M341" s="27">
        <f>IF(E341="","",SUMIFS(tbl_Finance[Ex GST],tbl_Finance[Job Number],E341&amp;""))</f>
        <v/>
      </c>
      <c r="N341" s="27">
        <f>IF(J341&lt;&gt;"Won","",IF(E341="",N(I341),I341-M341))</f>
        <v/>
      </c>
      <c r="O341" s="24" t="n"/>
    </row>
    <row r="342" ht="15" customHeight="1">
      <c r="A342" s="72" t="n"/>
      <c r="B342" s="24" t="n"/>
      <c r="C342" s="24" t="n"/>
      <c r="D342" s="24" t="n"/>
      <c r="E342" s="24" t="n"/>
      <c r="F342" s="25">
        <f>IF(E342="","",IF(COUNTIF(lst_Jobs,E342&amp;"")&gt;0,"OK","CHECK"))</f>
        <v/>
      </c>
      <c r="G342" s="24" t="n"/>
      <c r="H342" s="24" t="n"/>
      <c r="I342" s="26" t="n"/>
      <c r="J342" s="24" t="n"/>
      <c r="K342" s="22" t="n"/>
      <c r="L342" s="72" t="n"/>
      <c r="M342" s="27">
        <f>IF(E342="","",SUMIFS(tbl_Finance[Ex GST],tbl_Finance[Job Number],E342&amp;""))</f>
        <v/>
      </c>
      <c r="N342" s="27">
        <f>IF(J342&lt;&gt;"Won","",IF(E342="",N(I342),I342-M342))</f>
        <v/>
      </c>
      <c r="O342" s="24" t="n"/>
    </row>
    <row r="343" ht="15" customHeight="1">
      <c r="A343" s="72" t="n"/>
      <c r="B343" s="24" t="n"/>
      <c r="C343" s="24" t="n"/>
      <c r="D343" s="24" t="n"/>
      <c r="E343" s="24" t="n"/>
      <c r="F343" s="25">
        <f>IF(E343="","",IF(COUNTIF(lst_Jobs,E343&amp;"")&gt;0,"OK","CHECK"))</f>
        <v/>
      </c>
      <c r="G343" s="24" t="n"/>
      <c r="H343" s="24" t="n"/>
      <c r="I343" s="26" t="n"/>
      <c r="J343" s="24" t="n"/>
      <c r="K343" s="22" t="n"/>
      <c r="L343" s="72" t="n"/>
      <c r="M343" s="27">
        <f>IF(E343="","",SUMIFS(tbl_Finance[Ex GST],tbl_Finance[Job Number],E343&amp;""))</f>
        <v/>
      </c>
      <c r="N343" s="27">
        <f>IF(J343&lt;&gt;"Won","",IF(E343="",N(I343),I343-M343))</f>
        <v/>
      </c>
      <c r="O343" s="24" t="n"/>
    </row>
    <row r="344" ht="15" customHeight="1">
      <c r="A344" s="72" t="n"/>
      <c r="B344" s="24" t="n"/>
      <c r="C344" s="24" t="n"/>
      <c r="D344" s="24" t="n"/>
      <c r="E344" s="24" t="n"/>
      <c r="F344" s="25">
        <f>IF(E344="","",IF(COUNTIF(lst_Jobs,E344&amp;"")&gt;0,"OK","CHECK"))</f>
        <v/>
      </c>
      <c r="G344" s="24" t="n"/>
      <c r="H344" s="24" t="n"/>
      <c r="I344" s="26" t="n"/>
      <c r="J344" s="24" t="n"/>
      <c r="K344" s="22" t="n"/>
      <c r="L344" s="72" t="n"/>
      <c r="M344" s="27">
        <f>IF(E344="","",SUMIFS(tbl_Finance[Ex GST],tbl_Finance[Job Number],E344&amp;""))</f>
        <v/>
      </c>
      <c r="N344" s="27">
        <f>IF(J344&lt;&gt;"Won","",IF(E344="",N(I344),I344-M344))</f>
        <v/>
      </c>
      <c r="O344" s="24" t="n"/>
    </row>
    <row r="345" ht="15" customHeight="1">
      <c r="A345" s="72" t="n"/>
      <c r="B345" s="24" t="n"/>
      <c r="C345" s="24" t="n"/>
      <c r="D345" s="24" t="n"/>
      <c r="E345" s="24" t="n"/>
      <c r="F345" s="25">
        <f>IF(E345="","",IF(COUNTIF(lst_Jobs,E345&amp;"")&gt;0,"OK","CHECK"))</f>
        <v/>
      </c>
      <c r="G345" s="24" t="n"/>
      <c r="H345" s="24" t="n"/>
      <c r="I345" s="26" t="n"/>
      <c r="J345" s="24" t="n"/>
      <c r="K345" s="22" t="n"/>
      <c r="L345" s="72" t="n"/>
      <c r="M345" s="27">
        <f>IF(E345="","",SUMIFS(tbl_Finance[Ex GST],tbl_Finance[Job Number],E345&amp;""))</f>
        <v/>
      </c>
      <c r="N345" s="27">
        <f>IF(J345&lt;&gt;"Won","",IF(E345="",N(I345),I345-M345))</f>
        <v/>
      </c>
      <c r="O345" s="24" t="n"/>
    </row>
    <row r="346" ht="15" customHeight="1">
      <c r="A346" s="72" t="n"/>
      <c r="B346" s="24" t="n"/>
      <c r="C346" s="24" t="n"/>
      <c r="D346" s="24" t="n"/>
      <c r="E346" s="24" t="n"/>
      <c r="F346" s="25">
        <f>IF(E346="","",IF(COUNTIF(lst_Jobs,E346&amp;"")&gt;0,"OK","CHECK"))</f>
        <v/>
      </c>
      <c r="G346" s="24" t="n"/>
      <c r="H346" s="24" t="n"/>
      <c r="I346" s="26" t="n"/>
      <c r="J346" s="24" t="n"/>
      <c r="K346" s="22" t="n"/>
      <c r="L346" s="72" t="n"/>
      <c r="M346" s="27">
        <f>IF(E346="","",SUMIFS(tbl_Finance[Ex GST],tbl_Finance[Job Number],E346&amp;""))</f>
        <v/>
      </c>
      <c r="N346" s="27">
        <f>IF(J346&lt;&gt;"Won","",IF(E346="",N(I346),I346-M346))</f>
        <v/>
      </c>
      <c r="O346" s="24" t="n"/>
    </row>
    <row r="347" ht="15" customHeight="1">
      <c r="A347" s="72" t="n"/>
      <c r="B347" s="24" t="n"/>
      <c r="C347" s="24" t="n"/>
      <c r="D347" s="24" t="n"/>
      <c r="E347" s="24" t="n"/>
      <c r="F347" s="25">
        <f>IF(E347="","",IF(COUNTIF(lst_Jobs,E347&amp;"")&gt;0,"OK","CHECK"))</f>
        <v/>
      </c>
      <c r="G347" s="24" t="n"/>
      <c r="H347" s="24" t="n"/>
      <c r="I347" s="26" t="n"/>
      <c r="J347" s="24" t="n"/>
      <c r="K347" s="22" t="n"/>
      <c r="L347" s="72" t="n"/>
      <c r="M347" s="27">
        <f>IF(E347="","",SUMIFS(tbl_Finance[Ex GST],tbl_Finance[Job Number],E347&amp;""))</f>
        <v/>
      </c>
      <c r="N347" s="27">
        <f>IF(J347&lt;&gt;"Won","",IF(E347="",N(I347),I347-M347))</f>
        <v/>
      </c>
      <c r="O347" s="24" t="n"/>
    </row>
    <row r="348" ht="15" customHeight="1">
      <c r="A348" s="72" t="n"/>
      <c r="B348" s="24" t="n"/>
      <c r="C348" s="24" t="n"/>
      <c r="D348" s="24" t="n"/>
      <c r="E348" s="24" t="n"/>
      <c r="F348" s="25">
        <f>IF(E348="","",IF(COUNTIF(lst_Jobs,E348&amp;"")&gt;0,"OK","CHECK"))</f>
        <v/>
      </c>
      <c r="G348" s="24" t="n"/>
      <c r="H348" s="24" t="n"/>
      <c r="I348" s="26" t="n"/>
      <c r="J348" s="24" t="n"/>
      <c r="K348" s="22" t="n"/>
      <c r="L348" s="72" t="n"/>
      <c r="M348" s="27">
        <f>IF(E348="","",SUMIFS(tbl_Finance[Ex GST],tbl_Finance[Job Number],E348&amp;""))</f>
        <v/>
      </c>
      <c r="N348" s="27">
        <f>IF(J348&lt;&gt;"Won","",IF(E348="",N(I348),I348-M348))</f>
        <v/>
      </c>
      <c r="O348" s="24" t="n"/>
    </row>
    <row r="349" ht="15" customHeight="1">
      <c r="A349" s="72" t="n"/>
      <c r="B349" s="24" t="n"/>
      <c r="C349" s="24" t="n"/>
      <c r="D349" s="24" t="n"/>
      <c r="E349" s="24" t="n"/>
      <c r="F349" s="25">
        <f>IF(E349="","",IF(COUNTIF(lst_Jobs,E349&amp;"")&gt;0,"OK","CHECK"))</f>
        <v/>
      </c>
      <c r="G349" s="24" t="n"/>
      <c r="H349" s="24" t="n"/>
      <c r="I349" s="26" t="n"/>
      <c r="J349" s="24" t="n"/>
      <c r="K349" s="22" t="n"/>
      <c r="L349" s="72" t="n"/>
      <c r="M349" s="27">
        <f>IF(E349="","",SUMIFS(tbl_Finance[Ex GST],tbl_Finance[Job Number],E349&amp;""))</f>
        <v/>
      </c>
      <c r="N349" s="27">
        <f>IF(J349&lt;&gt;"Won","",IF(E349="",N(I349),I349-M349))</f>
        <v/>
      </c>
      <c r="O349" s="24" t="n"/>
    </row>
    <row r="350" ht="15" customHeight="1">
      <c r="A350" s="72" t="n"/>
      <c r="B350" s="24" t="n"/>
      <c r="C350" s="24" t="n"/>
      <c r="D350" s="24" t="n"/>
      <c r="E350" s="24" t="n"/>
      <c r="F350" s="25">
        <f>IF(E350="","",IF(COUNTIF(lst_Jobs,E350&amp;"")&gt;0,"OK","CHECK"))</f>
        <v/>
      </c>
      <c r="G350" s="24" t="n"/>
      <c r="H350" s="24" t="n"/>
      <c r="I350" s="26" t="n"/>
      <c r="J350" s="24" t="n"/>
      <c r="K350" s="22" t="n"/>
      <c r="L350" s="72" t="n"/>
      <c r="M350" s="27">
        <f>IF(E350="","",SUMIFS(tbl_Finance[Ex GST],tbl_Finance[Job Number],E350&amp;""))</f>
        <v/>
      </c>
      <c r="N350" s="27">
        <f>IF(J350&lt;&gt;"Won","",IF(E350="",N(I350),I350-M350))</f>
        <v/>
      </c>
      <c r="O350" s="24" t="n"/>
    </row>
    <row r="351" ht="15" customHeight="1">
      <c r="A351" s="72" t="n"/>
      <c r="B351" s="24" t="n"/>
      <c r="C351" s="24" t="n"/>
      <c r="D351" s="24" t="n"/>
      <c r="E351" s="24" t="n"/>
      <c r="F351" s="25">
        <f>IF(E351="","",IF(COUNTIF(lst_Jobs,E351&amp;"")&gt;0,"OK","CHECK"))</f>
        <v/>
      </c>
      <c r="G351" s="24" t="n"/>
      <c r="H351" s="24" t="n"/>
      <c r="I351" s="26" t="n"/>
      <c r="J351" s="24" t="n"/>
      <c r="K351" s="22" t="n"/>
      <c r="L351" s="72" t="n"/>
      <c r="M351" s="27">
        <f>IF(E351="","",SUMIFS(tbl_Finance[Ex GST],tbl_Finance[Job Number],E351&amp;""))</f>
        <v/>
      </c>
      <c r="N351" s="27">
        <f>IF(J351&lt;&gt;"Won","",IF(E351="",N(I351),I351-M351))</f>
        <v/>
      </c>
      <c r="O351" s="24" t="n"/>
    </row>
    <row r="352" ht="15" customHeight="1">
      <c r="A352" s="72" t="n"/>
      <c r="B352" s="24" t="n"/>
      <c r="C352" s="24" t="n"/>
      <c r="D352" s="24" t="n"/>
      <c r="E352" s="24" t="n"/>
      <c r="F352" s="25">
        <f>IF(E352="","",IF(COUNTIF(lst_Jobs,E352&amp;"")&gt;0,"OK","CHECK"))</f>
        <v/>
      </c>
      <c r="G352" s="24" t="n"/>
      <c r="H352" s="24" t="n"/>
      <c r="I352" s="26" t="n"/>
      <c r="J352" s="24" t="n"/>
      <c r="K352" s="22" t="n"/>
      <c r="L352" s="72" t="n"/>
      <c r="M352" s="27">
        <f>IF(E352="","",SUMIFS(tbl_Finance[Ex GST],tbl_Finance[Job Number],E352&amp;""))</f>
        <v/>
      </c>
      <c r="N352" s="27">
        <f>IF(J352&lt;&gt;"Won","",IF(E352="",N(I352),I352-M352))</f>
        <v/>
      </c>
      <c r="O352" s="24" t="n"/>
    </row>
    <row r="353" ht="15" customHeight="1">
      <c r="A353" s="72" t="n"/>
      <c r="B353" s="24" t="n"/>
      <c r="C353" s="24" t="n"/>
      <c r="D353" s="24" t="n"/>
      <c r="E353" s="24" t="n"/>
      <c r="F353" s="25">
        <f>IF(E353="","",IF(COUNTIF(lst_Jobs,E353&amp;"")&gt;0,"OK","CHECK"))</f>
        <v/>
      </c>
      <c r="G353" s="24" t="n"/>
      <c r="H353" s="24" t="n"/>
      <c r="I353" s="26" t="n"/>
      <c r="J353" s="24" t="n"/>
      <c r="K353" s="22" t="n"/>
      <c r="L353" s="72" t="n"/>
      <c r="M353" s="27">
        <f>IF(E353="","",SUMIFS(tbl_Finance[Ex GST],tbl_Finance[Job Number],E353&amp;""))</f>
        <v/>
      </c>
      <c r="N353" s="27">
        <f>IF(J353&lt;&gt;"Won","",IF(E353="",N(I353),I353-M353))</f>
        <v/>
      </c>
      <c r="O353" s="24" t="n"/>
    </row>
    <row r="354" ht="15" customHeight="1">
      <c r="A354" s="72" t="n"/>
      <c r="B354" s="24" t="n"/>
      <c r="C354" s="24" t="n"/>
      <c r="D354" s="24" t="n"/>
      <c r="E354" s="24" t="n"/>
      <c r="F354" s="25">
        <f>IF(E354="","",IF(COUNTIF(lst_Jobs,E354&amp;"")&gt;0,"OK","CHECK"))</f>
        <v/>
      </c>
      <c r="G354" s="24" t="n"/>
      <c r="H354" s="24" t="n"/>
      <c r="I354" s="26" t="n"/>
      <c r="J354" s="24" t="n"/>
      <c r="K354" s="22" t="n"/>
      <c r="L354" s="72" t="n"/>
      <c r="M354" s="27">
        <f>IF(E354="","",SUMIFS(tbl_Finance[Ex GST],tbl_Finance[Job Number],E354&amp;""))</f>
        <v/>
      </c>
      <c r="N354" s="27">
        <f>IF(J354&lt;&gt;"Won","",IF(E354="",N(I354),I354-M354))</f>
        <v/>
      </c>
      <c r="O354" s="24" t="n"/>
    </row>
    <row r="355" ht="15" customHeight="1">
      <c r="A355" s="72" t="n"/>
      <c r="B355" s="24" t="n"/>
      <c r="C355" s="24" t="n"/>
      <c r="D355" s="24" t="n"/>
      <c r="E355" s="24" t="n"/>
      <c r="F355" s="25">
        <f>IF(E355="","",IF(COUNTIF(lst_Jobs,E355&amp;"")&gt;0,"OK","CHECK"))</f>
        <v/>
      </c>
      <c r="G355" s="24" t="n"/>
      <c r="H355" s="24" t="n"/>
      <c r="I355" s="26" t="n"/>
      <c r="J355" s="24" t="n"/>
      <c r="K355" s="22" t="n"/>
      <c r="L355" s="72" t="n"/>
      <c r="M355" s="27">
        <f>IF(E355="","",SUMIFS(tbl_Finance[Ex GST],tbl_Finance[Job Number],E355&amp;""))</f>
        <v/>
      </c>
      <c r="N355" s="27">
        <f>IF(J355&lt;&gt;"Won","",IF(E355="",N(I355),I355-M355))</f>
        <v/>
      </c>
      <c r="O355" s="24" t="n"/>
    </row>
    <row r="356" ht="15" customHeight="1">
      <c r="A356" s="72" t="n"/>
      <c r="B356" s="24" t="n"/>
      <c r="C356" s="24" t="n"/>
      <c r="D356" s="24" t="n"/>
      <c r="E356" s="24" t="n"/>
      <c r="F356" s="25">
        <f>IF(E356="","",IF(COUNTIF(lst_Jobs,E356&amp;"")&gt;0,"OK","CHECK"))</f>
        <v/>
      </c>
      <c r="G356" s="24" t="n"/>
      <c r="H356" s="24" t="n"/>
      <c r="I356" s="26" t="n"/>
      <c r="J356" s="24" t="n"/>
      <c r="K356" s="22" t="n"/>
      <c r="L356" s="72" t="n"/>
      <c r="M356" s="27">
        <f>IF(E356="","",SUMIFS(tbl_Finance[Ex GST],tbl_Finance[Job Number],E356&amp;""))</f>
        <v/>
      </c>
      <c r="N356" s="27">
        <f>IF(J356&lt;&gt;"Won","",IF(E356="",N(I356),I356-M356))</f>
        <v/>
      </c>
      <c r="O356" s="24" t="n"/>
    </row>
    <row r="357" ht="15" customHeight="1">
      <c r="A357" s="72" t="n"/>
      <c r="B357" s="24" t="n"/>
      <c r="C357" s="24" t="n"/>
      <c r="D357" s="24" t="n"/>
      <c r="E357" s="24" t="n"/>
      <c r="F357" s="25">
        <f>IF(E357="","",IF(COUNTIF(lst_Jobs,E357&amp;"")&gt;0,"OK","CHECK"))</f>
        <v/>
      </c>
      <c r="G357" s="24" t="n"/>
      <c r="H357" s="24" t="n"/>
      <c r="I357" s="26" t="n"/>
      <c r="J357" s="24" t="n"/>
      <c r="K357" s="22" t="n"/>
      <c r="L357" s="72" t="n"/>
      <c r="M357" s="27">
        <f>IF(E357="","",SUMIFS(tbl_Finance[Ex GST],tbl_Finance[Job Number],E357&amp;""))</f>
        <v/>
      </c>
      <c r="N357" s="27">
        <f>IF(J357&lt;&gt;"Won","",IF(E357="",N(I357),I357-M357))</f>
        <v/>
      </c>
      <c r="O357" s="24" t="n"/>
    </row>
    <row r="358" ht="15" customHeight="1">
      <c r="A358" s="72" t="n"/>
      <c r="B358" s="24" t="n"/>
      <c r="C358" s="24" t="n"/>
      <c r="D358" s="24" t="n"/>
      <c r="E358" s="24" t="n"/>
      <c r="F358" s="25">
        <f>IF(E358="","",IF(COUNTIF(lst_Jobs,E358&amp;"")&gt;0,"OK","CHECK"))</f>
        <v/>
      </c>
      <c r="G358" s="24" t="n"/>
      <c r="H358" s="24" t="n"/>
      <c r="I358" s="26" t="n"/>
      <c r="J358" s="24" t="n"/>
      <c r="K358" s="22" t="n"/>
      <c r="L358" s="72" t="n"/>
      <c r="M358" s="27">
        <f>IF(E358="","",SUMIFS(tbl_Finance[Ex GST],tbl_Finance[Job Number],E358&amp;""))</f>
        <v/>
      </c>
      <c r="N358" s="27">
        <f>IF(J358&lt;&gt;"Won","",IF(E358="",N(I358),I358-M358))</f>
        <v/>
      </c>
      <c r="O358" s="24" t="n"/>
    </row>
    <row r="359" ht="15" customHeight="1">
      <c r="A359" s="72" t="n"/>
      <c r="B359" s="24" t="n"/>
      <c r="C359" s="24" t="n"/>
      <c r="D359" s="24" t="n"/>
      <c r="E359" s="24" t="n"/>
      <c r="F359" s="25">
        <f>IF(E359="","",IF(COUNTIF(lst_Jobs,E359&amp;"")&gt;0,"OK","CHECK"))</f>
        <v/>
      </c>
      <c r="G359" s="24" t="n"/>
      <c r="H359" s="24" t="n"/>
      <c r="I359" s="26" t="n"/>
      <c r="J359" s="24" t="n"/>
      <c r="K359" s="22" t="n"/>
      <c r="L359" s="72" t="n"/>
      <c r="M359" s="27">
        <f>IF(E359="","",SUMIFS(tbl_Finance[Ex GST],tbl_Finance[Job Number],E359&amp;""))</f>
        <v/>
      </c>
      <c r="N359" s="27">
        <f>IF(J359&lt;&gt;"Won","",IF(E359="",N(I359),I359-M359))</f>
        <v/>
      </c>
      <c r="O359" s="24" t="n"/>
    </row>
    <row r="360" ht="15" customHeight="1">
      <c r="A360" s="72" t="n"/>
      <c r="B360" s="24" t="n"/>
      <c r="C360" s="24" t="n"/>
      <c r="D360" s="24" t="n"/>
      <c r="E360" s="24" t="n"/>
      <c r="F360" s="25">
        <f>IF(E360="","",IF(COUNTIF(lst_Jobs,E360&amp;"")&gt;0,"OK","CHECK"))</f>
        <v/>
      </c>
      <c r="G360" s="24" t="n"/>
      <c r="H360" s="24" t="n"/>
      <c r="I360" s="26" t="n"/>
      <c r="J360" s="24" t="n"/>
      <c r="K360" s="22" t="n"/>
      <c r="L360" s="72" t="n"/>
      <c r="M360" s="27">
        <f>IF(E360="","",SUMIFS(tbl_Finance[Ex GST],tbl_Finance[Job Number],E360&amp;""))</f>
        <v/>
      </c>
      <c r="N360" s="27">
        <f>IF(J360&lt;&gt;"Won","",IF(E360="",N(I360),I360-M360))</f>
        <v/>
      </c>
      <c r="O360" s="24" t="n"/>
    </row>
    <row r="361" ht="15" customHeight="1">
      <c r="A361" s="72" t="n"/>
      <c r="B361" s="24" t="n"/>
      <c r="C361" s="24" t="n"/>
      <c r="D361" s="24" t="n"/>
      <c r="E361" s="24" t="n"/>
      <c r="F361" s="25">
        <f>IF(E361="","",IF(COUNTIF(lst_Jobs,E361&amp;"")&gt;0,"OK","CHECK"))</f>
        <v/>
      </c>
      <c r="G361" s="24" t="n"/>
      <c r="H361" s="24" t="n"/>
      <c r="I361" s="26" t="n"/>
      <c r="J361" s="24" t="n"/>
      <c r="K361" s="22" t="n"/>
      <c r="L361" s="72" t="n"/>
      <c r="M361" s="27">
        <f>IF(E361="","",SUMIFS(tbl_Finance[Ex GST],tbl_Finance[Job Number],E361&amp;""))</f>
        <v/>
      </c>
      <c r="N361" s="27">
        <f>IF(J361&lt;&gt;"Won","",IF(E361="",N(I361),I361-M361))</f>
        <v/>
      </c>
      <c r="O361" s="24" t="n"/>
    </row>
    <row r="362" ht="15" customHeight="1">
      <c r="A362" s="72" t="n"/>
      <c r="B362" s="24" t="n"/>
      <c r="C362" s="24" t="n"/>
      <c r="D362" s="24" t="n"/>
      <c r="E362" s="24" t="n"/>
      <c r="F362" s="25">
        <f>IF(E362="","",IF(COUNTIF(lst_Jobs,E362&amp;"")&gt;0,"OK","CHECK"))</f>
        <v/>
      </c>
      <c r="G362" s="24" t="n"/>
      <c r="H362" s="24" t="n"/>
      <c r="I362" s="26" t="n"/>
      <c r="J362" s="24" t="n"/>
      <c r="K362" s="22" t="n"/>
      <c r="L362" s="72" t="n"/>
      <c r="M362" s="27">
        <f>IF(E362="","",SUMIFS(tbl_Finance[Ex GST],tbl_Finance[Job Number],E362&amp;""))</f>
        <v/>
      </c>
      <c r="N362" s="27">
        <f>IF(J362&lt;&gt;"Won","",IF(E362="",N(I362),I362-M362))</f>
        <v/>
      </c>
      <c r="O362" s="24" t="n"/>
    </row>
    <row r="363" ht="15" customHeight="1">
      <c r="A363" s="72" t="n"/>
      <c r="B363" s="24" t="n"/>
      <c r="C363" s="24" t="n"/>
      <c r="D363" s="24" t="n"/>
      <c r="E363" s="24" t="n"/>
      <c r="F363" s="25">
        <f>IF(E363="","",IF(COUNTIF(lst_Jobs,E363&amp;"")&gt;0,"OK","CHECK"))</f>
        <v/>
      </c>
      <c r="G363" s="24" t="n"/>
      <c r="H363" s="24" t="n"/>
      <c r="I363" s="26" t="n"/>
      <c r="J363" s="24" t="n"/>
      <c r="K363" s="22" t="n"/>
      <c r="L363" s="72" t="n"/>
      <c r="M363" s="27">
        <f>IF(E363="","",SUMIFS(tbl_Finance[Ex GST],tbl_Finance[Job Number],E363&amp;""))</f>
        <v/>
      </c>
      <c r="N363" s="27">
        <f>IF(J363&lt;&gt;"Won","",IF(E363="",N(I363),I363-M363))</f>
        <v/>
      </c>
      <c r="O363" s="24" t="n"/>
    </row>
    <row r="364" ht="15" customHeight="1">
      <c r="A364" s="72" t="n"/>
      <c r="B364" s="24" t="n"/>
      <c r="C364" s="24" t="n"/>
      <c r="D364" s="24" t="n"/>
      <c r="E364" s="24" t="n"/>
      <c r="F364" s="25">
        <f>IF(E364="","",IF(COUNTIF(lst_Jobs,E364&amp;"")&gt;0,"OK","CHECK"))</f>
        <v/>
      </c>
      <c r="G364" s="24" t="n"/>
      <c r="H364" s="24" t="n"/>
      <c r="I364" s="26" t="n"/>
      <c r="J364" s="24" t="n"/>
      <c r="K364" s="22" t="n"/>
      <c r="L364" s="72" t="n"/>
      <c r="M364" s="27">
        <f>IF(E364="","",SUMIFS(tbl_Finance[Ex GST],tbl_Finance[Job Number],E364&amp;""))</f>
        <v/>
      </c>
      <c r="N364" s="27">
        <f>IF(J364&lt;&gt;"Won","",IF(E364="",N(I364),I364-M364))</f>
        <v/>
      </c>
      <c r="O364" s="24" t="n"/>
    </row>
    <row r="365" ht="15" customHeight="1">
      <c r="A365" s="72" t="n"/>
      <c r="B365" s="24" t="n"/>
      <c r="C365" s="24" t="n"/>
      <c r="D365" s="24" t="n"/>
      <c r="E365" s="24" t="n"/>
      <c r="F365" s="25">
        <f>IF(E365="","",IF(COUNTIF(lst_Jobs,E365&amp;"")&gt;0,"OK","CHECK"))</f>
        <v/>
      </c>
      <c r="G365" s="24" t="n"/>
      <c r="H365" s="24" t="n"/>
      <c r="I365" s="26" t="n"/>
      <c r="J365" s="24" t="n"/>
      <c r="K365" s="22" t="n"/>
      <c r="L365" s="72" t="n"/>
      <c r="M365" s="27">
        <f>IF(E365="","",SUMIFS(tbl_Finance[Ex GST],tbl_Finance[Job Number],E365&amp;""))</f>
        <v/>
      </c>
      <c r="N365" s="27">
        <f>IF(J365&lt;&gt;"Won","",IF(E365="",N(I365),I365-M365))</f>
        <v/>
      </c>
      <c r="O365" s="24" t="n"/>
    </row>
    <row r="366" ht="15" customHeight="1">
      <c r="A366" s="72" t="n"/>
      <c r="B366" s="24" t="n"/>
      <c r="C366" s="24" t="n"/>
      <c r="D366" s="24" t="n"/>
      <c r="E366" s="24" t="n"/>
      <c r="F366" s="25">
        <f>IF(E366="","",IF(COUNTIF(lst_Jobs,E366&amp;"")&gt;0,"OK","CHECK"))</f>
        <v/>
      </c>
      <c r="G366" s="24" t="n"/>
      <c r="H366" s="24" t="n"/>
      <c r="I366" s="26" t="n"/>
      <c r="J366" s="24" t="n"/>
      <c r="K366" s="22" t="n"/>
      <c r="L366" s="72" t="n"/>
      <c r="M366" s="27">
        <f>IF(E366="","",SUMIFS(tbl_Finance[Ex GST],tbl_Finance[Job Number],E366&amp;""))</f>
        <v/>
      </c>
      <c r="N366" s="27">
        <f>IF(J366&lt;&gt;"Won","",IF(E366="",N(I366),I366-M366))</f>
        <v/>
      </c>
      <c r="O366" s="24" t="n"/>
    </row>
    <row r="367" ht="15" customHeight="1">
      <c r="A367" s="72" t="n"/>
      <c r="B367" s="24" t="n"/>
      <c r="C367" s="24" t="n"/>
      <c r="D367" s="24" t="n"/>
      <c r="E367" s="24" t="n"/>
      <c r="F367" s="25">
        <f>IF(E367="","",IF(COUNTIF(lst_Jobs,E367&amp;"")&gt;0,"OK","CHECK"))</f>
        <v/>
      </c>
      <c r="G367" s="24" t="n"/>
      <c r="H367" s="24" t="n"/>
      <c r="I367" s="26" t="n"/>
      <c r="J367" s="24" t="n"/>
      <c r="K367" s="22" t="n"/>
      <c r="L367" s="72" t="n"/>
      <c r="M367" s="27">
        <f>IF(E367="","",SUMIFS(tbl_Finance[Ex GST],tbl_Finance[Job Number],E367&amp;""))</f>
        <v/>
      </c>
      <c r="N367" s="27">
        <f>IF(J367&lt;&gt;"Won","",IF(E367="",N(I367),I367-M367))</f>
        <v/>
      </c>
      <c r="O367" s="24" t="n"/>
    </row>
    <row r="368" ht="15" customHeight="1">
      <c r="A368" s="72" t="n"/>
      <c r="B368" s="24" t="n"/>
      <c r="C368" s="24" t="n"/>
      <c r="D368" s="24" t="n"/>
      <c r="E368" s="24" t="n"/>
      <c r="F368" s="25">
        <f>IF(E368="","",IF(COUNTIF(lst_Jobs,E368&amp;"")&gt;0,"OK","CHECK"))</f>
        <v/>
      </c>
      <c r="G368" s="24" t="n"/>
      <c r="H368" s="24" t="n"/>
      <c r="I368" s="26" t="n"/>
      <c r="J368" s="24" t="n"/>
      <c r="K368" s="22" t="n"/>
      <c r="L368" s="72" t="n"/>
      <c r="M368" s="27">
        <f>IF(E368="","",SUMIFS(tbl_Finance[Ex GST],tbl_Finance[Job Number],E368&amp;""))</f>
        <v/>
      </c>
      <c r="N368" s="27">
        <f>IF(J368&lt;&gt;"Won","",IF(E368="",N(I368),I368-M368))</f>
        <v/>
      </c>
      <c r="O368" s="24" t="n"/>
    </row>
    <row r="369" ht="15" customHeight="1">
      <c r="A369" s="72" t="n"/>
      <c r="B369" s="24" t="n"/>
      <c r="C369" s="24" t="n"/>
      <c r="D369" s="24" t="n"/>
      <c r="E369" s="24" t="n"/>
      <c r="F369" s="25">
        <f>IF(E369="","",IF(COUNTIF(lst_Jobs,E369&amp;"")&gt;0,"OK","CHECK"))</f>
        <v/>
      </c>
      <c r="G369" s="24" t="n"/>
      <c r="H369" s="24" t="n"/>
      <c r="I369" s="26" t="n"/>
      <c r="J369" s="24" t="n"/>
      <c r="K369" s="22" t="n"/>
      <c r="L369" s="72" t="n"/>
      <c r="M369" s="27">
        <f>IF(E369="","",SUMIFS(tbl_Finance[Ex GST],tbl_Finance[Job Number],E369&amp;""))</f>
        <v/>
      </c>
      <c r="N369" s="27">
        <f>IF(J369&lt;&gt;"Won","",IF(E369="",N(I369),I369-M369))</f>
        <v/>
      </c>
      <c r="O369" s="24" t="n"/>
    </row>
    <row r="370" ht="15" customHeight="1">
      <c r="A370" s="72" t="n"/>
      <c r="B370" s="24" t="n"/>
      <c r="C370" s="24" t="n"/>
      <c r="D370" s="24" t="n"/>
      <c r="E370" s="24" t="n"/>
      <c r="F370" s="25">
        <f>IF(E370="","",IF(COUNTIF(lst_Jobs,E370&amp;"")&gt;0,"OK","CHECK"))</f>
        <v/>
      </c>
      <c r="G370" s="24" t="n"/>
      <c r="H370" s="24" t="n"/>
      <c r="I370" s="26" t="n"/>
      <c r="J370" s="24" t="n"/>
      <c r="K370" s="22" t="n"/>
      <c r="L370" s="72" t="n"/>
      <c r="M370" s="27">
        <f>IF(E370="","",SUMIFS(tbl_Finance[Ex GST],tbl_Finance[Job Number],E370&amp;""))</f>
        <v/>
      </c>
      <c r="N370" s="27">
        <f>IF(J370&lt;&gt;"Won","",IF(E370="",N(I370),I370-M370))</f>
        <v/>
      </c>
      <c r="O370" s="24" t="n"/>
    </row>
    <row r="371" ht="15" customHeight="1">
      <c r="A371" s="72" t="n"/>
      <c r="B371" s="24" t="n"/>
      <c r="C371" s="24" t="n"/>
      <c r="D371" s="24" t="n"/>
      <c r="E371" s="24" t="n"/>
      <c r="F371" s="25">
        <f>IF(E371="","",IF(COUNTIF(lst_Jobs,E371&amp;"")&gt;0,"OK","CHECK"))</f>
        <v/>
      </c>
      <c r="G371" s="24" t="n"/>
      <c r="H371" s="24" t="n"/>
      <c r="I371" s="26" t="n"/>
      <c r="J371" s="24" t="n"/>
      <c r="K371" s="22" t="n"/>
      <c r="L371" s="72" t="n"/>
      <c r="M371" s="27">
        <f>IF(E371="","",SUMIFS(tbl_Finance[Ex GST],tbl_Finance[Job Number],E371&amp;""))</f>
        <v/>
      </c>
      <c r="N371" s="27">
        <f>IF(J371&lt;&gt;"Won","",IF(E371="",N(I371),I371-M371))</f>
        <v/>
      </c>
      <c r="O371" s="24" t="n"/>
    </row>
    <row r="372" ht="15" customHeight="1">
      <c r="A372" s="72" t="n"/>
      <c r="B372" s="24" t="n"/>
      <c r="C372" s="24" t="n"/>
      <c r="D372" s="24" t="n"/>
      <c r="E372" s="24" t="n"/>
      <c r="F372" s="25">
        <f>IF(E372="","",IF(COUNTIF(lst_Jobs,E372&amp;"")&gt;0,"OK","CHECK"))</f>
        <v/>
      </c>
      <c r="G372" s="24" t="n"/>
      <c r="H372" s="24" t="n"/>
      <c r="I372" s="26" t="n"/>
      <c r="J372" s="24" t="n"/>
      <c r="K372" s="22" t="n"/>
      <c r="L372" s="72" t="n"/>
      <c r="M372" s="27">
        <f>IF(E372="","",SUMIFS(tbl_Finance[Ex GST],tbl_Finance[Job Number],E372&amp;""))</f>
        <v/>
      </c>
      <c r="N372" s="27">
        <f>IF(J372&lt;&gt;"Won","",IF(E372="",N(I372),I372-M372))</f>
        <v/>
      </c>
      <c r="O372" s="24" t="n"/>
    </row>
    <row r="373" ht="15" customHeight="1">
      <c r="A373" s="72" t="n"/>
      <c r="B373" s="24" t="n"/>
      <c r="C373" s="24" t="n"/>
      <c r="D373" s="24" t="n"/>
      <c r="E373" s="24" t="n"/>
      <c r="F373" s="25">
        <f>IF(E373="","",IF(COUNTIF(lst_Jobs,E373&amp;"")&gt;0,"OK","CHECK"))</f>
        <v/>
      </c>
      <c r="G373" s="24" t="n"/>
      <c r="H373" s="24" t="n"/>
      <c r="I373" s="26" t="n"/>
      <c r="J373" s="24" t="n"/>
      <c r="K373" s="22" t="n"/>
      <c r="L373" s="72" t="n"/>
      <c r="M373" s="27">
        <f>IF(E373="","",SUMIFS(tbl_Finance[Ex GST],tbl_Finance[Job Number],E373&amp;""))</f>
        <v/>
      </c>
      <c r="N373" s="27">
        <f>IF(J373&lt;&gt;"Won","",IF(E373="",N(I373),I373-M373))</f>
        <v/>
      </c>
      <c r="O373" s="24" t="n"/>
    </row>
    <row r="374" ht="15" customHeight="1">
      <c r="A374" s="72" t="n"/>
      <c r="B374" s="24" t="n"/>
      <c r="C374" s="24" t="n"/>
      <c r="D374" s="24" t="n"/>
      <c r="E374" s="24" t="n"/>
      <c r="F374" s="25">
        <f>IF(E374="","",IF(COUNTIF(lst_Jobs,E374&amp;"")&gt;0,"OK","CHECK"))</f>
        <v/>
      </c>
      <c r="G374" s="24" t="n"/>
      <c r="H374" s="24" t="n"/>
      <c r="I374" s="26" t="n"/>
      <c r="J374" s="24" t="n"/>
      <c r="K374" s="22" t="n"/>
      <c r="L374" s="72" t="n"/>
      <c r="M374" s="27">
        <f>IF(E374="","",SUMIFS(tbl_Finance[Ex GST],tbl_Finance[Job Number],E374&amp;""))</f>
        <v/>
      </c>
      <c r="N374" s="27">
        <f>IF(J374&lt;&gt;"Won","",IF(E374="",N(I374),I374-M374))</f>
        <v/>
      </c>
      <c r="O374" s="24" t="n"/>
    </row>
    <row r="375" ht="15" customHeight="1">
      <c r="A375" s="72" t="n"/>
      <c r="B375" s="24" t="n"/>
      <c r="C375" s="24" t="n"/>
      <c r="D375" s="24" t="n"/>
      <c r="E375" s="24" t="n"/>
      <c r="F375" s="25">
        <f>IF(E375="","",IF(COUNTIF(lst_Jobs,E375&amp;"")&gt;0,"OK","CHECK"))</f>
        <v/>
      </c>
      <c r="G375" s="24" t="n"/>
      <c r="H375" s="24" t="n"/>
      <c r="I375" s="26" t="n"/>
      <c r="J375" s="24" t="n"/>
      <c r="K375" s="22" t="n"/>
      <c r="L375" s="72" t="n"/>
      <c r="M375" s="27">
        <f>IF(E375="","",SUMIFS(tbl_Finance[Ex GST],tbl_Finance[Job Number],E375&amp;""))</f>
        <v/>
      </c>
      <c r="N375" s="27">
        <f>IF(J375&lt;&gt;"Won","",IF(E375="",N(I375),I375-M375))</f>
        <v/>
      </c>
      <c r="O375" s="24" t="n"/>
    </row>
    <row r="376" ht="15" customHeight="1">
      <c r="A376" s="72" t="n"/>
      <c r="B376" s="24" t="n"/>
      <c r="C376" s="24" t="n"/>
      <c r="D376" s="24" t="n"/>
      <c r="E376" s="24" t="n"/>
      <c r="F376" s="25">
        <f>IF(E376="","",IF(COUNTIF(lst_Jobs,E376&amp;"")&gt;0,"OK","CHECK"))</f>
        <v/>
      </c>
      <c r="G376" s="24" t="n"/>
      <c r="H376" s="24" t="n"/>
      <c r="I376" s="26" t="n"/>
      <c r="J376" s="24" t="n"/>
      <c r="K376" s="22" t="n"/>
      <c r="L376" s="72" t="n"/>
      <c r="M376" s="27">
        <f>IF(E376="","",SUMIFS(tbl_Finance[Ex GST],tbl_Finance[Job Number],E376&amp;""))</f>
        <v/>
      </c>
      <c r="N376" s="27">
        <f>IF(J376&lt;&gt;"Won","",IF(E376="",N(I376),I376-M376))</f>
        <v/>
      </c>
      <c r="O376" s="24" t="n"/>
    </row>
    <row r="377" ht="15" customHeight="1">
      <c r="A377" s="72" t="n"/>
      <c r="B377" s="24" t="n"/>
      <c r="C377" s="24" t="n"/>
      <c r="D377" s="24" t="n"/>
      <c r="E377" s="24" t="n"/>
      <c r="F377" s="25">
        <f>IF(E377="","",IF(COUNTIF(lst_Jobs,E377&amp;"")&gt;0,"OK","CHECK"))</f>
        <v/>
      </c>
      <c r="G377" s="24" t="n"/>
      <c r="H377" s="24" t="n"/>
      <c r="I377" s="26" t="n"/>
      <c r="J377" s="24" t="n"/>
      <c r="K377" s="22" t="n"/>
      <c r="L377" s="72" t="n"/>
      <c r="M377" s="27">
        <f>IF(E377="","",SUMIFS(tbl_Finance[Ex GST],tbl_Finance[Job Number],E377&amp;""))</f>
        <v/>
      </c>
      <c r="N377" s="27">
        <f>IF(J377&lt;&gt;"Won","",IF(E377="",N(I377),I377-M377))</f>
        <v/>
      </c>
      <c r="O377" s="24" t="n"/>
    </row>
    <row r="378" ht="15" customHeight="1">
      <c r="A378" s="72" t="n"/>
      <c r="B378" s="24" t="n"/>
      <c r="C378" s="24" t="n"/>
      <c r="D378" s="24" t="n"/>
      <c r="E378" s="24" t="n"/>
      <c r="F378" s="25">
        <f>IF(E378="","",IF(COUNTIF(lst_Jobs,E378&amp;"")&gt;0,"OK","CHECK"))</f>
        <v/>
      </c>
      <c r="G378" s="24" t="n"/>
      <c r="H378" s="24" t="n"/>
      <c r="I378" s="26" t="n"/>
      <c r="J378" s="24" t="n"/>
      <c r="K378" s="22" t="n"/>
      <c r="L378" s="72" t="n"/>
      <c r="M378" s="27">
        <f>IF(E378="","",SUMIFS(tbl_Finance[Ex GST],tbl_Finance[Job Number],E378&amp;""))</f>
        <v/>
      </c>
      <c r="N378" s="27">
        <f>IF(J378&lt;&gt;"Won","",IF(E378="",N(I378),I378-M378))</f>
        <v/>
      </c>
      <c r="O378" s="24" t="n"/>
    </row>
    <row r="379" ht="15" customHeight="1">
      <c r="A379" s="72" t="n"/>
      <c r="B379" s="24" t="n"/>
      <c r="C379" s="24" t="n"/>
      <c r="D379" s="24" t="n"/>
      <c r="E379" s="24" t="n"/>
      <c r="F379" s="25">
        <f>IF(E379="","",IF(COUNTIF(lst_Jobs,E379&amp;"")&gt;0,"OK","CHECK"))</f>
        <v/>
      </c>
      <c r="G379" s="24" t="n"/>
      <c r="H379" s="24" t="n"/>
      <c r="I379" s="26" t="n"/>
      <c r="J379" s="24" t="n"/>
      <c r="K379" s="22" t="n"/>
      <c r="L379" s="72" t="n"/>
      <c r="M379" s="27">
        <f>IF(E379="","",SUMIFS(tbl_Finance[Ex GST],tbl_Finance[Job Number],E379&amp;""))</f>
        <v/>
      </c>
      <c r="N379" s="27">
        <f>IF(J379&lt;&gt;"Won","",IF(E379="",N(I379),I379-M379))</f>
        <v/>
      </c>
      <c r="O379" s="24" t="n"/>
    </row>
    <row r="380" ht="15" customHeight="1">
      <c r="A380" s="72" t="n"/>
      <c r="B380" s="24" t="n"/>
      <c r="C380" s="24" t="n"/>
      <c r="D380" s="24" t="n"/>
      <c r="E380" s="24" t="n"/>
      <c r="F380" s="25">
        <f>IF(E380="","",IF(COUNTIF(lst_Jobs,E380&amp;"")&gt;0,"OK","CHECK"))</f>
        <v/>
      </c>
      <c r="G380" s="24" t="n"/>
      <c r="H380" s="24" t="n"/>
      <c r="I380" s="26" t="n"/>
      <c r="J380" s="24" t="n"/>
      <c r="K380" s="22" t="n"/>
      <c r="L380" s="72" t="n"/>
      <c r="M380" s="27">
        <f>IF(E380="","",SUMIFS(tbl_Finance[Ex GST],tbl_Finance[Job Number],E380&amp;""))</f>
        <v/>
      </c>
      <c r="N380" s="27">
        <f>IF(J380&lt;&gt;"Won","",IF(E380="",N(I380),I380-M380))</f>
        <v/>
      </c>
      <c r="O380" s="24" t="n"/>
    </row>
    <row r="381" ht="15" customHeight="1">
      <c r="A381" s="72" t="n"/>
      <c r="B381" s="24" t="n"/>
      <c r="C381" s="24" t="n"/>
      <c r="D381" s="24" t="n"/>
      <c r="E381" s="24" t="n"/>
      <c r="F381" s="25">
        <f>IF(E381="","",IF(COUNTIF(lst_Jobs,E381&amp;"")&gt;0,"OK","CHECK"))</f>
        <v/>
      </c>
      <c r="G381" s="24" t="n"/>
      <c r="H381" s="24" t="n"/>
      <c r="I381" s="26" t="n"/>
      <c r="J381" s="24" t="n"/>
      <c r="K381" s="22" t="n"/>
      <c r="L381" s="72" t="n"/>
      <c r="M381" s="27">
        <f>IF(E381="","",SUMIFS(tbl_Finance[Ex GST],tbl_Finance[Job Number],E381&amp;""))</f>
        <v/>
      </c>
      <c r="N381" s="27">
        <f>IF(J381&lt;&gt;"Won","",IF(E381="",N(I381),I381-M381))</f>
        <v/>
      </c>
      <c r="O381" s="24" t="n"/>
    </row>
    <row r="382" ht="15" customHeight="1">
      <c r="A382" s="72" t="n"/>
      <c r="B382" s="24" t="n"/>
      <c r="C382" s="24" t="n"/>
      <c r="D382" s="24" t="n"/>
      <c r="E382" s="24" t="n"/>
      <c r="F382" s="25">
        <f>IF(E382="","",IF(COUNTIF(lst_Jobs,E382&amp;"")&gt;0,"OK","CHECK"))</f>
        <v/>
      </c>
      <c r="G382" s="24" t="n"/>
      <c r="H382" s="24" t="n"/>
      <c r="I382" s="26" t="n"/>
      <c r="J382" s="24" t="n"/>
      <c r="K382" s="22" t="n"/>
      <c r="L382" s="72" t="n"/>
      <c r="M382" s="27">
        <f>IF(E382="","",SUMIFS(tbl_Finance[Ex GST],tbl_Finance[Job Number],E382&amp;""))</f>
        <v/>
      </c>
      <c r="N382" s="27">
        <f>IF(J382&lt;&gt;"Won","",IF(E382="",N(I382),I382-M382))</f>
        <v/>
      </c>
      <c r="O382" s="24" t="n"/>
    </row>
    <row r="383" ht="15" customHeight="1">
      <c r="A383" s="72" t="n"/>
      <c r="B383" s="24" t="n"/>
      <c r="C383" s="24" t="n"/>
      <c r="D383" s="24" t="n"/>
      <c r="E383" s="24" t="n"/>
      <c r="F383" s="25">
        <f>IF(E383="","",IF(COUNTIF(lst_Jobs,E383&amp;"")&gt;0,"OK","CHECK"))</f>
        <v/>
      </c>
      <c r="G383" s="24" t="n"/>
      <c r="H383" s="24" t="n"/>
      <c r="I383" s="26" t="n"/>
      <c r="J383" s="24" t="n"/>
      <c r="K383" s="22" t="n"/>
      <c r="L383" s="72" t="n"/>
      <c r="M383" s="27">
        <f>IF(E383="","",SUMIFS(tbl_Finance[Ex GST],tbl_Finance[Job Number],E383&amp;""))</f>
        <v/>
      </c>
      <c r="N383" s="27">
        <f>IF(J383&lt;&gt;"Won","",IF(E383="",N(I383),I383-M383))</f>
        <v/>
      </c>
      <c r="O383" s="24" t="n"/>
    </row>
    <row r="384" ht="15" customHeight="1">
      <c r="A384" s="72" t="n"/>
      <c r="B384" s="24" t="n"/>
      <c r="C384" s="24" t="n"/>
      <c r="D384" s="24" t="n"/>
      <c r="E384" s="24" t="n"/>
      <c r="F384" s="25">
        <f>IF(E384="","",IF(COUNTIF(lst_Jobs,E384&amp;"")&gt;0,"OK","CHECK"))</f>
        <v/>
      </c>
      <c r="G384" s="24" t="n"/>
      <c r="H384" s="24" t="n"/>
      <c r="I384" s="26" t="n"/>
      <c r="J384" s="24" t="n"/>
      <c r="K384" s="22" t="n"/>
      <c r="L384" s="72" t="n"/>
      <c r="M384" s="27">
        <f>IF(E384="","",SUMIFS(tbl_Finance[Ex GST],tbl_Finance[Job Number],E384&amp;""))</f>
        <v/>
      </c>
      <c r="N384" s="27">
        <f>IF(J384&lt;&gt;"Won","",IF(E384="",N(I384),I384-M384))</f>
        <v/>
      </c>
      <c r="O384" s="24" t="n"/>
    </row>
    <row r="385" ht="15" customHeight="1">
      <c r="A385" s="72" t="n"/>
      <c r="B385" s="24" t="n"/>
      <c r="C385" s="24" t="n"/>
      <c r="D385" s="24" t="n"/>
      <c r="E385" s="24" t="n"/>
      <c r="F385" s="25">
        <f>IF(E385="","",IF(COUNTIF(lst_Jobs,E385&amp;"")&gt;0,"OK","CHECK"))</f>
        <v/>
      </c>
      <c r="G385" s="24" t="n"/>
      <c r="H385" s="24" t="n"/>
      <c r="I385" s="26" t="n"/>
      <c r="J385" s="24" t="n"/>
      <c r="K385" s="22" t="n"/>
      <c r="L385" s="72" t="n"/>
      <c r="M385" s="27">
        <f>IF(E385="","",SUMIFS(tbl_Finance[Ex GST],tbl_Finance[Job Number],E385&amp;""))</f>
        <v/>
      </c>
      <c r="N385" s="27">
        <f>IF(J385&lt;&gt;"Won","",IF(E385="",N(I385),I385-M385))</f>
        <v/>
      </c>
      <c r="O385" s="24" t="n"/>
    </row>
    <row r="386" ht="15" customHeight="1">
      <c r="A386" s="72" t="n"/>
      <c r="B386" s="24" t="n"/>
      <c r="C386" s="24" t="n"/>
      <c r="D386" s="24" t="n"/>
      <c r="E386" s="24" t="n"/>
      <c r="F386" s="25">
        <f>IF(E386="","",IF(COUNTIF(lst_Jobs,E386&amp;"")&gt;0,"OK","CHECK"))</f>
        <v/>
      </c>
      <c r="G386" s="24" t="n"/>
      <c r="H386" s="24" t="n"/>
      <c r="I386" s="26" t="n"/>
      <c r="J386" s="24" t="n"/>
      <c r="K386" s="22" t="n"/>
      <c r="L386" s="72" t="n"/>
      <c r="M386" s="27">
        <f>IF(E386="","",SUMIFS(tbl_Finance[Ex GST],tbl_Finance[Job Number],E386&amp;""))</f>
        <v/>
      </c>
      <c r="N386" s="27">
        <f>IF(J386&lt;&gt;"Won","",IF(E386="",N(I386),I386-M386))</f>
        <v/>
      </c>
      <c r="O386" s="24" t="n"/>
    </row>
    <row r="387" ht="15" customHeight="1">
      <c r="A387" s="72" t="n"/>
      <c r="B387" s="24" t="n"/>
      <c r="C387" s="24" t="n"/>
      <c r="D387" s="24" t="n"/>
      <c r="E387" s="24" t="n"/>
      <c r="F387" s="25">
        <f>IF(E387="","",IF(COUNTIF(lst_Jobs,E387&amp;"")&gt;0,"OK","CHECK"))</f>
        <v/>
      </c>
      <c r="G387" s="24" t="n"/>
      <c r="H387" s="24" t="n"/>
      <c r="I387" s="26" t="n"/>
      <c r="J387" s="24" t="n"/>
      <c r="K387" s="22" t="n"/>
      <c r="L387" s="72" t="n"/>
      <c r="M387" s="27">
        <f>IF(E387="","",SUMIFS(tbl_Finance[Ex GST],tbl_Finance[Job Number],E387&amp;""))</f>
        <v/>
      </c>
      <c r="N387" s="27">
        <f>IF(J387&lt;&gt;"Won","",IF(E387="",N(I387),I387-M387))</f>
        <v/>
      </c>
      <c r="O387" s="24" t="n"/>
    </row>
    <row r="388" ht="15" customHeight="1">
      <c r="A388" s="72" t="n"/>
      <c r="B388" s="24" t="n"/>
      <c r="C388" s="24" t="n"/>
      <c r="D388" s="24" t="n"/>
      <c r="E388" s="24" t="n"/>
      <c r="F388" s="25">
        <f>IF(E388="","",IF(COUNTIF(lst_Jobs,E388&amp;"")&gt;0,"OK","CHECK"))</f>
        <v/>
      </c>
      <c r="G388" s="24" t="n"/>
      <c r="H388" s="24" t="n"/>
      <c r="I388" s="26" t="n"/>
      <c r="J388" s="24" t="n"/>
      <c r="K388" s="22" t="n"/>
      <c r="L388" s="72" t="n"/>
      <c r="M388" s="27">
        <f>IF(E388="","",SUMIFS(tbl_Finance[Ex GST],tbl_Finance[Job Number],E388&amp;""))</f>
        <v/>
      </c>
      <c r="N388" s="27">
        <f>IF(J388&lt;&gt;"Won","",IF(E388="",N(I388),I388-M388))</f>
        <v/>
      </c>
      <c r="O388" s="24" t="n"/>
    </row>
    <row r="389" ht="15" customHeight="1">
      <c r="A389" s="72" t="n"/>
      <c r="B389" s="24" t="n"/>
      <c r="C389" s="24" t="n"/>
      <c r="D389" s="24" t="n"/>
      <c r="E389" s="24" t="n"/>
      <c r="F389" s="25">
        <f>IF(E389="","",IF(COUNTIF(lst_Jobs,E389&amp;"")&gt;0,"OK","CHECK"))</f>
        <v/>
      </c>
      <c r="G389" s="24" t="n"/>
      <c r="H389" s="24" t="n"/>
      <c r="I389" s="26" t="n"/>
      <c r="J389" s="24" t="n"/>
      <c r="K389" s="22" t="n"/>
      <c r="L389" s="72" t="n"/>
      <c r="M389" s="27">
        <f>IF(E389="","",SUMIFS(tbl_Finance[Ex GST],tbl_Finance[Job Number],E389&amp;""))</f>
        <v/>
      </c>
      <c r="N389" s="27">
        <f>IF(J389&lt;&gt;"Won","",IF(E389="",N(I389),I389-M389))</f>
        <v/>
      </c>
      <c r="O389" s="24" t="n"/>
    </row>
    <row r="390" ht="15" customHeight="1">
      <c r="A390" s="72" t="n"/>
      <c r="B390" s="24" t="n"/>
      <c r="C390" s="24" t="n"/>
      <c r="D390" s="24" t="n"/>
      <c r="E390" s="24" t="n"/>
      <c r="F390" s="25">
        <f>IF(E390="","",IF(COUNTIF(lst_Jobs,E390&amp;"")&gt;0,"OK","CHECK"))</f>
        <v/>
      </c>
      <c r="G390" s="24" t="n"/>
      <c r="H390" s="24" t="n"/>
      <c r="I390" s="26" t="n"/>
      <c r="J390" s="24" t="n"/>
      <c r="K390" s="22" t="n"/>
      <c r="L390" s="72" t="n"/>
      <c r="M390" s="27">
        <f>IF(E390="","",SUMIFS(tbl_Finance[Ex GST],tbl_Finance[Job Number],E390&amp;""))</f>
        <v/>
      </c>
      <c r="N390" s="27">
        <f>IF(J390&lt;&gt;"Won","",IF(E390="",N(I390),I390-M390))</f>
        <v/>
      </c>
      <c r="O390" s="24" t="n"/>
    </row>
    <row r="391" ht="15" customHeight="1">
      <c r="A391" s="72" t="n"/>
      <c r="B391" s="24" t="n"/>
      <c r="C391" s="24" t="n"/>
      <c r="D391" s="24" t="n"/>
      <c r="E391" s="24" t="n"/>
      <c r="F391" s="25">
        <f>IF(E391="","",IF(COUNTIF(lst_Jobs,E391&amp;"")&gt;0,"OK","CHECK"))</f>
        <v/>
      </c>
      <c r="G391" s="24" t="n"/>
      <c r="H391" s="24" t="n"/>
      <c r="I391" s="26" t="n"/>
      <c r="J391" s="24" t="n"/>
      <c r="K391" s="22" t="n"/>
      <c r="L391" s="72" t="n"/>
      <c r="M391" s="27">
        <f>IF(E391="","",SUMIFS(tbl_Finance[Ex GST],tbl_Finance[Job Number],E391&amp;""))</f>
        <v/>
      </c>
      <c r="N391" s="27">
        <f>IF(J391&lt;&gt;"Won","",IF(E391="",N(I391),I391-M391))</f>
        <v/>
      </c>
      <c r="O391" s="24" t="n"/>
    </row>
    <row r="392" ht="15" customHeight="1">
      <c r="A392" s="72" t="n"/>
      <c r="B392" s="24" t="n"/>
      <c r="C392" s="24" t="n"/>
      <c r="D392" s="24" t="n"/>
      <c r="E392" s="24" t="n"/>
      <c r="F392" s="25">
        <f>IF(E392="","",IF(COUNTIF(lst_Jobs,E392&amp;"")&gt;0,"OK","CHECK"))</f>
        <v/>
      </c>
      <c r="G392" s="24" t="n"/>
      <c r="H392" s="24" t="n"/>
      <c r="I392" s="26" t="n"/>
      <c r="J392" s="24" t="n"/>
      <c r="K392" s="22" t="n"/>
      <c r="L392" s="72" t="n"/>
      <c r="M392" s="27">
        <f>IF(E392="","",SUMIFS(tbl_Finance[Ex GST],tbl_Finance[Job Number],E392&amp;""))</f>
        <v/>
      </c>
      <c r="N392" s="27">
        <f>IF(J392&lt;&gt;"Won","",IF(E392="",N(I392),I392-M392))</f>
        <v/>
      </c>
      <c r="O392" s="24" t="n"/>
    </row>
    <row r="393" ht="15" customHeight="1">
      <c r="A393" s="72" t="n"/>
      <c r="B393" s="24" t="n"/>
      <c r="C393" s="24" t="n"/>
      <c r="D393" s="24" t="n"/>
      <c r="E393" s="24" t="n"/>
      <c r="F393" s="25">
        <f>IF(E393="","",IF(COUNTIF(lst_Jobs,E393&amp;"")&gt;0,"OK","CHECK"))</f>
        <v/>
      </c>
      <c r="G393" s="24" t="n"/>
      <c r="H393" s="24" t="n"/>
      <c r="I393" s="26" t="n"/>
      <c r="J393" s="24" t="n"/>
      <c r="K393" s="22" t="n"/>
      <c r="L393" s="72" t="n"/>
      <c r="M393" s="27">
        <f>IF(E393="","",SUMIFS(tbl_Finance[Ex GST],tbl_Finance[Job Number],E393&amp;""))</f>
        <v/>
      </c>
      <c r="N393" s="27">
        <f>IF(J393&lt;&gt;"Won","",IF(E393="",N(I393),I393-M393))</f>
        <v/>
      </c>
      <c r="O393" s="24" t="n"/>
    </row>
    <row r="394" ht="15" customHeight="1">
      <c r="A394" s="72" t="n"/>
      <c r="B394" s="24" t="n"/>
      <c r="C394" s="24" t="n"/>
      <c r="D394" s="24" t="n"/>
      <c r="E394" s="24" t="n"/>
      <c r="F394" s="25">
        <f>IF(E394="","",IF(COUNTIF(lst_Jobs,E394&amp;"")&gt;0,"OK","CHECK"))</f>
        <v/>
      </c>
      <c r="G394" s="24" t="n"/>
      <c r="H394" s="24" t="n"/>
      <c r="I394" s="26" t="n"/>
      <c r="J394" s="24" t="n"/>
      <c r="K394" s="22" t="n"/>
      <c r="L394" s="72" t="n"/>
      <c r="M394" s="27">
        <f>IF(E394="","",SUMIFS(tbl_Finance[Ex GST],tbl_Finance[Job Number],E394&amp;""))</f>
        <v/>
      </c>
      <c r="N394" s="27">
        <f>IF(J394&lt;&gt;"Won","",IF(E394="",N(I394),I394-M394))</f>
        <v/>
      </c>
      <c r="O394" s="24" t="n"/>
    </row>
    <row r="395" ht="15" customHeight="1">
      <c r="A395" s="72" t="n"/>
      <c r="B395" s="24" t="n"/>
      <c r="C395" s="24" t="n"/>
      <c r="D395" s="24" t="n"/>
      <c r="E395" s="24" t="n"/>
      <c r="F395" s="25">
        <f>IF(E395="","",IF(COUNTIF(lst_Jobs,E395&amp;"")&gt;0,"OK","CHECK"))</f>
        <v/>
      </c>
      <c r="G395" s="24" t="n"/>
      <c r="H395" s="24" t="n"/>
      <c r="I395" s="26" t="n"/>
      <c r="J395" s="24" t="n"/>
      <c r="K395" s="22" t="n"/>
      <c r="L395" s="72" t="n"/>
      <c r="M395" s="27">
        <f>IF(E395="","",SUMIFS(tbl_Finance[Ex GST],tbl_Finance[Job Number],E395&amp;""))</f>
        <v/>
      </c>
      <c r="N395" s="27">
        <f>IF(J395&lt;&gt;"Won","",IF(E395="",N(I395),I395-M395))</f>
        <v/>
      </c>
      <c r="O395" s="24" t="n"/>
    </row>
    <row r="396" ht="15" customHeight="1">
      <c r="A396" s="72" t="n"/>
      <c r="B396" s="24" t="n"/>
      <c r="C396" s="24" t="n"/>
      <c r="D396" s="24" t="n"/>
      <c r="E396" s="24" t="n"/>
      <c r="F396" s="25">
        <f>IF(E396="","",IF(COUNTIF(lst_Jobs,E396&amp;"")&gt;0,"OK","CHECK"))</f>
        <v/>
      </c>
      <c r="G396" s="24" t="n"/>
      <c r="H396" s="24" t="n"/>
      <c r="I396" s="26" t="n"/>
      <c r="J396" s="24" t="n"/>
      <c r="K396" s="22" t="n"/>
      <c r="L396" s="72" t="n"/>
      <c r="M396" s="27">
        <f>IF(E396="","",SUMIFS(tbl_Finance[Ex GST],tbl_Finance[Job Number],E396&amp;""))</f>
        <v/>
      </c>
      <c r="N396" s="27">
        <f>IF(J396&lt;&gt;"Won","",IF(E396="",N(I396),I396-M396))</f>
        <v/>
      </c>
      <c r="O396" s="24" t="n"/>
    </row>
    <row r="397" ht="15" customHeight="1">
      <c r="A397" s="72" t="n"/>
      <c r="B397" s="24" t="n"/>
      <c r="C397" s="24" t="n"/>
      <c r="D397" s="24" t="n"/>
      <c r="E397" s="24" t="n"/>
      <c r="F397" s="25">
        <f>IF(E397="","",IF(COUNTIF(lst_Jobs,E397&amp;"")&gt;0,"OK","CHECK"))</f>
        <v/>
      </c>
      <c r="G397" s="24" t="n"/>
      <c r="H397" s="24" t="n"/>
      <c r="I397" s="26" t="n"/>
      <c r="J397" s="24" t="n"/>
      <c r="K397" s="22" t="n"/>
      <c r="L397" s="72" t="n"/>
      <c r="M397" s="27">
        <f>IF(E397="","",SUMIFS(tbl_Finance[Ex GST],tbl_Finance[Job Number],E397&amp;""))</f>
        <v/>
      </c>
      <c r="N397" s="27">
        <f>IF(J397&lt;&gt;"Won","",IF(E397="",N(I397),I397-M397))</f>
        <v/>
      </c>
      <c r="O397" s="24" t="n"/>
    </row>
    <row r="398" ht="15" customHeight="1">
      <c r="A398" s="72" t="n"/>
      <c r="B398" s="24" t="n"/>
      <c r="C398" s="24" t="n"/>
      <c r="D398" s="24" t="n"/>
      <c r="E398" s="24" t="n"/>
      <c r="F398" s="25">
        <f>IF(E398="","",IF(COUNTIF(lst_Jobs,E398&amp;"")&gt;0,"OK","CHECK"))</f>
        <v/>
      </c>
      <c r="G398" s="24" t="n"/>
      <c r="H398" s="24" t="n"/>
      <c r="I398" s="26" t="n"/>
      <c r="J398" s="24" t="n"/>
      <c r="K398" s="22" t="n"/>
      <c r="L398" s="72" t="n"/>
      <c r="M398" s="27">
        <f>IF(E398="","",SUMIFS(tbl_Finance[Ex GST],tbl_Finance[Job Number],E398&amp;""))</f>
        <v/>
      </c>
      <c r="N398" s="27">
        <f>IF(J398&lt;&gt;"Won","",IF(E398="",N(I398),I398-M398))</f>
        <v/>
      </c>
      <c r="O398" s="24" t="n"/>
    </row>
    <row r="399" ht="15" customHeight="1">
      <c r="A399" s="72" t="n"/>
      <c r="B399" s="24" t="n"/>
      <c r="C399" s="24" t="n"/>
      <c r="D399" s="24" t="n"/>
      <c r="E399" s="24" t="n"/>
      <c r="F399" s="25">
        <f>IF(E399="","",IF(COUNTIF(lst_Jobs,E399&amp;"")&gt;0,"OK","CHECK"))</f>
        <v/>
      </c>
      <c r="G399" s="24" t="n"/>
      <c r="H399" s="24" t="n"/>
      <c r="I399" s="26" t="n"/>
      <c r="J399" s="24" t="n"/>
      <c r="K399" s="22" t="n"/>
      <c r="L399" s="72" t="n"/>
      <c r="M399" s="27">
        <f>IF(E399="","",SUMIFS(tbl_Finance[Ex GST],tbl_Finance[Job Number],E399&amp;""))</f>
        <v/>
      </c>
      <c r="N399" s="27">
        <f>IF(J399&lt;&gt;"Won","",IF(E399="",N(I399),I399-M399))</f>
        <v/>
      </c>
      <c r="O399" s="24" t="n"/>
    </row>
    <row r="400" ht="15" customHeight="1">
      <c r="A400" s="72" t="n"/>
      <c r="B400" s="24" t="n"/>
      <c r="C400" s="24" t="n"/>
      <c r="D400" s="24" t="n"/>
      <c r="E400" s="24" t="n"/>
      <c r="F400" s="25">
        <f>IF(E400="","",IF(COUNTIF(lst_Jobs,E400&amp;"")&gt;0,"OK","CHECK"))</f>
        <v/>
      </c>
      <c r="G400" s="24" t="n"/>
      <c r="H400" s="24" t="n"/>
      <c r="I400" s="26" t="n"/>
      <c r="J400" s="24" t="n"/>
      <c r="K400" s="22" t="n"/>
      <c r="L400" s="72" t="n"/>
      <c r="M400" s="27">
        <f>IF(E400="","",SUMIFS(tbl_Finance[Ex GST],tbl_Finance[Job Number],E400&amp;""))</f>
        <v/>
      </c>
      <c r="N400" s="27">
        <f>IF(J400&lt;&gt;"Won","",IF(E400="",N(I400),I400-M400))</f>
        <v/>
      </c>
      <c r="O400" s="24" t="n"/>
    </row>
    <row r="401" ht="15" customHeight="1">
      <c r="A401" s="72" t="n"/>
      <c r="B401" s="24" t="n"/>
      <c r="C401" s="24" t="n"/>
      <c r="D401" s="24" t="n"/>
      <c r="E401" s="24" t="n"/>
      <c r="F401" s="25">
        <f>IF(E401="","",IF(COUNTIF(lst_Jobs,E401&amp;"")&gt;0,"OK","CHECK"))</f>
        <v/>
      </c>
      <c r="G401" s="24" t="n"/>
      <c r="H401" s="24" t="n"/>
      <c r="I401" s="26" t="n"/>
      <c r="J401" s="24" t="n"/>
      <c r="K401" s="22" t="n"/>
      <c r="L401" s="72" t="n"/>
      <c r="M401" s="27">
        <f>IF(E401="","",SUMIFS(tbl_Finance[Ex GST],tbl_Finance[Job Number],E401&amp;""))</f>
        <v/>
      </c>
      <c r="N401" s="27">
        <f>IF(J401&lt;&gt;"Won","",IF(E401="",N(I401),I401-M401))</f>
        <v/>
      </c>
      <c r="O401" s="24" t="n"/>
    </row>
    <row r="402" ht="15" customHeight="1">
      <c r="A402" s="72" t="n"/>
      <c r="B402" s="24" t="n"/>
      <c r="C402" s="24" t="n"/>
      <c r="D402" s="24" t="n"/>
      <c r="E402" s="24" t="n"/>
      <c r="F402" s="25">
        <f>IF(E402="","",IF(COUNTIF(lst_Jobs,E402&amp;"")&gt;0,"OK","CHECK"))</f>
        <v/>
      </c>
      <c r="G402" s="24" t="n"/>
      <c r="H402" s="24" t="n"/>
      <c r="I402" s="26" t="n"/>
      <c r="J402" s="24" t="n"/>
      <c r="K402" s="22" t="n"/>
      <c r="L402" s="72" t="n"/>
      <c r="M402" s="27">
        <f>IF(E402="","",SUMIFS(tbl_Finance[Ex GST],tbl_Finance[Job Number],E402&amp;""))</f>
        <v/>
      </c>
      <c r="N402" s="27">
        <f>IF(J402&lt;&gt;"Won","",IF(E402="",N(I402),I402-M402))</f>
        <v/>
      </c>
      <c r="O402" s="24" t="n"/>
    </row>
    <row r="403" ht="15" customHeight="1">
      <c r="A403" s="72" t="n"/>
      <c r="B403" s="24" t="n"/>
      <c r="C403" s="24" t="n"/>
      <c r="D403" s="24" t="n"/>
      <c r="E403" s="24" t="n"/>
      <c r="F403" s="25">
        <f>IF(E403="","",IF(COUNTIF(lst_Jobs,E403&amp;"")&gt;0,"OK","CHECK"))</f>
        <v/>
      </c>
      <c r="G403" s="24" t="n"/>
      <c r="H403" s="24" t="n"/>
      <c r="I403" s="26" t="n"/>
      <c r="J403" s="24" t="n"/>
      <c r="K403" s="22" t="n"/>
      <c r="L403" s="72" t="n"/>
      <c r="M403" s="27">
        <f>IF(E403="","",SUMIFS(tbl_Finance[Ex GST],tbl_Finance[Job Number],E403&amp;""))</f>
        <v/>
      </c>
      <c r="N403" s="27">
        <f>IF(J403&lt;&gt;"Won","",IF(E403="",N(I403),I403-M403))</f>
        <v/>
      </c>
      <c r="O403" s="24" t="n"/>
    </row>
    <row r="404" ht="15" customHeight="1">
      <c r="A404" s="72" t="n"/>
      <c r="B404" s="24" t="n"/>
      <c r="C404" s="24" t="n"/>
      <c r="D404" s="24" t="n"/>
      <c r="E404" s="24" t="n"/>
      <c r="F404" s="25">
        <f>IF(E404="","",IF(COUNTIF(lst_Jobs,E404&amp;"")&gt;0,"OK","CHECK"))</f>
        <v/>
      </c>
      <c r="G404" s="24" t="n"/>
      <c r="H404" s="24" t="n"/>
      <c r="I404" s="26" t="n"/>
      <c r="J404" s="24" t="n"/>
      <c r="K404" s="22" t="n"/>
      <c r="L404" s="72" t="n"/>
      <c r="M404" s="27">
        <f>IF(E404="","",SUMIFS(tbl_Finance[Ex GST],tbl_Finance[Job Number],E404&amp;""))</f>
        <v/>
      </c>
      <c r="N404" s="27">
        <f>IF(J404&lt;&gt;"Won","",IF(E404="",N(I404),I404-M404))</f>
        <v/>
      </c>
      <c r="O404" s="24" t="n"/>
    </row>
    <row r="405" ht="15" customHeight="1">
      <c r="A405" s="72" t="n"/>
      <c r="B405" s="24" t="n"/>
      <c r="C405" s="24" t="n"/>
      <c r="D405" s="24" t="n"/>
      <c r="E405" s="24" t="n"/>
      <c r="F405" s="25">
        <f>IF(E405="","",IF(COUNTIF(lst_Jobs,E405&amp;"")&gt;0,"OK","CHECK"))</f>
        <v/>
      </c>
      <c r="G405" s="24" t="n"/>
      <c r="H405" s="24" t="n"/>
      <c r="I405" s="26" t="n"/>
      <c r="J405" s="24" t="n"/>
      <c r="K405" s="22" t="n"/>
      <c r="L405" s="72" t="n"/>
      <c r="M405" s="27">
        <f>IF(E405="","",SUMIFS(tbl_Finance[Ex GST],tbl_Finance[Job Number],E405&amp;""))</f>
        <v/>
      </c>
      <c r="N405" s="27">
        <f>IF(J405&lt;&gt;"Won","",IF(E405="",N(I405),I405-M405))</f>
        <v/>
      </c>
      <c r="O405" s="24" t="n"/>
    </row>
    <row r="406" ht="15" customHeight="1">
      <c r="A406" s="72" t="n"/>
      <c r="B406" s="24" t="n"/>
      <c r="C406" s="24" t="n"/>
      <c r="D406" s="24" t="n"/>
      <c r="E406" s="24" t="n"/>
      <c r="F406" s="25">
        <f>IF(E406="","",IF(COUNTIF(lst_Jobs,E406&amp;"")&gt;0,"OK","CHECK"))</f>
        <v/>
      </c>
      <c r="G406" s="24" t="n"/>
      <c r="H406" s="24" t="n"/>
      <c r="I406" s="26" t="n"/>
      <c r="J406" s="24" t="n"/>
      <c r="K406" s="22" t="n"/>
      <c r="L406" s="72" t="n"/>
      <c r="M406" s="27">
        <f>IF(E406="","",SUMIFS(tbl_Finance[Ex GST],tbl_Finance[Job Number],E406&amp;""))</f>
        <v/>
      </c>
      <c r="N406" s="27">
        <f>IF(J406&lt;&gt;"Won","",IF(E406="",N(I406),I406-M406))</f>
        <v/>
      </c>
      <c r="O406" s="24" t="n"/>
    </row>
    <row r="407" ht="15" customHeight="1">
      <c r="A407" s="72" t="n"/>
      <c r="B407" s="24" t="n"/>
      <c r="C407" s="24" t="n"/>
      <c r="D407" s="24" t="n"/>
      <c r="E407" s="24" t="n"/>
      <c r="F407" s="25">
        <f>IF(E407="","",IF(COUNTIF(lst_Jobs,E407&amp;"")&gt;0,"OK","CHECK"))</f>
        <v/>
      </c>
      <c r="G407" s="24" t="n"/>
      <c r="H407" s="24" t="n"/>
      <c r="I407" s="26" t="n"/>
      <c r="J407" s="24" t="n"/>
      <c r="K407" s="22" t="n"/>
      <c r="L407" s="72" t="n"/>
      <c r="M407" s="27">
        <f>IF(E407="","",SUMIFS(tbl_Finance[Ex GST],tbl_Finance[Job Number],E407&amp;""))</f>
        <v/>
      </c>
      <c r="N407" s="27">
        <f>IF(J407&lt;&gt;"Won","",IF(E407="",N(I407),I407-M407))</f>
        <v/>
      </c>
      <c r="O407" s="24" t="n"/>
    </row>
    <row r="408" ht="15" customHeight="1">
      <c r="A408" s="72" t="n"/>
      <c r="B408" s="24" t="n"/>
      <c r="C408" s="24" t="n"/>
      <c r="D408" s="24" t="n"/>
      <c r="E408" s="24" t="n"/>
      <c r="F408" s="25">
        <f>IF(E408="","",IF(COUNTIF(lst_Jobs,E408&amp;"")&gt;0,"OK","CHECK"))</f>
        <v/>
      </c>
      <c r="G408" s="24" t="n"/>
      <c r="H408" s="24" t="n"/>
      <c r="I408" s="26" t="n"/>
      <c r="J408" s="24" t="n"/>
      <c r="K408" s="22" t="n"/>
      <c r="L408" s="72" t="n"/>
      <c r="M408" s="27">
        <f>IF(E408="","",SUMIFS(tbl_Finance[Ex GST],tbl_Finance[Job Number],E408&amp;""))</f>
        <v/>
      </c>
      <c r="N408" s="27">
        <f>IF(J408&lt;&gt;"Won","",IF(E408="",N(I408),I408-M408))</f>
        <v/>
      </c>
      <c r="O408" s="24" t="n"/>
    </row>
    <row r="409" ht="15" customHeight="1">
      <c r="A409" s="72" t="n"/>
      <c r="B409" s="24" t="n"/>
      <c r="C409" s="24" t="n"/>
      <c r="D409" s="24" t="n"/>
      <c r="E409" s="24" t="n"/>
      <c r="F409" s="25">
        <f>IF(E409="","",IF(COUNTIF(lst_Jobs,E409&amp;"")&gt;0,"OK","CHECK"))</f>
        <v/>
      </c>
      <c r="G409" s="24" t="n"/>
      <c r="H409" s="24" t="n"/>
      <c r="I409" s="26" t="n"/>
      <c r="J409" s="24" t="n"/>
      <c r="K409" s="22" t="n"/>
      <c r="L409" s="72" t="n"/>
      <c r="M409" s="27">
        <f>IF(E409="","",SUMIFS(tbl_Finance[Ex GST],tbl_Finance[Job Number],E409&amp;""))</f>
        <v/>
      </c>
      <c r="N409" s="27">
        <f>IF(J409&lt;&gt;"Won","",IF(E409="",N(I409),I409-M409))</f>
        <v/>
      </c>
      <c r="O409" s="24" t="n"/>
    </row>
    <row r="410" ht="15" customHeight="1">
      <c r="A410" s="72" t="n"/>
      <c r="B410" s="24" t="n"/>
      <c r="C410" s="24" t="n"/>
      <c r="D410" s="24" t="n"/>
      <c r="E410" s="24" t="n"/>
      <c r="F410" s="25">
        <f>IF(E410="","",IF(COUNTIF(lst_Jobs,E410&amp;"")&gt;0,"OK","CHECK"))</f>
        <v/>
      </c>
      <c r="G410" s="24" t="n"/>
      <c r="H410" s="24" t="n"/>
      <c r="I410" s="26" t="n"/>
      <c r="J410" s="24" t="n"/>
      <c r="K410" s="22" t="n"/>
      <c r="L410" s="72" t="n"/>
      <c r="M410" s="27">
        <f>IF(E410="","",SUMIFS(tbl_Finance[Ex GST],tbl_Finance[Job Number],E410&amp;""))</f>
        <v/>
      </c>
      <c r="N410" s="27">
        <f>IF(J410&lt;&gt;"Won","",IF(E410="",N(I410),I410-M410))</f>
        <v/>
      </c>
      <c r="O410" s="24" t="n"/>
    </row>
    <row r="411" ht="15" customHeight="1">
      <c r="A411" s="72" t="n"/>
      <c r="B411" s="24" t="n"/>
      <c r="C411" s="24" t="n"/>
      <c r="D411" s="24" t="n"/>
      <c r="E411" s="24" t="n"/>
      <c r="F411" s="25">
        <f>IF(E411="","",IF(COUNTIF(lst_Jobs,E411&amp;"")&gt;0,"OK","CHECK"))</f>
        <v/>
      </c>
      <c r="G411" s="24" t="n"/>
      <c r="H411" s="24" t="n"/>
      <c r="I411" s="26" t="n"/>
      <c r="J411" s="24" t="n"/>
      <c r="K411" s="22" t="n"/>
      <c r="L411" s="72" t="n"/>
      <c r="M411" s="27">
        <f>IF(E411="","",SUMIFS(tbl_Finance[Ex GST],tbl_Finance[Job Number],E411&amp;""))</f>
        <v/>
      </c>
      <c r="N411" s="27">
        <f>IF(J411&lt;&gt;"Won","",IF(E411="",N(I411),I411-M411))</f>
        <v/>
      </c>
      <c r="O411" s="24" t="n"/>
    </row>
    <row r="412" ht="15" customHeight="1">
      <c r="A412" s="72" t="n"/>
      <c r="B412" s="24" t="n"/>
      <c r="C412" s="24" t="n"/>
      <c r="D412" s="24" t="n"/>
      <c r="E412" s="24" t="n"/>
      <c r="F412" s="25">
        <f>IF(E412="","",IF(COUNTIF(lst_Jobs,E412&amp;"")&gt;0,"OK","CHECK"))</f>
        <v/>
      </c>
      <c r="G412" s="24" t="n"/>
      <c r="H412" s="24" t="n"/>
      <c r="I412" s="26" t="n"/>
      <c r="J412" s="24" t="n"/>
      <c r="K412" s="22" t="n"/>
      <c r="L412" s="72" t="n"/>
      <c r="M412" s="27">
        <f>IF(E412="","",SUMIFS(tbl_Finance[Ex GST],tbl_Finance[Job Number],E412&amp;""))</f>
        <v/>
      </c>
      <c r="N412" s="27">
        <f>IF(J412&lt;&gt;"Won","",IF(E412="",N(I412),I412-M412))</f>
        <v/>
      </c>
      <c r="O412" s="24" t="n"/>
    </row>
    <row r="413" ht="15" customHeight="1">
      <c r="A413" s="72" t="n"/>
      <c r="B413" s="24" t="n"/>
      <c r="C413" s="24" t="n"/>
      <c r="D413" s="24" t="n"/>
      <c r="E413" s="24" t="n"/>
      <c r="F413" s="25">
        <f>IF(E413="","",IF(COUNTIF(lst_Jobs,E413&amp;"")&gt;0,"OK","CHECK"))</f>
        <v/>
      </c>
      <c r="G413" s="24" t="n"/>
      <c r="H413" s="24" t="n"/>
      <c r="I413" s="26" t="n"/>
      <c r="J413" s="24" t="n"/>
      <c r="K413" s="22" t="n"/>
      <c r="L413" s="72" t="n"/>
      <c r="M413" s="27">
        <f>IF(E413="","",SUMIFS(tbl_Finance[Ex GST],tbl_Finance[Job Number],E413&amp;""))</f>
        <v/>
      </c>
      <c r="N413" s="27">
        <f>IF(J413&lt;&gt;"Won","",IF(E413="",N(I413),I413-M413))</f>
        <v/>
      </c>
      <c r="O413" s="24" t="n"/>
    </row>
    <row r="414" ht="15" customHeight="1">
      <c r="A414" s="72" t="n"/>
      <c r="B414" s="24" t="n"/>
      <c r="C414" s="24" t="n"/>
      <c r="D414" s="24" t="n"/>
      <c r="E414" s="24" t="n"/>
      <c r="F414" s="25">
        <f>IF(E414="","",IF(COUNTIF(lst_Jobs,E414&amp;"")&gt;0,"OK","CHECK"))</f>
        <v/>
      </c>
      <c r="G414" s="24" t="n"/>
      <c r="H414" s="24" t="n"/>
      <c r="I414" s="26" t="n"/>
      <c r="J414" s="24" t="n"/>
      <c r="K414" s="22" t="n"/>
      <c r="L414" s="72" t="n"/>
      <c r="M414" s="27">
        <f>IF(E414="","",SUMIFS(tbl_Finance[Ex GST],tbl_Finance[Job Number],E414&amp;""))</f>
        <v/>
      </c>
      <c r="N414" s="27">
        <f>IF(J414&lt;&gt;"Won","",IF(E414="",N(I414),I414-M414))</f>
        <v/>
      </c>
      <c r="O414" s="24" t="n"/>
    </row>
    <row r="415" ht="15" customHeight="1">
      <c r="A415" s="72" t="n"/>
      <c r="B415" s="24" t="n"/>
      <c r="C415" s="24" t="n"/>
      <c r="D415" s="24" t="n"/>
      <c r="E415" s="24" t="n"/>
      <c r="F415" s="25">
        <f>IF(E415="","",IF(COUNTIF(lst_Jobs,E415&amp;"")&gt;0,"OK","CHECK"))</f>
        <v/>
      </c>
      <c r="G415" s="24" t="n"/>
      <c r="H415" s="24" t="n"/>
      <c r="I415" s="26" t="n"/>
      <c r="J415" s="24" t="n"/>
      <c r="K415" s="22" t="n"/>
      <c r="L415" s="72" t="n"/>
      <c r="M415" s="27">
        <f>IF(E415="","",SUMIFS(tbl_Finance[Ex GST],tbl_Finance[Job Number],E415&amp;""))</f>
        <v/>
      </c>
      <c r="N415" s="27">
        <f>IF(J415&lt;&gt;"Won","",IF(E415="",N(I415),I415-M415))</f>
        <v/>
      </c>
      <c r="O415" s="24" t="n"/>
    </row>
    <row r="416" ht="15" customHeight="1">
      <c r="A416" s="72" t="n"/>
      <c r="B416" s="24" t="n"/>
      <c r="C416" s="24" t="n"/>
      <c r="D416" s="24" t="n"/>
      <c r="E416" s="24" t="n"/>
      <c r="F416" s="25">
        <f>IF(E416="","",IF(COUNTIF(lst_Jobs,E416&amp;"")&gt;0,"OK","CHECK"))</f>
        <v/>
      </c>
      <c r="G416" s="24" t="n"/>
      <c r="H416" s="24" t="n"/>
      <c r="I416" s="26" t="n"/>
      <c r="J416" s="24" t="n"/>
      <c r="K416" s="22" t="n"/>
      <c r="L416" s="72" t="n"/>
      <c r="M416" s="27">
        <f>IF(E416="","",SUMIFS(tbl_Finance[Ex GST],tbl_Finance[Job Number],E416&amp;""))</f>
        <v/>
      </c>
      <c r="N416" s="27">
        <f>IF(J416&lt;&gt;"Won","",IF(E416="",N(I416),I416-M416))</f>
        <v/>
      </c>
      <c r="O416" s="24" t="n"/>
    </row>
    <row r="417" ht="15" customHeight="1">
      <c r="A417" s="72" t="n"/>
      <c r="B417" s="24" t="n"/>
      <c r="C417" s="24" t="n"/>
      <c r="D417" s="24" t="n"/>
      <c r="E417" s="24" t="n"/>
      <c r="F417" s="25">
        <f>IF(E417="","",IF(COUNTIF(lst_Jobs,E417&amp;"")&gt;0,"OK","CHECK"))</f>
        <v/>
      </c>
      <c r="G417" s="24" t="n"/>
      <c r="H417" s="24" t="n"/>
      <c r="I417" s="26" t="n"/>
      <c r="J417" s="24" t="n"/>
      <c r="K417" s="22" t="n"/>
      <c r="L417" s="72" t="n"/>
      <c r="M417" s="27">
        <f>IF(E417="","",SUMIFS(tbl_Finance[Ex GST],tbl_Finance[Job Number],E417&amp;""))</f>
        <v/>
      </c>
      <c r="N417" s="27">
        <f>IF(J417&lt;&gt;"Won","",IF(E417="",N(I417),I417-M417))</f>
        <v/>
      </c>
      <c r="O417" s="24" t="n"/>
    </row>
    <row r="418" ht="15" customHeight="1">
      <c r="A418" s="72" t="n"/>
      <c r="B418" s="24" t="n"/>
      <c r="C418" s="24" t="n"/>
      <c r="D418" s="24" t="n"/>
      <c r="E418" s="24" t="n"/>
      <c r="F418" s="25">
        <f>IF(E418="","",IF(COUNTIF(lst_Jobs,E418&amp;"")&gt;0,"OK","CHECK"))</f>
        <v/>
      </c>
      <c r="G418" s="24" t="n"/>
      <c r="H418" s="24" t="n"/>
      <c r="I418" s="26" t="n"/>
      <c r="J418" s="24" t="n"/>
      <c r="K418" s="22" t="n"/>
      <c r="L418" s="72" t="n"/>
      <c r="M418" s="27">
        <f>IF(E418="","",SUMIFS(tbl_Finance[Ex GST],tbl_Finance[Job Number],E418&amp;""))</f>
        <v/>
      </c>
      <c r="N418" s="27">
        <f>IF(J418&lt;&gt;"Won","",IF(E418="",N(I418),I418-M418))</f>
        <v/>
      </c>
      <c r="O418" s="24" t="n"/>
    </row>
    <row r="419" ht="15" customHeight="1">
      <c r="A419" s="72" t="n"/>
      <c r="B419" s="24" t="n"/>
      <c r="C419" s="24" t="n"/>
      <c r="D419" s="24" t="n"/>
      <c r="E419" s="24" t="n"/>
      <c r="F419" s="25">
        <f>IF(E419="","",IF(COUNTIF(lst_Jobs,E419&amp;"")&gt;0,"OK","CHECK"))</f>
        <v/>
      </c>
      <c r="G419" s="24" t="n"/>
      <c r="H419" s="24" t="n"/>
      <c r="I419" s="26" t="n"/>
      <c r="J419" s="24" t="n"/>
      <c r="K419" s="22" t="n"/>
      <c r="L419" s="72" t="n"/>
      <c r="M419" s="27">
        <f>IF(E419="","",SUMIFS(tbl_Finance[Ex GST],tbl_Finance[Job Number],E419&amp;""))</f>
        <v/>
      </c>
      <c r="N419" s="27">
        <f>IF(J419&lt;&gt;"Won","",IF(E419="",N(I419),I419-M419))</f>
        <v/>
      </c>
      <c r="O419" s="24" t="n"/>
    </row>
    <row r="420" ht="15" customHeight="1">
      <c r="A420" s="72" t="n"/>
      <c r="B420" s="24" t="n"/>
      <c r="C420" s="24" t="n"/>
      <c r="D420" s="24" t="n"/>
      <c r="E420" s="24" t="n"/>
      <c r="F420" s="25">
        <f>IF(E420="","",IF(COUNTIF(lst_Jobs,E420&amp;"")&gt;0,"OK","CHECK"))</f>
        <v/>
      </c>
      <c r="G420" s="24" t="n"/>
      <c r="H420" s="24" t="n"/>
      <c r="I420" s="26" t="n"/>
      <c r="J420" s="24" t="n"/>
      <c r="K420" s="22" t="n"/>
      <c r="L420" s="72" t="n"/>
      <c r="M420" s="27">
        <f>IF(E420="","",SUMIFS(tbl_Finance[Ex GST],tbl_Finance[Job Number],E420&amp;""))</f>
        <v/>
      </c>
      <c r="N420" s="27">
        <f>IF(J420&lt;&gt;"Won","",IF(E420="",N(I420),I420-M420))</f>
        <v/>
      </c>
      <c r="O420" s="24" t="n"/>
    </row>
    <row r="421" ht="15" customHeight="1">
      <c r="A421" s="72" t="n"/>
      <c r="B421" s="24" t="n"/>
      <c r="C421" s="24" t="n"/>
      <c r="D421" s="24" t="n"/>
      <c r="E421" s="24" t="n"/>
      <c r="F421" s="25">
        <f>IF(E421="","",IF(COUNTIF(lst_Jobs,E421&amp;"")&gt;0,"OK","CHECK"))</f>
        <v/>
      </c>
      <c r="G421" s="24" t="n"/>
      <c r="H421" s="24" t="n"/>
      <c r="I421" s="26" t="n"/>
      <c r="J421" s="24" t="n"/>
      <c r="K421" s="22" t="n"/>
      <c r="L421" s="72" t="n"/>
      <c r="M421" s="27">
        <f>IF(E421="","",SUMIFS(tbl_Finance[Ex GST],tbl_Finance[Job Number],E421&amp;""))</f>
        <v/>
      </c>
      <c r="N421" s="27">
        <f>IF(J421&lt;&gt;"Won","",IF(E421="",N(I421),I421-M421))</f>
        <v/>
      </c>
      <c r="O421" s="24" t="n"/>
    </row>
    <row r="422" ht="15" customHeight="1">
      <c r="A422" s="72" t="n"/>
      <c r="B422" s="24" t="n"/>
      <c r="C422" s="24" t="n"/>
      <c r="D422" s="24" t="n"/>
      <c r="E422" s="24" t="n"/>
      <c r="F422" s="25">
        <f>IF(E422="","",IF(COUNTIF(lst_Jobs,E422&amp;"")&gt;0,"OK","CHECK"))</f>
        <v/>
      </c>
      <c r="G422" s="24" t="n"/>
      <c r="H422" s="24" t="n"/>
      <c r="I422" s="26" t="n"/>
      <c r="J422" s="24" t="n"/>
      <c r="K422" s="22" t="n"/>
      <c r="L422" s="72" t="n"/>
      <c r="M422" s="27">
        <f>IF(E422="","",SUMIFS(tbl_Finance[Ex GST],tbl_Finance[Job Number],E422&amp;""))</f>
        <v/>
      </c>
      <c r="N422" s="27">
        <f>IF(J422&lt;&gt;"Won","",IF(E422="",N(I422),I422-M422))</f>
        <v/>
      </c>
      <c r="O422" s="24" t="n"/>
    </row>
    <row r="423" ht="15" customHeight="1">
      <c r="A423" s="72" t="n"/>
      <c r="B423" s="24" t="n"/>
      <c r="C423" s="24" t="n"/>
      <c r="D423" s="24" t="n"/>
      <c r="E423" s="24" t="n"/>
      <c r="F423" s="25">
        <f>IF(E423="","",IF(COUNTIF(lst_Jobs,E423&amp;"")&gt;0,"OK","CHECK"))</f>
        <v/>
      </c>
      <c r="G423" s="24" t="n"/>
      <c r="H423" s="24" t="n"/>
      <c r="I423" s="26" t="n"/>
      <c r="J423" s="24" t="n"/>
      <c r="K423" s="22" t="n"/>
      <c r="L423" s="72" t="n"/>
      <c r="M423" s="27">
        <f>IF(E423="","",SUMIFS(tbl_Finance[Ex GST],tbl_Finance[Job Number],E423&amp;""))</f>
        <v/>
      </c>
      <c r="N423" s="27">
        <f>IF(J423&lt;&gt;"Won","",IF(E423="",N(I423),I423-M423))</f>
        <v/>
      </c>
      <c r="O423" s="24" t="n"/>
    </row>
    <row r="424" ht="15" customHeight="1">
      <c r="A424" s="72" t="n"/>
      <c r="B424" s="24" t="n"/>
      <c r="C424" s="24" t="n"/>
      <c r="D424" s="24" t="n"/>
      <c r="E424" s="24" t="n"/>
      <c r="F424" s="25">
        <f>IF(E424="","",IF(COUNTIF(lst_Jobs,E424&amp;"")&gt;0,"OK","CHECK"))</f>
        <v/>
      </c>
      <c r="G424" s="24" t="n"/>
      <c r="H424" s="24" t="n"/>
      <c r="I424" s="26" t="n"/>
      <c r="J424" s="24" t="n"/>
      <c r="K424" s="22" t="n"/>
      <c r="L424" s="72" t="n"/>
      <c r="M424" s="27">
        <f>IF(E424="","",SUMIFS(tbl_Finance[Ex GST],tbl_Finance[Job Number],E424&amp;""))</f>
        <v/>
      </c>
      <c r="N424" s="27">
        <f>IF(J424&lt;&gt;"Won","",IF(E424="",N(I424),I424-M424))</f>
        <v/>
      </c>
      <c r="O424" s="24" t="n"/>
    </row>
    <row r="425" ht="15" customHeight="1">
      <c r="A425" s="72" t="n"/>
      <c r="B425" s="24" t="n"/>
      <c r="C425" s="24" t="n"/>
      <c r="D425" s="24" t="n"/>
      <c r="E425" s="24" t="n"/>
      <c r="F425" s="25">
        <f>IF(E425="","",IF(COUNTIF(lst_Jobs,E425&amp;"")&gt;0,"OK","CHECK"))</f>
        <v/>
      </c>
      <c r="G425" s="24" t="n"/>
      <c r="H425" s="24" t="n"/>
      <c r="I425" s="26" t="n"/>
      <c r="J425" s="24" t="n"/>
      <c r="K425" s="22" t="n"/>
      <c r="L425" s="72" t="n"/>
      <c r="M425" s="27">
        <f>IF(E425="","",SUMIFS(tbl_Finance[Ex GST],tbl_Finance[Job Number],E425&amp;""))</f>
        <v/>
      </c>
      <c r="N425" s="27">
        <f>IF(J425&lt;&gt;"Won","",IF(E425="",N(I425),I425-M425))</f>
        <v/>
      </c>
      <c r="O425" s="24" t="n"/>
    </row>
    <row r="426" ht="15" customHeight="1">
      <c r="A426" s="72" t="n"/>
      <c r="B426" s="24" t="n"/>
      <c r="C426" s="24" t="n"/>
      <c r="D426" s="24" t="n"/>
      <c r="E426" s="24" t="n"/>
      <c r="F426" s="25">
        <f>IF(E426="","",IF(COUNTIF(lst_Jobs,E426&amp;"")&gt;0,"OK","CHECK"))</f>
        <v/>
      </c>
      <c r="G426" s="24" t="n"/>
      <c r="H426" s="24" t="n"/>
      <c r="I426" s="26" t="n"/>
      <c r="J426" s="24" t="n"/>
      <c r="K426" s="22" t="n"/>
      <c r="L426" s="72" t="n"/>
      <c r="M426" s="27">
        <f>IF(E426="","",SUMIFS(tbl_Finance[Ex GST],tbl_Finance[Job Number],E426&amp;""))</f>
        <v/>
      </c>
      <c r="N426" s="27">
        <f>IF(J426&lt;&gt;"Won","",IF(E426="",N(I426),I426-M426))</f>
        <v/>
      </c>
      <c r="O426" s="24" t="n"/>
    </row>
    <row r="427" ht="15" customHeight="1">
      <c r="A427" s="72" t="n"/>
      <c r="B427" s="24" t="n"/>
      <c r="C427" s="24" t="n"/>
      <c r="D427" s="24" t="n"/>
      <c r="E427" s="24" t="n"/>
      <c r="F427" s="25">
        <f>IF(E427="","",IF(COUNTIF(lst_Jobs,E427&amp;"")&gt;0,"OK","CHECK"))</f>
        <v/>
      </c>
      <c r="G427" s="24" t="n"/>
      <c r="H427" s="24" t="n"/>
      <c r="I427" s="26" t="n"/>
      <c r="J427" s="24" t="n"/>
      <c r="K427" s="22" t="n"/>
      <c r="L427" s="72" t="n"/>
      <c r="M427" s="27">
        <f>IF(E427="","",SUMIFS(tbl_Finance[Ex GST],tbl_Finance[Job Number],E427&amp;""))</f>
        <v/>
      </c>
      <c r="N427" s="27">
        <f>IF(J427&lt;&gt;"Won","",IF(E427="",N(I427),I427-M427))</f>
        <v/>
      </c>
      <c r="O427" s="24" t="n"/>
    </row>
    <row r="428" ht="15" customHeight="1">
      <c r="A428" s="72" t="n"/>
      <c r="B428" s="24" t="n"/>
      <c r="C428" s="24" t="n"/>
      <c r="D428" s="24" t="n"/>
      <c r="E428" s="24" t="n"/>
      <c r="F428" s="25">
        <f>IF(E428="","",IF(COUNTIF(lst_Jobs,E428&amp;"")&gt;0,"OK","CHECK"))</f>
        <v/>
      </c>
      <c r="G428" s="24" t="n"/>
      <c r="H428" s="24" t="n"/>
      <c r="I428" s="26" t="n"/>
      <c r="J428" s="24" t="n"/>
      <c r="K428" s="22" t="n"/>
      <c r="L428" s="72" t="n"/>
      <c r="M428" s="27">
        <f>IF(E428="","",SUMIFS(tbl_Finance[Ex GST],tbl_Finance[Job Number],E428&amp;""))</f>
        <v/>
      </c>
      <c r="N428" s="27">
        <f>IF(J428&lt;&gt;"Won","",IF(E428="",N(I428),I428-M428))</f>
        <v/>
      </c>
      <c r="O428" s="24" t="n"/>
    </row>
    <row r="429" ht="15" customHeight="1">
      <c r="A429" s="72" t="n"/>
      <c r="B429" s="24" t="n"/>
      <c r="C429" s="24" t="n"/>
      <c r="D429" s="24" t="n"/>
      <c r="E429" s="24" t="n"/>
      <c r="F429" s="25">
        <f>IF(E429="","",IF(COUNTIF(lst_Jobs,E429&amp;"")&gt;0,"OK","CHECK"))</f>
        <v/>
      </c>
      <c r="G429" s="24" t="n"/>
      <c r="H429" s="24" t="n"/>
      <c r="I429" s="26" t="n"/>
      <c r="J429" s="24" t="n"/>
      <c r="K429" s="22" t="n"/>
      <c r="L429" s="72" t="n"/>
      <c r="M429" s="27">
        <f>IF(E429="","",SUMIFS(tbl_Finance[Ex GST],tbl_Finance[Job Number],E429&amp;""))</f>
        <v/>
      </c>
      <c r="N429" s="27">
        <f>IF(J429&lt;&gt;"Won","",IF(E429="",N(I429),I429-M429))</f>
        <v/>
      </c>
      <c r="O429" s="24" t="n"/>
    </row>
    <row r="430" ht="15" customHeight="1">
      <c r="A430" s="72" t="n"/>
      <c r="B430" s="24" t="n"/>
      <c r="C430" s="24" t="n"/>
      <c r="D430" s="24" t="n"/>
      <c r="E430" s="24" t="n"/>
      <c r="F430" s="25">
        <f>IF(E430="","",IF(COUNTIF(lst_Jobs,E430&amp;"")&gt;0,"OK","CHECK"))</f>
        <v/>
      </c>
      <c r="G430" s="24" t="n"/>
      <c r="H430" s="24" t="n"/>
      <c r="I430" s="26" t="n"/>
      <c r="J430" s="24" t="n"/>
      <c r="K430" s="22" t="n"/>
      <c r="L430" s="72" t="n"/>
      <c r="M430" s="27">
        <f>IF(E430="","",SUMIFS(tbl_Finance[Ex GST],tbl_Finance[Job Number],E430&amp;""))</f>
        <v/>
      </c>
      <c r="N430" s="27">
        <f>IF(J430&lt;&gt;"Won","",IF(E430="",N(I430),I430-M430))</f>
        <v/>
      </c>
      <c r="O430" s="24" t="n"/>
    </row>
    <row r="431" ht="15" customHeight="1">
      <c r="A431" s="72" t="n"/>
      <c r="B431" s="24" t="n"/>
      <c r="C431" s="24" t="n"/>
      <c r="D431" s="24" t="n"/>
      <c r="E431" s="24" t="n"/>
      <c r="F431" s="25">
        <f>IF(E431="","",IF(COUNTIF(lst_Jobs,E431&amp;"")&gt;0,"OK","CHECK"))</f>
        <v/>
      </c>
      <c r="G431" s="24" t="n"/>
      <c r="H431" s="24" t="n"/>
      <c r="I431" s="26" t="n"/>
      <c r="J431" s="24" t="n"/>
      <c r="K431" s="22" t="n"/>
      <c r="L431" s="72" t="n"/>
      <c r="M431" s="27">
        <f>IF(E431="","",SUMIFS(tbl_Finance[Ex GST],tbl_Finance[Job Number],E431&amp;""))</f>
        <v/>
      </c>
      <c r="N431" s="27">
        <f>IF(J431&lt;&gt;"Won","",IF(E431="",N(I431),I431-M431))</f>
        <v/>
      </c>
      <c r="O431" s="24" t="n"/>
    </row>
    <row r="432" ht="15" customHeight="1">
      <c r="A432" s="72" t="n"/>
      <c r="B432" s="24" t="n"/>
      <c r="C432" s="24" t="n"/>
      <c r="D432" s="24" t="n"/>
      <c r="E432" s="24" t="n"/>
      <c r="F432" s="25">
        <f>IF(E432="","",IF(COUNTIF(lst_Jobs,E432&amp;"")&gt;0,"OK","CHECK"))</f>
        <v/>
      </c>
      <c r="G432" s="24" t="n"/>
      <c r="H432" s="24" t="n"/>
      <c r="I432" s="26" t="n"/>
      <c r="J432" s="24" t="n"/>
      <c r="K432" s="22" t="n"/>
      <c r="L432" s="72" t="n"/>
      <c r="M432" s="27">
        <f>IF(E432="","",SUMIFS(tbl_Finance[Ex GST],tbl_Finance[Job Number],E432&amp;""))</f>
        <v/>
      </c>
      <c r="N432" s="27">
        <f>IF(J432&lt;&gt;"Won","",IF(E432="",N(I432),I432-M432))</f>
        <v/>
      </c>
      <c r="O432" s="24" t="n"/>
    </row>
    <row r="433" ht="15" customHeight="1">
      <c r="A433" s="72" t="n"/>
      <c r="B433" s="24" t="n"/>
      <c r="C433" s="24" t="n"/>
      <c r="D433" s="24" t="n"/>
      <c r="E433" s="24" t="n"/>
      <c r="F433" s="25">
        <f>IF(E433="","",IF(COUNTIF(lst_Jobs,E433&amp;"")&gt;0,"OK","CHECK"))</f>
        <v/>
      </c>
      <c r="G433" s="24" t="n"/>
      <c r="H433" s="24" t="n"/>
      <c r="I433" s="26" t="n"/>
      <c r="J433" s="24" t="n"/>
      <c r="K433" s="22" t="n"/>
      <c r="L433" s="72" t="n"/>
      <c r="M433" s="27">
        <f>IF(E433="","",SUMIFS(tbl_Finance[Ex GST],tbl_Finance[Job Number],E433&amp;""))</f>
        <v/>
      </c>
      <c r="N433" s="27">
        <f>IF(J433&lt;&gt;"Won","",IF(E433="",N(I433),I433-M433))</f>
        <v/>
      </c>
      <c r="O433" s="24" t="n"/>
    </row>
    <row r="434" ht="15" customHeight="1">
      <c r="A434" s="72" t="n"/>
      <c r="B434" s="24" t="n"/>
      <c r="C434" s="24" t="n"/>
      <c r="D434" s="24" t="n"/>
      <c r="E434" s="24" t="n"/>
      <c r="F434" s="25">
        <f>IF(E434="","",IF(COUNTIF(lst_Jobs,E434&amp;"")&gt;0,"OK","CHECK"))</f>
        <v/>
      </c>
      <c r="G434" s="24" t="n"/>
      <c r="H434" s="24" t="n"/>
      <c r="I434" s="26" t="n"/>
      <c r="J434" s="24" t="n"/>
      <c r="K434" s="22" t="n"/>
      <c r="L434" s="72" t="n"/>
      <c r="M434" s="27">
        <f>IF(E434="","",SUMIFS(tbl_Finance[Ex GST],tbl_Finance[Job Number],E434&amp;""))</f>
        <v/>
      </c>
      <c r="N434" s="27">
        <f>IF(J434&lt;&gt;"Won","",IF(E434="",N(I434),I434-M434))</f>
        <v/>
      </c>
      <c r="O434" s="24" t="n"/>
    </row>
    <row r="435" ht="15" customHeight="1">
      <c r="A435" s="72" t="n"/>
      <c r="B435" s="24" t="n"/>
      <c r="C435" s="24" t="n"/>
      <c r="D435" s="24" t="n"/>
      <c r="E435" s="24" t="n"/>
      <c r="F435" s="25">
        <f>IF(E435="","",IF(COUNTIF(lst_Jobs,E435&amp;"")&gt;0,"OK","CHECK"))</f>
        <v/>
      </c>
      <c r="G435" s="24" t="n"/>
      <c r="H435" s="24" t="n"/>
      <c r="I435" s="26" t="n"/>
      <c r="J435" s="24" t="n"/>
      <c r="K435" s="22" t="n"/>
      <c r="L435" s="72" t="n"/>
      <c r="M435" s="27">
        <f>IF(E435="","",SUMIFS(tbl_Finance[Ex GST],tbl_Finance[Job Number],E435&amp;""))</f>
        <v/>
      </c>
      <c r="N435" s="27">
        <f>IF(J435&lt;&gt;"Won","",IF(E435="",N(I435),I435-M435))</f>
        <v/>
      </c>
      <c r="O435" s="24" t="n"/>
    </row>
    <row r="436" ht="15" customHeight="1">
      <c r="A436" s="72" t="n"/>
      <c r="B436" s="24" t="n"/>
      <c r="C436" s="24" t="n"/>
      <c r="D436" s="24" t="n"/>
      <c r="E436" s="24" t="n"/>
      <c r="F436" s="25">
        <f>IF(E436="","",IF(COUNTIF(lst_Jobs,E436&amp;"")&gt;0,"OK","CHECK"))</f>
        <v/>
      </c>
      <c r="G436" s="24" t="n"/>
      <c r="H436" s="24" t="n"/>
      <c r="I436" s="26" t="n"/>
      <c r="J436" s="24" t="n"/>
      <c r="K436" s="22" t="n"/>
      <c r="L436" s="72" t="n"/>
      <c r="M436" s="27">
        <f>IF(E436="","",SUMIFS(tbl_Finance[Ex GST],tbl_Finance[Job Number],E436&amp;""))</f>
        <v/>
      </c>
      <c r="N436" s="27">
        <f>IF(J436&lt;&gt;"Won","",IF(E436="",N(I436),I436-M436))</f>
        <v/>
      </c>
      <c r="O436" s="24" t="n"/>
    </row>
    <row r="437" ht="15" customHeight="1">
      <c r="A437" s="72" t="n"/>
      <c r="B437" s="24" t="n"/>
      <c r="C437" s="24" t="n"/>
      <c r="D437" s="24" t="n"/>
      <c r="E437" s="24" t="n"/>
      <c r="F437" s="25">
        <f>IF(E437="","",IF(COUNTIF(lst_Jobs,E437&amp;"")&gt;0,"OK","CHECK"))</f>
        <v/>
      </c>
      <c r="G437" s="24" t="n"/>
      <c r="H437" s="24" t="n"/>
      <c r="I437" s="26" t="n"/>
      <c r="J437" s="24" t="n"/>
      <c r="K437" s="22" t="n"/>
      <c r="L437" s="72" t="n"/>
      <c r="M437" s="27">
        <f>IF(E437="","",SUMIFS(tbl_Finance[Ex GST],tbl_Finance[Job Number],E437&amp;""))</f>
        <v/>
      </c>
      <c r="N437" s="27">
        <f>IF(J437&lt;&gt;"Won","",IF(E437="",N(I437),I437-M437))</f>
        <v/>
      </c>
      <c r="O437" s="24" t="n"/>
    </row>
    <row r="438" ht="15" customHeight="1">
      <c r="A438" s="72" t="n"/>
      <c r="B438" s="24" t="n"/>
      <c r="C438" s="24" t="n"/>
      <c r="D438" s="24" t="n"/>
      <c r="E438" s="24" t="n"/>
      <c r="F438" s="25">
        <f>IF(E438="","",IF(COUNTIF(lst_Jobs,E438&amp;"")&gt;0,"OK","CHECK"))</f>
        <v/>
      </c>
      <c r="G438" s="24" t="n"/>
      <c r="H438" s="24" t="n"/>
      <c r="I438" s="26" t="n"/>
      <c r="J438" s="24" t="n"/>
      <c r="K438" s="22" t="n"/>
      <c r="L438" s="72" t="n"/>
      <c r="M438" s="27">
        <f>IF(E438="","",SUMIFS(tbl_Finance[Ex GST],tbl_Finance[Job Number],E438&amp;""))</f>
        <v/>
      </c>
      <c r="N438" s="27">
        <f>IF(J438&lt;&gt;"Won","",IF(E438="",N(I438),I438-M438))</f>
        <v/>
      </c>
      <c r="O438" s="24" t="n"/>
    </row>
    <row r="439" ht="15" customHeight="1">
      <c r="A439" s="72" t="n"/>
      <c r="B439" s="24" t="n"/>
      <c r="C439" s="24" t="n"/>
      <c r="D439" s="24" t="n"/>
      <c r="E439" s="24" t="n"/>
      <c r="F439" s="25">
        <f>IF(E439="","",IF(COUNTIF(lst_Jobs,E439&amp;"")&gt;0,"OK","CHECK"))</f>
        <v/>
      </c>
      <c r="G439" s="24" t="n"/>
      <c r="H439" s="24" t="n"/>
      <c r="I439" s="26" t="n"/>
      <c r="J439" s="24" t="n"/>
      <c r="K439" s="22" t="n"/>
      <c r="L439" s="72" t="n"/>
      <c r="M439" s="27">
        <f>IF(E439="","",SUMIFS(tbl_Finance[Ex GST],tbl_Finance[Job Number],E439&amp;""))</f>
        <v/>
      </c>
      <c r="N439" s="27">
        <f>IF(J439&lt;&gt;"Won","",IF(E439="",N(I439),I439-M439))</f>
        <v/>
      </c>
      <c r="O439" s="24" t="n"/>
    </row>
    <row r="440" ht="15" customHeight="1">
      <c r="A440" s="72" t="n"/>
      <c r="B440" s="24" t="n"/>
      <c r="C440" s="24" t="n"/>
      <c r="D440" s="24" t="n"/>
      <c r="E440" s="24" t="n"/>
      <c r="F440" s="25">
        <f>IF(E440="","",IF(COUNTIF(lst_Jobs,E440&amp;"")&gt;0,"OK","CHECK"))</f>
        <v/>
      </c>
      <c r="G440" s="24" t="n"/>
      <c r="H440" s="24" t="n"/>
      <c r="I440" s="26" t="n"/>
      <c r="J440" s="24" t="n"/>
      <c r="K440" s="22" t="n"/>
      <c r="L440" s="72" t="n"/>
      <c r="M440" s="27">
        <f>IF(E440="","",SUMIFS(tbl_Finance[Ex GST],tbl_Finance[Job Number],E440&amp;""))</f>
        <v/>
      </c>
      <c r="N440" s="27">
        <f>IF(J440&lt;&gt;"Won","",IF(E440="",N(I440),I440-M440))</f>
        <v/>
      </c>
      <c r="O440" s="24" t="n"/>
    </row>
    <row r="441" ht="15" customHeight="1">
      <c r="A441" s="72" t="n"/>
      <c r="B441" s="24" t="n"/>
      <c r="C441" s="24" t="n"/>
      <c r="D441" s="24" t="n"/>
      <c r="E441" s="24" t="n"/>
      <c r="F441" s="25">
        <f>IF(E441="","",IF(COUNTIF(lst_Jobs,E441&amp;"")&gt;0,"OK","CHECK"))</f>
        <v/>
      </c>
      <c r="G441" s="24" t="n"/>
      <c r="H441" s="24" t="n"/>
      <c r="I441" s="26" t="n"/>
      <c r="J441" s="24" t="n"/>
      <c r="K441" s="22" t="n"/>
      <c r="L441" s="72" t="n"/>
      <c r="M441" s="27">
        <f>IF(E441="","",SUMIFS(tbl_Finance[Ex GST],tbl_Finance[Job Number],E441&amp;""))</f>
        <v/>
      </c>
      <c r="N441" s="27">
        <f>IF(J441&lt;&gt;"Won","",IF(E441="",N(I441),I441-M441))</f>
        <v/>
      </c>
      <c r="O441" s="24" t="n"/>
    </row>
    <row r="442" ht="15" customHeight="1">
      <c r="A442" s="72" t="n"/>
      <c r="B442" s="24" t="n"/>
      <c r="C442" s="24" t="n"/>
      <c r="D442" s="24" t="n"/>
      <c r="E442" s="24" t="n"/>
      <c r="F442" s="25">
        <f>IF(E442="","",IF(COUNTIF(lst_Jobs,E442&amp;"")&gt;0,"OK","CHECK"))</f>
        <v/>
      </c>
      <c r="G442" s="24" t="n"/>
      <c r="H442" s="24" t="n"/>
      <c r="I442" s="26" t="n"/>
      <c r="J442" s="24" t="n"/>
      <c r="K442" s="22" t="n"/>
      <c r="L442" s="72" t="n"/>
      <c r="M442" s="27">
        <f>IF(E442="","",SUMIFS(tbl_Finance[Ex GST],tbl_Finance[Job Number],E442&amp;""))</f>
        <v/>
      </c>
      <c r="N442" s="27">
        <f>IF(J442&lt;&gt;"Won","",IF(E442="",N(I442),I442-M442))</f>
        <v/>
      </c>
      <c r="O442" s="24" t="n"/>
    </row>
    <row r="443" ht="15" customHeight="1">
      <c r="A443" s="72" t="n"/>
      <c r="B443" s="24" t="n"/>
      <c r="C443" s="24" t="n"/>
      <c r="D443" s="24" t="n"/>
      <c r="E443" s="24" t="n"/>
      <c r="F443" s="25">
        <f>IF(E443="","",IF(COUNTIF(lst_Jobs,E443&amp;"")&gt;0,"OK","CHECK"))</f>
        <v/>
      </c>
      <c r="G443" s="24" t="n"/>
      <c r="H443" s="24" t="n"/>
      <c r="I443" s="26" t="n"/>
      <c r="J443" s="24" t="n"/>
      <c r="K443" s="22" t="n"/>
      <c r="L443" s="72" t="n"/>
      <c r="M443" s="27">
        <f>IF(E443="","",SUMIFS(tbl_Finance[Ex GST],tbl_Finance[Job Number],E443&amp;""))</f>
        <v/>
      </c>
      <c r="N443" s="27">
        <f>IF(J443&lt;&gt;"Won","",IF(E443="",N(I443),I443-M443))</f>
        <v/>
      </c>
      <c r="O443" s="24" t="n"/>
    </row>
    <row r="444" ht="15" customHeight="1">
      <c r="A444" s="72" t="n"/>
      <c r="B444" s="24" t="n"/>
      <c r="C444" s="24" t="n"/>
      <c r="D444" s="24" t="n"/>
      <c r="E444" s="24" t="n"/>
      <c r="F444" s="25">
        <f>IF(E444="","",IF(COUNTIF(lst_Jobs,E444&amp;"")&gt;0,"OK","CHECK"))</f>
        <v/>
      </c>
      <c r="G444" s="24" t="n"/>
      <c r="H444" s="24" t="n"/>
      <c r="I444" s="26" t="n"/>
      <c r="J444" s="24" t="n"/>
      <c r="K444" s="22" t="n"/>
      <c r="L444" s="72" t="n"/>
      <c r="M444" s="27">
        <f>IF(E444="","",SUMIFS(tbl_Finance[Ex GST],tbl_Finance[Job Number],E444&amp;""))</f>
        <v/>
      </c>
      <c r="N444" s="27">
        <f>IF(J444&lt;&gt;"Won","",IF(E444="",N(I444),I444-M444))</f>
        <v/>
      </c>
      <c r="O444" s="24" t="n"/>
    </row>
    <row r="445" ht="15" customHeight="1">
      <c r="A445" s="72" t="n"/>
      <c r="B445" s="24" t="n"/>
      <c r="C445" s="24" t="n"/>
      <c r="D445" s="24" t="n"/>
      <c r="E445" s="24" t="n"/>
      <c r="F445" s="25">
        <f>IF(E445="","",IF(COUNTIF(lst_Jobs,E445&amp;"")&gt;0,"OK","CHECK"))</f>
        <v/>
      </c>
      <c r="G445" s="24" t="n"/>
      <c r="H445" s="24" t="n"/>
      <c r="I445" s="26" t="n"/>
      <c r="J445" s="24" t="n"/>
      <c r="K445" s="22" t="n"/>
      <c r="L445" s="72" t="n"/>
      <c r="M445" s="27">
        <f>IF(E445="","",SUMIFS(tbl_Finance[Ex GST],tbl_Finance[Job Number],E445&amp;""))</f>
        <v/>
      </c>
      <c r="N445" s="27">
        <f>IF(J445&lt;&gt;"Won","",IF(E445="",N(I445),I445-M445))</f>
        <v/>
      </c>
      <c r="O445" s="24" t="n"/>
    </row>
    <row r="446" ht="15" customHeight="1">
      <c r="A446" s="72" t="n"/>
      <c r="B446" s="24" t="n"/>
      <c r="C446" s="24" t="n"/>
      <c r="D446" s="24" t="n"/>
      <c r="E446" s="24" t="n"/>
      <c r="F446" s="25">
        <f>IF(E446="","",IF(COUNTIF(lst_Jobs,E446&amp;"")&gt;0,"OK","CHECK"))</f>
        <v/>
      </c>
      <c r="G446" s="24" t="n"/>
      <c r="H446" s="24" t="n"/>
      <c r="I446" s="26" t="n"/>
      <c r="J446" s="24" t="n"/>
      <c r="K446" s="22" t="n"/>
      <c r="L446" s="72" t="n"/>
      <c r="M446" s="27">
        <f>IF(E446="","",SUMIFS(tbl_Finance[Ex GST],tbl_Finance[Job Number],E446&amp;""))</f>
        <v/>
      </c>
      <c r="N446" s="27">
        <f>IF(J446&lt;&gt;"Won","",IF(E446="",N(I446),I446-M446))</f>
        <v/>
      </c>
      <c r="O446" s="24" t="n"/>
    </row>
    <row r="447" ht="15" customHeight="1">
      <c r="A447" s="72" t="n"/>
      <c r="B447" s="24" t="n"/>
      <c r="C447" s="24" t="n"/>
      <c r="D447" s="24" t="n"/>
      <c r="E447" s="24" t="n"/>
      <c r="F447" s="25">
        <f>IF(E447="","",IF(COUNTIF(lst_Jobs,E447&amp;"")&gt;0,"OK","CHECK"))</f>
        <v/>
      </c>
      <c r="G447" s="24" t="n"/>
      <c r="H447" s="24" t="n"/>
      <c r="I447" s="26" t="n"/>
      <c r="J447" s="24" t="n"/>
      <c r="K447" s="22" t="n"/>
      <c r="L447" s="72" t="n"/>
      <c r="M447" s="27">
        <f>IF(E447="","",SUMIFS(tbl_Finance[Ex GST],tbl_Finance[Job Number],E447&amp;""))</f>
        <v/>
      </c>
      <c r="N447" s="27">
        <f>IF(J447&lt;&gt;"Won","",IF(E447="",N(I447),I447-M447))</f>
        <v/>
      </c>
      <c r="O447" s="24" t="n"/>
    </row>
    <row r="448" ht="15" customHeight="1">
      <c r="A448" s="72" t="n"/>
      <c r="B448" s="24" t="n"/>
      <c r="C448" s="24" t="n"/>
      <c r="D448" s="24" t="n"/>
      <c r="E448" s="24" t="n"/>
      <c r="F448" s="25">
        <f>IF(E448="","",IF(COUNTIF(lst_Jobs,E448&amp;"")&gt;0,"OK","CHECK"))</f>
        <v/>
      </c>
      <c r="G448" s="24" t="n"/>
      <c r="H448" s="24" t="n"/>
      <c r="I448" s="26" t="n"/>
      <c r="J448" s="24" t="n"/>
      <c r="K448" s="22" t="n"/>
      <c r="L448" s="72" t="n"/>
      <c r="M448" s="27">
        <f>IF(E448="","",SUMIFS(tbl_Finance[Ex GST],tbl_Finance[Job Number],E448&amp;""))</f>
        <v/>
      </c>
      <c r="N448" s="27">
        <f>IF(J448&lt;&gt;"Won","",IF(E448="",N(I448),I448-M448))</f>
        <v/>
      </c>
      <c r="O448" s="24" t="n"/>
    </row>
    <row r="449" ht="15" customHeight="1">
      <c r="A449" s="72" t="n"/>
      <c r="B449" s="24" t="n"/>
      <c r="C449" s="24" t="n"/>
      <c r="D449" s="24" t="n"/>
      <c r="E449" s="24" t="n"/>
      <c r="F449" s="25">
        <f>IF(E449="","",IF(COUNTIF(lst_Jobs,E449&amp;"")&gt;0,"OK","CHECK"))</f>
        <v/>
      </c>
      <c r="G449" s="24" t="n"/>
      <c r="H449" s="24" t="n"/>
      <c r="I449" s="26" t="n"/>
      <c r="J449" s="24" t="n"/>
      <c r="K449" s="22" t="n"/>
      <c r="L449" s="72" t="n"/>
      <c r="M449" s="27">
        <f>IF(E449="","",SUMIFS(tbl_Finance[Ex GST],tbl_Finance[Job Number],E449&amp;""))</f>
        <v/>
      </c>
      <c r="N449" s="27">
        <f>IF(J449&lt;&gt;"Won","",IF(E449="",N(I449),I449-M449))</f>
        <v/>
      </c>
      <c r="O449" s="24" t="n"/>
    </row>
    <row r="450" ht="15" customHeight="1">
      <c r="A450" s="72" t="n"/>
      <c r="B450" s="24" t="n"/>
      <c r="C450" s="24" t="n"/>
      <c r="D450" s="24" t="n"/>
      <c r="E450" s="24" t="n"/>
      <c r="F450" s="25">
        <f>IF(E450="","",IF(COUNTIF(lst_Jobs,E450&amp;"")&gt;0,"OK","CHECK"))</f>
        <v/>
      </c>
      <c r="G450" s="24" t="n"/>
      <c r="H450" s="24" t="n"/>
      <c r="I450" s="26" t="n"/>
      <c r="J450" s="24" t="n"/>
      <c r="K450" s="22" t="n"/>
      <c r="L450" s="72" t="n"/>
      <c r="M450" s="27">
        <f>IF(E450="","",SUMIFS(tbl_Finance[Ex GST],tbl_Finance[Job Number],E450&amp;""))</f>
        <v/>
      </c>
      <c r="N450" s="27">
        <f>IF(J450&lt;&gt;"Won","",IF(E450="",N(I450),I450-M450))</f>
        <v/>
      </c>
      <c r="O450" s="24" t="n"/>
    </row>
    <row r="451" ht="15" customHeight="1">
      <c r="A451" s="72" t="n"/>
      <c r="B451" s="24" t="n"/>
      <c r="C451" s="24" t="n"/>
      <c r="D451" s="24" t="n"/>
      <c r="E451" s="24" t="n"/>
      <c r="F451" s="25">
        <f>IF(E451="","",IF(COUNTIF(lst_Jobs,E451&amp;"")&gt;0,"OK","CHECK"))</f>
        <v/>
      </c>
      <c r="G451" s="24" t="n"/>
      <c r="H451" s="24" t="n"/>
      <c r="I451" s="26" t="n"/>
      <c r="J451" s="24" t="n"/>
      <c r="K451" s="22" t="n"/>
      <c r="L451" s="72" t="n"/>
      <c r="M451" s="27">
        <f>IF(E451="","",SUMIFS(tbl_Finance[Ex GST],tbl_Finance[Job Number],E451&amp;""))</f>
        <v/>
      </c>
      <c r="N451" s="27">
        <f>IF(J451&lt;&gt;"Won","",IF(E451="",N(I451),I451-M451))</f>
        <v/>
      </c>
      <c r="O451" s="24" t="n"/>
    </row>
    <row r="452" ht="15" customHeight="1">
      <c r="A452" s="72" t="n"/>
      <c r="B452" s="24" t="n"/>
      <c r="C452" s="24" t="n"/>
      <c r="D452" s="24" t="n"/>
      <c r="E452" s="24" t="n"/>
      <c r="F452" s="25">
        <f>IF(E452="","",IF(COUNTIF(lst_Jobs,E452&amp;"")&gt;0,"OK","CHECK"))</f>
        <v/>
      </c>
      <c r="G452" s="24" t="n"/>
      <c r="H452" s="24" t="n"/>
      <c r="I452" s="26" t="n"/>
      <c r="J452" s="24" t="n"/>
      <c r="K452" s="22" t="n"/>
      <c r="L452" s="72" t="n"/>
      <c r="M452" s="27">
        <f>IF(E452="","",SUMIFS(tbl_Finance[Ex GST],tbl_Finance[Job Number],E452&amp;""))</f>
        <v/>
      </c>
      <c r="N452" s="27">
        <f>IF(J452&lt;&gt;"Won","",IF(E452="",N(I452),I452-M452))</f>
        <v/>
      </c>
      <c r="O452" s="24" t="n"/>
    </row>
    <row r="453" ht="15" customHeight="1">
      <c r="A453" s="72" t="n"/>
      <c r="B453" s="24" t="n"/>
      <c r="C453" s="24" t="n"/>
      <c r="D453" s="24" t="n"/>
      <c r="E453" s="24" t="n"/>
      <c r="F453" s="25">
        <f>IF(E453="","",IF(COUNTIF(lst_Jobs,E453&amp;"")&gt;0,"OK","CHECK"))</f>
        <v/>
      </c>
      <c r="G453" s="24" t="n"/>
      <c r="H453" s="24" t="n"/>
      <c r="I453" s="26" t="n"/>
      <c r="J453" s="24" t="n"/>
      <c r="K453" s="22" t="n"/>
      <c r="L453" s="72" t="n"/>
      <c r="M453" s="27">
        <f>IF(E453="","",SUMIFS(tbl_Finance[Ex GST],tbl_Finance[Job Number],E453&amp;""))</f>
        <v/>
      </c>
      <c r="N453" s="27">
        <f>IF(J453&lt;&gt;"Won","",IF(E453="",N(I453),I453-M453))</f>
        <v/>
      </c>
      <c r="O453" s="24" t="n"/>
    </row>
    <row r="454" ht="15" customHeight="1">
      <c r="A454" s="72" t="n"/>
      <c r="B454" s="24" t="n"/>
      <c r="C454" s="24" t="n"/>
      <c r="D454" s="24" t="n"/>
      <c r="E454" s="24" t="n"/>
      <c r="F454" s="25">
        <f>IF(E454="","",IF(COUNTIF(lst_Jobs,E454&amp;"")&gt;0,"OK","CHECK"))</f>
        <v/>
      </c>
      <c r="G454" s="24" t="n"/>
      <c r="H454" s="24" t="n"/>
      <c r="I454" s="26" t="n"/>
      <c r="J454" s="24" t="n"/>
      <c r="K454" s="22" t="n"/>
      <c r="L454" s="72" t="n"/>
      <c r="M454" s="27">
        <f>IF(E454="","",SUMIFS(tbl_Finance[Ex GST],tbl_Finance[Job Number],E454&amp;""))</f>
        <v/>
      </c>
      <c r="N454" s="27">
        <f>IF(J454&lt;&gt;"Won","",IF(E454="",N(I454),I454-M454))</f>
        <v/>
      </c>
      <c r="O454" s="24" t="n"/>
    </row>
    <row r="455" ht="15" customHeight="1">
      <c r="A455" s="72" t="n"/>
      <c r="B455" s="24" t="n"/>
      <c r="C455" s="24" t="n"/>
      <c r="D455" s="24" t="n"/>
      <c r="E455" s="24" t="n"/>
      <c r="F455" s="25">
        <f>IF(E455="","",IF(COUNTIF(lst_Jobs,E455&amp;"")&gt;0,"OK","CHECK"))</f>
        <v/>
      </c>
      <c r="G455" s="24" t="n"/>
      <c r="H455" s="24" t="n"/>
      <c r="I455" s="26" t="n"/>
      <c r="J455" s="24" t="n"/>
      <c r="K455" s="22" t="n"/>
      <c r="L455" s="72" t="n"/>
      <c r="M455" s="27">
        <f>IF(E455="","",SUMIFS(tbl_Finance[Ex GST],tbl_Finance[Job Number],E455&amp;""))</f>
        <v/>
      </c>
      <c r="N455" s="27">
        <f>IF(J455&lt;&gt;"Won","",IF(E455="",N(I455),I455-M455))</f>
        <v/>
      </c>
      <c r="O455" s="24" t="n"/>
    </row>
    <row r="456" ht="15" customHeight="1">
      <c r="A456" s="72" t="n"/>
      <c r="B456" s="24" t="n"/>
      <c r="C456" s="24" t="n"/>
      <c r="D456" s="24" t="n"/>
      <c r="E456" s="24" t="n"/>
      <c r="F456" s="25">
        <f>IF(E456="","",IF(COUNTIF(lst_Jobs,E456&amp;"")&gt;0,"OK","CHECK"))</f>
        <v/>
      </c>
      <c r="G456" s="24" t="n"/>
      <c r="H456" s="24" t="n"/>
      <c r="I456" s="26" t="n"/>
      <c r="J456" s="24" t="n"/>
      <c r="K456" s="22" t="n"/>
      <c r="L456" s="72" t="n"/>
      <c r="M456" s="27">
        <f>IF(E456="","",SUMIFS(tbl_Finance[Ex GST],tbl_Finance[Job Number],E456&amp;""))</f>
        <v/>
      </c>
      <c r="N456" s="27">
        <f>IF(J456&lt;&gt;"Won","",IF(E456="",N(I456),I456-M456))</f>
        <v/>
      </c>
      <c r="O456" s="24" t="n"/>
    </row>
    <row r="457" ht="15" customHeight="1">
      <c r="A457" s="72" t="n"/>
      <c r="B457" s="24" t="n"/>
      <c r="C457" s="24" t="n"/>
      <c r="D457" s="24" t="n"/>
      <c r="E457" s="24" t="n"/>
      <c r="F457" s="25">
        <f>IF(E457="","",IF(COUNTIF(lst_Jobs,E457&amp;"")&gt;0,"OK","CHECK"))</f>
        <v/>
      </c>
      <c r="G457" s="24" t="n"/>
      <c r="H457" s="24" t="n"/>
      <c r="I457" s="26" t="n"/>
      <c r="J457" s="24" t="n"/>
      <c r="K457" s="22" t="n"/>
      <c r="L457" s="72" t="n"/>
      <c r="M457" s="27">
        <f>IF(E457="","",SUMIFS(tbl_Finance[Ex GST],tbl_Finance[Job Number],E457&amp;""))</f>
        <v/>
      </c>
      <c r="N457" s="27">
        <f>IF(J457&lt;&gt;"Won","",IF(E457="",N(I457),I457-M457))</f>
        <v/>
      </c>
      <c r="O457" s="24" t="n"/>
    </row>
    <row r="458" ht="15" customHeight="1">
      <c r="A458" s="72" t="n"/>
      <c r="B458" s="24" t="n"/>
      <c r="C458" s="24" t="n"/>
      <c r="D458" s="24" t="n"/>
      <c r="E458" s="24" t="n"/>
      <c r="F458" s="25">
        <f>IF(E458="","",IF(COUNTIF(lst_Jobs,E458&amp;"")&gt;0,"OK","CHECK"))</f>
        <v/>
      </c>
      <c r="G458" s="24" t="n"/>
      <c r="H458" s="24" t="n"/>
      <c r="I458" s="26" t="n"/>
      <c r="J458" s="24" t="n"/>
      <c r="K458" s="22" t="n"/>
      <c r="L458" s="72" t="n"/>
      <c r="M458" s="27">
        <f>IF(E458="","",SUMIFS(tbl_Finance[Ex GST],tbl_Finance[Job Number],E458&amp;""))</f>
        <v/>
      </c>
      <c r="N458" s="27">
        <f>IF(J458&lt;&gt;"Won","",IF(E458="",N(I458),I458-M458))</f>
        <v/>
      </c>
      <c r="O458" s="24" t="n"/>
    </row>
    <row r="459" ht="15" customHeight="1">
      <c r="A459" s="72" t="n"/>
      <c r="B459" s="24" t="n"/>
      <c r="C459" s="24" t="n"/>
      <c r="D459" s="24" t="n"/>
      <c r="E459" s="24" t="n"/>
      <c r="F459" s="25">
        <f>IF(E459="","",IF(COUNTIF(lst_Jobs,E459&amp;"")&gt;0,"OK","CHECK"))</f>
        <v/>
      </c>
      <c r="G459" s="24" t="n"/>
      <c r="H459" s="24" t="n"/>
      <c r="I459" s="26" t="n"/>
      <c r="J459" s="24" t="n"/>
      <c r="K459" s="22" t="n"/>
      <c r="L459" s="72" t="n"/>
      <c r="M459" s="27">
        <f>IF(E459="","",SUMIFS(tbl_Finance[Ex GST],tbl_Finance[Job Number],E459&amp;""))</f>
        <v/>
      </c>
      <c r="N459" s="27">
        <f>IF(J459&lt;&gt;"Won","",IF(E459="",N(I459),I459-M459))</f>
        <v/>
      </c>
      <c r="O459" s="24" t="n"/>
    </row>
    <row r="460" ht="15" customHeight="1">
      <c r="A460" s="72" t="n"/>
      <c r="B460" s="24" t="n"/>
      <c r="C460" s="24" t="n"/>
      <c r="D460" s="24" t="n"/>
      <c r="E460" s="24" t="n"/>
      <c r="F460" s="25">
        <f>IF(E460="","",IF(COUNTIF(lst_Jobs,E460&amp;"")&gt;0,"OK","CHECK"))</f>
        <v/>
      </c>
      <c r="G460" s="24" t="n"/>
      <c r="H460" s="24" t="n"/>
      <c r="I460" s="26" t="n"/>
      <c r="J460" s="24" t="n"/>
      <c r="K460" s="22" t="n"/>
      <c r="L460" s="72" t="n"/>
      <c r="M460" s="27">
        <f>IF(E460="","",SUMIFS(tbl_Finance[Ex GST],tbl_Finance[Job Number],E460&amp;""))</f>
        <v/>
      </c>
      <c r="N460" s="27">
        <f>IF(J460&lt;&gt;"Won","",IF(E460="",N(I460),I460-M460))</f>
        <v/>
      </c>
      <c r="O460" s="24" t="n"/>
    </row>
    <row r="461" ht="15" customHeight="1">
      <c r="A461" s="72" t="n"/>
      <c r="B461" s="24" t="n"/>
      <c r="C461" s="24" t="n"/>
      <c r="D461" s="24" t="n"/>
      <c r="E461" s="24" t="n"/>
      <c r="F461" s="25">
        <f>IF(E461="","",IF(COUNTIF(lst_Jobs,E461&amp;"")&gt;0,"OK","CHECK"))</f>
        <v/>
      </c>
      <c r="G461" s="24" t="n"/>
      <c r="H461" s="24" t="n"/>
      <c r="I461" s="26" t="n"/>
      <c r="J461" s="24" t="n"/>
      <c r="K461" s="22" t="n"/>
      <c r="L461" s="72" t="n"/>
      <c r="M461" s="27">
        <f>IF(E461="","",SUMIFS(tbl_Finance[Ex GST],tbl_Finance[Job Number],E461&amp;""))</f>
        <v/>
      </c>
      <c r="N461" s="27">
        <f>IF(J461&lt;&gt;"Won","",IF(E461="",N(I461),I461-M461))</f>
        <v/>
      </c>
      <c r="O461" s="24" t="n"/>
    </row>
    <row r="462" ht="15" customHeight="1">
      <c r="A462" s="72" t="n"/>
      <c r="B462" s="24" t="n"/>
      <c r="C462" s="24" t="n"/>
      <c r="D462" s="24" t="n"/>
      <c r="E462" s="24" t="n"/>
      <c r="F462" s="25">
        <f>IF(E462="","",IF(COUNTIF(lst_Jobs,E462&amp;"")&gt;0,"OK","CHECK"))</f>
        <v/>
      </c>
      <c r="G462" s="24" t="n"/>
      <c r="H462" s="24" t="n"/>
      <c r="I462" s="26" t="n"/>
      <c r="J462" s="24" t="n"/>
      <c r="K462" s="22" t="n"/>
      <c r="L462" s="72" t="n"/>
      <c r="M462" s="27">
        <f>IF(E462="","",SUMIFS(tbl_Finance[Ex GST],tbl_Finance[Job Number],E462&amp;""))</f>
        <v/>
      </c>
      <c r="N462" s="27">
        <f>IF(J462&lt;&gt;"Won","",IF(E462="",N(I462),I462-M462))</f>
        <v/>
      </c>
      <c r="O462" s="24" t="n"/>
    </row>
    <row r="463" ht="15" customHeight="1">
      <c r="A463" s="72" t="n"/>
      <c r="B463" s="24" t="n"/>
      <c r="C463" s="24" t="n"/>
      <c r="D463" s="24" t="n"/>
      <c r="E463" s="24" t="n"/>
      <c r="F463" s="25">
        <f>IF(E463="","",IF(COUNTIF(lst_Jobs,E463&amp;"")&gt;0,"OK","CHECK"))</f>
        <v/>
      </c>
      <c r="G463" s="24" t="n"/>
      <c r="H463" s="24" t="n"/>
      <c r="I463" s="26" t="n"/>
      <c r="J463" s="24" t="n"/>
      <c r="K463" s="22" t="n"/>
      <c r="L463" s="72" t="n"/>
      <c r="M463" s="27">
        <f>IF(E463="","",SUMIFS(tbl_Finance[Ex GST],tbl_Finance[Job Number],E463&amp;""))</f>
        <v/>
      </c>
      <c r="N463" s="27">
        <f>IF(J463&lt;&gt;"Won","",IF(E463="",N(I463),I463-M463))</f>
        <v/>
      </c>
      <c r="O463" s="24" t="n"/>
    </row>
    <row r="464" ht="15" customHeight="1">
      <c r="A464" s="72" t="n"/>
      <c r="B464" s="24" t="n"/>
      <c r="C464" s="24" t="n"/>
      <c r="D464" s="24" t="n"/>
      <c r="E464" s="24" t="n"/>
      <c r="F464" s="25">
        <f>IF(E464="","",IF(COUNTIF(lst_Jobs,E464&amp;"")&gt;0,"OK","CHECK"))</f>
        <v/>
      </c>
      <c r="G464" s="24" t="n"/>
      <c r="H464" s="24" t="n"/>
      <c r="I464" s="26" t="n"/>
      <c r="J464" s="24" t="n"/>
      <c r="K464" s="22" t="n"/>
      <c r="L464" s="72" t="n"/>
      <c r="M464" s="27">
        <f>IF(E464="","",SUMIFS(tbl_Finance[Ex GST],tbl_Finance[Job Number],E464&amp;""))</f>
        <v/>
      </c>
      <c r="N464" s="27">
        <f>IF(J464&lt;&gt;"Won","",IF(E464="",N(I464),I464-M464))</f>
        <v/>
      </c>
      <c r="O464" s="24" t="n"/>
    </row>
    <row r="465" ht="15" customHeight="1">
      <c r="A465" s="72" t="n"/>
      <c r="B465" s="24" t="n"/>
      <c r="C465" s="24" t="n"/>
      <c r="D465" s="24" t="n"/>
      <c r="E465" s="24" t="n"/>
      <c r="F465" s="25">
        <f>IF(E465="","",IF(COUNTIF(lst_Jobs,E465&amp;"")&gt;0,"OK","CHECK"))</f>
        <v/>
      </c>
      <c r="G465" s="24" t="n"/>
      <c r="H465" s="24" t="n"/>
      <c r="I465" s="26" t="n"/>
      <c r="J465" s="24" t="n"/>
      <c r="K465" s="22" t="n"/>
      <c r="L465" s="72" t="n"/>
      <c r="M465" s="27">
        <f>IF(E465="","",SUMIFS(tbl_Finance[Ex GST],tbl_Finance[Job Number],E465&amp;""))</f>
        <v/>
      </c>
      <c r="N465" s="27">
        <f>IF(J465&lt;&gt;"Won","",IF(E465="",N(I465),I465-M465))</f>
        <v/>
      </c>
      <c r="O465" s="24" t="n"/>
    </row>
    <row r="466" ht="15" customHeight="1">
      <c r="A466" s="72" t="n"/>
      <c r="B466" s="24" t="n"/>
      <c r="C466" s="24" t="n"/>
      <c r="D466" s="24" t="n"/>
      <c r="E466" s="24" t="n"/>
      <c r="F466" s="25">
        <f>IF(E466="","",IF(COUNTIF(lst_Jobs,E466&amp;"")&gt;0,"OK","CHECK"))</f>
        <v/>
      </c>
      <c r="G466" s="24" t="n"/>
      <c r="H466" s="24" t="n"/>
      <c r="I466" s="26" t="n"/>
      <c r="J466" s="24" t="n"/>
      <c r="K466" s="22" t="n"/>
      <c r="L466" s="72" t="n"/>
      <c r="M466" s="27">
        <f>IF(E466="","",SUMIFS(tbl_Finance[Ex GST],tbl_Finance[Job Number],E466&amp;""))</f>
        <v/>
      </c>
      <c r="N466" s="27">
        <f>IF(J466&lt;&gt;"Won","",IF(E466="",N(I466),I466-M466))</f>
        <v/>
      </c>
      <c r="O466" s="24" t="n"/>
    </row>
    <row r="467" ht="15" customHeight="1">
      <c r="A467" s="72" t="n"/>
      <c r="B467" s="24" t="n"/>
      <c r="C467" s="24" t="n"/>
      <c r="D467" s="24" t="n"/>
      <c r="E467" s="24" t="n"/>
      <c r="F467" s="25">
        <f>IF(E467="","",IF(COUNTIF(lst_Jobs,E467&amp;"")&gt;0,"OK","CHECK"))</f>
        <v/>
      </c>
      <c r="G467" s="24" t="n"/>
      <c r="H467" s="24" t="n"/>
      <c r="I467" s="26" t="n"/>
      <c r="J467" s="24" t="n"/>
      <c r="K467" s="22" t="n"/>
      <c r="L467" s="72" t="n"/>
      <c r="M467" s="27">
        <f>IF(E467="","",SUMIFS(tbl_Finance[Ex GST],tbl_Finance[Job Number],E467&amp;""))</f>
        <v/>
      </c>
      <c r="N467" s="27">
        <f>IF(J467&lt;&gt;"Won","",IF(E467="",N(I467),I467-M467))</f>
        <v/>
      </c>
      <c r="O467" s="24" t="n"/>
    </row>
    <row r="468" ht="15" customHeight="1">
      <c r="A468" s="72" t="n"/>
      <c r="B468" s="24" t="n"/>
      <c r="C468" s="24" t="n"/>
      <c r="D468" s="24" t="n"/>
      <c r="E468" s="24" t="n"/>
      <c r="F468" s="25">
        <f>IF(E468="","",IF(COUNTIF(lst_Jobs,E468&amp;"")&gt;0,"OK","CHECK"))</f>
        <v/>
      </c>
      <c r="G468" s="24" t="n"/>
      <c r="H468" s="24" t="n"/>
      <c r="I468" s="26" t="n"/>
      <c r="J468" s="24" t="n"/>
      <c r="K468" s="22" t="n"/>
      <c r="L468" s="72" t="n"/>
      <c r="M468" s="27">
        <f>IF(E468="","",SUMIFS(tbl_Finance[Ex GST],tbl_Finance[Job Number],E468&amp;""))</f>
        <v/>
      </c>
      <c r="N468" s="27">
        <f>IF(J468&lt;&gt;"Won","",IF(E468="",N(I468),I468-M468))</f>
        <v/>
      </c>
      <c r="O468" s="24" t="n"/>
    </row>
    <row r="469" ht="15" customHeight="1">
      <c r="A469" s="72" t="n"/>
      <c r="B469" s="24" t="n"/>
      <c r="C469" s="24" t="n"/>
      <c r="D469" s="24" t="n"/>
      <c r="E469" s="24" t="n"/>
      <c r="F469" s="25">
        <f>IF(E469="","",IF(COUNTIF(lst_Jobs,E469&amp;"")&gt;0,"OK","CHECK"))</f>
        <v/>
      </c>
      <c r="G469" s="24" t="n"/>
      <c r="H469" s="24" t="n"/>
      <c r="I469" s="26" t="n"/>
      <c r="J469" s="24" t="n"/>
      <c r="K469" s="22" t="n"/>
      <c r="L469" s="72" t="n"/>
      <c r="M469" s="27">
        <f>IF(E469="","",SUMIFS(tbl_Finance[Ex GST],tbl_Finance[Job Number],E469&amp;""))</f>
        <v/>
      </c>
      <c r="N469" s="27">
        <f>IF(J469&lt;&gt;"Won","",IF(E469="",N(I469),I469-M469))</f>
        <v/>
      </c>
      <c r="O469" s="24" t="n"/>
    </row>
    <row r="470" ht="15" customHeight="1">
      <c r="A470" s="72" t="n"/>
      <c r="B470" s="24" t="n"/>
      <c r="C470" s="24" t="n"/>
      <c r="D470" s="24" t="n"/>
      <c r="E470" s="24" t="n"/>
      <c r="F470" s="25">
        <f>IF(E470="","",IF(COUNTIF(lst_Jobs,E470&amp;"")&gt;0,"OK","CHECK"))</f>
        <v/>
      </c>
      <c r="G470" s="24" t="n"/>
      <c r="H470" s="24" t="n"/>
      <c r="I470" s="26" t="n"/>
      <c r="J470" s="24" t="n"/>
      <c r="K470" s="22" t="n"/>
      <c r="L470" s="72" t="n"/>
      <c r="M470" s="27">
        <f>IF(E470="","",SUMIFS(tbl_Finance[Ex GST],tbl_Finance[Job Number],E470&amp;""))</f>
        <v/>
      </c>
      <c r="N470" s="27">
        <f>IF(J470&lt;&gt;"Won","",IF(E470="",N(I470),I470-M470))</f>
        <v/>
      </c>
      <c r="O470" s="24" t="n"/>
    </row>
    <row r="471" ht="15" customHeight="1">
      <c r="A471" s="72" t="n"/>
      <c r="B471" s="24" t="n"/>
      <c r="C471" s="24" t="n"/>
      <c r="D471" s="24" t="n"/>
      <c r="E471" s="24" t="n"/>
      <c r="F471" s="25">
        <f>IF(E471="","",IF(COUNTIF(lst_Jobs,E471&amp;"")&gt;0,"OK","CHECK"))</f>
        <v/>
      </c>
      <c r="G471" s="24" t="n"/>
      <c r="H471" s="24" t="n"/>
      <c r="I471" s="26" t="n"/>
      <c r="J471" s="24" t="n"/>
      <c r="K471" s="22" t="n"/>
      <c r="L471" s="72" t="n"/>
      <c r="M471" s="27">
        <f>IF(E471="","",SUMIFS(tbl_Finance[Ex GST],tbl_Finance[Job Number],E471&amp;""))</f>
        <v/>
      </c>
      <c r="N471" s="27">
        <f>IF(J471&lt;&gt;"Won","",IF(E471="",N(I471),I471-M471))</f>
        <v/>
      </c>
      <c r="O471" s="24" t="n"/>
    </row>
    <row r="472" ht="15" customHeight="1">
      <c r="A472" s="72" t="n"/>
      <c r="B472" s="24" t="n"/>
      <c r="C472" s="24" t="n"/>
      <c r="D472" s="24" t="n"/>
      <c r="E472" s="24" t="n"/>
      <c r="F472" s="25">
        <f>IF(E472="","",IF(COUNTIF(lst_Jobs,E472&amp;"")&gt;0,"OK","CHECK"))</f>
        <v/>
      </c>
      <c r="G472" s="24" t="n"/>
      <c r="H472" s="24" t="n"/>
      <c r="I472" s="26" t="n"/>
      <c r="J472" s="24" t="n"/>
      <c r="K472" s="22" t="n"/>
      <c r="L472" s="72" t="n"/>
      <c r="M472" s="27">
        <f>IF(E472="","",SUMIFS(tbl_Finance[Ex GST],tbl_Finance[Job Number],E472&amp;""))</f>
        <v/>
      </c>
      <c r="N472" s="27">
        <f>IF(J472&lt;&gt;"Won","",IF(E472="",N(I472),I472-M472))</f>
        <v/>
      </c>
      <c r="O472" s="24" t="n"/>
    </row>
    <row r="473" ht="15" customHeight="1">
      <c r="A473" s="72" t="n"/>
      <c r="B473" s="24" t="n"/>
      <c r="C473" s="24" t="n"/>
      <c r="D473" s="24" t="n"/>
      <c r="E473" s="24" t="n"/>
      <c r="F473" s="25">
        <f>IF(E473="","",IF(COUNTIF(lst_Jobs,E473&amp;"")&gt;0,"OK","CHECK"))</f>
        <v/>
      </c>
      <c r="G473" s="24" t="n"/>
      <c r="H473" s="24" t="n"/>
      <c r="I473" s="26" t="n"/>
      <c r="J473" s="24" t="n"/>
      <c r="K473" s="22" t="n"/>
      <c r="L473" s="72" t="n"/>
      <c r="M473" s="27">
        <f>IF(E473="","",SUMIFS(tbl_Finance[Ex GST],tbl_Finance[Job Number],E473&amp;""))</f>
        <v/>
      </c>
      <c r="N473" s="27">
        <f>IF(J473&lt;&gt;"Won","",IF(E473="",N(I473),I473-M473))</f>
        <v/>
      </c>
      <c r="O473" s="24" t="n"/>
    </row>
    <row r="474" ht="15" customHeight="1">
      <c r="A474" s="72" t="n"/>
      <c r="B474" s="24" t="n"/>
      <c r="C474" s="24" t="n"/>
      <c r="D474" s="24" t="n"/>
      <c r="E474" s="24" t="n"/>
      <c r="F474" s="25">
        <f>IF(E474="","",IF(COUNTIF(lst_Jobs,E474&amp;"")&gt;0,"OK","CHECK"))</f>
        <v/>
      </c>
      <c r="G474" s="24" t="n"/>
      <c r="H474" s="24" t="n"/>
      <c r="I474" s="26" t="n"/>
      <c r="J474" s="24" t="n"/>
      <c r="K474" s="22" t="n"/>
      <c r="L474" s="72" t="n"/>
      <c r="M474" s="27">
        <f>IF(E474="","",SUMIFS(tbl_Finance[Ex GST],tbl_Finance[Job Number],E474&amp;""))</f>
        <v/>
      </c>
      <c r="N474" s="27">
        <f>IF(J474&lt;&gt;"Won","",IF(E474="",N(I474),I474-M474))</f>
        <v/>
      </c>
      <c r="O474" s="24" t="n"/>
    </row>
    <row r="475" ht="15" customHeight="1">
      <c r="A475" s="72" t="n"/>
      <c r="B475" s="24" t="n"/>
      <c r="C475" s="24" t="n"/>
      <c r="D475" s="24" t="n"/>
      <c r="E475" s="24" t="n"/>
      <c r="F475" s="25">
        <f>IF(E475="","",IF(COUNTIF(lst_Jobs,E475&amp;"")&gt;0,"OK","CHECK"))</f>
        <v/>
      </c>
      <c r="G475" s="24" t="n"/>
      <c r="H475" s="24" t="n"/>
      <c r="I475" s="26" t="n"/>
      <c r="J475" s="24" t="n"/>
      <c r="K475" s="22" t="n"/>
      <c r="L475" s="72" t="n"/>
      <c r="M475" s="27">
        <f>IF(E475="","",SUMIFS(tbl_Finance[Ex GST],tbl_Finance[Job Number],E475&amp;""))</f>
        <v/>
      </c>
      <c r="N475" s="27">
        <f>IF(J475&lt;&gt;"Won","",IF(E475="",N(I475),I475-M475))</f>
        <v/>
      </c>
      <c r="O475" s="24" t="n"/>
    </row>
    <row r="476" ht="15" customHeight="1">
      <c r="A476" s="72" t="n"/>
      <c r="B476" s="24" t="n"/>
      <c r="C476" s="24" t="n"/>
      <c r="D476" s="24" t="n"/>
      <c r="E476" s="24" t="n"/>
      <c r="F476" s="25">
        <f>IF(E476="","",IF(COUNTIF(lst_Jobs,E476&amp;"")&gt;0,"OK","CHECK"))</f>
        <v/>
      </c>
      <c r="G476" s="24" t="n"/>
      <c r="H476" s="24" t="n"/>
      <c r="I476" s="26" t="n"/>
      <c r="J476" s="24" t="n"/>
      <c r="K476" s="22" t="n"/>
      <c r="L476" s="72" t="n"/>
      <c r="M476" s="27">
        <f>IF(E476="","",SUMIFS(tbl_Finance[Ex GST],tbl_Finance[Job Number],E476&amp;""))</f>
        <v/>
      </c>
      <c r="N476" s="27">
        <f>IF(J476&lt;&gt;"Won","",IF(E476="",N(I476),I476-M476))</f>
        <v/>
      </c>
      <c r="O476" s="24" t="n"/>
    </row>
    <row r="477" ht="15" customHeight="1">
      <c r="A477" s="72" t="n"/>
      <c r="B477" s="24" t="n"/>
      <c r="C477" s="24" t="n"/>
      <c r="D477" s="24" t="n"/>
      <c r="E477" s="24" t="n"/>
      <c r="F477" s="25">
        <f>IF(E477="","",IF(COUNTIF(lst_Jobs,E477&amp;"")&gt;0,"OK","CHECK"))</f>
        <v/>
      </c>
      <c r="G477" s="24" t="n"/>
      <c r="H477" s="24" t="n"/>
      <c r="I477" s="26" t="n"/>
      <c r="J477" s="24" t="n"/>
      <c r="K477" s="22" t="n"/>
      <c r="L477" s="72" t="n"/>
      <c r="M477" s="27">
        <f>IF(E477="","",SUMIFS(tbl_Finance[Ex GST],tbl_Finance[Job Number],E477&amp;""))</f>
        <v/>
      </c>
      <c r="N477" s="27">
        <f>IF(J477&lt;&gt;"Won","",IF(E477="",N(I477),I477-M477))</f>
        <v/>
      </c>
      <c r="O477" s="24" t="n"/>
    </row>
    <row r="478" ht="15" customHeight="1">
      <c r="A478" s="72" t="n"/>
      <c r="B478" s="24" t="n"/>
      <c r="C478" s="24" t="n"/>
      <c r="D478" s="24" t="n"/>
      <c r="E478" s="24" t="n"/>
      <c r="F478" s="25">
        <f>IF(E478="","",IF(COUNTIF(lst_Jobs,E478&amp;"")&gt;0,"OK","CHECK"))</f>
        <v/>
      </c>
      <c r="G478" s="24" t="n"/>
      <c r="H478" s="24" t="n"/>
      <c r="I478" s="26" t="n"/>
      <c r="J478" s="24" t="n"/>
      <c r="K478" s="22" t="n"/>
      <c r="L478" s="72" t="n"/>
      <c r="M478" s="27">
        <f>IF(E478="","",SUMIFS(tbl_Finance[Ex GST],tbl_Finance[Job Number],E478&amp;""))</f>
        <v/>
      </c>
      <c r="N478" s="27">
        <f>IF(J478&lt;&gt;"Won","",IF(E478="",N(I478),I478-M478))</f>
        <v/>
      </c>
      <c r="O478" s="24" t="n"/>
    </row>
    <row r="479" ht="15" customHeight="1">
      <c r="A479" s="72" t="n"/>
      <c r="B479" s="24" t="n"/>
      <c r="C479" s="24" t="n"/>
      <c r="D479" s="24" t="n"/>
      <c r="E479" s="24" t="n"/>
      <c r="F479" s="25">
        <f>IF(E479="","",IF(COUNTIF(lst_Jobs,E479&amp;"")&gt;0,"OK","CHECK"))</f>
        <v/>
      </c>
      <c r="G479" s="24" t="n"/>
      <c r="H479" s="24" t="n"/>
      <c r="I479" s="26" t="n"/>
      <c r="J479" s="24" t="n"/>
      <c r="K479" s="22" t="n"/>
      <c r="L479" s="72" t="n"/>
      <c r="M479" s="27">
        <f>IF(E479="","",SUMIFS(tbl_Finance[Ex GST],tbl_Finance[Job Number],E479&amp;""))</f>
        <v/>
      </c>
      <c r="N479" s="27">
        <f>IF(J479&lt;&gt;"Won","",IF(E479="",N(I479),I479-M479))</f>
        <v/>
      </c>
      <c r="O479" s="24" t="n"/>
    </row>
    <row r="480" ht="15" customHeight="1">
      <c r="A480" s="72" t="n"/>
      <c r="B480" s="24" t="n"/>
      <c r="C480" s="24" t="n"/>
      <c r="D480" s="24" t="n"/>
      <c r="E480" s="24" t="n"/>
      <c r="F480" s="25">
        <f>IF(E480="","",IF(COUNTIF(lst_Jobs,E480&amp;"")&gt;0,"OK","CHECK"))</f>
        <v/>
      </c>
      <c r="G480" s="24" t="n"/>
      <c r="H480" s="24" t="n"/>
      <c r="I480" s="26" t="n"/>
      <c r="J480" s="24" t="n"/>
      <c r="K480" s="22" t="n"/>
      <c r="L480" s="72" t="n"/>
      <c r="M480" s="27">
        <f>IF(E480="","",SUMIFS(tbl_Finance[Ex GST],tbl_Finance[Job Number],E480&amp;""))</f>
        <v/>
      </c>
      <c r="N480" s="27">
        <f>IF(J480&lt;&gt;"Won","",IF(E480="",N(I480),I480-M480))</f>
        <v/>
      </c>
      <c r="O480" s="24" t="n"/>
    </row>
    <row r="481" ht="15" customHeight="1">
      <c r="A481" s="72" t="n"/>
      <c r="B481" s="24" t="n"/>
      <c r="C481" s="24" t="n"/>
      <c r="D481" s="24" t="n"/>
      <c r="E481" s="24" t="n"/>
      <c r="F481" s="25">
        <f>IF(E481="","",IF(COUNTIF(lst_Jobs,E481&amp;"")&gt;0,"OK","CHECK"))</f>
        <v/>
      </c>
      <c r="G481" s="24" t="n"/>
      <c r="H481" s="24" t="n"/>
      <c r="I481" s="26" t="n"/>
      <c r="J481" s="24" t="n"/>
      <c r="K481" s="22" t="n"/>
      <c r="L481" s="72" t="n"/>
      <c r="M481" s="27">
        <f>IF(E481="","",SUMIFS(tbl_Finance[Ex GST],tbl_Finance[Job Number],E481&amp;""))</f>
        <v/>
      </c>
      <c r="N481" s="27">
        <f>IF(J481&lt;&gt;"Won","",IF(E481="",N(I481),I481-M481))</f>
        <v/>
      </c>
      <c r="O481" s="24" t="n"/>
    </row>
    <row r="482" ht="15" customHeight="1">
      <c r="A482" s="72" t="n"/>
      <c r="B482" s="24" t="n"/>
      <c r="C482" s="24" t="n"/>
      <c r="D482" s="24" t="n"/>
      <c r="E482" s="24" t="n"/>
      <c r="F482" s="25">
        <f>IF(E482="","",IF(COUNTIF(lst_Jobs,E482&amp;"")&gt;0,"OK","CHECK"))</f>
        <v/>
      </c>
      <c r="G482" s="24" t="n"/>
      <c r="H482" s="24" t="n"/>
      <c r="I482" s="26" t="n"/>
      <c r="J482" s="24" t="n"/>
      <c r="K482" s="22" t="n"/>
      <c r="L482" s="72" t="n"/>
      <c r="M482" s="27">
        <f>IF(E482="","",SUMIFS(tbl_Finance[Ex GST],tbl_Finance[Job Number],E482&amp;""))</f>
        <v/>
      </c>
      <c r="N482" s="27">
        <f>IF(J482&lt;&gt;"Won","",IF(E482="",N(I482),I482-M482))</f>
        <v/>
      </c>
      <c r="O482" s="24" t="n"/>
    </row>
    <row r="483" ht="15" customHeight="1">
      <c r="A483" s="72" t="n"/>
      <c r="B483" s="24" t="n"/>
      <c r="C483" s="24" t="n"/>
      <c r="D483" s="24" t="n"/>
      <c r="E483" s="24" t="n"/>
      <c r="F483" s="25">
        <f>IF(E483="","",IF(COUNTIF(lst_Jobs,E483&amp;"")&gt;0,"OK","CHECK"))</f>
        <v/>
      </c>
      <c r="G483" s="24" t="n"/>
      <c r="H483" s="24" t="n"/>
      <c r="I483" s="26" t="n"/>
      <c r="J483" s="24" t="n"/>
      <c r="K483" s="22" t="n"/>
      <c r="L483" s="72" t="n"/>
      <c r="M483" s="27">
        <f>IF(E483="","",SUMIFS(tbl_Finance[Ex GST],tbl_Finance[Job Number],E483&amp;""))</f>
        <v/>
      </c>
      <c r="N483" s="27">
        <f>IF(J483&lt;&gt;"Won","",IF(E483="",N(I483),I483-M483))</f>
        <v/>
      </c>
      <c r="O483" s="24" t="n"/>
    </row>
    <row r="484" ht="15" customHeight="1">
      <c r="A484" s="72" t="n"/>
      <c r="B484" s="24" t="n"/>
      <c r="C484" s="24" t="n"/>
      <c r="D484" s="24" t="n"/>
      <c r="E484" s="24" t="n"/>
      <c r="F484" s="25">
        <f>IF(E484="","",IF(COUNTIF(lst_Jobs,E484&amp;"")&gt;0,"OK","CHECK"))</f>
        <v/>
      </c>
      <c r="G484" s="24" t="n"/>
      <c r="H484" s="24" t="n"/>
      <c r="I484" s="26" t="n"/>
      <c r="J484" s="24" t="n"/>
      <c r="K484" s="22" t="n"/>
      <c r="L484" s="72" t="n"/>
      <c r="M484" s="27">
        <f>IF(E484="","",SUMIFS(tbl_Finance[Ex GST],tbl_Finance[Job Number],E484&amp;""))</f>
        <v/>
      </c>
      <c r="N484" s="27">
        <f>IF(J484&lt;&gt;"Won","",IF(E484="",N(I484),I484-M484))</f>
        <v/>
      </c>
      <c r="O484" s="24" t="n"/>
    </row>
    <row r="485" ht="15" customHeight="1">
      <c r="A485" s="72" t="n"/>
      <c r="B485" s="24" t="n"/>
      <c r="C485" s="24" t="n"/>
      <c r="D485" s="24" t="n"/>
      <c r="E485" s="24" t="n"/>
      <c r="F485" s="25">
        <f>IF(E485="","",IF(COUNTIF(lst_Jobs,E485&amp;"")&gt;0,"OK","CHECK"))</f>
        <v/>
      </c>
      <c r="G485" s="24" t="n"/>
      <c r="H485" s="24" t="n"/>
      <c r="I485" s="26" t="n"/>
      <c r="J485" s="24" t="n"/>
      <c r="K485" s="22" t="n"/>
      <c r="L485" s="72" t="n"/>
      <c r="M485" s="27">
        <f>IF(E485="","",SUMIFS(tbl_Finance[Ex GST],tbl_Finance[Job Number],E485&amp;""))</f>
        <v/>
      </c>
      <c r="N485" s="27">
        <f>IF(J485&lt;&gt;"Won","",IF(E485="",N(I485),I485-M485))</f>
        <v/>
      </c>
      <c r="O485" s="24" t="n"/>
    </row>
    <row r="486" ht="15" customHeight="1">
      <c r="A486" s="72" t="n"/>
      <c r="B486" s="24" t="n"/>
      <c r="C486" s="24" t="n"/>
      <c r="D486" s="24" t="n"/>
      <c r="E486" s="24" t="n"/>
      <c r="F486" s="25">
        <f>IF(E486="","",IF(COUNTIF(lst_Jobs,E486&amp;"")&gt;0,"OK","CHECK"))</f>
        <v/>
      </c>
      <c r="G486" s="24" t="n"/>
      <c r="H486" s="24" t="n"/>
      <c r="I486" s="26" t="n"/>
      <c r="J486" s="24" t="n"/>
      <c r="K486" s="22" t="n"/>
      <c r="L486" s="72" t="n"/>
      <c r="M486" s="27">
        <f>IF(E486="","",SUMIFS(tbl_Finance[Ex GST],tbl_Finance[Job Number],E486&amp;""))</f>
        <v/>
      </c>
      <c r="N486" s="27">
        <f>IF(J486&lt;&gt;"Won","",IF(E486="",N(I486),I486-M486))</f>
        <v/>
      </c>
      <c r="O486" s="24" t="n"/>
    </row>
    <row r="487" ht="15" customHeight="1">
      <c r="A487" s="72" t="n"/>
      <c r="B487" s="24" t="n"/>
      <c r="C487" s="24" t="n"/>
      <c r="D487" s="24" t="n"/>
      <c r="E487" s="24" t="n"/>
      <c r="F487" s="25">
        <f>IF(E487="","",IF(COUNTIF(lst_Jobs,E487&amp;"")&gt;0,"OK","CHECK"))</f>
        <v/>
      </c>
      <c r="G487" s="24" t="n"/>
      <c r="H487" s="24" t="n"/>
      <c r="I487" s="26" t="n"/>
      <c r="J487" s="24" t="n"/>
      <c r="K487" s="22" t="n"/>
      <c r="L487" s="72" t="n"/>
      <c r="M487" s="27">
        <f>IF(E487="","",SUMIFS(tbl_Finance[Ex GST],tbl_Finance[Job Number],E487&amp;""))</f>
        <v/>
      </c>
      <c r="N487" s="27">
        <f>IF(J487&lt;&gt;"Won","",IF(E487="",N(I487),I487-M487))</f>
        <v/>
      </c>
      <c r="O487" s="24" t="n"/>
    </row>
    <row r="488" ht="15" customHeight="1">
      <c r="A488" s="72" t="n"/>
      <c r="B488" s="24" t="n"/>
      <c r="C488" s="24" t="n"/>
      <c r="D488" s="24" t="n"/>
      <c r="E488" s="24" t="n"/>
      <c r="F488" s="25">
        <f>IF(E488="","",IF(COUNTIF(lst_Jobs,E488&amp;"")&gt;0,"OK","CHECK"))</f>
        <v/>
      </c>
      <c r="G488" s="24" t="n"/>
      <c r="H488" s="24" t="n"/>
      <c r="I488" s="26" t="n"/>
      <c r="J488" s="24" t="n"/>
      <c r="K488" s="22" t="n"/>
      <c r="L488" s="72" t="n"/>
      <c r="M488" s="27">
        <f>IF(E488="","",SUMIFS(tbl_Finance[Ex GST],tbl_Finance[Job Number],E488&amp;""))</f>
        <v/>
      </c>
      <c r="N488" s="27">
        <f>IF(J488&lt;&gt;"Won","",IF(E488="",N(I488),I488-M488))</f>
        <v/>
      </c>
      <c r="O488" s="24" t="n"/>
    </row>
    <row r="489" ht="15" customHeight="1">
      <c r="A489" s="72" t="n"/>
      <c r="B489" s="24" t="n"/>
      <c r="C489" s="24" t="n"/>
      <c r="D489" s="24" t="n"/>
      <c r="E489" s="24" t="n"/>
      <c r="F489" s="25">
        <f>IF(E489="","",IF(COUNTIF(lst_Jobs,E489&amp;"")&gt;0,"OK","CHECK"))</f>
        <v/>
      </c>
      <c r="G489" s="24" t="n"/>
      <c r="H489" s="24" t="n"/>
      <c r="I489" s="26" t="n"/>
      <c r="J489" s="24" t="n"/>
      <c r="K489" s="22" t="n"/>
      <c r="L489" s="72" t="n"/>
      <c r="M489" s="27">
        <f>IF(E489="","",SUMIFS(tbl_Finance[Ex GST],tbl_Finance[Job Number],E489&amp;""))</f>
        <v/>
      </c>
      <c r="N489" s="27">
        <f>IF(J489&lt;&gt;"Won","",IF(E489="",N(I489),I489-M489))</f>
        <v/>
      </c>
      <c r="O489" s="24" t="n"/>
    </row>
    <row r="490" ht="15" customHeight="1">
      <c r="A490" s="72" t="n"/>
      <c r="B490" s="24" t="n"/>
      <c r="C490" s="24" t="n"/>
      <c r="D490" s="24" t="n"/>
      <c r="E490" s="24" t="n"/>
      <c r="F490" s="25">
        <f>IF(E490="","",IF(COUNTIF(lst_Jobs,E490&amp;"")&gt;0,"OK","CHECK"))</f>
        <v/>
      </c>
      <c r="G490" s="24" t="n"/>
      <c r="H490" s="24" t="n"/>
      <c r="I490" s="26" t="n"/>
      <c r="J490" s="24" t="n"/>
      <c r="K490" s="22" t="n"/>
      <c r="L490" s="72" t="n"/>
      <c r="M490" s="27">
        <f>IF(E490="","",SUMIFS(tbl_Finance[Ex GST],tbl_Finance[Job Number],E490&amp;""))</f>
        <v/>
      </c>
      <c r="N490" s="27">
        <f>IF(J490&lt;&gt;"Won","",IF(E490="",N(I490),I490-M490))</f>
        <v/>
      </c>
      <c r="O490" s="24" t="n"/>
    </row>
    <row r="491" ht="15" customHeight="1">
      <c r="A491" s="72" t="n"/>
      <c r="B491" s="24" t="n"/>
      <c r="C491" s="24" t="n"/>
      <c r="D491" s="24" t="n"/>
      <c r="E491" s="24" t="n"/>
      <c r="F491" s="25">
        <f>IF(E491="","",IF(COUNTIF(lst_Jobs,E491&amp;"")&gt;0,"OK","CHECK"))</f>
        <v/>
      </c>
      <c r="G491" s="24" t="n"/>
      <c r="H491" s="24" t="n"/>
      <c r="I491" s="26" t="n"/>
      <c r="J491" s="24" t="n"/>
      <c r="K491" s="22" t="n"/>
      <c r="L491" s="72" t="n"/>
      <c r="M491" s="27">
        <f>IF(E491="","",SUMIFS(tbl_Finance[Ex GST],tbl_Finance[Job Number],E491&amp;""))</f>
        <v/>
      </c>
      <c r="N491" s="27">
        <f>IF(J491&lt;&gt;"Won","",IF(E491="",N(I491),I491-M491))</f>
        <v/>
      </c>
      <c r="O491" s="24" t="n"/>
    </row>
    <row r="492" ht="15" customHeight="1">
      <c r="A492" s="72" t="n"/>
      <c r="B492" s="24" t="n"/>
      <c r="C492" s="24" t="n"/>
      <c r="D492" s="24" t="n"/>
      <c r="E492" s="24" t="n"/>
      <c r="F492" s="25">
        <f>IF(E492="","",IF(COUNTIF(lst_Jobs,E492&amp;"")&gt;0,"OK","CHECK"))</f>
        <v/>
      </c>
      <c r="G492" s="24" t="n"/>
      <c r="H492" s="24" t="n"/>
      <c r="I492" s="26" t="n"/>
      <c r="J492" s="24" t="n"/>
      <c r="K492" s="22" t="n"/>
      <c r="L492" s="72" t="n"/>
      <c r="M492" s="27">
        <f>IF(E492="","",SUMIFS(tbl_Finance[Ex GST],tbl_Finance[Job Number],E492&amp;""))</f>
        <v/>
      </c>
      <c r="N492" s="27">
        <f>IF(J492&lt;&gt;"Won","",IF(E492="",N(I492),I492-M492))</f>
        <v/>
      </c>
      <c r="O492" s="24" t="n"/>
    </row>
    <row r="493" ht="15" customHeight="1">
      <c r="A493" s="72" t="n"/>
      <c r="B493" s="24" t="n"/>
      <c r="C493" s="24" t="n"/>
      <c r="D493" s="24" t="n"/>
      <c r="E493" s="24" t="n"/>
      <c r="F493" s="25">
        <f>IF(E493="","",IF(COUNTIF(lst_Jobs,E493&amp;"")&gt;0,"OK","CHECK"))</f>
        <v/>
      </c>
      <c r="G493" s="24" t="n"/>
      <c r="H493" s="24" t="n"/>
      <c r="I493" s="26" t="n"/>
      <c r="J493" s="24" t="n"/>
      <c r="K493" s="22" t="n"/>
      <c r="L493" s="72" t="n"/>
      <c r="M493" s="27">
        <f>IF(E493="","",SUMIFS(tbl_Finance[Ex GST],tbl_Finance[Job Number],E493&amp;""))</f>
        <v/>
      </c>
      <c r="N493" s="27">
        <f>IF(J493&lt;&gt;"Won","",IF(E493="",N(I493),I493-M493))</f>
        <v/>
      </c>
      <c r="O493" s="24" t="n"/>
    </row>
    <row r="494" ht="15" customHeight="1">
      <c r="A494" s="72" t="n"/>
      <c r="B494" s="24" t="n"/>
      <c r="C494" s="24" t="n"/>
      <c r="D494" s="24" t="n"/>
      <c r="E494" s="24" t="n"/>
      <c r="F494" s="25">
        <f>IF(E494="","",IF(COUNTIF(lst_Jobs,E494&amp;"")&gt;0,"OK","CHECK"))</f>
        <v/>
      </c>
      <c r="G494" s="24" t="n"/>
      <c r="H494" s="24" t="n"/>
      <c r="I494" s="26" t="n"/>
      <c r="J494" s="24" t="n"/>
      <c r="K494" s="22" t="n"/>
      <c r="L494" s="72" t="n"/>
      <c r="M494" s="27">
        <f>IF(E494="","",SUMIFS(tbl_Finance[Ex GST],tbl_Finance[Job Number],E494&amp;""))</f>
        <v/>
      </c>
      <c r="N494" s="27">
        <f>IF(J494&lt;&gt;"Won","",IF(E494="",N(I494),I494-M494))</f>
        <v/>
      </c>
      <c r="O494" s="24" t="n"/>
    </row>
    <row r="495" ht="15" customHeight="1">
      <c r="A495" s="72" t="n"/>
      <c r="B495" s="24" t="n"/>
      <c r="C495" s="24" t="n"/>
      <c r="D495" s="24" t="n"/>
      <c r="E495" s="24" t="n"/>
      <c r="F495" s="25">
        <f>IF(E495="","",IF(COUNTIF(lst_Jobs,E495&amp;"")&gt;0,"OK","CHECK"))</f>
        <v/>
      </c>
      <c r="G495" s="24" t="n"/>
      <c r="H495" s="24" t="n"/>
      <c r="I495" s="26" t="n"/>
      <c r="J495" s="24" t="n"/>
      <c r="K495" s="22" t="n"/>
      <c r="L495" s="72" t="n"/>
      <c r="M495" s="27">
        <f>IF(E495="","",SUMIFS(tbl_Finance[Ex GST],tbl_Finance[Job Number],E495&amp;""))</f>
        <v/>
      </c>
      <c r="N495" s="27">
        <f>IF(J495&lt;&gt;"Won","",IF(E495="",N(I495),I495-M495))</f>
        <v/>
      </c>
      <c r="O495" s="24" t="n"/>
    </row>
    <row r="496" ht="15" customHeight="1">
      <c r="A496" s="72" t="n"/>
      <c r="B496" s="24" t="n"/>
      <c r="C496" s="24" t="n"/>
      <c r="D496" s="24" t="n"/>
      <c r="E496" s="24" t="n"/>
      <c r="F496" s="25">
        <f>IF(E496="","",IF(COUNTIF(lst_Jobs,E496&amp;"")&gt;0,"OK","CHECK"))</f>
        <v/>
      </c>
      <c r="G496" s="24" t="n"/>
      <c r="H496" s="24" t="n"/>
      <c r="I496" s="26" t="n"/>
      <c r="J496" s="24" t="n"/>
      <c r="K496" s="22" t="n"/>
      <c r="L496" s="72" t="n"/>
      <c r="M496" s="27">
        <f>IF(E496="","",SUMIFS(tbl_Finance[Ex GST],tbl_Finance[Job Number],E496&amp;""))</f>
        <v/>
      </c>
      <c r="N496" s="27">
        <f>IF(J496&lt;&gt;"Won","",IF(E496="",N(I496),I496-M496))</f>
        <v/>
      </c>
      <c r="O496" s="24" t="n"/>
    </row>
    <row r="497" ht="15" customHeight="1">
      <c r="A497" s="72" t="n"/>
      <c r="B497" s="24" t="n"/>
      <c r="C497" s="24" t="n"/>
      <c r="D497" s="24" t="n"/>
      <c r="E497" s="24" t="n"/>
      <c r="F497" s="25">
        <f>IF(E497="","",IF(COUNTIF(lst_Jobs,E497&amp;"")&gt;0,"OK","CHECK"))</f>
        <v/>
      </c>
      <c r="G497" s="24" t="n"/>
      <c r="H497" s="24" t="n"/>
      <c r="I497" s="26" t="n"/>
      <c r="J497" s="24" t="n"/>
      <c r="K497" s="22" t="n"/>
      <c r="L497" s="72" t="n"/>
      <c r="M497" s="27">
        <f>IF(E497="","",SUMIFS(tbl_Finance[Ex GST],tbl_Finance[Job Number],E497&amp;""))</f>
        <v/>
      </c>
      <c r="N497" s="27">
        <f>IF(J497&lt;&gt;"Won","",IF(E497="",N(I497),I497-M497))</f>
        <v/>
      </c>
      <c r="O497" s="24" t="n"/>
    </row>
    <row r="498" ht="15" customHeight="1">
      <c r="A498" s="72" t="n"/>
      <c r="B498" s="24" t="n"/>
      <c r="C498" s="24" t="n"/>
      <c r="D498" s="24" t="n"/>
      <c r="E498" s="24" t="n"/>
      <c r="F498" s="25">
        <f>IF(E498="","",IF(COUNTIF(lst_Jobs,E498&amp;"")&gt;0,"OK","CHECK"))</f>
        <v/>
      </c>
      <c r="G498" s="24" t="n"/>
      <c r="H498" s="24" t="n"/>
      <c r="I498" s="26" t="n"/>
      <c r="J498" s="24" t="n"/>
      <c r="K498" s="22" t="n"/>
      <c r="L498" s="72" t="n"/>
      <c r="M498" s="27">
        <f>IF(E498="","",SUMIFS(tbl_Finance[Ex GST],tbl_Finance[Job Number],E498&amp;""))</f>
        <v/>
      </c>
      <c r="N498" s="27">
        <f>IF(J498&lt;&gt;"Won","",IF(E498="",N(I498),I498-M498))</f>
        <v/>
      </c>
      <c r="O498" s="24" t="n"/>
    </row>
    <row r="499" ht="15" customHeight="1">
      <c r="A499" s="72" t="n"/>
      <c r="B499" s="24" t="n"/>
      <c r="C499" s="24" t="n"/>
      <c r="D499" s="24" t="n"/>
      <c r="E499" s="24" t="n"/>
      <c r="F499" s="25">
        <f>IF(E499="","",IF(COUNTIF(lst_Jobs,E499&amp;"")&gt;0,"OK","CHECK"))</f>
        <v/>
      </c>
      <c r="G499" s="24" t="n"/>
      <c r="H499" s="24" t="n"/>
      <c r="I499" s="26" t="n"/>
      <c r="J499" s="24" t="n"/>
      <c r="K499" s="22" t="n"/>
      <c r="L499" s="72" t="n"/>
      <c r="M499" s="27">
        <f>IF(E499="","",SUMIFS(tbl_Finance[Ex GST],tbl_Finance[Job Number],E499&amp;""))</f>
        <v/>
      </c>
      <c r="N499" s="27">
        <f>IF(J499&lt;&gt;"Won","",IF(E499="",N(I499),I499-M499))</f>
        <v/>
      </c>
      <c r="O499" s="24" t="n"/>
    </row>
    <row r="500" ht="15" customHeight="1">
      <c r="A500" s="72" t="n"/>
      <c r="B500" s="24" t="n"/>
      <c r="C500" s="24" t="n"/>
      <c r="D500" s="24" t="n"/>
      <c r="E500" s="24" t="n"/>
      <c r="F500" s="25">
        <f>IF(E500="","",IF(COUNTIF(lst_Jobs,E500&amp;"")&gt;0,"OK","CHECK"))</f>
        <v/>
      </c>
      <c r="G500" s="24" t="n"/>
      <c r="H500" s="24" t="n"/>
      <c r="I500" s="26" t="n"/>
      <c r="J500" s="24" t="n"/>
      <c r="K500" s="22" t="n"/>
      <c r="L500" s="72" t="n"/>
      <c r="M500" s="27">
        <f>IF(E500="","",SUMIFS(tbl_Finance[Ex GST],tbl_Finance[Job Number],E500&amp;""))</f>
        <v/>
      </c>
      <c r="N500" s="27">
        <f>IF(J500&lt;&gt;"Won","",IF(E500="",N(I500),I500-M500))</f>
        <v/>
      </c>
      <c r="O500" s="24" t="n"/>
    </row>
    <row r="501" ht="15" customHeight="1">
      <c r="A501" s="72" t="n"/>
      <c r="B501" s="24" t="n"/>
      <c r="C501" s="24" t="n"/>
      <c r="D501" s="24" t="n"/>
      <c r="E501" s="24" t="n"/>
      <c r="F501" s="25">
        <f>IF(E501="","",IF(COUNTIF(lst_Jobs,E501&amp;"")&gt;0,"OK","CHECK"))</f>
        <v/>
      </c>
      <c r="G501" s="24" t="n"/>
      <c r="H501" s="24" t="n"/>
      <c r="I501" s="26" t="n"/>
      <c r="J501" s="24" t="n"/>
      <c r="K501" s="22" t="n"/>
      <c r="L501" s="72" t="n"/>
      <c r="M501" s="27">
        <f>IF(E501="","",SUMIFS(tbl_Finance[Ex GST],tbl_Finance[Job Number],E501&amp;""))</f>
        <v/>
      </c>
      <c r="N501" s="27">
        <f>IF(J501&lt;&gt;"Won","",IF(E501="",N(I501),I501-M501))</f>
        <v/>
      </c>
      <c r="O501" s="24" t="n"/>
    </row>
    <row r="502" ht="15" customHeight="1">
      <c r="A502" s="72" t="n"/>
      <c r="B502" s="24" t="n"/>
      <c r="C502" s="24" t="n"/>
      <c r="D502" s="24" t="n"/>
      <c r="E502" s="24" t="n"/>
      <c r="F502" s="25">
        <f>IF(E502="","",IF(COUNTIF(lst_Jobs,E502&amp;"")&gt;0,"OK","CHECK"))</f>
        <v/>
      </c>
      <c r="G502" s="24" t="n"/>
      <c r="H502" s="24" t="n"/>
      <c r="I502" s="26" t="n"/>
      <c r="J502" s="24" t="n"/>
      <c r="K502" s="22" t="n"/>
      <c r="L502" s="72" t="n"/>
      <c r="M502" s="27">
        <f>IF(E502="","",SUMIFS(tbl_Finance[Ex GST],tbl_Finance[Job Number],E502&amp;""))</f>
        <v/>
      </c>
      <c r="N502" s="27">
        <f>IF(J502&lt;&gt;"Won","",IF(E502="",N(I502),I502-M502))</f>
        <v/>
      </c>
      <c r="O502" s="24" t="n"/>
    </row>
    <row r="503" ht="15" customHeight="1">
      <c r="A503" s="72" t="n"/>
      <c r="B503" s="24" t="n"/>
      <c r="C503" s="24" t="n"/>
      <c r="D503" s="24" t="n"/>
      <c r="E503" s="24" t="n"/>
      <c r="F503" s="25">
        <f>IF(E503="","",IF(COUNTIF(lst_Jobs,E503&amp;"")&gt;0,"OK","CHECK"))</f>
        <v/>
      </c>
      <c r="G503" s="24" t="n"/>
      <c r="H503" s="24" t="n"/>
      <c r="I503" s="26" t="n"/>
      <c r="J503" s="24" t="n"/>
      <c r="K503" s="22" t="n"/>
      <c r="L503" s="72" t="n"/>
      <c r="M503" s="27">
        <f>IF(E503="","",SUMIFS(tbl_Finance[Ex GST],tbl_Finance[Job Number],E503&amp;""))</f>
        <v/>
      </c>
      <c r="N503" s="27">
        <f>IF(J503&lt;&gt;"Won","",IF(E503="",N(I503),I503-M503))</f>
        <v/>
      </c>
      <c r="O503" s="24" t="n"/>
    </row>
    <row r="504" ht="15" customHeight="1">
      <c r="A504" s="72" t="n"/>
      <c r="B504" s="24" t="n"/>
      <c r="C504" s="24" t="n"/>
      <c r="D504" s="24" t="n"/>
      <c r="E504" s="24" t="n"/>
      <c r="F504" s="25">
        <f>IF(E504="","",IF(COUNTIF(lst_Jobs,E504&amp;"")&gt;0,"OK","CHECK"))</f>
        <v/>
      </c>
      <c r="G504" s="24" t="n"/>
      <c r="H504" s="24" t="n"/>
      <c r="I504" s="26" t="n"/>
      <c r="J504" s="24" t="n"/>
      <c r="K504" s="22" t="n"/>
      <c r="L504" s="72" t="n"/>
      <c r="M504" s="27">
        <f>IF(E504="","",SUMIFS(tbl_Finance[Ex GST],tbl_Finance[Job Number],E504&amp;""))</f>
        <v/>
      </c>
      <c r="N504" s="27">
        <f>IF(J504&lt;&gt;"Won","",IF(E504="",N(I504),I504-M504))</f>
        <v/>
      </c>
      <c r="O504" s="24" t="n"/>
    </row>
    <row r="505" ht="15" customHeight="1">
      <c r="A505" s="72" t="n"/>
      <c r="B505" s="24" t="n"/>
      <c r="C505" s="24" t="n"/>
      <c r="D505" s="24" t="n"/>
      <c r="E505" s="24" t="n"/>
      <c r="F505" s="25">
        <f>IF(E505="","",IF(COUNTIF(lst_Jobs,E505&amp;"")&gt;0,"OK","CHECK"))</f>
        <v/>
      </c>
      <c r="G505" s="24" t="n"/>
      <c r="H505" s="24" t="n"/>
      <c r="I505" s="26" t="n"/>
      <c r="J505" s="24" t="n"/>
      <c r="K505" s="22" t="n"/>
      <c r="L505" s="72" t="n"/>
      <c r="M505" s="27">
        <f>IF(E505="","",SUMIFS(tbl_Finance[Ex GST],tbl_Finance[Job Number],E505&amp;""))</f>
        <v/>
      </c>
      <c r="N505" s="27">
        <f>IF(J505&lt;&gt;"Won","",IF(E505="",N(I505),I505-M505))</f>
        <v/>
      </c>
      <c r="O505" s="24" t="n"/>
    </row>
    <row r="506" ht="15" customHeight="1">
      <c r="A506" s="72" t="n"/>
      <c r="B506" s="24" t="n"/>
      <c r="C506" s="24" t="n"/>
      <c r="D506" s="24" t="n"/>
      <c r="E506" s="24" t="n"/>
      <c r="F506" s="25">
        <f>IF(E506="","",IF(COUNTIF(lst_Jobs,E506&amp;"")&gt;0,"OK","CHECK"))</f>
        <v/>
      </c>
      <c r="G506" s="24" t="n"/>
      <c r="H506" s="24" t="n"/>
      <c r="I506" s="26" t="n"/>
      <c r="J506" s="24" t="n"/>
      <c r="K506" s="22" t="n"/>
      <c r="L506" s="72" t="n"/>
      <c r="M506" s="27">
        <f>IF(E506="","",SUMIFS(tbl_Finance[Ex GST],tbl_Finance[Job Number],E506&amp;""))</f>
        <v/>
      </c>
      <c r="N506" s="27">
        <f>IF(J506&lt;&gt;"Won","",IF(E506="",N(I506),I506-M506))</f>
        <v/>
      </c>
      <c r="O506" s="24" t="n"/>
    </row>
    <row r="507" ht="15" customHeight="1">
      <c r="A507" s="72" t="n"/>
      <c r="B507" s="24" t="n"/>
      <c r="C507" s="24" t="n"/>
      <c r="D507" s="24" t="n"/>
      <c r="E507" s="24" t="n"/>
      <c r="F507" s="25">
        <f>IF(E507="","",IF(COUNTIF(lst_Jobs,E507&amp;"")&gt;0,"OK","CHECK"))</f>
        <v/>
      </c>
      <c r="G507" s="24" t="n"/>
      <c r="H507" s="24" t="n"/>
      <c r="I507" s="26" t="n"/>
      <c r="J507" s="24" t="n"/>
      <c r="K507" s="22" t="n"/>
      <c r="L507" s="72" t="n"/>
      <c r="M507" s="27">
        <f>IF(E507="","",SUMIFS(tbl_Finance[Ex GST],tbl_Finance[Job Number],E507&amp;""))</f>
        <v/>
      </c>
      <c r="N507" s="27">
        <f>IF(J507&lt;&gt;"Won","",IF(E507="",N(I507),I507-M507))</f>
        <v/>
      </c>
      <c r="O507" s="24" t="n"/>
    </row>
    <row r="508" ht="15" customHeight="1">
      <c r="A508" s="72" t="n"/>
      <c r="B508" s="24" t="n"/>
      <c r="C508" s="24" t="n"/>
      <c r="D508" s="24" t="n"/>
      <c r="E508" s="24" t="n"/>
      <c r="F508" s="25">
        <f>IF(E508="","",IF(COUNTIF(lst_Jobs,E508&amp;"")&gt;0,"OK","CHECK"))</f>
        <v/>
      </c>
      <c r="G508" s="24" t="n"/>
      <c r="H508" s="24" t="n"/>
      <c r="I508" s="26" t="n"/>
      <c r="J508" s="24" t="n"/>
      <c r="K508" s="22" t="n"/>
      <c r="L508" s="72" t="n"/>
      <c r="M508" s="27">
        <f>IF(E508="","",SUMIFS(tbl_Finance[Ex GST],tbl_Finance[Job Number],E508&amp;""))</f>
        <v/>
      </c>
      <c r="N508" s="27">
        <f>IF(J508&lt;&gt;"Won","",IF(E508="",N(I508),I508-M508))</f>
        <v/>
      </c>
      <c r="O508" s="24" t="n"/>
    </row>
    <row r="509" ht="15" customHeight="1">
      <c r="A509" s="72" t="n"/>
      <c r="B509" s="24" t="n"/>
      <c r="C509" s="24" t="n"/>
      <c r="D509" s="24" t="n"/>
      <c r="E509" s="24" t="n"/>
      <c r="F509" s="25">
        <f>IF(E509="","",IF(COUNTIF(lst_Jobs,E509&amp;"")&gt;0,"OK","CHECK"))</f>
        <v/>
      </c>
      <c r="G509" s="24" t="n"/>
      <c r="H509" s="24" t="n"/>
      <c r="I509" s="26" t="n"/>
      <c r="J509" s="24" t="n"/>
      <c r="K509" s="22" t="n"/>
      <c r="L509" s="72" t="n"/>
      <c r="M509" s="27">
        <f>IF(E509="","",SUMIFS(tbl_Finance[Ex GST],tbl_Finance[Job Number],E509&amp;""))</f>
        <v/>
      </c>
      <c r="N509" s="27">
        <f>IF(J509&lt;&gt;"Won","",IF(E509="",N(I509),I509-M509))</f>
        <v/>
      </c>
      <c r="O509" s="24" t="n"/>
    </row>
    <row r="510" ht="15" customHeight="1">
      <c r="A510" s="72" t="n"/>
      <c r="B510" s="24" t="n"/>
      <c r="C510" s="24" t="n"/>
      <c r="D510" s="24" t="n"/>
      <c r="E510" s="24" t="n"/>
      <c r="F510" s="25">
        <f>IF(E510="","",IF(COUNTIF(lst_Jobs,E510&amp;"")&gt;0,"OK","CHECK"))</f>
        <v/>
      </c>
      <c r="G510" s="24" t="n"/>
      <c r="H510" s="24" t="n"/>
      <c r="I510" s="26" t="n"/>
      <c r="J510" s="24" t="n"/>
      <c r="K510" s="22" t="n"/>
      <c r="L510" s="72" t="n"/>
      <c r="M510" s="27">
        <f>IF(E510="","",SUMIFS(tbl_Finance[Ex GST],tbl_Finance[Job Number],E510&amp;""))</f>
        <v/>
      </c>
      <c r="N510" s="27">
        <f>IF(J510&lt;&gt;"Won","",IF(E510="",N(I510),I510-M510))</f>
        <v/>
      </c>
      <c r="O510" s="24" t="n"/>
    </row>
    <row r="511" ht="15" customHeight="1">
      <c r="A511" s="72" t="n"/>
      <c r="B511" s="24" t="n"/>
      <c r="C511" s="24" t="n"/>
      <c r="D511" s="24" t="n"/>
      <c r="E511" s="24" t="n"/>
      <c r="F511" s="25">
        <f>IF(E511="","",IF(COUNTIF(lst_Jobs,E511&amp;"")&gt;0,"OK","CHECK"))</f>
        <v/>
      </c>
      <c r="G511" s="24" t="n"/>
      <c r="H511" s="24" t="n"/>
      <c r="I511" s="26" t="n"/>
      <c r="J511" s="24" t="n"/>
      <c r="K511" s="22" t="n"/>
      <c r="L511" s="72" t="n"/>
      <c r="M511" s="27">
        <f>IF(E511="","",SUMIFS(tbl_Finance[Ex GST],tbl_Finance[Job Number],E511&amp;""))</f>
        <v/>
      </c>
      <c r="N511" s="27">
        <f>IF(J511&lt;&gt;"Won","",IF(E511="",N(I511),I511-M511))</f>
        <v/>
      </c>
      <c r="O511" s="24" t="n"/>
    </row>
    <row r="512" ht="15" customHeight="1">
      <c r="A512" s="72" t="n"/>
      <c r="B512" s="24" t="n"/>
      <c r="C512" s="24" t="n"/>
      <c r="D512" s="24" t="n"/>
      <c r="E512" s="24" t="n"/>
      <c r="F512" s="25">
        <f>IF(E512="","",IF(COUNTIF(lst_Jobs,E512&amp;"")&gt;0,"OK","CHECK"))</f>
        <v/>
      </c>
      <c r="G512" s="24" t="n"/>
      <c r="H512" s="24" t="n"/>
      <c r="I512" s="26" t="n"/>
      <c r="J512" s="24" t="n"/>
      <c r="K512" s="22" t="n"/>
      <c r="L512" s="72" t="n"/>
      <c r="M512" s="27">
        <f>IF(E512="","",SUMIFS(tbl_Finance[Ex GST],tbl_Finance[Job Number],E512&amp;""))</f>
        <v/>
      </c>
      <c r="N512" s="27">
        <f>IF(J512&lt;&gt;"Won","",IF(E512="",N(I512),I512-M512))</f>
        <v/>
      </c>
      <c r="O512" s="24" t="n"/>
    </row>
    <row r="513" ht="15" customHeight="1">
      <c r="A513" s="72" t="n"/>
      <c r="B513" s="24" t="n"/>
      <c r="C513" s="24" t="n"/>
      <c r="D513" s="24" t="n"/>
      <c r="E513" s="24" t="n"/>
      <c r="F513" s="25">
        <f>IF(E513="","",IF(COUNTIF(lst_Jobs,E513&amp;"")&gt;0,"OK","CHECK"))</f>
        <v/>
      </c>
      <c r="G513" s="24" t="n"/>
      <c r="H513" s="24" t="n"/>
      <c r="I513" s="26" t="n"/>
      <c r="J513" s="24" t="n"/>
      <c r="K513" s="22" t="n"/>
      <c r="L513" s="72" t="n"/>
      <c r="M513" s="27">
        <f>IF(E513="","",SUMIFS(tbl_Finance[Ex GST],tbl_Finance[Job Number],E513&amp;""))</f>
        <v/>
      </c>
      <c r="N513" s="27">
        <f>IF(J513&lt;&gt;"Won","",IF(E513="",N(I513),I513-M513))</f>
        <v/>
      </c>
      <c r="O513" s="24" t="n"/>
    </row>
    <row r="514" ht="15" customHeight="1">
      <c r="A514" s="72" t="n"/>
      <c r="B514" s="24" t="n"/>
      <c r="C514" s="24" t="n"/>
      <c r="D514" s="24" t="n"/>
      <c r="E514" s="24" t="n"/>
      <c r="F514" s="25">
        <f>IF(E514="","",IF(COUNTIF(lst_Jobs,E514&amp;"")&gt;0,"OK","CHECK"))</f>
        <v/>
      </c>
      <c r="G514" s="24" t="n"/>
      <c r="H514" s="24" t="n"/>
      <c r="I514" s="26" t="n"/>
      <c r="J514" s="24" t="n"/>
      <c r="K514" s="22" t="n"/>
      <c r="L514" s="72" t="n"/>
      <c r="M514" s="27">
        <f>IF(E514="","",SUMIFS(tbl_Finance[Ex GST],tbl_Finance[Job Number],E514&amp;""))</f>
        <v/>
      </c>
      <c r="N514" s="27">
        <f>IF(J514&lt;&gt;"Won","",IF(E514="",N(I514),I514-M514))</f>
        <v/>
      </c>
      <c r="O514" s="24" t="n"/>
    </row>
    <row r="515" ht="15" customHeight="1">
      <c r="A515" s="72" t="n"/>
      <c r="B515" s="24" t="n"/>
      <c r="C515" s="24" t="n"/>
      <c r="D515" s="24" t="n"/>
      <c r="E515" s="24" t="n"/>
      <c r="F515" s="25">
        <f>IF(E515="","",IF(COUNTIF(lst_Jobs,E515&amp;"")&gt;0,"OK","CHECK"))</f>
        <v/>
      </c>
      <c r="G515" s="24" t="n"/>
      <c r="H515" s="24" t="n"/>
      <c r="I515" s="26" t="n"/>
      <c r="J515" s="24" t="n"/>
      <c r="K515" s="22" t="n"/>
      <c r="L515" s="72" t="n"/>
      <c r="M515" s="27">
        <f>IF(E515="","",SUMIFS(tbl_Finance[Ex GST],tbl_Finance[Job Number],E515&amp;""))</f>
        <v/>
      </c>
      <c r="N515" s="27">
        <f>IF(J515&lt;&gt;"Won","",IF(E515="",N(I515),I515-M515))</f>
        <v/>
      </c>
      <c r="O515" s="24" t="n"/>
    </row>
    <row r="516" ht="15" customHeight="1">
      <c r="A516" s="72" t="n"/>
      <c r="B516" s="24" t="n"/>
      <c r="C516" s="24" t="n"/>
      <c r="D516" s="24" t="n"/>
      <c r="E516" s="24" t="n"/>
      <c r="F516" s="25">
        <f>IF(E516="","",IF(COUNTIF(lst_Jobs,E516&amp;"")&gt;0,"OK","CHECK"))</f>
        <v/>
      </c>
      <c r="G516" s="24" t="n"/>
      <c r="H516" s="24" t="n"/>
      <c r="I516" s="26" t="n"/>
      <c r="J516" s="24" t="n"/>
      <c r="K516" s="22" t="n"/>
      <c r="L516" s="72" t="n"/>
      <c r="M516" s="27">
        <f>IF(E516="","",SUMIFS(tbl_Finance[Ex GST],tbl_Finance[Job Number],E516&amp;""))</f>
        <v/>
      </c>
      <c r="N516" s="27">
        <f>IF(J516&lt;&gt;"Won","",IF(E516="",N(I516),I516-M516))</f>
        <v/>
      </c>
      <c r="O516" s="24" t="n"/>
    </row>
    <row r="517" ht="15" customHeight="1">
      <c r="A517" s="72" t="n"/>
      <c r="B517" s="24" t="n"/>
      <c r="C517" s="24" t="n"/>
      <c r="D517" s="24" t="n"/>
      <c r="E517" s="24" t="n"/>
      <c r="F517" s="25">
        <f>IF(E517="","",IF(COUNTIF(lst_Jobs,E517&amp;"")&gt;0,"OK","CHECK"))</f>
        <v/>
      </c>
      <c r="G517" s="24" t="n"/>
      <c r="H517" s="24" t="n"/>
      <c r="I517" s="26" t="n"/>
      <c r="J517" s="24" t="n"/>
      <c r="K517" s="22" t="n"/>
      <c r="L517" s="72" t="n"/>
      <c r="M517" s="27">
        <f>IF(E517="","",SUMIFS(tbl_Finance[Ex GST],tbl_Finance[Job Number],E517&amp;""))</f>
        <v/>
      </c>
      <c r="N517" s="27">
        <f>IF(J517&lt;&gt;"Won","",IF(E517="",N(I517),I517-M517))</f>
        <v/>
      </c>
      <c r="O517" s="24" t="n"/>
    </row>
    <row r="518" ht="15" customHeight="1">
      <c r="A518" s="72" t="n"/>
      <c r="B518" s="24" t="n"/>
      <c r="C518" s="24" t="n"/>
      <c r="D518" s="24" t="n"/>
      <c r="E518" s="24" t="n"/>
      <c r="F518" s="25">
        <f>IF(E518="","",IF(COUNTIF(lst_Jobs,E518&amp;"")&gt;0,"OK","CHECK"))</f>
        <v/>
      </c>
      <c r="G518" s="24" t="n"/>
      <c r="H518" s="24" t="n"/>
      <c r="I518" s="26" t="n"/>
      <c r="J518" s="24" t="n"/>
      <c r="K518" s="22" t="n"/>
      <c r="L518" s="72" t="n"/>
      <c r="M518" s="27">
        <f>IF(E518="","",SUMIFS(tbl_Finance[Ex GST],tbl_Finance[Job Number],E518&amp;""))</f>
        <v/>
      </c>
      <c r="N518" s="27">
        <f>IF(J518&lt;&gt;"Won","",IF(E518="",N(I518),I518-M518))</f>
        <v/>
      </c>
      <c r="O518" s="24" t="n"/>
    </row>
    <row r="519" ht="15" customHeight="1">
      <c r="A519" s="72" t="n"/>
      <c r="B519" s="24" t="n"/>
      <c r="C519" s="24" t="n"/>
      <c r="D519" s="24" t="n"/>
      <c r="E519" s="24" t="n"/>
      <c r="F519" s="25">
        <f>IF(E519="","",IF(COUNTIF(lst_Jobs,E519&amp;"")&gt;0,"OK","CHECK"))</f>
        <v/>
      </c>
      <c r="G519" s="24" t="n"/>
      <c r="H519" s="24" t="n"/>
      <c r="I519" s="26" t="n"/>
      <c r="J519" s="24" t="n"/>
      <c r="K519" s="22" t="n"/>
      <c r="L519" s="72" t="n"/>
      <c r="M519" s="27">
        <f>IF(E519="","",SUMIFS(tbl_Finance[Ex GST],tbl_Finance[Job Number],E519&amp;""))</f>
        <v/>
      </c>
      <c r="N519" s="27">
        <f>IF(J519&lt;&gt;"Won","",IF(E519="",N(I519),I519-M519))</f>
        <v/>
      </c>
      <c r="O519" s="24" t="n"/>
    </row>
    <row r="520" ht="15" customHeight="1">
      <c r="A520" s="72" t="n"/>
      <c r="B520" s="24" t="n"/>
      <c r="C520" s="24" t="n"/>
      <c r="D520" s="24" t="n"/>
      <c r="E520" s="24" t="n"/>
      <c r="F520" s="25">
        <f>IF(E520="","",IF(COUNTIF(lst_Jobs,E520&amp;"")&gt;0,"OK","CHECK"))</f>
        <v/>
      </c>
      <c r="G520" s="24" t="n"/>
      <c r="H520" s="24" t="n"/>
      <c r="I520" s="26" t="n"/>
      <c r="J520" s="24" t="n"/>
      <c r="K520" s="22" t="n"/>
      <c r="L520" s="72" t="n"/>
      <c r="M520" s="27">
        <f>IF(E520="","",SUMIFS(tbl_Finance[Ex GST],tbl_Finance[Job Number],E520&amp;""))</f>
        <v/>
      </c>
      <c r="N520" s="27">
        <f>IF(J520&lt;&gt;"Won","",IF(E520="",N(I520),I520-M520))</f>
        <v/>
      </c>
      <c r="O520" s="24" t="n"/>
    </row>
    <row r="521" ht="15" customHeight="1">
      <c r="A521" s="72" t="n"/>
      <c r="B521" s="24" t="n"/>
      <c r="C521" s="24" t="n"/>
      <c r="D521" s="24" t="n"/>
      <c r="E521" s="24" t="n"/>
      <c r="F521" s="25">
        <f>IF(E521="","",IF(COUNTIF(lst_Jobs,E521&amp;"")&gt;0,"OK","CHECK"))</f>
        <v/>
      </c>
      <c r="G521" s="24" t="n"/>
      <c r="H521" s="24" t="n"/>
      <c r="I521" s="26" t="n"/>
      <c r="J521" s="24" t="n"/>
      <c r="K521" s="22" t="n"/>
      <c r="L521" s="72" t="n"/>
      <c r="M521" s="27">
        <f>IF(E521="","",SUMIFS(tbl_Finance[Ex GST],tbl_Finance[Job Number],E521&amp;""))</f>
        <v/>
      </c>
      <c r="N521" s="27">
        <f>IF(J521&lt;&gt;"Won","",IF(E521="",N(I521),I521-M521))</f>
        <v/>
      </c>
      <c r="O521" s="24" t="n"/>
    </row>
    <row r="522" ht="15" customHeight="1">
      <c r="A522" s="72" t="n"/>
      <c r="B522" s="24" t="n"/>
      <c r="C522" s="24" t="n"/>
      <c r="D522" s="24" t="n"/>
      <c r="E522" s="24" t="n"/>
      <c r="F522" s="25">
        <f>IF(E522="","",IF(COUNTIF(lst_Jobs,E522&amp;"")&gt;0,"OK","CHECK"))</f>
        <v/>
      </c>
      <c r="G522" s="24" t="n"/>
      <c r="H522" s="24" t="n"/>
      <c r="I522" s="26" t="n"/>
      <c r="J522" s="24" t="n"/>
      <c r="K522" s="22" t="n"/>
      <c r="L522" s="72" t="n"/>
      <c r="M522" s="27">
        <f>IF(E522="","",SUMIFS(tbl_Finance[Ex GST],tbl_Finance[Job Number],E522&amp;""))</f>
        <v/>
      </c>
      <c r="N522" s="27">
        <f>IF(J522&lt;&gt;"Won","",IF(E522="",N(I522),I522-M522))</f>
        <v/>
      </c>
      <c r="O522" s="24" t="n"/>
    </row>
    <row r="523" ht="15" customHeight="1">
      <c r="A523" s="72" t="n"/>
      <c r="B523" s="24" t="n"/>
      <c r="C523" s="24" t="n"/>
      <c r="D523" s="24" t="n"/>
      <c r="E523" s="24" t="n"/>
      <c r="F523" s="25">
        <f>IF(E523="","",IF(COUNTIF(lst_Jobs,E523&amp;"")&gt;0,"OK","CHECK"))</f>
        <v/>
      </c>
      <c r="G523" s="24" t="n"/>
      <c r="H523" s="24" t="n"/>
      <c r="I523" s="26" t="n"/>
      <c r="J523" s="24" t="n"/>
      <c r="K523" s="22" t="n"/>
      <c r="L523" s="72" t="n"/>
      <c r="M523" s="27">
        <f>IF(E523="","",SUMIFS(tbl_Finance[Ex GST],tbl_Finance[Job Number],E523&amp;""))</f>
        <v/>
      </c>
      <c r="N523" s="27">
        <f>IF(J523&lt;&gt;"Won","",IF(E523="",N(I523),I523-M523))</f>
        <v/>
      </c>
      <c r="O523" s="24" t="n"/>
    </row>
    <row r="524" ht="15" customHeight="1">
      <c r="A524" s="72" t="n"/>
      <c r="B524" s="24" t="n"/>
      <c r="C524" s="24" t="n"/>
      <c r="D524" s="24" t="n"/>
      <c r="E524" s="24" t="n"/>
      <c r="F524" s="25">
        <f>IF(E524="","",IF(COUNTIF(lst_Jobs,E524&amp;"")&gt;0,"OK","CHECK"))</f>
        <v/>
      </c>
      <c r="G524" s="24" t="n"/>
      <c r="H524" s="24" t="n"/>
      <c r="I524" s="26" t="n"/>
      <c r="J524" s="24" t="n"/>
      <c r="K524" s="22" t="n"/>
      <c r="L524" s="72" t="n"/>
      <c r="M524" s="27">
        <f>IF(E524="","",SUMIFS(tbl_Finance[Ex GST],tbl_Finance[Job Number],E524&amp;""))</f>
        <v/>
      </c>
      <c r="N524" s="27">
        <f>IF(J524&lt;&gt;"Won","",IF(E524="",N(I524),I524-M524))</f>
        <v/>
      </c>
      <c r="O524" s="24" t="n"/>
    </row>
    <row r="525" ht="15" customHeight="1">
      <c r="A525" s="72" t="n"/>
      <c r="B525" s="24" t="n"/>
      <c r="C525" s="24" t="n"/>
      <c r="D525" s="24" t="n"/>
      <c r="E525" s="24" t="n"/>
      <c r="F525" s="25">
        <f>IF(E525="","",IF(COUNTIF(lst_Jobs,E525&amp;"")&gt;0,"OK","CHECK"))</f>
        <v/>
      </c>
      <c r="G525" s="24" t="n"/>
      <c r="H525" s="24" t="n"/>
      <c r="I525" s="26" t="n"/>
      <c r="J525" s="24" t="n"/>
      <c r="K525" s="22" t="n"/>
      <c r="L525" s="72" t="n"/>
      <c r="M525" s="27">
        <f>IF(E525="","",SUMIFS(tbl_Finance[Ex GST],tbl_Finance[Job Number],E525&amp;""))</f>
        <v/>
      </c>
      <c r="N525" s="27">
        <f>IF(J525&lt;&gt;"Won","",IF(E525="",N(I525),I525-M525))</f>
        <v/>
      </c>
      <c r="O525" s="24" t="n"/>
    </row>
    <row r="526" ht="15" customHeight="1">
      <c r="A526" s="72" t="n"/>
      <c r="B526" s="24" t="n"/>
      <c r="C526" s="24" t="n"/>
      <c r="D526" s="24" t="n"/>
      <c r="E526" s="24" t="n"/>
      <c r="F526" s="25">
        <f>IF(E526="","",IF(COUNTIF(lst_Jobs,E526&amp;"")&gt;0,"OK","CHECK"))</f>
        <v/>
      </c>
      <c r="G526" s="24" t="n"/>
      <c r="H526" s="24" t="n"/>
      <c r="I526" s="26" t="n"/>
      <c r="J526" s="24" t="n"/>
      <c r="K526" s="22" t="n"/>
      <c r="L526" s="72" t="n"/>
      <c r="M526" s="27">
        <f>IF(E526="","",SUMIFS(tbl_Finance[Ex GST],tbl_Finance[Job Number],E526&amp;""))</f>
        <v/>
      </c>
      <c r="N526" s="27">
        <f>IF(J526&lt;&gt;"Won","",IF(E526="",N(I526),I526-M526))</f>
        <v/>
      </c>
      <c r="O526" s="24" t="n"/>
    </row>
    <row r="527" ht="15" customHeight="1">
      <c r="A527" s="72" t="n"/>
      <c r="B527" s="24" t="n"/>
      <c r="C527" s="24" t="n"/>
      <c r="D527" s="24" t="n"/>
      <c r="E527" s="24" t="n"/>
      <c r="F527" s="25">
        <f>IF(E527="","",IF(COUNTIF(lst_Jobs,E527&amp;"")&gt;0,"OK","CHECK"))</f>
        <v/>
      </c>
      <c r="G527" s="24" t="n"/>
      <c r="H527" s="24" t="n"/>
      <c r="I527" s="26" t="n"/>
      <c r="J527" s="24" t="n"/>
      <c r="K527" s="22" t="n"/>
      <c r="L527" s="72" t="n"/>
      <c r="M527" s="27">
        <f>IF(E527="","",SUMIFS(tbl_Finance[Ex GST],tbl_Finance[Job Number],E527&amp;""))</f>
        <v/>
      </c>
      <c r="N527" s="27">
        <f>IF(J527&lt;&gt;"Won","",IF(E527="",N(I527),I527-M527))</f>
        <v/>
      </c>
      <c r="O527" s="24" t="n"/>
    </row>
    <row r="528" ht="15" customHeight="1">
      <c r="A528" s="72" t="n"/>
      <c r="B528" s="24" t="n"/>
      <c r="C528" s="24" t="n"/>
      <c r="D528" s="24" t="n"/>
      <c r="E528" s="24" t="n"/>
      <c r="F528" s="25">
        <f>IF(E528="","",IF(COUNTIF(lst_Jobs,E528&amp;"")&gt;0,"OK","CHECK"))</f>
        <v/>
      </c>
      <c r="G528" s="24" t="n"/>
      <c r="H528" s="24" t="n"/>
      <c r="I528" s="26" t="n"/>
      <c r="J528" s="24" t="n"/>
      <c r="K528" s="22" t="n"/>
      <c r="L528" s="72" t="n"/>
      <c r="M528" s="27">
        <f>IF(E528="","",SUMIFS(tbl_Finance[Ex GST],tbl_Finance[Job Number],E528&amp;""))</f>
        <v/>
      </c>
      <c r="N528" s="27">
        <f>IF(J528&lt;&gt;"Won","",IF(E528="",N(I528),I528-M528))</f>
        <v/>
      </c>
      <c r="O528" s="24" t="n"/>
    </row>
    <row r="529" ht="15" customHeight="1">
      <c r="A529" s="72" t="n"/>
      <c r="B529" s="24" t="n"/>
      <c r="C529" s="24" t="n"/>
      <c r="D529" s="24" t="n"/>
      <c r="E529" s="24" t="n"/>
      <c r="F529" s="25">
        <f>IF(E529="","",IF(COUNTIF(lst_Jobs,E529&amp;"")&gt;0,"OK","CHECK"))</f>
        <v/>
      </c>
      <c r="G529" s="24" t="n"/>
      <c r="H529" s="24" t="n"/>
      <c r="I529" s="26" t="n"/>
      <c r="J529" s="24" t="n"/>
      <c r="K529" s="22" t="n"/>
      <c r="L529" s="72" t="n"/>
      <c r="M529" s="27">
        <f>IF(E529="","",SUMIFS(tbl_Finance[Ex GST],tbl_Finance[Job Number],E529&amp;""))</f>
        <v/>
      </c>
      <c r="N529" s="27">
        <f>IF(J529&lt;&gt;"Won","",IF(E529="",N(I529),I529-M529))</f>
        <v/>
      </c>
      <c r="O529" s="24" t="n"/>
    </row>
    <row r="530" ht="15" customHeight="1">
      <c r="A530" s="72" t="n"/>
      <c r="B530" s="24" t="n"/>
      <c r="C530" s="24" t="n"/>
      <c r="D530" s="24" t="n"/>
      <c r="E530" s="24" t="n"/>
      <c r="F530" s="25">
        <f>IF(E530="","",IF(COUNTIF(lst_Jobs,E530&amp;"")&gt;0,"OK","CHECK"))</f>
        <v/>
      </c>
      <c r="G530" s="24" t="n"/>
      <c r="H530" s="24" t="n"/>
      <c r="I530" s="26" t="n"/>
      <c r="J530" s="24" t="n"/>
      <c r="K530" s="22" t="n"/>
      <c r="L530" s="72" t="n"/>
      <c r="M530" s="27">
        <f>IF(E530="","",SUMIFS(tbl_Finance[Ex GST],tbl_Finance[Job Number],E530&amp;""))</f>
        <v/>
      </c>
      <c r="N530" s="27">
        <f>IF(J530&lt;&gt;"Won","",IF(E530="",N(I530),I530-M530))</f>
        <v/>
      </c>
      <c r="O530" s="24" t="n"/>
    </row>
    <row r="531" ht="15" customHeight="1">
      <c r="A531" s="72" t="n"/>
      <c r="B531" s="24" t="n"/>
      <c r="C531" s="24" t="n"/>
      <c r="D531" s="24" t="n"/>
      <c r="E531" s="24" t="n"/>
      <c r="F531" s="25">
        <f>IF(E531="","",IF(COUNTIF(lst_Jobs,E531&amp;"")&gt;0,"OK","CHECK"))</f>
        <v/>
      </c>
      <c r="G531" s="24" t="n"/>
      <c r="H531" s="24" t="n"/>
      <c r="I531" s="26" t="n"/>
      <c r="J531" s="24" t="n"/>
      <c r="K531" s="22" t="n"/>
      <c r="L531" s="72" t="n"/>
      <c r="M531" s="27">
        <f>IF(E531="","",SUMIFS(tbl_Finance[Ex GST],tbl_Finance[Job Number],E531&amp;""))</f>
        <v/>
      </c>
      <c r="N531" s="27">
        <f>IF(J531&lt;&gt;"Won","",IF(E531="",N(I531),I531-M531))</f>
        <v/>
      </c>
      <c r="O531" s="24" t="n"/>
    </row>
    <row r="532" ht="15" customHeight="1">
      <c r="A532" s="72" t="n"/>
      <c r="B532" s="24" t="n"/>
      <c r="C532" s="24" t="n"/>
      <c r="D532" s="24" t="n"/>
      <c r="E532" s="24" t="n"/>
      <c r="F532" s="25">
        <f>IF(E532="","",IF(COUNTIF(lst_Jobs,E532&amp;"")&gt;0,"OK","CHECK"))</f>
        <v/>
      </c>
      <c r="G532" s="24" t="n"/>
      <c r="H532" s="24" t="n"/>
      <c r="I532" s="26" t="n"/>
      <c r="J532" s="24" t="n"/>
      <c r="K532" s="22" t="n"/>
      <c r="L532" s="72" t="n"/>
      <c r="M532" s="27">
        <f>IF(E532="","",SUMIFS(tbl_Finance[Ex GST],tbl_Finance[Job Number],E532&amp;""))</f>
        <v/>
      </c>
      <c r="N532" s="27">
        <f>IF(J532&lt;&gt;"Won","",IF(E532="",N(I532),I532-M532))</f>
        <v/>
      </c>
      <c r="O532" s="24" t="n"/>
    </row>
    <row r="533" ht="15" customHeight="1">
      <c r="A533" s="72" t="n"/>
      <c r="B533" s="24" t="n"/>
      <c r="C533" s="24" t="n"/>
      <c r="D533" s="24" t="n"/>
      <c r="E533" s="24" t="n"/>
      <c r="F533" s="25">
        <f>IF(E533="","",IF(COUNTIF(lst_Jobs,E533&amp;"")&gt;0,"OK","CHECK"))</f>
        <v/>
      </c>
      <c r="G533" s="24" t="n"/>
      <c r="H533" s="24" t="n"/>
      <c r="I533" s="26" t="n"/>
      <c r="J533" s="24" t="n"/>
      <c r="K533" s="22" t="n"/>
      <c r="L533" s="72" t="n"/>
      <c r="M533" s="27">
        <f>IF(E533="","",SUMIFS(tbl_Finance[Ex GST],tbl_Finance[Job Number],E533&amp;""))</f>
        <v/>
      </c>
      <c r="N533" s="27">
        <f>IF(J533&lt;&gt;"Won","",IF(E533="",N(I533),I533-M533))</f>
        <v/>
      </c>
      <c r="O533" s="24" t="n"/>
    </row>
    <row r="534" ht="15" customHeight="1">
      <c r="A534" s="72" t="n"/>
      <c r="B534" s="24" t="n"/>
      <c r="C534" s="24" t="n"/>
      <c r="D534" s="24" t="n"/>
      <c r="E534" s="24" t="n"/>
      <c r="F534" s="25">
        <f>IF(E534="","",IF(COUNTIF(lst_Jobs,E534&amp;"")&gt;0,"OK","CHECK"))</f>
        <v/>
      </c>
      <c r="G534" s="24" t="n"/>
      <c r="H534" s="24" t="n"/>
      <c r="I534" s="26" t="n"/>
      <c r="J534" s="24" t="n"/>
      <c r="K534" s="22" t="n"/>
      <c r="L534" s="72" t="n"/>
      <c r="M534" s="27">
        <f>IF(E534="","",SUMIFS(tbl_Finance[Ex GST],tbl_Finance[Job Number],E534&amp;""))</f>
        <v/>
      </c>
      <c r="N534" s="27">
        <f>IF(J534&lt;&gt;"Won","",IF(E534="",N(I534),I534-M534))</f>
        <v/>
      </c>
      <c r="O534" s="24" t="n"/>
    </row>
    <row r="535" ht="15" customHeight="1">
      <c r="A535" s="72" t="n"/>
      <c r="B535" s="24" t="n"/>
      <c r="C535" s="24" t="n"/>
      <c r="D535" s="24" t="n"/>
      <c r="E535" s="24" t="n"/>
      <c r="F535" s="25">
        <f>IF(E535="","",IF(COUNTIF(lst_Jobs,E535&amp;"")&gt;0,"OK","CHECK"))</f>
        <v/>
      </c>
      <c r="G535" s="24" t="n"/>
      <c r="H535" s="24" t="n"/>
      <c r="I535" s="26" t="n"/>
      <c r="J535" s="24" t="n"/>
      <c r="K535" s="22" t="n"/>
      <c r="L535" s="72" t="n"/>
      <c r="M535" s="27">
        <f>IF(E535="","",SUMIFS(tbl_Finance[Ex GST],tbl_Finance[Job Number],E535&amp;""))</f>
        <v/>
      </c>
      <c r="N535" s="27">
        <f>IF(J535&lt;&gt;"Won","",IF(E535="",N(I535),I535-M535))</f>
        <v/>
      </c>
      <c r="O535" s="24" t="n"/>
    </row>
    <row r="536" ht="15" customHeight="1">
      <c r="A536" s="72" t="n"/>
      <c r="B536" s="24" t="n"/>
      <c r="C536" s="24" t="n"/>
      <c r="D536" s="24" t="n"/>
      <c r="E536" s="24" t="n"/>
      <c r="F536" s="25">
        <f>IF(E536="","",IF(COUNTIF(lst_Jobs,E536&amp;"")&gt;0,"OK","CHECK"))</f>
        <v/>
      </c>
      <c r="G536" s="24" t="n"/>
      <c r="H536" s="24" t="n"/>
      <c r="I536" s="26" t="n"/>
      <c r="J536" s="24" t="n"/>
      <c r="K536" s="22" t="n"/>
      <c r="L536" s="72" t="n"/>
      <c r="M536" s="27">
        <f>IF(E536="","",SUMIFS(tbl_Finance[Ex GST],tbl_Finance[Job Number],E536&amp;""))</f>
        <v/>
      </c>
      <c r="N536" s="27">
        <f>IF(J536&lt;&gt;"Won","",IF(E536="",N(I536),I536-M536))</f>
        <v/>
      </c>
      <c r="O536" s="24" t="n"/>
    </row>
    <row r="537" ht="15" customHeight="1">
      <c r="A537" s="72" t="n"/>
      <c r="B537" s="24" t="n"/>
      <c r="C537" s="24" t="n"/>
      <c r="D537" s="24" t="n"/>
      <c r="E537" s="24" t="n"/>
      <c r="F537" s="25">
        <f>IF(E537="","",IF(COUNTIF(lst_Jobs,E537&amp;"")&gt;0,"OK","CHECK"))</f>
        <v/>
      </c>
      <c r="G537" s="24" t="n"/>
      <c r="H537" s="24" t="n"/>
      <c r="I537" s="26" t="n"/>
      <c r="J537" s="24" t="n"/>
      <c r="K537" s="22" t="n"/>
      <c r="L537" s="72" t="n"/>
      <c r="M537" s="27">
        <f>IF(E537="","",SUMIFS(tbl_Finance[Ex GST],tbl_Finance[Job Number],E537&amp;""))</f>
        <v/>
      </c>
      <c r="N537" s="27">
        <f>IF(J537&lt;&gt;"Won","",IF(E537="",N(I537),I537-M537))</f>
        <v/>
      </c>
      <c r="O537" s="24" t="n"/>
    </row>
    <row r="538" ht="15" customHeight="1">
      <c r="A538" s="72" t="n"/>
      <c r="B538" s="24" t="n"/>
      <c r="C538" s="24" t="n"/>
      <c r="D538" s="24" t="n"/>
      <c r="E538" s="24" t="n"/>
      <c r="F538" s="25">
        <f>IF(E538="","",IF(COUNTIF(lst_Jobs,E538&amp;"")&gt;0,"OK","CHECK"))</f>
        <v/>
      </c>
      <c r="G538" s="24" t="n"/>
      <c r="H538" s="24" t="n"/>
      <c r="I538" s="26" t="n"/>
      <c r="J538" s="24" t="n"/>
      <c r="K538" s="22" t="n"/>
      <c r="L538" s="72" t="n"/>
      <c r="M538" s="27">
        <f>IF(E538="","",SUMIFS(tbl_Finance[Ex GST],tbl_Finance[Job Number],E538&amp;""))</f>
        <v/>
      </c>
      <c r="N538" s="27">
        <f>IF(J538&lt;&gt;"Won","",IF(E538="",N(I538),I538-M538))</f>
        <v/>
      </c>
      <c r="O538" s="24" t="n"/>
    </row>
    <row r="539" ht="15" customHeight="1">
      <c r="A539" s="72" t="n"/>
      <c r="B539" s="24" t="n"/>
      <c r="C539" s="24" t="n"/>
      <c r="D539" s="24" t="n"/>
      <c r="E539" s="24" t="n"/>
      <c r="F539" s="25">
        <f>IF(E539="","",IF(COUNTIF(lst_Jobs,E539&amp;"")&gt;0,"OK","CHECK"))</f>
        <v/>
      </c>
      <c r="G539" s="24" t="n"/>
      <c r="H539" s="24" t="n"/>
      <c r="I539" s="26" t="n"/>
      <c r="J539" s="24" t="n"/>
      <c r="K539" s="22" t="n"/>
      <c r="L539" s="72" t="n"/>
      <c r="M539" s="27">
        <f>IF(E539="","",SUMIFS(tbl_Finance[Ex GST],tbl_Finance[Job Number],E539&amp;""))</f>
        <v/>
      </c>
      <c r="N539" s="27">
        <f>IF(J539&lt;&gt;"Won","",IF(E539="",N(I539),I539-M539))</f>
        <v/>
      </c>
      <c r="O539" s="24" t="n"/>
    </row>
    <row r="540" ht="15" customHeight="1">
      <c r="A540" s="72" t="n"/>
      <c r="B540" s="24" t="n"/>
      <c r="C540" s="24" t="n"/>
      <c r="D540" s="24" t="n"/>
      <c r="E540" s="24" t="n"/>
      <c r="F540" s="25">
        <f>IF(E540="","",IF(COUNTIF(lst_Jobs,E540&amp;"")&gt;0,"OK","CHECK"))</f>
        <v/>
      </c>
      <c r="G540" s="24" t="n"/>
      <c r="H540" s="24" t="n"/>
      <c r="I540" s="26" t="n"/>
      <c r="J540" s="24" t="n"/>
      <c r="K540" s="22" t="n"/>
      <c r="L540" s="72" t="n"/>
      <c r="M540" s="27">
        <f>IF(E540="","",SUMIFS(tbl_Finance[Ex GST],tbl_Finance[Job Number],E540&amp;""))</f>
        <v/>
      </c>
      <c r="N540" s="27">
        <f>IF(J540&lt;&gt;"Won","",IF(E540="",N(I540),I540-M540))</f>
        <v/>
      </c>
      <c r="O540" s="24" t="n"/>
    </row>
    <row r="541" ht="15" customHeight="1">
      <c r="A541" s="72" t="n"/>
      <c r="B541" s="24" t="n"/>
      <c r="C541" s="24" t="n"/>
      <c r="D541" s="24" t="n"/>
      <c r="E541" s="24" t="n"/>
      <c r="F541" s="25">
        <f>IF(E541="","",IF(COUNTIF(lst_Jobs,E541&amp;"")&gt;0,"OK","CHECK"))</f>
        <v/>
      </c>
      <c r="G541" s="24" t="n"/>
      <c r="H541" s="24" t="n"/>
      <c r="I541" s="26" t="n"/>
      <c r="J541" s="24" t="n"/>
      <c r="K541" s="22" t="n"/>
      <c r="L541" s="72" t="n"/>
      <c r="M541" s="27">
        <f>IF(E541="","",SUMIFS(tbl_Finance[Ex GST],tbl_Finance[Job Number],E541&amp;""))</f>
        <v/>
      </c>
      <c r="N541" s="27">
        <f>IF(J541&lt;&gt;"Won","",IF(E541="",N(I541),I541-M541))</f>
        <v/>
      </c>
      <c r="O541" s="24" t="n"/>
    </row>
    <row r="542" ht="15" customHeight="1">
      <c r="A542" s="72" t="n"/>
      <c r="B542" s="24" t="n"/>
      <c r="C542" s="24" t="n"/>
      <c r="D542" s="24" t="n"/>
      <c r="E542" s="24" t="n"/>
      <c r="F542" s="25">
        <f>IF(E542="","",IF(COUNTIF(lst_Jobs,E542&amp;"")&gt;0,"OK","CHECK"))</f>
        <v/>
      </c>
      <c r="G542" s="24" t="n"/>
      <c r="H542" s="24" t="n"/>
      <c r="I542" s="26" t="n"/>
      <c r="J542" s="24" t="n"/>
      <c r="K542" s="22" t="n"/>
      <c r="L542" s="72" t="n"/>
      <c r="M542" s="27">
        <f>IF(E542="","",SUMIFS(tbl_Finance[Ex GST],tbl_Finance[Job Number],E542&amp;""))</f>
        <v/>
      </c>
      <c r="N542" s="27">
        <f>IF(J542&lt;&gt;"Won","",IF(E542="",N(I542),I542-M542))</f>
        <v/>
      </c>
      <c r="O542" s="24" t="n"/>
    </row>
    <row r="543" ht="15" customHeight="1">
      <c r="A543" s="72" t="n"/>
      <c r="B543" s="24" t="n"/>
      <c r="C543" s="24" t="n"/>
      <c r="D543" s="24" t="n"/>
      <c r="E543" s="24" t="n"/>
      <c r="F543" s="25">
        <f>IF(E543="","",IF(COUNTIF(lst_Jobs,E543&amp;"")&gt;0,"OK","CHECK"))</f>
        <v/>
      </c>
      <c r="G543" s="24" t="n"/>
      <c r="H543" s="24" t="n"/>
      <c r="I543" s="26" t="n"/>
      <c r="J543" s="24" t="n"/>
      <c r="K543" s="22" t="n"/>
      <c r="L543" s="72" t="n"/>
      <c r="M543" s="27">
        <f>IF(E543="","",SUMIFS(tbl_Finance[Ex GST],tbl_Finance[Job Number],E543&amp;""))</f>
        <v/>
      </c>
      <c r="N543" s="27">
        <f>IF(J543&lt;&gt;"Won","",IF(E543="",N(I543),I543-M543))</f>
        <v/>
      </c>
      <c r="O543" s="24" t="n"/>
    </row>
    <row r="544" ht="15" customHeight="1">
      <c r="A544" s="72" t="n"/>
      <c r="B544" s="24" t="n"/>
      <c r="C544" s="24" t="n"/>
      <c r="D544" s="24" t="n"/>
      <c r="E544" s="24" t="n"/>
      <c r="F544" s="25">
        <f>IF(E544="","",IF(COUNTIF(lst_Jobs,E544&amp;"")&gt;0,"OK","CHECK"))</f>
        <v/>
      </c>
      <c r="G544" s="24" t="n"/>
      <c r="H544" s="24" t="n"/>
      <c r="I544" s="26" t="n"/>
      <c r="J544" s="24" t="n"/>
      <c r="K544" s="22" t="n"/>
      <c r="L544" s="72" t="n"/>
      <c r="M544" s="27">
        <f>IF(E544="","",SUMIFS(tbl_Finance[Ex GST],tbl_Finance[Job Number],E544&amp;""))</f>
        <v/>
      </c>
      <c r="N544" s="27">
        <f>IF(J544&lt;&gt;"Won","",IF(E544="",N(I544),I544-M544))</f>
        <v/>
      </c>
      <c r="O544" s="24" t="n"/>
    </row>
    <row r="545" ht="15" customHeight="1">
      <c r="A545" s="72" t="n"/>
      <c r="B545" s="24" t="n"/>
      <c r="C545" s="24" t="n"/>
      <c r="D545" s="24" t="n"/>
      <c r="E545" s="24" t="n"/>
      <c r="F545" s="25">
        <f>IF(E545="","",IF(COUNTIF(lst_Jobs,E545&amp;"")&gt;0,"OK","CHECK"))</f>
        <v/>
      </c>
      <c r="G545" s="24" t="n"/>
      <c r="H545" s="24" t="n"/>
      <c r="I545" s="26" t="n"/>
      <c r="J545" s="24" t="n"/>
      <c r="K545" s="22" t="n"/>
      <c r="L545" s="72" t="n"/>
      <c r="M545" s="27">
        <f>IF(E545="","",SUMIFS(tbl_Finance[Ex GST],tbl_Finance[Job Number],E545&amp;""))</f>
        <v/>
      </c>
      <c r="N545" s="27">
        <f>IF(J545&lt;&gt;"Won","",IF(E545="",N(I545),I545-M545))</f>
        <v/>
      </c>
      <c r="O545" s="24" t="n"/>
    </row>
    <row r="546" ht="15" customHeight="1">
      <c r="A546" s="72" t="n"/>
      <c r="B546" s="24" t="n"/>
      <c r="C546" s="24" t="n"/>
      <c r="D546" s="24" t="n"/>
      <c r="E546" s="24" t="n"/>
      <c r="F546" s="25">
        <f>IF(E546="","",IF(COUNTIF(lst_Jobs,E546&amp;"")&gt;0,"OK","CHECK"))</f>
        <v/>
      </c>
      <c r="G546" s="24" t="n"/>
      <c r="H546" s="24" t="n"/>
      <c r="I546" s="26" t="n"/>
      <c r="J546" s="24" t="n"/>
      <c r="K546" s="22" t="n"/>
      <c r="L546" s="72" t="n"/>
      <c r="M546" s="27">
        <f>IF(E546="","",SUMIFS(tbl_Finance[Ex GST],tbl_Finance[Job Number],E546&amp;""))</f>
        <v/>
      </c>
      <c r="N546" s="27">
        <f>IF(J546&lt;&gt;"Won","",IF(E546="",N(I546),I546-M546))</f>
        <v/>
      </c>
      <c r="O546" s="24" t="n"/>
    </row>
    <row r="547" ht="15" customHeight="1">
      <c r="A547" s="72" t="n"/>
      <c r="B547" s="24" t="n"/>
      <c r="C547" s="24" t="n"/>
      <c r="D547" s="24" t="n"/>
      <c r="E547" s="24" t="n"/>
      <c r="F547" s="25">
        <f>IF(E547="","",IF(COUNTIF(lst_Jobs,E547&amp;"")&gt;0,"OK","CHECK"))</f>
        <v/>
      </c>
      <c r="G547" s="24" t="n"/>
      <c r="H547" s="24" t="n"/>
      <c r="I547" s="26" t="n"/>
      <c r="J547" s="24" t="n"/>
      <c r="K547" s="22" t="n"/>
      <c r="L547" s="72" t="n"/>
      <c r="M547" s="27">
        <f>IF(E547="","",SUMIFS(tbl_Finance[Ex GST],tbl_Finance[Job Number],E547&amp;""))</f>
        <v/>
      </c>
      <c r="N547" s="27">
        <f>IF(J547&lt;&gt;"Won","",IF(E547="",N(I547),I547-M547))</f>
        <v/>
      </c>
      <c r="O547" s="24" t="n"/>
    </row>
    <row r="548" ht="15" customHeight="1">
      <c r="A548" s="72" t="n"/>
      <c r="B548" s="24" t="n"/>
      <c r="C548" s="24" t="n"/>
      <c r="D548" s="24" t="n"/>
      <c r="E548" s="24" t="n"/>
      <c r="F548" s="25">
        <f>IF(E548="","",IF(COUNTIF(lst_Jobs,E548&amp;"")&gt;0,"OK","CHECK"))</f>
        <v/>
      </c>
      <c r="G548" s="24" t="n"/>
      <c r="H548" s="24" t="n"/>
      <c r="I548" s="26" t="n"/>
      <c r="J548" s="24" t="n"/>
      <c r="K548" s="22" t="n"/>
      <c r="L548" s="72" t="n"/>
      <c r="M548" s="27">
        <f>IF(E548="","",SUMIFS(tbl_Finance[Ex GST],tbl_Finance[Job Number],E548&amp;""))</f>
        <v/>
      </c>
      <c r="N548" s="27">
        <f>IF(J548&lt;&gt;"Won","",IF(E548="",N(I548),I548-M548))</f>
        <v/>
      </c>
      <c r="O548" s="24" t="n"/>
    </row>
    <row r="549" ht="15" customHeight="1">
      <c r="A549" s="72" t="n"/>
      <c r="B549" s="24" t="n"/>
      <c r="C549" s="24" t="n"/>
      <c r="D549" s="24" t="n"/>
      <c r="E549" s="24" t="n"/>
      <c r="F549" s="25">
        <f>IF(E549="","",IF(COUNTIF(lst_Jobs,E549&amp;"")&gt;0,"OK","CHECK"))</f>
        <v/>
      </c>
      <c r="G549" s="24" t="n"/>
      <c r="H549" s="24" t="n"/>
      <c r="I549" s="26" t="n"/>
      <c r="J549" s="24" t="n"/>
      <c r="K549" s="22" t="n"/>
      <c r="L549" s="72" t="n"/>
      <c r="M549" s="27">
        <f>IF(E549="","",SUMIFS(tbl_Finance[Ex GST],tbl_Finance[Job Number],E549&amp;""))</f>
        <v/>
      </c>
      <c r="N549" s="27">
        <f>IF(J549&lt;&gt;"Won","",IF(E549="",N(I549),I549-M549))</f>
        <v/>
      </c>
      <c r="O549" s="24" t="n"/>
    </row>
    <row r="550" ht="15" customHeight="1">
      <c r="A550" s="72" t="n"/>
      <c r="B550" s="24" t="n"/>
      <c r="C550" s="24" t="n"/>
      <c r="D550" s="24" t="n"/>
      <c r="E550" s="24" t="n"/>
      <c r="F550" s="25">
        <f>IF(E550="","",IF(COUNTIF(lst_Jobs,E550&amp;"")&gt;0,"OK","CHECK"))</f>
        <v/>
      </c>
      <c r="G550" s="24" t="n"/>
      <c r="H550" s="24" t="n"/>
      <c r="I550" s="26" t="n"/>
      <c r="J550" s="24" t="n"/>
      <c r="K550" s="22" t="n"/>
      <c r="L550" s="72" t="n"/>
      <c r="M550" s="27">
        <f>IF(E550="","",SUMIFS(tbl_Finance[Ex GST],tbl_Finance[Job Number],E550&amp;""))</f>
        <v/>
      </c>
      <c r="N550" s="27">
        <f>IF(J550&lt;&gt;"Won","",IF(E550="",N(I550),I550-M550))</f>
        <v/>
      </c>
      <c r="O550" s="24" t="n"/>
    </row>
    <row r="551" ht="15" customHeight="1">
      <c r="A551" s="72" t="n"/>
      <c r="B551" s="24" t="n"/>
      <c r="C551" s="24" t="n"/>
      <c r="D551" s="24" t="n"/>
      <c r="E551" s="24" t="n"/>
      <c r="F551" s="25">
        <f>IF(E551="","",IF(COUNTIF(lst_Jobs,E551&amp;"")&gt;0,"OK","CHECK"))</f>
        <v/>
      </c>
      <c r="G551" s="24" t="n"/>
      <c r="H551" s="24" t="n"/>
      <c r="I551" s="26" t="n"/>
      <c r="J551" s="24" t="n"/>
      <c r="K551" s="22" t="n"/>
      <c r="L551" s="72" t="n"/>
      <c r="M551" s="27">
        <f>IF(E551="","",SUMIFS(tbl_Finance[Ex GST],tbl_Finance[Job Number],E551&amp;""))</f>
        <v/>
      </c>
      <c r="N551" s="27">
        <f>IF(J551&lt;&gt;"Won","",IF(E551="",N(I551),I551-M551))</f>
        <v/>
      </c>
      <c r="O551" s="24" t="n"/>
    </row>
    <row r="552" ht="15" customHeight="1">
      <c r="A552" s="72" t="n"/>
      <c r="B552" s="24" t="n"/>
      <c r="C552" s="24" t="n"/>
      <c r="D552" s="24" t="n"/>
      <c r="E552" s="24" t="n"/>
      <c r="F552" s="25">
        <f>IF(E552="","",IF(COUNTIF(lst_Jobs,E552&amp;"")&gt;0,"OK","CHECK"))</f>
        <v/>
      </c>
      <c r="G552" s="24" t="n"/>
      <c r="H552" s="24" t="n"/>
      <c r="I552" s="26" t="n"/>
      <c r="J552" s="24" t="n"/>
      <c r="K552" s="22" t="n"/>
      <c r="L552" s="72" t="n"/>
      <c r="M552" s="27">
        <f>IF(E552="","",SUMIFS(tbl_Finance[Ex GST],tbl_Finance[Job Number],E552&amp;""))</f>
        <v/>
      </c>
      <c r="N552" s="27">
        <f>IF(J552&lt;&gt;"Won","",IF(E552="",N(I552),I552-M552))</f>
        <v/>
      </c>
      <c r="O552" s="24" t="n"/>
    </row>
    <row r="553" ht="15" customHeight="1">
      <c r="A553" s="72" t="n"/>
      <c r="B553" s="24" t="n"/>
      <c r="C553" s="24" t="n"/>
      <c r="D553" s="24" t="n"/>
      <c r="E553" s="24" t="n"/>
      <c r="F553" s="25">
        <f>IF(E553="","",IF(COUNTIF(lst_Jobs,E553&amp;"")&gt;0,"OK","CHECK"))</f>
        <v/>
      </c>
      <c r="G553" s="24" t="n"/>
      <c r="H553" s="24" t="n"/>
      <c r="I553" s="26" t="n"/>
      <c r="J553" s="24" t="n"/>
      <c r="K553" s="22" t="n"/>
      <c r="L553" s="72" t="n"/>
      <c r="M553" s="27">
        <f>IF(E553="","",SUMIFS(tbl_Finance[Ex GST],tbl_Finance[Job Number],E553&amp;""))</f>
        <v/>
      </c>
      <c r="N553" s="27">
        <f>IF(J553&lt;&gt;"Won","",IF(E553="",N(I553),I553-M553))</f>
        <v/>
      </c>
      <c r="O553" s="24" t="n"/>
    </row>
    <row r="554" ht="15" customHeight="1">
      <c r="A554" s="72" t="n"/>
      <c r="B554" s="24" t="n"/>
      <c r="C554" s="24" t="n"/>
      <c r="D554" s="24" t="n"/>
      <c r="E554" s="24" t="n"/>
      <c r="F554" s="25">
        <f>IF(E554="","",IF(COUNTIF(lst_Jobs,E554&amp;"")&gt;0,"OK","CHECK"))</f>
        <v/>
      </c>
      <c r="G554" s="24" t="n"/>
      <c r="H554" s="24" t="n"/>
      <c r="I554" s="26" t="n"/>
      <c r="J554" s="24" t="n"/>
      <c r="K554" s="22" t="n"/>
      <c r="L554" s="72" t="n"/>
      <c r="M554" s="27">
        <f>IF(E554="","",SUMIFS(tbl_Finance[Ex GST],tbl_Finance[Job Number],E554&amp;""))</f>
        <v/>
      </c>
      <c r="N554" s="27">
        <f>IF(J554&lt;&gt;"Won","",IF(E554="",N(I554),I554-M554))</f>
        <v/>
      </c>
      <c r="O554" s="24" t="n"/>
    </row>
    <row r="555" ht="15" customHeight="1">
      <c r="A555" s="72" t="n"/>
      <c r="B555" s="24" t="n"/>
      <c r="C555" s="24" t="n"/>
      <c r="D555" s="24" t="n"/>
      <c r="E555" s="24" t="n"/>
      <c r="F555" s="25">
        <f>IF(E555="","",IF(COUNTIF(lst_Jobs,E555&amp;"")&gt;0,"OK","CHECK"))</f>
        <v/>
      </c>
      <c r="G555" s="24" t="n"/>
      <c r="H555" s="24" t="n"/>
      <c r="I555" s="26" t="n"/>
      <c r="J555" s="24" t="n"/>
      <c r="K555" s="22" t="n"/>
      <c r="L555" s="72" t="n"/>
      <c r="M555" s="27">
        <f>IF(E555="","",SUMIFS(tbl_Finance[Ex GST],tbl_Finance[Job Number],E555&amp;""))</f>
        <v/>
      </c>
      <c r="N555" s="27">
        <f>IF(J555&lt;&gt;"Won","",IF(E555="",N(I555),I555-M555))</f>
        <v/>
      </c>
      <c r="O555" s="24" t="n"/>
    </row>
    <row r="556" ht="15" customHeight="1">
      <c r="A556" s="72" t="n"/>
      <c r="B556" s="24" t="n"/>
      <c r="C556" s="24" t="n"/>
      <c r="D556" s="24" t="n"/>
      <c r="E556" s="24" t="n"/>
      <c r="F556" s="25">
        <f>IF(E556="","",IF(COUNTIF(lst_Jobs,E556&amp;"")&gt;0,"OK","CHECK"))</f>
        <v/>
      </c>
      <c r="G556" s="24" t="n"/>
      <c r="H556" s="24" t="n"/>
      <c r="I556" s="26" t="n"/>
      <c r="J556" s="24" t="n"/>
      <c r="K556" s="22" t="n"/>
      <c r="L556" s="72" t="n"/>
      <c r="M556" s="27">
        <f>IF(E556="","",SUMIFS(tbl_Finance[Ex GST],tbl_Finance[Job Number],E556&amp;""))</f>
        <v/>
      </c>
      <c r="N556" s="27">
        <f>IF(J556&lt;&gt;"Won","",IF(E556="",N(I556),I556-M556))</f>
        <v/>
      </c>
      <c r="O556" s="24" t="n"/>
    </row>
    <row r="557" ht="15" customHeight="1">
      <c r="A557" s="72" t="n"/>
      <c r="B557" s="24" t="n"/>
      <c r="C557" s="24" t="n"/>
      <c r="D557" s="24" t="n"/>
      <c r="E557" s="24" t="n"/>
      <c r="F557" s="25">
        <f>IF(E557="","",IF(COUNTIF(lst_Jobs,E557&amp;"")&gt;0,"OK","CHECK"))</f>
        <v/>
      </c>
      <c r="G557" s="24" t="n"/>
      <c r="H557" s="24" t="n"/>
      <c r="I557" s="26" t="n"/>
      <c r="J557" s="24" t="n"/>
      <c r="K557" s="22" t="n"/>
      <c r="L557" s="72" t="n"/>
      <c r="M557" s="27">
        <f>IF(E557="","",SUMIFS(tbl_Finance[Ex GST],tbl_Finance[Job Number],E557&amp;""))</f>
        <v/>
      </c>
      <c r="N557" s="27">
        <f>IF(J557&lt;&gt;"Won","",IF(E557="",N(I557),I557-M557))</f>
        <v/>
      </c>
      <c r="O557" s="24" t="n"/>
    </row>
    <row r="558" ht="15" customHeight="1">
      <c r="A558" s="72" t="n"/>
      <c r="B558" s="24" t="n"/>
      <c r="C558" s="24" t="n"/>
      <c r="D558" s="24" t="n"/>
      <c r="E558" s="24" t="n"/>
      <c r="F558" s="25">
        <f>IF(E558="","",IF(COUNTIF(lst_Jobs,E558&amp;"")&gt;0,"OK","CHECK"))</f>
        <v/>
      </c>
      <c r="G558" s="24" t="n"/>
      <c r="H558" s="24" t="n"/>
      <c r="I558" s="26" t="n"/>
      <c r="J558" s="24" t="n"/>
      <c r="K558" s="22" t="n"/>
      <c r="L558" s="72" t="n"/>
      <c r="M558" s="27">
        <f>IF(E558="","",SUMIFS(tbl_Finance[Ex GST],tbl_Finance[Job Number],E558&amp;""))</f>
        <v/>
      </c>
      <c r="N558" s="27">
        <f>IF(J558&lt;&gt;"Won","",IF(E558="",N(I558),I558-M558))</f>
        <v/>
      </c>
      <c r="O558" s="24" t="n"/>
    </row>
    <row r="559" ht="15" customHeight="1">
      <c r="A559" s="72" t="n"/>
      <c r="B559" s="24" t="n"/>
      <c r="C559" s="24" t="n"/>
      <c r="D559" s="24" t="n"/>
      <c r="E559" s="24" t="n"/>
      <c r="F559" s="25">
        <f>IF(E559="","",IF(COUNTIF(lst_Jobs,E559&amp;"")&gt;0,"OK","CHECK"))</f>
        <v/>
      </c>
      <c r="G559" s="24" t="n"/>
      <c r="H559" s="24" t="n"/>
      <c r="I559" s="26" t="n"/>
      <c r="J559" s="24" t="n"/>
      <c r="K559" s="22" t="n"/>
      <c r="L559" s="72" t="n"/>
      <c r="M559" s="27">
        <f>IF(E559="","",SUMIFS(tbl_Finance[Ex GST],tbl_Finance[Job Number],E559&amp;""))</f>
        <v/>
      </c>
      <c r="N559" s="27">
        <f>IF(J559&lt;&gt;"Won","",IF(E559="",N(I559),I559-M559))</f>
        <v/>
      </c>
      <c r="O559" s="24" t="n"/>
    </row>
    <row r="560" ht="15" customHeight="1">
      <c r="A560" s="72" t="n"/>
      <c r="B560" s="24" t="n"/>
      <c r="C560" s="24" t="n"/>
      <c r="D560" s="24" t="n"/>
      <c r="E560" s="24" t="n"/>
      <c r="F560" s="25">
        <f>IF(E560="","",IF(COUNTIF(lst_Jobs,E560&amp;"")&gt;0,"OK","CHECK"))</f>
        <v/>
      </c>
      <c r="G560" s="24" t="n"/>
      <c r="H560" s="24" t="n"/>
      <c r="I560" s="26" t="n"/>
      <c r="J560" s="24" t="n"/>
      <c r="K560" s="22" t="n"/>
      <c r="L560" s="72" t="n"/>
      <c r="M560" s="27">
        <f>IF(E560="","",SUMIFS(tbl_Finance[Ex GST],tbl_Finance[Job Number],E560&amp;""))</f>
        <v/>
      </c>
      <c r="N560" s="27">
        <f>IF(J560&lt;&gt;"Won","",IF(E560="",N(I560),I560-M560))</f>
        <v/>
      </c>
      <c r="O560" s="24" t="n"/>
    </row>
    <row r="561" ht="15" customHeight="1">
      <c r="A561" s="72" t="n"/>
      <c r="B561" s="24" t="n"/>
      <c r="C561" s="24" t="n"/>
      <c r="D561" s="24" t="n"/>
      <c r="E561" s="24" t="n"/>
      <c r="F561" s="25">
        <f>IF(E561="","",IF(COUNTIF(lst_Jobs,E561&amp;"")&gt;0,"OK","CHECK"))</f>
        <v/>
      </c>
      <c r="G561" s="24" t="n"/>
      <c r="H561" s="24" t="n"/>
      <c r="I561" s="26" t="n"/>
      <c r="J561" s="24" t="n"/>
      <c r="K561" s="22" t="n"/>
      <c r="L561" s="72" t="n"/>
      <c r="M561" s="27">
        <f>IF(E561="","",SUMIFS(tbl_Finance[Ex GST],tbl_Finance[Job Number],E561&amp;""))</f>
        <v/>
      </c>
      <c r="N561" s="27">
        <f>IF(J561&lt;&gt;"Won","",IF(E561="",N(I561),I561-M561))</f>
        <v/>
      </c>
      <c r="O561" s="24" t="n"/>
    </row>
    <row r="562" ht="15" customHeight="1">
      <c r="A562" s="72" t="n"/>
      <c r="B562" s="24" t="n"/>
      <c r="C562" s="24" t="n"/>
      <c r="D562" s="24" t="n"/>
      <c r="E562" s="24" t="n"/>
      <c r="F562" s="25">
        <f>IF(E562="","",IF(COUNTIF(lst_Jobs,E562&amp;"")&gt;0,"OK","CHECK"))</f>
        <v/>
      </c>
      <c r="G562" s="24" t="n"/>
      <c r="H562" s="24" t="n"/>
      <c r="I562" s="26" t="n"/>
      <c r="J562" s="24" t="n"/>
      <c r="K562" s="22" t="n"/>
      <c r="L562" s="72" t="n"/>
      <c r="M562" s="27">
        <f>IF(E562="","",SUMIFS(tbl_Finance[Ex GST],tbl_Finance[Job Number],E562&amp;""))</f>
        <v/>
      </c>
      <c r="N562" s="27">
        <f>IF(J562&lt;&gt;"Won","",IF(E562="",N(I562),I562-M562))</f>
        <v/>
      </c>
      <c r="O562" s="24" t="n"/>
    </row>
    <row r="563" ht="15" customHeight="1">
      <c r="A563" s="72" t="n"/>
      <c r="B563" s="24" t="n"/>
      <c r="C563" s="24" t="n"/>
      <c r="D563" s="24" t="n"/>
      <c r="E563" s="24" t="n"/>
      <c r="F563" s="25">
        <f>IF(E563="","",IF(COUNTIF(lst_Jobs,E563&amp;"")&gt;0,"OK","CHECK"))</f>
        <v/>
      </c>
      <c r="G563" s="24" t="n"/>
      <c r="H563" s="24" t="n"/>
      <c r="I563" s="26" t="n"/>
      <c r="J563" s="24" t="n"/>
      <c r="K563" s="22" t="n"/>
      <c r="L563" s="72" t="n"/>
      <c r="M563" s="27">
        <f>IF(E563="","",SUMIFS(tbl_Finance[Ex GST],tbl_Finance[Job Number],E563&amp;""))</f>
        <v/>
      </c>
      <c r="N563" s="27">
        <f>IF(J563&lt;&gt;"Won","",IF(E563="",N(I563),I563-M563))</f>
        <v/>
      </c>
      <c r="O563" s="24" t="n"/>
    </row>
    <row r="564" ht="15" customHeight="1">
      <c r="A564" s="72" t="n"/>
      <c r="B564" s="24" t="n"/>
      <c r="C564" s="24" t="n"/>
      <c r="D564" s="24" t="n"/>
      <c r="E564" s="24" t="n"/>
      <c r="F564" s="25">
        <f>IF(E564="","",IF(COUNTIF(lst_Jobs,E564&amp;"")&gt;0,"OK","CHECK"))</f>
        <v/>
      </c>
      <c r="G564" s="24" t="n"/>
      <c r="H564" s="24" t="n"/>
      <c r="I564" s="26" t="n"/>
      <c r="J564" s="24" t="n"/>
      <c r="K564" s="22" t="n"/>
      <c r="L564" s="72" t="n"/>
      <c r="M564" s="27">
        <f>IF(E564="","",SUMIFS(tbl_Finance[Ex GST],tbl_Finance[Job Number],E564&amp;""))</f>
        <v/>
      </c>
      <c r="N564" s="27">
        <f>IF(J564&lt;&gt;"Won","",IF(E564="",N(I564),I564-M564))</f>
        <v/>
      </c>
      <c r="O564" s="24" t="n"/>
    </row>
    <row r="565" ht="15" customHeight="1">
      <c r="A565" s="72" t="n"/>
      <c r="B565" s="24" t="n"/>
      <c r="C565" s="24" t="n"/>
      <c r="D565" s="24" t="n"/>
      <c r="E565" s="24" t="n"/>
      <c r="F565" s="25">
        <f>IF(E565="","",IF(COUNTIF(lst_Jobs,E565&amp;"")&gt;0,"OK","CHECK"))</f>
        <v/>
      </c>
      <c r="G565" s="24" t="n"/>
      <c r="H565" s="24" t="n"/>
      <c r="I565" s="26" t="n"/>
      <c r="J565" s="24" t="n"/>
      <c r="K565" s="22" t="n"/>
      <c r="L565" s="72" t="n"/>
      <c r="M565" s="27">
        <f>IF(E565="","",SUMIFS(tbl_Finance[Ex GST],tbl_Finance[Job Number],E565&amp;""))</f>
        <v/>
      </c>
      <c r="N565" s="27">
        <f>IF(J565&lt;&gt;"Won","",IF(E565="",N(I565),I565-M565))</f>
        <v/>
      </c>
      <c r="O565" s="24" t="n"/>
    </row>
    <row r="566" ht="15" customHeight="1">
      <c r="A566" s="72" t="n"/>
      <c r="B566" s="24" t="n"/>
      <c r="C566" s="24" t="n"/>
      <c r="D566" s="24" t="n"/>
      <c r="E566" s="24" t="n"/>
      <c r="F566" s="25">
        <f>IF(E566="","",IF(COUNTIF(lst_Jobs,E566&amp;"")&gt;0,"OK","CHECK"))</f>
        <v/>
      </c>
      <c r="G566" s="24" t="n"/>
      <c r="H566" s="24" t="n"/>
      <c r="I566" s="26" t="n"/>
      <c r="J566" s="24" t="n"/>
      <c r="K566" s="22" t="n"/>
      <c r="L566" s="72" t="n"/>
      <c r="M566" s="27">
        <f>IF(E566="","",SUMIFS(tbl_Finance[Ex GST],tbl_Finance[Job Number],E566&amp;""))</f>
        <v/>
      </c>
      <c r="N566" s="27">
        <f>IF(J566&lt;&gt;"Won","",IF(E566="",N(I566),I566-M566))</f>
        <v/>
      </c>
      <c r="O566" s="24" t="n"/>
    </row>
    <row r="567" ht="15" customHeight="1">
      <c r="A567" s="72" t="n"/>
      <c r="B567" s="24" t="n"/>
      <c r="C567" s="24" t="n"/>
      <c r="D567" s="24" t="n"/>
      <c r="E567" s="24" t="n"/>
      <c r="F567" s="25">
        <f>IF(E567="","",IF(COUNTIF(lst_Jobs,E567&amp;"")&gt;0,"OK","CHECK"))</f>
        <v/>
      </c>
      <c r="G567" s="24" t="n"/>
      <c r="H567" s="24" t="n"/>
      <c r="I567" s="26" t="n"/>
      <c r="J567" s="24" t="n"/>
      <c r="K567" s="22" t="n"/>
      <c r="L567" s="72" t="n"/>
      <c r="M567" s="27">
        <f>IF(E567="","",SUMIFS(tbl_Finance[Ex GST],tbl_Finance[Job Number],E567&amp;""))</f>
        <v/>
      </c>
      <c r="N567" s="27">
        <f>IF(J567&lt;&gt;"Won","",IF(E567="",N(I567),I567-M567))</f>
        <v/>
      </c>
      <c r="O567" s="24" t="n"/>
    </row>
    <row r="568" ht="15" customHeight="1">
      <c r="A568" s="72" t="n"/>
      <c r="B568" s="24" t="n"/>
      <c r="C568" s="24" t="n"/>
      <c r="D568" s="24" t="n"/>
      <c r="E568" s="24" t="n"/>
      <c r="F568" s="25">
        <f>IF(E568="","",IF(COUNTIF(lst_Jobs,E568&amp;"")&gt;0,"OK","CHECK"))</f>
        <v/>
      </c>
      <c r="G568" s="24" t="n"/>
      <c r="H568" s="24" t="n"/>
      <c r="I568" s="26" t="n"/>
      <c r="J568" s="24" t="n"/>
      <c r="K568" s="22" t="n"/>
      <c r="L568" s="72" t="n"/>
      <c r="M568" s="27">
        <f>IF(E568="","",SUMIFS(tbl_Finance[Ex GST],tbl_Finance[Job Number],E568&amp;""))</f>
        <v/>
      </c>
      <c r="N568" s="27">
        <f>IF(J568&lt;&gt;"Won","",IF(E568="",N(I568),I568-M568))</f>
        <v/>
      </c>
      <c r="O568" s="24" t="n"/>
    </row>
    <row r="569" ht="15" customHeight="1">
      <c r="A569" s="72" t="n"/>
      <c r="B569" s="24" t="n"/>
      <c r="C569" s="24" t="n"/>
      <c r="D569" s="24" t="n"/>
      <c r="E569" s="24" t="n"/>
      <c r="F569" s="25">
        <f>IF(E569="","",IF(COUNTIF(lst_Jobs,E569&amp;"")&gt;0,"OK","CHECK"))</f>
        <v/>
      </c>
      <c r="G569" s="24" t="n"/>
      <c r="H569" s="24" t="n"/>
      <c r="I569" s="26" t="n"/>
      <c r="J569" s="24" t="n"/>
      <c r="K569" s="22" t="n"/>
      <c r="L569" s="72" t="n"/>
      <c r="M569" s="27">
        <f>IF(E569="","",SUMIFS(tbl_Finance[Ex GST],tbl_Finance[Job Number],E569&amp;""))</f>
        <v/>
      </c>
      <c r="N569" s="27">
        <f>IF(J569&lt;&gt;"Won","",IF(E569="",N(I569),I569-M569))</f>
        <v/>
      </c>
      <c r="O569" s="24" t="n"/>
    </row>
    <row r="570" ht="15" customHeight="1">
      <c r="A570" s="72" t="n"/>
      <c r="B570" s="24" t="n"/>
      <c r="C570" s="24" t="n"/>
      <c r="D570" s="24" t="n"/>
      <c r="E570" s="24" t="n"/>
      <c r="F570" s="25">
        <f>IF(E570="","",IF(COUNTIF(lst_Jobs,E570&amp;"")&gt;0,"OK","CHECK"))</f>
        <v/>
      </c>
      <c r="G570" s="24" t="n"/>
      <c r="H570" s="24" t="n"/>
      <c r="I570" s="26" t="n"/>
      <c r="J570" s="24" t="n"/>
      <c r="K570" s="22" t="n"/>
      <c r="L570" s="72" t="n"/>
      <c r="M570" s="27">
        <f>IF(E570="","",SUMIFS(tbl_Finance[Ex GST],tbl_Finance[Job Number],E570&amp;""))</f>
        <v/>
      </c>
      <c r="N570" s="27">
        <f>IF(J570&lt;&gt;"Won","",IF(E570="",N(I570),I570-M570))</f>
        <v/>
      </c>
      <c r="O570" s="24" t="n"/>
    </row>
    <row r="571" ht="15" customHeight="1">
      <c r="A571" s="72" t="n"/>
      <c r="B571" s="24" t="n"/>
      <c r="C571" s="24" t="n"/>
      <c r="D571" s="24" t="n"/>
      <c r="E571" s="24" t="n"/>
      <c r="F571" s="25">
        <f>IF(E571="","",IF(COUNTIF(lst_Jobs,E571&amp;"")&gt;0,"OK","CHECK"))</f>
        <v/>
      </c>
      <c r="G571" s="24" t="n"/>
      <c r="H571" s="24" t="n"/>
      <c r="I571" s="26" t="n"/>
      <c r="J571" s="24" t="n"/>
      <c r="K571" s="22" t="n"/>
      <c r="L571" s="72" t="n"/>
      <c r="M571" s="27">
        <f>IF(E571="","",SUMIFS(tbl_Finance[Ex GST],tbl_Finance[Job Number],E571&amp;""))</f>
        <v/>
      </c>
      <c r="N571" s="27">
        <f>IF(J571&lt;&gt;"Won","",IF(E571="",N(I571),I571-M571))</f>
        <v/>
      </c>
      <c r="O571" s="24" t="n"/>
    </row>
    <row r="572" ht="15" customHeight="1">
      <c r="A572" s="72" t="n"/>
      <c r="B572" s="24" t="n"/>
      <c r="C572" s="24" t="n"/>
      <c r="D572" s="24" t="n"/>
      <c r="E572" s="24" t="n"/>
      <c r="F572" s="25">
        <f>IF(E572="","",IF(COUNTIF(lst_Jobs,E572&amp;"")&gt;0,"OK","CHECK"))</f>
        <v/>
      </c>
      <c r="G572" s="24" t="n"/>
      <c r="H572" s="24" t="n"/>
      <c r="I572" s="26" t="n"/>
      <c r="J572" s="24" t="n"/>
      <c r="K572" s="22" t="n"/>
      <c r="L572" s="72" t="n"/>
      <c r="M572" s="27">
        <f>IF(E572="","",SUMIFS(tbl_Finance[Ex GST],tbl_Finance[Job Number],E572&amp;""))</f>
        <v/>
      </c>
      <c r="N572" s="27">
        <f>IF(J572&lt;&gt;"Won","",IF(E572="",N(I572),I572-M572))</f>
        <v/>
      </c>
      <c r="O572" s="24" t="n"/>
    </row>
    <row r="573" ht="15" customHeight="1">
      <c r="A573" s="72" t="n"/>
      <c r="B573" s="24" t="n"/>
      <c r="C573" s="24" t="n"/>
      <c r="D573" s="24" t="n"/>
      <c r="E573" s="24" t="n"/>
      <c r="F573" s="25">
        <f>IF(E573="","",IF(COUNTIF(lst_Jobs,E573&amp;"")&gt;0,"OK","CHECK"))</f>
        <v/>
      </c>
      <c r="G573" s="24" t="n"/>
      <c r="H573" s="24" t="n"/>
      <c r="I573" s="26" t="n"/>
      <c r="J573" s="24" t="n"/>
      <c r="K573" s="22" t="n"/>
      <c r="L573" s="72" t="n"/>
      <c r="M573" s="27">
        <f>IF(E573="","",SUMIFS(tbl_Finance[Ex GST],tbl_Finance[Job Number],E573&amp;""))</f>
        <v/>
      </c>
      <c r="N573" s="27">
        <f>IF(J573&lt;&gt;"Won","",IF(E573="",N(I573),I573-M573))</f>
        <v/>
      </c>
      <c r="O573" s="24" t="n"/>
    </row>
    <row r="574" ht="15" customHeight="1">
      <c r="A574" s="72" t="n"/>
      <c r="B574" s="24" t="n"/>
      <c r="C574" s="24" t="n"/>
      <c r="D574" s="24" t="n"/>
      <c r="E574" s="24" t="n"/>
      <c r="F574" s="25">
        <f>IF(E574="","",IF(COUNTIF(lst_Jobs,E574&amp;"")&gt;0,"OK","CHECK"))</f>
        <v/>
      </c>
      <c r="G574" s="24" t="n"/>
      <c r="H574" s="24" t="n"/>
      <c r="I574" s="26" t="n"/>
      <c r="J574" s="24" t="n"/>
      <c r="K574" s="22" t="n"/>
      <c r="L574" s="72" t="n"/>
      <c r="M574" s="27">
        <f>IF(E574="","",SUMIFS(tbl_Finance[Ex GST],tbl_Finance[Job Number],E574&amp;""))</f>
        <v/>
      </c>
      <c r="N574" s="27">
        <f>IF(J574&lt;&gt;"Won","",IF(E574="",N(I574),I574-M574))</f>
        <v/>
      </c>
      <c r="O574" s="24" t="n"/>
    </row>
    <row r="575" ht="15" customHeight="1">
      <c r="A575" s="72" t="n"/>
      <c r="B575" s="24" t="n"/>
      <c r="C575" s="24" t="n"/>
      <c r="D575" s="24" t="n"/>
      <c r="E575" s="24" t="n"/>
      <c r="F575" s="25">
        <f>IF(E575="","",IF(COUNTIF(lst_Jobs,E575&amp;"")&gt;0,"OK","CHECK"))</f>
        <v/>
      </c>
      <c r="G575" s="24" t="n"/>
      <c r="H575" s="24" t="n"/>
      <c r="I575" s="26" t="n"/>
      <c r="J575" s="24" t="n"/>
      <c r="K575" s="22" t="n"/>
      <c r="L575" s="72" t="n"/>
      <c r="M575" s="27">
        <f>IF(E575="","",SUMIFS(tbl_Finance[Ex GST],tbl_Finance[Job Number],E575&amp;""))</f>
        <v/>
      </c>
      <c r="N575" s="27">
        <f>IF(J575&lt;&gt;"Won","",IF(E575="",N(I575),I575-M575))</f>
        <v/>
      </c>
      <c r="O575" s="24" t="n"/>
    </row>
    <row r="576" ht="15" customHeight="1">
      <c r="A576" s="72" t="n"/>
      <c r="B576" s="24" t="n"/>
      <c r="C576" s="24" t="n"/>
      <c r="D576" s="24" t="n"/>
      <c r="E576" s="24" t="n"/>
      <c r="F576" s="25">
        <f>IF(E576="","",IF(COUNTIF(lst_Jobs,E576&amp;"")&gt;0,"OK","CHECK"))</f>
        <v/>
      </c>
      <c r="G576" s="24" t="n"/>
      <c r="H576" s="24" t="n"/>
      <c r="I576" s="26" t="n"/>
      <c r="J576" s="24" t="n"/>
      <c r="K576" s="22" t="n"/>
      <c r="L576" s="72" t="n"/>
      <c r="M576" s="27">
        <f>IF(E576="","",SUMIFS(tbl_Finance[Ex GST],tbl_Finance[Job Number],E576&amp;""))</f>
        <v/>
      </c>
      <c r="N576" s="27">
        <f>IF(J576&lt;&gt;"Won","",IF(E576="",N(I576),I576-M576))</f>
        <v/>
      </c>
      <c r="O576" s="24" t="n"/>
    </row>
    <row r="577" ht="15" customHeight="1">
      <c r="A577" s="72" t="n"/>
      <c r="B577" s="24" t="n"/>
      <c r="C577" s="24" t="n"/>
      <c r="D577" s="24" t="n"/>
      <c r="E577" s="24" t="n"/>
      <c r="F577" s="25">
        <f>IF(E577="","",IF(COUNTIF(lst_Jobs,E577&amp;"")&gt;0,"OK","CHECK"))</f>
        <v/>
      </c>
      <c r="G577" s="24" t="n"/>
      <c r="H577" s="24" t="n"/>
      <c r="I577" s="26" t="n"/>
      <c r="J577" s="24" t="n"/>
      <c r="K577" s="22" t="n"/>
      <c r="L577" s="72" t="n"/>
      <c r="M577" s="27">
        <f>IF(E577="","",SUMIFS(tbl_Finance[Ex GST],tbl_Finance[Job Number],E577&amp;""))</f>
        <v/>
      </c>
      <c r="N577" s="27">
        <f>IF(J577&lt;&gt;"Won","",IF(E577="",N(I577),I577-M577))</f>
        <v/>
      </c>
      <c r="O577" s="24" t="n"/>
    </row>
    <row r="578" ht="15" customHeight="1">
      <c r="A578" s="72" t="n"/>
      <c r="B578" s="24" t="n"/>
      <c r="C578" s="24" t="n"/>
      <c r="D578" s="24" t="n"/>
      <c r="E578" s="24" t="n"/>
      <c r="F578" s="25">
        <f>IF(E578="","",IF(COUNTIF(lst_Jobs,E578&amp;"")&gt;0,"OK","CHECK"))</f>
        <v/>
      </c>
      <c r="G578" s="24" t="n"/>
      <c r="H578" s="24" t="n"/>
      <c r="I578" s="26" t="n"/>
      <c r="J578" s="24" t="n"/>
      <c r="K578" s="22" t="n"/>
      <c r="L578" s="72" t="n"/>
      <c r="M578" s="27">
        <f>IF(E578="","",SUMIFS(tbl_Finance[Ex GST],tbl_Finance[Job Number],E578&amp;""))</f>
        <v/>
      </c>
      <c r="N578" s="27">
        <f>IF(J578&lt;&gt;"Won","",IF(E578="",N(I578),I578-M578))</f>
        <v/>
      </c>
      <c r="O578" s="24" t="n"/>
    </row>
    <row r="579" ht="15" customHeight="1">
      <c r="A579" s="72" t="n"/>
      <c r="B579" s="24" t="n"/>
      <c r="C579" s="24" t="n"/>
      <c r="D579" s="24" t="n"/>
      <c r="E579" s="24" t="n"/>
      <c r="F579" s="25">
        <f>IF(E579="","",IF(COUNTIF(lst_Jobs,E579&amp;"")&gt;0,"OK","CHECK"))</f>
        <v/>
      </c>
      <c r="G579" s="24" t="n"/>
      <c r="H579" s="24" t="n"/>
      <c r="I579" s="26" t="n"/>
      <c r="J579" s="24" t="n"/>
      <c r="K579" s="22" t="n"/>
      <c r="L579" s="72" t="n"/>
      <c r="M579" s="27">
        <f>IF(E579="","",SUMIFS(tbl_Finance[Ex GST],tbl_Finance[Job Number],E579&amp;""))</f>
        <v/>
      </c>
      <c r="N579" s="27">
        <f>IF(J579&lt;&gt;"Won","",IF(E579="",N(I579),I579-M579))</f>
        <v/>
      </c>
      <c r="O579" s="24" t="n"/>
    </row>
    <row r="580" ht="15" customHeight="1">
      <c r="A580" s="72" t="n"/>
      <c r="B580" s="24" t="n"/>
      <c r="C580" s="24" t="n"/>
      <c r="D580" s="24" t="n"/>
      <c r="E580" s="24" t="n"/>
      <c r="F580" s="25">
        <f>IF(E580="","",IF(COUNTIF(lst_Jobs,E580&amp;"")&gt;0,"OK","CHECK"))</f>
        <v/>
      </c>
      <c r="G580" s="24" t="n"/>
      <c r="H580" s="24" t="n"/>
      <c r="I580" s="26" t="n"/>
      <c r="J580" s="24" t="n"/>
      <c r="K580" s="22" t="n"/>
      <c r="L580" s="72" t="n"/>
      <c r="M580" s="27">
        <f>IF(E580="","",SUMIFS(tbl_Finance[Ex GST],tbl_Finance[Job Number],E580&amp;""))</f>
        <v/>
      </c>
      <c r="N580" s="27">
        <f>IF(J580&lt;&gt;"Won","",IF(E580="",N(I580),I580-M580))</f>
        <v/>
      </c>
      <c r="O580" s="24" t="n"/>
    </row>
    <row r="581" ht="15" customHeight="1">
      <c r="A581" s="72" t="n"/>
      <c r="B581" s="24" t="n"/>
      <c r="C581" s="24" t="n"/>
      <c r="D581" s="24" t="n"/>
      <c r="E581" s="24" t="n"/>
      <c r="F581" s="25">
        <f>IF(E581="","",IF(COUNTIF(lst_Jobs,E581&amp;"")&gt;0,"OK","CHECK"))</f>
        <v/>
      </c>
      <c r="G581" s="24" t="n"/>
      <c r="H581" s="24" t="n"/>
      <c r="I581" s="26" t="n"/>
      <c r="J581" s="24" t="n"/>
      <c r="K581" s="22" t="n"/>
      <c r="L581" s="72" t="n"/>
      <c r="M581" s="27">
        <f>IF(E581="","",SUMIFS(tbl_Finance[Ex GST],tbl_Finance[Job Number],E581&amp;""))</f>
        <v/>
      </c>
      <c r="N581" s="27">
        <f>IF(J581&lt;&gt;"Won","",IF(E581="",N(I581),I581-M581))</f>
        <v/>
      </c>
      <c r="O581" s="24" t="n"/>
    </row>
    <row r="582" ht="15" customHeight="1">
      <c r="A582" s="72" t="n"/>
      <c r="B582" s="24" t="n"/>
      <c r="C582" s="24" t="n"/>
      <c r="D582" s="24" t="n"/>
      <c r="E582" s="24" t="n"/>
      <c r="F582" s="25">
        <f>IF(E582="","",IF(COUNTIF(lst_Jobs,E582&amp;"")&gt;0,"OK","CHECK"))</f>
        <v/>
      </c>
      <c r="G582" s="24" t="n"/>
      <c r="H582" s="24" t="n"/>
      <c r="I582" s="26" t="n"/>
      <c r="J582" s="24" t="n"/>
      <c r="K582" s="22" t="n"/>
      <c r="L582" s="72" t="n"/>
      <c r="M582" s="27">
        <f>IF(E582="","",SUMIFS(tbl_Finance[Ex GST],tbl_Finance[Job Number],E582&amp;""))</f>
        <v/>
      </c>
      <c r="N582" s="27">
        <f>IF(J582&lt;&gt;"Won","",IF(E582="",N(I582),I582-M582))</f>
        <v/>
      </c>
      <c r="O582" s="24" t="n"/>
    </row>
    <row r="583" ht="15" customHeight="1">
      <c r="A583" s="72" t="n"/>
      <c r="B583" s="24" t="n"/>
      <c r="C583" s="24" t="n"/>
      <c r="D583" s="24" t="n"/>
      <c r="E583" s="24" t="n"/>
      <c r="F583" s="25">
        <f>IF(E583="","",IF(COUNTIF(lst_Jobs,E583&amp;"")&gt;0,"OK","CHECK"))</f>
        <v/>
      </c>
      <c r="G583" s="24" t="n"/>
      <c r="H583" s="24" t="n"/>
      <c r="I583" s="26" t="n"/>
      <c r="J583" s="24" t="n"/>
      <c r="K583" s="22" t="n"/>
      <c r="L583" s="72" t="n"/>
      <c r="M583" s="27">
        <f>IF(E583="","",SUMIFS(tbl_Finance[Ex GST],tbl_Finance[Job Number],E583&amp;""))</f>
        <v/>
      </c>
      <c r="N583" s="27">
        <f>IF(J583&lt;&gt;"Won","",IF(E583="",N(I583),I583-M583))</f>
        <v/>
      </c>
      <c r="O583" s="24" t="n"/>
    </row>
    <row r="584" ht="15" customHeight="1">
      <c r="A584" s="72" t="n"/>
      <c r="B584" s="24" t="n"/>
      <c r="C584" s="24" t="n"/>
      <c r="D584" s="24" t="n"/>
      <c r="E584" s="24" t="n"/>
      <c r="F584" s="25">
        <f>IF(E584="","",IF(COUNTIF(lst_Jobs,E584&amp;"")&gt;0,"OK","CHECK"))</f>
        <v/>
      </c>
      <c r="G584" s="24" t="n"/>
      <c r="H584" s="24" t="n"/>
      <c r="I584" s="26" t="n"/>
      <c r="J584" s="24" t="n"/>
      <c r="K584" s="22" t="n"/>
      <c r="L584" s="72" t="n"/>
      <c r="M584" s="27">
        <f>IF(E584="","",SUMIFS(tbl_Finance[Ex GST],tbl_Finance[Job Number],E584&amp;""))</f>
        <v/>
      </c>
      <c r="N584" s="27">
        <f>IF(J584&lt;&gt;"Won","",IF(E584="",N(I584),I584-M584))</f>
        <v/>
      </c>
      <c r="O584" s="24" t="n"/>
    </row>
    <row r="585" ht="15" customHeight="1">
      <c r="A585" s="72" t="n"/>
      <c r="B585" s="24" t="n"/>
      <c r="C585" s="24" t="n"/>
      <c r="D585" s="24" t="n"/>
      <c r="E585" s="24" t="n"/>
      <c r="F585" s="25">
        <f>IF(E585="","",IF(COUNTIF(lst_Jobs,E585&amp;"")&gt;0,"OK","CHECK"))</f>
        <v/>
      </c>
      <c r="G585" s="24" t="n"/>
      <c r="H585" s="24" t="n"/>
      <c r="I585" s="26" t="n"/>
      <c r="J585" s="24" t="n"/>
      <c r="K585" s="22" t="n"/>
      <c r="L585" s="72" t="n"/>
      <c r="M585" s="27">
        <f>IF(E585="","",SUMIFS(tbl_Finance[Ex GST],tbl_Finance[Job Number],E585&amp;""))</f>
        <v/>
      </c>
      <c r="N585" s="27">
        <f>IF(J585&lt;&gt;"Won","",IF(E585="",N(I585),I585-M585))</f>
        <v/>
      </c>
      <c r="O585" s="24" t="n"/>
    </row>
    <row r="586" ht="15" customHeight="1">
      <c r="A586" s="72" t="n"/>
      <c r="B586" s="24" t="n"/>
      <c r="C586" s="24" t="n"/>
      <c r="D586" s="24" t="n"/>
      <c r="E586" s="24" t="n"/>
      <c r="F586" s="25">
        <f>IF(E586="","",IF(COUNTIF(lst_Jobs,E586&amp;"")&gt;0,"OK","CHECK"))</f>
        <v/>
      </c>
      <c r="G586" s="24" t="n"/>
      <c r="H586" s="24" t="n"/>
      <c r="I586" s="26" t="n"/>
      <c r="J586" s="24" t="n"/>
      <c r="K586" s="22" t="n"/>
      <c r="L586" s="72" t="n"/>
      <c r="M586" s="27">
        <f>IF(E586="","",SUMIFS(tbl_Finance[Ex GST],tbl_Finance[Job Number],E586&amp;""))</f>
        <v/>
      </c>
      <c r="N586" s="27">
        <f>IF(J586&lt;&gt;"Won","",IF(E586="",N(I586),I586-M586))</f>
        <v/>
      </c>
      <c r="O586" s="24" t="n"/>
    </row>
    <row r="587" ht="15" customHeight="1">
      <c r="A587" s="72" t="n"/>
      <c r="B587" s="24" t="n"/>
      <c r="C587" s="24" t="n"/>
      <c r="D587" s="24" t="n"/>
      <c r="E587" s="24" t="n"/>
      <c r="F587" s="25">
        <f>IF(E587="","",IF(COUNTIF(lst_Jobs,E587&amp;"")&gt;0,"OK","CHECK"))</f>
        <v/>
      </c>
      <c r="G587" s="24" t="n"/>
      <c r="H587" s="24" t="n"/>
      <c r="I587" s="26" t="n"/>
      <c r="J587" s="24" t="n"/>
      <c r="K587" s="22" t="n"/>
      <c r="L587" s="72" t="n"/>
      <c r="M587" s="27">
        <f>IF(E587="","",SUMIFS(tbl_Finance[Ex GST],tbl_Finance[Job Number],E587&amp;""))</f>
        <v/>
      </c>
      <c r="N587" s="27">
        <f>IF(J587&lt;&gt;"Won","",IF(E587="",N(I587),I587-M587))</f>
        <v/>
      </c>
      <c r="O587" s="24" t="n"/>
    </row>
    <row r="588" ht="15" customHeight="1">
      <c r="A588" s="72" t="n"/>
      <c r="B588" s="24" t="n"/>
      <c r="C588" s="24" t="n"/>
      <c r="D588" s="24" t="n"/>
      <c r="E588" s="24" t="n"/>
      <c r="F588" s="25">
        <f>IF(E588="","",IF(COUNTIF(lst_Jobs,E588&amp;"")&gt;0,"OK","CHECK"))</f>
        <v/>
      </c>
      <c r="G588" s="24" t="n"/>
      <c r="H588" s="24" t="n"/>
      <c r="I588" s="26" t="n"/>
      <c r="J588" s="24" t="n"/>
      <c r="K588" s="22" t="n"/>
      <c r="L588" s="72" t="n"/>
      <c r="M588" s="27">
        <f>IF(E588="","",SUMIFS(tbl_Finance[Ex GST],tbl_Finance[Job Number],E588&amp;""))</f>
        <v/>
      </c>
      <c r="N588" s="27">
        <f>IF(J588&lt;&gt;"Won","",IF(E588="",N(I588),I588-M588))</f>
        <v/>
      </c>
      <c r="O588" s="24" t="n"/>
    </row>
    <row r="589" ht="15" customHeight="1">
      <c r="A589" s="72" t="n"/>
      <c r="B589" s="24" t="n"/>
      <c r="C589" s="24" t="n"/>
      <c r="D589" s="24" t="n"/>
      <c r="E589" s="24" t="n"/>
      <c r="F589" s="25">
        <f>IF(E589="","",IF(COUNTIF(lst_Jobs,E589&amp;"")&gt;0,"OK","CHECK"))</f>
        <v/>
      </c>
      <c r="G589" s="24" t="n"/>
      <c r="H589" s="24" t="n"/>
      <c r="I589" s="26" t="n"/>
      <c r="J589" s="24" t="n"/>
      <c r="K589" s="22" t="n"/>
      <c r="L589" s="72" t="n"/>
      <c r="M589" s="27">
        <f>IF(E589="","",SUMIFS(tbl_Finance[Ex GST],tbl_Finance[Job Number],E589&amp;""))</f>
        <v/>
      </c>
      <c r="N589" s="27">
        <f>IF(J589&lt;&gt;"Won","",IF(E589="",N(I589),I589-M589))</f>
        <v/>
      </c>
      <c r="O589" s="24" t="n"/>
    </row>
    <row r="590" ht="15" customHeight="1">
      <c r="A590" s="72" t="n"/>
      <c r="B590" s="24" t="n"/>
      <c r="C590" s="24" t="n"/>
      <c r="D590" s="24" t="n"/>
      <c r="E590" s="24" t="n"/>
      <c r="F590" s="25">
        <f>IF(E590="","",IF(COUNTIF(lst_Jobs,E590&amp;"")&gt;0,"OK","CHECK"))</f>
        <v/>
      </c>
      <c r="G590" s="24" t="n"/>
      <c r="H590" s="24" t="n"/>
      <c r="I590" s="26" t="n"/>
      <c r="J590" s="24" t="n"/>
      <c r="K590" s="22" t="n"/>
      <c r="L590" s="72" t="n"/>
      <c r="M590" s="27">
        <f>IF(E590="","",SUMIFS(tbl_Finance[Ex GST],tbl_Finance[Job Number],E590&amp;""))</f>
        <v/>
      </c>
      <c r="N590" s="27">
        <f>IF(J590&lt;&gt;"Won","",IF(E590="",N(I590),I590-M590))</f>
        <v/>
      </c>
      <c r="O590" s="24" t="n"/>
    </row>
    <row r="591" ht="15" customHeight="1">
      <c r="A591" s="72" t="n"/>
      <c r="B591" s="24" t="n"/>
      <c r="C591" s="24" t="n"/>
      <c r="D591" s="24" t="n"/>
      <c r="E591" s="24" t="n"/>
      <c r="F591" s="25">
        <f>IF(E591="","",IF(COUNTIF(lst_Jobs,E591&amp;"")&gt;0,"OK","CHECK"))</f>
        <v/>
      </c>
      <c r="G591" s="24" t="n"/>
      <c r="H591" s="24" t="n"/>
      <c r="I591" s="26" t="n"/>
      <c r="J591" s="24" t="n"/>
      <c r="K591" s="22" t="n"/>
      <c r="L591" s="72" t="n"/>
      <c r="M591" s="27">
        <f>IF(E591="","",SUMIFS(tbl_Finance[Ex GST],tbl_Finance[Job Number],E591&amp;""))</f>
        <v/>
      </c>
      <c r="N591" s="27">
        <f>IF(J591&lt;&gt;"Won","",IF(E591="",N(I591),I591-M591))</f>
        <v/>
      </c>
      <c r="O591" s="24" t="n"/>
    </row>
    <row r="592" ht="15" customHeight="1">
      <c r="A592" s="72" t="n"/>
      <c r="B592" s="24" t="n"/>
      <c r="C592" s="24" t="n"/>
      <c r="D592" s="24" t="n"/>
      <c r="E592" s="24" t="n"/>
      <c r="F592" s="25">
        <f>IF(E592="","",IF(COUNTIF(lst_Jobs,E592&amp;"")&gt;0,"OK","CHECK"))</f>
        <v/>
      </c>
      <c r="G592" s="24" t="n"/>
      <c r="H592" s="24" t="n"/>
      <c r="I592" s="26" t="n"/>
      <c r="J592" s="24" t="n"/>
      <c r="K592" s="22" t="n"/>
      <c r="L592" s="72" t="n"/>
      <c r="M592" s="27">
        <f>IF(E592="","",SUMIFS(tbl_Finance[Ex GST],tbl_Finance[Job Number],E592&amp;""))</f>
        <v/>
      </c>
      <c r="N592" s="27">
        <f>IF(J592&lt;&gt;"Won","",IF(E592="",N(I592),I592-M592))</f>
        <v/>
      </c>
      <c r="O592" s="24" t="n"/>
    </row>
    <row r="593" ht="15" customHeight="1">
      <c r="A593" s="72" t="n"/>
      <c r="B593" s="24" t="n"/>
      <c r="C593" s="24" t="n"/>
      <c r="D593" s="24" t="n"/>
      <c r="E593" s="24" t="n"/>
      <c r="F593" s="25">
        <f>IF(E593="","",IF(COUNTIF(lst_Jobs,E593&amp;"")&gt;0,"OK","CHECK"))</f>
        <v/>
      </c>
      <c r="G593" s="24" t="n"/>
      <c r="H593" s="24" t="n"/>
      <c r="I593" s="26" t="n"/>
      <c r="J593" s="24" t="n"/>
      <c r="K593" s="22" t="n"/>
      <c r="L593" s="72" t="n"/>
      <c r="M593" s="27">
        <f>IF(E593="","",SUMIFS(tbl_Finance[Ex GST],tbl_Finance[Job Number],E593&amp;""))</f>
        <v/>
      </c>
      <c r="N593" s="27">
        <f>IF(J593&lt;&gt;"Won","",IF(E593="",N(I593),I593-M593))</f>
        <v/>
      </c>
      <c r="O593" s="24" t="n"/>
    </row>
    <row r="594" ht="15" customHeight="1">
      <c r="A594" s="72" t="n"/>
      <c r="B594" s="24" t="n"/>
      <c r="C594" s="24" t="n"/>
      <c r="D594" s="24" t="n"/>
      <c r="E594" s="24" t="n"/>
      <c r="F594" s="25">
        <f>IF(E594="","",IF(COUNTIF(lst_Jobs,E594&amp;"")&gt;0,"OK","CHECK"))</f>
        <v/>
      </c>
      <c r="G594" s="24" t="n"/>
      <c r="H594" s="24" t="n"/>
      <c r="I594" s="26" t="n"/>
      <c r="J594" s="24" t="n"/>
      <c r="K594" s="22" t="n"/>
      <c r="L594" s="72" t="n"/>
      <c r="M594" s="27">
        <f>IF(E594="","",SUMIFS(tbl_Finance[Ex GST],tbl_Finance[Job Number],E594&amp;""))</f>
        <v/>
      </c>
      <c r="N594" s="27">
        <f>IF(J594&lt;&gt;"Won","",IF(E594="",N(I594),I594-M594))</f>
        <v/>
      </c>
      <c r="O594" s="24" t="n"/>
    </row>
    <row r="595" ht="15" customHeight="1">
      <c r="A595" s="72" t="n"/>
      <c r="B595" s="24" t="n"/>
      <c r="C595" s="24" t="n"/>
      <c r="D595" s="24" t="n"/>
      <c r="E595" s="24" t="n"/>
      <c r="F595" s="25">
        <f>IF(E595="","",IF(COUNTIF(lst_Jobs,E595&amp;"")&gt;0,"OK","CHECK"))</f>
        <v/>
      </c>
      <c r="G595" s="24" t="n"/>
      <c r="H595" s="24" t="n"/>
      <c r="I595" s="26" t="n"/>
      <c r="J595" s="24" t="n"/>
      <c r="K595" s="22" t="n"/>
      <c r="L595" s="72" t="n"/>
      <c r="M595" s="27">
        <f>IF(E595="","",SUMIFS(tbl_Finance[Ex GST],tbl_Finance[Job Number],E595&amp;""))</f>
        <v/>
      </c>
      <c r="N595" s="27">
        <f>IF(J595&lt;&gt;"Won","",IF(E595="",N(I595),I595-M595))</f>
        <v/>
      </c>
      <c r="O595" s="24" t="n"/>
    </row>
    <row r="596" ht="15" customHeight="1">
      <c r="A596" s="72" t="n"/>
      <c r="B596" s="24" t="n"/>
      <c r="C596" s="24" t="n"/>
      <c r="D596" s="24" t="n"/>
      <c r="E596" s="24" t="n"/>
      <c r="F596" s="25">
        <f>IF(E596="","",IF(COUNTIF(lst_Jobs,E596&amp;"")&gt;0,"OK","CHECK"))</f>
        <v/>
      </c>
      <c r="G596" s="24" t="n"/>
      <c r="H596" s="24" t="n"/>
      <c r="I596" s="26" t="n"/>
      <c r="J596" s="24" t="n"/>
      <c r="K596" s="22" t="n"/>
      <c r="L596" s="72" t="n"/>
      <c r="M596" s="27">
        <f>IF(E596="","",SUMIFS(tbl_Finance[Ex GST],tbl_Finance[Job Number],E596&amp;""))</f>
        <v/>
      </c>
      <c r="N596" s="27">
        <f>IF(J596&lt;&gt;"Won","",IF(E596="",N(I596),I596-M596))</f>
        <v/>
      </c>
      <c r="O596" s="24" t="n"/>
    </row>
    <row r="597" ht="15" customHeight="1">
      <c r="A597" s="72" t="n"/>
      <c r="B597" s="24" t="n"/>
      <c r="C597" s="24" t="n"/>
      <c r="D597" s="24" t="n"/>
      <c r="E597" s="24" t="n"/>
      <c r="F597" s="25">
        <f>IF(E597="","",IF(COUNTIF(lst_Jobs,E597&amp;"")&gt;0,"OK","CHECK"))</f>
        <v/>
      </c>
      <c r="G597" s="24" t="n"/>
      <c r="H597" s="24" t="n"/>
      <c r="I597" s="26" t="n"/>
      <c r="J597" s="24" t="n"/>
      <c r="K597" s="22" t="n"/>
      <c r="L597" s="72" t="n"/>
      <c r="M597" s="27">
        <f>IF(E597="","",SUMIFS(tbl_Finance[Ex GST],tbl_Finance[Job Number],E597&amp;""))</f>
        <v/>
      </c>
      <c r="N597" s="27">
        <f>IF(J597&lt;&gt;"Won","",IF(E597="",N(I597),I597-M597))</f>
        <v/>
      </c>
      <c r="O597" s="24" t="n"/>
    </row>
    <row r="598" ht="15" customHeight="1">
      <c r="A598" s="72" t="n"/>
      <c r="B598" s="24" t="n"/>
      <c r="C598" s="24" t="n"/>
      <c r="D598" s="24" t="n"/>
      <c r="E598" s="24" t="n"/>
      <c r="F598" s="25">
        <f>IF(E598="","",IF(COUNTIF(lst_Jobs,E598&amp;"")&gt;0,"OK","CHECK"))</f>
        <v/>
      </c>
      <c r="G598" s="24" t="n"/>
      <c r="H598" s="24" t="n"/>
      <c r="I598" s="26" t="n"/>
      <c r="J598" s="24" t="n"/>
      <c r="K598" s="22" t="n"/>
      <c r="L598" s="72" t="n"/>
      <c r="M598" s="27">
        <f>IF(E598="","",SUMIFS(tbl_Finance[Ex GST],tbl_Finance[Job Number],E598&amp;""))</f>
        <v/>
      </c>
      <c r="N598" s="27">
        <f>IF(J598&lt;&gt;"Won","",IF(E598="",N(I598),I598-M598))</f>
        <v/>
      </c>
      <c r="O598" s="24" t="n"/>
    </row>
    <row r="599" ht="15" customHeight="1">
      <c r="A599" s="72" t="n"/>
      <c r="B599" s="24" t="n"/>
      <c r="C599" s="24" t="n"/>
      <c r="D599" s="24" t="n"/>
      <c r="E599" s="24" t="n"/>
      <c r="F599" s="25">
        <f>IF(E599="","",IF(COUNTIF(lst_Jobs,E599&amp;"")&gt;0,"OK","CHECK"))</f>
        <v/>
      </c>
      <c r="G599" s="24" t="n"/>
      <c r="H599" s="24" t="n"/>
      <c r="I599" s="26" t="n"/>
      <c r="J599" s="24" t="n"/>
      <c r="K599" s="22" t="n"/>
      <c r="L599" s="72" t="n"/>
      <c r="M599" s="27">
        <f>IF(E599="","",SUMIFS(tbl_Finance[Ex GST],tbl_Finance[Job Number],E599&amp;""))</f>
        <v/>
      </c>
      <c r="N599" s="27">
        <f>IF(J599&lt;&gt;"Won","",IF(E599="",N(I599),I599-M599))</f>
        <v/>
      </c>
      <c r="O599" s="24" t="n"/>
    </row>
    <row r="600" ht="15" customHeight="1">
      <c r="A600" s="72" t="n"/>
      <c r="B600" s="24" t="n"/>
      <c r="C600" s="24" t="n"/>
      <c r="D600" s="24" t="n"/>
      <c r="E600" s="24" t="n"/>
      <c r="F600" s="25">
        <f>IF(E600="","",IF(COUNTIF(lst_Jobs,E600&amp;"")&gt;0,"OK","CHECK"))</f>
        <v/>
      </c>
      <c r="G600" s="24" t="n"/>
      <c r="H600" s="24" t="n"/>
      <c r="I600" s="26" t="n"/>
      <c r="J600" s="24" t="n"/>
      <c r="K600" s="22" t="n"/>
      <c r="L600" s="72" t="n"/>
      <c r="M600" s="27">
        <f>IF(E600="","",SUMIFS(tbl_Finance[Ex GST],tbl_Finance[Job Number],E600&amp;""))</f>
        <v/>
      </c>
      <c r="N600" s="27">
        <f>IF(J600&lt;&gt;"Won","",IF(E600="",N(I600),I600-M600))</f>
        <v/>
      </c>
      <c r="O600" s="24" t="n"/>
    </row>
    <row r="601" ht="15" customHeight="1">
      <c r="A601" s="72" t="n"/>
      <c r="B601" s="24" t="n"/>
      <c r="C601" s="24" t="n"/>
      <c r="D601" s="24" t="n"/>
      <c r="E601" s="24" t="n"/>
      <c r="F601" s="25">
        <f>IF(E601="","",IF(COUNTIF(lst_Jobs,E601&amp;"")&gt;0,"OK","CHECK"))</f>
        <v/>
      </c>
      <c r="G601" s="24" t="n"/>
      <c r="H601" s="24" t="n"/>
      <c r="I601" s="26" t="n"/>
      <c r="J601" s="24" t="n"/>
      <c r="K601" s="22" t="n"/>
      <c r="L601" s="72" t="n"/>
      <c r="M601" s="27">
        <f>IF(E601="","",SUMIFS(tbl_Finance[Ex GST],tbl_Finance[Job Number],E601&amp;""))</f>
        <v/>
      </c>
      <c r="N601" s="27">
        <f>IF(J601&lt;&gt;"Won","",IF(E601="",N(I601),I601-M601))</f>
        <v/>
      </c>
      <c r="O601" s="24" t="n"/>
    </row>
    <row r="602" ht="15" customHeight="1">
      <c r="A602" s="72" t="n"/>
      <c r="B602" s="24" t="n"/>
      <c r="C602" s="24" t="n"/>
      <c r="D602" s="24" t="n"/>
      <c r="E602" s="24" t="n"/>
      <c r="F602" s="25">
        <f>IF(E602="","",IF(COUNTIF(lst_Jobs,E602&amp;"")&gt;0,"OK","CHECK"))</f>
        <v/>
      </c>
      <c r="G602" s="24" t="n"/>
      <c r="H602" s="24" t="n"/>
      <c r="I602" s="26" t="n"/>
      <c r="J602" s="24" t="n"/>
      <c r="K602" s="22" t="n"/>
      <c r="L602" s="72" t="n"/>
      <c r="M602" s="27">
        <f>IF(E602="","",SUMIFS(tbl_Finance[Ex GST],tbl_Finance[Job Number],E602&amp;""))</f>
        <v/>
      </c>
      <c r="N602" s="27">
        <f>IF(J602&lt;&gt;"Won","",IF(E602="",N(I602),I602-M602))</f>
        <v/>
      </c>
      <c r="O602" s="24" t="n"/>
    </row>
    <row r="603" ht="15" customHeight="1">
      <c r="A603" s="72" t="n"/>
      <c r="B603" s="24" t="n"/>
      <c r="C603" s="24" t="n"/>
      <c r="D603" s="24" t="n"/>
      <c r="E603" s="24" t="n"/>
      <c r="F603" s="25">
        <f>IF(E603="","",IF(COUNTIF(lst_Jobs,E603&amp;"")&gt;0,"OK","CHECK"))</f>
        <v/>
      </c>
      <c r="G603" s="24" t="n"/>
      <c r="H603" s="24" t="n"/>
      <c r="I603" s="26" t="n"/>
      <c r="J603" s="24" t="n"/>
      <c r="K603" s="22" t="n"/>
      <c r="L603" s="72" t="n"/>
      <c r="M603" s="27">
        <f>IF(E603="","",SUMIFS(tbl_Finance[Ex GST],tbl_Finance[Job Number],E603&amp;""))</f>
        <v/>
      </c>
      <c r="N603" s="27">
        <f>IF(J603&lt;&gt;"Won","",IF(E603="",N(I603),I603-M603))</f>
        <v/>
      </c>
      <c r="O603" s="24" t="n"/>
    </row>
    <row r="604" ht="15" customHeight="1">
      <c r="A604" s="72" t="n"/>
      <c r="B604" s="24" t="n"/>
      <c r="C604" s="24" t="n"/>
      <c r="D604" s="24" t="n"/>
      <c r="E604" s="24" t="n"/>
      <c r="F604" s="25">
        <f>IF(E604="","",IF(COUNTIF(lst_Jobs,E604&amp;"")&gt;0,"OK","CHECK"))</f>
        <v/>
      </c>
      <c r="G604" s="24" t="n"/>
      <c r="H604" s="24" t="n"/>
      <c r="I604" s="26" t="n"/>
      <c r="J604" s="24" t="n"/>
      <c r="K604" s="22" t="n"/>
      <c r="L604" s="72" t="n"/>
      <c r="M604" s="27">
        <f>IF(E604="","",SUMIFS(tbl_Finance[Ex GST],tbl_Finance[Job Number],E604&amp;""))</f>
        <v/>
      </c>
      <c r="N604" s="27">
        <f>IF(J604&lt;&gt;"Won","",IF(E604="",N(I604),I604-M604))</f>
        <v/>
      </c>
      <c r="O6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F5:F5000">
    <cfRule type="expression" priority="1" dxfId="0" stopIfTrue="0">
      <formula>F5="CHECK"</formula>
    </cfRule>
  </conditionalFormatting>
  <dataValidations count="3">
    <dataValidation sqref="B5:B20000" showDropDown="0" showInputMessage="0" showErrorMessage="1" allowBlank="1" errorTitle="Not on the list" error="&quot;Source&quot; is not on the list in the Lists sheet. Add it there if it is genuinely new." type="list" errorStyle="warning">
      <formula1>lst_WonSource</formula1>
    </dataValidation>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Status&quot; is not on the list in the Lists sheet. Add it there if it is genuinely new." type="list" errorStyle="warning">
      <formula1>lst_WonStatus</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7" customWidth="1" min="7" max="7"/>
    <col width="15" customWidth="1" min="8" max="8"/>
    <col width="14" customWidth="1" min="9" max="9"/>
    <col width="19" customWidth="1" min="10" max="10"/>
    <col width="13" customWidth="1" min="11" max="11"/>
    <col width="36" customWidth="1" min="12" max="12"/>
    <col width="19" customWidth="1" min="13" max="13"/>
    <col width="18" customWidth="1" min="14" max="14"/>
    <col width="19" customWidth="1" min="15" max="15"/>
    <col width="16" customWidth="1" min="16" max="16"/>
    <col width="48" customWidth="1" min="17" max="17"/>
    <col width="14" customWidth="1" min="18" max="18"/>
    <col width="26" customWidth="1" min="20" max="20"/>
    <col width="44" customWidth="1" min="21" max="21"/>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J4" t="inlineStr">
        <is>
          <t>Revenue or Cost</t>
        </is>
      </c>
      <c r="K4" s="21" t="inlineStr">
        <is>
          <t>Revenue GL</t>
        </is>
      </c>
      <c r="L4" s="21" t="inlineStr">
        <is>
          <t>GL Account Name (from Xero)</t>
        </is>
      </c>
      <c r="M4" t="inlineStr">
        <is>
          <t>Work Won Source</t>
        </is>
      </c>
      <c r="N4" s="21" t="inlineStr">
        <is>
          <t>Month (period end)</t>
        </is>
      </c>
      <c r="O4" t="inlineStr">
        <is>
          <t>Work Won Status</t>
        </is>
      </c>
      <c r="P4" s="21" t="inlineStr">
        <is>
          <t>Job Number</t>
        </is>
      </c>
      <c r="Q4" s="21" t="inlineStr">
        <is>
          <t>Job Name (from Xero)</t>
        </is>
      </c>
      <c r="R4" s="21" t="inlineStr">
        <is>
          <t>CC</t>
        </is>
      </c>
      <c r="T4" s="21" t="inlineStr">
        <is>
          <t>Settings</t>
        </is>
      </c>
    </row>
    <row r="5">
      <c r="A5" s="73" t="inlineStr">
        <is>
          <t>ONSITE</t>
        </is>
      </c>
      <c r="B5" s="73" t="inlineStr">
        <is>
          <t>Contract</t>
        </is>
      </c>
      <c r="C5" s="73" t="inlineStr">
        <is>
          <t>GST 10%</t>
        </is>
      </c>
      <c r="D5" s="73" t="inlineStr">
        <is>
          <t>To Invoice</t>
        </is>
      </c>
      <c r="E5" s="73" t="inlineStr">
        <is>
          <t>Y</t>
        </is>
      </c>
      <c r="F5" s="73" t="inlineStr">
        <is>
          <t>N/A</t>
        </is>
      </c>
      <c r="G5" s="73" t="inlineStr">
        <is>
          <t>Accrual - unbilled work</t>
        </is>
      </c>
      <c r="H5" s="73" t="inlineStr">
        <is>
          <t>11300</t>
        </is>
      </c>
      <c r="I5" s="73" t="inlineStr">
        <is>
          <t>Onsite</t>
        </is>
      </c>
      <c r="J5" s="73" t="inlineStr">
        <is>
          <t>Revenue</t>
        </is>
      </c>
      <c r="K5" s="73" t="inlineStr">
        <is>
          <t>41100</t>
        </is>
      </c>
      <c r="L5" s="73" t="inlineStr">
        <is>
          <t>Contract Support Staff</t>
        </is>
      </c>
      <c r="M5" s="73" t="inlineStr">
        <is>
          <t>ZOHO</t>
        </is>
      </c>
      <c r="N5" s="74" t="n">
        <v>45138</v>
      </c>
      <c r="O5" s="73" t="inlineStr">
        <is>
          <t>Won</t>
        </is>
      </c>
      <c r="P5" s="73" t="inlineStr">
        <is>
          <t>1144</t>
        </is>
      </c>
      <c r="Q5" s="73" t="inlineStr">
        <is>
          <t>Bankwest PER Half Tech</t>
        </is>
      </c>
      <c r="R5" s="73" t="inlineStr">
        <is>
          <t>ONSITE</t>
        </is>
      </c>
      <c r="T5" s="45" t="inlineStr">
        <is>
          <t>Qwilr base address</t>
        </is>
      </c>
      <c r="U5" s="75" t="inlineStr">
        <is>
          <t>https://cts.qwilr.com/</t>
        </is>
      </c>
    </row>
    <row r="6">
      <c r="A6" s="73" t="inlineStr">
        <is>
          <t>PRODUCTION</t>
        </is>
      </c>
      <c r="B6" s="73" t="inlineStr">
        <is>
          <t>Chargeback</t>
        </is>
      </c>
      <c r="C6" s="73" t="inlineStr">
        <is>
          <t>GST Free</t>
        </is>
      </c>
      <c r="D6" s="73" t="inlineStr">
        <is>
          <t>Draft</t>
        </is>
      </c>
      <c r="E6" s="73" t="inlineStr">
        <is>
          <t>N</t>
        </is>
      </c>
      <c r="F6" s="73" t="inlineStr">
        <is>
          <t>Awaiting PO</t>
        </is>
      </c>
      <c r="G6" s="73" t="inlineStr">
        <is>
          <t>Reversal of prior accrual</t>
        </is>
      </c>
      <c r="H6" s="73" t="inlineStr">
        <is>
          <t>44100</t>
        </is>
      </c>
      <c r="I6" s="73" t="inlineStr">
        <is>
          <t>Production</t>
        </is>
      </c>
      <c r="J6" s="73" t="inlineStr">
        <is>
          <t>Cost</t>
        </is>
      </c>
      <c r="K6" s="73" t="inlineStr">
        <is>
          <t>41150</t>
        </is>
      </c>
      <c r="L6" s="73" t="inlineStr">
        <is>
          <t>Mobile Phone Plans</t>
        </is>
      </c>
      <c r="M6" s="73" t="inlineStr">
        <is>
          <t>Current RMS</t>
        </is>
      </c>
      <c r="N6" s="74" t="n">
        <v>45169</v>
      </c>
      <c r="O6" s="73" t="inlineStr">
        <is>
          <t>Open</t>
        </is>
      </c>
      <c r="P6" s="73" t="inlineStr">
        <is>
          <t>1350</t>
        </is>
      </c>
      <c r="Q6" s="73" t="inlineStr">
        <is>
          <t>CBA Brisbane ONS</t>
        </is>
      </c>
      <c r="R6" s="73" t="inlineStr">
        <is>
          <t>ONSITE</t>
        </is>
      </c>
      <c r="T6" s="45" t="inlineStr">
        <is>
          <t>Current RMS base address</t>
        </is>
      </c>
      <c r="U6" s="75" t="inlineStr"/>
    </row>
    <row r="7">
      <c r="A7" s="73" t="inlineStr">
        <is>
          <t>VIDEO</t>
        </is>
      </c>
      <c r="B7" s="73" t="inlineStr">
        <is>
          <t>Ad-hoc</t>
        </is>
      </c>
      <c r="C7" s="73" t="inlineStr">
        <is>
          <t>Export (0%)</t>
        </is>
      </c>
      <c r="D7" s="73" t="inlineStr">
        <is>
          <t>Awaiting Approval</t>
        </is>
      </c>
      <c r="E7" s="73" t="inlineStr">
        <is>
          <t>N/A</t>
        </is>
      </c>
      <c r="F7" s="73" t="inlineStr">
        <is>
          <t>To Upload</t>
        </is>
      </c>
      <c r="G7" s="73" t="inlineStr">
        <is>
          <t>Deferral - invoiced in advance</t>
        </is>
      </c>
      <c r="H7" s="73" t="inlineStr">
        <is>
          <t>44200</t>
        </is>
      </c>
      <c r="I7" s="73" t="inlineStr">
        <is>
          <t>Consulting</t>
        </is>
      </c>
      <c r="K7" s="73" t="inlineStr">
        <is>
          <t>41175</t>
        </is>
      </c>
      <c r="L7" s="73" t="inlineStr">
        <is>
          <t>Subscriptions &amp; Licences - Income</t>
        </is>
      </c>
      <c r="M7" s="73" t="inlineStr">
        <is>
          <t>Qwilr</t>
        </is>
      </c>
      <c r="N7" s="74" t="n">
        <v>45199</v>
      </c>
      <c r="O7" s="73" t="inlineStr">
        <is>
          <t>Lost</t>
        </is>
      </c>
      <c r="P7" s="73" t="inlineStr">
        <is>
          <t>1400</t>
        </is>
      </c>
      <c r="Q7" s="73" t="inlineStr">
        <is>
          <t>DTTL Mel Tech FT 2</t>
        </is>
      </c>
      <c r="R7" s="73" t="inlineStr">
        <is>
          <t>ONSITE</t>
        </is>
      </c>
      <c r="T7" s="32" t="inlineStr">
        <is>
          <t>Optional. Paste the whole Current RMS address straight onto the Production sheet and it links without this. Fill this in only if you would rather type the bare opportunity number - end it with a slash.</t>
        </is>
      </c>
    </row>
    <row r="8">
      <c r="A8" s="73" t="inlineStr">
        <is>
          <t>INTEGRATION</t>
        </is>
      </c>
      <c r="B8" s="73" t="inlineStr">
        <is>
          <t>Project</t>
        </is>
      </c>
      <c r="C8" s="73" t="inlineStr">
        <is>
          <t>BAS Excluded</t>
        </is>
      </c>
      <c r="D8" s="73" t="inlineStr">
        <is>
          <t>Invoiced</t>
        </is>
      </c>
      <c r="F8" s="73" t="inlineStr">
        <is>
          <t>Uploaded</t>
        </is>
      </c>
      <c r="G8" s="73" t="inlineStr">
        <is>
          <t>Release of deferral</t>
        </is>
      </c>
      <c r="I8" s="73" t="inlineStr">
        <is>
          <t>Other</t>
        </is>
      </c>
      <c r="K8" s="73" t="inlineStr">
        <is>
          <t>41200</t>
        </is>
      </c>
      <c r="L8" s="73" t="inlineStr">
        <is>
          <t>Contract Maintenance</t>
        </is>
      </c>
      <c r="M8" s="73" t="inlineStr">
        <is>
          <t>Other</t>
        </is>
      </c>
      <c r="N8" s="74" t="n">
        <v>45230</v>
      </c>
      <c r="O8" s="73" t="inlineStr">
        <is>
          <t>Cancelled</t>
        </is>
      </c>
      <c r="P8" s="73" t="inlineStr">
        <is>
          <t>1401</t>
        </is>
      </c>
      <c r="Q8" s="73" t="inlineStr">
        <is>
          <t>DTTL SYD FT Tech 2</t>
        </is>
      </c>
      <c r="R8" s="73" t="inlineStr">
        <is>
          <t>ONSITE</t>
        </is>
      </c>
      <c r="T8" s="45" t="inlineStr">
        <is>
          <t>GST rate</t>
        </is>
      </c>
      <c r="U8" s="76" t="n">
        <v>0.1</v>
      </c>
    </row>
    <row r="9">
      <c r="A9" s="73" t="inlineStr">
        <is>
          <t>CONSULTING</t>
        </is>
      </c>
      <c r="B9" s="73" t="inlineStr">
        <is>
          <t>Progress Claim</t>
        </is>
      </c>
      <c r="D9" s="73" t="inlineStr">
        <is>
          <t>Sent</t>
        </is>
      </c>
      <c r="F9" s="73" t="inlineStr">
        <is>
          <t>Approved</t>
        </is>
      </c>
      <c r="G9" s="73" t="inlineStr">
        <is>
          <t>Deferred cost - paid in advance</t>
        </is>
      </c>
      <c r="K9" s="73" t="inlineStr">
        <is>
          <t>41500</t>
        </is>
      </c>
      <c r="L9" s="73" t="inlineStr">
        <is>
          <t>Contract Help Desk</t>
        </is>
      </c>
      <c r="N9" s="74" t="n">
        <v>45260</v>
      </c>
      <c r="P9" s="73" t="inlineStr">
        <is>
          <t>1530</t>
        </is>
      </c>
      <c r="Q9" s="73" t="inlineStr">
        <is>
          <t>DTTL BNE Onsite</t>
        </is>
      </c>
      <c r="R9" s="73" t="inlineStr">
        <is>
          <t>ONSITE</t>
        </is>
      </c>
      <c r="T9" t="inlineStr">
        <is>
          <t>WIP balance sheet account</t>
        </is>
      </c>
      <c r="U9" s="58" t="inlineStr">
        <is>
          <t>11300 Work in Progress</t>
        </is>
      </c>
    </row>
    <row r="10">
      <c r="A10" s="73" t="inlineStr">
        <is>
          <t>CTS</t>
        </is>
      </c>
      <c r="B10" s="73" t="inlineStr">
        <is>
          <t>Milestone</t>
        </is>
      </c>
      <c r="D10" s="73" t="inlineStr">
        <is>
          <t>Paid</t>
        </is>
      </c>
      <c r="F10" s="73" t="inlineStr">
        <is>
          <t>Rejected</t>
        </is>
      </c>
      <c r="G10" s="73" t="inlineStr">
        <is>
          <t>Release of deferred cost</t>
        </is>
      </c>
      <c r="K10" s="73" t="inlineStr">
        <is>
          <t>42100</t>
        </is>
      </c>
      <c r="L10" s="73" t="inlineStr">
        <is>
          <t>Production Labour</t>
        </is>
      </c>
      <c r="N10" s="74" t="n">
        <v>45291</v>
      </c>
      <c r="P10" s="73" t="inlineStr">
        <is>
          <t>1668</t>
        </is>
      </c>
      <c r="Q10" s="73" t="inlineStr">
        <is>
          <t>CBA Dedicated Tech</t>
        </is>
      </c>
      <c r="R10" s="73" t="inlineStr">
        <is>
          <t>ONSITE</t>
        </is>
      </c>
      <c r="T10" t="inlineStr">
        <is>
          <t>WIP P&amp;L account</t>
        </is>
      </c>
      <c r="U10" s="58" t="inlineStr">
        <is>
          <t>44200 Closing Work in Progress</t>
        </is>
      </c>
    </row>
    <row r="11">
      <c r="B11" s="73" t="inlineStr">
        <is>
          <t>Subscription</t>
        </is>
      </c>
      <c r="D11" s="73" t="inlineStr">
        <is>
          <t>On Hold</t>
        </is>
      </c>
      <c r="G11" s="73" t="inlineStr">
        <is>
          <t>Accrued cost - incurred not billed</t>
        </is>
      </c>
      <c r="K11" s="73" t="inlineStr">
        <is>
          <t>42150</t>
        </is>
      </c>
      <c r="L11" s="73" t="inlineStr">
        <is>
          <t>Video Labour</t>
        </is>
      </c>
      <c r="N11" s="74" t="n">
        <v>45322</v>
      </c>
      <c r="P11" s="73" t="inlineStr">
        <is>
          <t>1750</t>
        </is>
      </c>
      <c r="Q11" s="73" t="inlineStr">
        <is>
          <t>Bankwest Spotify</t>
        </is>
      </c>
      <c r="R11" s="73" t="inlineStr"/>
      <c r="T11" s="32" t="inlineStr">
        <is>
          <t>The two accounts the WIP journal uses. Change them here and every Debit / Credit on WIP Movements and Month-End follows.</t>
        </is>
      </c>
    </row>
    <row r="12">
      <c r="B12" s="73" t="inlineStr">
        <is>
          <t>Equipment Sale</t>
        </is>
      </c>
      <c r="D12" s="73" t="inlineStr">
        <is>
          <t>Cancelled</t>
        </is>
      </c>
      <c r="G12" s="73" t="inlineStr">
        <is>
          <t>Adjustment / correction</t>
        </is>
      </c>
      <c r="K12" s="73" t="inlineStr">
        <is>
          <t>42200</t>
        </is>
      </c>
      <c r="L12" s="73" t="inlineStr">
        <is>
          <t>Ad Hoc Service Labour</t>
        </is>
      </c>
      <c r="N12" s="74" t="n">
        <v>45351</v>
      </c>
      <c r="P12" s="73" t="inlineStr">
        <is>
          <t>1755</t>
        </is>
      </c>
      <c r="Q12" s="73" t="inlineStr">
        <is>
          <t>CBA Spotify</t>
        </is>
      </c>
      <c r="R12" s="73" t="inlineStr">
        <is>
          <t>ONSITE</t>
        </is>
      </c>
    </row>
    <row r="13">
      <c r="B13" s="73" t="inlineStr">
        <is>
          <t>Recharge</t>
        </is>
      </c>
      <c r="D13" s="73" t="inlineStr">
        <is>
          <t>Credited</t>
        </is>
      </c>
      <c r="G13" s="73" t="inlineStr">
        <is>
          <t>Migrated opening balance</t>
        </is>
      </c>
      <c r="K13" s="73" t="inlineStr">
        <is>
          <t>42300</t>
        </is>
      </c>
      <c r="L13" s="73" t="inlineStr">
        <is>
          <t>Installation Labour</t>
        </is>
      </c>
      <c r="N13" s="74" t="n">
        <v>45382</v>
      </c>
      <c r="P13" s="73" t="inlineStr">
        <is>
          <t>1771</t>
        </is>
      </c>
      <c r="Q13" s="73" t="inlineStr">
        <is>
          <t>Integration - Training</t>
        </is>
      </c>
      <c r="R13" s="73" t="inlineStr">
        <is>
          <t>INTEGRATION</t>
        </is>
      </c>
    </row>
    <row r="14">
      <c r="B14" s="73" t="inlineStr">
        <is>
          <t>Credit Note</t>
        </is>
      </c>
      <c r="K14" s="73" t="inlineStr">
        <is>
          <t>42500</t>
        </is>
      </c>
      <c r="L14" s="73" t="inlineStr">
        <is>
          <t>Equipment Hires</t>
        </is>
      </c>
      <c r="N14" s="74" t="n">
        <v>45412</v>
      </c>
      <c r="P14" s="73" t="inlineStr">
        <is>
          <t>1862</t>
        </is>
      </c>
      <c r="Q14" s="73" t="inlineStr">
        <is>
          <t>DTTL ADL Onsite</t>
        </is>
      </c>
      <c r="R14" s="73" t="inlineStr">
        <is>
          <t>ONSITE</t>
        </is>
      </c>
    </row>
    <row r="15">
      <c r="K15" s="73" t="inlineStr">
        <is>
          <t>42600</t>
        </is>
      </c>
      <c r="L15" s="73" t="inlineStr">
        <is>
          <t>Equipment Sales</t>
        </is>
      </c>
      <c r="N15" s="74" t="n">
        <v>45443</v>
      </c>
      <c r="P15" s="73" t="inlineStr">
        <is>
          <t>20250731</t>
        </is>
      </c>
      <c r="Q15" s="73" t="inlineStr">
        <is>
          <t>PWC National Pool of Hours</t>
        </is>
      </c>
      <c r="R15" s="73" t="inlineStr">
        <is>
          <t>ONSITE</t>
        </is>
      </c>
    </row>
    <row r="16">
      <c r="K16" s="73" t="inlineStr">
        <is>
          <t>42700</t>
        </is>
      </c>
      <c r="L16" s="73" t="inlineStr">
        <is>
          <t>Conference Call Charge</t>
        </is>
      </c>
      <c r="N16" s="74" t="n">
        <v>45473</v>
      </c>
      <c r="P16" s="73" t="inlineStr">
        <is>
          <t>2026021101</t>
        </is>
      </c>
      <c r="Q16" s="73" t="inlineStr">
        <is>
          <t>AusPayNet Quarterly AV Support &amp; Maintenance 2026</t>
        </is>
      </c>
      <c r="R16" s="73" t="inlineStr">
        <is>
          <t>ONSITE</t>
        </is>
      </c>
    </row>
    <row r="17">
      <c r="K17" s="73" t="inlineStr">
        <is>
          <t>42800</t>
        </is>
      </c>
      <c r="L17" s="73" t="inlineStr">
        <is>
          <t>Tech Consulting/Project Manage</t>
        </is>
      </c>
      <c r="N17" s="74" t="n">
        <v>45504</v>
      </c>
      <c r="P17" s="73" t="inlineStr">
        <is>
          <t>20260801</t>
        </is>
      </c>
      <c r="Q17" s="73" t="inlineStr">
        <is>
          <t>CTS Day 2026</t>
        </is>
      </c>
      <c r="R17" s="73" t="inlineStr">
        <is>
          <t>CTS</t>
        </is>
      </c>
    </row>
    <row r="18">
      <c r="K18" s="73" t="inlineStr">
        <is>
          <t>42900</t>
        </is>
      </c>
      <c r="L18" s="73" t="inlineStr">
        <is>
          <t>Tech Event Management</t>
        </is>
      </c>
      <c r="N18" s="74" t="n">
        <v>45535</v>
      </c>
      <c r="P18" s="73" t="inlineStr">
        <is>
          <t>2192</t>
        </is>
      </c>
      <c r="Q18" s="73" t="inlineStr">
        <is>
          <t>Bankwest Additional Tech</t>
        </is>
      </c>
      <c r="R18" s="73" t="inlineStr">
        <is>
          <t>ONSITE</t>
        </is>
      </c>
    </row>
    <row r="19">
      <c r="K19" s="73" t="inlineStr">
        <is>
          <t>44100</t>
        </is>
      </c>
      <c r="L19" s="73" t="inlineStr">
        <is>
          <t>Opening Work in Progress</t>
        </is>
      </c>
      <c r="N19" s="74" t="n">
        <v>45565</v>
      </c>
      <c r="P19" s="73" t="inlineStr">
        <is>
          <t>2347</t>
        </is>
      </c>
      <c r="Q19" s="73" t="inlineStr">
        <is>
          <t>DTTL Dedicated Tech</t>
        </is>
      </c>
      <c r="R19" s="73" t="inlineStr">
        <is>
          <t>ONSITE</t>
        </is>
      </c>
    </row>
    <row r="20">
      <c r="K20" s="73" t="inlineStr">
        <is>
          <t>44200</t>
        </is>
      </c>
      <c r="L20" s="73" t="inlineStr">
        <is>
          <t>Closing Work in Progress</t>
        </is>
      </c>
      <c r="N20" s="74" t="n">
        <v>45596</v>
      </c>
      <c r="P20" s="73" t="inlineStr">
        <is>
          <t>2392</t>
        </is>
      </c>
      <c r="Q20" s="73" t="inlineStr">
        <is>
          <t>PWC – MEL Technician</t>
        </is>
      </c>
      <c r="R20" s="73" t="inlineStr">
        <is>
          <t>ONSITE</t>
        </is>
      </c>
    </row>
    <row r="21">
      <c r="K21" s="73" t="inlineStr">
        <is>
          <t>45005</t>
        </is>
      </c>
      <c r="L21" s="73" t="inlineStr">
        <is>
          <t>Freight &amp; Travel - ADMIN</t>
        </is>
      </c>
      <c r="N21" s="74" t="n">
        <v>45626</v>
      </c>
      <c r="P21" s="73" t="inlineStr">
        <is>
          <t>2402</t>
        </is>
      </c>
      <c r="Q21" s="73" t="inlineStr">
        <is>
          <t>DTTL SYD FT Tech 1</t>
        </is>
      </c>
      <c r="R21" s="73" t="inlineStr">
        <is>
          <t>ONSITE</t>
        </is>
      </c>
    </row>
    <row r="22">
      <c r="K22" s="73" t="inlineStr">
        <is>
          <t>45010</t>
        </is>
      </c>
      <c r="L22" s="73" t="inlineStr">
        <is>
          <t>Freight &amp; Travel - ONS</t>
        </is>
      </c>
      <c r="N22" s="74" t="n">
        <v>45657</v>
      </c>
      <c r="P22" s="73" t="inlineStr">
        <is>
          <t>2407312</t>
        </is>
      </c>
      <c r="Q22" s="73" t="inlineStr">
        <is>
          <t>Hills Performance Centre</t>
        </is>
      </c>
      <c r="R22" s="73" t="inlineStr">
        <is>
          <t>CONSULTING</t>
        </is>
      </c>
    </row>
    <row r="23">
      <c r="K23" s="73" t="inlineStr">
        <is>
          <t>45015</t>
        </is>
      </c>
      <c r="L23" s="73" t="inlineStr">
        <is>
          <t>Freight &amp; Travel - PRD</t>
        </is>
      </c>
      <c r="N23" s="74" t="n">
        <v>45688</v>
      </c>
      <c r="P23" s="73" t="inlineStr">
        <is>
          <t>24102501</t>
        </is>
      </c>
      <c r="Q23" s="73" t="inlineStr">
        <is>
          <t>PWC - MEL Tech 12Months</t>
        </is>
      </c>
      <c r="R23" s="73" t="inlineStr">
        <is>
          <t>ONSITE</t>
        </is>
      </c>
    </row>
    <row r="24">
      <c r="K24" s="73" t="inlineStr">
        <is>
          <t>45020</t>
        </is>
      </c>
      <c r="L24" s="73" t="inlineStr">
        <is>
          <t>Freight &amp; Travel - VID</t>
        </is>
      </c>
      <c r="N24" s="74" t="n">
        <v>45716</v>
      </c>
      <c r="P24" s="73" t="inlineStr">
        <is>
          <t>24121001</t>
        </is>
      </c>
      <c r="Q24" s="73" t="inlineStr">
        <is>
          <t>BW PER Studio Equipment Supply</t>
        </is>
      </c>
      <c r="R24" s="73" t="inlineStr">
        <is>
          <t>INTEGRATION</t>
        </is>
      </c>
    </row>
    <row r="25">
      <c r="K25" s="73" t="inlineStr">
        <is>
          <t>45025</t>
        </is>
      </c>
      <c r="L25" s="73" t="inlineStr">
        <is>
          <t>Freight &amp; Travel - INTEGRATION</t>
        </is>
      </c>
      <c r="N25" s="74" t="n">
        <v>45747</v>
      </c>
      <c r="P25" s="73" t="inlineStr">
        <is>
          <t>2479</t>
        </is>
      </c>
      <c r="Q25" s="73" t="inlineStr">
        <is>
          <t>CONSULTING - Quotes</t>
        </is>
      </c>
      <c r="R25" s="73" t="inlineStr">
        <is>
          <t>CONSULTING</t>
        </is>
      </c>
    </row>
    <row r="26">
      <c r="K26" s="73" t="inlineStr">
        <is>
          <t>45030</t>
        </is>
      </c>
      <c r="L26" s="73" t="inlineStr">
        <is>
          <t>Freight &amp; Travel - CONS</t>
        </is>
      </c>
      <c r="N26" s="74" t="n">
        <v>45777</v>
      </c>
      <c r="P26" s="73" t="inlineStr">
        <is>
          <t>2480</t>
        </is>
      </c>
      <c r="Q26" s="73" t="inlineStr">
        <is>
          <t>ONSITE - Quotes</t>
        </is>
      </c>
      <c r="R26" s="73" t="inlineStr">
        <is>
          <t>ONSITE</t>
        </is>
      </c>
    </row>
    <row r="27">
      <c r="K27" s="73" t="inlineStr">
        <is>
          <t>46005</t>
        </is>
      </c>
      <c r="L27" s="73" t="inlineStr">
        <is>
          <t>Credit Card Fees - ADMIN</t>
        </is>
      </c>
      <c r="N27" s="74" t="n">
        <v>45808</v>
      </c>
      <c r="P27" s="73" t="inlineStr">
        <is>
          <t>2481</t>
        </is>
      </c>
      <c r="Q27" s="73" t="inlineStr">
        <is>
          <t>Production - Quotes</t>
        </is>
      </c>
      <c r="R27" s="73" t="inlineStr">
        <is>
          <t>PRODUCTION</t>
        </is>
      </c>
    </row>
    <row r="28">
      <c r="K28" s="73" t="inlineStr">
        <is>
          <t>46010</t>
        </is>
      </c>
      <c r="L28" s="73" t="inlineStr">
        <is>
          <t>Credit Card Collected - ONS</t>
        </is>
      </c>
      <c r="N28" s="74" t="n">
        <v>45838</v>
      </c>
      <c r="P28" s="73" t="inlineStr">
        <is>
          <t>2482</t>
        </is>
      </c>
      <c r="Q28" s="73" t="inlineStr">
        <is>
          <t>VIDEO - Quotes</t>
        </is>
      </c>
      <c r="R28" s="73" t="inlineStr">
        <is>
          <t>VIDEO</t>
        </is>
      </c>
    </row>
    <row r="29">
      <c r="K29" s="73" t="inlineStr">
        <is>
          <t>46015</t>
        </is>
      </c>
      <c r="L29" s="73" t="inlineStr">
        <is>
          <t>Credit Card Collected - PRD</t>
        </is>
      </c>
      <c r="N29" s="74" t="n">
        <v>45869</v>
      </c>
      <c r="P29" s="73" t="inlineStr">
        <is>
          <t>2488</t>
        </is>
      </c>
      <c r="Q29" s="73" t="inlineStr">
        <is>
          <t>PWC IT P/T BNE</t>
        </is>
      </c>
      <c r="R29" s="73" t="inlineStr">
        <is>
          <t>ONSITE</t>
        </is>
      </c>
    </row>
    <row r="30">
      <c r="K30" s="73" t="inlineStr">
        <is>
          <t>46020</t>
        </is>
      </c>
      <c r="L30" s="73" t="inlineStr">
        <is>
          <t>Credit Card Collected - VID</t>
        </is>
      </c>
      <c r="N30" s="74" t="n">
        <v>45900</v>
      </c>
      <c r="P30" s="73" t="inlineStr">
        <is>
          <t>25011601</t>
        </is>
      </c>
      <c r="Q30" s="73" t="inlineStr">
        <is>
          <t>DTTL Hobart ITS AV Ref</t>
        </is>
      </c>
      <c r="R30" s="73" t="inlineStr">
        <is>
          <t>INTEGRATION</t>
        </is>
      </c>
    </row>
    <row r="31">
      <c r="K31" s="73" t="inlineStr">
        <is>
          <t>46025</t>
        </is>
      </c>
      <c r="L31" s="73" t="inlineStr">
        <is>
          <t>Credit Card Collected - INTEGRATION</t>
        </is>
      </c>
      <c r="N31" s="74" t="n">
        <v>45930</v>
      </c>
      <c r="P31" s="73" t="inlineStr">
        <is>
          <t>2501738</t>
        </is>
      </c>
      <c r="Q31" s="73" t="inlineStr">
        <is>
          <t>APA HYR25 &amp; FYR25</t>
        </is>
      </c>
      <c r="R31" s="73" t="inlineStr">
        <is>
          <t>PRODUCTION</t>
        </is>
      </c>
    </row>
    <row r="32">
      <c r="K32" s="73" t="inlineStr">
        <is>
          <t>46030</t>
        </is>
      </c>
      <c r="L32" s="73" t="inlineStr">
        <is>
          <t>Credit Card Collected - CONS</t>
        </is>
      </c>
      <c r="N32" s="74" t="n">
        <v>45961</v>
      </c>
      <c r="P32" s="73" t="inlineStr">
        <is>
          <t>2502</t>
        </is>
      </c>
      <c r="Q32" s="73" t="inlineStr">
        <is>
          <t>ONS CBA (non-chargeable)</t>
        </is>
      </c>
      <c r="R32" s="73" t="inlineStr"/>
    </row>
    <row r="33">
      <c r="K33" s="73" t="inlineStr">
        <is>
          <t>47005</t>
        </is>
      </c>
      <c r="L33" s="73" t="inlineStr">
        <is>
          <t>Meal &amp; Travel - ADMIN</t>
        </is>
      </c>
      <c r="N33" s="74" t="n">
        <v>45991</v>
      </c>
      <c r="P33" s="73" t="inlineStr">
        <is>
          <t>25021901</t>
        </is>
      </c>
      <c r="Q33" s="73" t="inlineStr">
        <is>
          <t>DAFF Technology Standard</t>
        </is>
      </c>
      <c r="R33" s="73" t="inlineStr">
        <is>
          <t>CONSULTING</t>
        </is>
      </c>
    </row>
    <row r="34">
      <c r="K34" s="73" t="inlineStr">
        <is>
          <t>47010</t>
        </is>
      </c>
      <c r="L34" s="73" t="inlineStr">
        <is>
          <t>Meal &amp; Travel - ONS</t>
        </is>
      </c>
      <c r="N34" s="74" t="n">
        <v>46022</v>
      </c>
      <c r="P34" s="73" t="inlineStr">
        <is>
          <t>2503</t>
        </is>
      </c>
      <c r="Q34" s="73" t="inlineStr">
        <is>
          <t>ONS DTTL (non-chargeable)</t>
        </is>
      </c>
      <c r="R34" s="73" t="inlineStr"/>
    </row>
    <row r="35">
      <c r="K35" s="73" t="inlineStr">
        <is>
          <t>47015</t>
        </is>
      </c>
      <c r="L35" s="73" t="inlineStr">
        <is>
          <t>Meal &amp; Travel - PRD</t>
        </is>
      </c>
      <c r="N35" s="74" t="n">
        <v>46053</v>
      </c>
      <c r="P35" s="73" t="inlineStr">
        <is>
          <t>25032701</t>
        </is>
      </c>
      <c r="Q35" s="73" t="inlineStr">
        <is>
          <t>St Catherines Chargeable</t>
        </is>
      </c>
      <c r="R35" s="73" t="inlineStr">
        <is>
          <t>ONSITE</t>
        </is>
      </c>
    </row>
    <row r="36">
      <c r="K36" s="73" t="inlineStr">
        <is>
          <t>47020</t>
        </is>
      </c>
      <c r="L36" s="73" t="inlineStr">
        <is>
          <t>Meal &amp; Travel - VID</t>
        </is>
      </c>
      <c r="N36" s="74" t="n">
        <v>46081</v>
      </c>
      <c r="P36" s="73" t="inlineStr">
        <is>
          <t>25032701NC</t>
        </is>
      </c>
      <c r="Q36" s="73" t="inlineStr">
        <is>
          <t>St Catherines Non-Chgble</t>
        </is>
      </c>
      <c r="R36" s="73" t="inlineStr">
        <is>
          <t>ONSITE</t>
        </is>
      </c>
    </row>
    <row r="37">
      <c r="K37" s="73" t="inlineStr">
        <is>
          <t>47025</t>
        </is>
      </c>
      <c r="L37" s="73" t="inlineStr">
        <is>
          <t>Meal &amp; Travel - INTEGRATION</t>
        </is>
      </c>
      <c r="N37" s="74" t="n">
        <v>46112</v>
      </c>
      <c r="P37" s="73" t="inlineStr">
        <is>
          <t>2504</t>
        </is>
      </c>
      <c r="Q37" s="73" t="inlineStr">
        <is>
          <t>ONS WBC (non-chargeable)</t>
        </is>
      </c>
      <c r="R37" s="73" t="inlineStr"/>
    </row>
    <row r="38">
      <c r="K38" s="73" t="inlineStr">
        <is>
          <t>47030</t>
        </is>
      </c>
      <c r="L38" s="73" t="inlineStr">
        <is>
          <t>Meal &amp; Travel - CONS</t>
        </is>
      </c>
      <c r="N38" s="74" t="n">
        <v>46142</v>
      </c>
      <c r="P38" s="73" t="inlineStr">
        <is>
          <t>25041502</t>
        </is>
      </c>
      <c r="Q38" s="73" t="inlineStr">
        <is>
          <t>PDNSW DB License Ext</t>
        </is>
      </c>
      <c r="R38" s="73" t="inlineStr">
        <is>
          <t>INTEGRATION</t>
        </is>
      </c>
    </row>
    <row r="39">
      <c r="K39" s="73" t="inlineStr">
        <is>
          <t>48000</t>
        </is>
      </c>
      <c r="L39" s="73" t="inlineStr">
        <is>
          <t>Miscellaneous Income</t>
        </is>
      </c>
      <c r="N39" s="74" t="n">
        <v>46173</v>
      </c>
      <c r="P39" s="73" t="inlineStr">
        <is>
          <t>2505</t>
        </is>
      </c>
      <c r="Q39" s="73" t="inlineStr">
        <is>
          <t>ONS PWC (non-chargeable)</t>
        </is>
      </c>
      <c r="R39" s="73" t="inlineStr"/>
    </row>
    <row r="40">
      <c r="N40" s="74" t="n">
        <v>46203</v>
      </c>
      <c r="P40" s="73" t="inlineStr">
        <is>
          <t>25051302</t>
        </is>
      </c>
      <c r="Q40" s="73" t="inlineStr">
        <is>
          <t>NSW Prop Bradfield Desk Booking + Penrith Additional</t>
        </is>
      </c>
      <c r="R40" s="73" t="inlineStr">
        <is>
          <t>INTEGRATION</t>
        </is>
      </c>
    </row>
    <row r="41">
      <c r="N41" s="74" t="n">
        <v>46234</v>
      </c>
      <c r="P41" s="73" t="inlineStr">
        <is>
          <t>25051403</t>
        </is>
      </c>
      <c r="Q41" s="73" t="inlineStr">
        <is>
          <t>DTTL SYD Tech Supp TMT AP</t>
        </is>
      </c>
      <c r="R41" s="73" t="inlineStr">
        <is>
          <t>ONSITE</t>
        </is>
      </c>
    </row>
    <row r="42">
      <c r="N42" s="74" t="n">
        <v>46265</v>
      </c>
      <c r="P42" s="73" t="inlineStr">
        <is>
          <t>25052802</t>
        </is>
      </c>
      <c r="Q42" s="73" t="inlineStr">
        <is>
          <t>Aus Retirement Trust Members Meeting 2025</t>
        </is>
      </c>
      <c r="R42" s="73" t="inlineStr">
        <is>
          <t>PRODUCTION</t>
        </is>
      </c>
    </row>
    <row r="43">
      <c r="N43" s="74" t="n">
        <v>46295</v>
      </c>
      <c r="P43" s="73" t="inlineStr">
        <is>
          <t>2505901</t>
        </is>
      </c>
      <c r="Q43" s="73" t="inlineStr">
        <is>
          <t>COS Projector Lens Supply</t>
        </is>
      </c>
      <c r="R43" s="73" t="inlineStr">
        <is>
          <t>INTEGRATION</t>
        </is>
      </c>
    </row>
    <row r="44">
      <c r="N44" s="74" t="n">
        <v>46326</v>
      </c>
      <c r="P44" s="73" t="inlineStr">
        <is>
          <t>2506</t>
        </is>
      </c>
      <c r="Q44" s="73" t="inlineStr">
        <is>
          <t>ONS BWEST (non-chargeable)</t>
        </is>
      </c>
      <c r="R44" s="73" t="inlineStr"/>
    </row>
    <row r="45">
      <c r="N45" s="74" t="n">
        <v>46356</v>
      </c>
      <c r="P45" s="73" t="inlineStr">
        <is>
          <t>25060301</t>
        </is>
      </c>
      <c r="Q45" s="73" t="inlineStr">
        <is>
          <t>6PSQ L12 Desk Booking</t>
        </is>
      </c>
      <c r="R45" s="73" t="inlineStr">
        <is>
          <t>INTEGRATION</t>
        </is>
      </c>
    </row>
    <row r="46">
      <c r="N46" s="74" t="n">
        <v>46387</v>
      </c>
      <c r="P46" s="73" t="inlineStr">
        <is>
          <t>25060307</t>
        </is>
      </c>
      <c r="Q46" s="73" t="inlineStr">
        <is>
          <t>DPIE Molesworth St D/B</t>
        </is>
      </c>
      <c r="R46" s="73" t="inlineStr">
        <is>
          <t>INTEGRATION</t>
        </is>
      </c>
    </row>
    <row r="47">
      <c r="N47" s="74" t="n">
        <v>46418</v>
      </c>
      <c r="P47" s="73" t="inlineStr">
        <is>
          <t>2506208</t>
        </is>
      </c>
      <c r="Q47" s="73" t="inlineStr">
        <is>
          <t>CBA AGM 2026</t>
        </is>
      </c>
      <c r="R47" s="73" t="inlineStr">
        <is>
          <t>PRODUCTION</t>
        </is>
      </c>
    </row>
    <row r="48">
      <c r="N48" s="74" t="n">
        <v>46446</v>
      </c>
      <c r="P48" s="73" t="inlineStr">
        <is>
          <t>2506208V</t>
        </is>
      </c>
      <c r="Q48" s="73" t="inlineStr">
        <is>
          <t>CBA AGM 2026</t>
        </is>
      </c>
      <c r="R48" s="73" t="inlineStr">
        <is>
          <t>VIDEO</t>
        </is>
      </c>
    </row>
    <row r="49">
      <c r="N49" s="74" t="n">
        <v>46477</v>
      </c>
      <c r="P49" s="73" t="inlineStr">
        <is>
          <t>25063001V</t>
        </is>
      </c>
      <c r="Q49" s="73" t="inlineStr">
        <is>
          <t>APA All Hands Staff</t>
        </is>
      </c>
      <c r="R49" s="73" t="inlineStr">
        <is>
          <t>VIDEO</t>
        </is>
      </c>
    </row>
    <row r="50">
      <c r="N50" s="74" t="n">
        <v>46507</v>
      </c>
      <c r="P50" s="73" t="inlineStr">
        <is>
          <t>25070702</t>
        </is>
      </c>
      <c r="Q50" s="73" t="inlineStr">
        <is>
          <t>APA VMS Brisbane &amp; Darwin</t>
        </is>
      </c>
      <c r="R50" s="73" t="inlineStr">
        <is>
          <t>INTEGRATION</t>
        </is>
      </c>
    </row>
    <row r="51">
      <c r="N51" s="74" t="n">
        <v>46538</v>
      </c>
      <c r="P51" s="73" t="inlineStr">
        <is>
          <t>2507203</t>
        </is>
      </c>
      <c r="Q51" s="73" t="inlineStr">
        <is>
          <t>Hills Grammar Airmedia Supply</t>
        </is>
      </c>
      <c r="R51" s="73" t="inlineStr">
        <is>
          <t>INTEGRATION</t>
        </is>
      </c>
    </row>
    <row r="52">
      <c r="N52" s="74" t="n">
        <v>46568</v>
      </c>
      <c r="P52" s="73" t="inlineStr">
        <is>
          <t>25081402</t>
        </is>
      </c>
      <c r="Q52" s="73" t="inlineStr">
        <is>
          <t>Hills Grammar Loan Airmedia Purchase</t>
        </is>
      </c>
      <c r="R52" s="73" t="inlineStr">
        <is>
          <t>INTEGRATION</t>
        </is>
      </c>
    </row>
    <row r="53">
      <c r="N53" s="74" t="n">
        <v>46599</v>
      </c>
      <c r="P53" s="73" t="inlineStr">
        <is>
          <t>25082501</t>
        </is>
      </c>
      <c r="Q53" s="73" t="inlineStr">
        <is>
          <t>APA Sydney Tablet Brackets</t>
        </is>
      </c>
      <c r="R53" s="73" t="inlineStr">
        <is>
          <t>INTEGRATION</t>
        </is>
      </c>
    </row>
    <row r="54">
      <c r="N54" s="74" t="n">
        <v>46630</v>
      </c>
      <c r="P54" s="73" t="inlineStr">
        <is>
          <t>25091703</t>
        </is>
      </c>
      <c r="Q54" s="73" t="inlineStr">
        <is>
          <t>Scentre Group Marion Superscreen (D10396) Test and Cert</t>
        </is>
      </c>
      <c r="R54" s="73" t="inlineStr">
        <is>
          <t>CONSULTING</t>
        </is>
      </c>
    </row>
    <row r="55">
      <c r="N55" s="74" t="n">
        <v>46660</v>
      </c>
      <c r="P55" s="73" t="inlineStr">
        <is>
          <t>25101301</t>
        </is>
      </c>
      <c r="Q55" s="73" t="inlineStr">
        <is>
          <t>PWC IT Support – Melbourne</t>
        </is>
      </c>
      <c r="R55" s="73" t="inlineStr">
        <is>
          <t>ONSITE</t>
        </is>
      </c>
    </row>
    <row r="56">
      <c r="N56" s="74" t="n">
        <v>46691</v>
      </c>
      <c r="P56" s="73" t="inlineStr">
        <is>
          <t>25101301B</t>
        </is>
      </c>
      <c r="Q56" s="73" t="inlineStr">
        <is>
          <t>PWC IT Support – Sydney</t>
        </is>
      </c>
      <c r="R56" s="73" t="inlineStr">
        <is>
          <t>ONSITE</t>
        </is>
      </c>
    </row>
    <row r="57">
      <c r="N57" s="74" t="n">
        <v>46721</v>
      </c>
      <c r="P57" s="73" t="inlineStr">
        <is>
          <t>2510202</t>
        </is>
      </c>
      <c r="Q57" s="73" t="inlineStr">
        <is>
          <t>HP Poly Room Assessment</t>
        </is>
      </c>
      <c r="R57" s="73" t="inlineStr">
        <is>
          <t>CONSULTING</t>
        </is>
      </c>
    </row>
    <row r="58">
      <c r="N58" s="74" t="n">
        <v>46752</v>
      </c>
      <c r="P58" s="73" t="inlineStr">
        <is>
          <t>2510205</t>
        </is>
      </c>
      <c r="Q58" s="73" t="inlineStr">
        <is>
          <t>NSW Property RGB Desk Booking</t>
        </is>
      </c>
      <c r="R58" s="73" t="inlineStr">
        <is>
          <t>INTEGRATION</t>
        </is>
      </c>
    </row>
    <row r="59">
      <c r="N59" s="74" t="n">
        <v>46783</v>
      </c>
      <c r="P59" s="73" t="inlineStr">
        <is>
          <t>2510210</t>
        </is>
      </c>
      <c r="Q59" s="73" t="inlineStr">
        <is>
          <t>Scentre Group Westfield Bondi Screen Tests</t>
        </is>
      </c>
      <c r="R59" s="73" t="inlineStr">
        <is>
          <t>CONSULTING</t>
        </is>
      </c>
    </row>
    <row r="60">
      <c r="N60" s="74" t="n">
        <v>46812</v>
      </c>
      <c r="P60" s="73" t="inlineStr">
        <is>
          <t>25102701</t>
        </is>
      </c>
      <c r="Q60" s="73" t="inlineStr">
        <is>
          <t>DEWR - Studio Upgrade - Consulting, Design</t>
        </is>
      </c>
      <c r="R60" s="73" t="inlineStr">
        <is>
          <t>CONSULTING</t>
        </is>
      </c>
    </row>
    <row r="61">
      <c r="N61" s="74" t="n">
        <v>46843</v>
      </c>
      <c r="P61" s="73" t="inlineStr">
        <is>
          <t>25102801</t>
        </is>
      </c>
      <c r="Q61" s="73" t="inlineStr">
        <is>
          <t>DTTL SYD QQT Additional Mics Install in L45 Seminar Space</t>
        </is>
      </c>
      <c r="R61" s="73" t="inlineStr">
        <is>
          <t>INTEGRATION</t>
        </is>
      </c>
    </row>
    <row r="62">
      <c r="N62" s="74" t="n">
        <v>46873</v>
      </c>
      <c r="P62" s="73" t="inlineStr">
        <is>
          <t>25102802</t>
        </is>
      </c>
      <c r="Q62" s="73" t="inlineStr">
        <is>
          <t>Novigi Meeting Space Inspection</t>
        </is>
      </c>
      <c r="R62" s="73" t="inlineStr">
        <is>
          <t>CONSULTING</t>
        </is>
      </c>
    </row>
    <row r="63">
      <c r="N63" s="74" t="n">
        <v>46904</v>
      </c>
      <c r="P63" s="73" t="inlineStr">
        <is>
          <t>2510804</t>
        </is>
      </c>
      <c r="Q63" s="73" t="inlineStr">
        <is>
          <t>CommSecurity Presynct QLD Desk Booking</t>
        </is>
      </c>
      <c r="R63" s="73" t="inlineStr">
        <is>
          <t>INTEGRATION</t>
        </is>
      </c>
    </row>
    <row r="64">
      <c r="N64" s="74" t="n">
        <v>46934</v>
      </c>
      <c r="P64" s="73" t="inlineStr">
        <is>
          <t>2510805</t>
        </is>
      </c>
      <c r="Q64" s="73" t="inlineStr">
        <is>
          <t>PNSW Reconstruction Authority Newcastle</t>
        </is>
      </c>
      <c r="R64" s="73" t="inlineStr">
        <is>
          <t>INTEGRATION</t>
        </is>
      </c>
    </row>
    <row r="65">
      <c r="N65" s="74" t="n">
        <v>46965</v>
      </c>
      <c r="P65" s="73" t="inlineStr">
        <is>
          <t>25111203</t>
        </is>
      </c>
      <c r="Q65" s="73" t="inlineStr">
        <is>
          <t>CoS | Barco E3 Sale</t>
        </is>
      </c>
      <c r="R65" s="73" t="inlineStr">
        <is>
          <t>INTEGRATION</t>
        </is>
      </c>
    </row>
    <row r="66">
      <c r="N66" s="74" t="n">
        <v>46996</v>
      </c>
      <c r="P66" s="73" t="inlineStr">
        <is>
          <t>25112801</t>
        </is>
      </c>
      <c r="Q66" s="73" t="inlineStr">
        <is>
          <t>APA MEL - iPad &amp; Bouncepad Sale</t>
        </is>
      </c>
      <c r="R66" s="73" t="inlineStr">
        <is>
          <t>INTEGRATION</t>
        </is>
      </c>
    </row>
    <row r="67">
      <c r="N67" s="74" t="n">
        <v>47026</v>
      </c>
      <c r="P67" s="73" t="inlineStr">
        <is>
          <t>25121001</t>
        </is>
      </c>
      <c r="Q67" s="73" t="inlineStr">
        <is>
          <t>HP Poly Mic System Sale and Install at Mission Australia</t>
        </is>
      </c>
      <c r="R67" s="73" t="inlineStr">
        <is>
          <t>INTEGRATION</t>
        </is>
      </c>
    </row>
    <row r="68">
      <c r="N68" s="74" t="n">
        <v>47057</v>
      </c>
      <c r="P68" s="73" t="inlineStr">
        <is>
          <t>25121007</t>
        </is>
      </c>
      <c r="Q68" s="73" t="inlineStr">
        <is>
          <t>Novigi SYD/MEL boardroom Mic upgrade + Cable Tidy</t>
        </is>
      </c>
      <c r="R68" s="73" t="inlineStr">
        <is>
          <t>INTEGRATION</t>
        </is>
      </c>
    </row>
    <row r="69">
      <c r="N69" s="74" t="n">
        <v>47087</v>
      </c>
      <c r="P69" s="73" t="inlineStr">
        <is>
          <t>25121208</t>
        </is>
      </c>
      <c r="Q69" s="73" t="inlineStr">
        <is>
          <t>APA HYR &amp; FYR Package 2026</t>
        </is>
      </c>
      <c r="R69" s="73" t="inlineStr">
        <is>
          <t>PRODUCTION</t>
        </is>
      </c>
    </row>
    <row r="70">
      <c r="N70" s="74" t="n">
        <v>47118</v>
      </c>
      <c r="P70" s="73" t="inlineStr">
        <is>
          <t>2512503</t>
        </is>
      </c>
      <c r="Q70" s="73" t="inlineStr">
        <is>
          <t>Ventia EOY Town Hall 10.12.2025</t>
        </is>
      </c>
      <c r="R70" s="73" t="inlineStr">
        <is>
          <t>PRODUCTION</t>
        </is>
      </c>
    </row>
    <row r="71">
      <c r="N71" s="74" t="n">
        <v>47149</v>
      </c>
      <c r="P71" s="73" t="inlineStr">
        <is>
          <t>2512503V</t>
        </is>
      </c>
      <c r="Q71" s="73" t="inlineStr">
        <is>
          <t>Ventia EOY Town Hall 10.12.2025</t>
        </is>
      </c>
      <c r="R71" s="73" t="inlineStr">
        <is>
          <t>VIDEO</t>
        </is>
      </c>
    </row>
    <row r="72">
      <c r="N72" s="74" t="n">
        <v>47177</v>
      </c>
      <c r="P72" s="73" t="inlineStr">
        <is>
          <t>2512804</t>
        </is>
      </c>
      <c r="Q72" s="73" t="inlineStr">
        <is>
          <t>RSNSW Ordinary General Meeting 5.8.26</t>
        </is>
      </c>
      <c r="R72" s="73" t="inlineStr">
        <is>
          <t>PRODUCTION</t>
        </is>
      </c>
    </row>
    <row r="73">
      <c r="N73" s="74" t="n">
        <v>47208</v>
      </c>
      <c r="P73" s="73" t="inlineStr">
        <is>
          <t>2512804V</t>
        </is>
      </c>
      <c r="Q73" s="73" t="inlineStr">
        <is>
          <t>RSNSW Ordinary General Meeting 5.8.26</t>
        </is>
      </c>
      <c r="R73" s="73" t="inlineStr">
        <is>
          <t>VIDEO</t>
        </is>
      </c>
    </row>
    <row r="74">
      <c r="N74" s="74" t="n">
        <v>47238</v>
      </c>
      <c r="P74" s="73" t="inlineStr">
        <is>
          <t>2512805</t>
        </is>
      </c>
      <c r="Q74" s="73" t="inlineStr">
        <is>
          <t>RSNSW Ordinary General Meeting 7.10.2026</t>
        </is>
      </c>
      <c r="R74" s="73" t="inlineStr">
        <is>
          <t>PRODUCTION</t>
        </is>
      </c>
    </row>
    <row r="75">
      <c r="N75" s="74" t="n">
        <v>47269</v>
      </c>
      <c r="P75" s="73" t="inlineStr">
        <is>
          <t>2512805V</t>
        </is>
      </c>
      <c r="Q75" s="73" t="inlineStr">
        <is>
          <t>RSNSW Ordinary General Meeting 7.10.2026</t>
        </is>
      </c>
      <c r="R75" s="73" t="inlineStr">
        <is>
          <t>VIDEO</t>
        </is>
      </c>
    </row>
    <row r="76">
      <c r="N76" s="74" t="n">
        <v>47299</v>
      </c>
      <c r="P76" s="73" t="inlineStr">
        <is>
          <t>2512806</t>
        </is>
      </c>
      <c r="Q76" s="73" t="inlineStr">
        <is>
          <t>RSNSW Ordinary General Meeting 2.12.26</t>
        </is>
      </c>
      <c r="R76" s="73" t="inlineStr">
        <is>
          <t>PRODUCTION</t>
        </is>
      </c>
    </row>
    <row r="77">
      <c r="N77" s="74" t="n">
        <v>47330</v>
      </c>
      <c r="P77" s="73" t="inlineStr">
        <is>
          <t>2512806V</t>
        </is>
      </c>
      <c r="Q77" s="73" t="inlineStr">
        <is>
          <t>RSNSW Ordinary General Meeting 2.12.26</t>
        </is>
      </c>
      <c r="R77" s="73" t="inlineStr">
        <is>
          <t>VIDEO</t>
        </is>
      </c>
    </row>
    <row r="78">
      <c r="N78" s="74" t="n">
        <v>47361</v>
      </c>
      <c r="P78" s="73" t="inlineStr">
        <is>
          <t>2519</t>
        </is>
      </c>
      <c r="Q78" s="73" t="inlineStr">
        <is>
          <t>NSW Prop-6PSQ Visitor MG</t>
        </is>
      </c>
      <c r="R78" s="73" t="inlineStr">
        <is>
          <t>INTEGRATION</t>
        </is>
      </c>
    </row>
    <row r="79">
      <c r="N79" s="74" t="n">
        <v>47391</v>
      </c>
      <c r="P79" s="73" t="inlineStr">
        <is>
          <t>2521</t>
        </is>
      </c>
      <c r="Q79" s="73" t="inlineStr">
        <is>
          <t>PWC - PER Tech</t>
        </is>
      </c>
      <c r="R79" s="73" t="inlineStr">
        <is>
          <t>ONSITE</t>
        </is>
      </c>
    </row>
    <row r="80">
      <c r="N80" s="74" t="n">
        <v>47422</v>
      </c>
      <c r="P80" s="73" t="inlineStr">
        <is>
          <t>2540</t>
        </is>
      </c>
      <c r="Q80" s="73" t="inlineStr">
        <is>
          <t>PWC - SYD Tech</t>
        </is>
      </c>
      <c r="R80" s="73" t="inlineStr">
        <is>
          <t>ONSITE</t>
        </is>
      </c>
    </row>
    <row r="81">
      <c r="N81" s="74" t="n">
        <v>47452</v>
      </c>
      <c r="P81" s="73" t="inlineStr">
        <is>
          <t>2543</t>
        </is>
      </c>
      <c r="Q81" s="73" t="inlineStr">
        <is>
          <t>DTTL MEL Tech (PT)</t>
        </is>
      </c>
      <c r="R81" s="73" t="inlineStr">
        <is>
          <t>ONSITE</t>
        </is>
      </c>
    </row>
    <row r="82">
      <c r="N82" s="74" t="n">
        <v>47483</v>
      </c>
      <c r="P82" s="73" t="inlineStr">
        <is>
          <t>2591012</t>
        </is>
      </c>
      <c r="Q82" s="73" t="inlineStr">
        <is>
          <t>St. Luke's Non-chargeable</t>
        </is>
      </c>
      <c r="R82" s="73" t="inlineStr">
        <is>
          <t>PRODUCTION</t>
        </is>
      </c>
    </row>
    <row r="83">
      <c r="N83" s="74" t="n">
        <v>47514</v>
      </c>
      <c r="P83" s="73" t="inlineStr">
        <is>
          <t>2591012C</t>
        </is>
      </c>
      <c r="Q83" s="73" t="inlineStr">
        <is>
          <t>St. Luke's Church</t>
        </is>
      </c>
      <c r="R83" s="73" t="inlineStr">
        <is>
          <t>PRODUCTION</t>
        </is>
      </c>
    </row>
    <row r="84">
      <c r="N84" s="74" t="n">
        <v>47542</v>
      </c>
      <c r="P84" s="73" t="inlineStr">
        <is>
          <t>2593</t>
        </is>
      </c>
      <c r="Q84" s="73" t="inlineStr">
        <is>
          <t>PWC CBR Technician</t>
        </is>
      </c>
      <c r="R84" s="73" t="inlineStr">
        <is>
          <t>ONSITE</t>
        </is>
      </c>
    </row>
    <row r="85">
      <c r="N85" s="74" t="n">
        <v>47573</v>
      </c>
      <c r="P85" s="73" t="inlineStr">
        <is>
          <t>2598</t>
        </is>
      </c>
      <c r="Q85" s="73" t="inlineStr">
        <is>
          <t>DTTL WA Tech</t>
        </is>
      </c>
      <c r="R85" s="73" t="inlineStr">
        <is>
          <t>ONSITE</t>
        </is>
      </c>
    </row>
    <row r="86">
      <c r="N86" s="74" t="n">
        <v>47603</v>
      </c>
      <c r="P86" s="73" t="inlineStr">
        <is>
          <t>26011404</t>
        </is>
      </c>
      <c r="Q86" s="73" t="inlineStr">
        <is>
          <t>ASX CEO Connect (Extended Results) 1.9.26</t>
        </is>
      </c>
      <c r="R86" s="73" t="inlineStr">
        <is>
          <t>PRODUCTION</t>
        </is>
      </c>
    </row>
    <row r="87">
      <c r="N87" s="74" t="n">
        <v>47634</v>
      </c>
      <c r="P87" s="73" t="inlineStr">
        <is>
          <t>26011404V</t>
        </is>
      </c>
      <c r="Q87" s="73" t="inlineStr">
        <is>
          <t>ASX CEO Connect (Extended Results) 1.9.26</t>
        </is>
      </c>
      <c r="R87" s="73" t="inlineStr">
        <is>
          <t>VIDEO</t>
        </is>
      </c>
    </row>
    <row r="88">
      <c r="N88" s="74" t="n">
        <v>47664</v>
      </c>
      <c r="P88" s="73" t="inlineStr">
        <is>
          <t>26011407</t>
        </is>
      </c>
      <c r="Q88" s="73" t="inlineStr">
        <is>
          <t>ASX CEO Connect 27.10.26</t>
        </is>
      </c>
      <c r="R88" s="73" t="inlineStr">
        <is>
          <t>PRODUCTION</t>
        </is>
      </c>
    </row>
    <row r="89">
      <c r="N89" s="74" t="n">
        <v>47695</v>
      </c>
      <c r="P89" s="73" t="inlineStr">
        <is>
          <t>26011407V</t>
        </is>
      </c>
      <c r="Q89" s="73" t="inlineStr">
        <is>
          <t>ASX CEO Connect 27.10.26</t>
        </is>
      </c>
      <c r="R89" s="73" t="inlineStr">
        <is>
          <t>VIDEO</t>
        </is>
      </c>
    </row>
    <row r="90">
      <c r="N90" s="74" t="n">
        <v>47726</v>
      </c>
      <c r="P90" s="73" t="inlineStr">
        <is>
          <t>26011408</t>
        </is>
      </c>
      <c r="Q90" s="73" t="inlineStr">
        <is>
          <t>ASX CEO Connect 1.12.26</t>
        </is>
      </c>
      <c r="R90" s="73" t="inlineStr">
        <is>
          <t>PRODUCTION</t>
        </is>
      </c>
    </row>
    <row r="91">
      <c r="N91" s="74" t="n">
        <v>47756</v>
      </c>
      <c r="P91" s="73" t="inlineStr">
        <is>
          <t>26011408V</t>
        </is>
      </c>
      <c r="Q91" s="73" t="inlineStr">
        <is>
          <t>ASX CEO Connect 1.12.26</t>
        </is>
      </c>
      <c r="R91" s="73" t="inlineStr">
        <is>
          <t>VIDEO</t>
        </is>
      </c>
    </row>
    <row r="92">
      <c r="N92" s="74" t="n">
        <v>47787</v>
      </c>
      <c r="P92" s="73" t="inlineStr">
        <is>
          <t>26011409</t>
        </is>
      </c>
      <c r="Q92" s="73" t="inlineStr">
        <is>
          <t>ASX Investor Days Sydney &amp; Melbourne 2026</t>
        </is>
      </c>
      <c r="R92" s="73" t="inlineStr">
        <is>
          <t>PRODUCTION</t>
        </is>
      </c>
    </row>
    <row r="93">
      <c r="N93" s="74" t="n">
        <v>47817</v>
      </c>
      <c r="P93" s="73" t="inlineStr">
        <is>
          <t>26011501</t>
        </is>
      </c>
      <c r="Q93" s="73" t="inlineStr">
        <is>
          <t>ASX Refinitiv Charity Golf Classic H/L Vid 2026</t>
        </is>
      </c>
      <c r="R93" s="73" t="inlineStr">
        <is>
          <t>VIDEO</t>
        </is>
      </c>
    </row>
    <row r="94">
      <c r="N94" s="74" t="n">
        <v>47848</v>
      </c>
      <c r="P94" s="73" t="inlineStr">
        <is>
          <t>26011502</t>
        </is>
      </c>
      <c r="Q94" s="73" t="inlineStr">
        <is>
          <t>ASX Charity Regatta Highlights Video 2026</t>
        </is>
      </c>
      <c r="R94" s="73" t="inlineStr">
        <is>
          <t>VIDEO</t>
        </is>
      </c>
    </row>
    <row r="95">
      <c r="N95" s="74" t="n">
        <v>47879</v>
      </c>
      <c r="P95" s="73" t="inlineStr">
        <is>
          <t>26012301</t>
        </is>
      </c>
      <c r="Q95" s="73" t="inlineStr">
        <is>
          <t>PWC IT Support - Brisbane</t>
        </is>
      </c>
      <c r="R95" s="73" t="inlineStr">
        <is>
          <t>ONSITE</t>
        </is>
      </c>
    </row>
    <row r="96">
      <c r="N96" s="74" t="n">
        <v>47907</v>
      </c>
      <c r="P96" s="73" t="inlineStr">
        <is>
          <t>2601701</t>
        </is>
      </c>
      <c r="Q96" s="73" t="inlineStr">
        <is>
          <t>CEOi - TLP Brand Video</t>
        </is>
      </c>
      <c r="R96" s="73" t="inlineStr">
        <is>
          <t>VIDEO</t>
        </is>
      </c>
    </row>
    <row r="97">
      <c r="N97" s="74" t="n">
        <v>47938</v>
      </c>
      <c r="P97" s="73" t="inlineStr">
        <is>
          <t>26021602</t>
        </is>
      </c>
      <c r="Q97" s="73" t="inlineStr">
        <is>
          <t>Gen E ABS AV Support (Canberra)</t>
        </is>
      </c>
      <c r="R97" s="73" t="inlineStr">
        <is>
          <t>ONSITE</t>
        </is>
      </c>
    </row>
    <row r="98">
      <c r="N98" s="74" t="n">
        <v>47968</v>
      </c>
      <c r="P98" s="73" t="inlineStr">
        <is>
          <t>26021602N</t>
        </is>
      </c>
      <c r="Q98" s="73" t="inlineStr">
        <is>
          <t>Gen E ABS AV Support (Canberra) [ONS non-chargeable]</t>
        </is>
      </c>
      <c r="R98" s="73" t="inlineStr"/>
    </row>
    <row r="99">
      <c r="N99" s="74" t="n">
        <v>47999</v>
      </c>
      <c r="P99" s="73" t="inlineStr">
        <is>
          <t>26021801</t>
        </is>
      </c>
      <c r="Q99" s="73" t="inlineStr">
        <is>
          <t>Aware Super Seminar Room AV Upgrade</t>
        </is>
      </c>
      <c r="R99" s="73" t="inlineStr">
        <is>
          <t>INTEGRATION</t>
        </is>
      </c>
    </row>
    <row r="100">
      <c r="N100" s="74" t="n">
        <v>48029</v>
      </c>
      <c r="P100" s="73" t="inlineStr">
        <is>
          <t>2602203</t>
        </is>
      </c>
      <c r="Q100" s="73" t="inlineStr">
        <is>
          <t>YSG Studio Orange Room Upgrade</t>
        </is>
      </c>
      <c r="R100" s="73" t="inlineStr">
        <is>
          <t>CONSULTING</t>
        </is>
      </c>
    </row>
    <row r="101">
      <c r="P101" s="73" t="inlineStr">
        <is>
          <t>26022301</t>
        </is>
      </c>
      <c r="Q101" s="73" t="inlineStr">
        <is>
          <t>Aware Super AV Maintenance</t>
        </is>
      </c>
      <c r="R101" s="73" t="inlineStr">
        <is>
          <t>ONSITE</t>
        </is>
      </c>
    </row>
    <row r="102">
      <c r="P102" s="73" t="inlineStr">
        <is>
          <t>26022301C</t>
        </is>
      </c>
      <c r="Q102" s="73" t="inlineStr">
        <is>
          <t>Aware Super AV Maintenance</t>
        </is>
      </c>
      <c r="R102" s="73" t="inlineStr">
        <is>
          <t>CONSULTING</t>
        </is>
      </c>
    </row>
    <row r="103">
      <c r="P103" s="73" t="inlineStr">
        <is>
          <t>26022301NC</t>
        </is>
      </c>
      <c r="Q103" s="73" t="inlineStr">
        <is>
          <t>Aware Super AV Maintenance Non-chargeable</t>
        </is>
      </c>
      <c r="R103" s="73" t="inlineStr">
        <is>
          <t>ONSITE</t>
        </is>
      </c>
    </row>
    <row r="104">
      <c r="P104" s="73" t="inlineStr">
        <is>
          <t>26022301P</t>
        </is>
      </c>
      <c r="Q104" s="73" t="inlineStr">
        <is>
          <t>Aware Super AV Maintenance</t>
        </is>
      </c>
      <c r="R104" s="73" t="inlineStr">
        <is>
          <t>PRODUCTION</t>
        </is>
      </c>
    </row>
    <row r="105">
      <c r="P105" s="73" t="inlineStr">
        <is>
          <t>26022302</t>
        </is>
      </c>
      <c r="Q105" s="73" t="inlineStr">
        <is>
          <t>GP - Talking Philanthropy - 18.9.26</t>
        </is>
      </c>
      <c r="R105" s="73" t="inlineStr">
        <is>
          <t>PRODUCTION</t>
        </is>
      </c>
    </row>
    <row r="106">
      <c r="P106" s="73" t="inlineStr">
        <is>
          <t>26022302V</t>
        </is>
      </c>
      <c r="Q106" s="73" t="inlineStr">
        <is>
          <t>GP - Talking Philanthropy - 18.9.26</t>
        </is>
      </c>
      <c r="R106" s="73" t="inlineStr">
        <is>
          <t>VIDEO</t>
        </is>
      </c>
    </row>
    <row r="107">
      <c r="P107" s="73" t="inlineStr">
        <is>
          <t>26022601</t>
        </is>
      </c>
      <c r="Q107" s="73" t="inlineStr">
        <is>
          <t>ART - Annual Members Meeting - 25.11.26</t>
        </is>
      </c>
      <c r="R107" s="73" t="inlineStr">
        <is>
          <t>PRODUCTION</t>
        </is>
      </c>
    </row>
    <row r="108">
      <c r="P108" s="73" t="inlineStr">
        <is>
          <t>26022601V</t>
        </is>
      </c>
      <c r="Q108" s="73" t="inlineStr">
        <is>
          <t>ART - Annual Members Meeting - 25.11.26</t>
        </is>
      </c>
      <c r="R108" s="73" t="inlineStr">
        <is>
          <t>VIDEO</t>
        </is>
      </c>
    </row>
    <row r="109">
      <c r="P109" s="73" t="inlineStr">
        <is>
          <t>2602901</t>
        </is>
      </c>
      <c r="Q109" s="73" t="inlineStr">
        <is>
          <t>HP-Telstra: Phone Modification</t>
        </is>
      </c>
      <c r="R109" s="73" t="inlineStr">
        <is>
          <t>INTEGRATION</t>
        </is>
      </c>
    </row>
    <row r="110">
      <c r="P110" s="73" t="inlineStr">
        <is>
          <t>2603104</t>
        </is>
      </c>
      <c r="Q110" s="73" t="inlineStr">
        <is>
          <t>Cochlear FY26 Results 18.8.26</t>
        </is>
      </c>
      <c r="R110" s="73" t="inlineStr">
        <is>
          <t>PRODUCTION</t>
        </is>
      </c>
    </row>
    <row r="111">
      <c r="P111" s="73" t="inlineStr">
        <is>
          <t>2603104V</t>
        </is>
      </c>
      <c r="Q111" s="73" t="inlineStr">
        <is>
          <t>Cochlear FY26 Results 18.8.26</t>
        </is>
      </c>
      <c r="R111" s="73" t="inlineStr">
        <is>
          <t>VIDEO</t>
        </is>
      </c>
    </row>
    <row r="112">
      <c r="P112" s="73" t="inlineStr">
        <is>
          <t>2603105</t>
        </is>
      </c>
      <c r="Q112" s="73" t="inlineStr">
        <is>
          <t>Cochlear - AGM - 26.10.26</t>
        </is>
      </c>
      <c r="R112" s="73" t="inlineStr">
        <is>
          <t>PRODUCTION</t>
        </is>
      </c>
    </row>
    <row r="113">
      <c r="P113" s="73" t="inlineStr">
        <is>
          <t>2603105V</t>
        </is>
      </c>
      <c r="Q113" s="73" t="inlineStr">
        <is>
          <t>Cochlear - AGM - 26.10.26</t>
        </is>
      </c>
      <c r="R113" s="73" t="inlineStr">
        <is>
          <t>VIDEO</t>
        </is>
      </c>
    </row>
    <row r="114">
      <c r="P114" s="73" t="inlineStr">
        <is>
          <t>2603202</t>
        </is>
      </c>
      <c r="Q114" s="73" t="inlineStr">
        <is>
          <t>Property NSW 5 O’Keefe Ave Nowra Workplace Hub</t>
        </is>
      </c>
      <c r="R114" s="73" t="inlineStr">
        <is>
          <t>INTEGRATION</t>
        </is>
      </c>
    </row>
    <row r="115">
      <c r="P115" s="73" t="inlineStr">
        <is>
          <t>26032301</t>
        </is>
      </c>
      <c r="Q115" s="73" t="inlineStr">
        <is>
          <t>RSNSW - OGM - 1.7.2026</t>
        </is>
      </c>
      <c r="R115" s="73" t="inlineStr">
        <is>
          <t>PRODUCTION</t>
        </is>
      </c>
    </row>
    <row r="116">
      <c r="P116" s="73" t="inlineStr">
        <is>
          <t>26032301V</t>
        </is>
      </c>
      <c r="Q116" s="73" t="inlineStr">
        <is>
          <t>RSNSW - OGM - 1.7.2026</t>
        </is>
      </c>
      <c r="R116" s="73" t="inlineStr">
        <is>
          <t>VIDEO</t>
        </is>
      </c>
    </row>
    <row r="117">
      <c r="P117" s="73" t="inlineStr">
        <is>
          <t>26032302</t>
        </is>
      </c>
      <c r="Q117" s="73" t="inlineStr">
        <is>
          <t>RSNSW - OGM - 2.9.2026</t>
        </is>
      </c>
      <c r="R117" s="73" t="inlineStr">
        <is>
          <t>PRODUCTION</t>
        </is>
      </c>
    </row>
    <row r="118">
      <c r="P118" s="73" t="inlineStr">
        <is>
          <t>26032302V</t>
        </is>
      </c>
      <c r="Q118" s="73" t="inlineStr">
        <is>
          <t>RSNSW - OGM - 2.9.2026</t>
        </is>
      </c>
      <c r="R118" s="73" t="inlineStr">
        <is>
          <t>VIDEO</t>
        </is>
      </c>
    </row>
    <row r="119">
      <c r="P119" s="73" t="inlineStr">
        <is>
          <t>26032501</t>
        </is>
      </c>
      <c r="Q119" s="73" t="inlineStr">
        <is>
          <t>ChorusCall - Regal Partners AGM - 28.5.26</t>
        </is>
      </c>
      <c r="R119" s="73" t="inlineStr">
        <is>
          <t>PRODUCTION</t>
        </is>
      </c>
    </row>
    <row r="120">
      <c r="P120" s="73" t="inlineStr">
        <is>
          <t>26032502</t>
        </is>
      </c>
      <c r="Q120" s="73" t="inlineStr">
        <is>
          <t>3YS Owls - Governance Top 100 2026 - 30.10.26</t>
        </is>
      </c>
      <c r="R120" s="73" t="inlineStr">
        <is>
          <t>PRODUCTION</t>
        </is>
      </c>
    </row>
    <row r="121">
      <c r="P121" s="73" t="inlineStr">
        <is>
          <t>26032502V</t>
        </is>
      </c>
      <c r="Q121" s="73" t="inlineStr">
        <is>
          <t>3YS Owls - Governance Top 100 2026 - 30.10.26</t>
        </is>
      </c>
      <c r="R121" s="73" t="inlineStr">
        <is>
          <t>VIDEO</t>
        </is>
      </c>
    </row>
    <row r="122">
      <c r="P122" s="73" t="inlineStr">
        <is>
          <t>26032701</t>
        </is>
      </c>
      <c r="Q122" s="73" t="inlineStr">
        <is>
          <t>MUFG - A1N AGM - 7.5.26</t>
        </is>
      </c>
      <c r="R122" s="73" t="inlineStr">
        <is>
          <t>PRODUCTION</t>
        </is>
      </c>
    </row>
    <row r="123">
      <c r="P123" s="73" t="inlineStr">
        <is>
          <t>26032701V</t>
        </is>
      </c>
      <c r="Q123" s="73" t="inlineStr">
        <is>
          <t>MUFG - A1N AGM - 7.5.26</t>
        </is>
      </c>
      <c r="R123" s="73" t="inlineStr">
        <is>
          <t>VIDEO</t>
        </is>
      </c>
    </row>
    <row r="124">
      <c r="P124" s="73" t="inlineStr">
        <is>
          <t>26032702</t>
        </is>
      </c>
      <c r="Q124" s="73" t="inlineStr">
        <is>
          <t>Ventia Transport Australia and Ventia Networking 6.5.26</t>
        </is>
      </c>
      <c r="R124" s="73" t="inlineStr">
        <is>
          <t>PRODUCTION</t>
        </is>
      </c>
    </row>
    <row r="125">
      <c r="P125" s="73" t="inlineStr">
        <is>
          <t>26032704</t>
        </is>
      </c>
      <c r="Q125" s="73" t="inlineStr">
        <is>
          <t>CBA LES - April 2026</t>
        </is>
      </c>
      <c r="R125" s="73" t="inlineStr">
        <is>
          <t>PRODUCTION</t>
        </is>
      </c>
    </row>
    <row r="126">
      <c r="P126" s="73" t="inlineStr">
        <is>
          <t>26033003</t>
        </is>
      </c>
      <c r="Q126" s="73" t="inlineStr">
        <is>
          <t>DTTL 8PSQ Dream Big Microphones</t>
        </is>
      </c>
      <c r="R126" s="73" t="inlineStr">
        <is>
          <t>INTEGRATION</t>
        </is>
      </c>
    </row>
    <row r="127">
      <c r="P127" s="73" t="inlineStr">
        <is>
          <t>26033004</t>
        </is>
      </c>
      <c r="Q127" s="73" t="inlineStr">
        <is>
          <t>DTTL Melbourne Bluetooth Audio</t>
        </is>
      </c>
      <c r="R127" s="73" t="inlineStr">
        <is>
          <t>INTEGRATION</t>
        </is>
      </c>
    </row>
    <row r="128">
      <c r="P128" s="73" t="inlineStr">
        <is>
          <t>26033005</t>
        </is>
      </c>
      <c r="Q128" s="73" t="inlineStr">
        <is>
          <t>DTTL QQT &amp; 8PSQ Crestron Connect Adaptor</t>
        </is>
      </c>
      <c r="R128" s="73" t="inlineStr">
        <is>
          <t>INTEGRATION</t>
        </is>
      </c>
    </row>
    <row r="129">
      <c r="P129" s="73" t="inlineStr">
        <is>
          <t>26033006</t>
        </is>
      </c>
      <c r="Q129" s="73" t="inlineStr">
        <is>
          <t>DTTL 8PSQ Bluetooth Audio</t>
        </is>
      </c>
      <c r="R129" s="73" t="inlineStr">
        <is>
          <t>INTEGRATION</t>
        </is>
      </c>
    </row>
    <row r="130">
      <c r="P130" s="73" t="inlineStr">
        <is>
          <t>26033007</t>
        </is>
      </c>
      <c r="Q130" s="73" t="inlineStr">
        <is>
          <t>DTTL QQT Lv45 Seminar Wheels repair</t>
        </is>
      </c>
      <c r="R130" s="73" t="inlineStr">
        <is>
          <t>INTEGRATION</t>
        </is>
      </c>
    </row>
    <row r="131">
      <c r="P131" s="73" t="inlineStr">
        <is>
          <t>26033008</t>
        </is>
      </c>
      <c r="Q131" s="73" t="inlineStr">
        <is>
          <t>DTTL MEL Repair of Lv31 LED panels</t>
        </is>
      </c>
      <c r="R131" s="73" t="inlineStr">
        <is>
          <t>INTEGRATION</t>
        </is>
      </c>
    </row>
    <row r="132">
      <c r="P132" s="73" t="inlineStr">
        <is>
          <t>26041603</t>
        </is>
      </c>
      <c r="Q132" s="73" t="inlineStr">
        <is>
          <t>Optiver - Town Hall - 23.7.26</t>
        </is>
      </c>
      <c r="R132" s="73" t="inlineStr">
        <is>
          <t>PRODUCTION</t>
        </is>
      </c>
    </row>
    <row r="133">
      <c r="P133" s="73" t="inlineStr">
        <is>
          <t>26041603V</t>
        </is>
      </c>
      <c r="Q133" s="73" t="inlineStr">
        <is>
          <t>Optiver - Town Hall - 23.7.26</t>
        </is>
      </c>
      <c r="R133" s="73" t="inlineStr">
        <is>
          <t>VIDEO</t>
        </is>
      </c>
    </row>
    <row r="134">
      <c r="P134" s="73" t="inlineStr">
        <is>
          <t>26041701</t>
        </is>
      </c>
      <c r="Q134" s="73" t="inlineStr">
        <is>
          <t>N2 Dance End of Year Concert Videos 2026</t>
        </is>
      </c>
      <c r="R134" s="73" t="inlineStr">
        <is>
          <t>VIDEO</t>
        </is>
      </c>
    </row>
    <row r="135">
      <c r="P135" s="73" t="inlineStr">
        <is>
          <t>26042001</t>
        </is>
      </c>
      <c r="Q135" s="73" t="inlineStr">
        <is>
          <t>ASX - AGM - 22.10.26</t>
        </is>
      </c>
      <c r="R135" s="73" t="inlineStr">
        <is>
          <t>PRODUCTION</t>
        </is>
      </c>
    </row>
    <row r="136">
      <c r="P136" s="73" t="inlineStr">
        <is>
          <t>26042001V</t>
        </is>
      </c>
      <c r="Q136" s="73" t="inlineStr">
        <is>
          <t>ASX - AGM - 22.10.26</t>
        </is>
      </c>
      <c r="R136" s="73" t="inlineStr">
        <is>
          <t>VIDEO</t>
        </is>
      </c>
    </row>
    <row r="137">
      <c r="P137" s="73" t="inlineStr">
        <is>
          <t>2604201</t>
        </is>
      </c>
      <c r="Q137" s="73" t="inlineStr">
        <is>
          <t>Bankwest - Stage Hire - 27.5.2026</t>
        </is>
      </c>
      <c r="R137" s="73" t="inlineStr">
        <is>
          <t>PRODUCTION</t>
        </is>
      </c>
    </row>
    <row r="138">
      <c r="P138" s="73" t="inlineStr">
        <is>
          <t>2604202</t>
        </is>
      </c>
      <c r="Q138" s="73" t="inlineStr">
        <is>
          <t>Ventia - Ventia Awards - 30.7.26</t>
        </is>
      </c>
      <c r="R138" s="73" t="inlineStr">
        <is>
          <t>PRODUCTION</t>
        </is>
      </c>
    </row>
    <row r="139">
      <c r="P139" s="73" t="inlineStr">
        <is>
          <t>2604202V</t>
        </is>
      </c>
      <c r="Q139" s="73" t="inlineStr">
        <is>
          <t>Ventia - Ventia Awards - 30.7.26</t>
        </is>
      </c>
      <c r="R139" s="73" t="inlineStr">
        <is>
          <t>VIDEO</t>
        </is>
      </c>
    </row>
    <row r="140">
      <c r="P140" s="73" t="inlineStr">
        <is>
          <t>2604203V</t>
        </is>
      </c>
      <c r="Q140" s="73" t="inlineStr">
        <is>
          <t>Ventia - Investor Day - 4.5.2026</t>
        </is>
      </c>
      <c r="R140" s="73" t="inlineStr">
        <is>
          <t>VIDEO</t>
        </is>
      </c>
    </row>
    <row r="141">
      <c r="P141" s="73" t="inlineStr">
        <is>
          <t>2604204</t>
        </is>
      </c>
      <c r="Q141" s="73" t="inlineStr">
        <is>
          <t>Ventia - AGM - 21.5.26</t>
        </is>
      </c>
      <c r="R141" s="73" t="inlineStr">
        <is>
          <t>PRODUCTION</t>
        </is>
      </c>
    </row>
    <row r="142">
      <c r="P142" s="73" t="inlineStr">
        <is>
          <t>2604204V</t>
        </is>
      </c>
      <c r="Q142" s="73" t="inlineStr">
        <is>
          <t>Ventia - AGM - 21.5.26</t>
        </is>
      </c>
      <c r="R142" s="73" t="inlineStr">
        <is>
          <t>VIDEO</t>
        </is>
      </c>
    </row>
    <row r="143">
      <c r="P143" s="73" t="inlineStr">
        <is>
          <t>26042802</t>
        </is>
      </c>
      <c r="Q143" s="73" t="inlineStr">
        <is>
          <t>DTTL DAR Meeting Room Extension Cable Install</t>
        </is>
      </c>
      <c r="R143" s="73" t="inlineStr">
        <is>
          <t>INTEGRATION</t>
        </is>
      </c>
    </row>
    <row r="144">
      <c r="P144" s="73" t="inlineStr">
        <is>
          <t>26043001</t>
        </is>
      </c>
      <c r="Q144" s="73" t="inlineStr">
        <is>
          <t>CBA FT Tech MEL - 12 months</t>
        </is>
      </c>
      <c r="R144" s="73" t="inlineStr">
        <is>
          <t>ONSITE</t>
        </is>
      </c>
    </row>
    <row r="145">
      <c r="P145" s="73" t="inlineStr">
        <is>
          <t>26043002</t>
        </is>
      </c>
      <c r="Q145" s="73" t="inlineStr">
        <is>
          <t>CTS Town Hall</t>
        </is>
      </c>
      <c r="R145" s="73" t="inlineStr">
        <is>
          <t>CTS</t>
        </is>
      </c>
    </row>
    <row r="146">
      <c r="P146" s="73" t="inlineStr">
        <is>
          <t>26043003</t>
        </is>
      </c>
      <c r="Q146" s="73" t="inlineStr">
        <is>
          <t>PwC Screen Replacements SYD+MEL</t>
        </is>
      </c>
      <c r="R146" s="73" t="inlineStr">
        <is>
          <t>INTEGRATION</t>
        </is>
      </c>
    </row>
    <row r="147">
      <c r="P147" s="73" t="inlineStr">
        <is>
          <t>2604704</t>
        </is>
      </c>
      <c r="Q147" s="73" t="inlineStr">
        <is>
          <t>Aware Super Seminar Room Audio Upgrade</t>
        </is>
      </c>
      <c r="R147" s="73" t="inlineStr">
        <is>
          <t>INTEGRATION</t>
        </is>
      </c>
    </row>
    <row r="148">
      <c r="P148" s="73" t="inlineStr">
        <is>
          <t>2604802</t>
        </is>
      </c>
      <c r="Q148" s="73" t="inlineStr">
        <is>
          <t>PwC - Audio Support - 29.4.26</t>
        </is>
      </c>
      <c r="R148" s="73" t="inlineStr">
        <is>
          <t>PRODUCTION</t>
        </is>
      </c>
    </row>
    <row r="149">
      <c r="P149" s="73" t="inlineStr">
        <is>
          <t>26051101</t>
        </is>
      </c>
      <c r="Q149" s="73" t="inlineStr">
        <is>
          <t>DTTL Mardi Gras/Vivid Event 27/05/26</t>
        </is>
      </c>
      <c r="R149" s="73" t="inlineStr">
        <is>
          <t>PRODUCTION</t>
        </is>
      </c>
    </row>
    <row r="150">
      <c r="P150" s="73" t="inlineStr">
        <is>
          <t>26051101V</t>
        </is>
      </c>
      <c r="Q150" s="73" t="inlineStr">
        <is>
          <t>DTTL Mardi Gras/Vivid Event 27/05/26</t>
        </is>
      </c>
      <c r="R150" s="73" t="inlineStr">
        <is>
          <t>VIDEO</t>
        </is>
      </c>
    </row>
    <row r="151">
      <c r="P151" s="73" t="inlineStr">
        <is>
          <t>26051102</t>
        </is>
      </c>
      <c r="Q151" s="73" t="inlineStr">
        <is>
          <t>DTTL - CEO Roadshow - 1.6.26</t>
        </is>
      </c>
      <c r="R151" s="73" t="inlineStr">
        <is>
          <t>PRODUCTION</t>
        </is>
      </c>
    </row>
    <row r="152">
      <c r="P152" s="73" t="inlineStr">
        <is>
          <t>26051102V</t>
        </is>
      </c>
      <c r="Q152" s="73" t="inlineStr">
        <is>
          <t>DTTL - CEO Roadshow - 1.6.26</t>
        </is>
      </c>
      <c r="R152" s="73" t="inlineStr">
        <is>
          <t>VIDEO</t>
        </is>
      </c>
    </row>
    <row r="153">
      <c r="P153" s="73" t="inlineStr">
        <is>
          <t>26051103</t>
        </is>
      </c>
      <c r="Q153" s="73" t="inlineStr">
        <is>
          <t>PwC PER Studio Support 25.05.26</t>
        </is>
      </c>
      <c r="R153" s="73" t="inlineStr">
        <is>
          <t>PRODUCTION</t>
        </is>
      </c>
    </row>
    <row r="154">
      <c r="P154" s="73" t="inlineStr">
        <is>
          <t>26051103V</t>
        </is>
      </c>
      <c r="Q154" s="73" t="inlineStr">
        <is>
          <t>PwC PER Studio Support 25.05.26</t>
        </is>
      </c>
      <c r="R154" s="73" t="inlineStr">
        <is>
          <t>VIDEO</t>
        </is>
      </c>
    </row>
    <row r="155">
      <c r="P155" s="73" t="inlineStr">
        <is>
          <t>26051201</t>
        </is>
      </c>
      <c r="Q155" s="73" t="inlineStr">
        <is>
          <t>ASX CEO Farewell Highlights</t>
        </is>
      </c>
      <c r="R155" s="73" t="inlineStr">
        <is>
          <t>VIDEO</t>
        </is>
      </c>
    </row>
    <row r="156">
      <c r="P156" s="73" t="inlineStr">
        <is>
          <t>26051301</t>
        </is>
      </c>
      <c r="Q156" s="73" t="inlineStr">
        <is>
          <t>HP-BAE | Phone Mod</t>
        </is>
      </c>
      <c r="R156" s="73" t="inlineStr">
        <is>
          <t>INTEGRATION</t>
        </is>
      </c>
    </row>
    <row r="157">
      <c r="P157" s="73" t="inlineStr">
        <is>
          <t>26051401</t>
        </is>
      </c>
      <c r="Q157" s="73" t="inlineStr">
        <is>
          <t>ASX - Business Meeting - 27.5.26</t>
        </is>
      </c>
      <c r="R157" s="73" t="inlineStr">
        <is>
          <t>PRODUCTION</t>
        </is>
      </c>
    </row>
    <row r="158">
      <c r="P158" s="73" t="inlineStr">
        <is>
          <t>26051401V</t>
        </is>
      </c>
      <c r="Q158" s="73" t="inlineStr">
        <is>
          <t>ASX - Business Meeting - 27.5.26</t>
        </is>
      </c>
      <c r="R158" s="73" t="inlineStr">
        <is>
          <t>VIDEO</t>
        </is>
      </c>
    </row>
    <row r="159">
      <c r="P159" s="73" t="inlineStr">
        <is>
          <t>26051402</t>
        </is>
      </c>
      <c r="Q159" s="73" t="inlineStr">
        <is>
          <t>PwC Foldback Monitor Hire</t>
        </is>
      </c>
      <c r="R159" s="73" t="inlineStr">
        <is>
          <t>PRODUCTION</t>
        </is>
      </c>
    </row>
    <row r="160">
      <c r="P160" s="73" t="inlineStr">
        <is>
          <t>26051801</t>
        </is>
      </c>
      <c r="Q160" s="73" t="inlineStr">
        <is>
          <t>PwC | Mel Studio Equipment</t>
        </is>
      </c>
      <c r="R160" s="73" t="inlineStr">
        <is>
          <t>INTEGRATION</t>
        </is>
      </c>
    </row>
    <row r="161">
      <c r="P161" s="73" t="inlineStr">
        <is>
          <t>26051803</t>
        </is>
      </c>
      <c r="Q161" s="73" t="inlineStr">
        <is>
          <t>AVIT - Taronga ZOO AV Support - May 2026</t>
        </is>
      </c>
      <c r="R161" s="73" t="inlineStr">
        <is>
          <t>PRODUCTION</t>
        </is>
      </c>
    </row>
    <row r="162">
      <c r="P162" s="73" t="inlineStr">
        <is>
          <t>26052001</t>
        </is>
      </c>
      <c r="Q162" s="73" t="inlineStr">
        <is>
          <t>MeetMagic - AI Behaviour Event - 29.5.26</t>
        </is>
      </c>
      <c r="R162" s="73" t="inlineStr">
        <is>
          <t>PRODUCTION</t>
        </is>
      </c>
    </row>
    <row r="163">
      <c r="P163" s="73" t="inlineStr">
        <is>
          <t>26052001V</t>
        </is>
      </c>
      <c r="Q163" s="73" t="inlineStr">
        <is>
          <t>MeetMagic - AI Behaviour Event - 29.5.26</t>
        </is>
      </c>
      <c r="R163" s="73" t="inlineStr">
        <is>
          <t>VIDEO</t>
        </is>
      </c>
    </row>
    <row r="164">
      <c r="P164" s="73" t="inlineStr">
        <is>
          <t>26052002</t>
        </is>
      </c>
      <c r="Q164" s="73" t="inlineStr">
        <is>
          <t>DTTL BNE L23 Training Rooms Upgrade</t>
        </is>
      </c>
      <c r="R164" s="73" t="inlineStr">
        <is>
          <t>INTEGRATION</t>
        </is>
      </c>
    </row>
    <row r="165">
      <c r="P165" s="73" t="inlineStr">
        <is>
          <t>26052003</t>
        </is>
      </c>
      <c r="Q165" s="73" t="inlineStr">
        <is>
          <t>DTTL Mobile Commbox Displays</t>
        </is>
      </c>
      <c r="R165" s="73" t="inlineStr">
        <is>
          <t>INTEGRATION</t>
        </is>
      </c>
    </row>
    <row r="166">
      <c r="P166" s="73" t="inlineStr">
        <is>
          <t>26052004</t>
        </is>
      </c>
      <c r="Q166" s="73" t="inlineStr">
        <is>
          <t>CBA - Live Event Support - June 2026</t>
        </is>
      </c>
      <c r="R166" s="73" t="inlineStr">
        <is>
          <t>PRODUCTION</t>
        </is>
      </c>
    </row>
    <row r="167">
      <c r="P167" s="73" t="inlineStr">
        <is>
          <t>26052101</t>
        </is>
      </c>
      <c r="Q167" s="73" t="inlineStr">
        <is>
          <t>MeetMagic - Human AI Event Highlights</t>
        </is>
      </c>
      <c r="R167" s="73" t="inlineStr">
        <is>
          <t>VIDEO</t>
        </is>
      </c>
    </row>
    <row r="168">
      <c r="P168" s="73" t="inlineStr">
        <is>
          <t>26052102</t>
        </is>
      </c>
      <c r="Q168" s="73" t="inlineStr">
        <is>
          <t>HP-D3 | Austrac Phone Mods</t>
        </is>
      </c>
      <c r="R168" s="73" t="inlineStr">
        <is>
          <t>INTEGRATION</t>
        </is>
      </c>
    </row>
    <row r="169">
      <c r="P169" s="73" t="inlineStr">
        <is>
          <t>26052103</t>
        </is>
      </c>
      <c r="Q169" s="73" t="inlineStr">
        <is>
          <t>Ventia - LTI FY26 Video Record</t>
        </is>
      </c>
      <c r="R169" s="73" t="inlineStr">
        <is>
          <t>VIDEO</t>
        </is>
      </c>
    </row>
    <row r="170">
      <c r="P170" s="73" t="inlineStr">
        <is>
          <t>26052501V</t>
        </is>
      </c>
      <c r="Q170" s="73" t="inlineStr">
        <is>
          <t>AVIT - Taronga AV Event Support - 26-27.5.26</t>
        </is>
      </c>
      <c r="R170" s="73" t="inlineStr">
        <is>
          <t>VIDEO</t>
        </is>
      </c>
    </row>
    <row r="171">
      <c r="P171" s="73" t="inlineStr">
        <is>
          <t>26052502</t>
        </is>
      </c>
      <c r="Q171" s="73" t="inlineStr">
        <is>
          <t>AVIT - Taronga AV Event Support 4-5.06.26</t>
        </is>
      </c>
      <c r="R171" s="73" t="inlineStr">
        <is>
          <t>PRODUCTION</t>
        </is>
      </c>
    </row>
    <row r="172">
      <c r="P172" s="73" t="inlineStr">
        <is>
          <t>26052502V</t>
        </is>
      </c>
      <c r="Q172" s="73" t="inlineStr">
        <is>
          <t>AVIT - Taronga AV Event Support 4-5.06.26</t>
        </is>
      </c>
      <c r="R172" s="73" t="inlineStr">
        <is>
          <t>VIDEO</t>
        </is>
      </c>
    </row>
    <row r="173">
      <c r="P173" s="73" t="inlineStr">
        <is>
          <t>26052602</t>
        </is>
      </c>
      <c r="Q173" s="73" t="inlineStr">
        <is>
          <t>DTTL MEL Display Supply</t>
        </is>
      </c>
      <c r="R173" s="73" t="inlineStr">
        <is>
          <t>INTEGRATION</t>
        </is>
      </c>
    </row>
    <row r="174">
      <c r="P174" s="73" t="inlineStr">
        <is>
          <t>26052701</t>
        </is>
      </c>
      <c r="Q174" s="73" t="inlineStr">
        <is>
          <t>Aware | SYD 28.06 Equipment</t>
        </is>
      </c>
      <c r="R174" s="73" t="inlineStr">
        <is>
          <t>INTEGRATION</t>
        </is>
      </c>
    </row>
    <row r="175">
      <c r="P175" s="73" t="inlineStr">
        <is>
          <t>26052702</t>
        </is>
      </c>
      <c r="Q175" s="73" t="inlineStr">
        <is>
          <t>ASX - FYR - 13.8.26</t>
        </is>
      </c>
      <c r="R175" s="73" t="inlineStr">
        <is>
          <t>PRODUCTION</t>
        </is>
      </c>
    </row>
    <row r="176">
      <c r="P176" s="73" t="inlineStr">
        <is>
          <t>26052702V</t>
        </is>
      </c>
      <c r="Q176" s="73" t="inlineStr">
        <is>
          <t>ASX - FYR - 13.8.26</t>
        </is>
      </c>
      <c r="R176" s="73" t="inlineStr">
        <is>
          <t>VIDEO</t>
        </is>
      </c>
    </row>
    <row r="177">
      <c r="P177" s="73" t="inlineStr">
        <is>
          <t>26052703</t>
        </is>
      </c>
      <c r="Q177" s="73" t="inlineStr">
        <is>
          <t>Microsoft Town Hall - 21.7.26</t>
        </is>
      </c>
      <c r="R177" s="73" t="inlineStr">
        <is>
          <t>PRODUCTION</t>
        </is>
      </c>
    </row>
    <row r="178">
      <c r="P178" s="73" t="inlineStr">
        <is>
          <t>26052703V</t>
        </is>
      </c>
      <c r="Q178" s="73" t="inlineStr">
        <is>
          <t>Microsoft Town Hall - 21.7.26</t>
        </is>
      </c>
      <c r="R178" s="73" t="inlineStr">
        <is>
          <t>VIDEO</t>
        </is>
      </c>
    </row>
    <row r="179">
      <c r="P179" s="73" t="inlineStr">
        <is>
          <t>26052704</t>
        </is>
      </c>
      <c r="Q179" s="73" t="inlineStr">
        <is>
          <t>AVIT - Pinsent Masons Technician Callout</t>
        </is>
      </c>
      <c r="R179" s="73" t="inlineStr">
        <is>
          <t>ONSITE</t>
        </is>
      </c>
    </row>
    <row r="180">
      <c r="P180" s="73" t="inlineStr">
        <is>
          <t>26052901</t>
        </is>
      </c>
      <c r="Q180" s="73" t="inlineStr">
        <is>
          <t>Causeway Productions - Stool Hire - 1.6.27</t>
        </is>
      </c>
      <c r="R180" s="73" t="inlineStr">
        <is>
          <t>PRODUCTION</t>
        </is>
      </c>
    </row>
    <row r="181">
      <c r="P181" s="73" t="inlineStr">
        <is>
          <t>26052901V</t>
        </is>
      </c>
      <c r="Q181" s="73" t="inlineStr">
        <is>
          <t>Causeway Productions - Stool Hire - 1.6.27</t>
        </is>
      </c>
      <c r="R181" s="73" t="inlineStr">
        <is>
          <t>VIDEO</t>
        </is>
      </c>
    </row>
    <row r="182">
      <c r="P182" s="73" t="inlineStr">
        <is>
          <t>2605401</t>
        </is>
      </c>
      <c r="Q182" s="73" t="inlineStr">
        <is>
          <t>AGL FYR - Investor Briefing - 12.8.26</t>
        </is>
      </c>
      <c r="R182" s="73" t="inlineStr">
        <is>
          <t>PRODUCTION</t>
        </is>
      </c>
    </row>
    <row r="183">
      <c r="P183" s="73" t="inlineStr">
        <is>
          <t>2605401V</t>
        </is>
      </c>
      <c r="Q183" s="73" t="inlineStr">
        <is>
          <t>AGL FYR - Investor Briefing - 12.8.26</t>
        </is>
      </c>
      <c r="R183" s="73" t="inlineStr">
        <is>
          <t>VIDEO</t>
        </is>
      </c>
    </row>
    <row r="184">
      <c r="P184" s="73" t="inlineStr">
        <is>
          <t>2605402</t>
        </is>
      </c>
      <c r="Q184" s="73" t="inlineStr">
        <is>
          <t>AGL FYR - Employee Town Hall - 12.8.26</t>
        </is>
      </c>
      <c r="R184" s="73" t="inlineStr">
        <is>
          <t>PRODUCTION</t>
        </is>
      </c>
    </row>
    <row r="185">
      <c r="P185" s="73" t="inlineStr">
        <is>
          <t>2605402V</t>
        </is>
      </c>
      <c r="Q185" s="73" t="inlineStr">
        <is>
          <t>AGL FYR - Employee Town Hall - 12.8.26</t>
        </is>
      </c>
      <c r="R185" s="73" t="inlineStr">
        <is>
          <t>VIDEO</t>
        </is>
      </c>
    </row>
    <row r="186">
      <c r="P186" s="73" t="inlineStr">
        <is>
          <t>2605403</t>
        </is>
      </c>
      <c r="Q186" s="73" t="inlineStr">
        <is>
          <t>ARUP - Oves Awards - 23.7.26</t>
        </is>
      </c>
      <c r="R186" s="73" t="inlineStr">
        <is>
          <t>PRODUCTION</t>
        </is>
      </c>
    </row>
    <row r="187">
      <c r="P187" s="73" t="inlineStr">
        <is>
          <t>2605403V</t>
        </is>
      </c>
      <c r="Q187" s="73" t="inlineStr">
        <is>
          <t>ARUP - Oves Awards - 23.7.26</t>
        </is>
      </c>
      <c r="R187" s="73" t="inlineStr">
        <is>
          <t>VIDEO</t>
        </is>
      </c>
    </row>
    <row r="188">
      <c r="P188" s="73" t="inlineStr">
        <is>
          <t>2605501</t>
        </is>
      </c>
      <c r="Q188" s="73" t="inlineStr">
        <is>
          <t>DTTL Tech Support AWS AP AI Symposium</t>
        </is>
      </c>
      <c r="R188" s="73" t="inlineStr">
        <is>
          <t>ONSITE</t>
        </is>
      </c>
    </row>
    <row r="189">
      <c r="P189" s="73" t="inlineStr">
        <is>
          <t>2605502</t>
        </is>
      </c>
      <c r="Q189" s="73" t="inlineStr">
        <is>
          <t>CBA BNE - Event Support - 13.5.26</t>
        </is>
      </c>
      <c r="R189" s="73" t="inlineStr">
        <is>
          <t>PRODUCTION</t>
        </is>
      </c>
    </row>
    <row r="190">
      <c r="P190" s="73" t="inlineStr">
        <is>
          <t>2605502V</t>
        </is>
      </c>
      <c r="Q190" s="73" t="inlineStr">
        <is>
          <t>CBA BNE - Event Support - 13.5.26</t>
        </is>
      </c>
      <c r="R190" s="73" t="inlineStr">
        <is>
          <t>VIDEO</t>
        </is>
      </c>
    </row>
    <row r="191">
      <c r="P191" s="73" t="inlineStr">
        <is>
          <t>2605503</t>
        </is>
      </c>
      <c r="Q191" s="73" t="inlineStr">
        <is>
          <t>DTTL L31 reception Led Wall Audio DSP Repair</t>
        </is>
      </c>
      <c r="R191" s="73" t="inlineStr">
        <is>
          <t>INTEGRATION</t>
        </is>
      </c>
    </row>
    <row r="192">
      <c r="P192" s="73" t="inlineStr">
        <is>
          <t>2605605</t>
        </is>
      </c>
      <c r="Q192" s="73" t="inlineStr">
        <is>
          <t>DTTL Hobart AV Fitout</t>
        </is>
      </c>
      <c r="R192" s="73" t="inlineStr">
        <is>
          <t>INTEGRATION</t>
        </is>
      </c>
    </row>
    <row r="193">
      <c r="P193" s="73" t="inlineStr">
        <is>
          <t>2605606</t>
        </is>
      </c>
      <c r="Q193" s="73" t="inlineStr">
        <is>
          <t>Ventia Internal Townhall 8.05.26</t>
        </is>
      </c>
      <c r="R193" s="73" t="inlineStr">
        <is>
          <t>PRODUCTION</t>
        </is>
      </c>
    </row>
    <row r="194">
      <c r="P194" s="73" t="inlineStr">
        <is>
          <t>2605606V</t>
        </is>
      </c>
      <c r="Q194" s="73" t="inlineStr">
        <is>
          <t>Ventia Internal Townhall 8.05.26</t>
        </is>
      </c>
      <c r="R194" s="73" t="inlineStr">
        <is>
          <t>VIDEO</t>
        </is>
      </c>
    </row>
    <row r="195">
      <c r="P195" s="73" t="inlineStr">
        <is>
          <t>2605609</t>
        </is>
      </c>
      <c r="Q195" s="73" t="inlineStr">
        <is>
          <t>ASX - CEO Farewell - 27.5.26</t>
        </is>
      </c>
      <c r="R195" s="73" t="inlineStr">
        <is>
          <t>PRODUCTION</t>
        </is>
      </c>
    </row>
    <row r="196">
      <c r="P196" s="73" t="inlineStr">
        <is>
          <t>2605609V</t>
        </is>
      </c>
      <c r="Q196" s="73" t="inlineStr">
        <is>
          <t>ASX - CEO Farewell - 27.5.26</t>
        </is>
      </c>
      <c r="R196" s="73" t="inlineStr">
        <is>
          <t>VIDEO</t>
        </is>
      </c>
    </row>
    <row r="197">
      <c r="P197" s="73" t="inlineStr">
        <is>
          <t>2605610</t>
        </is>
      </c>
      <c r="Q197" s="73" t="inlineStr">
        <is>
          <t>ASX CEO Farewell Additional Costs</t>
        </is>
      </c>
      <c r="R197" s="73" t="inlineStr">
        <is>
          <t>PRODUCTION</t>
        </is>
      </c>
    </row>
    <row r="198">
      <c r="P198" s="73" t="inlineStr">
        <is>
          <t>2605704</t>
        </is>
      </c>
      <c r="Q198" s="73" t="inlineStr">
        <is>
          <t>CBA CBPS Auditorium Upgrade</t>
        </is>
      </c>
      <c r="R198" s="73" t="inlineStr">
        <is>
          <t>INTEGRATION</t>
        </is>
      </c>
    </row>
    <row r="199">
      <c r="P199" s="73" t="inlineStr">
        <is>
          <t>2605801</t>
        </is>
      </c>
      <c r="Q199" s="73" t="inlineStr">
        <is>
          <t>Dimensional - AV Support - 3-4.6.26</t>
        </is>
      </c>
      <c r="R199" s="73" t="inlineStr">
        <is>
          <t>PRODUCTION</t>
        </is>
      </c>
    </row>
    <row r="200">
      <c r="P200" s="73" t="inlineStr">
        <is>
          <t>2605803</t>
        </is>
      </c>
      <c r="Q200" s="73" t="inlineStr">
        <is>
          <t>St Catherine's - Dedicated Tech - 12.6.26</t>
        </is>
      </c>
      <c r="R200" s="73" t="inlineStr">
        <is>
          <t>PRODUCTION</t>
        </is>
      </c>
    </row>
    <row r="201">
      <c r="P201" s="73" t="inlineStr">
        <is>
          <t>2605804</t>
        </is>
      </c>
      <c r="Q201" s="73" t="inlineStr">
        <is>
          <t>City of Sydney Supply of Barco Projector Shutters</t>
        </is>
      </c>
      <c r="R201" s="73" t="inlineStr">
        <is>
          <t>INTEGRATION</t>
        </is>
      </c>
    </row>
    <row r="202">
      <c r="P202" s="73" t="inlineStr">
        <is>
          <t>2605806</t>
        </is>
      </c>
      <c r="Q202" s="73" t="inlineStr">
        <is>
          <t>Aware Super AV Fitout @ 555 Collins Street MEL</t>
        </is>
      </c>
      <c r="R202" s="73" t="inlineStr">
        <is>
          <t>INTEGRATION</t>
        </is>
      </c>
    </row>
    <row r="203">
      <c r="P203" s="73" t="inlineStr">
        <is>
          <t>26061001</t>
        </is>
      </c>
      <c r="Q203" s="73" t="inlineStr">
        <is>
          <t>Garvan August All Clear Event 25.8.26</t>
        </is>
      </c>
      <c r="R203" s="73" t="inlineStr">
        <is>
          <t>PRODUCTION</t>
        </is>
      </c>
    </row>
    <row r="204">
      <c r="P204" s="73" t="inlineStr">
        <is>
          <t>26061002</t>
        </is>
      </c>
      <c r="Q204" s="73" t="inlineStr">
        <is>
          <t>Optiver - Fireside Event Support - 18.6.26</t>
        </is>
      </c>
      <c r="R204" s="73" t="inlineStr">
        <is>
          <t>PRODUCTION</t>
        </is>
      </c>
    </row>
    <row r="205">
      <c r="P205" s="73" t="inlineStr">
        <is>
          <t>26061002V</t>
        </is>
      </c>
      <c r="Q205" s="73" t="inlineStr">
        <is>
          <t>Optiver - Fireside Event Support - 18.6.26</t>
        </is>
      </c>
      <c r="R205" s="73" t="inlineStr">
        <is>
          <t>VIDEO</t>
        </is>
      </c>
    </row>
    <row r="206">
      <c r="P206" s="73" t="inlineStr">
        <is>
          <t>26061102</t>
        </is>
      </c>
      <c r="Q206" s="73" t="inlineStr">
        <is>
          <t>CSE Invest Sri Lanka | 16.8.26</t>
        </is>
      </c>
      <c r="R206" s="73" t="inlineStr">
        <is>
          <t>PRODUCTION</t>
        </is>
      </c>
    </row>
    <row r="207">
      <c r="P207" s="73" t="inlineStr">
        <is>
          <t>26061102V</t>
        </is>
      </c>
      <c r="Q207" s="73" t="inlineStr">
        <is>
          <t>CSE Invest Sri Lanka | 16.8.26</t>
        </is>
      </c>
      <c r="R207" s="73" t="inlineStr">
        <is>
          <t>VIDEO</t>
        </is>
      </c>
    </row>
    <row r="208">
      <c r="P208" s="73" t="inlineStr">
        <is>
          <t>26061103</t>
        </is>
      </c>
      <c r="Q208" s="73" t="inlineStr">
        <is>
          <t>Circadia Australia Elevate | 14.8.26</t>
        </is>
      </c>
      <c r="R208" s="73" t="inlineStr">
        <is>
          <t>PRODUCTION</t>
        </is>
      </c>
    </row>
    <row r="209">
      <c r="P209" s="73" t="inlineStr">
        <is>
          <t>26061103V</t>
        </is>
      </c>
      <c r="Q209" s="73" t="inlineStr">
        <is>
          <t>Circadia Australia Elevate | 14.8.26</t>
        </is>
      </c>
      <c r="R209" s="73" t="inlineStr">
        <is>
          <t>VIDEO</t>
        </is>
      </c>
    </row>
    <row r="210">
      <c r="P210" s="73" t="inlineStr">
        <is>
          <t>26061104</t>
        </is>
      </c>
      <c r="Q210" s="73" t="inlineStr">
        <is>
          <t>MUFG - FYR26 - 12.8.26</t>
        </is>
      </c>
      <c r="R210" s="73" t="inlineStr">
        <is>
          <t>PRODUCTION</t>
        </is>
      </c>
    </row>
    <row r="211">
      <c r="P211" s="73" t="inlineStr">
        <is>
          <t>26061104V</t>
        </is>
      </c>
      <c r="Q211" s="73" t="inlineStr">
        <is>
          <t>MUFG - FYR26 - 12.8.26</t>
        </is>
      </c>
      <c r="R211" s="73" t="inlineStr">
        <is>
          <t>VIDEO</t>
        </is>
      </c>
    </row>
    <row r="212">
      <c r="P212" s="73" t="inlineStr">
        <is>
          <t>26061105</t>
        </is>
      </c>
      <c r="Q212" s="73" t="inlineStr">
        <is>
          <t>CBA - FYR 2026 - 12.8.26</t>
        </is>
      </c>
      <c r="R212" s="73" t="inlineStr">
        <is>
          <t>PRODUCTION</t>
        </is>
      </c>
    </row>
    <row r="213">
      <c r="P213" s="73" t="inlineStr">
        <is>
          <t>26061105V</t>
        </is>
      </c>
      <c r="Q213" s="73" t="inlineStr">
        <is>
          <t>CBA - FYR 2026 - 12.8.26</t>
        </is>
      </c>
      <c r="R213" s="73" t="inlineStr">
        <is>
          <t>VIDEO</t>
        </is>
      </c>
    </row>
    <row r="214">
      <c r="P214" s="73" t="inlineStr">
        <is>
          <t>26061106</t>
        </is>
      </c>
      <c r="Q214" s="73" t="inlineStr">
        <is>
          <t>TLC Full Year Results MEL</t>
        </is>
      </c>
      <c r="R214" s="73" t="inlineStr">
        <is>
          <t>PRODUCTION</t>
        </is>
      </c>
    </row>
    <row r="215">
      <c r="P215" s="73" t="inlineStr">
        <is>
          <t>26061106V</t>
        </is>
      </c>
      <c r="Q215" s="73" t="inlineStr">
        <is>
          <t>TLC Full Year Results MEL</t>
        </is>
      </c>
      <c r="R215" s="73" t="inlineStr">
        <is>
          <t>VIDEO</t>
        </is>
      </c>
    </row>
    <row r="216">
      <c r="P216" s="73" t="inlineStr">
        <is>
          <t>26061107</t>
        </is>
      </c>
      <c r="Q216" s="73" t="inlineStr">
        <is>
          <t>Downer - FYR 2026 - 20.8.26</t>
        </is>
      </c>
      <c r="R216" s="73" t="inlineStr">
        <is>
          <t>PRODUCTION</t>
        </is>
      </c>
    </row>
    <row r="217">
      <c r="P217" s="73" t="inlineStr">
        <is>
          <t>26061107V</t>
        </is>
      </c>
      <c r="Q217" s="73" t="inlineStr">
        <is>
          <t>Downer - FYR 2026 - 20.8.26</t>
        </is>
      </c>
      <c r="R217" s="73" t="inlineStr">
        <is>
          <t>VIDEO</t>
        </is>
      </c>
    </row>
    <row r="218">
      <c r="P218" s="73" t="inlineStr">
        <is>
          <t>26061108</t>
        </is>
      </c>
      <c r="Q218" s="73" t="inlineStr">
        <is>
          <t>APA - Qtly All Hands FYR26 - 20.8.26</t>
        </is>
      </c>
      <c r="R218" s="73" t="inlineStr">
        <is>
          <t>PRODUCTION</t>
        </is>
      </c>
    </row>
    <row r="219">
      <c r="P219" s="73" t="inlineStr">
        <is>
          <t>26061108V</t>
        </is>
      </c>
      <c r="Q219" s="73" t="inlineStr">
        <is>
          <t>APA - Qtly All Hands FYR26 - 20.8.26</t>
        </is>
      </c>
      <c r="R219" s="73" t="inlineStr">
        <is>
          <t>VIDEO</t>
        </is>
      </c>
    </row>
    <row r="220">
      <c r="P220" s="73" t="inlineStr">
        <is>
          <t>26061109</t>
        </is>
      </c>
      <c r="Q220" s="73" t="inlineStr">
        <is>
          <t>Ventia - FYR26 - 24.8.26</t>
        </is>
      </c>
      <c r="R220" s="73" t="inlineStr">
        <is>
          <t>PRODUCTION</t>
        </is>
      </c>
    </row>
    <row r="221">
      <c r="P221" s="73" t="inlineStr">
        <is>
          <t>26061109V</t>
        </is>
      </c>
      <c r="Q221" s="73" t="inlineStr">
        <is>
          <t>Ventia - FYR26 - 24.8.26</t>
        </is>
      </c>
      <c r="R221" s="73" t="inlineStr">
        <is>
          <t>VIDEO</t>
        </is>
      </c>
    </row>
    <row r="222">
      <c r="P222" s="73" t="inlineStr">
        <is>
          <t>26061201</t>
        </is>
      </c>
      <c r="Q222" s="73" t="inlineStr">
        <is>
          <t>PWC - Firmwide Webcast - 30.6.26</t>
        </is>
      </c>
      <c r="R222" s="73" t="inlineStr">
        <is>
          <t>PRODUCTION</t>
        </is>
      </c>
    </row>
    <row r="223">
      <c r="P223" s="73" t="inlineStr">
        <is>
          <t>26061201V</t>
        </is>
      </c>
      <c r="Q223" s="73" t="inlineStr">
        <is>
          <t>PWC - Firmwide Webcast - 30.6.26</t>
        </is>
      </c>
      <c r="R223" s="73" t="inlineStr">
        <is>
          <t>VIDEO</t>
        </is>
      </c>
    </row>
    <row r="224">
      <c r="P224" s="73" t="inlineStr">
        <is>
          <t>26061202</t>
        </is>
      </c>
      <c r="Q224" s="73" t="inlineStr">
        <is>
          <t>CBA AGM 2027</t>
        </is>
      </c>
      <c r="R224" s="73" t="inlineStr">
        <is>
          <t>PRODUCTION</t>
        </is>
      </c>
    </row>
    <row r="225">
      <c r="P225" s="73" t="inlineStr">
        <is>
          <t>26061202V</t>
        </is>
      </c>
      <c r="Q225" s="73" t="inlineStr">
        <is>
          <t>CBA AGM 2027</t>
        </is>
      </c>
      <c r="R225" s="73" t="inlineStr">
        <is>
          <t>VIDEO</t>
        </is>
      </c>
    </row>
    <row r="226">
      <c r="P226" s="73" t="inlineStr">
        <is>
          <t>26061501</t>
        </is>
      </c>
      <c r="Q226" s="73" t="inlineStr">
        <is>
          <t>DTTL MEL Lv29 Display Supply</t>
        </is>
      </c>
      <c r="R226" s="73" t="inlineStr">
        <is>
          <t>INTEGRATION</t>
        </is>
      </c>
    </row>
    <row r="227">
      <c r="P227" s="73" t="inlineStr">
        <is>
          <t>26061602</t>
        </is>
      </c>
      <c r="Q227" s="73" t="inlineStr">
        <is>
          <t>ASX - CEO Connect (Extended) - 1.9.26</t>
        </is>
      </c>
      <c r="R227" s="73" t="inlineStr">
        <is>
          <t>PRODUCTION</t>
        </is>
      </c>
    </row>
    <row r="228">
      <c r="P228" s="73" t="inlineStr">
        <is>
          <t>26061602V</t>
        </is>
      </c>
      <c r="Q228" s="73" t="inlineStr">
        <is>
          <t>ASX - CEO Connect (Extended) - 1.9.26</t>
        </is>
      </c>
      <c r="R228" s="73" t="inlineStr">
        <is>
          <t>VIDEO</t>
        </is>
      </c>
    </row>
    <row r="229">
      <c r="P229" s="73" t="inlineStr">
        <is>
          <t>26061605</t>
        </is>
      </c>
      <c r="Q229" s="73" t="inlineStr">
        <is>
          <t>MUFG - IBM Ltd AGM - 27.10.26</t>
        </is>
      </c>
      <c r="R229" s="73" t="inlineStr">
        <is>
          <t>PRODUCTION</t>
        </is>
      </c>
    </row>
    <row r="230">
      <c r="P230" s="73" t="inlineStr">
        <is>
          <t>26061605V</t>
        </is>
      </c>
      <c r="Q230" s="73" t="inlineStr">
        <is>
          <t>MUFG - IBM Ltd AGM - 27.10.26</t>
        </is>
      </c>
      <c r="R230" s="73" t="inlineStr">
        <is>
          <t>VIDEO</t>
        </is>
      </c>
    </row>
    <row r="231">
      <c r="P231" s="73" t="inlineStr">
        <is>
          <t>26061606</t>
        </is>
      </c>
      <c r="Q231" s="73" t="inlineStr">
        <is>
          <t>MUFG - Endeavour AGM - 30.10.26</t>
        </is>
      </c>
      <c r="R231" s="73" t="inlineStr">
        <is>
          <t>PRODUCTION</t>
        </is>
      </c>
    </row>
    <row r="232">
      <c r="P232" s="73" t="inlineStr">
        <is>
          <t>26061606V</t>
        </is>
      </c>
      <c r="Q232" s="73" t="inlineStr">
        <is>
          <t>MUFG - Endeavour AGM - 30.10.26</t>
        </is>
      </c>
      <c r="R232" s="73" t="inlineStr">
        <is>
          <t>VIDEO</t>
        </is>
      </c>
    </row>
    <row r="233">
      <c r="P233" s="73" t="inlineStr">
        <is>
          <t>26061607</t>
        </is>
      </c>
      <c r="Q233" s="73" t="inlineStr">
        <is>
          <t>APA - Qtly All Hands (BNE) - 4.11.26</t>
        </is>
      </c>
      <c r="R233" s="73" t="inlineStr">
        <is>
          <t>PRODUCTION</t>
        </is>
      </c>
    </row>
    <row r="234">
      <c r="P234" s="73" t="inlineStr">
        <is>
          <t>26061607V</t>
        </is>
      </c>
      <c r="Q234" s="73" t="inlineStr">
        <is>
          <t>APA - Qtly All Hands (BNE) - 4.11.26</t>
        </is>
      </c>
      <c r="R234" s="73" t="inlineStr">
        <is>
          <t>VIDEO</t>
        </is>
      </c>
    </row>
    <row r="235">
      <c r="P235" s="73" t="inlineStr">
        <is>
          <t>26061608</t>
        </is>
      </c>
      <c r="Q235" s="73" t="inlineStr">
        <is>
          <t>APA - Qtly All Hands Sydney - Feb 27</t>
        </is>
      </c>
      <c r="R235" s="73" t="inlineStr">
        <is>
          <t>PRODUCTION</t>
        </is>
      </c>
    </row>
    <row r="236">
      <c r="P236" s="73" t="inlineStr">
        <is>
          <t>26061608V</t>
        </is>
      </c>
      <c r="Q236" s="73" t="inlineStr">
        <is>
          <t>APA - Qtly All Hands Sydney - Feb 27</t>
        </is>
      </c>
      <c r="R236" s="73" t="inlineStr">
        <is>
          <t>VIDEO</t>
        </is>
      </c>
    </row>
    <row r="237">
      <c r="P237" s="73" t="inlineStr">
        <is>
          <t>26061609</t>
        </is>
      </c>
      <c r="Q237" s="73" t="inlineStr">
        <is>
          <t>APA Qtly All Hands Perth - May 2027</t>
        </is>
      </c>
      <c r="R237" s="73" t="inlineStr">
        <is>
          <t>PRODUCTION</t>
        </is>
      </c>
    </row>
    <row r="238">
      <c r="P238" s="73" t="inlineStr">
        <is>
          <t>26061609V</t>
        </is>
      </c>
      <c r="Q238" s="73" t="inlineStr">
        <is>
          <t>APA Qtly All Hands Perth - May 2027</t>
        </is>
      </c>
      <c r="R238" s="73" t="inlineStr">
        <is>
          <t>VIDEO</t>
        </is>
      </c>
    </row>
    <row r="239">
      <c r="P239" s="73" t="inlineStr">
        <is>
          <t>26061611</t>
        </is>
      </c>
      <c r="Q239" s="73" t="inlineStr">
        <is>
          <t>QBE - Keynote Event - 27.10.26</t>
        </is>
      </c>
      <c r="R239" s="73" t="inlineStr">
        <is>
          <t>PRODUCTION</t>
        </is>
      </c>
    </row>
    <row r="240">
      <c r="P240" s="73" t="inlineStr">
        <is>
          <t>26061611V</t>
        </is>
      </c>
      <c r="Q240" s="73" t="inlineStr">
        <is>
          <t>QBE - Keynote Event - 27.10.26</t>
        </is>
      </c>
      <c r="R240" s="73" t="inlineStr">
        <is>
          <t>VIDEO</t>
        </is>
      </c>
    </row>
    <row r="241">
      <c r="P241" s="73" t="inlineStr">
        <is>
          <t>26061612</t>
        </is>
      </c>
      <c r="Q241" s="73" t="inlineStr">
        <is>
          <t>Chorus Call - Redox AGM - 7.10.26</t>
        </is>
      </c>
      <c r="R241" s="73" t="inlineStr">
        <is>
          <t>PRODUCTION</t>
        </is>
      </c>
    </row>
    <row r="242">
      <c r="P242" s="73" t="inlineStr">
        <is>
          <t>26061612V</t>
        </is>
      </c>
      <c r="Q242" s="73" t="inlineStr">
        <is>
          <t>Chorus Call - Redox AGM - 7.10.26</t>
        </is>
      </c>
      <c r="R242" s="73" t="inlineStr">
        <is>
          <t>VIDEO</t>
        </is>
      </c>
    </row>
    <row r="243">
      <c r="P243" s="73" t="inlineStr">
        <is>
          <t>26061701</t>
        </is>
      </c>
      <c r="Q243" s="73" t="inlineStr">
        <is>
          <t>CBA - LES - July 2026</t>
        </is>
      </c>
      <c r="R243" s="73" t="inlineStr">
        <is>
          <t>PRODUCTION</t>
        </is>
      </c>
    </row>
    <row r="244">
      <c r="P244" s="73" t="inlineStr">
        <is>
          <t>26061702</t>
        </is>
      </c>
      <c r="Q244" s="73" t="inlineStr">
        <is>
          <t>Garvan - Morning Tea Event - 31.7.26</t>
        </is>
      </c>
      <c r="R244" s="73" t="inlineStr">
        <is>
          <t>PRODUCTION</t>
        </is>
      </c>
    </row>
    <row r="245">
      <c r="P245" s="73" t="inlineStr">
        <is>
          <t>26061801</t>
        </is>
      </c>
      <c r="Q245" s="73" t="inlineStr">
        <is>
          <t>APA - Investor Briefing FYR26 - 20.8.26</t>
        </is>
      </c>
      <c r="R245" s="73" t="inlineStr">
        <is>
          <t>PRODUCTION</t>
        </is>
      </c>
    </row>
    <row r="246">
      <c r="P246" s="73" t="inlineStr">
        <is>
          <t>26061801V</t>
        </is>
      </c>
      <c r="Q246" s="73" t="inlineStr">
        <is>
          <t>APA - Investor Briefing FYR26 - 20.8.26</t>
        </is>
      </c>
      <c r="R246" s="73" t="inlineStr">
        <is>
          <t>VIDEO</t>
        </is>
      </c>
    </row>
    <row r="247">
      <c r="P247" s="73" t="inlineStr">
        <is>
          <t>26062201</t>
        </is>
      </c>
      <c r="Q247" s="73" t="inlineStr">
        <is>
          <t>PWC - Tax &amp; Legal Webcast 02.07.26</t>
        </is>
      </c>
      <c r="R247" s="73" t="inlineStr">
        <is>
          <t>PRODUCTION</t>
        </is>
      </c>
    </row>
    <row r="248">
      <c r="P248" s="73" t="inlineStr">
        <is>
          <t>26062201V</t>
        </is>
      </c>
      <c r="Q248" s="73" t="inlineStr">
        <is>
          <t>PWC - Tax &amp; Legal Webcast 02.07.26</t>
        </is>
      </c>
      <c r="R248" s="73" t="inlineStr">
        <is>
          <t>VIDEO</t>
        </is>
      </c>
    </row>
    <row r="249">
      <c r="P249" s="73" t="inlineStr">
        <is>
          <t>26062202</t>
        </is>
      </c>
      <c r="Q249" s="73" t="inlineStr">
        <is>
          <t>PWC - Early Careers Webcast - 29.7.26</t>
        </is>
      </c>
      <c r="R249" s="73" t="inlineStr">
        <is>
          <t>PRODUCTION</t>
        </is>
      </c>
    </row>
    <row r="250">
      <c r="P250" s="73" t="inlineStr">
        <is>
          <t>26062202V</t>
        </is>
      </c>
      <c r="Q250" s="73" t="inlineStr">
        <is>
          <t>PWC - Early Careers Webcast - 29.7.26</t>
        </is>
      </c>
      <c r="R250" s="73" t="inlineStr">
        <is>
          <t>VIDEO</t>
        </is>
      </c>
    </row>
    <row r="251">
      <c r="P251" s="73" t="inlineStr">
        <is>
          <t>26062403</t>
        </is>
      </c>
      <c r="Q251" s="73" t="inlineStr">
        <is>
          <t>CBA - CommBank Private Hosting 25.6.26</t>
        </is>
      </c>
      <c r="R251" s="73" t="inlineStr">
        <is>
          <t>PRODUCTION</t>
        </is>
      </c>
    </row>
    <row r="252">
      <c r="P252" s="73" t="inlineStr">
        <is>
          <t>26062403V</t>
        </is>
      </c>
      <c r="Q252" s="73" t="inlineStr">
        <is>
          <t>CBA - CommBank Private Hosting 25.6.26</t>
        </is>
      </c>
      <c r="R252" s="73" t="inlineStr">
        <is>
          <t>VIDEO</t>
        </is>
      </c>
    </row>
    <row r="253">
      <c r="P253" s="73" t="inlineStr">
        <is>
          <t>26062501</t>
        </is>
      </c>
      <c r="Q253" s="73" t="inlineStr">
        <is>
          <t>DTTL STL Travel (SYD-MEL Return)</t>
        </is>
      </c>
      <c r="R253" s="73" t="inlineStr">
        <is>
          <t>ONSITE</t>
        </is>
      </c>
    </row>
    <row r="254">
      <c r="P254" s="73" t="inlineStr">
        <is>
          <t>26062503</t>
        </is>
      </c>
      <c r="Q254" s="73" t="inlineStr">
        <is>
          <t>Aware Super 24.16 UC Engine Replacement</t>
        </is>
      </c>
      <c r="R254" s="73" t="inlineStr">
        <is>
          <t>INTEGRATION</t>
        </is>
      </c>
    </row>
    <row r="255">
      <c r="P255" s="73" t="inlineStr">
        <is>
          <t>26062601</t>
        </is>
      </c>
      <c r="Q255" s="73" t="inlineStr">
        <is>
          <t>Ventia - XELT Event - 29.6.26</t>
        </is>
      </c>
      <c r="R255" s="73" t="inlineStr">
        <is>
          <t>PRODUCTION</t>
        </is>
      </c>
    </row>
    <row r="256">
      <c r="P256" s="73" t="inlineStr">
        <is>
          <t>26062601V</t>
        </is>
      </c>
      <c r="Q256" s="73" t="inlineStr">
        <is>
          <t>Ventia - XELT Event - 29.6.26</t>
        </is>
      </c>
      <c r="R256" s="73" t="inlineStr">
        <is>
          <t>VIDEO</t>
        </is>
      </c>
    </row>
    <row r="257">
      <c r="P257" s="73" t="inlineStr">
        <is>
          <t>26062901</t>
        </is>
      </c>
      <c r="Q257" s="73" t="inlineStr">
        <is>
          <t>Aware | SYD 28.06 Services</t>
        </is>
      </c>
      <c r="R257" s="73" t="inlineStr">
        <is>
          <t>INTEGRATION</t>
        </is>
      </c>
    </row>
    <row r="258">
      <c r="P258" s="73" t="inlineStr">
        <is>
          <t>26062902</t>
        </is>
      </c>
      <c r="Q258" s="73" t="inlineStr">
        <is>
          <t>Aware | SYD Occupancy Sensors</t>
        </is>
      </c>
      <c r="R258" s="73" t="inlineStr">
        <is>
          <t>INTEGRATION</t>
        </is>
      </c>
    </row>
    <row r="259">
      <c r="P259" s="73" t="inlineStr">
        <is>
          <t>26063002</t>
        </is>
      </c>
      <c r="Q259" s="73" t="inlineStr">
        <is>
          <t>CEOi - CEO Connect - 11.8.26</t>
        </is>
      </c>
      <c r="R259" s="73" t="inlineStr">
        <is>
          <t>PRODUCTION</t>
        </is>
      </c>
    </row>
    <row r="260">
      <c r="P260" s="73" t="inlineStr">
        <is>
          <t>26063002V</t>
        </is>
      </c>
      <c r="Q260" s="73" t="inlineStr">
        <is>
          <t>CEOi - CEO Connect - 11.8.26</t>
        </is>
      </c>
      <c r="R260" s="73" t="inlineStr">
        <is>
          <t>VIDEO</t>
        </is>
      </c>
    </row>
    <row r="261">
      <c r="P261" s="73" t="inlineStr">
        <is>
          <t>2606401V</t>
        </is>
      </c>
      <c r="Q261" s="73" t="inlineStr">
        <is>
          <t>PWC - NRW Webcast - 11.6.26</t>
        </is>
      </c>
      <c r="R261" s="73" t="inlineStr">
        <is>
          <t>VIDEO</t>
        </is>
      </c>
    </row>
    <row r="262">
      <c r="P262" s="73" t="inlineStr">
        <is>
          <t>2606901</t>
        </is>
      </c>
      <c r="Q262" s="73" t="inlineStr">
        <is>
          <t>PwC | Syd Studio Equipment</t>
        </is>
      </c>
      <c r="R262" s="73" t="inlineStr">
        <is>
          <t>INTEGRATION</t>
        </is>
      </c>
    </row>
    <row r="263">
      <c r="P263" s="73" t="inlineStr">
        <is>
          <t>2606902</t>
        </is>
      </c>
      <c r="Q263" s="73" t="inlineStr">
        <is>
          <t>AVIT - Taronga AV Support - 9-11.6.26</t>
        </is>
      </c>
      <c r="R263" s="73" t="inlineStr">
        <is>
          <t>PRODUCTION</t>
        </is>
      </c>
    </row>
    <row r="264">
      <c r="P264" s="73" t="inlineStr">
        <is>
          <t>2606903</t>
        </is>
      </c>
      <c r="Q264" s="73" t="inlineStr">
        <is>
          <t>Virgin FY26 Results</t>
        </is>
      </c>
      <c r="R264" s="73" t="inlineStr">
        <is>
          <t>PRODUCTION</t>
        </is>
      </c>
    </row>
    <row r="265">
      <c r="P265" s="73" t="inlineStr">
        <is>
          <t>2606903V</t>
        </is>
      </c>
      <c r="Q265" s="73" t="inlineStr">
        <is>
          <t>Virgin FY26 Results</t>
        </is>
      </c>
      <c r="R265" s="73" t="inlineStr">
        <is>
          <t>VIDEO</t>
        </is>
      </c>
    </row>
    <row r="266">
      <c r="P266" s="73" t="inlineStr">
        <is>
          <t>2606904</t>
        </is>
      </c>
      <c r="Q266" s="73" t="inlineStr">
        <is>
          <t>Symal - FYR26 (Melb) - 24.8.26</t>
        </is>
      </c>
      <c r="R266" s="73" t="inlineStr">
        <is>
          <t>PRODUCTION</t>
        </is>
      </c>
    </row>
    <row r="267">
      <c r="P267" s="73" t="inlineStr">
        <is>
          <t>2606904V</t>
        </is>
      </c>
      <c r="Q267" s="73" t="inlineStr">
        <is>
          <t>Symal - FYR26 (Melb) - 24.8.26</t>
        </is>
      </c>
      <c r="R267" s="73" t="inlineStr">
        <is>
          <t>VIDEO</t>
        </is>
      </c>
    </row>
    <row r="268">
      <c r="P268" s="73" t="inlineStr">
        <is>
          <t>2606905</t>
        </is>
      </c>
      <c r="Q268" s="73" t="inlineStr">
        <is>
          <t>Dimensional - Audio Tech Support - 22.6.26</t>
        </is>
      </c>
      <c r="R268" s="73" t="inlineStr">
        <is>
          <t>PRODUCTION</t>
        </is>
      </c>
    </row>
    <row r="269">
      <c r="P269" s="73" t="inlineStr">
        <is>
          <t>2606906</t>
        </is>
      </c>
      <c r="Q269" s="73" t="inlineStr">
        <is>
          <t>St Catherines Case Study Video Non-Chrgable</t>
        </is>
      </c>
      <c r="R269" s="73" t="inlineStr">
        <is>
          <t>VIDEO</t>
        </is>
      </c>
    </row>
    <row r="270">
      <c r="P270" s="73" t="inlineStr">
        <is>
          <t>26071303</t>
        </is>
      </c>
      <c r="Q270" s="73" t="inlineStr">
        <is>
          <t>Ventia - Melbourne Office Event - 30.7.26</t>
        </is>
      </c>
      <c r="R270" s="73" t="inlineStr">
        <is>
          <t>PRODUCTION</t>
        </is>
      </c>
    </row>
    <row r="271">
      <c r="P271" s="73" t="inlineStr">
        <is>
          <t>26071304</t>
        </is>
      </c>
      <c r="Q271" s="73" t="inlineStr">
        <is>
          <t>YSG | Orange Room Upgrade</t>
        </is>
      </c>
      <c r="R271" s="73" t="inlineStr">
        <is>
          <t>INTEGRATION</t>
        </is>
      </c>
    </row>
    <row r="272">
      <c r="P272" s="73" t="inlineStr">
        <is>
          <t>26071403</t>
        </is>
      </c>
      <c r="Q272" s="73" t="inlineStr">
        <is>
          <t>Elkiem - Studio Support - 4.11.26</t>
        </is>
      </c>
      <c r="R272" s="73" t="inlineStr">
        <is>
          <t>PRODUCTION</t>
        </is>
      </c>
    </row>
    <row r="273">
      <c r="P273" s="73" t="inlineStr">
        <is>
          <t>26071404</t>
        </is>
      </c>
      <c r="Q273" s="73" t="inlineStr">
        <is>
          <t>Elkiem - Studio Support - 9.12.26</t>
        </is>
      </c>
      <c r="R273" s="73" t="inlineStr">
        <is>
          <t>PRODUCTION</t>
        </is>
      </c>
    </row>
    <row r="274">
      <c r="P274" s="73" t="inlineStr">
        <is>
          <t>26071405</t>
        </is>
      </c>
      <c r="Q274" s="73" t="inlineStr">
        <is>
          <t>PWC - Event Technician - 29.7.26</t>
        </is>
      </c>
      <c r="R274" s="73" t="inlineStr">
        <is>
          <t>PRODUCTION</t>
        </is>
      </c>
    </row>
    <row r="275">
      <c r="P275" s="73" t="inlineStr">
        <is>
          <t>26071501</t>
        </is>
      </c>
      <c r="Q275" s="73" t="inlineStr">
        <is>
          <t>Ventia - Half Year Results Briefing - 24.8.26</t>
        </is>
      </c>
      <c r="R275" s="73" t="inlineStr">
        <is>
          <t>PRODUCTION</t>
        </is>
      </c>
    </row>
    <row r="276">
      <c r="P276" s="73" t="inlineStr">
        <is>
          <t>26071501V</t>
        </is>
      </c>
      <c r="Q276" s="73" t="inlineStr">
        <is>
          <t>Ventia - Half Year Results Briefing - 24.8.26</t>
        </is>
      </c>
      <c r="R276" s="73" t="inlineStr">
        <is>
          <t>VIDEO</t>
        </is>
      </c>
    </row>
    <row r="277">
      <c r="P277" s="73" t="inlineStr">
        <is>
          <t>26071601</t>
        </is>
      </c>
      <c r="Q277" s="73" t="inlineStr">
        <is>
          <t>Aware | PER | Barry Marshall and Albany Rooms BYOD USB-C Replcmnt</t>
        </is>
      </c>
      <c r="R277" s="73" t="inlineStr">
        <is>
          <t>INTEGRATION</t>
        </is>
      </c>
    </row>
    <row r="278">
      <c r="P278" s="73" t="inlineStr">
        <is>
          <t>26071701</t>
        </is>
      </c>
      <c r="Q278" s="73" t="inlineStr">
        <is>
          <t>ASX Live - 9.9.26</t>
        </is>
      </c>
      <c r="R278" s="73" t="inlineStr">
        <is>
          <t>PRODUCTION</t>
        </is>
      </c>
    </row>
    <row r="279">
      <c r="P279" s="73" t="inlineStr">
        <is>
          <t>26071701V</t>
        </is>
      </c>
      <c r="Q279" s="73" t="inlineStr">
        <is>
          <t>ASX Live - 9.9.26</t>
        </is>
      </c>
      <c r="R279" s="73" t="inlineStr">
        <is>
          <t>VIDEO</t>
        </is>
      </c>
    </row>
    <row r="280">
      <c r="P280" s="73" t="inlineStr">
        <is>
          <t>26071901</t>
        </is>
      </c>
      <c r="Q280" s="73" t="inlineStr">
        <is>
          <t>Elkiem - Studio Support - 11.8.26</t>
        </is>
      </c>
      <c r="R280" s="73" t="inlineStr">
        <is>
          <t>PRODUCTION</t>
        </is>
      </c>
    </row>
    <row r="281">
      <c r="P281" s="73" t="inlineStr">
        <is>
          <t>26072003</t>
        </is>
      </c>
      <c r="Q281" s="73" t="inlineStr">
        <is>
          <t>CBA Live Event Support August 2026</t>
        </is>
      </c>
      <c r="R281" s="73" t="inlineStr">
        <is>
          <t>PRODUCTION</t>
        </is>
      </c>
    </row>
    <row r="282">
      <c r="P282" s="73" t="inlineStr">
        <is>
          <t>26072101</t>
        </is>
      </c>
      <c r="Q282" s="73" t="inlineStr">
        <is>
          <t>Aware MEL 17.02 Amp Replacement</t>
        </is>
      </c>
      <c r="R282" s="73" t="inlineStr">
        <is>
          <t>INTEGRATION</t>
        </is>
      </c>
    </row>
    <row r="283">
      <c r="P283" s="73" t="inlineStr">
        <is>
          <t>26072101</t>
        </is>
      </c>
      <c r="Q283" s="73" t="inlineStr">
        <is>
          <t>Aware_Mel 17.02 Amp Replacement</t>
        </is>
      </c>
      <c r="R283" s="73" t="inlineStr">
        <is>
          <t>INTEGRATION</t>
        </is>
      </c>
    </row>
    <row r="284">
      <c r="P284" s="73" t="inlineStr">
        <is>
          <t>26072102</t>
        </is>
      </c>
      <c r="Q284" s="73" t="inlineStr">
        <is>
          <t>Ventia - RUOK? Day - 10.09.2026</t>
        </is>
      </c>
      <c r="R284" s="73" t="inlineStr">
        <is>
          <t>PRODUCTION</t>
        </is>
      </c>
    </row>
    <row r="285">
      <c r="P285" s="73" t="inlineStr">
        <is>
          <t>26072102V</t>
        </is>
      </c>
      <c r="Q285" s="73" t="inlineStr">
        <is>
          <t>Ventia - RUOK? Day - 10.09.2026</t>
        </is>
      </c>
      <c r="R285" s="73" t="inlineStr">
        <is>
          <t>VIDEO</t>
        </is>
      </c>
    </row>
    <row r="286">
      <c r="P286" s="73" t="inlineStr">
        <is>
          <t>26072802</t>
        </is>
      </c>
      <c r="Q286" s="73" t="inlineStr">
        <is>
          <t>ON24 KWM Sydney Event - 18.08.2026</t>
        </is>
      </c>
      <c r="R286" s="73" t="inlineStr">
        <is>
          <t>PRODUCTION</t>
        </is>
      </c>
    </row>
    <row r="287">
      <c r="P287" s="73" t="inlineStr">
        <is>
          <t>26072802V</t>
        </is>
      </c>
      <c r="Q287" s="73" t="inlineStr">
        <is>
          <t>ON24 KWM Sydney Event - 18.08.2026</t>
        </is>
      </c>
      <c r="R287" s="73" t="inlineStr">
        <is>
          <t>VIDEO</t>
        </is>
      </c>
    </row>
    <row r="288">
      <c r="P288" s="73" t="inlineStr">
        <is>
          <t>26072902</t>
        </is>
      </c>
      <c r="Q288" s="73" t="inlineStr">
        <is>
          <t>PWC AI Townhall 6.8.26</t>
        </is>
      </c>
      <c r="R288" s="73" t="inlineStr">
        <is>
          <t>PRODUCTION</t>
        </is>
      </c>
    </row>
    <row r="289">
      <c r="P289" s="73" t="inlineStr">
        <is>
          <t>26072902V</t>
        </is>
      </c>
      <c r="Q289" s="73" t="inlineStr">
        <is>
          <t>PWC AI Townhall 6.8.26</t>
        </is>
      </c>
      <c r="R289" s="73" t="inlineStr">
        <is>
          <t>VIDEO</t>
        </is>
      </c>
    </row>
    <row r="290">
      <c r="P290" s="73" t="inlineStr">
        <is>
          <t>26072903</t>
        </is>
      </c>
      <c r="Q290" s="73" t="inlineStr">
        <is>
          <t>PWC - GB Webcast - 11.8.26</t>
        </is>
      </c>
      <c r="R290" s="73" t="inlineStr">
        <is>
          <t>PRODUCTION</t>
        </is>
      </c>
    </row>
    <row r="291">
      <c r="P291" s="73" t="inlineStr">
        <is>
          <t>26072903V</t>
        </is>
      </c>
      <c r="Q291" s="73" t="inlineStr">
        <is>
          <t>PWC - GB Webcast - 11.8.26</t>
        </is>
      </c>
      <c r="R291" s="73" t="inlineStr">
        <is>
          <t>VIDEO</t>
        </is>
      </c>
    </row>
    <row r="292">
      <c r="P292" s="73" t="inlineStr">
        <is>
          <t>26072906</t>
        </is>
      </c>
      <c r="Q292" s="73" t="inlineStr">
        <is>
          <t>ASX Advisory Group on Corporate Governance</t>
        </is>
      </c>
      <c r="R292" s="73" t="inlineStr">
        <is>
          <t>PRODUCTION</t>
        </is>
      </c>
    </row>
    <row r="293">
      <c r="P293" s="73" t="inlineStr">
        <is>
          <t>26072906V</t>
        </is>
      </c>
      <c r="Q293" s="73" t="inlineStr">
        <is>
          <t>ASX Advisory Group on Corporate Governance</t>
        </is>
      </c>
      <c r="R293" s="73" t="inlineStr">
        <is>
          <t>VIDEO</t>
        </is>
      </c>
    </row>
    <row r="294">
      <c r="P294" s="73" t="inlineStr">
        <is>
          <t>26073103</t>
        </is>
      </c>
      <c r="Q294" s="73" t="inlineStr">
        <is>
          <t>DTTL PER AV &amp; Hospitality Tech (SEP26-FEB27)</t>
        </is>
      </c>
      <c r="R294" s="73" t="inlineStr">
        <is>
          <t>ONSITE</t>
        </is>
      </c>
    </row>
    <row r="295">
      <c r="P295" s="73" t="inlineStr">
        <is>
          <t>26073103N</t>
        </is>
      </c>
      <c r="Q295" s="73" t="inlineStr">
        <is>
          <t>DTTL PER AV &amp; Hospitality Tech (SEP26-FEB27) [ONS] non-chargeable</t>
        </is>
      </c>
      <c r="R295" s="73" t="inlineStr"/>
    </row>
    <row r="296">
      <c r="P296" s="73" t="inlineStr">
        <is>
          <t>26073105</t>
        </is>
      </c>
      <c r="Q296" s="73" t="inlineStr">
        <is>
          <t>Elkiem - Studio Support - 25.8.26</t>
        </is>
      </c>
      <c r="R296" s="73" t="inlineStr">
        <is>
          <t>PRODUCTION</t>
        </is>
      </c>
    </row>
    <row r="297">
      <c r="P297" s="73" t="inlineStr">
        <is>
          <t>26073106</t>
        </is>
      </c>
      <c r="Q297" s="73" t="inlineStr">
        <is>
          <t>Elkiem - Studio Support - 18.9.26</t>
        </is>
      </c>
      <c r="R297" s="73" t="inlineStr">
        <is>
          <t>PRODUCTION</t>
        </is>
      </c>
    </row>
    <row r="298">
      <c r="P298" s="73" t="inlineStr">
        <is>
          <t>26073107</t>
        </is>
      </c>
      <c r="Q298" s="73" t="inlineStr">
        <is>
          <t>DTTL Travel for Technician &amp; Coverage ADL-HOB</t>
        </is>
      </c>
      <c r="R298" s="73" t="inlineStr">
        <is>
          <t>ONSITE</t>
        </is>
      </c>
    </row>
    <row r="299">
      <c r="P299" s="73" t="inlineStr">
        <is>
          <t>26073110</t>
        </is>
      </c>
      <c r="Q299" s="73" t="inlineStr">
        <is>
          <t>Garvan - Weizmann Dinner Event - 20.8.26</t>
        </is>
      </c>
      <c r="R299" s="73" t="inlineStr">
        <is>
          <t>PRODUCTION</t>
        </is>
      </c>
    </row>
    <row r="300">
      <c r="P300" s="73" t="inlineStr">
        <is>
          <t>26073110V</t>
        </is>
      </c>
      <c r="Q300" s="73" t="inlineStr">
        <is>
          <t>Garvan - Weizmann Dinner Event - 20.8.26</t>
        </is>
      </c>
      <c r="R300" s="73" t="inlineStr">
        <is>
          <t>VIDEO</t>
        </is>
      </c>
    </row>
    <row r="301">
      <c r="P301" s="73" t="inlineStr">
        <is>
          <t>26073111</t>
        </is>
      </c>
      <c r="Q301" s="73" t="inlineStr">
        <is>
          <t>Downer - FYR &amp; Employee Webcast - 25.8.26</t>
        </is>
      </c>
      <c r="R301" s="73" t="inlineStr">
        <is>
          <t>PRODUCTION</t>
        </is>
      </c>
    </row>
    <row r="302">
      <c r="P302" s="73" t="inlineStr">
        <is>
          <t>26073111V</t>
        </is>
      </c>
      <c r="Q302" s="73" t="inlineStr">
        <is>
          <t>Downer - FYR &amp; Employee Webcast - 25.8.26</t>
        </is>
      </c>
      <c r="R302" s="73" t="inlineStr">
        <is>
          <t>VIDEO</t>
        </is>
      </c>
    </row>
    <row r="303">
      <c r="P303" s="73" t="inlineStr">
        <is>
          <t>2607703</t>
        </is>
      </c>
      <c r="Q303" s="73" t="inlineStr">
        <is>
          <t>Garvan - YPO Event - 6.8.2026</t>
        </is>
      </c>
      <c r="R303" s="73" t="inlineStr">
        <is>
          <t>PRODUCTION</t>
        </is>
      </c>
    </row>
    <row r="304">
      <c r="P304" s="73" t="inlineStr">
        <is>
          <t>2607703V</t>
        </is>
      </c>
      <c r="Q304" s="73" t="inlineStr">
        <is>
          <t>Garvan - YPO Event - 6.8.2026</t>
        </is>
      </c>
      <c r="R304" s="73" t="inlineStr">
        <is>
          <t>VIDEO</t>
        </is>
      </c>
    </row>
    <row r="305">
      <c r="P305" s="73" t="inlineStr">
        <is>
          <t>2608101</t>
        </is>
      </c>
      <c r="Q305" s="73" t="inlineStr">
        <is>
          <t>ART - AMM Captioning - 25.11.26</t>
        </is>
      </c>
      <c r="R305" s="73" t="inlineStr">
        <is>
          <t>PRODUCTION</t>
        </is>
      </c>
    </row>
    <row r="306">
      <c r="P306" s="73" t="inlineStr">
        <is>
          <t>2608101V</t>
        </is>
      </c>
      <c r="Q306" s="73" t="inlineStr">
        <is>
          <t>ART - AMM Captioning - 25.11.26</t>
        </is>
      </c>
      <c r="R306" s="73" t="inlineStr">
        <is>
          <t>VIDEO</t>
        </is>
      </c>
    </row>
    <row r="307">
      <c r="P307" s="73" t="inlineStr">
        <is>
          <t>2608102</t>
        </is>
      </c>
      <c r="Q307" s="73" t="inlineStr">
        <is>
          <t>ART - Education Session Captioning - 25.11.26</t>
        </is>
      </c>
      <c r="R307" s="73" t="inlineStr">
        <is>
          <t>PRODUCTION</t>
        </is>
      </c>
    </row>
    <row r="308">
      <c r="P308" s="73" t="inlineStr">
        <is>
          <t>26081101</t>
        </is>
      </c>
      <c r="Q308" s="73" t="inlineStr">
        <is>
          <t>Vega Global - Payments Forum - 17.9.26</t>
        </is>
      </c>
      <c r="R308" s="73" t="inlineStr">
        <is>
          <t>PRODUCTION</t>
        </is>
      </c>
    </row>
    <row r="309">
      <c r="P309" s="73" t="inlineStr">
        <is>
          <t>26081302</t>
        </is>
      </c>
      <c r="Q309" s="73" t="inlineStr">
        <is>
          <t>Ubank - Volunteer Day - 11.11.26</t>
        </is>
      </c>
      <c r="R309" s="73" t="inlineStr">
        <is>
          <t>PRODUCTION</t>
        </is>
      </c>
    </row>
    <row r="310">
      <c r="P310" s="73" t="inlineStr">
        <is>
          <t>26081302V</t>
        </is>
      </c>
      <c r="Q310" s="73" t="inlineStr">
        <is>
          <t>Ubank - Volunteer Day - 11.11.26</t>
        </is>
      </c>
      <c r="R310" s="73" t="inlineStr">
        <is>
          <t>VIDEO</t>
        </is>
      </c>
    </row>
    <row r="311">
      <c r="P311" s="73" t="inlineStr">
        <is>
          <t>26081402</t>
        </is>
      </c>
      <c r="Q311" s="73" t="inlineStr">
        <is>
          <t>Dimensional - AV Support - 19.8.26</t>
        </is>
      </c>
      <c r="R311" s="73" t="inlineStr">
        <is>
          <t>PRODUCTION</t>
        </is>
      </c>
    </row>
    <row r="312">
      <c r="P312" s="73" t="inlineStr">
        <is>
          <t>26081801</t>
        </is>
      </c>
      <c r="Q312" s="73" t="inlineStr">
        <is>
          <t>Microsoft - SME&amp;C Town Hall 14.10.2026</t>
        </is>
      </c>
      <c r="R312" s="73" t="inlineStr">
        <is>
          <t>PRODUCTION</t>
        </is>
      </c>
    </row>
    <row r="313">
      <c r="P313" s="73" t="inlineStr">
        <is>
          <t>26081801V</t>
        </is>
      </c>
      <c r="Q313" s="73" t="inlineStr">
        <is>
          <t>Microsoft - SME&amp;C Town Hall 14.10.2026</t>
        </is>
      </c>
      <c r="R313" s="73" t="inlineStr">
        <is>
          <t>VIDEO</t>
        </is>
      </c>
    </row>
    <row r="314">
      <c r="P314" s="73" t="inlineStr">
        <is>
          <t>26081901</t>
        </is>
      </c>
      <c r="Q314" s="73" t="inlineStr">
        <is>
          <t>AusPayNet Logitech Essentials for Room License Renewal</t>
        </is>
      </c>
      <c r="R314" s="73" t="inlineStr">
        <is>
          <t>INTEGRATION</t>
        </is>
      </c>
    </row>
    <row r="315">
      <c r="P315" s="73" t="inlineStr">
        <is>
          <t>26081904</t>
        </is>
      </c>
      <c r="Q315" s="73" t="inlineStr">
        <is>
          <t>Garvan - AllClear Program Meeting - 2.9.26</t>
        </is>
      </c>
      <c r="R315" s="73" t="inlineStr">
        <is>
          <t>PRODUCTION</t>
        </is>
      </c>
    </row>
    <row r="316">
      <c r="P316" s="73" t="inlineStr">
        <is>
          <t>26082402</t>
        </is>
      </c>
      <c r="Q316" s="73" t="inlineStr">
        <is>
          <t>TLC - 2026 AGM - 14.10.26</t>
        </is>
      </c>
      <c r="R316" s="73" t="inlineStr">
        <is>
          <t>PRODUCTION</t>
        </is>
      </c>
    </row>
    <row r="317">
      <c r="P317" s="73" t="inlineStr">
        <is>
          <t>26082402V</t>
        </is>
      </c>
      <c r="Q317" s="73" t="inlineStr">
        <is>
          <t>TLC - 2026 AGM - 14.10.26</t>
        </is>
      </c>
      <c r="R317" s="73" t="inlineStr">
        <is>
          <t>VIDEO</t>
        </is>
      </c>
    </row>
    <row r="318">
      <c r="P318" s="73" t="inlineStr">
        <is>
          <t>26082501</t>
        </is>
      </c>
      <c r="Q318" s="73" t="inlineStr">
        <is>
          <t>CBA - LES - September 2026</t>
        </is>
      </c>
      <c r="R318" s="73" t="inlineStr">
        <is>
          <t>PRODUCTION</t>
        </is>
      </c>
    </row>
    <row r="319">
      <c r="P319" s="73" t="inlineStr">
        <is>
          <t>26082502</t>
        </is>
      </c>
      <c r="Q319" s="73" t="inlineStr">
        <is>
          <t>ICC - Presenter &amp; Speaker Preparation - September 2026</t>
        </is>
      </c>
      <c r="R319" s="73" t="inlineStr">
        <is>
          <t>PRODUCTION</t>
        </is>
      </c>
    </row>
    <row r="320">
      <c r="P320" s="73" t="inlineStr">
        <is>
          <t>26082502V</t>
        </is>
      </c>
      <c r="Q320" s="73" t="inlineStr">
        <is>
          <t>ICC - Presenter &amp; Speaker Preparation - September 2026</t>
        </is>
      </c>
      <c r="R320" s="73" t="inlineStr">
        <is>
          <t>VIDEO</t>
        </is>
      </c>
    </row>
    <row r="321">
      <c r="P321" s="73" t="inlineStr">
        <is>
          <t>26082702</t>
        </is>
      </c>
      <c r="Q321" s="73" t="inlineStr">
        <is>
          <t>Garvan - Breast Cancer Public Lecture - 1.10.26</t>
        </is>
      </c>
      <c r="R321" s="73" t="inlineStr">
        <is>
          <t>PRODUCTION</t>
        </is>
      </c>
    </row>
    <row r="322">
      <c r="P322" s="73" t="inlineStr">
        <is>
          <t>26082703</t>
        </is>
      </c>
      <c r="Q322" s="73" t="inlineStr">
        <is>
          <t>APA - RUOK Day - 10.9.26</t>
        </is>
      </c>
      <c r="R322" s="73" t="inlineStr">
        <is>
          <t>PRODUCTION</t>
        </is>
      </c>
    </row>
    <row r="323">
      <c r="P323" s="73" t="inlineStr">
        <is>
          <t>26082703V</t>
        </is>
      </c>
      <c r="Q323" s="73" t="inlineStr">
        <is>
          <t>APA - RUOK Day - 10.9.26</t>
        </is>
      </c>
      <c r="R323" s="73" t="inlineStr">
        <is>
          <t>VIDEO</t>
        </is>
      </c>
    </row>
    <row r="324">
      <c r="P324" s="73" t="inlineStr">
        <is>
          <t>26082704</t>
        </is>
      </c>
      <c r="Q324" s="73" t="inlineStr">
        <is>
          <t>DTTL Travel for National STL &amp; Coverage SYD-PER</t>
        </is>
      </c>
      <c r="R324" s="73" t="inlineStr">
        <is>
          <t>ONSITE</t>
        </is>
      </c>
    </row>
    <row r="325">
      <c r="P325" s="73" t="inlineStr">
        <is>
          <t>26082801</t>
        </is>
      </c>
      <c r="Q325" s="73" t="inlineStr">
        <is>
          <t>Ricoh Australia - SHELL AV Support</t>
        </is>
      </c>
      <c r="R325" s="73" t="inlineStr">
        <is>
          <t>ONSITE</t>
        </is>
      </c>
    </row>
    <row r="326">
      <c r="P326" s="73" t="inlineStr">
        <is>
          <t>2608402</t>
        </is>
      </c>
      <c r="Q326" s="73" t="inlineStr">
        <is>
          <t>Garvan - Suttons Event - 15.10.26</t>
        </is>
      </c>
      <c r="R326" s="73" t="inlineStr">
        <is>
          <t>PRODUCTION</t>
        </is>
      </c>
    </row>
    <row r="327">
      <c r="P327" s="73" t="inlineStr">
        <is>
          <t>2608404</t>
        </is>
      </c>
      <c r="Q327" s="73" t="inlineStr">
        <is>
          <t>St Vincents Public Hospital - Awards Night - 26.8.25</t>
        </is>
      </c>
      <c r="R327" s="73" t="inlineStr">
        <is>
          <t>PRODUCTION</t>
        </is>
      </c>
    </row>
    <row r="328">
      <c r="P328" s="73" t="inlineStr">
        <is>
          <t>2608404V</t>
        </is>
      </c>
      <c r="Q328" s="73" t="inlineStr">
        <is>
          <t>St Vincents Public Hospital - Awards Night - 26.8.25</t>
        </is>
      </c>
      <c r="R328" s="73" t="inlineStr">
        <is>
          <t>VIDEO</t>
        </is>
      </c>
    </row>
    <row r="329">
      <c r="P329" s="73" t="inlineStr">
        <is>
          <t>2608604</t>
        </is>
      </c>
      <c r="Q329" s="73" t="inlineStr">
        <is>
          <t>ASX - FYR Employee Town Hall - 13.8.26</t>
        </is>
      </c>
      <c r="R329" s="73" t="inlineStr">
        <is>
          <t>PRODUCTION</t>
        </is>
      </c>
    </row>
    <row r="330">
      <c r="P330" s="73" t="inlineStr">
        <is>
          <t>2608604V</t>
        </is>
      </c>
      <c r="Q330" s="73" t="inlineStr">
        <is>
          <t>ASX - FYR Employee Town Hall - 13.8.26</t>
        </is>
      </c>
      <c r="R330" s="73" t="inlineStr">
        <is>
          <t>VIDEO</t>
        </is>
      </c>
    </row>
    <row r="331">
      <c r="P331" s="73" t="inlineStr">
        <is>
          <t>2608701</t>
        </is>
      </c>
      <c r="Q331" s="73" t="inlineStr">
        <is>
          <t>Elkeim - Studio Support - 10.9.26</t>
        </is>
      </c>
      <c r="R331" s="73" t="inlineStr">
        <is>
          <t>PRODUCTION</t>
        </is>
      </c>
    </row>
    <row r="332">
      <c r="P332" s="73" t="inlineStr">
        <is>
          <t>2608702</t>
        </is>
      </c>
      <c r="Q332" s="73" t="inlineStr">
        <is>
          <t>APA - Qtly All Hands SYD Screen Hire - 20.8.26</t>
        </is>
      </c>
      <c r="R332" s="73" t="inlineStr">
        <is>
          <t>PRODUCTION</t>
        </is>
      </c>
    </row>
    <row r="333">
      <c r="P333" s="73" t="inlineStr">
        <is>
          <t>26091002</t>
        </is>
      </c>
      <c r="Q333" s="73" t="inlineStr">
        <is>
          <t>GP - Talking Philanthropy - Event Videography 18.9.26</t>
        </is>
      </c>
      <c r="R333" s="73" t="inlineStr">
        <is>
          <t>PRODUCTION</t>
        </is>
      </c>
    </row>
    <row r="334">
      <c r="P334" s="73" t="inlineStr">
        <is>
          <t>26091002V</t>
        </is>
      </c>
      <c r="Q334" s="73" t="inlineStr">
        <is>
          <t>GP - Talking Philanthropy - Event Videography 18.9.26</t>
        </is>
      </c>
      <c r="R334" s="73" t="inlineStr">
        <is>
          <t>VIDEO</t>
        </is>
      </c>
    </row>
    <row r="335">
      <c r="P335" s="73" t="inlineStr">
        <is>
          <t>26091601</t>
        </is>
      </c>
      <c r="Q335" s="73" t="inlineStr">
        <is>
          <t>Automic - September All Hands - 25.9.26</t>
        </is>
      </c>
      <c r="R335" s="73" t="inlineStr">
        <is>
          <t>PRODUCTION</t>
        </is>
      </c>
    </row>
    <row r="336">
      <c r="P336" s="73" t="inlineStr">
        <is>
          <t>26091601V</t>
        </is>
      </c>
      <c r="Q336" s="73" t="inlineStr">
        <is>
          <t>Automic - September All Hands - 25.9.26</t>
        </is>
      </c>
      <c r="R336" s="73" t="inlineStr">
        <is>
          <t>VIDEO</t>
        </is>
      </c>
    </row>
    <row r="337">
      <c r="P337" s="73" t="inlineStr">
        <is>
          <t>26091604</t>
        </is>
      </c>
      <c r="Q337" s="73" t="inlineStr">
        <is>
          <t>The George Institute - SYD CV Symposium - 29-30.10.26</t>
        </is>
      </c>
      <c r="R337" s="73" t="inlineStr">
        <is>
          <t>PRODUCTION</t>
        </is>
      </c>
    </row>
    <row r="338">
      <c r="P338" s="73" t="inlineStr">
        <is>
          <t>26091604V</t>
        </is>
      </c>
      <c r="Q338" s="73" t="inlineStr">
        <is>
          <t>The George Institute - SYD CV Symposium - 29-30.10.26</t>
        </is>
      </c>
      <c r="R338" s="73" t="inlineStr">
        <is>
          <t>VIDEO</t>
        </is>
      </c>
    </row>
    <row r="339">
      <c r="P339" s="73" t="inlineStr">
        <is>
          <t>2609402</t>
        </is>
      </c>
      <c r="Q339" s="73" t="inlineStr">
        <is>
          <t>MUFG - SUN Investor Day - 29.10.26</t>
        </is>
      </c>
      <c r="R339" s="73" t="inlineStr">
        <is>
          <t>PRODUCTION</t>
        </is>
      </c>
    </row>
    <row r="340">
      <c r="P340" s="73" t="inlineStr">
        <is>
          <t>2609402V</t>
        </is>
      </c>
      <c r="Q340" s="73" t="inlineStr">
        <is>
          <t>MUFG - SUN Investor Day - 29.10.26</t>
        </is>
      </c>
      <c r="R340" s="73" t="inlineStr">
        <is>
          <t>VIDEO</t>
        </is>
      </c>
    </row>
    <row r="341">
      <c r="P341" s="73" t="inlineStr">
        <is>
          <t>2609801</t>
        </is>
      </c>
      <c r="Q341" s="73" t="inlineStr">
        <is>
          <t>Elkiem - Studio Support - 16.9.26</t>
        </is>
      </c>
      <c r="R341" s="73" t="inlineStr">
        <is>
          <t>PRODUCTION</t>
        </is>
      </c>
    </row>
    <row r="342">
      <c r="P342" s="73" t="inlineStr">
        <is>
          <t>2645</t>
        </is>
      </c>
      <c r="Q342" s="73" t="inlineStr">
        <is>
          <t>EY SYD Tech Support</t>
        </is>
      </c>
      <c r="R342" s="73" t="inlineStr">
        <is>
          <t>ONSITE</t>
        </is>
      </c>
    </row>
    <row r="343">
      <c r="P343" s="73" t="inlineStr">
        <is>
          <t>2648</t>
        </is>
      </c>
      <c r="Q343" s="73" t="inlineStr">
        <is>
          <t>DTTL MEL Additional Tech</t>
        </is>
      </c>
      <c r="R343" s="73" t="inlineStr">
        <is>
          <t>ONSITE</t>
        </is>
      </c>
    </row>
    <row r="344">
      <c r="P344" s="73" t="inlineStr">
        <is>
          <t>2658</t>
        </is>
      </c>
      <c r="Q344" s="73" t="inlineStr">
        <is>
          <t>EY MELB Tech</t>
        </is>
      </c>
      <c r="R344" s="73" t="inlineStr">
        <is>
          <t>ONSITE</t>
        </is>
      </c>
    </row>
    <row r="345">
      <c r="P345" s="73" t="inlineStr">
        <is>
          <t>2675</t>
        </is>
      </c>
      <c r="Q345" s="73" t="inlineStr">
        <is>
          <t>ONS EY (non-chargeable)</t>
        </is>
      </c>
      <c r="R345" s="73" t="inlineStr"/>
    </row>
    <row r="346">
      <c r="P346" s="73" t="inlineStr">
        <is>
          <t>2685</t>
        </is>
      </c>
      <c r="Q346" s="73" t="inlineStr">
        <is>
          <t>APA Proxyclick BNE &amp; DRW</t>
        </is>
      </c>
      <c r="R346" s="73" t="inlineStr">
        <is>
          <t>INTEGRATION</t>
        </is>
      </c>
    </row>
    <row r="347">
      <c r="P347" s="73" t="inlineStr">
        <is>
          <t>2706</t>
        </is>
      </c>
      <c r="Q347" s="73" t="inlineStr">
        <is>
          <t>EPA 6PSQ Proxyclick VMS</t>
        </is>
      </c>
      <c r="R347" s="73" t="inlineStr">
        <is>
          <t>INTEGRATION</t>
        </is>
      </c>
    </row>
    <row r="348">
      <c r="P348" s="73" t="inlineStr">
        <is>
          <t>2719</t>
        </is>
      </c>
      <c r="Q348" s="73" t="inlineStr">
        <is>
          <t>GSP - 6PSQProxyclickOnb</t>
        </is>
      </c>
      <c r="R348" s="73" t="inlineStr">
        <is>
          <t>INTEGRATION</t>
        </is>
      </c>
    </row>
    <row r="349">
      <c r="P349" s="73" t="inlineStr">
        <is>
          <t>2722</t>
        </is>
      </c>
      <c r="Q349" s="73" t="inlineStr">
        <is>
          <t>PWC Monthly Consulting</t>
        </is>
      </c>
      <c r="R349" s="73" t="inlineStr">
        <is>
          <t>CONSULTING</t>
        </is>
      </c>
    </row>
    <row r="350">
      <c r="P350" s="73" t="inlineStr">
        <is>
          <t>2726</t>
        </is>
      </c>
      <c r="Q350" s="73" t="inlineStr">
        <is>
          <t>KPMG MEL Tech</t>
        </is>
      </c>
      <c r="R350" s="73" t="inlineStr">
        <is>
          <t>ONSITE</t>
        </is>
      </c>
    </row>
    <row r="351">
      <c r="P351" s="73" t="inlineStr">
        <is>
          <t>2756</t>
        </is>
      </c>
      <c r="Q351" s="73" t="inlineStr">
        <is>
          <t>CTS Mgmt Meetings</t>
        </is>
      </c>
      <c r="R351" s="73" t="inlineStr">
        <is>
          <t>CTS</t>
        </is>
      </c>
    </row>
    <row r="352">
      <c r="P352" s="73" t="inlineStr">
        <is>
          <t>2834</t>
        </is>
      </c>
      <c r="Q352" s="73" t="inlineStr">
        <is>
          <t>APA Young - Visitor Mgmt</t>
        </is>
      </c>
      <c r="R352" s="73" t="inlineStr">
        <is>
          <t>INTEGRATION</t>
        </is>
      </c>
    </row>
    <row r="353">
      <c r="P353" s="73" t="inlineStr">
        <is>
          <t>2838</t>
        </is>
      </c>
      <c r="Q353" s="73" t="inlineStr">
        <is>
          <t>KPMG SYD Tech</t>
        </is>
      </c>
      <c r="R353" s="73" t="inlineStr">
        <is>
          <t>ONSITE</t>
        </is>
      </c>
    </row>
    <row r="354">
      <c r="P354" s="73" t="inlineStr">
        <is>
          <t>2846</t>
        </is>
      </c>
      <c r="Q354" s="73" t="inlineStr">
        <is>
          <t>DTTL National STL</t>
        </is>
      </c>
      <c r="R354" s="73" t="inlineStr">
        <is>
          <t>ONSITE</t>
        </is>
      </c>
    </row>
    <row r="355">
      <c r="P355" s="73" t="inlineStr">
        <is>
          <t>2848</t>
        </is>
      </c>
      <c r="Q355" s="73" t="inlineStr">
        <is>
          <t>APA ADL Visitor Mgmt</t>
        </is>
      </c>
      <c r="R355" s="73" t="inlineStr">
        <is>
          <t>INTEGRATION</t>
        </is>
      </c>
    </row>
    <row r="356">
      <c r="P356" s="73" t="inlineStr">
        <is>
          <t>2849</t>
        </is>
      </c>
      <c r="Q356" s="73" t="inlineStr">
        <is>
          <t>DTTL SYD Internal</t>
        </is>
      </c>
      <c r="R356" s="73" t="inlineStr">
        <is>
          <t>ONSITE</t>
        </is>
      </c>
    </row>
    <row r="357">
      <c r="P357" s="73" t="inlineStr">
        <is>
          <t>2855</t>
        </is>
      </c>
      <c r="Q357" s="73" t="inlineStr">
        <is>
          <t>APA Melbourne VMS</t>
        </is>
      </c>
      <c r="R357" s="73" t="inlineStr">
        <is>
          <t>INTEGRATION</t>
        </is>
      </c>
    </row>
    <row r="358">
      <c r="P358" s="73" t="inlineStr">
        <is>
          <t>2857</t>
        </is>
      </c>
      <c r="Q358" s="73" t="inlineStr">
        <is>
          <t>APA Sydney Visitor Mgmt</t>
        </is>
      </c>
      <c r="R358" s="73" t="inlineStr">
        <is>
          <t>INTEGRATION</t>
        </is>
      </c>
    </row>
    <row r="359">
      <c r="P359" s="73" t="inlineStr">
        <is>
          <t>2877</t>
        </is>
      </c>
      <c r="Q359" s="73" t="inlineStr">
        <is>
          <t>DEWR Maintenance Ext</t>
        </is>
      </c>
      <c r="R359" s="73" t="inlineStr">
        <is>
          <t>INTEGRATION</t>
        </is>
      </c>
    </row>
    <row r="360">
      <c r="P360" s="73" t="inlineStr">
        <is>
          <t>2879</t>
        </is>
      </c>
      <c r="Q360" s="73" t="inlineStr">
        <is>
          <t>ONS Ricoh-QANTAS (non-chgble)</t>
        </is>
      </c>
      <c r="R360" s="73" t="inlineStr"/>
    </row>
    <row r="361">
      <c r="P361" s="73" t="inlineStr">
        <is>
          <t>2880</t>
        </is>
      </c>
      <c r="Q361" s="73" t="inlineStr">
        <is>
          <t>Ricoh - QANTAS</t>
        </is>
      </c>
      <c r="R361" s="73" t="inlineStr">
        <is>
          <t>ONSITE</t>
        </is>
      </c>
    </row>
    <row r="362">
      <c r="P362" s="73" t="inlineStr">
        <is>
          <t>2892</t>
        </is>
      </c>
      <c r="Q362" s="73" t="inlineStr">
        <is>
          <t>JP Morgan Onsite Tech</t>
        </is>
      </c>
      <c r="R362" s="73" t="inlineStr">
        <is>
          <t>ONSITE</t>
        </is>
      </c>
    </row>
    <row r="363">
      <c r="P363" s="73" t="inlineStr">
        <is>
          <t>2896</t>
        </is>
      </c>
      <c r="Q363" s="73" t="inlineStr">
        <is>
          <t>ONS KPMG (non-chargeable)</t>
        </is>
      </c>
      <c r="R363" s="73" t="inlineStr"/>
    </row>
    <row r="364">
      <c r="P364" s="73" t="inlineStr">
        <is>
          <t>2897</t>
        </is>
      </c>
      <c r="Q364" s="73" t="inlineStr">
        <is>
          <t>ONS JPM (non-chargeable)</t>
        </is>
      </c>
      <c r="R364" s="73" t="inlineStr"/>
    </row>
    <row r="365">
      <c r="P365" s="73" t="inlineStr">
        <is>
          <t>2900</t>
        </is>
      </c>
      <c r="Q365" s="73" t="inlineStr">
        <is>
          <t>ONS Ammacus-Woolworths (non-chargeable)</t>
        </is>
      </c>
      <c r="R365" s="73" t="inlineStr"/>
    </row>
    <row r="366">
      <c r="P366" s="73" t="inlineStr">
        <is>
          <t>2906</t>
        </is>
      </c>
      <c r="Q366" s="73" t="inlineStr">
        <is>
          <t>KPMG BNE Tech</t>
        </is>
      </c>
      <c r="R366" s="73" t="inlineStr">
        <is>
          <t>ONSITE</t>
        </is>
      </c>
    </row>
    <row r="367">
      <c r="P367" s="73" t="inlineStr">
        <is>
          <t>2907</t>
        </is>
      </c>
      <c r="Q367" s="73" t="inlineStr">
        <is>
          <t>Ammacus-Woolworths Tech</t>
        </is>
      </c>
      <c r="R367" s="73" t="inlineStr">
        <is>
          <t>ONSITE</t>
        </is>
      </c>
    </row>
    <row r="368">
      <c r="P368" s="73" t="inlineStr">
        <is>
          <t>2910</t>
        </is>
      </c>
      <c r="Q368" s="73" t="inlineStr">
        <is>
          <t>Office Move 2024</t>
        </is>
      </c>
      <c r="R368" s="73" t="inlineStr">
        <is>
          <t>CTS</t>
        </is>
      </c>
    </row>
    <row r="369">
      <c r="P369" s="73" t="inlineStr">
        <is>
          <t>2977</t>
        </is>
      </c>
      <c r="Q369" s="73" t="inlineStr">
        <is>
          <t>St Catherine's School (CONS)</t>
        </is>
      </c>
      <c r="R369" s="73" t="inlineStr"/>
    </row>
    <row r="370">
      <c r="P370" s="73" t="inlineStr">
        <is>
          <t>3014</t>
        </is>
      </c>
      <c r="Q370" s="73" t="inlineStr">
        <is>
          <t>ONS Ricoh/Campari (Chargeable)</t>
        </is>
      </c>
      <c r="R370" s="73" t="inlineStr"/>
    </row>
    <row r="371">
      <c r="P371" s="73" t="inlineStr">
        <is>
          <t>3015</t>
        </is>
      </c>
      <c r="Q371" s="73" t="inlineStr">
        <is>
          <t>ONS Ricoh/Campari (Non Chgble)</t>
        </is>
      </c>
      <c r="R371" s="73" t="inlineStr"/>
    </row>
    <row r="372">
      <c r="P372" s="73" t="inlineStr">
        <is>
          <t>3027</t>
        </is>
      </c>
      <c r="Q372" s="73" t="inlineStr">
        <is>
          <t>DPIE Elizabeth St Booking</t>
        </is>
      </c>
      <c r="R372" s="73" t="inlineStr">
        <is>
          <t>INTEGRATION</t>
        </is>
      </c>
    </row>
    <row r="373">
      <c r="P373" s="73" t="inlineStr">
        <is>
          <t>3028</t>
        </is>
      </c>
      <c r="Q373" s="73" t="inlineStr">
        <is>
          <t>APA Kidman Park VMS</t>
        </is>
      </c>
      <c r="R373" s="73" t="inlineStr">
        <is>
          <t>INTEGRATION</t>
        </is>
      </c>
    </row>
    <row r="374">
      <c r="P374" s="73" t="inlineStr">
        <is>
          <t>3034</t>
        </is>
      </c>
      <c r="Q374" s="73" t="inlineStr">
        <is>
          <t>ARUP ONS (non-chargeable)</t>
        </is>
      </c>
      <c r="R374" s="73" t="inlineStr"/>
    </row>
    <row r="375">
      <c r="P375" s="73" t="inlineStr">
        <is>
          <t>3035</t>
        </is>
      </c>
      <c r="Q375" s="73" t="inlineStr">
        <is>
          <t>ARUP ONS National (Chargeable)</t>
        </is>
      </c>
      <c r="R375" s="73" t="inlineStr"/>
    </row>
    <row r="376">
      <c r="P376" s="73" t="inlineStr">
        <is>
          <t>3040</t>
        </is>
      </c>
      <c r="Q376" s="73" t="inlineStr">
        <is>
          <t>Corrs MELB Office Reloc</t>
        </is>
      </c>
      <c r="R376" s="73" t="inlineStr">
        <is>
          <t>CONSULTING</t>
        </is>
      </c>
    </row>
    <row r="377">
      <c r="P377" s="73" t="inlineStr">
        <is>
          <t>3042</t>
        </is>
      </c>
      <c r="Q377" s="73" t="inlineStr">
        <is>
          <t>Corrs-PER Office Reloc</t>
        </is>
      </c>
      <c r="R377" s="73" t="inlineStr">
        <is>
          <t>CONSULTING</t>
        </is>
      </c>
    </row>
    <row r="378">
      <c r="P378" s="73" t="inlineStr">
        <is>
          <t>3046</t>
        </is>
      </c>
      <c r="Q378" s="73" t="inlineStr">
        <is>
          <t>Stone&amp;Chalk ONS [chargeable]</t>
        </is>
      </c>
      <c r="R378" s="73" t="inlineStr"/>
    </row>
    <row r="379">
      <c r="P379" s="73" t="inlineStr">
        <is>
          <t>3047</t>
        </is>
      </c>
      <c r="Q379" s="73" t="inlineStr">
        <is>
          <t>Stone&amp;Chalk ONS [non-chargable]</t>
        </is>
      </c>
      <c r="R379" s="73" t="inlineStr"/>
    </row>
    <row r="380">
      <c r="P380" s="73" t="inlineStr">
        <is>
          <t>3048</t>
        </is>
      </c>
      <c r="Q380" s="73" t="inlineStr">
        <is>
          <t>Stone &amp; Chalk Audit 2</t>
        </is>
      </c>
      <c r="R380" s="73" t="inlineStr">
        <is>
          <t>CONSULTING</t>
        </is>
      </c>
    </row>
    <row r="381">
      <c r="P381" s="73" t="inlineStr">
        <is>
          <t>3056</t>
        </is>
      </c>
      <c r="Q381" s="73" t="inlineStr">
        <is>
          <t>AusPayNet Onsite [Chargeable]</t>
        </is>
      </c>
      <c r="R381" s="73" t="inlineStr"/>
    </row>
    <row r="382">
      <c r="P382" s="73" t="inlineStr">
        <is>
          <t>3057</t>
        </is>
      </c>
      <c r="Q382" s="73" t="inlineStr">
        <is>
          <t>AusPayNet ONS[Non-Chargeable]</t>
        </is>
      </c>
      <c r="R382" s="73" t="inlineStr"/>
    </row>
    <row r="383">
      <c r="P383" s="73" t="inlineStr">
        <is>
          <t>3059</t>
        </is>
      </c>
      <c r="Q383" s="73" t="inlineStr">
        <is>
          <t>CBA AGM 2025</t>
        </is>
      </c>
      <c r="R383" s="73" t="inlineStr">
        <is>
          <t>PRODUCTION</t>
        </is>
      </c>
    </row>
    <row r="384">
      <c r="P384" s="73" t="inlineStr">
        <is>
          <t>3068</t>
        </is>
      </c>
      <c r="Q384" s="73" t="inlineStr">
        <is>
          <t>DPIE Pitt and Penrith</t>
        </is>
      </c>
      <c r="R384" s="73" t="inlineStr">
        <is>
          <t>INTEGRATION</t>
        </is>
      </c>
    </row>
    <row r="385">
      <c r="P385" s="73" t="inlineStr">
        <is>
          <t>3072</t>
        </is>
      </c>
      <c r="Q385" s="73" t="inlineStr">
        <is>
          <t>APA Thomastown</t>
        </is>
      </c>
      <c r="R385" s="73" t="inlineStr">
        <is>
          <t>INTEGRATION</t>
        </is>
      </c>
    </row>
    <row r="386">
      <c r="P386" s="73" t="inlineStr">
        <is>
          <t>585</t>
        </is>
      </c>
      <c r="Q386" s="73" t="inlineStr">
        <is>
          <t>CBA Team Leader</t>
        </is>
      </c>
      <c r="R386" s="73" t="inlineStr">
        <is>
          <t>ONSITE</t>
        </is>
      </c>
    </row>
    <row r="387">
      <c r="P387" s="73" t="inlineStr">
        <is>
          <t>586</t>
        </is>
      </c>
      <c r="Q387" s="73" t="inlineStr">
        <is>
          <t>CBA Tech NP</t>
        </is>
      </c>
      <c r="R387" s="73" t="inlineStr">
        <is>
          <t>ONSITE</t>
        </is>
      </c>
    </row>
    <row r="388">
      <c r="P388" s="73" t="inlineStr">
        <is>
          <t>587</t>
        </is>
      </c>
      <c r="Q388" s="73" t="inlineStr">
        <is>
          <t>CBA Tech TN</t>
        </is>
      </c>
      <c r="R388" s="73" t="inlineStr">
        <is>
          <t>ONSITE</t>
        </is>
      </c>
    </row>
    <row r="389">
      <c r="P389" s="73" t="inlineStr">
        <is>
          <t>724</t>
        </is>
      </c>
      <c r="Q389" s="73" t="inlineStr">
        <is>
          <t>DTTL SYD NTSL</t>
        </is>
      </c>
      <c r="R389" s="73" t="inlineStr">
        <is>
          <t>ONSITE</t>
        </is>
      </c>
    </row>
    <row r="390">
      <c r="P390" s="73" t="inlineStr">
        <is>
          <t>725</t>
        </is>
      </c>
      <c r="Q390" s="73" t="inlineStr">
        <is>
          <t>DTTL Mel Tech FT 1</t>
        </is>
      </c>
      <c r="R390" s="73" t="inlineStr">
        <is>
          <t>ONSITE</t>
        </is>
      </c>
    </row>
    <row r="391">
      <c r="P391" s="73" t="inlineStr">
        <is>
          <t>729</t>
        </is>
      </c>
      <c r="Q391" s="73" t="inlineStr">
        <is>
          <t>DTTL Consulting</t>
        </is>
      </c>
      <c r="R391" s="73" t="inlineStr">
        <is>
          <t>CONSULTING</t>
        </is>
      </c>
    </row>
    <row r="392">
      <c r="P392" s="73" t="inlineStr">
        <is>
          <t>732</t>
        </is>
      </c>
      <c r="Q392" s="73" t="inlineStr">
        <is>
          <t>Bank West Contract</t>
        </is>
      </c>
      <c r="R392" s="73" t="inlineStr">
        <is>
          <t>ONSITE</t>
        </is>
      </c>
    </row>
    <row r="393">
      <c r="P393" s="73" t="inlineStr">
        <is>
          <t>9000</t>
        </is>
      </c>
      <c r="Q393" s="73" t="inlineStr">
        <is>
          <t>OFFICE / ADMIN</t>
        </is>
      </c>
      <c r="R393" s="73" t="inlineStr">
        <is>
          <t>CTS</t>
        </is>
      </c>
    </row>
    <row r="394">
      <c r="P394" s="73" t="inlineStr">
        <is>
          <t>9001</t>
        </is>
      </c>
      <c r="Q394" s="73" t="inlineStr">
        <is>
          <t>OFFICE/ADMIN Orientation</t>
        </is>
      </c>
      <c r="R394" s="73" t="inlineStr">
        <is>
          <t>CTS</t>
        </is>
      </c>
    </row>
    <row r="395">
      <c r="P395" s="73" t="inlineStr">
        <is>
          <t>9050</t>
        </is>
      </c>
      <c r="Q395" s="73" t="inlineStr">
        <is>
          <t>OFFICE ASSETS</t>
        </is>
      </c>
      <c r="R395" s="73" t="inlineStr">
        <is>
          <t>CTS</t>
        </is>
      </c>
    </row>
    <row r="396">
      <c r="P396" s="73" t="inlineStr">
        <is>
          <t>9100</t>
        </is>
      </c>
      <c r="Q396" s="73" t="inlineStr">
        <is>
          <t>PRODUCTION</t>
        </is>
      </c>
      <c r="R396" s="73" t="inlineStr">
        <is>
          <t>PRODUCTION</t>
        </is>
      </c>
    </row>
    <row r="397">
      <c r="P397" s="73" t="inlineStr">
        <is>
          <t>9101</t>
        </is>
      </c>
      <c r="Q397" s="73" t="inlineStr">
        <is>
          <t>PRODUCTION - Orientation</t>
        </is>
      </c>
      <c r="R397" s="73" t="inlineStr">
        <is>
          <t>PRODUCTION</t>
        </is>
      </c>
    </row>
    <row r="398">
      <c r="P398" s="73" t="inlineStr">
        <is>
          <t>9102</t>
        </is>
      </c>
      <c r="Q398" s="73" t="inlineStr">
        <is>
          <t>Production - Training</t>
        </is>
      </c>
      <c r="R398" s="73" t="inlineStr">
        <is>
          <t>PRODUCTION</t>
        </is>
      </c>
    </row>
    <row r="399">
      <c r="P399" s="73" t="inlineStr">
        <is>
          <t>9105</t>
        </is>
      </c>
      <c r="Q399" s="73" t="inlineStr">
        <is>
          <t>ONSITE (including PROD backup)</t>
        </is>
      </c>
      <c r="R399" s="73" t="inlineStr"/>
    </row>
    <row r="400">
      <c r="P400" s="73" t="inlineStr">
        <is>
          <t>9106</t>
        </is>
      </c>
      <c r="Q400" s="73" t="inlineStr">
        <is>
          <t>ONSITE - Orientation</t>
        </is>
      </c>
      <c r="R400" s="73" t="inlineStr">
        <is>
          <t>ONSITE</t>
        </is>
      </c>
    </row>
    <row r="401">
      <c r="P401" s="73" t="inlineStr">
        <is>
          <t>9107</t>
        </is>
      </c>
      <c r="Q401" s="73" t="inlineStr">
        <is>
          <t>ONSITE - Assets</t>
        </is>
      </c>
      <c r="R401" s="73" t="inlineStr">
        <is>
          <t>ONSITE</t>
        </is>
      </c>
    </row>
    <row r="402">
      <c r="P402" s="73" t="inlineStr">
        <is>
          <t>9108</t>
        </is>
      </c>
      <c r="Q402" s="73" t="inlineStr">
        <is>
          <t>ONSITE - Sales</t>
        </is>
      </c>
      <c r="R402" s="73" t="inlineStr">
        <is>
          <t>ONSITE</t>
        </is>
      </c>
    </row>
    <row r="403">
      <c r="P403" s="73" t="inlineStr">
        <is>
          <t>9109</t>
        </is>
      </c>
      <c r="Q403" s="73" t="inlineStr">
        <is>
          <t>ONSITE - Marketing</t>
        </is>
      </c>
      <c r="R403" s="73" t="inlineStr">
        <is>
          <t>ONSITE</t>
        </is>
      </c>
    </row>
    <row r="404">
      <c r="P404" s="73" t="inlineStr">
        <is>
          <t>9125</t>
        </is>
      </c>
      <c r="Q404" s="73" t="inlineStr">
        <is>
          <t>VIDEO DEPT</t>
        </is>
      </c>
      <c r="R404" s="73" t="inlineStr">
        <is>
          <t>VIDEO</t>
        </is>
      </c>
    </row>
    <row r="405">
      <c r="P405" s="73" t="inlineStr">
        <is>
          <t>9126</t>
        </is>
      </c>
      <c r="Q405" s="73" t="inlineStr">
        <is>
          <t>VIDEO - Orientation</t>
        </is>
      </c>
      <c r="R405" s="73" t="inlineStr">
        <is>
          <t>VIDEO</t>
        </is>
      </c>
    </row>
    <row r="406">
      <c r="P406" s="73" t="inlineStr">
        <is>
          <t>9127</t>
        </is>
      </c>
      <c r="Q406" s="73" t="inlineStr">
        <is>
          <t>VIDEO - Assets</t>
        </is>
      </c>
      <c r="R406" s="73" t="inlineStr">
        <is>
          <t>VIDEO</t>
        </is>
      </c>
    </row>
    <row r="407">
      <c r="P407" s="73" t="inlineStr">
        <is>
          <t>9128</t>
        </is>
      </c>
      <c r="Q407" s="73" t="inlineStr">
        <is>
          <t>VIDEO - Sales</t>
        </is>
      </c>
      <c r="R407" s="73" t="inlineStr">
        <is>
          <t>VIDEO</t>
        </is>
      </c>
    </row>
    <row r="408">
      <c r="P408" s="73" t="inlineStr">
        <is>
          <t>9129</t>
        </is>
      </c>
      <c r="Q408" s="73" t="inlineStr">
        <is>
          <t>VIDEO - Marketing</t>
        </is>
      </c>
      <c r="R408" s="73" t="inlineStr">
        <is>
          <t>VIDEO</t>
        </is>
      </c>
    </row>
    <row r="409">
      <c r="P409" s="73" t="inlineStr">
        <is>
          <t>9150</t>
        </is>
      </c>
      <c r="Q409" s="73" t="inlineStr">
        <is>
          <t>PRODUCTION - Assets</t>
        </is>
      </c>
      <c r="R409" s="73" t="inlineStr">
        <is>
          <t>PRODUCTION</t>
        </is>
      </c>
    </row>
    <row r="410">
      <c r="P410" s="73" t="inlineStr">
        <is>
          <t>9175</t>
        </is>
      </c>
      <c r="Q410" s="73" t="inlineStr">
        <is>
          <t>PRODUCTION - Sales</t>
        </is>
      </c>
      <c r="R410" s="73" t="inlineStr">
        <is>
          <t>PRODUCTION</t>
        </is>
      </c>
    </row>
    <row r="411">
      <c r="P411" s="73" t="inlineStr">
        <is>
          <t>9176</t>
        </is>
      </c>
      <c r="Q411" s="73" t="inlineStr">
        <is>
          <t>Production - Marketing</t>
        </is>
      </c>
      <c r="R411" s="73" t="inlineStr">
        <is>
          <t>PRODUCTION</t>
        </is>
      </c>
    </row>
    <row r="412">
      <c r="P412" s="73" t="inlineStr">
        <is>
          <t>9178</t>
        </is>
      </c>
      <c r="Q412" s="73" t="inlineStr">
        <is>
          <t>Production – Webcasts</t>
        </is>
      </c>
      <c r="R412" s="73" t="inlineStr">
        <is>
          <t>PRODUCTION</t>
        </is>
      </c>
    </row>
    <row r="413">
      <c r="P413" s="73" t="inlineStr">
        <is>
          <t>9200</t>
        </is>
      </c>
      <c r="Q413" s="73" t="inlineStr">
        <is>
          <t>INTEGRATION</t>
        </is>
      </c>
      <c r="R413" s="73" t="inlineStr">
        <is>
          <t>INTEGRATION</t>
        </is>
      </c>
    </row>
    <row r="414">
      <c r="P414" s="73" t="inlineStr">
        <is>
          <t>9201</t>
        </is>
      </c>
      <c r="Q414" s="73" t="inlineStr">
        <is>
          <t>INTEGRATION - Orientation [INT</t>
        </is>
      </c>
      <c r="R414" s="73" t="inlineStr"/>
    </row>
    <row r="415">
      <c r="P415" s="73" t="inlineStr">
        <is>
          <t>9202</t>
        </is>
      </c>
      <c r="Q415" s="73" t="inlineStr">
        <is>
          <t>INTEGRATION - Quotes</t>
        </is>
      </c>
      <c r="R415" s="73" t="inlineStr">
        <is>
          <t>INTEGRATION</t>
        </is>
      </c>
    </row>
    <row r="416">
      <c r="P416" s="73" t="inlineStr">
        <is>
          <t>9225</t>
        </is>
      </c>
      <c r="Q416" s="73" t="inlineStr">
        <is>
          <t>Integration - SALES</t>
        </is>
      </c>
      <c r="R416" s="73" t="inlineStr">
        <is>
          <t>INTEGRATION</t>
        </is>
      </c>
    </row>
    <row r="417">
      <c r="P417" s="73" t="inlineStr">
        <is>
          <t>9226</t>
        </is>
      </c>
      <c r="Q417" s="73" t="inlineStr">
        <is>
          <t>Integration - Marketing</t>
        </is>
      </c>
      <c r="R417" s="73" t="inlineStr">
        <is>
          <t>INTEGRATION</t>
        </is>
      </c>
    </row>
    <row r="418">
      <c r="P418" s="73" t="inlineStr">
        <is>
          <t>9300</t>
        </is>
      </c>
      <c r="Q418" s="73" t="inlineStr">
        <is>
          <t>HUMAN RESOURCES</t>
        </is>
      </c>
      <c r="R418" s="73" t="inlineStr">
        <is>
          <t>CTS</t>
        </is>
      </c>
    </row>
    <row r="419">
      <c r="P419" s="73" t="inlineStr">
        <is>
          <t>9301</t>
        </is>
      </c>
      <c r="Q419" s="73" t="inlineStr">
        <is>
          <t>Recruitment</t>
        </is>
      </c>
      <c r="R419" s="73" t="inlineStr">
        <is>
          <t>CTS</t>
        </is>
      </c>
    </row>
    <row r="420">
      <c r="P420" s="73" t="inlineStr">
        <is>
          <t>9350</t>
        </is>
      </c>
      <c r="Q420" s="73" t="inlineStr">
        <is>
          <t>MARKETING (external)</t>
        </is>
      </c>
      <c r="R420" s="73" t="inlineStr">
        <is>
          <t>CTS</t>
        </is>
      </c>
    </row>
    <row r="421">
      <c r="P421" s="73" t="inlineStr">
        <is>
          <t>9375</t>
        </is>
      </c>
      <c r="Q421" s="73" t="inlineStr">
        <is>
          <t>MARKETING / COMMS</t>
        </is>
      </c>
      <c r="R421" s="73" t="inlineStr">
        <is>
          <t>CTS</t>
        </is>
      </c>
    </row>
    <row r="422">
      <c r="P422" s="73" t="inlineStr">
        <is>
          <t>9400</t>
        </is>
      </c>
      <c r="Q422" s="73" t="inlineStr">
        <is>
          <t>CONSULTING</t>
        </is>
      </c>
      <c r="R422" s="73" t="inlineStr">
        <is>
          <t>CONSULTING</t>
        </is>
      </c>
    </row>
    <row r="423">
      <c r="P423" s="73" t="inlineStr">
        <is>
          <t>9402</t>
        </is>
      </c>
      <c r="Q423" s="73" t="inlineStr">
        <is>
          <t>CONSULTING - Assets</t>
        </is>
      </c>
      <c r="R423" s="73" t="inlineStr">
        <is>
          <t>CONSULTING</t>
        </is>
      </c>
    </row>
    <row r="424">
      <c r="P424" s="73" t="inlineStr">
        <is>
          <t>9403</t>
        </is>
      </c>
      <c r="Q424" s="73" t="inlineStr">
        <is>
          <t>CONSULTING - Sales</t>
        </is>
      </c>
      <c r="R424" s="73" t="inlineStr">
        <is>
          <t>CONSULTING</t>
        </is>
      </c>
    </row>
    <row r="425">
      <c r="P425" s="73" t="inlineStr">
        <is>
          <t>9405</t>
        </is>
      </c>
      <c r="Q425" s="73" t="inlineStr">
        <is>
          <t>CONSULTING - Marketing</t>
        </is>
      </c>
      <c r="R425" s="73" t="inlineStr">
        <is>
          <t>CONSULTING</t>
        </is>
      </c>
    </row>
    <row r="426">
      <c r="P426" s="73" t="inlineStr">
        <is>
          <t>9407</t>
        </is>
      </c>
      <c r="Q426" s="73" t="inlineStr">
        <is>
          <t>CONSULTING - Training</t>
        </is>
      </c>
      <c r="R426" s="73" t="inlineStr">
        <is>
          <t>CONSULTING</t>
        </is>
      </c>
    </row>
    <row r="427">
      <c r="P427" s="73" t="inlineStr">
        <is>
          <t>974</t>
        </is>
      </c>
      <c r="Q427" s="73" t="inlineStr">
        <is>
          <t>DTTL 1300 Number</t>
        </is>
      </c>
      <c r="R427" s="73"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2026-09-25T01:25:50Z</dcterms:created>
  <dcterms:modified xsi:type="dcterms:W3CDTF">2026-09-25T01:25:56Z</dcterms:modified>
</cp:coreProperties>
</file>